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6696EDEC-9900-4DE9-8A8A-26B9DABF59CD}" xr6:coauthVersionLast="47" xr6:coauthVersionMax="47" xr10:uidLastSave="{00000000-0000-0000-0000-000000000000}"/>
  <bookViews>
    <workbookView xWindow="-120" yWindow="480" windowWidth="29040" windowHeight="15840" tabRatio="845" xr2:uid="{558B7DC1-779D-BB42-B43A-ED7A08375808}"/>
  </bookViews>
  <sheets>
    <sheet name="Waiver Summary" sheetId="5" r:id="rId1"/>
    <sheet name="Shipping Lot List" sheetId="22" r:id="rId2"/>
    <sheet name="FAI" sheetId="13" r:id="rId3"/>
    <sheet name="SPC" sheetId="23" r:id="rId4"/>
  </sheets>
  <definedNames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3" hidden="1">{#N/A,#N/A,TRUE,"일정"}</definedName>
    <definedName name="____PU7" hidden="1">{#N/A,#N/A,TRUE,"일정"}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3" hidden="1">{#N/A,#N/A,FALSE,"Cst of Sales (2)"}</definedName>
    <definedName name="___k2" hidden="1">{#N/A,#N/A,FALSE,"Cst of Sales (2)"}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3" hidden="1">{#N/A,#N/A,FALSE,"Cst of Sales (2)"}</definedName>
    <definedName name="__k2" hidden="1">{#N/A,#N/A,FALSE,"Cst of Sales (2)"}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3" hidden="1">{#N/A,#N/A,TRUE,"일정"}</definedName>
    <definedName name="__PU7" hidden="1">{#N/A,#N/A,TRUE,"일정"}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3" hidden="1">{#N/A,#N/A,FALSE,"Cst of Sales (2)"}</definedName>
    <definedName name="_58k2_" hidden="1">{#N/A,#N/A,FALSE,"Cst of Sales (2)"}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3" hidden="1">{#N/A,#N/A,FALSE,"Cst of Sales (2)"}</definedName>
    <definedName name="_60k2_" hidden="1">{#N/A,#N/A,FALSE,"Cst of Sales (2)"}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1" hidden="1">'Shipping Lot List'!$B$1:$I$5</definedName>
    <definedName name="_xlnm._FilterDatabase" hidden="1">#REF!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3" hidden="1">{#N/A,#N/A,FALSE,"원가검토서"}</definedName>
    <definedName name="AERGA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3" hidden="1">{#N/A,#N/A,TRUE,"일정"}</definedName>
    <definedName name="cdhbkjbkjnkjnlmmn" hidden="1">{#N/A,#N/A,TRUE,"일정"}</definedName>
    <definedName name="CFVGYTU" localSheetId="3" hidden="1">{#N/A,#N/A,FALSE,"원가검토서"}</definedName>
    <definedName name="CFVGYTU" hidden="1">{#N/A,#N/A,FALSE,"원가검토서"}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3" hidden="1">{#N/A,#N/A,FALSE,"원가검토서"}</definedName>
    <definedName name="ddfg" hidden="1">{#N/A,#N/A,FALSE,"원가검토서"}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3" hidden="1">{#N/A,#N/A,FALSE,"원가검토서"}</definedName>
    <definedName name="DFAGF" hidden="1">{#N/A,#N/A,FALSE,"원가검토서"}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3" hidden="1">{#N/A,#N/A,FALSE,"원가검토서"}</definedName>
    <definedName name="DFG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3" hidden="1">{#N/A,#N/A,FALSE,"원가검토서"}</definedName>
    <definedName name="dfsf" hidden="1">{#N/A,#N/A,FALSE,"원가검토서"}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3" hidden="1">{#N/A,#N/A,TRUE,"일정"}</definedName>
    <definedName name="DLF" hidden="1">{#N/A,#N/A,TRUE,"일정"}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3" hidden="1">{#N/A,#N/A,FALSE,"원가검토서"}</definedName>
    <definedName name="DS" hidden="1">{#N/A,#N/A,FALSE,"원가검토서"}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3" hidden="1">{"Wire Charts",#N/A,TRUE,"Wires"}</definedName>
    <definedName name="ERG" hidden="1">{"Wire Charts",#N/A,TRUE,"Wires"}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3" hidden="1">{"'KET'!$A$1:$E$2423"}</definedName>
    <definedName name="FDGS" hidden="1">{"'KET'!$A$1:$E$2423"}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3" hidden="1">{"'OPEN'G압출'!$A$4:$P$34"}</definedName>
    <definedName name="FGF" hidden="1">{"'OPEN'G압출'!$A$4:$P$34"}</definedName>
    <definedName name="FGGHNMK" localSheetId="3" hidden="1">{#N/A,#N/A,FALSE,"원가검토서"}</definedName>
    <definedName name="FGGHNMK" hidden="1">{#N/A,#N/A,FALSE,"원가검토서"}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3" hidden="1">{#N/A,#N/A,FALSE,"원가검토서"}</definedName>
    <definedName name="FGHJ" hidden="1">{#N/A,#N/A,FALSE,"원가검토서"}</definedName>
    <definedName name="FGS" localSheetId="3" hidden="1">{"Wire Charts",#N/A,TRUE,"Wires"}</definedName>
    <definedName name="FGS" hidden="1">{"Wire Charts",#N/A,TRUE,"Wires"}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3" hidden="1">{#N/A,#N/A,TRUE,"일정"}</definedName>
    <definedName name="gdmhgdmhg" hidden="1">{#N/A,#N/A,TRUE,"일정"}</definedName>
    <definedName name="GFD" localSheetId="3" hidden="1">{#N/A,#N/A,TRUE,"일정"}</definedName>
    <definedName name="GFD" hidden="1">{#N/A,#N/A,TRUE,"일정"}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3" hidden="1">{#N/A,#N/A,TRUE,"일정"}</definedName>
    <definedName name="gvdasskv" hidden="1">{#N/A,#N/A,TRUE,"일정"}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3" hidden="1">{"'OPEN'G압출'!$A$4:$P$34"}</definedName>
    <definedName name="HFGJFGJJ" hidden="1">{"'OPEN'G압출'!$A$4:$P$34"}</definedName>
    <definedName name="hgfshg" localSheetId="3" hidden="1">{#N/A,#N/A,TRUE,"일정"}</definedName>
    <definedName name="hgfshg" hidden="1">{#N/A,#N/A,TRUE,"일정"}</definedName>
    <definedName name="hgfxd" localSheetId="3" hidden="1">{#N/A,#N/A,TRUE,"일정"}</definedName>
    <definedName name="hgfxd" hidden="1">{#N/A,#N/A,TRUE,"일정"}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3" hidden="1">{#N/A,#N/A,FALSE,"원가검토서"}</definedName>
    <definedName name="HJGFJHFJH" hidden="1">{#N/A,#N/A,FALSE,"원가검토서"}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3" hidden="1">{#N/A,#N/A,TRUE,"일정"}</definedName>
    <definedName name="jgfsjhgfsjhgfsdjhgfds" hidden="1">{#N/A,#N/A,TRUE,"일정"}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3" hidden="1">{#N/A,#N/A,FALSE,"원가검토서"}</definedName>
    <definedName name="JJUHG" hidden="1">{#N/A,#N/A,FALSE,"원가검토서"}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3" hidden="1">{"'OPEN'G압출'!$A$4:$P$34"}</definedName>
    <definedName name="KJHDFKS" hidden="1">{"'OPEN'G압출'!$A$4:$P$34"}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3" hidden="1">{#N/A,#N/A,TRUE,"일정"}</definedName>
    <definedName name="LHSDHSD" hidden="1">{#N/A,#N/A,TRUE,"일정"}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3" hidden="1">{#N/A,#N/A,FALSE,"Cst of Sales (2)"}</definedName>
    <definedName name="link_ds_be" hidden="1">{#N/A,#N/A,FALSE,"Cst of Sales (2)"}</definedName>
    <definedName name="LKGFLDKGF" localSheetId="3" hidden="1">{"'OPEN'G압출'!$A$4:$P$34"}</definedName>
    <definedName name="LKGFLDKGF" hidden="1">{"'OPEN'G압출'!$A$4:$P$34"}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3" hidden="1">{"'OPEN'G압출'!$A$4:$P$34"}</definedName>
    <definedName name="LKLKLK" hidden="1">{"'OPEN'G압출'!$A$4:$P$34"}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3" hidden="1">{#N/A,#N/A,TRUE,"일정"}</definedName>
    <definedName name="MASTER" hidden="1">{#N/A,#N/A,TRUE,"일정"}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3" hidden="1">{#N/A,#N/A,TRUE,"일정"}</definedName>
    <definedName name="PH단계별" hidden="1">{#N/A,#N/A,TRUE,"일정"}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3" hidden="1">{#N/A,#N/A,TRUE,"일정"}</definedName>
    <definedName name="PPPP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3" hidden="1">{#N/A,#N/A,FALSE,"Cst of Sales (2)"}</definedName>
    <definedName name="qc" hidden="1">{#N/A,#N/A,FALSE,"Cst of Sales (2)"}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3" hidden="1">{#N/A,#N/A,FALSE,"Cst of Sales (2)"}</definedName>
    <definedName name="RUB_HOU" hidden="1">{#N/A,#N/A,FALSE,"Cst of Sales (2)"}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3" hidden="1">{#N/A,#N/A,TRUE,"일정"}</definedName>
    <definedName name="SFSF" hidden="1">{#N/A,#N/A,TRUE,"일정"}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3" hidden="1">{#N/A,#N/A,TRUE,"일정"}</definedName>
    <definedName name="VDSAG" hidden="1">{#N/A,#N/A,TRUE,"일정"}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3" hidden="1">{#N/A,#N/A,FALSE,"원가검토서"}</definedName>
    <definedName name="WET" hidden="1">{#N/A,#N/A,FALSE,"원가검토서"}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3" hidden="1">{#N/A,#N/A,FALSE,"원가검토서"}</definedName>
    <definedName name="WGEG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3" hidden="1">{"Wire Charts",#N/A,TRUE,"Wires"}</definedName>
    <definedName name="Wire_Chart" hidden="1">{"Wire Charts",#N/A,TRUE,"Wires"}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3" hidden="1">{#N/A,#N/A,TRUE,"일정"}</definedName>
    <definedName name="ㄱㄷㄱㄱ" hidden="1">{#N/A,#N/A,TRUE,"일정"}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3" hidden="1">{#N/A,#N/A,FALSE,"원가검토서"}</definedName>
    <definedName name="ㄱ쇼" hidden="1">{#N/A,#N/A,FALSE,"원가검토서"}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3" hidden="1">{"Wire Charts",#N/A,TRUE,"Wires"}</definedName>
    <definedName name="계획서" hidden="1">{"Wire Charts",#N/A,TRUE,"Wires"}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3" hidden="1">{#N/A,#N/A,FALSE,"원가검토서"}</definedName>
    <definedName name="공정도" hidden="1">{#N/A,#N/A,FALSE,"원가검토서"}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3" hidden="1">{#N/A,#N/A,FALSE,"원가검토서"}</definedName>
    <definedName name="금" hidden="1">{#N/A,#N/A,FALSE,"원가검토서"}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3" hidden="1">{#N/A,#N/A,FALSE,"원가검토서"}</definedName>
    <definedName name="금형" hidden="1">{#N/A,#N/A,FALSE,"원가검토서"}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3" hidden="1">{#N/A,#N/A,TRUE,"일정"}</definedName>
    <definedName name="담당1" hidden="1">{#N/A,#N/A,TRUE,"일정"}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3" hidden="1">SPC!ㅂㅂㅂ</definedName>
    <definedName name="ㅂㅂㅂ" hidden="1">[0]!ㅂㅂㅂ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3" hidden="1">{#N/A,#N/A,FALSE,"정공"}</definedName>
    <definedName name="삼성" hidden="1">{#N/A,#N/A,FALSE,"정공"}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3" hidden="1">{"'KET'!$A$1:$E$2423"}</definedName>
    <definedName name="시동성" hidden="1">{"'KET'!$A$1:$E$2423"}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3" hidden="1">{#N/A,#N/A,FALSE,"원가검토서"}</definedName>
    <definedName name="ㅇㄹ호" hidden="1">{#N/A,#N/A,FALSE,"원가검토서"}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3" hidden="1">{"'KET'!$A$1:$E$2423"}</definedName>
    <definedName name="종합3" hidden="1">{"'KET'!$A$1:$E$2423"}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3" hidden="1">{#N/A,#N/A,TRUE,"일정"}</definedName>
    <definedName name="주정관" hidden="1">{#N/A,#N/A,TRUE,"일정"}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3" hidden="1">{#N/A,#N/A,FALSE,"정공"}</definedName>
    <definedName name="최영" hidden="1">{#N/A,#N/A,FALSE,"정공"}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3" hidden="1">{#N/A,#N/A,FALSE,"Cst of Sales (2)"}</definedName>
    <definedName name="캄코11" hidden="1">{#N/A,#N/A,FALSE,"Cst of Sales (2)"}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3" hidden="1">{#N/A,#N/A,TRUE,"일정"}</definedName>
    <definedName name="ㅌㅌ" hidden="1">{#N/A,#N/A,TRUE,"일정"}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3" hidden="1">{#N/A,#N/A,FALSE,"정공"}</definedName>
    <definedName name="현대" hidden="1">{#N/A,#N/A,FALSE,"정공"}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3" hidden="1">{#N/A,#N/A,FALSE,"Cst of Sales (2)"}</definedName>
    <definedName name="회의록" hidden="1">{#N/A,#N/A,FALSE,"Cst of Sales (2)"}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9" i="23" l="1"/>
  <c r="S109" i="23"/>
  <c r="R109" i="23"/>
  <c r="Q109" i="23"/>
  <c r="AG108" i="23"/>
  <c r="AA108" i="23"/>
  <c r="Z108" i="23"/>
  <c r="Y108" i="23"/>
  <c r="X108" i="23"/>
  <c r="V108" i="23"/>
  <c r="W108" i="23" s="1"/>
  <c r="U108" i="23"/>
  <c r="T108" i="23"/>
  <c r="S108" i="23"/>
  <c r="AD108" i="23" s="1"/>
  <c r="R108" i="23"/>
  <c r="Q108" i="23"/>
  <c r="Q112" i="23"/>
  <c r="R112" i="23"/>
  <c r="S112" i="23"/>
  <c r="T112" i="23"/>
  <c r="Q110" i="23"/>
  <c r="R110" i="23"/>
  <c r="S110" i="23"/>
  <c r="T110" i="23"/>
  <c r="Q111" i="23"/>
  <c r="R111" i="23"/>
  <c r="S111" i="23"/>
  <c r="T111" i="23"/>
  <c r="AE108" i="23" l="1"/>
  <c r="AB108" i="23"/>
  <c r="AC108" i="23"/>
  <c r="Q37" i="23"/>
  <c r="R37" i="23"/>
  <c r="S37" i="23"/>
  <c r="AC37" i="23" s="1"/>
  <c r="T37" i="23"/>
  <c r="U37" i="23" s="1"/>
  <c r="AE37" i="23" s="1"/>
  <c r="V37" i="23"/>
  <c r="W37" i="23" s="1"/>
  <c r="AG37" i="23"/>
  <c r="Q31" i="23"/>
  <c r="R31" i="23"/>
  <c r="S31" i="23"/>
  <c r="T31" i="23"/>
  <c r="U31" i="23" s="1"/>
  <c r="V31" i="23"/>
  <c r="W31" i="23" s="1"/>
  <c r="AG31" i="23"/>
  <c r="Q32" i="23"/>
  <c r="R32" i="23"/>
  <c r="S32" i="23"/>
  <c r="T32" i="23"/>
  <c r="U32" i="23" s="1"/>
  <c r="AE32" i="23" s="1"/>
  <c r="V32" i="23"/>
  <c r="W32" i="23" s="1"/>
  <c r="AG32" i="23"/>
  <c r="Q33" i="23"/>
  <c r="R33" i="23"/>
  <c r="S33" i="23"/>
  <c r="T33" i="23"/>
  <c r="U33" i="23"/>
  <c r="V33" i="23"/>
  <c r="W33" i="23" s="1"/>
  <c r="AG33" i="23"/>
  <c r="Q34" i="23"/>
  <c r="R34" i="23"/>
  <c r="S34" i="23"/>
  <c r="T34" i="23"/>
  <c r="U34" i="23" s="1"/>
  <c r="AE34" i="23" s="1"/>
  <c r="V34" i="23"/>
  <c r="W34" i="23" s="1"/>
  <c r="AG34" i="23"/>
  <c r="Q35" i="23"/>
  <c r="R35" i="23"/>
  <c r="S35" i="23"/>
  <c r="T35" i="23"/>
  <c r="U35" i="23" s="1"/>
  <c r="V35" i="23"/>
  <c r="W35" i="23" s="1"/>
  <c r="AG35" i="23"/>
  <c r="Q36" i="23"/>
  <c r="R36" i="23"/>
  <c r="S36" i="23"/>
  <c r="T36" i="23"/>
  <c r="U36" i="23" s="1"/>
  <c r="AE36" i="23" s="1"/>
  <c r="V36" i="23"/>
  <c r="W36" i="23" s="1"/>
  <c r="AG36" i="23"/>
  <c r="E8" i="5"/>
  <c r="E6" i="5"/>
  <c r="AG140" i="23"/>
  <c r="V140" i="23"/>
  <c r="W140" i="23" s="1"/>
  <c r="T140" i="23"/>
  <c r="U140" i="23" s="1"/>
  <c r="AE140" i="23" s="1"/>
  <c r="S140" i="23"/>
  <c r="AC140" i="23" s="1"/>
  <c r="R140" i="23"/>
  <c r="Q140" i="23"/>
  <c r="AG139" i="23"/>
  <c r="V139" i="23"/>
  <c r="W139" i="23" s="1"/>
  <c r="T139" i="23"/>
  <c r="U139" i="23" s="1"/>
  <c r="AE139" i="23" s="1"/>
  <c r="S139" i="23"/>
  <c r="R139" i="23"/>
  <c r="Q139" i="23"/>
  <c r="AG138" i="23"/>
  <c r="Y138" i="23"/>
  <c r="V138" i="23"/>
  <c r="W138" i="23" s="1"/>
  <c r="T138" i="23"/>
  <c r="S138" i="23"/>
  <c r="AD138" i="23" s="1"/>
  <c r="R138" i="23"/>
  <c r="Q138" i="23"/>
  <c r="AG137" i="23"/>
  <c r="Y137" i="23"/>
  <c r="V137" i="23"/>
  <c r="W137" i="23" s="1"/>
  <c r="T137" i="23"/>
  <c r="S137" i="23"/>
  <c r="AB137" i="23" s="1"/>
  <c r="R137" i="23"/>
  <c r="Q137" i="23"/>
  <c r="AG136" i="23"/>
  <c r="Y136" i="23"/>
  <c r="V136" i="23"/>
  <c r="W136" i="23" s="1"/>
  <c r="T136" i="23"/>
  <c r="S136" i="23"/>
  <c r="AD136" i="23" s="1"/>
  <c r="R136" i="23"/>
  <c r="Q136" i="23"/>
  <c r="AG135" i="23"/>
  <c r="Y135" i="23"/>
  <c r="V135" i="23"/>
  <c r="W135" i="23" s="1"/>
  <c r="T135" i="23"/>
  <c r="S135" i="23"/>
  <c r="AD135" i="23" s="1"/>
  <c r="R135" i="23"/>
  <c r="Q135" i="23"/>
  <c r="AG134" i="23"/>
  <c r="Y134" i="23"/>
  <c r="V134" i="23"/>
  <c r="W134" i="23" s="1"/>
  <c r="T134" i="23"/>
  <c r="S134" i="23"/>
  <c r="AC134" i="23" s="1"/>
  <c r="R134" i="23"/>
  <c r="Q134" i="23"/>
  <c r="AG133" i="23"/>
  <c r="Y133" i="23"/>
  <c r="V133" i="23"/>
  <c r="W133" i="23" s="1"/>
  <c r="T133" i="23"/>
  <c r="S133" i="23"/>
  <c r="AC133" i="23" s="1"/>
  <c r="R133" i="23"/>
  <c r="Q133" i="23"/>
  <c r="AG132" i="23"/>
  <c r="Y132" i="23"/>
  <c r="V132" i="23"/>
  <c r="W132" i="23" s="1"/>
  <c r="T132" i="23"/>
  <c r="S132" i="23"/>
  <c r="AC132" i="23" s="1"/>
  <c r="R132" i="23"/>
  <c r="Q132" i="23"/>
  <c r="AG131" i="23"/>
  <c r="Y131" i="23"/>
  <c r="V131" i="23"/>
  <c r="W131" i="23" s="1"/>
  <c r="T131" i="23"/>
  <c r="S131" i="23"/>
  <c r="AD131" i="23" s="1"/>
  <c r="R131" i="23"/>
  <c r="Q131" i="23"/>
  <c r="AG130" i="23"/>
  <c r="Y130" i="23"/>
  <c r="V130" i="23"/>
  <c r="W130" i="23" s="1"/>
  <c r="T130" i="23"/>
  <c r="S130" i="23"/>
  <c r="R130" i="23"/>
  <c r="Q130" i="23"/>
  <c r="AG129" i="23"/>
  <c r="Y129" i="23"/>
  <c r="V129" i="23"/>
  <c r="W129" i="23" s="1"/>
  <c r="T129" i="23"/>
  <c r="S129" i="23"/>
  <c r="AD129" i="23" s="1"/>
  <c r="R129" i="23"/>
  <c r="Q129" i="23"/>
  <c r="AG128" i="23"/>
  <c r="Y128" i="23"/>
  <c r="V128" i="23"/>
  <c r="W128" i="23" s="1"/>
  <c r="T128" i="23"/>
  <c r="S128" i="23"/>
  <c r="R128" i="23"/>
  <c r="Q128" i="23"/>
  <c r="AG127" i="23"/>
  <c r="Y127" i="23"/>
  <c r="V127" i="23"/>
  <c r="W127" i="23" s="1"/>
  <c r="T127" i="23"/>
  <c r="S127" i="23"/>
  <c r="R127" i="23"/>
  <c r="Q127" i="23"/>
  <c r="AG126" i="23"/>
  <c r="Y126" i="23"/>
  <c r="V126" i="23"/>
  <c r="W126" i="23" s="1"/>
  <c r="T126" i="23"/>
  <c r="S126" i="23"/>
  <c r="R126" i="23"/>
  <c r="Q126" i="23"/>
  <c r="AG125" i="23"/>
  <c r="V125" i="23"/>
  <c r="W125" i="23" s="1"/>
  <c r="T125" i="23"/>
  <c r="U125" i="23" s="1"/>
  <c r="AE125" i="23" s="1"/>
  <c r="S125" i="23"/>
  <c r="R125" i="23"/>
  <c r="Q125" i="23"/>
  <c r="AG124" i="23"/>
  <c r="V124" i="23"/>
  <c r="W124" i="23" s="1"/>
  <c r="T124" i="23"/>
  <c r="U124" i="23" s="1"/>
  <c r="AE124" i="23" s="1"/>
  <c r="S124" i="23"/>
  <c r="AC124" i="23" s="1"/>
  <c r="R124" i="23"/>
  <c r="Q124" i="23"/>
  <c r="AG123" i="23"/>
  <c r="Y123" i="23"/>
  <c r="V123" i="23"/>
  <c r="W123" i="23" s="1"/>
  <c r="T123" i="23"/>
  <c r="S123" i="23"/>
  <c r="R123" i="23"/>
  <c r="Q123" i="23"/>
  <c r="AG122" i="23"/>
  <c r="V122" i="23"/>
  <c r="W122" i="23" s="1"/>
  <c r="T122" i="23"/>
  <c r="U122" i="23" s="1"/>
  <c r="AE122" i="23" s="1"/>
  <c r="S122" i="23"/>
  <c r="R122" i="23"/>
  <c r="Q122" i="23"/>
  <c r="AG121" i="23"/>
  <c r="V121" i="23"/>
  <c r="W121" i="23" s="1"/>
  <c r="T121" i="23"/>
  <c r="U121" i="23" s="1"/>
  <c r="AE121" i="23" s="1"/>
  <c r="S121" i="23"/>
  <c r="AB121" i="23" s="1"/>
  <c r="R121" i="23"/>
  <c r="Q121" i="23"/>
  <c r="AG120" i="23"/>
  <c r="V120" i="23"/>
  <c r="W120" i="23" s="1"/>
  <c r="T120" i="23"/>
  <c r="U120" i="23" s="1"/>
  <c r="AE120" i="23" s="1"/>
  <c r="S120" i="23"/>
  <c r="AC120" i="23" s="1"/>
  <c r="R120" i="23"/>
  <c r="Q120" i="23"/>
  <c r="AG119" i="23"/>
  <c r="V119" i="23"/>
  <c r="W119" i="23" s="1"/>
  <c r="T119" i="23"/>
  <c r="S119" i="23"/>
  <c r="R119" i="23"/>
  <c r="Q119" i="23"/>
  <c r="AG118" i="23"/>
  <c r="V118" i="23"/>
  <c r="W118" i="23" s="1"/>
  <c r="T118" i="23"/>
  <c r="U118" i="23" s="1"/>
  <c r="AE118" i="23" s="1"/>
  <c r="S118" i="23"/>
  <c r="AC118" i="23" s="1"/>
  <c r="R118" i="23"/>
  <c r="Q118" i="23"/>
  <c r="AG117" i="23"/>
  <c r="V117" i="23"/>
  <c r="W117" i="23" s="1"/>
  <c r="T117" i="23"/>
  <c r="U117" i="23" s="1"/>
  <c r="AE117" i="23" s="1"/>
  <c r="S117" i="23"/>
  <c r="R117" i="23"/>
  <c r="Q117" i="23"/>
  <c r="AG116" i="23"/>
  <c r="V116" i="23"/>
  <c r="W116" i="23" s="1"/>
  <c r="T116" i="23"/>
  <c r="U116" i="23" s="1"/>
  <c r="S116" i="23"/>
  <c r="R116" i="23"/>
  <c r="Q116" i="23"/>
  <c r="AG115" i="23"/>
  <c r="V115" i="23"/>
  <c r="W115" i="23" s="1"/>
  <c r="T115" i="23"/>
  <c r="U115" i="23" s="1"/>
  <c r="AE115" i="23" s="1"/>
  <c r="S115" i="23"/>
  <c r="R115" i="23"/>
  <c r="Q115" i="23"/>
  <c r="AG114" i="23"/>
  <c r="V114" i="23"/>
  <c r="W114" i="23" s="1"/>
  <c r="T114" i="23"/>
  <c r="U114" i="23" s="1"/>
  <c r="AE114" i="23" s="1"/>
  <c r="S114" i="23"/>
  <c r="AC114" i="23" s="1"/>
  <c r="R114" i="23"/>
  <c r="Q114" i="23"/>
  <c r="AG113" i="23"/>
  <c r="V113" i="23"/>
  <c r="W113" i="23" s="1"/>
  <c r="T113" i="23"/>
  <c r="S113" i="23"/>
  <c r="R113" i="23"/>
  <c r="Q113" i="23"/>
  <c r="AG111" i="23"/>
  <c r="V111" i="23"/>
  <c r="W111" i="23" s="1"/>
  <c r="U111" i="23"/>
  <c r="AE111" i="23" s="1"/>
  <c r="AB111" i="23"/>
  <c r="AG107" i="23"/>
  <c r="V107" i="23"/>
  <c r="W107" i="23" s="1"/>
  <c r="T107" i="23"/>
  <c r="U107" i="23" s="1"/>
  <c r="AE107" i="23" s="1"/>
  <c r="S107" i="23"/>
  <c r="AB107" i="23" s="1"/>
  <c r="R107" i="23"/>
  <c r="Q107" i="23"/>
  <c r="AG106" i="23"/>
  <c r="V106" i="23"/>
  <c r="W106" i="23" s="1"/>
  <c r="T106" i="23"/>
  <c r="U106" i="23" s="1"/>
  <c r="AE106" i="23" s="1"/>
  <c r="S106" i="23"/>
  <c r="R106" i="23"/>
  <c r="Q106" i="23"/>
  <c r="AG105" i="23"/>
  <c r="V105" i="23"/>
  <c r="W105" i="23" s="1"/>
  <c r="T105" i="23"/>
  <c r="U105" i="23" s="1"/>
  <c r="AE105" i="23" s="1"/>
  <c r="S105" i="23"/>
  <c r="AC105" i="23" s="1"/>
  <c r="R105" i="23"/>
  <c r="Q105" i="23"/>
  <c r="AG104" i="23"/>
  <c r="V104" i="23"/>
  <c r="W104" i="23" s="1"/>
  <c r="T104" i="23"/>
  <c r="U104" i="23" s="1"/>
  <c r="AE104" i="23" s="1"/>
  <c r="S104" i="23"/>
  <c r="AD104" i="23" s="1"/>
  <c r="R104" i="23"/>
  <c r="Q104" i="23"/>
  <c r="AG103" i="23"/>
  <c r="V103" i="23"/>
  <c r="W103" i="23" s="1"/>
  <c r="T103" i="23"/>
  <c r="U103" i="23" s="1"/>
  <c r="AE103" i="23" s="1"/>
  <c r="S103" i="23"/>
  <c r="R103" i="23"/>
  <c r="Q103" i="23"/>
  <c r="AG102" i="23"/>
  <c r="V102" i="23"/>
  <c r="W102" i="23" s="1"/>
  <c r="T102" i="23"/>
  <c r="S102" i="23"/>
  <c r="R102" i="23"/>
  <c r="Q102" i="23"/>
  <c r="AG101" i="23"/>
  <c r="V101" i="23"/>
  <c r="W101" i="23" s="1"/>
  <c r="T101" i="23"/>
  <c r="U101" i="23" s="1"/>
  <c r="AE101" i="23" s="1"/>
  <c r="S101" i="23"/>
  <c r="AC101" i="23" s="1"/>
  <c r="R101" i="23"/>
  <c r="Q101" i="23"/>
  <c r="AG100" i="23"/>
  <c r="V100" i="23"/>
  <c r="W100" i="23" s="1"/>
  <c r="T100" i="23"/>
  <c r="U100" i="23" s="1"/>
  <c r="AE100" i="23" s="1"/>
  <c r="S100" i="23"/>
  <c r="AB100" i="23" s="1"/>
  <c r="R100" i="23"/>
  <c r="Q100" i="23"/>
  <c r="AG99" i="23"/>
  <c r="V99" i="23"/>
  <c r="W99" i="23" s="1"/>
  <c r="T99" i="23"/>
  <c r="U99" i="23" s="1"/>
  <c r="S99" i="23"/>
  <c r="AC99" i="23" s="1"/>
  <c r="R99" i="23"/>
  <c r="Q99" i="23"/>
  <c r="AG98" i="23"/>
  <c r="V98" i="23"/>
  <c r="W98" i="23" s="1"/>
  <c r="T98" i="23"/>
  <c r="S98" i="23"/>
  <c r="AC98" i="23" s="1"/>
  <c r="R98" i="23"/>
  <c r="Q98" i="23"/>
  <c r="AG97" i="23"/>
  <c r="V97" i="23"/>
  <c r="W97" i="23" s="1"/>
  <c r="T97" i="23"/>
  <c r="U97" i="23" s="1"/>
  <c r="AE97" i="23" s="1"/>
  <c r="S97" i="23"/>
  <c r="AC97" i="23" s="1"/>
  <c r="R97" i="23"/>
  <c r="Q97" i="23"/>
  <c r="AG96" i="23"/>
  <c r="V96" i="23"/>
  <c r="W96" i="23" s="1"/>
  <c r="T96" i="23"/>
  <c r="U96" i="23" s="1"/>
  <c r="AE96" i="23" s="1"/>
  <c r="S96" i="23"/>
  <c r="AC96" i="23" s="1"/>
  <c r="R96" i="23"/>
  <c r="Q96" i="23"/>
  <c r="AG95" i="23"/>
  <c r="V95" i="23"/>
  <c r="W95" i="23" s="1"/>
  <c r="T95" i="23"/>
  <c r="U95" i="23" s="1"/>
  <c r="AE95" i="23" s="1"/>
  <c r="S95" i="23"/>
  <c r="AC95" i="23" s="1"/>
  <c r="R95" i="23"/>
  <c r="Q95" i="23"/>
  <c r="AG94" i="23"/>
  <c r="V94" i="23"/>
  <c r="W94" i="23" s="1"/>
  <c r="T94" i="23"/>
  <c r="S94" i="23"/>
  <c r="AB94" i="23" s="1"/>
  <c r="R94" i="23"/>
  <c r="Q94" i="23"/>
  <c r="AG93" i="23"/>
  <c r="V93" i="23"/>
  <c r="W93" i="23" s="1"/>
  <c r="T93" i="23"/>
  <c r="U93" i="23" s="1"/>
  <c r="AE93" i="23" s="1"/>
  <c r="S93" i="23"/>
  <c r="R93" i="23"/>
  <c r="Q93" i="23"/>
  <c r="AG92" i="23"/>
  <c r="V92" i="23"/>
  <c r="W92" i="23" s="1"/>
  <c r="T92" i="23"/>
  <c r="U92" i="23" s="1"/>
  <c r="AE92" i="23" s="1"/>
  <c r="S92" i="23"/>
  <c r="AD92" i="23" s="1"/>
  <c r="R92" i="23"/>
  <c r="Q92" i="23"/>
  <c r="AG91" i="23"/>
  <c r="V91" i="23"/>
  <c r="W91" i="23" s="1"/>
  <c r="T91" i="23"/>
  <c r="U91" i="23" s="1"/>
  <c r="AE91" i="23" s="1"/>
  <c r="S91" i="23"/>
  <c r="AC91" i="23" s="1"/>
  <c r="R91" i="23"/>
  <c r="Q91" i="23"/>
  <c r="AG90" i="23"/>
  <c r="V90" i="23"/>
  <c r="W90" i="23" s="1"/>
  <c r="T90" i="23"/>
  <c r="U90" i="23" s="1"/>
  <c r="AE90" i="23" s="1"/>
  <c r="S90" i="23"/>
  <c r="AC90" i="23" s="1"/>
  <c r="R90" i="23"/>
  <c r="Q90" i="23"/>
  <c r="AG89" i="23"/>
  <c r="V89" i="23"/>
  <c r="W89" i="23" s="1"/>
  <c r="T89" i="23"/>
  <c r="U89" i="23" s="1"/>
  <c r="AE89" i="23" s="1"/>
  <c r="S89" i="23"/>
  <c r="R89" i="23"/>
  <c r="Q89" i="23"/>
  <c r="AG88" i="23"/>
  <c r="V88" i="23"/>
  <c r="W88" i="23" s="1"/>
  <c r="T88" i="23"/>
  <c r="U88" i="23" s="1"/>
  <c r="AE88" i="23" s="1"/>
  <c r="S88" i="23"/>
  <c r="R88" i="23"/>
  <c r="Q88" i="23"/>
  <c r="AG87" i="23"/>
  <c r="V87" i="23"/>
  <c r="W87" i="23" s="1"/>
  <c r="T87" i="23"/>
  <c r="U87" i="23" s="1"/>
  <c r="AE87" i="23" s="1"/>
  <c r="S87" i="23"/>
  <c r="AB87" i="23" s="1"/>
  <c r="R87" i="23"/>
  <c r="Q87" i="23"/>
  <c r="AG86" i="23"/>
  <c r="V86" i="23"/>
  <c r="W86" i="23" s="1"/>
  <c r="T86" i="23"/>
  <c r="U86" i="23" s="1"/>
  <c r="AE86" i="23" s="1"/>
  <c r="S86" i="23"/>
  <c r="AC86" i="23" s="1"/>
  <c r="R86" i="23"/>
  <c r="Q86" i="23"/>
  <c r="AG85" i="23"/>
  <c r="V85" i="23"/>
  <c r="W85" i="23" s="1"/>
  <c r="T85" i="23"/>
  <c r="U85" i="23" s="1"/>
  <c r="AE85" i="23" s="1"/>
  <c r="S85" i="23"/>
  <c r="R85" i="23"/>
  <c r="Q85" i="23"/>
  <c r="AG84" i="23"/>
  <c r="V84" i="23"/>
  <c r="W84" i="23" s="1"/>
  <c r="T84" i="23"/>
  <c r="U84" i="23" s="1"/>
  <c r="AE84" i="23" s="1"/>
  <c r="S84" i="23"/>
  <c r="R84" i="23"/>
  <c r="Q84" i="23"/>
  <c r="AG83" i="23"/>
  <c r="V83" i="23"/>
  <c r="W83" i="23" s="1"/>
  <c r="T83" i="23"/>
  <c r="U83" i="23" s="1"/>
  <c r="AE83" i="23" s="1"/>
  <c r="S83" i="23"/>
  <c r="AD83" i="23" s="1"/>
  <c r="R83" i="23"/>
  <c r="Q83" i="23"/>
  <c r="AG82" i="23"/>
  <c r="V82" i="23"/>
  <c r="W82" i="23" s="1"/>
  <c r="T82" i="23"/>
  <c r="U82" i="23" s="1"/>
  <c r="AE82" i="23" s="1"/>
  <c r="S82" i="23"/>
  <c r="R82" i="23"/>
  <c r="Q82" i="23"/>
  <c r="AG81" i="23"/>
  <c r="V81" i="23"/>
  <c r="W81" i="23" s="1"/>
  <c r="T81" i="23"/>
  <c r="U81" i="23" s="1"/>
  <c r="AE81" i="23" s="1"/>
  <c r="S81" i="23"/>
  <c r="R81" i="23"/>
  <c r="Q81" i="23"/>
  <c r="AG80" i="23"/>
  <c r="V80" i="23"/>
  <c r="W80" i="23" s="1"/>
  <c r="T80" i="23"/>
  <c r="U80" i="23" s="1"/>
  <c r="AE80" i="23" s="1"/>
  <c r="S80" i="23"/>
  <c r="AC80" i="23" s="1"/>
  <c r="R80" i="23"/>
  <c r="Q80" i="23"/>
  <c r="AG79" i="23"/>
  <c r="V79" i="23"/>
  <c r="W79" i="23" s="1"/>
  <c r="T79" i="23"/>
  <c r="S79" i="23"/>
  <c r="R79" i="23"/>
  <c r="Q79" i="23"/>
  <c r="AG78" i="23"/>
  <c r="V78" i="23"/>
  <c r="W78" i="23" s="1"/>
  <c r="T78" i="23"/>
  <c r="U78" i="23" s="1"/>
  <c r="AE78" i="23" s="1"/>
  <c r="S78" i="23"/>
  <c r="AC78" i="23" s="1"/>
  <c r="R78" i="23"/>
  <c r="Q78" i="23"/>
  <c r="AG77" i="23"/>
  <c r="V77" i="23"/>
  <c r="W77" i="23" s="1"/>
  <c r="T77" i="23"/>
  <c r="U77" i="23" s="1"/>
  <c r="AE77" i="23" s="1"/>
  <c r="S77" i="23"/>
  <c r="AC77" i="23" s="1"/>
  <c r="R77" i="23"/>
  <c r="Q77" i="23"/>
  <c r="AG76" i="23"/>
  <c r="V76" i="23"/>
  <c r="W76" i="23" s="1"/>
  <c r="T76" i="23"/>
  <c r="U76" i="23" s="1"/>
  <c r="AE76" i="23" s="1"/>
  <c r="S76" i="23"/>
  <c r="AB76" i="23" s="1"/>
  <c r="R76" i="23"/>
  <c r="Q76" i="23"/>
  <c r="AG75" i="23"/>
  <c r="V75" i="23"/>
  <c r="W75" i="23" s="1"/>
  <c r="T75" i="23"/>
  <c r="U75" i="23" s="1"/>
  <c r="AE75" i="23" s="1"/>
  <c r="S75" i="23"/>
  <c r="R75" i="23"/>
  <c r="Q75" i="23"/>
  <c r="AG74" i="23"/>
  <c r="V74" i="23"/>
  <c r="W74" i="23" s="1"/>
  <c r="T74" i="23"/>
  <c r="U74" i="23" s="1"/>
  <c r="AE74" i="23" s="1"/>
  <c r="S74" i="23"/>
  <c r="AB74" i="23" s="1"/>
  <c r="R74" i="23"/>
  <c r="Q74" i="23"/>
  <c r="AG73" i="23"/>
  <c r="V73" i="23"/>
  <c r="W73" i="23" s="1"/>
  <c r="T73" i="23"/>
  <c r="U73" i="23" s="1"/>
  <c r="AE73" i="23" s="1"/>
  <c r="S73" i="23"/>
  <c r="AC73" i="23" s="1"/>
  <c r="R73" i="23"/>
  <c r="Q73" i="23"/>
  <c r="AG72" i="23"/>
  <c r="V72" i="23"/>
  <c r="W72" i="23" s="1"/>
  <c r="T72" i="23"/>
  <c r="U72" i="23" s="1"/>
  <c r="AE72" i="23" s="1"/>
  <c r="S72" i="23"/>
  <c r="AB72" i="23" s="1"/>
  <c r="R72" i="23"/>
  <c r="Q72" i="23"/>
  <c r="AG71" i="23"/>
  <c r="V71" i="23"/>
  <c r="W71" i="23" s="1"/>
  <c r="T71" i="23"/>
  <c r="U71" i="23" s="1"/>
  <c r="AE71" i="23" s="1"/>
  <c r="S71" i="23"/>
  <c r="R71" i="23"/>
  <c r="Q71" i="23"/>
  <c r="AG70" i="23"/>
  <c r="V70" i="23"/>
  <c r="W70" i="23" s="1"/>
  <c r="T70" i="23"/>
  <c r="S70" i="23"/>
  <c r="AB70" i="23" s="1"/>
  <c r="R70" i="23"/>
  <c r="Q70" i="23"/>
  <c r="AG69" i="23"/>
  <c r="V69" i="23"/>
  <c r="W69" i="23" s="1"/>
  <c r="T69" i="23"/>
  <c r="U69" i="23" s="1"/>
  <c r="AE69" i="23" s="1"/>
  <c r="S69" i="23"/>
  <c r="AC69" i="23" s="1"/>
  <c r="R69" i="23"/>
  <c r="Q69" i="23"/>
  <c r="AG68" i="23"/>
  <c r="V68" i="23"/>
  <c r="W68" i="23" s="1"/>
  <c r="T68" i="23"/>
  <c r="U68" i="23" s="1"/>
  <c r="AE68" i="23" s="1"/>
  <c r="S68" i="23"/>
  <c r="AB68" i="23" s="1"/>
  <c r="R68" i="23"/>
  <c r="Q68" i="23"/>
  <c r="AG67" i="23"/>
  <c r="V67" i="23"/>
  <c r="W67" i="23" s="1"/>
  <c r="T67" i="23"/>
  <c r="U67" i="23" s="1"/>
  <c r="AE67" i="23" s="1"/>
  <c r="S67" i="23"/>
  <c r="AB67" i="23" s="1"/>
  <c r="R67" i="23"/>
  <c r="Q67" i="23"/>
  <c r="AG66" i="23"/>
  <c r="V66" i="23"/>
  <c r="W66" i="23" s="1"/>
  <c r="T66" i="23"/>
  <c r="U66" i="23" s="1"/>
  <c r="AE66" i="23" s="1"/>
  <c r="S66" i="23"/>
  <c r="R66" i="23"/>
  <c r="Q66" i="23"/>
  <c r="AG65" i="23"/>
  <c r="V65" i="23"/>
  <c r="W65" i="23" s="1"/>
  <c r="T65" i="23"/>
  <c r="U65" i="23" s="1"/>
  <c r="AE65" i="23" s="1"/>
  <c r="S65" i="23"/>
  <c r="R65" i="23"/>
  <c r="Q65" i="23"/>
  <c r="AG64" i="23"/>
  <c r="V64" i="23"/>
  <c r="W64" i="23" s="1"/>
  <c r="T64" i="23"/>
  <c r="U64" i="23" s="1"/>
  <c r="AE64" i="23" s="1"/>
  <c r="S64" i="23"/>
  <c r="AB64" i="23" s="1"/>
  <c r="R64" i="23"/>
  <c r="Q64" i="23"/>
  <c r="AG63" i="23"/>
  <c r="V63" i="23"/>
  <c r="W63" i="23" s="1"/>
  <c r="T63" i="23"/>
  <c r="U63" i="23" s="1"/>
  <c r="AE63" i="23" s="1"/>
  <c r="S63" i="23"/>
  <c r="R63" i="23"/>
  <c r="Q63" i="23"/>
  <c r="AG62" i="23"/>
  <c r="V62" i="23"/>
  <c r="W62" i="23" s="1"/>
  <c r="T62" i="23"/>
  <c r="U62" i="23" s="1"/>
  <c r="AE62" i="23" s="1"/>
  <c r="S62" i="23"/>
  <c r="R62" i="23"/>
  <c r="Q62" i="23"/>
  <c r="AG61" i="23"/>
  <c r="V61" i="23"/>
  <c r="W61" i="23" s="1"/>
  <c r="T61" i="23"/>
  <c r="U61" i="23" s="1"/>
  <c r="AE61" i="23" s="1"/>
  <c r="S61" i="23"/>
  <c r="R61" i="23"/>
  <c r="Q61" i="23"/>
  <c r="AG60" i="23"/>
  <c r="V60" i="23"/>
  <c r="W60" i="23" s="1"/>
  <c r="T60" i="23"/>
  <c r="U60" i="23" s="1"/>
  <c r="S60" i="23"/>
  <c r="R60" i="23"/>
  <c r="Q60" i="23"/>
  <c r="AG59" i="23"/>
  <c r="V59" i="23"/>
  <c r="W59" i="23" s="1"/>
  <c r="T59" i="23"/>
  <c r="U59" i="23" s="1"/>
  <c r="S59" i="23"/>
  <c r="AB59" i="23" s="1"/>
  <c r="R59" i="23"/>
  <c r="Q59" i="23"/>
  <c r="AG58" i="23"/>
  <c r="V58" i="23"/>
  <c r="W58" i="23" s="1"/>
  <c r="T58" i="23"/>
  <c r="U58" i="23" s="1"/>
  <c r="AE58" i="23" s="1"/>
  <c r="S58" i="23"/>
  <c r="AB58" i="23" s="1"/>
  <c r="R58" i="23"/>
  <c r="Q58" i="23"/>
  <c r="AG57" i="23"/>
  <c r="V57" i="23"/>
  <c r="W57" i="23" s="1"/>
  <c r="T57" i="23"/>
  <c r="U57" i="23" s="1"/>
  <c r="AE57" i="23" s="1"/>
  <c r="S57" i="23"/>
  <c r="AC57" i="23" s="1"/>
  <c r="R57" i="23"/>
  <c r="Q57" i="23"/>
  <c r="AG56" i="23"/>
  <c r="V56" i="23"/>
  <c r="W56" i="23" s="1"/>
  <c r="T56" i="23"/>
  <c r="U56" i="23" s="1"/>
  <c r="AE56" i="23" s="1"/>
  <c r="S56" i="23"/>
  <c r="AB56" i="23" s="1"/>
  <c r="R56" i="23"/>
  <c r="Q56" i="23"/>
  <c r="AG55" i="23"/>
  <c r="V55" i="23"/>
  <c r="W55" i="23" s="1"/>
  <c r="T55" i="23"/>
  <c r="U55" i="23" s="1"/>
  <c r="AE55" i="23" s="1"/>
  <c r="S55" i="23"/>
  <c r="AC55" i="23" s="1"/>
  <c r="R55" i="23"/>
  <c r="Q55" i="23"/>
  <c r="AG54" i="23"/>
  <c r="V54" i="23"/>
  <c r="W54" i="23" s="1"/>
  <c r="T54" i="23"/>
  <c r="U54" i="23" s="1"/>
  <c r="S54" i="23"/>
  <c r="AB54" i="23" s="1"/>
  <c r="R54" i="23"/>
  <c r="Q54" i="23"/>
  <c r="AG53" i="23"/>
  <c r="V53" i="23"/>
  <c r="W53" i="23" s="1"/>
  <c r="T53" i="23"/>
  <c r="U53" i="23" s="1"/>
  <c r="AE53" i="23" s="1"/>
  <c r="S53" i="23"/>
  <c r="AD53" i="23" s="1"/>
  <c r="R53" i="23"/>
  <c r="Q53" i="23"/>
  <c r="AG52" i="23"/>
  <c r="V52" i="23"/>
  <c r="W52" i="23" s="1"/>
  <c r="T52" i="23"/>
  <c r="U52" i="23" s="1"/>
  <c r="AE52" i="23" s="1"/>
  <c r="S52" i="23"/>
  <c r="R52" i="23"/>
  <c r="Q52" i="23"/>
  <c r="AG51" i="23"/>
  <c r="V51" i="23"/>
  <c r="W51" i="23" s="1"/>
  <c r="T51" i="23"/>
  <c r="U51" i="23" s="1"/>
  <c r="AE51" i="23" s="1"/>
  <c r="S51" i="23"/>
  <c r="AC51" i="23" s="1"/>
  <c r="R51" i="23"/>
  <c r="Q51" i="23"/>
  <c r="AG50" i="23"/>
  <c r="V50" i="23"/>
  <c r="W50" i="23" s="1"/>
  <c r="T50" i="23"/>
  <c r="U50" i="23" s="1"/>
  <c r="AE50" i="23" s="1"/>
  <c r="S50" i="23"/>
  <c r="R50" i="23"/>
  <c r="Q50" i="23"/>
  <c r="AG49" i="23"/>
  <c r="V49" i="23"/>
  <c r="W49" i="23" s="1"/>
  <c r="T49" i="23"/>
  <c r="U49" i="23" s="1"/>
  <c r="AE49" i="23" s="1"/>
  <c r="S49" i="23"/>
  <c r="R49" i="23"/>
  <c r="Q49" i="23"/>
  <c r="AG48" i="23"/>
  <c r="V48" i="23"/>
  <c r="W48" i="23" s="1"/>
  <c r="T48" i="23"/>
  <c r="U48" i="23" s="1"/>
  <c r="AE48" i="23" s="1"/>
  <c r="S48" i="23"/>
  <c r="R48" i="23"/>
  <c r="Q48" i="23"/>
  <c r="AG47" i="23"/>
  <c r="V47" i="23"/>
  <c r="W47" i="23" s="1"/>
  <c r="T47" i="23"/>
  <c r="U47" i="23" s="1"/>
  <c r="AE47" i="23" s="1"/>
  <c r="S47" i="23"/>
  <c r="R47" i="23"/>
  <c r="Q47" i="23"/>
  <c r="AG46" i="23"/>
  <c r="V46" i="23"/>
  <c r="W46" i="23" s="1"/>
  <c r="T46" i="23"/>
  <c r="U46" i="23" s="1"/>
  <c r="AE46" i="23" s="1"/>
  <c r="S46" i="23"/>
  <c r="AC46" i="23" s="1"/>
  <c r="R46" i="23"/>
  <c r="Q46" i="23"/>
  <c r="AG45" i="23"/>
  <c r="V45" i="23"/>
  <c r="W45" i="23" s="1"/>
  <c r="T45" i="23"/>
  <c r="U45" i="23" s="1"/>
  <c r="AE45" i="23" s="1"/>
  <c r="S45" i="23"/>
  <c r="R45" i="23"/>
  <c r="Q45" i="23"/>
  <c r="AG44" i="23"/>
  <c r="V44" i="23"/>
  <c r="W44" i="23" s="1"/>
  <c r="T44" i="23"/>
  <c r="U44" i="23" s="1"/>
  <c r="AE44" i="23" s="1"/>
  <c r="S44" i="23"/>
  <c r="R44" i="23"/>
  <c r="Q44" i="23"/>
  <c r="AG43" i="23"/>
  <c r="V43" i="23"/>
  <c r="W43" i="23" s="1"/>
  <c r="T43" i="23"/>
  <c r="U43" i="23" s="1"/>
  <c r="AE43" i="23" s="1"/>
  <c r="S43" i="23"/>
  <c r="AC43" i="23" s="1"/>
  <c r="R43" i="23"/>
  <c r="Q43" i="23"/>
  <c r="AG42" i="23"/>
  <c r="V42" i="23"/>
  <c r="W42" i="23" s="1"/>
  <c r="T42" i="23"/>
  <c r="U42" i="23" s="1"/>
  <c r="AE42" i="23" s="1"/>
  <c r="S42" i="23"/>
  <c r="AD42" i="23" s="1"/>
  <c r="R42" i="23"/>
  <c r="Q42" i="23"/>
  <c r="AG41" i="23"/>
  <c r="V41" i="23"/>
  <c r="W41" i="23" s="1"/>
  <c r="T41" i="23"/>
  <c r="U41" i="23" s="1"/>
  <c r="S41" i="23"/>
  <c r="R41" i="23"/>
  <c r="Q41" i="23"/>
  <c r="AG40" i="23"/>
  <c r="V40" i="23"/>
  <c r="W40" i="23" s="1"/>
  <c r="T40" i="23"/>
  <c r="U40" i="23" s="1"/>
  <c r="AE40" i="23" s="1"/>
  <c r="S40" i="23"/>
  <c r="R40" i="23"/>
  <c r="Q40" i="23"/>
  <c r="AG39" i="23"/>
  <c r="V39" i="23"/>
  <c r="W39" i="23" s="1"/>
  <c r="T39" i="23"/>
  <c r="U39" i="23" s="1"/>
  <c r="AE39" i="23" s="1"/>
  <c r="S39" i="23"/>
  <c r="R39" i="23"/>
  <c r="Q39" i="23"/>
  <c r="AG38" i="23"/>
  <c r="V38" i="23"/>
  <c r="W38" i="23" s="1"/>
  <c r="T38" i="23"/>
  <c r="U38" i="23" s="1"/>
  <c r="AE38" i="23" s="1"/>
  <c r="S38" i="23"/>
  <c r="R38" i="23"/>
  <c r="Q38" i="23"/>
  <c r="AG30" i="23"/>
  <c r="V30" i="23"/>
  <c r="W30" i="23" s="1"/>
  <c r="T30" i="23"/>
  <c r="U30" i="23" s="1"/>
  <c r="AE30" i="23" s="1"/>
  <c r="S30" i="23"/>
  <c r="R30" i="23"/>
  <c r="Q30" i="23"/>
  <c r="AG29" i="23"/>
  <c r="V29" i="23"/>
  <c r="W29" i="23" s="1"/>
  <c r="T29" i="23"/>
  <c r="U29" i="23" s="1"/>
  <c r="S29" i="23"/>
  <c r="R29" i="23"/>
  <c r="Q29" i="23"/>
  <c r="AG28" i="23"/>
  <c r="V28" i="23"/>
  <c r="W28" i="23" s="1"/>
  <c r="T28" i="23"/>
  <c r="U28" i="23" s="1"/>
  <c r="S28" i="23"/>
  <c r="R28" i="23"/>
  <c r="Q28" i="23"/>
  <c r="AG27" i="23"/>
  <c r="V27" i="23"/>
  <c r="W27" i="23" s="1"/>
  <c r="T27" i="23"/>
  <c r="U27" i="23" s="1"/>
  <c r="S27" i="23"/>
  <c r="R27" i="23"/>
  <c r="Q27" i="23"/>
  <c r="AG26" i="23"/>
  <c r="V26" i="23"/>
  <c r="W26" i="23" s="1"/>
  <c r="T26" i="23"/>
  <c r="U26" i="23" s="1"/>
  <c r="S26" i="23"/>
  <c r="R26" i="23"/>
  <c r="Q26" i="23"/>
  <c r="AG25" i="23"/>
  <c r="V25" i="23"/>
  <c r="W25" i="23" s="1"/>
  <c r="T25" i="23"/>
  <c r="U25" i="23" s="1"/>
  <c r="S25" i="23"/>
  <c r="R25" i="23"/>
  <c r="Q25" i="23"/>
  <c r="AG24" i="23"/>
  <c r="V24" i="23"/>
  <c r="W24" i="23" s="1"/>
  <c r="T24" i="23"/>
  <c r="U24" i="23" s="1"/>
  <c r="AE24" i="23" s="1"/>
  <c r="S24" i="23"/>
  <c r="R24" i="23"/>
  <c r="Q24" i="23"/>
  <c r="AG23" i="23"/>
  <c r="V23" i="23"/>
  <c r="W23" i="23" s="1"/>
  <c r="T23" i="23"/>
  <c r="U23" i="23" s="1"/>
  <c r="AE23" i="23" s="1"/>
  <c r="S23" i="23"/>
  <c r="R23" i="23"/>
  <c r="Q23" i="23"/>
  <c r="AG22" i="23"/>
  <c r="V22" i="23"/>
  <c r="W22" i="23" s="1"/>
  <c r="T22" i="23"/>
  <c r="U22" i="23" s="1"/>
  <c r="AE22" i="23" s="1"/>
  <c r="S22" i="23"/>
  <c r="R22" i="23"/>
  <c r="Q22" i="23"/>
  <c r="AG21" i="23"/>
  <c r="V21" i="23"/>
  <c r="W21" i="23" s="1"/>
  <c r="T21" i="23"/>
  <c r="U21" i="23" s="1"/>
  <c r="AE21" i="23" s="1"/>
  <c r="S21" i="23"/>
  <c r="AC21" i="23" s="1"/>
  <c r="R21" i="23"/>
  <c r="Q21" i="23"/>
  <c r="AG20" i="23"/>
  <c r="V20" i="23"/>
  <c r="W20" i="23" s="1"/>
  <c r="T20" i="23"/>
  <c r="U20" i="23" s="1"/>
  <c r="AE20" i="23" s="1"/>
  <c r="S20" i="23"/>
  <c r="R20" i="23"/>
  <c r="Q20" i="23"/>
  <c r="AG19" i="23"/>
  <c r="V19" i="23"/>
  <c r="W19" i="23" s="1"/>
  <c r="T19" i="23"/>
  <c r="U19" i="23" s="1"/>
  <c r="AE19" i="23" s="1"/>
  <c r="S19" i="23"/>
  <c r="R19" i="23"/>
  <c r="Q19" i="23"/>
  <c r="AG18" i="23"/>
  <c r="V18" i="23"/>
  <c r="W18" i="23" s="1"/>
  <c r="T18" i="23"/>
  <c r="U18" i="23" s="1"/>
  <c r="AE18" i="23" s="1"/>
  <c r="S18" i="23"/>
  <c r="AD18" i="23" s="1"/>
  <c r="R18" i="23"/>
  <c r="Q18" i="23"/>
  <c r="AG17" i="23"/>
  <c r="V17" i="23"/>
  <c r="W17" i="23" s="1"/>
  <c r="T17" i="23"/>
  <c r="U17" i="23" s="1"/>
  <c r="S17" i="23"/>
  <c r="AB17" i="23" s="1"/>
  <c r="R17" i="23"/>
  <c r="Q17" i="23"/>
  <c r="AG16" i="23"/>
  <c r="Y16" i="23"/>
  <c r="V16" i="23"/>
  <c r="W16" i="23" s="1"/>
  <c r="T16" i="23"/>
  <c r="S16" i="23"/>
  <c r="AD16" i="23" s="1"/>
  <c r="R16" i="23"/>
  <c r="Q16" i="23"/>
  <c r="AG15" i="23"/>
  <c r="Y15" i="23"/>
  <c r="V15" i="23"/>
  <c r="W15" i="23" s="1"/>
  <c r="T15" i="23"/>
  <c r="S15" i="23"/>
  <c r="AD15" i="23" s="1"/>
  <c r="R15" i="23"/>
  <c r="Q15" i="23"/>
  <c r="AG14" i="23"/>
  <c r="Y14" i="23"/>
  <c r="V14" i="23"/>
  <c r="W14" i="23" s="1"/>
  <c r="T14" i="23"/>
  <c r="S14" i="23"/>
  <c r="AD14" i="23" s="1"/>
  <c r="R14" i="23"/>
  <c r="Q14" i="23"/>
  <c r="AG13" i="23"/>
  <c r="Y13" i="23"/>
  <c r="V13" i="23"/>
  <c r="W13" i="23" s="1"/>
  <c r="T13" i="23"/>
  <c r="S13" i="23"/>
  <c r="AD13" i="23" s="1"/>
  <c r="R13" i="23"/>
  <c r="Q13" i="23"/>
  <c r="AG12" i="23"/>
  <c r="Y12" i="23"/>
  <c r="V12" i="23"/>
  <c r="W12" i="23" s="1"/>
  <c r="T12" i="23"/>
  <c r="S12" i="23"/>
  <c r="R12" i="23"/>
  <c r="Q12" i="23"/>
  <c r="AG11" i="23"/>
  <c r="V11" i="23"/>
  <c r="W11" i="23" s="1"/>
  <c r="T11" i="23"/>
  <c r="U11" i="23" s="1"/>
  <c r="AE11" i="23" s="1"/>
  <c r="S11" i="23"/>
  <c r="AC11" i="23" s="1"/>
  <c r="R11" i="23"/>
  <c r="Q11" i="23"/>
  <c r="AG10" i="23"/>
  <c r="V10" i="23"/>
  <c r="W10" i="23" s="1"/>
  <c r="T10" i="23"/>
  <c r="U10" i="23" s="1"/>
  <c r="AE10" i="23" s="1"/>
  <c r="S10" i="23"/>
  <c r="AC10" i="23" s="1"/>
  <c r="R10" i="23"/>
  <c r="Q10" i="23"/>
  <c r="AG9" i="23"/>
  <c r="Y9" i="23"/>
  <c r="V9" i="23"/>
  <c r="W9" i="23" s="1"/>
  <c r="T9" i="23"/>
  <c r="S9" i="23"/>
  <c r="R9" i="23"/>
  <c r="Q9" i="23"/>
  <c r="AG8" i="23"/>
  <c r="V8" i="23"/>
  <c r="W8" i="23" s="1"/>
  <c r="T8" i="23"/>
  <c r="U8" i="23" s="1"/>
  <c r="AE8" i="23" s="1"/>
  <c r="S8" i="23"/>
  <c r="R8" i="23"/>
  <c r="Q8" i="23"/>
  <c r="AG7" i="23"/>
  <c r="V7" i="23"/>
  <c r="W7" i="23" s="1"/>
  <c r="T7" i="23"/>
  <c r="U7" i="23" s="1"/>
  <c r="AE7" i="23" s="1"/>
  <c r="S7" i="23"/>
  <c r="AB7" i="23" s="1"/>
  <c r="R7" i="23"/>
  <c r="Q7" i="23"/>
  <c r="AG6" i="23"/>
  <c r="Y6" i="23"/>
  <c r="V6" i="23"/>
  <c r="W6" i="23" s="1"/>
  <c r="T6" i="23"/>
  <c r="S6" i="23"/>
  <c r="AB6" i="23" s="1"/>
  <c r="R6" i="23"/>
  <c r="Q6" i="23"/>
  <c r="P7" i="13"/>
  <c r="Q7" i="13"/>
  <c r="P8" i="13"/>
  <c r="Q8" i="13"/>
  <c r="P9" i="13"/>
  <c r="Q9" i="13"/>
  <c r="P10" i="13"/>
  <c r="Q10" i="13"/>
  <c r="P11" i="13"/>
  <c r="Q11" i="13"/>
  <c r="P12" i="13"/>
  <c r="Q12" i="13"/>
  <c r="P13" i="13"/>
  <c r="Q13" i="13"/>
  <c r="P14" i="13"/>
  <c r="Q14" i="13"/>
  <c r="P15" i="13"/>
  <c r="Q15" i="13"/>
  <c r="P16" i="13"/>
  <c r="Q16" i="13"/>
  <c r="P17" i="13"/>
  <c r="Q17" i="13"/>
  <c r="P18" i="13"/>
  <c r="Q18" i="13"/>
  <c r="P19" i="13"/>
  <c r="Q19" i="13"/>
  <c r="P20" i="13"/>
  <c r="Q20" i="13"/>
  <c r="P21" i="13"/>
  <c r="Q21" i="13"/>
  <c r="P22" i="13"/>
  <c r="Q22" i="13"/>
  <c r="P23" i="13"/>
  <c r="Q23" i="13"/>
  <c r="P24" i="13"/>
  <c r="Q24" i="13"/>
  <c r="P25" i="13"/>
  <c r="Q25" i="13"/>
  <c r="P26" i="13"/>
  <c r="Q26" i="13"/>
  <c r="P27" i="13"/>
  <c r="Q27" i="13"/>
  <c r="P28" i="13"/>
  <c r="Q28" i="13"/>
  <c r="P29" i="13"/>
  <c r="Q29" i="13"/>
  <c r="P30" i="13"/>
  <c r="Q30" i="13"/>
  <c r="P31" i="13"/>
  <c r="Q31" i="13"/>
  <c r="P32" i="13"/>
  <c r="Q32" i="13"/>
  <c r="P33" i="13"/>
  <c r="Q33" i="13"/>
  <c r="P34" i="13"/>
  <c r="Q34" i="13"/>
  <c r="P35" i="13"/>
  <c r="Q35" i="13"/>
  <c r="P36" i="13"/>
  <c r="Q36" i="13"/>
  <c r="P37" i="13"/>
  <c r="Q37" i="13"/>
  <c r="P38" i="13"/>
  <c r="Q38" i="13"/>
  <c r="P39" i="13"/>
  <c r="Q39" i="13"/>
  <c r="P40" i="13"/>
  <c r="Q40" i="13"/>
  <c r="P41" i="13"/>
  <c r="Q41" i="13"/>
  <c r="P42" i="13"/>
  <c r="Q42" i="13"/>
  <c r="P43" i="13"/>
  <c r="Q43" i="13"/>
  <c r="P44" i="13"/>
  <c r="Q44" i="13"/>
  <c r="P45" i="13"/>
  <c r="Q45" i="13"/>
  <c r="P46" i="13"/>
  <c r="Q46" i="13"/>
  <c r="P47" i="13"/>
  <c r="Q47" i="13"/>
  <c r="P48" i="13"/>
  <c r="Q48" i="13"/>
  <c r="P49" i="13"/>
  <c r="Q49" i="13"/>
  <c r="P50" i="13"/>
  <c r="Q50" i="13"/>
  <c r="P51" i="13"/>
  <c r="Q51" i="13"/>
  <c r="P52" i="13"/>
  <c r="Q52" i="13"/>
  <c r="P53" i="13"/>
  <c r="Q53" i="13"/>
  <c r="P54" i="13"/>
  <c r="Q54" i="13"/>
  <c r="P55" i="13"/>
  <c r="Q55" i="13"/>
  <c r="P56" i="13"/>
  <c r="Q56" i="13"/>
  <c r="P57" i="13"/>
  <c r="Q57" i="13"/>
  <c r="P58" i="13"/>
  <c r="Q58" i="13"/>
  <c r="P59" i="13"/>
  <c r="Q59" i="13"/>
  <c r="P60" i="13"/>
  <c r="Q60" i="13"/>
  <c r="P61" i="13"/>
  <c r="Q61" i="13"/>
  <c r="P62" i="13"/>
  <c r="Q62" i="13"/>
  <c r="P63" i="13"/>
  <c r="Q63" i="13"/>
  <c r="P64" i="13"/>
  <c r="Q64" i="13"/>
  <c r="P65" i="13"/>
  <c r="Q65" i="13"/>
  <c r="P66" i="13"/>
  <c r="Q66" i="13"/>
  <c r="P67" i="13"/>
  <c r="Q67" i="13"/>
  <c r="P68" i="13"/>
  <c r="Q68" i="13"/>
  <c r="P69" i="13"/>
  <c r="Q69" i="13"/>
  <c r="P70" i="13"/>
  <c r="Q70" i="13"/>
  <c r="P71" i="13"/>
  <c r="Q71" i="13"/>
  <c r="P72" i="13"/>
  <c r="Q72" i="13"/>
  <c r="P73" i="13"/>
  <c r="Q73" i="13"/>
  <c r="P74" i="13"/>
  <c r="Q74" i="13"/>
  <c r="P75" i="13"/>
  <c r="Q75" i="13"/>
  <c r="P76" i="13"/>
  <c r="Q76" i="13"/>
  <c r="P77" i="13"/>
  <c r="Q77" i="13"/>
  <c r="P78" i="13"/>
  <c r="Q78" i="13"/>
  <c r="P79" i="13"/>
  <c r="Q79" i="13"/>
  <c r="P80" i="13"/>
  <c r="Q80" i="13"/>
  <c r="P81" i="13"/>
  <c r="Q81" i="13"/>
  <c r="P82" i="13"/>
  <c r="Q82" i="13"/>
  <c r="P83" i="13"/>
  <c r="Q83" i="13"/>
  <c r="P84" i="13"/>
  <c r="Q84" i="13"/>
  <c r="P85" i="13"/>
  <c r="Q85" i="13"/>
  <c r="P86" i="13"/>
  <c r="Q86" i="13"/>
  <c r="P87" i="13"/>
  <c r="Q87" i="13"/>
  <c r="P88" i="13"/>
  <c r="Q88" i="13"/>
  <c r="P89" i="13"/>
  <c r="Q89" i="13"/>
  <c r="P90" i="13"/>
  <c r="Q90" i="13"/>
  <c r="P91" i="13"/>
  <c r="Q91" i="13"/>
  <c r="P92" i="13"/>
  <c r="Q92" i="13"/>
  <c r="P93" i="13"/>
  <c r="Q93" i="13"/>
  <c r="P94" i="13"/>
  <c r="Q94" i="13"/>
  <c r="P95" i="13"/>
  <c r="Q95" i="13"/>
  <c r="P96" i="13"/>
  <c r="Q96" i="13"/>
  <c r="P97" i="13"/>
  <c r="Q97" i="13"/>
  <c r="P98" i="13"/>
  <c r="Q98" i="13"/>
  <c r="P99" i="13"/>
  <c r="Q99" i="13"/>
  <c r="P100" i="13"/>
  <c r="Q100" i="13"/>
  <c r="P101" i="13"/>
  <c r="Q101" i="13"/>
  <c r="P102" i="13"/>
  <c r="Q102" i="13"/>
  <c r="P103" i="13"/>
  <c r="Q103" i="13"/>
  <c r="P104" i="13"/>
  <c r="Q104" i="13"/>
  <c r="P105" i="13"/>
  <c r="Q105" i="13"/>
  <c r="P106" i="13"/>
  <c r="Q106" i="13"/>
  <c r="P107" i="13"/>
  <c r="Q107" i="13"/>
  <c r="P108" i="13"/>
  <c r="Q108" i="13"/>
  <c r="P109" i="13"/>
  <c r="Q109" i="13"/>
  <c r="P110" i="13"/>
  <c r="Q110" i="13"/>
  <c r="P111" i="13"/>
  <c r="Q111" i="13"/>
  <c r="P112" i="13"/>
  <c r="Q112" i="13"/>
  <c r="P113" i="13"/>
  <c r="Q113" i="13"/>
  <c r="P114" i="13"/>
  <c r="Q114" i="13"/>
  <c r="P115" i="13"/>
  <c r="Q115" i="13"/>
  <c r="P116" i="13"/>
  <c r="Q116" i="13"/>
  <c r="P117" i="13"/>
  <c r="Q117" i="13"/>
  <c r="P118" i="13"/>
  <c r="Q118" i="13"/>
  <c r="P119" i="13"/>
  <c r="Q119" i="13"/>
  <c r="P120" i="13"/>
  <c r="Q120" i="13"/>
  <c r="P121" i="13"/>
  <c r="Q121" i="13"/>
  <c r="P122" i="13"/>
  <c r="Q122" i="13"/>
  <c r="P123" i="13"/>
  <c r="Q123" i="13"/>
  <c r="P124" i="13"/>
  <c r="Q124" i="13"/>
  <c r="P125" i="13"/>
  <c r="Q125" i="13"/>
  <c r="P126" i="13"/>
  <c r="Q126" i="13"/>
  <c r="P127" i="13"/>
  <c r="Q127" i="13"/>
  <c r="P128" i="13"/>
  <c r="Q128" i="13"/>
  <c r="P129" i="13"/>
  <c r="Q129" i="13"/>
  <c r="P130" i="13"/>
  <c r="Q130" i="13"/>
  <c r="P131" i="13"/>
  <c r="Q131" i="13"/>
  <c r="P132" i="13"/>
  <c r="Q132" i="13"/>
  <c r="P133" i="13"/>
  <c r="Q133" i="13"/>
  <c r="P134" i="13"/>
  <c r="Q134" i="13"/>
  <c r="P135" i="13"/>
  <c r="Q135" i="13"/>
  <c r="P136" i="13"/>
  <c r="Q136" i="13"/>
  <c r="P137" i="13"/>
  <c r="Q137" i="13"/>
  <c r="P138" i="13"/>
  <c r="Q138" i="13"/>
  <c r="P139" i="13"/>
  <c r="Q139" i="13"/>
  <c r="P140" i="13"/>
  <c r="Q140" i="13"/>
  <c r="P141" i="13"/>
  <c r="Q141" i="13"/>
  <c r="P142" i="13"/>
  <c r="Q142" i="13"/>
  <c r="P143" i="13"/>
  <c r="Q143" i="13"/>
  <c r="P144" i="13"/>
  <c r="Q144" i="13"/>
  <c r="P145" i="13"/>
  <c r="Q145" i="13"/>
  <c r="P146" i="13"/>
  <c r="Q146" i="13"/>
  <c r="P147" i="13"/>
  <c r="Q147" i="13"/>
  <c r="P148" i="13"/>
  <c r="Q148" i="13"/>
  <c r="P149" i="13"/>
  <c r="Q149" i="13"/>
  <c r="P150" i="13"/>
  <c r="Q150" i="13"/>
  <c r="P151" i="13"/>
  <c r="Q151" i="13"/>
  <c r="P152" i="13"/>
  <c r="Q152" i="13"/>
  <c r="P153" i="13"/>
  <c r="Q153" i="13"/>
  <c r="P154" i="13"/>
  <c r="Q154" i="13"/>
  <c r="P155" i="13"/>
  <c r="Q155" i="13"/>
  <c r="P156" i="13"/>
  <c r="Q156" i="13"/>
  <c r="P157" i="13"/>
  <c r="Q157" i="13"/>
  <c r="P158" i="13"/>
  <c r="Q158" i="13"/>
  <c r="P159" i="13"/>
  <c r="Q159" i="13"/>
  <c r="P160" i="13"/>
  <c r="Q160" i="13"/>
  <c r="P161" i="13"/>
  <c r="Q161" i="13"/>
  <c r="P162" i="13"/>
  <c r="Q162" i="13"/>
  <c r="P163" i="13"/>
  <c r="Q163" i="13"/>
  <c r="P164" i="13"/>
  <c r="Q164" i="13"/>
  <c r="P165" i="13"/>
  <c r="Q165" i="13"/>
  <c r="P166" i="13"/>
  <c r="Q166" i="13"/>
  <c r="P167" i="13"/>
  <c r="Q167" i="13"/>
  <c r="P168" i="13"/>
  <c r="Q168" i="13"/>
  <c r="P169" i="13"/>
  <c r="Q169" i="13"/>
  <c r="P170" i="13"/>
  <c r="Q170" i="13"/>
  <c r="P171" i="13"/>
  <c r="Q171" i="13"/>
  <c r="P172" i="13"/>
  <c r="Q172" i="13"/>
  <c r="P173" i="13"/>
  <c r="Q173" i="13"/>
  <c r="P174" i="13"/>
  <c r="Q174" i="13"/>
  <c r="P175" i="13"/>
  <c r="Q175" i="13"/>
  <c r="P176" i="13"/>
  <c r="Q176" i="13"/>
  <c r="P177" i="13"/>
  <c r="Q177" i="13"/>
  <c r="P178" i="13"/>
  <c r="Q178" i="13"/>
  <c r="P179" i="13"/>
  <c r="Q179" i="13"/>
  <c r="P180" i="13"/>
  <c r="Q180" i="13"/>
  <c r="P181" i="13"/>
  <c r="Q181" i="13"/>
  <c r="P182" i="13"/>
  <c r="Q182" i="13"/>
  <c r="P183" i="13"/>
  <c r="Q183" i="13"/>
  <c r="P184" i="13"/>
  <c r="Q184" i="13"/>
  <c r="P185" i="13"/>
  <c r="Q185" i="13"/>
  <c r="P186" i="13"/>
  <c r="Q186" i="13"/>
  <c r="P187" i="13"/>
  <c r="Q187" i="13"/>
  <c r="P188" i="13"/>
  <c r="Q188" i="13"/>
  <c r="P189" i="13"/>
  <c r="Q189" i="13"/>
  <c r="P190" i="13"/>
  <c r="Q190" i="13"/>
  <c r="P191" i="13"/>
  <c r="Q191" i="13"/>
  <c r="P192" i="13"/>
  <c r="Q192" i="13"/>
  <c r="P193" i="13"/>
  <c r="Q193" i="13"/>
  <c r="P194" i="13"/>
  <c r="Q194" i="13"/>
  <c r="P195" i="13"/>
  <c r="Q195" i="13"/>
  <c r="P196" i="13"/>
  <c r="Q196" i="13"/>
  <c r="P197" i="13"/>
  <c r="Q197" i="13"/>
  <c r="P198" i="13"/>
  <c r="Q198" i="13"/>
  <c r="P199" i="13"/>
  <c r="Q199" i="13"/>
  <c r="P200" i="13"/>
  <c r="Q200" i="13"/>
  <c r="P201" i="13"/>
  <c r="Q201" i="13"/>
  <c r="P202" i="13"/>
  <c r="Q202" i="13"/>
  <c r="P203" i="13"/>
  <c r="Q203" i="13"/>
  <c r="P204" i="13"/>
  <c r="Q204" i="13"/>
  <c r="P205" i="13"/>
  <c r="Q205" i="13"/>
  <c r="P206" i="13"/>
  <c r="Q206" i="13"/>
  <c r="P207" i="13"/>
  <c r="Q207" i="13"/>
  <c r="P208" i="13"/>
  <c r="Q208" i="13"/>
  <c r="P209" i="13"/>
  <c r="Q209" i="13"/>
  <c r="P210" i="13"/>
  <c r="Q210" i="13"/>
  <c r="P211" i="13"/>
  <c r="Q211" i="13"/>
  <c r="P212" i="13"/>
  <c r="Q212" i="13"/>
  <c r="P213" i="13"/>
  <c r="Q213" i="13"/>
  <c r="P214" i="13"/>
  <c r="Q214" i="13"/>
  <c r="P215" i="13"/>
  <c r="Q215" i="13"/>
  <c r="P216" i="13"/>
  <c r="Q216" i="13"/>
  <c r="P217" i="13"/>
  <c r="Q217" i="13"/>
  <c r="P218" i="13"/>
  <c r="Q218" i="13"/>
  <c r="P219" i="13"/>
  <c r="Q219" i="13"/>
  <c r="P220" i="13"/>
  <c r="Q220" i="13"/>
  <c r="P221" i="13"/>
  <c r="Q221" i="13"/>
  <c r="P222" i="13"/>
  <c r="Q222" i="13"/>
  <c r="P223" i="13"/>
  <c r="Q223" i="13"/>
  <c r="P224" i="13"/>
  <c r="Q224" i="13"/>
  <c r="P225" i="13"/>
  <c r="Q225" i="13"/>
  <c r="P226" i="13"/>
  <c r="Q226" i="13"/>
  <c r="P227" i="13"/>
  <c r="Q227" i="13"/>
  <c r="P228" i="13"/>
  <c r="Q228" i="13"/>
  <c r="P229" i="13"/>
  <c r="Q229" i="13"/>
  <c r="P230" i="13"/>
  <c r="Q230" i="13"/>
  <c r="P231" i="13"/>
  <c r="Q231" i="13"/>
  <c r="P232" i="13"/>
  <c r="Q232" i="13"/>
  <c r="P233" i="13"/>
  <c r="Q233" i="13"/>
  <c r="P234" i="13"/>
  <c r="Q234" i="13"/>
  <c r="P235" i="13"/>
  <c r="Q235" i="13"/>
  <c r="P236" i="13"/>
  <c r="Q236" i="13"/>
  <c r="P237" i="13"/>
  <c r="Q237" i="13"/>
  <c r="P238" i="13"/>
  <c r="Q238" i="13"/>
  <c r="P239" i="13"/>
  <c r="Q239" i="13"/>
  <c r="P240" i="13"/>
  <c r="Q240" i="13"/>
  <c r="P241" i="13"/>
  <c r="Q241" i="13"/>
  <c r="P242" i="13"/>
  <c r="Q242" i="13"/>
  <c r="P243" i="13"/>
  <c r="Q243" i="13"/>
  <c r="X62" i="23" l="1"/>
  <c r="X81" i="23"/>
  <c r="AD37" i="23"/>
  <c r="X14" i="23"/>
  <c r="U14" i="23" s="1"/>
  <c r="AE14" i="23" s="1"/>
  <c r="Y19" i="23"/>
  <c r="X35" i="23"/>
  <c r="X33" i="23"/>
  <c r="X31" i="23"/>
  <c r="Z132" i="23"/>
  <c r="AA132" i="23" s="1"/>
  <c r="Y139" i="23"/>
  <c r="Y37" i="23"/>
  <c r="X36" i="23"/>
  <c r="X34" i="23"/>
  <c r="X32" i="23"/>
  <c r="Z128" i="23"/>
  <c r="AA128" i="23" s="1"/>
  <c r="X139" i="23"/>
  <c r="Z135" i="23"/>
  <c r="AA135" i="23" s="1"/>
  <c r="X37" i="23"/>
  <c r="X133" i="23"/>
  <c r="U133" i="23" s="1"/>
  <c r="AE133" i="23" s="1"/>
  <c r="AB37" i="23"/>
  <c r="AE35" i="23"/>
  <c r="AE33" i="23"/>
  <c r="AE31" i="23"/>
  <c r="AD36" i="23"/>
  <c r="AD35" i="23"/>
  <c r="AD34" i="23"/>
  <c r="AD33" i="23"/>
  <c r="AD32" i="23"/>
  <c r="AD31" i="23"/>
  <c r="AC36" i="23"/>
  <c r="AC35" i="23"/>
  <c r="AC34" i="23"/>
  <c r="AC33" i="23"/>
  <c r="AC32" i="23"/>
  <c r="AC31" i="23"/>
  <c r="AB36" i="23"/>
  <c r="AB35" i="23"/>
  <c r="AB34" i="23"/>
  <c r="AB33" i="23"/>
  <c r="AB32" i="23"/>
  <c r="AB31" i="23"/>
  <c r="Y36" i="23"/>
  <c r="Y35" i="23"/>
  <c r="Y34" i="23"/>
  <c r="Y33" i="23"/>
  <c r="Y32" i="23"/>
  <c r="Z32" i="23" s="1"/>
  <c r="AA32" i="23" s="1"/>
  <c r="Y31" i="23"/>
  <c r="Z31" i="23" s="1"/>
  <c r="AA31" i="23" s="1"/>
  <c r="X115" i="23"/>
  <c r="Z126" i="23"/>
  <c r="AA126" i="23" s="1"/>
  <c r="X70" i="23"/>
  <c r="X41" i="23"/>
  <c r="X44" i="23"/>
  <c r="Z131" i="23"/>
  <c r="AA131" i="23" s="1"/>
  <c r="X64" i="23"/>
  <c r="X126" i="23"/>
  <c r="U126" i="23" s="1"/>
  <c r="AE126" i="23" s="1"/>
  <c r="X116" i="23"/>
  <c r="X129" i="23"/>
  <c r="U129" i="23" s="1"/>
  <c r="AE129" i="23" s="1"/>
  <c r="X12" i="23"/>
  <c r="U12" i="23" s="1"/>
  <c r="AE12" i="23" s="1"/>
  <c r="X22" i="23"/>
  <c r="Z129" i="23"/>
  <c r="AA129" i="23" s="1"/>
  <c r="X58" i="23"/>
  <c r="X87" i="23"/>
  <c r="AB55" i="23"/>
  <c r="AC19" i="23"/>
  <c r="AB139" i="23"/>
  <c r="AC137" i="23"/>
  <c r="AC139" i="23"/>
  <c r="AB129" i="23"/>
  <c r="U70" i="23"/>
  <c r="AE70" i="23" s="1"/>
  <c r="AB83" i="23"/>
  <c r="Y68" i="23"/>
  <c r="AC83" i="23"/>
  <c r="AB12" i="23"/>
  <c r="Y104" i="23"/>
  <c r="Y98" i="23"/>
  <c r="X6" i="23"/>
  <c r="U6" i="23" s="1"/>
  <c r="AE6" i="23" s="1"/>
  <c r="AC12" i="23"/>
  <c r="X91" i="23"/>
  <c r="AD12" i="23"/>
  <c r="Y22" i="23"/>
  <c r="AD62" i="23"/>
  <c r="AB104" i="23"/>
  <c r="AC111" i="23"/>
  <c r="AC17" i="23"/>
  <c r="AD98" i="23"/>
  <c r="AC6" i="23"/>
  <c r="AC62" i="23"/>
  <c r="AD61" i="23"/>
  <c r="AC94" i="23"/>
  <c r="AD94" i="23"/>
  <c r="AC42" i="23"/>
  <c r="AB61" i="23"/>
  <c r="AD96" i="23"/>
  <c r="AB42" i="23"/>
  <c r="AC87" i="23"/>
  <c r="AD22" i="23"/>
  <c r="AE54" i="23"/>
  <c r="AB98" i="23"/>
  <c r="AE99" i="23"/>
  <c r="AD9" i="23"/>
  <c r="AB132" i="23"/>
  <c r="AD84" i="23"/>
  <c r="AB91" i="23"/>
  <c r="AC22" i="23"/>
  <c r="AE41" i="23"/>
  <c r="AD122" i="23"/>
  <c r="AB10" i="23"/>
  <c r="AD46" i="23"/>
  <c r="AC54" i="23"/>
  <c r="AC58" i="23"/>
  <c r="AC70" i="23"/>
  <c r="AC107" i="23"/>
  <c r="AC135" i="23"/>
  <c r="AD54" i="23"/>
  <c r="AB62" i="23"/>
  <c r="AD107" i="23"/>
  <c r="AE59" i="23"/>
  <c r="AD19" i="23"/>
  <c r="AC92" i="23"/>
  <c r="AC129" i="23"/>
  <c r="AD132" i="23"/>
  <c r="AB46" i="23"/>
  <c r="AB51" i="23"/>
  <c r="AB138" i="23"/>
  <c r="AE17" i="23"/>
  <c r="AE60" i="23"/>
  <c r="AB90" i="23"/>
  <c r="AE116" i="23"/>
  <c r="AB135" i="23"/>
  <c r="AC7" i="23"/>
  <c r="X13" i="23"/>
  <c r="U13" i="23" s="1"/>
  <c r="AE13" i="23" s="1"/>
  <c r="AB41" i="23"/>
  <c r="AD7" i="23"/>
  <c r="Z16" i="23"/>
  <c r="AA16" i="23" s="1"/>
  <c r="AD17" i="23"/>
  <c r="Y18" i="23"/>
  <c r="AC18" i="23"/>
  <c r="AB18" i="23"/>
  <c r="Y26" i="23"/>
  <c r="AC41" i="23"/>
  <c r="AD41" i="23"/>
  <c r="AB49" i="23"/>
  <c r="AC49" i="23"/>
  <c r="AC82" i="23"/>
  <c r="AB82" i="23"/>
  <c r="Y11" i="23"/>
  <c r="AC24" i="23"/>
  <c r="AB24" i="23"/>
  <c r="X24" i="23"/>
  <c r="AB39" i="23"/>
  <c r="AC39" i="23"/>
  <c r="X40" i="23"/>
  <c r="AC65" i="23"/>
  <c r="Y65" i="23"/>
  <c r="AC20" i="23"/>
  <c r="AB20" i="23"/>
  <c r="Y20" i="23"/>
  <c r="AC30" i="23"/>
  <c r="AB30" i="23"/>
  <c r="X30" i="23"/>
  <c r="AD30" i="23"/>
  <c r="AD38" i="23"/>
  <c r="AC38" i="23"/>
  <c r="AB53" i="23"/>
  <c r="X53" i="23"/>
  <c r="AC53" i="23"/>
  <c r="AC71" i="23"/>
  <c r="AB71" i="23"/>
  <c r="AD71" i="23"/>
  <c r="Y10" i="23"/>
  <c r="AD49" i="23"/>
  <c r="AC66" i="23"/>
  <c r="AB66" i="23"/>
  <c r="AD66" i="23"/>
  <c r="Y75" i="23"/>
  <c r="AC75" i="23"/>
  <c r="AB75" i="23"/>
  <c r="AD75" i="23"/>
  <c r="AB79" i="23"/>
  <c r="AC79" i="23"/>
  <c r="Y79" i="23"/>
  <c r="X17" i="23"/>
  <c r="X28" i="23"/>
  <c r="Y28" i="23"/>
  <c r="AB60" i="23"/>
  <c r="AC60" i="23"/>
  <c r="X60" i="23"/>
  <c r="AB11" i="23"/>
  <c r="Z12" i="23"/>
  <c r="AA12" i="23" s="1"/>
  <c r="Y17" i="23"/>
  <c r="X20" i="23"/>
  <c r="AB38" i="23"/>
  <c r="AB45" i="23"/>
  <c r="X45" i="23"/>
  <c r="AC45" i="23"/>
  <c r="AC50" i="23"/>
  <c r="AB50" i="23"/>
  <c r="X52" i="23"/>
  <c r="Y59" i="23"/>
  <c r="AD102" i="23"/>
  <c r="AC102" i="23"/>
  <c r="AB102" i="23"/>
  <c r="AD88" i="23"/>
  <c r="AC88" i="23"/>
  <c r="AB88" i="23"/>
  <c r="X102" i="23"/>
  <c r="AC103" i="23"/>
  <c r="AB103" i="23"/>
  <c r="X103" i="23"/>
  <c r="X106" i="23"/>
  <c r="AC106" i="23"/>
  <c r="AB113" i="23"/>
  <c r="AD113" i="23"/>
  <c r="AC119" i="23"/>
  <c r="AB119" i="23"/>
  <c r="Y113" i="23"/>
  <c r="U113" i="23"/>
  <c r="AE113" i="23" s="1"/>
  <c r="Y114" i="23"/>
  <c r="AD114" i="23"/>
  <c r="Y23" i="23"/>
  <c r="AC59" i="23"/>
  <c r="AC74" i="23"/>
  <c r="AB101" i="23"/>
  <c r="X134" i="23"/>
  <c r="U134" i="23" s="1"/>
  <c r="AE134" i="23" s="1"/>
  <c r="AD20" i="23"/>
  <c r="Y30" i="23"/>
  <c r="AD59" i="23"/>
  <c r="AD101" i="23"/>
  <c r="AB106" i="23"/>
  <c r="AC113" i="23"/>
  <c r="Y53" i="23"/>
  <c r="Z53" i="23" s="1"/>
  <c r="AA53" i="23" s="1"/>
  <c r="Y66" i="23"/>
  <c r="AD81" i="23"/>
  <c r="Y81" i="23"/>
  <c r="AB114" i="23"/>
  <c r="X123" i="23"/>
  <c r="U123" i="23" s="1"/>
  <c r="AE123" i="23" s="1"/>
  <c r="AD128" i="23"/>
  <c r="AB128" i="23"/>
  <c r="X132" i="23"/>
  <c r="U132" i="23" s="1"/>
  <c r="AE132" i="23" s="1"/>
  <c r="Z137" i="23"/>
  <c r="AA137" i="23" s="1"/>
  <c r="AC138" i="23"/>
  <c r="X135" i="23"/>
  <c r="U135" i="23" s="1"/>
  <c r="AE135" i="23" s="1"/>
  <c r="X136" i="23"/>
  <c r="U136" i="23" s="1"/>
  <c r="AE136" i="23" s="1"/>
  <c r="Z138" i="23"/>
  <c r="AA138" i="23" s="1"/>
  <c r="AB86" i="23"/>
  <c r="Y101" i="23"/>
  <c r="AB105" i="23"/>
  <c r="X128" i="23"/>
  <c r="U128" i="23" s="1"/>
  <c r="AE128" i="23" s="1"/>
  <c r="AB133" i="23"/>
  <c r="X140" i="23"/>
  <c r="Y74" i="23"/>
  <c r="Y94" i="23"/>
  <c r="AD133" i="23"/>
  <c r="X137" i="23"/>
  <c r="U137" i="23" s="1"/>
  <c r="AE137" i="23" s="1"/>
  <c r="Y7" i="23"/>
  <c r="AD8" i="23"/>
  <c r="AC8" i="23"/>
  <c r="Y8" i="23"/>
  <c r="X8" i="23"/>
  <c r="AD6" i="23"/>
  <c r="AB8" i="23"/>
  <c r="X9" i="23"/>
  <c r="U9" i="23" s="1"/>
  <c r="AE9" i="23" s="1"/>
  <c r="AD10" i="23"/>
  <c r="Z13" i="23"/>
  <c r="AA13" i="23" s="1"/>
  <c r="X15" i="23"/>
  <c r="U15" i="23" s="1"/>
  <c r="AE15" i="23" s="1"/>
  <c r="X27" i="23"/>
  <c r="Y42" i="23"/>
  <c r="AD44" i="23"/>
  <c r="AC44" i="23"/>
  <c r="AB44" i="23"/>
  <c r="Y44" i="23"/>
  <c r="AD52" i="23"/>
  <c r="AC52" i="23"/>
  <c r="AB52" i="23"/>
  <c r="Y52" i="23"/>
  <c r="Z14" i="23"/>
  <c r="AA14" i="23" s="1"/>
  <c r="X16" i="23"/>
  <c r="U16" i="23" s="1"/>
  <c r="AE16" i="23" s="1"/>
  <c r="Y27" i="23"/>
  <c r="X29" i="23"/>
  <c r="Y56" i="23"/>
  <c r="Z9" i="23"/>
  <c r="AA9" i="23" s="1"/>
  <c r="X10" i="23"/>
  <c r="AD11" i="23"/>
  <c r="AB13" i="23"/>
  <c r="Z15" i="23"/>
  <c r="AA15" i="23" s="1"/>
  <c r="AB19" i="23"/>
  <c r="X23" i="23"/>
  <c r="AC13" i="23"/>
  <c r="AB14" i="23"/>
  <c r="X21" i="23"/>
  <c r="Y24" i="23"/>
  <c r="Z24" i="23" s="1"/>
  <c r="AA24" i="23" s="1"/>
  <c r="Y40" i="23"/>
  <c r="Y45" i="23"/>
  <c r="X47" i="23"/>
  <c r="AD47" i="23"/>
  <c r="Y47" i="23"/>
  <c r="AB47" i="23"/>
  <c r="Y63" i="23"/>
  <c r="AD63" i="23"/>
  <c r="AC63" i="23"/>
  <c r="AB63" i="23"/>
  <c r="AB9" i="23"/>
  <c r="X11" i="23"/>
  <c r="AC14" i="23"/>
  <c r="AB15" i="23"/>
  <c r="X50" i="23"/>
  <c r="AD50" i="23"/>
  <c r="Z6" i="23"/>
  <c r="AA6" i="23" s="1"/>
  <c r="X7" i="23"/>
  <c r="AC9" i="23"/>
  <c r="AC15" i="23"/>
  <c r="AB16" i="23"/>
  <c r="X18" i="23"/>
  <c r="Z18" i="23" s="1"/>
  <c r="AA18" i="23" s="1"/>
  <c r="AB21" i="23"/>
  <c r="AD48" i="23"/>
  <c r="AC48" i="23"/>
  <c r="AB48" i="23"/>
  <c r="Y48" i="23"/>
  <c r="X48" i="23"/>
  <c r="AC16" i="23"/>
  <c r="X19" i="23"/>
  <c r="X25" i="23"/>
  <c r="Y49" i="23"/>
  <c r="X49" i="23"/>
  <c r="X57" i="23"/>
  <c r="Y64" i="23"/>
  <c r="Y21" i="23"/>
  <c r="AD21" i="23"/>
  <c r="Z28" i="23"/>
  <c r="AA28" i="23" s="1"/>
  <c r="Y41" i="23"/>
  <c r="AC47" i="23"/>
  <c r="Y57" i="23"/>
  <c r="AD57" i="23"/>
  <c r="Y70" i="23"/>
  <c r="Y38" i="23"/>
  <c r="X43" i="23"/>
  <c r="AD43" i="23"/>
  <c r="Y43" i="23"/>
  <c r="X46" i="23"/>
  <c r="Y54" i="23"/>
  <c r="AD70" i="23"/>
  <c r="AD74" i="23"/>
  <c r="X74" i="23"/>
  <c r="AC61" i="23"/>
  <c r="Y61" i="23"/>
  <c r="Y62" i="23"/>
  <c r="AB22" i="23"/>
  <c r="X38" i="23"/>
  <c r="Y46" i="23"/>
  <c r="X51" i="23"/>
  <c r="AD51" i="23"/>
  <c r="Y51" i="23"/>
  <c r="X54" i="23"/>
  <c r="AD60" i="23"/>
  <c r="Y60" i="23"/>
  <c r="AD23" i="23"/>
  <c r="AC23" i="23"/>
  <c r="AB23" i="23"/>
  <c r="Y25" i="23"/>
  <c r="AD40" i="23"/>
  <c r="AC40" i="23"/>
  <c r="AB40" i="23"/>
  <c r="AD45" i="23"/>
  <c r="AD56" i="23"/>
  <c r="AC56" i="23"/>
  <c r="AD24" i="23"/>
  <c r="X26" i="23"/>
  <c r="Y29" i="23"/>
  <c r="X39" i="23"/>
  <c r="AD39" i="23"/>
  <c r="Y39" i="23"/>
  <c r="X42" i="23"/>
  <c r="AB43" i="23"/>
  <c r="Y50" i="23"/>
  <c r="X55" i="23"/>
  <c r="AD55" i="23"/>
  <c r="Y55" i="23"/>
  <c r="Y58" i="23"/>
  <c r="X56" i="23"/>
  <c r="AB57" i="23"/>
  <c r="X63" i="23"/>
  <c r="AD65" i="23"/>
  <c r="X65" i="23"/>
  <c r="Y67" i="23"/>
  <c r="Y78" i="23"/>
  <c r="AC84" i="23"/>
  <c r="AD87" i="23"/>
  <c r="AD90" i="23"/>
  <c r="X90" i="23"/>
  <c r="Y87" i="23"/>
  <c r="AD89" i="23"/>
  <c r="AC89" i="23"/>
  <c r="X89" i="23"/>
  <c r="Y89" i="23"/>
  <c r="AB89" i="23"/>
  <c r="Y90" i="23"/>
  <c r="X95" i="23"/>
  <c r="AD76" i="23"/>
  <c r="AC76" i="23"/>
  <c r="X76" i="23"/>
  <c r="AD77" i="23"/>
  <c r="X77" i="23"/>
  <c r="X80" i="23"/>
  <c r="AC93" i="23"/>
  <c r="AD93" i="23"/>
  <c r="X93" i="23"/>
  <c r="AB93" i="23"/>
  <c r="AD99" i="23"/>
  <c r="X99" i="23"/>
  <c r="Y77" i="23"/>
  <c r="Y84" i="23"/>
  <c r="X84" i="23"/>
  <c r="Y91" i="23"/>
  <c r="U94" i="23"/>
  <c r="AE94" i="23" s="1"/>
  <c r="AD72" i="23"/>
  <c r="AC72" i="23"/>
  <c r="X72" i="23"/>
  <c r="AD73" i="23"/>
  <c r="X73" i="23"/>
  <c r="AD80" i="23"/>
  <c r="AD85" i="23"/>
  <c r="AC85" i="23"/>
  <c r="X85" i="23"/>
  <c r="Y85" i="23"/>
  <c r="AD86" i="23"/>
  <c r="X86" i="23"/>
  <c r="X97" i="23"/>
  <c r="Y73" i="23"/>
  <c r="Y76" i="23"/>
  <c r="AD82" i="23"/>
  <c r="X82" i="23"/>
  <c r="Y86" i="23"/>
  <c r="Y93" i="23"/>
  <c r="AD58" i="23"/>
  <c r="X59" i="23"/>
  <c r="X61" i="23"/>
  <c r="AD64" i="23"/>
  <c r="AC64" i="23"/>
  <c r="X66" i="23"/>
  <c r="Z66" i="23" s="1"/>
  <c r="AA66" i="23" s="1"/>
  <c r="AC67" i="23"/>
  <c r="AD68" i="23"/>
  <c r="AC68" i="23"/>
  <c r="X68" i="23"/>
  <c r="Z68" i="23" s="1"/>
  <c r="AA68" i="23" s="1"/>
  <c r="AD69" i="23"/>
  <c r="X69" i="23"/>
  <c r="Y71" i="23"/>
  <c r="U79" i="23"/>
  <c r="AE79" i="23" s="1"/>
  <c r="X79" i="23"/>
  <c r="Y82" i="23"/>
  <c r="Y88" i="23"/>
  <c r="X88" i="23"/>
  <c r="AD91" i="23"/>
  <c r="Y96" i="23"/>
  <c r="X96" i="23"/>
  <c r="AB96" i="23"/>
  <c r="AD67" i="23"/>
  <c r="Y69" i="23"/>
  <c r="Y72" i="23"/>
  <c r="AD78" i="23"/>
  <c r="X78" i="23"/>
  <c r="AB84" i="23"/>
  <c r="AB85" i="23"/>
  <c r="Y92" i="23"/>
  <c r="X92" i="23"/>
  <c r="AB92" i="23"/>
  <c r="AD100" i="23"/>
  <c r="Y80" i="23"/>
  <c r="AB80" i="23"/>
  <c r="AD111" i="23"/>
  <c r="AD106" i="23"/>
  <c r="Y111" i="23"/>
  <c r="X111" i="23"/>
  <c r="AD105" i="23"/>
  <c r="X105" i="23"/>
  <c r="Y106" i="23"/>
  <c r="AD79" i="23"/>
  <c r="AB81" i="23"/>
  <c r="Y97" i="23"/>
  <c r="AC100" i="23"/>
  <c r="X100" i="23"/>
  <c r="Y100" i="23"/>
  <c r="Y105" i="23"/>
  <c r="AB65" i="23"/>
  <c r="X67" i="23"/>
  <c r="AB69" i="23"/>
  <c r="X71" i="23"/>
  <c r="AB73" i="23"/>
  <c r="X75" i="23"/>
  <c r="AB77" i="23"/>
  <c r="AC81" i="23"/>
  <c r="Y83" i="23"/>
  <c r="X83" i="23"/>
  <c r="X94" i="23"/>
  <c r="U98" i="23"/>
  <c r="AE98" i="23" s="1"/>
  <c r="AB78" i="23"/>
  <c r="U102" i="23"/>
  <c r="AE102" i="23" s="1"/>
  <c r="U119" i="23"/>
  <c r="AE119" i="23" s="1"/>
  <c r="Y119" i="23"/>
  <c r="Y95" i="23"/>
  <c r="AB95" i="23"/>
  <c r="Y103" i="23"/>
  <c r="AD103" i="23"/>
  <c r="Y107" i="23"/>
  <c r="X107" i="23"/>
  <c r="X117" i="23"/>
  <c r="AD117" i="23"/>
  <c r="Y117" i="23"/>
  <c r="AC117" i="23"/>
  <c r="AB117" i="23"/>
  <c r="AB97" i="23"/>
  <c r="X101" i="23"/>
  <c r="Y102" i="23"/>
  <c r="Y124" i="23"/>
  <c r="X124" i="23"/>
  <c r="AD95" i="23"/>
  <c r="AD97" i="23"/>
  <c r="X98" i="23"/>
  <c r="Y99" i="23"/>
  <c r="AB99" i="23"/>
  <c r="AC104" i="23"/>
  <c r="X104" i="23"/>
  <c r="Y118" i="23"/>
  <c r="Z127" i="23"/>
  <c r="AA127" i="23" s="1"/>
  <c r="AC127" i="23"/>
  <c r="AB127" i="23"/>
  <c r="AD127" i="23"/>
  <c r="Y120" i="23"/>
  <c r="AD120" i="23"/>
  <c r="AB120" i="23"/>
  <c r="X118" i="23"/>
  <c r="AD121" i="23"/>
  <c r="AC121" i="23"/>
  <c r="X121" i="23"/>
  <c r="Y121" i="23"/>
  <c r="AD116" i="23"/>
  <c r="AC116" i="23"/>
  <c r="AB116" i="23"/>
  <c r="Y125" i="23"/>
  <c r="AB125" i="23"/>
  <c r="AD115" i="23"/>
  <c r="Y115" i="23"/>
  <c r="AB115" i="23"/>
  <c r="Y116" i="23"/>
  <c r="AC122" i="23"/>
  <c r="AB122" i="23"/>
  <c r="Y122" i="23"/>
  <c r="AC125" i="23"/>
  <c r="X131" i="23"/>
  <c r="U131" i="23" s="1"/>
  <c r="AE131" i="23" s="1"/>
  <c r="X114" i="23"/>
  <c r="AC115" i="23"/>
  <c r="AD125" i="23"/>
  <c r="X113" i="23"/>
  <c r="Z130" i="23"/>
  <c r="AA130" i="23" s="1"/>
  <c r="AD130" i="23"/>
  <c r="AC130" i="23"/>
  <c r="AB130" i="23"/>
  <c r="AD118" i="23"/>
  <c r="X119" i="23"/>
  <c r="X120" i="23"/>
  <c r="AD123" i="23"/>
  <c r="AC123" i="23"/>
  <c r="AB123" i="23"/>
  <c r="AD134" i="23"/>
  <c r="AB134" i="23"/>
  <c r="Z134" i="23"/>
  <c r="AA134" i="23" s="1"/>
  <c r="AD119" i="23"/>
  <c r="AC126" i="23"/>
  <c r="AB126" i="23"/>
  <c r="AD126" i="23"/>
  <c r="AC128" i="23"/>
  <c r="Z123" i="23"/>
  <c r="AA123" i="23" s="1"/>
  <c r="AB124" i="23"/>
  <c r="AD124" i="23"/>
  <c r="X125" i="23"/>
  <c r="X130" i="23"/>
  <c r="U130" i="23" s="1"/>
  <c r="AE130" i="23" s="1"/>
  <c r="AC131" i="23"/>
  <c r="AB131" i="23"/>
  <c r="AB118" i="23"/>
  <c r="X122" i="23"/>
  <c r="AC136" i="23"/>
  <c r="AB136" i="23"/>
  <c r="Z136" i="23"/>
  <c r="AA136" i="23" s="1"/>
  <c r="X127" i="23"/>
  <c r="U127" i="23" s="1"/>
  <c r="AE127" i="23" s="1"/>
  <c r="AD140" i="23"/>
  <c r="Z133" i="23"/>
  <c r="AA133" i="23" s="1"/>
  <c r="AD137" i="23"/>
  <c r="Y140" i="23"/>
  <c r="X138" i="23"/>
  <c r="U138" i="23" s="1"/>
  <c r="AE138" i="23" s="1"/>
  <c r="AD139" i="23"/>
  <c r="AB140" i="23"/>
  <c r="P6" i="13"/>
  <c r="Q6" i="13"/>
  <c r="E10" i="5"/>
  <c r="Z98" i="23" l="1"/>
  <c r="Z104" i="23"/>
  <c r="AA104" i="23" s="1"/>
  <c r="Z59" i="23"/>
  <c r="AA59" i="23" s="1"/>
  <c r="Z49" i="23"/>
  <c r="AA49" i="23" s="1"/>
  <c r="Z101" i="23"/>
  <c r="AA101" i="23" s="1"/>
  <c r="Z44" i="23"/>
  <c r="AA44" i="23" s="1"/>
  <c r="Z37" i="23"/>
  <c r="AA37" i="23" s="1"/>
  <c r="Z22" i="23"/>
  <c r="AA22" i="23" s="1"/>
  <c r="Z114" i="23"/>
  <c r="AA114" i="23" s="1"/>
  <c r="Z19" i="23"/>
  <c r="AA19" i="23" s="1"/>
  <c r="Z115" i="23"/>
  <c r="AA115" i="23" s="1"/>
  <c r="Z139" i="23"/>
  <c r="AA139" i="23" s="1"/>
  <c r="Z33" i="23"/>
  <c r="AA33" i="23" s="1"/>
  <c r="Z75" i="23"/>
  <c r="AA75" i="23" s="1"/>
  <c r="Z35" i="23"/>
  <c r="AA35" i="23" s="1"/>
  <c r="Z11" i="23"/>
  <c r="AA11" i="23" s="1"/>
  <c r="Z94" i="23"/>
  <c r="AA94" i="23" s="1"/>
  <c r="Z91" i="23"/>
  <c r="AA91" i="23" s="1"/>
  <c r="Z106" i="23"/>
  <c r="AA106" i="23" s="1"/>
  <c r="Z34" i="23"/>
  <c r="AA34" i="23" s="1"/>
  <c r="Z74" i="23"/>
  <c r="AA74" i="23" s="1"/>
  <c r="Z36" i="23"/>
  <c r="AA36" i="23" s="1"/>
  <c r="AA98" i="23"/>
  <c r="Z140" i="23"/>
  <c r="AA140" i="23" s="1"/>
  <c r="Z102" i="23"/>
  <c r="AA102" i="23" s="1"/>
  <c r="Z79" i="23"/>
  <c r="AA79" i="23" s="1"/>
  <c r="Z61" i="23"/>
  <c r="AA61" i="23" s="1"/>
  <c r="Z65" i="23"/>
  <c r="AA65" i="23" s="1"/>
  <c r="Z26" i="23"/>
  <c r="AA26" i="23" s="1"/>
  <c r="Z30" i="23"/>
  <c r="AA30" i="23" s="1"/>
  <c r="Z56" i="23"/>
  <c r="AA56" i="23" s="1"/>
  <c r="Z17" i="23"/>
  <c r="AA17" i="23" s="1"/>
  <c r="Z113" i="23"/>
  <c r="AA113" i="23" s="1"/>
  <c r="Z10" i="23"/>
  <c r="AA10" i="23" s="1"/>
  <c r="Z29" i="23"/>
  <c r="AA29" i="23" s="1"/>
  <c r="Z7" i="23"/>
  <c r="AA7" i="23" s="1"/>
  <c r="Z72" i="23"/>
  <c r="AA72" i="23" s="1"/>
  <c r="Z92" i="23"/>
  <c r="AA92" i="23" s="1"/>
  <c r="Z63" i="23"/>
  <c r="AA63" i="23" s="1"/>
  <c r="Z23" i="23"/>
  <c r="AA23" i="23" s="1"/>
  <c r="Z78" i="23"/>
  <c r="AA78" i="23" s="1"/>
  <c r="Z39" i="23"/>
  <c r="AA39" i="23" s="1"/>
  <c r="Z118" i="23"/>
  <c r="AA118" i="23" s="1"/>
  <c r="Z71" i="23"/>
  <c r="AA71" i="23" s="1"/>
  <c r="Z90" i="23"/>
  <c r="AA90" i="23" s="1"/>
  <c r="Z81" i="23"/>
  <c r="AA81" i="23" s="1"/>
  <c r="Z89" i="23"/>
  <c r="AA89" i="23" s="1"/>
  <c r="Z43" i="23"/>
  <c r="AA43" i="23" s="1"/>
  <c r="Z25" i="23"/>
  <c r="AA25" i="23" s="1"/>
  <c r="Z99" i="23"/>
  <c r="AA99" i="23" s="1"/>
  <c r="Z70" i="23"/>
  <c r="AA70" i="23" s="1"/>
  <c r="Z125" i="23"/>
  <c r="AA125" i="23" s="1"/>
  <c r="Z107" i="23"/>
  <c r="AA107" i="23" s="1"/>
  <c r="Z67" i="23"/>
  <c r="AA67" i="23" s="1"/>
  <c r="Z80" i="23"/>
  <c r="AA80" i="23" s="1"/>
  <c r="Z42" i="23"/>
  <c r="AA42" i="23" s="1"/>
  <c r="Z38" i="23"/>
  <c r="AA38" i="23" s="1"/>
  <c r="Z119" i="23"/>
  <c r="AA119" i="23" s="1"/>
  <c r="Z124" i="23"/>
  <c r="AA124" i="23" s="1"/>
  <c r="Z117" i="23"/>
  <c r="AA117" i="23" s="1"/>
  <c r="Z103" i="23"/>
  <c r="AA103" i="23" s="1"/>
  <c r="Z77" i="23"/>
  <c r="AA77" i="23" s="1"/>
  <c r="Z8" i="23"/>
  <c r="AA8" i="23" s="1"/>
  <c r="Z120" i="23"/>
  <c r="AA120" i="23" s="1"/>
  <c r="Z111" i="23"/>
  <c r="AA111" i="23" s="1"/>
  <c r="Z69" i="23"/>
  <c r="AA69" i="23" s="1"/>
  <c r="Z55" i="23"/>
  <c r="AA55" i="23" s="1"/>
  <c r="Z51" i="23"/>
  <c r="AA51" i="23" s="1"/>
  <c r="Z20" i="23"/>
  <c r="AA20" i="23" s="1"/>
  <c r="Z122" i="23"/>
  <c r="AA122" i="23" s="1"/>
  <c r="Z83" i="23"/>
  <c r="AA83" i="23" s="1"/>
  <c r="Z105" i="23"/>
  <c r="AA105" i="23" s="1"/>
  <c r="Z64" i="23"/>
  <c r="AA64" i="23" s="1"/>
  <c r="Z46" i="23"/>
  <c r="AA46" i="23" s="1"/>
  <c r="Z73" i="23"/>
  <c r="AA73" i="23" s="1"/>
  <c r="Z57" i="23"/>
  <c r="AA57" i="23" s="1"/>
  <c r="Z52" i="23"/>
  <c r="AA52" i="23" s="1"/>
  <c r="Z76" i="23"/>
  <c r="AA76" i="23" s="1"/>
  <c r="Z95" i="23"/>
  <c r="AA95" i="23" s="1"/>
  <c r="Z48" i="23"/>
  <c r="AA48" i="23" s="1"/>
  <c r="Z100" i="23"/>
  <c r="AA100" i="23" s="1"/>
  <c r="Z86" i="23"/>
  <c r="AA86" i="23" s="1"/>
  <c r="Z88" i="23"/>
  <c r="AA88" i="23" s="1"/>
  <c r="Z82" i="23"/>
  <c r="AA82" i="23" s="1"/>
  <c r="Z97" i="23"/>
  <c r="AA97" i="23" s="1"/>
  <c r="Z85" i="23"/>
  <c r="AA85" i="23" s="1"/>
  <c r="Z84" i="23"/>
  <c r="AA84" i="23" s="1"/>
  <c r="Z58" i="23"/>
  <c r="AA58" i="23" s="1"/>
  <c r="Z54" i="23"/>
  <c r="AA54" i="23" s="1"/>
  <c r="Z62" i="23"/>
  <c r="AA62" i="23" s="1"/>
  <c r="Z45" i="23"/>
  <c r="AA45" i="23" s="1"/>
  <c r="Z121" i="23"/>
  <c r="AA121" i="23" s="1"/>
  <c r="Z93" i="23"/>
  <c r="AA93" i="23" s="1"/>
  <c r="Z47" i="23"/>
  <c r="AA47" i="23" s="1"/>
  <c r="Z40" i="23"/>
  <c r="AA40" i="23" s="1"/>
  <c r="Z60" i="23"/>
  <c r="AA60" i="23" s="1"/>
  <c r="Z116" i="23"/>
  <c r="AA116" i="23" s="1"/>
  <c r="Z96" i="23"/>
  <c r="AA96" i="23" s="1"/>
  <c r="Z87" i="23"/>
  <c r="AA87" i="23" s="1"/>
  <c r="Z41" i="23"/>
  <c r="AA41" i="23" s="1"/>
  <c r="Z50" i="23"/>
  <c r="AA50" i="23" s="1"/>
  <c r="Z21" i="23"/>
  <c r="AA21" i="23" s="1"/>
  <c r="Z27" i="23"/>
  <c r="AA27" i="23" s="1"/>
  <c r="T243" i="13"/>
  <c r="V243" i="13" s="1"/>
  <c r="S243" i="13"/>
  <c r="U243" i="13" s="1"/>
  <c r="R243" i="13"/>
  <c r="O243" i="13"/>
  <c r="T242" i="13"/>
  <c r="V242" i="13" s="1"/>
  <c r="S242" i="13"/>
  <c r="U242" i="13" s="1"/>
  <c r="R242" i="13"/>
  <c r="O242" i="13"/>
  <c r="V241" i="13"/>
  <c r="T241" i="13"/>
  <c r="S241" i="13"/>
  <c r="U241" i="13" s="1"/>
  <c r="R241" i="13"/>
  <c r="O241" i="13"/>
  <c r="V240" i="13"/>
  <c r="T240" i="13"/>
  <c r="S240" i="13"/>
  <c r="U240" i="13" s="1"/>
  <c r="R240" i="13"/>
  <c r="O240" i="13"/>
  <c r="V239" i="13"/>
  <c r="T239" i="13"/>
  <c r="S239" i="13"/>
  <c r="U239" i="13" s="1"/>
  <c r="R239" i="13"/>
  <c r="O239" i="13"/>
  <c r="V238" i="13"/>
  <c r="T238" i="13"/>
  <c r="S238" i="13"/>
  <c r="U238" i="13" s="1"/>
  <c r="R238" i="13"/>
  <c r="O238" i="13"/>
  <c r="V237" i="13"/>
  <c r="T237" i="13"/>
  <c r="S237" i="13"/>
  <c r="U237" i="13" s="1"/>
  <c r="R237" i="13"/>
  <c r="O237" i="13"/>
  <c r="V236" i="13"/>
  <c r="T236" i="13"/>
  <c r="S236" i="13"/>
  <c r="U236" i="13" s="1"/>
  <c r="R236" i="13"/>
  <c r="O236" i="13"/>
  <c r="T235" i="13"/>
  <c r="V235" i="13" s="1"/>
  <c r="S235" i="13"/>
  <c r="U235" i="13" s="1"/>
  <c r="R235" i="13"/>
  <c r="O235" i="13"/>
  <c r="T234" i="13"/>
  <c r="V234" i="13" s="1"/>
  <c r="S234" i="13"/>
  <c r="U234" i="13" s="1"/>
  <c r="R234" i="13"/>
  <c r="O234" i="13"/>
  <c r="V233" i="13"/>
  <c r="T233" i="13"/>
  <c r="S233" i="13"/>
  <c r="U233" i="13" s="1"/>
  <c r="R233" i="13"/>
  <c r="O233" i="13"/>
  <c r="V232" i="13"/>
  <c r="T232" i="13"/>
  <c r="S232" i="13"/>
  <c r="U232" i="13" s="1"/>
  <c r="R232" i="13"/>
  <c r="O232" i="13"/>
  <c r="V231" i="13"/>
  <c r="T231" i="13"/>
  <c r="S231" i="13"/>
  <c r="U231" i="13" s="1"/>
  <c r="R231" i="13"/>
  <c r="O231" i="13"/>
  <c r="V230" i="13"/>
  <c r="T230" i="13"/>
  <c r="S230" i="13"/>
  <c r="U230" i="13" s="1"/>
  <c r="R230" i="13"/>
  <c r="O230" i="13"/>
  <c r="V229" i="13"/>
  <c r="T229" i="13"/>
  <c r="S229" i="13"/>
  <c r="U229" i="13" s="1"/>
  <c r="R229" i="13"/>
  <c r="O229" i="13"/>
  <c r="V228" i="13"/>
  <c r="T228" i="13"/>
  <c r="S228" i="13"/>
  <c r="U228" i="13" s="1"/>
  <c r="R228" i="13"/>
  <c r="O228" i="13"/>
  <c r="V227" i="13"/>
  <c r="T227" i="13"/>
  <c r="S227" i="13"/>
  <c r="U227" i="13" s="1"/>
  <c r="R227" i="13"/>
  <c r="O227" i="13"/>
  <c r="V226" i="13"/>
  <c r="T226" i="13"/>
  <c r="S226" i="13"/>
  <c r="U226" i="13" s="1"/>
  <c r="R226" i="13"/>
  <c r="O226" i="13"/>
  <c r="V225" i="13"/>
  <c r="T225" i="13"/>
  <c r="S225" i="13"/>
  <c r="U225" i="13" s="1"/>
  <c r="R225" i="13"/>
  <c r="O225" i="13"/>
  <c r="V224" i="13"/>
  <c r="T224" i="13"/>
  <c r="S224" i="13"/>
  <c r="U224" i="13" s="1"/>
  <c r="R224" i="13"/>
  <c r="O224" i="13"/>
  <c r="T223" i="13"/>
  <c r="V223" i="13" s="1"/>
  <c r="S223" i="13"/>
  <c r="U223" i="13" s="1"/>
  <c r="R223" i="13"/>
  <c r="O223" i="13"/>
  <c r="T222" i="13"/>
  <c r="V222" i="13" s="1"/>
  <c r="S222" i="13"/>
  <c r="U222" i="13" s="1"/>
  <c r="R222" i="13"/>
  <c r="O222" i="13"/>
  <c r="V221" i="13"/>
  <c r="T221" i="13"/>
  <c r="S221" i="13"/>
  <c r="U221" i="13" s="1"/>
  <c r="R221" i="13"/>
  <c r="O221" i="13"/>
  <c r="T220" i="13"/>
  <c r="V220" i="13" s="1"/>
  <c r="S220" i="13"/>
  <c r="U220" i="13" s="1"/>
  <c r="R220" i="13"/>
  <c r="O220" i="13"/>
  <c r="T219" i="13"/>
  <c r="V219" i="13" s="1"/>
  <c r="S219" i="13"/>
  <c r="U219" i="13" s="1"/>
  <c r="R219" i="13"/>
  <c r="O219" i="13"/>
  <c r="T218" i="13"/>
  <c r="V218" i="13" s="1"/>
  <c r="S218" i="13"/>
  <c r="U218" i="13" s="1"/>
  <c r="R218" i="13"/>
  <c r="O218" i="13"/>
  <c r="V217" i="13"/>
  <c r="T217" i="13"/>
  <c r="S217" i="13"/>
  <c r="U217" i="13" s="1"/>
  <c r="R217" i="13"/>
  <c r="O217" i="13"/>
  <c r="T216" i="13"/>
  <c r="V216" i="13" s="1"/>
  <c r="S216" i="13"/>
  <c r="U216" i="13" s="1"/>
  <c r="R216" i="13"/>
  <c r="O216" i="13"/>
  <c r="T215" i="13"/>
  <c r="V215" i="13" s="1"/>
  <c r="S215" i="13"/>
  <c r="U215" i="13" s="1"/>
  <c r="R215" i="13"/>
  <c r="O215" i="13"/>
  <c r="T214" i="13"/>
  <c r="V214" i="13" s="1"/>
  <c r="S214" i="13"/>
  <c r="U214" i="13" s="1"/>
  <c r="R214" i="13"/>
  <c r="O214" i="13"/>
  <c r="V213" i="13"/>
  <c r="T213" i="13"/>
  <c r="S213" i="13"/>
  <c r="U213" i="13" s="1"/>
  <c r="R213" i="13"/>
  <c r="O213" i="13"/>
  <c r="V212" i="13"/>
  <c r="T212" i="13"/>
  <c r="S212" i="13"/>
  <c r="U212" i="13" s="1"/>
  <c r="R212" i="13"/>
  <c r="O212" i="13"/>
  <c r="V211" i="13"/>
  <c r="T211" i="13"/>
  <c r="S211" i="13"/>
  <c r="U211" i="13" s="1"/>
  <c r="R211" i="13"/>
  <c r="O211" i="13"/>
  <c r="T210" i="13"/>
  <c r="V210" i="13" s="1"/>
  <c r="S210" i="13"/>
  <c r="U210" i="13" s="1"/>
  <c r="R210" i="13"/>
  <c r="O210" i="13"/>
  <c r="T209" i="13"/>
  <c r="V209" i="13" s="1"/>
  <c r="S209" i="13"/>
  <c r="U209" i="13" s="1"/>
  <c r="R209" i="13"/>
  <c r="O209" i="13"/>
  <c r="T208" i="13"/>
  <c r="V208" i="13" s="1"/>
  <c r="S208" i="13"/>
  <c r="U208" i="13" s="1"/>
  <c r="R208" i="13"/>
  <c r="O208" i="13"/>
  <c r="T207" i="13"/>
  <c r="V207" i="13" s="1"/>
  <c r="S207" i="13"/>
  <c r="U207" i="13" s="1"/>
  <c r="R207" i="13"/>
  <c r="O207" i="13"/>
  <c r="T206" i="13"/>
  <c r="V206" i="13" s="1"/>
  <c r="S206" i="13"/>
  <c r="U206" i="13" s="1"/>
  <c r="R206" i="13"/>
  <c r="O206" i="13"/>
  <c r="T205" i="13"/>
  <c r="V205" i="13" s="1"/>
  <c r="S205" i="13"/>
  <c r="U205" i="13" s="1"/>
  <c r="R205" i="13"/>
  <c r="O205" i="13"/>
  <c r="T204" i="13"/>
  <c r="V204" i="13" s="1"/>
  <c r="S204" i="13"/>
  <c r="U204" i="13" s="1"/>
  <c r="R204" i="13"/>
  <c r="O204" i="13"/>
  <c r="T203" i="13"/>
  <c r="V203" i="13" s="1"/>
  <c r="S203" i="13"/>
  <c r="U203" i="13" s="1"/>
  <c r="R203" i="13"/>
  <c r="O203" i="13"/>
  <c r="T202" i="13"/>
  <c r="V202" i="13" s="1"/>
  <c r="S202" i="13"/>
  <c r="U202" i="13" s="1"/>
  <c r="R202" i="13"/>
  <c r="O202" i="13"/>
  <c r="T201" i="13"/>
  <c r="V201" i="13" s="1"/>
  <c r="S201" i="13"/>
  <c r="U201" i="13" s="1"/>
  <c r="R201" i="13"/>
  <c r="O201" i="13"/>
  <c r="T200" i="13"/>
  <c r="V200" i="13" s="1"/>
  <c r="S200" i="13"/>
  <c r="U200" i="13" s="1"/>
  <c r="R200" i="13"/>
  <c r="O200" i="13"/>
  <c r="T199" i="13"/>
  <c r="V199" i="13" s="1"/>
  <c r="S199" i="13"/>
  <c r="U199" i="13" s="1"/>
  <c r="R199" i="13"/>
  <c r="O199" i="13"/>
  <c r="V198" i="13"/>
  <c r="T198" i="13"/>
  <c r="S198" i="13"/>
  <c r="U198" i="13" s="1"/>
  <c r="R198" i="13"/>
  <c r="O198" i="13"/>
  <c r="V197" i="13"/>
  <c r="T197" i="13"/>
  <c r="S197" i="13"/>
  <c r="U197" i="13" s="1"/>
  <c r="R197" i="13"/>
  <c r="O197" i="13"/>
  <c r="V196" i="13"/>
  <c r="T196" i="13"/>
  <c r="S196" i="13"/>
  <c r="U196" i="13" s="1"/>
  <c r="R196" i="13"/>
  <c r="O196" i="13"/>
  <c r="V195" i="13"/>
  <c r="T195" i="13"/>
  <c r="S195" i="13"/>
  <c r="U195" i="13" s="1"/>
  <c r="R195" i="13"/>
  <c r="O195" i="13"/>
  <c r="V194" i="13"/>
  <c r="T194" i="13"/>
  <c r="S194" i="13"/>
  <c r="U194" i="13" s="1"/>
  <c r="R194" i="13"/>
  <c r="O194" i="13"/>
  <c r="T193" i="13"/>
  <c r="V193" i="13" s="1"/>
  <c r="S193" i="13"/>
  <c r="U193" i="13" s="1"/>
  <c r="R193" i="13"/>
  <c r="O193" i="13"/>
  <c r="V192" i="13"/>
  <c r="T192" i="13"/>
  <c r="S192" i="13"/>
  <c r="U192" i="13" s="1"/>
  <c r="R192" i="13"/>
  <c r="O192" i="13"/>
  <c r="V191" i="13"/>
  <c r="T191" i="13"/>
  <c r="S191" i="13"/>
  <c r="U191" i="13" s="1"/>
  <c r="R191" i="13"/>
  <c r="O191" i="13"/>
  <c r="V190" i="13"/>
  <c r="T190" i="13"/>
  <c r="S190" i="13"/>
  <c r="U190" i="13" s="1"/>
  <c r="R190" i="13"/>
  <c r="O190" i="13"/>
  <c r="V189" i="13"/>
  <c r="T189" i="13"/>
  <c r="S189" i="13"/>
  <c r="U189" i="13" s="1"/>
  <c r="R189" i="13"/>
  <c r="O189" i="13"/>
  <c r="V188" i="13"/>
  <c r="T188" i="13"/>
  <c r="S188" i="13"/>
  <c r="U188" i="13" s="1"/>
  <c r="R188" i="13"/>
  <c r="O188" i="13"/>
  <c r="T187" i="13"/>
  <c r="V187" i="13" s="1"/>
  <c r="S187" i="13"/>
  <c r="U187" i="13" s="1"/>
  <c r="R187" i="13"/>
  <c r="O187" i="13"/>
  <c r="V186" i="13"/>
  <c r="T186" i="13"/>
  <c r="S186" i="13"/>
  <c r="U186" i="13" s="1"/>
  <c r="R186" i="13"/>
  <c r="O186" i="13"/>
  <c r="V185" i="13"/>
  <c r="T185" i="13"/>
  <c r="S185" i="13"/>
  <c r="U185" i="13" s="1"/>
  <c r="R185" i="13"/>
  <c r="O185" i="13"/>
  <c r="V184" i="13"/>
  <c r="T184" i="13"/>
  <c r="S184" i="13"/>
  <c r="U184" i="13" s="1"/>
  <c r="R184" i="13"/>
  <c r="O184" i="13"/>
  <c r="V183" i="13"/>
  <c r="T183" i="13"/>
  <c r="S183" i="13"/>
  <c r="U183" i="13" s="1"/>
  <c r="R183" i="13"/>
  <c r="O183" i="13"/>
  <c r="T182" i="13"/>
  <c r="V182" i="13" s="1"/>
  <c r="S182" i="13"/>
  <c r="U182" i="13" s="1"/>
  <c r="R182" i="13"/>
  <c r="O182" i="13"/>
  <c r="T181" i="13"/>
  <c r="V181" i="13" s="1"/>
  <c r="S181" i="13"/>
  <c r="U181" i="13" s="1"/>
  <c r="R181" i="13"/>
  <c r="O181" i="13"/>
  <c r="T180" i="13"/>
  <c r="V180" i="13" s="1"/>
  <c r="S180" i="13"/>
  <c r="U180" i="13" s="1"/>
  <c r="R180" i="13"/>
  <c r="O180" i="13"/>
  <c r="T179" i="13"/>
  <c r="V179" i="13" s="1"/>
  <c r="S179" i="13"/>
  <c r="U179" i="13" s="1"/>
  <c r="R179" i="13"/>
  <c r="O179" i="13"/>
  <c r="T178" i="13"/>
  <c r="V178" i="13" s="1"/>
  <c r="S178" i="13"/>
  <c r="U178" i="13" s="1"/>
  <c r="R178" i="13"/>
  <c r="O178" i="13"/>
  <c r="T177" i="13"/>
  <c r="V177" i="13" s="1"/>
  <c r="S177" i="13"/>
  <c r="U177" i="13" s="1"/>
  <c r="R177" i="13"/>
  <c r="O177" i="13"/>
  <c r="T176" i="13"/>
  <c r="V176" i="13" s="1"/>
  <c r="S176" i="13"/>
  <c r="U176" i="13" s="1"/>
  <c r="R176" i="13"/>
  <c r="O176" i="13"/>
  <c r="T175" i="13"/>
  <c r="V175" i="13" s="1"/>
  <c r="S175" i="13"/>
  <c r="U175" i="13" s="1"/>
  <c r="R175" i="13"/>
  <c r="O175" i="13"/>
  <c r="T174" i="13"/>
  <c r="V174" i="13" s="1"/>
  <c r="S174" i="13"/>
  <c r="U174" i="13" s="1"/>
  <c r="R174" i="13"/>
  <c r="O174" i="13"/>
  <c r="T173" i="13"/>
  <c r="V173" i="13" s="1"/>
  <c r="S173" i="13"/>
  <c r="U173" i="13" s="1"/>
  <c r="R173" i="13"/>
  <c r="O173" i="13"/>
  <c r="T172" i="13"/>
  <c r="V172" i="13" s="1"/>
  <c r="S172" i="13"/>
  <c r="U172" i="13" s="1"/>
  <c r="R172" i="13"/>
  <c r="O172" i="13"/>
  <c r="T171" i="13"/>
  <c r="V171" i="13" s="1"/>
  <c r="S171" i="13"/>
  <c r="U171" i="13" s="1"/>
  <c r="R171" i="13"/>
  <c r="O171" i="13"/>
  <c r="V170" i="13"/>
  <c r="T170" i="13"/>
  <c r="S170" i="13"/>
  <c r="U170" i="13" s="1"/>
  <c r="R170" i="13"/>
  <c r="O170" i="13"/>
  <c r="V169" i="13"/>
  <c r="T169" i="13"/>
  <c r="S169" i="13"/>
  <c r="U169" i="13" s="1"/>
  <c r="R169" i="13"/>
  <c r="O169" i="13"/>
  <c r="V168" i="13"/>
  <c r="T168" i="13"/>
  <c r="S168" i="13"/>
  <c r="U168" i="13" s="1"/>
  <c r="R168" i="13"/>
  <c r="O168" i="13"/>
  <c r="V167" i="13"/>
  <c r="T167" i="13"/>
  <c r="S167" i="13"/>
  <c r="U167" i="13" s="1"/>
  <c r="R167" i="13"/>
  <c r="O167" i="13"/>
  <c r="V166" i="13"/>
  <c r="T166" i="13"/>
  <c r="S166" i="13"/>
  <c r="U166" i="13" s="1"/>
  <c r="R166" i="13"/>
  <c r="O166" i="13"/>
  <c r="V165" i="13"/>
  <c r="T165" i="13"/>
  <c r="S165" i="13"/>
  <c r="U165" i="13" s="1"/>
  <c r="R165" i="13"/>
  <c r="O165" i="13"/>
  <c r="T164" i="13"/>
  <c r="V164" i="13" s="1"/>
  <c r="S164" i="13"/>
  <c r="U164" i="13" s="1"/>
  <c r="R164" i="13"/>
  <c r="O164" i="13"/>
  <c r="T163" i="13"/>
  <c r="V163" i="13" s="1"/>
  <c r="S163" i="13"/>
  <c r="U163" i="13" s="1"/>
  <c r="R163" i="13"/>
  <c r="O163" i="13"/>
  <c r="T162" i="13"/>
  <c r="V162" i="13" s="1"/>
  <c r="S162" i="13"/>
  <c r="U162" i="13" s="1"/>
  <c r="R162" i="13"/>
  <c r="O162" i="13"/>
  <c r="T161" i="13"/>
  <c r="V161" i="13" s="1"/>
  <c r="S161" i="13"/>
  <c r="U161" i="13" s="1"/>
  <c r="R161" i="13"/>
  <c r="O161" i="13"/>
  <c r="T160" i="13"/>
  <c r="V160" i="13" s="1"/>
  <c r="S160" i="13"/>
  <c r="U160" i="13" s="1"/>
  <c r="R160" i="13"/>
  <c r="O160" i="13"/>
  <c r="T159" i="13"/>
  <c r="V159" i="13" s="1"/>
  <c r="S159" i="13"/>
  <c r="U159" i="13" s="1"/>
  <c r="R159" i="13"/>
  <c r="O159" i="13"/>
  <c r="V158" i="13"/>
  <c r="T158" i="13"/>
  <c r="S158" i="13"/>
  <c r="U158" i="13" s="1"/>
  <c r="R158" i="13"/>
  <c r="O158" i="13"/>
  <c r="T157" i="13"/>
  <c r="V157" i="13" s="1"/>
  <c r="S157" i="13"/>
  <c r="U157" i="13" s="1"/>
  <c r="R157" i="13"/>
  <c r="O157" i="13"/>
  <c r="T156" i="13"/>
  <c r="V156" i="13" s="1"/>
  <c r="S156" i="13"/>
  <c r="U156" i="13" s="1"/>
  <c r="R156" i="13"/>
  <c r="O156" i="13"/>
  <c r="T155" i="13"/>
  <c r="V155" i="13" s="1"/>
  <c r="S155" i="13"/>
  <c r="U155" i="13" s="1"/>
  <c r="R155" i="13"/>
  <c r="O155" i="13"/>
  <c r="T154" i="13"/>
  <c r="V154" i="13" s="1"/>
  <c r="S154" i="13"/>
  <c r="U154" i="13" s="1"/>
  <c r="R154" i="13"/>
  <c r="O154" i="13"/>
  <c r="T153" i="13"/>
  <c r="V153" i="13" s="1"/>
  <c r="S153" i="13"/>
  <c r="U153" i="13" s="1"/>
  <c r="R153" i="13"/>
  <c r="O153" i="13"/>
  <c r="T152" i="13"/>
  <c r="V152" i="13" s="1"/>
  <c r="S152" i="13"/>
  <c r="U152" i="13" s="1"/>
  <c r="R152" i="13"/>
  <c r="O152" i="13"/>
  <c r="T151" i="13"/>
  <c r="V151" i="13" s="1"/>
  <c r="S151" i="13"/>
  <c r="U151" i="13" s="1"/>
  <c r="R151" i="13"/>
  <c r="O151" i="13"/>
  <c r="T150" i="13"/>
  <c r="V150" i="13" s="1"/>
  <c r="S150" i="13"/>
  <c r="U150" i="13" s="1"/>
  <c r="R150" i="13"/>
  <c r="O150" i="13"/>
  <c r="T149" i="13"/>
  <c r="V149" i="13" s="1"/>
  <c r="S149" i="13"/>
  <c r="U149" i="13" s="1"/>
  <c r="R149" i="13"/>
  <c r="O149" i="13"/>
  <c r="T148" i="13"/>
  <c r="V148" i="13" s="1"/>
  <c r="S148" i="13"/>
  <c r="U148" i="13" s="1"/>
  <c r="R148" i="13"/>
  <c r="O148" i="13"/>
  <c r="T147" i="13"/>
  <c r="V147" i="13" s="1"/>
  <c r="S147" i="13"/>
  <c r="U147" i="13" s="1"/>
  <c r="R147" i="13"/>
  <c r="O147" i="13"/>
  <c r="T146" i="13"/>
  <c r="V146" i="13" s="1"/>
  <c r="S146" i="13"/>
  <c r="U146" i="13" s="1"/>
  <c r="R146" i="13"/>
  <c r="O146" i="13"/>
  <c r="T145" i="13"/>
  <c r="V145" i="13" s="1"/>
  <c r="S145" i="13"/>
  <c r="U145" i="13" s="1"/>
  <c r="R145" i="13"/>
  <c r="O145" i="13"/>
  <c r="T144" i="13"/>
  <c r="V144" i="13" s="1"/>
  <c r="S144" i="13"/>
  <c r="U144" i="13" s="1"/>
  <c r="R144" i="13"/>
  <c r="O144" i="13"/>
  <c r="T143" i="13"/>
  <c r="V143" i="13" s="1"/>
  <c r="S143" i="13"/>
  <c r="U143" i="13" s="1"/>
  <c r="R143" i="13"/>
  <c r="O143" i="13"/>
  <c r="T142" i="13"/>
  <c r="V142" i="13" s="1"/>
  <c r="S142" i="13"/>
  <c r="U142" i="13" s="1"/>
  <c r="R142" i="13"/>
  <c r="O142" i="13"/>
  <c r="T141" i="13"/>
  <c r="V141" i="13" s="1"/>
  <c r="S141" i="13"/>
  <c r="U141" i="13" s="1"/>
  <c r="R141" i="13"/>
  <c r="O141" i="13"/>
  <c r="T140" i="13"/>
  <c r="V140" i="13" s="1"/>
  <c r="S140" i="13"/>
  <c r="U140" i="13" s="1"/>
  <c r="R140" i="13"/>
  <c r="O140" i="13"/>
  <c r="T139" i="13"/>
  <c r="V139" i="13" s="1"/>
  <c r="S139" i="13"/>
  <c r="U139" i="13" s="1"/>
  <c r="R139" i="13"/>
  <c r="O139" i="13"/>
  <c r="T138" i="13"/>
  <c r="V138" i="13" s="1"/>
  <c r="S138" i="13"/>
  <c r="U138" i="13" s="1"/>
  <c r="R138" i="13"/>
  <c r="O138" i="13"/>
  <c r="T137" i="13"/>
  <c r="V137" i="13" s="1"/>
  <c r="S137" i="13"/>
  <c r="U137" i="13" s="1"/>
  <c r="R137" i="13"/>
  <c r="O137" i="13"/>
  <c r="T136" i="13"/>
  <c r="V136" i="13" s="1"/>
  <c r="S136" i="13"/>
  <c r="U136" i="13" s="1"/>
  <c r="R136" i="13"/>
  <c r="O136" i="13"/>
  <c r="T135" i="13"/>
  <c r="V135" i="13" s="1"/>
  <c r="S135" i="13"/>
  <c r="U135" i="13" s="1"/>
  <c r="R135" i="13"/>
  <c r="O135" i="13"/>
  <c r="T134" i="13"/>
  <c r="V134" i="13" s="1"/>
  <c r="S134" i="13"/>
  <c r="U134" i="13" s="1"/>
  <c r="R134" i="13"/>
  <c r="O134" i="13"/>
  <c r="T133" i="13"/>
  <c r="V133" i="13" s="1"/>
  <c r="S133" i="13"/>
  <c r="U133" i="13" s="1"/>
  <c r="R133" i="13"/>
  <c r="O133" i="13"/>
  <c r="T132" i="13"/>
  <c r="V132" i="13" s="1"/>
  <c r="S132" i="13"/>
  <c r="U132" i="13" s="1"/>
  <c r="R132" i="13"/>
  <c r="O132" i="13"/>
  <c r="T131" i="13"/>
  <c r="V131" i="13" s="1"/>
  <c r="S131" i="13"/>
  <c r="U131" i="13" s="1"/>
  <c r="R131" i="13"/>
  <c r="O131" i="13"/>
  <c r="T130" i="13"/>
  <c r="V130" i="13" s="1"/>
  <c r="S130" i="13"/>
  <c r="U130" i="13" s="1"/>
  <c r="R130" i="13"/>
  <c r="O130" i="13"/>
  <c r="T129" i="13"/>
  <c r="V129" i="13" s="1"/>
  <c r="S129" i="13"/>
  <c r="U129" i="13" s="1"/>
  <c r="R129" i="13"/>
  <c r="O129" i="13"/>
  <c r="T128" i="13"/>
  <c r="V128" i="13" s="1"/>
  <c r="S128" i="13"/>
  <c r="U128" i="13" s="1"/>
  <c r="R128" i="13"/>
  <c r="O128" i="13"/>
  <c r="T127" i="13"/>
  <c r="V127" i="13" s="1"/>
  <c r="S127" i="13"/>
  <c r="U127" i="13" s="1"/>
  <c r="R127" i="13"/>
  <c r="O127" i="13"/>
  <c r="V126" i="13"/>
  <c r="T126" i="13"/>
  <c r="S126" i="13"/>
  <c r="U126" i="13" s="1"/>
  <c r="R126" i="13"/>
  <c r="O126" i="13"/>
  <c r="T125" i="13"/>
  <c r="V125" i="13" s="1"/>
  <c r="S125" i="13"/>
  <c r="U125" i="13" s="1"/>
  <c r="R125" i="13"/>
  <c r="O125" i="13"/>
  <c r="T124" i="13"/>
  <c r="V124" i="13" s="1"/>
  <c r="S124" i="13"/>
  <c r="U124" i="13" s="1"/>
  <c r="R124" i="13"/>
  <c r="O124" i="13"/>
  <c r="T123" i="13"/>
  <c r="V123" i="13" s="1"/>
  <c r="S123" i="13"/>
  <c r="U123" i="13" s="1"/>
  <c r="R123" i="13"/>
  <c r="O123" i="13"/>
  <c r="T122" i="13"/>
  <c r="V122" i="13" s="1"/>
  <c r="S122" i="13"/>
  <c r="U122" i="13" s="1"/>
  <c r="R122" i="13"/>
  <c r="O122" i="13"/>
  <c r="T121" i="13"/>
  <c r="V121" i="13" s="1"/>
  <c r="S121" i="13"/>
  <c r="U121" i="13" s="1"/>
  <c r="R121" i="13"/>
  <c r="O121" i="13"/>
  <c r="T120" i="13"/>
  <c r="V120" i="13" s="1"/>
  <c r="S120" i="13"/>
  <c r="U120" i="13" s="1"/>
  <c r="R120" i="13"/>
  <c r="O120" i="13"/>
  <c r="T119" i="13"/>
  <c r="V119" i="13" s="1"/>
  <c r="S119" i="13"/>
  <c r="U119" i="13" s="1"/>
  <c r="R119" i="13"/>
  <c r="O119" i="13"/>
  <c r="T118" i="13"/>
  <c r="V118" i="13" s="1"/>
  <c r="S118" i="13"/>
  <c r="U118" i="13" s="1"/>
  <c r="R118" i="13"/>
  <c r="O118" i="13"/>
  <c r="T117" i="13"/>
  <c r="V117" i="13" s="1"/>
  <c r="S117" i="13"/>
  <c r="U117" i="13" s="1"/>
  <c r="R117" i="13"/>
  <c r="O117" i="13"/>
  <c r="T116" i="13"/>
  <c r="V116" i="13" s="1"/>
  <c r="S116" i="13"/>
  <c r="U116" i="13" s="1"/>
  <c r="R116" i="13"/>
  <c r="O116" i="13"/>
  <c r="T115" i="13"/>
  <c r="V115" i="13" s="1"/>
  <c r="S115" i="13"/>
  <c r="U115" i="13" s="1"/>
  <c r="R115" i="13"/>
  <c r="O115" i="13"/>
  <c r="T114" i="13"/>
  <c r="V114" i="13" s="1"/>
  <c r="S114" i="13"/>
  <c r="U114" i="13" s="1"/>
  <c r="R114" i="13"/>
  <c r="O114" i="13"/>
  <c r="T113" i="13"/>
  <c r="V113" i="13" s="1"/>
  <c r="S113" i="13"/>
  <c r="U113" i="13" s="1"/>
  <c r="R113" i="13"/>
  <c r="O113" i="13"/>
  <c r="T112" i="13"/>
  <c r="V112" i="13" s="1"/>
  <c r="S112" i="13"/>
  <c r="U112" i="13" s="1"/>
  <c r="R112" i="13"/>
  <c r="O112" i="13"/>
  <c r="T111" i="13"/>
  <c r="V111" i="13" s="1"/>
  <c r="S111" i="13"/>
  <c r="U111" i="13" s="1"/>
  <c r="R111" i="13"/>
  <c r="O111" i="13"/>
  <c r="T110" i="13"/>
  <c r="V110" i="13" s="1"/>
  <c r="S110" i="13"/>
  <c r="U110" i="13" s="1"/>
  <c r="R110" i="13"/>
  <c r="O110" i="13"/>
  <c r="T109" i="13"/>
  <c r="V109" i="13" s="1"/>
  <c r="S109" i="13"/>
  <c r="U109" i="13" s="1"/>
  <c r="R109" i="13"/>
  <c r="O109" i="13"/>
  <c r="T108" i="13"/>
  <c r="V108" i="13" s="1"/>
  <c r="S108" i="13"/>
  <c r="U108" i="13" s="1"/>
  <c r="R108" i="13"/>
  <c r="O108" i="13"/>
  <c r="T107" i="13"/>
  <c r="V107" i="13" s="1"/>
  <c r="S107" i="13"/>
  <c r="U107" i="13" s="1"/>
  <c r="R107" i="13"/>
  <c r="O107" i="13"/>
  <c r="T106" i="13"/>
  <c r="V106" i="13" s="1"/>
  <c r="S106" i="13"/>
  <c r="U106" i="13" s="1"/>
  <c r="R106" i="13"/>
  <c r="O106" i="13"/>
  <c r="V105" i="13"/>
  <c r="T105" i="13"/>
  <c r="S105" i="13"/>
  <c r="U105" i="13" s="1"/>
  <c r="R105" i="13"/>
  <c r="O105" i="13"/>
  <c r="T104" i="13"/>
  <c r="V104" i="13" s="1"/>
  <c r="S104" i="13"/>
  <c r="U104" i="13" s="1"/>
  <c r="R104" i="13"/>
  <c r="O104" i="13"/>
  <c r="T103" i="13"/>
  <c r="V103" i="13" s="1"/>
  <c r="S103" i="13"/>
  <c r="U103" i="13" s="1"/>
  <c r="R103" i="13"/>
  <c r="O103" i="13"/>
  <c r="T102" i="13"/>
  <c r="V102" i="13" s="1"/>
  <c r="S102" i="13"/>
  <c r="U102" i="13" s="1"/>
  <c r="R102" i="13"/>
  <c r="O102" i="13"/>
  <c r="T101" i="13"/>
  <c r="V101" i="13" s="1"/>
  <c r="S101" i="13"/>
  <c r="U101" i="13" s="1"/>
  <c r="R101" i="13"/>
  <c r="O101" i="13"/>
  <c r="T100" i="13"/>
  <c r="V100" i="13" s="1"/>
  <c r="S100" i="13"/>
  <c r="U100" i="13" s="1"/>
  <c r="R100" i="13"/>
  <c r="O100" i="13"/>
  <c r="T99" i="13"/>
  <c r="V99" i="13" s="1"/>
  <c r="S99" i="13"/>
  <c r="U99" i="13" s="1"/>
  <c r="R99" i="13"/>
  <c r="O99" i="13"/>
  <c r="V98" i="13"/>
  <c r="T98" i="13"/>
  <c r="S98" i="13"/>
  <c r="U98" i="13" s="1"/>
  <c r="R98" i="13"/>
  <c r="O98" i="13"/>
  <c r="V97" i="13"/>
  <c r="T97" i="13"/>
  <c r="S97" i="13"/>
  <c r="U97" i="13" s="1"/>
  <c r="R97" i="13"/>
  <c r="O97" i="13"/>
  <c r="T96" i="13"/>
  <c r="V96" i="13" s="1"/>
  <c r="S96" i="13"/>
  <c r="U96" i="13" s="1"/>
  <c r="R96" i="13"/>
  <c r="O96" i="13"/>
  <c r="T95" i="13"/>
  <c r="V95" i="13" s="1"/>
  <c r="S95" i="13"/>
  <c r="U95" i="13" s="1"/>
  <c r="R95" i="13"/>
  <c r="O95" i="13"/>
  <c r="T94" i="13"/>
  <c r="V94" i="13" s="1"/>
  <c r="S94" i="13"/>
  <c r="U94" i="13" s="1"/>
  <c r="R94" i="13"/>
  <c r="O94" i="13"/>
  <c r="T93" i="13"/>
  <c r="V93" i="13" s="1"/>
  <c r="S93" i="13"/>
  <c r="U93" i="13" s="1"/>
  <c r="R93" i="13"/>
  <c r="O93" i="13"/>
  <c r="T92" i="13"/>
  <c r="V92" i="13" s="1"/>
  <c r="S92" i="13"/>
  <c r="U92" i="13" s="1"/>
  <c r="R92" i="13"/>
  <c r="O92" i="13"/>
  <c r="T91" i="13"/>
  <c r="V91" i="13" s="1"/>
  <c r="S91" i="13"/>
  <c r="U91" i="13" s="1"/>
  <c r="R91" i="13"/>
  <c r="O91" i="13"/>
  <c r="V90" i="13"/>
  <c r="T90" i="13"/>
  <c r="S90" i="13"/>
  <c r="U90" i="13" s="1"/>
  <c r="R90" i="13"/>
  <c r="O90" i="13"/>
  <c r="T89" i="13"/>
  <c r="V89" i="13" s="1"/>
  <c r="S89" i="13"/>
  <c r="U89" i="13" s="1"/>
  <c r="R89" i="13"/>
  <c r="O89" i="13"/>
  <c r="T88" i="13"/>
  <c r="V88" i="13" s="1"/>
  <c r="S88" i="13"/>
  <c r="U88" i="13" s="1"/>
  <c r="R88" i="13"/>
  <c r="O88" i="13"/>
  <c r="T87" i="13"/>
  <c r="V87" i="13" s="1"/>
  <c r="S87" i="13"/>
  <c r="U87" i="13" s="1"/>
  <c r="R87" i="13"/>
  <c r="O87" i="13"/>
  <c r="V86" i="13"/>
  <c r="T86" i="13"/>
  <c r="S86" i="13"/>
  <c r="U86" i="13" s="1"/>
  <c r="R86" i="13"/>
  <c r="O86" i="13"/>
  <c r="T85" i="13"/>
  <c r="V85" i="13" s="1"/>
  <c r="S85" i="13"/>
  <c r="U85" i="13" s="1"/>
  <c r="R85" i="13"/>
  <c r="O85" i="13"/>
  <c r="T84" i="13"/>
  <c r="V84" i="13" s="1"/>
  <c r="S84" i="13"/>
  <c r="U84" i="13" s="1"/>
  <c r="R84" i="13"/>
  <c r="O84" i="13"/>
  <c r="T83" i="13"/>
  <c r="V83" i="13" s="1"/>
  <c r="S83" i="13"/>
  <c r="U83" i="13" s="1"/>
  <c r="R83" i="13"/>
  <c r="O83" i="13"/>
  <c r="T82" i="13"/>
  <c r="V82" i="13" s="1"/>
  <c r="S82" i="13"/>
  <c r="U82" i="13" s="1"/>
  <c r="R82" i="13"/>
  <c r="O82" i="13"/>
  <c r="T81" i="13"/>
  <c r="V81" i="13" s="1"/>
  <c r="S81" i="13"/>
  <c r="U81" i="13" s="1"/>
  <c r="R81" i="13"/>
  <c r="O81" i="13"/>
  <c r="T80" i="13"/>
  <c r="V80" i="13" s="1"/>
  <c r="S80" i="13"/>
  <c r="U80" i="13" s="1"/>
  <c r="R80" i="13"/>
  <c r="O80" i="13"/>
  <c r="T79" i="13"/>
  <c r="V79" i="13" s="1"/>
  <c r="S79" i="13"/>
  <c r="U79" i="13" s="1"/>
  <c r="R79" i="13"/>
  <c r="O79" i="13"/>
  <c r="T78" i="13"/>
  <c r="V78" i="13" s="1"/>
  <c r="S78" i="13"/>
  <c r="U78" i="13" s="1"/>
  <c r="R78" i="13"/>
  <c r="O78" i="13"/>
  <c r="T77" i="13"/>
  <c r="V77" i="13" s="1"/>
  <c r="S77" i="13"/>
  <c r="U77" i="13" s="1"/>
  <c r="R77" i="13"/>
  <c r="O77" i="13"/>
  <c r="T76" i="13"/>
  <c r="V76" i="13" s="1"/>
  <c r="S76" i="13"/>
  <c r="U76" i="13" s="1"/>
  <c r="R76" i="13"/>
  <c r="O76" i="13"/>
  <c r="T75" i="13"/>
  <c r="V75" i="13" s="1"/>
  <c r="S75" i="13"/>
  <c r="U75" i="13" s="1"/>
  <c r="R75" i="13"/>
  <c r="O75" i="13"/>
  <c r="T74" i="13"/>
  <c r="V74" i="13" s="1"/>
  <c r="S74" i="13"/>
  <c r="U74" i="13" s="1"/>
  <c r="R74" i="13"/>
  <c r="O74" i="13"/>
  <c r="T73" i="13"/>
  <c r="V73" i="13" s="1"/>
  <c r="S73" i="13"/>
  <c r="U73" i="13" s="1"/>
  <c r="R73" i="13"/>
  <c r="O73" i="13"/>
  <c r="T72" i="13"/>
  <c r="V72" i="13" s="1"/>
  <c r="S72" i="13"/>
  <c r="U72" i="13" s="1"/>
  <c r="R72" i="13"/>
  <c r="O72" i="13"/>
  <c r="T71" i="13"/>
  <c r="V71" i="13" s="1"/>
  <c r="S71" i="13"/>
  <c r="U71" i="13" s="1"/>
  <c r="R71" i="13"/>
  <c r="O71" i="13"/>
  <c r="T70" i="13"/>
  <c r="V70" i="13" s="1"/>
  <c r="S70" i="13"/>
  <c r="U70" i="13" s="1"/>
  <c r="R70" i="13"/>
  <c r="O70" i="13"/>
  <c r="T69" i="13"/>
  <c r="V69" i="13" s="1"/>
  <c r="S69" i="13"/>
  <c r="U69" i="13" s="1"/>
  <c r="R69" i="13"/>
  <c r="O69" i="13"/>
  <c r="T68" i="13"/>
  <c r="V68" i="13" s="1"/>
  <c r="S68" i="13"/>
  <c r="U68" i="13" s="1"/>
  <c r="R68" i="13"/>
  <c r="O68" i="13"/>
  <c r="T67" i="13"/>
  <c r="V67" i="13" s="1"/>
  <c r="S67" i="13"/>
  <c r="U67" i="13" s="1"/>
  <c r="R67" i="13"/>
  <c r="O67" i="13"/>
  <c r="T66" i="13"/>
  <c r="V66" i="13" s="1"/>
  <c r="S66" i="13"/>
  <c r="U66" i="13" s="1"/>
  <c r="R66" i="13"/>
  <c r="O66" i="13"/>
  <c r="T65" i="13"/>
  <c r="V65" i="13" s="1"/>
  <c r="S65" i="13"/>
  <c r="U65" i="13" s="1"/>
  <c r="R65" i="13"/>
  <c r="O65" i="13"/>
  <c r="T64" i="13"/>
  <c r="V64" i="13" s="1"/>
  <c r="S64" i="13"/>
  <c r="U64" i="13" s="1"/>
  <c r="R64" i="13"/>
  <c r="O64" i="13"/>
  <c r="T63" i="13"/>
  <c r="V63" i="13" s="1"/>
  <c r="S63" i="13"/>
  <c r="U63" i="13" s="1"/>
  <c r="R63" i="13"/>
  <c r="O63" i="13"/>
  <c r="T62" i="13"/>
  <c r="V62" i="13" s="1"/>
  <c r="S62" i="13"/>
  <c r="U62" i="13" s="1"/>
  <c r="R62" i="13"/>
  <c r="O62" i="13"/>
  <c r="T61" i="13"/>
  <c r="V61" i="13" s="1"/>
  <c r="S61" i="13"/>
  <c r="U61" i="13" s="1"/>
  <c r="R61" i="13"/>
  <c r="O61" i="13"/>
  <c r="T60" i="13"/>
  <c r="V60" i="13" s="1"/>
  <c r="S60" i="13"/>
  <c r="U60" i="13" s="1"/>
  <c r="R60" i="13"/>
  <c r="O60" i="13"/>
  <c r="T59" i="13"/>
  <c r="V59" i="13" s="1"/>
  <c r="S59" i="13"/>
  <c r="U59" i="13" s="1"/>
  <c r="R59" i="13"/>
  <c r="O59" i="13"/>
  <c r="T58" i="13"/>
  <c r="V58" i="13" s="1"/>
  <c r="S58" i="13"/>
  <c r="U58" i="13" s="1"/>
  <c r="R58" i="13"/>
  <c r="O58" i="13"/>
  <c r="T57" i="13"/>
  <c r="V57" i="13" s="1"/>
  <c r="S57" i="13"/>
  <c r="U57" i="13" s="1"/>
  <c r="R57" i="13"/>
  <c r="O57" i="13"/>
  <c r="T56" i="13"/>
  <c r="V56" i="13" s="1"/>
  <c r="S56" i="13"/>
  <c r="U56" i="13" s="1"/>
  <c r="R56" i="13"/>
  <c r="O56" i="13"/>
  <c r="T55" i="13"/>
  <c r="V55" i="13" s="1"/>
  <c r="S55" i="13"/>
  <c r="U55" i="13" s="1"/>
  <c r="R55" i="13"/>
  <c r="O55" i="13"/>
  <c r="T54" i="13"/>
  <c r="V54" i="13" s="1"/>
  <c r="S54" i="13"/>
  <c r="U54" i="13" s="1"/>
  <c r="R54" i="13"/>
  <c r="O54" i="13"/>
  <c r="T53" i="13"/>
  <c r="V53" i="13" s="1"/>
  <c r="S53" i="13"/>
  <c r="U53" i="13" s="1"/>
  <c r="R53" i="13"/>
  <c r="O53" i="13"/>
  <c r="T52" i="13"/>
  <c r="V52" i="13" s="1"/>
  <c r="S52" i="13"/>
  <c r="U52" i="13" s="1"/>
  <c r="R52" i="13"/>
  <c r="O52" i="13"/>
  <c r="T51" i="13"/>
  <c r="V51" i="13" s="1"/>
  <c r="S51" i="13"/>
  <c r="U51" i="13" s="1"/>
  <c r="R51" i="13"/>
  <c r="O51" i="13"/>
  <c r="T50" i="13"/>
  <c r="V50" i="13" s="1"/>
  <c r="S50" i="13"/>
  <c r="U50" i="13" s="1"/>
  <c r="R50" i="13"/>
  <c r="O50" i="13"/>
  <c r="T49" i="13"/>
  <c r="V49" i="13" s="1"/>
  <c r="S49" i="13"/>
  <c r="U49" i="13" s="1"/>
  <c r="R49" i="13"/>
  <c r="O49" i="13"/>
  <c r="T48" i="13"/>
  <c r="V48" i="13" s="1"/>
  <c r="S48" i="13"/>
  <c r="U48" i="13" s="1"/>
  <c r="R48" i="13"/>
  <c r="O48" i="13"/>
  <c r="T47" i="13"/>
  <c r="V47" i="13" s="1"/>
  <c r="S47" i="13"/>
  <c r="U47" i="13" s="1"/>
  <c r="R47" i="13"/>
  <c r="O47" i="13"/>
  <c r="T46" i="13"/>
  <c r="V46" i="13" s="1"/>
  <c r="S46" i="13"/>
  <c r="U46" i="13" s="1"/>
  <c r="R46" i="13"/>
  <c r="O46" i="13"/>
  <c r="T45" i="13"/>
  <c r="V45" i="13" s="1"/>
  <c r="S45" i="13"/>
  <c r="U45" i="13" s="1"/>
  <c r="R45" i="13"/>
  <c r="O45" i="13"/>
  <c r="T44" i="13"/>
  <c r="V44" i="13" s="1"/>
  <c r="S44" i="13"/>
  <c r="U44" i="13" s="1"/>
  <c r="R44" i="13"/>
  <c r="O44" i="13"/>
  <c r="T43" i="13"/>
  <c r="V43" i="13" s="1"/>
  <c r="S43" i="13"/>
  <c r="U43" i="13" s="1"/>
  <c r="R43" i="13"/>
  <c r="O43" i="13"/>
  <c r="T42" i="13"/>
  <c r="V42" i="13" s="1"/>
  <c r="S42" i="13"/>
  <c r="U42" i="13" s="1"/>
  <c r="R42" i="13"/>
  <c r="O42" i="13"/>
  <c r="T41" i="13"/>
  <c r="V41" i="13" s="1"/>
  <c r="S41" i="13"/>
  <c r="U41" i="13" s="1"/>
  <c r="R41" i="13"/>
  <c r="O41" i="13"/>
  <c r="T40" i="13"/>
  <c r="V40" i="13" s="1"/>
  <c r="S40" i="13"/>
  <c r="U40" i="13" s="1"/>
  <c r="R40" i="13"/>
  <c r="O40" i="13"/>
  <c r="T39" i="13"/>
  <c r="V39" i="13" s="1"/>
  <c r="S39" i="13"/>
  <c r="U39" i="13" s="1"/>
  <c r="R39" i="13"/>
  <c r="O39" i="13"/>
  <c r="T38" i="13"/>
  <c r="V38" i="13" s="1"/>
  <c r="S38" i="13"/>
  <c r="U38" i="13" s="1"/>
  <c r="R38" i="13"/>
  <c r="O38" i="13"/>
  <c r="T37" i="13"/>
  <c r="V37" i="13" s="1"/>
  <c r="S37" i="13"/>
  <c r="U37" i="13" s="1"/>
  <c r="R37" i="13"/>
  <c r="O37" i="13"/>
  <c r="T36" i="13"/>
  <c r="V36" i="13" s="1"/>
  <c r="S36" i="13"/>
  <c r="U36" i="13" s="1"/>
  <c r="R36" i="13"/>
  <c r="O36" i="13"/>
  <c r="T35" i="13"/>
  <c r="V35" i="13" s="1"/>
  <c r="S35" i="13"/>
  <c r="U35" i="13" s="1"/>
  <c r="R35" i="13"/>
  <c r="O35" i="13"/>
  <c r="T34" i="13"/>
  <c r="S34" i="13"/>
  <c r="R34" i="13"/>
  <c r="O34" i="13"/>
  <c r="T33" i="13"/>
  <c r="V33" i="13" s="1"/>
  <c r="S33" i="13"/>
  <c r="U33" i="13" s="1"/>
  <c r="R33" i="13"/>
  <c r="O33" i="13"/>
  <c r="T32" i="13"/>
  <c r="V32" i="13" s="1"/>
  <c r="S32" i="13"/>
  <c r="U32" i="13" s="1"/>
  <c r="R32" i="13"/>
  <c r="O32" i="13"/>
  <c r="T31" i="13"/>
  <c r="V31" i="13" s="1"/>
  <c r="S31" i="13"/>
  <c r="U31" i="13" s="1"/>
  <c r="R31" i="13"/>
  <c r="O31" i="13"/>
  <c r="T30" i="13"/>
  <c r="V30" i="13" s="1"/>
  <c r="S30" i="13"/>
  <c r="U30" i="13" s="1"/>
  <c r="R30" i="13"/>
  <c r="O30" i="13"/>
  <c r="T29" i="13"/>
  <c r="V29" i="13" s="1"/>
  <c r="S29" i="13"/>
  <c r="U29" i="13" s="1"/>
  <c r="R29" i="13"/>
  <c r="O29" i="13"/>
  <c r="T28" i="13"/>
  <c r="V28" i="13" s="1"/>
  <c r="S28" i="13"/>
  <c r="U28" i="13" s="1"/>
  <c r="R28" i="13"/>
  <c r="O28" i="13"/>
  <c r="T27" i="13"/>
  <c r="V27" i="13" s="1"/>
  <c r="S27" i="13"/>
  <c r="U27" i="13" s="1"/>
  <c r="R27" i="13"/>
  <c r="O27" i="13"/>
  <c r="T26" i="13"/>
  <c r="V26" i="13" s="1"/>
  <c r="S26" i="13"/>
  <c r="U26" i="13" s="1"/>
  <c r="R26" i="13"/>
  <c r="O26" i="13"/>
  <c r="T25" i="13"/>
  <c r="V25" i="13" s="1"/>
  <c r="S25" i="13"/>
  <c r="U25" i="13" s="1"/>
  <c r="R25" i="13"/>
  <c r="O25" i="13"/>
  <c r="T24" i="13"/>
  <c r="V24" i="13" s="1"/>
  <c r="S24" i="13"/>
  <c r="U24" i="13" s="1"/>
  <c r="R24" i="13"/>
  <c r="O24" i="13"/>
  <c r="T23" i="13"/>
  <c r="V23" i="13" s="1"/>
  <c r="S23" i="13"/>
  <c r="U23" i="13" s="1"/>
  <c r="R23" i="13"/>
  <c r="O23" i="13"/>
  <c r="T22" i="13"/>
  <c r="V22" i="13" s="1"/>
  <c r="S22" i="13"/>
  <c r="U22" i="13" s="1"/>
  <c r="R22" i="13"/>
  <c r="O22" i="13"/>
  <c r="T21" i="13"/>
  <c r="V21" i="13" s="1"/>
  <c r="S21" i="13"/>
  <c r="U21" i="13" s="1"/>
  <c r="R21" i="13"/>
  <c r="O21" i="13"/>
  <c r="T20" i="13"/>
  <c r="V20" i="13" s="1"/>
  <c r="S20" i="13"/>
  <c r="U20" i="13" s="1"/>
  <c r="R20" i="13"/>
  <c r="O20" i="13"/>
  <c r="T19" i="13"/>
  <c r="V19" i="13" s="1"/>
  <c r="S19" i="13"/>
  <c r="U19" i="13" s="1"/>
  <c r="R19" i="13"/>
  <c r="O19" i="13"/>
  <c r="T18" i="13"/>
  <c r="V18" i="13" s="1"/>
  <c r="S18" i="13"/>
  <c r="U18" i="13" s="1"/>
  <c r="R18" i="13"/>
  <c r="O18" i="13"/>
  <c r="V17" i="13"/>
  <c r="T17" i="13"/>
  <c r="S17" i="13"/>
  <c r="U17" i="13" s="1"/>
  <c r="R17" i="13"/>
  <c r="O17" i="13"/>
  <c r="V16" i="13"/>
  <c r="T16" i="13"/>
  <c r="S16" i="13"/>
  <c r="U16" i="13" s="1"/>
  <c r="R16" i="13"/>
  <c r="O16" i="13"/>
  <c r="V15" i="13"/>
  <c r="T15" i="13"/>
  <c r="S15" i="13"/>
  <c r="U15" i="13" s="1"/>
  <c r="R15" i="13"/>
  <c r="O15" i="13"/>
  <c r="V14" i="13"/>
  <c r="T14" i="13"/>
  <c r="S14" i="13"/>
  <c r="U14" i="13" s="1"/>
  <c r="R14" i="13"/>
  <c r="O14" i="13"/>
  <c r="V13" i="13"/>
  <c r="T13" i="13"/>
  <c r="S13" i="13"/>
  <c r="U13" i="13" s="1"/>
  <c r="R13" i="13"/>
  <c r="O13" i="13"/>
  <c r="T12" i="13"/>
  <c r="V12" i="13" s="1"/>
  <c r="S12" i="13"/>
  <c r="U12" i="13" s="1"/>
  <c r="R12" i="13"/>
  <c r="O12" i="13"/>
  <c r="T11" i="13"/>
  <c r="V11" i="13" s="1"/>
  <c r="S11" i="13"/>
  <c r="U11" i="13" s="1"/>
  <c r="R11" i="13"/>
  <c r="O11" i="13"/>
  <c r="V10" i="13"/>
  <c r="T10" i="13"/>
  <c r="S10" i="13"/>
  <c r="U10" i="13" s="1"/>
  <c r="R10" i="13"/>
  <c r="O10" i="13"/>
  <c r="V9" i="13"/>
  <c r="T9" i="13"/>
  <c r="S9" i="13"/>
  <c r="U9" i="13" s="1"/>
  <c r="R9" i="13"/>
  <c r="O9" i="13"/>
  <c r="T8" i="13"/>
  <c r="V8" i="13" s="1"/>
  <c r="S8" i="13"/>
  <c r="U8" i="13" s="1"/>
  <c r="R8" i="13"/>
  <c r="O8" i="13"/>
  <c r="T7" i="13"/>
  <c r="V7" i="13" s="1"/>
  <c r="S7" i="13"/>
  <c r="U7" i="13" s="1"/>
  <c r="R7" i="13"/>
  <c r="O7" i="13"/>
  <c r="V6" i="13"/>
  <c r="T6" i="13"/>
  <c r="S6" i="13"/>
  <c r="U6" i="13" s="1"/>
  <c r="R6" i="13"/>
  <c r="O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F3FDA5C5-BE57-224B-84AF-AB6F6E5927E7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B9AB529-7325-E840-AB0B-D63273E4F2E6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EC658ED5-35A9-CC40-9927-E9E3755DFBE1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<sst xmlns="http://schemas.openxmlformats.org/spreadsheetml/2006/main" count="1307" uniqueCount="375">
  <si>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</si>
  <si>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</si>
  <si>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</si>
  <si>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</si>
  <si>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</si>
  <si>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</si>
  <si>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</si>
  <si>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</si>
  <si>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</si>
  <si>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</si>
  <si>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</si>
  <si>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</si>
  <si>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</si>
  <si>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</si>
  <si>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</si>
  <si>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</si>
  <si>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</si>
  <si>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</si>
  <si>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</si>
  <si>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</si>
  <si>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</si>
  <si>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</si>
  <si>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</si>
  <si>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</si>
  <si>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</si>
  <si>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</si>
  <si>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</si>
  <si>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</si>
  <si>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</si>
  <si>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</si>
  <si>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</si>
  <si>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</si>
  <si>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</si>
  <si>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</si>
  <si>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</si>
  <si>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</si>
  <si>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</si>
  <si>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</si>
  <si>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</si>
  <si>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</si>
  <si>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</si>
  <si>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</si>
  <si>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</si>
  <si>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</si>
  <si>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</si>
  <si>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</si>
  <si>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</si>
  <si>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</si>
  <si>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</si>
  <si>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</si>
  <si>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</si>
  <si>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</si>
  <si>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</si>
  <si>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</si>
  <si>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</si>
  <si>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</si>
  <si>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</si>
  <si>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</si>
  <si>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</si>
  <si>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</si>
  <si>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</si>
  <si>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</si>
  <si>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</si>
  <si>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</si>
  <si>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</si>
  <si>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</si>
  <si>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</si>
  <si>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</si>
  <si>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</si>
  <si>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</si>
  <si>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</si>
  <si>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</si>
  <si>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</si>
  <si>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</si>
  <si>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</si>
  <si>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</si>
  <si>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</si>
  <si>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</si>
  <si>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</si>
  <si>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</si>
  <si>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</si>
  <si>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</si>
  <si>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</si>
  <si>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</si>
  <si>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</si>
  <si>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</si>
  <si>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X</t>
  </si>
  <si>
    <t>Y</t>
  </si>
  <si>
    <t>Z</t>
  </si>
  <si>
    <t>AC</t>
  </si>
  <si>
    <t>AN</t>
  </si>
  <si>
    <t>AE</t>
  </si>
  <si>
    <t>AD</t>
  </si>
  <si>
    <t>AG</t>
  </si>
  <si>
    <t>AH</t>
  </si>
  <si>
    <t>AI</t>
  </si>
  <si>
    <t>AL</t>
  </si>
  <si>
    <t>AM</t>
  </si>
  <si>
    <t>Memphis-Project</t>
    <phoneticPr fontId="10" type="noConversion"/>
  </si>
  <si>
    <t>3-1</t>
  </si>
  <si>
    <t>3-2</t>
  </si>
  <si>
    <t>8-1</t>
  </si>
  <si>
    <t>8-2</t>
  </si>
  <si>
    <t>27-1</t>
  </si>
  <si>
    <t>27-2</t>
  </si>
  <si>
    <t>32-1</t>
  </si>
  <si>
    <t>32-2</t>
  </si>
  <si>
    <t>37-1</t>
  </si>
  <si>
    <t>37-2</t>
  </si>
  <si>
    <t>65-1</t>
  </si>
  <si>
    <t>65-2</t>
  </si>
  <si>
    <t>72-1</t>
  </si>
  <si>
    <t>72-2</t>
  </si>
  <si>
    <t>73-1</t>
  </si>
  <si>
    <t>73-2</t>
  </si>
  <si>
    <t>6-1</t>
  </si>
  <si>
    <t>6-2</t>
  </si>
  <si>
    <t>8-3</t>
  </si>
  <si>
    <t>14_1</t>
  </si>
  <si>
    <t>14_2</t>
  </si>
  <si>
    <t>17-1</t>
  </si>
  <si>
    <t>17-2</t>
  </si>
  <si>
    <t>17-3</t>
  </si>
  <si>
    <t>20-1</t>
  </si>
  <si>
    <t>20-2</t>
  </si>
  <si>
    <t>20-3</t>
  </si>
  <si>
    <t>22-1</t>
  </si>
  <si>
    <t>22-2</t>
  </si>
  <si>
    <t>23-1</t>
  </si>
  <si>
    <t>23-2</t>
  </si>
  <si>
    <t>28-1</t>
  </si>
  <si>
    <t>28-2</t>
  </si>
  <si>
    <t>33-1</t>
  </si>
  <si>
    <t>33-2</t>
  </si>
  <si>
    <t>35-1</t>
  </si>
  <si>
    <t>35-2</t>
  </si>
  <si>
    <t>37-3</t>
  </si>
  <si>
    <t>38-1</t>
  </si>
  <si>
    <t>38-2</t>
  </si>
  <si>
    <t>39-1</t>
  </si>
  <si>
    <t>39-2</t>
  </si>
  <si>
    <t>40-1</t>
  </si>
  <si>
    <t>40-2</t>
  </si>
  <si>
    <t>40-3</t>
  </si>
  <si>
    <t>41-1</t>
  </si>
  <si>
    <t>41-2</t>
  </si>
  <si>
    <t>41-3</t>
  </si>
  <si>
    <t>41-4</t>
  </si>
  <si>
    <t>42-1</t>
  </si>
  <si>
    <t>42-2</t>
  </si>
  <si>
    <t>42-3</t>
  </si>
  <si>
    <t>44-1</t>
  </si>
  <si>
    <t>44-2</t>
  </si>
  <si>
    <t>44-3</t>
  </si>
  <si>
    <t>44-4</t>
  </si>
  <si>
    <t>45-1</t>
  </si>
  <si>
    <t>45-2</t>
  </si>
  <si>
    <t>45-3</t>
  </si>
  <si>
    <t>46-1</t>
  </si>
  <si>
    <t>46-2</t>
  </si>
  <si>
    <t>61-1</t>
  </si>
  <si>
    <t>61-2</t>
  </si>
  <si>
    <t>61-3</t>
  </si>
  <si>
    <t>64-1</t>
  </si>
  <si>
    <t>64-2</t>
  </si>
  <si>
    <t>64-3</t>
  </si>
  <si>
    <t>65-3</t>
  </si>
  <si>
    <t>66</t>
  </si>
  <si>
    <t>67</t>
  </si>
  <si>
    <t>68-1</t>
  </si>
  <si>
    <t>68-2</t>
  </si>
  <si>
    <t>68-3</t>
  </si>
  <si>
    <t>69-1</t>
  </si>
  <si>
    <t>69-2</t>
  </si>
  <si>
    <t>69-3</t>
  </si>
  <si>
    <t>70</t>
  </si>
  <si>
    <t>71-1</t>
  </si>
  <si>
    <t>71-2</t>
  </si>
  <si>
    <t>74-1</t>
  </si>
  <si>
    <t>74-2</t>
  </si>
  <si>
    <t>75-1</t>
  </si>
  <si>
    <t>75-2</t>
  </si>
  <si>
    <t>77</t>
  </si>
  <si>
    <t>82-1</t>
  </si>
  <si>
    <t>82-2</t>
  </si>
  <si>
    <t>82-3</t>
  </si>
  <si>
    <t>82-4</t>
  </si>
  <si>
    <t>82-5</t>
  </si>
  <si>
    <t>82-6</t>
  </si>
  <si>
    <t>86</t>
  </si>
  <si>
    <t>87-1</t>
  </si>
  <si>
    <t>87-2</t>
  </si>
  <si>
    <t>87-3</t>
  </si>
  <si>
    <t>88-1</t>
  </si>
  <si>
    <t>88-2</t>
  </si>
  <si>
    <t>94-1</t>
  </si>
  <si>
    <t>94-2</t>
  </si>
  <si>
    <t>94-3</t>
  </si>
  <si>
    <t>94-4</t>
  </si>
  <si>
    <t>94-5</t>
  </si>
  <si>
    <t>94-6</t>
  </si>
  <si>
    <t>101-1</t>
  </si>
  <si>
    <t>101-2</t>
  </si>
  <si>
    <t>101-3</t>
  </si>
  <si>
    <t>107-1</t>
  </si>
  <si>
    <t>107-2</t>
  </si>
  <si>
    <t>107-3</t>
  </si>
  <si>
    <t>108-1</t>
  </si>
  <si>
    <t>108-2</t>
  </si>
  <si>
    <t>109-1</t>
  </si>
  <si>
    <t>109-2</t>
  </si>
  <si>
    <t>110-1</t>
  </si>
  <si>
    <t>110-2</t>
  </si>
  <si>
    <t>112-1</t>
  </si>
  <si>
    <t>112-2</t>
  </si>
  <si>
    <t>118</t>
  </si>
  <si>
    <t>127-1</t>
  </si>
  <si>
    <t>127-2</t>
  </si>
  <si>
    <t>128-1</t>
  </si>
  <si>
    <t>128-2</t>
  </si>
  <si>
    <t>129-1</t>
  </si>
  <si>
    <t>129-2</t>
  </si>
  <si>
    <t>130-1</t>
  </si>
  <si>
    <t>130-2</t>
  </si>
  <si>
    <t>145-1</t>
  </si>
  <si>
    <t>145-2</t>
  </si>
  <si>
    <t>145-3</t>
  </si>
  <si>
    <t>Straightness</t>
  </si>
  <si>
    <t>Diameter</t>
  </si>
  <si>
    <t>True position</t>
  </si>
  <si>
    <t>Line profile</t>
  </si>
  <si>
    <t>CMM</t>
  </si>
  <si>
    <t>A</t>
  </si>
  <si>
    <t>U</t>
  </si>
  <si>
    <t>T</t>
  </si>
  <si>
    <t>W</t>
  </si>
  <si>
    <t>AK</t>
  </si>
  <si>
    <t>AJ</t>
  </si>
  <si>
    <t>AS</t>
  </si>
  <si>
    <t>AT</t>
  </si>
  <si>
    <t>AU</t>
  </si>
  <si>
    <t>V</t>
  </si>
  <si>
    <t>AP</t>
  </si>
  <si>
    <t>AQ</t>
  </si>
  <si>
    <t>AV</t>
  </si>
  <si>
    <t>AW</t>
  </si>
  <si>
    <t>AZ</t>
  </si>
  <si>
    <t>BA</t>
  </si>
  <si>
    <t>BB</t>
  </si>
  <si>
    <t>BC</t>
  </si>
  <si>
    <t>BE</t>
  </si>
  <si>
    <t>BF</t>
  </si>
  <si>
    <t>BG</t>
  </si>
  <si>
    <t>BH</t>
  </si>
  <si>
    <t>BI</t>
  </si>
  <si>
    <t>BK</t>
  </si>
  <si>
    <t>BL</t>
  </si>
  <si>
    <t>BS</t>
  </si>
  <si>
    <t>BT</t>
  </si>
  <si>
    <t>22-3</t>
  </si>
  <si>
    <t>22-4</t>
  </si>
  <si>
    <t>22-5</t>
  </si>
  <si>
    <t>78-2</t>
    <phoneticPr fontId="10" type="noConversion"/>
  </si>
  <si>
    <t>78-1</t>
    <phoneticPr fontId="10" type="noConversion"/>
  </si>
  <si>
    <t>89-1</t>
    <phoneticPr fontId="10" type="noConversion"/>
  </si>
  <si>
    <t>89-2</t>
    <phoneticPr fontId="10" type="noConversion"/>
  </si>
  <si>
    <t>94-7</t>
  </si>
  <si>
    <t>94-8</t>
  </si>
  <si>
    <t>94-9</t>
  </si>
  <si>
    <t>94-10</t>
  </si>
  <si>
    <t>94-11</t>
  </si>
  <si>
    <t>94-12</t>
  </si>
  <si>
    <t>94-13</t>
  </si>
  <si>
    <t>94-14</t>
  </si>
  <si>
    <t>94-15</t>
  </si>
  <si>
    <t>94-16</t>
  </si>
  <si>
    <t>94-17</t>
  </si>
  <si>
    <t>94-18</t>
  </si>
  <si>
    <t>94-19</t>
  </si>
  <si>
    <t>94-20</t>
  </si>
  <si>
    <t>94-21</t>
  </si>
  <si>
    <t>101-4</t>
    <phoneticPr fontId="10" type="noConversion"/>
  </si>
  <si>
    <t>105-1</t>
    <phoneticPr fontId="10" type="noConversion"/>
  </si>
  <si>
    <t>105-2</t>
  </si>
  <si>
    <t>105-3</t>
  </si>
  <si>
    <t>106-1</t>
    <phoneticPr fontId="10" type="noConversion"/>
  </si>
  <si>
    <t>106-2</t>
  </si>
  <si>
    <t>106-3</t>
  </si>
  <si>
    <t>138-1</t>
    <phoneticPr fontId="10" type="noConversion"/>
  </si>
  <si>
    <t>138-2</t>
  </si>
  <si>
    <t>138-3</t>
  </si>
  <si>
    <t>146-1</t>
    <phoneticPr fontId="10" type="noConversion"/>
  </si>
  <si>
    <t>146-2</t>
  </si>
  <si>
    <t>146-3</t>
  </si>
  <si>
    <t>Profile of a Surface</t>
  </si>
  <si>
    <t>149-1</t>
    <phoneticPr fontId="10" type="noConversion"/>
  </si>
  <si>
    <t>149-2</t>
  </si>
  <si>
    <t>Verticality</t>
  </si>
  <si>
    <t>136-1(l1)</t>
    <phoneticPr fontId="10" type="noConversion"/>
  </si>
  <si>
    <t>136-2(l1)</t>
    <phoneticPr fontId="10" type="noConversion"/>
  </si>
  <si>
    <t>136-3(l1)</t>
    <phoneticPr fontId="10" type="noConversion"/>
  </si>
  <si>
    <t>F</t>
  </si>
  <si>
    <t>AF</t>
  </si>
  <si>
    <t>BD</t>
  </si>
  <si>
    <t>E-1</t>
  </si>
  <si>
    <t>E-2</t>
  </si>
  <si>
    <t>E-3</t>
  </si>
  <si>
    <t>44-5</t>
  </si>
  <si>
    <t>146-1</t>
  </si>
  <si>
    <t>BU</t>
  </si>
  <si>
    <t>BV</t>
  </si>
  <si>
    <t>BW</t>
  </si>
  <si>
    <t>BX</t>
  </si>
  <si>
    <t>BY</t>
  </si>
  <si>
    <t>CA</t>
  </si>
  <si>
    <t>CB</t>
  </si>
  <si>
    <t>BZ</t>
  </si>
  <si>
    <t>21-1 (P73)</t>
  </si>
  <si>
    <t>21-2 (P52)</t>
    <phoneticPr fontId="10" type="noConversion"/>
  </si>
  <si>
    <t>21-3 (P36)</t>
    <phoneticPr fontId="10" type="noConversion"/>
  </si>
  <si>
    <t>21-4 (P21)</t>
    <phoneticPr fontId="10" type="noConversion"/>
  </si>
  <si>
    <t>21-5 (P2)</t>
    <phoneticPr fontId="10" type="noConversion"/>
  </si>
  <si>
    <t>21-6 (P1)</t>
    <phoneticPr fontId="10" type="noConversion"/>
  </si>
  <si>
    <t>44-6</t>
  </si>
  <si>
    <t>25-A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</si>
  <si>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</si>
  <si>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</si>
  <si>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</si>
  <si>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</si>
  <si>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</si>
  <si>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</si>
  <si>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</si>
  <si>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</si>
  <si>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</si>
  <si>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MCO Rev.7 / MSoP Rev.5 /
PGM Rev.1</t>
    <phoneticPr fontId="10" type="noConversion"/>
  </si>
  <si>
    <t>817-11868</t>
    <phoneticPr fontId="10" type="noConversion"/>
  </si>
  <si>
    <t>817-11868</t>
  </si>
  <si>
    <t>PCS</t>
    <phoneticPr fontId="57" type="noConversion"/>
  </si>
  <si>
    <t>MP</t>
    <phoneticPr fontId="10" type="noConversion"/>
  </si>
  <si>
    <t>AB</t>
    <phoneticPr fontId="10" type="noConversion"/>
  </si>
  <si>
    <t>21-P73</t>
  </si>
  <si>
    <t>21-P52</t>
  </si>
  <si>
    <t>21-P36</t>
  </si>
  <si>
    <t>21-P21</t>
  </si>
  <si>
    <t>21-P2</t>
  </si>
  <si>
    <t>21-P1</t>
  </si>
  <si>
    <t>22-S1</t>
  </si>
  <si>
    <t>22-S2</t>
  </si>
  <si>
    <t>22-S3</t>
  </si>
  <si>
    <t>22-S4</t>
  </si>
  <si>
    <t>22-S5</t>
  </si>
  <si>
    <t>23-S6</t>
  </si>
  <si>
    <t>23-S7</t>
  </si>
  <si>
    <t>CC</t>
  </si>
  <si>
    <t>CD</t>
  </si>
  <si>
    <t>3HUR00018A/320/DP252372060A1BBM</t>
  </si>
  <si>
    <t>20250603-50-B</t>
  </si>
  <si>
    <t>관리 치수</t>
    <phoneticPr fontId="10" type="noConversion"/>
  </si>
  <si>
    <t>LSL</t>
    <phoneticPr fontId="10" type="noConversion"/>
  </si>
  <si>
    <t>USL</t>
    <phoneticPr fontId="10" type="noConversion"/>
  </si>
  <si>
    <t>LG 요청 치수</t>
    <phoneticPr fontId="10" type="noConversion"/>
  </si>
  <si>
    <t>111</t>
  </si>
  <si>
    <t>112-V1</t>
  </si>
  <si>
    <t>113-V1</t>
  </si>
  <si>
    <t>114-V1</t>
  </si>
  <si>
    <t>115-V1</t>
  </si>
  <si>
    <t>116-V1</t>
  </si>
  <si>
    <t>117-V1</t>
  </si>
  <si>
    <t>112-V2</t>
  </si>
  <si>
    <t>113-V2</t>
  </si>
  <si>
    <t xml:space="preserve"> 114-V2</t>
  </si>
  <si>
    <t>115-V2</t>
  </si>
  <si>
    <t>116-V2</t>
  </si>
  <si>
    <t>117-V2</t>
  </si>
  <si>
    <t>Annealing Date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</si>
</sst>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3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6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39" fillId="0" borderId="28" xfId="48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1" fontId="12" fillId="0" borderId="28" xfId="0" applyNumberFormat="1" applyFont="1" applyBorder="1" applyAlignment="1" applyProtection="1">
      <alignment horizontal="center" vertical="center"/>
      <protection locked="0"/>
    </xf>
    <xf numFmtId="0" fontId="55" fillId="0" borderId="21" xfId="0" applyFont="1" applyBorder="1" applyAlignment="1" applyProtection="1">
      <alignment horizontal="center"/>
      <protection locked="0"/>
    </xf>
    <xf numFmtId="49" fontId="12" fillId="0" borderId="28" xfId="692" applyNumberFormat="1" applyFont="1" applyBorder="1" applyAlignment="1" applyProtection="1">
      <alignment horizontal="center" vertical="center" wrapText="1"/>
      <protection locked="0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2" fontId="12" fillId="0" borderId="27" xfId="0" applyNumberFormat="1" applyFont="1" applyBorder="1" applyAlignment="1">
      <alignment horizontal="center" vertical="center" wrapText="1"/>
    </xf>
    <xf numFmtId="0" fontId="12" fillId="0" borderId="28" xfId="4" applyNumberFormat="1" applyFont="1" applyBorder="1" applyAlignment="1">
      <alignment horizontal="center" vertical="center"/>
    </xf>
    <xf numFmtId="181" fontId="12" fillId="0" borderId="28" xfId="364" applyNumberFormat="1" applyFont="1" applyBorder="1" applyAlignment="1" applyProtection="1">
      <alignment horizontal="center" vertical="center"/>
      <protection locked="0"/>
    </xf>
    <xf numFmtId="181" fontId="12" fillId="0" borderId="28" xfId="692" applyNumberFormat="1" applyFont="1" applyBorder="1" applyAlignment="1" applyProtection="1">
      <alignment horizontal="center" vertical="center" wrapText="1"/>
      <protection locked="0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14" fontId="56" fillId="4" borderId="29" xfId="388" applyNumberFormat="1" applyFont="1" applyFill="1" applyBorder="1" applyAlignment="1">
      <alignment horizontal="center" vertical="center"/>
    </xf>
    <xf numFmtId="49" fontId="56" fillId="4" borderId="29" xfId="388" applyNumberFormat="1" applyFont="1" applyFill="1" applyBorder="1" applyAlignment="1">
      <alignment horizontal="center" vertical="center"/>
    </xf>
    <xf numFmtId="0" fontId="56" fillId="0" borderId="29" xfId="388" applyFont="1" applyBorder="1" applyAlignment="1">
      <alignment horizontal="center" vertical="center"/>
    </xf>
    <xf numFmtId="183" fontId="56" fillId="4" borderId="29" xfId="388" applyNumberFormat="1" applyFont="1" applyFill="1" applyBorder="1" applyAlignment="1">
      <alignment horizontal="center" vertical="center"/>
    </xf>
    <xf numFmtId="0" fontId="56" fillId="4" borderId="29" xfId="388" applyFont="1" applyFill="1" applyBorder="1" applyAlignment="1">
      <alignment horizontal="center" vertical="center"/>
    </xf>
    <xf numFmtId="183" fontId="56" fillId="0" borderId="29" xfId="388" applyNumberFormat="1" applyFont="1" applyBorder="1" applyAlignment="1">
      <alignment horizontal="center" vertical="center"/>
    </xf>
    <xf numFmtId="0" fontId="12" fillId="0" borderId="29" xfId="0" applyFont="1" applyBorder="1" applyAlignment="1" applyProtection="1">
      <alignment horizontal="center" vertical="center"/>
      <protection locked="0"/>
    </xf>
    <xf numFmtId="181" fontId="12" fillId="0" borderId="29" xfId="364" applyNumberFormat="1" applyFont="1" applyBorder="1" applyAlignment="1" applyProtection="1">
      <alignment horizontal="center" vertical="center"/>
      <protection locked="0"/>
    </xf>
    <xf numFmtId="181" fontId="12" fillId="0" borderId="29" xfId="692" applyNumberFormat="1" applyFont="1" applyBorder="1" applyAlignment="1" applyProtection="1">
      <alignment horizontal="center" vertical="center" wrapText="1"/>
      <protection locked="0"/>
    </xf>
    <xf numFmtId="49" fontId="12" fillId="0" borderId="29" xfId="692" applyNumberFormat="1" applyFont="1" applyBorder="1" applyAlignment="1" applyProtection="1">
      <alignment horizontal="center" vertical="center" wrapText="1"/>
      <protection locked="0"/>
    </xf>
    <xf numFmtId="182" fontId="12" fillId="0" borderId="28" xfId="691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49" fontId="56" fillId="4" borderId="29" xfId="388" applyNumberFormat="1" applyFont="1" applyFill="1" applyBorder="1">
      <alignment vertical="center"/>
    </xf>
    <xf numFmtId="183" fontId="56" fillId="4" borderId="29" xfId="388" applyNumberFormat="1" applyFont="1" applyFill="1" applyBorder="1">
      <alignment vertical="center"/>
    </xf>
    <xf numFmtId="0" fontId="39" fillId="0" borderId="29" xfId="0" quotePrefix="1" applyFont="1" applyBorder="1" applyAlignment="1">
      <alignment horizontal="center" vertical="center" wrapText="1"/>
    </xf>
    <xf numFmtId="181" fontId="12" fillId="0" borderId="29" xfId="0" applyNumberFormat="1" applyFont="1" applyBorder="1" applyAlignment="1" applyProtection="1">
      <alignment horizontal="center" vertical="center"/>
      <protection locked="0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1" fontId="12" fillId="0" borderId="29" xfId="48" applyNumberFormat="1" applyFont="1" applyBorder="1" applyAlignment="1">
      <alignment horizontal="center" vertical="center"/>
    </xf>
    <xf numFmtId="10" fontId="12" fillId="0" borderId="29" xfId="48" applyNumberFormat="1" applyFont="1" applyBorder="1" applyAlignment="1">
      <alignment horizontal="center" vertical="center"/>
    </xf>
    <xf numFmtId="181" fontId="12" fillId="0" borderId="29" xfId="692" applyNumberFormat="1" applyFont="1" applyBorder="1" applyAlignment="1" applyProtection="1">
      <alignment horizontal="center" vertical="center"/>
      <protection locked="0"/>
    </xf>
    <xf numFmtId="0" fontId="39" fillId="0" borderId="29" xfId="692" applyFont="1" applyBorder="1" applyAlignment="1" applyProtection="1">
      <alignment horizontal="center" vertical="center"/>
      <protection locked="0"/>
    </xf>
    <xf numFmtId="182" fontId="12" fillId="0" borderId="29" xfId="691" applyNumberFormat="1" applyFont="1" applyBorder="1" applyAlignment="1">
      <alignment horizontal="center" vertical="center"/>
    </xf>
    <xf numFmtId="0" fontId="59" fillId="0" borderId="0" xfId="0" applyFont="1" applyAlignment="1" applyProtection="1">
      <alignment vertical="center"/>
      <protection locked="0"/>
    </xf>
    <xf numFmtId="0" fontId="59" fillId="0" borderId="0" xfId="0" applyFont="1" applyAlignment="1" applyProtection="1">
      <alignment horizontal="center" vertical="center"/>
      <protection locked="0"/>
    </xf>
    <xf numFmtId="0" fontId="60" fillId="0" borderId="0" xfId="0" applyFont="1" applyAlignment="1">
      <alignment vertical="center"/>
    </xf>
    <xf numFmtId="0" fontId="61" fillId="0" borderId="29" xfId="692" applyFont="1" applyBorder="1" applyAlignment="1" applyProtection="1">
      <alignment horizontal="center" vertical="center"/>
      <protection locked="0"/>
    </xf>
    <xf numFmtId="0" fontId="62" fillId="0" borderId="29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80" fontId="39" fillId="0" borderId="1" xfId="0" applyNumberFormat="1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 wrapText="1"/>
    </xf>
    <xf numFmtId="0" fontId="58" fillId="0" borderId="2" xfId="0" quotePrefix="1" applyFont="1" applyBorder="1" applyAlignment="1">
      <alignment horizontal="center" vertical="center" wrapText="1"/>
    </xf>
    <xf numFmtId="0" fontId="39" fillId="0" borderId="27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58" fillId="0" borderId="23" xfId="48" applyFont="1" applyBorder="1" applyAlignment="1">
      <alignment horizontal="center" vertical="center" wrapText="1"/>
    </xf>
    <xf numFmtId="0" fontId="39" fillId="0" borderId="25" xfId="48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CBA6508B-077C-D642-90AC-C703833CB265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17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25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32" t="s">
        <v>20</v>
      </c>
      <c r="C2" s="132"/>
      <c r="D2" s="132"/>
      <c r="E2" s="132"/>
      <c r="F2" s="132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98</v>
      </c>
      <c r="D5" s="2" t="s">
        <v>7</v>
      </c>
      <c r="E5" s="128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28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99" t="s">
        <v>335</v>
      </c>
      <c r="D7" s="2"/>
      <c r="E7" s="127"/>
      <c r="H7" s="4"/>
      <c r="I7" s="4"/>
      <c r="J7" s="4"/>
    </row>
    <row r="8" spans="1:10" ht="30">
      <c r="A8" s="4"/>
      <c r="B8" s="2" t="s">
        <v>21</v>
      </c>
      <c r="C8" s="98" t="s">
        <v>334</v>
      </c>
      <c r="D8" s="2" t="s">
        <v>4</v>
      </c>
      <c r="E8" s="129">
        <f>SUM('Shipping Lot List'!I:I)</f>
        <v>320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99" t="s">
        <v>338</v>
      </c>
      <c r="D9" s="2" t="s">
        <v>3</v>
      </c>
      <c r="E9" s="129"/>
      <c r="F9" s="133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29">
        <f>E8</f>
        <v>320</v>
      </c>
      <c r="F10" s="133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34" t="s">
        <v>17</v>
      </c>
      <c r="C12" s="134"/>
      <c r="D12" s="134"/>
      <c r="E12" s="134"/>
      <c r="F12" s="134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31" t="s">
        <v>11</v>
      </c>
      <c r="C14" s="6"/>
      <c r="D14" s="13"/>
      <c r="E14" s="18"/>
      <c r="F14" s="19"/>
    </row>
    <row r="15" spans="1:10">
      <c r="A15" s="10"/>
      <c r="B15" s="131"/>
      <c r="C15" s="6"/>
      <c r="D15" s="7"/>
      <c r="E15" s="9"/>
      <c r="F15" s="13"/>
    </row>
    <row r="16" spans="1:10">
      <c r="A16" s="10"/>
      <c r="B16" s="131"/>
      <c r="C16" s="6"/>
      <c r="D16" s="7"/>
      <c r="E16" s="9"/>
      <c r="F16" s="13"/>
    </row>
    <row r="17" spans="1:6">
      <c r="A17" s="10"/>
      <c r="B17" s="131"/>
      <c r="C17" s="6"/>
      <c r="D17" s="7"/>
      <c r="E17" s="9"/>
      <c r="F17" s="13"/>
    </row>
    <row r="18" spans="1:6">
      <c r="A18" s="10"/>
      <c r="B18" s="131"/>
      <c r="C18" s="6"/>
      <c r="D18" s="7"/>
      <c r="E18" s="9"/>
      <c r="F18" s="13"/>
    </row>
    <row r="19" spans="1:6">
      <c r="A19" s="10"/>
      <c r="B19" s="131"/>
      <c r="C19" s="6"/>
      <c r="D19" s="7"/>
      <c r="E19" s="9"/>
      <c r="F19" s="13"/>
    </row>
    <row r="20" spans="1:6">
      <c r="A20" s="10"/>
      <c r="B20" s="131"/>
      <c r="C20" s="6"/>
      <c r="D20" s="7"/>
      <c r="E20" s="9"/>
      <c r="F20" s="13"/>
    </row>
    <row r="21" spans="1:6">
      <c r="A21" s="10"/>
      <c r="B21" s="131"/>
      <c r="C21" s="6"/>
      <c r="D21" s="7"/>
      <c r="E21" s="9"/>
      <c r="F21" s="13"/>
    </row>
    <row r="22" spans="1:6">
      <c r="A22" s="10"/>
      <c r="B22" s="131"/>
      <c r="C22" s="6"/>
      <c r="D22" s="7"/>
      <c r="E22" s="9"/>
      <c r="F22" s="13"/>
    </row>
    <row r="23" spans="1:6">
      <c r="A23" s="10"/>
      <c r="B23" s="131"/>
      <c r="C23" s="6"/>
      <c r="D23" s="7"/>
      <c r="E23" s="9"/>
      <c r="F23" s="13"/>
    </row>
    <row r="24" spans="1:6">
      <c r="A24" s="10"/>
      <c r="B24" s="131" t="s">
        <v>12</v>
      </c>
      <c r="C24" s="6"/>
      <c r="D24" s="13"/>
      <c r="E24" s="18"/>
      <c r="F24" s="19"/>
    </row>
    <row r="25" spans="1:6">
      <c r="A25" s="10"/>
      <c r="B25" s="131"/>
      <c r="C25" s="6"/>
      <c r="D25" s="13"/>
      <c r="E25" s="18"/>
      <c r="F25" s="19"/>
    </row>
    <row r="26" spans="1:6">
      <c r="A26" s="10"/>
      <c r="B26" s="131"/>
      <c r="C26" s="6"/>
      <c r="D26" s="13"/>
      <c r="E26" s="18"/>
      <c r="F26" s="13"/>
    </row>
    <row r="27" spans="1:6">
      <c r="A27" s="16"/>
      <c r="B27" s="131"/>
      <c r="C27" s="6"/>
      <c r="D27" s="13"/>
      <c r="E27" s="18"/>
      <c r="F27" s="13"/>
    </row>
    <row r="28" spans="1:6">
      <c r="A28" s="16"/>
      <c r="B28" s="131"/>
      <c r="C28" s="6"/>
      <c r="D28" s="13"/>
      <c r="E28" s="18"/>
      <c r="F28" s="13"/>
    </row>
    <row r="29" spans="1:6">
      <c r="A29" s="16"/>
      <c r="B29" s="131"/>
      <c r="C29" s="6"/>
      <c r="D29" s="13"/>
      <c r="E29" s="18"/>
      <c r="F29" s="13"/>
    </row>
    <row r="30" spans="1:6">
      <c r="A30" s="16"/>
      <c r="B30" s="131"/>
      <c r="C30" s="6"/>
      <c r="D30" s="13"/>
      <c r="E30" s="18"/>
      <c r="F30" s="13"/>
    </row>
    <row r="31" spans="1:6">
      <c r="A31" s="16"/>
      <c r="B31" s="131"/>
      <c r="C31" s="6"/>
      <c r="D31" s="13"/>
      <c r="E31" s="18"/>
      <c r="F31" s="13"/>
    </row>
    <row r="32" spans="1:6">
      <c r="A32" s="16"/>
      <c r="B32" s="131"/>
      <c r="C32" s="6"/>
      <c r="D32" s="13"/>
      <c r="E32" s="18"/>
      <c r="F32" s="13"/>
    </row>
    <row r="33" spans="1:6">
      <c r="A33" s="16"/>
      <c r="B33" s="131"/>
      <c r="C33" s="6"/>
      <c r="D33" s="13"/>
      <c r="E33" s="18"/>
      <c r="F33" s="13"/>
    </row>
    <row r="34" spans="1:6">
      <c r="A34" s="16"/>
      <c r="B34" s="131" t="s">
        <v>13</v>
      </c>
      <c r="C34" s="6"/>
      <c r="D34" s="7"/>
      <c r="E34" s="7"/>
      <c r="F34" s="13"/>
    </row>
    <row r="35" spans="1:6">
      <c r="A35" s="16"/>
      <c r="B35" s="131"/>
      <c r="C35" s="6"/>
      <c r="D35" s="7"/>
      <c r="E35" s="7"/>
      <c r="F35" s="13"/>
    </row>
    <row r="36" spans="1:6">
      <c r="A36" s="16"/>
      <c r="B36" s="131"/>
      <c r="C36" s="6"/>
      <c r="D36" s="7"/>
      <c r="E36" s="7"/>
      <c r="F36" s="13"/>
    </row>
    <row r="37" spans="1:6">
      <c r="A37" s="16"/>
      <c r="B37" s="131"/>
      <c r="C37" s="6"/>
      <c r="D37" s="7"/>
      <c r="E37" s="7"/>
      <c r="F37" s="13"/>
    </row>
    <row r="38" spans="1:6">
      <c r="A38" s="16"/>
      <c r="B38" s="131"/>
      <c r="C38" s="6"/>
      <c r="D38" s="7"/>
      <c r="E38" s="7"/>
      <c r="F38" s="13"/>
    </row>
    <row r="39" spans="1:6">
      <c r="A39" s="16"/>
      <c r="B39" s="131"/>
      <c r="C39" s="6"/>
      <c r="D39" s="7"/>
      <c r="E39" s="7"/>
      <c r="F39" s="13"/>
    </row>
    <row r="40" spans="1:6">
      <c r="A40" s="16"/>
      <c r="B40" s="131"/>
      <c r="C40" s="6"/>
      <c r="D40" s="7"/>
      <c r="E40" s="7"/>
      <c r="F40" s="13"/>
    </row>
    <row r="41" spans="1:6">
      <c r="A41" s="16"/>
      <c r="B41" s="131"/>
      <c r="C41" s="6"/>
      <c r="D41" s="7"/>
      <c r="E41" s="7"/>
      <c r="F41" s="13"/>
    </row>
    <row r="42" spans="1:6">
      <c r="A42" s="16"/>
      <c r="B42" s="131"/>
      <c r="C42" s="6"/>
      <c r="D42" s="7"/>
      <c r="E42" s="7"/>
      <c r="F42" s="13"/>
    </row>
    <row r="43" spans="1:6">
      <c r="A43" s="16"/>
      <c r="B43" s="131"/>
      <c r="C43" s="6"/>
      <c r="D43" s="7"/>
      <c r="E43" s="7"/>
      <c r="F43" s="13"/>
    </row>
    <row r="44" spans="1:6">
      <c r="B44" s="130" t="s">
        <v>19</v>
      </c>
      <c r="C44" s="6"/>
      <c r="D44" s="7"/>
      <c r="E44" s="7"/>
      <c r="F44" s="13"/>
    </row>
    <row r="45" spans="1:6">
      <c r="B45" s="130"/>
      <c r="C45" s="6"/>
      <c r="D45" s="7"/>
      <c r="E45" s="7"/>
      <c r="F45" s="13"/>
    </row>
    <row r="46" spans="1:6">
      <c r="B46" s="130"/>
      <c r="C46" s="6"/>
      <c r="D46" s="7"/>
      <c r="E46" s="7"/>
      <c r="F46" s="13"/>
    </row>
    <row r="47" spans="1:6">
      <c r="B47" s="130"/>
      <c r="C47" s="6"/>
      <c r="D47" s="7"/>
      <c r="E47" s="7"/>
      <c r="F47" s="13"/>
    </row>
    <row r="48" spans="1:6">
      <c r="B48" s="130"/>
      <c r="C48" s="6"/>
      <c r="D48" s="7"/>
      <c r="E48" s="7"/>
      <c r="F48" s="13"/>
    </row>
    <row r="49" spans="2:6">
      <c r="B49" s="130"/>
      <c r="C49" s="6"/>
      <c r="D49" s="7"/>
      <c r="E49" s="7"/>
      <c r="F49" s="13"/>
    </row>
    <row r="50" spans="2:6">
      <c r="B50" s="130"/>
      <c r="C50" s="6"/>
      <c r="D50" s="7"/>
      <c r="E50" s="7"/>
      <c r="F50" s="13"/>
    </row>
    <row r="51" spans="2:6">
      <c r="B51" s="130"/>
      <c r="C51" s="6"/>
      <c r="D51" s="7"/>
      <c r="E51" s="7"/>
      <c r="F51" s="13"/>
    </row>
    <row r="52" spans="2:6">
      <c r="B52" s="130"/>
      <c r="C52" s="6"/>
      <c r="D52" s="7"/>
      <c r="E52" s="7"/>
      <c r="F52" s="13"/>
    </row>
    <row r="53" spans="2:6">
      <c r="B53" s="130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conditionalFormatting sqref="E7">
    <cfRule type="containsText" dxfId="16" priority="1" operator="containsText" text="NG">
      <formula>NOT(ISERROR(SEARCH("NG",E7)))</formula>
    </cfRule>
    <cfRule type="containsText" dxfId="15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03D5-F6C3-E746-AFEF-FBAA63547D3A}">
  <sheetPr codeName="Sheet1"/>
  <dimension ref="A1:J5"/>
  <sheetViews>
    <sheetView workbookViewId="0"/>
  </sheetViews>
  <sheetFormatPr defaultColWidth="10.88671875" defaultRowHeight="17.25"/>
  <cols>
    <col min="1" max="3" width="17.6640625" style="96" customWidth="1"/>
    <col min="4" max="4" width="12.6640625" style="96" customWidth="1"/>
    <col min="5" max="5" width="35.6640625" style="96" customWidth="1"/>
    <col min="6" max="6" width="17.6640625" style="96" customWidth="1"/>
    <col min="7" max="7" width="12.6640625" style="96" customWidth="1"/>
    <col min="8" max="8" width="12.6640625" style="97" customWidth="1"/>
    <col min="9" max="10" width="12.6640625" style="96" customWidth="1"/>
    <col min="11" max="16384" width="10.88671875" style="96"/>
  </cols>
  <sheetData>
    <row r="1" spans="1:10">
      <c r="A1" s="100" t="s">
        <v>325</v>
      </c>
      <c r="B1" s="100" t="s">
        <v>326</v>
      </c>
      <c r="C1" s="100" t="s">
        <v>374</v>
      </c>
      <c r="D1" s="101" t="s">
        <v>327</v>
      </c>
      <c r="E1" s="102" t="s">
        <v>328</v>
      </c>
      <c r="F1" s="102" t="s">
        <v>329</v>
      </c>
      <c r="G1" s="102" t="s">
        <v>330</v>
      </c>
      <c r="H1" s="102" t="s">
        <v>331</v>
      </c>
      <c r="I1" s="102" t="s">
        <v>332</v>
      </c>
      <c r="J1" s="101" t="s">
        <v>333</v>
      </c>
    </row>
    <row r="2" spans="1:10" ht="19.149999999999999" customHeight="1">
      <c r="A2" s="100" t="s">
        <v>336</v>
      </c>
      <c r="B2" s="100">
        <v>45820</v>
      </c>
      <c r="C2" s="100"/>
      <c r="D2" s="101" t="s">
        <v>338</v>
      </c>
      <c r="E2" s="101" t="s">
        <v>355</v>
      </c>
      <c r="F2" s="104" t="s">
        <v>356</v>
      </c>
      <c r="G2" s="113">
        <v>2880</v>
      </c>
      <c r="H2" s="103">
        <v>1</v>
      </c>
      <c r="I2" s="104">
        <v>320</v>
      </c>
      <c r="J2" s="102" t="s">
        <v>337</v>
      </c>
    </row>
    <row r="3" spans="1:10">
      <c r="A3" s="100"/>
      <c r="B3" s="100"/>
      <c r="C3" s="100"/>
      <c r="D3" s="101"/>
      <c r="E3" s="102"/>
      <c r="F3" s="112"/>
      <c r="G3" s="113"/>
      <c r="H3" s="105"/>
      <c r="I3" s="102"/>
      <c r="J3" s="102"/>
    </row>
    <row r="4" spans="1:10">
      <c r="A4" s="100"/>
      <c r="B4" s="100"/>
      <c r="C4" s="100"/>
      <c r="D4" s="101"/>
      <c r="E4" s="102"/>
      <c r="F4" s="112"/>
      <c r="G4" s="113"/>
      <c r="H4" s="105"/>
      <c r="I4" s="102"/>
      <c r="J4" s="102"/>
    </row>
    <row r="5" spans="1:10">
      <c r="A5" s="100"/>
      <c r="B5" s="100"/>
      <c r="C5" s="100"/>
      <c r="D5" s="101"/>
      <c r="E5" s="102"/>
      <c r="F5" s="112"/>
      <c r="G5" s="113"/>
      <c r="H5" s="105"/>
      <c r="I5" s="102"/>
      <c r="J5" s="102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F4D5-D5EA-634C-A614-D0BA044AC34A}">
  <sheetPr codeName="Sheet3"/>
  <dimension ref="A1:X243"/>
  <sheetViews>
    <sheetView zoomScale="85" zoomScaleNormal="85" workbookViewId="0">
      <selection sqref="A1:W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6" width="9" style="21" customWidth="1"/>
    <col min="7" max="10" width="9" style="21" hidden="1" customWidth="1"/>
    <col min="11" max="22" width="9" style="21" customWidth="1"/>
    <col min="23" max="23" width="14.21875" style="21" customWidth="1"/>
    <col min="24" max="24" width="12.44140625" style="122"/>
    <col min="25" max="16384" width="12.44140625" style="21"/>
  </cols>
  <sheetData>
    <row r="1" spans="1:24" ht="20.25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</row>
    <row r="2" spans="1:24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4" s="24" customFormat="1" ht="15" customHeight="1">
      <c r="A3" s="22"/>
      <c r="B3" s="141" t="s">
        <v>26</v>
      </c>
      <c r="C3" s="141"/>
      <c r="D3" s="141"/>
      <c r="E3" s="141"/>
      <c r="F3" s="141"/>
      <c r="G3" s="142"/>
      <c r="H3" s="142"/>
      <c r="I3" s="142"/>
      <c r="J3" s="142"/>
      <c r="K3" s="141"/>
      <c r="L3" s="143" t="s">
        <v>27</v>
      </c>
      <c r="M3" s="144"/>
      <c r="N3" s="144"/>
      <c r="O3" s="143"/>
      <c r="P3" s="144"/>
      <c r="Q3" s="144"/>
      <c r="R3" s="145" t="s">
        <v>28</v>
      </c>
      <c r="S3" s="143"/>
      <c r="T3" s="143"/>
      <c r="U3" s="143"/>
      <c r="V3" s="146"/>
      <c r="W3" s="147" t="s">
        <v>29</v>
      </c>
      <c r="X3" s="123"/>
    </row>
    <row r="4" spans="1:24" ht="15" customHeight="1">
      <c r="A4" s="25"/>
      <c r="B4" s="147" t="s">
        <v>30</v>
      </c>
      <c r="C4" s="147" t="s">
        <v>31</v>
      </c>
      <c r="D4" s="148" t="s">
        <v>32</v>
      </c>
      <c r="E4" s="149" t="s">
        <v>33</v>
      </c>
      <c r="F4" s="149" t="s">
        <v>34</v>
      </c>
      <c r="G4" s="150" t="s">
        <v>357</v>
      </c>
      <c r="H4" s="151"/>
      <c r="I4" s="150" t="s">
        <v>360</v>
      </c>
      <c r="J4" s="151"/>
      <c r="K4" s="135" t="s">
        <v>35</v>
      </c>
      <c r="L4" s="136" t="s">
        <v>36</v>
      </c>
      <c r="M4" s="137"/>
      <c r="N4" s="137"/>
      <c r="O4" s="136" t="s">
        <v>37</v>
      </c>
      <c r="P4" s="137"/>
      <c r="Q4" s="137"/>
      <c r="R4" s="138" t="s">
        <v>38</v>
      </c>
      <c r="S4" s="26" t="s">
        <v>39</v>
      </c>
      <c r="T4" s="27"/>
      <c r="U4" s="28" t="s">
        <v>40</v>
      </c>
      <c r="V4" s="27"/>
      <c r="W4" s="147"/>
    </row>
    <row r="5" spans="1:24" ht="18" customHeight="1">
      <c r="A5" s="29"/>
      <c r="B5" s="147"/>
      <c r="C5" s="147"/>
      <c r="D5" s="148"/>
      <c r="E5" s="149"/>
      <c r="F5" s="149"/>
      <c r="G5" s="114" t="s">
        <v>359</v>
      </c>
      <c r="H5" s="114" t="s">
        <v>358</v>
      </c>
      <c r="I5" s="114" t="s">
        <v>359</v>
      </c>
      <c r="J5" s="114" t="s">
        <v>358</v>
      </c>
      <c r="K5" s="135"/>
      <c r="L5" s="95"/>
      <c r="M5" s="95"/>
      <c r="N5" s="95"/>
      <c r="O5" s="95">
        <v>1</v>
      </c>
      <c r="P5" s="95">
        <v>2</v>
      </c>
      <c r="Q5" s="95">
        <v>3</v>
      </c>
      <c r="R5" s="139"/>
      <c r="S5" s="23" t="s">
        <v>41</v>
      </c>
      <c r="T5" s="27" t="s">
        <v>42</v>
      </c>
      <c r="U5" s="23" t="s">
        <v>43</v>
      </c>
      <c r="V5" s="27" t="s">
        <v>44</v>
      </c>
      <c r="W5" s="147"/>
    </row>
    <row r="6" spans="1:24" ht="18" customHeight="1">
      <c r="A6" s="30"/>
      <c r="B6" s="75">
        <v>1</v>
      </c>
      <c r="C6" s="75" t="s">
        <v>47</v>
      </c>
      <c r="D6" s="77"/>
      <c r="E6" s="77">
        <v>0.04</v>
      </c>
      <c r="F6" s="77"/>
      <c r="G6" s="115">
        <v>3.4000000000000002E-2</v>
      </c>
      <c r="H6" s="115">
        <v>0</v>
      </c>
      <c r="I6" s="115"/>
      <c r="J6" s="115"/>
      <c r="K6" s="76" t="s">
        <v>46</v>
      </c>
      <c r="L6" s="91"/>
      <c r="M6" s="91"/>
      <c r="N6" s="91"/>
      <c r="O6" s="31" t="str">
        <f t="shared" ref="O6:O69" si="0">IF(ISERR(L6/L6)=TRUE," ",L6-$D6)</f>
        <v xml:space="preserve"> </v>
      </c>
      <c r="P6" s="31" t="str">
        <f t="shared" ref="P6:P69" si="1">IF(ISERR(M6/M6)=TRUE," ",M6-$D6)</f>
        <v xml:space="preserve"> </v>
      </c>
      <c r="Q6" s="31" t="str">
        <f t="shared" ref="Q6:Q69" si="2">IF(ISERR(N6/N6)=TRUE," ",N6-$D6)</f>
        <v xml:space="preserve"> </v>
      </c>
      <c r="R6" s="32" t="str">
        <f t="shared" ref="R6:R69" si="3">IF(ISERR(L6/L6)=TRUE," ",AVERAGE(L6:N6))</f>
        <v xml:space="preserve"> </v>
      </c>
      <c r="S6" s="33" t="str">
        <f t="shared" ref="S6:S69" si="4">IF(ISERR(E6/E6)=TRUE," ",IF(ISERR(L6/L6)=TRUE," ",IF(ISNUMBER($L6)=FALSE," ",IF(MAX($L6:$N6)&lt;$D6,0,(MAX($L6:$N6)-$D6)/$E6))))</f>
        <v xml:space="preserve"> </v>
      </c>
      <c r="T6" s="34" t="str">
        <f t="shared" ref="T6:T69" si="5">IF(ISERR(F6/D6)=TRUE," ",IF(ISERR(F6/F6)=TRUE," ",IF(ISERR(L6/L6)=TRUE," ",IF(ISNUMBER(L6)=FALSE," ",IF(MIN(L6:N6)&gt;$D6,0,($D6-MIN(L6:N6))/-F6)))))</f>
        <v xml:space="preserve"> </v>
      </c>
      <c r="U6" s="32" t="str">
        <f t="shared" ref="U6:U70" si="6">IF(ISNUMBER($S6)=TRUE,IF($S6&gt;0.651,IF($S6&gt;1.001,"Reject","Alert"),""),"")</f>
        <v/>
      </c>
      <c r="V6" s="32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26"/>
    </row>
    <row r="7" spans="1:24" ht="18" customHeight="1">
      <c r="A7" s="30"/>
      <c r="B7" s="75" t="s">
        <v>99</v>
      </c>
      <c r="C7" s="92" t="s">
        <v>45</v>
      </c>
      <c r="D7" s="77">
        <v>3.984</v>
      </c>
      <c r="E7" s="77">
        <v>2.5000000000000001E-2</v>
      </c>
      <c r="F7" s="77">
        <v>-0.02</v>
      </c>
      <c r="G7" s="115">
        <v>4.0052500000000002</v>
      </c>
      <c r="H7" s="115">
        <v>3.9670000000000001</v>
      </c>
      <c r="I7" s="115"/>
      <c r="J7" s="115"/>
      <c r="K7" s="76" t="s">
        <v>46</v>
      </c>
      <c r="L7" s="91"/>
      <c r="M7" s="91"/>
      <c r="N7" s="91"/>
      <c r="O7" s="31" t="str">
        <f t="shared" si="0"/>
        <v xml:space="preserve"> </v>
      </c>
      <c r="P7" s="31" t="str">
        <f t="shared" si="1"/>
        <v xml:space="preserve"> </v>
      </c>
      <c r="Q7" s="31" t="str">
        <f t="shared" si="2"/>
        <v xml:space="preserve"> </v>
      </c>
      <c r="R7" s="32" t="str">
        <f t="shared" si="3"/>
        <v xml:space="preserve"> </v>
      </c>
      <c r="S7" s="33" t="str">
        <f t="shared" si="4"/>
        <v xml:space="preserve"> </v>
      </c>
      <c r="T7" s="34" t="str">
        <f t="shared" si="5"/>
        <v xml:space="preserve"> </v>
      </c>
      <c r="U7" s="32" t="str">
        <f t="shared" si="6"/>
        <v/>
      </c>
      <c r="V7" s="32" t="str">
        <f t="shared" si="7"/>
        <v/>
      </c>
      <c r="W7" s="126"/>
    </row>
    <row r="8" spans="1:24" ht="18" customHeight="1">
      <c r="A8" s="30"/>
      <c r="B8" s="75" t="s">
        <v>100</v>
      </c>
      <c r="C8" s="76" t="s">
        <v>45</v>
      </c>
      <c r="D8" s="77">
        <v>3.984</v>
      </c>
      <c r="E8" s="77">
        <v>2.5000000000000001E-2</v>
      </c>
      <c r="F8" s="77">
        <v>-0.02</v>
      </c>
      <c r="G8" s="115">
        <v>4.0052500000000002</v>
      </c>
      <c r="H8" s="115">
        <v>3.9670000000000001</v>
      </c>
      <c r="I8" s="115"/>
      <c r="J8" s="115"/>
      <c r="K8" s="76" t="s">
        <v>46</v>
      </c>
      <c r="L8" s="91"/>
      <c r="M8" s="91"/>
      <c r="N8" s="91"/>
      <c r="O8" s="31" t="str">
        <f t="shared" si="0"/>
        <v xml:space="preserve"> </v>
      </c>
      <c r="P8" s="31" t="str">
        <f t="shared" si="1"/>
        <v xml:space="preserve"> </v>
      </c>
      <c r="Q8" s="31" t="str">
        <f t="shared" si="2"/>
        <v xml:space="preserve"> </v>
      </c>
      <c r="R8" s="32" t="str">
        <f t="shared" si="3"/>
        <v xml:space="preserve"> </v>
      </c>
      <c r="S8" s="33" t="str">
        <f t="shared" si="4"/>
        <v xml:space="preserve"> </v>
      </c>
      <c r="T8" s="34" t="str">
        <f t="shared" si="5"/>
        <v xml:space="preserve"> </v>
      </c>
      <c r="U8" s="32" t="str">
        <f t="shared" si="6"/>
        <v/>
      </c>
      <c r="V8" s="32" t="str">
        <f t="shared" si="7"/>
        <v/>
      </c>
      <c r="W8" s="126"/>
    </row>
    <row r="9" spans="1:24" ht="18" customHeight="1">
      <c r="A9" s="30"/>
      <c r="B9" s="75">
        <v>4</v>
      </c>
      <c r="C9" s="76" t="s">
        <v>48</v>
      </c>
      <c r="D9" s="77"/>
      <c r="E9" s="77">
        <v>1.4999999999999999E-2</v>
      </c>
      <c r="F9" s="77"/>
      <c r="G9" s="115">
        <v>1.2749999999999999E-2</v>
      </c>
      <c r="H9" s="115">
        <v>0</v>
      </c>
      <c r="I9" s="115"/>
      <c r="J9" s="115"/>
      <c r="K9" s="76" t="s">
        <v>46</v>
      </c>
      <c r="L9" s="91"/>
      <c r="M9" s="91"/>
      <c r="N9" s="91"/>
      <c r="O9" s="31" t="str">
        <f t="shared" si="0"/>
        <v xml:space="preserve"> </v>
      </c>
      <c r="P9" s="31" t="str">
        <f t="shared" si="1"/>
        <v xml:space="preserve"> </v>
      </c>
      <c r="Q9" s="31" t="str">
        <f t="shared" si="2"/>
        <v xml:space="preserve"> </v>
      </c>
      <c r="R9" s="32" t="str">
        <f t="shared" si="3"/>
        <v xml:space="preserve"> </v>
      </c>
      <c r="S9" s="33" t="str">
        <f t="shared" si="4"/>
        <v xml:space="preserve"> </v>
      </c>
      <c r="T9" s="34" t="str">
        <f t="shared" si="5"/>
        <v xml:space="preserve"> </v>
      </c>
      <c r="U9" s="32" t="str">
        <f t="shared" si="6"/>
        <v/>
      </c>
      <c r="V9" s="32" t="str">
        <f t="shared" si="7"/>
        <v/>
      </c>
      <c r="W9" s="126"/>
    </row>
    <row r="10" spans="1:24" ht="18" customHeight="1">
      <c r="A10" s="30"/>
      <c r="B10" s="75">
        <v>5</v>
      </c>
      <c r="C10" s="76" t="s">
        <v>48</v>
      </c>
      <c r="D10" s="77"/>
      <c r="E10" s="77">
        <v>1.4999999999999999E-2</v>
      </c>
      <c r="F10" s="77"/>
      <c r="G10" s="115">
        <v>1.2749999999999999E-2</v>
      </c>
      <c r="H10" s="115">
        <v>0</v>
      </c>
      <c r="I10" s="115"/>
      <c r="J10" s="115"/>
      <c r="K10" s="76" t="s">
        <v>46</v>
      </c>
      <c r="L10" s="91"/>
      <c r="M10" s="91"/>
      <c r="N10" s="91"/>
      <c r="O10" s="31" t="str">
        <f t="shared" si="0"/>
        <v xml:space="preserve"> </v>
      </c>
      <c r="P10" s="31" t="str">
        <f t="shared" si="1"/>
        <v xml:space="preserve"> </v>
      </c>
      <c r="Q10" s="31" t="str">
        <f t="shared" si="2"/>
        <v xml:space="preserve"> </v>
      </c>
      <c r="R10" s="32" t="str">
        <f t="shared" si="3"/>
        <v xml:space="preserve"> </v>
      </c>
      <c r="S10" s="33" t="str">
        <f t="shared" si="4"/>
        <v xml:space="preserve"> </v>
      </c>
      <c r="T10" s="34" t="str">
        <f t="shared" si="5"/>
        <v xml:space="preserve"> </v>
      </c>
      <c r="U10" s="32" t="str">
        <f t="shared" si="6"/>
        <v/>
      </c>
      <c r="V10" s="32" t="str">
        <f t="shared" si="7"/>
        <v/>
      </c>
      <c r="W10" s="126"/>
    </row>
    <row r="11" spans="1:24" ht="18" customHeight="1">
      <c r="A11" s="30"/>
      <c r="B11" s="75" t="s">
        <v>115</v>
      </c>
      <c r="C11" s="76" t="s">
        <v>45</v>
      </c>
      <c r="D11" s="77">
        <v>4.0090000000000003</v>
      </c>
      <c r="E11" s="77">
        <v>0.02</v>
      </c>
      <c r="F11" s="77">
        <v>-0.02</v>
      </c>
      <c r="G11" s="115">
        <v>4.0260000000000007</v>
      </c>
      <c r="H11" s="115">
        <v>3.9920000000000004</v>
      </c>
      <c r="I11" s="115"/>
      <c r="J11" s="115"/>
      <c r="K11" s="76" t="s">
        <v>46</v>
      </c>
      <c r="L11" s="91"/>
      <c r="M11" s="91"/>
      <c r="N11" s="91"/>
      <c r="O11" s="31" t="str">
        <f t="shared" si="0"/>
        <v xml:space="preserve"> </v>
      </c>
      <c r="P11" s="31" t="str">
        <f t="shared" si="1"/>
        <v xml:space="preserve"> </v>
      </c>
      <c r="Q11" s="31" t="str">
        <f t="shared" si="2"/>
        <v xml:space="preserve"> </v>
      </c>
      <c r="R11" s="32" t="str">
        <f t="shared" si="3"/>
        <v xml:space="preserve"> </v>
      </c>
      <c r="S11" s="33" t="str">
        <f t="shared" si="4"/>
        <v xml:space="preserve"> </v>
      </c>
      <c r="T11" s="34" t="str">
        <f t="shared" si="5"/>
        <v xml:space="preserve"> </v>
      </c>
      <c r="U11" s="32" t="str">
        <f t="shared" si="6"/>
        <v/>
      </c>
      <c r="V11" s="32" t="str">
        <f t="shared" si="7"/>
        <v/>
      </c>
      <c r="W11" s="126"/>
    </row>
    <row r="12" spans="1:24" ht="18" customHeight="1">
      <c r="A12" s="30"/>
      <c r="B12" s="75" t="s">
        <v>116</v>
      </c>
      <c r="C12" s="76" t="s">
        <v>45</v>
      </c>
      <c r="D12" s="77">
        <v>4.0090000000000003</v>
      </c>
      <c r="E12" s="77">
        <v>0.02</v>
      </c>
      <c r="F12" s="77">
        <v>-0.02</v>
      </c>
      <c r="G12" s="115">
        <v>4.0260000000000007</v>
      </c>
      <c r="H12" s="115">
        <v>3.9920000000000004</v>
      </c>
      <c r="I12" s="115"/>
      <c r="J12" s="115"/>
      <c r="K12" s="76" t="s">
        <v>46</v>
      </c>
      <c r="L12" s="91"/>
      <c r="M12" s="91"/>
      <c r="N12" s="91"/>
      <c r="O12" s="31" t="str">
        <f t="shared" si="0"/>
        <v xml:space="preserve"> </v>
      </c>
      <c r="P12" s="31" t="str">
        <f t="shared" si="1"/>
        <v xml:space="preserve"> </v>
      </c>
      <c r="Q12" s="31" t="str">
        <f t="shared" si="2"/>
        <v xml:space="preserve"> </v>
      </c>
      <c r="R12" s="32" t="str">
        <f t="shared" si="3"/>
        <v xml:space="preserve"> </v>
      </c>
      <c r="S12" s="33" t="str">
        <f t="shared" si="4"/>
        <v xml:space="preserve"> </v>
      </c>
      <c r="T12" s="34" t="str">
        <f t="shared" si="5"/>
        <v xml:space="preserve"> </v>
      </c>
      <c r="U12" s="32" t="str">
        <f t="shared" si="6"/>
        <v/>
      </c>
      <c r="V12" s="32" t="str">
        <f t="shared" si="7"/>
        <v/>
      </c>
      <c r="W12" s="126"/>
    </row>
    <row r="13" spans="1:24" ht="18" customHeight="1">
      <c r="A13" s="30"/>
      <c r="B13" s="75" t="s">
        <v>101</v>
      </c>
      <c r="C13" s="76" t="s">
        <v>227</v>
      </c>
      <c r="D13" s="77"/>
      <c r="E13" s="77">
        <v>8.0000000000000002E-3</v>
      </c>
      <c r="F13" s="77"/>
      <c r="G13" s="115">
        <v>6.7999999999999996E-3</v>
      </c>
      <c r="H13" s="115">
        <v>0</v>
      </c>
      <c r="I13" s="115"/>
      <c r="J13" s="115"/>
      <c r="K13" s="76" t="s">
        <v>231</v>
      </c>
      <c r="L13" s="91"/>
      <c r="M13" s="91"/>
      <c r="N13" s="91"/>
      <c r="O13" s="31" t="str">
        <f t="shared" si="0"/>
        <v xml:space="preserve"> </v>
      </c>
      <c r="P13" s="31" t="str">
        <f t="shared" si="1"/>
        <v xml:space="preserve"> </v>
      </c>
      <c r="Q13" s="31" t="str">
        <f t="shared" si="2"/>
        <v xml:space="preserve"> </v>
      </c>
      <c r="R13" s="32" t="str">
        <f t="shared" si="3"/>
        <v xml:space="preserve"> </v>
      </c>
      <c r="S13" s="33" t="str">
        <f t="shared" si="4"/>
        <v xml:space="preserve"> </v>
      </c>
      <c r="T13" s="34" t="str">
        <f t="shared" si="5"/>
        <v xml:space="preserve"> </v>
      </c>
      <c r="U13" s="32" t="str">
        <f t="shared" si="6"/>
        <v/>
      </c>
      <c r="V13" s="32" t="str">
        <f t="shared" si="7"/>
        <v/>
      </c>
      <c r="W13" s="126"/>
    </row>
    <row r="14" spans="1:24" ht="18" customHeight="1">
      <c r="A14" s="30"/>
      <c r="B14" s="75" t="s">
        <v>102</v>
      </c>
      <c r="C14" s="76" t="s">
        <v>227</v>
      </c>
      <c r="D14" s="77"/>
      <c r="E14" s="77">
        <v>8.0000000000000002E-3</v>
      </c>
      <c r="F14" s="77"/>
      <c r="G14" s="115">
        <v>6.7999999999999996E-3</v>
      </c>
      <c r="H14" s="115">
        <v>0</v>
      </c>
      <c r="I14" s="115"/>
      <c r="J14" s="115"/>
      <c r="K14" s="76" t="s">
        <v>231</v>
      </c>
      <c r="L14" s="91"/>
      <c r="M14" s="91"/>
      <c r="N14" s="91"/>
      <c r="O14" s="31" t="str">
        <f t="shared" si="0"/>
        <v xml:space="preserve"> </v>
      </c>
      <c r="P14" s="31" t="str">
        <f t="shared" si="1"/>
        <v xml:space="preserve"> </v>
      </c>
      <c r="Q14" s="31" t="str">
        <f t="shared" si="2"/>
        <v xml:space="preserve"> </v>
      </c>
      <c r="R14" s="32" t="str">
        <f t="shared" si="3"/>
        <v xml:space="preserve"> </v>
      </c>
      <c r="S14" s="33" t="str">
        <f t="shared" si="4"/>
        <v xml:space="preserve"> </v>
      </c>
      <c r="T14" s="34" t="str">
        <f t="shared" si="5"/>
        <v xml:space="preserve"> </v>
      </c>
      <c r="U14" s="32" t="str">
        <f t="shared" si="6"/>
        <v/>
      </c>
      <c r="V14" s="32" t="str">
        <f t="shared" si="7"/>
        <v/>
      </c>
      <c r="W14" s="126"/>
    </row>
    <row r="15" spans="1:24" ht="18" customHeight="1">
      <c r="A15" s="30"/>
      <c r="B15" s="75" t="s">
        <v>117</v>
      </c>
      <c r="C15" s="76" t="s">
        <v>227</v>
      </c>
      <c r="D15" s="77"/>
      <c r="E15" s="77">
        <v>8.0000000000000002E-3</v>
      </c>
      <c r="F15" s="77"/>
      <c r="G15" s="115">
        <v>6.7999999999999996E-3</v>
      </c>
      <c r="H15" s="115">
        <v>0</v>
      </c>
      <c r="I15" s="115"/>
      <c r="J15" s="115"/>
      <c r="K15" s="76" t="s">
        <v>231</v>
      </c>
      <c r="L15" s="91"/>
      <c r="M15" s="91"/>
      <c r="N15" s="91"/>
      <c r="O15" s="31" t="str">
        <f t="shared" si="0"/>
        <v xml:space="preserve"> </v>
      </c>
      <c r="P15" s="31" t="str">
        <f t="shared" si="1"/>
        <v xml:space="preserve"> </v>
      </c>
      <c r="Q15" s="31" t="str">
        <f t="shared" si="2"/>
        <v xml:space="preserve"> </v>
      </c>
      <c r="R15" s="32" t="str">
        <f t="shared" si="3"/>
        <v xml:space="preserve"> </v>
      </c>
      <c r="S15" s="33" t="str">
        <f t="shared" si="4"/>
        <v xml:space="preserve"> </v>
      </c>
      <c r="T15" s="34" t="str">
        <f t="shared" si="5"/>
        <v xml:space="preserve"> </v>
      </c>
      <c r="U15" s="32" t="str">
        <f t="shared" si="6"/>
        <v/>
      </c>
      <c r="V15" s="32" t="str">
        <f t="shared" si="7"/>
        <v/>
      </c>
      <c r="W15" s="126"/>
    </row>
    <row r="16" spans="1:24" ht="18" customHeight="1">
      <c r="A16" s="30"/>
      <c r="B16" s="75">
        <v>9</v>
      </c>
      <c r="C16" s="76" t="s">
        <v>48</v>
      </c>
      <c r="D16" s="77"/>
      <c r="E16" s="77">
        <v>0.06</v>
      </c>
      <c r="F16" s="77"/>
      <c r="G16" s="115">
        <v>5.0999999999999997E-2</v>
      </c>
      <c r="H16" s="115">
        <v>0</v>
      </c>
      <c r="I16" s="115"/>
      <c r="J16" s="115"/>
      <c r="K16" s="76" t="s">
        <v>46</v>
      </c>
      <c r="L16" s="91"/>
      <c r="M16" s="91"/>
      <c r="N16" s="91"/>
      <c r="O16" s="31" t="str">
        <f t="shared" si="0"/>
        <v xml:space="preserve"> </v>
      </c>
      <c r="P16" s="31" t="str">
        <f t="shared" si="1"/>
        <v xml:space="preserve"> </v>
      </c>
      <c r="Q16" s="31" t="str">
        <f t="shared" si="2"/>
        <v xml:space="preserve"> </v>
      </c>
      <c r="R16" s="32" t="str">
        <f t="shared" si="3"/>
        <v xml:space="preserve"> </v>
      </c>
      <c r="S16" s="33" t="str">
        <f t="shared" si="4"/>
        <v xml:space="preserve"> </v>
      </c>
      <c r="T16" s="34" t="str">
        <f t="shared" si="5"/>
        <v xml:space="preserve"> </v>
      </c>
      <c r="U16" s="32" t="str">
        <f t="shared" si="6"/>
        <v/>
      </c>
      <c r="V16" s="32" t="str">
        <f t="shared" si="7"/>
        <v/>
      </c>
      <c r="W16" s="126"/>
    </row>
    <row r="17" spans="1:23" ht="18" customHeight="1">
      <c r="A17" s="30"/>
      <c r="B17" s="75">
        <v>10</v>
      </c>
      <c r="C17" s="76" t="s">
        <v>48</v>
      </c>
      <c r="D17" s="77"/>
      <c r="E17" s="77">
        <v>0.06</v>
      </c>
      <c r="F17" s="77"/>
      <c r="G17" s="115">
        <v>5.0999999999999997E-2</v>
      </c>
      <c r="H17" s="115">
        <v>0</v>
      </c>
      <c r="I17" s="115"/>
      <c r="J17" s="115"/>
      <c r="K17" s="76" t="s">
        <v>46</v>
      </c>
      <c r="L17" s="91"/>
      <c r="M17" s="91"/>
      <c r="N17" s="91"/>
      <c r="O17" s="31" t="str">
        <f t="shared" si="0"/>
        <v xml:space="preserve"> </v>
      </c>
      <c r="P17" s="31" t="str">
        <f t="shared" si="1"/>
        <v xml:space="preserve"> </v>
      </c>
      <c r="Q17" s="31" t="str">
        <f t="shared" si="2"/>
        <v xml:space="preserve"> </v>
      </c>
      <c r="R17" s="32" t="str">
        <f t="shared" si="3"/>
        <v xml:space="preserve"> </v>
      </c>
      <c r="S17" s="33" t="str">
        <f t="shared" si="4"/>
        <v xml:space="preserve"> </v>
      </c>
      <c r="T17" s="34" t="str">
        <f t="shared" si="5"/>
        <v xml:space="preserve"> </v>
      </c>
      <c r="U17" s="32" t="str">
        <f t="shared" si="6"/>
        <v/>
      </c>
      <c r="V17" s="32" t="str">
        <f t="shared" si="7"/>
        <v/>
      </c>
      <c r="W17" s="126"/>
    </row>
    <row r="18" spans="1:23" ht="18" customHeight="1">
      <c r="A18" s="30"/>
      <c r="B18" s="75">
        <v>13</v>
      </c>
      <c r="C18" s="76" t="s">
        <v>45</v>
      </c>
      <c r="D18" s="77">
        <v>0.53500000000000003</v>
      </c>
      <c r="E18" s="77">
        <v>0.03</v>
      </c>
      <c r="F18" s="77">
        <v>-0.03</v>
      </c>
      <c r="G18" s="115">
        <v>0.5605</v>
      </c>
      <c r="H18" s="115">
        <v>0.50950000000000006</v>
      </c>
      <c r="I18" s="115"/>
      <c r="J18" s="115"/>
      <c r="K18" s="76" t="s">
        <v>46</v>
      </c>
      <c r="L18" s="91"/>
      <c r="M18" s="91"/>
      <c r="N18" s="91"/>
      <c r="O18" s="31" t="str">
        <f t="shared" si="0"/>
        <v xml:space="preserve"> </v>
      </c>
      <c r="P18" s="31" t="str">
        <f t="shared" si="1"/>
        <v xml:space="preserve"> </v>
      </c>
      <c r="Q18" s="31" t="str">
        <f t="shared" si="2"/>
        <v xml:space="preserve"> </v>
      </c>
      <c r="R18" s="32" t="str">
        <f t="shared" si="3"/>
        <v xml:space="preserve"> </v>
      </c>
      <c r="S18" s="33" t="str">
        <f t="shared" si="4"/>
        <v xml:space="preserve"> </v>
      </c>
      <c r="T18" s="34" t="str">
        <f t="shared" si="5"/>
        <v xml:space="preserve"> </v>
      </c>
      <c r="U18" s="32" t="str">
        <f t="shared" si="6"/>
        <v/>
      </c>
      <c r="V18" s="32" t="str">
        <f t="shared" si="7"/>
        <v/>
      </c>
      <c r="W18" s="126"/>
    </row>
    <row r="19" spans="1:23" ht="18" customHeight="1">
      <c r="A19" s="30"/>
      <c r="B19" s="75" t="s">
        <v>118</v>
      </c>
      <c r="C19" s="76" t="s">
        <v>45</v>
      </c>
      <c r="D19" s="77">
        <v>4.09</v>
      </c>
      <c r="E19" s="77">
        <v>0.05</v>
      </c>
      <c r="F19" s="77">
        <v>-0.03</v>
      </c>
      <c r="G19" s="115">
        <v>4.1325000000000003</v>
      </c>
      <c r="H19" s="115">
        <v>4.0644999999999998</v>
      </c>
      <c r="I19" s="115"/>
      <c r="J19" s="115"/>
      <c r="K19" s="76" t="s">
        <v>46</v>
      </c>
      <c r="L19" s="91"/>
      <c r="M19" s="91"/>
      <c r="N19" s="91"/>
      <c r="O19" s="31" t="str">
        <f t="shared" si="0"/>
        <v xml:space="preserve"> </v>
      </c>
      <c r="P19" s="31" t="str">
        <f t="shared" si="1"/>
        <v xml:space="preserve"> </v>
      </c>
      <c r="Q19" s="31" t="str">
        <f t="shared" si="2"/>
        <v xml:space="preserve"> </v>
      </c>
      <c r="R19" s="32" t="str">
        <f t="shared" si="3"/>
        <v xml:space="preserve"> </v>
      </c>
      <c r="S19" s="33" t="str">
        <f t="shared" si="4"/>
        <v xml:space="preserve"> </v>
      </c>
      <c r="T19" s="34" t="str">
        <f t="shared" si="5"/>
        <v xml:space="preserve"> </v>
      </c>
      <c r="U19" s="32" t="str">
        <f t="shared" si="6"/>
        <v/>
      </c>
      <c r="V19" s="32" t="str">
        <f t="shared" si="7"/>
        <v/>
      </c>
      <c r="W19" s="126"/>
    </row>
    <row r="20" spans="1:23" ht="18" customHeight="1">
      <c r="A20" s="30"/>
      <c r="B20" s="75" t="s">
        <v>119</v>
      </c>
      <c r="C20" s="76" t="s">
        <v>45</v>
      </c>
      <c r="D20" s="77">
        <v>4.09</v>
      </c>
      <c r="E20" s="77">
        <v>0.05</v>
      </c>
      <c r="F20" s="77">
        <v>-0.03</v>
      </c>
      <c r="G20" s="115">
        <v>4.1325000000000003</v>
      </c>
      <c r="H20" s="115">
        <v>4.0644999999999998</v>
      </c>
      <c r="I20" s="115"/>
      <c r="J20" s="115"/>
      <c r="K20" s="76" t="s">
        <v>46</v>
      </c>
      <c r="L20" s="91"/>
      <c r="M20" s="91"/>
      <c r="N20" s="91"/>
      <c r="O20" s="31" t="str">
        <f t="shared" si="0"/>
        <v xml:space="preserve"> </v>
      </c>
      <c r="P20" s="31" t="str">
        <f t="shared" si="1"/>
        <v xml:space="preserve"> </v>
      </c>
      <c r="Q20" s="31" t="str">
        <f t="shared" si="2"/>
        <v xml:space="preserve"> </v>
      </c>
      <c r="R20" s="32" t="str">
        <f t="shared" si="3"/>
        <v xml:space="preserve"> </v>
      </c>
      <c r="S20" s="33" t="str">
        <f t="shared" si="4"/>
        <v xml:space="preserve"> </v>
      </c>
      <c r="T20" s="34" t="str">
        <f t="shared" si="5"/>
        <v xml:space="preserve"> </v>
      </c>
      <c r="U20" s="32" t="str">
        <f t="shared" si="6"/>
        <v/>
      </c>
      <c r="V20" s="32" t="str">
        <f t="shared" si="7"/>
        <v/>
      </c>
      <c r="W20" s="126"/>
    </row>
    <row r="21" spans="1:23" ht="18" customHeight="1">
      <c r="A21" s="30"/>
      <c r="B21" s="75" t="s">
        <v>120</v>
      </c>
      <c r="C21" s="76" t="s">
        <v>45</v>
      </c>
      <c r="D21" s="77">
        <v>19.794</v>
      </c>
      <c r="E21" s="77">
        <v>0.03</v>
      </c>
      <c r="F21" s="77">
        <v>-0.03</v>
      </c>
      <c r="G21" s="115">
        <v>19.819500000000001</v>
      </c>
      <c r="H21" s="115">
        <v>19.7685</v>
      </c>
      <c r="I21" s="115"/>
      <c r="J21" s="115"/>
      <c r="K21" s="76" t="s">
        <v>46</v>
      </c>
      <c r="L21" s="91"/>
      <c r="M21" s="91"/>
      <c r="N21" s="91"/>
      <c r="O21" s="31" t="str">
        <f t="shared" si="0"/>
        <v xml:space="preserve"> </v>
      </c>
      <c r="P21" s="31" t="str">
        <f t="shared" si="1"/>
        <v xml:space="preserve"> </v>
      </c>
      <c r="Q21" s="31" t="str">
        <f t="shared" si="2"/>
        <v xml:space="preserve"> </v>
      </c>
      <c r="R21" s="32" t="str">
        <f t="shared" si="3"/>
        <v xml:space="preserve"> </v>
      </c>
      <c r="S21" s="33" t="str">
        <f t="shared" si="4"/>
        <v xml:space="preserve"> </v>
      </c>
      <c r="T21" s="34" t="str">
        <f t="shared" si="5"/>
        <v xml:space="preserve"> </v>
      </c>
      <c r="U21" s="32" t="str">
        <f t="shared" si="6"/>
        <v/>
      </c>
      <c r="V21" s="32" t="str">
        <f t="shared" si="7"/>
        <v/>
      </c>
      <c r="W21" s="126"/>
    </row>
    <row r="22" spans="1:23" ht="18" customHeight="1">
      <c r="A22" s="30"/>
      <c r="B22" s="75" t="s">
        <v>121</v>
      </c>
      <c r="C22" s="76" t="s">
        <v>45</v>
      </c>
      <c r="D22" s="77">
        <v>19.794</v>
      </c>
      <c r="E22" s="77">
        <v>0.03</v>
      </c>
      <c r="F22" s="77">
        <v>-0.03</v>
      </c>
      <c r="G22" s="115">
        <v>19.819500000000001</v>
      </c>
      <c r="H22" s="115">
        <v>19.7685</v>
      </c>
      <c r="I22" s="115"/>
      <c r="J22" s="115"/>
      <c r="K22" s="76" t="s">
        <v>46</v>
      </c>
      <c r="L22" s="91"/>
      <c r="M22" s="91"/>
      <c r="N22" s="91"/>
      <c r="O22" s="31" t="str">
        <f t="shared" si="0"/>
        <v xml:space="preserve"> </v>
      </c>
      <c r="P22" s="31" t="str">
        <f t="shared" si="1"/>
        <v xml:space="preserve"> </v>
      </c>
      <c r="Q22" s="31" t="str">
        <f t="shared" si="2"/>
        <v xml:space="preserve"> </v>
      </c>
      <c r="R22" s="32" t="str">
        <f t="shared" si="3"/>
        <v xml:space="preserve"> </v>
      </c>
      <c r="S22" s="33" t="str">
        <f t="shared" si="4"/>
        <v xml:space="preserve"> </v>
      </c>
      <c r="T22" s="34" t="str">
        <f t="shared" si="5"/>
        <v xml:space="preserve"> </v>
      </c>
      <c r="U22" s="32" t="str">
        <f t="shared" si="6"/>
        <v/>
      </c>
      <c r="V22" s="32" t="str">
        <f t="shared" si="7"/>
        <v/>
      </c>
      <c r="W22" s="126"/>
    </row>
    <row r="23" spans="1:23" ht="18" customHeight="1">
      <c r="A23" s="30"/>
      <c r="B23" s="75" t="s">
        <v>122</v>
      </c>
      <c r="C23" s="76" t="s">
        <v>45</v>
      </c>
      <c r="D23" s="77">
        <v>19.794</v>
      </c>
      <c r="E23" s="77">
        <v>0.03</v>
      </c>
      <c r="F23" s="77">
        <v>-0.03</v>
      </c>
      <c r="G23" s="115">
        <v>19.819500000000001</v>
      </c>
      <c r="H23" s="115">
        <v>19.7685</v>
      </c>
      <c r="I23" s="115"/>
      <c r="J23" s="115"/>
      <c r="K23" s="76" t="s">
        <v>46</v>
      </c>
      <c r="L23" s="91"/>
      <c r="M23" s="91"/>
      <c r="N23" s="91"/>
      <c r="O23" s="31" t="str">
        <f t="shared" si="0"/>
        <v xml:space="preserve"> </v>
      </c>
      <c r="P23" s="31" t="str">
        <f t="shared" si="1"/>
        <v xml:space="preserve"> </v>
      </c>
      <c r="Q23" s="31" t="str">
        <f t="shared" si="2"/>
        <v xml:space="preserve"> </v>
      </c>
      <c r="R23" s="32" t="str">
        <f t="shared" si="3"/>
        <v xml:space="preserve"> </v>
      </c>
      <c r="S23" s="33" t="str">
        <f t="shared" si="4"/>
        <v xml:space="preserve"> </v>
      </c>
      <c r="T23" s="34" t="str">
        <f t="shared" si="5"/>
        <v xml:space="preserve"> </v>
      </c>
      <c r="U23" s="32" t="str">
        <f t="shared" si="6"/>
        <v/>
      </c>
      <c r="V23" s="32" t="str">
        <f t="shared" si="7"/>
        <v/>
      </c>
      <c r="W23" s="126"/>
    </row>
    <row r="24" spans="1:23" ht="18" customHeight="1">
      <c r="A24" s="30"/>
      <c r="B24" s="75">
        <v>18</v>
      </c>
      <c r="C24" s="76" t="s">
        <v>45</v>
      </c>
      <c r="D24" s="77">
        <v>18.643000000000001</v>
      </c>
      <c r="E24" s="77">
        <v>0.03</v>
      </c>
      <c r="F24" s="77">
        <v>-0.03</v>
      </c>
      <c r="G24" s="115">
        <v>18.668500000000002</v>
      </c>
      <c r="H24" s="115">
        <v>18.6175</v>
      </c>
      <c r="I24" s="115"/>
      <c r="J24" s="115"/>
      <c r="K24" s="76" t="s">
        <v>46</v>
      </c>
      <c r="L24" s="91"/>
      <c r="M24" s="91"/>
      <c r="N24" s="91"/>
      <c r="O24" s="31" t="str">
        <f t="shared" si="0"/>
        <v xml:space="preserve"> </v>
      </c>
      <c r="P24" s="31" t="str">
        <f t="shared" si="1"/>
        <v xml:space="preserve"> </v>
      </c>
      <c r="Q24" s="31" t="str">
        <f t="shared" si="2"/>
        <v xml:space="preserve"> </v>
      </c>
      <c r="R24" s="32" t="str">
        <f t="shared" si="3"/>
        <v xml:space="preserve"> </v>
      </c>
      <c r="S24" s="33" t="str">
        <f t="shared" si="4"/>
        <v xml:space="preserve"> </v>
      </c>
      <c r="T24" s="34" t="str">
        <f t="shared" si="5"/>
        <v xml:space="preserve"> </v>
      </c>
      <c r="U24" s="32" t="str">
        <f t="shared" si="6"/>
        <v/>
      </c>
      <c r="V24" s="32" t="str">
        <f t="shared" si="7"/>
        <v/>
      </c>
      <c r="W24" s="126"/>
    </row>
    <row r="25" spans="1:23" ht="18" customHeight="1">
      <c r="A25" s="30"/>
      <c r="B25" s="75">
        <v>19</v>
      </c>
      <c r="C25" s="76" t="s">
        <v>45</v>
      </c>
      <c r="D25" s="77">
        <v>15.882999999999999</v>
      </c>
      <c r="E25" s="77">
        <v>0.03</v>
      </c>
      <c r="F25" s="77">
        <v>-0.03</v>
      </c>
      <c r="G25" s="115">
        <v>15.908499999999998</v>
      </c>
      <c r="H25" s="115">
        <v>15.8575</v>
      </c>
      <c r="I25" s="115"/>
      <c r="J25" s="115"/>
      <c r="K25" s="76" t="s">
        <v>46</v>
      </c>
      <c r="L25" s="91"/>
      <c r="M25" s="91"/>
      <c r="N25" s="91"/>
      <c r="O25" s="31" t="str">
        <f t="shared" si="0"/>
        <v xml:space="preserve"> </v>
      </c>
      <c r="P25" s="31" t="str">
        <f t="shared" si="1"/>
        <v xml:space="preserve"> </v>
      </c>
      <c r="Q25" s="31" t="str">
        <f t="shared" si="2"/>
        <v xml:space="preserve"> </v>
      </c>
      <c r="R25" s="32" t="str">
        <f t="shared" si="3"/>
        <v xml:space="preserve"> </v>
      </c>
      <c r="S25" s="33" t="str">
        <f t="shared" si="4"/>
        <v xml:space="preserve"> </v>
      </c>
      <c r="T25" s="34" t="str">
        <f t="shared" si="5"/>
        <v xml:space="preserve"> </v>
      </c>
      <c r="U25" s="32" t="str">
        <f t="shared" si="6"/>
        <v/>
      </c>
      <c r="V25" s="32" t="str">
        <f t="shared" si="7"/>
        <v/>
      </c>
      <c r="W25" s="126"/>
    </row>
    <row r="26" spans="1:23" ht="18" customHeight="1">
      <c r="A26" s="30"/>
      <c r="B26" s="75" t="s">
        <v>123</v>
      </c>
      <c r="C26" s="76" t="s">
        <v>45</v>
      </c>
      <c r="D26" s="77">
        <v>3.9380000000000002</v>
      </c>
      <c r="E26" s="77">
        <v>0.03</v>
      </c>
      <c r="F26" s="77">
        <v>-0.03</v>
      </c>
      <c r="G26" s="115">
        <v>3.9635000000000002</v>
      </c>
      <c r="H26" s="115">
        <v>3.9125000000000001</v>
      </c>
      <c r="I26" s="115"/>
      <c r="J26" s="115"/>
      <c r="K26" s="76" t="s">
        <v>46</v>
      </c>
      <c r="L26" s="91"/>
      <c r="M26" s="91"/>
      <c r="N26" s="91"/>
      <c r="O26" s="31" t="str">
        <f t="shared" si="0"/>
        <v xml:space="preserve"> </v>
      </c>
      <c r="P26" s="31" t="str">
        <f t="shared" si="1"/>
        <v xml:space="preserve"> </v>
      </c>
      <c r="Q26" s="31" t="str">
        <f t="shared" si="2"/>
        <v xml:space="preserve"> </v>
      </c>
      <c r="R26" s="32" t="str">
        <f t="shared" si="3"/>
        <v xml:space="preserve"> </v>
      </c>
      <c r="S26" s="33" t="str">
        <f t="shared" si="4"/>
        <v xml:space="preserve"> </v>
      </c>
      <c r="T26" s="34" t="str">
        <f t="shared" si="5"/>
        <v xml:space="preserve"> </v>
      </c>
      <c r="U26" s="32" t="str">
        <f t="shared" si="6"/>
        <v/>
      </c>
      <c r="V26" s="32" t="str">
        <f t="shared" si="7"/>
        <v/>
      </c>
      <c r="W26" s="126"/>
    </row>
    <row r="27" spans="1:23" ht="18" customHeight="1">
      <c r="A27" s="30"/>
      <c r="B27" s="75" t="s">
        <v>124</v>
      </c>
      <c r="C27" s="76" t="s">
        <v>45</v>
      </c>
      <c r="D27" s="77">
        <v>3.9380000000000002</v>
      </c>
      <c r="E27" s="77">
        <v>0.03</v>
      </c>
      <c r="F27" s="77">
        <v>-0.03</v>
      </c>
      <c r="G27" s="115">
        <v>3.9635000000000002</v>
      </c>
      <c r="H27" s="115">
        <v>3.9125000000000001</v>
      </c>
      <c r="I27" s="115"/>
      <c r="J27" s="115"/>
      <c r="K27" s="76" t="s">
        <v>46</v>
      </c>
      <c r="L27" s="91"/>
      <c r="M27" s="91"/>
      <c r="N27" s="91"/>
      <c r="O27" s="31" t="str">
        <f t="shared" si="0"/>
        <v xml:space="preserve"> </v>
      </c>
      <c r="P27" s="31" t="str">
        <f t="shared" si="1"/>
        <v xml:space="preserve"> </v>
      </c>
      <c r="Q27" s="31" t="str">
        <f t="shared" si="2"/>
        <v xml:space="preserve"> </v>
      </c>
      <c r="R27" s="32" t="str">
        <f t="shared" si="3"/>
        <v xml:space="preserve"> </v>
      </c>
      <c r="S27" s="33" t="str">
        <f t="shared" si="4"/>
        <v xml:space="preserve"> </v>
      </c>
      <c r="T27" s="34" t="str">
        <f t="shared" si="5"/>
        <v xml:space="preserve"> </v>
      </c>
      <c r="U27" s="32" t="str">
        <f t="shared" si="6"/>
        <v/>
      </c>
      <c r="V27" s="32" t="str">
        <f t="shared" si="7"/>
        <v/>
      </c>
      <c r="W27" s="126"/>
    </row>
    <row r="28" spans="1:23" ht="18" customHeight="1">
      <c r="A28" s="30"/>
      <c r="B28" s="75" t="s">
        <v>125</v>
      </c>
      <c r="C28" s="76" t="s">
        <v>45</v>
      </c>
      <c r="D28" s="77">
        <v>3.9380000000000002</v>
      </c>
      <c r="E28" s="77">
        <v>0.03</v>
      </c>
      <c r="F28" s="77">
        <v>-0.03</v>
      </c>
      <c r="G28" s="115">
        <v>3.9635000000000002</v>
      </c>
      <c r="H28" s="115">
        <v>3.9125000000000001</v>
      </c>
      <c r="I28" s="115"/>
      <c r="J28" s="115"/>
      <c r="K28" s="76" t="s">
        <v>46</v>
      </c>
      <c r="L28" s="91"/>
      <c r="M28" s="91"/>
      <c r="N28" s="91"/>
      <c r="O28" s="31" t="str">
        <f t="shared" si="0"/>
        <v xml:space="preserve"> </v>
      </c>
      <c r="P28" s="31" t="str">
        <f t="shared" si="1"/>
        <v xml:space="preserve"> </v>
      </c>
      <c r="Q28" s="31" t="str">
        <f t="shared" si="2"/>
        <v xml:space="preserve"> </v>
      </c>
      <c r="R28" s="32" t="str">
        <f t="shared" si="3"/>
        <v xml:space="preserve"> </v>
      </c>
      <c r="S28" s="33" t="str">
        <f t="shared" si="4"/>
        <v xml:space="preserve"> </v>
      </c>
      <c r="T28" s="34" t="str">
        <f t="shared" si="5"/>
        <v xml:space="preserve"> </v>
      </c>
      <c r="U28" s="32" t="str">
        <f t="shared" si="6"/>
        <v/>
      </c>
      <c r="V28" s="32" t="str">
        <f t="shared" si="7"/>
        <v/>
      </c>
      <c r="W28" s="126"/>
    </row>
    <row r="29" spans="1:23" ht="18" customHeight="1">
      <c r="A29" s="30"/>
      <c r="B29" s="75" t="s">
        <v>317</v>
      </c>
      <c r="C29" s="76" t="s">
        <v>45</v>
      </c>
      <c r="D29" s="77">
        <v>1.125</v>
      </c>
      <c r="E29" s="77">
        <v>0.03</v>
      </c>
      <c r="F29" s="77">
        <v>-0.02</v>
      </c>
      <c r="G29" s="115">
        <v>1.1505000000000001</v>
      </c>
      <c r="H29" s="115">
        <v>1.1080000000000001</v>
      </c>
      <c r="I29" s="115">
        <v>1.1475</v>
      </c>
      <c r="J29" s="115">
        <v>1.1100000000000001</v>
      </c>
      <c r="K29" s="76" t="s">
        <v>231</v>
      </c>
      <c r="L29" s="91"/>
      <c r="M29" s="91"/>
      <c r="N29" s="91"/>
      <c r="O29" s="31" t="str">
        <f t="shared" si="0"/>
        <v xml:space="preserve"> </v>
      </c>
      <c r="P29" s="31" t="str">
        <f t="shared" si="1"/>
        <v xml:space="preserve"> </v>
      </c>
      <c r="Q29" s="31" t="str">
        <f t="shared" si="2"/>
        <v xml:space="preserve"> </v>
      </c>
      <c r="R29" s="32" t="str">
        <f t="shared" si="3"/>
        <v xml:space="preserve"> </v>
      </c>
      <c r="S29" s="33" t="str">
        <f t="shared" si="4"/>
        <v xml:space="preserve"> </v>
      </c>
      <c r="T29" s="34" t="str">
        <f t="shared" si="5"/>
        <v xml:space="preserve"> </v>
      </c>
      <c r="U29" s="32" t="str">
        <f t="shared" si="6"/>
        <v/>
      </c>
      <c r="V29" s="32" t="str">
        <f t="shared" si="7"/>
        <v/>
      </c>
      <c r="W29" s="126"/>
    </row>
    <row r="30" spans="1:23" ht="18" customHeight="1">
      <c r="A30" s="30"/>
      <c r="B30" s="75" t="s">
        <v>318</v>
      </c>
      <c r="C30" s="76" t="s">
        <v>45</v>
      </c>
      <c r="D30" s="77">
        <v>1.125</v>
      </c>
      <c r="E30" s="77">
        <v>0.03</v>
      </c>
      <c r="F30" s="77">
        <v>-0.02</v>
      </c>
      <c r="G30" s="115">
        <v>1.1505000000000001</v>
      </c>
      <c r="H30" s="115">
        <v>1.1080000000000001</v>
      </c>
      <c r="I30" s="115">
        <v>1.1475</v>
      </c>
      <c r="J30" s="115">
        <v>1.1100000000000001</v>
      </c>
      <c r="K30" s="76" t="s">
        <v>231</v>
      </c>
      <c r="L30" s="91"/>
      <c r="M30" s="91"/>
      <c r="N30" s="91"/>
      <c r="O30" s="31" t="str">
        <f t="shared" si="0"/>
        <v xml:space="preserve"> </v>
      </c>
      <c r="P30" s="31" t="str">
        <f t="shared" si="1"/>
        <v xml:space="preserve"> </v>
      </c>
      <c r="Q30" s="31" t="str">
        <f t="shared" si="2"/>
        <v xml:space="preserve"> </v>
      </c>
      <c r="R30" s="32" t="str">
        <f t="shared" si="3"/>
        <v xml:space="preserve"> </v>
      </c>
      <c r="S30" s="33" t="str">
        <f t="shared" si="4"/>
        <v xml:space="preserve"> </v>
      </c>
      <c r="T30" s="34" t="str">
        <f t="shared" si="5"/>
        <v xml:space="preserve"> </v>
      </c>
      <c r="U30" s="32" t="str">
        <f t="shared" si="6"/>
        <v/>
      </c>
      <c r="V30" s="32" t="str">
        <f t="shared" si="7"/>
        <v/>
      </c>
      <c r="W30" s="126"/>
    </row>
    <row r="31" spans="1:23" ht="18" customHeight="1">
      <c r="A31" s="30"/>
      <c r="B31" s="75" t="s">
        <v>319</v>
      </c>
      <c r="C31" s="76" t="s">
        <v>45</v>
      </c>
      <c r="D31" s="77">
        <v>1.125</v>
      </c>
      <c r="E31" s="77">
        <v>0.03</v>
      </c>
      <c r="F31" s="77">
        <v>-0.02</v>
      </c>
      <c r="G31" s="115">
        <v>1.1505000000000001</v>
      </c>
      <c r="H31" s="115">
        <v>1.1080000000000001</v>
      </c>
      <c r="I31" s="115">
        <v>1.1475</v>
      </c>
      <c r="J31" s="115">
        <v>1.1100000000000001</v>
      </c>
      <c r="K31" s="76" t="s">
        <v>231</v>
      </c>
      <c r="L31" s="91"/>
      <c r="M31" s="91"/>
      <c r="N31" s="91"/>
      <c r="O31" s="31" t="str">
        <f t="shared" si="0"/>
        <v xml:space="preserve"> </v>
      </c>
      <c r="P31" s="31" t="str">
        <f t="shared" si="1"/>
        <v xml:space="preserve"> </v>
      </c>
      <c r="Q31" s="31" t="str">
        <f t="shared" si="2"/>
        <v xml:space="preserve"> </v>
      </c>
      <c r="R31" s="32" t="str">
        <f t="shared" si="3"/>
        <v xml:space="preserve"> </v>
      </c>
      <c r="S31" s="33" t="str">
        <f t="shared" si="4"/>
        <v xml:space="preserve"> </v>
      </c>
      <c r="T31" s="34" t="str">
        <f t="shared" si="5"/>
        <v xml:space="preserve"> </v>
      </c>
      <c r="U31" s="32" t="str">
        <f t="shared" si="6"/>
        <v/>
      </c>
      <c r="V31" s="32" t="str">
        <f t="shared" si="7"/>
        <v/>
      </c>
      <c r="W31" s="126"/>
    </row>
    <row r="32" spans="1:23" ht="18" customHeight="1">
      <c r="A32" s="30"/>
      <c r="B32" s="75" t="s">
        <v>320</v>
      </c>
      <c r="C32" s="76" t="s">
        <v>45</v>
      </c>
      <c r="D32" s="77">
        <v>1.125</v>
      </c>
      <c r="E32" s="77">
        <v>0.03</v>
      </c>
      <c r="F32" s="77">
        <v>-0.02</v>
      </c>
      <c r="G32" s="115">
        <v>1.1505000000000001</v>
      </c>
      <c r="H32" s="115">
        <v>1.1080000000000001</v>
      </c>
      <c r="I32" s="115">
        <v>1.1475</v>
      </c>
      <c r="J32" s="115">
        <v>1.1100000000000001</v>
      </c>
      <c r="K32" s="76" t="s">
        <v>231</v>
      </c>
      <c r="L32" s="91"/>
      <c r="M32" s="91"/>
      <c r="N32" s="91"/>
      <c r="O32" s="31" t="str">
        <f t="shared" si="0"/>
        <v xml:space="preserve"> </v>
      </c>
      <c r="P32" s="31" t="str">
        <f t="shared" si="1"/>
        <v xml:space="preserve"> </v>
      </c>
      <c r="Q32" s="31" t="str">
        <f t="shared" si="2"/>
        <v xml:space="preserve"> </v>
      </c>
      <c r="R32" s="32" t="str">
        <f t="shared" si="3"/>
        <v xml:space="preserve"> </v>
      </c>
      <c r="S32" s="33" t="str">
        <f t="shared" si="4"/>
        <v xml:space="preserve"> </v>
      </c>
      <c r="T32" s="34" t="str">
        <f t="shared" si="5"/>
        <v xml:space="preserve"> </v>
      </c>
      <c r="U32" s="32" t="str">
        <f t="shared" si="6"/>
        <v/>
      </c>
      <c r="V32" s="32" t="str">
        <f t="shared" si="7"/>
        <v/>
      </c>
      <c r="W32" s="126"/>
    </row>
    <row r="33" spans="1:23" ht="18" customHeight="1">
      <c r="A33" s="30"/>
      <c r="B33" s="75" t="s">
        <v>321</v>
      </c>
      <c r="C33" s="76" t="s">
        <v>45</v>
      </c>
      <c r="D33" s="77">
        <v>1.125</v>
      </c>
      <c r="E33" s="77">
        <v>0.03</v>
      </c>
      <c r="F33" s="77">
        <v>-0.02</v>
      </c>
      <c r="G33" s="115">
        <v>1.1505000000000001</v>
      </c>
      <c r="H33" s="115">
        <v>1.1080000000000001</v>
      </c>
      <c r="I33" s="115">
        <v>1.1475</v>
      </c>
      <c r="J33" s="115">
        <v>1.1100000000000001</v>
      </c>
      <c r="K33" s="76" t="s">
        <v>231</v>
      </c>
      <c r="L33" s="91"/>
      <c r="M33" s="91"/>
      <c r="N33" s="91"/>
      <c r="O33" s="31" t="str">
        <f t="shared" si="0"/>
        <v xml:space="preserve"> </v>
      </c>
      <c r="P33" s="31" t="str">
        <f t="shared" si="1"/>
        <v xml:space="preserve"> </v>
      </c>
      <c r="Q33" s="31" t="str">
        <f t="shared" si="2"/>
        <v xml:space="preserve"> </v>
      </c>
      <c r="R33" s="32" t="str">
        <f t="shared" si="3"/>
        <v xml:space="preserve"> </v>
      </c>
      <c r="S33" s="33" t="str">
        <f t="shared" si="4"/>
        <v xml:space="preserve"> </v>
      </c>
      <c r="T33" s="34" t="str">
        <f t="shared" si="5"/>
        <v xml:space="preserve"> </v>
      </c>
      <c r="U33" s="32" t="str">
        <f t="shared" si="6"/>
        <v/>
      </c>
      <c r="V33" s="32" t="str">
        <f t="shared" si="7"/>
        <v/>
      </c>
      <c r="W33" s="126"/>
    </row>
    <row r="34" spans="1:23" ht="18" customHeight="1">
      <c r="A34" s="30"/>
      <c r="B34" s="75" t="s">
        <v>322</v>
      </c>
      <c r="C34" s="76" t="s">
        <v>45</v>
      </c>
      <c r="D34" s="77">
        <v>1.125</v>
      </c>
      <c r="E34" s="77">
        <v>0.03</v>
      </c>
      <c r="F34" s="77">
        <v>-0.02</v>
      </c>
      <c r="G34" s="115">
        <v>1.1505000000000001</v>
      </c>
      <c r="H34" s="115">
        <v>1.1080000000000001</v>
      </c>
      <c r="I34" s="115">
        <v>1.1475</v>
      </c>
      <c r="J34" s="115">
        <v>1.1100000000000001</v>
      </c>
      <c r="K34" s="76" t="s">
        <v>231</v>
      </c>
      <c r="L34" s="91"/>
      <c r="M34" s="91"/>
      <c r="N34" s="91"/>
      <c r="O34" s="31" t="str">
        <f t="shared" si="0"/>
        <v xml:space="preserve"> </v>
      </c>
      <c r="P34" s="31" t="str">
        <f t="shared" si="1"/>
        <v xml:space="preserve"> </v>
      </c>
      <c r="Q34" s="31" t="str">
        <f t="shared" si="2"/>
        <v xml:space="preserve"> </v>
      </c>
      <c r="R34" s="32" t="str">
        <f t="shared" si="3"/>
        <v xml:space="preserve"> </v>
      </c>
      <c r="S34" s="33" t="str">
        <f t="shared" si="4"/>
        <v xml:space="preserve"> </v>
      </c>
      <c r="T34" s="34" t="str">
        <f t="shared" si="5"/>
        <v xml:space="preserve"> </v>
      </c>
      <c r="U34" s="32"/>
      <c r="V34" s="32"/>
      <c r="W34" s="126"/>
    </row>
    <row r="35" spans="1:23" ht="18" customHeight="1">
      <c r="A35" s="30"/>
      <c r="B35" s="75" t="s">
        <v>126</v>
      </c>
      <c r="C35" s="76" t="s">
        <v>45</v>
      </c>
      <c r="D35" s="77">
        <v>0.27500000000000002</v>
      </c>
      <c r="E35" s="77">
        <v>0.03</v>
      </c>
      <c r="F35" s="77">
        <v>-0.03</v>
      </c>
      <c r="G35" s="115">
        <v>0.30050000000000004</v>
      </c>
      <c r="H35" s="115">
        <v>0.24950000000000003</v>
      </c>
      <c r="I35" s="115"/>
      <c r="J35" s="115"/>
      <c r="K35" s="76" t="s">
        <v>46</v>
      </c>
      <c r="L35" s="91"/>
      <c r="M35" s="91"/>
      <c r="N35" s="91"/>
      <c r="O35" s="31" t="str">
        <f t="shared" si="0"/>
        <v xml:space="preserve"> </v>
      </c>
      <c r="P35" s="31" t="str">
        <f t="shared" si="1"/>
        <v xml:space="preserve"> </v>
      </c>
      <c r="Q35" s="31" t="str">
        <f t="shared" si="2"/>
        <v xml:space="preserve"> </v>
      </c>
      <c r="R35" s="32" t="str">
        <f t="shared" si="3"/>
        <v xml:space="preserve"> </v>
      </c>
      <c r="S35" s="33" t="str">
        <f t="shared" si="4"/>
        <v xml:space="preserve"> </v>
      </c>
      <c r="T35" s="34" t="str">
        <f t="shared" si="5"/>
        <v xml:space="preserve"> </v>
      </c>
      <c r="U35" s="32" t="str">
        <f t="shared" si="6"/>
        <v/>
      </c>
      <c r="V35" s="32" t="str">
        <f t="shared" ref="V35:V98" si="8">IF(L35="","",IF(ISERR(F35/F35)=TRUE,"",IF(ISERR(F35/D35)=TRUE,IF((F35-MIN(L35:N35))&gt;0.001,"Reject",""),IF(ISNUMBER($T35)=TRUE,IF($T35&gt;0.651,IF($T35&gt;1.001,"Reject","Alert"),""),""))))</f>
        <v/>
      </c>
      <c r="W35" s="126"/>
    </row>
    <row r="36" spans="1:23" ht="18" customHeight="1">
      <c r="A36" s="30"/>
      <c r="B36" s="75" t="s">
        <v>127</v>
      </c>
      <c r="C36" s="76" t="s">
        <v>45</v>
      </c>
      <c r="D36" s="77">
        <v>0.27500000000000002</v>
      </c>
      <c r="E36" s="77">
        <v>0.03</v>
      </c>
      <c r="F36" s="77">
        <v>-0.03</v>
      </c>
      <c r="G36" s="115">
        <v>0.30050000000000004</v>
      </c>
      <c r="H36" s="115">
        <v>0.24950000000000003</v>
      </c>
      <c r="I36" s="115"/>
      <c r="J36" s="115"/>
      <c r="K36" s="76" t="s">
        <v>46</v>
      </c>
      <c r="L36" s="91"/>
      <c r="M36" s="91"/>
      <c r="N36" s="91"/>
      <c r="O36" s="31" t="str">
        <f t="shared" si="0"/>
        <v xml:space="preserve"> </v>
      </c>
      <c r="P36" s="31" t="str">
        <f t="shared" si="1"/>
        <v xml:space="preserve"> </v>
      </c>
      <c r="Q36" s="31" t="str">
        <f t="shared" si="2"/>
        <v xml:space="preserve"> </v>
      </c>
      <c r="R36" s="32" t="str">
        <f t="shared" si="3"/>
        <v xml:space="preserve"> </v>
      </c>
      <c r="S36" s="33" t="str">
        <f t="shared" si="4"/>
        <v xml:space="preserve"> </v>
      </c>
      <c r="T36" s="34" t="str">
        <f t="shared" si="5"/>
        <v xml:space="preserve"> </v>
      </c>
      <c r="U36" s="32" t="str">
        <f t="shared" si="6"/>
        <v/>
      </c>
      <c r="V36" s="32" t="str">
        <f t="shared" si="8"/>
        <v/>
      </c>
      <c r="W36" s="126"/>
    </row>
    <row r="37" spans="1:23" ht="18" customHeight="1">
      <c r="A37" s="30"/>
      <c r="B37" s="75" t="s">
        <v>259</v>
      </c>
      <c r="C37" s="76" t="s">
        <v>45</v>
      </c>
      <c r="D37" s="77">
        <v>0.27500000000000002</v>
      </c>
      <c r="E37" s="77">
        <v>0.03</v>
      </c>
      <c r="F37" s="77">
        <v>-0.03</v>
      </c>
      <c r="G37" s="115">
        <v>0.30050000000000004</v>
      </c>
      <c r="H37" s="115">
        <v>0.24950000000000003</v>
      </c>
      <c r="I37" s="115"/>
      <c r="J37" s="115"/>
      <c r="K37" s="76" t="s">
        <v>46</v>
      </c>
      <c r="L37" s="91"/>
      <c r="M37" s="91"/>
      <c r="N37" s="91"/>
      <c r="O37" s="31" t="str">
        <f t="shared" si="0"/>
        <v xml:space="preserve"> </v>
      </c>
      <c r="P37" s="31" t="str">
        <f t="shared" si="1"/>
        <v xml:space="preserve"> </v>
      </c>
      <c r="Q37" s="31" t="str">
        <f t="shared" si="2"/>
        <v xml:space="preserve"> </v>
      </c>
      <c r="R37" s="32" t="str">
        <f t="shared" si="3"/>
        <v xml:space="preserve"> </v>
      </c>
      <c r="S37" s="33" t="str">
        <f t="shared" si="4"/>
        <v xml:space="preserve"> </v>
      </c>
      <c r="T37" s="34" t="str">
        <f t="shared" si="5"/>
        <v xml:space="preserve"> </v>
      </c>
      <c r="U37" s="32" t="str">
        <f t="shared" si="6"/>
        <v/>
      </c>
      <c r="V37" s="32" t="str">
        <f t="shared" si="8"/>
        <v/>
      </c>
      <c r="W37" s="126"/>
    </row>
    <row r="38" spans="1:23" ht="18" customHeight="1">
      <c r="A38" s="30"/>
      <c r="B38" s="75" t="s">
        <v>260</v>
      </c>
      <c r="C38" s="76" t="s">
        <v>45</v>
      </c>
      <c r="D38" s="77">
        <v>0.27500000000000002</v>
      </c>
      <c r="E38" s="77">
        <v>0.03</v>
      </c>
      <c r="F38" s="77">
        <v>-0.03</v>
      </c>
      <c r="G38" s="115">
        <v>0.30050000000000004</v>
      </c>
      <c r="H38" s="115">
        <v>0.24950000000000003</v>
      </c>
      <c r="I38" s="115"/>
      <c r="J38" s="115"/>
      <c r="K38" s="76" t="s">
        <v>46</v>
      </c>
      <c r="L38" s="91"/>
      <c r="M38" s="91"/>
      <c r="N38" s="91"/>
      <c r="O38" s="31" t="str">
        <f t="shared" si="0"/>
        <v xml:space="preserve"> </v>
      </c>
      <c r="P38" s="31" t="str">
        <f t="shared" si="1"/>
        <v xml:space="preserve"> </v>
      </c>
      <c r="Q38" s="31" t="str">
        <f t="shared" si="2"/>
        <v xml:space="preserve"> </v>
      </c>
      <c r="R38" s="32" t="str">
        <f t="shared" si="3"/>
        <v xml:space="preserve"> </v>
      </c>
      <c r="S38" s="33" t="str">
        <f t="shared" si="4"/>
        <v xml:space="preserve"> </v>
      </c>
      <c r="T38" s="34" t="str">
        <f t="shared" si="5"/>
        <v xml:space="preserve"> </v>
      </c>
      <c r="U38" s="32" t="str">
        <f t="shared" si="6"/>
        <v/>
      </c>
      <c r="V38" s="32" t="str">
        <f t="shared" si="8"/>
        <v/>
      </c>
      <c r="W38" s="126"/>
    </row>
    <row r="39" spans="1:23" ht="18" customHeight="1">
      <c r="A39" s="30"/>
      <c r="B39" s="75" t="s">
        <v>261</v>
      </c>
      <c r="C39" s="76" t="s">
        <v>45</v>
      </c>
      <c r="D39" s="77">
        <v>0.27500000000000002</v>
      </c>
      <c r="E39" s="77">
        <v>0.03</v>
      </c>
      <c r="F39" s="77">
        <v>-0.03</v>
      </c>
      <c r="G39" s="115">
        <v>0.30050000000000004</v>
      </c>
      <c r="H39" s="115">
        <v>0.24950000000000003</v>
      </c>
      <c r="I39" s="115"/>
      <c r="J39" s="115"/>
      <c r="K39" s="76" t="s">
        <v>46</v>
      </c>
      <c r="L39" s="91"/>
      <c r="M39" s="91"/>
      <c r="N39" s="91"/>
      <c r="O39" s="31" t="str">
        <f t="shared" si="0"/>
        <v xml:space="preserve"> </v>
      </c>
      <c r="P39" s="31" t="str">
        <f t="shared" si="1"/>
        <v xml:space="preserve"> </v>
      </c>
      <c r="Q39" s="31" t="str">
        <f t="shared" si="2"/>
        <v xml:space="preserve"> </v>
      </c>
      <c r="R39" s="32" t="str">
        <f t="shared" si="3"/>
        <v xml:space="preserve"> </v>
      </c>
      <c r="S39" s="33" t="str">
        <f t="shared" si="4"/>
        <v xml:space="preserve"> </v>
      </c>
      <c r="T39" s="34" t="str">
        <f t="shared" si="5"/>
        <v xml:space="preserve"> </v>
      </c>
      <c r="U39" s="32" t="str">
        <f t="shared" si="6"/>
        <v/>
      </c>
      <c r="V39" s="32" t="str">
        <f t="shared" si="8"/>
        <v/>
      </c>
      <c r="W39" s="126"/>
    </row>
    <row r="40" spans="1:23" ht="18" customHeight="1">
      <c r="A40" s="30"/>
      <c r="B40" s="75" t="s">
        <v>128</v>
      </c>
      <c r="C40" s="76" t="s">
        <v>45</v>
      </c>
      <c r="D40" s="77">
        <v>0.27500000000000002</v>
      </c>
      <c r="E40" s="77">
        <v>1.4999999999999999E-2</v>
      </c>
      <c r="F40" s="77">
        <v>-1.4999999999999999E-2</v>
      </c>
      <c r="G40" s="115">
        <v>0.28775000000000001</v>
      </c>
      <c r="H40" s="115">
        <v>0.26225000000000004</v>
      </c>
      <c r="I40" s="115"/>
      <c r="J40" s="115"/>
      <c r="K40" s="76" t="s">
        <v>46</v>
      </c>
      <c r="L40" s="91"/>
      <c r="M40" s="91"/>
      <c r="N40" s="91"/>
      <c r="O40" s="31" t="str">
        <f t="shared" si="0"/>
        <v xml:space="preserve"> </v>
      </c>
      <c r="P40" s="31" t="str">
        <f t="shared" si="1"/>
        <v xml:space="preserve"> </v>
      </c>
      <c r="Q40" s="31" t="str">
        <f t="shared" si="2"/>
        <v xml:space="preserve"> </v>
      </c>
      <c r="R40" s="32" t="str">
        <f t="shared" si="3"/>
        <v xml:space="preserve"> </v>
      </c>
      <c r="S40" s="33" t="str">
        <f t="shared" si="4"/>
        <v xml:space="preserve"> </v>
      </c>
      <c r="T40" s="34" t="str">
        <f t="shared" si="5"/>
        <v xml:space="preserve"> </v>
      </c>
      <c r="U40" s="32" t="str">
        <f t="shared" si="6"/>
        <v/>
      </c>
      <c r="V40" s="32" t="str">
        <f t="shared" si="8"/>
        <v/>
      </c>
      <c r="W40" s="126"/>
    </row>
    <row r="41" spans="1:23" ht="18" customHeight="1">
      <c r="A41" s="30"/>
      <c r="B41" s="75" t="s">
        <v>129</v>
      </c>
      <c r="C41" s="76" t="s">
        <v>45</v>
      </c>
      <c r="D41" s="77">
        <v>0.27500000000000002</v>
      </c>
      <c r="E41" s="77">
        <v>1.4999999999999999E-2</v>
      </c>
      <c r="F41" s="77">
        <v>-1.4999999999999999E-2</v>
      </c>
      <c r="G41" s="115">
        <v>0.28775000000000001</v>
      </c>
      <c r="H41" s="115">
        <v>0.26225000000000004</v>
      </c>
      <c r="I41" s="115"/>
      <c r="J41" s="115"/>
      <c r="K41" s="76" t="s">
        <v>46</v>
      </c>
      <c r="L41" s="91"/>
      <c r="M41" s="91"/>
      <c r="N41" s="91"/>
      <c r="O41" s="31" t="str">
        <f t="shared" si="0"/>
        <v xml:space="preserve"> </v>
      </c>
      <c r="P41" s="31" t="str">
        <f t="shared" si="1"/>
        <v xml:space="preserve"> </v>
      </c>
      <c r="Q41" s="31" t="str">
        <f t="shared" si="2"/>
        <v xml:space="preserve"> </v>
      </c>
      <c r="R41" s="32" t="str">
        <f t="shared" si="3"/>
        <v xml:space="preserve"> </v>
      </c>
      <c r="S41" s="33" t="str">
        <f t="shared" si="4"/>
        <v xml:space="preserve"> </v>
      </c>
      <c r="T41" s="34" t="str">
        <f t="shared" si="5"/>
        <v xml:space="preserve"> </v>
      </c>
      <c r="U41" s="32" t="str">
        <f t="shared" si="6"/>
        <v/>
      </c>
      <c r="V41" s="32" t="str">
        <f t="shared" si="8"/>
        <v/>
      </c>
      <c r="W41" s="126"/>
    </row>
    <row r="42" spans="1:23" ht="18" customHeight="1">
      <c r="A42" s="30"/>
      <c r="B42" s="75" t="s">
        <v>324</v>
      </c>
      <c r="C42" s="76" t="s">
        <v>45</v>
      </c>
      <c r="D42" s="77">
        <v>1.8180000000000001</v>
      </c>
      <c r="E42" s="77">
        <v>0.03</v>
      </c>
      <c r="F42" s="77">
        <v>-0.03</v>
      </c>
      <c r="G42" s="115">
        <v>1.8435000000000001</v>
      </c>
      <c r="H42" s="115">
        <v>1.7925</v>
      </c>
      <c r="I42" s="115"/>
      <c r="J42" s="115"/>
      <c r="K42" s="76" t="s">
        <v>46</v>
      </c>
      <c r="L42" s="91"/>
      <c r="M42" s="91"/>
      <c r="N42" s="91"/>
      <c r="O42" s="31" t="str">
        <f t="shared" si="0"/>
        <v xml:space="preserve"> </v>
      </c>
      <c r="P42" s="31" t="str">
        <f t="shared" si="1"/>
        <v xml:space="preserve"> </v>
      </c>
      <c r="Q42" s="31" t="str">
        <f t="shared" si="2"/>
        <v xml:space="preserve"> </v>
      </c>
      <c r="R42" s="32" t="str">
        <f t="shared" si="3"/>
        <v xml:space="preserve"> </v>
      </c>
      <c r="S42" s="33" t="str">
        <f t="shared" si="4"/>
        <v xml:space="preserve"> </v>
      </c>
      <c r="T42" s="34" t="str">
        <f t="shared" si="5"/>
        <v xml:space="preserve"> </v>
      </c>
      <c r="U42" s="32" t="str">
        <f t="shared" si="6"/>
        <v/>
      </c>
      <c r="V42" s="32" t="str">
        <f t="shared" si="8"/>
        <v/>
      </c>
      <c r="W42" s="126"/>
    </row>
    <row r="43" spans="1:23" ht="18" customHeight="1">
      <c r="A43" s="30"/>
      <c r="B43" s="75">
        <v>26</v>
      </c>
      <c r="C43" s="76" t="s">
        <v>45</v>
      </c>
      <c r="D43" s="77">
        <v>5.9269999999999996</v>
      </c>
      <c r="E43" s="77">
        <v>0.03</v>
      </c>
      <c r="F43" s="77">
        <v>-0.03</v>
      </c>
      <c r="G43" s="115">
        <v>5.9524999999999997</v>
      </c>
      <c r="H43" s="115">
        <v>5.9014999999999995</v>
      </c>
      <c r="I43" s="115"/>
      <c r="J43" s="115"/>
      <c r="K43" s="76" t="s">
        <v>46</v>
      </c>
      <c r="L43" s="91"/>
      <c r="M43" s="91"/>
      <c r="N43" s="91"/>
      <c r="O43" s="31" t="str">
        <f t="shared" si="0"/>
        <v xml:space="preserve"> </v>
      </c>
      <c r="P43" s="31" t="str">
        <f t="shared" si="1"/>
        <v xml:space="preserve"> </v>
      </c>
      <c r="Q43" s="31" t="str">
        <f t="shared" si="2"/>
        <v xml:space="preserve"> </v>
      </c>
      <c r="R43" s="32" t="str">
        <f t="shared" si="3"/>
        <v xml:space="preserve"> </v>
      </c>
      <c r="S43" s="33" t="str">
        <f t="shared" si="4"/>
        <v xml:space="preserve"> </v>
      </c>
      <c r="T43" s="34" t="str">
        <f t="shared" si="5"/>
        <v xml:space="preserve"> </v>
      </c>
      <c r="U43" s="32" t="str">
        <f t="shared" si="6"/>
        <v/>
      </c>
      <c r="V43" s="32" t="str">
        <f t="shared" si="8"/>
        <v/>
      </c>
      <c r="W43" s="126"/>
    </row>
    <row r="44" spans="1:23" ht="18" customHeight="1">
      <c r="A44" s="30"/>
      <c r="B44" s="75" t="s">
        <v>103</v>
      </c>
      <c r="C44" s="76" t="s">
        <v>45</v>
      </c>
      <c r="D44" s="77">
        <v>8.3719999999999999</v>
      </c>
      <c r="E44" s="77">
        <v>0.03</v>
      </c>
      <c r="F44" s="77">
        <v>-0.03</v>
      </c>
      <c r="G44" s="115">
        <v>8.3974999999999991</v>
      </c>
      <c r="H44" s="115">
        <v>8.3465000000000007</v>
      </c>
      <c r="I44" s="115"/>
      <c r="J44" s="115"/>
      <c r="K44" s="76" t="s">
        <v>46</v>
      </c>
      <c r="L44" s="91"/>
      <c r="M44" s="91"/>
      <c r="N44" s="91"/>
      <c r="O44" s="31" t="str">
        <f t="shared" si="0"/>
        <v xml:space="preserve"> </v>
      </c>
      <c r="P44" s="31" t="str">
        <f t="shared" si="1"/>
        <v xml:space="preserve"> </v>
      </c>
      <c r="Q44" s="31" t="str">
        <f t="shared" si="2"/>
        <v xml:space="preserve"> </v>
      </c>
      <c r="R44" s="32" t="str">
        <f t="shared" si="3"/>
        <v xml:space="preserve"> </v>
      </c>
      <c r="S44" s="33" t="str">
        <f t="shared" si="4"/>
        <v xml:space="preserve"> </v>
      </c>
      <c r="T44" s="34" t="str">
        <f t="shared" si="5"/>
        <v xml:space="preserve"> </v>
      </c>
      <c r="U44" s="32" t="str">
        <f t="shared" si="6"/>
        <v/>
      </c>
      <c r="V44" s="32" t="str">
        <f t="shared" si="8"/>
        <v/>
      </c>
      <c r="W44" s="126"/>
    </row>
    <row r="45" spans="1:23" ht="18" customHeight="1">
      <c r="A45" s="30"/>
      <c r="B45" s="75" t="s">
        <v>104</v>
      </c>
      <c r="C45" s="76" t="s">
        <v>45</v>
      </c>
      <c r="D45" s="77">
        <v>8.3719999999999999</v>
      </c>
      <c r="E45" s="77">
        <v>0.03</v>
      </c>
      <c r="F45" s="77">
        <v>-0.03</v>
      </c>
      <c r="G45" s="115">
        <v>8.3974999999999991</v>
      </c>
      <c r="H45" s="115">
        <v>8.3465000000000007</v>
      </c>
      <c r="I45" s="115"/>
      <c r="J45" s="115"/>
      <c r="K45" s="76" t="s">
        <v>46</v>
      </c>
      <c r="L45" s="91"/>
      <c r="M45" s="91"/>
      <c r="N45" s="91"/>
      <c r="O45" s="31" t="str">
        <f t="shared" si="0"/>
        <v xml:space="preserve"> </v>
      </c>
      <c r="P45" s="31" t="str">
        <f t="shared" si="1"/>
        <v xml:space="preserve"> </v>
      </c>
      <c r="Q45" s="31" t="str">
        <f t="shared" si="2"/>
        <v xml:space="preserve"> </v>
      </c>
      <c r="R45" s="32" t="str">
        <f t="shared" si="3"/>
        <v xml:space="preserve"> </v>
      </c>
      <c r="S45" s="33" t="str">
        <f t="shared" si="4"/>
        <v xml:space="preserve"> </v>
      </c>
      <c r="T45" s="34" t="str">
        <f t="shared" si="5"/>
        <v xml:space="preserve"> </v>
      </c>
      <c r="U45" s="32" t="str">
        <f t="shared" si="6"/>
        <v/>
      </c>
      <c r="V45" s="32" t="str">
        <f t="shared" si="8"/>
        <v/>
      </c>
      <c r="W45" s="126"/>
    </row>
    <row r="46" spans="1:23" ht="18" customHeight="1">
      <c r="A46" s="30"/>
      <c r="B46" s="75" t="s">
        <v>130</v>
      </c>
      <c r="C46" s="76" t="s">
        <v>45</v>
      </c>
      <c r="D46" s="77">
        <v>20.184999999999999</v>
      </c>
      <c r="E46" s="77">
        <v>0.03</v>
      </c>
      <c r="F46" s="77">
        <v>-0.03</v>
      </c>
      <c r="G46" s="115">
        <v>20.2105</v>
      </c>
      <c r="H46" s="115">
        <v>20.159499999999998</v>
      </c>
      <c r="I46" s="115"/>
      <c r="J46" s="115"/>
      <c r="K46" s="76" t="s">
        <v>46</v>
      </c>
      <c r="L46" s="91"/>
      <c r="M46" s="91"/>
      <c r="N46" s="91"/>
      <c r="O46" s="31" t="str">
        <f t="shared" si="0"/>
        <v xml:space="preserve"> </v>
      </c>
      <c r="P46" s="31" t="str">
        <f t="shared" si="1"/>
        <v xml:space="preserve"> </v>
      </c>
      <c r="Q46" s="31" t="str">
        <f t="shared" si="2"/>
        <v xml:space="preserve"> </v>
      </c>
      <c r="R46" s="32" t="str">
        <f t="shared" si="3"/>
        <v xml:space="preserve"> </v>
      </c>
      <c r="S46" s="33" t="str">
        <f t="shared" si="4"/>
        <v xml:space="preserve"> </v>
      </c>
      <c r="T46" s="34" t="str">
        <f t="shared" si="5"/>
        <v xml:space="preserve"> </v>
      </c>
      <c r="U46" s="32" t="str">
        <f t="shared" si="6"/>
        <v/>
      </c>
      <c r="V46" s="32" t="str">
        <f t="shared" si="8"/>
        <v/>
      </c>
      <c r="W46" s="126"/>
    </row>
    <row r="47" spans="1:23" ht="17.25" customHeight="1">
      <c r="A47" s="30"/>
      <c r="B47" s="75" t="s">
        <v>131</v>
      </c>
      <c r="C47" s="76" t="s">
        <v>45</v>
      </c>
      <c r="D47" s="77">
        <v>20.184999999999999</v>
      </c>
      <c r="E47" s="77">
        <v>0.03</v>
      </c>
      <c r="F47" s="77">
        <v>-0.03</v>
      </c>
      <c r="G47" s="115">
        <v>20.2105</v>
      </c>
      <c r="H47" s="115">
        <v>20.159499999999998</v>
      </c>
      <c r="I47" s="115"/>
      <c r="J47" s="115"/>
      <c r="K47" s="76" t="s">
        <v>46</v>
      </c>
      <c r="L47" s="91"/>
      <c r="M47" s="91"/>
      <c r="N47" s="91"/>
      <c r="O47" s="31" t="str">
        <f t="shared" si="0"/>
        <v xml:space="preserve"> </v>
      </c>
      <c r="P47" s="31" t="str">
        <f t="shared" si="1"/>
        <v xml:space="preserve"> </v>
      </c>
      <c r="Q47" s="31" t="str">
        <f t="shared" si="2"/>
        <v xml:space="preserve"> </v>
      </c>
      <c r="R47" s="32" t="str">
        <f t="shared" si="3"/>
        <v xml:space="preserve"> </v>
      </c>
      <c r="S47" s="33" t="str">
        <f t="shared" si="4"/>
        <v xml:space="preserve"> </v>
      </c>
      <c r="T47" s="34" t="str">
        <f t="shared" si="5"/>
        <v xml:space="preserve"> </v>
      </c>
      <c r="U47" s="32" t="str">
        <f t="shared" si="6"/>
        <v/>
      </c>
      <c r="V47" s="32" t="str">
        <f t="shared" si="8"/>
        <v/>
      </c>
      <c r="W47" s="126"/>
    </row>
    <row r="48" spans="1:23" ht="18" customHeight="1">
      <c r="A48" s="30"/>
      <c r="B48" s="75">
        <v>29</v>
      </c>
      <c r="C48" s="76" t="s">
        <v>45</v>
      </c>
      <c r="D48" s="77">
        <v>9.6820000000000004</v>
      </c>
      <c r="E48" s="77">
        <v>0.03</v>
      </c>
      <c r="F48" s="77">
        <v>-0.03</v>
      </c>
      <c r="G48" s="115">
        <v>9.7074999999999996</v>
      </c>
      <c r="H48" s="115">
        <v>9.6565000000000012</v>
      </c>
      <c r="I48" s="115"/>
      <c r="J48" s="115"/>
      <c r="K48" s="76" t="s">
        <v>46</v>
      </c>
      <c r="L48" s="91"/>
      <c r="M48" s="91"/>
      <c r="N48" s="91"/>
      <c r="O48" s="31" t="str">
        <f t="shared" si="0"/>
        <v xml:space="preserve"> </v>
      </c>
      <c r="P48" s="31" t="str">
        <f t="shared" si="1"/>
        <v xml:space="preserve"> </v>
      </c>
      <c r="Q48" s="31" t="str">
        <f t="shared" si="2"/>
        <v xml:space="preserve"> </v>
      </c>
      <c r="R48" s="32" t="str">
        <f t="shared" si="3"/>
        <v xml:space="preserve"> </v>
      </c>
      <c r="S48" s="33" t="str">
        <f t="shared" si="4"/>
        <v xml:space="preserve"> </v>
      </c>
      <c r="T48" s="34" t="str">
        <f t="shared" si="5"/>
        <v xml:space="preserve"> </v>
      </c>
      <c r="U48" s="32" t="str">
        <f t="shared" si="6"/>
        <v/>
      </c>
      <c r="V48" s="32" t="str">
        <f t="shared" si="8"/>
        <v/>
      </c>
      <c r="W48" s="126"/>
    </row>
    <row r="49" spans="1:23" ht="18" customHeight="1">
      <c r="A49" s="30"/>
      <c r="B49" s="75">
        <v>30</v>
      </c>
      <c r="C49" s="76" t="s">
        <v>45</v>
      </c>
      <c r="D49" s="77">
        <v>24.37</v>
      </c>
      <c r="E49" s="77">
        <v>0.03</v>
      </c>
      <c r="F49" s="77">
        <v>-0.03</v>
      </c>
      <c r="G49" s="115">
        <v>24.395500000000002</v>
      </c>
      <c r="H49" s="115">
        <v>24.3445</v>
      </c>
      <c r="I49" s="115"/>
      <c r="J49" s="115"/>
      <c r="K49" s="76" t="s">
        <v>46</v>
      </c>
      <c r="L49" s="91"/>
      <c r="M49" s="91"/>
      <c r="N49" s="91"/>
      <c r="O49" s="31" t="str">
        <f t="shared" si="0"/>
        <v xml:space="preserve"> </v>
      </c>
      <c r="P49" s="31" t="str">
        <f t="shared" si="1"/>
        <v xml:space="preserve"> </v>
      </c>
      <c r="Q49" s="31" t="str">
        <f t="shared" si="2"/>
        <v xml:space="preserve"> </v>
      </c>
      <c r="R49" s="32" t="str">
        <f t="shared" si="3"/>
        <v xml:space="preserve"> </v>
      </c>
      <c r="S49" s="33" t="str">
        <f t="shared" si="4"/>
        <v xml:space="preserve"> </v>
      </c>
      <c r="T49" s="34" t="str">
        <f t="shared" si="5"/>
        <v xml:space="preserve"> </v>
      </c>
      <c r="U49" s="32" t="str">
        <f t="shared" si="6"/>
        <v/>
      </c>
      <c r="V49" s="32" t="str">
        <f t="shared" si="8"/>
        <v/>
      </c>
      <c r="W49" s="126"/>
    </row>
    <row r="50" spans="1:23" ht="18" customHeight="1">
      <c r="A50" s="30"/>
      <c r="B50" s="75">
        <v>31</v>
      </c>
      <c r="C50" s="76" t="s">
        <v>45</v>
      </c>
      <c r="D50" s="77">
        <v>22.236000000000001</v>
      </c>
      <c r="E50" s="77">
        <v>0.03</v>
      </c>
      <c r="F50" s="77">
        <v>-0.03</v>
      </c>
      <c r="G50" s="115">
        <v>22.261500000000002</v>
      </c>
      <c r="H50" s="115">
        <v>22.2105</v>
      </c>
      <c r="I50" s="115"/>
      <c r="J50" s="115"/>
      <c r="K50" s="76" t="s">
        <v>46</v>
      </c>
      <c r="L50" s="91"/>
      <c r="M50" s="91"/>
      <c r="N50" s="91"/>
      <c r="O50" s="31" t="str">
        <f t="shared" si="0"/>
        <v xml:space="preserve"> </v>
      </c>
      <c r="P50" s="31" t="str">
        <f t="shared" si="1"/>
        <v xml:space="preserve"> </v>
      </c>
      <c r="Q50" s="31" t="str">
        <f t="shared" si="2"/>
        <v xml:space="preserve"> </v>
      </c>
      <c r="R50" s="32" t="str">
        <f t="shared" si="3"/>
        <v xml:space="preserve"> </v>
      </c>
      <c r="S50" s="33" t="str">
        <f t="shared" si="4"/>
        <v xml:space="preserve"> </v>
      </c>
      <c r="T50" s="34" t="str">
        <f t="shared" si="5"/>
        <v xml:space="preserve"> </v>
      </c>
      <c r="U50" s="32" t="str">
        <f t="shared" si="6"/>
        <v/>
      </c>
      <c r="V50" s="32" t="str">
        <f t="shared" si="8"/>
        <v/>
      </c>
      <c r="W50" s="126"/>
    </row>
    <row r="51" spans="1:23" ht="18" customHeight="1">
      <c r="A51" s="30"/>
      <c r="B51" s="75" t="s">
        <v>105</v>
      </c>
      <c r="C51" s="76" t="s">
        <v>45</v>
      </c>
      <c r="D51" s="77">
        <v>23.802</v>
      </c>
      <c r="E51" s="77">
        <v>0.03</v>
      </c>
      <c r="F51" s="77">
        <v>-0.03</v>
      </c>
      <c r="G51" s="115">
        <v>23.827500000000001</v>
      </c>
      <c r="H51" s="115">
        <v>23.776499999999999</v>
      </c>
      <c r="I51" s="115"/>
      <c r="J51" s="115"/>
      <c r="K51" s="76" t="s">
        <v>46</v>
      </c>
      <c r="L51" s="91"/>
      <c r="M51" s="91"/>
      <c r="N51" s="91"/>
      <c r="O51" s="31" t="str">
        <f t="shared" si="0"/>
        <v xml:space="preserve"> </v>
      </c>
      <c r="P51" s="31" t="str">
        <f t="shared" si="1"/>
        <v xml:space="preserve"> </v>
      </c>
      <c r="Q51" s="31" t="str">
        <f t="shared" si="2"/>
        <v xml:space="preserve"> </v>
      </c>
      <c r="R51" s="32" t="str">
        <f t="shared" si="3"/>
        <v xml:space="preserve"> </v>
      </c>
      <c r="S51" s="33" t="str">
        <f t="shared" si="4"/>
        <v xml:space="preserve"> </v>
      </c>
      <c r="T51" s="34" t="str">
        <f t="shared" si="5"/>
        <v xml:space="preserve"> </v>
      </c>
      <c r="U51" s="32" t="str">
        <f t="shared" si="6"/>
        <v/>
      </c>
      <c r="V51" s="32" t="str">
        <f t="shared" si="8"/>
        <v/>
      </c>
      <c r="W51" s="126"/>
    </row>
    <row r="52" spans="1:23" ht="18" customHeight="1">
      <c r="A52" s="30"/>
      <c r="B52" s="75" t="s">
        <v>106</v>
      </c>
      <c r="C52" s="76" t="s">
        <v>45</v>
      </c>
      <c r="D52" s="77">
        <v>23.802</v>
      </c>
      <c r="E52" s="77">
        <v>0.03</v>
      </c>
      <c r="F52" s="77">
        <v>-0.03</v>
      </c>
      <c r="G52" s="115">
        <v>23.827500000000001</v>
      </c>
      <c r="H52" s="115">
        <v>23.776499999999999</v>
      </c>
      <c r="I52" s="115"/>
      <c r="J52" s="115"/>
      <c r="K52" s="76" t="s">
        <v>46</v>
      </c>
      <c r="L52" s="91"/>
      <c r="M52" s="91"/>
      <c r="N52" s="91"/>
      <c r="O52" s="31" t="str">
        <f t="shared" si="0"/>
        <v xml:space="preserve"> </v>
      </c>
      <c r="P52" s="31" t="str">
        <f t="shared" si="1"/>
        <v xml:space="preserve"> </v>
      </c>
      <c r="Q52" s="31" t="str">
        <f t="shared" si="2"/>
        <v xml:space="preserve"> </v>
      </c>
      <c r="R52" s="32" t="str">
        <f t="shared" si="3"/>
        <v xml:space="preserve"> </v>
      </c>
      <c r="S52" s="33" t="str">
        <f t="shared" si="4"/>
        <v xml:space="preserve"> </v>
      </c>
      <c r="T52" s="34" t="str">
        <f t="shared" si="5"/>
        <v xml:space="preserve"> </v>
      </c>
      <c r="U52" s="32" t="str">
        <f t="shared" si="6"/>
        <v/>
      </c>
      <c r="V52" s="32" t="str">
        <f t="shared" si="8"/>
        <v/>
      </c>
      <c r="W52" s="126"/>
    </row>
    <row r="53" spans="1:23" ht="18" customHeight="1">
      <c r="A53" s="30"/>
      <c r="B53" s="75" t="s">
        <v>132</v>
      </c>
      <c r="C53" s="76" t="s">
        <v>45</v>
      </c>
      <c r="D53" s="77">
        <v>24.17</v>
      </c>
      <c r="E53" s="77">
        <v>0.03</v>
      </c>
      <c r="F53" s="77">
        <v>-0.03</v>
      </c>
      <c r="G53" s="115">
        <v>24.195500000000003</v>
      </c>
      <c r="H53" s="115">
        <v>24.144500000000001</v>
      </c>
      <c r="I53" s="115"/>
      <c r="J53" s="115"/>
      <c r="K53" s="76" t="s">
        <v>46</v>
      </c>
      <c r="L53" s="91"/>
      <c r="M53" s="91"/>
      <c r="N53" s="91"/>
      <c r="O53" s="31" t="str">
        <f t="shared" si="0"/>
        <v xml:space="preserve"> </v>
      </c>
      <c r="P53" s="31" t="str">
        <f t="shared" si="1"/>
        <v xml:space="preserve"> </v>
      </c>
      <c r="Q53" s="31" t="str">
        <f t="shared" si="2"/>
        <v xml:space="preserve"> </v>
      </c>
      <c r="R53" s="32" t="str">
        <f t="shared" si="3"/>
        <v xml:space="preserve"> </v>
      </c>
      <c r="S53" s="33" t="str">
        <f t="shared" si="4"/>
        <v xml:space="preserve"> </v>
      </c>
      <c r="T53" s="34" t="str">
        <f t="shared" si="5"/>
        <v xml:space="preserve"> </v>
      </c>
      <c r="U53" s="32" t="str">
        <f t="shared" si="6"/>
        <v/>
      </c>
      <c r="V53" s="32" t="str">
        <f t="shared" si="8"/>
        <v/>
      </c>
      <c r="W53" s="126"/>
    </row>
    <row r="54" spans="1:23" ht="18" customHeight="1">
      <c r="A54" s="30"/>
      <c r="B54" s="75" t="s">
        <v>133</v>
      </c>
      <c r="C54" s="76" t="s">
        <v>45</v>
      </c>
      <c r="D54" s="77">
        <v>24.17</v>
      </c>
      <c r="E54" s="77">
        <v>0.03</v>
      </c>
      <c r="F54" s="77">
        <v>-0.03</v>
      </c>
      <c r="G54" s="115">
        <v>24.195500000000003</v>
      </c>
      <c r="H54" s="115">
        <v>24.144500000000001</v>
      </c>
      <c r="I54" s="115"/>
      <c r="J54" s="115"/>
      <c r="K54" s="76" t="s">
        <v>46</v>
      </c>
      <c r="L54" s="91"/>
      <c r="M54" s="91"/>
      <c r="N54" s="91"/>
      <c r="O54" s="31" t="str">
        <f t="shared" si="0"/>
        <v xml:space="preserve"> </v>
      </c>
      <c r="P54" s="31" t="str">
        <f t="shared" si="1"/>
        <v xml:space="preserve"> </v>
      </c>
      <c r="Q54" s="31" t="str">
        <f t="shared" si="2"/>
        <v xml:space="preserve"> </v>
      </c>
      <c r="R54" s="32" t="str">
        <f t="shared" si="3"/>
        <v xml:space="preserve"> </v>
      </c>
      <c r="S54" s="33" t="str">
        <f t="shared" si="4"/>
        <v xml:space="preserve"> </v>
      </c>
      <c r="T54" s="34" t="str">
        <f t="shared" si="5"/>
        <v xml:space="preserve"> </v>
      </c>
      <c r="U54" s="32" t="str">
        <f t="shared" si="6"/>
        <v/>
      </c>
      <c r="V54" s="32" t="str">
        <f t="shared" si="8"/>
        <v/>
      </c>
      <c r="W54" s="126"/>
    </row>
    <row r="55" spans="1:23" ht="18" customHeight="1">
      <c r="A55" s="30"/>
      <c r="B55" s="75" t="s">
        <v>134</v>
      </c>
      <c r="C55" s="76" t="s">
        <v>45</v>
      </c>
      <c r="D55" s="77">
        <v>8.4719999999999995</v>
      </c>
      <c r="E55" s="77">
        <v>0.03</v>
      </c>
      <c r="F55" s="77">
        <v>-0.03</v>
      </c>
      <c r="G55" s="115">
        <v>8.4974999999999987</v>
      </c>
      <c r="H55" s="115">
        <v>8.4465000000000003</v>
      </c>
      <c r="I55" s="115"/>
      <c r="J55" s="115"/>
      <c r="K55" s="76" t="s">
        <v>46</v>
      </c>
      <c r="L55" s="91"/>
      <c r="M55" s="91"/>
      <c r="N55" s="91"/>
      <c r="O55" s="31" t="str">
        <f t="shared" si="0"/>
        <v xml:space="preserve"> </v>
      </c>
      <c r="P55" s="31" t="str">
        <f t="shared" si="1"/>
        <v xml:space="preserve"> </v>
      </c>
      <c r="Q55" s="31" t="str">
        <f t="shared" si="2"/>
        <v xml:space="preserve"> </v>
      </c>
      <c r="R55" s="32" t="str">
        <f t="shared" si="3"/>
        <v xml:space="preserve"> </v>
      </c>
      <c r="S55" s="33" t="str">
        <f t="shared" si="4"/>
        <v xml:space="preserve"> </v>
      </c>
      <c r="T55" s="34" t="str">
        <f t="shared" si="5"/>
        <v xml:space="preserve"> </v>
      </c>
      <c r="U55" s="32" t="str">
        <f t="shared" si="6"/>
        <v/>
      </c>
      <c r="V55" s="32" t="str">
        <f t="shared" si="8"/>
        <v/>
      </c>
      <c r="W55" s="126"/>
    </row>
    <row r="56" spans="1:23" ht="18" customHeight="1">
      <c r="A56" s="30"/>
      <c r="B56" s="75" t="s">
        <v>135</v>
      </c>
      <c r="C56" s="76" t="s">
        <v>45</v>
      </c>
      <c r="D56" s="77">
        <v>8.4719999999999995</v>
      </c>
      <c r="E56" s="77">
        <v>0.03</v>
      </c>
      <c r="F56" s="77">
        <v>-0.03</v>
      </c>
      <c r="G56" s="115">
        <v>8.4974999999999987</v>
      </c>
      <c r="H56" s="115">
        <v>8.4465000000000003</v>
      </c>
      <c r="I56" s="115"/>
      <c r="J56" s="115"/>
      <c r="K56" s="76" t="s">
        <v>46</v>
      </c>
      <c r="L56" s="91"/>
      <c r="M56" s="91"/>
      <c r="N56" s="91"/>
      <c r="O56" s="31" t="str">
        <f t="shared" si="0"/>
        <v xml:space="preserve"> </v>
      </c>
      <c r="P56" s="31" t="str">
        <f t="shared" si="1"/>
        <v xml:space="preserve"> </v>
      </c>
      <c r="Q56" s="31" t="str">
        <f t="shared" si="2"/>
        <v xml:space="preserve"> </v>
      </c>
      <c r="R56" s="32" t="str">
        <f t="shared" si="3"/>
        <v xml:space="preserve"> </v>
      </c>
      <c r="S56" s="33" t="str">
        <f t="shared" si="4"/>
        <v xml:space="preserve"> </v>
      </c>
      <c r="T56" s="34" t="str">
        <f t="shared" si="5"/>
        <v xml:space="preserve"> </v>
      </c>
      <c r="U56" s="32" t="str">
        <f t="shared" si="6"/>
        <v/>
      </c>
      <c r="V56" s="32" t="str">
        <f t="shared" si="8"/>
        <v/>
      </c>
      <c r="W56" s="126"/>
    </row>
    <row r="57" spans="1:23" ht="18" customHeight="1">
      <c r="A57" s="30"/>
      <c r="B57" s="75" t="s">
        <v>107</v>
      </c>
      <c r="C57" s="76" t="s">
        <v>45</v>
      </c>
      <c r="D57" s="77">
        <v>23.006</v>
      </c>
      <c r="E57" s="77">
        <v>0.03</v>
      </c>
      <c r="F57" s="77">
        <v>-0.03</v>
      </c>
      <c r="G57" s="115">
        <v>23.031500000000001</v>
      </c>
      <c r="H57" s="115">
        <v>22.980499999999999</v>
      </c>
      <c r="I57" s="115"/>
      <c r="J57" s="115"/>
      <c r="K57" s="76" t="s">
        <v>46</v>
      </c>
      <c r="L57" s="91"/>
      <c r="M57" s="91"/>
      <c r="N57" s="91"/>
      <c r="O57" s="31" t="str">
        <f t="shared" si="0"/>
        <v xml:space="preserve"> </v>
      </c>
      <c r="P57" s="31" t="str">
        <f t="shared" si="1"/>
        <v xml:space="preserve"> </v>
      </c>
      <c r="Q57" s="31" t="str">
        <f t="shared" si="2"/>
        <v xml:space="preserve"> </v>
      </c>
      <c r="R57" s="32" t="str">
        <f t="shared" si="3"/>
        <v xml:space="preserve"> </v>
      </c>
      <c r="S57" s="33" t="str">
        <f t="shared" si="4"/>
        <v xml:space="preserve"> </v>
      </c>
      <c r="T57" s="34" t="str">
        <f t="shared" si="5"/>
        <v xml:space="preserve"> </v>
      </c>
      <c r="U57" s="32" t="str">
        <f t="shared" si="6"/>
        <v/>
      </c>
      <c r="V57" s="32" t="str">
        <f t="shared" si="8"/>
        <v/>
      </c>
      <c r="W57" s="126"/>
    </row>
    <row r="58" spans="1:23" ht="18" customHeight="1">
      <c r="A58" s="30"/>
      <c r="B58" s="75" t="s">
        <v>108</v>
      </c>
      <c r="C58" s="76" t="s">
        <v>45</v>
      </c>
      <c r="D58" s="77">
        <v>23.006</v>
      </c>
      <c r="E58" s="77">
        <v>0.03</v>
      </c>
      <c r="F58" s="77">
        <v>-0.03</v>
      </c>
      <c r="G58" s="115">
        <v>23.031500000000001</v>
      </c>
      <c r="H58" s="115">
        <v>22.980499999999999</v>
      </c>
      <c r="I58" s="115"/>
      <c r="J58" s="115"/>
      <c r="K58" s="76" t="s">
        <v>46</v>
      </c>
      <c r="L58" s="91"/>
      <c r="M58" s="91"/>
      <c r="N58" s="91"/>
      <c r="O58" s="31" t="str">
        <f t="shared" si="0"/>
        <v xml:space="preserve"> </v>
      </c>
      <c r="P58" s="31" t="str">
        <f t="shared" si="1"/>
        <v xml:space="preserve"> </v>
      </c>
      <c r="Q58" s="31" t="str">
        <f t="shared" si="2"/>
        <v xml:space="preserve"> </v>
      </c>
      <c r="R58" s="32" t="str">
        <f t="shared" si="3"/>
        <v xml:space="preserve"> </v>
      </c>
      <c r="S58" s="33" t="str">
        <f t="shared" si="4"/>
        <v xml:space="preserve"> </v>
      </c>
      <c r="T58" s="34" t="str">
        <f t="shared" si="5"/>
        <v xml:space="preserve"> </v>
      </c>
      <c r="U58" s="32" t="str">
        <f t="shared" si="6"/>
        <v/>
      </c>
      <c r="V58" s="32" t="str">
        <f t="shared" si="8"/>
        <v/>
      </c>
      <c r="W58" s="126"/>
    </row>
    <row r="59" spans="1:23" ht="18" customHeight="1">
      <c r="A59" s="30"/>
      <c r="B59" s="75" t="s">
        <v>136</v>
      </c>
      <c r="C59" s="76" t="s">
        <v>45</v>
      </c>
      <c r="D59" s="77">
        <v>23.006</v>
      </c>
      <c r="E59" s="77">
        <v>0.03</v>
      </c>
      <c r="F59" s="77">
        <v>-0.03</v>
      </c>
      <c r="G59" s="115">
        <v>23.031500000000001</v>
      </c>
      <c r="H59" s="115">
        <v>22.980499999999999</v>
      </c>
      <c r="I59" s="115"/>
      <c r="J59" s="115"/>
      <c r="K59" s="76" t="s">
        <v>46</v>
      </c>
      <c r="L59" s="91"/>
      <c r="M59" s="91"/>
      <c r="N59" s="91"/>
      <c r="O59" s="31" t="str">
        <f t="shared" si="0"/>
        <v xml:space="preserve"> </v>
      </c>
      <c r="P59" s="31" t="str">
        <f t="shared" si="1"/>
        <v xml:space="preserve"> </v>
      </c>
      <c r="Q59" s="31" t="str">
        <f t="shared" si="2"/>
        <v xml:space="preserve"> </v>
      </c>
      <c r="R59" s="32" t="str">
        <f t="shared" si="3"/>
        <v xml:space="preserve"> </v>
      </c>
      <c r="S59" s="33" t="str">
        <f t="shared" si="4"/>
        <v xml:space="preserve"> </v>
      </c>
      <c r="T59" s="34" t="str">
        <f t="shared" si="5"/>
        <v xml:space="preserve"> </v>
      </c>
      <c r="U59" s="32" t="str">
        <f t="shared" si="6"/>
        <v/>
      </c>
      <c r="V59" s="32" t="str">
        <f t="shared" si="8"/>
        <v/>
      </c>
      <c r="W59" s="126"/>
    </row>
    <row r="60" spans="1:23" ht="18" customHeight="1">
      <c r="A60" s="30"/>
      <c r="B60" s="75" t="s">
        <v>137</v>
      </c>
      <c r="C60" s="76" t="s">
        <v>45</v>
      </c>
      <c r="D60" s="77">
        <v>23.385999999999999</v>
      </c>
      <c r="E60" s="77">
        <v>3.5000000000000003E-2</v>
      </c>
      <c r="F60" s="77">
        <v>-3.5000000000000003E-2</v>
      </c>
      <c r="G60" s="115">
        <v>23.415749999999999</v>
      </c>
      <c r="H60" s="115">
        <v>23.356249999999999</v>
      </c>
      <c r="I60" s="115"/>
      <c r="J60" s="115"/>
      <c r="K60" s="76" t="s">
        <v>46</v>
      </c>
      <c r="L60" s="91"/>
      <c r="M60" s="91"/>
      <c r="N60" s="91"/>
      <c r="O60" s="31" t="str">
        <f t="shared" si="0"/>
        <v xml:space="preserve"> </v>
      </c>
      <c r="P60" s="31" t="str">
        <f t="shared" si="1"/>
        <v xml:space="preserve"> </v>
      </c>
      <c r="Q60" s="31" t="str">
        <f t="shared" si="2"/>
        <v xml:space="preserve"> </v>
      </c>
      <c r="R60" s="32" t="str">
        <f t="shared" si="3"/>
        <v xml:space="preserve"> </v>
      </c>
      <c r="S60" s="33" t="str">
        <f t="shared" si="4"/>
        <v xml:space="preserve"> </v>
      </c>
      <c r="T60" s="34" t="str">
        <f t="shared" si="5"/>
        <v xml:space="preserve"> </v>
      </c>
      <c r="U60" s="32" t="str">
        <f t="shared" si="6"/>
        <v/>
      </c>
      <c r="V60" s="32" t="str">
        <f t="shared" si="8"/>
        <v/>
      </c>
      <c r="W60" s="126"/>
    </row>
    <row r="61" spans="1:23" ht="18" customHeight="1">
      <c r="A61" s="30"/>
      <c r="B61" s="75" t="s">
        <v>138</v>
      </c>
      <c r="C61" s="76" t="s">
        <v>45</v>
      </c>
      <c r="D61" s="77">
        <v>23.385999999999999</v>
      </c>
      <c r="E61" s="77">
        <v>3.5000000000000003E-2</v>
      </c>
      <c r="F61" s="77">
        <v>-3.5000000000000003E-2</v>
      </c>
      <c r="G61" s="115">
        <v>23.415749999999999</v>
      </c>
      <c r="H61" s="115">
        <v>23.356249999999999</v>
      </c>
      <c r="I61" s="115"/>
      <c r="J61" s="115"/>
      <c r="K61" s="76" t="s">
        <v>46</v>
      </c>
      <c r="L61" s="91"/>
      <c r="M61" s="91"/>
      <c r="N61" s="91"/>
      <c r="O61" s="31" t="str">
        <f t="shared" si="0"/>
        <v xml:space="preserve"> </v>
      </c>
      <c r="P61" s="31" t="str">
        <f t="shared" si="1"/>
        <v xml:space="preserve"> </v>
      </c>
      <c r="Q61" s="31" t="str">
        <f t="shared" si="2"/>
        <v xml:space="preserve"> </v>
      </c>
      <c r="R61" s="32" t="str">
        <f t="shared" si="3"/>
        <v xml:space="preserve"> </v>
      </c>
      <c r="S61" s="33" t="str">
        <f t="shared" si="4"/>
        <v xml:space="preserve"> </v>
      </c>
      <c r="T61" s="34" t="str">
        <f t="shared" si="5"/>
        <v xml:space="preserve"> </v>
      </c>
      <c r="U61" s="32" t="str">
        <f t="shared" si="6"/>
        <v/>
      </c>
      <c r="V61" s="32" t="str">
        <f t="shared" si="8"/>
        <v/>
      </c>
      <c r="W61" s="126"/>
    </row>
    <row r="62" spans="1:23" ht="18" customHeight="1">
      <c r="A62" s="30"/>
      <c r="B62" s="75" t="s">
        <v>139</v>
      </c>
      <c r="C62" s="76" t="s">
        <v>45</v>
      </c>
      <c r="D62" s="77">
        <v>15.667</v>
      </c>
      <c r="E62" s="77">
        <v>0.03</v>
      </c>
      <c r="F62" s="77">
        <v>-0.03</v>
      </c>
      <c r="G62" s="115">
        <v>15.692499999999999</v>
      </c>
      <c r="H62" s="115">
        <v>15.641500000000001</v>
      </c>
      <c r="I62" s="115"/>
      <c r="J62" s="115"/>
      <c r="K62" s="76" t="s">
        <v>46</v>
      </c>
      <c r="L62" s="91"/>
      <c r="M62" s="91"/>
      <c r="N62" s="91"/>
      <c r="O62" s="31" t="str">
        <f t="shared" si="0"/>
        <v xml:space="preserve"> </v>
      </c>
      <c r="P62" s="31" t="str">
        <f t="shared" si="1"/>
        <v xml:space="preserve"> </v>
      </c>
      <c r="Q62" s="31" t="str">
        <f t="shared" si="2"/>
        <v xml:space="preserve"> </v>
      </c>
      <c r="R62" s="32" t="str">
        <f t="shared" si="3"/>
        <v xml:space="preserve"> </v>
      </c>
      <c r="S62" s="33" t="str">
        <f t="shared" si="4"/>
        <v xml:space="preserve"> </v>
      </c>
      <c r="T62" s="34" t="str">
        <f t="shared" si="5"/>
        <v xml:space="preserve"> </v>
      </c>
      <c r="U62" s="32" t="str">
        <f t="shared" si="6"/>
        <v/>
      </c>
      <c r="V62" s="32" t="str">
        <f t="shared" si="8"/>
        <v/>
      </c>
      <c r="W62" s="126"/>
    </row>
    <row r="63" spans="1:23" ht="18" customHeight="1">
      <c r="A63" s="30"/>
      <c r="B63" s="75" t="s">
        <v>140</v>
      </c>
      <c r="C63" s="76" t="s">
        <v>45</v>
      </c>
      <c r="D63" s="77">
        <v>15.667</v>
      </c>
      <c r="E63" s="77">
        <v>0.03</v>
      </c>
      <c r="F63" s="77">
        <v>-0.03</v>
      </c>
      <c r="G63" s="115">
        <v>15.692499999999999</v>
      </c>
      <c r="H63" s="115">
        <v>15.641500000000001</v>
      </c>
      <c r="I63" s="115"/>
      <c r="J63" s="115"/>
      <c r="K63" s="76" t="s">
        <v>46</v>
      </c>
      <c r="L63" s="91"/>
      <c r="M63" s="91"/>
      <c r="N63" s="91"/>
      <c r="O63" s="31" t="str">
        <f t="shared" si="0"/>
        <v xml:space="preserve"> </v>
      </c>
      <c r="P63" s="31" t="str">
        <f t="shared" si="1"/>
        <v xml:space="preserve"> </v>
      </c>
      <c r="Q63" s="31" t="str">
        <f t="shared" si="2"/>
        <v xml:space="preserve"> </v>
      </c>
      <c r="R63" s="32" t="str">
        <f t="shared" si="3"/>
        <v xml:space="preserve"> </v>
      </c>
      <c r="S63" s="33" t="str">
        <f t="shared" si="4"/>
        <v xml:space="preserve"> </v>
      </c>
      <c r="T63" s="34" t="str">
        <f t="shared" si="5"/>
        <v xml:space="preserve"> </v>
      </c>
      <c r="U63" s="32" t="str">
        <f t="shared" si="6"/>
        <v/>
      </c>
      <c r="V63" s="32" t="str">
        <f t="shared" si="8"/>
        <v/>
      </c>
      <c r="W63" s="126"/>
    </row>
    <row r="64" spans="1:23" ht="18" customHeight="1">
      <c r="A64" s="30"/>
      <c r="B64" s="75" t="s">
        <v>141</v>
      </c>
      <c r="C64" s="76" t="s">
        <v>45</v>
      </c>
      <c r="D64" s="77">
        <v>18.323</v>
      </c>
      <c r="E64" s="77">
        <v>3.5000000000000003E-2</v>
      </c>
      <c r="F64" s="77">
        <v>-3.5000000000000003E-2</v>
      </c>
      <c r="G64" s="115">
        <v>18.35275</v>
      </c>
      <c r="H64" s="115">
        <v>18.29325</v>
      </c>
      <c r="I64" s="115"/>
      <c r="J64" s="115"/>
      <c r="K64" s="76" t="s">
        <v>46</v>
      </c>
      <c r="L64" s="91"/>
      <c r="M64" s="91"/>
      <c r="N64" s="91"/>
      <c r="O64" s="31" t="str">
        <f t="shared" si="0"/>
        <v xml:space="preserve"> </v>
      </c>
      <c r="P64" s="31" t="str">
        <f t="shared" si="1"/>
        <v xml:space="preserve"> </v>
      </c>
      <c r="Q64" s="31" t="str">
        <f t="shared" si="2"/>
        <v xml:space="preserve"> </v>
      </c>
      <c r="R64" s="32" t="str">
        <f t="shared" si="3"/>
        <v xml:space="preserve"> </v>
      </c>
      <c r="S64" s="33" t="str">
        <f t="shared" si="4"/>
        <v xml:space="preserve"> </v>
      </c>
      <c r="T64" s="34" t="str">
        <f t="shared" si="5"/>
        <v xml:space="preserve"> </v>
      </c>
      <c r="U64" s="32" t="str">
        <f t="shared" si="6"/>
        <v/>
      </c>
      <c r="V64" s="32" t="str">
        <f t="shared" si="8"/>
        <v/>
      </c>
      <c r="W64" s="126"/>
    </row>
    <row r="65" spans="1:23" ht="18" customHeight="1">
      <c r="A65" s="30"/>
      <c r="B65" s="75" t="s">
        <v>142</v>
      </c>
      <c r="C65" s="76" t="s">
        <v>45</v>
      </c>
      <c r="D65" s="77">
        <v>18.323</v>
      </c>
      <c r="E65" s="77">
        <v>3.5000000000000003E-2</v>
      </c>
      <c r="F65" s="77">
        <v>-3.5000000000000003E-2</v>
      </c>
      <c r="G65" s="115">
        <v>18.35275</v>
      </c>
      <c r="H65" s="115">
        <v>18.29325</v>
      </c>
      <c r="I65" s="115"/>
      <c r="J65" s="115"/>
      <c r="K65" s="76" t="s">
        <v>46</v>
      </c>
      <c r="L65" s="91"/>
      <c r="M65" s="91"/>
      <c r="N65" s="91"/>
      <c r="O65" s="31" t="str">
        <f t="shared" si="0"/>
        <v xml:space="preserve"> </v>
      </c>
      <c r="P65" s="31" t="str">
        <f t="shared" si="1"/>
        <v xml:space="preserve"> </v>
      </c>
      <c r="Q65" s="31" t="str">
        <f t="shared" si="2"/>
        <v xml:space="preserve"> </v>
      </c>
      <c r="R65" s="32" t="str">
        <f t="shared" si="3"/>
        <v xml:space="preserve"> </v>
      </c>
      <c r="S65" s="33" t="str">
        <f t="shared" si="4"/>
        <v xml:space="preserve"> </v>
      </c>
      <c r="T65" s="34" t="str">
        <f t="shared" si="5"/>
        <v xml:space="preserve"> </v>
      </c>
      <c r="U65" s="32" t="str">
        <f t="shared" si="6"/>
        <v/>
      </c>
      <c r="V65" s="32" t="str">
        <f t="shared" si="8"/>
        <v/>
      </c>
      <c r="W65" s="126"/>
    </row>
    <row r="66" spans="1:23" ht="18" customHeight="1">
      <c r="A66" s="30"/>
      <c r="B66" s="75" t="s">
        <v>143</v>
      </c>
      <c r="C66" s="76" t="s">
        <v>45</v>
      </c>
      <c r="D66" s="77">
        <v>18.323</v>
      </c>
      <c r="E66" s="77">
        <v>3.5000000000000003E-2</v>
      </c>
      <c r="F66" s="77">
        <v>-3.5000000000000003E-2</v>
      </c>
      <c r="G66" s="115">
        <v>18.35275</v>
      </c>
      <c r="H66" s="115">
        <v>18.29325</v>
      </c>
      <c r="I66" s="115"/>
      <c r="J66" s="115"/>
      <c r="K66" s="76" t="s">
        <v>46</v>
      </c>
      <c r="L66" s="91"/>
      <c r="M66" s="91"/>
      <c r="N66" s="91"/>
      <c r="O66" s="31" t="str">
        <f t="shared" si="0"/>
        <v xml:space="preserve"> </v>
      </c>
      <c r="P66" s="31" t="str">
        <f t="shared" si="1"/>
        <v xml:space="preserve"> </v>
      </c>
      <c r="Q66" s="31" t="str">
        <f t="shared" si="2"/>
        <v xml:space="preserve"> </v>
      </c>
      <c r="R66" s="32" t="str">
        <f t="shared" si="3"/>
        <v xml:space="preserve"> </v>
      </c>
      <c r="S66" s="33" t="str">
        <f t="shared" si="4"/>
        <v xml:space="preserve"> </v>
      </c>
      <c r="T66" s="34" t="str">
        <f t="shared" si="5"/>
        <v xml:space="preserve"> </v>
      </c>
      <c r="U66" s="32" t="str">
        <f t="shared" si="6"/>
        <v/>
      </c>
      <c r="V66" s="32" t="str">
        <f t="shared" si="8"/>
        <v/>
      </c>
      <c r="W66" s="126"/>
    </row>
    <row r="67" spans="1:23" ht="18" customHeight="1">
      <c r="A67" s="30"/>
      <c r="B67" s="75" t="s">
        <v>144</v>
      </c>
      <c r="C67" s="76" t="s">
        <v>45</v>
      </c>
      <c r="D67" s="77">
        <v>1.5249999999999999</v>
      </c>
      <c r="E67" s="77">
        <v>0.03</v>
      </c>
      <c r="F67" s="77">
        <v>-0.03</v>
      </c>
      <c r="G67" s="115">
        <v>1.5505</v>
      </c>
      <c r="H67" s="115">
        <v>1.4994999999999998</v>
      </c>
      <c r="I67" s="115"/>
      <c r="J67" s="115"/>
      <c r="K67" s="76" t="s">
        <v>46</v>
      </c>
      <c r="L67" s="91"/>
      <c r="M67" s="91"/>
      <c r="N67" s="91"/>
      <c r="O67" s="31" t="str">
        <f t="shared" si="0"/>
        <v xml:space="preserve"> </v>
      </c>
      <c r="P67" s="31" t="str">
        <f t="shared" si="1"/>
        <v xml:space="preserve"> </v>
      </c>
      <c r="Q67" s="31" t="str">
        <f t="shared" si="2"/>
        <v xml:space="preserve"> </v>
      </c>
      <c r="R67" s="32" t="str">
        <f t="shared" si="3"/>
        <v xml:space="preserve"> </v>
      </c>
      <c r="S67" s="33" t="str">
        <f t="shared" si="4"/>
        <v xml:space="preserve"> </v>
      </c>
      <c r="T67" s="34" t="str">
        <f t="shared" si="5"/>
        <v xml:space="preserve"> </v>
      </c>
      <c r="U67" s="32" t="str">
        <f t="shared" si="6"/>
        <v/>
      </c>
      <c r="V67" s="32" t="str">
        <f t="shared" si="8"/>
        <v/>
      </c>
      <c r="W67" s="126"/>
    </row>
    <row r="68" spans="1:23" ht="18" customHeight="1">
      <c r="A68" s="30"/>
      <c r="B68" s="75" t="s">
        <v>145</v>
      </c>
      <c r="C68" s="76" t="s">
        <v>45</v>
      </c>
      <c r="D68" s="77">
        <v>1.5249999999999999</v>
      </c>
      <c r="E68" s="77">
        <v>0.03</v>
      </c>
      <c r="F68" s="77">
        <v>-0.03</v>
      </c>
      <c r="G68" s="115">
        <v>1.5505</v>
      </c>
      <c r="H68" s="115">
        <v>1.4994999999999998</v>
      </c>
      <c r="I68" s="115"/>
      <c r="J68" s="115"/>
      <c r="K68" s="76" t="s">
        <v>46</v>
      </c>
      <c r="L68" s="91"/>
      <c r="M68" s="91"/>
      <c r="N68" s="91"/>
      <c r="O68" s="31" t="str">
        <f t="shared" si="0"/>
        <v xml:space="preserve"> </v>
      </c>
      <c r="P68" s="31" t="str">
        <f t="shared" si="1"/>
        <v xml:space="preserve"> </v>
      </c>
      <c r="Q68" s="31" t="str">
        <f t="shared" si="2"/>
        <v xml:space="preserve"> </v>
      </c>
      <c r="R68" s="32" t="str">
        <f t="shared" si="3"/>
        <v xml:space="preserve"> </v>
      </c>
      <c r="S68" s="33" t="str">
        <f t="shared" si="4"/>
        <v xml:space="preserve"> </v>
      </c>
      <c r="T68" s="34" t="str">
        <f t="shared" si="5"/>
        <v xml:space="preserve"> </v>
      </c>
      <c r="U68" s="32" t="str">
        <f t="shared" si="6"/>
        <v/>
      </c>
      <c r="V68" s="32" t="str">
        <f t="shared" si="8"/>
        <v/>
      </c>
      <c r="W68" s="126"/>
    </row>
    <row r="69" spans="1:23" ht="18" customHeight="1">
      <c r="A69" s="30"/>
      <c r="B69" s="75" t="s">
        <v>146</v>
      </c>
      <c r="C69" s="76" t="s">
        <v>45</v>
      </c>
      <c r="D69" s="77">
        <v>1.5249999999999999</v>
      </c>
      <c r="E69" s="77">
        <v>0.03</v>
      </c>
      <c r="F69" s="77">
        <v>-0.03</v>
      </c>
      <c r="G69" s="115">
        <v>1.5505</v>
      </c>
      <c r="H69" s="115">
        <v>1.4994999999999998</v>
      </c>
      <c r="I69" s="115"/>
      <c r="J69" s="115"/>
      <c r="K69" s="76" t="s">
        <v>46</v>
      </c>
      <c r="L69" s="91"/>
      <c r="M69" s="91"/>
      <c r="N69" s="91"/>
      <c r="O69" s="31" t="str">
        <f t="shared" si="0"/>
        <v xml:space="preserve"> </v>
      </c>
      <c r="P69" s="31" t="str">
        <f t="shared" si="1"/>
        <v xml:space="preserve"> </v>
      </c>
      <c r="Q69" s="31" t="str">
        <f t="shared" si="2"/>
        <v xml:space="preserve"> </v>
      </c>
      <c r="R69" s="32" t="str">
        <f t="shared" si="3"/>
        <v xml:space="preserve"> </v>
      </c>
      <c r="S69" s="33" t="str">
        <f t="shared" si="4"/>
        <v xml:space="preserve"> </v>
      </c>
      <c r="T69" s="34" t="str">
        <f t="shared" si="5"/>
        <v xml:space="preserve"> </v>
      </c>
      <c r="U69" s="32" t="str">
        <f t="shared" si="6"/>
        <v/>
      </c>
      <c r="V69" s="32" t="str">
        <f t="shared" si="8"/>
        <v/>
      </c>
      <c r="W69" s="126"/>
    </row>
    <row r="70" spans="1:23" ht="18" customHeight="1">
      <c r="A70" s="30"/>
      <c r="B70" s="75" t="s">
        <v>147</v>
      </c>
      <c r="C70" s="76" t="s">
        <v>45</v>
      </c>
      <c r="D70" s="77">
        <v>1.5249999999999999</v>
      </c>
      <c r="E70" s="77">
        <v>0.03</v>
      </c>
      <c r="F70" s="77">
        <v>-0.03</v>
      </c>
      <c r="G70" s="115">
        <v>1.5505</v>
      </c>
      <c r="H70" s="115">
        <v>1.4994999999999998</v>
      </c>
      <c r="I70" s="115"/>
      <c r="J70" s="115"/>
      <c r="K70" s="76" t="s">
        <v>46</v>
      </c>
      <c r="L70" s="91"/>
      <c r="M70" s="91"/>
      <c r="N70" s="91"/>
      <c r="O70" s="31" t="str">
        <f t="shared" ref="O70:O133" si="9">IF(ISERR(L70/L70)=TRUE," ",L70-$D70)</f>
        <v xml:space="preserve"> </v>
      </c>
      <c r="P70" s="31" t="str">
        <f t="shared" ref="P70:P133" si="10">IF(ISERR(M70/M70)=TRUE," ",M70-$D70)</f>
        <v xml:space="preserve"> </v>
      </c>
      <c r="Q70" s="31" t="str">
        <f t="shared" ref="Q70:Q133" si="11">IF(ISERR(N70/N70)=TRUE," ",N70-$D70)</f>
        <v xml:space="preserve"> </v>
      </c>
      <c r="R70" s="32" t="str">
        <f t="shared" ref="R70:R133" si="12">IF(ISERR(L70/L70)=TRUE," ",AVERAGE(L70:N70))</f>
        <v xml:space="preserve"> </v>
      </c>
      <c r="S70" s="33" t="str">
        <f t="shared" ref="S70:S133" si="13">IF(ISERR(E70/E70)=TRUE," ",IF(ISERR(L70/L70)=TRUE," ",IF(ISNUMBER($L70)=FALSE," ",IF(MAX($L70:$N70)&lt;$D70,0,(MAX($L70:$N70)-$D70)/$E70))))</f>
        <v xml:space="preserve"> </v>
      </c>
      <c r="T70" s="34" t="str">
        <f t="shared" ref="T70:T133" si="14">IF(ISERR(F70/D70)=TRUE," ",IF(ISERR(F70/F70)=TRUE," ",IF(ISERR(L70/L70)=TRUE," ",IF(ISNUMBER(L70)=FALSE," ",IF(MIN(L70:N70)&gt;$D70,0,($D70-MIN(L70:N70))/-F70)))))</f>
        <v xml:space="preserve"> </v>
      </c>
      <c r="U70" s="32" t="str">
        <f t="shared" si="6"/>
        <v/>
      </c>
      <c r="V70" s="32" t="str">
        <f t="shared" si="8"/>
        <v/>
      </c>
      <c r="W70" s="126"/>
    </row>
    <row r="71" spans="1:23" ht="18" customHeight="1">
      <c r="A71" s="30"/>
      <c r="B71" s="75" t="s">
        <v>148</v>
      </c>
      <c r="C71" s="76" t="s">
        <v>45</v>
      </c>
      <c r="D71" s="77">
        <v>0.72499999999999998</v>
      </c>
      <c r="E71" s="77">
        <v>0.03</v>
      </c>
      <c r="F71" s="77">
        <v>-0.03</v>
      </c>
      <c r="G71" s="115">
        <v>0.755</v>
      </c>
      <c r="H71" s="115">
        <v>0.69499999999999995</v>
      </c>
      <c r="I71" s="115"/>
      <c r="J71" s="115"/>
      <c r="K71" s="76" t="s">
        <v>46</v>
      </c>
      <c r="L71" s="91"/>
      <c r="M71" s="91"/>
      <c r="N71" s="91"/>
      <c r="O71" s="31" t="str">
        <f t="shared" si="9"/>
        <v xml:space="preserve"> </v>
      </c>
      <c r="P71" s="31" t="str">
        <f t="shared" si="10"/>
        <v xml:space="preserve"> </v>
      </c>
      <c r="Q71" s="31" t="str">
        <f t="shared" si="11"/>
        <v xml:space="preserve"> </v>
      </c>
      <c r="R71" s="32" t="str">
        <f t="shared" si="12"/>
        <v xml:space="preserve"> </v>
      </c>
      <c r="S71" s="33" t="str">
        <f t="shared" si="13"/>
        <v xml:space="preserve"> </v>
      </c>
      <c r="T71" s="34" t="str">
        <f t="shared" si="14"/>
        <v xml:space="preserve"> </v>
      </c>
      <c r="U71" s="32" t="str">
        <f t="shared" ref="U71:U135" si="15">IF(ISNUMBER($S71)=TRUE,IF($S71&gt;0.651,IF($S71&gt;1.001,"Reject","Alert"),""),"")</f>
        <v/>
      </c>
      <c r="V71" s="32" t="str">
        <f t="shared" si="8"/>
        <v/>
      </c>
      <c r="W71" s="126"/>
    </row>
    <row r="72" spans="1:23" ht="18" customHeight="1">
      <c r="A72" s="30"/>
      <c r="B72" s="75" t="s">
        <v>149</v>
      </c>
      <c r="C72" s="76" t="s">
        <v>45</v>
      </c>
      <c r="D72" s="77">
        <v>0.72499999999999998</v>
      </c>
      <c r="E72" s="77">
        <v>0.03</v>
      </c>
      <c r="F72" s="77">
        <v>-0.03</v>
      </c>
      <c r="G72" s="115">
        <v>0.755</v>
      </c>
      <c r="H72" s="115">
        <v>0.69499999999999995</v>
      </c>
      <c r="I72" s="115"/>
      <c r="J72" s="115"/>
      <c r="K72" s="76" t="s">
        <v>46</v>
      </c>
      <c r="L72" s="91"/>
      <c r="M72" s="91"/>
      <c r="N72" s="91"/>
      <c r="O72" s="31" t="str">
        <f t="shared" si="9"/>
        <v xml:space="preserve"> </v>
      </c>
      <c r="P72" s="31" t="str">
        <f t="shared" si="10"/>
        <v xml:space="preserve"> </v>
      </c>
      <c r="Q72" s="31" t="str">
        <f t="shared" si="11"/>
        <v xml:space="preserve"> </v>
      </c>
      <c r="R72" s="32" t="str">
        <f t="shared" si="12"/>
        <v xml:space="preserve"> </v>
      </c>
      <c r="S72" s="33" t="str">
        <f t="shared" si="13"/>
        <v xml:space="preserve"> </v>
      </c>
      <c r="T72" s="34" t="str">
        <f t="shared" si="14"/>
        <v xml:space="preserve"> </v>
      </c>
      <c r="U72" s="32" t="str">
        <f t="shared" si="15"/>
        <v/>
      </c>
      <c r="V72" s="32" t="str">
        <f t="shared" si="8"/>
        <v/>
      </c>
      <c r="W72" s="126"/>
    </row>
    <row r="73" spans="1:23" ht="18" customHeight="1">
      <c r="A73" s="30"/>
      <c r="B73" s="75" t="s">
        <v>150</v>
      </c>
      <c r="C73" s="76" t="s">
        <v>45</v>
      </c>
      <c r="D73" s="77">
        <v>0.72499999999999998</v>
      </c>
      <c r="E73" s="77">
        <v>0.03</v>
      </c>
      <c r="F73" s="77">
        <v>-0.03</v>
      </c>
      <c r="G73" s="115">
        <v>0.755</v>
      </c>
      <c r="H73" s="115">
        <v>0.69499999999999995</v>
      </c>
      <c r="I73" s="115"/>
      <c r="J73" s="115"/>
      <c r="K73" s="76" t="s">
        <v>46</v>
      </c>
      <c r="L73" s="91"/>
      <c r="M73" s="91"/>
      <c r="N73" s="91"/>
      <c r="O73" s="31" t="str">
        <f t="shared" si="9"/>
        <v xml:space="preserve"> </v>
      </c>
      <c r="P73" s="31" t="str">
        <f t="shared" si="10"/>
        <v xml:space="preserve"> </v>
      </c>
      <c r="Q73" s="31" t="str">
        <f t="shared" si="11"/>
        <v xml:space="preserve"> </v>
      </c>
      <c r="R73" s="32" t="str">
        <f t="shared" si="12"/>
        <v xml:space="preserve"> </v>
      </c>
      <c r="S73" s="33" t="str">
        <f t="shared" si="13"/>
        <v xml:space="preserve"> </v>
      </c>
      <c r="T73" s="34" t="str">
        <f t="shared" si="14"/>
        <v xml:space="preserve"> </v>
      </c>
      <c r="U73" s="32" t="str">
        <f t="shared" si="15"/>
        <v/>
      </c>
      <c r="V73" s="32" t="str">
        <f t="shared" si="8"/>
        <v/>
      </c>
      <c r="W73" s="126"/>
    </row>
    <row r="74" spans="1:23" ht="18" customHeight="1">
      <c r="A74" s="30"/>
      <c r="B74" s="75">
        <v>43</v>
      </c>
      <c r="C74" s="76" t="s">
        <v>45</v>
      </c>
      <c r="D74" s="77">
        <v>18.573</v>
      </c>
      <c r="E74" s="77">
        <v>0.03</v>
      </c>
      <c r="F74" s="77">
        <v>-0.03</v>
      </c>
      <c r="G74" s="115">
        <v>18.598500000000001</v>
      </c>
      <c r="H74" s="115">
        <v>18.547499999999999</v>
      </c>
      <c r="I74" s="115"/>
      <c r="J74" s="115"/>
      <c r="K74" s="76" t="s">
        <v>46</v>
      </c>
      <c r="L74" s="91"/>
      <c r="M74" s="91"/>
      <c r="N74" s="91"/>
      <c r="O74" s="31" t="str">
        <f t="shared" si="9"/>
        <v xml:space="preserve"> </v>
      </c>
      <c r="P74" s="31" t="str">
        <f t="shared" si="10"/>
        <v xml:space="preserve"> </v>
      </c>
      <c r="Q74" s="31" t="str">
        <f t="shared" si="11"/>
        <v xml:space="preserve"> </v>
      </c>
      <c r="R74" s="32" t="str">
        <f t="shared" si="12"/>
        <v xml:space="preserve"> </v>
      </c>
      <c r="S74" s="33" t="str">
        <f t="shared" si="13"/>
        <v xml:space="preserve"> </v>
      </c>
      <c r="T74" s="34" t="str">
        <f t="shared" si="14"/>
        <v xml:space="preserve"> </v>
      </c>
      <c r="U74" s="32" t="str">
        <f t="shared" si="15"/>
        <v/>
      </c>
      <c r="V74" s="32" t="str">
        <f t="shared" si="8"/>
        <v/>
      </c>
      <c r="W74" s="126"/>
    </row>
    <row r="75" spans="1:23" ht="18" customHeight="1">
      <c r="A75" s="30"/>
      <c r="B75" s="75" t="s">
        <v>151</v>
      </c>
      <c r="C75" s="76" t="s">
        <v>45</v>
      </c>
      <c r="D75" s="77">
        <v>0.93899999999999995</v>
      </c>
      <c r="E75" s="77">
        <v>0.03</v>
      </c>
      <c r="F75" s="77">
        <v>-0.02</v>
      </c>
      <c r="G75" s="115">
        <v>0.96449999999999991</v>
      </c>
      <c r="H75" s="115">
        <v>0.92199999999999993</v>
      </c>
      <c r="I75" s="115">
        <v>0.96149999999999991</v>
      </c>
      <c r="J75" s="115">
        <v>0.92399999999999993</v>
      </c>
      <c r="K75" s="76" t="s">
        <v>231</v>
      </c>
      <c r="L75" s="91"/>
      <c r="M75" s="91"/>
      <c r="N75" s="91"/>
      <c r="O75" s="31" t="str">
        <f t="shared" si="9"/>
        <v xml:space="preserve"> </v>
      </c>
      <c r="P75" s="31" t="str">
        <f t="shared" si="10"/>
        <v xml:space="preserve"> </v>
      </c>
      <c r="Q75" s="31" t="str">
        <f t="shared" si="11"/>
        <v xml:space="preserve"> </v>
      </c>
      <c r="R75" s="32" t="str">
        <f t="shared" si="12"/>
        <v xml:space="preserve"> </v>
      </c>
      <c r="S75" s="33" t="str">
        <f t="shared" si="13"/>
        <v xml:space="preserve"> </v>
      </c>
      <c r="T75" s="34" t="str">
        <f t="shared" si="14"/>
        <v xml:space="preserve"> </v>
      </c>
      <c r="U75" s="32" t="str">
        <f t="shared" si="15"/>
        <v/>
      </c>
      <c r="V75" s="32" t="str">
        <f t="shared" si="8"/>
        <v/>
      </c>
      <c r="W75" s="126"/>
    </row>
    <row r="76" spans="1:23" ht="18" customHeight="1">
      <c r="A76" s="30"/>
      <c r="B76" s="75" t="s">
        <v>152</v>
      </c>
      <c r="C76" s="76" t="s">
        <v>45</v>
      </c>
      <c r="D76" s="77">
        <v>0.93899999999999995</v>
      </c>
      <c r="E76" s="77">
        <v>0.03</v>
      </c>
      <c r="F76" s="77">
        <v>-0.02</v>
      </c>
      <c r="G76" s="115">
        <v>0.96449999999999991</v>
      </c>
      <c r="H76" s="115">
        <v>0.92199999999999993</v>
      </c>
      <c r="I76" s="115">
        <v>0.96149999999999991</v>
      </c>
      <c r="J76" s="115">
        <v>0.92399999999999993</v>
      </c>
      <c r="K76" s="76" t="s">
        <v>231</v>
      </c>
      <c r="L76" s="91"/>
      <c r="M76" s="91"/>
      <c r="N76" s="91"/>
      <c r="O76" s="31" t="str">
        <f t="shared" si="9"/>
        <v xml:space="preserve"> </v>
      </c>
      <c r="P76" s="31" t="str">
        <f t="shared" si="10"/>
        <v xml:space="preserve"> </v>
      </c>
      <c r="Q76" s="31" t="str">
        <f t="shared" si="11"/>
        <v xml:space="preserve"> </v>
      </c>
      <c r="R76" s="32" t="str">
        <f t="shared" si="12"/>
        <v xml:space="preserve"> </v>
      </c>
      <c r="S76" s="33" t="str">
        <f t="shared" si="13"/>
        <v xml:space="preserve"> </v>
      </c>
      <c r="T76" s="34" t="str">
        <f t="shared" si="14"/>
        <v xml:space="preserve"> </v>
      </c>
      <c r="U76" s="32" t="str">
        <f t="shared" si="15"/>
        <v/>
      </c>
      <c r="V76" s="32" t="str">
        <f t="shared" si="8"/>
        <v/>
      </c>
      <c r="W76" s="126"/>
    </row>
    <row r="77" spans="1:23" ht="18" customHeight="1">
      <c r="A77" s="30"/>
      <c r="B77" s="75" t="s">
        <v>153</v>
      </c>
      <c r="C77" s="76" t="s">
        <v>45</v>
      </c>
      <c r="D77" s="77">
        <v>0.93899999999999995</v>
      </c>
      <c r="E77" s="77">
        <v>0.03</v>
      </c>
      <c r="F77" s="77">
        <v>-0.02</v>
      </c>
      <c r="G77" s="115">
        <v>0.96449999999999991</v>
      </c>
      <c r="H77" s="115">
        <v>0.92199999999999993</v>
      </c>
      <c r="I77" s="115">
        <v>0.96149999999999991</v>
      </c>
      <c r="J77" s="115">
        <v>0.92399999999999993</v>
      </c>
      <c r="K77" s="76" t="s">
        <v>231</v>
      </c>
      <c r="L77" s="91"/>
      <c r="M77" s="91"/>
      <c r="N77" s="91"/>
      <c r="O77" s="31" t="str">
        <f t="shared" si="9"/>
        <v xml:space="preserve"> </v>
      </c>
      <c r="P77" s="31" t="str">
        <f t="shared" si="10"/>
        <v xml:space="preserve"> </v>
      </c>
      <c r="Q77" s="31" t="str">
        <f t="shared" si="11"/>
        <v xml:space="preserve"> </v>
      </c>
      <c r="R77" s="32" t="str">
        <f t="shared" si="12"/>
        <v xml:space="preserve"> </v>
      </c>
      <c r="S77" s="33" t="str">
        <f t="shared" si="13"/>
        <v xml:space="preserve"> </v>
      </c>
      <c r="T77" s="34" t="str">
        <f t="shared" si="14"/>
        <v xml:space="preserve"> </v>
      </c>
      <c r="U77" s="32" t="str">
        <f t="shared" si="15"/>
        <v/>
      </c>
      <c r="V77" s="32" t="str">
        <f t="shared" si="8"/>
        <v/>
      </c>
      <c r="W77" s="126"/>
    </row>
    <row r="78" spans="1:23" ht="18" customHeight="1">
      <c r="A78" s="30"/>
      <c r="B78" s="75" t="s">
        <v>154</v>
      </c>
      <c r="C78" s="76" t="s">
        <v>45</v>
      </c>
      <c r="D78" s="77">
        <v>0.93899999999999995</v>
      </c>
      <c r="E78" s="77">
        <v>0.03</v>
      </c>
      <c r="F78" s="77">
        <v>-0.02</v>
      </c>
      <c r="G78" s="115">
        <v>0.96449999999999991</v>
      </c>
      <c r="H78" s="115">
        <v>0.92199999999999993</v>
      </c>
      <c r="I78" s="115">
        <v>0.96149999999999991</v>
      </c>
      <c r="J78" s="115">
        <v>0.92399999999999993</v>
      </c>
      <c r="K78" s="76" t="s">
        <v>231</v>
      </c>
      <c r="L78" s="91"/>
      <c r="M78" s="91"/>
      <c r="N78" s="91"/>
      <c r="O78" s="31" t="str">
        <f t="shared" si="9"/>
        <v xml:space="preserve"> </v>
      </c>
      <c r="P78" s="31" t="str">
        <f t="shared" si="10"/>
        <v xml:space="preserve"> </v>
      </c>
      <c r="Q78" s="31" t="str">
        <f t="shared" si="11"/>
        <v xml:space="preserve"> </v>
      </c>
      <c r="R78" s="32" t="str">
        <f t="shared" si="12"/>
        <v xml:space="preserve"> </v>
      </c>
      <c r="S78" s="33" t="str">
        <f t="shared" si="13"/>
        <v xml:space="preserve"> </v>
      </c>
      <c r="T78" s="34" t="str">
        <f t="shared" si="14"/>
        <v xml:space="preserve"> </v>
      </c>
      <c r="U78" s="32" t="str">
        <f t="shared" si="15"/>
        <v/>
      </c>
      <c r="V78" s="32" t="str">
        <f t="shared" si="8"/>
        <v/>
      </c>
      <c r="W78" s="126"/>
    </row>
    <row r="79" spans="1:23" ht="18" customHeight="1">
      <c r="A79" s="30"/>
      <c r="B79" s="75" t="s">
        <v>307</v>
      </c>
      <c r="C79" s="76" t="s">
        <v>45</v>
      </c>
      <c r="D79" s="77">
        <v>0.93899999999999995</v>
      </c>
      <c r="E79" s="77">
        <v>0.03</v>
      </c>
      <c r="F79" s="77">
        <v>-0.02</v>
      </c>
      <c r="G79" s="115">
        <v>0.96449999999999991</v>
      </c>
      <c r="H79" s="115">
        <v>0.92199999999999993</v>
      </c>
      <c r="I79" s="115">
        <v>0.96149999999999991</v>
      </c>
      <c r="J79" s="115">
        <v>0.92399999999999993</v>
      </c>
      <c r="K79" s="76" t="s">
        <v>231</v>
      </c>
      <c r="L79" s="91"/>
      <c r="M79" s="91"/>
      <c r="N79" s="91"/>
      <c r="O79" s="31" t="str">
        <f t="shared" si="9"/>
        <v xml:space="preserve"> </v>
      </c>
      <c r="P79" s="31" t="str">
        <f t="shared" si="10"/>
        <v xml:space="preserve"> </v>
      </c>
      <c r="Q79" s="31" t="str">
        <f t="shared" si="11"/>
        <v xml:space="preserve"> </v>
      </c>
      <c r="R79" s="32" t="str">
        <f t="shared" si="12"/>
        <v xml:space="preserve"> </v>
      </c>
      <c r="S79" s="33" t="str">
        <f t="shared" si="13"/>
        <v xml:space="preserve"> </v>
      </c>
      <c r="T79" s="34" t="str">
        <f t="shared" si="14"/>
        <v xml:space="preserve"> </v>
      </c>
      <c r="U79" s="32" t="str">
        <f t="shared" si="15"/>
        <v/>
      </c>
      <c r="V79" s="32" t="str">
        <f t="shared" si="8"/>
        <v/>
      </c>
      <c r="W79" s="126"/>
    </row>
    <row r="80" spans="1:23" ht="18" customHeight="1">
      <c r="A80" s="30"/>
      <c r="B80" s="75" t="s">
        <v>323</v>
      </c>
      <c r="C80" s="76" t="s">
        <v>45</v>
      </c>
      <c r="D80" s="77">
        <v>0.93899999999999995</v>
      </c>
      <c r="E80" s="77">
        <v>0.03</v>
      </c>
      <c r="F80" s="77">
        <v>-0.02</v>
      </c>
      <c r="G80" s="115">
        <v>0.96449999999999991</v>
      </c>
      <c r="H80" s="115">
        <v>0.92199999999999993</v>
      </c>
      <c r="I80" s="115">
        <v>0.96149999999999991</v>
      </c>
      <c r="J80" s="115">
        <v>0.92399999999999993</v>
      </c>
      <c r="K80" s="76" t="s">
        <v>231</v>
      </c>
      <c r="L80" s="91"/>
      <c r="M80" s="91"/>
      <c r="N80" s="91"/>
      <c r="O80" s="31" t="str">
        <f t="shared" si="9"/>
        <v xml:space="preserve"> </v>
      </c>
      <c r="P80" s="31" t="str">
        <f t="shared" si="10"/>
        <v xml:space="preserve"> </v>
      </c>
      <c r="Q80" s="31" t="str">
        <f t="shared" si="11"/>
        <v xml:space="preserve"> </v>
      </c>
      <c r="R80" s="32" t="str">
        <f t="shared" si="12"/>
        <v xml:space="preserve"> </v>
      </c>
      <c r="S80" s="33" t="str">
        <f t="shared" si="13"/>
        <v xml:space="preserve"> </v>
      </c>
      <c r="T80" s="34" t="str">
        <f t="shared" si="14"/>
        <v xml:space="preserve"> </v>
      </c>
      <c r="U80" s="32" t="str">
        <f t="shared" si="15"/>
        <v/>
      </c>
      <c r="V80" s="32" t="str">
        <f t="shared" si="8"/>
        <v/>
      </c>
      <c r="W80" s="126"/>
    </row>
    <row r="81" spans="1:23" ht="18" customHeight="1">
      <c r="A81" s="30"/>
      <c r="B81" s="75" t="s">
        <v>155</v>
      </c>
      <c r="C81" s="76" t="s">
        <v>45</v>
      </c>
      <c r="D81" s="77">
        <v>18.419</v>
      </c>
      <c r="E81" s="77">
        <v>0.03</v>
      </c>
      <c r="F81" s="77">
        <v>-0.03</v>
      </c>
      <c r="G81" s="115">
        <v>18.449000000000002</v>
      </c>
      <c r="H81" s="115">
        <v>18.388999999999999</v>
      </c>
      <c r="I81" s="115"/>
      <c r="J81" s="115"/>
      <c r="K81" s="76" t="s">
        <v>46</v>
      </c>
      <c r="L81" s="91"/>
      <c r="M81" s="91"/>
      <c r="N81" s="91"/>
      <c r="O81" s="31" t="str">
        <f t="shared" si="9"/>
        <v xml:space="preserve"> </v>
      </c>
      <c r="P81" s="31" t="str">
        <f t="shared" si="10"/>
        <v xml:space="preserve"> </v>
      </c>
      <c r="Q81" s="31" t="str">
        <f t="shared" si="11"/>
        <v xml:space="preserve"> </v>
      </c>
      <c r="R81" s="32" t="str">
        <f t="shared" si="12"/>
        <v xml:space="preserve"> </v>
      </c>
      <c r="S81" s="33" t="str">
        <f t="shared" si="13"/>
        <v xml:space="preserve"> </v>
      </c>
      <c r="T81" s="34" t="str">
        <f t="shared" si="14"/>
        <v xml:space="preserve"> </v>
      </c>
      <c r="U81" s="32" t="str">
        <f t="shared" si="15"/>
        <v/>
      </c>
      <c r="V81" s="32" t="str">
        <f t="shared" si="8"/>
        <v/>
      </c>
      <c r="W81" s="126"/>
    </row>
    <row r="82" spans="1:23" ht="18" customHeight="1">
      <c r="A82" s="30"/>
      <c r="B82" s="75" t="s">
        <v>156</v>
      </c>
      <c r="C82" s="76" t="s">
        <v>45</v>
      </c>
      <c r="D82" s="77">
        <v>18.419</v>
      </c>
      <c r="E82" s="77">
        <v>0.03</v>
      </c>
      <c r="F82" s="77">
        <v>-0.03</v>
      </c>
      <c r="G82" s="115">
        <v>18.449000000000002</v>
      </c>
      <c r="H82" s="115">
        <v>18.388999999999999</v>
      </c>
      <c r="I82" s="115"/>
      <c r="J82" s="115"/>
      <c r="K82" s="76" t="s">
        <v>46</v>
      </c>
      <c r="L82" s="91"/>
      <c r="M82" s="91"/>
      <c r="N82" s="91"/>
      <c r="O82" s="31" t="str">
        <f t="shared" si="9"/>
        <v xml:space="preserve"> </v>
      </c>
      <c r="P82" s="31" t="str">
        <f t="shared" si="10"/>
        <v xml:space="preserve"> </v>
      </c>
      <c r="Q82" s="31" t="str">
        <f t="shared" si="11"/>
        <v xml:space="preserve"> </v>
      </c>
      <c r="R82" s="32" t="str">
        <f t="shared" si="12"/>
        <v xml:space="preserve"> </v>
      </c>
      <c r="S82" s="33" t="str">
        <f t="shared" si="13"/>
        <v xml:space="preserve"> </v>
      </c>
      <c r="T82" s="34" t="str">
        <f t="shared" si="14"/>
        <v xml:space="preserve"> </v>
      </c>
      <c r="U82" s="32" t="str">
        <f t="shared" si="15"/>
        <v/>
      </c>
      <c r="V82" s="32" t="str">
        <f t="shared" si="8"/>
        <v/>
      </c>
      <c r="W82" s="126"/>
    </row>
    <row r="83" spans="1:23" ht="18" customHeight="1">
      <c r="A83" s="30"/>
      <c r="B83" s="75" t="s">
        <v>157</v>
      </c>
      <c r="C83" s="76" t="s">
        <v>45</v>
      </c>
      <c r="D83" s="77">
        <v>18.419</v>
      </c>
      <c r="E83" s="77">
        <v>0.03</v>
      </c>
      <c r="F83" s="77">
        <v>-0.03</v>
      </c>
      <c r="G83" s="115">
        <v>18.449000000000002</v>
      </c>
      <c r="H83" s="115">
        <v>18.388999999999999</v>
      </c>
      <c r="I83" s="115"/>
      <c r="J83" s="115"/>
      <c r="K83" s="76" t="s">
        <v>46</v>
      </c>
      <c r="L83" s="91"/>
      <c r="M83" s="91"/>
      <c r="N83" s="91"/>
      <c r="O83" s="31" t="str">
        <f t="shared" si="9"/>
        <v xml:space="preserve"> </v>
      </c>
      <c r="P83" s="31" t="str">
        <f t="shared" si="10"/>
        <v xml:space="preserve"> </v>
      </c>
      <c r="Q83" s="31" t="str">
        <f t="shared" si="11"/>
        <v xml:space="preserve"> </v>
      </c>
      <c r="R83" s="32" t="str">
        <f t="shared" si="12"/>
        <v xml:space="preserve"> </v>
      </c>
      <c r="S83" s="33" t="str">
        <f t="shared" si="13"/>
        <v xml:space="preserve"> </v>
      </c>
      <c r="T83" s="34" t="str">
        <f t="shared" si="14"/>
        <v xml:space="preserve"> </v>
      </c>
      <c r="U83" s="32" t="str">
        <f t="shared" si="15"/>
        <v/>
      </c>
      <c r="V83" s="32" t="str">
        <f t="shared" si="8"/>
        <v/>
      </c>
      <c r="W83" s="126"/>
    </row>
    <row r="84" spans="1:23" ht="18" customHeight="1">
      <c r="A84" s="30"/>
      <c r="B84" s="75" t="s">
        <v>158</v>
      </c>
      <c r="C84" s="76" t="s">
        <v>45</v>
      </c>
      <c r="D84" s="77">
        <v>4.3440000000000003</v>
      </c>
      <c r="E84" s="77">
        <v>0.03</v>
      </c>
      <c r="F84" s="77">
        <v>-0.03</v>
      </c>
      <c r="G84" s="115">
        <v>4.3695000000000004</v>
      </c>
      <c r="H84" s="115">
        <v>4.3185000000000002</v>
      </c>
      <c r="I84" s="115"/>
      <c r="J84" s="115"/>
      <c r="K84" s="76" t="s">
        <v>46</v>
      </c>
      <c r="L84" s="91"/>
      <c r="M84" s="91"/>
      <c r="N84" s="91"/>
      <c r="O84" s="31" t="str">
        <f t="shared" si="9"/>
        <v xml:space="preserve"> </v>
      </c>
      <c r="P84" s="31" t="str">
        <f t="shared" si="10"/>
        <v xml:space="preserve"> </v>
      </c>
      <c r="Q84" s="31" t="str">
        <f t="shared" si="11"/>
        <v xml:space="preserve"> </v>
      </c>
      <c r="R84" s="32" t="str">
        <f t="shared" si="12"/>
        <v xml:space="preserve"> </v>
      </c>
      <c r="S84" s="33" t="str">
        <f t="shared" si="13"/>
        <v xml:space="preserve"> </v>
      </c>
      <c r="T84" s="34" t="str">
        <f t="shared" si="14"/>
        <v xml:space="preserve"> </v>
      </c>
      <c r="U84" s="32" t="str">
        <f t="shared" si="15"/>
        <v/>
      </c>
      <c r="V84" s="32" t="str">
        <f t="shared" si="8"/>
        <v/>
      </c>
      <c r="W84" s="126"/>
    </row>
    <row r="85" spans="1:23" ht="18" customHeight="1">
      <c r="A85" s="30"/>
      <c r="B85" s="75" t="s">
        <v>159</v>
      </c>
      <c r="C85" s="76" t="s">
        <v>45</v>
      </c>
      <c r="D85" s="77">
        <v>4.3440000000000003</v>
      </c>
      <c r="E85" s="77">
        <v>0.03</v>
      </c>
      <c r="F85" s="77">
        <v>-0.03</v>
      </c>
      <c r="G85" s="115">
        <v>4.3695000000000004</v>
      </c>
      <c r="H85" s="115">
        <v>4.3185000000000002</v>
      </c>
      <c r="I85" s="115"/>
      <c r="J85" s="115"/>
      <c r="K85" s="76" t="s">
        <v>46</v>
      </c>
      <c r="L85" s="91"/>
      <c r="M85" s="91"/>
      <c r="N85" s="91"/>
      <c r="O85" s="31" t="str">
        <f t="shared" si="9"/>
        <v xml:space="preserve"> </v>
      </c>
      <c r="P85" s="31" t="str">
        <f t="shared" si="10"/>
        <v xml:space="preserve"> </v>
      </c>
      <c r="Q85" s="31" t="str">
        <f t="shared" si="11"/>
        <v xml:space="preserve"> </v>
      </c>
      <c r="R85" s="32" t="str">
        <f t="shared" si="12"/>
        <v xml:space="preserve"> </v>
      </c>
      <c r="S85" s="33" t="str">
        <f t="shared" si="13"/>
        <v xml:space="preserve"> </v>
      </c>
      <c r="T85" s="34" t="str">
        <f t="shared" si="14"/>
        <v xml:space="preserve"> </v>
      </c>
      <c r="U85" s="32" t="str">
        <f t="shared" si="15"/>
        <v/>
      </c>
      <c r="V85" s="32" t="str">
        <f t="shared" si="8"/>
        <v/>
      </c>
      <c r="W85" s="126"/>
    </row>
    <row r="86" spans="1:23" ht="18" customHeight="1">
      <c r="A86" s="30"/>
      <c r="B86" s="75">
        <v>60</v>
      </c>
      <c r="C86" s="76" t="s">
        <v>229</v>
      </c>
      <c r="D86" s="77"/>
      <c r="E86" s="77">
        <v>0.05</v>
      </c>
      <c r="F86" s="77"/>
      <c r="G86" s="115">
        <v>4.2500000000000003E-2</v>
      </c>
      <c r="H86" s="115">
        <v>0</v>
      </c>
      <c r="I86" s="115"/>
      <c r="J86" s="115"/>
      <c r="K86" s="76" t="s">
        <v>46</v>
      </c>
      <c r="L86" s="91"/>
      <c r="M86" s="91"/>
      <c r="N86" s="91"/>
      <c r="O86" s="31" t="str">
        <f t="shared" si="9"/>
        <v xml:space="preserve"> </v>
      </c>
      <c r="P86" s="31" t="str">
        <f t="shared" si="10"/>
        <v xml:space="preserve"> </v>
      </c>
      <c r="Q86" s="31" t="str">
        <f t="shared" si="11"/>
        <v xml:space="preserve"> </v>
      </c>
      <c r="R86" s="32" t="str">
        <f t="shared" si="12"/>
        <v xml:space="preserve"> </v>
      </c>
      <c r="S86" s="33" t="str">
        <f t="shared" si="13"/>
        <v xml:space="preserve"> </v>
      </c>
      <c r="T86" s="34" t="str">
        <f t="shared" si="14"/>
        <v xml:space="preserve"> </v>
      </c>
      <c r="U86" s="32" t="str">
        <f t="shared" si="15"/>
        <v/>
      </c>
      <c r="V86" s="32" t="str">
        <f t="shared" si="8"/>
        <v/>
      </c>
      <c r="W86" s="126"/>
    </row>
    <row r="87" spans="1:23" ht="18" customHeight="1">
      <c r="A87" s="30"/>
      <c r="B87" s="75" t="s">
        <v>160</v>
      </c>
      <c r="C87" s="76" t="s">
        <v>45</v>
      </c>
      <c r="D87" s="77">
        <v>8.9339999999999993</v>
      </c>
      <c r="E87" s="77">
        <v>0.02</v>
      </c>
      <c r="F87" s="77">
        <v>-0.02</v>
      </c>
      <c r="G87" s="115">
        <v>8.9509999999999987</v>
      </c>
      <c r="H87" s="115">
        <v>8.9169999999999998</v>
      </c>
      <c r="I87" s="115"/>
      <c r="J87" s="115"/>
      <c r="K87" s="76" t="s">
        <v>46</v>
      </c>
      <c r="L87" s="91"/>
      <c r="M87" s="91"/>
      <c r="N87" s="91"/>
      <c r="O87" s="31" t="str">
        <f t="shared" si="9"/>
        <v xml:space="preserve"> </v>
      </c>
      <c r="P87" s="31" t="str">
        <f t="shared" si="10"/>
        <v xml:space="preserve"> </v>
      </c>
      <c r="Q87" s="31" t="str">
        <f t="shared" si="11"/>
        <v xml:space="preserve"> </v>
      </c>
      <c r="R87" s="32" t="str">
        <f t="shared" si="12"/>
        <v xml:space="preserve"> </v>
      </c>
      <c r="S87" s="33" t="str">
        <f t="shared" si="13"/>
        <v xml:space="preserve"> </v>
      </c>
      <c r="T87" s="34" t="str">
        <f t="shared" si="14"/>
        <v xml:space="preserve"> </v>
      </c>
      <c r="U87" s="32" t="str">
        <f t="shared" si="15"/>
        <v/>
      </c>
      <c r="V87" s="32" t="str">
        <f t="shared" si="8"/>
        <v/>
      </c>
      <c r="W87" s="126"/>
    </row>
    <row r="88" spans="1:23" ht="18" customHeight="1">
      <c r="A88" s="30"/>
      <c r="B88" s="75" t="s">
        <v>161</v>
      </c>
      <c r="C88" s="76" t="s">
        <v>45</v>
      </c>
      <c r="D88" s="77">
        <v>8.9339999999999993</v>
      </c>
      <c r="E88" s="77">
        <v>0.02</v>
      </c>
      <c r="F88" s="77">
        <v>-0.02</v>
      </c>
      <c r="G88" s="115">
        <v>8.9509999999999987</v>
      </c>
      <c r="H88" s="115">
        <v>8.9169999999999998</v>
      </c>
      <c r="I88" s="115"/>
      <c r="J88" s="115"/>
      <c r="K88" s="76" t="s">
        <v>46</v>
      </c>
      <c r="L88" s="91"/>
      <c r="M88" s="91"/>
      <c r="N88" s="91"/>
      <c r="O88" s="31" t="str">
        <f t="shared" si="9"/>
        <v xml:space="preserve"> </v>
      </c>
      <c r="P88" s="31" t="str">
        <f t="shared" si="10"/>
        <v xml:space="preserve"> </v>
      </c>
      <c r="Q88" s="31" t="str">
        <f t="shared" si="11"/>
        <v xml:space="preserve"> </v>
      </c>
      <c r="R88" s="32" t="str">
        <f t="shared" si="12"/>
        <v xml:space="preserve"> </v>
      </c>
      <c r="S88" s="33" t="str">
        <f t="shared" si="13"/>
        <v xml:space="preserve"> </v>
      </c>
      <c r="T88" s="34" t="str">
        <f t="shared" si="14"/>
        <v xml:space="preserve"> </v>
      </c>
      <c r="U88" s="32" t="str">
        <f t="shared" si="15"/>
        <v/>
      </c>
      <c r="V88" s="32" t="str">
        <f t="shared" si="8"/>
        <v/>
      </c>
      <c r="W88" s="126"/>
    </row>
    <row r="89" spans="1:23" ht="18" customHeight="1">
      <c r="A89" s="30"/>
      <c r="B89" s="75" t="s">
        <v>162</v>
      </c>
      <c r="C89" s="76" t="s">
        <v>45</v>
      </c>
      <c r="D89" s="77">
        <v>8.9339999999999993</v>
      </c>
      <c r="E89" s="77">
        <v>0.02</v>
      </c>
      <c r="F89" s="77">
        <v>-0.02</v>
      </c>
      <c r="G89" s="115">
        <v>8.9509999999999987</v>
      </c>
      <c r="H89" s="115">
        <v>8.9169999999999998</v>
      </c>
      <c r="I89" s="115"/>
      <c r="J89" s="115"/>
      <c r="K89" s="76" t="s">
        <v>46</v>
      </c>
      <c r="L89" s="91"/>
      <c r="M89" s="91"/>
      <c r="N89" s="91"/>
      <c r="O89" s="31" t="str">
        <f t="shared" si="9"/>
        <v xml:space="preserve"> </v>
      </c>
      <c r="P89" s="31" t="str">
        <f t="shared" si="10"/>
        <v xml:space="preserve"> </v>
      </c>
      <c r="Q89" s="31" t="str">
        <f t="shared" si="11"/>
        <v xml:space="preserve"> </v>
      </c>
      <c r="R89" s="32" t="str">
        <f t="shared" si="12"/>
        <v xml:space="preserve"> </v>
      </c>
      <c r="S89" s="33" t="str">
        <f t="shared" si="13"/>
        <v xml:space="preserve"> </v>
      </c>
      <c r="T89" s="34" t="str">
        <f t="shared" si="14"/>
        <v xml:space="preserve"> </v>
      </c>
      <c r="U89" s="32" t="str">
        <f t="shared" si="15"/>
        <v/>
      </c>
      <c r="V89" s="32" t="str">
        <f t="shared" si="8"/>
        <v/>
      </c>
      <c r="W89" s="126"/>
    </row>
    <row r="90" spans="1:23" ht="18" customHeight="1">
      <c r="A90" s="30"/>
      <c r="B90" s="75">
        <v>63</v>
      </c>
      <c r="C90" s="76" t="s">
        <v>229</v>
      </c>
      <c r="D90" s="77"/>
      <c r="E90" s="77">
        <v>0.05</v>
      </c>
      <c r="F90" s="77"/>
      <c r="G90" s="115">
        <v>4.2500000000000003E-2</v>
      </c>
      <c r="H90" s="115">
        <v>0</v>
      </c>
      <c r="I90" s="115"/>
      <c r="J90" s="115"/>
      <c r="K90" s="76" t="s">
        <v>46</v>
      </c>
      <c r="L90" s="91"/>
      <c r="M90" s="91"/>
      <c r="N90" s="91"/>
      <c r="O90" s="31" t="str">
        <f t="shared" si="9"/>
        <v xml:space="preserve"> </v>
      </c>
      <c r="P90" s="31" t="str">
        <f t="shared" si="10"/>
        <v xml:space="preserve"> </v>
      </c>
      <c r="Q90" s="31" t="str">
        <f t="shared" si="11"/>
        <v xml:space="preserve"> </v>
      </c>
      <c r="R90" s="32" t="str">
        <f t="shared" si="12"/>
        <v xml:space="preserve"> </v>
      </c>
      <c r="S90" s="33" t="str">
        <f t="shared" si="13"/>
        <v xml:space="preserve"> </v>
      </c>
      <c r="T90" s="34" t="str">
        <f t="shared" si="14"/>
        <v xml:space="preserve"> </v>
      </c>
      <c r="U90" s="32" t="str">
        <f t="shared" si="15"/>
        <v/>
      </c>
      <c r="V90" s="32" t="str">
        <f t="shared" si="8"/>
        <v/>
      </c>
      <c r="W90" s="126"/>
    </row>
    <row r="91" spans="1:23" ht="18" customHeight="1">
      <c r="A91" s="30"/>
      <c r="B91" s="75" t="s">
        <v>163</v>
      </c>
      <c r="C91" s="76" t="s">
        <v>45</v>
      </c>
      <c r="D91" s="77">
        <v>8.5380000000000003</v>
      </c>
      <c r="E91" s="77">
        <v>0.02</v>
      </c>
      <c r="F91" s="77">
        <v>-0.02</v>
      </c>
      <c r="G91" s="115">
        <v>8.5549999999999997</v>
      </c>
      <c r="H91" s="115">
        <v>8.5210000000000008</v>
      </c>
      <c r="I91" s="115"/>
      <c r="J91" s="115"/>
      <c r="K91" s="76" t="s">
        <v>46</v>
      </c>
      <c r="L91" s="91"/>
      <c r="M91" s="91"/>
      <c r="N91" s="91"/>
      <c r="O91" s="31" t="str">
        <f t="shared" si="9"/>
        <v xml:space="preserve"> </v>
      </c>
      <c r="P91" s="31" t="str">
        <f t="shared" si="10"/>
        <v xml:space="preserve"> </v>
      </c>
      <c r="Q91" s="31" t="str">
        <f t="shared" si="11"/>
        <v xml:space="preserve"> </v>
      </c>
      <c r="R91" s="32" t="str">
        <f t="shared" si="12"/>
        <v xml:space="preserve"> </v>
      </c>
      <c r="S91" s="33" t="str">
        <f t="shared" si="13"/>
        <v xml:space="preserve"> </v>
      </c>
      <c r="T91" s="34" t="str">
        <f t="shared" si="14"/>
        <v xml:space="preserve"> </v>
      </c>
      <c r="U91" s="32" t="str">
        <f t="shared" si="15"/>
        <v/>
      </c>
      <c r="V91" s="32" t="str">
        <f t="shared" si="8"/>
        <v/>
      </c>
      <c r="W91" s="126"/>
    </row>
    <row r="92" spans="1:23" ht="18" customHeight="1">
      <c r="A92" s="30"/>
      <c r="B92" s="75" t="s">
        <v>164</v>
      </c>
      <c r="C92" s="76" t="s">
        <v>45</v>
      </c>
      <c r="D92" s="77">
        <v>8.5380000000000003</v>
      </c>
      <c r="E92" s="77">
        <v>0.02</v>
      </c>
      <c r="F92" s="77">
        <v>-0.02</v>
      </c>
      <c r="G92" s="115">
        <v>8.5549999999999997</v>
      </c>
      <c r="H92" s="115">
        <v>8.5210000000000008</v>
      </c>
      <c r="I92" s="115"/>
      <c r="J92" s="115"/>
      <c r="K92" s="76" t="s">
        <v>46</v>
      </c>
      <c r="L92" s="91"/>
      <c r="M92" s="91"/>
      <c r="N92" s="91"/>
      <c r="O92" s="31" t="str">
        <f t="shared" si="9"/>
        <v xml:space="preserve"> </v>
      </c>
      <c r="P92" s="31" t="str">
        <f t="shared" si="10"/>
        <v xml:space="preserve"> </v>
      </c>
      <c r="Q92" s="31" t="str">
        <f t="shared" si="11"/>
        <v xml:space="preserve"> </v>
      </c>
      <c r="R92" s="32" t="str">
        <f t="shared" si="12"/>
        <v xml:space="preserve"> </v>
      </c>
      <c r="S92" s="33" t="str">
        <f t="shared" si="13"/>
        <v xml:space="preserve"> </v>
      </c>
      <c r="T92" s="34" t="str">
        <f t="shared" si="14"/>
        <v xml:space="preserve"> </v>
      </c>
      <c r="U92" s="32" t="str">
        <f t="shared" si="15"/>
        <v/>
      </c>
      <c r="V92" s="32" t="str">
        <f t="shared" si="8"/>
        <v/>
      </c>
      <c r="W92" s="126"/>
    </row>
    <row r="93" spans="1:23" ht="18" customHeight="1">
      <c r="A93" s="30"/>
      <c r="B93" s="75" t="s">
        <v>165</v>
      </c>
      <c r="C93" s="76" t="s">
        <v>45</v>
      </c>
      <c r="D93" s="77">
        <v>8.5380000000000003</v>
      </c>
      <c r="E93" s="77">
        <v>0.02</v>
      </c>
      <c r="F93" s="77">
        <v>-0.02</v>
      </c>
      <c r="G93" s="115">
        <v>8.5549999999999997</v>
      </c>
      <c r="H93" s="115">
        <v>8.5210000000000008</v>
      </c>
      <c r="I93" s="115"/>
      <c r="J93" s="115"/>
      <c r="K93" s="76" t="s">
        <v>46</v>
      </c>
      <c r="L93" s="91"/>
      <c r="M93" s="91"/>
      <c r="N93" s="91"/>
      <c r="O93" s="31" t="str">
        <f t="shared" si="9"/>
        <v xml:space="preserve"> </v>
      </c>
      <c r="P93" s="31" t="str">
        <f t="shared" si="10"/>
        <v xml:space="preserve"> </v>
      </c>
      <c r="Q93" s="31" t="str">
        <f t="shared" si="11"/>
        <v xml:space="preserve"> </v>
      </c>
      <c r="R93" s="32" t="str">
        <f t="shared" si="12"/>
        <v xml:space="preserve"> </v>
      </c>
      <c r="S93" s="33" t="str">
        <f t="shared" si="13"/>
        <v xml:space="preserve"> </v>
      </c>
      <c r="T93" s="34" t="str">
        <f t="shared" si="14"/>
        <v xml:space="preserve"> </v>
      </c>
      <c r="U93" s="32" t="str">
        <f t="shared" si="15"/>
        <v/>
      </c>
      <c r="V93" s="32" t="str">
        <f t="shared" si="8"/>
        <v/>
      </c>
      <c r="W93" s="126"/>
    </row>
    <row r="94" spans="1:23" ht="18" customHeight="1">
      <c r="A94" s="30"/>
      <c r="B94" s="75" t="s">
        <v>109</v>
      </c>
      <c r="C94" s="76" t="s">
        <v>45</v>
      </c>
      <c r="D94" s="77">
        <v>8.827</v>
      </c>
      <c r="E94" s="77">
        <v>0.02</v>
      </c>
      <c r="F94" s="77">
        <v>-0.02</v>
      </c>
      <c r="G94" s="115">
        <v>8.8439999999999994</v>
      </c>
      <c r="H94" s="115">
        <v>8.81</v>
      </c>
      <c r="I94" s="115"/>
      <c r="J94" s="115"/>
      <c r="K94" s="76" t="s">
        <v>46</v>
      </c>
      <c r="L94" s="91"/>
      <c r="M94" s="91"/>
      <c r="N94" s="91"/>
      <c r="O94" s="31" t="str">
        <f t="shared" si="9"/>
        <v xml:space="preserve"> </v>
      </c>
      <c r="P94" s="31" t="str">
        <f t="shared" si="10"/>
        <v xml:space="preserve"> </v>
      </c>
      <c r="Q94" s="31" t="str">
        <f t="shared" si="11"/>
        <v xml:space="preserve"> </v>
      </c>
      <c r="R94" s="32" t="str">
        <f t="shared" si="12"/>
        <v xml:space="preserve"> </v>
      </c>
      <c r="S94" s="33" t="str">
        <f t="shared" si="13"/>
        <v xml:space="preserve"> </v>
      </c>
      <c r="T94" s="34" t="str">
        <f t="shared" si="14"/>
        <v xml:space="preserve"> </v>
      </c>
      <c r="U94" s="32" t="str">
        <f t="shared" si="15"/>
        <v/>
      </c>
      <c r="V94" s="32" t="str">
        <f t="shared" si="8"/>
        <v/>
      </c>
      <c r="W94" s="126"/>
    </row>
    <row r="95" spans="1:23" ht="18" customHeight="1">
      <c r="A95" s="30"/>
      <c r="B95" s="75" t="s">
        <v>110</v>
      </c>
      <c r="C95" s="76" t="s">
        <v>45</v>
      </c>
      <c r="D95" s="77">
        <v>8.827</v>
      </c>
      <c r="E95" s="77">
        <v>0.02</v>
      </c>
      <c r="F95" s="77">
        <v>-0.02</v>
      </c>
      <c r="G95" s="115">
        <v>8.8439999999999994</v>
      </c>
      <c r="H95" s="115">
        <v>8.81</v>
      </c>
      <c r="I95" s="115"/>
      <c r="J95" s="115"/>
      <c r="K95" s="76" t="s">
        <v>46</v>
      </c>
      <c r="L95" s="91"/>
      <c r="M95" s="91"/>
      <c r="N95" s="91"/>
      <c r="O95" s="31" t="str">
        <f t="shared" si="9"/>
        <v xml:space="preserve"> </v>
      </c>
      <c r="P95" s="31" t="str">
        <f t="shared" si="10"/>
        <v xml:space="preserve"> </v>
      </c>
      <c r="Q95" s="31" t="str">
        <f t="shared" si="11"/>
        <v xml:space="preserve"> </v>
      </c>
      <c r="R95" s="32" t="str">
        <f t="shared" si="12"/>
        <v xml:space="preserve"> </v>
      </c>
      <c r="S95" s="33" t="str">
        <f t="shared" si="13"/>
        <v xml:space="preserve"> </v>
      </c>
      <c r="T95" s="34" t="str">
        <f t="shared" si="14"/>
        <v xml:space="preserve"> </v>
      </c>
      <c r="U95" s="32" t="str">
        <f t="shared" si="15"/>
        <v/>
      </c>
      <c r="V95" s="32" t="str">
        <f t="shared" si="8"/>
        <v/>
      </c>
      <c r="W95" s="126"/>
    </row>
    <row r="96" spans="1:23" ht="18" customHeight="1">
      <c r="A96" s="30"/>
      <c r="B96" s="75" t="s">
        <v>166</v>
      </c>
      <c r="C96" s="76" t="s">
        <v>45</v>
      </c>
      <c r="D96" s="77">
        <v>8.827</v>
      </c>
      <c r="E96" s="77">
        <v>0.02</v>
      </c>
      <c r="F96" s="77">
        <v>-0.02</v>
      </c>
      <c r="G96" s="115">
        <v>8.8439999999999994</v>
      </c>
      <c r="H96" s="115">
        <v>8.81</v>
      </c>
      <c r="I96" s="115"/>
      <c r="J96" s="115"/>
      <c r="K96" s="76" t="s">
        <v>46</v>
      </c>
      <c r="L96" s="91"/>
      <c r="M96" s="91"/>
      <c r="N96" s="91"/>
      <c r="O96" s="31" t="str">
        <f t="shared" si="9"/>
        <v xml:space="preserve"> </v>
      </c>
      <c r="P96" s="31" t="str">
        <f t="shared" si="10"/>
        <v xml:space="preserve"> </v>
      </c>
      <c r="Q96" s="31" t="str">
        <f t="shared" si="11"/>
        <v xml:space="preserve"> </v>
      </c>
      <c r="R96" s="32" t="str">
        <f t="shared" si="12"/>
        <v xml:space="preserve"> </v>
      </c>
      <c r="S96" s="33" t="str">
        <f t="shared" si="13"/>
        <v xml:space="preserve"> </v>
      </c>
      <c r="T96" s="34" t="str">
        <f t="shared" si="14"/>
        <v xml:space="preserve"> </v>
      </c>
      <c r="U96" s="32" t="str">
        <f t="shared" si="15"/>
        <v/>
      </c>
      <c r="V96" s="32" t="str">
        <f t="shared" si="8"/>
        <v/>
      </c>
      <c r="W96" s="126"/>
    </row>
    <row r="97" spans="1:23" ht="18" customHeight="1">
      <c r="A97" s="30"/>
      <c r="B97" s="75" t="s">
        <v>167</v>
      </c>
      <c r="C97" s="76" t="s">
        <v>229</v>
      </c>
      <c r="D97" s="77"/>
      <c r="E97" s="77">
        <v>0.05</v>
      </c>
      <c r="F97" s="77"/>
      <c r="G97" s="115">
        <v>4.2500000000000003E-2</v>
      </c>
      <c r="H97" s="115">
        <v>0</v>
      </c>
      <c r="I97" s="115"/>
      <c r="J97" s="115"/>
      <c r="K97" s="76" t="s">
        <v>46</v>
      </c>
      <c r="L97" s="91"/>
      <c r="M97" s="91"/>
      <c r="N97" s="91"/>
      <c r="O97" s="31" t="str">
        <f t="shared" si="9"/>
        <v xml:space="preserve"> </v>
      </c>
      <c r="P97" s="31" t="str">
        <f t="shared" si="10"/>
        <v xml:space="preserve"> </v>
      </c>
      <c r="Q97" s="31" t="str">
        <f t="shared" si="11"/>
        <v xml:space="preserve"> </v>
      </c>
      <c r="R97" s="32" t="str">
        <f t="shared" si="12"/>
        <v xml:space="preserve"> </v>
      </c>
      <c r="S97" s="33" t="str">
        <f t="shared" si="13"/>
        <v xml:space="preserve"> </v>
      </c>
      <c r="T97" s="34" t="str">
        <f t="shared" si="14"/>
        <v xml:space="preserve"> </v>
      </c>
      <c r="U97" s="32" t="str">
        <f t="shared" si="15"/>
        <v/>
      </c>
      <c r="V97" s="32" t="str">
        <f t="shared" si="8"/>
        <v/>
      </c>
      <c r="W97" s="126"/>
    </row>
    <row r="98" spans="1:23" ht="18" customHeight="1">
      <c r="A98" s="30"/>
      <c r="B98" s="75" t="s">
        <v>168</v>
      </c>
      <c r="C98" s="76" t="s">
        <v>229</v>
      </c>
      <c r="D98" s="77"/>
      <c r="E98" s="77">
        <v>0.05</v>
      </c>
      <c r="F98" s="77"/>
      <c r="G98" s="115">
        <v>4.2500000000000003E-2</v>
      </c>
      <c r="H98" s="115">
        <v>0</v>
      </c>
      <c r="I98" s="115"/>
      <c r="J98" s="115"/>
      <c r="K98" s="76" t="s">
        <v>46</v>
      </c>
      <c r="L98" s="91"/>
      <c r="M98" s="91"/>
      <c r="N98" s="91"/>
      <c r="O98" s="31" t="str">
        <f t="shared" si="9"/>
        <v xml:space="preserve"> </v>
      </c>
      <c r="P98" s="31" t="str">
        <f t="shared" si="10"/>
        <v xml:space="preserve"> </v>
      </c>
      <c r="Q98" s="31" t="str">
        <f t="shared" si="11"/>
        <v xml:space="preserve"> </v>
      </c>
      <c r="R98" s="32" t="str">
        <f t="shared" si="12"/>
        <v xml:space="preserve"> </v>
      </c>
      <c r="S98" s="33" t="str">
        <f t="shared" si="13"/>
        <v xml:space="preserve"> </v>
      </c>
      <c r="T98" s="34" t="str">
        <f t="shared" si="14"/>
        <v xml:space="preserve"> </v>
      </c>
      <c r="U98" s="32" t="str">
        <f t="shared" si="15"/>
        <v/>
      </c>
      <c r="V98" s="32" t="str">
        <f t="shared" si="8"/>
        <v/>
      </c>
      <c r="W98" s="126"/>
    </row>
    <row r="99" spans="1:23" ht="18" customHeight="1">
      <c r="A99" s="30"/>
      <c r="B99" s="75" t="s">
        <v>169</v>
      </c>
      <c r="C99" s="76" t="s">
        <v>45</v>
      </c>
      <c r="D99" s="77">
        <v>2.927</v>
      </c>
      <c r="E99" s="77">
        <v>0.02</v>
      </c>
      <c r="F99" s="77">
        <v>-0.02</v>
      </c>
      <c r="G99" s="115">
        <v>2.944</v>
      </c>
      <c r="H99" s="115">
        <v>2.91</v>
      </c>
      <c r="I99" s="115"/>
      <c r="J99" s="115"/>
      <c r="K99" s="76" t="s">
        <v>46</v>
      </c>
      <c r="L99" s="91"/>
      <c r="M99" s="91"/>
      <c r="N99" s="91"/>
      <c r="O99" s="31" t="str">
        <f t="shared" si="9"/>
        <v xml:space="preserve"> </v>
      </c>
      <c r="P99" s="31" t="str">
        <f t="shared" si="10"/>
        <v xml:space="preserve"> </v>
      </c>
      <c r="Q99" s="31" t="str">
        <f t="shared" si="11"/>
        <v xml:space="preserve"> </v>
      </c>
      <c r="R99" s="32" t="str">
        <f t="shared" si="12"/>
        <v xml:space="preserve"> </v>
      </c>
      <c r="S99" s="33" t="str">
        <f t="shared" si="13"/>
        <v xml:space="preserve"> </v>
      </c>
      <c r="T99" s="34" t="str">
        <f t="shared" si="14"/>
        <v xml:space="preserve"> </v>
      </c>
      <c r="U99" s="32" t="str">
        <f t="shared" si="15"/>
        <v/>
      </c>
      <c r="V99" s="32" t="str">
        <f t="shared" ref="V99:V162" si="16">IF(L99="","",IF(ISERR(F99/F99)=TRUE,"",IF(ISERR(F99/D99)=TRUE,IF((F99-MIN(L99:N99))&gt;0.001,"Reject",""),IF(ISNUMBER($T99)=TRUE,IF($T99&gt;0.651,IF($T99&gt;1.001,"Reject","Alert"),""),""))))</f>
        <v/>
      </c>
      <c r="W99" s="126"/>
    </row>
    <row r="100" spans="1:23" ht="18" customHeight="1">
      <c r="A100" s="30"/>
      <c r="B100" s="75" t="s">
        <v>170</v>
      </c>
      <c r="C100" s="76" t="s">
        <v>45</v>
      </c>
      <c r="D100" s="77">
        <v>2.927</v>
      </c>
      <c r="E100" s="77">
        <v>0.02</v>
      </c>
      <c r="F100" s="77">
        <v>-0.02</v>
      </c>
      <c r="G100" s="115">
        <v>2.944</v>
      </c>
      <c r="H100" s="115">
        <v>2.91</v>
      </c>
      <c r="I100" s="115"/>
      <c r="J100" s="115"/>
      <c r="K100" s="76" t="s">
        <v>46</v>
      </c>
      <c r="L100" s="91"/>
      <c r="M100" s="91"/>
      <c r="N100" s="91"/>
      <c r="O100" s="31" t="str">
        <f t="shared" si="9"/>
        <v xml:space="preserve"> </v>
      </c>
      <c r="P100" s="31" t="str">
        <f t="shared" si="10"/>
        <v xml:space="preserve"> </v>
      </c>
      <c r="Q100" s="31" t="str">
        <f t="shared" si="11"/>
        <v xml:space="preserve"> </v>
      </c>
      <c r="R100" s="32" t="str">
        <f t="shared" si="12"/>
        <v xml:space="preserve"> </v>
      </c>
      <c r="S100" s="33" t="str">
        <f t="shared" si="13"/>
        <v xml:space="preserve"> </v>
      </c>
      <c r="T100" s="34" t="str">
        <f t="shared" si="14"/>
        <v xml:space="preserve"> </v>
      </c>
      <c r="U100" s="32" t="str">
        <f t="shared" si="15"/>
        <v/>
      </c>
      <c r="V100" s="32" t="str">
        <f t="shared" si="16"/>
        <v/>
      </c>
      <c r="W100" s="126"/>
    </row>
    <row r="101" spans="1:23" ht="18" customHeight="1">
      <c r="A101" s="30"/>
      <c r="B101" s="75" t="s">
        <v>171</v>
      </c>
      <c r="C101" s="76" t="s">
        <v>45</v>
      </c>
      <c r="D101" s="77">
        <v>2.927</v>
      </c>
      <c r="E101" s="77">
        <v>0.02</v>
      </c>
      <c r="F101" s="77">
        <v>-0.02</v>
      </c>
      <c r="G101" s="115">
        <v>2.944</v>
      </c>
      <c r="H101" s="115">
        <v>2.91</v>
      </c>
      <c r="I101" s="115"/>
      <c r="J101" s="115"/>
      <c r="K101" s="76" t="s">
        <v>46</v>
      </c>
      <c r="L101" s="91"/>
      <c r="M101" s="91"/>
      <c r="N101" s="91"/>
      <c r="O101" s="31" t="str">
        <f t="shared" si="9"/>
        <v xml:space="preserve"> </v>
      </c>
      <c r="P101" s="31" t="str">
        <f t="shared" si="10"/>
        <v xml:space="preserve"> </v>
      </c>
      <c r="Q101" s="31" t="str">
        <f t="shared" si="11"/>
        <v xml:space="preserve"> </v>
      </c>
      <c r="R101" s="32" t="str">
        <f t="shared" si="12"/>
        <v xml:space="preserve"> </v>
      </c>
      <c r="S101" s="33" t="str">
        <f t="shared" si="13"/>
        <v xml:space="preserve"> </v>
      </c>
      <c r="T101" s="34" t="str">
        <f t="shared" si="14"/>
        <v xml:space="preserve"> </v>
      </c>
      <c r="U101" s="32" t="str">
        <f t="shared" si="15"/>
        <v/>
      </c>
      <c r="V101" s="32" t="str">
        <f t="shared" si="16"/>
        <v/>
      </c>
      <c r="W101" s="126"/>
    </row>
    <row r="102" spans="1:23" ht="18" customHeight="1">
      <c r="A102" s="30"/>
      <c r="B102" s="75" t="s">
        <v>172</v>
      </c>
      <c r="C102" s="76" t="s">
        <v>45</v>
      </c>
      <c r="D102" s="77">
        <v>3.2679999999999998</v>
      </c>
      <c r="E102" s="77">
        <v>0.02</v>
      </c>
      <c r="F102" s="77">
        <v>-0.02</v>
      </c>
      <c r="G102" s="115">
        <v>3.2849999999999997</v>
      </c>
      <c r="H102" s="115">
        <v>3.2509999999999999</v>
      </c>
      <c r="I102" s="115"/>
      <c r="J102" s="115"/>
      <c r="K102" s="76" t="s">
        <v>46</v>
      </c>
      <c r="L102" s="91"/>
      <c r="M102" s="91"/>
      <c r="N102" s="91"/>
      <c r="O102" s="31" t="str">
        <f t="shared" si="9"/>
        <v xml:space="preserve"> </v>
      </c>
      <c r="P102" s="31" t="str">
        <f t="shared" si="10"/>
        <v xml:space="preserve"> </v>
      </c>
      <c r="Q102" s="31" t="str">
        <f t="shared" si="11"/>
        <v xml:space="preserve"> </v>
      </c>
      <c r="R102" s="32" t="str">
        <f t="shared" si="12"/>
        <v xml:space="preserve"> </v>
      </c>
      <c r="S102" s="33" t="str">
        <f t="shared" si="13"/>
        <v xml:space="preserve"> </v>
      </c>
      <c r="T102" s="34" t="str">
        <f t="shared" si="14"/>
        <v xml:space="preserve"> </v>
      </c>
      <c r="U102" s="32" t="str">
        <f t="shared" si="15"/>
        <v/>
      </c>
      <c r="V102" s="32" t="str">
        <f t="shared" si="16"/>
        <v/>
      </c>
      <c r="W102" s="126"/>
    </row>
    <row r="103" spans="1:23" ht="18" customHeight="1">
      <c r="A103" s="30"/>
      <c r="B103" s="75" t="s">
        <v>173</v>
      </c>
      <c r="C103" s="76" t="s">
        <v>45</v>
      </c>
      <c r="D103" s="77">
        <v>3.2679999999999998</v>
      </c>
      <c r="E103" s="77">
        <v>0.02</v>
      </c>
      <c r="F103" s="77">
        <v>-0.02</v>
      </c>
      <c r="G103" s="115">
        <v>3.2849999999999997</v>
      </c>
      <c r="H103" s="115">
        <v>3.2509999999999999</v>
      </c>
      <c r="I103" s="115"/>
      <c r="J103" s="115"/>
      <c r="K103" s="76" t="s">
        <v>46</v>
      </c>
      <c r="L103" s="91"/>
      <c r="M103" s="91"/>
      <c r="N103" s="91"/>
      <c r="O103" s="31" t="str">
        <f t="shared" si="9"/>
        <v xml:space="preserve"> </v>
      </c>
      <c r="P103" s="31" t="str">
        <f t="shared" si="10"/>
        <v xml:space="preserve"> </v>
      </c>
      <c r="Q103" s="31" t="str">
        <f t="shared" si="11"/>
        <v xml:space="preserve"> </v>
      </c>
      <c r="R103" s="32" t="str">
        <f t="shared" si="12"/>
        <v xml:space="preserve"> </v>
      </c>
      <c r="S103" s="33" t="str">
        <f t="shared" si="13"/>
        <v xml:space="preserve"> </v>
      </c>
      <c r="T103" s="34" t="str">
        <f t="shared" si="14"/>
        <v xml:space="preserve"> </v>
      </c>
      <c r="U103" s="32" t="str">
        <f t="shared" si="15"/>
        <v/>
      </c>
      <c r="V103" s="32" t="str">
        <f t="shared" si="16"/>
        <v/>
      </c>
      <c r="W103" s="126"/>
    </row>
    <row r="104" spans="1:23" ht="18" customHeight="1">
      <c r="A104" s="30"/>
      <c r="B104" s="75" t="s">
        <v>174</v>
      </c>
      <c r="C104" s="76" t="s">
        <v>45</v>
      </c>
      <c r="D104" s="77">
        <v>3.2679999999999998</v>
      </c>
      <c r="E104" s="77">
        <v>0.02</v>
      </c>
      <c r="F104" s="77">
        <v>-0.02</v>
      </c>
      <c r="G104" s="115">
        <v>3.2849999999999997</v>
      </c>
      <c r="H104" s="115">
        <v>3.2509999999999999</v>
      </c>
      <c r="I104" s="115"/>
      <c r="J104" s="115"/>
      <c r="K104" s="76" t="s">
        <v>46</v>
      </c>
      <c r="L104" s="91"/>
      <c r="M104" s="91"/>
      <c r="N104" s="91"/>
      <c r="O104" s="31" t="str">
        <f t="shared" si="9"/>
        <v xml:space="preserve"> </v>
      </c>
      <c r="P104" s="31" t="str">
        <f t="shared" si="10"/>
        <v xml:space="preserve"> </v>
      </c>
      <c r="Q104" s="31" t="str">
        <f t="shared" si="11"/>
        <v xml:space="preserve"> </v>
      </c>
      <c r="R104" s="32" t="str">
        <f t="shared" si="12"/>
        <v xml:space="preserve"> </v>
      </c>
      <c r="S104" s="33" t="str">
        <f t="shared" si="13"/>
        <v xml:space="preserve"> </v>
      </c>
      <c r="T104" s="34" t="str">
        <f t="shared" si="14"/>
        <v xml:space="preserve"> </v>
      </c>
      <c r="U104" s="32" t="str">
        <f t="shared" si="15"/>
        <v/>
      </c>
      <c r="V104" s="32" t="str">
        <f t="shared" si="16"/>
        <v/>
      </c>
      <c r="W104" s="126"/>
    </row>
    <row r="105" spans="1:23" ht="18" customHeight="1">
      <c r="A105" s="30"/>
      <c r="B105" s="75" t="s">
        <v>175</v>
      </c>
      <c r="C105" s="76" t="s">
        <v>229</v>
      </c>
      <c r="D105" s="77"/>
      <c r="E105" s="77">
        <v>0.05</v>
      </c>
      <c r="F105" s="77"/>
      <c r="G105" s="115">
        <v>4.2500000000000003E-2</v>
      </c>
      <c r="H105" s="115">
        <v>0</v>
      </c>
      <c r="I105" s="115"/>
      <c r="J105" s="115"/>
      <c r="K105" s="76" t="s">
        <v>46</v>
      </c>
      <c r="L105" s="91"/>
      <c r="M105" s="91"/>
      <c r="N105" s="91"/>
      <c r="O105" s="31" t="str">
        <f t="shared" si="9"/>
        <v xml:space="preserve"> </v>
      </c>
      <c r="P105" s="31" t="str">
        <f t="shared" si="10"/>
        <v xml:space="preserve"> </v>
      </c>
      <c r="Q105" s="31" t="str">
        <f t="shared" si="11"/>
        <v xml:space="preserve"> </v>
      </c>
      <c r="R105" s="32" t="str">
        <f t="shared" si="12"/>
        <v xml:space="preserve"> </v>
      </c>
      <c r="S105" s="33" t="str">
        <f t="shared" si="13"/>
        <v xml:space="preserve"> </v>
      </c>
      <c r="T105" s="34" t="str">
        <f t="shared" si="14"/>
        <v xml:space="preserve"> </v>
      </c>
      <c r="U105" s="32" t="str">
        <f t="shared" si="15"/>
        <v/>
      </c>
      <c r="V105" s="32" t="str">
        <f t="shared" si="16"/>
        <v/>
      </c>
      <c r="W105" s="126"/>
    </row>
    <row r="106" spans="1:23" ht="18" customHeight="1">
      <c r="A106" s="30"/>
      <c r="B106" s="75" t="s">
        <v>176</v>
      </c>
      <c r="C106" s="76" t="s">
        <v>45</v>
      </c>
      <c r="D106" s="77">
        <v>15.433999999999999</v>
      </c>
      <c r="E106" s="77">
        <v>0.03</v>
      </c>
      <c r="F106" s="77">
        <v>-0.03</v>
      </c>
      <c r="G106" s="115">
        <v>15.459499999999998</v>
      </c>
      <c r="H106" s="115">
        <v>15.4085</v>
      </c>
      <c r="I106" s="115"/>
      <c r="J106" s="115"/>
      <c r="K106" s="76" t="s">
        <v>46</v>
      </c>
      <c r="L106" s="91"/>
      <c r="M106" s="91"/>
      <c r="N106" s="91"/>
      <c r="O106" s="31" t="str">
        <f t="shared" si="9"/>
        <v xml:space="preserve"> </v>
      </c>
      <c r="P106" s="31" t="str">
        <f t="shared" si="10"/>
        <v xml:space="preserve"> </v>
      </c>
      <c r="Q106" s="31" t="str">
        <f t="shared" si="11"/>
        <v xml:space="preserve"> </v>
      </c>
      <c r="R106" s="32" t="str">
        <f t="shared" si="12"/>
        <v xml:space="preserve"> </v>
      </c>
      <c r="S106" s="33" t="str">
        <f t="shared" si="13"/>
        <v xml:space="preserve"> </v>
      </c>
      <c r="T106" s="34" t="str">
        <f t="shared" si="14"/>
        <v xml:space="preserve"> </v>
      </c>
      <c r="U106" s="32" t="str">
        <f t="shared" si="15"/>
        <v/>
      </c>
      <c r="V106" s="32" t="str">
        <f t="shared" si="16"/>
        <v/>
      </c>
      <c r="W106" s="126"/>
    </row>
    <row r="107" spans="1:23" ht="18" customHeight="1">
      <c r="A107" s="30"/>
      <c r="B107" s="75" t="s">
        <v>177</v>
      </c>
      <c r="C107" s="76" t="s">
        <v>45</v>
      </c>
      <c r="D107" s="77">
        <v>15.433999999999999</v>
      </c>
      <c r="E107" s="77">
        <v>0.03</v>
      </c>
      <c r="F107" s="77">
        <v>-0.03</v>
      </c>
      <c r="G107" s="115">
        <v>15.459499999999998</v>
      </c>
      <c r="H107" s="115">
        <v>15.4085</v>
      </c>
      <c r="I107" s="115"/>
      <c r="J107" s="115"/>
      <c r="K107" s="76" t="s">
        <v>46</v>
      </c>
      <c r="L107" s="91"/>
      <c r="M107" s="91"/>
      <c r="N107" s="91"/>
      <c r="O107" s="31" t="str">
        <f t="shared" si="9"/>
        <v xml:space="preserve"> </v>
      </c>
      <c r="P107" s="31" t="str">
        <f t="shared" si="10"/>
        <v xml:space="preserve"> </v>
      </c>
      <c r="Q107" s="31" t="str">
        <f t="shared" si="11"/>
        <v xml:space="preserve"> </v>
      </c>
      <c r="R107" s="32" t="str">
        <f t="shared" si="12"/>
        <v xml:space="preserve"> </v>
      </c>
      <c r="S107" s="33" t="str">
        <f t="shared" si="13"/>
        <v xml:space="preserve"> </v>
      </c>
      <c r="T107" s="34" t="str">
        <f t="shared" si="14"/>
        <v xml:space="preserve"> </v>
      </c>
      <c r="U107" s="32" t="str">
        <f t="shared" si="15"/>
        <v/>
      </c>
      <c r="V107" s="32" t="str">
        <f t="shared" si="16"/>
        <v/>
      </c>
      <c r="W107" s="126"/>
    </row>
    <row r="108" spans="1:23" ht="18" customHeight="1">
      <c r="A108" s="30"/>
      <c r="B108" s="75" t="s">
        <v>111</v>
      </c>
      <c r="C108" s="76" t="s">
        <v>45</v>
      </c>
      <c r="D108" s="77">
        <v>4.5739999999999998</v>
      </c>
      <c r="E108" s="77">
        <v>0.04</v>
      </c>
      <c r="F108" s="77">
        <v>-0.04</v>
      </c>
      <c r="G108" s="115">
        <v>4.6079999999999997</v>
      </c>
      <c r="H108" s="115">
        <v>4.54</v>
      </c>
      <c r="I108" s="115"/>
      <c r="J108" s="115"/>
      <c r="K108" s="76" t="s">
        <v>46</v>
      </c>
      <c r="L108" s="91"/>
      <c r="M108" s="91"/>
      <c r="N108" s="91"/>
      <c r="O108" s="31" t="str">
        <f t="shared" si="9"/>
        <v xml:space="preserve"> </v>
      </c>
      <c r="P108" s="31" t="str">
        <f t="shared" si="10"/>
        <v xml:space="preserve"> </v>
      </c>
      <c r="Q108" s="31" t="str">
        <f t="shared" si="11"/>
        <v xml:space="preserve"> </v>
      </c>
      <c r="R108" s="32" t="str">
        <f t="shared" si="12"/>
        <v xml:space="preserve"> </v>
      </c>
      <c r="S108" s="33" t="str">
        <f t="shared" si="13"/>
        <v xml:space="preserve"> </v>
      </c>
      <c r="T108" s="34" t="str">
        <f t="shared" si="14"/>
        <v xml:space="preserve"> </v>
      </c>
      <c r="U108" s="32" t="str">
        <f t="shared" si="15"/>
        <v/>
      </c>
      <c r="V108" s="32" t="str">
        <f t="shared" si="16"/>
        <v/>
      </c>
      <c r="W108" s="126"/>
    </row>
    <row r="109" spans="1:23" ht="18" customHeight="1">
      <c r="A109" s="30"/>
      <c r="B109" s="75" t="s">
        <v>112</v>
      </c>
      <c r="C109" s="76" t="s">
        <v>45</v>
      </c>
      <c r="D109" s="77">
        <v>4.5739999999999998</v>
      </c>
      <c r="E109" s="77">
        <v>0.04</v>
      </c>
      <c r="F109" s="77">
        <v>-0.04</v>
      </c>
      <c r="G109" s="115">
        <v>4.6079999999999997</v>
      </c>
      <c r="H109" s="115">
        <v>4.54</v>
      </c>
      <c r="I109" s="115"/>
      <c r="J109" s="115"/>
      <c r="K109" s="76" t="s">
        <v>46</v>
      </c>
      <c r="L109" s="91"/>
      <c r="M109" s="91"/>
      <c r="N109" s="91"/>
      <c r="O109" s="31" t="str">
        <f t="shared" si="9"/>
        <v xml:space="preserve"> </v>
      </c>
      <c r="P109" s="31" t="str">
        <f t="shared" si="10"/>
        <v xml:space="preserve"> </v>
      </c>
      <c r="Q109" s="31" t="str">
        <f t="shared" si="11"/>
        <v xml:space="preserve"> </v>
      </c>
      <c r="R109" s="32" t="str">
        <f t="shared" si="12"/>
        <v xml:space="preserve"> </v>
      </c>
      <c r="S109" s="33" t="str">
        <f t="shared" si="13"/>
        <v xml:space="preserve"> </v>
      </c>
      <c r="T109" s="34" t="str">
        <f t="shared" si="14"/>
        <v xml:space="preserve"> </v>
      </c>
      <c r="U109" s="32" t="str">
        <f t="shared" si="15"/>
        <v/>
      </c>
      <c r="V109" s="32" t="str">
        <f t="shared" si="16"/>
        <v/>
      </c>
      <c r="W109" s="126"/>
    </row>
    <row r="110" spans="1:23" ht="18" customHeight="1">
      <c r="A110" s="30"/>
      <c r="B110" s="75" t="s">
        <v>113</v>
      </c>
      <c r="C110" s="76" t="s">
        <v>45</v>
      </c>
      <c r="D110" s="77">
        <v>19.952000000000002</v>
      </c>
      <c r="E110" s="77">
        <v>0.03</v>
      </c>
      <c r="F110" s="77">
        <v>-0.03</v>
      </c>
      <c r="G110" s="115">
        <v>19.977500000000003</v>
      </c>
      <c r="H110" s="115">
        <v>19.926500000000001</v>
      </c>
      <c r="I110" s="115"/>
      <c r="J110" s="115"/>
      <c r="K110" s="76" t="s">
        <v>46</v>
      </c>
      <c r="L110" s="91"/>
      <c r="M110" s="91"/>
      <c r="N110" s="91"/>
      <c r="O110" s="31" t="str">
        <f t="shared" si="9"/>
        <v xml:space="preserve"> </v>
      </c>
      <c r="P110" s="31" t="str">
        <f t="shared" si="10"/>
        <v xml:space="preserve"> </v>
      </c>
      <c r="Q110" s="31" t="str">
        <f t="shared" si="11"/>
        <v xml:space="preserve"> </v>
      </c>
      <c r="R110" s="32" t="str">
        <f t="shared" si="12"/>
        <v xml:space="preserve"> </v>
      </c>
      <c r="S110" s="33" t="str">
        <f t="shared" si="13"/>
        <v xml:space="preserve"> </v>
      </c>
      <c r="T110" s="34" t="str">
        <f t="shared" si="14"/>
        <v xml:space="preserve"> </v>
      </c>
      <c r="U110" s="32" t="str">
        <f t="shared" si="15"/>
        <v/>
      </c>
      <c r="V110" s="32" t="str">
        <f t="shared" si="16"/>
        <v/>
      </c>
      <c r="W110" s="126"/>
    </row>
    <row r="111" spans="1:23" ht="18" customHeight="1">
      <c r="A111" s="30"/>
      <c r="B111" s="75" t="s">
        <v>114</v>
      </c>
      <c r="C111" s="76" t="s">
        <v>45</v>
      </c>
      <c r="D111" s="77">
        <v>19.952000000000002</v>
      </c>
      <c r="E111" s="77">
        <v>0.03</v>
      </c>
      <c r="F111" s="77">
        <v>-0.03</v>
      </c>
      <c r="G111" s="115">
        <v>19.977500000000003</v>
      </c>
      <c r="H111" s="115">
        <v>19.926500000000001</v>
      </c>
      <c r="I111" s="115"/>
      <c r="J111" s="115"/>
      <c r="K111" s="76" t="s">
        <v>46</v>
      </c>
      <c r="L111" s="91"/>
      <c r="M111" s="91"/>
      <c r="N111" s="91"/>
      <c r="O111" s="31" t="str">
        <f t="shared" si="9"/>
        <v xml:space="preserve"> </v>
      </c>
      <c r="P111" s="31" t="str">
        <f t="shared" si="10"/>
        <v xml:space="preserve"> </v>
      </c>
      <c r="Q111" s="31" t="str">
        <f t="shared" si="11"/>
        <v xml:space="preserve"> </v>
      </c>
      <c r="R111" s="32" t="str">
        <f t="shared" si="12"/>
        <v xml:space="preserve"> </v>
      </c>
      <c r="S111" s="33" t="str">
        <f t="shared" si="13"/>
        <v xml:space="preserve"> </v>
      </c>
      <c r="T111" s="34" t="str">
        <f t="shared" si="14"/>
        <v xml:space="preserve"> </v>
      </c>
      <c r="U111" s="32" t="str">
        <f t="shared" si="15"/>
        <v/>
      </c>
      <c r="V111" s="32" t="str">
        <f t="shared" si="16"/>
        <v/>
      </c>
      <c r="W111" s="126"/>
    </row>
    <row r="112" spans="1:23" ht="18" customHeight="1">
      <c r="A112" s="30"/>
      <c r="B112" s="75" t="s">
        <v>178</v>
      </c>
      <c r="C112" s="76" t="s">
        <v>45</v>
      </c>
      <c r="D112" s="77">
        <v>8.1219999999999999</v>
      </c>
      <c r="E112" s="77">
        <v>0.03</v>
      </c>
      <c r="F112" s="77">
        <v>-0.03</v>
      </c>
      <c r="G112" s="115">
        <v>8.1474999999999991</v>
      </c>
      <c r="H112" s="115">
        <v>8.0965000000000007</v>
      </c>
      <c r="I112" s="115"/>
      <c r="J112" s="115"/>
      <c r="K112" s="76" t="s">
        <v>46</v>
      </c>
      <c r="L112" s="91"/>
      <c r="M112" s="91"/>
      <c r="N112" s="91"/>
      <c r="O112" s="31" t="str">
        <f t="shared" si="9"/>
        <v xml:space="preserve"> </v>
      </c>
      <c r="P112" s="31" t="str">
        <f t="shared" si="10"/>
        <v xml:space="preserve"> </v>
      </c>
      <c r="Q112" s="31" t="str">
        <f t="shared" si="11"/>
        <v xml:space="preserve"> </v>
      </c>
      <c r="R112" s="32" t="str">
        <f t="shared" si="12"/>
        <v xml:space="preserve"> </v>
      </c>
      <c r="S112" s="33" t="str">
        <f t="shared" si="13"/>
        <v xml:space="preserve"> </v>
      </c>
      <c r="T112" s="34" t="str">
        <f t="shared" si="14"/>
        <v xml:space="preserve"> </v>
      </c>
      <c r="U112" s="32" t="str">
        <f t="shared" si="15"/>
        <v/>
      </c>
      <c r="V112" s="32" t="str">
        <f t="shared" si="16"/>
        <v/>
      </c>
      <c r="W112" s="126"/>
    </row>
    <row r="113" spans="1:23" ht="18" customHeight="1">
      <c r="A113" s="30"/>
      <c r="B113" s="75" t="s">
        <v>179</v>
      </c>
      <c r="C113" s="76" t="s">
        <v>45</v>
      </c>
      <c r="D113" s="77">
        <v>8.1219999999999999</v>
      </c>
      <c r="E113" s="77">
        <v>0.03</v>
      </c>
      <c r="F113" s="77">
        <v>-0.03</v>
      </c>
      <c r="G113" s="115">
        <v>8.1474999999999991</v>
      </c>
      <c r="H113" s="115">
        <v>8.0965000000000007</v>
      </c>
      <c r="I113" s="115"/>
      <c r="J113" s="115"/>
      <c r="K113" s="76" t="s">
        <v>46</v>
      </c>
      <c r="L113" s="91"/>
      <c r="M113" s="91"/>
      <c r="N113" s="91"/>
      <c r="O113" s="31" t="str">
        <f t="shared" si="9"/>
        <v xml:space="preserve"> </v>
      </c>
      <c r="P113" s="31" t="str">
        <f t="shared" si="10"/>
        <v xml:space="preserve"> </v>
      </c>
      <c r="Q113" s="31" t="str">
        <f t="shared" si="11"/>
        <v xml:space="preserve"> </v>
      </c>
      <c r="R113" s="32" t="str">
        <f t="shared" si="12"/>
        <v xml:space="preserve"> </v>
      </c>
      <c r="S113" s="33" t="str">
        <f t="shared" si="13"/>
        <v xml:space="preserve"> </v>
      </c>
      <c r="T113" s="34" t="str">
        <f t="shared" si="14"/>
        <v xml:space="preserve"> </v>
      </c>
      <c r="U113" s="32" t="str">
        <f t="shared" si="15"/>
        <v/>
      </c>
      <c r="V113" s="32" t="str">
        <f t="shared" si="16"/>
        <v/>
      </c>
      <c r="W113" s="126"/>
    </row>
    <row r="114" spans="1:23" ht="18" customHeight="1">
      <c r="A114" s="30"/>
      <c r="B114" s="75" t="s">
        <v>180</v>
      </c>
      <c r="C114" s="76" t="s">
        <v>45</v>
      </c>
      <c r="D114" s="77">
        <v>2.2429999999999999</v>
      </c>
      <c r="E114" s="77">
        <v>0.03</v>
      </c>
      <c r="F114" s="77">
        <v>-0.03</v>
      </c>
      <c r="G114" s="115">
        <v>2.2685</v>
      </c>
      <c r="H114" s="115">
        <v>2.2174999999999998</v>
      </c>
      <c r="I114" s="115"/>
      <c r="J114" s="115"/>
      <c r="K114" s="76" t="s">
        <v>46</v>
      </c>
      <c r="L114" s="91"/>
      <c r="M114" s="91"/>
      <c r="N114" s="91"/>
      <c r="O114" s="31" t="str">
        <f t="shared" si="9"/>
        <v xml:space="preserve"> </v>
      </c>
      <c r="P114" s="31" t="str">
        <f t="shared" si="10"/>
        <v xml:space="preserve"> </v>
      </c>
      <c r="Q114" s="31" t="str">
        <f t="shared" si="11"/>
        <v xml:space="preserve"> </v>
      </c>
      <c r="R114" s="32" t="str">
        <f t="shared" si="12"/>
        <v xml:space="preserve"> </v>
      </c>
      <c r="S114" s="33" t="str">
        <f t="shared" si="13"/>
        <v xml:space="preserve"> </v>
      </c>
      <c r="T114" s="34" t="str">
        <f t="shared" si="14"/>
        <v xml:space="preserve"> </v>
      </c>
      <c r="U114" s="32" t="str">
        <f t="shared" si="15"/>
        <v/>
      </c>
      <c r="V114" s="32" t="str">
        <f t="shared" si="16"/>
        <v/>
      </c>
      <c r="W114" s="126"/>
    </row>
    <row r="115" spans="1:23" ht="18" customHeight="1">
      <c r="A115" s="30"/>
      <c r="B115" s="75" t="s">
        <v>181</v>
      </c>
      <c r="C115" s="76" t="s">
        <v>45</v>
      </c>
      <c r="D115" s="77">
        <v>2.2429999999999999</v>
      </c>
      <c r="E115" s="77">
        <v>0.03</v>
      </c>
      <c r="F115" s="77">
        <v>-0.03</v>
      </c>
      <c r="G115" s="115">
        <v>2.2685</v>
      </c>
      <c r="H115" s="115">
        <v>2.2174999999999998</v>
      </c>
      <c r="I115" s="115"/>
      <c r="J115" s="115"/>
      <c r="K115" s="76" t="s">
        <v>46</v>
      </c>
      <c r="L115" s="91"/>
      <c r="M115" s="91"/>
      <c r="N115" s="91"/>
      <c r="O115" s="31" t="str">
        <f t="shared" si="9"/>
        <v xml:space="preserve"> </v>
      </c>
      <c r="P115" s="31" t="str">
        <f t="shared" si="10"/>
        <v xml:space="preserve"> </v>
      </c>
      <c r="Q115" s="31" t="str">
        <f t="shared" si="11"/>
        <v xml:space="preserve"> </v>
      </c>
      <c r="R115" s="32" t="str">
        <f t="shared" si="12"/>
        <v xml:space="preserve"> </v>
      </c>
      <c r="S115" s="33" t="str">
        <f t="shared" si="13"/>
        <v xml:space="preserve"> </v>
      </c>
      <c r="T115" s="34" t="str">
        <f t="shared" si="14"/>
        <v xml:space="preserve"> </v>
      </c>
      <c r="U115" s="32" t="str">
        <f t="shared" si="15"/>
        <v/>
      </c>
      <c r="V115" s="32" t="str">
        <f t="shared" si="16"/>
        <v/>
      </c>
      <c r="W115" s="126"/>
    </row>
    <row r="116" spans="1:23" ht="18" customHeight="1">
      <c r="A116" s="30"/>
      <c r="B116" s="75">
        <v>76</v>
      </c>
      <c r="C116" s="76" t="s">
        <v>45</v>
      </c>
      <c r="D116" s="77">
        <v>3.5779999999999998</v>
      </c>
      <c r="E116" s="77">
        <v>0.03</v>
      </c>
      <c r="F116" s="77">
        <v>-0.03</v>
      </c>
      <c r="G116" s="115">
        <v>3.6034999999999999</v>
      </c>
      <c r="H116" s="115">
        <v>3.5524999999999998</v>
      </c>
      <c r="I116" s="115"/>
      <c r="J116" s="115"/>
      <c r="K116" s="76" t="s">
        <v>46</v>
      </c>
      <c r="L116" s="91"/>
      <c r="M116" s="91"/>
      <c r="N116" s="91"/>
      <c r="O116" s="31" t="str">
        <f t="shared" si="9"/>
        <v xml:space="preserve"> </v>
      </c>
      <c r="P116" s="31" t="str">
        <f t="shared" si="10"/>
        <v xml:space="preserve"> </v>
      </c>
      <c r="Q116" s="31" t="str">
        <f t="shared" si="11"/>
        <v xml:space="preserve"> </v>
      </c>
      <c r="R116" s="32" t="str">
        <f t="shared" si="12"/>
        <v xml:space="preserve"> </v>
      </c>
      <c r="S116" s="33" t="str">
        <f t="shared" si="13"/>
        <v xml:space="preserve"> </v>
      </c>
      <c r="T116" s="34" t="str">
        <f t="shared" si="14"/>
        <v xml:space="preserve"> </v>
      </c>
      <c r="U116" s="32" t="str">
        <f t="shared" si="15"/>
        <v/>
      </c>
      <c r="V116" s="32" t="str">
        <f t="shared" si="16"/>
        <v/>
      </c>
      <c r="W116" s="126"/>
    </row>
    <row r="117" spans="1:23" ht="18" customHeight="1">
      <c r="A117" s="30"/>
      <c r="B117" s="75" t="s">
        <v>182</v>
      </c>
      <c r="C117" s="76" t="s">
        <v>45</v>
      </c>
      <c r="D117" s="77">
        <v>16.434000000000001</v>
      </c>
      <c r="E117" s="77">
        <v>0.03</v>
      </c>
      <c r="F117" s="77">
        <v>-0.03</v>
      </c>
      <c r="G117" s="115">
        <v>16.459500000000002</v>
      </c>
      <c r="H117" s="115">
        <v>16.4085</v>
      </c>
      <c r="I117" s="115"/>
      <c r="J117" s="115"/>
      <c r="K117" s="76" t="s">
        <v>46</v>
      </c>
      <c r="L117" s="91"/>
      <c r="M117" s="91"/>
      <c r="N117" s="91"/>
      <c r="O117" s="31" t="str">
        <f t="shared" si="9"/>
        <v xml:space="preserve"> </v>
      </c>
      <c r="P117" s="31" t="str">
        <f t="shared" si="10"/>
        <v xml:space="preserve"> </v>
      </c>
      <c r="Q117" s="31" t="str">
        <f t="shared" si="11"/>
        <v xml:space="preserve"> </v>
      </c>
      <c r="R117" s="32" t="str">
        <f t="shared" si="12"/>
        <v xml:space="preserve"> </v>
      </c>
      <c r="S117" s="33" t="str">
        <f t="shared" si="13"/>
        <v xml:space="preserve"> </v>
      </c>
      <c r="T117" s="34" t="str">
        <f t="shared" si="14"/>
        <v xml:space="preserve"> </v>
      </c>
      <c r="U117" s="32" t="str">
        <f t="shared" si="15"/>
        <v/>
      </c>
      <c r="V117" s="32" t="str">
        <f t="shared" si="16"/>
        <v/>
      </c>
      <c r="W117" s="126"/>
    </row>
    <row r="118" spans="1:23" ht="18" customHeight="1">
      <c r="A118" s="30"/>
      <c r="B118" s="93" t="s">
        <v>263</v>
      </c>
      <c r="C118" s="76" t="s">
        <v>45</v>
      </c>
      <c r="D118" s="77">
        <v>24.367000000000001</v>
      </c>
      <c r="E118" s="77">
        <v>0.03</v>
      </c>
      <c r="F118" s="77">
        <v>-0.05</v>
      </c>
      <c r="G118" s="115">
        <v>24.392500000000002</v>
      </c>
      <c r="H118" s="115">
        <v>24.3245</v>
      </c>
      <c r="I118" s="115"/>
      <c r="J118" s="115"/>
      <c r="K118" s="76" t="s">
        <v>46</v>
      </c>
      <c r="L118" s="91"/>
      <c r="M118" s="91"/>
      <c r="N118" s="91"/>
      <c r="O118" s="31" t="str">
        <f t="shared" si="9"/>
        <v xml:space="preserve"> </v>
      </c>
      <c r="P118" s="31" t="str">
        <f t="shared" si="10"/>
        <v xml:space="preserve"> </v>
      </c>
      <c r="Q118" s="31" t="str">
        <f t="shared" si="11"/>
        <v xml:space="preserve"> </v>
      </c>
      <c r="R118" s="32" t="str">
        <f t="shared" si="12"/>
        <v xml:space="preserve"> </v>
      </c>
      <c r="S118" s="33" t="str">
        <f t="shared" si="13"/>
        <v xml:space="preserve"> </v>
      </c>
      <c r="T118" s="34" t="str">
        <f t="shared" si="14"/>
        <v xml:space="preserve"> </v>
      </c>
      <c r="U118" s="32" t="str">
        <f t="shared" si="15"/>
        <v/>
      </c>
      <c r="V118" s="32" t="str">
        <f t="shared" si="16"/>
        <v/>
      </c>
      <c r="W118" s="126"/>
    </row>
    <row r="119" spans="1:23" ht="18" customHeight="1">
      <c r="A119" s="30"/>
      <c r="B119" s="93" t="s">
        <v>262</v>
      </c>
      <c r="C119" s="76" t="s">
        <v>45</v>
      </c>
      <c r="D119" s="77">
        <v>24.367000000000001</v>
      </c>
      <c r="E119" s="77">
        <v>0.03</v>
      </c>
      <c r="F119" s="77">
        <v>-0.05</v>
      </c>
      <c r="G119" s="115">
        <v>24.392500000000002</v>
      </c>
      <c r="H119" s="115">
        <v>24.3245</v>
      </c>
      <c r="I119" s="115"/>
      <c r="J119" s="115"/>
      <c r="K119" s="76" t="s">
        <v>46</v>
      </c>
      <c r="L119" s="91"/>
      <c r="M119" s="91"/>
      <c r="N119" s="91"/>
      <c r="O119" s="31" t="str">
        <f t="shared" si="9"/>
        <v xml:space="preserve"> </v>
      </c>
      <c r="P119" s="31" t="str">
        <f t="shared" si="10"/>
        <v xml:space="preserve"> </v>
      </c>
      <c r="Q119" s="31" t="str">
        <f t="shared" si="11"/>
        <v xml:space="preserve"> </v>
      </c>
      <c r="R119" s="32" t="str">
        <f t="shared" si="12"/>
        <v xml:space="preserve"> </v>
      </c>
      <c r="S119" s="33" t="str">
        <f t="shared" si="13"/>
        <v xml:space="preserve"> </v>
      </c>
      <c r="T119" s="34" t="str">
        <f t="shared" si="14"/>
        <v xml:space="preserve"> </v>
      </c>
      <c r="U119" s="32" t="str">
        <f t="shared" si="15"/>
        <v/>
      </c>
      <c r="V119" s="32" t="str">
        <f t="shared" si="16"/>
        <v/>
      </c>
      <c r="W119" s="126"/>
    </row>
    <row r="120" spans="1:23" ht="18" customHeight="1">
      <c r="A120" s="30"/>
      <c r="B120" s="75" t="s">
        <v>183</v>
      </c>
      <c r="C120" s="76" t="s">
        <v>45</v>
      </c>
      <c r="D120" s="77">
        <v>4.5609999999999999</v>
      </c>
      <c r="E120" s="77">
        <v>0.03</v>
      </c>
      <c r="F120" s="77">
        <v>-0.03</v>
      </c>
      <c r="G120" s="115">
        <v>4.5865</v>
      </c>
      <c r="H120" s="115">
        <v>4.5354999999999999</v>
      </c>
      <c r="I120" s="115"/>
      <c r="J120" s="115"/>
      <c r="K120" s="76" t="s">
        <v>46</v>
      </c>
      <c r="L120" s="91"/>
      <c r="M120" s="91"/>
      <c r="N120" s="91"/>
      <c r="O120" s="31" t="str">
        <f t="shared" si="9"/>
        <v xml:space="preserve"> </v>
      </c>
      <c r="P120" s="31" t="str">
        <f t="shared" si="10"/>
        <v xml:space="preserve"> </v>
      </c>
      <c r="Q120" s="31" t="str">
        <f t="shared" si="11"/>
        <v xml:space="preserve"> </v>
      </c>
      <c r="R120" s="32" t="str">
        <f t="shared" si="12"/>
        <v xml:space="preserve"> </v>
      </c>
      <c r="S120" s="33" t="str">
        <f t="shared" si="13"/>
        <v xml:space="preserve"> </v>
      </c>
      <c r="T120" s="34" t="str">
        <f t="shared" si="14"/>
        <v xml:space="preserve"> </v>
      </c>
      <c r="U120" s="32" t="str">
        <f t="shared" si="15"/>
        <v/>
      </c>
      <c r="V120" s="32" t="str">
        <f t="shared" si="16"/>
        <v/>
      </c>
      <c r="W120" s="126"/>
    </row>
    <row r="121" spans="1:23" ht="18" customHeight="1">
      <c r="A121" s="30"/>
      <c r="B121" s="75" t="s">
        <v>184</v>
      </c>
      <c r="C121" s="76" t="s">
        <v>45</v>
      </c>
      <c r="D121" s="77">
        <v>4.5609999999999999</v>
      </c>
      <c r="E121" s="77">
        <v>0.03</v>
      </c>
      <c r="F121" s="77">
        <v>-0.03</v>
      </c>
      <c r="G121" s="115">
        <v>4.5865</v>
      </c>
      <c r="H121" s="115">
        <v>4.5354999999999999</v>
      </c>
      <c r="I121" s="115"/>
      <c r="J121" s="115"/>
      <c r="K121" s="76" t="s">
        <v>46</v>
      </c>
      <c r="L121" s="91"/>
      <c r="M121" s="91"/>
      <c r="N121" s="91"/>
      <c r="O121" s="31" t="str">
        <f t="shared" si="9"/>
        <v xml:space="preserve"> </v>
      </c>
      <c r="P121" s="31" t="str">
        <f t="shared" si="10"/>
        <v xml:space="preserve"> </v>
      </c>
      <c r="Q121" s="31" t="str">
        <f t="shared" si="11"/>
        <v xml:space="preserve"> </v>
      </c>
      <c r="R121" s="32" t="str">
        <f t="shared" si="12"/>
        <v xml:space="preserve"> </v>
      </c>
      <c r="S121" s="33" t="str">
        <f t="shared" si="13"/>
        <v xml:space="preserve"> </v>
      </c>
      <c r="T121" s="34" t="str">
        <f t="shared" si="14"/>
        <v xml:space="preserve"> </v>
      </c>
      <c r="U121" s="32" t="str">
        <f t="shared" si="15"/>
        <v/>
      </c>
      <c r="V121" s="32" t="str">
        <f t="shared" si="16"/>
        <v/>
      </c>
      <c r="W121" s="126"/>
    </row>
    <row r="122" spans="1:23" ht="18" customHeight="1">
      <c r="A122" s="30"/>
      <c r="B122" s="75" t="s">
        <v>185</v>
      </c>
      <c r="C122" s="76" t="s">
        <v>45</v>
      </c>
      <c r="D122" s="77">
        <v>4.5609999999999999</v>
      </c>
      <c r="E122" s="77">
        <v>0.03</v>
      </c>
      <c r="F122" s="77">
        <v>-0.03</v>
      </c>
      <c r="G122" s="115">
        <v>4.5865</v>
      </c>
      <c r="H122" s="115">
        <v>4.5354999999999999</v>
      </c>
      <c r="I122" s="115"/>
      <c r="J122" s="115"/>
      <c r="K122" s="76" t="s">
        <v>46</v>
      </c>
      <c r="L122" s="91"/>
      <c r="M122" s="91"/>
      <c r="N122" s="91"/>
      <c r="O122" s="31" t="str">
        <f t="shared" si="9"/>
        <v xml:space="preserve"> </v>
      </c>
      <c r="P122" s="31" t="str">
        <f t="shared" si="10"/>
        <v xml:space="preserve"> </v>
      </c>
      <c r="Q122" s="31" t="str">
        <f t="shared" si="11"/>
        <v xml:space="preserve"> </v>
      </c>
      <c r="R122" s="32" t="str">
        <f t="shared" si="12"/>
        <v xml:space="preserve"> </v>
      </c>
      <c r="S122" s="33" t="str">
        <f t="shared" si="13"/>
        <v xml:space="preserve"> </v>
      </c>
      <c r="T122" s="34" t="str">
        <f t="shared" si="14"/>
        <v xml:space="preserve"> </v>
      </c>
      <c r="U122" s="32" t="str">
        <f t="shared" si="15"/>
        <v/>
      </c>
      <c r="V122" s="32" t="str">
        <f t="shared" si="16"/>
        <v/>
      </c>
      <c r="W122" s="126"/>
    </row>
    <row r="123" spans="1:23" ht="18" customHeight="1">
      <c r="A123" s="30"/>
      <c r="B123" s="75" t="s">
        <v>186</v>
      </c>
      <c r="C123" s="76" t="s">
        <v>45</v>
      </c>
      <c r="D123" s="77">
        <v>4.5609999999999999</v>
      </c>
      <c r="E123" s="77">
        <v>0.03</v>
      </c>
      <c r="F123" s="77">
        <v>-0.03</v>
      </c>
      <c r="G123" s="115">
        <v>4.5865</v>
      </c>
      <c r="H123" s="115">
        <v>4.5354999999999999</v>
      </c>
      <c r="I123" s="115"/>
      <c r="J123" s="115"/>
      <c r="K123" s="76" t="s">
        <v>46</v>
      </c>
      <c r="L123" s="91"/>
      <c r="M123" s="91"/>
      <c r="N123" s="91"/>
      <c r="O123" s="31" t="str">
        <f t="shared" si="9"/>
        <v xml:space="preserve"> </v>
      </c>
      <c r="P123" s="31" t="str">
        <f t="shared" si="10"/>
        <v xml:space="preserve"> </v>
      </c>
      <c r="Q123" s="31" t="str">
        <f t="shared" si="11"/>
        <v xml:space="preserve"> </v>
      </c>
      <c r="R123" s="32" t="str">
        <f t="shared" si="12"/>
        <v xml:space="preserve"> </v>
      </c>
      <c r="S123" s="33" t="str">
        <f t="shared" si="13"/>
        <v xml:space="preserve"> </v>
      </c>
      <c r="T123" s="34" t="str">
        <f t="shared" si="14"/>
        <v xml:space="preserve"> </v>
      </c>
      <c r="U123" s="32" t="str">
        <f t="shared" si="15"/>
        <v/>
      </c>
      <c r="V123" s="32" t="str">
        <f t="shared" si="16"/>
        <v/>
      </c>
      <c r="W123" s="126"/>
    </row>
    <row r="124" spans="1:23" ht="18" customHeight="1">
      <c r="A124" s="30"/>
      <c r="B124" s="75" t="s">
        <v>187</v>
      </c>
      <c r="C124" s="76" t="s">
        <v>45</v>
      </c>
      <c r="D124" s="77">
        <v>4.5609999999999999</v>
      </c>
      <c r="E124" s="77">
        <v>0.03</v>
      </c>
      <c r="F124" s="77">
        <v>-0.03</v>
      </c>
      <c r="G124" s="115">
        <v>4.5865</v>
      </c>
      <c r="H124" s="115">
        <v>4.5354999999999999</v>
      </c>
      <c r="I124" s="115"/>
      <c r="J124" s="115"/>
      <c r="K124" s="76" t="s">
        <v>46</v>
      </c>
      <c r="L124" s="91"/>
      <c r="M124" s="91"/>
      <c r="N124" s="91"/>
      <c r="O124" s="31" t="str">
        <f t="shared" si="9"/>
        <v xml:space="preserve"> </v>
      </c>
      <c r="P124" s="31" t="str">
        <f t="shared" si="10"/>
        <v xml:space="preserve"> </v>
      </c>
      <c r="Q124" s="31" t="str">
        <f t="shared" si="11"/>
        <v xml:space="preserve"> </v>
      </c>
      <c r="R124" s="32" t="str">
        <f t="shared" si="12"/>
        <v xml:space="preserve"> </v>
      </c>
      <c r="S124" s="33" t="str">
        <f t="shared" si="13"/>
        <v xml:space="preserve"> </v>
      </c>
      <c r="T124" s="34" t="str">
        <f t="shared" si="14"/>
        <v xml:space="preserve"> </v>
      </c>
      <c r="U124" s="32" t="str">
        <f t="shared" si="15"/>
        <v/>
      </c>
      <c r="V124" s="32" t="str">
        <f t="shared" si="16"/>
        <v/>
      </c>
      <c r="W124" s="126"/>
    </row>
    <row r="125" spans="1:23" ht="18" customHeight="1">
      <c r="A125" s="30"/>
      <c r="B125" s="75" t="s">
        <v>188</v>
      </c>
      <c r="C125" s="76" t="s">
        <v>45</v>
      </c>
      <c r="D125" s="77">
        <v>4.5609999999999999</v>
      </c>
      <c r="E125" s="77">
        <v>0.03</v>
      </c>
      <c r="F125" s="77">
        <v>-0.03</v>
      </c>
      <c r="G125" s="115">
        <v>4.5865</v>
      </c>
      <c r="H125" s="115">
        <v>4.5354999999999999</v>
      </c>
      <c r="I125" s="115"/>
      <c r="J125" s="115"/>
      <c r="K125" s="76" t="s">
        <v>46</v>
      </c>
      <c r="L125" s="91"/>
      <c r="M125" s="91"/>
      <c r="N125" s="91"/>
      <c r="O125" s="31" t="str">
        <f t="shared" si="9"/>
        <v xml:space="preserve"> </v>
      </c>
      <c r="P125" s="31" t="str">
        <f t="shared" si="10"/>
        <v xml:space="preserve"> </v>
      </c>
      <c r="Q125" s="31" t="str">
        <f t="shared" si="11"/>
        <v xml:space="preserve"> </v>
      </c>
      <c r="R125" s="32" t="str">
        <f t="shared" si="12"/>
        <v xml:space="preserve"> </v>
      </c>
      <c r="S125" s="33" t="str">
        <f t="shared" si="13"/>
        <v xml:space="preserve"> </v>
      </c>
      <c r="T125" s="34" t="str">
        <f t="shared" si="14"/>
        <v xml:space="preserve"> </v>
      </c>
      <c r="U125" s="32" t="str">
        <f t="shared" si="15"/>
        <v/>
      </c>
      <c r="V125" s="32" t="str">
        <f t="shared" si="16"/>
        <v/>
      </c>
      <c r="W125" s="126"/>
    </row>
    <row r="126" spans="1:23" ht="18" customHeight="1">
      <c r="A126" s="30"/>
      <c r="B126" s="75" t="s">
        <v>189</v>
      </c>
      <c r="C126" s="76" t="s">
        <v>229</v>
      </c>
      <c r="D126" s="77"/>
      <c r="E126" s="77">
        <v>0.05</v>
      </c>
      <c r="F126" s="77"/>
      <c r="G126" s="115">
        <v>4.2500000000000003E-2</v>
      </c>
      <c r="H126" s="115">
        <v>0</v>
      </c>
      <c r="I126" s="115"/>
      <c r="J126" s="115"/>
      <c r="K126" s="76" t="s">
        <v>46</v>
      </c>
      <c r="L126" s="91"/>
      <c r="M126" s="91"/>
      <c r="N126" s="91"/>
      <c r="O126" s="31" t="str">
        <f t="shared" si="9"/>
        <v xml:space="preserve"> </v>
      </c>
      <c r="P126" s="31" t="str">
        <f t="shared" si="10"/>
        <v xml:space="preserve"> </v>
      </c>
      <c r="Q126" s="31" t="str">
        <f t="shared" si="11"/>
        <v xml:space="preserve"> </v>
      </c>
      <c r="R126" s="32" t="str">
        <f t="shared" si="12"/>
        <v xml:space="preserve"> </v>
      </c>
      <c r="S126" s="33" t="str">
        <f t="shared" si="13"/>
        <v xml:space="preserve"> </v>
      </c>
      <c r="T126" s="34" t="str">
        <f t="shared" si="14"/>
        <v xml:space="preserve"> </v>
      </c>
      <c r="U126" s="32" t="str">
        <f t="shared" si="15"/>
        <v/>
      </c>
      <c r="V126" s="32" t="str">
        <f t="shared" si="16"/>
        <v/>
      </c>
      <c r="W126" s="126"/>
    </row>
    <row r="127" spans="1:23" ht="18" customHeight="1">
      <c r="A127" s="30"/>
      <c r="B127" s="75" t="s">
        <v>190</v>
      </c>
      <c r="C127" s="76" t="s">
        <v>45</v>
      </c>
      <c r="D127" s="77">
        <v>2.9279999999999999</v>
      </c>
      <c r="E127" s="77">
        <v>0.02</v>
      </c>
      <c r="F127" s="77">
        <v>-0.02</v>
      </c>
      <c r="G127" s="115">
        <v>2.9449999999999998</v>
      </c>
      <c r="H127" s="115">
        <v>2.911</v>
      </c>
      <c r="I127" s="115"/>
      <c r="J127" s="115"/>
      <c r="K127" s="76" t="s">
        <v>46</v>
      </c>
      <c r="L127" s="91"/>
      <c r="M127" s="91"/>
      <c r="N127" s="91"/>
      <c r="O127" s="31" t="str">
        <f t="shared" si="9"/>
        <v xml:space="preserve"> </v>
      </c>
      <c r="P127" s="31" t="str">
        <f t="shared" si="10"/>
        <v xml:space="preserve"> </v>
      </c>
      <c r="Q127" s="31" t="str">
        <f t="shared" si="11"/>
        <v xml:space="preserve"> </v>
      </c>
      <c r="R127" s="32" t="str">
        <f t="shared" si="12"/>
        <v xml:space="preserve"> </v>
      </c>
      <c r="S127" s="33" t="str">
        <f t="shared" si="13"/>
        <v xml:space="preserve"> </v>
      </c>
      <c r="T127" s="34" t="str">
        <f t="shared" si="14"/>
        <v xml:space="preserve"> </v>
      </c>
      <c r="U127" s="32" t="str">
        <f t="shared" si="15"/>
        <v/>
      </c>
      <c r="V127" s="32" t="str">
        <f t="shared" si="16"/>
        <v/>
      </c>
      <c r="W127" s="126"/>
    </row>
    <row r="128" spans="1:23" ht="18" customHeight="1">
      <c r="A128" s="30"/>
      <c r="B128" s="75" t="s">
        <v>191</v>
      </c>
      <c r="C128" s="76" t="s">
        <v>45</v>
      </c>
      <c r="D128" s="77">
        <v>2.9279999999999999</v>
      </c>
      <c r="E128" s="77">
        <v>0.02</v>
      </c>
      <c r="F128" s="77">
        <v>-0.02</v>
      </c>
      <c r="G128" s="115">
        <v>2.9449999999999998</v>
      </c>
      <c r="H128" s="115">
        <v>2.911</v>
      </c>
      <c r="I128" s="115"/>
      <c r="J128" s="115"/>
      <c r="K128" s="76" t="s">
        <v>46</v>
      </c>
      <c r="L128" s="91"/>
      <c r="M128" s="91"/>
      <c r="N128" s="91"/>
      <c r="O128" s="31" t="str">
        <f t="shared" si="9"/>
        <v xml:space="preserve"> </v>
      </c>
      <c r="P128" s="31" t="str">
        <f t="shared" si="10"/>
        <v xml:space="preserve"> </v>
      </c>
      <c r="Q128" s="31" t="str">
        <f t="shared" si="11"/>
        <v xml:space="preserve"> </v>
      </c>
      <c r="R128" s="32" t="str">
        <f t="shared" si="12"/>
        <v xml:space="preserve"> </v>
      </c>
      <c r="S128" s="33" t="str">
        <f t="shared" si="13"/>
        <v xml:space="preserve"> </v>
      </c>
      <c r="T128" s="34" t="str">
        <f t="shared" si="14"/>
        <v xml:space="preserve"> </v>
      </c>
      <c r="U128" s="32" t="str">
        <f t="shared" si="15"/>
        <v/>
      </c>
      <c r="V128" s="32" t="str">
        <f t="shared" si="16"/>
        <v/>
      </c>
      <c r="W128" s="126"/>
    </row>
    <row r="129" spans="1:23" ht="18" customHeight="1">
      <c r="A129" s="30"/>
      <c r="B129" s="75" t="s">
        <v>192</v>
      </c>
      <c r="C129" s="76" t="s">
        <v>45</v>
      </c>
      <c r="D129" s="77">
        <v>2.9279999999999999</v>
      </c>
      <c r="E129" s="77">
        <v>0.02</v>
      </c>
      <c r="F129" s="77">
        <v>-0.02</v>
      </c>
      <c r="G129" s="115">
        <v>2.9449999999999998</v>
      </c>
      <c r="H129" s="115">
        <v>2.911</v>
      </c>
      <c r="I129" s="115"/>
      <c r="J129" s="115"/>
      <c r="K129" s="76" t="s">
        <v>46</v>
      </c>
      <c r="L129" s="91"/>
      <c r="M129" s="91"/>
      <c r="N129" s="91"/>
      <c r="O129" s="31" t="str">
        <f t="shared" si="9"/>
        <v xml:space="preserve"> </v>
      </c>
      <c r="P129" s="31" t="str">
        <f t="shared" si="10"/>
        <v xml:space="preserve"> </v>
      </c>
      <c r="Q129" s="31" t="str">
        <f t="shared" si="11"/>
        <v xml:space="preserve"> </v>
      </c>
      <c r="R129" s="32" t="str">
        <f t="shared" si="12"/>
        <v xml:space="preserve"> </v>
      </c>
      <c r="S129" s="33" t="str">
        <f t="shared" si="13"/>
        <v xml:space="preserve"> </v>
      </c>
      <c r="T129" s="34" t="str">
        <f t="shared" si="14"/>
        <v xml:space="preserve"> </v>
      </c>
      <c r="U129" s="32" t="str">
        <f t="shared" si="15"/>
        <v/>
      </c>
      <c r="V129" s="32" t="str">
        <f t="shared" si="16"/>
        <v/>
      </c>
      <c r="W129" s="126"/>
    </row>
    <row r="130" spans="1:23" ht="18" customHeight="1">
      <c r="A130" s="30"/>
      <c r="B130" s="75" t="s">
        <v>193</v>
      </c>
      <c r="C130" s="76" t="s">
        <v>45</v>
      </c>
      <c r="D130" s="77">
        <v>23.286000000000001</v>
      </c>
      <c r="E130" s="77">
        <v>0.03</v>
      </c>
      <c r="F130" s="77">
        <v>-0.03</v>
      </c>
      <c r="G130" s="115">
        <v>23.311500000000002</v>
      </c>
      <c r="H130" s="115">
        <v>23.2605</v>
      </c>
      <c r="I130" s="115"/>
      <c r="J130" s="115"/>
      <c r="K130" s="76" t="s">
        <v>46</v>
      </c>
      <c r="L130" s="91"/>
      <c r="M130" s="91"/>
      <c r="N130" s="91"/>
      <c r="O130" s="31" t="str">
        <f t="shared" si="9"/>
        <v xml:space="preserve"> </v>
      </c>
      <c r="P130" s="31" t="str">
        <f t="shared" si="10"/>
        <v xml:space="preserve"> </v>
      </c>
      <c r="Q130" s="31" t="str">
        <f t="shared" si="11"/>
        <v xml:space="preserve"> </v>
      </c>
      <c r="R130" s="32" t="str">
        <f t="shared" si="12"/>
        <v xml:space="preserve"> </v>
      </c>
      <c r="S130" s="33" t="str">
        <f t="shared" si="13"/>
        <v xml:space="preserve"> </v>
      </c>
      <c r="T130" s="34" t="str">
        <f t="shared" si="14"/>
        <v xml:space="preserve"> </v>
      </c>
      <c r="U130" s="32" t="str">
        <f t="shared" si="15"/>
        <v/>
      </c>
      <c r="V130" s="32" t="str">
        <f t="shared" si="16"/>
        <v/>
      </c>
      <c r="W130" s="126"/>
    </row>
    <row r="131" spans="1:23" ht="18" customHeight="1">
      <c r="A131" s="30"/>
      <c r="B131" s="75" t="s">
        <v>194</v>
      </c>
      <c r="C131" s="76" t="s">
        <v>45</v>
      </c>
      <c r="D131" s="77">
        <v>23.286000000000001</v>
      </c>
      <c r="E131" s="77">
        <v>0.03</v>
      </c>
      <c r="F131" s="77">
        <v>-0.03</v>
      </c>
      <c r="G131" s="115">
        <v>23.311500000000002</v>
      </c>
      <c r="H131" s="115">
        <v>23.2605</v>
      </c>
      <c r="I131" s="115"/>
      <c r="J131" s="115"/>
      <c r="K131" s="76" t="s">
        <v>46</v>
      </c>
      <c r="L131" s="91"/>
      <c r="M131" s="91"/>
      <c r="N131" s="91"/>
      <c r="O131" s="31" t="str">
        <f t="shared" si="9"/>
        <v xml:space="preserve"> </v>
      </c>
      <c r="P131" s="31" t="str">
        <f t="shared" si="10"/>
        <v xml:space="preserve"> </v>
      </c>
      <c r="Q131" s="31" t="str">
        <f t="shared" si="11"/>
        <v xml:space="preserve"> </v>
      </c>
      <c r="R131" s="32" t="str">
        <f t="shared" si="12"/>
        <v xml:space="preserve"> </v>
      </c>
      <c r="S131" s="33" t="str">
        <f t="shared" si="13"/>
        <v xml:space="preserve"> </v>
      </c>
      <c r="T131" s="34" t="str">
        <f t="shared" si="14"/>
        <v xml:space="preserve"> </v>
      </c>
      <c r="U131" s="32" t="str">
        <f t="shared" si="15"/>
        <v/>
      </c>
      <c r="V131" s="32" t="str">
        <f t="shared" si="16"/>
        <v/>
      </c>
      <c r="W131" s="126"/>
    </row>
    <row r="132" spans="1:23" ht="18" customHeight="1">
      <c r="A132" s="30"/>
      <c r="B132" s="94" t="s">
        <v>264</v>
      </c>
      <c r="C132" s="76" t="s">
        <v>45</v>
      </c>
      <c r="D132" s="77">
        <v>19.318999999999999</v>
      </c>
      <c r="E132" s="77">
        <v>0.03</v>
      </c>
      <c r="F132" s="77">
        <v>-0.03</v>
      </c>
      <c r="G132" s="115">
        <v>19.3445</v>
      </c>
      <c r="H132" s="115">
        <v>19.293499999999998</v>
      </c>
      <c r="I132" s="115"/>
      <c r="J132" s="115"/>
      <c r="K132" s="76" t="s">
        <v>46</v>
      </c>
      <c r="L132" s="91"/>
      <c r="M132" s="91"/>
      <c r="N132" s="91"/>
      <c r="O132" s="31" t="str">
        <f t="shared" si="9"/>
        <v xml:space="preserve"> </v>
      </c>
      <c r="P132" s="31" t="str">
        <f t="shared" si="10"/>
        <v xml:space="preserve"> </v>
      </c>
      <c r="Q132" s="31" t="str">
        <f t="shared" si="11"/>
        <v xml:space="preserve"> </v>
      </c>
      <c r="R132" s="32" t="str">
        <f t="shared" si="12"/>
        <v xml:space="preserve"> </v>
      </c>
      <c r="S132" s="33" t="str">
        <f t="shared" si="13"/>
        <v xml:space="preserve"> </v>
      </c>
      <c r="T132" s="34" t="str">
        <f t="shared" si="14"/>
        <v xml:space="preserve"> </v>
      </c>
      <c r="U132" s="32" t="str">
        <f t="shared" si="15"/>
        <v/>
      </c>
      <c r="V132" s="32" t="str">
        <f t="shared" si="16"/>
        <v/>
      </c>
      <c r="W132" s="126"/>
    </row>
    <row r="133" spans="1:23" ht="18" customHeight="1">
      <c r="A133" s="30"/>
      <c r="B133" s="93" t="s">
        <v>265</v>
      </c>
      <c r="C133" s="76" t="s">
        <v>45</v>
      </c>
      <c r="D133" s="77">
        <v>19.318999999999999</v>
      </c>
      <c r="E133" s="77">
        <v>0.03</v>
      </c>
      <c r="F133" s="77">
        <v>-0.03</v>
      </c>
      <c r="G133" s="115">
        <v>19.3445</v>
      </c>
      <c r="H133" s="115">
        <v>19.293499999999998</v>
      </c>
      <c r="I133" s="115"/>
      <c r="J133" s="115"/>
      <c r="K133" s="76" t="s">
        <v>46</v>
      </c>
      <c r="L133" s="91"/>
      <c r="M133" s="91"/>
      <c r="N133" s="91"/>
      <c r="O133" s="31" t="str">
        <f t="shared" si="9"/>
        <v xml:space="preserve"> </v>
      </c>
      <c r="P133" s="31" t="str">
        <f t="shared" si="10"/>
        <v xml:space="preserve"> </v>
      </c>
      <c r="Q133" s="31" t="str">
        <f t="shared" si="11"/>
        <v xml:space="preserve"> </v>
      </c>
      <c r="R133" s="32" t="str">
        <f t="shared" si="12"/>
        <v xml:space="preserve"> </v>
      </c>
      <c r="S133" s="33" t="str">
        <f t="shared" si="13"/>
        <v xml:space="preserve"> </v>
      </c>
      <c r="T133" s="34" t="str">
        <f t="shared" si="14"/>
        <v xml:space="preserve"> </v>
      </c>
      <c r="U133" s="32" t="str">
        <f t="shared" si="15"/>
        <v/>
      </c>
      <c r="V133" s="32" t="str">
        <f t="shared" si="16"/>
        <v/>
      </c>
      <c r="W133" s="126"/>
    </row>
    <row r="134" spans="1:23" ht="18" customHeight="1">
      <c r="A134" s="30"/>
      <c r="B134" s="75" t="s">
        <v>195</v>
      </c>
      <c r="C134" s="76" t="s">
        <v>45</v>
      </c>
      <c r="D134" s="77">
        <v>0.04</v>
      </c>
      <c r="E134" s="77">
        <v>0.04</v>
      </c>
      <c r="F134" s="77">
        <v>-0.04</v>
      </c>
      <c r="G134" s="115">
        <v>7.400000000000001E-2</v>
      </c>
      <c r="H134" s="115">
        <v>5.9999999999999984E-3</v>
      </c>
      <c r="I134" s="115"/>
      <c r="J134" s="115"/>
      <c r="K134" s="76" t="s">
        <v>46</v>
      </c>
      <c r="L134" s="91"/>
      <c r="M134" s="91"/>
      <c r="N134" s="91"/>
      <c r="O134" s="31" t="str">
        <f t="shared" ref="O134:O197" si="17">IF(ISERR(L134/L134)=TRUE," ",L134-$D134)</f>
        <v xml:space="preserve"> </v>
      </c>
      <c r="P134" s="31" t="str">
        <f t="shared" ref="P134:P197" si="18">IF(ISERR(M134/M134)=TRUE," ",M134-$D134)</f>
        <v xml:space="preserve"> </v>
      </c>
      <c r="Q134" s="31" t="str">
        <f t="shared" ref="Q134:Q197" si="19">IF(ISERR(N134/N134)=TRUE," ",N134-$D134)</f>
        <v xml:space="preserve"> </v>
      </c>
      <c r="R134" s="32" t="str">
        <f t="shared" ref="R134:R197" si="20">IF(ISERR(L134/L134)=TRUE," ",AVERAGE(L134:N134))</f>
        <v xml:space="preserve"> </v>
      </c>
      <c r="S134" s="33" t="str">
        <f t="shared" ref="S134:S197" si="21">IF(ISERR(E134/E134)=TRUE," ",IF(ISERR(L134/L134)=TRUE," ",IF(ISNUMBER($L134)=FALSE," ",IF(MAX($L134:$N134)&lt;$D134,0,(MAX($L134:$N134)-$D134)/$E134))))</f>
        <v xml:space="preserve"> </v>
      </c>
      <c r="T134" s="34" t="str">
        <f t="shared" ref="T134:T197" si="22">IF(ISERR(F134/D134)=TRUE," ",IF(ISERR(F134/F134)=TRUE," ",IF(ISERR(L134/L134)=TRUE," ",IF(ISNUMBER(L134)=FALSE," ",IF(MIN(L134:N134)&gt;$D134,0,($D134-MIN(L134:N134))/-F134)))))</f>
        <v xml:space="preserve"> </v>
      </c>
      <c r="U134" s="32" t="str">
        <f t="shared" si="15"/>
        <v/>
      </c>
      <c r="V134" s="32" t="str">
        <f t="shared" si="16"/>
        <v/>
      </c>
      <c r="W134" s="126"/>
    </row>
    <row r="135" spans="1:23" ht="18" customHeight="1">
      <c r="A135" s="30"/>
      <c r="B135" s="75" t="s">
        <v>196</v>
      </c>
      <c r="C135" s="76" t="s">
        <v>45</v>
      </c>
      <c r="D135" s="77">
        <v>0.04</v>
      </c>
      <c r="E135" s="77">
        <v>0.04</v>
      </c>
      <c r="F135" s="77">
        <v>-0.04</v>
      </c>
      <c r="G135" s="115">
        <v>7.400000000000001E-2</v>
      </c>
      <c r="H135" s="115">
        <v>5.9999999999999984E-3</v>
      </c>
      <c r="I135" s="115"/>
      <c r="J135" s="115"/>
      <c r="K135" s="76" t="s">
        <v>46</v>
      </c>
      <c r="L135" s="91"/>
      <c r="M135" s="91"/>
      <c r="N135" s="91"/>
      <c r="O135" s="31" t="str">
        <f t="shared" si="17"/>
        <v xml:space="preserve"> </v>
      </c>
      <c r="P135" s="31" t="str">
        <f t="shared" si="18"/>
        <v xml:space="preserve"> </v>
      </c>
      <c r="Q135" s="31" t="str">
        <f t="shared" si="19"/>
        <v xml:space="preserve"> </v>
      </c>
      <c r="R135" s="32" t="str">
        <f t="shared" si="20"/>
        <v xml:space="preserve"> </v>
      </c>
      <c r="S135" s="33" t="str">
        <f t="shared" si="21"/>
        <v xml:space="preserve"> </v>
      </c>
      <c r="T135" s="34" t="str">
        <f t="shared" si="22"/>
        <v xml:space="preserve"> </v>
      </c>
      <c r="U135" s="32" t="str">
        <f t="shared" si="15"/>
        <v/>
      </c>
      <c r="V135" s="32" t="str">
        <f t="shared" si="16"/>
        <v/>
      </c>
      <c r="W135" s="126"/>
    </row>
    <row r="136" spans="1:23" ht="18" customHeight="1">
      <c r="A136" s="30"/>
      <c r="B136" s="75" t="s">
        <v>197</v>
      </c>
      <c r="C136" s="76" t="s">
        <v>45</v>
      </c>
      <c r="D136" s="77">
        <v>0.04</v>
      </c>
      <c r="E136" s="77">
        <v>0.04</v>
      </c>
      <c r="F136" s="77">
        <v>-0.04</v>
      </c>
      <c r="G136" s="115">
        <v>7.400000000000001E-2</v>
      </c>
      <c r="H136" s="115">
        <v>5.9999999999999984E-3</v>
      </c>
      <c r="I136" s="115"/>
      <c r="J136" s="115"/>
      <c r="K136" s="76" t="s">
        <v>46</v>
      </c>
      <c r="L136" s="91"/>
      <c r="M136" s="91"/>
      <c r="N136" s="91"/>
      <c r="O136" s="31" t="str">
        <f t="shared" si="17"/>
        <v xml:space="preserve"> </v>
      </c>
      <c r="P136" s="31" t="str">
        <f t="shared" si="18"/>
        <v xml:space="preserve"> </v>
      </c>
      <c r="Q136" s="31" t="str">
        <f t="shared" si="19"/>
        <v xml:space="preserve"> </v>
      </c>
      <c r="R136" s="32" t="str">
        <f t="shared" si="20"/>
        <v xml:space="preserve"> </v>
      </c>
      <c r="S136" s="33" t="str">
        <f t="shared" si="21"/>
        <v xml:space="preserve"> </v>
      </c>
      <c r="T136" s="34" t="str">
        <f t="shared" si="22"/>
        <v xml:space="preserve"> </v>
      </c>
      <c r="U136" s="32" t="str">
        <f t="shared" ref="U136:U211" si="23">IF(ISNUMBER($S136)=TRUE,IF($S136&gt;0.651,IF($S136&gt;1.001,"Reject","Alert"),""),"")</f>
        <v/>
      </c>
      <c r="V136" s="32" t="str">
        <f t="shared" si="16"/>
        <v/>
      </c>
      <c r="W136" s="126"/>
    </row>
    <row r="137" spans="1:23" ht="18" customHeight="1">
      <c r="A137" s="30"/>
      <c r="B137" s="75" t="s">
        <v>198</v>
      </c>
      <c r="C137" s="76" t="s">
        <v>45</v>
      </c>
      <c r="D137" s="77">
        <v>0.04</v>
      </c>
      <c r="E137" s="77">
        <v>0.04</v>
      </c>
      <c r="F137" s="77">
        <v>-0.04</v>
      </c>
      <c r="G137" s="115">
        <v>7.400000000000001E-2</v>
      </c>
      <c r="H137" s="115">
        <v>5.9999999999999984E-3</v>
      </c>
      <c r="I137" s="115"/>
      <c r="J137" s="115"/>
      <c r="K137" s="76" t="s">
        <v>46</v>
      </c>
      <c r="L137" s="91"/>
      <c r="M137" s="91"/>
      <c r="N137" s="91"/>
      <c r="O137" s="31" t="str">
        <f t="shared" si="17"/>
        <v xml:space="preserve"> </v>
      </c>
      <c r="P137" s="31" t="str">
        <f t="shared" si="18"/>
        <v xml:space="preserve"> </v>
      </c>
      <c r="Q137" s="31" t="str">
        <f t="shared" si="19"/>
        <v xml:space="preserve"> </v>
      </c>
      <c r="R137" s="32" t="str">
        <f t="shared" si="20"/>
        <v xml:space="preserve"> </v>
      </c>
      <c r="S137" s="33" t="str">
        <f t="shared" si="21"/>
        <v xml:space="preserve"> </v>
      </c>
      <c r="T137" s="34" t="str">
        <f t="shared" si="22"/>
        <v xml:space="preserve"> </v>
      </c>
      <c r="U137" s="32" t="str">
        <f t="shared" si="23"/>
        <v/>
      </c>
      <c r="V137" s="32" t="str">
        <f t="shared" si="16"/>
        <v/>
      </c>
      <c r="W137" s="126"/>
    </row>
    <row r="138" spans="1:23" ht="18" customHeight="1">
      <c r="A138" s="30"/>
      <c r="B138" s="75" t="s">
        <v>199</v>
      </c>
      <c r="C138" s="76" t="s">
        <v>45</v>
      </c>
      <c r="D138" s="77">
        <v>0.04</v>
      </c>
      <c r="E138" s="77">
        <v>0.04</v>
      </c>
      <c r="F138" s="77">
        <v>-0.04</v>
      </c>
      <c r="G138" s="115">
        <v>7.400000000000001E-2</v>
      </c>
      <c r="H138" s="115">
        <v>5.9999999999999984E-3</v>
      </c>
      <c r="I138" s="115"/>
      <c r="J138" s="115"/>
      <c r="K138" s="76" t="s">
        <v>46</v>
      </c>
      <c r="L138" s="91"/>
      <c r="M138" s="91"/>
      <c r="N138" s="91"/>
      <c r="O138" s="31" t="str">
        <f t="shared" si="17"/>
        <v xml:space="preserve"> </v>
      </c>
      <c r="P138" s="31" t="str">
        <f t="shared" si="18"/>
        <v xml:space="preserve"> </v>
      </c>
      <c r="Q138" s="31" t="str">
        <f t="shared" si="19"/>
        <v xml:space="preserve"> </v>
      </c>
      <c r="R138" s="32" t="str">
        <f t="shared" si="20"/>
        <v xml:space="preserve"> </v>
      </c>
      <c r="S138" s="33" t="str">
        <f t="shared" si="21"/>
        <v xml:space="preserve"> </v>
      </c>
      <c r="T138" s="34" t="str">
        <f t="shared" si="22"/>
        <v xml:space="preserve"> </v>
      </c>
      <c r="U138" s="32" t="str">
        <f t="shared" si="23"/>
        <v/>
      </c>
      <c r="V138" s="32" t="str">
        <f t="shared" si="16"/>
        <v/>
      </c>
      <c r="W138" s="126"/>
    </row>
    <row r="139" spans="1:23" ht="18" customHeight="1">
      <c r="A139" s="30"/>
      <c r="B139" s="75" t="s">
        <v>200</v>
      </c>
      <c r="C139" s="76" t="s">
        <v>45</v>
      </c>
      <c r="D139" s="77">
        <v>0.04</v>
      </c>
      <c r="E139" s="77">
        <v>0.04</v>
      </c>
      <c r="F139" s="77">
        <v>-0.04</v>
      </c>
      <c r="G139" s="115">
        <v>7.400000000000001E-2</v>
      </c>
      <c r="H139" s="115">
        <v>5.9999999999999984E-3</v>
      </c>
      <c r="I139" s="115"/>
      <c r="J139" s="115"/>
      <c r="K139" s="76" t="s">
        <v>46</v>
      </c>
      <c r="L139" s="91"/>
      <c r="M139" s="91"/>
      <c r="N139" s="91"/>
      <c r="O139" s="31" t="str">
        <f t="shared" si="17"/>
        <v xml:space="preserve"> </v>
      </c>
      <c r="P139" s="31" t="str">
        <f t="shared" si="18"/>
        <v xml:space="preserve"> </v>
      </c>
      <c r="Q139" s="31" t="str">
        <f t="shared" si="19"/>
        <v xml:space="preserve"> </v>
      </c>
      <c r="R139" s="32" t="str">
        <f t="shared" si="20"/>
        <v xml:space="preserve"> </v>
      </c>
      <c r="S139" s="33" t="str">
        <f t="shared" si="21"/>
        <v xml:space="preserve"> </v>
      </c>
      <c r="T139" s="34" t="str">
        <f t="shared" si="22"/>
        <v xml:space="preserve"> </v>
      </c>
      <c r="U139" s="32" t="str">
        <f t="shared" si="23"/>
        <v/>
      </c>
      <c r="V139" s="32" t="str">
        <f t="shared" si="16"/>
        <v/>
      </c>
      <c r="W139" s="126"/>
    </row>
    <row r="140" spans="1:23" ht="18" customHeight="1">
      <c r="A140" s="30"/>
      <c r="B140" s="75" t="s">
        <v>266</v>
      </c>
      <c r="C140" s="76" t="s">
        <v>45</v>
      </c>
      <c r="D140" s="77">
        <v>0.04</v>
      </c>
      <c r="E140" s="77">
        <v>0.04</v>
      </c>
      <c r="F140" s="77">
        <v>-0.04</v>
      </c>
      <c r="G140" s="115">
        <v>7.400000000000001E-2</v>
      </c>
      <c r="H140" s="115">
        <v>5.9999999999999984E-3</v>
      </c>
      <c r="I140" s="115"/>
      <c r="J140" s="115"/>
      <c r="K140" s="76" t="s">
        <v>46</v>
      </c>
      <c r="L140" s="91"/>
      <c r="M140" s="91"/>
      <c r="N140" s="91"/>
      <c r="O140" s="31" t="str">
        <f t="shared" si="17"/>
        <v xml:space="preserve"> </v>
      </c>
      <c r="P140" s="31" t="str">
        <f t="shared" si="18"/>
        <v xml:space="preserve"> </v>
      </c>
      <c r="Q140" s="31" t="str">
        <f t="shared" si="19"/>
        <v xml:space="preserve"> </v>
      </c>
      <c r="R140" s="32" t="str">
        <f t="shared" si="20"/>
        <v xml:space="preserve"> </v>
      </c>
      <c r="S140" s="33" t="str">
        <f t="shared" si="21"/>
        <v xml:space="preserve"> </v>
      </c>
      <c r="T140" s="34" t="str">
        <f t="shared" si="22"/>
        <v xml:space="preserve"> </v>
      </c>
      <c r="U140" s="32" t="str">
        <f t="shared" si="23"/>
        <v/>
      </c>
      <c r="V140" s="32" t="str">
        <f t="shared" si="16"/>
        <v/>
      </c>
      <c r="W140" s="126"/>
    </row>
    <row r="141" spans="1:23" ht="18" customHeight="1">
      <c r="A141" s="30"/>
      <c r="B141" s="75" t="s">
        <v>267</v>
      </c>
      <c r="C141" s="76" t="s">
        <v>45</v>
      </c>
      <c r="D141" s="77">
        <v>0.04</v>
      </c>
      <c r="E141" s="77">
        <v>0.04</v>
      </c>
      <c r="F141" s="77">
        <v>-0.04</v>
      </c>
      <c r="G141" s="115">
        <v>7.400000000000001E-2</v>
      </c>
      <c r="H141" s="115">
        <v>5.9999999999999984E-3</v>
      </c>
      <c r="I141" s="115"/>
      <c r="J141" s="115"/>
      <c r="K141" s="76" t="s">
        <v>46</v>
      </c>
      <c r="L141" s="91"/>
      <c r="M141" s="91"/>
      <c r="N141" s="91"/>
      <c r="O141" s="31" t="str">
        <f t="shared" si="17"/>
        <v xml:space="preserve"> </v>
      </c>
      <c r="P141" s="31" t="str">
        <f t="shared" si="18"/>
        <v xml:space="preserve"> </v>
      </c>
      <c r="Q141" s="31" t="str">
        <f t="shared" si="19"/>
        <v xml:space="preserve"> </v>
      </c>
      <c r="R141" s="32" t="str">
        <f t="shared" si="20"/>
        <v xml:space="preserve"> </v>
      </c>
      <c r="S141" s="33" t="str">
        <f t="shared" si="21"/>
        <v xml:space="preserve"> </v>
      </c>
      <c r="T141" s="34" t="str">
        <f t="shared" si="22"/>
        <v xml:space="preserve"> </v>
      </c>
      <c r="U141" s="32" t="str">
        <f t="shared" si="23"/>
        <v/>
      </c>
      <c r="V141" s="32" t="str">
        <f t="shared" si="16"/>
        <v/>
      </c>
      <c r="W141" s="126"/>
    </row>
    <row r="142" spans="1:23" ht="18" customHeight="1">
      <c r="A142" s="30"/>
      <c r="B142" s="75" t="s">
        <v>268</v>
      </c>
      <c r="C142" s="76" t="s">
        <v>45</v>
      </c>
      <c r="D142" s="77">
        <v>0.04</v>
      </c>
      <c r="E142" s="77">
        <v>0.04</v>
      </c>
      <c r="F142" s="77">
        <v>-0.04</v>
      </c>
      <c r="G142" s="115">
        <v>7.400000000000001E-2</v>
      </c>
      <c r="H142" s="115">
        <v>5.9999999999999984E-3</v>
      </c>
      <c r="I142" s="115"/>
      <c r="J142" s="115"/>
      <c r="K142" s="76" t="s">
        <v>46</v>
      </c>
      <c r="L142" s="91"/>
      <c r="M142" s="91"/>
      <c r="N142" s="91"/>
      <c r="O142" s="31" t="str">
        <f t="shared" si="17"/>
        <v xml:space="preserve"> </v>
      </c>
      <c r="P142" s="31" t="str">
        <f t="shared" si="18"/>
        <v xml:space="preserve"> </v>
      </c>
      <c r="Q142" s="31" t="str">
        <f t="shared" si="19"/>
        <v xml:space="preserve"> </v>
      </c>
      <c r="R142" s="32" t="str">
        <f t="shared" si="20"/>
        <v xml:space="preserve"> </v>
      </c>
      <c r="S142" s="33" t="str">
        <f t="shared" si="21"/>
        <v xml:space="preserve"> </v>
      </c>
      <c r="T142" s="34" t="str">
        <f t="shared" si="22"/>
        <v xml:space="preserve"> </v>
      </c>
      <c r="U142" s="32" t="str">
        <f t="shared" si="23"/>
        <v/>
      </c>
      <c r="V142" s="32" t="str">
        <f t="shared" si="16"/>
        <v/>
      </c>
      <c r="W142" s="126"/>
    </row>
    <row r="143" spans="1:23" ht="18" customHeight="1">
      <c r="A143" s="30"/>
      <c r="B143" s="75" t="s">
        <v>269</v>
      </c>
      <c r="C143" s="76" t="s">
        <v>45</v>
      </c>
      <c r="D143" s="77">
        <v>0.04</v>
      </c>
      <c r="E143" s="77">
        <v>0.04</v>
      </c>
      <c r="F143" s="77">
        <v>-0.04</v>
      </c>
      <c r="G143" s="115">
        <v>7.400000000000001E-2</v>
      </c>
      <c r="H143" s="115">
        <v>5.9999999999999984E-3</v>
      </c>
      <c r="I143" s="115"/>
      <c r="J143" s="115"/>
      <c r="K143" s="76" t="s">
        <v>46</v>
      </c>
      <c r="L143" s="91"/>
      <c r="M143" s="91"/>
      <c r="N143" s="91"/>
      <c r="O143" s="31" t="str">
        <f t="shared" si="17"/>
        <v xml:space="preserve"> </v>
      </c>
      <c r="P143" s="31" t="str">
        <f t="shared" si="18"/>
        <v xml:space="preserve"> </v>
      </c>
      <c r="Q143" s="31" t="str">
        <f t="shared" si="19"/>
        <v xml:space="preserve"> </v>
      </c>
      <c r="R143" s="32" t="str">
        <f t="shared" si="20"/>
        <v xml:space="preserve"> </v>
      </c>
      <c r="S143" s="33" t="str">
        <f t="shared" si="21"/>
        <v xml:space="preserve"> </v>
      </c>
      <c r="T143" s="34" t="str">
        <f t="shared" si="22"/>
        <v xml:space="preserve"> </v>
      </c>
      <c r="U143" s="32" t="str">
        <f t="shared" si="23"/>
        <v/>
      </c>
      <c r="V143" s="32" t="str">
        <f t="shared" si="16"/>
        <v/>
      </c>
      <c r="W143" s="126"/>
    </row>
    <row r="144" spans="1:23" ht="18" customHeight="1">
      <c r="A144" s="30"/>
      <c r="B144" s="75" t="s">
        <v>270</v>
      </c>
      <c r="C144" s="76" t="s">
        <v>45</v>
      </c>
      <c r="D144" s="77">
        <v>0.04</v>
      </c>
      <c r="E144" s="77">
        <v>0.04</v>
      </c>
      <c r="F144" s="77">
        <v>-0.04</v>
      </c>
      <c r="G144" s="115">
        <v>7.400000000000001E-2</v>
      </c>
      <c r="H144" s="115">
        <v>5.9999999999999984E-3</v>
      </c>
      <c r="I144" s="115"/>
      <c r="J144" s="115"/>
      <c r="K144" s="76" t="s">
        <v>46</v>
      </c>
      <c r="L144" s="91"/>
      <c r="M144" s="91"/>
      <c r="N144" s="91"/>
      <c r="O144" s="31" t="str">
        <f t="shared" si="17"/>
        <v xml:space="preserve"> </v>
      </c>
      <c r="P144" s="31" t="str">
        <f t="shared" si="18"/>
        <v xml:space="preserve"> </v>
      </c>
      <c r="Q144" s="31" t="str">
        <f t="shared" si="19"/>
        <v xml:space="preserve"> </v>
      </c>
      <c r="R144" s="32" t="str">
        <f t="shared" si="20"/>
        <v xml:space="preserve"> </v>
      </c>
      <c r="S144" s="33" t="str">
        <f t="shared" si="21"/>
        <v xml:space="preserve"> </v>
      </c>
      <c r="T144" s="34" t="str">
        <f t="shared" si="22"/>
        <v xml:space="preserve"> </v>
      </c>
      <c r="U144" s="32" t="str">
        <f t="shared" si="23"/>
        <v/>
      </c>
      <c r="V144" s="32" t="str">
        <f t="shared" si="16"/>
        <v/>
      </c>
      <c r="W144" s="126"/>
    </row>
    <row r="145" spans="1:23" ht="18" customHeight="1">
      <c r="A145" s="30"/>
      <c r="B145" s="75" t="s">
        <v>271</v>
      </c>
      <c r="C145" s="76" t="s">
        <v>45</v>
      </c>
      <c r="D145" s="77">
        <v>0.04</v>
      </c>
      <c r="E145" s="77">
        <v>0.04</v>
      </c>
      <c r="F145" s="77">
        <v>-0.04</v>
      </c>
      <c r="G145" s="115">
        <v>7.400000000000001E-2</v>
      </c>
      <c r="H145" s="115">
        <v>5.9999999999999984E-3</v>
      </c>
      <c r="I145" s="115"/>
      <c r="J145" s="115"/>
      <c r="K145" s="76" t="s">
        <v>46</v>
      </c>
      <c r="L145" s="91"/>
      <c r="M145" s="91"/>
      <c r="N145" s="91"/>
      <c r="O145" s="31" t="str">
        <f t="shared" si="17"/>
        <v xml:space="preserve"> </v>
      </c>
      <c r="P145" s="31" t="str">
        <f t="shared" si="18"/>
        <v xml:space="preserve"> </v>
      </c>
      <c r="Q145" s="31" t="str">
        <f t="shared" si="19"/>
        <v xml:space="preserve"> </v>
      </c>
      <c r="R145" s="32" t="str">
        <f t="shared" si="20"/>
        <v xml:space="preserve"> </v>
      </c>
      <c r="S145" s="33" t="str">
        <f t="shared" si="21"/>
        <v xml:space="preserve"> </v>
      </c>
      <c r="T145" s="34" t="str">
        <f t="shared" si="22"/>
        <v xml:space="preserve"> </v>
      </c>
      <c r="U145" s="32" t="str">
        <f t="shared" si="23"/>
        <v/>
      </c>
      <c r="V145" s="32" t="str">
        <f t="shared" si="16"/>
        <v/>
      </c>
      <c r="W145" s="126"/>
    </row>
    <row r="146" spans="1:23" ht="18" customHeight="1">
      <c r="A146" s="30"/>
      <c r="B146" s="75" t="s">
        <v>272</v>
      </c>
      <c r="C146" s="76" t="s">
        <v>45</v>
      </c>
      <c r="D146" s="77">
        <v>0.04</v>
      </c>
      <c r="E146" s="77">
        <v>0.04</v>
      </c>
      <c r="F146" s="77">
        <v>-0.04</v>
      </c>
      <c r="G146" s="115">
        <v>7.400000000000001E-2</v>
      </c>
      <c r="H146" s="115">
        <v>5.9999999999999984E-3</v>
      </c>
      <c r="I146" s="115"/>
      <c r="J146" s="115"/>
      <c r="K146" s="76" t="s">
        <v>46</v>
      </c>
      <c r="L146" s="91"/>
      <c r="M146" s="91"/>
      <c r="N146" s="91"/>
      <c r="O146" s="31" t="str">
        <f t="shared" si="17"/>
        <v xml:space="preserve"> </v>
      </c>
      <c r="P146" s="31" t="str">
        <f t="shared" si="18"/>
        <v xml:space="preserve"> </v>
      </c>
      <c r="Q146" s="31" t="str">
        <f t="shared" si="19"/>
        <v xml:space="preserve"> </v>
      </c>
      <c r="R146" s="32" t="str">
        <f t="shared" si="20"/>
        <v xml:space="preserve"> </v>
      </c>
      <c r="S146" s="33" t="str">
        <f t="shared" si="21"/>
        <v xml:space="preserve"> </v>
      </c>
      <c r="T146" s="34" t="str">
        <f t="shared" si="22"/>
        <v xml:space="preserve"> </v>
      </c>
      <c r="U146" s="32" t="str">
        <f t="shared" si="23"/>
        <v/>
      </c>
      <c r="V146" s="32" t="str">
        <f t="shared" si="16"/>
        <v/>
      </c>
      <c r="W146" s="126"/>
    </row>
    <row r="147" spans="1:23" ht="18" customHeight="1">
      <c r="A147" s="30"/>
      <c r="B147" s="75" t="s">
        <v>273</v>
      </c>
      <c r="C147" s="76" t="s">
        <v>45</v>
      </c>
      <c r="D147" s="77">
        <v>0.04</v>
      </c>
      <c r="E147" s="77">
        <v>0.04</v>
      </c>
      <c r="F147" s="77">
        <v>-0.04</v>
      </c>
      <c r="G147" s="115">
        <v>7.400000000000001E-2</v>
      </c>
      <c r="H147" s="115">
        <v>5.9999999999999984E-3</v>
      </c>
      <c r="I147" s="115"/>
      <c r="J147" s="115"/>
      <c r="K147" s="76" t="s">
        <v>46</v>
      </c>
      <c r="L147" s="91"/>
      <c r="M147" s="91"/>
      <c r="N147" s="91"/>
      <c r="O147" s="31" t="str">
        <f t="shared" si="17"/>
        <v xml:space="preserve"> </v>
      </c>
      <c r="P147" s="31" t="str">
        <f t="shared" si="18"/>
        <v xml:space="preserve"> </v>
      </c>
      <c r="Q147" s="31" t="str">
        <f t="shared" si="19"/>
        <v xml:space="preserve"> </v>
      </c>
      <c r="R147" s="32" t="str">
        <f t="shared" si="20"/>
        <v xml:space="preserve"> </v>
      </c>
      <c r="S147" s="33" t="str">
        <f t="shared" si="21"/>
        <v xml:space="preserve"> </v>
      </c>
      <c r="T147" s="34" t="str">
        <f t="shared" si="22"/>
        <v xml:space="preserve"> </v>
      </c>
      <c r="U147" s="32" t="str">
        <f t="shared" si="23"/>
        <v/>
      </c>
      <c r="V147" s="32" t="str">
        <f t="shared" si="16"/>
        <v/>
      </c>
      <c r="W147" s="126"/>
    </row>
    <row r="148" spans="1:23" ht="18" customHeight="1">
      <c r="A148" s="30"/>
      <c r="B148" s="75" t="s">
        <v>274</v>
      </c>
      <c r="C148" s="76" t="s">
        <v>45</v>
      </c>
      <c r="D148" s="77">
        <v>0.04</v>
      </c>
      <c r="E148" s="77">
        <v>0.04</v>
      </c>
      <c r="F148" s="77">
        <v>-0.04</v>
      </c>
      <c r="G148" s="115">
        <v>7.400000000000001E-2</v>
      </c>
      <c r="H148" s="115">
        <v>5.9999999999999984E-3</v>
      </c>
      <c r="I148" s="115"/>
      <c r="J148" s="115"/>
      <c r="K148" s="76" t="s">
        <v>46</v>
      </c>
      <c r="L148" s="91"/>
      <c r="M148" s="91"/>
      <c r="N148" s="91"/>
      <c r="O148" s="31" t="str">
        <f t="shared" si="17"/>
        <v xml:space="preserve"> </v>
      </c>
      <c r="P148" s="31" t="str">
        <f t="shared" si="18"/>
        <v xml:space="preserve"> </v>
      </c>
      <c r="Q148" s="31" t="str">
        <f t="shared" si="19"/>
        <v xml:space="preserve"> </v>
      </c>
      <c r="R148" s="32" t="str">
        <f t="shared" si="20"/>
        <v xml:space="preserve"> </v>
      </c>
      <c r="S148" s="33" t="str">
        <f t="shared" si="21"/>
        <v xml:space="preserve"> </v>
      </c>
      <c r="T148" s="34" t="str">
        <f t="shared" si="22"/>
        <v xml:space="preserve"> </v>
      </c>
      <c r="U148" s="32" t="str">
        <f t="shared" si="23"/>
        <v/>
      </c>
      <c r="V148" s="32" t="str">
        <f t="shared" si="16"/>
        <v/>
      </c>
      <c r="W148" s="126"/>
    </row>
    <row r="149" spans="1:23" ht="18" customHeight="1">
      <c r="A149" s="30"/>
      <c r="B149" s="75" t="s">
        <v>275</v>
      </c>
      <c r="C149" s="76" t="s">
        <v>45</v>
      </c>
      <c r="D149" s="77">
        <v>0.04</v>
      </c>
      <c r="E149" s="77">
        <v>0.04</v>
      </c>
      <c r="F149" s="77">
        <v>-0.04</v>
      </c>
      <c r="G149" s="115">
        <v>7.400000000000001E-2</v>
      </c>
      <c r="H149" s="115">
        <v>5.9999999999999984E-3</v>
      </c>
      <c r="I149" s="115"/>
      <c r="J149" s="115"/>
      <c r="K149" s="76" t="s">
        <v>46</v>
      </c>
      <c r="L149" s="91"/>
      <c r="M149" s="91"/>
      <c r="N149" s="91"/>
      <c r="O149" s="31" t="str">
        <f t="shared" si="17"/>
        <v xml:space="preserve"> </v>
      </c>
      <c r="P149" s="31" t="str">
        <f t="shared" si="18"/>
        <v xml:space="preserve"> </v>
      </c>
      <c r="Q149" s="31" t="str">
        <f t="shared" si="19"/>
        <v xml:space="preserve"> </v>
      </c>
      <c r="R149" s="32" t="str">
        <f t="shared" si="20"/>
        <v xml:space="preserve"> </v>
      </c>
      <c r="S149" s="33" t="str">
        <f t="shared" si="21"/>
        <v xml:space="preserve"> </v>
      </c>
      <c r="T149" s="34" t="str">
        <f t="shared" si="22"/>
        <v xml:space="preserve"> </v>
      </c>
      <c r="U149" s="32" t="str">
        <f t="shared" si="23"/>
        <v/>
      </c>
      <c r="V149" s="32" t="str">
        <f t="shared" si="16"/>
        <v/>
      </c>
      <c r="W149" s="126"/>
    </row>
    <row r="150" spans="1:23" ht="18" customHeight="1">
      <c r="A150" s="30"/>
      <c r="B150" s="75" t="s">
        <v>276</v>
      </c>
      <c r="C150" s="76" t="s">
        <v>45</v>
      </c>
      <c r="D150" s="77">
        <v>0.04</v>
      </c>
      <c r="E150" s="77">
        <v>0.04</v>
      </c>
      <c r="F150" s="77">
        <v>-0.04</v>
      </c>
      <c r="G150" s="115">
        <v>7.400000000000001E-2</v>
      </c>
      <c r="H150" s="115">
        <v>5.9999999999999984E-3</v>
      </c>
      <c r="I150" s="115"/>
      <c r="J150" s="115"/>
      <c r="K150" s="76" t="s">
        <v>46</v>
      </c>
      <c r="L150" s="91"/>
      <c r="M150" s="91"/>
      <c r="N150" s="91"/>
      <c r="O150" s="31" t="str">
        <f t="shared" si="17"/>
        <v xml:space="preserve"> </v>
      </c>
      <c r="P150" s="31" t="str">
        <f t="shared" si="18"/>
        <v xml:space="preserve"> </v>
      </c>
      <c r="Q150" s="31" t="str">
        <f t="shared" si="19"/>
        <v xml:space="preserve"> </v>
      </c>
      <c r="R150" s="32" t="str">
        <f t="shared" si="20"/>
        <v xml:space="preserve"> </v>
      </c>
      <c r="S150" s="33" t="str">
        <f t="shared" si="21"/>
        <v xml:space="preserve"> </v>
      </c>
      <c r="T150" s="34" t="str">
        <f t="shared" si="22"/>
        <v xml:space="preserve"> </v>
      </c>
      <c r="U150" s="32" t="str">
        <f t="shared" si="23"/>
        <v/>
      </c>
      <c r="V150" s="32" t="str">
        <f t="shared" si="16"/>
        <v/>
      </c>
      <c r="W150" s="126"/>
    </row>
    <row r="151" spans="1:23" ht="18" customHeight="1">
      <c r="A151" s="30"/>
      <c r="B151" s="75" t="s">
        <v>277</v>
      </c>
      <c r="C151" s="76" t="s">
        <v>45</v>
      </c>
      <c r="D151" s="77">
        <v>0.04</v>
      </c>
      <c r="E151" s="77">
        <v>0.04</v>
      </c>
      <c r="F151" s="77">
        <v>-0.04</v>
      </c>
      <c r="G151" s="115">
        <v>7.400000000000001E-2</v>
      </c>
      <c r="H151" s="115">
        <v>5.9999999999999984E-3</v>
      </c>
      <c r="I151" s="115"/>
      <c r="J151" s="115"/>
      <c r="K151" s="76" t="s">
        <v>46</v>
      </c>
      <c r="L151" s="91"/>
      <c r="M151" s="91"/>
      <c r="N151" s="91"/>
      <c r="O151" s="31" t="str">
        <f t="shared" si="17"/>
        <v xml:space="preserve"> </v>
      </c>
      <c r="P151" s="31" t="str">
        <f t="shared" si="18"/>
        <v xml:space="preserve"> </v>
      </c>
      <c r="Q151" s="31" t="str">
        <f t="shared" si="19"/>
        <v xml:space="preserve"> </v>
      </c>
      <c r="R151" s="32" t="str">
        <f t="shared" si="20"/>
        <v xml:space="preserve"> </v>
      </c>
      <c r="S151" s="33" t="str">
        <f t="shared" si="21"/>
        <v xml:space="preserve"> </v>
      </c>
      <c r="T151" s="34" t="str">
        <f t="shared" si="22"/>
        <v xml:space="preserve"> </v>
      </c>
      <c r="U151" s="32" t="str">
        <f t="shared" si="23"/>
        <v/>
      </c>
      <c r="V151" s="32" t="str">
        <f t="shared" si="16"/>
        <v/>
      </c>
      <c r="W151" s="126"/>
    </row>
    <row r="152" spans="1:23" ht="18" customHeight="1">
      <c r="A152" s="30"/>
      <c r="B152" s="75" t="s">
        <v>278</v>
      </c>
      <c r="C152" s="76" t="s">
        <v>45</v>
      </c>
      <c r="D152" s="77">
        <v>0.04</v>
      </c>
      <c r="E152" s="77">
        <v>0.04</v>
      </c>
      <c r="F152" s="77">
        <v>-0.04</v>
      </c>
      <c r="G152" s="115">
        <v>7.400000000000001E-2</v>
      </c>
      <c r="H152" s="115">
        <v>5.9999999999999984E-3</v>
      </c>
      <c r="I152" s="115"/>
      <c r="J152" s="115"/>
      <c r="K152" s="76" t="s">
        <v>46</v>
      </c>
      <c r="L152" s="91"/>
      <c r="M152" s="91"/>
      <c r="N152" s="91"/>
      <c r="O152" s="31" t="str">
        <f t="shared" si="17"/>
        <v xml:space="preserve"> </v>
      </c>
      <c r="P152" s="31" t="str">
        <f t="shared" si="18"/>
        <v xml:space="preserve"> </v>
      </c>
      <c r="Q152" s="31" t="str">
        <f t="shared" si="19"/>
        <v xml:space="preserve"> </v>
      </c>
      <c r="R152" s="32" t="str">
        <f t="shared" si="20"/>
        <v xml:space="preserve"> </v>
      </c>
      <c r="S152" s="33" t="str">
        <f t="shared" si="21"/>
        <v xml:space="preserve"> </v>
      </c>
      <c r="T152" s="34" t="str">
        <f t="shared" si="22"/>
        <v xml:space="preserve"> </v>
      </c>
      <c r="U152" s="32" t="str">
        <f t="shared" si="23"/>
        <v/>
      </c>
      <c r="V152" s="32" t="str">
        <f t="shared" si="16"/>
        <v/>
      </c>
      <c r="W152" s="126"/>
    </row>
    <row r="153" spans="1:23" ht="18" customHeight="1">
      <c r="A153" s="30"/>
      <c r="B153" s="75" t="s">
        <v>279</v>
      </c>
      <c r="C153" s="76" t="s">
        <v>45</v>
      </c>
      <c r="D153" s="77">
        <v>0.04</v>
      </c>
      <c r="E153" s="77">
        <v>0.04</v>
      </c>
      <c r="F153" s="77">
        <v>-0.04</v>
      </c>
      <c r="G153" s="115">
        <v>7.400000000000001E-2</v>
      </c>
      <c r="H153" s="115">
        <v>5.9999999999999984E-3</v>
      </c>
      <c r="I153" s="115"/>
      <c r="J153" s="115"/>
      <c r="K153" s="76" t="s">
        <v>46</v>
      </c>
      <c r="L153" s="91"/>
      <c r="M153" s="91"/>
      <c r="N153" s="91"/>
      <c r="O153" s="31" t="str">
        <f t="shared" si="17"/>
        <v xml:space="preserve"> </v>
      </c>
      <c r="P153" s="31" t="str">
        <f t="shared" si="18"/>
        <v xml:space="preserve"> </v>
      </c>
      <c r="Q153" s="31" t="str">
        <f t="shared" si="19"/>
        <v xml:space="preserve"> </v>
      </c>
      <c r="R153" s="32" t="str">
        <f t="shared" si="20"/>
        <v xml:space="preserve"> </v>
      </c>
      <c r="S153" s="33" t="str">
        <f t="shared" si="21"/>
        <v xml:space="preserve"> </v>
      </c>
      <c r="T153" s="34" t="str">
        <f t="shared" si="22"/>
        <v xml:space="preserve"> </v>
      </c>
      <c r="U153" s="32" t="str">
        <f t="shared" si="23"/>
        <v/>
      </c>
      <c r="V153" s="32" t="str">
        <f t="shared" si="16"/>
        <v/>
      </c>
      <c r="W153" s="126"/>
    </row>
    <row r="154" spans="1:23" ht="18" customHeight="1">
      <c r="A154" s="30"/>
      <c r="B154" s="75" t="s">
        <v>280</v>
      </c>
      <c r="C154" s="76" t="s">
        <v>45</v>
      </c>
      <c r="D154" s="77">
        <v>0.04</v>
      </c>
      <c r="E154" s="77">
        <v>0.04</v>
      </c>
      <c r="F154" s="77">
        <v>-0.04</v>
      </c>
      <c r="G154" s="115">
        <v>7.400000000000001E-2</v>
      </c>
      <c r="H154" s="115">
        <v>5.9999999999999984E-3</v>
      </c>
      <c r="I154" s="115"/>
      <c r="J154" s="115"/>
      <c r="K154" s="76" t="s">
        <v>46</v>
      </c>
      <c r="L154" s="91"/>
      <c r="M154" s="91"/>
      <c r="N154" s="91"/>
      <c r="O154" s="31" t="str">
        <f t="shared" si="17"/>
        <v xml:space="preserve"> </v>
      </c>
      <c r="P154" s="31" t="str">
        <f t="shared" si="18"/>
        <v xml:space="preserve"> </v>
      </c>
      <c r="Q154" s="31" t="str">
        <f t="shared" si="19"/>
        <v xml:space="preserve"> </v>
      </c>
      <c r="R154" s="32" t="str">
        <f t="shared" si="20"/>
        <v xml:space="preserve"> </v>
      </c>
      <c r="S154" s="33" t="str">
        <f t="shared" si="21"/>
        <v xml:space="preserve"> </v>
      </c>
      <c r="T154" s="34" t="str">
        <f t="shared" si="22"/>
        <v xml:space="preserve"> </v>
      </c>
      <c r="U154" s="32" t="str">
        <f t="shared" si="23"/>
        <v/>
      </c>
      <c r="V154" s="32" t="str">
        <f t="shared" si="16"/>
        <v/>
      </c>
      <c r="W154" s="126"/>
    </row>
    <row r="155" spans="1:23" ht="18" customHeight="1">
      <c r="A155" s="30"/>
      <c r="B155" s="75">
        <v>97</v>
      </c>
      <c r="C155" s="76" t="s">
        <v>45</v>
      </c>
      <c r="D155" s="77">
        <v>1.966</v>
      </c>
      <c r="E155" s="77">
        <v>2.5000000000000001E-2</v>
      </c>
      <c r="F155" s="77">
        <v>-2.5000000000000001E-2</v>
      </c>
      <c r="G155" s="115">
        <v>1.98725</v>
      </c>
      <c r="H155" s="115">
        <v>1.94475</v>
      </c>
      <c r="I155" s="115"/>
      <c r="J155" s="115"/>
      <c r="K155" s="76" t="s">
        <v>46</v>
      </c>
      <c r="L155" s="91"/>
      <c r="M155" s="91"/>
      <c r="N155" s="91"/>
      <c r="O155" s="31" t="str">
        <f t="shared" si="17"/>
        <v xml:space="preserve"> </v>
      </c>
      <c r="P155" s="31" t="str">
        <f t="shared" si="18"/>
        <v xml:space="preserve"> </v>
      </c>
      <c r="Q155" s="31" t="str">
        <f t="shared" si="19"/>
        <v xml:space="preserve"> </v>
      </c>
      <c r="R155" s="32" t="str">
        <f t="shared" si="20"/>
        <v xml:space="preserve"> </v>
      </c>
      <c r="S155" s="33" t="str">
        <f t="shared" si="21"/>
        <v xml:space="preserve"> </v>
      </c>
      <c r="T155" s="34" t="str">
        <f t="shared" si="22"/>
        <v xml:space="preserve"> </v>
      </c>
      <c r="U155" s="32" t="str">
        <f t="shared" si="23"/>
        <v/>
      </c>
      <c r="V155" s="32" t="str">
        <f t="shared" si="16"/>
        <v/>
      </c>
      <c r="W155" s="126"/>
    </row>
    <row r="156" spans="1:23" ht="18" customHeight="1">
      <c r="A156" s="30"/>
      <c r="B156" s="75">
        <v>98</v>
      </c>
      <c r="C156" s="76" t="s">
        <v>45</v>
      </c>
      <c r="D156" s="77">
        <v>5.3949999999999996</v>
      </c>
      <c r="E156" s="77">
        <v>0.3</v>
      </c>
      <c r="F156" s="77">
        <v>-0.3</v>
      </c>
      <c r="G156" s="115">
        <v>5.6499999999999995</v>
      </c>
      <c r="H156" s="115">
        <v>5.14</v>
      </c>
      <c r="I156" s="115"/>
      <c r="J156" s="115"/>
      <c r="K156" s="76" t="s">
        <v>46</v>
      </c>
      <c r="L156" s="91"/>
      <c r="M156" s="91"/>
      <c r="N156" s="91"/>
      <c r="O156" s="31" t="str">
        <f t="shared" si="17"/>
        <v xml:space="preserve"> </v>
      </c>
      <c r="P156" s="31" t="str">
        <f t="shared" si="18"/>
        <v xml:space="preserve"> </v>
      </c>
      <c r="Q156" s="31" t="str">
        <f t="shared" si="19"/>
        <v xml:space="preserve"> </v>
      </c>
      <c r="R156" s="32" t="str">
        <f t="shared" si="20"/>
        <v xml:space="preserve"> </v>
      </c>
      <c r="S156" s="33" t="str">
        <f t="shared" si="21"/>
        <v xml:space="preserve"> </v>
      </c>
      <c r="T156" s="34" t="str">
        <f t="shared" si="22"/>
        <v xml:space="preserve"> </v>
      </c>
      <c r="U156" s="32" t="str">
        <f t="shared" si="23"/>
        <v/>
      </c>
      <c r="V156" s="32" t="str">
        <f t="shared" si="16"/>
        <v/>
      </c>
      <c r="W156" s="126"/>
    </row>
    <row r="157" spans="1:23" ht="18" customHeight="1">
      <c r="A157" s="30"/>
      <c r="B157" s="75">
        <v>99</v>
      </c>
      <c r="C157" s="76" t="s">
        <v>45</v>
      </c>
      <c r="D157" s="77">
        <v>10.004</v>
      </c>
      <c r="E157" s="77">
        <v>0.6</v>
      </c>
      <c r="F157" s="77">
        <v>-0.6</v>
      </c>
      <c r="G157" s="115">
        <v>10.513999999999999</v>
      </c>
      <c r="H157" s="115">
        <v>9.4939999999999998</v>
      </c>
      <c r="I157" s="115"/>
      <c r="J157" s="115"/>
      <c r="K157" s="76" t="s">
        <v>46</v>
      </c>
      <c r="L157" s="91"/>
      <c r="M157" s="91"/>
      <c r="N157" s="91"/>
      <c r="O157" s="31" t="str">
        <f t="shared" si="17"/>
        <v xml:space="preserve"> </v>
      </c>
      <c r="P157" s="31" t="str">
        <f t="shared" si="18"/>
        <v xml:space="preserve"> </v>
      </c>
      <c r="Q157" s="31" t="str">
        <f t="shared" si="19"/>
        <v xml:space="preserve"> </v>
      </c>
      <c r="R157" s="32" t="str">
        <f t="shared" si="20"/>
        <v xml:space="preserve"> </v>
      </c>
      <c r="S157" s="33" t="str">
        <f t="shared" si="21"/>
        <v xml:space="preserve"> </v>
      </c>
      <c r="T157" s="34" t="str">
        <f t="shared" si="22"/>
        <v xml:space="preserve"> </v>
      </c>
      <c r="U157" s="32" t="str">
        <f t="shared" si="23"/>
        <v/>
      </c>
      <c r="V157" s="32" t="str">
        <f t="shared" si="16"/>
        <v/>
      </c>
      <c r="W157" s="126"/>
    </row>
    <row r="158" spans="1:23" ht="18" customHeight="1">
      <c r="A158" s="30"/>
      <c r="B158" s="75">
        <v>100</v>
      </c>
      <c r="C158" s="76" t="s">
        <v>45</v>
      </c>
      <c r="D158" s="77">
        <v>0</v>
      </c>
      <c r="E158" s="77">
        <v>3</v>
      </c>
      <c r="F158" s="77">
        <v>-3</v>
      </c>
      <c r="G158" s="115">
        <v>2.5499999999999998</v>
      </c>
      <c r="H158" s="115">
        <v>-2.5499999999999998</v>
      </c>
      <c r="I158" s="115"/>
      <c r="J158" s="115"/>
      <c r="K158" s="76" t="s">
        <v>46</v>
      </c>
      <c r="L158" s="91"/>
      <c r="M158" s="91"/>
      <c r="N158" s="91"/>
      <c r="O158" s="31" t="str">
        <f t="shared" si="17"/>
        <v xml:space="preserve"> </v>
      </c>
      <c r="P158" s="31" t="str">
        <f t="shared" si="18"/>
        <v xml:space="preserve"> </v>
      </c>
      <c r="Q158" s="31" t="str">
        <f t="shared" si="19"/>
        <v xml:space="preserve"> </v>
      </c>
      <c r="R158" s="32" t="str">
        <f t="shared" si="20"/>
        <v xml:space="preserve"> </v>
      </c>
      <c r="S158" s="33" t="str">
        <f t="shared" si="21"/>
        <v xml:space="preserve"> </v>
      </c>
      <c r="T158" s="34" t="str">
        <f t="shared" si="22"/>
        <v xml:space="preserve"> </v>
      </c>
      <c r="U158" s="32" t="str">
        <f t="shared" si="23"/>
        <v/>
      </c>
      <c r="V158" s="32" t="str">
        <f t="shared" si="16"/>
        <v/>
      </c>
      <c r="W158" s="126"/>
    </row>
    <row r="159" spans="1:23" ht="18" customHeight="1">
      <c r="A159" s="30"/>
      <c r="B159" s="75" t="s">
        <v>201</v>
      </c>
      <c r="C159" s="76" t="s">
        <v>45</v>
      </c>
      <c r="D159" s="77">
        <v>0.05</v>
      </c>
      <c r="E159" s="77">
        <v>2.5000000000000001E-2</v>
      </c>
      <c r="F159" s="77">
        <v>-0.02</v>
      </c>
      <c r="G159" s="115">
        <v>7.1250000000000008E-2</v>
      </c>
      <c r="H159" s="115">
        <v>3.3000000000000002E-2</v>
      </c>
      <c r="I159" s="115"/>
      <c r="J159" s="115"/>
      <c r="K159" s="76" t="s">
        <v>46</v>
      </c>
      <c r="L159" s="91"/>
      <c r="M159" s="91"/>
      <c r="N159" s="91"/>
      <c r="O159" s="31" t="str">
        <f t="shared" si="17"/>
        <v xml:space="preserve"> </v>
      </c>
      <c r="P159" s="31" t="str">
        <f t="shared" si="18"/>
        <v xml:space="preserve"> </v>
      </c>
      <c r="Q159" s="31" t="str">
        <f t="shared" si="19"/>
        <v xml:space="preserve"> </v>
      </c>
      <c r="R159" s="32" t="str">
        <f t="shared" si="20"/>
        <v xml:space="preserve"> </v>
      </c>
      <c r="S159" s="33" t="str">
        <f t="shared" si="21"/>
        <v xml:space="preserve"> </v>
      </c>
      <c r="T159" s="34" t="str">
        <f t="shared" si="22"/>
        <v xml:space="preserve"> </v>
      </c>
      <c r="U159" s="32" t="str">
        <f t="shared" si="23"/>
        <v/>
      </c>
      <c r="V159" s="32" t="str">
        <f t="shared" si="16"/>
        <v/>
      </c>
      <c r="W159" s="126"/>
    </row>
    <row r="160" spans="1:23" ht="18" customHeight="1">
      <c r="A160" s="30"/>
      <c r="B160" s="75" t="s">
        <v>202</v>
      </c>
      <c r="C160" s="76" t="s">
        <v>45</v>
      </c>
      <c r="D160" s="77">
        <v>0.05</v>
      </c>
      <c r="E160" s="77">
        <v>2.5000000000000001E-2</v>
      </c>
      <c r="F160" s="77">
        <v>-0.02</v>
      </c>
      <c r="G160" s="115">
        <v>7.1250000000000008E-2</v>
      </c>
      <c r="H160" s="115">
        <v>3.3000000000000002E-2</v>
      </c>
      <c r="I160" s="115"/>
      <c r="J160" s="115"/>
      <c r="K160" s="76" t="s">
        <v>46</v>
      </c>
      <c r="L160" s="91"/>
      <c r="M160" s="91"/>
      <c r="N160" s="91"/>
      <c r="O160" s="31" t="str">
        <f t="shared" si="17"/>
        <v xml:space="preserve"> </v>
      </c>
      <c r="P160" s="31" t="str">
        <f t="shared" si="18"/>
        <v xml:space="preserve"> </v>
      </c>
      <c r="Q160" s="31" t="str">
        <f t="shared" si="19"/>
        <v xml:space="preserve"> </v>
      </c>
      <c r="R160" s="32" t="str">
        <f t="shared" si="20"/>
        <v xml:space="preserve"> </v>
      </c>
      <c r="S160" s="33" t="str">
        <f t="shared" si="21"/>
        <v xml:space="preserve"> </v>
      </c>
      <c r="T160" s="34" t="str">
        <f t="shared" si="22"/>
        <v xml:space="preserve"> </v>
      </c>
      <c r="U160" s="32" t="str">
        <f t="shared" si="23"/>
        <v/>
      </c>
      <c r="V160" s="32" t="str">
        <f t="shared" si="16"/>
        <v/>
      </c>
      <c r="W160" s="126"/>
    </row>
    <row r="161" spans="1:23" ht="18" customHeight="1">
      <c r="A161" s="30"/>
      <c r="B161" s="75" t="s">
        <v>203</v>
      </c>
      <c r="C161" s="76" t="s">
        <v>45</v>
      </c>
      <c r="D161" s="77">
        <v>0.05</v>
      </c>
      <c r="E161" s="77">
        <v>2.5000000000000001E-2</v>
      </c>
      <c r="F161" s="77">
        <v>-0.02</v>
      </c>
      <c r="G161" s="115">
        <v>7.1250000000000008E-2</v>
      </c>
      <c r="H161" s="115">
        <v>3.3000000000000002E-2</v>
      </c>
      <c r="I161" s="115"/>
      <c r="J161" s="115"/>
      <c r="K161" s="76" t="s">
        <v>46</v>
      </c>
      <c r="L161" s="91"/>
      <c r="M161" s="91"/>
      <c r="N161" s="91"/>
      <c r="O161" s="31" t="str">
        <f t="shared" si="17"/>
        <v xml:space="preserve"> </v>
      </c>
      <c r="P161" s="31" t="str">
        <f t="shared" si="18"/>
        <v xml:space="preserve"> </v>
      </c>
      <c r="Q161" s="31" t="str">
        <f t="shared" si="19"/>
        <v xml:space="preserve"> </v>
      </c>
      <c r="R161" s="32" t="str">
        <f t="shared" si="20"/>
        <v xml:space="preserve"> </v>
      </c>
      <c r="S161" s="33" t="str">
        <f t="shared" si="21"/>
        <v xml:space="preserve"> </v>
      </c>
      <c r="T161" s="34" t="str">
        <f t="shared" si="22"/>
        <v xml:space="preserve"> </v>
      </c>
      <c r="U161" s="32" t="str">
        <f t="shared" si="23"/>
        <v/>
      </c>
      <c r="V161" s="32" t="str">
        <f t="shared" si="16"/>
        <v/>
      </c>
      <c r="W161" s="126"/>
    </row>
    <row r="162" spans="1:23" ht="18" customHeight="1">
      <c r="A162" s="30"/>
      <c r="B162" s="75" t="s">
        <v>281</v>
      </c>
      <c r="C162" s="76" t="s">
        <v>45</v>
      </c>
      <c r="D162" s="77">
        <v>0.05</v>
      </c>
      <c r="E162" s="77">
        <v>2.5000000000000001E-2</v>
      </c>
      <c r="F162" s="77">
        <v>-0.02</v>
      </c>
      <c r="G162" s="115">
        <v>7.1250000000000008E-2</v>
      </c>
      <c r="H162" s="115">
        <v>3.3000000000000002E-2</v>
      </c>
      <c r="I162" s="115"/>
      <c r="J162" s="115"/>
      <c r="K162" s="76" t="s">
        <v>46</v>
      </c>
      <c r="L162" s="91"/>
      <c r="M162" s="91"/>
      <c r="N162" s="91"/>
      <c r="O162" s="31" t="str">
        <f t="shared" si="17"/>
        <v xml:space="preserve"> </v>
      </c>
      <c r="P162" s="31" t="str">
        <f t="shared" si="18"/>
        <v xml:space="preserve"> </v>
      </c>
      <c r="Q162" s="31" t="str">
        <f t="shared" si="19"/>
        <v xml:space="preserve"> </v>
      </c>
      <c r="R162" s="32" t="str">
        <f t="shared" si="20"/>
        <v xml:space="preserve"> </v>
      </c>
      <c r="S162" s="33" t="str">
        <f t="shared" si="21"/>
        <v xml:space="preserve"> </v>
      </c>
      <c r="T162" s="34" t="str">
        <f t="shared" si="22"/>
        <v xml:space="preserve"> </v>
      </c>
      <c r="U162" s="32" t="str">
        <f t="shared" si="23"/>
        <v/>
      </c>
      <c r="V162" s="32" t="str">
        <f t="shared" si="16"/>
        <v/>
      </c>
      <c r="W162" s="126"/>
    </row>
    <row r="163" spans="1:23" ht="18" customHeight="1">
      <c r="A163" s="30"/>
      <c r="B163" s="75">
        <v>102</v>
      </c>
      <c r="C163" s="76" t="s">
        <v>45</v>
      </c>
      <c r="D163" s="77">
        <v>8.5640000000000001</v>
      </c>
      <c r="E163" s="77">
        <v>0.03</v>
      </c>
      <c r="F163" s="77">
        <v>-0.03</v>
      </c>
      <c r="G163" s="115">
        <v>8.5894999999999992</v>
      </c>
      <c r="H163" s="115">
        <v>8.5385000000000009</v>
      </c>
      <c r="I163" s="115"/>
      <c r="J163" s="115"/>
      <c r="K163" s="76" t="s">
        <v>46</v>
      </c>
      <c r="L163" s="91"/>
      <c r="M163" s="91"/>
      <c r="N163" s="91"/>
      <c r="O163" s="31" t="str">
        <f t="shared" si="17"/>
        <v xml:space="preserve"> </v>
      </c>
      <c r="P163" s="31" t="str">
        <f t="shared" si="18"/>
        <v xml:space="preserve"> </v>
      </c>
      <c r="Q163" s="31" t="str">
        <f t="shared" si="19"/>
        <v xml:space="preserve"> </v>
      </c>
      <c r="R163" s="32" t="str">
        <f t="shared" si="20"/>
        <v xml:space="preserve"> </v>
      </c>
      <c r="S163" s="33" t="str">
        <f t="shared" si="21"/>
        <v xml:space="preserve"> </v>
      </c>
      <c r="T163" s="34" t="str">
        <f t="shared" si="22"/>
        <v xml:space="preserve"> </v>
      </c>
      <c r="U163" s="32" t="str">
        <f t="shared" si="23"/>
        <v/>
      </c>
      <c r="V163" s="32" t="str">
        <f t="shared" ref="V163:V226" si="24">IF(L163="","",IF(ISERR(F163/F163)=TRUE,"",IF(ISERR(F163/D163)=TRUE,IF((F163-MIN(L163:N163))&gt;0.001,"Reject",""),IF(ISNUMBER($T163)=TRUE,IF($T163&gt;0.651,IF($T163&gt;1.001,"Reject","Alert"),""),""))))</f>
        <v/>
      </c>
      <c r="W163" s="126"/>
    </row>
    <row r="164" spans="1:23" ht="18" customHeight="1">
      <c r="A164" s="30"/>
      <c r="B164" s="75">
        <v>103</v>
      </c>
      <c r="C164" s="76" t="s">
        <v>45</v>
      </c>
      <c r="D164" s="77">
        <v>11.237</v>
      </c>
      <c r="E164" s="77">
        <v>0.03</v>
      </c>
      <c r="F164" s="77">
        <v>-0.03</v>
      </c>
      <c r="G164" s="115">
        <v>11.262499999999999</v>
      </c>
      <c r="H164" s="115">
        <v>11.211500000000001</v>
      </c>
      <c r="I164" s="115"/>
      <c r="J164" s="115"/>
      <c r="K164" s="76" t="s">
        <v>46</v>
      </c>
      <c r="L164" s="91"/>
      <c r="M164" s="91"/>
      <c r="N164" s="91"/>
      <c r="O164" s="31" t="str">
        <f t="shared" si="17"/>
        <v xml:space="preserve"> </v>
      </c>
      <c r="P164" s="31" t="str">
        <f t="shared" si="18"/>
        <v xml:space="preserve"> </v>
      </c>
      <c r="Q164" s="31" t="str">
        <f t="shared" si="19"/>
        <v xml:space="preserve"> </v>
      </c>
      <c r="R164" s="32" t="str">
        <f t="shared" si="20"/>
        <v xml:space="preserve"> </v>
      </c>
      <c r="S164" s="33" t="str">
        <f t="shared" si="21"/>
        <v xml:space="preserve"> </v>
      </c>
      <c r="T164" s="34" t="str">
        <f t="shared" si="22"/>
        <v xml:space="preserve"> </v>
      </c>
      <c r="U164" s="32" t="str">
        <f t="shared" si="23"/>
        <v/>
      </c>
      <c r="V164" s="32" t="str">
        <f t="shared" si="24"/>
        <v/>
      </c>
      <c r="W164" s="126"/>
    </row>
    <row r="165" spans="1:23" ht="18" customHeight="1">
      <c r="A165" s="30"/>
      <c r="B165" s="94" t="s">
        <v>282</v>
      </c>
      <c r="C165" s="76" t="s">
        <v>230</v>
      </c>
      <c r="D165" s="77">
        <v>0</v>
      </c>
      <c r="E165" s="77">
        <v>0.03</v>
      </c>
      <c r="F165" s="77">
        <v>-7.0000000000000007E-2</v>
      </c>
      <c r="G165" s="115">
        <v>2.5499999999999998E-2</v>
      </c>
      <c r="H165" s="115">
        <v>-5.9500000000000004E-2</v>
      </c>
      <c r="I165" s="115"/>
      <c r="J165" s="115"/>
      <c r="K165" s="76" t="s">
        <v>231</v>
      </c>
      <c r="L165" s="91"/>
      <c r="M165" s="91"/>
      <c r="N165" s="91"/>
      <c r="O165" s="31" t="str">
        <f t="shared" si="17"/>
        <v xml:space="preserve"> </v>
      </c>
      <c r="P165" s="31" t="str">
        <f t="shared" si="18"/>
        <v xml:space="preserve"> </v>
      </c>
      <c r="Q165" s="31" t="str">
        <f t="shared" si="19"/>
        <v xml:space="preserve"> </v>
      </c>
      <c r="R165" s="32" t="str">
        <f t="shared" si="20"/>
        <v xml:space="preserve"> </v>
      </c>
      <c r="S165" s="33" t="str">
        <f t="shared" si="21"/>
        <v xml:space="preserve"> </v>
      </c>
      <c r="T165" s="34" t="str">
        <f t="shared" si="22"/>
        <v xml:space="preserve"> </v>
      </c>
      <c r="U165" s="32" t="str">
        <f t="shared" si="23"/>
        <v/>
      </c>
      <c r="V165" s="32" t="str">
        <f t="shared" si="24"/>
        <v/>
      </c>
      <c r="W165" s="126"/>
    </row>
    <row r="166" spans="1:23" ht="18" customHeight="1">
      <c r="A166" s="30"/>
      <c r="B166" s="94" t="s">
        <v>283</v>
      </c>
      <c r="C166" s="76" t="s">
        <v>230</v>
      </c>
      <c r="D166" s="77">
        <v>0</v>
      </c>
      <c r="E166" s="77">
        <v>0.03</v>
      </c>
      <c r="F166" s="77">
        <v>-7.0000000000000007E-2</v>
      </c>
      <c r="G166" s="115">
        <v>2.5499999999999998E-2</v>
      </c>
      <c r="H166" s="115">
        <v>-5.9500000000000004E-2</v>
      </c>
      <c r="I166" s="115"/>
      <c r="J166" s="115"/>
      <c r="K166" s="76" t="s">
        <v>231</v>
      </c>
      <c r="L166" s="91"/>
      <c r="M166" s="91"/>
      <c r="N166" s="91"/>
      <c r="O166" s="31" t="str">
        <f t="shared" si="17"/>
        <v xml:space="preserve"> </v>
      </c>
      <c r="P166" s="31" t="str">
        <f t="shared" si="18"/>
        <v xml:space="preserve"> </v>
      </c>
      <c r="Q166" s="31" t="str">
        <f t="shared" si="19"/>
        <v xml:space="preserve"> </v>
      </c>
      <c r="R166" s="32" t="str">
        <f t="shared" si="20"/>
        <v xml:space="preserve"> </v>
      </c>
      <c r="S166" s="33" t="str">
        <f t="shared" si="21"/>
        <v xml:space="preserve"> </v>
      </c>
      <c r="T166" s="34" t="str">
        <f t="shared" si="22"/>
        <v xml:space="preserve"> </v>
      </c>
      <c r="U166" s="32" t="str">
        <f t="shared" si="23"/>
        <v/>
      </c>
      <c r="V166" s="32" t="str">
        <f t="shared" si="24"/>
        <v/>
      </c>
      <c r="W166" s="126"/>
    </row>
    <row r="167" spans="1:23" ht="18" customHeight="1">
      <c r="A167" s="30"/>
      <c r="B167" s="94" t="s">
        <v>284</v>
      </c>
      <c r="C167" s="76" t="s">
        <v>230</v>
      </c>
      <c r="D167" s="77">
        <v>0</v>
      </c>
      <c r="E167" s="77">
        <v>0.03</v>
      </c>
      <c r="F167" s="77">
        <v>-7.0000000000000007E-2</v>
      </c>
      <c r="G167" s="115">
        <v>2.5499999999999998E-2</v>
      </c>
      <c r="H167" s="115">
        <v>-5.9500000000000004E-2</v>
      </c>
      <c r="I167" s="115"/>
      <c r="J167" s="115"/>
      <c r="K167" s="76" t="s">
        <v>231</v>
      </c>
      <c r="L167" s="91"/>
      <c r="M167" s="91"/>
      <c r="N167" s="91"/>
      <c r="O167" s="31" t="str">
        <f t="shared" si="17"/>
        <v xml:space="preserve"> </v>
      </c>
      <c r="P167" s="31" t="str">
        <f t="shared" si="18"/>
        <v xml:space="preserve"> </v>
      </c>
      <c r="Q167" s="31" t="str">
        <f t="shared" si="19"/>
        <v xml:space="preserve"> </v>
      </c>
      <c r="R167" s="32" t="str">
        <f t="shared" si="20"/>
        <v xml:space="preserve"> </v>
      </c>
      <c r="S167" s="33" t="str">
        <f t="shared" si="21"/>
        <v xml:space="preserve"> </v>
      </c>
      <c r="T167" s="34" t="str">
        <f t="shared" si="22"/>
        <v xml:space="preserve"> </v>
      </c>
      <c r="U167" s="32" t="str">
        <f t="shared" si="23"/>
        <v/>
      </c>
      <c r="V167" s="32" t="str">
        <f t="shared" si="24"/>
        <v/>
      </c>
      <c r="W167" s="126"/>
    </row>
    <row r="168" spans="1:23" ht="18" customHeight="1">
      <c r="A168" s="30"/>
      <c r="B168" s="94" t="s">
        <v>285</v>
      </c>
      <c r="C168" s="76" t="s">
        <v>230</v>
      </c>
      <c r="D168" s="77">
        <v>0</v>
      </c>
      <c r="E168" s="77">
        <v>0.03</v>
      </c>
      <c r="F168" s="77">
        <v>-7.0000000000000007E-2</v>
      </c>
      <c r="G168" s="115">
        <v>2.5499999999999998E-2</v>
      </c>
      <c r="H168" s="115">
        <v>-5.9500000000000004E-2</v>
      </c>
      <c r="I168" s="115"/>
      <c r="J168" s="115"/>
      <c r="K168" s="76" t="s">
        <v>231</v>
      </c>
      <c r="L168" s="91"/>
      <c r="M168" s="91"/>
      <c r="N168" s="91"/>
      <c r="O168" s="31" t="str">
        <f t="shared" si="17"/>
        <v xml:space="preserve"> </v>
      </c>
      <c r="P168" s="31" t="str">
        <f t="shared" si="18"/>
        <v xml:space="preserve"> </v>
      </c>
      <c r="Q168" s="31" t="str">
        <f t="shared" si="19"/>
        <v xml:space="preserve"> </v>
      </c>
      <c r="R168" s="32" t="str">
        <f t="shared" si="20"/>
        <v xml:space="preserve"> </v>
      </c>
      <c r="S168" s="33" t="str">
        <f t="shared" si="21"/>
        <v xml:space="preserve"> </v>
      </c>
      <c r="T168" s="34" t="str">
        <f t="shared" si="22"/>
        <v xml:space="preserve"> </v>
      </c>
      <c r="U168" s="32" t="str">
        <f t="shared" si="23"/>
        <v/>
      </c>
      <c r="V168" s="32" t="str">
        <f t="shared" si="24"/>
        <v/>
      </c>
      <c r="W168" s="126"/>
    </row>
    <row r="169" spans="1:23" ht="18" customHeight="1">
      <c r="A169" s="30"/>
      <c r="B169" s="94" t="s">
        <v>286</v>
      </c>
      <c r="C169" s="76" t="s">
        <v>230</v>
      </c>
      <c r="D169" s="77">
        <v>0</v>
      </c>
      <c r="E169" s="77">
        <v>0.03</v>
      </c>
      <c r="F169" s="77">
        <v>-7.0000000000000007E-2</v>
      </c>
      <c r="G169" s="115">
        <v>2.5499999999999998E-2</v>
      </c>
      <c r="H169" s="115">
        <v>-5.9500000000000004E-2</v>
      </c>
      <c r="I169" s="115"/>
      <c r="J169" s="115"/>
      <c r="K169" s="76" t="s">
        <v>231</v>
      </c>
      <c r="L169" s="91"/>
      <c r="M169" s="91"/>
      <c r="N169" s="91"/>
      <c r="O169" s="31" t="str">
        <f t="shared" si="17"/>
        <v xml:space="preserve"> </v>
      </c>
      <c r="P169" s="31" t="str">
        <f t="shared" si="18"/>
        <v xml:space="preserve"> </v>
      </c>
      <c r="Q169" s="31" t="str">
        <f t="shared" si="19"/>
        <v xml:space="preserve"> </v>
      </c>
      <c r="R169" s="32" t="str">
        <f t="shared" si="20"/>
        <v xml:space="preserve"> </v>
      </c>
      <c r="S169" s="33" t="str">
        <f t="shared" si="21"/>
        <v xml:space="preserve"> </v>
      </c>
      <c r="T169" s="34" t="str">
        <f t="shared" si="22"/>
        <v xml:space="preserve"> </v>
      </c>
      <c r="U169" s="32" t="str">
        <f t="shared" si="23"/>
        <v/>
      </c>
      <c r="V169" s="32" t="str">
        <f t="shared" si="24"/>
        <v/>
      </c>
      <c r="W169" s="126"/>
    </row>
    <row r="170" spans="1:23" ht="18" customHeight="1">
      <c r="A170" s="30"/>
      <c r="B170" s="94" t="s">
        <v>287</v>
      </c>
      <c r="C170" s="76" t="s">
        <v>230</v>
      </c>
      <c r="D170" s="77">
        <v>0</v>
      </c>
      <c r="E170" s="77">
        <v>0.03</v>
      </c>
      <c r="F170" s="77">
        <v>-7.0000000000000007E-2</v>
      </c>
      <c r="G170" s="115">
        <v>2.5499999999999998E-2</v>
      </c>
      <c r="H170" s="115">
        <v>-5.9500000000000004E-2</v>
      </c>
      <c r="I170" s="115"/>
      <c r="J170" s="115"/>
      <c r="K170" s="76" t="s">
        <v>231</v>
      </c>
      <c r="L170" s="91"/>
      <c r="M170" s="91"/>
      <c r="N170" s="91"/>
      <c r="O170" s="31" t="str">
        <f t="shared" si="17"/>
        <v xml:space="preserve"> </v>
      </c>
      <c r="P170" s="31" t="str">
        <f t="shared" si="18"/>
        <v xml:space="preserve"> </v>
      </c>
      <c r="Q170" s="31" t="str">
        <f t="shared" si="19"/>
        <v xml:space="preserve"> </v>
      </c>
      <c r="R170" s="32" t="str">
        <f t="shared" si="20"/>
        <v xml:space="preserve"> </v>
      </c>
      <c r="S170" s="33" t="str">
        <f t="shared" si="21"/>
        <v xml:space="preserve"> </v>
      </c>
      <c r="T170" s="34" t="str">
        <f t="shared" si="22"/>
        <v xml:space="preserve"> </v>
      </c>
      <c r="U170" s="32" t="str">
        <f t="shared" si="23"/>
        <v/>
      </c>
      <c r="V170" s="32" t="str">
        <f t="shared" si="24"/>
        <v/>
      </c>
      <c r="W170" s="126"/>
    </row>
    <row r="171" spans="1:23" ht="18" customHeight="1">
      <c r="A171" s="30"/>
      <c r="B171" s="75" t="s">
        <v>204</v>
      </c>
      <c r="C171" s="76" t="s">
        <v>45</v>
      </c>
      <c r="D171" s="77">
        <v>1.125</v>
      </c>
      <c r="E171" s="77">
        <v>0.05</v>
      </c>
      <c r="F171" s="77">
        <v>-0.05</v>
      </c>
      <c r="G171" s="115">
        <v>1.1675</v>
      </c>
      <c r="H171" s="115">
        <v>1.0825</v>
      </c>
      <c r="I171" s="115"/>
      <c r="J171" s="115"/>
      <c r="K171" s="76" t="s">
        <v>46</v>
      </c>
      <c r="L171" s="91"/>
      <c r="M171" s="91"/>
      <c r="N171" s="91"/>
      <c r="O171" s="31" t="str">
        <f t="shared" si="17"/>
        <v xml:space="preserve"> </v>
      </c>
      <c r="P171" s="31" t="str">
        <f t="shared" si="18"/>
        <v xml:space="preserve"> </v>
      </c>
      <c r="Q171" s="31" t="str">
        <f t="shared" si="19"/>
        <v xml:space="preserve"> </v>
      </c>
      <c r="R171" s="32" t="str">
        <f t="shared" si="20"/>
        <v xml:space="preserve"> </v>
      </c>
      <c r="S171" s="33" t="str">
        <f t="shared" si="21"/>
        <v xml:space="preserve"> </v>
      </c>
      <c r="T171" s="34" t="str">
        <f t="shared" si="22"/>
        <v xml:space="preserve"> </v>
      </c>
      <c r="U171" s="32" t="str">
        <f t="shared" si="23"/>
        <v/>
      </c>
      <c r="V171" s="32" t="str">
        <f t="shared" si="24"/>
        <v/>
      </c>
      <c r="W171" s="126"/>
    </row>
    <row r="172" spans="1:23" ht="18" customHeight="1">
      <c r="A172" s="30"/>
      <c r="B172" s="75" t="s">
        <v>205</v>
      </c>
      <c r="C172" s="76" t="s">
        <v>45</v>
      </c>
      <c r="D172" s="77">
        <v>1.125</v>
      </c>
      <c r="E172" s="77">
        <v>0.05</v>
      </c>
      <c r="F172" s="77">
        <v>-0.05</v>
      </c>
      <c r="G172" s="115">
        <v>1.1675</v>
      </c>
      <c r="H172" s="115">
        <v>1.0825</v>
      </c>
      <c r="I172" s="115"/>
      <c r="J172" s="115"/>
      <c r="K172" s="76" t="s">
        <v>46</v>
      </c>
      <c r="L172" s="91"/>
      <c r="M172" s="91"/>
      <c r="N172" s="91"/>
      <c r="O172" s="31" t="str">
        <f t="shared" si="17"/>
        <v xml:space="preserve"> </v>
      </c>
      <c r="P172" s="31" t="str">
        <f t="shared" si="18"/>
        <v xml:space="preserve"> </v>
      </c>
      <c r="Q172" s="31" t="str">
        <f t="shared" si="19"/>
        <v xml:space="preserve"> </v>
      </c>
      <c r="R172" s="32" t="str">
        <f t="shared" si="20"/>
        <v xml:space="preserve"> </v>
      </c>
      <c r="S172" s="33" t="str">
        <f t="shared" si="21"/>
        <v xml:space="preserve"> </v>
      </c>
      <c r="T172" s="34" t="str">
        <f t="shared" si="22"/>
        <v xml:space="preserve"> </v>
      </c>
      <c r="U172" s="32" t="str">
        <f t="shared" si="23"/>
        <v/>
      </c>
      <c r="V172" s="32" t="str">
        <f t="shared" si="24"/>
        <v/>
      </c>
      <c r="W172" s="126"/>
    </row>
    <row r="173" spans="1:23" ht="18" customHeight="1">
      <c r="A173" s="30"/>
      <c r="B173" s="75" t="s">
        <v>206</v>
      </c>
      <c r="C173" s="76" t="s">
        <v>45</v>
      </c>
      <c r="D173" s="77">
        <v>1.125</v>
      </c>
      <c r="E173" s="77">
        <v>0.05</v>
      </c>
      <c r="F173" s="77">
        <v>-0.05</v>
      </c>
      <c r="G173" s="115">
        <v>1.1675</v>
      </c>
      <c r="H173" s="115">
        <v>1.0825</v>
      </c>
      <c r="I173" s="115"/>
      <c r="J173" s="115"/>
      <c r="K173" s="76" t="s">
        <v>46</v>
      </c>
      <c r="L173" s="91"/>
      <c r="M173" s="91"/>
      <c r="N173" s="91"/>
      <c r="O173" s="31" t="str">
        <f t="shared" si="17"/>
        <v xml:space="preserve"> </v>
      </c>
      <c r="P173" s="31" t="str">
        <f t="shared" si="18"/>
        <v xml:space="preserve"> </v>
      </c>
      <c r="Q173" s="31" t="str">
        <f t="shared" si="19"/>
        <v xml:space="preserve"> </v>
      </c>
      <c r="R173" s="32" t="str">
        <f t="shared" si="20"/>
        <v xml:space="preserve"> </v>
      </c>
      <c r="S173" s="33" t="str">
        <f t="shared" si="21"/>
        <v xml:space="preserve"> </v>
      </c>
      <c r="T173" s="34" t="str">
        <f t="shared" si="22"/>
        <v xml:space="preserve"> </v>
      </c>
      <c r="U173" s="32" t="str">
        <f t="shared" si="23"/>
        <v/>
      </c>
      <c r="V173" s="32" t="str">
        <f t="shared" si="24"/>
        <v/>
      </c>
      <c r="W173" s="126"/>
    </row>
    <row r="174" spans="1:23" ht="18" customHeight="1">
      <c r="A174" s="30"/>
      <c r="B174" s="75" t="s">
        <v>207</v>
      </c>
      <c r="C174" s="76" t="s">
        <v>45</v>
      </c>
      <c r="D174" s="77">
        <v>0.35</v>
      </c>
      <c r="E174" s="77">
        <v>0.03</v>
      </c>
      <c r="F174" s="77">
        <v>-0.03</v>
      </c>
      <c r="G174" s="115">
        <v>0.3755</v>
      </c>
      <c r="H174" s="115">
        <v>0.32449999999999996</v>
      </c>
      <c r="I174" s="115"/>
      <c r="J174" s="115"/>
      <c r="K174" s="76" t="s">
        <v>46</v>
      </c>
      <c r="L174" s="91"/>
      <c r="M174" s="91"/>
      <c r="N174" s="91"/>
      <c r="O174" s="31" t="str">
        <f t="shared" si="17"/>
        <v xml:space="preserve"> </v>
      </c>
      <c r="P174" s="31" t="str">
        <f t="shared" si="18"/>
        <v xml:space="preserve"> </v>
      </c>
      <c r="Q174" s="31" t="str">
        <f t="shared" si="19"/>
        <v xml:space="preserve"> </v>
      </c>
      <c r="R174" s="32" t="str">
        <f t="shared" si="20"/>
        <v xml:space="preserve"> </v>
      </c>
      <c r="S174" s="33" t="str">
        <f t="shared" si="21"/>
        <v xml:space="preserve"> </v>
      </c>
      <c r="T174" s="34" t="str">
        <f t="shared" si="22"/>
        <v xml:space="preserve"> </v>
      </c>
      <c r="U174" s="32" t="str">
        <f t="shared" si="23"/>
        <v/>
      </c>
      <c r="V174" s="32" t="str">
        <f t="shared" si="24"/>
        <v/>
      </c>
      <c r="W174" s="126"/>
    </row>
    <row r="175" spans="1:23" ht="18" customHeight="1">
      <c r="A175" s="30"/>
      <c r="B175" s="75" t="s">
        <v>208</v>
      </c>
      <c r="C175" s="76" t="s">
        <v>45</v>
      </c>
      <c r="D175" s="77">
        <v>0.35</v>
      </c>
      <c r="E175" s="77">
        <v>0.03</v>
      </c>
      <c r="F175" s="77">
        <v>-0.03</v>
      </c>
      <c r="G175" s="115">
        <v>0.3755</v>
      </c>
      <c r="H175" s="115">
        <v>0.32449999999999996</v>
      </c>
      <c r="I175" s="115"/>
      <c r="J175" s="115"/>
      <c r="K175" s="76" t="s">
        <v>46</v>
      </c>
      <c r="L175" s="91"/>
      <c r="M175" s="91"/>
      <c r="N175" s="91"/>
      <c r="O175" s="31" t="str">
        <f t="shared" si="17"/>
        <v xml:space="preserve"> </v>
      </c>
      <c r="P175" s="31" t="str">
        <f t="shared" si="18"/>
        <v xml:space="preserve"> </v>
      </c>
      <c r="Q175" s="31" t="str">
        <f t="shared" si="19"/>
        <v xml:space="preserve"> </v>
      </c>
      <c r="R175" s="32" t="str">
        <f t="shared" si="20"/>
        <v xml:space="preserve"> </v>
      </c>
      <c r="S175" s="33" t="str">
        <f t="shared" si="21"/>
        <v xml:space="preserve"> </v>
      </c>
      <c r="T175" s="34" t="str">
        <f t="shared" si="22"/>
        <v xml:space="preserve"> </v>
      </c>
      <c r="U175" s="32" t="str">
        <f t="shared" si="23"/>
        <v/>
      </c>
      <c r="V175" s="32" t="str">
        <f t="shared" si="24"/>
        <v/>
      </c>
      <c r="W175" s="126"/>
    </row>
    <row r="176" spans="1:23" ht="18" customHeight="1">
      <c r="A176" s="30"/>
      <c r="B176" s="75" t="s">
        <v>209</v>
      </c>
      <c r="C176" s="76" t="s">
        <v>45</v>
      </c>
      <c r="D176" s="77">
        <v>0.35</v>
      </c>
      <c r="E176" s="77">
        <v>0.03</v>
      </c>
      <c r="F176" s="77">
        <v>-0.03</v>
      </c>
      <c r="G176" s="115">
        <v>0.3755</v>
      </c>
      <c r="H176" s="115">
        <v>0.32449999999999996</v>
      </c>
      <c r="I176" s="115"/>
      <c r="J176" s="115"/>
      <c r="K176" s="76" t="s">
        <v>46</v>
      </c>
      <c r="L176" s="91"/>
      <c r="M176" s="91"/>
      <c r="N176" s="91"/>
      <c r="O176" s="31" t="str">
        <f t="shared" si="17"/>
        <v xml:space="preserve"> </v>
      </c>
      <c r="P176" s="31" t="str">
        <f t="shared" si="18"/>
        <v xml:space="preserve"> </v>
      </c>
      <c r="Q176" s="31" t="str">
        <f t="shared" si="19"/>
        <v xml:space="preserve"> </v>
      </c>
      <c r="R176" s="32" t="str">
        <f t="shared" si="20"/>
        <v xml:space="preserve"> </v>
      </c>
      <c r="S176" s="33" t="str">
        <f t="shared" si="21"/>
        <v xml:space="preserve"> </v>
      </c>
      <c r="T176" s="34" t="str">
        <f t="shared" si="22"/>
        <v xml:space="preserve"> </v>
      </c>
      <c r="U176" s="32" t="str">
        <f t="shared" si="23"/>
        <v/>
      </c>
      <c r="V176" s="32" t="str">
        <f t="shared" si="24"/>
        <v/>
      </c>
      <c r="W176" s="126"/>
    </row>
    <row r="177" spans="1:23" ht="18" customHeight="1">
      <c r="A177" s="30"/>
      <c r="B177" s="75" t="s">
        <v>210</v>
      </c>
      <c r="C177" s="76" t="s">
        <v>45</v>
      </c>
      <c r="D177" s="77">
        <v>0.35</v>
      </c>
      <c r="E177" s="77">
        <v>0.03</v>
      </c>
      <c r="F177" s="77">
        <v>-0.03</v>
      </c>
      <c r="G177" s="115">
        <v>0.3755</v>
      </c>
      <c r="H177" s="115">
        <v>0.32449999999999996</v>
      </c>
      <c r="I177" s="115"/>
      <c r="J177" s="115"/>
      <c r="K177" s="76" t="s">
        <v>46</v>
      </c>
      <c r="L177" s="91"/>
      <c r="M177" s="91"/>
      <c r="N177" s="91"/>
      <c r="O177" s="31" t="str">
        <f t="shared" si="17"/>
        <v xml:space="preserve"> </v>
      </c>
      <c r="P177" s="31" t="str">
        <f t="shared" si="18"/>
        <v xml:space="preserve"> </v>
      </c>
      <c r="Q177" s="31" t="str">
        <f t="shared" si="19"/>
        <v xml:space="preserve"> </v>
      </c>
      <c r="R177" s="32" t="str">
        <f t="shared" si="20"/>
        <v xml:space="preserve"> </v>
      </c>
      <c r="S177" s="33" t="str">
        <f t="shared" si="21"/>
        <v xml:space="preserve"> </v>
      </c>
      <c r="T177" s="34" t="str">
        <f t="shared" si="22"/>
        <v xml:space="preserve"> </v>
      </c>
      <c r="U177" s="32" t="str">
        <f t="shared" si="23"/>
        <v/>
      </c>
      <c r="V177" s="32" t="str">
        <f t="shared" si="24"/>
        <v/>
      </c>
      <c r="W177" s="126"/>
    </row>
    <row r="178" spans="1:23" ht="18" customHeight="1">
      <c r="A178" s="30"/>
      <c r="B178" s="75" t="s">
        <v>211</v>
      </c>
      <c r="C178" s="76" t="s">
        <v>45</v>
      </c>
      <c r="D178" s="77">
        <v>0.25</v>
      </c>
      <c r="E178" s="77">
        <v>0.03</v>
      </c>
      <c r="F178" s="77">
        <v>-0.03</v>
      </c>
      <c r="G178" s="115">
        <v>0.27550000000000002</v>
      </c>
      <c r="H178" s="115">
        <v>0.22450000000000001</v>
      </c>
      <c r="I178" s="115"/>
      <c r="J178" s="115"/>
      <c r="K178" s="76" t="s">
        <v>46</v>
      </c>
      <c r="L178" s="91"/>
      <c r="M178" s="91"/>
      <c r="N178" s="91"/>
      <c r="O178" s="31" t="str">
        <f t="shared" si="17"/>
        <v xml:space="preserve"> </v>
      </c>
      <c r="P178" s="31" t="str">
        <f t="shared" si="18"/>
        <v xml:space="preserve"> </v>
      </c>
      <c r="Q178" s="31" t="str">
        <f t="shared" si="19"/>
        <v xml:space="preserve"> </v>
      </c>
      <c r="R178" s="32" t="str">
        <f t="shared" si="20"/>
        <v xml:space="preserve"> </v>
      </c>
      <c r="S178" s="33" t="str">
        <f t="shared" si="21"/>
        <v xml:space="preserve"> </v>
      </c>
      <c r="T178" s="34" t="str">
        <f t="shared" si="22"/>
        <v xml:space="preserve"> </v>
      </c>
      <c r="U178" s="32" t="str">
        <f t="shared" si="23"/>
        <v/>
      </c>
      <c r="V178" s="32" t="str">
        <f t="shared" si="24"/>
        <v/>
      </c>
      <c r="W178" s="126"/>
    </row>
    <row r="179" spans="1:23" ht="18" customHeight="1">
      <c r="A179" s="30"/>
      <c r="B179" s="75" t="s">
        <v>212</v>
      </c>
      <c r="C179" s="76" t="s">
        <v>45</v>
      </c>
      <c r="D179" s="77">
        <v>0.25</v>
      </c>
      <c r="E179" s="77">
        <v>0.03</v>
      </c>
      <c r="F179" s="77">
        <v>-0.03</v>
      </c>
      <c r="G179" s="115">
        <v>0.27550000000000002</v>
      </c>
      <c r="H179" s="115">
        <v>0.22450000000000001</v>
      </c>
      <c r="I179" s="115"/>
      <c r="J179" s="115"/>
      <c r="K179" s="76" t="s">
        <v>46</v>
      </c>
      <c r="L179" s="91"/>
      <c r="M179" s="91"/>
      <c r="N179" s="91"/>
      <c r="O179" s="31" t="str">
        <f t="shared" si="17"/>
        <v xml:space="preserve"> </v>
      </c>
      <c r="P179" s="31" t="str">
        <f t="shared" si="18"/>
        <v xml:space="preserve"> </v>
      </c>
      <c r="Q179" s="31" t="str">
        <f t="shared" si="19"/>
        <v xml:space="preserve"> </v>
      </c>
      <c r="R179" s="32" t="str">
        <f t="shared" si="20"/>
        <v xml:space="preserve"> </v>
      </c>
      <c r="S179" s="33" t="str">
        <f t="shared" si="21"/>
        <v xml:space="preserve"> </v>
      </c>
      <c r="T179" s="34" t="str">
        <f t="shared" si="22"/>
        <v xml:space="preserve"> </v>
      </c>
      <c r="U179" s="32" t="str">
        <f t="shared" si="23"/>
        <v/>
      </c>
      <c r="V179" s="32" t="str">
        <f t="shared" si="24"/>
        <v/>
      </c>
      <c r="W179" s="126"/>
    </row>
    <row r="180" spans="1:23" ht="18" customHeight="1">
      <c r="A180" s="30"/>
      <c r="B180" s="75" t="s">
        <v>361</v>
      </c>
      <c r="C180" s="76" t="s">
        <v>45</v>
      </c>
      <c r="D180" s="77">
        <v>3.4249999999999998</v>
      </c>
      <c r="E180" s="77">
        <v>0.03</v>
      </c>
      <c r="F180" s="77">
        <v>-4.4999999999999998E-2</v>
      </c>
      <c r="G180" s="115">
        <v>3.4504999999999999</v>
      </c>
      <c r="H180" s="115">
        <v>3.3867499999999997</v>
      </c>
      <c r="I180" s="115"/>
      <c r="J180" s="115"/>
      <c r="K180" s="76" t="s">
        <v>46</v>
      </c>
      <c r="L180" s="91"/>
      <c r="M180" s="91"/>
      <c r="N180" s="91"/>
      <c r="O180" s="31" t="str">
        <f t="shared" si="17"/>
        <v xml:space="preserve"> </v>
      </c>
      <c r="P180" s="31" t="str">
        <f t="shared" si="18"/>
        <v xml:space="preserve"> </v>
      </c>
      <c r="Q180" s="31" t="str">
        <f t="shared" si="19"/>
        <v xml:space="preserve"> </v>
      </c>
      <c r="R180" s="32" t="str">
        <f t="shared" si="20"/>
        <v xml:space="preserve"> </v>
      </c>
      <c r="S180" s="33" t="str">
        <f t="shared" si="21"/>
        <v xml:space="preserve"> </v>
      </c>
      <c r="T180" s="34" t="str">
        <f t="shared" si="22"/>
        <v xml:space="preserve"> </v>
      </c>
      <c r="U180" s="32" t="str">
        <f t="shared" si="23"/>
        <v/>
      </c>
      <c r="V180" s="32" t="str">
        <f t="shared" si="24"/>
        <v/>
      </c>
      <c r="W180" s="126"/>
    </row>
    <row r="181" spans="1:23" ht="18" customHeight="1">
      <c r="A181" s="30"/>
      <c r="B181" s="75" t="s">
        <v>362</v>
      </c>
      <c r="C181" s="76" t="s">
        <v>45</v>
      </c>
      <c r="D181" s="77">
        <v>-0.45</v>
      </c>
      <c r="E181" s="77">
        <v>1.4999999999999999E-2</v>
      </c>
      <c r="F181" s="77">
        <v>-1.4999999999999999E-2</v>
      </c>
      <c r="G181" s="115">
        <v>-0.43725000000000003</v>
      </c>
      <c r="H181" s="115">
        <v>-0.46274999999999999</v>
      </c>
      <c r="I181" s="115"/>
      <c r="J181" s="115"/>
      <c r="K181" s="76" t="s">
        <v>231</v>
      </c>
      <c r="L181" s="91"/>
      <c r="M181" s="91"/>
      <c r="N181" s="91"/>
      <c r="O181" s="31" t="str">
        <f t="shared" si="17"/>
        <v xml:space="preserve"> </v>
      </c>
      <c r="P181" s="31" t="str">
        <f t="shared" si="18"/>
        <v xml:space="preserve"> </v>
      </c>
      <c r="Q181" s="31" t="str">
        <f t="shared" si="19"/>
        <v xml:space="preserve"> </v>
      </c>
      <c r="R181" s="32" t="str">
        <f t="shared" si="20"/>
        <v xml:space="preserve"> </v>
      </c>
      <c r="S181" s="33" t="str">
        <f t="shared" si="21"/>
        <v xml:space="preserve"> </v>
      </c>
      <c r="T181" s="34" t="str">
        <f t="shared" si="22"/>
        <v xml:space="preserve"> </v>
      </c>
      <c r="U181" s="32" t="str">
        <f t="shared" si="23"/>
        <v/>
      </c>
      <c r="V181" s="32" t="str">
        <f t="shared" si="24"/>
        <v/>
      </c>
      <c r="W181" s="126"/>
    </row>
    <row r="182" spans="1:23" ht="18" customHeight="1">
      <c r="A182" s="30"/>
      <c r="B182" s="75" t="s">
        <v>363</v>
      </c>
      <c r="C182" s="76" t="s">
        <v>45</v>
      </c>
      <c r="D182" s="77">
        <v>0</v>
      </c>
      <c r="E182" s="77">
        <v>3.0000000000000001E-3</v>
      </c>
      <c r="F182" s="77">
        <v>-3.0000000000000001E-3</v>
      </c>
      <c r="G182" s="115">
        <v>2.5500000000000002E-3</v>
      </c>
      <c r="H182" s="115">
        <v>-2.5500000000000002E-3</v>
      </c>
      <c r="I182" s="115"/>
      <c r="J182" s="115"/>
      <c r="K182" s="76" t="s">
        <v>231</v>
      </c>
      <c r="L182" s="91"/>
      <c r="M182" s="91"/>
      <c r="N182" s="91"/>
      <c r="O182" s="31" t="str">
        <f t="shared" si="17"/>
        <v xml:space="preserve"> </v>
      </c>
      <c r="P182" s="31" t="str">
        <f t="shared" si="18"/>
        <v xml:space="preserve"> </v>
      </c>
      <c r="Q182" s="31" t="str">
        <f t="shared" si="19"/>
        <v xml:space="preserve"> </v>
      </c>
      <c r="R182" s="32" t="str">
        <f t="shared" si="20"/>
        <v xml:space="preserve"> </v>
      </c>
      <c r="S182" s="33" t="str">
        <f t="shared" si="21"/>
        <v xml:space="preserve"> </v>
      </c>
      <c r="T182" s="34" t="str">
        <f t="shared" si="22"/>
        <v xml:space="preserve"> </v>
      </c>
      <c r="U182" s="32" t="str">
        <f t="shared" si="23"/>
        <v/>
      </c>
      <c r="V182" s="32" t="str">
        <f t="shared" si="24"/>
        <v/>
      </c>
      <c r="W182" s="126"/>
    </row>
    <row r="183" spans="1:23" ht="18" customHeight="1">
      <c r="A183" s="30"/>
      <c r="B183" s="75" t="s">
        <v>364</v>
      </c>
      <c r="C183" s="76" t="s">
        <v>45</v>
      </c>
      <c r="D183" s="77">
        <v>0</v>
      </c>
      <c r="E183" s="77">
        <v>3.0000000000000001E-3</v>
      </c>
      <c r="F183" s="77">
        <v>-3.0000000000000001E-3</v>
      </c>
      <c r="G183" s="115">
        <v>2.5500000000000002E-3</v>
      </c>
      <c r="H183" s="115">
        <v>-2.5500000000000002E-3</v>
      </c>
      <c r="I183" s="115"/>
      <c r="J183" s="115"/>
      <c r="K183" s="76" t="s">
        <v>231</v>
      </c>
      <c r="L183" s="91"/>
      <c r="M183" s="91"/>
      <c r="N183" s="91"/>
      <c r="O183" s="31" t="str">
        <f t="shared" si="17"/>
        <v xml:space="preserve"> </v>
      </c>
      <c r="P183" s="31" t="str">
        <f t="shared" si="18"/>
        <v xml:space="preserve"> </v>
      </c>
      <c r="Q183" s="31" t="str">
        <f t="shared" si="19"/>
        <v xml:space="preserve"> </v>
      </c>
      <c r="R183" s="32" t="str">
        <f t="shared" si="20"/>
        <v xml:space="preserve"> </v>
      </c>
      <c r="S183" s="33" t="str">
        <f t="shared" si="21"/>
        <v xml:space="preserve"> </v>
      </c>
      <c r="T183" s="34" t="str">
        <f t="shared" si="22"/>
        <v xml:space="preserve"> </v>
      </c>
      <c r="U183" s="32" t="str">
        <f t="shared" si="23"/>
        <v/>
      </c>
      <c r="V183" s="32" t="str">
        <f t="shared" si="24"/>
        <v/>
      </c>
      <c r="W183" s="126"/>
    </row>
    <row r="184" spans="1:23" ht="18" customHeight="1">
      <c r="A184" s="30"/>
      <c r="B184" s="75" t="s">
        <v>365</v>
      </c>
      <c r="C184" s="76" t="s">
        <v>45</v>
      </c>
      <c r="D184" s="77">
        <v>0</v>
      </c>
      <c r="E184" s="77">
        <v>5.0000000000000001E-3</v>
      </c>
      <c r="F184" s="77">
        <v>-8.0000000000000002E-3</v>
      </c>
      <c r="G184" s="115">
        <v>4.2500000000000003E-3</v>
      </c>
      <c r="H184" s="115">
        <v>-6.7999999999999996E-3</v>
      </c>
      <c r="I184" s="115"/>
      <c r="J184" s="115"/>
      <c r="K184" s="76" t="s">
        <v>231</v>
      </c>
      <c r="L184" s="91"/>
      <c r="M184" s="91"/>
      <c r="N184" s="91"/>
      <c r="O184" s="31" t="str">
        <f t="shared" si="17"/>
        <v xml:space="preserve"> </v>
      </c>
      <c r="P184" s="31" t="str">
        <f t="shared" si="18"/>
        <v xml:space="preserve"> </v>
      </c>
      <c r="Q184" s="31" t="str">
        <f t="shared" si="19"/>
        <v xml:space="preserve"> </v>
      </c>
      <c r="R184" s="32" t="str">
        <f t="shared" si="20"/>
        <v xml:space="preserve"> </v>
      </c>
      <c r="S184" s="33" t="str">
        <f t="shared" si="21"/>
        <v xml:space="preserve"> </v>
      </c>
      <c r="T184" s="34" t="str">
        <f t="shared" si="22"/>
        <v xml:space="preserve"> </v>
      </c>
      <c r="U184" s="32" t="str">
        <f t="shared" si="23"/>
        <v/>
      </c>
      <c r="V184" s="32" t="str">
        <f t="shared" si="24"/>
        <v/>
      </c>
      <c r="W184" s="126"/>
    </row>
    <row r="185" spans="1:23" ht="18" customHeight="1">
      <c r="A185" s="30"/>
      <c r="B185" s="75" t="s">
        <v>366</v>
      </c>
      <c r="C185" s="76" t="s">
        <v>45</v>
      </c>
      <c r="D185" s="77">
        <v>0</v>
      </c>
      <c r="E185" s="77">
        <v>7.0000000000000001E-3</v>
      </c>
      <c r="F185" s="77">
        <v>-7.0000000000000001E-3</v>
      </c>
      <c r="G185" s="115">
        <v>5.9499999999999996E-3</v>
      </c>
      <c r="H185" s="115">
        <v>-5.9499999999999996E-3</v>
      </c>
      <c r="I185" s="115"/>
      <c r="J185" s="115"/>
      <c r="K185" s="76" t="s">
        <v>231</v>
      </c>
      <c r="L185" s="91"/>
      <c r="M185" s="91"/>
      <c r="N185" s="91"/>
      <c r="O185" s="31" t="str">
        <f t="shared" si="17"/>
        <v xml:space="preserve"> </v>
      </c>
      <c r="P185" s="31" t="str">
        <f t="shared" si="18"/>
        <v xml:space="preserve"> </v>
      </c>
      <c r="Q185" s="31" t="str">
        <f t="shared" si="19"/>
        <v xml:space="preserve"> </v>
      </c>
      <c r="R185" s="32" t="str">
        <f t="shared" si="20"/>
        <v xml:space="preserve"> </v>
      </c>
      <c r="S185" s="33" t="str">
        <f t="shared" si="21"/>
        <v xml:space="preserve"> </v>
      </c>
      <c r="T185" s="34" t="str">
        <f t="shared" si="22"/>
        <v xml:space="preserve"> </v>
      </c>
      <c r="U185" s="32" t="str">
        <f t="shared" si="23"/>
        <v/>
      </c>
      <c r="V185" s="32" t="str">
        <f t="shared" si="24"/>
        <v/>
      </c>
      <c r="W185" s="126"/>
    </row>
    <row r="186" spans="1:23" ht="18" customHeight="1">
      <c r="A186" s="30"/>
      <c r="B186" s="75" t="s">
        <v>367</v>
      </c>
      <c r="C186" s="76" t="s">
        <v>45</v>
      </c>
      <c r="D186" s="77">
        <v>0</v>
      </c>
      <c r="E186" s="77">
        <v>8.0000000000000002E-3</v>
      </c>
      <c r="F186" s="77">
        <v>-8.0000000000000002E-3</v>
      </c>
      <c r="G186" s="115">
        <v>6.7999999999999996E-3</v>
      </c>
      <c r="H186" s="115">
        <v>-6.7999999999999996E-3</v>
      </c>
      <c r="I186" s="115"/>
      <c r="J186" s="115"/>
      <c r="K186" s="76" t="s">
        <v>231</v>
      </c>
      <c r="L186" s="91"/>
      <c r="M186" s="91"/>
      <c r="N186" s="91"/>
      <c r="O186" s="31" t="str">
        <f t="shared" si="17"/>
        <v xml:space="preserve"> </v>
      </c>
      <c r="P186" s="31" t="str">
        <f t="shared" si="18"/>
        <v xml:space="preserve"> </v>
      </c>
      <c r="Q186" s="31" t="str">
        <f t="shared" si="19"/>
        <v xml:space="preserve"> </v>
      </c>
      <c r="R186" s="32" t="str">
        <f t="shared" si="20"/>
        <v xml:space="preserve"> </v>
      </c>
      <c r="S186" s="33" t="str">
        <f t="shared" si="21"/>
        <v xml:space="preserve"> </v>
      </c>
      <c r="T186" s="34" t="str">
        <f t="shared" si="22"/>
        <v xml:space="preserve"> </v>
      </c>
      <c r="U186" s="32" t="str">
        <f t="shared" si="23"/>
        <v/>
      </c>
      <c r="V186" s="32" t="str">
        <f t="shared" si="24"/>
        <v/>
      </c>
      <c r="W186" s="126"/>
    </row>
    <row r="187" spans="1:23" ht="18" customHeight="1">
      <c r="A187" s="30"/>
      <c r="B187" s="75" t="s">
        <v>368</v>
      </c>
      <c r="C187" s="76" t="s">
        <v>45</v>
      </c>
      <c r="D187" s="77">
        <v>-0.45</v>
      </c>
      <c r="E187" s="77">
        <v>1.4999999999999999E-2</v>
      </c>
      <c r="F187" s="77">
        <v>-1.4999999999999999E-2</v>
      </c>
      <c r="G187" s="115">
        <v>-0.43725000000000003</v>
      </c>
      <c r="H187" s="115">
        <v>-0.46274999999999999</v>
      </c>
      <c r="I187" s="115"/>
      <c r="J187" s="115"/>
      <c r="K187" s="76" t="s">
        <v>231</v>
      </c>
      <c r="L187" s="91"/>
      <c r="M187" s="91"/>
      <c r="N187" s="91"/>
      <c r="O187" s="31" t="str">
        <f t="shared" si="17"/>
        <v xml:space="preserve"> </v>
      </c>
      <c r="P187" s="31" t="str">
        <f t="shared" si="18"/>
        <v xml:space="preserve"> </v>
      </c>
      <c r="Q187" s="31" t="str">
        <f t="shared" si="19"/>
        <v xml:space="preserve"> </v>
      </c>
      <c r="R187" s="32" t="str">
        <f t="shared" si="20"/>
        <v xml:space="preserve"> </v>
      </c>
      <c r="S187" s="33" t="str">
        <f t="shared" si="21"/>
        <v xml:space="preserve"> </v>
      </c>
      <c r="T187" s="34" t="str">
        <f t="shared" si="22"/>
        <v xml:space="preserve"> </v>
      </c>
      <c r="U187" s="32" t="str">
        <f t="shared" si="23"/>
        <v/>
      </c>
      <c r="V187" s="32" t="str">
        <f t="shared" si="24"/>
        <v/>
      </c>
      <c r="W187" s="126"/>
    </row>
    <row r="188" spans="1:23" ht="18" customHeight="1">
      <c r="A188" s="30"/>
      <c r="B188" s="75" t="s">
        <v>369</v>
      </c>
      <c r="C188" s="76" t="s">
        <v>45</v>
      </c>
      <c r="D188" s="77">
        <v>0</v>
      </c>
      <c r="E188" s="77">
        <v>3.0000000000000001E-3</v>
      </c>
      <c r="F188" s="77">
        <v>-3.0000000000000001E-3</v>
      </c>
      <c r="G188" s="115">
        <v>2.5500000000000002E-3</v>
      </c>
      <c r="H188" s="115">
        <v>-2.5500000000000002E-3</v>
      </c>
      <c r="I188" s="115"/>
      <c r="J188" s="115"/>
      <c r="K188" s="76" t="s">
        <v>231</v>
      </c>
      <c r="L188" s="91"/>
      <c r="M188" s="91"/>
      <c r="N188" s="91"/>
      <c r="O188" s="31" t="str">
        <f t="shared" si="17"/>
        <v xml:space="preserve"> </v>
      </c>
      <c r="P188" s="31" t="str">
        <f t="shared" si="18"/>
        <v xml:space="preserve"> </v>
      </c>
      <c r="Q188" s="31" t="str">
        <f t="shared" si="19"/>
        <v xml:space="preserve"> </v>
      </c>
      <c r="R188" s="32" t="str">
        <f t="shared" si="20"/>
        <v xml:space="preserve"> </v>
      </c>
      <c r="S188" s="33" t="str">
        <f t="shared" si="21"/>
        <v xml:space="preserve"> </v>
      </c>
      <c r="T188" s="34" t="str">
        <f t="shared" si="22"/>
        <v xml:space="preserve"> </v>
      </c>
      <c r="U188" s="32" t="str">
        <f t="shared" si="23"/>
        <v/>
      </c>
      <c r="V188" s="32" t="str">
        <f t="shared" si="24"/>
        <v/>
      </c>
      <c r="W188" s="126"/>
    </row>
    <row r="189" spans="1:23" ht="18" customHeight="1">
      <c r="A189" s="30"/>
      <c r="B189" s="75" t="s">
        <v>370</v>
      </c>
      <c r="C189" s="76" t="s">
        <v>45</v>
      </c>
      <c r="D189" s="77">
        <v>0</v>
      </c>
      <c r="E189" s="77">
        <v>3.0000000000000001E-3</v>
      </c>
      <c r="F189" s="77">
        <v>-3.0000000000000001E-3</v>
      </c>
      <c r="G189" s="115">
        <v>2.5500000000000002E-3</v>
      </c>
      <c r="H189" s="115">
        <v>-2.5500000000000002E-3</v>
      </c>
      <c r="I189" s="115"/>
      <c r="J189" s="115"/>
      <c r="K189" s="76" t="s">
        <v>231</v>
      </c>
      <c r="L189" s="91"/>
      <c r="M189" s="91"/>
      <c r="N189" s="91"/>
      <c r="O189" s="31" t="str">
        <f t="shared" si="17"/>
        <v xml:space="preserve"> </v>
      </c>
      <c r="P189" s="31" t="str">
        <f t="shared" si="18"/>
        <v xml:space="preserve"> </v>
      </c>
      <c r="Q189" s="31" t="str">
        <f t="shared" si="19"/>
        <v xml:space="preserve"> </v>
      </c>
      <c r="R189" s="32" t="str">
        <f t="shared" si="20"/>
        <v xml:space="preserve"> </v>
      </c>
      <c r="S189" s="33" t="str">
        <f t="shared" si="21"/>
        <v xml:space="preserve"> </v>
      </c>
      <c r="T189" s="34" t="str">
        <f t="shared" si="22"/>
        <v xml:space="preserve"> </v>
      </c>
      <c r="U189" s="32" t="str">
        <f t="shared" si="23"/>
        <v/>
      </c>
      <c r="V189" s="32" t="str">
        <f t="shared" si="24"/>
        <v/>
      </c>
      <c r="W189" s="126"/>
    </row>
    <row r="190" spans="1:23" ht="18" customHeight="1">
      <c r="A190" s="30"/>
      <c r="B190" s="75" t="s">
        <v>371</v>
      </c>
      <c r="C190" s="76" t="s">
        <v>45</v>
      </c>
      <c r="D190" s="77">
        <v>0</v>
      </c>
      <c r="E190" s="77">
        <v>5.0000000000000001E-3</v>
      </c>
      <c r="F190" s="77">
        <v>-8.0000000000000002E-3</v>
      </c>
      <c r="G190" s="115">
        <v>4.2500000000000003E-3</v>
      </c>
      <c r="H190" s="115">
        <v>-6.7999999999999996E-3</v>
      </c>
      <c r="I190" s="115"/>
      <c r="J190" s="115"/>
      <c r="K190" s="76" t="s">
        <v>231</v>
      </c>
      <c r="L190" s="91"/>
      <c r="M190" s="91"/>
      <c r="N190" s="91"/>
      <c r="O190" s="31" t="str">
        <f t="shared" si="17"/>
        <v xml:space="preserve"> </v>
      </c>
      <c r="P190" s="31" t="str">
        <f t="shared" si="18"/>
        <v xml:space="preserve"> </v>
      </c>
      <c r="Q190" s="31" t="str">
        <f t="shared" si="19"/>
        <v xml:space="preserve"> </v>
      </c>
      <c r="R190" s="32" t="str">
        <f t="shared" si="20"/>
        <v xml:space="preserve"> </v>
      </c>
      <c r="S190" s="33" t="str">
        <f t="shared" si="21"/>
        <v xml:space="preserve"> </v>
      </c>
      <c r="T190" s="34" t="str">
        <f t="shared" si="22"/>
        <v xml:space="preserve"> </v>
      </c>
      <c r="U190" s="32" t="str">
        <f t="shared" si="23"/>
        <v/>
      </c>
      <c r="V190" s="32" t="str">
        <f t="shared" si="24"/>
        <v/>
      </c>
      <c r="W190" s="126"/>
    </row>
    <row r="191" spans="1:23" ht="18" customHeight="1">
      <c r="A191" s="30"/>
      <c r="B191" s="75" t="s">
        <v>372</v>
      </c>
      <c r="C191" s="76" t="s">
        <v>45</v>
      </c>
      <c r="D191" s="77">
        <v>0</v>
      </c>
      <c r="E191" s="77">
        <v>7.0000000000000001E-3</v>
      </c>
      <c r="F191" s="77">
        <v>-7.0000000000000001E-3</v>
      </c>
      <c r="G191" s="115">
        <v>5.9499999999999996E-3</v>
      </c>
      <c r="H191" s="115">
        <v>-5.9499999999999996E-3</v>
      </c>
      <c r="I191" s="115"/>
      <c r="J191" s="115"/>
      <c r="K191" s="76" t="s">
        <v>231</v>
      </c>
      <c r="L191" s="91"/>
      <c r="M191" s="91"/>
      <c r="N191" s="91"/>
      <c r="O191" s="31" t="str">
        <f t="shared" si="17"/>
        <v xml:space="preserve"> </v>
      </c>
      <c r="P191" s="31" t="str">
        <f t="shared" si="18"/>
        <v xml:space="preserve"> </v>
      </c>
      <c r="Q191" s="31" t="str">
        <f t="shared" si="19"/>
        <v xml:space="preserve"> </v>
      </c>
      <c r="R191" s="32" t="str">
        <f t="shared" si="20"/>
        <v xml:space="preserve"> </v>
      </c>
      <c r="S191" s="33" t="str">
        <f t="shared" si="21"/>
        <v xml:space="preserve"> </v>
      </c>
      <c r="T191" s="34" t="str">
        <f t="shared" si="22"/>
        <v xml:space="preserve"> </v>
      </c>
      <c r="U191" s="32" t="str">
        <f t="shared" si="23"/>
        <v/>
      </c>
      <c r="V191" s="32" t="str">
        <f t="shared" si="24"/>
        <v/>
      </c>
      <c r="W191" s="126"/>
    </row>
    <row r="192" spans="1:23" ht="18" customHeight="1">
      <c r="A192" s="30"/>
      <c r="B192" s="75" t="s">
        <v>373</v>
      </c>
      <c r="C192" s="76" t="s">
        <v>45</v>
      </c>
      <c r="D192" s="77">
        <v>0</v>
      </c>
      <c r="E192" s="77">
        <v>8.0000000000000002E-3</v>
      </c>
      <c r="F192" s="77">
        <v>-8.0000000000000002E-3</v>
      </c>
      <c r="G192" s="115">
        <v>6.7999999999999996E-3</v>
      </c>
      <c r="H192" s="115">
        <v>-6.7999999999999996E-3</v>
      </c>
      <c r="I192" s="115"/>
      <c r="J192" s="115"/>
      <c r="K192" s="76" t="s">
        <v>231</v>
      </c>
      <c r="L192" s="91"/>
      <c r="M192" s="91"/>
      <c r="N192" s="91"/>
      <c r="O192" s="31" t="str">
        <f t="shared" si="17"/>
        <v xml:space="preserve"> </v>
      </c>
      <c r="P192" s="31" t="str">
        <f t="shared" si="18"/>
        <v xml:space="preserve"> </v>
      </c>
      <c r="Q192" s="31" t="str">
        <f t="shared" si="19"/>
        <v xml:space="preserve"> </v>
      </c>
      <c r="R192" s="32" t="str">
        <f t="shared" si="20"/>
        <v xml:space="preserve"> </v>
      </c>
      <c r="S192" s="33" t="str">
        <f t="shared" si="21"/>
        <v xml:space="preserve"> </v>
      </c>
      <c r="T192" s="34" t="str">
        <f t="shared" si="22"/>
        <v xml:space="preserve"> </v>
      </c>
      <c r="U192" s="32" t="str">
        <f t="shared" si="23"/>
        <v/>
      </c>
      <c r="V192" s="32" t="str">
        <f t="shared" si="24"/>
        <v/>
      </c>
      <c r="W192" s="126"/>
    </row>
    <row r="193" spans="1:23" ht="18" customHeight="1">
      <c r="A193" s="30"/>
      <c r="B193" s="75" t="s">
        <v>215</v>
      </c>
      <c r="C193" s="76" t="s">
        <v>45</v>
      </c>
      <c r="D193" s="77">
        <v>-0.45</v>
      </c>
      <c r="E193" s="77">
        <v>1.4999999999999999E-2</v>
      </c>
      <c r="F193" s="77">
        <v>-1.4999999999999999E-2</v>
      </c>
      <c r="G193" s="115">
        <v>-0.43725000000000003</v>
      </c>
      <c r="H193" s="115">
        <v>-0.46274999999999999</v>
      </c>
      <c r="I193" s="115"/>
      <c r="J193" s="115"/>
      <c r="K193" s="76" t="s">
        <v>231</v>
      </c>
      <c r="L193" s="91"/>
      <c r="M193" s="91"/>
      <c r="N193" s="91"/>
      <c r="O193" s="31" t="str">
        <f t="shared" si="17"/>
        <v xml:space="preserve"> </v>
      </c>
      <c r="P193" s="31" t="str">
        <f t="shared" si="18"/>
        <v xml:space="preserve"> </v>
      </c>
      <c r="Q193" s="31" t="str">
        <f t="shared" si="19"/>
        <v xml:space="preserve"> </v>
      </c>
      <c r="R193" s="32" t="str">
        <f t="shared" si="20"/>
        <v xml:space="preserve"> </v>
      </c>
      <c r="S193" s="33" t="str">
        <f t="shared" si="21"/>
        <v xml:space="preserve"> </v>
      </c>
      <c r="T193" s="34" t="str">
        <f t="shared" si="22"/>
        <v xml:space="preserve"> </v>
      </c>
      <c r="U193" s="32" t="str">
        <f t="shared" si="23"/>
        <v/>
      </c>
      <c r="V193" s="32" t="str">
        <f t="shared" si="24"/>
        <v/>
      </c>
      <c r="W193" s="126"/>
    </row>
    <row r="194" spans="1:23" ht="18" customHeight="1">
      <c r="A194" s="30"/>
      <c r="B194" s="75">
        <v>119</v>
      </c>
      <c r="C194" s="76" t="s">
        <v>45</v>
      </c>
      <c r="D194" s="77">
        <v>0</v>
      </c>
      <c r="E194" s="77">
        <v>3.0000000000000001E-3</v>
      </c>
      <c r="F194" s="77">
        <v>-3.0000000000000001E-3</v>
      </c>
      <c r="G194" s="115">
        <v>2.5500000000000002E-3</v>
      </c>
      <c r="H194" s="115">
        <v>-2.5500000000000002E-3</v>
      </c>
      <c r="I194" s="115"/>
      <c r="J194" s="115"/>
      <c r="K194" s="76" t="s">
        <v>231</v>
      </c>
      <c r="L194" s="91"/>
      <c r="M194" s="91"/>
      <c r="N194" s="91"/>
      <c r="O194" s="31" t="str">
        <f t="shared" si="17"/>
        <v xml:space="preserve"> </v>
      </c>
      <c r="P194" s="31" t="str">
        <f t="shared" si="18"/>
        <v xml:space="preserve"> </v>
      </c>
      <c r="Q194" s="31" t="str">
        <f t="shared" si="19"/>
        <v xml:space="preserve"> </v>
      </c>
      <c r="R194" s="32" t="str">
        <f t="shared" si="20"/>
        <v xml:space="preserve"> </v>
      </c>
      <c r="S194" s="33" t="str">
        <f t="shared" si="21"/>
        <v xml:space="preserve"> </v>
      </c>
      <c r="T194" s="34" t="str">
        <f t="shared" si="22"/>
        <v xml:space="preserve"> </v>
      </c>
      <c r="U194" s="32" t="str">
        <f t="shared" si="23"/>
        <v/>
      </c>
      <c r="V194" s="32" t="str">
        <f t="shared" si="24"/>
        <v/>
      </c>
      <c r="W194" s="126"/>
    </row>
    <row r="195" spans="1:23" ht="18" customHeight="1">
      <c r="A195" s="30"/>
      <c r="B195" s="75">
        <v>120</v>
      </c>
      <c r="C195" s="76" t="s">
        <v>45</v>
      </c>
      <c r="D195" s="77">
        <v>0</v>
      </c>
      <c r="E195" s="77">
        <v>3.0000000000000001E-3</v>
      </c>
      <c r="F195" s="77">
        <v>-4.0000000000000001E-3</v>
      </c>
      <c r="G195" s="115">
        <v>2.5500000000000002E-3</v>
      </c>
      <c r="H195" s="115">
        <v>-3.3999999999999998E-3</v>
      </c>
      <c r="I195" s="115"/>
      <c r="J195" s="115"/>
      <c r="K195" s="76" t="s">
        <v>231</v>
      </c>
      <c r="L195" s="91"/>
      <c r="M195" s="91"/>
      <c r="N195" s="91"/>
      <c r="O195" s="31" t="str">
        <f t="shared" si="17"/>
        <v xml:space="preserve"> </v>
      </c>
      <c r="P195" s="31" t="str">
        <f t="shared" si="18"/>
        <v xml:space="preserve"> </v>
      </c>
      <c r="Q195" s="31" t="str">
        <f t="shared" si="19"/>
        <v xml:space="preserve"> </v>
      </c>
      <c r="R195" s="32" t="str">
        <f t="shared" si="20"/>
        <v xml:space="preserve"> </v>
      </c>
      <c r="S195" s="33" t="str">
        <f t="shared" si="21"/>
        <v xml:space="preserve"> </v>
      </c>
      <c r="T195" s="34" t="str">
        <f t="shared" si="22"/>
        <v xml:space="preserve"> </v>
      </c>
      <c r="U195" s="32" t="str">
        <f t="shared" si="23"/>
        <v/>
      </c>
      <c r="V195" s="32" t="str">
        <f t="shared" si="24"/>
        <v/>
      </c>
      <c r="W195" s="126"/>
    </row>
    <row r="196" spans="1:23" ht="18" customHeight="1">
      <c r="A196" s="30"/>
      <c r="B196" s="75">
        <v>121</v>
      </c>
      <c r="C196" s="76" t="s">
        <v>45</v>
      </c>
      <c r="D196" s="77">
        <v>0</v>
      </c>
      <c r="E196" s="77">
        <v>4.0000000000000001E-3</v>
      </c>
      <c r="F196" s="77">
        <v>-6.0000000000000001E-3</v>
      </c>
      <c r="G196" s="115">
        <v>3.3999999999999998E-3</v>
      </c>
      <c r="H196" s="115">
        <v>-5.1000000000000004E-3</v>
      </c>
      <c r="I196" s="115"/>
      <c r="J196" s="115"/>
      <c r="K196" s="76" t="s">
        <v>231</v>
      </c>
      <c r="L196" s="91"/>
      <c r="M196" s="91"/>
      <c r="N196" s="91"/>
      <c r="O196" s="31" t="str">
        <f t="shared" si="17"/>
        <v xml:space="preserve"> </v>
      </c>
      <c r="P196" s="31" t="str">
        <f t="shared" si="18"/>
        <v xml:space="preserve"> </v>
      </c>
      <c r="Q196" s="31" t="str">
        <f t="shared" si="19"/>
        <v xml:space="preserve"> </v>
      </c>
      <c r="R196" s="32" t="str">
        <f t="shared" si="20"/>
        <v xml:space="preserve"> </v>
      </c>
      <c r="S196" s="33" t="str">
        <f t="shared" si="21"/>
        <v xml:space="preserve"> </v>
      </c>
      <c r="T196" s="34" t="str">
        <f t="shared" si="22"/>
        <v xml:space="preserve"> </v>
      </c>
      <c r="U196" s="32" t="str">
        <f t="shared" si="23"/>
        <v/>
      </c>
      <c r="V196" s="32" t="str">
        <f t="shared" si="24"/>
        <v/>
      </c>
      <c r="W196" s="126"/>
    </row>
    <row r="197" spans="1:23" ht="18" customHeight="1">
      <c r="A197" s="30"/>
      <c r="B197" s="75">
        <v>122</v>
      </c>
      <c r="C197" s="76" t="s">
        <v>45</v>
      </c>
      <c r="D197" s="77">
        <v>0</v>
      </c>
      <c r="E197" s="77">
        <v>5.0000000000000001E-3</v>
      </c>
      <c r="F197" s="77">
        <v>-8.9999999999999993E-3</v>
      </c>
      <c r="G197" s="115">
        <v>4.2500000000000003E-3</v>
      </c>
      <c r="H197" s="115">
        <v>-7.6499999999999988E-3</v>
      </c>
      <c r="I197" s="115"/>
      <c r="J197" s="115"/>
      <c r="K197" s="76" t="s">
        <v>231</v>
      </c>
      <c r="L197" s="91"/>
      <c r="M197" s="91"/>
      <c r="N197" s="91"/>
      <c r="O197" s="31" t="str">
        <f t="shared" si="17"/>
        <v xml:space="preserve"> </v>
      </c>
      <c r="P197" s="31" t="str">
        <f t="shared" si="18"/>
        <v xml:space="preserve"> </v>
      </c>
      <c r="Q197" s="31" t="str">
        <f t="shared" si="19"/>
        <v xml:space="preserve"> </v>
      </c>
      <c r="R197" s="32" t="str">
        <f t="shared" si="20"/>
        <v xml:space="preserve"> </v>
      </c>
      <c r="S197" s="33" t="str">
        <f t="shared" si="21"/>
        <v xml:space="preserve"> </v>
      </c>
      <c r="T197" s="34" t="str">
        <f t="shared" si="22"/>
        <v xml:space="preserve"> </v>
      </c>
      <c r="U197" s="32" t="str">
        <f t="shared" si="23"/>
        <v/>
      </c>
      <c r="V197" s="32" t="str">
        <f t="shared" si="24"/>
        <v/>
      </c>
      <c r="W197" s="126"/>
    </row>
    <row r="198" spans="1:23" ht="18" customHeight="1">
      <c r="A198" s="30"/>
      <c r="B198" s="75">
        <v>123</v>
      </c>
      <c r="C198" s="76" t="s">
        <v>45</v>
      </c>
      <c r="D198" s="77">
        <v>0</v>
      </c>
      <c r="E198" s="77">
        <v>6.0000000000000001E-3</v>
      </c>
      <c r="F198" s="77">
        <v>-0.01</v>
      </c>
      <c r="G198" s="115">
        <v>5.1000000000000004E-3</v>
      </c>
      <c r="H198" s="115">
        <v>-8.5000000000000006E-3</v>
      </c>
      <c r="I198" s="115"/>
      <c r="J198" s="115"/>
      <c r="K198" s="76" t="s">
        <v>231</v>
      </c>
      <c r="L198" s="91"/>
      <c r="M198" s="91"/>
      <c r="N198" s="91"/>
      <c r="O198" s="31" t="str">
        <f t="shared" ref="O198:O243" si="25">IF(ISERR(L198/L198)=TRUE," ",L198-$D198)</f>
        <v xml:space="preserve"> </v>
      </c>
      <c r="P198" s="31" t="str">
        <f t="shared" ref="P198:P243" si="26">IF(ISERR(M198/M198)=TRUE," ",M198-$D198)</f>
        <v xml:space="preserve"> </v>
      </c>
      <c r="Q198" s="31" t="str">
        <f t="shared" ref="Q198:Q243" si="27">IF(ISERR(N198/N198)=TRUE," ",N198-$D198)</f>
        <v xml:space="preserve"> </v>
      </c>
      <c r="R198" s="32" t="str">
        <f t="shared" ref="R198:R243" si="28">IF(ISERR(L198/L198)=TRUE," ",AVERAGE(L198:N198))</f>
        <v xml:space="preserve"> </v>
      </c>
      <c r="S198" s="33" t="str">
        <f t="shared" ref="S198:S243" si="29">IF(ISERR(E198/E198)=TRUE," ",IF(ISERR(L198/L198)=TRUE," ",IF(ISNUMBER($L198)=FALSE," ",IF(MAX($L198:$N198)&lt;$D198,0,(MAX($L198:$N198)-$D198)/$E198))))</f>
        <v xml:space="preserve"> </v>
      </c>
      <c r="T198" s="34" t="str">
        <f t="shared" ref="T198:T243" si="30">IF(ISERR(F198/D198)=TRUE," ",IF(ISERR(F198/F198)=TRUE," ",IF(ISERR(L198/L198)=TRUE," ",IF(ISNUMBER(L198)=FALSE," ",IF(MIN(L198:N198)&gt;$D198,0,($D198-MIN(L198:N198))/-F198)))))</f>
        <v xml:space="preserve"> </v>
      </c>
      <c r="U198" s="32" t="str">
        <f t="shared" si="23"/>
        <v/>
      </c>
      <c r="V198" s="32" t="str">
        <f t="shared" si="24"/>
        <v/>
      </c>
      <c r="W198" s="126"/>
    </row>
    <row r="199" spans="1:23" ht="18" customHeight="1">
      <c r="A199" s="30"/>
      <c r="B199" s="75">
        <v>124</v>
      </c>
      <c r="C199" s="76" t="s">
        <v>45</v>
      </c>
      <c r="D199" s="77">
        <v>92.1</v>
      </c>
      <c r="E199" s="77">
        <v>3</v>
      </c>
      <c r="F199" s="77">
        <v>-3</v>
      </c>
      <c r="G199" s="115">
        <v>94.649999999999991</v>
      </c>
      <c r="H199" s="115">
        <v>89.55</v>
      </c>
      <c r="I199" s="115"/>
      <c r="J199" s="115"/>
      <c r="K199" s="76" t="s">
        <v>46</v>
      </c>
      <c r="L199" s="91"/>
      <c r="M199" s="91"/>
      <c r="N199" s="91"/>
      <c r="O199" s="31" t="str">
        <f t="shared" si="25"/>
        <v xml:space="preserve"> </v>
      </c>
      <c r="P199" s="31" t="str">
        <f t="shared" si="26"/>
        <v xml:space="preserve"> </v>
      </c>
      <c r="Q199" s="31" t="str">
        <f t="shared" si="27"/>
        <v xml:space="preserve"> </v>
      </c>
      <c r="R199" s="32" t="str">
        <f t="shared" si="28"/>
        <v xml:space="preserve"> </v>
      </c>
      <c r="S199" s="33" t="str">
        <f t="shared" si="29"/>
        <v xml:space="preserve"> </v>
      </c>
      <c r="T199" s="34" t="str">
        <f t="shared" si="30"/>
        <v xml:space="preserve"> </v>
      </c>
      <c r="U199" s="32" t="str">
        <f t="shared" si="23"/>
        <v/>
      </c>
      <c r="V199" s="32" t="str">
        <f t="shared" si="24"/>
        <v/>
      </c>
      <c r="W199" s="126"/>
    </row>
    <row r="200" spans="1:23" ht="18" customHeight="1">
      <c r="A200" s="30"/>
      <c r="B200" s="75">
        <v>125</v>
      </c>
      <c r="C200" s="76" t="s">
        <v>45</v>
      </c>
      <c r="D200" s="77">
        <v>91.9</v>
      </c>
      <c r="E200" s="77">
        <v>3</v>
      </c>
      <c r="F200" s="77">
        <v>-3</v>
      </c>
      <c r="G200" s="115">
        <v>94.45</v>
      </c>
      <c r="H200" s="115">
        <v>89.350000000000009</v>
      </c>
      <c r="I200" s="115"/>
      <c r="J200" s="115"/>
      <c r="K200" s="76" t="s">
        <v>46</v>
      </c>
      <c r="L200" s="91"/>
      <c r="M200" s="91"/>
      <c r="N200" s="91"/>
      <c r="O200" s="31" t="str">
        <f t="shared" si="25"/>
        <v xml:space="preserve"> </v>
      </c>
      <c r="P200" s="31" t="str">
        <f t="shared" si="26"/>
        <v xml:space="preserve"> </v>
      </c>
      <c r="Q200" s="31" t="str">
        <f t="shared" si="27"/>
        <v xml:space="preserve"> </v>
      </c>
      <c r="R200" s="32" t="str">
        <f t="shared" si="28"/>
        <v xml:space="preserve"> </v>
      </c>
      <c r="S200" s="33" t="str">
        <f t="shared" si="29"/>
        <v xml:space="preserve"> </v>
      </c>
      <c r="T200" s="34" t="str">
        <f t="shared" si="30"/>
        <v xml:space="preserve"> </v>
      </c>
      <c r="U200" s="32" t="str">
        <f t="shared" si="23"/>
        <v/>
      </c>
      <c r="V200" s="32" t="str">
        <f t="shared" si="24"/>
        <v/>
      </c>
      <c r="W200" s="126"/>
    </row>
    <row r="201" spans="1:23" ht="18" customHeight="1">
      <c r="A201" s="30"/>
      <c r="B201" s="75">
        <v>126</v>
      </c>
      <c r="C201" s="76" t="s">
        <v>45</v>
      </c>
      <c r="D201" s="77">
        <v>0.26100000000000001</v>
      </c>
      <c r="E201" s="77">
        <v>0.03</v>
      </c>
      <c r="F201" s="77">
        <v>-0.03</v>
      </c>
      <c r="G201" s="115">
        <v>0.28650000000000003</v>
      </c>
      <c r="H201" s="115">
        <v>0.23550000000000001</v>
      </c>
      <c r="I201" s="115"/>
      <c r="J201" s="115"/>
      <c r="K201" s="76" t="s">
        <v>46</v>
      </c>
      <c r="L201" s="91"/>
      <c r="M201" s="91"/>
      <c r="N201" s="91"/>
      <c r="O201" s="31" t="str">
        <f t="shared" si="25"/>
        <v xml:space="preserve"> </v>
      </c>
      <c r="P201" s="31" t="str">
        <f t="shared" si="26"/>
        <v xml:space="preserve"> </v>
      </c>
      <c r="Q201" s="31" t="str">
        <f t="shared" si="27"/>
        <v xml:space="preserve"> </v>
      </c>
      <c r="R201" s="32" t="str">
        <f t="shared" si="28"/>
        <v xml:space="preserve"> </v>
      </c>
      <c r="S201" s="33" t="str">
        <f t="shared" si="29"/>
        <v xml:space="preserve"> </v>
      </c>
      <c r="T201" s="34" t="str">
        <f t="shared" si="30"/>
        <v xml:space="preserve"> </v>
      </c>
      <c r="U201" s="32" t="str">
        <f t="shared" si="23"/>
        <v/>
      </c>
      <c r="V201" s="32" t="str">
        <f t="shared" si="24"/>
        <v/>
      </c>
      <c r="W201" s="126"/>
    </row>
    <row r="202" spans="1:23" ht="18" customHeight="1">
      <c r="A202" s="30"/>
      <c r="B202" s="75" t="s">
        <v>216</v>
      </c>
      <c r="C202" s="76" t="s">
        <v>45</v>
      </c>
      <c r="D202" s="77">
        <v>21.385999999999999</v>
      </c>
      <c r="E202" s="77">
        <v>0.03</v>
      </c>
      <c r="F202" s="77">
        <v>-0.03</v>
      </c>
      <c r="G202" s="115">
        <v>21.4115</v>
      </c>
      <c r="H202" s="115">
        <v>21.360499999999998</v>
      </c>
      <c r="I202" s="115"/>
      <c r="J202" s="115"/>
      <c r="K202" s="76" t="s">
        <v>46</v>
      </c>
      <c r="L202" s="91"/>
      <c r="M202" s="91"/>
      <c r="N202" s="91"/>
      <c r="O202" s="31" t="str">
        <f t="shared" si="25"/>
        <v xml:space="preserve"> </v>
      </c>
      <c r="P202" s="31" t="str">
        <f t="shared" si="26"/>
        <v xml:space="preserve"> </v>
      </c>
      <c r="Q202" s="31" t="str">
        <f t="shared" si="27"/>
        <v xml:space="preserve"> </v>
      </c>
      <c r="R202" s="32" t="str">
        <f t="shared" si="28"/>
        <v xml:space="preserve"> </v>
      </c>
      <c r="S202" s="33" t="str">
        <f t="shared" si="29"/>
        <v xml:space="preserve"> </v>
      </c>
      <c r="T202" s="34" t="str">
        <f t="shared" si="30"/>
        <v xml:space="preserve"> </v>
      </c>
      <c r="U202" s="32" t="str">
        <f t="shared" si="23"/>
        <v/>
      </c>
      <c r="V202" s="32" t="str">
        <f t="shared" si="24"/>
        <v/>
      </c>
      <c r="W202" s="126"/>
    </row>
    <row r="203" spans="1:23" ht="18" customHeight="1">
      <c r="A203" s="30"/>
      <c r="B203" s="75" t="s">
        <v>217</v>
      </c>
      <c r="C203" s="76" t="s">
        <v>45</v>
      </c>
      <c r="D203" s="77">
        <v>21.385999999999999</v>
      </c>
      <c r="E203" s="77">
        <v>0.03</v>
      </c>
      <c r="F203" s="77">
        <v>-0.03</v>
      </c>
      <c r="G203" s="115">
        <v>21.4115</v>
      </c>
      <c r="H203" s="115">
        <v>21.360499999999998</v>
      </c>
      <c r="I203" s="115"/>
      <c r="J203" s="115"/>
      <c r="K203" s="76" t="s">
        <v>46</v>
      </c>
      <c r="L203" s="91"/>
      <c r="M203" s="91"/>
      <c r="N203" s="91"/>
      <c r="O203" s="31" t="str">
        <f t="shared" si="25"/>
        <v xml:space="preserve"> </v>
      </c>
      <c r="P203" s="31" t="str">
        <f t="shared" si="26"/>
        <v xml:space="preserve"> </v>
      </c>
      <c r="Q203" s="31" t="str">
        <f t="shared" si="27"/>
        <v xml:space="preserve"> </v>
      </c>
      <c r="R203" s="32" t="str">
        <f t="shared" si="28"/>
        <v xml:space="preserve"> </v>
      </c>
      <c r="S203" s="33" t="str">
        <f t="shared" si="29"/>
        <v xml:space="preserve"> </v>
      </c>
      <c r="T203" s="34" t="str">
        <f t="shared" si="30"/>
        <v xml:space="preserve"> </v>
      </c>
      <c r="U203" s="32" t="str">
        <f t="shared" si="23"/>
        <v/>
      </c>
      <c r="V203" s="32" t="str">
        <f t="shared" si="24"/>
        <v/>
      </c>
      <c r="W203" s="126"/>
    </row>
    <row r="204" spans="1:23" ht="18" customHeight="1">
      <c r="A204" s="30"/>
      <c r="B204" s="75" t="s">
        <v>218</v>
      </c>
      <c r="C204" s="76" t="s">
        <v>45</v>
      </c>
      <c r="D204" s="77">
        <v>1.1240000000000001</v>
      </c>
      <c r="E204" s="77">
        <v>0.03</v>
      </c>
      <c r="F204" s="77">
        <v>-0.03</v>
      </c>
      <c r="G204" s="115">
        <v>1.1495000000000002</v>
      </c>
      <c r="H204" s="115">
        <v>1.0985</v>
      </c>
      <c r="I204" s="115"/>
      <c r="J204" s="115"/>
      <c r="K204" s="76" t="s">
        <v>46</v>
      </c>
      <c r="L204" s="91"/>
      <c r="M204" s="91"/>
      <c r="N204" s="91"/>
      <c r="O204" s="31" t="str">
        <f t="shared" si="25"/>
        <v xml:space="preserve"> </v>
      </c>
      <c r="P204" s="31" t="str">
        <f t="shared" si="26"/>
        <v xml:space="preserve"> </v>
      </c>
      <c r="Q204" s="31" t="str">
        <f t="shared" si="27"/>
        <v xml:space="preserve"> </v>
      </c>
      <c r="R204" s="32" t="str">
        <f t="shared" si="28"/>
        <v xml:space="preserve"> </v>
      </c>
      <c r="S204" s="33" t="str">
        <f t="shared" si="29"/>
        <v xml:space="preserve"> </v>
      </c>
      <c r="T204" s="34" t="str">
        <f t="shared" si="30"/>
        <v xml:space="preserve"> </v>
      </c>
      <c r="U204" s="32" t="str">
        <f t="shared" si="23"/>
        <v/>
      </c>
      <c r="V204" s="32" t="str">
        <f t="shared" si="24"/>
        <v/>
      </c>
      <c r="W204" s="126"/>
    </row>
    <row r="205" spans="1:23" ht="18" customHeight="1">
      <c r="A205" s="30"/>
      <c r="B205" s="75" t="s">
        <v>219</v>
      </c>
      <c r="C205" s="76" t="s">
        <v>45</v>
      </c>
      <c r="D205" s="77">
        <v>1.1240000000000001</v>
      </c>
      <c r="E205" s="77">
        <v>0.03</v>
      </c>
      <c r="F205" s="77">
        <v>-0.03</v>
      </c>
      <c r="G205" s="115">
        <v>1.1495000000000002</v>
      </c>
      <c r="H205" s="115">
        <v>1.0985</v>
      </c>
      <c r="I205" s="115"/>
      <c r="J205" s="115"/>
      <c r="K205" s="76" t="s">
        <v>46</v>
      </c>
      <c r="L205" s="91"/>
      <c r="M205" s="91"/>
      <c r="N205" s="91"/>
      <c r="O205" s="31" t="str">
        <f t="shared" si="25"/>
        <v xml:space="preserve"> </v>
      </c>
      <c r="P205" s="31" t="str">
        <f t="shared" si="26"/>
        <v xml:space="preserve"> </v>
      </c>
      <c r="Q205" s="31" t="str">
        <f t="shared" si="27"/>
        <v xml:space="preserve"> </v>
      </c>
      <c r="R205" s="32" t="str">
        <f t="shared" si="28"/>
        <v xml:space="preserve"> </v>
      </c>
      <c r="S205" s="33" t="str">
        <f t="shared" si="29"/>
        <v xml:space="preserve"> </v>
      </c>
      <c r="T205" s="34" t="str">
        <f t="shared" si="30"/>
        <v xml:space="preserve"> </v>
      </c>
      <c r="U205" s="32" t="str">
        <f t="shared" si="23"/>
        <v/>
      </c>
      <c r="V205" s="32" t="str">
        <f t="shared" si="24"/>
        <v/>
      </c>
      <c r="W205" s="126"/>
    </row>
    <row r="206" spans="1:23" ht="18" customHeight="1">
      <c r="A206" s="30"/>
      <c r="B206" s="75" t="s">
        <v>220</v>
      </c>
      <c r="C206" s="76" t="s">
        <v>45</v>
      </c>
      <c r="D206" s="77">
        <v>3.1509999999999998</v>
      </c>
      <c r="E206" s="77">
        <v>0.03</v>
      </c>
      <c r="F206" s="77">
        <v>-0.03</v>
      </c>
      <c r="G206" s="115">
        <v>3.1764999999999999</v>
      </c>
      <c r="H206" s="115">
        <v>3.1254999999999997</v>
      </c>
      <c r="I206" s="115"/>
      <c r="J206" s="115"/>
      <c r="K206" s="76" t="s">
        <v>46</v>
      </c>
      <c r="L206" s="91"/>
      <c r="M206" s="91"/>
      <c r="N206" s="91"/>
      <c r="O206" s="31" t="str">
        <f t="shared" si="25"/>
        <v xml:space="preserve"> </v>
      </c>
      <c r="P206" s="31" t="str">
        <f t="shared" si="26"/>
        <v xml:space="preserve"> </v>
      </c>
      <c r="Q206" s="31" t="str">
        <f t="shared" si="27"/>
        <v xml:space="preserve"> </v>
      </c>
      <c r="R206" s="32" t="str">
        <f t="shared" si="28"/>
        <v xml:space="preserve"> </v>
      </c>
      <c r="S206" s="33" t="str">
        <f t="shared" si="29"/>
        <v xml:space="preserve"> </v>
      </c>
      <c r="T206" s="34" t="str">
        <f t="shared" si="30"/>
        <v xml:space="preserve"> </v>
      </c>
      <c r="U206" s="32" t="str">
        <f t="shared" si="23"/>
        <v/>
      </c>
      <c r="V206" s="32" t="str">
        <f t="shared" si="24"/>
        <v/>
      </c>
      <c r="W206" s="126"/>
    </row>
    <row r="207" spans="1:23" ht="18" customHeight="1">
      <c r="A207" s="30"/>
      <c r="B207" s="75" t="s">
        <v>221</v>
      </c>
      <c r="C207" s="76" t="s">
        <v>45</v>
      </c>
      <c r="D207" s="77">
        <v>3.1509999999999998</v>
      </c>
      <c r="E207" s="77">
        <v>0.03</v>
      </c>
      <c r="F207" s="77">
        <v>-0.03</v>
      </c>
      <c r="G207" s="115">
        <v>3.1764999999999999</v>
      </c>
      <c r="H207" s="115">
        <v>3.1254999999999997</v>
      </c>
      <c r="I207" s="115"/>
      <c r="J207" s="115"/>
      <c r="K207" s="76" t="s">
        <v>46</v>
      </c>
      <c r="L207" s="91"/>
      <c r="M207" s="91"/>
      <c r="N207" s="91"/>
      <c r="O207" s="31" t="str">
        <f t="shared" si="25"/>
        <v xml:space="preserve"> </v>
      </c>
      <c r="P207" s="31" t="str">
        <f t="shared" si="26"/>
        <v xml:space="preserve"> </v>
      </c>
      <c r="Q207" s="31" t="str">
        <f t="shared" si="27"/>
        <v xml:space="preserve"> </v>
      </c>
      <c r="R207" s="32" t="str">
        <f t="shared" si="28"/>
        <v xml:space="preserve"> </v>
      </c>
      <c r="S207" s="33" t="str">
        <f t="shared" si="29"/>
        <v xml:space="preserve"> </v>
      </c>
      <c r="T207" s="34" t="str">
        <f t="shared" si="30"/>
        <v xml:space="preserve"> </v>
      </c>
      <c r="U207" s="32" t="str">
        <f t="shared" si="23"/>
        <v/>
      </c>
      <c r="V207" s="32" t="str">
        <f t="shared" si="24"/>
        <v/>
      </c>
      <c r="W207" s="126"/>
    </row>
    <row r="208" spans="1:23" ht="18" customHeight="1">
      <c r="A208" s="30"/>
      <c r="B208" s="75" t="s">
        <v>222</v>
      </c>
      <c r="C208" s="76" t="s">
        <v>45</v>
      </c>
      <c r="D208" s="77">
        <v>16.852</v>
      </c>
      <c r="E208" s="77">
        <v>0.03</v>
      </c>
      <c r="F208" s="77">
        <v>-0.03</v>
      </c>
      <c r="G208" s="115">
        <v>16.877500000000001</v>
      </c>
      <c r="H208" s="115">
        <v>16.826499999999999</v>
      </c>
      <c r="I208" s="115"/>
      <c r="J208" s="115"/>
      <c r="K208" s="76" t="s">
        <v>46</v>
      </c>
      <c r="L208" s="91"/>
      <c r="M208" s="91"/>
      <c r="N208" s="91"/>
      <c r="O208" s="31" t="str">
        <f t="shared" si="25"/>
        <v xml:space="preserve"> </v>
      </c>
      <c r="P208" s="31" t="str">
        <f t="shared" si="26"/>
        <v xml:space="preserve"> </v>
      </c>
      <c r="Q208" s="31" t="str">
        <f t="shared" si="27"/>
        <v xml:space="preserve"> </v>
      </c>
      <c r="R208" s="32" t="str">
        <f t="shared" si="28"/>
        <v xml:space="preserve"> </v>
      </c>
      <c r="S208" s="33" t="str">
        <f t="shared" si="29"/>
        <v xml:space="preserve"> </v>
      </c>
      <c r="T208" s="34" t="str">
        <f t="shared" si="30"/>
        <v xml:space="preserve"> </v>
      </c>
      <c r="U208" s="32" t="str">
        <f t="shared" si="23"/>
        <v/>
      </c>
      <c r="V208" s="32" t="str">
        <f t="shared" si="24"/>
        <v/>
      </c>
      <c r="W208" s="126"/>
    </row>
    <row r="209" spans="1:23" ht="18" customHeight="1">
      <c r="A209" s="30"/>
      <c r="B209" s="75" t="s">
        <v>223</v>
      </c>
      <c r="C209" s="76" t="s">
        <v>45</v>
      </c>
      <c r="D209" s="77">
        <v>16.852</v>
      </c>
      <c r="E209" s="77">
        <v>0.03</v>
      </c>
      <c r="F209" s="77">
        <v>-0.03</v>
      </c>
      <c r="G209" s="115">
        <v>16.877500000000001</v>
      </c>
      <c r="H209" s="115">
        <v>16.826499999999999</v>
      </c>
      <c r="I209" s="115"/>
      <c r="J209" s="115"/>
      <c r="K209" s="76" t="s">
        <v>46</v>
      </c>
      <c r="L209" s="91"/>
      <c r="M209" s="91"/>
      <c r="N209" s="91"/>
      <c r="O209" s="31" t="str">
        <f t="shared" si="25"/>
        <v xml:space="preserve"> </v>
      </c>
      <c r="P209" s="31" t="str">
        <f t="shared" si="26"/>
        <v xml:space="preserve"> </v>
      </c>
      <c r="Q209" s="31" t="str">
        <f t="shared" si="27"/>
        <v xml:space="preserve"> </v>
      </c>
      <c r="R209" s="32" t="str">
        <f t="shared" si="28"/>
        <v xml:space="preserve"> </v>
      </c>
      <c r="S209" s="33" t="str">
        <f t="shared" si="29"/>
        <v xml:space="preserve"> </v>
      </c>
      <c r="T209" s="34" t="str">
        <f t="shared" si="30"/>
        <v xml:space="preserve"> </v>
      </c>
      <c r="U209" s="32" t="str">
        <f t="shared" si="23"/>
        <v/>
      </c>
      <c r="V209" s="32" t="str">
        <f t="shared" si="24"/>
        <v/>
      </c>
      <c r="W209" s="126"/>
    </row>
    <row r="210" spans="1:23" ht="18" customHeight="1">
      <c r="A210" s="30"/>
      <c r="B210" s="75">
        <v>131</v>
      </c>
      <c r="C210" s="76" t="s">
        <v>228</v>
      </c>
      <c r="D210" s="77">
        <v>0.4</v>
      </c>
      <c r="E210" s="77">
        <v>0.03</v>
      </c>
      <c r="F210" s="77">
        <v>-0.03</v>
      </c>
      <c r="G210" s="115">
        <v>0.42550000000000004</v>
      </c>
      <c r="H210" s="115">
        <v>0.3745</v>
      </c>
      <c r="I210" s="115"/>
      <c r="J210" s="115"/>
      <c r="K210" s="76" t="s">
        <v>46</v>
      </c>
      <c r="L210" s="91"/>
      <c r="M210" s="91"/>
      <c r="N210" s="91"/>
      <c r="O210" s="31" t="str">
        <f t="shared" si="25"/>
        <v xml:space="preserve"> </v>
      </c>
      <c r="P210" s="31" t="str">
        <f t="shared" si="26"/>
        <v xml:space="preserve"> </v>
      </c>
      <c r="Q210" s="31" t="str">
        <f t="shared" si="27"/>
        <v xml:space="preserve"> </v>
      </c>
      <c r="R210" s="32" t="str">
        <f t="shared" si="28"/>
        <v xml:space="preserve"> </v>
      </c>
      <c r="S210" s="33" t="str">
        <f t="shared" si="29"/>
        <v xml:space="preserve"> </v>
      </c>
      <c r="T210" s="34" t="str">
        <f t="shared" si="30"/>
        <v xml:space="preserve"> </v>
      </c>
      <c r="U210" s="32" t="str">
        <f t="shared" si="23"/>
        <v/>
      </c>
      <c r="V210" s="32" t="str">
        <f t="shared" si="24"/>
        <v/>
      </c>
      <c r="W210" s="126"/>
    </row>
    <row r="211" spans="1:23" ht="18" customHeight="1">
      <c r="A211" s="30"/>
      <c r="B211" s="75">
        <v>132</v>
      </c>
      <c r="C211" s="76" t="s">
        <v>229</v>
      </c>
      <c r="D211" s="77"/>
      <c r="E211" s="77">
        <v>0.08</v>
      </c>
      <c r="F211" s="77"/>
      <c r="G211" s="115">
        <v>6.8000000000000005E-2</v>
      </c>
      <c r="H211" s="115">
        <v>0</v>
      </c>
      <c r="I211" s="115"/>
      <c r="J211" s="115"/>
      <c r="K211" s="76" t="s">
        <v>46</v>
      </c>
      <c r="L211" s="91"/>
      <c r="M211" s="91"/>
      <c r="N211" s="91"/>
      <c r="O211" s="31" t="str">
        <f t="shared" si="25"/>
        <v xml:space="preserve"> </v>
      </c>
      <c r="P211" s="31" t="str">
        <f t="shared" si="26"/>
        <v xml:space="preserve"> </v>
      </c>
      <c r="Q211" s="31" t="str">
        <f t="shared" si="27"/>
        <v xml:space="preserve"> </v>
      </c>
      <c r="R211" s="32" t="str">
        <f t="shared" si="28"/>
        <v xml:space="preserve"> </v>
      </c>
      <c r="S211" s="33" t="str">
        <f t="shared" si="29"/>
        <v xml:space="preserve"> </v>
      </c>
      <c r="T211" s="34" t="str">
        <f t="shared" si="30"/>
        <v xml:space="preserve"> </v>
      </c>
      <c r="U211" s="32" t="str">
        <f t="shared" si="23"/>
        <v/>
      </c>
      <c r="V211" s="32" t="str">
        <f t="shared" si="24"/>
        <v/>
      </c>
      <c r="W211" s="126"/>
    </row>
    <row r="212" spans="1:23" ht="18" customHeight="1">
      <c r="A212" s="30"/>
      <c r="B212" s="75">
        <v>133</v>
      </c>
      <c r="C212" s="76" t="s">
        <v>230</v>
      </c>
      <c r="D212" s="77"/>
      <c r="E212" s="77">
        <v>0.05</v>
      </c>
      <c r="F212" s="77"/>
      <c r="G212" s="115">
        <v>4.2500000000000003E-2</v>
      </c>
      <c r="H212" s="115">
        <v>0</v>
      </c>
      <c r="I212" s="115"/>
      <c r="J212" s="115"/>
      <c r="K212" s="76" t="s">
        <v>46</v>
      </c>
      <c r="L212" s="91"/>
      <c r="M212" s="91"/>
      <c r="N212" s="91"/>
      <c r="O212" s="31" t="str">
        <f t="shared" si="25"/>
        <v xml:space="preserve"> </v>
      </c>
      <c r="P212" s="31" t="str">
        <f t="shared" si="26"/>
        <v xml:space="preserve"> </v>
      </c>
      <c r="Q212" s="31" t="str">
        <f t="shared" si="27"/>
        <v xml:space="preserve"> </v>
      </c>
      <c r="R212" s="32" t="str">
        <f t="shared" si="28"/>
        <v xml:space="preserve"> </v>
      </c>
      <c r="S212" s="33" t="str">
        <f t="shared" si="29"/>
        <v xml:space="preserve"> </v>
      </c>
      <c r="T212" s="34" t="str">
        <f t="shared" si="30"/>
        <v xml:space="preserve"> </v>
      </c>
      <c r="U212" s="32" t="str">
        <f t="shared" ref="U212:U243" si="31">IF(ISNUMBER($S212)=TRUE,IF($S212&gt;0.651,IF($S212&gt;1.001,"Reject","Alert"),""),"")</f>
        <v/>
      </c>
      <c r="V212" s="32" t="str">
        <f t="shared" si="24"/>
        <v/>
      </c>
      <c r="W212" s="126"/>
    </row>
    <row r="213" spans="1:23" ht="18" customHeight="1">
      <c r="A213" s="30"/>
      <c r="B213" s="75">
        <v>135</v>
      </c>
      <c r="C213" s="76" t="s">
        <v>230</v>
      </c>
      <c r="D213" s="77"/>
      <c r="E213" s="77">
        <v>0.05</v>
      </c>
      <c r="F213" s="77"/>
      <c r="G213" s="115">
        <v>4.2500000000000003E-2</v>
      </c>
      <c r="H213" s="115">
        <v>0</v>
      </c>
      <c r="I213" s="115"/>
      <c r="J213" s="115"/>
      <c r="K213" s="76" t="s">
        <v>46</v>
      </c>
      <c r="L213" s="91"/>
      <c r="M213" s="91"/>
      <c r="N213" s="91"/>
      <c r="O213" s="31" t="str">
        <f t="shared" si="25"/>
        <v xml:space="preserve"> </v>
      </c>
      <c r="P213" s="31" t="str">
        <f t="shared" si="26"/>
        <v xml:space="preserve"> </v>
      </c>
      <c r="Q213" s="31" t="str">
        <f t="shared" si="27"/>
        <v xml:space="preserve"> </v>
      </c>
      <c r="R213" s="32" t="str">
        <f t="shared" si="28"/>
        <v xml:space="preserve"> </v>
      </c>
      <c r="S213" s="33" t="str">
        <f t="shared" si="29"/>
        <v xml:space="preserve"> </v>
      </c>
      <c r="T213" s="34" t="str">
        <f t="shared" si="30"/>
        <v xml:space="preserve"> </v>
      </c>
      <c r="U213" s="32" t="str">
        <f t="shared" si="31"/>
        <v/>
      </c>
      <c r="V213" s="32" t="str">
        <f t="shared" si="24"/>
        <v/>
      </c>
      <c r="W213" s="126"/>
    </row>
    <row r="214" spans="1:23" ht="18" customHeight="1">
      <c r="A214" s="30"/>
      <c r="B214" s="94" t="s">
        <v>298</v>
      </c>
      <c r="C214" s="76" t="s">
        <v>230</v>
      </c>
      <c r="D214" s="77">
        <v>22.312999999999999</v>
      </c>
      <c r="E214" s="77">
        <v>2.5000000000000001E-2</v>
      </c>
      <c r="F214" s="77">
        <v>-2.5000000000000001E-2</v>
      </c>
      <c r="G214" s="115">
        <v>22.334249999999997</v>
      </c>
      <c r="H214" s="115">
        <v>22.29175</v>
      </c>
      <c r="I214" s="115"/>
      <c r="J214" s="115"/>
      <c r="K214" s="76" t="s">
        <v>46</v>
      </c>
      <c r="L214" s="91"/>
      <c r="M214" s="91"/>
      <c r="N214" s="91"/>
      <c r="O214" s="31" t="str">
        <f t="shared" si="25"/>
        <v xml:space="preserve"> </v>
      </c>
      <c r="P214" s="31" t="str">
        <f t="shared" si="26"/>
        <v xml:space="preserve"> </v>
      </c>
      <c r="Q214" s="31" t="str">
        <f t="shared" si="27"/>
        <v xml:space="preserve"> </v>
      </c>
      <c r="R214" s="32" t="str">
        <f t="shared" si="28"/>
        <v xml:space="preserve"> </v>
      </c>
      <c r="S214" s="33" t="str">
        <f t="shared" si="29"/>
        <v xml:space="preserve"> </v>
      </c>
      <c r="T214" s="34" t="str">
        <f t="shared" si="30"/>
        <v xml:space="preserve"> </v>
      </c>
      <c r="U214" s="32" t="str">
        <f t="shared" si="31"/>
        <v/>
      </c>
      <c r="V214" s="32" t="str">
        <f t="shared" si="24"/>
        <v/>
      </c>
      <c r="W214" s="126"/>
    </row>
    <row r="215" spans="1:23" ht="18" customHeight="1">
      <c r="A215" s="30"/>
      <c r="B215" s="94" t="s">
        <v>299</v>
      </c>
      <c r="C215" s="76" t="s">
        <v>230</v>
      </c>
      <c r="D215" s="77">
        <v>22.312999999999999</v>
      </c>
      <c r="E215" s="77">
        <v>2.5000000000000001E-2</v>
      </c>
      <c r="F215" s="77">
        <v>-2.5000000000000001E-2</v>
      </c>
      <c r="G215" s="115">
        <v>22.334249999999997</v>
      </c>
      <c r="H215" s="115">
        <v>22.29175</v>
      </c>
      <c r="I215" s="115"/>
      <c r="J215" s="115"/>
      <c r="K215" s="76" t="s">
        <v>46</v>
      </c>
      <c r="L215" s="91"/>
      <c r="M215" s="91"/>
      <c r="N215" s="91"/>
      <c r="O215" s="31" t="str">
        <f t="shared" si="25"/>
        <v xml:space="preserve"> </v>
      </c>
      <c r="P215" s="31" t="str">
        <f t="shared" si="26"/>
        <v xml:space="preserve"> </v>
      </c>
      <c r="Q215" s="31" t="str">
        <f t="shared" si="27"/>
        <v xml:space="preserve"> </v>
      </c>
      <c r="R215" s="32" t="str">
        <f t="shared" si="28"/>
        <v xml:space="preserve"> </v>
      </c>
      <c r="S215" s="33" t="str">
        <f t="shared" si="29"/>
        <v xml:space="preserve"> </v>
      </c>
      <c r="T215" s="34" t="str">
        <f t="shared" si="30"/>
        <v xml:space="preserve"> </v>
      </c>
      <c r="U215" s="32" t="str">
        <f t="shared" si="31"/>
        <v/>
      </c>
      <c r="V215" s="32" t="str">
        <f t="shared" si="24"/>
        <v/>
      </c>
      <c r="W215" s="126"/>
    </row>
    <row r="216" spans="1:23" ht="18" customHeight="1">
      <c r="A216" s="30"/>
      <c r="B216" s="94" t="s">
        <v>300</v>
      </c>
      <c r="C216" s="76" t="s">
        <v>230</v>
      </c>
      <c r="D216" s="77">
        <v>22.312999999999999</v>
      </c>
      <c r="E216" s="77">
        <v>2.5000000000000001E-2</v>
      </c>
      <c r="F216" s="77">
        <v>-2.5000000000000001E-2</v>
      </c>
      <c r="G216" s="115">
        <v>22.334249999999997</v>
      </c>
      <c r="H216" s="115">
        <v>22.29175</v>
      </c>
      <c r="I216" s="115"/>
      <c r="J216" s="115"/>
      <c r="K216" s="76" t="s">
        <v>46</v>
      </c>
      <c r="L216" s="91"/>
      <c r="M216" s="91"/>
      <c r="N216" s="91"/>
      <c r="O216" s="31" t="str">
        <f t="shared" si="25"/>
        <v xml:space="preserve"> </v>
      </c>
      <c r="P216" s="31" t="str">
        <f t="shared" si="26"/>
        <v xml:space="preserve"> </v>
      </c>
      <c r="Q216" s="31" t="str">
        <f t="shared" si="27"/>
        <v xml:space="preserve"> </v>
      </c>
      <c r="R216" s="32" t="str">
        <f t="shared" si="28"/>
        <v xml:space="preserve"> </v>
      </c>
      <c r="S216" s="33" t="str">
        <f t="shared" si="29"/>
        <v xml:space="preserve"> </v>
      </c>
      <c r="T216" s="34" t="str">
        <f t="shared" si="30"/>
        <v xml:space="preserve"> </v>
      </c>
      <c r="U216" s="32" t="str">
        <f t="shared" si="31"/>
        <v/>
      </c>
      <c r="V216" s="32" t="str">
        <f t="shared" si="24"/>
        <v/>
      </c>
      <c r="W216" s="126"/>
    </row>
    <row r="217" spans="1:23" ht="18" customHeight="1">
      <c r="A217" s="30"/>
      <c r="B217" s="75">
        <v>137</v>
      </c>
      <c r="C217" s="76" t="s">
        <v>230</v>
      </c>
      <c r="D217" s="77"/>
      <c r="E217" s="77">
        <v>0.05</v>
      </c>
      <c r="F217" s="77"/>
      <c r="G217" s="115">
        <v>4.2500000000000003E-2</v>
      </c>
      <c r="H217" s="115">
        <v>0</v>
      </c>
      <c r="I217" s="115"/>
      <c r="J217" s="115"/>
      <c r="K217" s="76" t="s">
        <v>46</v>
      </c>
      <c r="L217" s="91"/>
      <c r="M217" s="91"/>
      <c r="N217" s="91"/>
      <c r="O217" s="31" t="str">
        <f t="shared" si="25"/>
        <v xml:space="preserve"> </v>
      </c>
      <c r="P217" s="31" t="str">
        <f t="shared" si="26"/>
        <v xml:space="preserve"> </v>
      </c>
      <c r="Q217" s="31" t="str">
        <f t="shared" si="27"/>
        <v xml:space="preserve"> </v>
      </c>
      <c r="R217" s="32" t="str">
        <f t="shared" si="28"/>
        <v xml:space="preserve"> </v>
      </c>
      <c r="S217" s="33" t="str">
        <f t="shared" si="29"/>
        <v xml:space="preserve"> </v>
      </c>
      <c r="T217" s="34" t="str">
        <f t="shared" si="30"/>
        <v xml:space="preserve"> </v>
      </c>
      <c r="U217" s="32" t="str">
        <f t="shared" si="31"/>
        <v/>
      </c>
      <c r="V217" s="32" t="str">
        <f t="shared" si="24"/>
        <v/>
      </c>
      <c r="W217" s="126"/>
    </row>
    <row r="218" spans="1:23" ht="18" customHeight="1">
      <c r="A218" s="30"/>
      <c r="B218" s="94" t="s">
        <v>288</v>
      </c>
      <c r="C218" s="76" t="s">
        <v>230</v>
      </c>
      <c r="D218" s="77">
        <v>2.5449999999999999</v>
      </c>
      <c r="E218" s="77">
        <v>0.03</v>
      </c>
      <c r="F218" s="77">
        <v>-0.03</v>
      </c>
      <c r="G218" s="115">
        <v>2.5705</v>
      </c>
      <c r="H218" s="115">
        <v>2.5194999999999999</v>
      </c>
      <c r="I218" s="115"/>
      <c r="J218" s="115"/>
      <c r="K218" s="76" t="s">
        <v>46</v>
      </c>
      <c r="L218" s="91"/>
      <c r="M218" s="91"/>
      <c r="N218" s="91"/>
      <c r="O218" s="31" t="str">
        <f t="shared" si="25"/>
        <v xml:space="preserve"> </v>
      </c>
      <c r="P218" s="31" t="str">
        <f t="shared" si="26"/>
        <v xml:space="preserve"> </v>
      </c>
      <c r="Q218" s="31" t="str">
        <f t="shared" si="27"/>
        <v xml:space="preserve"> </v>
      </c>
      <c r="R218" s="32" t="str">
        <f t="shared" si="28"/>
        <v xml:space="preserve"> </v>
      </c>
      <c r="S218" s="33" t="str">
        <f t="shared" si="29"/>
        <v xml:space="preserve"> </v>
      </c>
      <c r="T218" s="34" t="str">
        <f t="shared" si="30"/>
        <v xml:space="preserve"> </v>
      </c>
      <c r="U218" s="32" t="str">
        <f t="shared" si="31"/>
        <v/>
      </c>
      <c r="V218" s="32" t="str">
        <f t="shared" si="24"/>
        <v/>
      </c>
      <c r="W218" s="126"/>
    </row>
    <row r="219" spans="1:23" ht="18" customHeight="1">
      <c r="A219" s="30"/>
      <c r="B219" s="94" t="s">
        <v>289</v>
      </c>
      <c r="C219" s="76" t="s">
        <v>230</v>
      </c>
      <c r="D219" s="77">
        <v>2.5449999999999999</v>
      </c>
      <c r="E219" s="77">
        <v>0.03</v>
      </c>
      <c r="F219" s="77">
        <v>-0.03</v>
      </c>
      <c r="G219" s="115">
        <v>2.5705</v>
      </c>
      <c r="H219" s="115">
        <v>2.5194999999999999</v>
      </c>
      <c r="I219" s="115"/>
      <c r="J219" s="115"/>
      <c r="K219" s="76" t="s">
        <v>46</v>
      </c>
      <c r="L219" s="91"/>
      <c r="M219" s="91"/>
      <c r="N219" s="91"/>
      <c r="O219" s="31" t="str">
        <f t="shared" si="25"/>
        <v xml:space="preserve"> </v>
      </c>
      <c r="P219" s="31" t="str">
        <f t="shared" si="26"/>
        <v xml:space="preserve"> </v>
      </c>
      <c r="Q219" s="31" t="str">
        <f t="shared" si="27"/>
        <v xml:space="preserve"> </v>
      </c>
      <c r="R219" s="32" t="str">
        <f t="shared" si="28"/>
        <v xml:space="preserve"> </v>
      </c>
      <c r="S219" s="33" t="str">
        <f t="shared" si="29"/>
        <v xml:space="preserve"> </v>
      </c>
      <c r="T219" s="34" t="str">
        <f t="shared" si="30"/>
        <v xml:space="preserve"> </v>
      </c>
      <c r="U219" s="32" t="str">
        <f t="shared" si="31"/>
        <v/>
      </c>
      <c r="V219" s="32" t="str">
        <f t="shared" si="24"/>
        <v/>
      </c>
      <c r="W219" s="126"/>
    </row>
    <row r="220" spans="1:23" ht="18" customHeight="1">
      <c r="A220" s="30"/>
      <c r="B220" s="94" t="s">
        <v>290</v>
      </c>
      <c r="C220" s="76" t="s">
        <v>230</v>
      </c>
      <c r="D220" s="77">
        <v>2.5449999999999999</v>
      </c>
      <c r="E220" s="77">
        <v>0.03</v>
      </c>
      <c r="F220" s="77">
        <v>-0.03</v>
      </c>
      <c r="G220" s="115">
        <v>2.5705</v>
      </c>
      <c r="H220" s="115">
        <v>2.5194999999999999</v>
      </c>
      <c r="I220" s="115"/>
      <c r="J220" s="115"/>
      <c r="K220" s="76" t="s">
        <v>46</v>
      </c>
      <c r="L220" s="91"/>
      <c r="M220" s="91"/>
      <c r="N220" s="91"/>
      <c r="O220" s="31" t="str">
        <f t="shared" si="25"/>
        <v xml:space="preserve"> </v>
      </c>
      <c r="P220" s="31" t="str">
        <f t="shared" si="26"/>
        <v xml:space="preserve"> </v>
      </c>
      <c r="Q220" s="31" t="str">
        <f t="shared" si="27"/>
        <v xml:space="preserve"> </v>
      </c>
      <c r="R220" s="32" t="str">
        <f t="shared" si="28"/>
        <v xml:space="preserve"> </v>
      </c>
      <c r="S220" s="33" t="str">
        <f t="shared" si="29"/>
        <v xml:space="preserve"> </v>
      </c>
      <c r="T220" s="34" t="str">
        <f t="shared" si="30"/>
        <v xml:space="preserve"> </v>
      </c>
      <c r="U220" s="32" t="str">
        <f t="shared" si="31"/>
        <v/>
      </c>
      <c r="V220" s="32" t="str">
        <f t="shared" si="24"/>
        <v/>
      </c>
      <c r="W220" s="126"/>
    </row>
    <row r="221" spans="1:23" ht="18" customHeight="1">
      <c r="A221" s="30"/>
      <c r="B221" s="75">
        <v>139</v>
      </c>
      <c r="C221" s="76" t="s">
        <v>230</v>
      </c>
      <c r="D221" s="77"/>
      <c r="E221" s="77">
        <v>0.05</v>
      </c>
      <c r="F221" s="77"/>
      <c r="G221" s="115">
        <v>4.2500000000000003E-2</v>
      </c>
      <c r="H221" s="115">
        <v>0</v>
      </c>
      <c r="I221" s="115"/>
      <c r="J221" s="115"/>
      <c r="K221" s="76" t="s">
        <v>46</v>
      </c>
      <c r="L221" s="91"/>
      <c r="M221" s="91"/>
      <c r="N221" s="91"/>
      <c r="O221" s="31" t="str">
        <f t="shared" si="25"/>
        <v xml:space="preserve"> </v>
      </c>
      <c r="P221" s="31" t="str">
        <f t="shared" si="26"/>
        <v xml:space="preserve"> </v>
      </c>
      <c r="Q221" s="31" t="str">
        <f t="shared" si="27"/>
        <v xml:space="preserve"> </v>
      </c>
      <c r="R221" s="32" t="str">
        <f t="shared" si="28"/>
        <v xml:space="preserve"> </v>
      </c>
      <c r="S221" s="33" t="str">
        <f t="shared" si="29"/>
        <v xml:space="preserve"> </v>
      </c>
      <c r="T221" s="34" t="str">
        <f t="shared" si="30"/>
        <v xml:space="preserve"> </v>
      </c>
      <c r="U221" s="32" t="str">
        <f t="shared" si="31"/>
        <v/>
      </c>
      <c r="V221" s="32" t="str">
        <f t="shared" si="24"/>
        <v/>
      </c>
      <c r="W221" s="126"/>
    </row>
    <row r="222" spans="1:23" ht="18" customHeight="1">
      <c r="A222" s="30"/>
      <c r="B222" s="75">
        <v>140</v>
      </c>
      <c r="C222" s="76" t="s">
        <v>45</v>
      </c>
      <c r="D222" s="77">
        <v>6.0999999999999999E-2</v>
      </c>
      <c r="E222" s="77">
        <v>0.03</v>
      </c>
      <c r="F222" s="77">
        <v>-0.03</v>
      </c>
      <c r="G222" s="115">
        <v>8.6499999999999994E-2</v>
      </c>
      <c r="H222" s="115">
        <v>3.5500000000000004E-2</v>
      </c>
      <c r="I222" s="115"/>
      <c r="J222" s="115"/>
      <c r="K222" s="76" t="s">
        <v>46</v>
      </c>
      <c r="L222" s="91"/>
      <c r="M222" s="91"/>
      <c r="N222" s="91"/>
      <c r="O222" s="31" t="str">
        <f t="shared" si="25"/>
        <v xml:space="preserve"> </v>
      </c>
      <c r="P222" s="31" t="str">
        <f t="shared" si="26"/>
        <v xml:space="preserve"> </v>
      </c>
      <c r="Q222" s="31" t="str">
        <f t="shared" si="27"/>
        <v xml:space="preserve"> </v>
      </c>
      <c r="R222" s="32" t="str">
        <f t="shared" si="28"/>
        <v xml:space="preserve"> </v>
      </c>
      <c r="S222" s="33" t="str">
        <f t="shared" si="29"/>
        <v xml:space="preserve"> </v>
      </c>
      <c r="T222" s="34" t="str">
        <f t="shared" si="30"/>
        <v xml:space="preserve"> </v>
      </c>
      <c r="U222" s="32" t="str">
        <f t="shared" si="31"/>
        <v/>
      </c>
      <c r="V222" s="32" t="str">
        <f t="shared" si="24"/>
        <v/>
      </c>
      <c r="W222" s="126"/>
    </row>
    <row r="223" spans="1:23" ht="18" customHeight="1">
      <c r="A223" s="30"/>
      <c r="B223" s="75">
        <v>141</v>
      </c>
      <c r="C223" s="76" t="s">
        <v>45</v>
      </c>
      <c r="D223" s="77">
        <v>0.28000000000000003</v>
      </c>
      <c r="E223" s="77">
        <v>0.03</v>
      </c>
      <c r="F223" s="77">
        <v>-0.03</v>
      </c>
      <c r="G223" s="115">
        <v>0.30550000000000005</v>
      </c>
      <c r="H223" s="115">
        <v>0.2545</v>
      </c>
      <c r="I223" s="115"/>
      <c r="J223" s="115"/>
      <c r="K223" s="76" t="s">
        <v>46</v>
      </c>
      <c r="L223" s="91"/>
      <c r="M223" s="91"/>
      <c r="N223" s="91"/>
      <c r="O223" s="31" t="str">
        <f t="shared" si="25"/>
        <v xml:space="preserve"> </v>
      </c>
      <c r="P223" s="31" t="str">
        <f t="shared" si="26"/>
        <v xml:space="preserve"> </v>
      </c>
      <c r="Q223" s="31" t="str">
        <f t="shared" si="27"/>
        <v xml:space="preserve"> </v>
      </c>
      <c r="R223" s="32" t="str">
        <f t="shared" si="28"/>
        <v xml:space="preserve"> </v>
      </c>
      <c r="S223" s="33" t="str">
        <f t="shared" si="29"/>
        <v xml:space="preserve"> </v>
      </c>
      <c r="T223" s="34" t="str">
        <f t="shared" si="30"/>
        <v xml:space="preserve"> </v>
      </c>
      <c r="U223" s="32" t="str">
        <f t="shared" si="31"/>
        <v/>
      </c>
      <c r="V223" s="32" t="str">
        <f t="shared" si="24"/>
        <v/>
      </c>
      <c r="W223" s="126"/>
    </row>
    <row r="224" spans="1:23" ht="18" customHeight="1">
      <c r="A224" s="30"/>
      <c r="B224" s="75">
        <v>143</v>
      </c>
      <c r="C224" s="76" t="s">
        <v>230</v>
      </c>
      <c r="D224" s="77"/>
      <c r="E224" s="77">
        <v>0.17</v>
      </c>
      <c r="F224" s="77"/>
      <c r="G224" s="115">
        <v>0.14450000000000002</v>
      </c>
      <c r="H224" s="115">
        <v>0</v>
      </c>
      <c r="I224" s="115"/>
      <c r="J224" s="115"/>
      <c r="K224" s="76" t="s">
        <v>46</v>
      </c>
      <c r="L224" s="91"/>
      <c r="M224" s="91"/>
      <c r="N224" s="91"/>
      <c r="O224" s="31" t="str">
        <f t="shared" si="25"/>
        <v xml:space="preserve"> </v>
      </c>
      <c r="P224" s="31" t="str">
        <f t="shared" si="26"/>
        <v xml:space="preserve"> </v>
      </c>
      <c r="Q224" s="31" t="str">
        <f t="shared" si="27"/>
        <v xml:space="preserve"> </v>
      </c>
      <c r="R224" s="32" t="str">
        <f t="shared" si="28"/>
        <v xml:space="preserve"> </v>
      </c>
      <c r="S224" s="33" t="str">
        <f t="shared" si="29"/>
        <v xml:space="preserve"> </v>
      </c>
      <c r="T224" s="34" t="str">
        <f t="shared" si="30"/>
        <v xml:space="preserve"> </v>
      </c>
      <c r="U224" s="32" t="str">
        <f t="shared" si="31"/>
        <v/>
      </c>
      <c r="V224" s="32" t="str">
        <f t="shared" si="24"/>
        <v/>
      </c>
      <c r="W224" s="126"/>
    </row>
    <row r="225" spans="1:23" ht="18" customHeight="1">
      <c r="A225" s="30"/>
      <c r="B225" s="75">
        <v>144</v>
      </c>
      <c r="C225" s="76" t="s">
        <v>230</v>
      </c>
      <c r="D225" s="77"/>
      <c r="E225" s="77">
        <v>0.14000000000000001</v>
      </c>
      <c r="F225" s="77"/>
      <c r="G225" s="115">
        <v>0.11900000000000001</v>
      </c>
      <c r="H225" s="115">
        <v>0</v>
      </c>
      <c r="I225" s="115"/>
      <c r="J225" s="115"/>
      <c r="K225" s="76" t="s">
        <v>46</v>
      </c>
      <c r="L225" s="91"/>
      <c r="M225" s="91"/>
      <c r="N225" s="91"/>
      <c r="O225" s="31" t="str">
        <f t="shared" si="25"/>
        <v xml:space="preserve"> </v>
      </c>
      <c r="P225" s="31" t="str">
        <f t="shared" si="26"/>
        <v xml:space="preserve"> </v>
      </c>
      <c r="Q225" s="31" t="str">
        <f t="shared" si="27"/>
        <v xml:space="preserve"> </v>
      </c>
      <c r="R225" s="32" t="str">
        <f t="shared" si="28"/>
        <v xml:space="preserve"> </v>
      </c>
      <c r="S225" s="33" t="str">
        <f t="shared" si="29"/>
        <v xml:space="preserve"> </v>
      </c>
      <c r="T225" s="34" t="str">
        <f t="shared" si="30"/>
        <v xml:space="preserve"> </v>
      </c>
      <c r="U225" s="32" t="str">
        <f t="shared" si="31"/>
        <v/>
      </c>
      <c r="V225" s="32" t="str">
        <f t="shared" si="24"/>
        <v/>
      </c>
      <c r="W225" s="126"/>
    </row>
    <row r="226" spans="1:23" ht="18" customHeight="1">
      <c r="A226" s="30"/>
      <c r="B226" s="75" t="s">
        <v>224</v>
      </c>
      <c r="C226" s="78" t="s">
        <v>294</v>
      </c>
      <c r="D226" s="77"/>
      <c r="E226" s="77">
        <v>0.05</v>
      </c>
      <c r="F226" s="77"/>
      <c r="G226" s="115">
        <v>4.2500000000000003E-2</v>
      </c>
      <c r="H226" s="115">
        <v>0</v>
      </c>
      <c r="I226" s="115"/>
      <c r="J226" s="115"/>
      <c r="K226" s="76" t="s">
        <v>46</v>
      </c>
      <c r="L226" s="91"/>
      <c r="M226" s="91"/>
      <c r="N226" s="91"/>
      <c r="O226" s="31" t="str">
        <f t="shared" si="25"/>
        <v xml:space="preserve"> </v>
      </c>
      <c r="P226" s="31" t="str">
        <f t="shared" si="26"/>
        <v xml:space="preserve"> </v>
      </c>
      <c r="Q226" s="31" t="str">
        <f t="shared" si="27"/>
        <v xml:space="preserve"> </v>
      </c>
      <c r="R226" s="32" t="str">
        <f t="shared" si="28"/>
        <v xml:space="preserve"> </v>
      </c>
      <c r="S226" s="33" t="str">
        <f t="shared" si="29"/>
        <v xml:space="preserve"> </v>
      </c>
      <c r="T226" s="34" t="str">
        <f t="shared" si="30"/>
        <v xml:space="preserve"> </v>
      </c>
      <c r="U226" s="32" t="str">
        <f t="shared" si="31"/>
        <v/>
      </c>
      <c r="V226" s="32" t="str">
        <f t="shared" si="24"/>
        <v/>
      </c>
      <c r="W226" s="126"/>
    </row>
    <row r="227" spans="1:23" ht="18" customHeight="1">
      <c r="A227" s="30"/>
      <c r="B227" s="75" t="s">
        <v>225</v>
      </c>
      <c r="C227" s="78" t="s">
        <v>294</v>
      </c>
      <c r="D227" s="77"/>
      <c r="E227" s="77">
        <v>0.05</v>
      </c>
      <c r="F227" s="77"/>
      <c r="G227" s="115">
        <v>4.2500000000000003E-2</v>
      </c>
      <c r="H227" s="115">
        <v>0</v>
      </c>
      <c r="I227" s="115"/>
      <c r="J227" s="115"/>
      <c r="K227" s="76" t="s">
        <v>46</v>
      </c>
      <c r="L227" s="91"/>
      <c r="M227" s="91"/>
      <c r="N227" s="91"/>
      <c r="O227" s="31" t="str">
        <f t="shared" si="25"/>
        <v xml:space="preserve"> </v>
      </c>
      <c r="P227" s="31" t="str">
        <f t="shared" si="26"/>
        <v xml:space="preserve"> </v>
      </c>
      <c r="Q227" s="31" t="str">
        <f t="shared" si="27"/>
        <v xml:space="preserve"> </v>
      </c>
      <c r="R227" s="32" t="str">
        <f t="shared" si="28"/>
        <v xml:space="preserve"> </v>
      </c>
      <c r="S227" s="33" t="str">
        <f t="shared" si="29"/>
        <v xml:space="preserve"> </v>
      </c>
      <c r="T227" s="34" t="str">
        <f t="shared" si="30"/>
        <v xml:space="preserve"> </v>
      </c>
      <c r="U227" s="32" t="str">
        <f t="shared" si="31"/>
        <v/>
      </c>
      <c r="V227" s="32" t="str">
        <f t="shared" ref="V227:V243" si="32">IF(L227="","",IF(ISERR(F227/F227)=TRUE,"",IF(ISERR(F227/D227)=TRUE,IF((F227-MIN(L227:N227))&gt;0.001,"Reject",""),IF(ISNUMBER($T227)=TRUE,IF($T227&gt;0.651,IF($T227&gt;1.001,"Reject","Alert"),""),""))))</f>
        <v/>
      </c>
      <c r="W227" s="126"/>
    </row>
    <row r="228" spans="1:23" ht="18" customHeight="1">
      <c r="A228" s="30"/>
      <c r="B228" s="75" t="s">
        <v>226</v>
      </c>
      <c r="C228" s="78" t="s">
        <v>294</v>
      </c>
      <c r="D228" s="77"/>
      <c r="E228" s="77">
        <v>0.05</v>
      </c>
      <c r="F228" s="77"/>
      <c r="G228" s="115">
        <v>4.2500000000000003E-2</v>
      </c>
      <c r="H228" s="115">
        <v>0</v>
      </c>
      <c r="I228" s="115"/>
      <c r="J228" s="115"/>
      <c r="K228" s="76" t="s">
        <v>46</v>
      </c>
      <c r="L228" s="91"/>
      <c r="M228" s="91"/>
      <c r="N228" s="91"/>
      <c r="O228" s="31" t="str">
        <f t="shared" si="25"/>
        <v xml:space="preserve"> </v>
      </c>
      <c r="P228" s="31" t="str">
        <f t="shared" si="26"/>
        <v xml:space="preserve"> </v>
      </c>
      <c r="Q228" s="31" t="str">
        <f t="shared" si="27"/>
        <v xml:space="preserve"> </v>
      </c>
      <c r="R228" s="32" t="str">
        <f t="shared" si="28"/>
        <v xml:space="preserve"> </v>
      </c>
      <c r="S228" s="33" t="str">
        <f t="shared" si="29"/>
        <v xml:space="preserve"> </v>
      </c>
      <c r="T228" s="34" t="str">
        <f t="shared" si="30"/>
        <v xml:space="preserve"> </v>
      </c>
      <c r="U228" s="32" t="str">
        <f t="shared" si="31"/>
        <v/>
      </c>
      <c r="V228" s="32" t="str">
        <f t="shared" si="32"/>
        <v/>
      </c>
      <c r="W228" s="126"/>
    </row>
    <row r="229" spans="1:23" ht="18" customHeight="1">
      <c r="A229" s="30"/>
      <c r="B229" s="75" t="s">
        <v>291</v>
      </c>
      <c r="C229" s="78" t="s">
        <v>294</v>
      </c>
      <c r="D229" s="77"/>
      <c r="E229" s="77">
        <v>0.05</v>
      </c>
      <c r="F229" s="77"/>
      <c r="G229" s="115">
        <v>4.2500000000000003E-2</v>
      </c>
      <c r="H229" s="115">
        <v>0</v>
      </c>
      <c r="I229" s="115"/>
      <c r="J229" s="115"/>
      <c r="K229" s="76" t="s">
        <v>46</v>
      </c>
      <c r="L229" s="91"/>
      <c r="M229" s="91"/>
      <c r="N229" s="91"/>
      <c r="O229" s="31" t="str">
        <f t="shared" si="25"/>
        <v xml:space="preserve"> </v>
      </c>
      <c r="P229" s="31" t="str">
        <f t="shared" si="26"/>
        <v xml:space="preserve"> </v>
      </c>
      <c r="Q229" s="31" t="str">
        <f t="shared" si="27"/>
        <v xml:space="preserve"> </v>
      </c>
      <c r="R229" s="32" t="str">
        <f t="shared" si="28"/>
        <v xml:space="preserve"> </v>
      </c>
      <c r="S229" s="33" t="str">
        <f t="shared" si="29"/>
        <v xml:space="preserve"> </v>
      </c>
      <c r="T229" s="34" t="str">
        <f t="shared" si="30"/>
        <v xml:space="preserve"> </v>
      </c>
      <c r="U229" s="32" t="str">
        <f t="shared" si="31"/>
        <v/>
      </c>
      <c r="V229" s="32" t="str">
        <f t="shared" si="32"/>
        <v/>
      </c>
      <c r="W229" s="126"/>
    </row>
    <row r="230" spans="1:23" ht="18" customHeight="1">
      <c r="A230" s="30"/>
      <c r="B230" s="75" t="s">
        <v>292</v>
      </c>
      <c r="C230" s="78" t="s">
        <v>294</v>
      </c>
      <c r="D230" s="77"/>
      <c r="E230" s="77">
        <v>0.05</v>
      </c>
      <c r="F230" s="77"/>
      <c r="G230" s="115">
        <v>4.2500000000000003E-2</v>
      </c>
      <c r="H230" s="115">
        <v>0</v>
      </c>
      <c r="I230" s="115"/>
      <c r="J230" s="115"/>
      <c r="K230" s="76" t="s">
        <v>46</v>
      </c>
      <c r="L230" s="91"/>
      <c r="M230" s="91"/>
      <c r="N230" s="91"/>
      <c r="O230" s="31" t="str">
        <f t="shared" si="25"/>
        <v xml:space="preserve"> </v>
      </c>
      <c r="P230" s="31" t="str">
        <f t="shared" si="26"/>
        <v xml:space="preserve"> </v>
      </c>
      <c r="Q230" s="31" t="str">
        <f t="shared" si="27"/>
        <v xml:space="preserve"> </v>
      </c>
      <c r="R230" s="32" t="str">
        <f t="shared" si="28"/>
        <v xml:space="preserve"> </v>
      </c>
      <c r="S230" s="33" t="str">
        <f t="shared" si="29"/>
        <v xml:space="preserve"> </v>
      </c>
      <c r="T230" s="34" t="str">
        <f t="shared" si="30"/>
        <v xml:space="preserve"> </v>
      </c>
      <c r="U230" s="32" t="str">
        <f t="shared" si="31"/>
        <v/>
      </c>
      <c r="V230" s="32" t="str">
        <f t="shared" si="32"/>
        <v/>
      </c>
      <c r="W230" s="126"/>
    </row>
    <row r="231" spans="1:23" ht="18" customHeight="1">
      <c r="A231" s="30"/>
      <c r="B231" s="75" t="s">
        <v>293</v>
      </c>
      <c r="C231" s="78" t="s">
        <v>294</v>
      </c>
      <c r="D231" s="77"/>
      <c r="E231" s="77">
        <v>0.05</v>
      </c>
      <c r="F231" s="77"/>
      <c r="G231" s="115">
        <v>4.2500000000000003E-2</v>
      </c>
      <c r="H231" s="115">
        <v>0</v>
      </c>
      <c r="I231" s="115"/>
      <c r="J231" s="115"/>
      <c r="K231" s="76" t="s">
        <v>46</v>
      </c>
      <c r="L231" s="91"/>
      <c r="M231" s="91"/>
      <c r="N231" s="91"/>
      <c r="O231" s="31" t="str">
        <f t="shared" si="25"/>
        <v xml:space="preserve"> </v>
      </c>
      <c r="P231" s="31" t="str">
        <f t="shared" si="26"/>
        <v xml:space="preserve"> </v>
      </c>
      <c r="Q231" s="31" t="str">
        <f t="shared" si="27"/>
        <v xml:space="preserve"> </v>
      </c>
      <c r="R231" s="32" t="str">
        <f t="shared" si="28"/>
        <v xml:space="preserve"> </v>
      </c>
      <c r="S231" s="33" t="str">
        <f t="shared" si="29"/>
        <v xml:space="preserve"> </v>
      </c>
      <c r="T231" s="34" t="str">
        <f t="shared" si="30"/>
        <v xml:space="preserve"> </v>
      </c>
      <c r="U231" s="32" t="str">
        <f t="shared" si="31"/>
        <v/>
      </c>
      <c r="V231" s="32" t="str">
        <f t="shared" si="32"/>
        <v/>
      </c>
      <c r="W231" s="126"/>
    </row>
    <row r="232" spans="1:23" ht="18" customHeight="1">
      <c r="A232" s="30"/>
      <c r="B232" s="75">
        <v>147</v>
      </c>
      <c r="C232" s="76" t="s">
        <v>294</v>
      </c>
      <c r="D232" s="77"/>
      <c r="E232" s="77">
        <v>0.02</v>
      </c>
      <c r="F232" s="77"/>
      <c r="G232" s="115">
        <v>1.7000000000000001E-2</v>
      </c>
      <c r="H232" s="115">
        <v>0</v>
      </c>
      <c r="I232" s="115"/>
      <c r="J232" s="115"/>
      <c r="K232" s="76" t="s">
        <v>46</v>
      </c>
      <c r="L232" s="91"/>
      <c r="M232" s="91"/>
      <c r="N232" s="91"/>
      <c r="O232" s="31" t="str">
        <f t="shared" si="25"/>
        <v xml:space="preserve"> </v>
      </c>
      <c r="P232" s="31" t="str">
        <f t="shared" si="26"/>
        <v xml:space="preserve"> </v>
      </c>
      <c r="Q232" s="31" t="str">
        <f t="shared" si="27"/>
        <v xml:space="preserve"> </v>
      </c>
      <c r="R232" s="32" t="str">
        <f t="shared" si="28"/>
        <v xml:space="preserve"> </v>
      </c>
      <c r="S232" s="33" t="str">
        <f t="shared" si="29"/>
        <v xml:space="preserve"> </v>
      </c>
      <c r="T232" s="34" t="str">
        <f t="shared" si="30"/>
        <v xml:space="preserve"> </v>
      </c>
      <c r="U232" s="32" t="str">
        <f t="shared" si="31"/>
        <v/>
      </c>
      <c r="V232" s="32" t="str">
        <f t="shared" si="32"/>
        <v/>
      </c>
      <c r="W232" s="126"/>
    </row>
    <row r="233" spans="1:23" ht="18" customHeight="1">
      <c r="A233" s="30"/>
      <c r="B233" s="75">
        <v>148</v>
      </c>
      <c r="C233" s="76" t="s">
        <v>297</v>
      </c>
      <c r="D233" s="77"/>
      <c r="E233" s="77">
        <v>0.02</v>
      </c>
      <c r="F233" s="77"/>
      <c r="G233" s="115">
        <v>1.7000000000000001E-2</v>
      </c>
      <c r="H233" s="115">
        <v>0</v>
      </c>
      <c r="I233" s="115"/>
      <c r="J233" s="115"/>
      <c r="K233" s="76" t="s">
        <v>46</v>
      </c>
      <c r="L233" s="91"/>
      <c r="M233" s="91"/>
      <c r="N233" s="91"/>
      <c r="O233" s="31" t="str">
        <f t="shared" si="25"/>
        <v xml:space="preserve"> </v>
      </c>
      <c r="P233" s="31" t="str">
        <f t="shared" si="26"/>
        <v xml:space="preserve"> </v>
      </c>
      <c r="Q233" s="31" t="str">
        <f t="shared" si="27"/>
        <v xml:space="preserve"> </v>
      </c>
      <c r="R233" s="32" t="str">
        <f t="shared" si="28"/>
        <v xml:space="preserve"> </v>
      </c>
      <c r="S233" s="33" t="str">
        <f t="shared" si="29"/>
        <v xml:space="preserve"> </v>
      </c>
      <c r="T233" s="34" t="str">
        <f t="shared" si="30"/>
        <v xml:space="preserve"> </v>
      </c>
      <c r="U233" s="32" t="str">
        <f t="shared" si="31"/>
        <v/>
      </c>
      <c r="V233" s="32" t="str">
        <f t="shared" si="32"/>
        <v/>
      </c>
      <c r="W233" s="126"/>
    </row>
    <row r="234" spans="1:23" ht="18" customHeight="1">
      <c r="A234" s="30"/>
      <c r="B234" s="75" t="s">
        <v>295</v>
      </c>
      <c r="C234" s="76" t="s">
        <v>45</v>
      </c>
      <c r="D234" s="77">
        <v>0.2</v>
      </c>
      <c r="E234" s="77">
        <v>0.03</v>
      </c>
      <c r="F234" s="77">
        <v>-0.03</v>
      </c>
      <c r="G234" s="115">
        <v>0.22550000000000001</v>
      </c>
      <c r="H234" s="115">
        <v>0.17450000000000002</v>
      </c>
      <c r="I234" s="115"/>
      <c r="J234" s="115"/>
      <c r="K234" s="76" t="s">
        <v>46</v>
      </c>
      <c r="L234" s="91"/>
      <c r="M234" s="91"/>
      <c r="N234" s="91"/>
      <c r="O234" s="31" t="str">
        <f t="shared" si="25"/>
        <v xml:space="preserve"> </v>
      </c>
      <c r="P234" s="31" t="str">
        <f t="shared" si="26"/>
        <v xml:space="preserve"> </v>
      </c>
      <c r="Q234" s="31" t="str">
        <f t="shared" si="27"/>
        <v xml:space="preserve"> </v>
      </c>
      <c r="R234" s="32" t="str">
        <f t="shared" si="28"/>
        <v xml:space="preserve"> </v>
      </c>
      <c r="S234" s="33" t="str">
        <f t="shared" si="29"/>
        <v xml:space="preserve"> </v>
      </c>
      <c r="T234" s="34" t="str">
        <f t="shared" si="30"/>
        <v xml:space="preserve"> </v>
      </c>
      <c r="U234" s="32" t="str">
        <f t="shared" si="31"/>
        <v/>
      </c>
      <c r="V234" s="32" t="str">
        <f t="shared" si="32"/>
        <v/>
      </c>
      <c r="W234" s="126"/>
    </row>
    <row r="235" spans="1:23" ht="18" customHeight="1">
      <c r="A235" s="30"/>
      <c r="B235" s="75" t="s">
        <v>296</v>
      </c>
      <c r="C235" s="76" t="s">
        <v>45</v>
      </c>
      <c r="D235" s="77">
        <v>0.2</v>
      </c>
      <c r="E235" s="77">
        <v>0.03</v>
      </c>
      <c r="F235" s="77">
        <v>-0.03</v>
      </c>
      <c r="G235" s="115">
        <v>0.22550000000000001</v>
      </c>
      <c r="H235" s="115">
        <v>0.17450000000000002</v>
      </c>
      <c r="I235" s="115"/>
      <c r="J235" s="115"/>
      <c r="K235" s="76" t="s">
        <v>46</v>
      </c>
      <c r="L235" s="91"/>
      <c r="M235" s="91"/>
      <c r="N235" s="91"/>
      <c r="O235" s="31" t="str">
        <f t="shared" si="25"/>
        <v xml:space="preserve"> </v>
      </c>
      <c r="P235" s="31" t="str">
        <f t="shared" si="26"/>
        <v xml:space="preserve"> </v>
      </c>
      <c r="Q235" s="31" t="str">
        <f t="shared" si="27"/>
        <v xml:space="preserve"> </v>
      </c>
      <c r="R235" s="32" t="str">
        <f t="shared" si="28"/>
        <v xml:space="preserve"> </v>
      </c>
      <c r="S235" s="33" t="str">
        <f t="shared" si="29"/>
        <v xml:space="preserve"> </v>
      </c>
      <c r="T235" s="34" t="str">
        <f t="shared" si="30"/>
        <v xml:space="preserve"> </v>
      </c>
      <c r="U235" s="32" t="str">
        <f t="shared" si="31"/>
        <v/>
      </c>
      <c r="V235" s="32" t="str">
        <f t="shared" si="32"/>
        <v/>
      </c>
      <c r="W235" s="126"/>
    </row>
    <row r="236" spans="1:23" ht="18" customHeight="1">
      <c r="A236" s="30"/>
      <c r="B236" s="75">
        <v>150</v>
      </c>
      <c r="C236" s="76" t="s">
        <v>47</v>
      </c>
      <c r="D236" s="77"/>
      <c r="E236" s="77">
        <v>0.04</v>
      </c>
      <c r="F236" s="77"/>
      <c r="G236" s="115">
        <v>3.4000000000000002E-2</v>
      </c>
      <c r="H236" s="115">
        <v>0</v>
      </c>
      <c r="I236" s="115"/>
      <c r="J236" s="115"/>
      <c r="K236" s="76" t="s">
        <v>46</v>
      </c>
      <c r="L236" s="91"/>
      <c r="M236" s="91"/>
      <c r="N236" s="91"/>
      <c r="O236" s="31" t="str">
        <f t="shared" si="25"/>
        <v xml:space="preserve"> </v>
      </c>
      <c r="P236" s="31" t="str">
        <f t="shared" si="26"/>
        <v xml:space="preserve"> </v>
      </c>
      <c r="Q236" s="31" t="str">
        <f t="shared" si="27"/>
        <v xml:space="preserve"> </v>
      </c>
      <c r="R236" s="32" t="str">
        <f t="shared" si="28"/>
        <v xml:space="preserve"> </v>
      </c>
      <c r="S236" s="33" t="str">
        <f t="shared" si="29"/>
        <v xml:space="preserve"> </v>
      </c>
      <c r="T236" s="34" t="str">
        <f t="shared" si="30"/>
        <v xml:space="preserve"> </v>
      </c>
      <c r="U236" s="32" t="str">
        <f t="shared" si="31"/>
        <v/>
      </c>
      <c r="V236" s="32" t="str">
        <f t="shared" si="32"/>
        <v/>
      </c>
      <c r="W236" s="126"/>
    </row>
    <row r="237" spans="1:23" ht="18" customHeight="1">
      <c r="A237" s="30"/>
      <c r="B237" s="75">
        <v>151</v>
      </c>
      <c r="C237" s="76" t="s">
        <v>47</v>
      </c>
      <c r="D237" s="77"/>
      <c r="E237" s="77">
        <v>0.03</v>
      </c>
      <c r="F237" s="77"/>
      <c r="G237" s="115">
        <v>2.5499999999999998E-2</v>
      </c>
      <c r="H237" s="115">
        <v>0</v>
      </c>
      <c r="I237" s="115"/>
      <c r="J237" s="115"/>
      <c r="K237" s="76" t="s">
        <v>46</v>
      </c>
      <c r="L237" s="91"/>
      <c r="M237" s="91"/>
      <c r="N237" s="91"/>
      <c r="O237" s="31" t="str">
        <f t="shared" si="25"/>
        <v xml:space="preserve"> </v>
      </c>
      <c r="P237" s="31" t="str">
        <f t="shared" si="26"/>
        <v xml:space="preserve"> </v>
      </c>
      <c r="Q237" s="31" t="str">
        <f t="shared" si="27"/>
        <v xml:space="preserve"> </v>
      </c>
      <c r="R237" s="32" t="str">
        <f t="shared" si="28"/>
        <v xml:space="preserve"> </v>
      </c>
      <c r="S237" s="33" t="str">
        <f t="shared" si="29"/>
        <v xml:space="preserve"> </v>
      </c>
      <c r="T237" s="34" t="str">
        <f t="shared" si="30"/>
        <v xml:space="preserve"> </v>
      </c>
      <c r="U237" s="32" t="str">
        <f t="shared" si="31"/>
        <v/>
      </c>
      <c r="V237" s="32" t="str">
        <f t="shared" si="32"/>
        <v/>
      </c>
      <c r="W237" s="126"/>
    </row>
    <row r="238" spans="1:23" ht="18" customHeight="1">
      <c r="A238" s="30"/>
      <c r="B238" s="75">
        <v>152</v>
      </c>
      <c r="C238" s="76" t="s">
        <v>47</v>
      </c>
      <c r="D238" s="77"/>
      <c r="E238" s="77">
        <v>0.05</v>
      </c>
      <c r="F238" s="77"/>
      <c r="G238" s="115">
        <v>4.2500000000000003E-2</v>
      </c>
      <c r="H238" s="115">
        <v>0</v>
      </c>
      <c r="I238" s="115"/>
      <c r="J238" s="115"/>
      <c r="K238" s="76" t="s">
        <v>46</v>
      </c>
      <c r="L238" s="91"/>
      <c r="M238" s="91"/>
      <c r="N238" s="91"/>
      <c r="O238" s="31" t="str">
        <f t="shared" si="25"/>
        <v xml:space="preserve"> </v>
      </c>
      <c r="P238" s="31" t="str">
        <f t="shared" si="26"/>
        <v xml:space="preserve"> </v>
      </c>
      <c r="Q238" s="31" t="str">
        <f t="shared" si="27"/>
        <v xml:space="preserve"> </v>
      </c>
      <c r="R238" s="32" t="str">
        <f t="shared" si="28"/>
        <v xml:space="preserve"> </v>
      </c>
      <c r="S238" s="33" t="str">
        <f t="shared" si="29"/>
        <v xml:space="preserve"> </v>
      </c>
      <c r="T238" s="34" t="str">
        <f t="shared" si="30"/>
        <v xml:space="preserve"> </v>
      </c>
      <c r="U238" s="32" t="str">
        <f t="shared" si="31"/>
        <v/>
      </c>
      <c r="V238" s="32" t="str">
        <f t="shared" si="32"/>
        <v/>
      </c>
      <c r="W238" s="126"/>
    </row>
    <row r="239" spans="1:23" ht="18" customHeight="1">
      <c r="A239" s="30"/>
      <c r="B239" s="75">
        <v>153</v>
      </c>
      <c r="C239" s="76" t="s">
        <v>47</v>
      </c>
      <c r="D239" s="77"/>
      <c r="E239" s="77">
        <v>0.06</v>
      </c>
      <c r="F239" s="77"/>
      <c r="G239" s="115">
        <v>5.0999999999999997E-2</v>
      </c>
      <c r="H239" s="115">
        <v>0</v>
      </c>
      <c r="I239" s="115"/>
      <c r="J239" s="115"/>
      <c r="K239" s="76" t="s">
        <v>46</v>
      </c>
      <c r="L239" s="91"/>
      <c r="M239" s="91"/>
      <c r="N239" s="91"/>
      <c r="O239" s="31" t="str">
        <f t="shared" si="25"/>
        <v xml:space="preserve"> </v>
      </c>
      <c r="P239" s="31" t="str">
        <f t="shared" si="26"/>
        <v xml:space="preserve"> </v>
      </c>
      <c r="Q239" s="31" t="str">
        <f t="shared" si="27"/>
        <v xml:space="preserve"> </v>
      </c>
      <c r="R239" s="32" t="str">
        <f t="shared" si="28"/>
        <v xml:space="preserve"> </v>
      </c>
      <c r="S239" s="33" t="str">
        <f t="shared" si="29"/>
        <v xml:space="preserve"> </v>
      </c>
      <c r="T239" s="34" t="str">
        <f t="shared" si="30"/>
        <v xml:space="preserve"> </v>
      </c>
      <c r="U239" s="32" t="str">
        <f t="shared" si="31"/>
        <v/>
      </c>
      <c r="V239" s="32" t="str">
        <f t="shared" si="32"/>
        <v/>
      </c>
      <c r="W239" s="126"/>
    </row>
    <row r="240" spans="1:23" ht="18" customHeight="1">
      <c r="A240" s="30"/>
      <c r="B240" s="75">
        <v>154</v>
      </c>
      <c r="C240" s="76" t="s">
        <v>47</v>
      </c>
      <c r="D240" s="77"/>
      <c r="E240" s="77">
        <v>0.06</v>
      </c>
      <c r="F240" s="77"/>
      <c r="G240" s="115">
        <v>5.0999999999999997E-2</v>
      </c>
      <c r="H240" s="115">
        <v>0</v>
      </c>
      <c r="I240" s="115"/>
      <c r="J240" s="115"/>
      <c r="K240" s="76" t="s">
        <v>46</v>
      </c>
      <c r="L240" s="91"/>
      <c r="M240" s="91"/>
      <c r="N240" s="91"/>
      <c r="O240" s="31" t="str">
        <f t="shared" si="25"/>
        <v xml:space="preserve"> </v>
      </c>
      <c r="P240" s="31" t="str">
        <f t="shared" si="26"/>
        <v xml:space="preserve"> </v>
      </c>
      <c r="Q240" s="31" t="str">
        <f t="shared" si="27"/>
        <v xml:space="preserve"> </v>
      </c>
      <c r="R240" s="32" t="str">
        <f t="shared" si="28"/>
        <v xml:space="preserve"> </v>
      </c>
      <c r="S240" s="33" t="str">
        <f t="shared" si="29"/>
        <v xml:space="preserve"> </v>
      </c>
      <c r="T240" s="34" t="str">
        <f t="shared" si="30"/>
        <v xml:space="preserve"> </v>
      </c>
      <c r="U240" s="32" t="str">
        <f t="shared" si="31"/>
        <v/>
      </c>
      <c r="V240" s="32" t="str">
        <f t="shared" si="32"/>
        <v/>
      </c>
      <c r="W240" s="126"/>
    </row>
    <row r="241" spans="1:23" ht="18" customHeight="1">
      <c r="A241" s="30"/>
      <c r="B241" s="75">
        <v>155</v>
      </c>
      <c r="C241" s="76" t="s">
        <v>47</v>
      </c>
      <c r="D241" s="77"/>
      <c r="E241" s="77">
        <v>0.06</v>
      </c>
      <c r="F241" s="77"/>
      <c r="G241" s="115">
        <v>2.5499999999999998E-2</v>
      </c>
      <c r="H241" s="115">
        <v>0</v>
      </c>
      <c r="I241" s="115"/>
      <c r="J241" s="115"/>
      <c r="K241" s="76" t="s">
        <v>46</v>
      </c>
      <c r="L241" s="91"/>
      <c r="M241" s="91"/>
      <c r="N241" s="91"/>
      <c r="O241" s="31" t="str">
        <f t="shared" si="25"/>
        <v xml:space="preserve"> </v>
      </c>
      <c r="P241" s="31" t="str">
        <f t="shared" si="26"/>
        <v xml:space="preserve"> </v>
      </c>
      <c r="Q241" s="31" t="str">
        <f t="shared" si="27"/>
        <v xml:space="preserve"> </v>
      </c>
      <c r="R241" s="32" t="str">
        <f t="shared" si="28"/>
        <v xml:space="preserve"> </v>
      </c>
      <c r="S241" s="33" t="str">
        <f t="shared" si="29"/>
        <v xml:space="preserve"> </v>
      </c>
      <c r="T241" s="34" t="str">
        <f t="shared" si="30"/>
        <v xml:space="preserve"> </v>
      </c>
      <c r="U241" s="32" t="str">
        <f t="shared" si="31"/>
        <v/>
      </c>
      <c r="V241" s="32" t="str">
        <f t="shared" si="32"/>
        <v/>
      </c>
      <c r="W241" s="126"/>
    </row>
    <row r="242" spans="1:23" ht="18" customHeight="1">
      <c r="A242" s="30"/>
      <c r="B242" s="75">
        <v>157</v>
      </c>
      <c r="C242" s="76" t="s">
        <v>45</v>
      </c>
      <c r="D242" s="77">
        <v>18.472999999999999</v>
      </c>
      <c r="E242" s="77">
        <v>0.02</v>
      </c>
      <c r="F242" s="77">
        <v>-0.02</v>
      </c>
      <c r="G242" s="115">
        <v>18.489999999999998</v>
      </c>
      <c r="H242" s="115">
        <v>18.456</v>
      </c>
      <c r="I242" s="115"/>
      <c r="J242" s="115"/>
      <c r="K242" s="76" t="s">
        <v>46</v>
      </c>
      <c r="L242" s="91"/>
      <c r="M242" s="91"/>
      <c r="N242" s="91"/>
      <c r="O242" s="31" t="str">
        <f t="shared" si="25"/>
        <v xml:space="preserve"> </v>
      </c>
      <c r="P242" s="31" t="str">
        <f t="shared" si="26"/>
        <v xml:space="preserve"> </v>
      </c>
      <c r="Q242" s="31" t="str">
        <f t="shared" si="27"/>
        <v xml:space="preserve"> </v>
      </c>
      <c r="R242" s="32" t="str">
        <f t="shared" si="28"/>
        <v xml:space="preserve"> </v>
      </c>
      <c r="S242" s="33" t="str">
        <f t="shared" si="29"/>
        <v xml:space="preserve"> </v>
      </c>
      <c r="T242" s="34" t="str">
        <f t="shared" si="30"/>
        <v xml:space="preserve"> </v>
      </c>
      <c r="U242" s="32" t="str">
        <f t="shared" si="31"/>
        <v/>
      </c>
      <c r="V242" s="32" t="str">
        <f t="shared" si="32"/>
        <v/>
      </c>
      <c r="W242" s="126"/>
    </row>
    <row r="243" spans="1:23" ht="18" customHeight="1">
      <c r="A243" s="30"/>
      <c r="B243" s="75">
        <v>158</v>
      </c>
      <c r="C243" s="76" t="s">
        <v>45</v>
      </c>
      <c r="D243" s="77">
        <v>18.593</v>
      </c>
      <c r="E243" s="77">
        <v>0.02</v>
      </c>
      <c r="F243" s="77">
        <v>-0.02</v>
      </c>
      <c r="G243" s="115">
        <v>18.61</v>
      </c>
      <c r="H243" s="115">
        <v>18.576000000000001</v>
      </c>
      <c r="I243" s="115"/>
      <c r="J243" s="115"/>
      <c r="K243" s="76" t="s">
        <v>46</v>
      </c>
      <c r="L243" s="91"/>
      <c r="M243" s="91"/>
      <c r="N243" s="91"/>
      <c r="O243" s="31" t="str">
        <f t="shared" si="25"/>
        <v xml:space="preserve"> </v>
      </c>
      <c r="P243" s="31" t="str">
        <f t="shared" si="26"/>
        <v xml:space="preserve"> </v>
      </c>
      <c r="Q243" s="31" t="str">
        <f t="shared" si="27"/>
        <v xml:space="preserve"> </v>
      </c>
      <c r="R243" s="32" t="str">
        <f t="shared" si="28"/>
        <v xml:space="preserve"> </v>
      </c>
      <c r="S243" s="33" t="str">
        <f t="shared" si="29"/>
        <v xml:space="preserve"> </v>
      </c>
      <c r="T243" s="34" t="str">
        <f t="shared" si="30"/>
        <v xml:space="preserve"> </v>
      </c>
      <c r="U243" s="32" t="str">
        <f t="shared" si="31"/>
        <v/>
      </c>
      <c r="V243" s="32" t="str">
        <f t="shared" si="32"/>
        <v/>
      </c>
      <c r="W243" s="126"/>
    </row>
  </sheetData>
  <mergeCells count="16">
    <mergeCell ref="K4:K5"/>
    <mergeCell ref="L4:N4"/>
    <mergeCell ref="O4:Q4"/>
    <mergeCell ref="R4:R5"/>
    <mergeCell ref="A1:W1"/>
    <mergeCell ref="B3:K3"/>
    <mergeCell ref="L3:Q3"/>
    <mergeCell ref="R3:V3"/>
    <mergeCell ref="W3:W5"/>
    <mergeCell ref="B4:B5"/>
    <mergeCell ref="C4:C5"/>
    <mergeCell ref="D4:D5"/>
    <mergeCell ref="E4:E5"/>
    <mergeCell ref="F4:F5"/>
    <mergeCell ref="G4:H4"/>
    <mergeCell ref="I4:J4"/>
  </mergeCells>
  <phoneticPr fontId="10" type="noConversion"/>
  <conditionalFormatting sqref="L6:N243">
    <cfRule type="expression" dxfId="14" priority="1" stopIfTrue="1">
      <formula>AND(($D6+$E6)&lt;&gt;"",L6&lt;&gt;"",L6&gt;($D6+$E6))</formula>
    </cfRule>
    <cfRule type="expression" dxfId="13" priority="2" stopIfTrue="1">
      <formula>AND(($D6+$F6)&lt;&gt;"",L6&lt;&gt;"",L6&lt;($D6+$F6))</formula>
    </cfRule>
    <cfRule type="cellIs" dxfId="12" priority="3" operator="lessThan">
      <formula>$H6</formula>
    </cfRule>
    <cfRule type="cellIs" dxfId="11" priority="4" operator="greaterThan">
      <formula>$G6</formula>
    </cfRule>
  </conditionalFormatting>
  <conditionalFormatting sqref="L29:N34">
    <cfRule type="cellIs" dxfId="10" priority="7" operator="lessThan">
      <formula>$J29</formula>
    </cfRule>
    <cfRule type="cellIs" dxfId="9" priority="8" operator="greaterThan">
      <formula>$I29</formula>
    </cfRule>
  </conditionalFormatting>
  <conditionalFormatting sqref="L75:N80">
    <cfRule type="cellIs" dxfId="8" priority="5" operator="lessThan">
      <formula>$J75</formula>
    </cfRule>
    <cfRule type="cellIs" dxfId="7" priority="6" operator="greaterThan">
      <formula>$I75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BC6D-6869-9541-80AE-A21083A54525}">
  <sheetPr codeName="Sheet4"/>
  <dimension ref="A1:BR141"/>
  <sheetViews>
    <sheetView showGridLines="0" zoomScale="85" zoomScaleNormal="85" zoomScalePageLayoutView="125" workbookViewId="0">
      <pane xSplit="16" ySplit="1" topLeftCell="BD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G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5" width="7.77734375" style="15" hidden="1" customWidth="1"/>
    <col min="16" max="16" width="0.77734375" style="15" customWidth="1"/>
    <col min="17" max="20" width="7.77734375" style="15" customWidth="1"/>
    <col min="21" max="26" width="7.77734375" style="15" hidden="1" customWidth="1"/>
    <col min="27" max="27" width="7.77734375" style="15" customWidth="1"/>
    <col min="28" max="28" width="10" style="15" hidden="1" customWidth="1"/>
    <col min="29" max="31" width="9.44140625" style="15" hidden="1" customWidth="1"/>
    <col min="32" max="32" width="7.77734375" style="15" customWidth="1"/>
    <col min="33" max="33" width="9" style="15" customWidth="1"/>
    <col min="34" max="34" width="8.6640625" style="15" customWidth="1"/>
    <col min="35" max="36" width="9" style="15" hidden="1" customWidth="1"/>
    <col min="37" max="37" width="7.5546875" style="15" hidden="1" customWidth="1"/>
    <col min="38" max="38" width="0.77734375" style="15" customWidth="1"/>
    <col min="39" max="70" width="7.77734375" style="15" customWidth="1"/>
    <col min="71" max="16384" width="8.77734375" style="15"/>
  </cols>
  <sheetData>
    <row r="1" spans="1:70" s="21" customFormat="1" ht="22.15" customHeight="1">
      <c r="A1" s="140" t="s">
        <v>49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20"/>
      <c r="AI1" s="20"/>
      <c r="AJ1" s="20"/>
      <c r="AK1" s="20"/>
      <c r="AL1" s="20"/>
    </row>
    <row r="2" spans="1:70" s="21" customFormat="1" ht="9" customHeight="1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Q2" s="35"/>
      <c r="R2" s="35"/>
      <c r="S2" s="35"/>
      <c r="T2" s="35"/>
      <c r="U2" s="35" t="s">
        <v>50</v>
      </c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M2" s="36"/>
    </row>
    <row r="3" spans="1:70" s="24" customFormat="1" ht="15" customHeight="1">
      <c r="A3" s="37"/>
      <c r="B3" s="145" t="s">
        <v>51</v>
      </c>
      <c r="C3" s="144"/>
      <c r="D3" s="144"/>
      <c r="E3" s="144"/>
      <c r="F3" s="144"/>
      <c r="G3" s="144"/>
      <c r="H3" s="144"/>
      <c r="I3" s="144"/>
      <c r="J3" s="144"/>
      <c r="K3" s="158"/>
      <c r="L3" s="111"/>
      <c r="M3" s="111"/>
      <c r="N3" s="111"/>
      <c r="O3" s="111"/>
      <c r="P3" s="38"/>
      <c r="Q3" s="145" t="s">
        <v>52</v>
      </c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58"/>
      <c r="AH3" s="39"/>
      <c r="AI3" s="159" t="s">
        <v>53</v>
      </c>
      <c r="AJ3" s="159"/>
      <c r="AK3" s="159"/>
      <c r="AL3" s="22"/>
      <c r="AM3" s="152" t="s">
        <v>54</v>
      </c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4"/>
    </row>
    <row r="4" spans="1:70" s="24" customFormat="1" ht="25.15" customHeight="1">
      <c r="A4" s="37"/>
      <c r="B4" s="40"/>
      <c r="C4" s="40"/>
      <c r="D4" s="40"/>
      <c r="E4" s="41"/>
      <c r="F4" s="42" t="s">
        <v>55</v>
      </c>
      <c r="G4" s="42" t="s">
        <v>56</v>
      </c>
      <c r="H4" s="43"/>
      <c r="I4" s="43"/>
      <c r="J4" s="44"/>
      <c r="K4" s="44"/>
      <c r="L4" s="162" t="s">
        <v>357</v>
      </c>
      <c r="M4" s="163"/>
      <c r="N4" s="150" t="s">
        <v>360</v>
      </c>
      <c r="O4" s="151"/>
      <c r="P4" s="37"/>
      <c r="Q4" s="45"/>
      <c r="R4" s="45"/>
      <c r="S4" s="46"/>
      <c r="T4" s="45"/>
      <c r="U4" s="47"/>
      <c r="V4" s="47"/>
      <c r="W4" s="47"/>
      <c r="X4" s="47"/>
      <c r="Y4" s="47"/>
      <c r="Z4" s="47"/>
      <c r="AA4" s="47"/>
      <c r="AB4" s="160" t="s">
        <v>57</v>
      </c>
      <c r="AC4" s="161"/>
      <c r="AD4" s="48" t="s">
        <v>58</v>
      </c>
      <c r="AE4" s="84">
        <v>1.5</v>
      </c>
      <c r="AF4" s="49"/>
      <c r="AG4" s="49"/>
      <c r="AH4" s="38"/>
      <c r="AI4" s="22"/>
      <c r="AJ4" s="22"/>
      <c r="AK4" s="50"/>
      <c r="AL4" s="51"/>
      <c r="AM4" s="155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7"/>
    </row>
    <row r="5" spans="1:70" s="65" customFormat="1" ht="24">
      <c r="A5" s="52"/>
      <c r="B5" s="53" t="s">
        <v>59</v>
      </c>
      <c r="C5" s="53" t="s">
        <v>30</v>
      </c>
      <c r="D5" s="53" t="s">
        <v>60</v>
      </c>
      <c r="E5" s="54" t="s">
        <v>32</v>
      </c>
      <c r="F5" s="55" t="s">
        <v>61</v>
      </c>
      <c r="G5" s="55" t="s">
        <v>62</v>
      </c>
      <c r="H5" s="56" t="s">
        <v>35</v>
      </c>
      <c r="I5" s="56" t="s">
        <v>63</v>
      </c>
      <c r="J5" s="57" t="s">
        <v>64</v>
      </c>
      <c r="K5" s="57" t="s">
        <v>65</v>
      </c>
      <c r="L5" s="57" t="s">
        <v>64</v>
      </c>
      <c r="M5" s="57" t="s">
        <v>65</v>
      </c>
      <c r="N5" s="114" t="s">
        <v>359</v>
      </c>
      <c r="O5" s="114" t="s">
        <v>358</v>
      </c>
      <c r="P5" s="52"/>
      <c r="Q5" s="58" t="s">
        <v>66</v>
      </c>
      <c r="R5" s="58" t="s">
        <v>67</v>
      </c>
      <c r="S5" s="59" t="s">
        <v>38</v>
      </c>
      <c r="T5" s="58" t="s">
        <v>68</v>
      </c>
      <c r="U5" s="60" t="s">
        <v>69</v>
      </c>
      <c r="V5" s="60" t="s">
        <v>70</v>
      </c>
      <c r="W5" s="60" t="s">
        <v>71</v>
      </c>
      <c r="X5" s="60" t="s">
        <v>72</v>
      </c>
      <c r="Y5" s="60" t="s">
        <v>73</v>
      </c>
      <c r="Z5" s="60" t="s">
        <v>74</v>
      </c>
      <c r="AA5" s="60" t="s">
        <v>75</v>
      </c>
      <c r="AB5" s="61" t="s">
        <v>76</v>
      </c>
      <c r="AC5" s="61" t="s">
        <v>77</v>
      </c>
      <c r="AD5" s="61" t="s">
        <v>78</v>
      </c>
      <c r="AE5" s="62" t="s">
        <v>79</v>
      </c>
      <c r="AF5" s="63" t="s">
        <v>80</v>
      </c>
      <c r="AG5" s="63" t="s">
        <v>81</v>
      </c>
      <c r="AH5" s="63" t="s">
        <v>82</v>
      </c>
      <c r="AI5" s="22"/>
      <c r="AJ5" s="22"/>
      <c r="AK5" s="50"/>
      <c r="AL5" s="6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</row>
    <row r="6" spans="1:70" ht="19.149999999999999" customHeight="1">
      <c r="B6" s="66" t="s">
        <v>232</v>
      </c>
      <c r="C6" s="75">
        <v>1</v>
      </c>
      <c r="D6" s="85" t="s">
        <v>47</v>
      </c>
      <c r="E6" s="86">
        <v>0</v>
      </c>
      <c r="F6" s="87">
        <v>0.04</v>
      </c>
      <c r="G6" s="87"/>
      <c r="H6" s="79" t="s">
        <v>46</v>
      </c>
      <c r="I6" s="67" t="s">
        <v>84</v>
      </c>
      <c r="J6" s="68">
        <v>0.04</v>
      </c>
      <c r="K6" s="68">
        <v>0</v>
      </c>
      <c r="L6" s="68">
        <v>3.4000000000000002E-2</v>
      </c>
      <c r="M6" s="68">
        <v>0</v>
      </c>
      <c r="N6" s="116"/>
      <c r="O6" s="116"/>
      <c r="P6" s="69"/>
      <c r="Q6" s="88">
        <f t="shared" ref="Q6:Q80" si="0">IF(OR($AM6=ISBLANK(TRUE),ISNUMBER($AM6)=FALSE),,MAX(AM6:BR6))</f>
        <v>0</v>
      </c>
      <c r="R6" s="88">
        <f t="shared" ref="R6:R80" si="1">IF(OR($AM6=ISBLANK(TRUE),ISNUMBER($AM6)=FALSE),,MIN(AM6:BR6))</f>
        <v>0</v>
      </c>
      <c r="S6" s="88">
        <f t="shared" ref="S6:S80" si="2">IF(OR($AM6=ISBLANK(TRUE),ISNUMBER($AM6)=FALSE),,AVERAGE(AM6:BR6))</f>
        <v>0</v>
      </c>
      <c r="T6" s="89">
        <f t="shared" ref="T6:T58" si="3">IF(OR($AM6=ISBLANK(TRUE),ISNUMBER($AM6)=FALSE),,STDEV(AM6:BR6))</f>
        <v>0</v>
      </c>
      <c r="U6" s="80" t="str">
        <f t="shared" ref="U6:U80" si="4">IF(OR($AM6="",ISNUMBER($AM6)=FALSE),"",IF(AND(E6=0,G6=0),X6,IF(AND(E6="",F6=""),Y6,(F6+ABS(G6))/(6*T6))))</f>
        <v/>
      </c>
      <c r="V6" s="81" t="str">
        <f>IF(OR($AM6="",ISNUMBER($AM6)=FALSE),"",IF(AND(#REF!="Tolerance",$E6&lt;&gt;""),($S6-$E6)/(($J6-$K6)/2),IF(AND(#REF!="GD&amp;T",$F6&lt;&gt;""),$S6/$F6,"")))</f>
        <v/>
      </c>
      <c r="W6" s="81" t="str">
        <f>IF($V6="","",IF(ABS($V6)&lt;=0.125, "Level A",IF(AND(ABS($V6)&gt;0.125,ABS($V6)&lt;=0.25), "Level B",IF(AND(ABS($V6)&gt;0.25,ABS($V6)&lt;=0.5), "Level C", IF(ABS($V6)&gt;0.5, "Level D")))))</f>
        <v/>
      </c>
      <c r="X6" s="80" t="str">
        <f t="shared" ref="X6:X80" si="5">IF(OR($AM6="",ISNUMBER($AM6)=FALSE),"",IF(F6="","",(J6-S6)/(3*T6)))</f>
        <v/>
      </c>
      <c r="Y6" s="80" t="str">
        <f t="shared" ref="Y6:Y80" si="6">IF(OR($AM6="",ISNUMBER($AM6)=FALSE),"",IF(G6="","",(S6-K6)/(3*T6)))</f>
        <v/>
      </c>
      <c r="Z6" s="80" t="str">
        <f t="shared" ref="Z6:Z80" si="7">IF(OR($AM6="",ISNUMBER($AM6)=FALSE),"",IF(AND(E6=0,G6=0),((F6)-(S6))/(3*T6),MIN(X6:Y6)))</f>
        <v/>
      </c>
      <c r="AA6" s="70" t="str">
        <f t="shared" ref="AA6:AA80" si="8">IF(OR($AM6="",ISNUMBER($AM6)=FALSE),"",IF(AND(E6=0,G6=0),NORMSDIST(3*Z6),NORMSDIST(3*Z6)+NORMSDIST(6*U6-3*Z6)-1))</f>
        <v/>
      </c>
      <c r="AB6" s="71" t="e">
        <f>IF($S6="","",IF(#REF!="Tolerance",IF((#REF!*3*T6+S6)-E6&lt;F6,"",(#REF!*3*T6+S6)-E6),IF(OR(#REF!="GD&amp;T",#REF!="MAX"),IF((#REF!*3*T6+S6)&lt;F6,"",(#REF!*3*T6+S6)),"")))</f>
        <v>#REF!</v>
      </c>
      <c r="AC6" s="71" t="e">
        <f>IF(S6="","",IF(#REF!="Tolerance",IF(-((#REF!*3*T6)-S6)-E6&gt;G6,"",-((#REF!*3*T6)-S6)-E6),IF(#REF!="MIN",IF(-((#REF!*3*T6)-S6)&gt;G6,"",-((#REF!*3*T6)-S6)),"")))</f>
        <v>#REF!</v>
      </c>
      <c r="AD6" s="71">
        <f>IF(OR(E6="",S6=""),"",(J6+K6)/2-S6)</f>
        <v>0.02</v>
      </c>
      <c r="AE6" s="71" t="str">
        <f t="shared" ref="AE6:AE80" si="9">IF(OR($U6&gt;$AE$4,$T6=""),"",$AE$4*6*$T6)</f>
        <v/>
      </c>
      <c r="AF6" s="82"/>
      <c r="AG6" s="83" t="str">
        <f>IF(AF6="","",IF(AF6&gt;=0.966,"Normal","Not Normal"))</f>
        <v/>
      </c>
      <c r="AH6" s="125"/>
      <c r="AI6" s="72"/>
      <c r="AJ6" s="72"/>
      <c r="AK6" s="73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</row>
    <row r="7" spans="1:70" ht="19.149999999999999" customHeight="1">
      <c r="B7" s="66" t="s">
        <v>96</v>
      </c>
      <c r="C7" s="75" t="s">
        <v>99</v>
      </c>
      <c r="D7" s="85" t="s">
        <v>45</v>
      </c>
      <c r="E7" s="86">
        <v>3.984</v>
      </c>
      <c r="F7" s="87">
        <v>2.5000000000000001E-2</v>
      </c>
      <c r="G7" s="87">
        <v>-0.02</v>
      </c>
      <c r="H7" s="79" t="s">
        <v>46</v>
      </c>
      <c r="I7" s="67" t="s">
        <v>84</v>
      </c>
      <c r="J7" s="68">
        <v>4.0090000000000003</v>
      </c>
      <c r="K7" s="68">
        <v>3.964</v>
      </c>
      <c r="L7" s="68">
        <v>4.0052500000000002</v>
      </c>
      <c r="M7" s="68">
        <v>3.9670000000000001</v>
      </c>
      <c r="N7" s="116"/>
      <c r="O7" s="116"/>
      <c r="P7" s="69"/>
      <c r="Q7" s="88">
        <f t="shared" si="0"/>
        <v>0</v>
      </c>
      <c r="R7" s="88">
        <f t="shared" si="1"/>
        <v>0</v>
      </c>
      <c r="S7" s="88">
        <f t="shared" si="2"/>
        <v>0</v>
      </c>
      <c r="T7" s="89">
        <f t="shared" si="3"/>
        <v>0</v>
      </c>
      <c r="U7" s="80" t="str">
        <f t="shared" si="4"/>
        <v/>
      </c>
      <c r="V7" s="81" t="str">
        <f>IF(OR($AM7="",ISNUMBER($AM7)=FALSE),"",IF(AND(#REF!="Tolerance",$E7&lt;&gt;""),($S7-$E7)/(($J7-$K7)/2),IF(AND(#REF!="GD&amp;T",$F7&lt;&gt;""),$S7/$F7,"")))</f>
        <v/>
      </c>
      <c r="W7" s="81" t="str">
        <f t="shared" ref="W7:W81" si="10">IF($V7="","",IF(ABS($V7)&lt;=0.125, "Level A",IF(AND(ABS($V7)&gt;0.125,ABS($V7)&lt;=0.25), "Level B",IF(AND(ABS($V7)&gt;0.25,ABS($V7)&lt;=0.5), "Level C", IF(ABS($V7)&gt;0.5, "Level D")))))</f>
        <v/>
      </c>
      <c r="X7" s="80" t="str">
        <f t="shared" si="5"/>
        <v/>
      </c>
      <c r="Y7" s="80" t="str">
        <f t="shared" si="6"/>
        <v/>
      </c>
      <c r="Z7" s="80" t="str">
        <f t="shared" si="7"/>
        <v/>
      </c>
      <c r="AA7" s="70" t="str">
        <f t="shared" si="8"/>
        <v/>
      </c>
      <c r="AB7" s="71" t="e">
        <f>IF($S7="","",IF(#REF!="Tolerance",IF((#REF!*3*T7+S7)-E7&lt;F7,"",(#REF!*3*T7+S7)-E7),IF(OR(#REF!="GD&amp;T",#REF!="MAX"),IF((#REF!*3*T7+S7)&lt;F7,"",(#REF!*3*T7+S7)),"")))</f>
        <v>#REF!</v>
      </c>
      <c r="AC7" s="71" t="e">
        <f>IF(S7="","",IF(#REF!="Tolerance",IF(-((#REF!*3*T7)-S7)-E7&gt;G7,"",-((#REF!*3*T7)-S7)-E7),IF(#REF!="MIN",IF(-((#REF!*3*T7)-S7)&gt;G7,"",-((#REF!*3*T7)-S7)),"")))</f>
        <v>#REF!</v>
      </c>
      <c r="AD7" s="71">
        <f t="shared" ref="AD7:AD81" si="11">IF(OR(E7="",S7=""),"",(J7+K7)/2-S7)</f>
        <v>3.9865000000000004</v>
      </c>
      <c r="AE7" s="71" t="str">
        <f t="shared" si="9"/>
        <v/>
      </c>
      <c r="AF7" s="82"/>
      <c r="AG7" s="83" t="str">
        <f t="shared" ref="AG7:AG81" si="12">IF(AF7="","",IF(AF7&gt;=0.966,"Normal","Not Normal"))</f>
        <v/>
      </c>
      <c r="AH7" s="125"/>
      <c r="AI7" s="72"/>
      <c r="AJ7" s="72"/>
      <c r="AK7" s="73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</row>
    <row r="8" spans="1:70" ht="19.149999999999999" customHeight="1">
      <c r="B8" s="66" t="s">
        <v>96</v>
      </c>
      <c r="C8" s="75" t="s">
        <v>100</v>
      </c>
      <c r="D8" s="85" t="s">
        <v>45</v>
      </c>
      <c r="E8" s="86">
        <v>3.984</v>
      </c>
      <c r="F8" s="87">
        <v>2.5000000000000001E-2</v>
      </c>
      <c r="G8" s="87">
        <v>-0.02</v>
      </c>
      <c r="H8" s="79" t="s">
        <v>46</v>
      </c>
      <c r="I8" s="67" t="s">
        <v>84</v>
      </c>
      <c r="J8" s="68">
        <v>4.0090000000000003</v>
      </c>
      <c r="K8" s="68">
        <v>3.964</v>
      </c>
      <c r="L8" s="68">
        <v>4.0052500000000002</v>
      </c>
      <c r="M8" s="68">
        <v>3.9670000000000001</v>
      </c>
      <c r="N8" s="116"/>
      <c r="O8" s="116"/>
      <c r="P8" s="69"/>
      <c r="Q8" s="88">
        <f t="shared" si="0"/>
        <v>0</v>
      </c>
      <c r="R8" s="88">
        <f t="shared" si="1"/>
        <v>0</v>
      </c>
      <c r="S8" s="88">
        <f t="shared" si="2"/>
        <v>0</v>
      </c>
      <c r="T8" s="89">
        <f t="shared" si="3"/>
        <v>0</v>
      </c>
      <c r="U8" s="80" t="str">
        <f t="shared" si="4"/>
        <v/>
      </c>
      <c r="V8" s="81" t="str">
        <f>IF(OR($AM8="",ISNUMBER($AM8)=FALSE),"",IF(AND(#REF!="Tolerance",$E8&lt;&gt;""),($S8-$E8)/(($J8-$K8)/2),IF(AND(#REF!="GD&amp;T",$F8&lt;&gt;""),$S8/$F8,"")))</f>
        <v/>
      </c>
      <c r="W8" s="81" t="str">
        <f t="shared" si="10"/>
        <v/>
      </c>
      <c r="X8" s="80" t="str">
        <f t="shared" si="5"/>
        <v/>
      </c>
      <c r="Y8" s="80" t="str">
        <f t="shared" si="6"/>
        <v/>
      </c>
      <c r="Z8" s="80" t="str">
        <f t="shared" si="7"/>
        <v/>
      </c>
      <c r="AA8" s="70" t="str">
        <f t="shared" si="8"/>
        <v/>
      </c>
      <c r="AB8" s="71" t="e">
        <f>IF($S8="","",IF(#REF!="Tolerance",IF((#REF!*3*T8+S8)-E8&lt;F8,"",(#REF!*3*T8+S8)-E8),IF(OR(#REF!="GD&amp;T",#REF!="MAX"),IF((#REF!*3*T8+S8)&lt;F8,"",(#REF!*3*T8+S8)),"")))</f>
        <v>#REF!</v>
      </c>
      <c r="AC8" s="71" t="e">
        <f>IF(S8="","",IF(#REF!="Tolerance",IF(-((#REF!*3*T8)-S8)-E8&gt;G8,"",-((#REF!*3*T8)-S8)-E8),IF(#REF!="MIN",IF(-((#REF!*3*T8)-S8)&gt;G8,"",-((#REF!*3*T8)-S8)),"")))</f>
        <v>#REF!</v>
      </c>
      <c r="AD8" s="71">
        <f t="shared" si="11"/>
        <v>3.9865000000000004</v>
      </c>
      <c r="AE8" s="71" t="str">
        <f t="shared" si="9"/>
        <v/>
      </c>
      <c r="AF8" s="82"/>
      <c r="AG8" s="83" t="str">
        <f t="shared" si="12"/>
        <v/>
      </c>
      <c r="AH8" s="125"/>
      <c r="AI8" s="72"/>
      <c r="AJ8" s="72"/>
      <c r="AK8" s="73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</row>
    <row r="9" spans="1:70" ht="19.149999999999999" customHeight="1">
      <c r="B9" s="66" t="s">
        <v>83</v>
      </c>
      <c r="C9" s="75">
        <v>4</v>
      </c>
      <c r="D9" s="85" t="s">
        <v>48</v>
      </c>
      <c r="E9" s="86">
        <v>0</v>
      </c>
      <c r="F9" s="87">
        <v>1.4999999999999999E-2</v>
      </c>
      <c r="G9" s="87"/>
      <c r="H9" s="79" t="s">
        <v>46</v>
      </c>
      <c r="I9" s="67" t="s">
        <v>84</v>
      </c>
      <c r="J9" s="68">
        <v>1.4999999999999999E-2</v>
      </c>
      <c r="K9" s="68">
        <v>0</v>
      </c>
      <c r="L9" s="68">
        <v>1.2749999999999999E-2</v>
      </c>
      <c r="M9" s="68">
        <v>0</v>
      </c>
      <c r="N9" s="116"/>
      <c r="O9" s="116"/>
      <c r="P9" s="69"/>
      <c r="Q9" s="88">
        <f t="shared" si="0"/>
        <v>0</v>
      </c>
      <c r="R9" s="88">
        <f t="shared" si="1"/>
        <v>0</v>
      </c>
      <c r="S9" s="88">
        <f t="shared" si="2"/>
        <v>0</v>
      </c>
      <c r="T9" s="89">
        <f t="shared" si="3"/>
        <v>0</v>
      </c>
      <c r="U9" s="80" t="str">
        <f t="shared" si="4"/>
        <v/>
      </c>
      <c r="V9" s="81" t="str">
        <f>IF(OR($AM9="",ISNUMBER($AM9)=FALSE),"",IF(AND(#REF!="Tolerance",$E9&lt;&gt;""),($S9-$E9)/(($J9-$K9)/2),IF(AND(#REF!="GD&amp;T",$F9&lt;&gt;""),$S9/$F9,"")))</f>
        <v/>
      </c>
      <c r="W9" s="81" t="str">
        <f t="shared" si="10"/>
        <v/>
      </c>
      <c r="X9" s="80" t="str">
        <f t="shared" si="5"/>
        <v/>
      </c>
      <c r="Y9" s="80" t="str">
        <f t="shared" si="6"/>
        <v/>
      </c>
      <c r="Z9" s="80" t="str">
        <f t="shared" si="7"/>
        <v/>
      </c>
      <c r="AA9" s="70" t="str">
        <f t="shared" si="8"/>
        <v/>
      </c>
      <c r="AB9" s="71" t="e">
        <f>IF($S9="","",IF(#REF!="Tolerance",IF((#REF!*3*T9+S9)-E9&lt;F9,"",(#REF!*3*T9+S9)-E9),IF(OR(#REF!="GD&amp;T",#REF!="MAX"),IF((#REF!*3*T9+S9)&lt;F9,"",(#REF!*3*T9+S9)),"")))</f>
        <v>#REF!</v>
      </c>
      <c r="AC9" s="71" t="e">
        <f>IF(S9="","",IF(#REF!="Tolerance",IF(-((#REF!*3*T9)-S9)-E9&gt;G9,"",-((#REF!*3*T9)-S9)-E9),IF(#REF!="MIN",IF(-((#REF!*3*T9)-S9)&gt;G9,"",-((#REF!*3*T9)-S9)),"")))</f>
        <v>#REF!</v>
      </c>
      <c r="AD9" s="71">
        <f t="shared" si="11"/>
        <v>7.4999999999999997E-3</v>
      </c>
      <c r="AE9" s="71" t="str">
        <f t="shared" si="9"/>
        <v/>
      </c>
      <c r="AF9" s="82"/>
      <c r="AG9" s="83" t="str">
        <f t="shared" si="12"/>
        <v/>
      </c>
      <c r="AH9" s="125"/>
      <c r="AI9" s="72"/>
      <c r="AJ9" s="72"/>
      <c r="AK9" s="73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</row>
    <row r="10" spans="1:70" ht="19.149999999999999" customHeight="1">
      <c r="B10" s="66" t="s">
        <v>97</v>
      </c>
      <c r="C10" s="75" t="s">
        <v>115</v>
      </c>
      <c r="D10" s="85" t="s">
        <v>45</v>
      </c>
      <c r="E10" s="86">
        <v>4.0090000000000003</v>
      </c>
      <c r="F10" s="87">
        <v>0.02</v>
      </c>
      <c r="G10" s="87">
        <v>-0.02</v>
      </c>
      <c r="H10" s="79" t="s">
        <v>46</v>
      </c>
      <c r="I10" s="67" t="s">
        <v>84</v>
      </c>
      <c r="J10" s="68">
        <v>4.0289999999999999</v>
      </c>
      <c r="K10" s="68">
        <v>3.9890000000000003</v>
      </c>
      <c r="L10" s="68">
        <v>4.0260000000000007</v>
      </c>
      <c r="M10" s="68">
        <v>3.9920000000000004</v>
      </c>
      <c r="N10" s="116"/>
      <c r="O10" s="116"/>
      <c r="P10" s="69"/>
      <c r="Q10" s="88">
        <f t="shared" si="0"/>
        <v>0</v>
      </c>
      <c r="R10" s="88">
        <f t="shared" si="1"/>
        <v>0</v>
      </c>
      <c r="S10" s="88">
        <f t="shared" si="2"/>
        <v>0</v>
      </c>
      <c r="T10" s="89">
        <f t="shared" si="3"/>
        <v>0</v>
      </c>
      <c r="U10" s="80" t="str">
        <f t="shared" si="4"/>
        <v/>
      </c>
      <c r="V10" s="81" t="str">
        <f>IF(OR($AM10="",ISNUMBER($AM10)=FALSE),"",IF(AND(#REF!="Tolerance",$E10&lt;&gt;""),($S10-$E10)/(($J10-$K10)/2),IF(AND(#REF!="GD&amp;T",$F10&lt;&gt;""),$S10/$F10,"")))</f>
        <v/>
      </c>
      <c r="W10" s="81" t="str">
        <f t="shared" si="10"/>
        <v/>
      </c>
      <c r="X10" s="80" t="str">
        <f t="shared" si="5"/>
        <v/>
      </c>
      <c r="Y10" s="80" t="str">
        <f t="shared" si="6"/>
        <v/>
      </c>
      <c r="Z10" s="80" t="str">
        <f t="shared" si="7"/>
        <v/>
      </c>
      <c r="AA10" s="70" t="str">
        <f t="shared" si="8"/>
        <v/>
      </c>
      <c r="AB10" s="71" t="e">
        <f>IF($S10="","",IF(#REF!="Tolerance",IF((#REF!*3*T10+S10)-E10&lt;F10,"",(#REF!*3*T10+S10)-E10),IF(OR(#REF!="GD&amp;T",#REF!="MAX"),IF((#REF!*3*T10+S10)&lt;F10,"",(#REF!*3*T10+S10)),"")))</f>
        <v>#REF!</v>
      </c>
      <c r="AC10" s="71" t="e">
        <f>IF(S10="","",IF(#REF!="Tolerance",IF(-((#REF!*3*T10)-S10)-E10&gt;G10,"",-((#REF!*3*T10)-S10)-E10),IF(#REF!="MIN",IF(-((#REF!*3*T10)-S10)&gt;G10,"",-((#REF!*3*T10)-S10)),"")))</f>
        <v>#REF!</v>
      </c>
      <c r="AD10" s="71">
        <f t="shared" si="11"/>
        <v>4.0090000000000003</v>
      </c>
      <c r="AE10" s="71" t="str">
        <f t="shared" si="9"/>
        <v/>
      </c>
      <c r="AF10" s="82"/>
      <c r="AG10" s="83" t="str">
        <f t="shared" si="12"/>
        <v/>
      </c>
      <c r="AH10" s="125"/>
      <c r="AI10" s="72"/>
      <c r="AJ10" s="72"/>
      <c r="AK10" s="73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</row>
    <row r="11" spans="1:70" ht="19.149999999999999" customHeight="1">
      <c r="B11" s="66" t="s">
        <v>97</v>
      </c>
      <c r="C11" s="75" t="s">
        <v>116</v>
      </c>
      <c r="D11" s="85" t="s">
        <v>45</v>
      </c>
      <c r="E11" s="86">
        <v>4.0090000000000003</v>
      </c>
      <c r="F11" s="87">
        <v>0.02</v>
      </c>
      <c r="G11" s="87">
        <v>-0.02</v>
      </c>
      <c r="H11" s="79" t="s">
        <v>46</v>
      </c>
      <c r="I11" s="67" t="s">
        <v>84</v>
      </c>
      <c r="J11" s="68">
        <v>4.0289999999999999</v>
      </c>
      <c r="K11" s="68">
        <v>3.9890000000000003</v>
      </c>
      <c r="L11" s="68">
        <v>4.0260000000000007</v>
      </c>
      <c r="M11" s="68">
        <v>3.9920000000000004</v>
      </c>
      <c r="N11" s="116"/>
      <c r="O11" s="116"/>
      <c r="P11" s="69"/>
      <c r="Q11" s="88">
        <f t="shared" si="0"/>
        <v>0</v>
      </c>
      <c r="R11" s="88">
        <f t="shared" si="1"/>
        <v>0</v>
      </c>
      <c r="S11" s="88">
        <f t="shared" si="2"/>
        <v>0</v>
      </c>
      <c r="T11" s="89">
        <f t="shared" si="3"/>
        <v>0</v>
      </c>
      <c r="U11" s="80" t="str">
        <f t="shared" si="4"/>
        <v/>
      </c>
      <c r="V11" s="81" t="str">
        <f>IF(OR($AM11="",ISNUMBER($AM11)=FALSE),"",IF(AND(#REF!="Tolerance",$E11&lt;&gt;""),($S11-$E11)/(($J11-$K11)/2),IF(AND(#REF!="GD&amp;T",$F11&lt;&gt;""),$S11/$F11,"")))</f>
        <v/>
      </c>
      <c r="W11" s="81" t="str">
        <f t="shared" si="10"/>
        <v/>
      </c>
      <c r="X11" s="80" t="str">
        <f t="shared" si="5"/>
        <v/>
      </c>
      <c r="Y11" s="80" t="str">
        <f t="shared" si="6"/>
        <v/>
      </c>
      <c r="Z11" s="80" t="str">
        <f t="shared" si="7"/>
        <v/>
      </c>
      <c r="AA11" s="70" t="str">
        <f t="shared" si="8"/>
        <v/>
      </c>
      <c r="AB11" s="71" t="e">
        <f>IF($S11="","",IF(#REF!="Tolerance",IF((#REF!*3*T11+S11)-E11&lt;F11,"",(#REF!*3*T11+S11)-E11),IF(OR(#REF!="GD&amp;T",#REF!="MAX"),IF((#REF!*3*T11+S11)&lt;F11,"",(#REF!*3*T11+S11)),"")))</f>
        <v>#REF!</v>
      </c>
      <c r="AC11" s="71" t="e">
        <f>IF(S11="","",IF(#REF!="Tolerance",IF(-((#REF!*3*T11)-S11)-E11&gt;G11,"",-((#REF!*3*T11)-S11)-E11),IF(#REF!="MIN",IF(-((#REF!*3*T11)-S11)&gt;G11,"",-((#REF!*3*T11)-S11)),"")))</f>
        <v>#REF!</v>
      </c>
      <c r="AD11" s="71">
        <f t="shared" si="11"/>
        <v>4.0090000000000003</v>
      </c>
      <c r="AE11" s="71" t="str">
        <f t="shared" si="9"/>
        <v/>
      </c>
      <c r="AF11" s="82"/>
      <c r="AG11" s="83" t="str">
        <f t="shared" si="12"/>
        <v/>
      </c>
      <c r="AH11" s="125"/>
      <c r="AI11" s="72"/>
      <c r="AJ11" s="72"/>
      <c r="AK11" s="73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</row>
    <row r="12" spans="1:70" ht="19.149999999999999" customHeight="1">
      <c r="B12" s="66" t="s">
        <v>304</v>
      </c>
      <c r="C12" s="75" t="s">
        <v>101</v>
      </c>
      <c r="D12" s="85" t="s">
        <v>227</v>
      </c>
      <c r="E12" s="86">
        <v>0</v>
      </c>
      <c r="F12" s="87">
        <v>8.0000000000000002E-3</v>
      </c>
      <c r="G12" s="87"/>
      <c r="H12" s="79" t="s">
        <v>231</v>
      </c>
      <c r="I12" s="67" t="s">
        <v>84</v>
      </c>
      <c r="J12" s="68">
        <v>8.0000000000000002E-3</v>
      </c>
      <c r="K12" s="68">
        <v>0</v>
      </c>
      <c r="L12" s="68">
        <v>6.7999999999999996E-3</v>
      </c>
      <c r="M12" s="68">
        <v>0</v>
      </c>
      <c r="N12" s="116"/>
      <c r="O12" s="116"/>
      <c r="P12" s="69"/>
      <c r="Q12" s="88">
        <f t="shared" si="0"/>
        <v>0</v>
      </c>
      <c r="R12" s="88">
        <f t="shared" si="1"/>
        <v>0</v>
      </c>
      <c r="S12" s="88">
        <f t="shared" si="2"/>
        <v>0</v>
      </c>
      <c r="T12" s="89">
        <f t="shared" si="3"/>
        <v>0</v>
      </c>
      <c r="U12" s="80" t="str">
        <f t="shared" si="4"/>
        <v/>
      </c>
      <c r="V12" s="81" t="str">
        <f>IF(OR($AM12="",ISNUMBER($AM12)=FALSE),"",IF(AND(#REF!="Tolerance",$E12&lt;&gt;""),($S12-$E12)/(($J12-$K12)/2),IF(AND(#REF!="GD&amp;T",$F12&lt;&gt;""),$S12/$F12,"")))</f>
        <v/>
      </c>
      <c r="W12" s="81" t="str">
        <f t="shared" si="10"/>
        <v/>
      </c>
      <c r="X12" s="80" t="str">
        <f t="shared" si="5"/>
        <v/>
      </c>
      <c r="Y12" s="80" t="str">
        <f t="shared" si="6"/>
        <v/>
      </c>
      <c r="Z12" s="80" t="str">
        <f t="shared" si="7"/>
        <v/>
      </c>
      <c r="AA12" s="70" t="str">
        <f t="shared" si="8"/>
        <v/>
      </c>
      <c r="AB12" s="71" t="e">
        <f>IF($S12="","",IF(#REF!="Tolerance",IF((#REF!*3*T12+S12)-E12&lt;F12,"",(#REF!*3*T12+S12)-E12),IF(OR(#REF!="GD&amp;T",#REF!="MAX"),IF((#REF!*3*T12+S12)&lt;F12,"",(#REF!*3*T12+S12)),"")))</f>
        <v>#REF!</v>
      </c>
      <c r="AC12" s="71" t="e">
        <f>IF(S12="","",IF(#REF!="Tolerance",IF(-((#REF!*3*T12)-S12)-E12&gt;G12,"",-((#REF!*3*T12)-S12)-E12),IF(#REF!="MIN",IF(-((#REF!*3*T12)-S12)&gt;G12,"",-((#REF!*3*T12)-S12)),"")))</f>
        <v>#REF!</v>
      </c>
      <c r="AD12" s="71">
        <f t="shared" si="11"/>
        <v>4.0000000000000001E-3</v>
      </c>
      <c r="AE12" s="71" t="str">
        <f t="shared" si="9"/>
        <v/>
      </c>
      <c r="AF12" s="82"/>
      <c r="AG12" s="83" t="str">
        <f t="shared" si="12"/>
        <v/>
      </c>
      <c r="AH12" s="125"/>
      <c r="AI12" s="72"/>
      <c r="AJ12" s="72"/>
      <c r="AK12" s="73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</row>
    <row r="13" spans="1:70" ht="19.149999999999999" customHeight="1">
      <c r="B13" s="66" t="s">
        <v>305</v>
      </c>
      <c r="C13" s="75" t="s">
        <v>102</v>
      </c>
      <c r="D13" s="85" t="s">
        <v>227</v>
      </c>
      <c r="E13" s="86">
        <v>0</v>
      </c>
      <c r="F13" s="87">
        <v>8.0000000000000002E-3</v>
      </c>
      <c r="G13" s="87"/>
      <c r="H13" s="79" t="s">
        <v>231</v>
      </c>
      <c r="I13" s="67" t="s">
        <v>84</v>
      </c>
      <c r="J13" s="68">
        <v>8.0000000000000002E-3</v>
      </c>
      <c r="K13" s="68">
        <v>0</v>
      </c>
      <c r="L13" s="68">
        <v>6.7999999999999996E-3</v>
      </c>
      <c r="M13" s="68">
        <v>0</v>
      </c>
      <c r="N13" s="116"/>
      <c r="O13" s="116"/>
      <c r="P13" s="69"/>
      <c r="Q13" s="88">
        <f t="shared" si="0"/>
        <v>0</v>
      </c>
      <c r="R13" s="88">
        <f t="shared" si="1"/>
        <v>0</v>
      </c>
      <c r="S13" s="88">
        <f t="shared" si="2"/>
        <v>0</v>
      </c>
      <c r="T13" s="89">
        <f t="shared" si="3"/>
        <v>0</v>
      </c>
      <c r="U13" s="80" t="str">
        <f t="shared" si="4"/>
        <v/>
      </c>
      <c r="V13" s="81" t="str">
        <f>IF(OR($AM13="",ISNUMBER($AM13)=FALSE),"",IF(AND(#REF!="Tolerance",$E13&lt;&gt;""),($S13-$E13)/(($J13-$K13)/2),IF(AND(#REF!="GD&amp;T",$F13&lt;&gt;""),$S13/$F13,"")))</f>
        <v/>
      </c>
      <c r="W13" s="81" t="str">
        <f t="shared" si="10"/>
        <v/>
      </c>
      <c r="X13" s="80" t="str">
        <f t="shared" si="5"/>
        <v/>
      </c>
      <c r="Y13" s="80" t="str">
        <f t="shared" si="6"/>
        <v/>
      </c>
      <c r="Z13" s="80" t="str">
        <f t="shared" si="7"/>
        <v/>
      </c>
      <c r="AA13" s="70" t="str">
        <f t="shared" si="8"/>
        <v/>
      </c>
      <c r="AB13" s="71" t="e">
        <f>IF($S13="","",IF(#REF!="Tolerance",IF((#REF!*3*T13+S13)-E13&lt;F13,"",(#REF!*3*T13+S13)-E13),IF(OR(#REF!="GD&amp;T",#REF!="MAX"),IF((#REF!*3*T13+S13)&lt;F13,"",(#REF!*3*T13+S13)),"")))</f>
        <v>#REF!</v>
      </c>
      <c r="AC13" s="71" t="e">
        <f>IF(S13="","",IF(#REF!="Tolerance",IF(-((#REF!*3*T13)-S13)-E13&gt;G13,"",-((#REF!*3*T13)-S13)-E13),IF(#REF!="MIN",IF(-((#REF!*3*T13)-S13)&gt;G13,"",-((#REF!*3*T13)-S13)),"")))</f>
        <v>#REF!</v>
      </c>
      <c r="AD13" s="71">
        <f t="shared" si="11"/>
        <v>4.0000000000000001E-3</v>
      </c>
      <c r="AE13" s="71" t="str">
        <f t="shared" si="9"/>
        <v/>
      </c>
      <c r="AF13" s="82"/>
      <c r="AG13" s="83" t="str">
        <f t="shared" si="12"/>
        <v/>
      </c>
      <c r="AH13" s="125"/>
      <c r="AI13" s="72"/>
      <c r="AJ13" s="72"/>
      <c r="AK13" s="73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0"/>
      <c r="BQ13" s="110"/>
      <c r="BR13" s="110"/>
    </row>
    <row r="14" spans="1:70" ht="19.149999999999999" customHeight="1">
      <c r="B14" s="66" t="s">
        <v>306</v>
      </c>
      <c r="C14" s="75" t="s">
        <v>117</v>
      </c>
      <c r="D14" s="85" t="s">
        <v>227</v>
      </c>
      <c r="E14" s="86">
        <v>0</v>
      </c>
      <c r="F14" s="87">
        <v>8.0000000000000002E-3</v>
      </c>
      <c r="G14" s="87"/>
      <c r="H14" s="79" t="s">
        <v>231</v>
      </c>
      <c r="I14" s="67" t="s">
        <v>84</v>
      </c>
      <c r="J14" s="68">
        <v>8.0000000000000002E-3</v>
      </c>
      <c r="K14" s="68">
        <v>0</v>
      </c>
      <c r="L14" s="68">
        <v>6.7999999999999996E-3</v>
      </c>
      <c r="M14" s="68">
        <v>0</v>
      </c>
      <c r="N14" s="116"/>
      <c r="O14" s="116"/>
      <c r="P14" s="69"/>
      <c r="Q14" s="88">
        <f t="shared" si="0"/>
        <v>0</v>
      </c>
      <c r="R14" s="88">
        <f t="shared" si="1"/>
        <v>0</v>
      </c>
      <c r="S14" s="88">
        <f t="shared" si="2"/>
        <v>0</v>
      </c>
      <c r="T14" s="89">
        <f t="shared" si="3"/>
        <v>0</v>
      </c>
      <c r="U14" s="80" t="str">
        <f t="shared" si="4"/>
        <v/>
      </c>
      <c r="V14" s="81" t="str">
        <f>IF(OR($AM14="",ISNUMBER($AM14)=FALSE),"",IF(AND(#REF!="Tolerance",$E14&lt;&gt;""),($S14-$E14)/(($J14-$K14)/2),IF(AND(#REF!="GD&amp;T",$F14&lt;&gt;""),$S14/$F14,"")))</f>
        <v/>
      </c>
      <c r="W14" s="81" t="str">
        <f t="shared" si="10"/>
        <v/>
      </c>
      <c r="X14" s="80" t="str">
        <f t="shared" si="5"/>
        <v/>
      </c>
      <c r="Y14" s="80" t="str">
        <f t="shared" si="6"/>
        <v/>
      </c>
      <c r="Z14" s="80" t="str">
        <f t="shared" si="7"/>
        <v/>
      </c>
      <c r="AA14" s="70" t="str">
        <f t="shared" si="8"/>
        <v/>
      </c>
      <c r="AB14" s="71" t="e">
        <f>IF($S14="","",IF(#REF!="Tolerance",IF((#REF!*3*T14+S14)-E14&lt;F14,"",(#REF!*3*T14+S14)-E14),IF(OR(#REF!="GD&amp;T",#REF!="MAX"),IF((#REF!*3*T14+S14)&lt;F14,"",(#REF!*3*T14+S14)),"")))</f>
        <v>#REF!</v>
      </c>
      <c r="AC14" s="71" t="e">
        <f>IF(S14="","",IF(#REF!="Tolerance",IF(-((#REF!*3*T14)-S14)-E14&gt;G14,"",-((#REF!*3*T14)-S14)-E14),IF(#REF!="MIN",IF(-((#REF!*3*T14)-S14)&gt;G14,"",-((#REF!*3*T14)-S14)),"")))</f>
        <v>#REF!</v>
      </c>
      <c r="AD14" s="71">
        <f t="shared" si="11"/>
        <v>4.0000000000000001E-3</v>
      </c>
      <c r="AE14" s="71" t="str">
        <f t="shared" si="9"/>
        <v/>
      </c>
      <c r="AF14" s="82"/>
      <c r="AG14" s="83" t="str">
        <f t="shared" si="12"/>
        <v/>
      </c>
      <c r="AH14" s="125"/>
      <c r="AI14" s="72"/>
      <c r="AJ14" s="72"/>
      <c r="AK14" s="73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</row>
    <row r="15" spans="1:70" ht="19.149999999999999" customHeight="1">
      <c r="B15" s="66" t="s">
        <v>301</v>
      </c>
      <c r="C15" s="75">
        <v>9</v>
      </c>
      <c r="D15" s="85" t="s">
        <v>48</v>
      </c>
      <c r="E15" s="86">
        <v>0</v>
      </c>
      <c r="F15" s="87">
        <v>0.06</v>
      </c>
      <c r="G15" s="87"/>
      <c r="H15" s="79" t="s">
        <v>46</v>
      </c>
      <c r="I15" s="67" t="s">
        <v>84</v>
      </c>
      <c r="J15" s="68">
        <v>0.06</v>
      </c>
      <c r="K15" s="68">
        <v>0</v>
      </c>
      <c r="L15" s="68">
        <v>5.0999999999999997E-2</v>
      </c>
      <c r="M15" s="68">
        <v>0</v>
      </c>
      <c r="N15" s="116"/>
      <c r="O15" s="116"/>
      <c r="P15" s="69"/>
      <c r="Q15" s="88">
        <f t="shared" si="0"/>
        <v>0</v>
      </c>
      <c r="R15" s="88">
        <f t="shared" si="1"/>
        <v>0</v>
      </c>
      <c r="S15" s="88">
        <f t="shared" si="2"/>
        <v>0</v>
      </c>
      <c r="T15" s="89">
        <f t="shared" si="3"/>
        <v>0</v>
      </c>
      <c r="U15" s="80" t="str">
        <f t="shared" si="4"/>
        <v/>
      </c>
      <c r="V15" s="81" t="str">
        <f>IF(OR($AM15="",ISNUMBER($AM15)=FALSE),"",IF(AND(#REF!="Tolerance",$E15&lt;&gt;""),($S15-$E15)/(($J15-$K15)/2),IF(AND(#REF!="GD&amp;T",$F15&lt;&gt;""),$S15/$F15,"")))</f>
        <v/>
      </c>
      <c r="W15" s="81" t="str">
        <f t="shared" si="10"/>
        <v/>
      </c>
      <c r="X15" s="80" t="str">
        <f t="shared" si="5"/>
        <v/>
      </c>
      <c r="Y15" s="80" t="str">
        <f t="shared" si="6"/>
        <v/>
      </c>
      <c r="Z15" s="80" t="str">
        <f t="shared" si="7"/>
        <v/>
      </c>
      <c r="AA15" s="70" t="str">
        <f t="shared" si="8"/>
        <v/>
      </c>
      <c r="AB15" s="71" t="e">
        <f>IF($S15="","",IF(#REF!="Tolerance",IF((#REF!*3*T15+S15)-E15&lt;F15,"",(#REF!*3*T15+S15)-E15),IF(OR(#REF!="GD&amp;T",#REF!="MAX"),IF((#REF!*3*T15+S15)&lt;F15,"",(#REF!*3*T15+S15)),"")))</f>
        <v>#REF!</v>
      </c>
      <c r="AC15" s="71" t="e">
        <f>IF(S15="","",IF(#REF!="Tolerance",IF(-((#REF!*3*T15)-S15)-E15&gt;G15,"",-((#REF!*3*T15)-S15)-E15),IF(#REF!="MIN",IF(-((#REF!*3*T15)-S15)&gt;G15,"",-((#REF!*3*T15)-S15)),"")))</f>
        <v>#REF!</v>
      </c>
      <c r="AD15" s="71">
        <f t="shared" si="11"/>
        <v>0.03</v>
      </c>
      <c r="AE15" s="71" t="str">
        <f t="shared" si="9"/>
        <v/>
      </c>
      <c r="AF15" s="82"/>
      <c r="AG15" s="83" t="str">
        <f t="shared" si="12"/>
        <v/>
      </c>
      <c r="AH15" s="125"/>
      <c r="AI15" s="72"/>
      <c r="AJ15" s="72"/>
      <c r="AK15" s="73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</row>
    <row r="16" spans="1:70" ht="19.149999999999999" customHeight="1">
      <c r="B16" s="66" t="s">
        <v>85</v>
      </c>
      <c r="C16" s="75">
        <v>10</v>
      </c>
      <c r="D16" s="85" t="s">
        <v>48</v>
      </c>
      <c r="E16" s="86">
        <v>0</v>
      </c>
      <c r="F16" s="87">
        <v>0.06</v>
      </c>
      <c r="G16" s="87"/>
      <c r="H16" s="79" t="s">
        <v>46</v>
      </c>
      <c r="I16" s="67"/>
      <c r="J16" s="68">
        <v>0.06</v>
      </c>
      <c r="K16" s="68">
        <v>0</v>
      </c>
      <c r="L16" s="68">
        <v>5.0999999999999997E-2</v>
      </c>
      <c r="M16" s="68">
        <v>0</v>
      </c>
      <c r="N16" s="116"/>
      <c r="O16" s="116"/>
      <c r="P16" s="69"/>
      <c r="Q16" s="88">
        <f t="shared" si="0"/>
        <v>0</v>
      </c>
      <c r="R16" s="88">
        <f t="shared" si="1"/>
        <v>0</v>
      </c>
      <c r="S16" s="88">
        <f t="shared" si="2"/>
        <v>0</v>
      </c>
      <c r="T16" s="89">
        <f t="shared" si="3"/>
        <v>0</v>
      </c>
      <c r="U16" s="80" t="str">
        <f t="shared" si="4"/>
        <v/>
      </c>
      <c r="V16" s="81" t="str">
        <f>IF(OR($AM16="",ISNUMBER($AM16)=FALSE),"",IF(AND(#REF!="Tolerance",$E16&lt;&gt;""),($S16-$E16)/(($J16-$K16)/2),IF(AND(#REF!="GD&amp;T",$F16&lt;&gt;""),$S16/$F16,"")))</f>
        <v/>
      </c>
      <c r="W16" s="81" t="str">
        <f t="shared" si="10"/>
        <v/>
      </c>
      <c r="X16" s="80" t="str">
        <f t="shared" si="5"/>
        <v/>
      </c>
      <c r="Y16" s="80" t="str">
        <f t="shared" si="6"/>
        <v/>
      </c>
      <c r="Z16" s="80" t="str">
        <f t="shared" si="7"/>
        <v/>
      </c>
      <c r="AA16" s="70" t="str">
        <f t="shared" si="8"/>
        <v/>
      </c>
      <c r="AB16" s="71" t="e">
        <f>IF($S16="","",IF(#REF!="Tolerance",IF((#REF!*3*T16+S16)-E16&lt;F16,"",(#REF!*3*T16+S16)-E16),IF(OR(#REF!="GD&amp;T",#REF!="MAX"),IF((#REF!*3*T16+S16)&lt;F16,"",(#REF!*3*T16+S16)),"")))</f>
        <v>#REF!</v>
      </c>
      <c r="AC16" s="71" t="e">
        <f>IF(S16="","",IF(#REF!="Tolerance",IF(-((#REF!*3*T16)-S16)-E16&gt;G16,"",-((#REF!*3*T16)-S16)-E16),IF(#REF!="MIN",IF(-((#REF!*3*T16)-S16)&gt;G16,"",-((#REF!*3*T16)-S16)),"")))</f>
        <v>#REF!</v>
      </c>
      <c r="AD16" s="71">
        <f t="shared" si="11"/>
        <v>0.03</v>
      </c>
      <c r="AE16" s="71" t="str">
        <f t="shared" si="9"/>
        <v/>
      </c>
      <c r="AF16" s="82"/>
      <c r="AG16" s="83" t="str">
        <f t="shared" si="12"/>
        <v/>
      </c>
      <c r="AH16" s="125"/>
      <c r="AI16" s="72"/>
      <c r="AJ16" s="72"/>
      <c r="AK16" s="73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</row>
    <row r="17" spans="2:70" ht="19.149999999999999" customHeight="1">
      <c r="B17" s="66" t="s">
        <v>233</v>
      </c>
      <c r="C17" s="75" t="s">
        <v>120</v>
      </c>
      <c r="D17" s="85" t="s">
        <v>45</v>
      </c>
      <c r="E17" s="86">
        <v>19.794</v>
      </c>
      <c r="F17" s="87">
        <v>0.03</v>
      </c>
      <c r="G17" s="87">
        <v>-0.03</v>
      </c>
      <c r="H17" s="79" t="s">
        <v>46</v>
      </c>
      <c r="I17" s="67"/>
      <c r="J17" s="68">
        <v>19.824000000000002</v>
      </c>
      <c r="K17" s="68">
        <v>19.763999999999999</v>
      </c>
      <c r="L17" s="68">
        <v>19.819500000000001</v>
      </c>
      <c r="M17" s="68">
        <v>19.7685</v>
      </c>
      <c r="N17" s="116"/>
      <c r="O17" s="116"/>
      <c r="P17" s="69"/>
      <c r="Q17" s="88">
        <f t="shared" si="0"/>
        <v>0</v>
      </c>
      <c r="R17" s="88">
        <f t="shared" si="1"/>
        <v>0</v>
      </c>
      <c r="S17" s="88">
        <f t="shared" si="2"/>
        <v>0</v>
      </c>
      <c r="T17" s="89">
        <f t="shared" si="3"/>
        <v>0</v>
      </c>
      <c r="U17" s="80" t="str">
        <f t="shared" si="4"/>
        <v/>
      </c>
      <c r="V17" s="81" t="str">
        <f>IF(OR($AM17="",ISNUMBER($AM17)=FALSE),"",IF(AND(#REF!="Tolerance",$E17&lt;&gt;""),($S17-$E17)/(($J17-$K17)/2),IF(AND(#REF!="GD&amp;T",$F17&lt;&gt;""),$S17/$F17,"")))</f>
        <v/>
      </c>
      <c r="W17" s="81" t="str">
        <f t="shared" si="10"/>
        <v/>
      </c>
      <c r="X17" s="80" t="str">
        <f t="shared" si="5"/>
        <v/>
      </c>
      <c r="Y17" s="80" t="str">
        <f t="shared" si="6"/>
        <v/>
      </c>
      <c r="Z17" s="80" t="str">
        <f t="shared" si="7"/>
        <v/>
      </c>
      <c r="AA17" s="70" t="str">
        <f t="shared" si="8"/>
        <v/>
      </c>
      <c r="AB17" s="71" t="e">
        <f>IF($S17="","",IF(#REF!="Tolerance",IF((#REF!*3*T17+S17)-E17&lt;F17,"",(#REF!*3*T17+S17)-E17),IF(OR(#REF!="GD&amp;T",#REF!="MAX"),IF((#REF!*3*T17+S17)&lt;F17,"",(#REF!*3*T17+S17)),"")))</f>
        <v>#REF!</v>
      </c>
      <c r="AC17" s="71" t="e">
        <f>IF(S17="","",IF(#REF!="Tolerance",IF(-((#REF!*3*T17)-S17)-E17&gt;G17,"",-((#REF!*3*T17)-S17)-E17),IF(#REF!="MIN",IF(-((#REF!*3*T17)-S17)&gt;G17,"",-((#REF!*3*T17)-S17)),"")))</f>
        <v>#REF!</v>
      </c>
      <c r="AD17" s="71">
        <f t="shared" si="11"/>
        <v>19.794</v>
      </c>
      <c r="AE17" s="71" t="str">
        <f t="shared" si="9"/>
        <v/>
      </c>
      <c r="AF17" s="82"/>
      <c r="AG17" s="83" t="str">
        <f t="shared" si="12"/>
        <v/>
      </c>
      <c r="AH17" s="125"/>
      <c r="AI17" s="72"/>
      <c r="AJ17" s="72"/>
      <c r="AK17" s="73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</row>
    <row r="18" spans="2:70" ht="19.149999999999999" customHeight="1">
      <c r="B18" s="66" t="s">
        <v>233</v>
      </c>
      <c r="C18" s="75" t="s">
        <v>121</v>
      </c>
      <c r="D18" s="85" t="s">
        <v>45</v>
      </c>
      <c r="E18" s="86">
        <v>19.794</v>
      </c>
      <c r="F18" s="87">
        <v>0.03</v>
      </c>
      <c r="G18" s="87">
        <v>-0.03</v>
      </c>
      <c r="H18" s="79" t="s">
        <v>46</v>
      </c>
      <c r="I18" s="67"/>
      <c r="J18" s="68">
        <v>19.824000000000002</v>
      </c>
      <c r="K18" s="68">
        <v>19.763999999999999</v>
      </c>
      <c r="L18" s="68">
        <v>19.819500000000001</v>
      </c>
      <c r="M18" s="68">
        <v>19.7685</v>
      </c>
      <c r="N18" s="116"/>
      <c r="O18" s="116"/>
      <c r="P18" s="69"/>
      <c r="Q18" s="88">
        <f t="shared" si="0"/>
        <v>0</v>
      </c>
      <c r="R18" s="88">
        <f t="shared" si="1"/>
        <v>0</v>
      </c>
      <c r="S18" s="88">
        <f t="shared" si="2"/>
        <v>0</v>
      </c>
      <c r="T18" s="89">
        <f t="shared" si="3"/>
        <v>0</v>
      </c>
      <c r="U18" s="80" t="str">
        <f t="shared" si="4"/>
        <v/>
      </c>
      <c r="V18" s="81" t="str">
        <f>IF(OR($AM18="",ISNUMBER($AM18)=FALSE),"",IF(AND(#REF!="Tolerance",$E18&lt;&gt;""),($S18-$E18)/(($J18-$K18)/2),IF(AND(#REF!="GD&amp;T",$F18&lt;&gt;""),$S18/$F18,"")))</f>
        <v/>
      </c>
      <c r="W18" s="81" t="str">
        <f t="shared" si="10"/>
        <v/>
      </c>
      <c r="X18" s="80" t="str">
        <f t="shared" si="5"/>
        <v/>
      </c>
      <c r="Y18" s="80" t="str">
        <f t="shared" si="6"/>
        <v/>
      </c>
      <c r="Z18" s="80" t="str">
        <f t="shared" si="7"/>
        <v/>
      </c>
      <c r="AA18" s="70" t="str">
        <f t="shared" si="8"/>
        <v/>
      </c>
      <c r="AB18" s="71" t="e">
        <f>IF($S18="","",IF(#REF!="Tolerance",IF((#REF!*3*T18+S18)-E18&lt;F18,"",(#REF!*3*T18+S18)-E18),IF(OR(#REF!="GD&amp;T",#REF!="MAX"),IF((#REF!*3*T18+S18)&lt;F18,"",(#REF!*3*T18+S18)),"")))</f>
        <v>#REF!</v>
      </c>
      <c r="AC18" s="71" t="e">
        <f>IF(S18="","",IF(#REF!="Tolerance",IF(-((#REF!*3*T18)-S18)-E18&gt;G18,"",-((#REF!*3*T18)-S18)-E18),IF(#REF!="MIN",IF(-((#REF!*3*T18)-S18)&gt;G18,"",-((#REF!*3*T18)-S18)),"")))</f>
        <v>#REF!</v>
      </c>
      <c r="AD18" s="71">
        <f t="shared" si="11"/>
        <v>19.794</v>
      </c>
      <c r="AE18" s="71" t="str">
        <f t="shared" si="9"/>
        <v/>
      </c>
      <c r="AF18" s="82"/>
      <c r="AG18" s="83" t="str">
        <f t="shared" si="12"/>
        <v/>
      </c>
      <c r="AH18" s="125"/>
      <c r="AI18" s="72"/>
      <c r="AJ18" s="72"/>
      <c r="AK18" s="73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</row>
    <row r="19" spans="2:70" ht="19.149999999999999" customHeight="1">
      <c r="B19" s="66" t="s">
        <v>233</v>
      </c>
      <c r="C19" s="75" t="s">
        <v>122</v>
      </c>
      <c r="D19" s="85" t="s">
        <v>45</v>
      </c>
      <c r="E19" s="86">
        <v>19.794</v>
      </c>
      <c r="F19" s="87">
        <v>0.03</v>
      </c>
      <c r="G19" s="87">
        <v>-0.03</v>
      </c>
      <c r="H19" s="79" t="s">
        <v>46</v>
      </c>
      <c r="I19" s="67"/>
      <c r="J19" s="68">
        <v>19.824000000000002</v>
      </c>
      <c r="K19" s="68">
        <v>19.763999999999999</v>
      </c>
      <c r="L19" s="68">
        <v>19.819500000000001</v>
      </c>
      <c r="M19" s="68">
        <v>19.7685</v>
      </c>
      <c r="N19" s="116"/>
      <c r="O19" s="116"/>
      <c r="P19" s="69"/>
      <c r="Q19" s="88">
        <f t="shared" si="0"/>
        <v>0</v>
      </c>
      <c r="R19" s="88">
        <f t="shared" si="1"/>
        <v>0</v>
      </c>
      <c r="S19" s="88">
        <f t="shared" si="2"/>
        <v>0</v>
      </c>
      <c r="T19" s="89">
        <f t="shared" si="3"/>
        <v>0</v>
      </c>
      <c r="U19" s="80" t="str">
        <f t="shared" si="4"/>
        <v/>
      </c>
      <c r="V19" s="81" t="str">
        <f>IF(OR($AM19="",ISNUMBER($AM19)=FALSE),"",IF(AND(#REF!="Tolerance",$E19&lt;&gt;""),($S19-$E19)/(($J19-$K19)/2),IF(AND(#REF!="GD&amp;T",$F19&lt;&gt;""),$S19/$F19,"")))</f>
        <v/>
      </c>
      <c r="W19" s="81" t="str">
        <f t="shared" si="10"/>
        <v/>
      </c>
      <c r="X19" s="80" t="str">
        <f t="shared" si="5"/>
        <v/>
      </c>
      <c r="Y19" s="80" t="str">
        <f t="shared" si="6"/>
        <v/>
      </c>
      <c r="Z19" s="80" t="str">
        <f t="shared" si="7"/>
        <v/>
      </c>
      <c r="AA19" s="70" t="str">
        <f t="shared" si="8"/>
        <v/>
      </c>
      <c r="AB19" s="71" t="e">
        <f>IF($S19="","",IF(#REF!="Tolerance",IF((#REF!*3*T19+S19)-E19&lt;F19,"",(#REF!*3*T19+S19)-E19),IF(OR(#REF!="GD&amp;T",#REF!="MAX"),IF((#REF!*3*T19+S19)&lt;F19,"",(#REF!*3*T19+S19)),"")))</f>
        <v>#REF!</v>
      </c>
      <c r="AC19" s="71" t="e">
        <f>IF(S19="","",IF(#REF!="Tolerance",IF(-((#REF!*3*T19)-S19)-E19&gt;G19,"",-((#REF!*3*T19)-S19)-E19),IF(#REF!="MIN",IF(-((#REF!*3*T19)-S19)&gt;G19,"",-((#REF!*3*T19)-S19)),"")))</f>
        <v>#REF!</v>
      </c>
      <c r="AD19" s="71">
        <f t="shared" si="11"/>
        <v>19.794</v>
      </c>
      <c r="AE19" s="71" t="str">
        <f t="shared" si="9"/>
        <v/>
      </c>
      <c r="AF19" s="82"/>
      <c r="AG19" s="83" t="str">
        <f t="shared" si="12"/>
        <v/>
      </c>
      <c r="AH19" s="125"/>
      <c r="AI19" s="72"/>
      <c r="AJ19" s="72"/>
      <c r="AK19" s="73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</row>
    <row r="20" spans="2:70" ht="19.149999999999999" customHeight="1">
      <c r="B20" s="66" t="s">
        <v>339</v>
      </c>
      <c r="C20" s="75">
        <v>18</v>
      </c>
      <c r="D20" s="85" t="s">
        <v>45</v>
      </c>
      <c r="E20" s="86">
        <v>18.643000000000001</v>
      </c>
      <c r="F20" s="87">
        <v>0.03</v>
      </c>
      <c r="G20" s="87">
        <v>-0.03</v>
      </c>
      <c r="H20" s="79" t="s">
        <v>46</v>
      </c>
      <c r="I20" s="67"/>
      <c r="J20" s="68">
        <v>18.673000000000002</v>
      </c>
      <c r="K20" s="68">
        <v>18.613</v>
      </c>
      <c r="L20" s="68">
        <v>18.668500000000002</v>
      </c>
      <c r="M20" s="68">
        <v>18.6175</v>
      </c>
      <c r="N20" s="116"/>
      <c r="O20" s="116"/>
      <c r="P20" s="69"/>
      <c r="Q20" s="88">
        <f t="shared" si="0"/>
        <v>0</v>
      </c>
      <c r="R20" s="88">
        <f t="shared" si="1"/>
        <v>0</v>
      </c>
      <c r="S20" s="88">
        <f t="shared" si="2"/>
        <v>0</v>
      </c>
      <c r="T20" s="89">
        <f t="shared" si="3"/>
        <v>0</v>
      </c>
      <c r="U20" s="80" t="str">
        <f t="shared" si="4"/>
        <v/>
      </c>
      <c r="V20" s="81" t="str">
        <f>IF(OR($AM20="",ISNUMBER($AM20)=FALSE),"",IF(AND(#REF!="Tolerance",$E20&lt;&gt;""),($S20-$E20)/(($J20-$K20)/2),IF(AND(#REF!="GD&amp;T",$F20&lt;&gt;""),$S20/$F20,"")))</f>
        <v/>
      </c>
      <c r="W20" s="81" t="str">
        <f t="shared" si="10"/>
        <v/>
      </c>
      <c r="X20" s="80" t="str">
        <f t="shared" si="5"/>
        <v/>
      </c>
      <c r="Y20" s="80" t="str">
        <f t="shared" si="6"/>
        <v/>
      </c>
      <c r="Z20" s="80" t="str">
        <f t="shared" si="7"/>
        <v/>
      </c>
      <c r="AA20" s="70" t="str">
        <f t="shared" si="8"/>
        <v/>
      </c>
      <c r="AB20" s="71" t="e">
        <f>IF($S20="","",IF(#REF!="Tolerance",IF((#REF!*3*T20+S20)-E20&lt;F20,"",(#REF!*3*T20+S20)-E20),IF(OR(#REF!="GD&amp;T",#REF!="MAX"),IF((#REF!*3*T20+S20)&lt;F20,"",(#REF!*3*T20+S20)),"")))</f>
        <v>#REF!</v>
      </c>
      <c r="AC20" s="71" t="e">
        <f>IF(S20="","",IF(#REF!="Tolerance",IF(-((#REF!*3*T20)-S20)-E20&gt;G20,"",-((#REF!*3*T20)-S20)-E20),IF(#REF!="MIN",IF(-((#REF!*3*T20)-S20)&gt;G20,"",-((#REF!*3*T20)-S20)),"")))</f>
        <v>#REF!</v>
      </c>
      <c r="AD20" s="71">
        <f t="shared" si="11"/>
        <v>18.643000000000001</v>
      </c>
      <c r="AE20" s="71" t="str">
        <f t="shared" si="9"/>
        <v/>
      </c>
      <c r="AF20" s="82"/>
      <c r="AG20" s="83" t="str">
        <f t="shared" si="12"/>
        <v/>
      </c>
      <c r="AH20" s="125"/>
      <c r="AI20" s="72"/>
      <c r="AJ20" s="72"/>
      <c r="AK20" s="73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</row>
    <row r="21" spans="2:70" ht="19.149999999999999" customHeight="1">
      <c r="B21" s="66" t="s">
        <v>89</v>
      </c>
      <c r="C21" s="75">
        <v>19</v>
      </c>
      <c r="D21" s="85" t="s">
        <v>45</v>
      </c>
      <c r="E21" s="86">
        <v>15.882999999999999</v>
      </c>
      <c r="F21" s="87">
        <v>0.03</v>
      </c>
      <c r="G21" s="87">
        <v>-0.03</v>
      </c>
      <c r="H21" s="79" t="s">
        <v>46</v>
      </c>
      <c r="I21" s="67"/>
      <c r="J21" s="68">
        <v>15.912999999999998</v>
      </c>
      <c r="K21" s="68">
        <v>15.853</v>
      </c>
      <c r="L21" s="68">
        <v>15.908499999999998</v>
      </c>
      <c r="M21" s="68">
        <v>15.8575</v>
      </c>
      <c r="N21" s="116"/>
      <c r="O21" s="116"/>
      <c r="P21" s="69"/>
      <c r="Q21" s="88">
        <f t="shared" si="0"/>
        <v>0</v>
      </c>
      <c r="R21" s="88">
        <f t="shared" si="1"/>
        <v>0</v>
      </c>
      <c r="S21" s="88">
        <f t="shared" si="2"/>
        <v>0</v>
      </c>
      <c r="T21" s="89">
        <f t="shared" si="3"/>
        <v>0</v>
      </c>
      <c r="U21" s="80" t="str">
        <f t="shared" si="4"/>
        <v/>
      </c>
      <c r="V21" s="81" t="str">
        <f>IF(OR($AM21="",ISNUMBER($AM21)=FALSE),"",IF(AND(#REF!="Tolerance",$E21&lt;&gt;""),($S21-$E21)/(($J21-$K21)/2),IF(AND(#REF!="GD&amp;T",$F21&lt;&gt;""),$S21/$F21,"")))</f>
        <v/>
      </c>
      <c r="W21" s="81" t="str">
        <f t="shared" si="10"/>
        <v/>
      </c>
      <c r="X21" s="80" t="str">
        <f t="shared" si="5"/>
        <v/>
      </c>
      <c r="Y21" s="80" t="str">
        <f t="shared" si="6"/>
        <v/>
      </c>
      <c r="Z21" s="80" t="str">
        <f t="shared" si="7"/>
        <v/>
      </c>
      <c r="AA21" s="70" t="str">
        <f t="shared" si="8"/>
        <v/>
      </c>
      <c r="AB21" s="71" t="e">
        <f>IF($S21="","",IF(#REF!="Tolerance",IF((#REF!*3*T21+S21)-E21&lt;F21,"",(#REF!*3*T21+S21)-E21),IF(OR(#REF!="GD&amp;T",#REF!="MAX"),IF((#REF!*3*T21+S21)&lt;F21,"",(#REF!*3*T21+S21)),"")))</f>
        <v>#REF!</v>
      </c>
      <c r="AC21" s="71" t="e">
        <f>IF(S21="","",IF(#REF!="Tolerance",IF(-((#REF!*3*T21)-S21)-E21&gt;G21,"",-((#REF!*3*T21)-S21)-E21),IF(#REF!="MIN",IF(-((#REF!*3*T21)-S21)&gt;G21,"",-((#REF!*3*T21)-S21)),"")))</f>
        <v>#REF!</v>
      </c>
      <c r="AD21" s="71">
        <f t="shared" si="11"/>
        <v>15.882999999999999</v>
      </c>
      <c r="AE21" s="71" t="str">
        <f t="shared" si="9"/>
        <v/>
      </c>
      <c r="AF21" s="82"/>
      <c r="AG21" s="83" t="str">
        <f t="shared" si="12"/>
        <v/>
      </c>
      <c r="AH21" s="125"/>
      <c r="AI21" s="72"/>
      <c r="AJ21" s="72"/>
      <c r="AK21" s="73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</row>
    <row r="22" spans="2:70" ht="19.149999999999999" customHeight="1">
      <c r="B22" s="66" t="s">
        <v>92</v>
      </c>
      <c r="C22" s="75" t="s">
        <v>123</v>
      </c>
      <c r="D22" s="85" t="s">
        <v>45</v>
      </c>
      <c r="E22" s="86">
        <v>3.9380000000000002</v>
      </c>
      <c r="F22" s="87">
        <v>0.03</v>
      </c>
      <c r="G22" s="87">
        <v>-0.03</v>
      </c>
      <c r="H22" s="79" t="s">
        <v>46</v>
      </c>
      <c r="I22" s="67"/>
      <c r="J22" s="68">
        <v>3.968</v>
      </c>
      <c r="K22" s="68">
        <v>3.9080000000000004</v>
      </c>
      <c r="L22" s="68">
        <v>3.9635000000000002</v>
      </c>
      <c r="M22" s="68">
        <v>3.9125000000000001</v>
      </c>
      <c r="N22" s="116"/>
      <c r="O22" s="116"/>
      <c r="P22" s="69"/>
      <c r="Q22" s="88">
        <f t="shared" si="0"/>
        <v>0</v>
      </c>
      <c r="R22" s="88">
        <f t="shared" si="1"/>
        <v>0</v>
      </c>
      <c r="S22" s="88">
        <f t="shared" si="2"/>
        <v>0</v>
      </c>
      <c r="T22" s="89">
        <f t="shared" si="3"/>
        <v>0</v>
      </c>
      <c r="U22" s="80" t="str">
        <f t="shared" si="4"/>
        <v/>
      </c>
      <c r="V22" s="81" t="str">
        <f>IF(OR($AM22="",ISNUMBER($AM22)=FALSE),"",IF(AND(#REF!="Tolerance",$E22&lt;&gt;""),($S22-$E22)/(($J22-$K22)/2),IF(AND(#REF!="GD&amp;T",$F22&lt;&gt;""),$S22/$F22,"")))</f>
        <v/>
      </c>
      <c r="W22" s="81" t="str">
        <f t="shared" si="10"/>
        <v/>
      </c>
      <c r="X22" s="80" t="str">
        <f t="shared" si="5"/>
        <v/>
      </c>
      <c r="Y22" s="80" t="str">
        <f t="shared" si="6"/>
        <v/>
      </c>
      <c r="Z22" s="80" t="str">
        <f t="shared" si="7"/>
        <v/>
      </c>
      <c r="AA22" s="70" t="str">
        <f t="shared" si="8"/>
        <v/>
      </c>
      <c r="AB22" s="71" t="e">
        <f>IF($S22="","",IF(#REF!="Tolerance",IF((#REF!*3*T22+S22)-E22&lt;F22,"",(#REF!*3*T22+S22)-E22),IF(OR(#REF!="GD&amp;T",#REF!="MAX"),IF((#REF!*3*T22+S22)&lt;F22,"",(#REF!*3*T22+S22)),"")))</f>
        <v>#REF!</v>
      </c>
      <c r="AC22" s="71" t="e">
        <f>IF(S22="","",IF(#REF!="Tolerance",IF(-((#REF!*3*T22)-S22)-E22&gt;G22,"",-((#REF!*3*T22)-S22)-E22),IF(#REF!="MIN",IF(-((#REF!*3*T22)-S22)&gt;G22,"",-((#REF!*3*T22)-S22)),"")))</f>
        <v>#REF!</v>
      </c>
      <c r="AD22" s="71">
        <f t="shared" si="11"/>
        <v>3.9380000000000002</v>
      </c>
      <c r="AE22" s="71" t="str">
        <f t="shared" si="9"/>
        <v/>
      </c>
      <c r="AF22" s="82"/>
      <c r="AG22" s="83" t="str">
        <f t="shared" si="12"/>
        <v/>
      </c>
      <c r="AH22" s="125"/>
      <c r="AI22" s="72"/>
      <c r="AJ22" s="72"/>
      <c r="AK22" s="73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</row>
    <row r="23" spans="2:70" ht="19.149999999999999" customHeight="1">
      <c r="B23" s="66" t="s">
        <v>92</v>
      </c>
      <c r="C23" s="75" t="s">
        <v>124</v>
      </c>
      <c r="D23" s="85" t="s">
        <v>45</v>
      </c>
      <c r="E23" s="86">
        <v>3.9380000000000002</v>
      </c>
      <c r="F23" s="87">
        <v>0.03</v>
      </c>
      <c r="G23" s="87">
        <v>-0.03</v>
      </c>
      <c r="H23" s="79" t="s">
        <v>46</v>
      </c>
      <c r="I23" s="67"/>
      <c r="J23" s="68">
        <v>3.968</v>
      </c>
      <c r="K23" s="68">
        <v>3.9080000000000004</v>
      </c>
      <c r="L23" s="68">
        <v>3.9635000000000002</v>
      </c>
      <c r="M23" s="68">
        <v>3.9125000000000001</v>
      </c>
      <c r="N23" s="116"/>
      <c r="O23" s="116"/>
      <c r="P23" s="69"/>
      <c r="Q23" s="88">
        <f t="shared" si="0"/>
        <v>0</v>
      </c>
      <c r="R23" s="88">
        <f t="shared" si="1"/>
        <v>0</v>
      </c>
      <c r="S23" s="88">
        <f t="shared" si="2"/>
        <v>0</v>
      </c>
      <c r="T23" s="89">
        <f t="shared" si="3"/>
        <v>0</v>
      </c>
      <c r="U23" s="80" t="str">
        <f t="shared" si="4"/>
        <v/>
      </c>
      <c r="V23" s="81" t="str">
        <f>IF(OR($AM23="",ISNUMBER($AM23)=FALSE),"",IF(AND(#REF!="Tolerance",$E23&lt;&gt;""),($S23-$E23)/(($J23-$K23)/2),IF(AND(#REF!="GD&amp;T",$F23&lt;&gt;""),$S23/$F23,"")))</f>
        <v/>
      </c>
      <c r="W23" s="81" t="str">
        <f t="shared" si="10"/>
        <v/>
      </c>
      <c r="X23" s="80" t="str">
        <f t="shared" si="5"/>
        <v/>
      </c>
      <c r="Y23" s="80" t="str">
        <f t="shared" si="6"/>
        <v/>
      </c>
      <c r="Z23" s="80" t="str">
        <f t="shared" si="7"/>
        <v/>
      </c>
      <c r="AA23" s="70" t="str">
        <f t="shared" si="8"/>
        <v/>
      </c>
      <c r="AB23" s="71" t="e">
        <f>IF($S23="","",IF(#REF!="Tolerance",IF((#REF!*3*T23+S23)-E23&lt;F23,"",(#REF!*3*T23+S23)-E23),IF(OR(#REF!="GD&amp;T",#REF!="MAX"),IF((#REF!*3*T23+S23)&lt;F23,"",(#REF!*3*T23+S23)),"")))</f>
        <v>#REF!</v>
      </c>
      <c r="AC23" s="71" t="e">
        <f>IF(S23="","",IF(#REF!="Tolerance",IF(-((#REF!*3*T23)-S23)-E23&gt;G23,"",-((#REF!*3*T23)-S23)-E23),IF(#REF!="MIN",IF(-((#REF!*3*T23)-S23)&gt;G23,"",-((#REF!*3*T23)-S23)),"")))</f>
        <v>#REF!</v>
      </c>
      <c r="AD23" s="71">
        <f t="shared" si="11"/>
        <v>3.9380000000000002</v>
      </c>
      <c r="AE23" s="71" t="str">
        <f t="shared" si="9"/>
        <v/>
      </c>
      <c r="AF23" s="82"/>
      <c r="AG23" s="83" t="str">
        <f t="shared" si="12"/>
        <v/>
      </c>
      <c r="AH23" s="125"/>
      <c r="AI23" s="72"/>
      <c r="AJ23" s="72"/>
      <c r="AK23" s="73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</row>
    <row r="24" spans="2:70" ht="19.149999999999999" customHeight="1">
      <c r="B24" s="66" t="s">
        <v>92</v>
      </c>
      <c r="C24" s="75" t="s">
        <v>125</v>
      </c>
      <c r="D24" s="85" t="s">
        <v>45</v>
      </c>
      <c r="E24" s="86">
        <v>3.9380000000000002</v>
      </c>
      <c r="F24" s="87">
        <v>0.03</v>
      </c>
      <c r="G24" s="87">
        <v>-0.03</v>
      </c>
      <c r="H24" s="79" t="s">
        <v>46</v>
      </c>
      <c r="I24" s="67"/>
      <c r="J24" s="68">
        <v>3.968</v>
      </c>
      <c r="K24" s="68">
        <v>3.9080000000000004</v>
      </c>
      <c r="L24" s="68">
        <v>3.9635000000000002</v>
      </c>
      <c r="M24" s="68">
        <v>3.9125000000000001</v>
      </c>
      <c r="N24" s="116"/>
      <c r="O24" s="116"/>
      <c r="P24" s="69"/>
      <c r="Q24" s="88">
        <f t="shared" si="0"/>
        <v>0</v>
      </c>
      <c r="R24" s="88">
        <f t="shared" si="1"/>
        <v>0</v>
      </c>
      <c r="S24" s="88">
        <f t="shared" si="2"/>
        <v>0</v>
      </c>
      <c r="T24" s="89">
        <f t="shared" si="3"/>
        <v>0</v>
      </c>
      <c r="U24" s="80" t="str">
        <f t="shared" si="4"/>
        <v/>
      </c>
      <c r="V24" s="81" t="str">
        <f>IF(OR($AM24="",ISNUMBER($AM24)=FALSE),"",IF(AND(#REF!="Tolerance",$E24&lt;&gt;""),($S24-$E24)/(($J24-$K24)/2),IF(AND(#REF!="GD&amp;T",$F24&lt;&gt;""),$S24/$F24,"")))</f>
        <v/>
      </c>
      <c r="W24" s="81" t="str">
        <f t="shared" si="10"/>
        <v/>
      </c>
      <c r="X24" s="80" t="str">
        <f t="shared" si="5"/>
        <v/>
      </c>
      <c r="Y24" s="80" t="str">
        <f t="shared" si="6"/>
        <v/>
      </c>
      <c r="Z24" s="80" t="str">
        <f t="shared" si="7"/>
        <v/>
      </c>
      <c r="AA24" s="70" t="str">
        <f t="shared" si="8"/>
        <v/>
      </c>
      <c r="AB24" s="71" t="e">
        <f>IF($S24="","",IF(#REF!="Tolerance",IF((#REF!*3*T24+S24)-E24&lt;F24,"",(#REF!*3*T24+S24)-E24),IF(OR(#REF!="GD&amp;T",#REF!="MAX"),IF((#REF!*3*T24+S24)&lt;F24,"",(#REF!*3*T24+S24)),"")))</f>
        <v>#REF!</v>
      </c>
      <c r="AC24" s="71" t="e">
        <f>IF(S24="","",IF(#REF!="Tolerance",IF(-((#REF!*3*T24)-S24)-E24&gt;G24,"",-((#REF!*3*T24)-S24)-E24),IF(#REF!="MIN",IF(-((#REF!*3*T24)-S24)&gt;G24,"",-((#REF!*3*T24)-S24)),"")))</f>
        <v>#REF!</v>
      </c>
      <c r="AD24" s="71">
        <f t="shared" si="11"/>
        <v>3.9380000000000002</v>
      </c>
      <c r="AE24" s="71" t="str">
        <f t="shared" si="9"/>
        <v/>
      </c>
      <c r="AF24" s="82"/>
      <c r="AG24" s="83" t="str">
        <f t="shared" si="12"/>
        <v/>
      </c>
      <c r="AH24" s="125"/>
      <c r="AI24" s="72"/>
      <c r="AJ24" s="72"/>
      <c r="AK24" s="73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</row>
    <row r="25" spans="2:70" ht="19.149999999999999" customHeight="1">
      <c r="B25" s="66" t="s">
        <v>316</v>
      </c>
      <c r="C25" s="75" t="s">
        <v>340</v>
      </c>
      <c r="D25" s="85" t="s">
        <v>45</v>
      </c>
      <c r="E25" s="86">
        <v>1.125</v>
      </c>
      <c r="F25" s="87">
        <v>0.03</v>
      </c>
      <c r="G25" s="87">
        <v>-0.02</v>
      </c>
      <c r="H25" s="79" t="s">
        <v>231</v>
      </c>
      <c r="I25" s="67"/>
      <c r="J25" s="68">
        <v>1.155</v>
      </c>
      <c r="K25" s="68">
        <v>1.105</v>
      </c>
      <c r="L25" s="68">
        <v>1.1505000000000001</v>
      </c>
      <c r="M25" s="68">
        <v>1.1080000000000001</v>
      </c>
      <c r="N25" s="116">
        <v>1.1475</v>
      </c>
      <c r="O25" s="116">
        <v>1.1100000000000001</v>
      </c>
      <c r="P25" s="69"/>
      <c r="Q25" s="88">
        <f t="shared" si="0"/>
        <v>0</v>
      </c>
      <c r="R25" s="88">
        <f t="shared" si="1"/>
        <v>0</v>
      </c>
      <c r="S25" s="88">
        <f t="shared" si="2"/>
        <v>0</v>
      </c>
      <c r="T25" s="89">
        <f t="shared" si="3"/>
        <v>0</v>
      </c>
      <c r="U25" s="80" t="str">
        <f t="shared" si="4"/>
        <v/>
      </c>
      <c r="V25" s="81" t="str">
        <f>IF(OR($AM25="",ISNUMBER($AM25)=FALSE),"",IF(AND(#REF!="Tolerance",$E25&lt;&gt;""),($S25-$E25)/(($J25-$K25)/2),IF(AND(#REF!="GD&amp;T",$F25&lt;&gt;""),$S25/$F25,"")))</f>
        <v/>
      </c>
      <c r="W25" s="81" t="str">
        <f t="shared" si="10"/>
        <v/>
      </c>
      <c r="X25" s="80" t="str">
        <f t="shared" si="5"/>
        <v/>
      </c>
      <c r="Y25" s="80" t="str">
        <f t="shared" si="6"/>
        <v/>
      </c>
      <c r="Z25" s="80" t="str">
        <f t="shared" si="7"/>
        <v/>
      </c>
      <c r="AA25" s="70" t="str">
        <f t="shared" si="8"/>
        <v/>
      </c>
      <c r="AB25" s="71"/>
      <c r="AC25" s="71"/>
      <c r="AD25" s="71"/>
      <c r="AE25" s="71"/>
      <c r="AF25" s="82"/>
      <c r="AG25" s="83" t="str">
        <f t="shared" si="12"/>
        <v/>
      </c>
      <c r="AH25" s="125"/>
      <c r="AI25" s="72"/>
      <c r="AJ25" s="72"/>
      <c r="AK25" s="73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</row>
    <row r="26" spans="2:70" ht="19.149999999999999" customHeight="1">
      <c r="B26" s="66" t="s">
        <v>316</v>
      </c>
      <c r="C26" s="75" t="s">
        <v>341</v>
      </c>
      <c r="D26" s="85" t="s">
        <v>45</v>
      </c>
      <c r="E26" s="86">
        <v>1.125</v>
      </c>
      <c r="F26" s="87">
        <v>0.03</v>
      </c>
      <c r="G26" s="87">
        <v>-0.02</v>
      </c>
      <c r="H26" s="79" t="s">
        <v>231</v>
      </c>
      <c r="I26" s="67"/>
      <c r="J26" s="68">
        <v>1.155</v>
      </c>
      <c r="K26" s="68">
        <v>1.105</v>
      </c>
      <c r="L26" s="68">
        <v>1.1505000000000001</v>
      </c>
      <c r="M26" s="68">
        <v>1.1080000000000001</v>
      </c>
      <c r="N26" s="116">
        <v>1.1475</v>
      </c>
      <c r="O26" s="116">
        <v>1.1100000000000001</v>
      </c>
      <c r="P26" s="69"/>
      <c r="Q26" s="88">
        <f t="shared" si="0"/>
        <v>0</v>
      </c>
      <c r="R26" s="88">
        <f t="shared" si="1"/>
        <v>0</v>
      </c>
      <c r="S26" s="88">
        <f t="shared" si="2"/>
        <v>0</v>
      </c>
      <c r="T26" s="89">
        <f t="shared" si="3"/>
        <v>0</v>
      </c>
      <c r="U26" s="80" t="str">
        <f t="shared" si="4"/>
        <v/>
      </c>
      <c r="V26" s="81" t="str">
        <f>IF(OR($AM26="",ISNUMBER($AM26)=FALSE),"",IF(AND(#REF!="Tolerance",$E26&lt;&gt;""),($S26-$E26)/(($J26-$K26)/2),IF(AND(#REF!="GD&amp;T",$F26&lt;&gt;""),$S26/$F26,"")))</f>
        <v/>
      </c>
      <c r="W26" s="81" t="str">
        <f t="shared" si="10"/>
        <v/>
      </c>
      <c r="X26" s="80" t="str">
        <f t="shared" si="5"/>
        <v/>
      </c>
      <c r="Y26" s="80" t="str">
        <f t="shared" si="6"/>
        <v/>
      </c>
      <c r="Z26" s="80" t="str">
        <f t="shared" si="7"/>
        <v/>
      </c>
      <c r="AA26" s="70" t="str">
        <f t="shared" si="8"/>
        <v/>
      </c>
      <c r="AB26" s="71"/>
      <c r="AC26" s="71"/>
      <c r="AD26" s="71"/>
      <c r="AE26" s="71"/>
      <c r="AF26" s="82"/>
      <c r="AG26" s="83" t="str">
        <f t="shared" si="12"/>
        <v/>
      </c>
      <c r="AH26" s="125"/>
      <c r="AI26" s="72"/>
      <c r="AJ26" s="72"/>
      <c r="AK26" s="73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</row>
    <row r="27" spans="2:70" ht="19.149999999999999" customHeight="1">
      <c r="B27" s="66" t="s">
        <v>316</v>
      </c>
      <c r="C27" s="75" t="s">
        <v>342</v>
      </c>
      <c r="D27" s="85" t="s">
        <v>45</v>
      </c>
      <c r="E27" s="86">
        <v>1.125</v>
      </c>
      <c r="F27" s="87">
        <v>0.03</v>
      </c>
      <c r="G27" s="87">
        <v>-0.02</v>
      </c>
      <c r="H27" s="79" t="s">
        <v>231</v>
      </c>
      <c r="I27" s="67"/>
      <c r="J27" s="68">
        <v>1.155</v>
      </c>
      <c r="K27" s="68">
        <v>1.105</v>
      </c>
      <c r="L27" s="68">
        <v>1.1505000000000001</v>
      </c>
      <c r="M27" s="68">
        <v>1.1080000000000001</v>
      </c>
      <c r="N27" s="116">
        <v>1.1475</v>
      </c>
      <c r="O27" s="116">
        <v>1.1100000000000001</v>
      </c>
      <c r="P27" s="69"/>
      <c r="Q27" s="88">
        <f t="shared" si="0"/>
        <v>0</v>
      </c>
      <c r="R27" s="88">
        <f t="shared" si="1"/>
        <v>0</v>
      </c>
      <c r="S27" s="88">
        <f t="shared" si="2"/>
        <v>0</v>
      </c>
      <c r="T27" s="89">
        <f t="shared" si="3"/>
        <v>0</v>
      </c>
      <c r="U27" s="80" t="str">
        <f t="shared" si="4"/>
        <v/>
      </c>
      <c r="V27" s="81" t="str">
        <f>IF(OR($AM27="",ISNUMBER($AM27)=FALSE),"",IF(AND(#REF!="Tolerance",$E27&lt;&gt;""),($S27-$E27)/(($J27-$K27)/2),IF(AND(#REF!="GD&amp;T",$F27&lt;&gt;""),$S27/$F27,"")))</f>
        <v/>
      </c>
      <c r="W27" s="81" t="str">
        <f t="shared" si="10"/>
        <v/>
      </c>
      <c r="X27" s="80" t="str">
        <f t="shared" si="5"/>
        <v/>
      </c>
      <c r="Y27" s="80" t="str">
        <f t="shared" si="6"/>
        <v/>
      </c>
      <c r="Z27" s="80" t="str">
        <f t="shared" si="7"/>
        <v/>
      </c>
      <c r="AA27" s="70" t="str">
        <f t="shared" si="8"/>
        <v/>
      </c>
      <c r="AB27" s="71"/>
      <c r="AC27" s="71"/>
      <c r="AD27" s="71"/>
      <c r="AE27" s="71"/>
      <c r="AF27" s="82"/>
      <c r="AG27" s="83" t="str">
        <f t="shared" si="12"/>
        <v/>
      </c>
      <c r="AH27" s="125"/>
      <c r="AI27" s="72"/>
      <c r="AJ27" s="72"/>
      <c r="AK27" s="73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</row>
    <row r="28" spans="2:70" ht="19.149999999999999" customHeight="1">
      <c r="B28" s="66" t="s">
        <v>316</v>
      </c>
      <c r="C28" s="75" t="s">
        <v>343</v>
      </c>
      <c r="D28" s="85" t="s">
        <v>45</v>
      </c>
      <c r="E28" s="86">
        <v>1.125</v>
      </c>
      <c r="F28" s="87">
        <v>0.03</v>
      </c>
      <c r="G28" s="87">
        <v>-0.02</v>
      </c>
      <c r="H28" s="79" t="s">
        <v>231</v>
      </c>
      <c r="I28" s="67"/>
      <c r="J28" s="68">
        <v>1.155</v>
      </c>
      <c r="K28" s="68">
        <v>1.105</v>
      </c>
      <c r="L28" s="68">
        <v>1.1505000000000001</v>
      </c>
      <c r="M28" s="68">
        <v>1.1080000000000001</v>
      </c>
      <c r="N28" s="116">
        <v>1.1475</v>
      </c>
      <c r="O28" s="116">
        <v>1.1100000000000001</v>
      </c>
      <c r="P28" s="69"/>
      <c r="Q28" s="88">
        <f t="shared" si="0"/>
        <v>0</v>
      </c>
      <c r="R28" s="88">
        <f t="shared" si="1"/>
        <v>0</v>
      </c>
      <c r="S28" s="88">
        <f t="shared" si="2"/>
        <v>0</v>
      </c>
      <c r="T28" s="89">
        <f t="shared" si="3"/>
        <v>0</v>
      </c>
      <c r="U28" s="80" t="str">
        <f t="shared" si="4"/>
        <v/>
      </c>
      <c r="V28" s="81" t="str">
        <f>IF(OR($AM28="",ISNUMBER($AM28)=FALSE),"",IF(AND(#REF!="Tolerance",$E28&lt;&gt;""),($S28-$E28)/(($J28-$K28)/2),IF(AND(#REF!="GD&amp;T",$F28&lt;&gt;""),$S28/$F28,"")))</f>
        <v/>
      </c>
      <c r="W28" s="81" t="str">
        <f t="shared" si="10"/>
        <v/>
      </c>
      <c r="X28" s="80" t="str">
        <f t="shared" si="5"/>
        <v/>
      </c>
      <c r="Y28" s="80" t="str">
        <f t="shared" si="6"/>
        <v/>
      </c>
      <c r="Z28" s="80" t="str">
        <f t="shared" si="7"/>
        <v/>
      </c>
      <c r="AA28" s="70" t="str">
        <f t="shared" si="8"/>
        <v/>
      </c>
      <c r="AB28" s="71"/>
      <c r="AC28" s="71"/>
      <c r="AD28" s="71"/>
      <c r="AE28" s="71"/>
      <c r="AF28" s="82"/>
      <c r="AG28" s="83" t="str">
        <f t="shared" si="12"/>
        <v/>
      </c>
      <c r="AH28" s="125"/>
      <c r="AI28" s="72"/>
      <c r="AJ28" s="72"/>
      <c r="AK28" s="73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</row>
    <row r="29" spans="2:70" ht="19.149999999999999" customHeight="1">
      <c r="B29" s="66" t="s">
        <v>316</v>
      </c>
      <c r="C29" s="75" t="s">
        <v>344</v>
      </c>
      <c r="D29" s="85" t="s">
        <v>45</v>
      </c>
      <c r="E29" s="86">
        <v>1.125</v>
      </c>
      <c r="F29" s="87">
        <v>0.03</v>
      </c>
      <c r="G29" s="87">
        <v>-0.02</v>
      </c>
      <c r="H29" s="79" t="s">
        <v>231</v>
      </c>
      <c r="I29" s="67"/>
      <c r="J29" s="68">
        <v>1.155</v>
      </c>
      <c r="K29" s="68">
        <v>1.105</v>
      </c>
      <c r="L29" s="68">
        <v>1.1505000000000001</v>
      </c>
      <c r="M29" s="68">
        <v>1.1080000000000001</v>
      </c>
      <c r="N29" s="116">
        <v>1.1475</v>
      </c>
      <c r="O29" s="116">
        <v>1.1100000000000001</v>
      </c>
      <c r="P29" s="69"/>
      <c r="Q29" s="88">
        <f t="shared" si="0"/>
        <v>0</v>
      </c>
      <c r="R29" s="88">
        <f t="shared" si="1"/>
        <v>0</v>
      </c>
      <c r="S29" s="88">
        <f t="shared" si="2"/>
        <v>0</v>
      </c>
      <c r="T29" s="89">
        <f t="shared" si="3"/>
        <v>0</v>
      </c>
      <c r="U29" s="80" t="str">
        <f t="shared" si="4"/>
        <v/>
      </c>
      <c r="V29" s="81" t="str">
        <f>IF(OR($AM29="",ISNUMBER($AM29)=FALSE),"",IF(AND(#REF!="Tolerance",$E29&lt;&gt;""),($S29-$E29)/(($J29-$K29)/2),IF(AND(#REF!="GD&amp;T",$F29&lt;&gt;""),$S29/$F29,"")))</f>
        <v/>
      </c>
      <c r="W29" s="81" t="str">
        <f t="shared" si="10"/>
        <v/>
      </c>
      <c r="X29" s="80" t="str">
        <f t="shared" si="5"/>
        <v/>
      </c>
      <c r="Y29" s="80" t="str">
        <f t="shared" si="6"/>
        <v/>
      </c>
      <c r="Z29" s="80" t="str">
        <f t="shared" si="7"/>
        <v/>
      </c>
      <c r="AA29" s="70" t="str">
        <f t="shared" si="8"/>
        <v/>
      </c>
      <c r="AB29" s="71"/>
      <c r="AC29" s="71"/>
      <c r="AD29" s="71"/>
      <c r="AE29" s="71"/>
      <c r="AF29" s="82"/>
      <c r="AG29" s="83" t="str">
        <f t="shared" si="12"/>
        <v/>
      </c>
      <c r="AH29" s="125"/>
      <c r="AI29" s="72"/>
      <c r="AJ29" s="72"/>
      <c r="AK29" s="73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0"/>
      <c r="BQ29" s="110"/>
      <c r="BR29" s="110"/>
    </row>
    <row r="30" spans="2:70" ht="19.149999999999999" customHeight="1">
      <c r="B30" s="66" t="s">
        <v>316</v>
      </c>
      <c r="C30" s="75" t="s">
        <v>345</v>
      </c>
      <c r="D30" s="85" t="s">
        <v>45</v>
      </c>
      <c r="E30" s="86">
        <v>1.125</v>
      </c>
      <c r="F30" s="87">
        <v>0.03</v>
      </c>
      <c r="G30" s="87">
        <v>-0.02</v>
      </c>
      <c r="H30" s="79" t="s">
        <v>231</v>
      </c>
      <c r="I30" s="67"/>
      <c r="J30" s="68">
        <v>1.155</v>
      </c>
      <c r="K30" s="68">
        <v>1.105</v>
      </c>
      <c r="L30" s="68">
        <v>1.1505000000000001</v>
      </c>
      <c r="M30" s="68">
        <v>1.1080000000000001</v>
      </c>
      <c r="N30" s="116">
        <v>1.1475</v>
      </c>
      <c r="O30" s="116">
        <v>1.1100000000000001</v>
      </c>
      <c r="P30" s="69"/>
      <c r="Q30" s="88">
        <f t="shared" si="0"/>
        <v>0</v>
      </c>
      <c r="R30" s="88">
        <f t="shared" si="1"/>
        <v>0</v>
      </c>
      <c r="S30" s="88">
        <f t="shared" si="2"/>
        <v>0</v>
      </c>
      <c r="T30" s="89">
        <f t="shared" si="3"/>
        <v>0</v>
      </c>
      <c r="U30" s="80" t="str">
        <f t="shared" si="4"/>
        <v/>
      </c>
      <c r="V30" s="81" t="str">
        <f>IF(OR($AM30="",ISNUMBER($AM30)=FALSE),"",IF(AND(#REF!="Tolerance",$E30&lt;&gt;""),($S30-$E30)/(($J30-$K30)/2),IF(AND(#REF!="GD&amp;T",$F30&lt;&gt;""),$S30/$F30,"")))</f>
        <v/>
      </c>
      <c r="W30" s="81" t="str">
        <f t="shared" si="10"/>
        <v/>
      </c>
      <c r="X30" s="80" t="str">
        <f t="shared" si="5"/>
        <v/>
      </c>
      <c r="Y30" s="80" t="str">
        <f t="shared" si="6"/>
        <v/>
      </c>
      <c r="Z30" s="80" t="str">
        <f t="shared" si="7"/>
        <v/>
      </c>
      <c r="AA30" s="70" t="str">
        <f t="shared" si="8"/>
        <v/>
      </c>
      <c r="AB30" s="71" t="e">
        <f>IF($S30="","",IF(#REF!="Tolerance",IF((#REF!*3*T30+S30)-E30&lt;F30,"",(#REF!*3*T30+S30)-E30),IF(OR(#REF!="GD&amp;T",#REF!="MAX"),IF((#REF!*3*T30+S30)&lt;F30,"",(#REF!*3*T30+S30)),"")))</f>
        <v>#REF!</v>
      </c>
      <c r="AC30" s="71" t="e">
        <f>IF(S30="","",IF(#REF!="Tolerance",IF(-((#REF!*3*T30)-S30)-E30&gt;G30,"",-((#REF!*3*T30)-S30)-E30),IF(#REF!="MIN",IF(-((#REF!*3*T30)-S30)&gt;G30,"",-((#REF!*3*T30)-S30)),"")))</f>
        <v>#REF!</v>
      </c>
      <c r="AD30" s="71">
        <f t="shared" si="11"/>
        <v>1.1299999999999999</v>
      </c>
      <c r="AE30" s="71" t="str">
        <f t="shared" si="9"/>
        <v/>
      </c>
      <c r="AF30" s="82"/>
      <c r="AG30" s="83" t="str">
        <f t="shared" si="12"/>
        <v/>
      </c>
      <c r="AH30" s="125"/>
      <c r="AI30" s="72"/>
      <c r="AJ30" s="72"/>
      <c r="AK30" s="73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</row>
    <row r="31" spans="2:70" ht="19.149999999999999" customHeight="1">
      <c r="B31" s="66" t="s">
        <v>353</v>
      </c>
      <c r="C31" s="106" t="s">
        <v>346</v>
      </c>
      <c r="D31" s="85" t="s">
        <v>45</v>
      </c>
      <c r="E31" s="107">
        <v>0.27500000000000002</v>
      </c>
      <c r="F31" s="108">
        <v>0.03</v>
      </c>
      <c r="G31" s="108">
        <v>-0.03</v>
      </c>
      <c r="H31" s="109" t="s">
        <v>46</v>
      </c>
      <c r="I31" s="67"/>
      <c r="J31" s="68">
        <v>0.30500000000000005</v>
      </c>
      <c r="K31" s="68">
        <v>0.24500000000000002</v>
      </c>
      <c r="L31" s="68">
        <v>0.30050000000000004</v>
      </c>
      <c r="M31" s="68">
        <v>0.24950000000000003</v>
      </c>
      <c r="N31" s="116"/>
      <c r="O31" s="116"/>
      <c r="P31" s="69"/>
      <c r="Q31" s="88">
        <f t="shared" ref="Q31:Q37" si="13">IF(OR($AM31=ISBLANK(TRUE),ISNUMBER($AM31)=FALSE),,MAX(AM31:BR31))</f>
        <v>0</v>
      </c>
      <c r="R31" s="88">
        <f t="shared" ref="R31:R37" si="14">IF(OR($AM31=ISBLANK(TRUE),ISNUMBER($AM31)=FALSE),,MIN(AM31:BR31))</f>
        <v>0</v>
      </c>
      <c r="S31" s="88">
        <f t="shared" ref="S31:S37" si="15">IF(OR($AM31=ISBLANK(TRUE),ISNUMBER($AM31)=FALSE),,AVERAGE(AM31:BR31))</f>
        <v>0</v>
      </c>
      <c r="T31" s="89">
        <f t="shared" ref="T31:T37" si="16">IF(OR($AM31=ISBLANK(TRUE),ISNUMBER($AM31)=FALSE),,STDEV(AM31:BR31))</f>
        <v>0</v>
      </c>
      <c r="U31" s="80" t="str">
        <f t="shared" ref="U31:U37" si="17">IF(OR($AM31="",ISNUMBER($AM31)=FALSE),"",IF(AND(E31=0,G31=0),X31,IF(AND(E31="",F31=""),Y31,(F31+ABS(G31))/(6*T31))))</f>
        <v/>
      </c>
      <c r="V31" s="81" t="str">
        <f>IF(OR($AM31="",ISNUMBER($AM31)=FALSE),"",IF(AND(#REF!="Tolerance",$E31&lt;&gt;""),($S31-$E31)/(($J31-$K31)/2),IF(AND(#REF!="GD&amp;T",$F31&lt;&gt;""),$S31/$F31,"")))</f>
        <v/>
      </c>
      <c r="W31" s="81" t="str">
        <f t="shared" si="10"/>
        <v/>
      </c>
      <c r="X31" s="80" t="str">
        <f t="shared" ref="X31:X37" si="18">IF(OR($AM31="",ISNUMBER($AM31)=FALSE),"",IF(F31="","",(J31-S31)/(3*T31)))</f>
        <v/>
      </c>
      <c r="Y31" s="80" t="str">
        <f t="shared" ref="Y31:Y37" si="19">IF(OR($AM31="",ISNUMBER($AM31)=FALSE),"",IF(G31="","",(S31-K31)/(3*T31)))</f>
        <v/>
      </c>
      <c r="Z31" s="80" t="str">
        <f t="shared" ref="Z31:Z37" si="20">IF(OR($AM31="",ISNUMBER($AM31)=FALSE),"",IF(AND(E31=0,G31=0),((F31)-(S31))/(3*T31),MIN(X31:Y31)))</f>
        <v/>
      </c>
      <c r="AA31" s="70" t="str">
        <f t="shared" ref="AA31:AA37" si="21">IF(OR($AM31="",ISNUMBER($AM31)=FALSE),"",IF(AND(E31=0,G31=0),NORMSDIST(3*Z31),NORMSDIST(3*Z31)+NORMSDIST(6*U31-3*Z31)-1))</f>
        <v/>
      </c>
      <c r="AB31" s="71" t="e">
        <f>IF($S31="","",IF(#REF!="Tolerance",IF((#REF!*3*T31+S31)-E31&lt;F31,"",(#REF!*3*T31+S31)-E31),IF(OR(#REF!="GD&amp;T",#REF!="MAX"),IF((#REF!*3*T31+S31)&lt;F31,"",(#REF!*3*T31+S31)),"")))</f>
        <v>#REF!</v>
      </c>
      <c r="AC31" s="71" t="e">
        <f>IF(S31="","",IF(#REF!="Tolerance",IF(-((#REF!*3*T31)-S31)-E31&gt;G31,"",-((#REF!*3*T31)-S31)-E31),IF(#REF!="MIN",IF(-((#REF!*3*T31)-S31)&gt;G31,"",-((#REF!*3*T31)-S31)),"")))</f>
        <v>#REF!</v>
      </c>
      <c r="AD31" s="71">
        <f t="shared" ref="AD31:AD37" si="22">IF(OR(E31="",S31=""),"",(J31+K31)/2-S31)</f>
        <v>0.27500000000000002</v>
      </c>
      <c r="AE31" s="71" t="str">
        <f t="shared" si="9"/>
        <v/>
      </c>
      <c r="AF31" s="82"/>
      <c r="AG31" s="83" t="str">
        <f t="shared" ref="AG31:AG37" si="23">IF(AF31="","",IF(AF31&gt;=0.966,"Normal","Not Normal"))</f>
        <v/>
      </c>
      <c r="AH31" s="125"/>
      <c r="AI31" s="72"/>
      <c r="AJ31" s="72"/>
      <c r="AK31" s="73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</row>
    <row r="32" spans="2:70" ht="19.149999999999999" customHeight="1">
      <c r="B32" s="66" t="s">
        <v>353</v>
      </c>
      <c r="C32" s="106" t="s">
        <v>347</v>
      </c>
      <c r="D32" s="85" t="s">
        <v>45</v>
      </c>
      <c r="E32" s="107">
        <v>0.27500000000000002</v>
      </c>
      <c r="F32" s="108">
        <v>0.03</v>
      </c>
      <c r="G32" s="108">
        <v>-0.03</v>
      </c>
      <c r="H32" s="109" t="s">
        <v>46</v>
      </c>
      <c r="I32" s="67"/>
      <c r="J32" s="68">
        <v>0.30500000000000005</v>
      </c>
      <c r="K32" s="68">
        <v>0.24500000000000002</v>
      </c>
      <c r="L32" s="68">
        <v>0.30050000000000004</v>
      </c>
      <c r="M32" s="68">
        <v>0.24950000000000003</v>
      </c>
      <c r="N32" s="116"/>
      <c r="O32" s="116"/>
      <c r="P32" s="69"/>
      <c r="Q32" s="88">
        <f t="shared" si="13"/>
        <v>0</v>
      </c>
      <c r="R32" s="88">
        <f t="shared" si="14"/>
        <v>0</v>
      </c>
      <c r="S32" s="88">
        <f t="shared" si="15"/>
        <v>0</v>
      </c>
      <c r="T32" s="89">
        <f t="shared" si="16"/>
        <v>0</v>
      </c>
      <c r="U32" s="80" t="str">
        <f t="shared" si="17"/>
        <v/>
      </c>
      <c r="V32" s="81" t="str">
        <f>IF(OR($AM32="",ISNUMBER($AM32)=FALSE),"",IF(AND(#REF!="Tolerance",$E32&lt;&gt;""),($S32-$E32)/(($J32-$K32)/2),IF(AND(#REF!="GD&amp;T",$F32&lt;&gt;""),$S32/$F32,"")))</f>
        <v/>
      </c>
      <c r="W32" s="81" t="str">
        <f t="shared" si="10"/>
        <v/>
      </c>
      <c r="X32" s="80" t="str">
        <f t="shared" si="18"/>
        <v/>
      </c>
      <c r="Y32" s="80" t="str">
        <f t="shared" si="19"/>
        <v/>
      </c>
      <c r="Z32" s="80" t="str">
        <f t="shared" si="20"/>
        <v/>
      </c>
      <c r="AA32" s="70" t="str">
        <f t="shared" si="21"/>
        <v/>
      </c>
      <c r="AB32" s="71" t="e">
        <f>IF($S32="","",IF(#REF!="Tolerance",IF((#REF!*3*T32+S32)-E32&lt;F32,"",(#REF!*3*T32+S32)-E32),IF(OR(#REF!="GD&amp;T",#REF!="MAX"),IF((#REF!*3*T32+S32)&lt;F32,"",(#REF!*3*T32+S32)),"")))</f>
        <v>#REF!</v>
      </c>
      <c r="AC32" s="71" t="e">
        <f>IF(S32="","",IF(#REF!="Tolerance",IF(-((#REF!*3*T32)-S32)-E32&gt;G32,"",-((#REF!*3*T32)-S32)-E32),IF(#REF!="MIN",IF(-((#REF!*3*T32)-S32)&gt;G32,"",-((#REF!*3*T32)-S32)),"")))</f>
        <v>#REF!</v>
      </c>
      <c r="AD32" s="71">
        <f t="shared" si="22"/>
        <v>0.27500000000000002</v>
      </c>
      <c r="AE32" s="71" t="str">
        <f t="shared" si="9"/>
        <v/>
      </c>
      <c r="AF32" s="82"/>
      <c r="AG32" s="83" t="str">
        <f t="shared" si="23"/>
        <v/>
      </c>
      <c r="AH32" s="125"/>
      <c r="AI32" s="72"/>
      <c r="AJ32" s="72"/>
      <c r="AK32" s="73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</row>
    <row r="33" spans="2:70" ht="19.149999999999999" customHeight="1">
      <c r="B33" s="66" t="s">
        <v>353</v>
      </c>
      <c r="C33" s="106" t="s">
        <v>348</v>
      </c>
      <c r="D33" s="85" t="s">
        <v>45</v>
      </c>
      <c r="E33" s="107">
        <v>0.27500000000000002</v>
      </c>
      <c r="F33" s="108">
        <v>0.03</v>
      </c>
      <c r="G33" s="108">
        <v>-0.03</v>
      </c>
      <c r="H33" s="109" t="s">
        <v>46</v>
      </c>
      <c r="I33" s="67"/>
      <c r="J33" s="68">
        <v>0.30500000000000005</v>
      </c>
      <c r="K33" s="68">
        <v>0.24500000000000002</v>
      </c>
      <c r="L33" s="68">
        <v>0.30050000000000004</v>
      </c>
      <c r="M33" s="68">
        <v>0.24950000000000003</v>
      </c>
      <c r="N33" s="116"/>
      <c r="O33" s="116"/>
      <c r="P33" s="69"/>
      <c r="Q33" s="88">
        <f t="shared" si="13"/>
        <v>0</v>
      </c>
      <c r="R33" s="88">
        <f t="shared" si="14"/>
        <v>0</v>
      </c>
      <c r="S33" s="88">
        <f t="shared" si="15"/>
        <v>0</v>
      </c>
      <c r="T33" s="89">
        <f t="shared" si="16"/>
        <v>0</v>
      </c>
      <c r="U33" s="80" t="str">
        <f t="shared" si="17"/>
        <v/>
      </c>
      <c r="V33" s="81" t="str">
        <f>IF(OR($AM33="",ISNUMBER($AM33)=FALSE),"",IF(AND(#REF!="Tolerance",$E33&lt;&gt;""),($S33-$E33)/(($J33-$K33)/2),IF(AND(#REF!="GD&amp;T",$F33&lt;&gt;""),$S33/$F33,"")))</f>
        <v/>
      </c>
      <c r="W33" s="81" t="str">
        <f t="shared" si="10"/>
        <v/>
      </c>
      <c r="X33" s="80" t="str">
        <f t="shared" si="18"/>
        <v/>
      </c>
      <c r="Y33" s="80" t="str">
        <f t="shared" si="19"/>
        <v/>
      </c>
      <c r="Z33" s="80" t="str">
        <f t="shared" si="20"/>
        <v/>
      </c>
      <c r="AA33" s="70" t="str">
        <f t="shared" si="21"/>
        <v/>
      </c>
      <c r="AB33" s="71" t="e">
        <f>IF($S33="","",IF(#REF!="Tolerance",IF((#REF!*3*T33+S33)-E33&lt;F33,"",(#REF!*3*T33+S33)-E33),IF(OR(#REF!="GD&amp;T",#REF!="MAX"),IF((#REF!*3*T33+S33)&lt;F33,"",(#REF!*3*T33+S33)),"")))</f>
        <v>#REF!</v>
      </c>
      <c r="AC33" s="71" t="e">
        <f>IF(S33="","",IF(#REF!="Tolerance",IF(-((#REF!*3*T33)-S33)-E33&gt;G33,"",-((#REF!*3*T33)-S33)-E33),IF(#REF!="MIN",IF(-((#REF!*3*T33)-S33)&gt;G33,"",-((#REF!*3*T33)-S33)),"")))</f>
        <v>#REF!</v>
      </c>
      <c r="AD33" s="71">
        <f t="shared" si="22"/>
        <v>0.27500000000000002</v>
      </c>
      <c r="AE33" s="71" t="str">
        <f t="shared" si="9"/>
        <v/>
      </c>
      <c r="AF33" s="82"/>
      <c r="AG33" s="83" t="str">
        <f t="shared" si="23"/>
        <v/>
      </c>
      <c r="AH33" s="125"/>
      <c r="AI33" s="72"/>
      <c r="AJ33" s="72"/>
      <c r="AK33" s="73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</row>
    <row r="34" spans="2:70" ht="19.149999999999999" customHeight="1">
      <c r="B34" s="66" t="s">
        <v>353</v>
      </c>
      <c r="C34" s="106" t="s">
        <v>349</v>
      </c>
      <c r="D34" s="85" t="s">
        <v>45</v>
      </c>
      <c r="E34" s="107">
        <v>0.27500000000000002</v>
      </c>
      <c r="F34" s="108">
        <v>0.03</v>
      </c>
      <c r="G34" s="108">
        <v>-0.03</v>
      </c>
      <c r="H34" s="109" t="s">
        <v>46</v>
      </c>
      <c r="I34" s="67"/>
      <c r="J34" s="68">
        <v>0.30500000000000005</v>
      </c>
      <c r="K34" s="68">
        <v>0.24500000000000002</v>
      </c>
      <c r="L34" s="68">
        <v>0.30050000000000004</v>
      </c>
      <c r="M34" s="68">
        <v>0.24950000000000003</v>
      </c>
      <c r="N34" s="116"/>
      <c r="O34" s="116"/>
      <c r="P34" s="69"/>
      <c r="Q34" s="88">
        <f t="shared" si="13"/>
        <v>0</v>
      </c>
      <c r="R34" s="88">
        <f t="shared" si="14"/>
        <v>0</v>
      </c>
      <c r="S34" s="88">
        <f t="shared" si="15"/>
        <v>0</v>
      </c>
      <c r="T34" s="89">
        <f t="shared" si="16"/>
        <v>0</v>
      </c>
      <c r="U34" s="80" t="str">
        <f t="shared" si="17"/>
        <v/>
      </c>
      <c r="V34" s="81" t="str">
        <f>IF(OR($AM34="",ISNUMBER($AM34)=FALSE),"",IF(AND(#REF!="Tolerance",$E34&lt;&gt;""),($S34-$E34)/(($J34-$K34)/2),IF(AND(#REF!="GD&amp;T",$F34&lt;&gt;""),$S34/$F34,"")))</f>
        <v/>
      </c>
      <c r="W34" s="81" t="str">
        <f t="shared" si="10"/>
        <v/>
      </c>
      <c r="X34" s="80" t="str">
        <f t="shared" si="18"/>
        <v/>
      </c>
      <c r="Y34" s="80" t="str">
        <f t="shared" si="19"/>
        <v/>
      </c>
      <c r="Z34" s="80" t="str">
        <f t="shared" si="20"/>
        <v/>
      </c>
      <c r="AA34" s="70" t="str">
        <f t="shared" si="21"/>
        <v/>
      </c>
      <c r="AB34" s="71" t="e">
        <f>IF($S34="","",IF(#REF!="Tolerance",IF((#REF!*3*T34+S34)-E34&lt;F34,"",(#REF!*3*T34+S34)-E34),IF(OR(#REF!="GD&amp;T",#REF!="MAX"),IF((#REF!*3*T34+S34)&lt;F34,"",(#REF!*3*T34+S34)),"")))</f>
        <v>#REF!</v>
      </c>
      <c r="AC34" s="71" t="e">
        <f>IF(S34="","",IF(#REF!="Tolerance",IF(-((#REF!*3*T34)-S34)-E34&gt;G34,"",-((#REF!*3*T34)-S34)-E34),IF(#REF!="MIN",IF(-((#REF!*3*T34)-S34)&gt;G34,"",-((#REF!*3*T34)-S34)),"")))</f>
        <v>#REF!</v>
      </c>
      <c r="AD34" s="71">
        <f t="shared" si="22"/>
        <v>0.27500000000000002</v>
      </c>
      <c r="AE34" s="71" t="str">
        <f t="shared" si="9"/>
        <v/>
      </c>
      <c r="AF34" s="82"/>
      <c r="AG34" s="83" t="str">
        <f t="shared" si="23"/>
        <v/>
      </c>
      <c r="AH34" s="125"/>
      <c r="AI34" s="72"/>
      <c r="AJ34" s="72"/>
      <c r="AK34" s="73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</row>
    <row r="35" spans="2:70" ht="19.149999999999999" customHeight="1">
      <c r="B35" s="66" t="s">
        <v>353</v>
      </c>
      <c r="C35" s="106" t="s">
        <v>350</v>
      </c>
      <c r="D35" s="85" t="s">
        <v>45</v>
      </c>
      <c r="E35" s="107">
        <v>0.27500000000000002</v>
      </c>
      <c r="F35" s="108">
        <v>0.03</v>
      </c>
      <c r="G35" s="108">
        <v>-0.03</v>
      </c>
      <c r="H35" s="109" t="s">
        <v>46</v>
      </c>
      <c r="I35" s="67"/>
      <c r="J35" s="68">
        <v>0.30500000000000005</v>
      </c>
      <c r="K35" s="68">
        <v>0.24500000000000002</v>
      </c>
      <c r="L35" s="68">
        <v>0.30050000000000004</v>
      </c>
      <c r="M35" s="68">
        <v>0.24950000000000003</v>
      </c>
      <c r="N35" s="116"/>
      <c r="O35" s="116"/>
      <c r="P35" s="69"/>
      <c r="Q35" s="88">
        <f t="shared" si="13"/>
        <v>0</v>
      </c>
      <c r="R35" s="88">
        <f t="shared" si="14"/>
        <v>0</v>
      </c>
      <c r="S35" s="88">
        <f t="shared" si="15"/>
        <v>0</v>
      </c>
      <c r="T35" s="89">
        <f t="shared" si="16"/>
        <v>0</v>
      </c>
      <c r="U35" s="80" t="str">
        <f t="shared" si="17"/>
        <v/>
      </c>
      <c r="V35" s="81" t="str">
        <f>IF(OR($AM35="",ISNUMBER($AM35)=FALSE),"",IF(AND(#REF!="Tolerance",$E35&lt;&gt;""),($S35-$E35)/(($J35-$K35)/2),IF(AND(#REF!="GD&amp;T",$F35&lt;&gt;""),$S35/$F35,"")))</f>
        <v/>
      </c>
      <c r="W35" s="81" t="str">
        <f t="shared" si="10"/>
        <v/>
      </c>
      <c r="X35" s="80" t="str">
        <f t="shared" si="18"/>
        <v/>
      </c>
      <c r="Y35" s="80" t="str">
        <f t="shared" si="19"/>
        <v/>
      </c>
      <c r="Z35" s="80" t="str">
        <f t="shared" si="20"/>
        <v/>
      </c>
      <c r="AA35" s="70" t="str">
        <f t="shared" si="21"/>
        <v/>
      </c>
      <c r="AB35" s="71" t="e">
        <f>IF($S35="","",IF(#REF!="Tolerance",IF((#REF!*3*T35+S35)-E35&lt;F35,"",(#REF!*3*T35+S35)-E35),IF(OR(#REF!="GD&amp;T",#REF!="MAX"),IF((#REF!*3*T35+S35)&lt;F35,"",(#REF!*3*T35+S35)),"")))</f>
        <v>#REF!</v>
      </c>
      <c r="AC35" s="71" t="e">
        <f>IF(S35="","",IF(#REF!="Tolerance",IF(-((#REF!*3*T35)-S35)-E35&gt;G35,"",-((#REF!*3*T35)-S35)-E35),IF(#REF!="MIN",IF(-((#REF!*3*T35)-S35)&gt;G35,"",-((#REF!*3*T35)-S35)),"")))</f>
        <v>#REF!</v>
      </c>
      <c r="AD35" s="71">
        <f t="shared" si="22"/>
        <v>0.27500000000000002</v>
      </c>
      <c r="AE35" s="71" t="str">
        <f t="shared" si="9"/>
        <v/>
      </c>
      <c r="AF35" s="82"/>
      <c r="AG35" s="83" t="str">
        <f t="shared" si="23"/>
        <v/>
      </c>
      <c r="AH35" s="125"/>
      <c r="AI35" s="72"/>
      <c r="AJ35" s="72"/>
      <c r="AK35" s="73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</row>
    <row r="36" spans="2:70" ht="19.149999999999999" customHeight="1">
      <c r="B36" s="66" t="s">
        <v>354</v>
      </c>
      <c r="C36" s="106" t="s">
        <v>351</v>
      </c>
      <c r="D36" s="85" t="s">
        <v>45</v>
      </c>
      <c r="E36" s="107">
        <v>0.27500000000000002</v>
      </c>
      <c r="F36" s="108">
        <v>1.4999999999999999E-2</v>
      </c>
      <c r="G36" s="108">
        <v>-1.4999999999999999E-2</v>
      </c>
      <c r="H36" s="109" t="s">
        <v>46</v>
      </c>
      <c r="I36" s="67"/>
      <c r="J36" s="68">
        <v>0.29000000000000004</v>
      </c>
      <c r="K36" s="68">
        <v>0.26</v>
      </c>
      <c r="L36" s="68">
        <v>0.28775000000000001</v>
      </c>
      <c r="M36" s="68">
        <v>0.26225000000000004</v>
      </c>
      <c r="N36" s="116"/>
      <c r="O36" s="116"/>
      <c r="P36" s="69"/>
      <c r="Q36" s="88">
        <f t="shared" si="13"/>
        <v>0</v>
      </c>
      <c r="R36" s="88">
        <f t="shared" si="14"/>
        <v>0</v>
      </c>
      <c r="S36" s="88">
        <f t="shared" si="15"/>
        <v>0</v>
      </c>
      <c r="T36" s="89">
        <f t="shared" si="16"/>
        <v>0</v>
      </c>
      <c r="U36" s="80" t="str">
        <f t="shared" si="17"/>
        <v/>
      </c>
      <c r="V36" s="81" t="str">
        <f>IF(OR($AM36="",ISNUMBER($AM36)=FALSE),"",IF(AND(#REF!="Tolerance",$E36&lt;&gt;""),($S36-$E36)/(($J36-$K36)/2),IF(AND(#REF!="GD&amp;T",$F36&lt;&gt;""),$S36/$F36,"")))</f>
        <v/>
      </c>
      <c r="W36" s="81" t="str">
        <f t="shared" si="10"/>
        <v/>
      </c>
      <c r="X36" s="80" t="str">
        <f t="shared" si="18"/>
        <v/>
      </c>
      <c r="Y36" s="80" t="str">
        <f t="shared" si="19"/>
        <v/>
      </c>
      <c r="Z36" s="80" t="str">
        <f t="shared" si="20"/>
        <v/>
      </c>
      <c r="AA36" s="70" t="str">
        <f t="shared" si="21"/>
        <v/>
      </c>
      <c r="AB36" s="71" t="e">
        <f>IF($S36="","",IF(#REF!="Tolerance",IF((#REF!*3*T36+S36)-E36&lt;F36,"",(#REF!*3*T36+S36)-E36),IF(OR(#REF!="GD&amp;T",#REF!="MAX"),IF((#REF!*3*T36+S36)&lt;F36,"",(#REF!*3*T36+S36)),"")))</f>
        <v>#REF!</v>
      </c>
      <c r="AC36" s="71" t="e">
        <f>IF(S36="","",IF(#REF!="Tolerance",IF(-((#REF!*3*T36)-S36)-E36&gt;G36,"",-((#REF!*3*T36)-S36)-E36),IF(#REF!="MIN",IF(-((#REF!*3*T36)-S36)&gt;G36,"",-((#REF!*3*T36)-S36)),"")))</f>
        <v>#REF!</v>
      </c>
      <c r="AD36" s="71">
        <f t="shared" si="22"/>
        <v>0.27500000000000002</v>
      </c>
      <c r="AE36" s="71" t="str">
        <f t="shared" si="9"/>
        <v/>
      </c>
      <c r="AF36" s="82"/>
      <c r="AG36" s="83" t="str">
        <f t="shared" si="23"/>
        <v/>
      </c>
      <c r="AH36" s="125"/>
      <c r="AI36" s="72"/>
      <c r="AJ36" s="72"/>
      <c r="AK36" s="73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</row>
    <row r="37" spans="2:70" ht="19.149999999999999" customHeight="1">
      <c r="B37" s="66" t="s">
        <v>354</v>
      </c>
      <c r="C37" s="106" t="s">
        <v>352</v>
      </c>
      <c r="D37" s="85" t="s">
        <v>45</v>
      </c>
      <c r="E37" s="107">
        <v>0.27500000000000002</v>
      </c>
      <c r="F37" s="108">
        <v>1.4999999999999999E-2</v>
      </c>
      <c r="G37" s="108">
        <v>-1.4999999999999999E-2</v>
      </c>
      <c r="H37" s="109" t="s">
        <v>46</v>
      </c>
      <c r="I37" s="67"/>
      <c r="J37" s="68">
        <v>0.29000000000000004</v>
      </c>
      <c r="K37" s="68">
        <v>0.26</v>
      </c>
      <c r="L37" s="68">
        <v>0.28775000000000001</v>
      </c>
      <c r="M37" s="68">
        <v>0.26225000000000004</v>
      </c>
      <c r="N37" s="116"/>
      <c r="O37" s="116"/>
      <c r="P37" s="69"/>
      <c r="Q37" s="88">
        <f t="shared" si="13"/>
        <v>0</v>
      </c>
      <c r="R37" s="88">
        <f t="shared" si="14"/>
        <v>0</v>
      </c>
      <c r="S37" s="88">
        <f t="shared" si="15"/>
        <v>0</v>
      </c>
      <c r="T37" s="89">
        <f t="shared" si="16"/>
        <v>0</v>
      </c>
      <c r="U37" s="80" t="str">
        <f t="shared" si="17"/>
        <v/>
      </c>
      <c r="V37" s="81" t="str">
        <f>IF(OR($AM37="",ISNUMBER($AM37)=FALSE),"",IF(AND(#REF!="Tolerance",$E37&lt;&gt;""),($S37-$E37)/(($J37-$K37)/2),IF(AND(#REF!="GD&amp;T",$F37&lt;&gt;""),$S37/$F37,"")))</f>
        <v/>
      </c>
      <c r="W37" s="81" t="str">
        <f t="shared" si="10"/>
        <v/>
      </c>
      <c r="X37" s="80" t="str">
        <f t="shared" si="18"/>
        <v/>
      </c>
      <c r="Y37" s="80" t="str">
        <f t="shared" si="19"/>
        <v/>
      </c>
      <c r="Z37" s="80" t="str">
        <f t="shared" si="20"/>
        <v/>
      </c>
      <c r="AA37" s="70" t="str">
        <f t="shared" si="21"/>
        <v/>
      </c>
      <c r="AB37" s="71" t="e">
        <f>IF($S37="","",IF(#REF!="Tolerance",IF((#REF!*3*T37+S37)-E37&lt;F37,"",(#REF!*3*T37+S37)-E37),IF(OR(#REF!="GD&amp;T",#REF!="MAX"),IF((#REF!*3*T37+S37)&lt;F37,"",(#REF!*3*T37+S37)),"")))</f>
        <v>#REF!</v>
      </c>
      <c r="AC37" s="71" t="e">
        <f>IF(S37="","",IF(#REF!="Tolerance",IF(-((#REF!*3*T37)-S37)-E37&gt;G37,"",-((#REF!*3*T37)-S37)-E37),IF(#REF!="MIN",IF(-((#REF!*3*T37)-S37)&gt;G37,"",-((#REF!*3*T37)-S37)),"")))</f>
        <v>#REF!</v>
      </c>
      <c r="AD37" s="71">
        <f t="shared" si="22"/>
        <v>0.27500000000000002</v>
      </c>
      <c r="AE37" s="71" t="str">
        <f t="shared" si="9"/>
        <v/>
      </c>
      <c r="AF37" s="82"/>
      <c r="AG37" s="83" t="str">
        <f t="shared" si="23"/>
        <v/>
      </c>
      <c r="AH37" s="125"/>
      <c r="AI37" s="72"/>
      <c r="AJ37" s="72"/>
      <c r="AK37" s="73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</row>
    <row r="38" spans="2:70" ht="19.149999999999999" customHeight="1">
      <c r="B38" s="66" t="s">
        <v>88</v>
      </c>
      <c r="C38" s="75" t="s">
        <v>103</v>
      </c>
      <c r="D38" s="85" t="s">
        <v>45</v>
      </c>
      <c r="E38" s="86">
        <v>8.3719999999999999</v>
      </c>
      <c r="F38" s="87">
        <v>0.03</v>
      </c>
      <c r="G38" s="87">
        <v>-0.03</v>
      </c>
      <c r="H38" s="79" t="s">
        <v>46</v>
      </c>
      <c r="I38" s="67"/>
      <c r="J38" s="68">
        <v>8.4019999999999992</v>
      </c>
      <c r="K38" s="68">
        <v>8.3420000000000005</v>
      </c>
      <c r="L38" s="68">
        <v>8.3974999999999991</v>
      </c>
      <c r="M38" s="68">
        <v>8.3465000000000007</v>
      </c>
      <c r="N38" s="116"/>
      <c r="O38" s="116"/>
      <c r="P38" s="69"/>
      <c r="Q38" s="88">
        <f t="shared" si="0"/>
        <v>0</v>
      </c>
      <c r="R38" s="88">
        <f t="shared" si="1"/>
        <v>0</v>
      </c>
      <c r="S38" s="88">
        <f t="shared" si="2"/>
        <v>0</v>
      </c>
      <c r="T38" s="89">
        <f t="shared" si="3"/>
        <v>0</v>
      </c>
      <c r="U38" s="80" t="str">
        <f t="shared" si="4"/>
        <v/>
      </c>
      <c r="V38" s="81" t="str">
        <f>IF(OR($AM38="",ISNUMBER($AM38)=FALSE),"",IF(AND(#REF!="Tolerance",$E38&lt;&gt;""),($S38-$E38)/(($J38-$K38)/2),IF(AND(#REF!="GD&amp;T",$F38&lt;&gt;""),$S38/$F38,"")))</f>
        <v/>
      </c>
      <c r="W38" s="81" t="str">
        <f t="shared" si="10"/>
        <v/>
      </c>
      <c r="X38" s="80" t="str">
        <f t="shared" si="5"/>
        <v/>
      </c>
      <c r="Y38" s="80" t="str">
        <f t="shared" si="6"/>
        <v/>
      </c>
      <c r="Z38" s="80" t="str">
        <f t="shared" si="7"/>
        <v/>
      </c>
      <c r="AA38" s="70" t="str">
        <f t="shared" si="8"/>
        <v/>
      </c>
      <c r="AB38" s="71" t="e">
        <f>IF($S38="","",IF(#REF!="Tolerance",IF((#REF!*3*T38+S38)-E38&lt;F38,"",(#REF!*3*T38+S38)-E38),IF(OR(#REF!="GD&amp;T",#REF!="MAX"),IF((#REF!*3*T38+S38)&lt;F38,"",(#REF!*3*T38+S38)),"")))</f>
        <v>#REF!</v>
      </c>
      <c r="AC38" s="71" t="e">
        <f>IF(S38="","",IF(#REF!="Tolerance",IF(-((#REF!*3*T38)-S38)-E38&gt;G38,"",-((#REF!*3*T38)-S38)-E38),IF(#REF!="MIN",IF(-((#REF!*3*T38)-S38)&gt;G38,"",-((#REF!*3*T38)-S38)),"")))</f>
        <v>#REF!</v>
      </c>
      <c r="AD38" s="71">
        <f t="shared" si="11"/>
        <v>8.3719999999999999</v>
      </c>
      <c r="AE38" s="71" t="str">
        <f t="shared" si="9"/>
        <v/>
      </c>
      <c r="AF38" s="82"/>
      <c r="AG38" s="83" t="str">
        <f t="shared" si="12"/>
        <v/>
      </c>
      <c r="AH38" s="125"/>
      <c r="AI38" s="72"/>
      <c r="AJ38" s="72"/>
      <c r="AK38" s="73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</row>
    <row r="39" spans="2:70" ht="19.149999999999999" customHeight="1">
      <c r="B39" s="66" t="s">
        <v>88</v>
      </c>
      <c r="C39" s="75" t="s">
        <v>104</v>
      </c>
      <c r="D39" s="85" t="s">
        <v>45</v>
      </c>
      <c r="E39" s="86">
        <v>8.3719999999999999</v>
      </c>
      <c r="F39" s="87">
        <v>0.03</v>
      </c>
      <c r="G39" s="87">
        <v>-0.03</v>
      </c>
      <c r="H39" s="79" t="s">
        <v>46</v>
      </c>
      <c r="I39" s="67"/>
      <c r="J39" s="68">
        <v>8.4019999999999992</v>
      </c>
      <c r="K39" s="68">
        <v>8.3420000000000005</v>
      </c>
      <c r="L39" s="68">
        <v>8.3974999999999991</v>
      </c>
      <c r="M39" s="68">
        <v>8.3465000000000007</v>
      </c>
      <c r="N39" s="116"/>
      <c r="O39" s="116"/>
      <c r="P39" s="69"/>
      <c r="Q39" s="88">
        <f t="shared" si="0"/>
        <v>0</v>
      </c>
      <c r="R39" s="88">
        <f t="shared" si="1"/>
        <v>0</v>
      </c>
      <c r="S39" s="88">
        <f t="shared" si="2"/>
        <v>0</v>
      </c>
      <c r="T39" s="89">
        <f t="shared" si="3"/>
        <v>0</v>
      </c>
      <c r="U39" s="80" t="str">
        <f t="shared" si="4"/>
        <v/>
      </c>
      <c r="V39" s="81" t="str">
        <f>IF(OR($AM39="",ISNUMBER($AM39)=FALSE),"",IF(AND(#REF!="Tolerance",$E39&lt;&gt;""),($S39-$E39)/(($J39-$K39)/2),IF(AND(#REF!="GD&amp;T",$F39&lt;&gt;""),$S39/$F39,"")))</f>
        <v/>
      </c>
      <c r="W39" s="81" t="str">
        <f t="shared" si="10"/>
        <v/>
      </c>
      <c r="X39" s="80" t="str">
        <f t="shared" si="5"/>
        <v/>
      </c>
      <c r="Y39" s="80" t="str">
        <f t="shared" si="6"/>
        <v/>
      </c>
      <c r="Z39" s="80" t="str">
        <f t="shared" si="7"/>
        <v/>
      </c>
      <c r="AA39" s="70" t="str">
        <f t="shared" si="8"/>
        <v/>
      </c>
      <c r="AB39" s="71" t="e">
        <f>IF($S39="","",IF(#REF!="Tolerance",IF((#REF!*3*T39+S39)-E39&lt;F39,"",(#REF!*3*T39+S39)-E39),IF(OR(#REF!="GD&amp;T",#REF!="MAX"),IF((#REF!*3*T39+S39)&lt;F39,"",(#REF!*3*T39+S39)),"")))</f>
        <v>#REF!</v>
      </c>
      <c r="AC39" s="71" t="e">
        <f>IF(S39="","",IF(#REF!="Tolerance",IF(-((#REF!*3*T39)-S39)-E39&gt;G39,"",-((#REF!*3*T39)-S39)-E39),IF(#REF!="MIN",IF(-((#REF!*3*T39)-S39)&gt;G39,"",-((#REF!*3*T39)-S39)),"")))</f>
        <v>#REF!</v>
      </c>
      <c r="AD39" s="71">
        <f t="shared" si="11"/>
        <v>8.3719999999999999</v>
      </c>
      <c r="AE39" s="71" t="str">
        <f t="shared" si="9"/>
        <v/>
      </c>
      <c r="AF39" s="82"/>
      <c r="AG39" s="83" t="str">
        <f t="shared" si="12"/>
        <v/>
      </c>
      <c r="AH39" s="125"/>
      <c r="AI39" s="72"/>
      <c r="AJ39" s="72"/>
      <c r="AK39" s="73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</row>
    <row r="40" spans="2:70" ht="19.149999999999999" customHeight="1">
      <c r="B40" s="66" t="s">
        <v>302</v>
      </c>
      <c r="C40" s="75">
        <v>29</v>
      </c>
      <c r="D40" s="85" t="s">
        <v>45</v>
      </c>
      <c r="E40" s="86">
        <v>9.6820000000000004</v>
      </c>
      <c r="F40" s="87">
        <v>0.03</v>
      </c>
      <c r="G40" s="87">
        <v>-0.03</v>
      </c>
      <c r="H40" s="79" t="s">
        <v>46</v>
      </c>
      <c r="I40" s="67"/>
      <c r="J40" s="68">
        <v>9.7119999999999997</v>
      </c>
      <c r="K40" s="68">
        <v>9.652000000000001</v>
      </c>
      <c r="L40" s="68">
        <v>9.7074999999999996</v>
      </c>
      <c r="M40" s="68">
        <v>9.6565000000000012</v>
      </c>
      <c r="N40" s="116"/>
      <c r="O40" s="116"/>
      <c r="P40" s="69"/>
      <c r="Q40" s="88">
        <f t="shared" si="0"/>
        <v>0</v>
      </c>
      <c r="R40" s="88">
        <f t="shared" si="1"/>
        <v>0</v>
      </c>
      <c r="S40" s="88">
        <f t="shared" si="2"/>
        <v>0</v>
      </c>
      <c r="T40" s="89">
        <f t="shared" si="3"/>
        <v>0</v>
      </c>
      <c r="U40" s="80" t="str">
        <f t="shared" si="4"/>
        <v/>
      </c>
      <c r="V40" s="81" t="str">
        <f>IF(OR($AM40="",ISNUMBER($AM40)=FALSE),"",IF(AND(#REF!="Tolerance",$E40&lt;&gt;""),($S40-$E40)/(($J40-$K40)/2),IF(AND(#REF!="GD&amp;T",$F40&lt;&gt;""),$S40/$F40,"")))</f>
        <v/>
      </c>
      <c r="W40" s="81" t="str">
        <f t="shared" si="10"/>
        <v/>
      </c>
      <c r="X40" s="80" t="str">
        <f t="shared" si="5"/>
        <v/>
      </c>
      <c r="Y40" s="80" t="str">
        <f t="shared" si="6"/>
        <v/>
      </c>
      <c r="Z40" s="80" t="str">
        <f t="shared" si="7"/>
        <v/>
      </c>
      <c r="AA40" s="70" t="str">
        <f t="shared" si="8"/>
        <v/>
      </c>
      <c r="AB40" s="71" t="e">
        <f>IF($S40="","",IF(#REF!="Tolerance",IF((#REF!*3*T40+S40)-E40&lt;F40,"",(#REF!*3*T40+S40)-E40),IF(OR(#REF!="GD&amp;T",#REF!="MAX"),IF((#REF!*3*T40+S40)&lt;F40,"",(#REF!*3*T40+S40)),"")))</f>
        <v>#REF!</v>
      </c>
      <c r="AC40" s="71" t="e">
        <f>IF(S40="","",IF(#REF!="Tolerance",IF(-((#REF!*3*T40)-S40)-E40&gt;G40,"",-((#REF!*3*T40)-S40)-E40),IF(#REF!="MIN",IF(-((#REF!*3*T40)-S40)&gt;G40,"",-((#REF!*3*T40)-S40)),"")))</f>
        <v>#REF!</v>
      </c>
      <c r="AD40" s="71">
        <f t="shared" si="11"/>
        <v>9.6820000000000004</v>
      </c>
      <c r="AE40" s="71" t="str">
        <f t="shared" si="9"/>
        <v/>
      </c>
      <c r="AF40" s="82"/>
      <c r="AG40" s="83" t="str">
        <f t="shared" si="12"/>
        <v/>
      </c>
      <c r="AH40" s="125"/>
      <c r="AI40" s="72"/>
      <c r="AJ40" s="72"/>
      <c r="AK40" s="73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</row>
    <row r="41" spans="2:70" ht="19.149999999999999" customHeight="1">
      <c r="B41" s="66" t="s">
        <v>234</v>
      </c>
      <c r="C41" s="75">
        <v>30</v>
      </c>
      <c r="D41" s="85" t="s">
        <v>45</v>
      </c>
      <c r="E41" s="86">
        <v>24.37</v>
      </c>
      <c r="F41" s="87">
        <v>0.03</v>
      </c>
      <c r="G41" s="87">
        <v>-0.03</v>
      </c>
      <c r="H41" s="79" t="s">
        <v>46</v>
      </c>
      <c r="I41" s="67"/>
      <c r="J41" s="68">
        <v>24.400000000000002</v>
      </c>
      <c r="K41" s="68">
        <v>24.34</v>
      </c>
      <c r="L41" s="68">
        <v>24.395500000000002</v>
      </c>
      <c r="M41" s="68">
        <v>24.3445</v>
      </c>
      <c r="N41" s="116"/>
      <c r="O41" s="116"/>
      <c r="P41" s="69"/>
      <c r="Q41" s="88">
        <f t="shared" si="0"/>
        <v>0</v>
      </c>
      <c r="R41" s="88">
        <f t="shared" si="1"/>
        <v>0</v>
      </c>
      <c r="S41" s="88">
        <f t="shared" si="2"/>
        <v>0</v>
      </c>
      <c r="T41" s="89">
        <f t="shared" si="3"/>
        <v>0</v>
      </c>
      <c r="U41" s="80" t="str">
        <f t="shared" si="4"/>
        <v/>
      </c>
      <c r="V41" s="81" t="str">
        <f>IF(OR($AM41="",ISNUMBER($AM41)=FALSE),"",IF(AND(#REF!="Tolerance",$E41&lt;&gt;""),($S41-$E41)/(($J41-$K41)/2),IF(AND(#REF!="GD&amp;T",$F41&lt;&gt;""),$S41/$F41,"")))</f>
        <v/>
      </c>
      <c r="W41" s="81" t="str">
        <f t="shared" si="10"/>
        <v/>
      </c>
      <c r="X41" s="80" t="str">
        <f t="shared" si="5"/>
        <v/>
      </c>
      <c r="Y41" s="80" t="str">
        <f t="shared" si="6"/>
        <v/>
      </c>
      <c r="Z41" s="80" t="str">
        <f t="shared" si="7"/>
        <v/>
      </c>
      <c r="AA41" s="70" t="str">
        <f t="shared" si="8"/>
        <v/>
      </c>
      <c r="AB41" s="71" t="e">
        <f>IF($S41="","",IF(#REF!="Tolerance",IF((#REF!*3*T41+S41)-E41&lt;F41,"",(#REF!*3*T41+S41)-E41),IF(OR(#REF!="GD&amp;T",#REF!="MAX"),IF((#REF!*3*T41+S41)&lt;F41,"",(#REF!*3*T41+S41)),"")))</f>
        <v>#REF!</v>
      </c>
      <c r="AC41" s="71" t="e">
        <f>IF(S41="","",IF(#REF!="Tolerance",IF(-((#REF!*3*T41)-S41)-E41&gt;G41,"",-((#REF!*3*T41)-S41)-E41),IF(#REF!="MIN",IF(-((#REF!*3*T41)-S41)&gt;G41,"",-((#REF!*3*T41)-S41)),"")))</f>
        <v>#REF!</v>
      </c>
      <c r="AD41" s="71">
        <f t="shared" si="11"/>
        <v>24.37</v>
      </c>
      <c r="AE41" s="71" t="str">
        <f t="shared" si="9"/>
        <v/>
      </c>
      <c r="AF41" s="82"/>
      <c r="AG41" s="83" t="str">
        <f t="shared" si="12"/>
        <v/>
      </c>
      <c r="AH41" s="125"/>
      <c r="AI41" s="72"/>
      <c r="AJ41" s="72"/>
      <c r="AK41" s="73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</row>
    <row r="42" spans="2:70" ht="19.149999999999999" customHeight="1">
      <c r="B42" s="66" t="s">
        <v>91</v>
      </c>
      <c r="C42" s="75">
        <v>31</v>
      </c>
      <c r="D42" s="85" t="s">
        <v>45</v>
      </c>
      <c r="E42" s="86">
        <v>22.236000000000001</v>
      </c>
      <c r="F42" s="87">
        <v>0.03</v>
      </c>
      <c r="G42" s="87">
        <v>-0.03</v>
      </c>
      <c r="H42" s="79" t="s">
        <v>46</v>
      </c>
      <c r="I42" s="67"/>
      <c r="J42" s="68">
        <v>22.266000000000002</v>
      </c>
      <c r="K42" s="68">
        <v>22.206</v>
      </c>
      <c r="L42" s="68">
        <v>22.261500000000002</v>
      </c>
      <c r="M42" s="68">
        <v>22.2105</v>
      </c>
      <c r="N42" s="116"/>
      <c r="O42" s="116"/>
      <c r="P42" s="69"/>
      <c r="Q42" s="88">
        <f t="shared" si="0"/>
        <v>0</v>
      </c>
      <c r="R42" s="88">
        <f t="shared" si="1"/>
        <v>0</v>
      </c>
      <c r="S42" s="88">
        <f t="shared" si="2"/>
        <v>0</v>
      </c>
      <c r="T42" s="89">
        <f t="shared" si="3"/>
        <v>0</v>
      </c>
      <c r="U42" s="80" t="str">
        <f t="shared" si="4"/>
        <v/>
      </c>
      <c r="V42" s="81" t="str">
        <f>IF(OR($AM42="",ISNUMBER($AM42)=FALSE),"",IF(AND(#REF!="Tolerance",$E42&lt;&gt;""),($S42-$E42)/(($J42-$K42)/2),IF(AND(#REF!="GD&amp;T",$F42&lt;&gt;""),$S42/$F42,"")))</f>
        <v/>
      </c>
      <c r="W42" s="81" t="str">
        <f t="shared" si="10"/>
        <v/>
      </c>
      <c r="X42" s="80" t="str">
        <f t="shared" si="5"/>
        <v/>
      </c>
      <c r="Y42" s="80" t="str">
        <f t="shared" si="6"/>
        <v/>
      </c>
      <c r="Z42" s="80" t="str">
        <f t="shared" si="7"/>
        <v/>
      </c>
      <c r="AA42" s="70" t="str">
        <f t="shared" si="8"/>
        <v/>
      </c>
      <c r="AB42" s="71" t="e">
        <f>IF($S42="","",IF(#REF!="Tolerance",IF((#REF!*3*T42+S42)-E42&lt;F42,"",(#REF!*3*T42+S42)-E42),IF(OR(#REF!="GD&amp;T",#REF!="MAX"),IF((#REF!*3*T42+S42)&lt;F42,"",(#REF!*3*T42+S42)),"")))</f>
        <v>#REF!</v>
      </c>
      <c r="AC42" s="71" t="e">
        <f>IF(S42="","",IF(#REF!="Tolerance",IF(-((#REF!*3*T42)-S42)-E42&gt;G42,"",-((#REF!*3*T42)-S42)-E42),IF(#REF!="MIN",IF(-((#REF!*3*T42)-S42)&gt;G42,"",-((#REF!*3*T42)-S42)),"")))</f>
        <v>#REF!</v>
      </c>
      <c r="AD42" s="71">
        <f t="shared" si="11"/>
        <v>22.236000000000001</v>
      </c>
      <c r="AE42" s="71" t="str">
        <f t="shared" si="9"/>
        <v/>
      </c>
      <c r="AF42" s="82"/>
      <c r="AG42" s="83" t="str">
        <f t="shared" si="12"/>
        <v/>
      </c>
      <c r="AH42" s="125"/>
      <c r="AI42" s="72"/>
      <c r="AJ42" s="72"/>
      <c r="AK42" s="73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0"/>
      <c r="BH42" s="110"/>
      <c r="BI42" s="110"/>
      <c r="BJ42" s="110"/>
      <c r="BK42" s="110"/>
      <c r="BL42" s="110"/>
      <c r="BM42" s="110"/>
      <c r="BN42" s="110"/>
      <c r="BO42" s="110"/>
      <c r="BP42" s="110"/>
      <c r="BQ42" s="110"/>
      <c r="BR42" s="110"/>
    </row>
    <row r="43" spans="2:70" ht="19.149999999999999" customHeight="1">
      <c r="B43" s="66" t="s">
        <v>235</v>
      </c>
      <c r="C43" s="75" t="s">
        <v>105</v>
      </c>
      <c r="D43" s="85" t="s">
        <v>45</v>
      </c>
      <c r="E43" s="86">
        <v>23.802</v>
      </c>
      <c r="F43" s="87">
        <v>0.03</v>
      </c>
      <c r="G43" s="87">
        <v>-0.03</v>
      </c>
      <c r="H43" s="79" t="s">
        <v>46</v>
      </c>
      <c r="I43" s="67"/>
      <c r="J43" s="68">
        <v>23.832000000000001</v>
      </c>
      <c r="K43" s="68">
        <v>23.771999999999998</v>
      </c>
      <c r="L43" s="68">
        <v>23.827500000000001</v>
      </c>
      <c r="M43" s="68">
        <v>23.776499999999999</v>
      </c>
      <c r="N43" s="116"/>
      <c r="O43" s="116"/>
      <c r="P43" s="69"/>
      <c r="Q43" s="88">
        <f t="shared" si="0"/>
        <v>0</v>
      </c>
      <c r="R43" s="88">
        <f t="shared" si="1"/>
        <v>0</v>
      </c>
      <c r="S43" s="88">
        <f t="shared" si="2"/>
        <v>0</v>
      </c>
      <c r="T43" s="89">
        <f t="shared" si="3"/>
        <v>0</v>
      </c>
      <c r="U43" s="80" t="str">
        <f t="shared" si="4"/>
        <v/>
      </c>
      <c r="V43" s="81" t="str">
        <f>IF(OR($AM43="",ISNUMBER($AM43)=FALSE),"",IF(AND(#REF!="Tolerance",$E43&lt;&gt;""),($S43-$E43)/(($J43-$K43)/2),IF(AND(#REF!="GD&amp;T",$F43&lt;&gt;""),$S43/$F43,"")))</f>
        <v/>
      </c>
      <c r="W43" s="81" t="str">
        <f t="shared" si="10"/>
        <v/>
      </c>
      <c r="X43" s="80" t="str">
        <f t="shared" si="5"/>
        <v/>
      </c>
      <c r="Y43" s="80" t="str">
        <f t="shared" si="6"/>
        <v/>
      </c>
      <c r="Z43" s="80" t="str">
        <f t="shared" si="7"/>
        <v/>
      </c>
      <c r="AA43" s="70" t="str">
        <f t="shared" si="8"/>
        <v/>
      </c>
      <c r="AB43" s="71" t="e">
        <f>IF($S43="","",IF(#REF!="Tolerance",IF((#REF!*3*T43+S43)-E43&lt;F43,"",(#REF!*3*T43+S43)-E43),IF(OR(#REF!="GD&amp;T",#REF!="MAX"),IF((#REF!*3*T43+S43)&lt;F43,"",(#REF!*3*T43+S43)),"")))</f>
        <v>#REF!</v>
      </c>
      <c r="AC43" s="71" t="e">
        <f>IF(S43="","",IF(#REF!="Tolerance",IF(-((#REF!*3*T43)-S43)-E43&gt;G43,"",-((#REF!*3*T43)-S43)-E43),IF(#REF!="MIN",IF(-((#REF!*3*T43)-S43)&gt;G43,"",-((#REF!*3*T43)-S43)),"")))</f>
        <v>#REF!</v>
      </c>
      <c r="AD43" s="71">
        <f t="shared" si="11"/>
        <v>23.802</v>
      </c>
      <c r="AE43" s="71" t="str">
        <f t="shared" si="9"/>
        <v/>
      </c>
      <c r="AF43" s="82"/>
      <c r="AG43" s="83" t="str">
        <f t="shared" si="12"/>
        <v/>
      </c>
      <c r="AH43" s="125"/>
      <c r="AI43" s="72"/>
      <c r="AJ43" s="72"/>
      <c r="AK43" s="73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0"/>
      <c r="BI43" s="110"/>
      <c r="BJ43" s="110"/>
      <c r="BK43" s="110"/>
      <c r="BL43" s="110"/>
      <c r="BM43" s="110"/>
      <c r="BN43" s="110"/>
      <c r="BO43" s="110"/>
      <c r="BP43" s="110"/>
      <c r="BQ43" s="110"/>
      <c r="BR43" s="110"/>
    </row>
    <row r="44" spans="2:70" ht="19.149999999999999" customHeight="1">
      <c r="B44" s="66" t="s">
        <v>235</v>
      </c>
      <c r="C44" s="75" t="s">
        <v>106</v>
      </c>
      <c r="D44" s="85" t="s">
        <v>45</v>
      </c>
      <c r="E44" s="86">
        <v>23.802</v>
      </c>
      <c r="F44" s="87">
        <v>0.03</v>
      </c>
      <c r="G44" s="87">
        <v>-0.03</v>
      </c>
      <c r="H44" s="79" t="s">
        <v>46</v>
      </c>
      <c r="I44" s="67"/>
      <c r="J44" s="68">
        <v>23.832000000000001</v>
      </c>
      <c r="K44" s="68">
        <v>23.771999999999998</v>
      </c>
      <c r="L44" s="68">
        <v>23.827500000000001</v>
      </c>
      <c r="M44" s="68">
        <v>23.776499999999999</v>
      </c>
      <c r="N44" s="116"/>
      <c r="O44" s="116"/>
      <c r="P44" s="69"/>
      <c r="Q44" s="88">
        <f t="shared" si="0"/>
        <v>0</v>
      </c>
      <c r="R44" s="88">
        <f t="shared" si="1"/>
        <v>0</v>
      </c>
      <c r="S44" s="88">
        <f t="shared" si="2"/>
        <v>0</v>
      </c>
      <c r="T44" s="89">
        <f t="shared" si="3"/>
        <v>0</v>
      </c>
      <c r="U44" s="80" t="str">
        <f t="shared" si="4"/>
        <v/>
      </c>
      <c r="V44" s="81" t="str">
        <f>IF(OR($AM44="",ISNUMBER($AM44)=FALSE),"",IF(AND(#REF!="Tolerance",$E44&lt;&gt;""),($S44-$E44)/(($J44-$K44)/2),IF(AND(#REF!="GD&amp;T",$F44&lt;&gt;""),$S44/$F44,"")))</f>
        <v/>
      </c>
      <c r="W44" s="81" t="str">
        <f t="shared" si="10"/>
        <v/>
      </c>
      <c r="X44" s="80" t="str">
        <f t="shared" si="5"/>
        <v/>
      </c>
      <c r="Y44" s="80" t="str">
        <f t="shared" si="6"/>
        <v/>
      </c>
      <c r="Z44" s="80" t="str">
        <f t="shared" si="7"/>
        <v/>
      </c>
      <c r="AA44" s="70" t="str">
        <f t="shared" si="8"/>
        <v/>
      </c>
      <c r="AB44" s="71" t="e">
        <f>IF($S44="","",IF(#REF!="Tolerance",IF((#REF!*3*T44+S44)-E44&lt;F44,"",(#REF!*3*T44+S44)-E44),IF(OR(#REF!="GD&amp;T",#REF!="MAX"),IF((#REF!*3*T44+S44)&lt;F44,"",(#REF!*3*T44+S44)),"")))</f>
        <v>#REF!</v>
      </c>
      <c r="AC44" s="71" t="e">
        <f>IF(S44="","",IF(#REF!="Tolerance",IF(-((#REF!*3*T44)-S44)-E44&gt;G44,"",-((#REF!*3*T44)-S44)-E44),IF(#REF!="MIN",IF(-((#REF!*3*T44)-S44)&gt;G44,"",-((#REF!*3*T44)-S44)),"")))</f>
        <v>#REF!</v>
      </c>
      <c r="AD44" s="71">
        <f t="shared" si="11"/>
        <v>23.802</v>
      </c>
      <c r="AE44" s="71" t="str">
        <f t="shared" si="9"/>
        <v/>
      </c>
      <c r="AF44" s="82"/>
      <c r="AG44" s="83" t="str">
        <f t="shared" si="12"/>
        <v/>
      </c>
      <c r="AH44" s="125"/>
      <c r="AI44" s="72"/>
      <c r="AJ44" s="72"/>
      <c r="AK44" s="73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  <c r="BG44" s="110"/>
      <c r="BH44" s="110"/>
      <c r="BI44" s="110"/>
      <c r="BJ44" s="110"/>
      <c r="BK44" s="110"/>
      <c r="BL44" s="110"/>
      <c r="BM44" s="110"/>
      <c r="BN44" s="110"/>
      <c r="BO44" s="110"/>
      <c r="BP44" s="110"/>
      <c r="BQ44" s="110"/>
      <c r="BR44" s="110"/>
    </row>
    <row r="45" spans="2:70" ht="19.149999999999999" customHeight="1">
      <c r="B45" s="66" t="s">
        <v>87</v>
      </c>
      <c r="C45" s="75" t="s">
        <v>134</v>
      </c>
      <c r="D45" s="85" t="s">
        <v>45</v>
      </c>
      <c r="E45" s="86">
        <v>8.4719999999999995</v>
      </c>
      <c r="F45" s="87">
        <v>0.03</v>
      </c>
      <c r="G45" s="87">
        <v>-0.03</v>
      </c>
      <c r="H45" s="79" t="s">
        <v>46</v>
      </c>
      <c r="I45" s="67"/>
      <c r="J45" s="68">
        <v>8.5019999999999989</v>
      </c>
      <c r="K45" s="68">
        <v>8.4420000000000002</v>
      </c>
      <c r="L45" s="68">
        <v>8.4974999999999987</v>
      </c>
      <c r="M45" s="68">
        <v>8.4465000000000003</v>
      </c>
      <c r="N45" s="116"/>
      <c r="O45" s="116"/>
      <c r="P45" s="69"/>
      <c r="Q45" s="88">
        <f t="shared" si="0"/>
        <v>0</v>
      </c>
      <c r="R45" s="88">
        <f t="shared" si="1"/>
        <v>0</v>
      </c>
      <c r="S45" s="88">
        <f t="shared" si="2"/>
        <v>0</v>
      </c>
      <c r="T45" s="89">
        <f t="shared" si="3"/>
        <v>0</v>
      </c>
      <c r="U45" s="80" t="str">
        <f t="shared" si="4"/>
        <v/>
      </c>
      <c r="V45" s="81" t="str">
        <f>IF(OR($AM45="",ISNUMBER($AM45)=FALSE),"",IF(AND(#REF!="Tolerance",$E45&lt;&gt;""),($S45-$E45)/(($J45-$K45)/2),IF(AND(#REF!="GD&amp;T",$F45&lt;&gt;""),$S45/$F45,"")))</f>
        <v/>
      </c>
      <c r="W45" s="81" t="str">
        <f t="shared" si="10"/>
        <v/>
      </c>
      <c r="X45" s="80" t="str">
        <f t="shared" si="5"/>
        <v/>
      </c>
      <c r="Y45" s="80" t="str">
        <f t="shared" si="6"/>
        <v/>
      </c>
      <c r="Z45" s="80" t="str">
        <f t="shared" si="7"/>
        <v/>
      </c>
      <c r="AA45" s="70" t="str">
        <f t="shared" si="8"/>
        <v/>
      </c>
      <c r="AB45" s="71" t="e">
        <f>IF($S45="","",IF(#REF!="Tolerance",IF((#REF!*3*T45+S45)-E45&lt;F45,"",(#REF!*3*T45+S45)-E45),IF(OR(#REF!="GD&amp;T",#REF!="MAX"),IF((#REF!*3*T45+S45)&lt;F45,"",(#REF!*3*T45+S45)),"")))</f>
        <v>#REF!</v>
      </c>
      <c r="AC45" s="71" t="e">
        <f>IF(S45="","",IF(#REF!="Tolerance",IF(-((#REF!*3*T45)-S45)-E45&gt;G45,"",-((#REF!*3*T45)-S45)-E45),IF(#REF!="MIN",IF(-((#REF!*3*T45)-S45)&gt;G45,"",-((#REF!*3*T45)-S45)),"")))</f>
        <v>#REF!</v>
      </c>
      <c r="AD45" s="71">
        <f t="shared" si="11"/>
        <v>8.4719999999999995</v>
      </c>
      <c r="AE45" s="71" t="str">
        <f t="shared" si="9"/>
        <v/>
      </c>
      <c r="AF45" s="82"/>
      <c r="AG45" s="83" t="str">
        <f t="shared" si="12"/>
        <v/>
      </c>
      <c r="AH45" s="125"/>
      <c r="AI45" s="72"/>
      <c r="AJ45" s="72"/>
      <c r="AK45" s="73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0"/>
      <c r="BJ45" s="110"/>
      <c r="BK45" s="110"/>
      <c r="BL45" s="110"/>
      <c r="BM45" s="110"/>
      <c r="BN45" s="110"/>
      <c r="BO45" s="110"/>
      <c r="BP45" s="110"/>
      <c r="BQ45" s="110"/>
      <c r="BR45" s="110"/>
    </row>
    <row r="46" spans="2:70" ht="19.149999999999999" customHeight="1">
      <c r="B46" s="66" t="s">
        <v>87</v>
      </c>
      <c r="C46" s="75" t="s">
        <v>135</v>
      </c>
      <c r="D46" s="85" t="s">
        <v>45</v>
      </c>
      <c r="E46" s="86">
        <v>8.4719999999999995</v>
      </c>
      <c r="F46" s="87">
        <v>0.03</v>
      </c>
      <c r="G46" s="87">
        <v>-0.03</v>
      </c>
      <c r="H46" s="79" t="s">
        <v>46</v>
      </c>
      <c r="I46" s="67"/>
      <c r="J46" s="68">
        <v>8.5019999999999989</v>
      </c>
      <c r="K46" s="68">
        <v>8.4420000000000002</v>
      </c>
      <c r="L46" s="68">
        <v>8.4974999999999987</v>
      </c>
      <c r="M46" s="68">
        <v>8.4465000000000003</v>
      </c>
      <c r="N46" s="116"/>
      <c r="O46" s="116"/>
      <c r="P46" s="69"/>
      <c r="Q46" s="88">
        <f t="shared" si="0"/>
        <v>0</v>
      </c>
      <c r="R46" s="88">
        <f t="shared" si="1"/>
        <v>0</v>
      </c>
      <c r="S46" s="88">
        <f t="shared" si="2"/>
        <v>0</v>
      </c>
      <c r="T46" s="89">
        <f t="shared" si="3"/>
        <v>0</v>
      </c>
      <c r="U46" s="80" t="str">
        <f t="shared" si="4"/>
        <v/>
      </c>
      <c r="V46" s="81" t="str">
        <f>IF(OR($AM46="",ISNUMBER($AM46)=FALSE),"",IF(AND(#REF!="Tolerance",$E46&lt;&gt;""),($S46-$E46)/(($J46-$K46)/2),IF(AND(#REF!="GD&amp;T",$F46&lt;&gt;""),$S46/$F46,"")))</f>
        <v/>
      </c>
      <c r="W46" s="81" t="str">
        <f t="shared" si="10"/>
        <v/>
      </c>
      <c r="X46" s="80" t="str">
        <f t="shared" si="5"/>
        <v/>
      </c>
      <c r="Y46" s="80" t="str">
        <f t="shared" si="6"/>
        <v/>
      </c>
      <c r="Z46" s="80" t="str">
        <f t="shared" si="7"/>
        <v/>
      </c>
      <c r="AA46" s="70" t="str">
        <f t="shared" si="8"/>
        <v/>
      </c>
      <c r="AB46" s="71" t="e">
        <f>IF($S46="","",IF(#REF!="Tolerance",IF((#REF!*3*T46+S46)-E46&lt;F46,"",(#REF!*3*T46+S46)-E46),IF(OR(#REF!="GD&amp;T",#REF!="MAX"),IF((#REF!*3*T46+S46)&lt;F46,"",(#REF!*3*T46+S46)),"")))</f>
        <v>#REF!</v>
      </c>
      <c r="AC46" s="71" t="e">
        <f>IF(S46="","",IF(#REF!="Tolerance",IF(-((#REF!*3*T46)-S46)-E46&gt;G46,"",-((#REF!*3*T46)-S46)-E46),IF(#REF!="MIN",IF(-((#REF!*3*T46)-S46)&gt;G46,"",-((#REF!*3*T46)-S46)),"")))</f>
        <v>#REF!</v>
      </c>
      <c r="AD46" s="71">
        <f t="shared" si="11"/>
        <v>8.4719999999999995</v>
      </c>
      <c r="AE46" s="71" t="str">
        <f t="shared" si="9"/>
        <v/>
      </c>
      <c r="AF46" s="82"/>
      <c r="AG46" s="83" t="str">
        <f t="shared" si="12"/>
        <v/>
      </c>
      <c r="AH46" s="125"/>
      <c r="AI46" s="72"/>
      <c r="AJ46" s="72"/>
      <c r="AK46" s="73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  <c r="BN46" s="110"/>
      <c r="BO46" s="110"/>
      <c r="BP46" s="110"/>
      <c r="BQ46" s="110"/>
      <c r="BR46" s="110"/>
    </row>
    <row r="47" spans="2:70" ht="19.149999999999999" customHeight="1">
      <c r="B47" s="66" t="s">
        <v>86</v>
      </c>
      <c r="C47" s="75" t="s">
        <v>107</v>
      </c>
      <c r="D47" s="85" t="s">
        <v>45</v>
      </c>
      <c r="E47" s="86">
        <v>23.006</v>
      </c>
      <c r="F47" s="87">
        <v>0.03</v>
      </c>
      <c r="G47" s="87">
        <v>-0.03</v>
      </c>
      <c r="H47" s="79" t="s">
        <v>46</v>
      </c>
      <c r="I47" s="67"/>
      <c r="J47" s="68">
        <v>23.036000000000001</v>
      </c>
      <c r="K47" s="68">
        <v>22.975999999999999</v>
      </c>
      <c r="L47" s="68">
        <v>23.031500000000001</v>
      </c>
      <c r="M47" s="68">
        <v>22.980499999999999</v>
      </c>
      <c r="N47" s="116"/>
      <c r="O47" s="116"/>
      <c r="P47" s="69"/>
      <c r="Q47" s="88">
        <f t="shared" si="0"/>
        <v>0</v>
      </c>
      <c r="R47" s="88">
        <f t="shared" si="1"/>
        <v>0</v>
      </c>
      <c r="S47" s="88">
        <f t="shared" si="2"/>
        <v>0</v>
      </c>
      <c r="T47" s="89">
        <f t="shared" si="3"/>
        <v>0</v>
      </c>
      <c r="U47" s="80" t="str">
        <f t="shared" si="4"/>
        <v/>
      </c>
      <c r="V47" s="81" t="str">
        <f>IF(OR($AM47="",ISNUMBER($AM47)=FALSE),"",IF(AND(#REF!="Tolerance",$E47&lt;&gt;""),($S47-$E47)/(($J47-$K47)/2),IF(AND(#REF!="GD&amp;T",$F47&lt;&gt;""),$S47/$F47,"")))</f>
        <v/>
      </c>
      <c r="W47" s="81" t="str">
        <f t="shared" si="10"/>
        <v/>
      </c>
      <c r="X47" s="80" t="str">
        <f t="shared" si="5"/>
        <v/>
      </c>
      <c r="Y47" s="80" t="str">
        <f t="shared" si="6"/>
        <v/>
      </c>
      <c r="Z47" s="80" t="str">
        <f t="shared" si="7"/>
        <v/>
      </c>
      <c r="AA47" s="70" t="str">
        <f t="shared" si="8"/>
        <v/>
      </c>
      <c r="AB47" s="71" t="e">
        <f>IF($S47="","",IF(#REF!="Tolerance",IF((#REF!*3*T47+S47)-E47&lt;F47,"",(#REF!*3*T47+S47)-E47),IF(OR(#REF!="GD&amp;T",#REF!="MAX"),IF((#REF!*3*T47+S47)&lt;F47,"",(#REF!*3*T47+S47)),"")))</f>
        <v>#REF!</v>
      </c>
      <c r="AC47" s="71" t="e">
        <f>IF(S47="","",IF(#REF!="Tolerance",IF(-((#REF!*3*T47)-S47)-E47&gt;G47,"",-((#REF!*3*T47)-S47)-E47),IF(#REF!="MIN",IF(-((#REF!*3*T47)-S47)&gt;G47,"",-((#REF!*3*T47)-S47)),"")))</f>
        <v>#REF!</v>
      </c>
      <c r="AD47" s="71">
        <f t="shared" si="11"/>
        <v>23.006</v>
      </c>
      <c r="AE47" s="71" t="str">
        <f t="shared" si="9"/>
        <v/>
      </c>
      <c r="AF47" s="82"/>
      <c r="AG47" s="83" t="str">
        <f t="shared" si="12"/>
        <v/>
      </c>
      <c r="AH47" s="125"/>
      <c r="AI47" s="72"/>
      <c r="AJ47" s="72"/>
      <c r="AK47" s="73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0"/>
      <c r="BQ47" s="110"/>
      <c r="BR47" s="110"/>
    </row>
    <row r="48" spans="2:70" ht="19.149999999999999" customHeight="1">
      <c r="B48" s="66" t="s">
        <v>86</v>
      </c>
      <c r="C48" s="75" t="s">
        <v>108</v>
      </c>
      <c r="D48" s="85" t="s">
        <v>45</v>
      </c>
      <c r="E48" s="86">
        <v>23.006</v>
      </c>
      <c r="F48" s="87">
        <v>0.03</v>
      </c>
      <c r="G48" s="87">
        <v>-0.03</v>
      </c>
      <c r="H48" s="79" t="s">
        <v>46</v>
      </c>
      <c r="I48" s="67"/>
      <c r="J48" s="68">
        <v>23.036000000000001</v>
      </c>
      <c r="K48" s="68">
        <v>22.975999999999999</v>
      </c>
      <c r="L48" s="68">
        <v>23.031500000000001</v>
      </c>
      <c r="M48" s="68">
        <v>22.980499999999999</v>
      </c>
      <c r="N48" s="116"/>
      <c r="O48" s="116"/>
      <c r="P48" s="69"/>
      <c r="Q48" s="88">
        <f t="shared" si="0"/>
        <v>0</v>
      </c>
      <c r="R48" s="88">
        <f t="shared" si="1"/>
        <v>0</v>
      </c>
      <c r="S48" s="88">
        <f t="shared" si="2"/>
        <v>0</v>
      </c>
      <c r="T48" s="89">
        <f t="shared" si="3"/>
        <v>0</v>
      </c>
      <c r="U48" s="80" t="str">
        <f t="shared" si="4"/>
        <v/>
      </c>
      <c r="V48" s="81" t="str">
        <f>IF(OR($AM48="",ISNUMBER($AM48)=FALSE),"",IF(AND(#REF!="Tolerance",$E48&lt;&gt;""),($S48-$E48)/(($J48-$K48)/2),IF(AND(#REF!="GD&amp;T",$F48&lt;&gt;""),$S48/$F48,"")))</f>
        <v/>
      </c>
      <c r="W48" s="81" t="str">
        <f t="shared" si="10"/>
        <v/>
      </c>
      <c r="X48" s="80" t="str">
        <f t="shared" si="5"/>
        <v/>
      </c>
      <c r="Y48" s="80" t="str">
        <f t="shared" si="6"/>
        <v/>
      </c>
      <c r="Z48" s="80" t="str">
        <f t="shared" si="7"/>
        <v/>
      </c>
      <c r="AA48" s="70" t="str">
        <f t="shared" si="8"/>
        <v/>
      </c>
      <c r="AB48" s="71" t="e">
        <f>IF($S48="","",IF(#REF!="Tolerance",IF((#REF!*3*T48+S48)-E48&lt;F48,"",(#REF!*3*T48+S48)-E48),IF(OR(#REF!="GD&amp;T",#REF!="MAX"),IF((#REF!*3*T48+S48)&lt;F48,"",(#REF!*3*T48+S48)),"")))</f>
        <v>#REF!</v>
      </c>
      <c r="AC48" s="71" t="e">
        <f>IF(S48="","",IF(#REF!="Tolerance",IF(-((#REF!*3*T48)-S48)-E48&gt;G48,"",-((#REF!*3*T48)-S48)-E48),IF(#REF!="MIN",IF(-((#REF!*3*T48)-S48)&gt;G48,"",-((#REF!*3*T48)-S48)),"")))</f>
        <v>#REF!</v>
      </c>
      <c r="AD48" s="71">
        <f t="shared" si="11"/>
        <v>23.006</v>
      </c>
      <c r="AE48" s="71" t="str">
        <f t="shared" si="9"/>
        <v/>
      </c>
      <c r="AF48" s="82"/>
      <c r="AG48" s="83" t="str">
        <f t="shared" si="12"/>
        <v/>
      </c>
      <c r="AH48" s="125"/>
      <c r="AI48" s="72"/>
      <c r="AJ48" s="72"/>
      <c r="AK48" s="73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  <c r="BE48" s="110"/>
      <c r="BF48" s="110"/>
      <c r="BG48" s="110"/>
      <c r="BH48" s="11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</row>
    <row r="49" spans="2:70" ht="19.149999999999999" customHeight="1">
      <c r="B49" s="66" t="s">
        <v>86</v>
      </c>
      <c r="C49" s="75" t="s">
        <v>136</v>
      </c>
      <c r="D49" s="85" t="s">
        <v>45</v>
      </c>
      <c r="E49" s="86">
        <v>23.006</v>
      </c>
      <c r="F49" s="87">
        <v>0.03</v>
      </c>
      <c r="G49" s="87">
        <v>-0.03</v>
      </c>
      <c r="H49" s="79" t="s">
        <v>46</v>
      </c>
      <c r="I49" s="67"/>
      <c r="J49" s="68">
        <v>23.036000000000001</v>
      </c>
      <c r="K49" s="68">
        <v>22.975999999999999</v>
      </c>
      <c r="L49" s="68">
        <v>23.031500000000001</v>
      </c>
      <c r="M49" s="68">
        <v>22.980499999999999</v>
      </c>
      <c r="N49" s="116"/>
      <c r="O49" s="116"/>
      <c r="P49" s="69"/>
      <c r="Q49" s="88">
        <f t="shared" si="0"/>
        <v>0</v>
      </c>
      <c r="R49" s="88">
        <f t="shared" si="1"/>
        <v>0</v>
      </c>
      <c r="S49" s="88">
        <f t="shared" si="2"/>
        <v>0</v>
      </c>
      <c r="T49" s="89">
        <f t="shared" si="3"/>
        <v>0</v>
      </c>
      <c r="U49" s="80" t="str">
        <f t="shared" si="4"/>
        <v/>
      </c>
      <c r="V49" s="81" t="str">
        <f>IF(OR($AM49="",ISNUMBER($AM49)=FALSE),"",IF(AND(#REF!="Tolerance",$E49&lt;&gt;""),($S49-$E49)/(($J49-$K49)/2),IF(AND(#REF!="GD&amp;T",$F49&lt;&gt;""),$S49/$F49,"")))</f>
        <v/>
      </c>
      <c r="W49" s="81" t="str">
        <f t="shared" si="10"/>
        <v/>
      </c>
      <c r="X49" s="80" t="str">
        <f t="shared" si="5"/>
        <v/>
      </c>
      <c r="Y49" s="80" t="str">
        <f t="shared" si="6"/>
        <v/>
      </c>
      <c r="Z49" s="80" t="str">
        <f t="shared" si="7"/>
        <v/>
      </c>
      <c r="AA49" s="70" t="str">
        <f t="shared" si="8"/>
        <v/>
      </c>
      <c r="AB49" s="71" t="e">
        <f>IF($S49="","",IF(#REF!="Tolerance",IF((#REF!*3*T49+S49)-E49&lt;F49,"",(#REF!*3*T49+S49)-E49),IF(OR(#REF!="GD&amp;T",#REF!="MAX"),IF((#REF!*3*T49+S49)&lt;F49,"",(#REF!*3*T49+S49)),"")))</f>
        <v>#REF!</v>
      </c>
      <c r="AC49" s="71" t="e">
        <f>IF(S49="","",IF(#REF!="Tolerance",IF(-((#REF!*3*T49)-S49)-E49&gt;G49,"",-((#REF!*3*T49)-S49)-E49),IF(#REF!="MIN",IF(-((#REF!*3*T49)-S49)&gt;G49,"",-((#REF!*3*T49)-S49)),"")))</f>
        <v>#REF!</v>
      </c>
      <c r="AD49" s="71">
        <f t="shared" si="11"/>
        <v>23.006</v>
      </c>
      <c r="AE49" s="71" t="str">
        <f t="shared" si="9"/>
        <v/>
      </c>
      <c r="AF49" s="82"/>
      <c r="AG49" s="83" t="str">
        <f t="shared" si="12"/>
        <v/>
      </c>
      <c r="AH49" s="125"/>
      <c r="AI49" s="72"/>
      <c r="AJ49" s="72"/>
      <c r="AK49" s="73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  <c r="BE49" s="110"/>
      <c r="BF49" s="110"/>
      <c r="BG49" s="110"/>
      <c r="BH49" s="110"/>
      <c r="BI49" s="110"/>
      <c r="BJ49" s="110"/>
      <c r="BK49" s="110"/>
      <c r="BL49" s="110"/>
      <c r="BM49" s="110"/>
      <c r="BN49" s="110"/>
      <c r="BO49" s="110"/>
      <c r="BP49" s="110"/>
      <c r="BQ49" s="110"/>
      <c r="BR49" s="110"/>
    </row>
    <row r="50" spans="2:70" ht="19.149999999999999" customHeight="1">
      <c r="B50" s="66" t="s">
        <v>93</v>
      </c>
      <c r="C50" s="75" t="s">
        <v>137</v>
      </c>
      <c r="D50" s="85" t="s">
        <v>45</v>
      </c>
      <c r="E50" s="86">
        <v>23.385999999999999</v>
      </c>
      <c r="F50" s="87">
        <v>3.5000000000000003E-2</v>
      </c>
      <c r="G50" s="87">
        <v>-3.5000000000000003E-2</v>
      </c>
      <c r="H50" s="79" t="s">
        <v>46</v>
      </c>
      <c r="I50" s="67"/>
      <c r="J50" s="68">
        <v>23.420999999999999</v>
      </c>
      <c r="K50" s="68">
        <v>23.350999999999999</v>
      </c>
      <c r="L50" s="68">
        <v>23.415749999999999</v>
      </c>
      <c r="M50" s="68">
        <v>23.356249999999999</v>
      </c>
      <c r="N50" s="116"/>
      <c r="O50" s="116"/>
      <c r="P50" s="69"/>
      <c r="Q50" s="88">
        <f t="shared" si="0"/>
        <v>0</v>
      </c>
      <c r="R50" s="88">
        <f t="shared" si="1"/>
        <v>0</v>
      </c>
      <c r="S50" s="88">
        <f t="shared" si="2"/>
        <v>0</v>
      </c>
      <c r="T50" s="89">
        <f t="shared" si="3"/>
        <v>0</v>
      </c>
      <c r="U50" s="80" t="str">
        <f t="shared" si="4"/>
        <v/>
      </c>
      <c r="V50" s="81" t="str">
        <f>IF(OR($AM50="",ISNUMBER($AM50)=FALSE),"",IF(AND(#REF!="Tolerance",$E50&lt;&gt;""),($S50-$E50)/(($J50-$K50)/2),IF(AND(#REF!="GD&amp;T",$F50&lt;&gt;""),$S50/$F50,"")))</f>
        <v/>
      </c>
      <c r="W50" s="81" t="str">
        <f t="shared" si="10"/>
        <v/>
      </c>
      <c r="X50" s="80" t="str">
        <f t="shared" si="5"/>
        <v/>
      </c>
      <c r="Y50" s="80" t="str">
        <f t="shared" si="6"/>
        <v/>
      </c>
      <c r="Z50" s="80" t="str">
        <f t="shared" si="7"/>
        <v/>
      </c>
      <c r="AA50" s="70" t="str">
        <f t="shared" si="8"/>
        <v/>
      </c>
      <c r="AB50" s="71" t="e">
        <f>IF($S50="","",IF(#REF!="Tolerance",IF((#REF!*3*T50+S50)-E50&lt;F50,"",(#REF!*3*T50+S50)-E50),IF(OR(#REF!="GD&amp;T",#REF!="MAX"),IF((#REF!*3*T50+S50)&lt;F50,"",(#REF!*3*T50+S50)),"")))</f>
        <v>#REF!</v>
      </c>
      <c r="AC50" s="71" t="e">
        <f>IF(S50="","",IF(#REF!="Tolerance",IF(-((#REF!*3*T50)-S50)-E50&gt;G50,"",-((#REF!*3*T50)-S50)-E50),IF(#REF!="MIN",IF(-((#REF!*3*T50)-S50)&gt;G50,"",-((#REF!*3*T50)-S50)),"")))</f>
        <v>#REF!</v>
      </c>
      <c r="AD50" s="71">
        <f t="shared" si="11"/>
        <v>23.385999999999999</v>
      </c>
      <c r="AE50" s="71" t="str">
        <f t="shared" si="9"/>
        <v/>
      </c>
      <c r="AF50" s="82"/>
      <c r="AG50" s="83" t="str">
        <f t="shared" si="12"/>
        <v/>
      </c>
      <c r="AH50" s="125"/>
      <c r="AI50" s="72"/>
      <c r="AJ50" s="72"/>
      <c r="AK50" s="73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  <c r="BE50" s="110"/>
      <c r="BF50" s="110"/>
      <c r="BG50" s="110"/>
      <c r="BH50" s="110"/>
      <c r="BI50" s="110"/>
      <c r="BJ50" s="110"/>
      <c r="BK50" s="110"/>
      <c r="BL50" s="110"/>
      <c r="BM50" s="110"/>
      <c r="BN50" s="110"/>
      <c r="BO50" s="110"/>
      <c r="BP50" s="110"/>
      <c r="BQ50" s="110"/>
      <c r="BR50" s="110"/>
    </row>
    <row r="51" spans="2:70" ht="19.149999999999999" customHeight="1">
      <c r="B51" s="66" t="s">
        <v>93</v>
      </c>
      <c r="C51" s="75" t="s">
        <v>138</v>
      </c>
      <c r="D51" s="85" t="s">
        <v>45</v>
      </c>
      <c r="E51" s="86">
        <v>23.385999999999999</v>
      </c>
      <c r="F51" s="87">
        <v>3.5000000000000003E-2</v>
      </c>
      <c r="G51" s="87">
        <v>-3.5000000000000003E-2</v>
      </c>
      <c r="H51" s="79" t="s">
        <v>46</v>
      </c>
      <c r="I51" s="67"/>
      <c r="J51" s="68">
        <v>23.420999999999999</v>
      </c>
      <c r="K51" s="68">
        <v>23.350999999999999</v>
      </c>
      <c r="L51" s="68">
        <v>23.415749999999999</v>
      </c>
      <c r="M51" s="68">
        <v>23.356249999999999</v>
      </c>
      <c r="N51" s="116"/>
      <c r="O51" s="116"/>
      <c r="P51" s="69"/>
      <c r="Q51" s="88">
        <f t="shared" si="0"/>
        <v>0</v>
      </c>
      <c r="R51" s="88">
        <f t="shared" si="1"/>
        <v>0</v>
      </c>
      <c r="S51" s="88">
        <f t="shared" si="2"/>
        <v>0</v>
      </c>
      <c r="T51" s="89">
        <f t="shared" si="3"/>
        <v>0</v>
      </c>
      <c r="U51" s="80" t="str">
        <f t="shared" si="4"/>
        <v/>
      </c>
      <c r="V51" s="81" t="str">
        <f>IF(OR($AM51="",ISNUMBER($AM51)=FALSE),"",IF(AND(#REF!="Tolerance",$E51&lt;&gt;""),($S51-$E51)/(($J51-$K51)/2),IF(AND(#REF!="GD&amp;T",$F51&lt;&gt;""),$S51/$F51,"")))</f>
        <v/>
      </c>
      <c r="W51" s="81" t="str">
        <f t="shared" si="10"/>
        <v/>
      </c>
      <c r="X51" s="80" t="str">
        <f t="shared" si="5"/>
        <v/>
      </c>
      <c r="Y51" s="80" t="str">
        <f t="shared" si="6"/>
        <v/>
      </c>
      <c r="Z51" s="80" t="str">
        <f t="shared" si="7"/>
        <v/>
      </c>
      <c r="AA51" s="70" t="str">
        <f t="shared" si="8"/>
        <v/>
      </c>
      <c r="AB51" s="71" t="e">
        <f>IF($S51="","",IF(#REF!="Tolerance",IF((#REF!*3*T51+S51)-E51&lt;F51,"",(#REF!*3*T51+S51)-E51),IF(OR(#REF!="GD&amp;T",#REF!="MAX"),IF((#REF!*3*T51+S51)&lt;F51,"",(#REF!*3*T51+S51)),"")))</f>
        <v>#REF!</v>
      </c>
      <c r="AC51" s="71" t="e">
        <f>IF(S51="","",IF(#REF!="Tolerance",IF(-((#REF!*3*T51)-S51)-E51&gt;G51,"",-((#REF!*3*T51)-S51)-E51),IF(#REF!="MIN",IF(-((#REF!*3*T51)-S51)&gt;G51,"",-((#REF!*3*T51)-S51)),"")))</f>
        <v>#REF!</v>
      </c>
      <c r="AD51" s="71">
        <f t="shared" si="11"/>
        <v>23.385999999999999</v>
      </c>
      <c r="AE51" s="71" t="str">
        <f t="shared" si="9"/>
        <v/>
      </c>
      <c r="AF51" s="82"/>
      <c r="AG51" s="83" t="str">
        <f t="shared" si="12"/>
        <v/>
      </c>
      <c r="AH51" s="125"/>
      <c r="AI51" s="72"/>
      <c r="AJ51" s="72"/>
      <c r="AK51" s="73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  <c r="BQ51" s="110"/>
      <c r="BR51" s="110"/>
    </row>
    <row r="52" spans="2:70" ht="19.149999999999999" customHeight="1">
      <c r="B52" s="66" t="s">
        <v>236</v>
      </c>
      <c r="C52" s="75" t="s">
        <v>141</v>
      </c>
      <c r="D52" s="85" t="s">
        <v>45</v>
      </c>
      <c r="E52" s="86">
        <v>18.323</v>
      </c>
      <c r="F52" s="87">
        <v>3.5000000000000003E-2</v>
      </c>
      <c r="G52" s="87">
        <v>-3.5000000000000003E-2</v>
      </c>
      <c r="H52" s="79" t="s">
        <v>46</v>
      </c>
      <c r="I52" s="67"/>
      <c r="J52" s="68">
        <v>18.358000000000001</v>
      </c>
      <c r="K52" s="68">
        <v>18.288</v>
      </c>
      <c r="L52" s="68">
        <v>18.35275</v>
      </c>
      <c r="M52" s="68">
        <v>18.29325</v>
      </c>
      <c r="N52" s="116"/>
      <c r="O52" s="116"/>
      <c r="P52" s="69"/>
      <c r="Q52" s="88">
        <f t="shared" si="0"/>
        <v>0</v>
      </c>
      <c r="R52" s="88">
        <f t="shared" si="1"/>
        <v>0</v>
      </c>
      <c r="S52" s="88">
        <f t="shared" si="2"/>
        <v>0</v>
      </c>
      <c r="T52" s="89">
        <f t="shared" si="3"/>
        <v>0</v>
      </c>
      <c r="U52" s="80" t="str">
        <f t="shared" si="4"/>
        <v/>
      </c>
      <c r="V52" s="81" t="str">
        <f>IF(OR($AM52="",ISNUMBER($AM52)=FALSE),"",IF(AND(#REF!="Tolerance",$E52&lt;&gt;""),($S52-$E52)/(($J52-$K52)/2),IF(AND(#REF!="GD&amp;T",$F52&lt;&gt;""),$S52/$F52,"")))</f>
        <v/>
      </c>
      <c r="W52" s="81" t="str">
        <f t="shared" si="10"/>
        <v/>
      </c>
      <c r="X52" s="80" t="str">
        <f t="shared" si="5"/>
        <v/>
      </c>
      <c r="Y52" s="80" t="str">
        <f t="shared" si="6"/>
        <v/>
      </c>
      <c r="Z52" s="80" t="str">
        <f t="shared" si="7"/>
        <v/>
      </c>
      <c r="AA52" s="70" t="str">
        <f t="shared" si="8"/>
        <v/>
      </c>
      <c r="AB52" s="71" t="e">
        <f>IF($S52="","",IF(#REF!="Tolerance",IF((#REF!*3*T52+S52)-E52&lt;F52,"",(#REF!*3*T52+S52)-E52),IF(OR(#REF!="GD&amp;T",#REF!="MAX"),IF((#REF!*3*T52+S52)&lt;F52,"",(#REF!*3*T52+S52)),"")))</f>
        <v>#REF!</v>
      </c>
      <c r="AC52" s="71" t="e">
        <f>IF(S52="","",IF(#REF!="Tolerance",IF(-((#REF!*3*T52)-S52)-E52&gt;G52,"",-((#REF!*3*T52)-S52)-E52),IF(#REF!="MIN",IF(-((#REF!*3*T52)-S52)&gt;G52,"",-((#REF!*3*T52)-S52)),"")))</f>
        <v>#REF!</v>
      </c>
      <c r="AD52" s="71">
        <f t="shared" si="11"/>
        <v>18.323</v>
      </c>
      <c r="AE52" s="71" t="str">
        <f t="shared" si="9"/>
        <v/>
      </c>
      <c r="AF52" s="82"/>
      <c r="AG52" s="83" t="str">
        <f t="shared" si="12"/>
        <v/>
      </c>
      <c r="AH52" s="125"/>
      <c r="AI52" s="72"/>
      <c r="AJ52" s="72"/>
      <c r="AK52" s="73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0"/>
      <c r="BI52" s="110"/>
      <c r="BJ52" s="110"/>
      <c r="BK52" s="110"/>
      <c r="BL52" s="110"/>
      <c r="BM52" s="110"/>
      <c r="BN52" s="110"/>
      <c r="BO52" s="110"/>
      <c r="BP52" s="110"/>
      <c r="BQ52" s="110"/>
      <c r="BR52" s="110"/>
    </row>
    <row r="53" spans="2:70" ht="19.149999999999999" customHeight="1">
      <c r="B53" s="66" t="s">
        <v>236</v>
      </c>
      <c r="C53" s="75" t="s">
        <v>142</v>
      </c>
      <c r="D53" s="85" t="s">
        <v>45</v>
      </c>
      <c r="E53" s="86">
        <v>18.323</v>
      </c>
      <c r="F53" s="87">
        <v>3.5000000000000003E-2</v>
      </c>
      <c r="G53" s="87">
        <v>-3.5000000000000003E-2</v>
      </c>
      <c r="H53" s="79" t="s">
        <v>46</v>
      </c>
      <c r="I53" s="67"/>
      <c r="J53" s="68">
        <v>18.358000000000001</v>
      </c>
      <c r="K53" s="68">
        <v>18.288</v>
      </c>
      <c r="L53" s="68">
        <v>18.35275</v>
      </c>
      <c r="M53" s="68">
        <v>18.29325</v>
      </c>
      <c r="N53" s="116"/>
      <c r="O53" s="116"/>
      <c r="P53" s="69"/>
      <c r="Q53" s="88">
        <f t="shared" si="0"/>
        <v>0</v>
      </c>
      <c r="R53" s="88">
        <f t="shared" si="1"/>
        <v>0</v>
      </c>
      <c r="S53" s="88">
        <f t="shared" si="2"/>
        <v>0</v>
      </c>
      <c r="T53" s="89">
        <f t="shared" si="3"/>
        <v>0</v>
      </c>
      <c r="U53" s="80" t="str">
        <f t="shared" si="4"/>
        <v/>
      </c>
      <c r="V53" s="81" t="str">
        <f>IF(OR($AM53="",ISNUMBER($AM53)=FALSE),"",IF(AND(#REF!="Tolerance",$E53&lt;&gt;""),($S53-$E53)/(($J53-$K53)/2),IF(AND(#REF!="GD&amp;T",$F53&lt;&gt;""),$S53/$F53,"")))</f>
        <v/>
      </c>
      <c r="W53" s="81" t="str">
        <f t="shared" si="10"/>
        <v/>
      </c>
      <c r="X53" s="80" t="str">
        <f t="shared" si="5"/>
        <v/>
      </c>
      <c r="Y53" s="80" t="str">
        <f t="shared" si="6"/>
        <v/>
      </c>
      <c r="Z53" s="80" t="str">
        <f t="shared" si="7"/>
        <v/>
      </c>
      <c r="AA53" s="70" t="str">
        <f t="shared" si="8"/>
        <v/>
      </c>
      <c r="AB53" s="71" t="e">
        <f>IF($S53="","",IF(#REF!="Tolerance",IF((#REF!*3*T53+S53)-E53&lt;F53,"",(#REF!*3*T53+S53)-E53),IF(OR(#REF!="GD&amp;T",#REF!="MAX"),IF((#REF!*3*T53+S53)&lt;F53,"",(#REF!*3*T53+S53)),"")))</f>
        <v>#REF!</v>
      </c>
      <c r="AC53" s="71" t="e">
        <f>IF(S53="","",IF(#REF!="Tolerance",IF(-((#REF!*3*T53)-S53)-E53&gt;G53,"",-((#REF!*3*T53)-S53)-E53),IF(#REF!="MIN",IF(-((#REF!*3*T53)-S53)&gt;G53,"",-((#REF!*3*T53)-S53)),"")))</f>
        <v>#REF!</v>
      </c>
      <c r="AD53" s="71">
        <f t="shared" si="11"/>
        <v>18.323</v>
      </c>
      <c r="AE53" s="71" t="str">
        <f t="shared" si="9"/>
        <v/>
      </c>
      <c r="AF53" s="82"/>
      <c r="AG53" s="83" t="str">
        <f t="shared" si="12"/>
        <v/>
      </c>
      <c r="AH53" s="125"/>
      <c r="AI53" s="72"/>
      <c r="AJ53" s="72"/>
      <c r="AK53" s="73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0"/>
      <c r="BI53" s="110"/>
      <c r="BJ53" s="110"/>
      <c r="BK53" s="110"/>
      <c r="BL53" s="110"/>
      <c r="BM53" s="110"/>
      <c r="BN53" s="110"/>
      <c r="BO53" s="110"/>
      <c r="BP53" s="110"/>
      <c r="BQ53" s="110"/>
      <c r="BR53" s="110"/>
    </row>
    <row r="54" spans="2:70" ht="19.149999999999999" customHeight="1">
      <c r="B54" s="66" t="s">
        <v>236</v>
      </c>
      <c r="C54" s="75" t="s">
        <v>143</v>
      </c>
      <c r="D54" s="85" t="s">
        <v>45</v>
      </c>
      <c r="E54" s="86">
        <v>18.323</v>
      </c>
      <c r="F54" s="87">
        <v>3.5000000000000003E-2</v>
      </c>
      <c r="G54" s="87">
        <v>-3.5000000000000003E-2</v>
      </c>
      <c r="H54" s="79" t="s">
        <v>46</v>
      </c>
      <c r="I54" s="67"/>
      <c r="J54" s="68">
        <v>18.358000000000001</v>
      </c>
      <c r="K54" s="68">
        <v>18.288</v>
      </c>
      <c r="L54" s="68">
        <v>18.35275</v>
      </c>
      <c r="M54" s="68">
        <v>18.29325</v>
      </c>
      <c r="N54" s="116"/>
      <c r="O54" s="116"/>
      <c r="P54" s="69"/>
      <c r="Q54" s="88">
        <f t="shared" si="0"/>
        <v>0</v>
      </c>
      <c r="R54" s="88">
        <f t="shared" si="1"/>
        <v>0</v>
      </c>
      <c r="S54" s="88">
        <f t="shared" si="2"/>
        <v>0</v>
      </c>
      <c r="T54" s="89">
        <f t="shared" si="3"/>
        <v>0</v>
      </c>
      <c r="U54" s="80" t="str">
        <f t="shared" si="4"/>
        <v/>
      </c>
      <c r="V54" s="81" t="str">
        <f>IF(OR($AM54="",ISNUMBER($AM54)=FALSE),"",IF(AND(#REF!="Tolerance",$E54&lt;&gt;""),($S54-$E54)/(($J54-$K54)/2),IF(AND(#REF!="GD&amp;T",$F54&lt;&gt;""),$S54/$F54,"")))</f>
        <v/>
      </c>
      <c r="W54" s="81" t="str">
        <f t="shared" si="10"/>
        <v/>
      </c>
      <c r="X54" s="80" t="str">
        <f t="shared" si="5"/>
        <v/>
      </c>
      <c r="Y54" s="80" t="str">
        <f t="shared" si="6"/>
        <v/>
      </c>
      <c r="Z54" s="80" t="str">
        <f t="shared" si="7"/>
        <v/>
      </c>
      <c r="AA54" s="70" t="str">
        <f t="shared" si="8"/>
        <v/>
      </c>
      <c r="AB54" s="71" t="e">
        <f>IF($S54="","",IF(#REF!="Tolerance",IF((#REF!*3*T54+S54)-E54&lt;F54,"",(#REF!*3*T54+S54)-E54),IF(OR(#REF!="GD&amp;T",#REF!="MAX"),IF((#REF!*3*T54+S54)&lt;F54,"",(#REF!*3*T54+S54)),"")))</f>
        <v>#REF!</v>
      </c>
      <c r="AC54" s="71" t="e">
        <f>IF(S54="","",IF(#REF!="Tolerance",IF(-((#REF!*3*T54)-S54)-E54&gt;G54,"",-((#REF!*3*T54)-S54)-E54),IF(#REF!="MIN",IF(-((#REF!*3*T54)-S54)&gt;G54,"",-((#REF!*3*T54)-S54)),"")))</f>
        <v>#REF!</v>
      </c>
      <c r="AD54" s="71">
        <f t="shared" si="11"/>
        <v>18.323</v>
      </c>
      <c r="AE54" s="71" t="str">
        <f t="shared" si="9"/>
        <v/>
      </c>
      <c r="AF54" s="82"/>
      <c r="AG54" s="83" t="str">
        <f t="shared" si="12"/>
        <v/>
      </c>
      <c r="AH54" s="125"/>
      <c r="AI54" s="72"/>
      <c r="AJ54" s="72"/>
      <c r="AK54" s="73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</row>
    <row r="55" spans="2:70" ht="19.149999999999999" customHeight="1">
      <c r="B55" s="66" t="s">
        <v>94</v>
      </c>
      <c r="C55" s="75" t="s">
        <v>144</v>
      </c>
      <c r="D55" s="85" t="s">
        <v>45</v>
      </c>
      <c r="E55" s="86">
        <v>1.5249999999999999</v>
      </c>
      <c r="F55" s="87">
        <v>0.03</v>
      </c>
      <c r="G55" s="87">
        <v>-0.03</v>
      </c>
      <c r="H55" s="79" t="s">
        <v>46</v>
      </c>
      <c r="I55" s="67"/>
      <c r="J55" s="68">
        <v>1.5549999999999999</v>
      </c>
      <c r="K55" s="68">
        <v>1.4949999999999999</v>
      </c>
      <c r="L55" s="68">
        <v>1.5505</v>
      </c>
      <c r="M55" s="68">
        <v>1.4994999999999998</v>
      </c>
      <c r="N55" s="116"/>
      <c r="O55" s="116"/>
      <c r="P55" s="69"/>
      <c r="Q55" s="88">
        <f t="shared" si="0"/>
        <v>0</v>
      </c>
      <c r="R55" s="88">
        <f t="shared" si="1"/>
        <v>0</v>
      </c>
      <c r="S55" s="88">
        <f t="shared" si="2"/>
        <v>0</v>
      </c>
      <c r="T55" s="89">
        <f t="shared" si="3"/>
        <v>0</v>
      </c>
      <c r="U55" s="80" t="str">
        <f t="shared" si="4"/>
        <v/>
      </c>
      <c r="V55" s="81" t="str">
        <f>IF(OR($AM55="",ISNUMBER($AM55)=FALSE),"",IF(AND(#REF!="Tolerance",$E55&lt;&gt;""),($S55-$E55)/(($J55-$K55)/2),IF(AND(#REF!="GD&amp;T",$F55&lt;&gt;""),$S55/$F55,"")))</f>
        <v/>
      </c>
      <c r="W55" s="81" t="str">
        <f t="shared" si="10"/>
        <v/>
      </c>
      <c r="X55" s="80" t="str">
        <f t="shared" si="5"/>
        <v/>
      </c>
      <c r="Y55" s="80" t="str">
        <f t="shared" si="6"/>
        <v/>
      </c>
      <c r="Z55" s="80" t="str">
        <f t="shared" si="7"/>
        <v/>
      </c>
      <c r="AA55" s="70" t="str">
        <f t="shared" si="8"/>
        <v/>
      </c>
      <c r="AB55" s="71" t="e">
        <f>IF($S55="","",IF(#REF!="Tolerance",IF((#REF!*3*T55+S55)-E55&lt;F55,"",(#REF!*3*T55+S55)-E55),IF(OR(#REF!="GD&amp;T",#REF!="MAX"),IF((#REF!*3*T55+S55)&lt;F55,"",(#REF!*3*T55+S55)),"")))</f>
        <v>#REF!</v>
      </c>
      <c r="AC55" s="71" t="e">
        <f>IF(S55="","",IF(#REF!="Tolerance",IF(-((#REF!*3*T55)-S55)-E55&gt;G55,"",-((#REF!*3*T55)-S55)-E55),IF(#REF!="MIN",IF(-((#REF!*3*T55)-S55)&gt;G55,"",-((#REF!*3*T55)-S55)),"")))</f>
        <v>#REF!</v>
      </c>
      <c r="AD55" s="71">
        <f t="shared" si="11"/>
        <v>1.5249999999999999</v>
      </c>
      <c r="AE55" s="71" t="str">
        <f t="shared" si="9"/>
        <v/>
      </c>
      <c r="AF55" s="82"/>
      <c r="AG55" s="83" t="str">
        <f t="shared" si="12"/>
        <v/>
      </c>
      <c r="AH55" s="125"/>
      <c r="AI55" s="72"/>
      <c r="AJ55" s="72"/>
      <c r="AK55" s="73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  <c r="BQ55" s="110"/>
      <c r="BR55" s="110"/>
    </row>
    <row r="56" spans="2:70" ht="19.149999999999999" customHeight="1">
      <c r="B56" s="66" t="s">
        <v>94</v>
      </c>
      <c r="C56" s="75" t="s">
        <v>145</v>
      </c>
      <c r="D56" s="85" t="s">
        <v>45</v>
      </c>
      <c r="E56" s="86">
        <v>1.5249999999999999</v>
      </c>
      <c r="F56" s="87">
        <v>0.03</v>
      </c>
      <c r="G56" s="87">
        <v>-0.03</v>
      </c>
      <c r="H56" s="79" t="s">
        <v>46</v>
      </c>
      <c r="I56" s="67"/>
      <c r="J56" s="68">
        <v>1.5549999999999999</v>
      </c>
      <c r="K56" s="68">
        <v>1.4949999999999999</v>
      </c>
      <c r="L56" s="68">
        <v>1.5505</v>
      </c>
      <c r="M56" s="68">
        <v>1.4994999999999998</v>
      </c>
      <c r="N56" s="116"/>
      <c r="O56" s="116"/>
      <c r="P56" s="69"/>
      <c r="Q56" s="88">
        <f t="shared" si="0"/>
        <v>0</v>
      </c>
      <c r="R56" s="88">
        <f t="shared" si="1"/>
        <v>0</v>
      </c>
      <c r="S56" s="88">
        <f t="shared" si="2"/>
        <v>0</v>
      </c>
      <c r="T56" s="89">
        <f t="shared" si="3"/>
        <v>0</v>
      </c>
      <c r="U56" s="80" t="str">
        <f t="shared" si="4"/>
        <v/>
      </c>
      <c r="V56" s="81" t="str">
        <f>IF(OR($AM56="",ISNUMBER($AM56)=FALSE),"",IF(AND(#REF!="Tolerance",$E56&lt;&gt;""),($S56-$E56)/(($J56-$K56)/2),IF(AND(#REF!="GD&amp;T",$F56&lt;&gt;""),$S56/$F56,"")))</f>
        <v/>
      </c>
      <c r="W56" s="81" t="str">
        <f t="shared" si="10"/>
        <v/>
      </c>
      <c r="X56" s="80" t="str">
        <f t="shared" si="5"/>
        <v/>
      </c>
      <c r="Y56" s="80" t="str">
        <f t="shared" si="6"/>
        <v/>
      </c>
      <c r="Z56" s="80" t="str">
        <f t="shared" si="7"/>
        <v/>
      </c>
      <c r="AA56" s="70" t="str">
        <f t="shared" si="8"/>
        <v/>
      </c>
      <c r="AB56" s="71" t="e">
        <f>IF($S56="","",IF(#REF!="Tolerance",IF((#REF!*3*T56+S56)-E56&lt;F56,"",(#REF!*3*T56+S56)-E56),IF(OR(#REF!="GD&amp;T",#REF!="MAX"),IF((#REF!*3*T56+S56)&lt;F56,"",(#REF!*3*T56+S56)),"")))</f>
        <v>#REF!</v>
      </c>
      <c r="AC56" s="71" t="e">
        <f>IF(S56="","",IF(#REF!="Tolerance",IF(-((#REF!*3*T56)-S56)-E56&gt;G56,"",-((#REF!*3*T56)-S56)-E56),IF(#REF!="MIN",IF(-((#REF!*3*T56)-S56)&gt;G56,"",-((#REF!*3*T56)-S56)),"")))</f>
        <v>#REF!</v>
      </c>
      <c r="AD56" s="71">
        <f t="shared" si="11"/>
        <v>1.5249999999999999</v>
      </c>
      <c r="AE56" s="71" t="str">
        <f t="shared" si="9"/>
        <v/>
      </c>
      <c r="AF56" s="82"/>
      <c r="AG56" s="83" t="str">
        <f t="shared" si="12"/>
        <v/>
      </c>
      <c r="AH56" s="125"/>
      <c r="AI56" s="72"/>
      <c r="AJ56" s="72"/>
      <c r="AK56" s="73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  <c r="BQ56" s="110"/>
      <c r="BR56" s="110"/>
    </row>
    <row r="57" spans="2:70" ht="19.149999999999999" customHeight="1">
      <c r="B57" s="66" t="s">
        <v>94</v>
      </c>
      <c r="C57" s="75" t="s">
        <v>146</v>
      </c>
      <c r="D57" s="85" t="s">
        <v>45</v>
      </c>
      <c r="E57" s="86">
        <v>1.5249999999999999</v>
      </c>
      <c r="F57" s="87">
        <v>0.03</v>
      </c>
      <c r="G57" s="87">
        <v>-0.03</v>
      </c>
      <c r="H57" s="79" t="s">
        <v>46</v>
      </c>
      <c r="I57" s="67"/>
      <c r="J57" s="68">
        <v>1.5549999999999999</v>
      </c>
      <c r="K57" s="68">
        <v>1.4949999999999999</v>
      </c>
      <c r="L57" s="68">
        <v>1.5505</v>
      </c>
      <c r="M57" s="68">
        <v>1.4994999999999998</v>
      </c>
      <c r="N57" s="116"/>
      <c r="O57" s="116"/>
      <c r="P57" s="69"/>
      <c r="Q57" s="88">
        <f t="shared" si="0"/>
        <v>0</v>
      </c>
      <c r="R57" s="88">
        <f t="shared" si="1"/>
        <v>0</v>
      </c>
      <c r="S57" s="88">
        <f t="shared" si="2"/>
        <v>0</v>
      </c>
      <c r="T57" s="89">
        <f t="shared" si="3"/>
        <v>0</v>
      </c>
      <c r="U57" s="80" t="str">
        <f t="shared" si="4"/>
        <v/>
      </c>
      <c r="V57" s="81" t="str">
        <f>IF(OR($AM57="",ISNUMBER($AM57)=FALSE),"",IF(AND(#REF!="Tolerance",$E57&lt;&gt;""),($S57-$E57)/(($J57-$K57)/2),IF(AND(#REF!="GD&amp;T",$F57&lt;&gt;""),$S57/$F57,"")))</f>
        <v/>
      </c>
      <c r="W57" s="81" t="str">
        <f t="shared" si="10"/>
        <v/>
      </c>
      <c r="X57" s="80" t="str">
        <f t="shared" si="5"/>
        <v/>
      </c>
      <c r="Y57" s="80" t="str">
        <f t="shared" si="6"/>
        <v/>
      </c>
      <c r="Z57" s="80" t="str">
        <f t="shared" si="7"/>
        <v/>
      </c>
      <c r="AA57" s="70" t="str">
        <f t="shared" si="8"/>
        <v/>
      </c>
      <c r="AB57" s="71" t="e">
        <f>IF($S57="","",IF(#REF!="Tolerance",IF((#REF!*3*T57+S57)-E57&lt;F57,"",(#REF!*3*T57+S57)-E57),IF(OR(#REF!="GD&amp;T",#REF!="MAX"),IF((#REF!*3*T57+S57)&lt;F57,"",(#REF!*3*T57+S57)),"")))</f>
        <v>#REF!</v>
      </c>
      <c r="AC57" s="71" t="e">
        <f>IF(S57="","",IF(#REF!="Tolerance",IF(-((#REF!*3*T57)-S57)-E57&gt;G57,"",-((#REF!*3*T57)-S57)-E57),IF(#REF!="MIN",IF(-((#REF!*3*T57)-S57)&gt;G57,"",-((#REF!*3*T57)-S57)),"")))</f>
        <v>#REF!</v>
      </c>
      <c r="AD57" s="71">
        <f t="shared" si="11"/>
        <v>1.5249999999999999</v>
      </c>
      <c r="AE57" s="71" t="str">
        <f t="shared" si="9"/>
        <v/>
      </c>
      <c r="AF57" s="82"/>
      <c r="AG57" s="83" t="str">
        <f t="shared" si="12"/>
        <v/>
      </c>
      <c r="AH57" s="125"/>
      <c r="AI57" s="72"/>
      <c r="AJ57" s="72"/>
      <c r="AK57" s="73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</row>
    <row r="58" spans="2:70" ht="19.149999999999999" customHeight="1">
      <c r="B58" s="66" t="s">
        <v>94</v>
      </c>
      <c r="C58" s="75" t="s">
        <v>147</v>
      </c>
      <c r="D58" s="85" t="s">
        <v>45</v>
      </c>
      <c r="E58" s="86">
        <v>1.5249999999999999</v>
      </c>
      <c r="F58" s="87">
        <v>0.03</v>
      </c>
      <c r="G58" s="87">
        <v>-0.03</v>
      </c>
      <c r="H58" s="79" t="s">
        <v>46</v>
      </c>
      <c r="I58" s="67"/>
      <c r="J58" s="68">
        <v>1.5549999999999999</v>
      </c>
      <c r="K58" s="68">
        <v>1.4949999999999999</v>
      </c>
      <c r="L58" s="68">
        <v>1.5505</v>
      </c>
      <c r="M58" s="68">
        <v>1.4994999999999998</v>
      </c>
      <c r="N58" s="116"/>
      <c r="O58" s="116"/>
      <c r="P58" s="69"/>
      <c r="Q58" s="88">
        <f t="shared" si="0"/>
        <v>0</v>
      </c>
      <c r="R58" s="88">
        <f t="shared" si="1"/>
        <v>0</v>
      </c>
      <c r="S58" s="88">
        <f t="shared" si="2"/>
        <v>0</v>
      </c>
      <c r="T58" s="89">
        <f t="shared" si="3"/>
        <v>0</v>
      </c>
      <c r="U58" s="80" t="str">
        <f t="shared" si="4"/>
        <v/>
      </c>
      <c r="V58" s="81" t="str">
        <f>IF(OR($AM58="",ISNUMBER($AM58)=FALSE),"",IF(AND(#REF!="Tolerance",$E58&lt;&gt;""),($S58-$E58)/(($J58-$K58)/2),IF(AND(#REF!="GD&amp;T",$F58&lt;&gt;""),$S58/$F58,"")))</f>
        <v/>
      </c>
      <c r="W58" s="81" t="str">
        <f t="shared" si="10"/>
        <v/>
      </c>
      <c r="X58" s="80" t="str">
        <f t="shared" si="5"/>
        <v/>
      </c>
      <c r="Y58" s="80" t="str">
        <f t="shared" si="6"/>
        <v/>
      </c>
      <c r="Z58" s="80" t="str">
        <f t="shared" si="7"/>
        <v/>
      </c>
      <c r="AA58" s="70" t="str">
        <f t="shared" si="8"/>
        <v/>
      </c>
      <c r="AB58" s="71" t="e">
        <f>IF($S58="","",IF(#REF!="Tolerance",IF((#REF!*3*T58+S58)-E58&lt;F58,"",(#REF!*3*T58+S58)-E58),IF(OR(#REF!="GD&amp;T",#REF!="MAX"),IF((#REF!*3*T58+S58)&lt;F58,"",(#REF!*3*T58+S58)),"")))</f>
        <v>#REF!</v>
      </c>
      <c r="AC58" s="71" t="e">
        <f>IF(S58="","",IF(#REF!="Tolerance",IF(-((#REF!*3*T58)-S58)-E58&gt;G58,"",-((#REF!*3*T58)-S58)-E58),IF(#REF!="MIN",IF(-((#REF!*3*T58)-S58)&gt;G58,"",-((#REF!*3*T58)-S58)),"")))</f>
        <v>#REF!</v>
      </c>
      <c r="AD58" s="71">
        <f t="shared" si="11"/>
        <v>1.5249999999999999</v>
      </c>
      <c r="AE58" s="71" t="str">
        <f t="shared" si="9"/>
        <v/>
      </c>
      <c r="AF58" s="82"/>
      <c r="AG58" s="83" t="str">
        <f t="shared" si="12"/>
        <v/>
      </c>
      <c r="AH58" s="125"/>
      <c r="AI58" s="72"/>
      <c r="AJ58" s="72"/>
      <c r="AK58" s="73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</row>
    <row r="59" spans="2:70" ht="19.149999999999999" customHeight="1">
      <c r="B59" s="66" t="s">
        <v>90</v>
      </c>
      <c r="C59" s="75" t="s">
        <v>148</v>
      </c>
      <c r="D59" s="85" t="s">
        <v>45</v>
      </c>
      <c r="E59" s="86">
        <v>0.72499999999999998</v>
      </c>
      <c r="F59" s="87">
        <v>0.03</v>
      </c>
      <c r="G59" s="87">
        <v>-0.03</v>
      </c>
      <c r="H59" s="79" t="s">
        <v>46</v>
      </c>
      <c r="I59" s="67"/>
      <c r="J59" s="68">
        <v>0.755</v>
      </c>
      <c r="K59" s="68">
        <v>0.69499999999999995</v>
      </c>
      <c r="L59" s="68">
        <v>0.755</v>
      </c>
      <c r="M59" s="68">
        <v>0.69499999999999995</v>
      </c>
      <c r="N59" s="116"/>
      <c r="O59" s="116"/>
      <c r="P59" s="69"/>
      <c r="Q59" s="88">
        <f t="shared" si="0"/>
        <v>0</v>
      </c>
      <c r="R59" s="88">
        <f t="shared" si="1"/>
        <v>0</v>
      </c>
      <c r="S59" s="88">
        <f t="shared" si="2"/>
        <v>0</v>
      </c>
      <c r="T59" s="89">
        <f>IF(OR($AM59=ISBLANK(TRUE),ISNUMBER($AM59)=FALSE),,STDEV(AM59:BR59))</f>
        <v>0</v>
      </c>
      <c r="U59" s="80" t="str">
        <f t="shared" si="4"/>
        <v/>
      </c>
      <c r="V59" s="81" t="str">
        <f>IF(OR($AM59="",ISNUMBER($AM59)=FALSE),"",IF(AND(#REF!="Tolerance",$E59&lt;&gt;""),($S59-$E59)/(($J59-$K59)/2),IF(AND(#REF!="GD&amp;T",$F59&lt;&gt;""),$S59/$F59,"")))</f>
        <v/>
      </c>
      <c r="W59" s="81" t="str">
        <f t="shared" si="10"/>
        <v/>
      </c>
      <c r="X59" s="80" t="str">
        <f t="shared" si="5"/>
        <v/>
      </c>
      <c r="Y59" s="80" t="str">
        <f t="shared" si="6"/>
        <v/>
      </c>
      <c r="Z59" s="80" t="str">
        <f t="shared" si="7"/>
        <v/>
      </c>
      <c r="AA59" s="70" t="str">
        <f t="shared" si="8"/>
        <v/>
      </c>
      <c r="AB59" s="71" t="e">
        <f>IF($S59="","",IF(#REF!="Tolerance",IF((#REF!*3*T59+S59)-E59&lt;F59,"",(#REF!*3*T59+S59)-E59),IF(OR(#REF!="GD&amp;T",#REF!="MAX"),IF((#REF!*3*T59+S59)&lt;F59,"",(#REF!*3*T59+S59)),"")))</f>
        <v>#REF!</v>
      </c>
      <c r="AC59" s="71" t="e">
        <f>IF(S59="","",IF(#REF!="Tolerance",IF(-((#REF!*3*T59)-S59)-E59&gt;G59,"",-((#REF!*3*T59)-S59)-E59),IF(#REF!="MIN",IF(-((#REF!*3*T59)-S59)&gt;G59,"",-((#REF!*3*T59)-S59)),"")))</f>
        <v>#REF!</v>
      </c>
      <c r="AD59" s="71">
        <f t="shared" si="11"/>
        <v>0.72499999999999998</v>
      </c>
      <c r="AE59" s="71" t="str">
        <f t="shared" si="9"/>
        <v/>
      </c>
      <c r="AF59" s="82"/>
      <c r="AG59" s="83" t="str">
        <f t="shared" si="12"/>
        <v/>
      </c>
      <c r="AH59" s="125"/>
      <c r="AI59" s="72"/>
      <c r="AJ59" s="72"/>
      <c r="AK59" s="73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</row>
    <row r="60" spans="2:70" ht="19.149999999999999" customHeight="1">
      <c r="B60" s="66" t="s">
        <v>90</v>
      </c>
      <c r="C60" s="75" t="s">
        <v>149</v>
      </c>
      <c r="D60" s="85" t="s">
        <v>45</v>
      </c>
      <c r="E60" s="86">
        <v>0.72499999999999998</v>
      </c>
      <c r="F60" s="87">
        <v>0.03</v>
      </c>
      <c r="G60" s="87">
        <v>-0.03</v>
      </c>
      <c r="H60" s="79" t="s">
        <v>46</v>
      </c>
      <c r="I60" s="67"/>
      <c r="J60" s="68">
        <v>0.755</v>
      </c>
      <c r="K60" s="68">
        <v>0.69499999999999995</v>
      </c>
      <c r="L60" s="68">
        <v>0.755</v>
      </c>
      <c r="M60" s="68">
        <v>0.69499999999999995</v>
      </c>
      <c r="N60" s="116"/>
      <c r="O60" s="116"/>
      <c r="P60" s="69"/>
      <c r="Q60" s="88">
        <f t="shared" si="0"/>
        <v>0</v>
      </c>
      <c r="R60" s="88">
        <f t="shared" si="1"/>
        <v>0</v>
      </c>
      <c r="S60" s="88">
        <f t="shared" si="2"/>
        <v>0</v>
      </c>
      <c r="T60" s="89">
        <f t="shared" ref="T60:T84" si="24">IF(OR($AM60=ISBLANK(TRUE),ISNUMBER($AM60)=FALSE),,STDEV(AM60:BR60))</f>
        <v>0</v>
      </c>
      <c r="U60" s="80" t="str">
        <f t="shared" si="4"/>
        <v/>
      </c>
      <c r="V60" s="81" t="str">
        <f>IF(OR($AM60="",ISNUMBER($AM60)=FALSE),"",IF(AND(#REF!="Tolerance",$E60&lt;&gt;""),($S60-$E60)/(($J60-$K60)/2),IF(AND(#REF!="GD&amp;T",$F60&lt;&gt;""),$S60/$F60,"")))</f>
        <v/>
      </c>
      <c r="W60" s="81" t="str">
        <f t="shared" si="10"/>
        <v/>
      </c>
      <c r="X60" s="80" t="str">
        <f t="shared" si="5"/>
        <v/>
      </c>
      <c r="Y60" s="80" t="str">
        <f t="shared" si="6"/>
        <v/>
      </c>
      <c r="Z60" s="80" t="str">
        <f t="shared" si="7"/>
        <v/>
      </c>
      <c r="AA60" s="70" t="str">
        <f t="shared" si="8"/>
        <v/>
      </c>
      <c r="AB60" s="71" t="e">
        <f>IF($S60="","",IF(#REF!="Tolerance",IF((#REF!*3*T60+S60)-E60&lt;F60,"",(#REF!*3*T60+S60)-E60),IF(OR(#REF!="GD&amp;T",#REF!="MAX"),IF((#REF!*3*T60+S60)&lt;F60,"",(#REF!*3*T60+S60)),"")))</f>
        <v>#REF!</v>
      </c>
      <c r="AC60" s="71" t="e">
        <f>IF(S60="","",IF(#REF!="Tolerance",IF(-((#REF!*3*T60)-S60)-E60&gt;G60,"",-((#REF!*3*T60)-S60)-E60),IF(#REF!="MIN",IF(-((#REF!*3*T60)-S60)&gt;G60,"",-((#REF!*3*T60)-S60)),"")))</f>
        <v>#REF!</v>
      </c>
      <c r="AD60" s="71">
        <f t="shared" si="11"/>
        <v>0.72499999999999998</v>
      </c>
      <c r="AE60" s="71" t="str">
        <f t="shared" si="9"/>
        <v/>
      </c>
      <c r="AF60" s="82"/>
      <c r="AG60" s="83" t="str">
        <f t="shared" si="12"/>
        <v/>
      </c>
      <c r="AH60" s="125"/>
      <c r="AI60" s="72"/>
      <c r="AJ60" s="72"/>
      <c r="AK60" s="73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</row>
    <row r="61" spans="2:70" ht="19.149999999999999" customHeight="1">
      <c r="B61" s="66" t="s">
        <v>90</v>
      </c>
      <c r="C61" s="75" t="s">
        <v>150</v>
      </c>
      <c r="D61" s="85" t="s">
        <v>45</v>
      </c>
      <c r="E61" s="86">
        <v>0.72499999999999998</v>
      </c>
      <c r="F61" s="87">
        <v>0.03</v>
      </c>
      <c r="G61" s="87">
        <v>-0.03</v>
      </c>
      <c r="H61" s="79" t="s">
        <v>46</v>
      </c>
      <c r="I61" s="67"/>
      <c r="J61" s="68">
        <v>0.755</v>
      </c>
      <c r="K61" s="68">
        <v>0.69499999999999995</v>
      </c>
      <c r="L61" s="68">
        <v>0.755</v>
      </c>
      <c r="M61" s="68">
        <v>0.69499999999999995</v>
      </c>
      <c r="N61" s="116"/>
      <c r="O61" s="116"/>
      <c r="P61" s="69"/>
      <c r="Q61" s="88">
        <f t="shared" si="0"/>
        <v>0</v>
      </c>
      <c r="R61" s="88">
        <f t="shared" si="1"/>
        <v>0</v>
      </c>
      <c r="S61" s="88">
        <f t="shared" si="2"/>
        <v>0</v>
      </c>
      <c r="T61" s="89">
        <f t="shared" si="24"/>
        <v>0</v>
      </c>
      <c r="U61" s="80" t="str">
        <f t="shared" si="4"/>
        <v/>
      </c>
      <c r="V61" s="81" t="str">
        <f>IF(OR($AM61="",ISNUMBER($AM61)=FALSE),"",IF(AND(#REF!="Tolerance",$E61&lt;&gt;""),($S61-$E61)/(($J61-$K61)/2),IF(AND(#REF!="GD&amp;T",$F61&lt;&gt;""),$S61/$F61,"")))</f>
        <v/>
      </c>
      <c r="W61" s="81" t="str">
        <f t="shared" si="10"/>
        <v/>
      </c>
      <c r="X61" s="80" t="str">
        <f t="shared" si="5"/>
        <v/>
      </c>
      <c r="Y61" s="80" t="str">
        <f t="shared" si="6"/>
        <v/>
      </c>
      <c r="Z61" s="80" t="str">
        <f t="shared" si="7"/>
        <v/>
      </c>
      <c r="AA61" s="70" t="str">
        <f t="shared" si="8"/>
        <v/>
      </c>
      <c r="AB61" s="71" t="e">
        <f>IF($S61="","",IF(#REF!="Tolerance",IF((#REF!*3*T61+S61)-E61&lt;F61,"",(#REF!*3*T61+S61)-E61),IF(OR(#REF!="GD&amp;T",#REF!="MAX"),IF((#REF!*3*T61+S61)&lt;F61,"",(#REF!*3*T61+S61)),"")))</f>
        <v>#REF!</v>
      </c>
      <c r="AC61" s="71" t="e">
        <f>IF(S61="","",IF(#REF!="Tolerance",IF(-((#REF!*3*T61)-S61)-E61&gt;G61,"",-((#REF!*3*T61)-S61)-E61),IF(#REF!="MIN",IF(-((#REF!*3*T61)-S61)&gt;G61,"",-((#REF!*3*T61)-S61)),"")))</f>
        <v>#REF!</v>
      </c>
      <c r="AD61" s="71">
        <f t="shared" si="11"/>
        <v>0.72499999999999998</v>
      </c>
      <c r="AE61" s="71" t="str">
        <f t="shared" si="9"/>
        <v/>
      </c>
      <c r="AF61" s="82"/>
      <c r="AG61" s="83" t="str">
        <f t="shared" si="12"/>
        <v/>
      </c>
      <c r="AH61" s="125"/>
      <c r="AI61" s="72"/>
      <c r="AJ61" s="72"/>
      <c r="AK61" s="73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</row>
    <row r="62" spans="2:70" ht="19.149999999999999" customHeight="1">
      <c r="B62" s="66" t="s">
        <v>95</v>
      </c>
      <c r="C62" s="75" t="s">
        <v>151</v>
      </c>
      <c r="D62" s="85" t="s">
        <v>45</v>
      </c>
      <c r="E62" s="86">
        <v>0.93899999999999995</v>
      </c>
      <c r="F62" s="87">
        <v>0.03</v>
      </c>
      <c r="G62" s="87">
        <v>-0.02</v>
      </c>
      <c r="H62" s="79" t="s">
        <v>231</v>
      </c>
      <c r="I62" s="67"/>
      <c r="J62" s="68">
        <v>0.96899999999999997</v>
      </c>
      <c r="K62" s="68">
        <v>0.91899999999999993</v>
      </c>
      <c r="L62" s="68">
        <v>0.96449999999999991</v>
      </c>
      <c r="M62" s="68">
        <v>0.92199999999999993</v>
      </c>
      <c r="N62" s="116">
        <v>0.96149999999999991</v>
      </c>
      <c r="O62" s="116">
        <v>0.92399999999999993</v>
      </c>
      <c r="P62" s="69"/>
      <c r="Q62" s="88">
        <f t="shared" si="0"/>
        <v>0</v>
      </c>
      <c r="R62" s="88">
        <f t="shared" si="1"/>
        <v>0</v>
      </c>
      <c r="S62" s="88">
        <f t="shared" si="2"/>
        <v>0</v>
      </c>
      <c r="T62" s="89">
        <f t="shared" si="24"/>
        <v>0</v>
      </c>
      <c r="U62" s="80" t="str">
        <f t="shared" si="4"/>
        <v/>
      </c>
      <c r="V62" s="81" t="str">
        <f>IF(OR($AM62="",ISNUMBER($AM62)=FALSE),"",IF(AND(#REF!="Tolerance",$E62&lt;&gt;""),($S62-$E62)/(($J62-$K62)/2),IF(AND(#REF!="GD&amp;T",$F62&lt;&gt;""),$S62/$F62,"")))</f>
        <v/>
      </c>
      <c r="W62" s="81" t="str">
        <f t="shared" si="10"/>
        <v/>
      </c>
      <c r="X62" s="80" t="str">
        <f t="shared" si="5"/>
        <v/>
      </c>
      <c r="Y62" s="80" t="str">
        <f t="shared" si="6"/>
        <v/>
      </c>
      <c r="Z62" s="80" t="str">
        <f t="shared" si="7"/>
        <v/>
      </c>
      <c r="AA62" s="70" t="str">
        <f t="shared" si="8"/>
        <v/>
      </c>
      <c r="AB62" s="71" t="e">
        <f>IF($S62="","",IF(#REF!="Tolerance",IF((#REF!*3*T62+S62)-E62&lt;F62,"",(#REF!*3*T62+S62)-E62),IF(OR(#REF!="GD&amp;T",#REF!="MAX"),IF((#REF!*3*T62+S62)&lt;F62,"",(#REF!*3*T62+S62)),"")))</f>
        <v>#REF!</v>
      </c>
      <c r="AC62" s="71" t="e">
        <f>IF(S62="","",IF(#REF!="Tolerance",IF(-((#REF!*3*T62)-S62)-E62&gt;G62,"",-((#REF!*3*T62)-S62)-E62),IF(#REF!="MIN",IF(-((#REF!*3*T62)-S62)&gt;G62,"",-((#REF!*3*T62)-S62)),"")))</f>
        <v>#REF!</v>
      </c>
      <c r="AD62" s="71">
        <f t="shared" si="11"/>
        <v>0.94399999999999995</v>
      </c>
      <c r="AE62" s="71" t="str">
        <f t="shared" si="9"/>
        <v/>
      </c>
      <c r="AF62" s="82"/>
      <c r="AG62" s="83" t="str">
        <f t="shared" si="12"/>
        <v/>
      </c>
      <c r="AH62" s="125"/>
      <c r="AI62" s="72"/>
      <c r="AJ62" s="72"/>
      <c r="AK62" s="73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110"/>
      <c r="BQ62" s="110"/>
      <c r="BR62" s="110"/>
    </row>
    <row r="63" spans="2:70" ht="19.149999999999999" customHeight="1">
      <c r="B63" s="66" t="s">
        <v>95</v>
      </c>
      <c r="C63" s="75" t="s">
        <v>152</v>
      </c>
      <c r="D63" s="85" t="s">
        <v>45</v>
      </c>
      <c r="E63" s="86">
        <v>0.93899999999999995</v>
      </c>
      <c r="F63" s="87">
        <v>0.03</v>
      </c>
      <c r="G63" s="87">
        <v>-0.02</v>
      </c>
      <c r="H63" s="79" t="s">
        <v>231</v>
      </c>
      <c r="I63" s="67"/>
      <c r="J63" s="68">
        <v>0.96899999999999997</v>
      </c>
      <c r="K63" s="68">
        <v>0.91899999999999993</v>
      </c>
      <c r="L63" s="68">
        <v>0.96449999999999991</v>
      </c>
      <c r="M63" s="68">
        <v>0.92199999999999993</v>
      </c>
      <c r="N63" s="116">
        <v>0.96149999999999991</v>
      </c>
      <c r="O63" s="116">
        <v>0.92399999999999993</v>
      </c>
      <c r="P63" s="69"/>
      <c r="Q63" s="88">
        <f t="shared" si="0"/>
        <v>0</v>
      </c>
      <c r="R63" s="88">
        <f t="shared" si="1"/>
        <v>0</v>
      </c>
      <c r="S63" s="88">
        <f t="shared" si="2"/>
        <v>0</v>
      </c>
      <c r="T63" s="89">
        <f t="shared" si="24"/>
        <v>0</v>
      </c>
      <c r="U63" s="80" t="str">
        <f t="shared" si="4"/>
        <v/>
      </c>
      <c r="V63" s="81" t="str">
        <f>IF(OR($AM63="",ISNUMBER($AM63)=FALSE),"",IF(AND(#REF!="Tolerance",$E63&lt;&gt;""),($S63-$E63)/(($J63-$K63)/2),IF(AND(#REF!="GD&amp;T",$F63&lt;&gt;""),$S63/$F63,"")))</f>
        <v/>
      </c>
      <c r="W63" s="81" t="str">
        <f t="shared" si="10"/>
        <v/>
      </c>
      <c r="X63" s="80" t="str">
        <f t="shared" si="5"/>
        <v/>
      </c>
      <c r="Y63" s="80" t="str">
        <f t="shared" si="6"/>
        <v/>
      </c>
      <c r="Z63" s="80" t="str">
        <f t="shared" si="7"/>
        <v/>
      </c>
      <c r="AA63" s="70" t="str">
        <f t="shared" si="8"/>
        <v/>
      </c>
      <c r="AB63" s="71" t="e">
        <f>IF($S63="","",IF(#REF!="Tolerance",IF((#REF!*3*T63+S63)-E63&lt;F63,"",(#REF!*3*T63+S63)-E63),IF(OR(#REF!="GD&amp;T",#REF!="MAX"),IF((#REF!*3*T63+S63)&lt;F63,"",(#REF!*3*T63+S63)),"")))</f>
        <v>#REF!</v>
      </c>
      <c r="AC63" s="71" t="e">
        <f>IF(S63="","",IF(#REF!="Tolerance",IF(-((#REF!*3*T63)-S63)-E63&gt;G63,"",-((#REF!*3*T63)-S63)-E63),IF(#REF!="MIN",IF(-((#REF!*3*T63)-S63)&gt;G63,"",-((#REF!*3*T63)-S63)),"")))</f>
        <v>#REF!</v>
      </c>
      <c r="AD63" s="71">
        <f t="shared" si="11"/>
        <v>0.94399999999999995</v>
      </c>
      <c r="AE63" s="71" t="str">
        <f t="shared" si="9"/>
        <v/>
      </c>
      <c r="AF63" s="82"/>
      <c r="AG63" s="83" t="str">
        <f t="shared" si="12"/>
        <v/>
      </c>
      <c r="AH63" s="125"/>
      <c r="AI63" s="72"/>
      <c r="AJ63" s="72"/>
      <c r="AK63" s="73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</row>
    <row r="64" spans="2:70" ht="19.149999999999999" customHeight="1">
      <c r="B64" s="66" t="s">
        <v>95</v>
      </c>
      <c r="C64" s="75" t="s">
        <v>153</v>
      </c>
      <c r="D64" s="85" t="s">
        <v>45</v>
      </c>
      <c r="E64" s="86">
        <v>0.93899999999999995</v>
      </c>
      <c r="F64" s="87">
        <v>0.03</v>
      </c>
      <c r="G64" s="87">
        <v>-0.02</v>
      </c>
      <c r="H64" s="79" t="s">
        <v>231</v>
      </c>
      <c r="I64" s="67"/>
      <c r="J64" s="68">
        <v>0.96899999999999997</v>
      </c>
      <c r="K64" s="68">
        <v>0.91899999999999993</v>
      </c>
      <c r="L64" s="68">
        <v>0.96449999999999991</v>
      </c>
      <c r="M64" s="68">
        <v>0.92199999999999993</v>
      </c>
      <c r="N64" s="116">
        <v>0.96149999999999991</v>
      </c>
      <c r="O64" s="116">
        <v>0.92399999999999993</v>
      </c>
      <c r="P64" s="69"/>
      <c r="Q64" s="88">
        <f t="shared" si="0"/>
        <v>0</v>
      </c>
      <c r="R64" s="88">
        <f t="shared" si="1"/>
        <v>0</v>
      </c>
      <c r="S64" s="88">
        <f t="shared" si="2"/>
        <v>0</v>
      </c>
      <c r="T64" s="89">
        <f t="shared" si="24"/>
        <v>0</v>
      </c>
      <c r="U64" s="80" t="str">
        <f t="shared" si="4"/>
        <v/>
      </c>
      <c r="V64" s="81" t="str">
        <f>IF(OR($AM64="",ISNUMBER($AM64)=FALSE),"",IF(AND(#REF!="Tolerance",$E64&lt;&gt;""),($S64-$E64)/(($J64-$K64)/2),IF(AND(#REF!="GD&amp;T",$F64&lt;&gt;""),$S64/$F64,"")))</f>
        <v/>
      </c>
      <c r="W64" s="81" t="str">
        <f t="shared" si="10"/>
        <v/>
      </c>
      <c r="X64" s="80" t="str">
        <f t="shared" si="5"/>
        <v/>
      </c>
      <c r="Y64" s="80" t="str">
        <f t="shared" si="6"/>
        <v/>
      </c>
      <c r="Z64" s="80" t="str">
        <f t="shared" si="7"/>
        <v/>
      </c>
      <c r="AA64" s="70" t="str">
        <f t="shared" si="8"/>
        <v/>
      </c>
      <c r="AB64" s="71" t="e">
        <f>IF($S64="","",IF(#REF!="Tolerance",IF((#REF!*3*T64+S64)-E64&lt;F64,"",(#REF!*3*T64+S64)-E64),IF(OR(#REF!="GD&amp;T",#REF!="MAX"),IF((#REF!*3*T64+S64)&lt;F64,"",(#REF!*3*T64+S64)),"")))</f>
        <v>#REF!</v>
      </c>
      <c r="AC64" s="71" t="e">
        <f>IF(S64="","",IF(#REF!="Tolerance",IF(-((#REF!*3*T64)-S64)-E64&gt;G64,"",-((#REF!*3*T64)-S64)-E64),IF(#REF!="MIN",IF(-((#REF!*3*T64)-S64)&gt;G64,"",-((#REF!*3*T64)-S64)),"")))</f>
        <v>#REF!</v>
      </c>
      <c r="AD64" s="71">
        <f t="shared" si="11"/>
        <v>0.94399999999999995</v>
      </c>
      <c r="AE64" s="71" t="str">
        <f t="shared" si="9"/>
        <v/>
      </c>
      <c r="AF64" s="82"/>
      <c r="AG64" s="83" t="str">
        <f t="shared" si="12"/>
        <v/>
      </c>
      <c r="AH64" s="125"/>
      <c r="AI64" s="72"/>
      <c r="AJ64" s="72"/>
      <c r="AK64" s="73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</row>
    <row r="65" spans="2:70" ht="19.149999999999999" customHeight="1">
      <c r="B65" s="66" t="s">
        <v>95</v>
      </c>
      <c r="C65" s="75" t="s">
        <v>154</v>
      </c>
      <c r="D65" s="85" t="s">
        <v>45</v>
      </c>
      <c r="E65" s="86">
        <v>0.93899999999999995</v>
      </c>
      <c r="F65" s="87">
        <v>0.03</v>
      </c>
      <c r="G65" s="87">
        <v>-0.02</v>
      </c>
      <c r="H65" s="79" t="s">
        <v>231</v>
      </c>
      <c r="I65" s="67"/>
      <c r="J65" s="68">
        <v>0.96899999999999997</v>
      </c>
      <c r="K65" s="68">
        <v>0.91899999999999993</v>
      </c>
      <c r="L65" s="68">
        <v>0.96449999999999991</v>
      </c>
      <c r="M65" s="68">
        <v>0.92199999999999993</v>
      </c>
      <c r="N65" s="116">
        <v>0.96149999999999991</v>
      </c>
      <c r="O65" s="116">
        <v>0.92399999999999993</v>
      </c>
      <c r="P65" s="69"/>
      <c r="Q65" s="88">
        <f t="shared" si="0"/>
        <v>0</v>
      </c>
      <c r="R65" s="88">
        <f t="shared" si="1"/>
        <v>0</v>
      </c>
      <c r="S65" s="88">
        <f t="shared" si="2"/>
        <v>0</v>
      </c>
      <c r="T65" s="89">
        <f t="shared" si="24"/>
        <v>0</v>
      </c>
      <c r="U65" s="80" t="str">
        <f t="shared" si="4"/>
        <v/>
      </c>
      <c r="V65" s="81" t="str">
        <f>IF(OR($AM65="",ISNUMBER($AM65)=FALSE),"",IF(AND(#REF!="Tolerance",$E65&lt;&gt;""),($S65-$E65)/(($J65-$K65)/2),IF(AND(#REF!="GD&amp;T",$F65&lt;&gt;""),$S65/$F65,"")))</f>
        <v/>
      </c>
      <c r="W65" s="81" t="str">
        <f t="shared" si="10"/>
        <v/>
      </c>
      <c r="X65" s="80" t="str">
        <f t="shared" si="5"/>
        <v/>
      </c>
      <c r="Y65" s="80" t="str">
        <f t="shared" si="6"/>
        <v/>
      </c>
      <c r="Z65" s="80" t="str">
        <f t="shared" si="7"/>
        <v/>
      </c>
      <c r="AA65" s="70" t="str">
        <f t="shared" si="8"/>
        <v/>
      </c>
      <c r="AB65" s="71" t="e">
        <f>IF($S65="","",IF(#REF!="Tolerance",IF((#REF!*3*T65+S65)-E65&lt;F65,"",(#REF!*3*T65+S65)-E65),IF(OR(#REF!="GD&amp;T",#REF!="MAX"),IF((#REF!*3*T65+S65)&lt;F65,"",(#REF!*3*T65+S65)),"")))</f>
        <v>#REF!</v>
      </c>
      <c r="AC65" s="71" t="e">
        <f>IF(S65="","",IF(#REF!="Tolerance",IF(-((#REF!*3*T65)-S65)-E65&gt;G65,"",-((#REF!*3*T65)-S65)-E65),IF(#REF!="MIN",IF(-((#REF!*3*T65)-S65)&gt;G65,"",-((#REF!*3*T65)-S65)),"")))</f>
        <v>#REF!</v>
      </c>
      <c r="AD65" s="71">
        <f t="shared" si="11"/>
        <v>0.94399999999999995</v>
      </c>
      <c r="AE65" s="71" t="str">
        <f t="shared" si="9"/>
        <v/>
      </c>
      <c r="AF65" s="82"/>
      <c r="AG65" s="83" t="str">
        <f t="shared" si="12"/>
        <v/>
      </c>
      <c r="AH65" s="125"/>
      <c r="AI65" s="72"/>
      <c r="AJ65" s="72"/>
      <c r="AK65" s="73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</row>
    <row r="66" spans="2:70" ht="19.149999999999999" customHeight="1">
      <c r="B66" s="66" t="s">
        <v>95</v>
      </c>
      <c r="C66" s="75" t="s">
        <v>307</v>
      </c>
      <c r="D66" s="85" t="s">
        <v>45</v>
      </c>
      <c r="E66" s="86">
        <v>0.93899999999999995</v>
      </c>
      <c r="F66" s="87">
        <v>0.03</v>
      </c>
      <c r="G66" s="87">
        <v>-0.02</v>
      </c>
      <c r="H66" s="79" t="s">
        <v>231</v>
      </c>
      <c r="I66" s="67"/>
      <c r="J66" s="68">
        <v>0.96899999999999997</v>
      </c>
      <c r="K66" s="68">
        <v>0.91899999999999993</v>
      </c>
      <c r="L66" s="68">
        <v>0.96449999999999991</v>
      </c>
      <c r="M66" s="68">
        <v>0.92199999999999993</v>
      </c>
      <c r="N66" s="116">
        <v>0.96149999999999991</v>
      </c>
      <c r="O66" s="116">
        <v>0.92399999999999993</v>
      </c>
      <c r="P66" s="69"/>
      <c r="Q66" s="88">
        <f t="shared" si="0"/>
        <v>0</v>
      </c>
      <c r="R66" s="88">
        <f t="shared" si="1"/>
        <v>0</v>
      </c>
      <c r="S66" s="88">
        <f t="shared" si="2"/>
        <v>0</v>
      </c>
      <c r="T66" s="89">
        <f t="shared" si="24"/>
        <v>0</v>
      </c>
      <c r="U66" s="80" t="str">
        <f t="shared" si="4"/>
        <v/>
      </c>
      <c r="V66" s="81" t="str">
        <f>IF(OR($AM66="",ISNUMBER($AM66)=FALSE),"",IF(AND(#REF!="Tolerance",$E66&lt;&gt;""),($S66-$E66)/(($J66-$K66)/2),IF(AND(#REF!="GD&amp;T",$F66&lt;&gt;""),$S66/$F66,"")))</f>
        <v/>
      </c>
      <c r="W66" s="81" t="str">
        <f t="shared" si="10"/>
        <v/>
      </c>
      <c r="X66" s="80" t="str">
        <f t="shared" si="5"/>
        <v/>
      </c>
      <c r="Y66" s="80" t="str">
        <f t="shared" si="6"/>
        <v/>
      </c>
      <c r="Z66" s="80" t="str">
        <f t="shared" si="7"/>
        <v/>
      </c>
      <c r="AA66" s="70" t="str">
        <f t="shared" si="8"/>
        <v/>
      </c>
      <c r="AB66" s="71" t="e">
        <f>IF($S66="","",IF(#REF!="Tolerance",IF((#REF!*3*T66+S66)-E66&lt;F66,"",(#REF!*3*T66+S66)-E66),IF(OR(#REF!="GD&amp;T",#REF!="MAX"),IF((#REF!*3*T66+S66)&lt;F66,"",(#REF!*3*T66+S66)),"")))</f>
        <v>#REF!</v>
      </c>
      <c r="AC66" s="71" t="e">
        <f>IF(S66="","",IF(#REF!="Tolerance",IF(-((#REF!*3*T66)-S66)-E66&gt;G66,"",-((#REF!*3*T66)-S66)-E66),IF(#REF!="MIN",IF(-((#REF!*3*T66)-S66)&gt;G66,"",-((#REF!*3*T66)-S66)),"")))</f>
        <v>#REF!</v>
      </c>
      <c r="AD66" s="71">
        <f t="shared" si="11"/>
        <v>0.94399999999999995</v>
      </c>
      <c r="AE66" s="71" t="str">
        <f t="shared" si="9"/>
        <v/>
      </c>
      <c r="AF66" s="82"/>
      <c r="AG66" s="83" t="str">
        <f t="shared" si="12"/>
        <v/>
      </c>
      <c r="AH66" s="125"/>
      <c r="AI66" s="72"/>
      <c r="AJ66" s="72"/>
      <c r="AK66" s="73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0"/>
      <c r="BK66" s="110"/>
      <c r="BL66" s="110"/>
      <c r="BM66" s="110"/>
      <c r="BN66" s="110"/>
      <c r="BO66" s="110"/>
      <c r="BP66" s="110"/>
      <c r="BQ66" s="110"/>
      <c r="BR66" s="110"/>
    </row>
    <row r="67" spans="2:70" ht="19.149999999999999" customHeight="1">
      <c r="B67" s="66" t="s">
        <v>95</v>
      </c>
      <c r="C67" s="75" t="s">
        <v>323</v>
      </c>
      <c r="D67" s="85" t="s">
        <v>45</v>
      </c>
      <c r="E67" s="86">
        <v>0.93899999999999995</v>
      </c>
      <c r="F67" s="87">
        <v>0.03</v>
      </c>
      <c r="G67" s="87">
        <v>-0.02</v>
      </c>
      <c r="H67" s="79" t="s">
        <v>231</v>
      </c>
      <c r="I67" s="67"/>
      <c r="J67" s="68">
        <v>0.96899999999999997</v>
      </c>
      <c r="K67" s="68">
        <v>0.91899999999999993</v>
      </c>
      <c r="L67" s="68">
        <v>0.96449999999999991</v>
      </c>
      <c r="M67" s="68">
        <v>0.92199999999999993</v>
      </c>
      <c r="N67" s="116">
        <v>0.96149999999999991</v>
      </c>
      <c r="O67" s="116">
        <v>0.92399999999999993</v>
      </c>
      <c r="P67" s="69"/>
      <c r="Q67" s="88">
        <f t="shared" si="0"/>
        <v>0</v>
      </c>
      <c r="R67" s="88">
        <f t="shared" si="1"/>
        <v>0</v>
      </c>
      <c r="S67" s="88">
        <f t="shared" si="2"/>
        <v>0</v>
      </c>
      <c r="T67" s="89">
        <f t="shared" si="24"/>
        <v>0</v>
      </c>
      <c r="U67" s="80" t="str">
        <f t="shared" si="4"/>
        <v/>
      </c>
      <c r="V67" s="81" t="str">
        <f>IF(OR($AM67="",ISNUMBER($AM67)=FALSE),"",IF(AND(#REF!="Tolerance",$E67&lt;&gt;""),($S67-$E67)/(($J67-$K67)/2),IF(AND(#REF!="GD&amp;T",$F67&lt;&gt;""),$S67/$F67,"")))</f>
        <v/>
      </c>
      <c r="W67" s="81" t="str">
        <f t="shared" si="10"/>
        <v/>
      </c>
      <c r="X67" s="80" t="str">
        <f t="shared" si="5"/>
        <v/>
      </c>
      <c r="Y67" s="80" t="str">
        <f t="shared" si="6"/>
        <v/>
      </c>
      <c r="Z67" s="80" t="str">
        <f t="shared" si="7"/>
        <v/>
      </c>
      <c r="AA67" s="70" t="str">
        <f t="shared" si="8"/>
        <v/>
      </c>
      <c r="AB67" s="71" t="e">
        <f>IF($S67="","",IF(#REF!="Tolerance",IF((#REF!*3*T67+S67)-E67&lt;F67,"",(#REF!*3*T67+S67)-E67),IF(OR(#REF!="GD&amp;T",#REF!="MAX"),IF((#REF!*3*T67+S67)&lt;F67,"",(#REF!*3*T67+S67)),"")))</f>
        <v>#REF!</v>
      </c>
      <c r="AC67" s="71" t="e">
        <f>IF(S67="","",IF(#REF!="Tolerance",IF(-((#REF!*3*T67)-S67)-E67&gt;G67,"",-((#REF!*3*T67)-S67)-E67),IF(#REF!="MIN",IF(-((#REF!*3*T67)-S67)&gt;G67,"",-((#REF!*3*T67)-S67)),"")))</f>
        <v>#REF!</v>
      </c>
      <c r="AD67" s="71">
        <f t="shared" si="11"/>
        <v>0.94399999999999995</v>
      </c>
      <c r="AE67" s="71" t="str">
        <f t="shared" si="9"/>
        <v/>
      </c>
      <c r="AF67" s="82"/>
      <c r="AG67" s="83" t="str">
        <f t="shared" si="12"/>
        <v/>
      </c>
      <c r="AH67" s="125"/>
      <c r="AI67" s="72"/>
      <c r="AJ67" s="72"/>
      <c r="AK67" s="73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  <c r="BG67" s="110"/>
      <c r="BH67" s="110"/>
      <c r="BI67" s="110"/>
      <c r="BJ67" s="110"/>
      <c r="BK67" s="110"/>
      <c r="BL67" s="110"/>
      <c r="BM67" s="110"/>
      <c r="BN67" s="110"/>
      <c r="BO67" s="110"/>
      <c r="BP67" s="110"/>
      <c r="BQ67" s="110"/>
      <c r="BR67" s="110"/>
    </row>
    <row r="68" spans="2:70" ht="19.149999999999999" customHeight="1">
      <c r="B68" s="66" t="s">
        <v>237</v>
      </c>
      <c r="C68" s="75" t="s">
        <v>155</v>
      </c>
      <c r="D68" s="85" t="s">
        <v>45</v>
      </c>
      <c r="E68" s="86">
        <v>18.419</v>
      </c>
      <c r="F68" s="87">
        <v>0.03</v>
      </c>
      <c r="G68" s="87">
        <v>-0.03</v>
      </c>
      <c r="H68" s="79" t="s">
        <v>46</v>
      </c>
      <c r="I68" s="67"/>
      <c r="J68" s="68">
        <v>18.449000000000002</v>
      </c>
      <c r="K68" s="68">
        <v>18.388999999999999</v>
      </c>
      <c r="L68" s="68">
        <v>18.449000000000002</v>
      </c>
      <c r="M68" s="68">
        <v>18.388999999999999</v>
      </c>
      <c r="N68" s="116"/>
      <c r="O68" s="116"/>
      <c r="P68" s="69"/>
      <c r="Q68" s="88">
        <f t="shared" si="0"/>
        <v>0</v>
      </c>
      <c r="R68" s="88">
        <f t="shared" si="1"/>
        <v>0</v>
      </c>
      <c r="S68" s="88">
        <f t="shared" si="2"/>
        <v>0</v>
      </c>
      <c r="T68" s="89">
        <f t="shared" si="24"/>
        <v>0</v>
      </c>
      <c r="U68" s="80" t="str">
        <f t="shared" si="4"/>
        <v/>
      </c>
      <c r="V68" s="81" t="str">
        <f>IF(OR($AM68="",ISNUMBER($AM68)=FALSE),"",IF(AND(#REF!="Tolerance",$E68&lt;&gt;""),($S68-$E68)/(($J68-$K68)/2),IF(AND(#REF!="GD&amp;T",$F68&lt;&gt;""),$S68/$F68,"")))</f>
        <v/>
      </c>
      <c r="W68" s="81" t="str">
        <f t="shared" si="10"/>
        <v/>
      </c>
      <c r="X68" s="80" t="str">
        <f t="shared" si="5"/>
        <v/>
      </c>
      <c r="Y68" s="80" t="str">
        <f t="shared" si="6"/>
        <v/>
      </c>
      <c r="Z68" s="80" t="str">
        <f t="shared" si="7"/>
        <v/>
      </c>
      <c r="AA68" s="70" t="str">
        <f t="shared" si="8"/>
        <v/>
      </c>
      <c r="AB68" s="71" t="e">
        <f>IF($S68="","",IF(#REF!="Tolerance",IF((#REF!*3*T68+S68)-E68&lt;F68,"",(#REF!*3*T68+S68)-E68),IF(OR(#REF!="GD&amp;T",#REF!="MAX"),IF((#REF!*3*T68+S68)&lt;F68,"",(#REF!*3*T68+S68)),"")))</f>
        <v>#REF!</v>
      </c>
      <c r="AC68" s="71" t="e">
        <f>IF(S68="","",IF(#REF!="Tolerance",IF(-((#REF!*3*T68)-S68)-E68&gt;G68,"",-((#REF!*3*T68)-S68)-E68),IF(#REF!="MIN",IF(-((#REF!*3*T68)-S68)&gt;G68,"",-((#REF!*3*T68)-S68)),"")))</f>
        <v>#REF!</v>
      </c>
      <c r="AD68" s="71">
        <f t="shared" si="11"/>
        <v>18.419</v>
      </c>
      <c r="AE68" s="71" t="str">
        <f t="shared" si="9"/>
        <v/>
      </c>
      <c r="AF68" s="82"/>
      <c r="AG68" s="83" t="str">
        <f t="shared" si="12"/>
        <v/>
      </c>
      <c r="AH68" s="125"/>
      <c r="AI68" s="72"/>
      <c r="AJ68" s="72"/>
      <c r="AK68" s="73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</row>
    <row r="69" spans="2:70" ht="19.149999999999999" customHeight="1">
      <c r="B69" s="66" t="s">
        <v>237</v>
      </c>
      <c r="C69" s="75" t="s">
        <v>156</v>
      </c>
      <c r="D69" s="85" t="s">
        <v>45</v>
      </c>
      <c r="E69" s="86">
        <v>18.419</v>
      </c>
      <c r="F69" s="87">
        <v>0.03</v>
      </c>
      <c r="G69" s="87">
        <v>-0.03</v>
      </c>
      <c r="H69" s="79" t="s">
        <v>46</v>
      </c>
      <c r="I69" s="67"/>
      <c r="J69" s="68">
        <v>18.449000000000002</v>
      </c>
      <c r="K69" s="68">
        <v>18.388999999999999</v>
      </c>
      <c r="L69" s="68">
        <v>18.449000000000002</v>
      </c>
      <c r="M69" s="68">
        <v>18.388999999999999</v>
      </c>
      <c r="N69" s="116"/>
      <c r="O69" s="116"/>
      <c r="P69" s="69"/>
      <c r="Q69" s="88">
        <f t="shared" si="0"/>
        <v>0</v>
      </c>
      <c r="R69" s="88">
        <f t="shared" si="1"/>
        <v>0</v>
      </c>
      <c r="S69" s="88">
        <f t="shared" si="2"/>
        <v>0</v>
      </c>
      <c r="T69" s="89">
        <f t="shared" si="24"/>
        <v>0</v>
      </c>
      <c r="U69" s="80" t="str">
        <f t="shared" si="4"/>
        <v/>
      </c>
      <c r="V69" s="81" t="str">
        <f>IF(OR($AM69="",ISNUMBER($AM69)=FALSE),"",IF(AND(#REF!="Tolerance",$E69&lt;&gt;""),($S69-$E69)/(($J69-$K69)/2),IF(AND(#REF!="GD&amp;T",$F69&lt;&gt;""),$S69/$F69,"")))</f>
        <v/>
      </c>
      <c r="W69" s="81" t="str">
        <f t="shared" si="10"/>
        <v/>
      </c>
      <c r="X69" s="80" t="str">
        <f t="shared" si="5"/>
        <v/>
      </c>
      <c r="Y69" s="80" t="str">
        <f t="shared" si="6"/>
        <v/>
      </c>
      <c r="Z69" s="80" t="str">
        <f t="shared" si="7"/>
        <v/>
      </c>
      <c r="AA69" s="70" t="str">
        <f t="shared" si="8"/>
        <v/>
      </c>
      <c r="AB69" s="71" t="e">
        <f>IF($S69="","",IF(#REF!="Tolerance",IF((#REF!*3*T69+S69)-E69&lt;F69,"",(#REF!*3*T69+S69)-E69),IF(OR(#REF!="GD&amp;T",#REF!="MAX"),IF((#REF!*3*T69+S69)&lt;F69,"",(#REF!*3*T69+S69)),"")))</f>
        <v>#REF!</v>
      </c>
      <c r="AC69" s="71" t="e">
        <f>IF(S69="","",IF(#REF!="Tolerance",IF(-((#REF!*3*T69)-S69)-E69&gt;G69,"",-((#REF!*3*T69)-S69)-E69),IF(#REF!="MIN",IF(-((#REF!*3*T69)-S69)&gt;G69,"",-((#REF!*3*T69)-S69)),"")))</f>
        <v>#REF!</v>
      </c>
      <c r="AD69" s="71">
        <f t="shared" si="11"/>
        <v>18.419</v>
      </c>
      <c r="AE69" s="71" t="str">
        <f t="shared" si="9"/>
        <v/>
      </c>
      <c r="AF69" s="82"/>
      <c r="AG69" s="83" t="str">
        <f t="shared" si="12"/>
        <v/>
      </c>
      <c r="AH69" s="125"/>
      <c r="AI69" s="72"/>
      <c r="AJ69" s="72"/>
      <c r="AK69" s="73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  <c r="BG69" s="110"/>
      <c r="BH69" s="110"/>
      <c r="BI69" s="110"/>
      <c r="BJ69" s="110"/>
      <c r="BK69" s="110"/>
      <c r="BL69" s="110"/>
      <c r="BM69" s="110"/>
      <c r="BN69" s="110"/>
      <c r="BO69" s="110"/>
      <c r="BP69" s="110"/>
      <c r="BQ69" s="110"/>
      <c r="BR69" s="110"/>
    </row>
    <row r="70" spans="2:70" ht="19.149999999999999" customHeight="1">
      <c r="B70" s="90" t="s">
        <v>237</v>
      </c>
      <c r="C70" s="75" t="s">
        <v>157</v>
      </c>
      <c r="D70" s="85" t="s">
        <v>45</v>
      </c>
      <c r="E70" s="86">
        <v>18.419</v>
      </c>
      <c r="F70" s="87">
        <v>0.03</v>
      </c>
      <c r="G70" s="87">
        <v>-0.03</v>
      </c>
      <c r="H70" s="79" t="s">
        <v>46</v>
      </c>
      <c r="I70" s="67"/>
      <c r="J70" s="68">
        <v>18.449000000000002</v>
      </c>
      <c r="K70" s="68">
        <v>18.388999999999999</v>
      </c>
      <c r="L70" s="68">
        <v>18.449000000000002</v>
      </c>
      <c r="M70" s="68">
        <v>18.388999999999999</v>
      </c>
      <c r="N70" s="116"/>
      <c r="O70" s="116"/>
      <c r="P70" s="69"/>
      <c r="Q70" s="88">
        <f t="shared" si="0"/>
        <v>0</v>
      </c>
      <c r="R70" s="88">
        <f t="shared" si="1"/>
        <v>0</v>
      </c>
      <c r="S70" s="88">
        <f t="shared" si="2"/>
        <v>0</v>
      </c>
      <c r="T70" s="89">
        <f t="shared" si="24"/>
        <v>0</v>
      </c>
      <c r="U70" s="80" t="str">
        <f t="shared" si="4"/>
        <v/>
      </c>
      <c r="V70" s="81" t="str">
        <f>IF(OR($AM70="",ISNUMBER($AM70)=FALSE),"",IF(AND(#REF!="Tolerance",$E70&lt;&gt;""),($S70-$E70)/(($J70-$K70)/2),IF(AND(#REF!="GD&amp;T",$F70&lt;&gt;""),$S70/$F70,"")))</f>
        <v/>
      </c>
      <c r="W70" s="81" t="str">
        <f t="shared" si="10"/>
        <v/>
      </c>
      <c r="X70" s="80" t="str">
        <f t="shared" si="5"/>
        <v/>
      </c>
      <c r="Y70" s="80" t="str">
        <f t="shared" si="6"/>
        <v/>
      </c>
      <c r="Z70" s="80" t="str">
        <f t="shared" si="7"/>
        <v/>
      </c>
      <c r="AA70" s="70" t="str">
        <f t="shared" si="8"/>
        <v/>
      </c>
      <c r="AB70" s="71" t="e">
        <f>IF($S70="","",IF(#REF!="Tolerance",IF((#REF!*3*T70+S70)-E70&lt;F70,"",(#REF!*3*T70+S70)-E70),IF(OR(#REF!="GD&amp;T",#REF!="MAX"),IF((#REF!*3*T70+S70)&lt;F70,"",(#REF!*3*T70+S70)),"")))</f>
        <v>#REF!</v>
      </c>
      <c r="AC70" s="71" t="e">
        <f>IF(S70="","",IF(#REF!="Tolerance",IF(-((#REF!*3*T70)-S70)-E70&gt;G70,"",-((#REF!*3*T70)-S70)-E70),IF(#REF!="MIN",IF(-((#REF!*3*T70)-S70)&gt;G70,"",-((#REF!*3*T70)-S70)),"")))</f>
        <v>#REF!</v>
      </c>
      <c r="AD70" s="71">
        <f t="shared" si="11"/>
        <v>18.419</v>
      </c>
      <c r="AE70" s="71" t="str">
        <f t="shared" si="9"/>
        <v/>
      </c>
      <c r="AF70" s="82"/>
      <c r="AG70" s="83" t="str">
        <f t="shared" si="12"/>
        <v/>
      </c>
      <c r="AH70" s="125"/>
      <c r="AI70" s="72"/>
      <c r="AJ70" s="72"/>
      <c r="AK70" s="73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</row>
    <row r="71" spans="2:70" ht="19.149999999999999" customHeight="1">
      <c r="B71" s="66" t="s">
        <v>238</v>
      </c>
      <c r="C71" s="75" t="s">
        <v>176</v>
      </c>
      <c r="D71" s="85" t="s">
        <v>45</v>
      </c>
      <c r="E71" s="86">
        <v>15.433999999999999</v>
      </c>
      <c r="F71" s="87">
        <v>0.03</v>
      </c>
      <c r="G71" s="87">
        <v>-0.03</v>
      </c>
      <c r="H71" s="79" t="s">
        <v>46</v>
      </c>
      <c r="I71" s="67"/>
      <c r="J71" s="68">
        <v>15.463999999999999</v>
      </c>
      <c r="K71" s="68">
        <v>15.404</v>
      </c>
      <c r="L71" s="68">
        <v>15.459499999999998</v>
      </c>
      <c r="M71" s="68">
        <v>15.4085</v>
      </c>
      <c r="N71" s="116"/>
      <c r="O71" s="116"/>
      <c r="P71" s="69"/>
      <c r="Q71" s="88">
        <f t="shared" si="0"/>
        <v>0</v>
      </c>
      <c r="R71" s="88">
        <f t="shared" si="1"/>
        <v>0</v>
      </c>
      <c r="S71" s="88">
        <f t="shared" si="2"/>
        <v>0</v>
      </c>
      <c r="T71" s="89">
        <f t="shared" si="24"/>
        <v>0</v>
      </c>
      <c r="U71" s="80" t="str">
        <f t="shared" si="4"/>
        <v/>
      </c>
      <c r="V71" s="81" t="str">
        <f>IF(OR($AM71="",ISNUMBER($AM71)=FALSE),"",IF(AND(#REF!="Tolerance",$E71&lt;&gt;""),($S71-$E71)/(($J71-$K71)/2),IF(AND(#REF!="GD&amp;T",$F71&lt;&gt;""),$S71/$F71,"")))</f>
        <v/>
      </c>
      <c r="W71" s="81" t="str">
        <f t="shared" si="10"/>
        <v/>
      </c>
      <c r="X71" s="80" t="str">
        <f t="shared" si="5"/>
        <v/>
      </c>
      <c r="Y71" s="80" t="str">
        <f t="shared" si="6"/>
        <v/>
      </c>
      <c r="Z71" s="80" t="str">
        <f t="shared" si="7"/>
        <v/>
      </c>
      <c r="AA71" s="70" t="str">
        <f t="shared" si="8"/>
        <v/>
      </c>
      <c r="AB71" s="71" t="e">
        <f>IF($S71="","",IF(#REF!="Tolerance",IF((#REF!*3*T71+S71)-E71&lt;F71,"",(#REF!*3*T71+S71)-E71),IF(OR(#REF!="GD&amp;T",#REF!="MAX"),IF((#REF!*3*T71+S71)&lt;F71,"",(#REF!*3*T71+S71)),"")))</f>
        <v>#REF!</v>
      </c>
      <c r="AC71" s="71" t="e">
        <f>IF(S71="","",IF(#REF!="Tolerance",IF(-((#REF!*3*T71)-S71)-E71&gt;G71,"",-((#REF!*3*T71)-S71)-E71),IF(#REF!="MIN",IF(-((#REF!*3*T71)-S71)&gt;G71,"",-((#REF!*3*T71)-S71)),"")))</f>
        <v>#REF!</v>
      </c>
      <c r="AD71" s="71">
        <f t="shared" si="11"/>
        <v>15.433999999999999</v>
      </c>
      <c r="AE71" s="71" t="str">
        <f t="shared" si="9"/>
        <v/>
      </c>
      <c r="AF71" s="82"/>
      <c r="AG71" s="83" t="str">
        <f t="shared" si="12"/>
        <v/>
      </c>
      <c r="AH71" s="125"/>
      <c r="AI71" s="72"/>
      <c r="AJ71" s="72"/>
      <c r="AK71" s="73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  <c r="BM71" s="110"/>
      <c r="BN71" s="110"/>
      <c r="BO71" s="110"/>
      <c r="BP71" s="110"/>
      <c r="BQ71" s="110"/>
      <c r="BR71" s="110"/>
    </row>
    <row r="72" spans="2:70" ht="19.149999999999999" customHeight="1">
      <c r="B72" s="66" t="s">
        <v>238</v>
      </c>
      <c r="C72" s="75" t="s">
        <v>177</v>
      </c>
      <c r="D72" s="85" t="s">
        <v>45</v>
      </c>
      <c r="E72" s="86">
        <v>15.433999999999999</v>
      </c>
      <c r="F72" s="87">
        <v>0.03</v>
      </c>
      <c r="G72" s="87">
        <v>-0.03</v>
      </c>
      <c r="H72" s="79" t="s">
        <v>46</v>
      </c>
      <c r="I72" s="67"/>
      <c r="J72" s="68">
        <v>15.463999999999999</v>
      </c>
      <c r="K72" s="68">
        <v>15.404</v>
      </c>
      <c r="L72" s="68">
        <v>15.459499999999998</v>
      </c>
      <c r="M72" s="68">
        <v>15.4085</v>
      </c>
      <c r="N72" s="116"/>
      <c r="O72" s="116"/>
      <c r="P72" s="69"/>
      <c r="Q72" s="88">
        <f t="shared" si="0"/>
        <v>0</v>
      </c>
      <c r="R72" s="88">
        <f t="shared" si="1"/>
        <v>0</v>
      </c>
      <c r="S72" s="88">
        <f t="shared" si="2"/>
        <v>0</v>
      </c>
      <c r="T72" s="89">
        <f t="shared" si="24"/>
        <v>0</v>
      </c>
      <c r="U72" s="80" t="str">
        <f t="shared" si="4"/>
        <v/>
      </c>
      <c r="V72" s="81" t="str">
        <f>IF(OR($AM72="",ISNUMBER($AM72)=FALSE),"",IF(AND(#REF!="Tolerance",$E72&lt;&gt;""),($S72-$E72)/(($J72-$K72)/2),IF(AND(#REF!="GD&amp;T",$F72&lt;&gt;""),$S72/$F72,"")))</f>
        <v/>
      </c>
      <c r="W72" s="81" t="str">
        <f t="shared" si="10"/>
        <v/>
      </c>
      <c r="X72" s="80" t="str">
        <f t="shared" si="5"/>
        <v/>
      </c>
      <c r="Y72" s="80" t="str">
        <f t="shared" si="6"/>
        <v/>
      </c>
      <c r="Z72" s="80" t="str">
        <f t="shared" si="7"/>
        <v/>
      </c>
      <c r="AA72" s="70" t="str">
        <f t="shared" si="8"/>
        <v/>
      </c>
      <c r="AB72" s="71" t="e">
        <f>IF($S72="","",IF(#REF!="Tolerance",IF((#REF!*3*T72+S72)-E72&lt;F72,"",(#REF!*3*T72+S72)-E72),IF(OR(#REF!="GD&amp;T",#REF!="MAX"),IF((#REF!*3*T72+S72)&lt;F72,"",(#REF!*3*T72+S72)),"")))</f>
        <v>#REF!</v>
      </c>
      <c r="AC72" s="71" t="e">
        <f>IF(S72="","",IF(#REF!="Tolerance",IF(-((#REF!*3*T72)-S72)-E72&gt;G72,"",-((#REF!*3*T72)-S72)-E72),IF(#REF!="MIN",IF(-((#REF!*3*T72)-S72)&gt;G72,"",-((#REF!*3*T72)-S72)),"")))</f>
        <v>#REF!</v>
      </c>
      <c r="AD72" s="71">
        <f t="shared" si="11"/>
        <v>15.433999999999999</v>
      </c>
      <c r="AE72" s="71" t="str">
        <f t="shared" si="9"/>
        <v/>
      </c>
      <c r="AF72" s="82"/>
      <c r="AG72" s="83" t="str">
        <f t="shared" si="12"/>
        <v/>
      </c>
      <c r="AH72" s="125"/>
      <c r="AI72" s="72"/>
      <c r="AJ72" s="72"/>
      <c r="AK72" s="73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</row>
    <row r="73" spans="2:70" ht="19.149999999999999" customHeight="1">
      <c r="B73" s="66" t="s">
        <v>239</v>
      </c>
      <c r="C73" s="75" t="s">
        <v>111</v>
      </c>
      <c r="D73" s="85" t="s">
        <v>45</v>
      </c>
      <c r="E73" s="86">
        <v>4.5739999999999998</v>
      </c>
      <c r="F73" s="87">
        <v>0.04</v>
      </c>
      <c r="G73" s="87">
        <v>-0.04</v>
      </c>
      <c r="H73" s="79" t="s">
        <v>46</v>
      </c>
      <c r="I73" s="67"/>
      <c r="J73" s="68">
        <v>4.6139999999999999</v>
      </c>
      <c r="K73" s="68">
        <v>4.5339999999999998</v>
      </c>
      <c r="L73" s="68">
        <v>4.6079999999999997</v>
      </c>
      <c r="M73" s="68">
        <v>4.54</v>
      </c>
      <c r="N73" s="116"/>
      <c r="O73" s="116"/>
      <c r="P73" s="69"/>
      <c r="Q73" s="88">
        <f t="shared" si="0"/>
        <v>0</v>
      </c>
      <c r="R73" s="88">
        <f t="shared" si="1"/>
        <v>0</v>
      </c>
      <c r="S73" s="88">
        <f t="shared" si="2"/>
        <v>0</v>
      </c>
      <c r="T73" s="89">
        <f t="shared" si="24"/>
        <v>0</v>
      </c>
      <c r="U73" s="80" t="str">
        <f t="shared" si="4"/>
        <v/>
      </c>
      <c r="V73" s="81" t="str">
        <f>IF(OR($AM73="",ISNUMBER($AM73)=FALSE),"",IF(AND(#REF!="Tolerance",$E73&lt;&gt;""),($S73-$E73)/(($J73-$K73)/2),IF(AND(#REF!="GD&amp;T",$F73&lt;&gt;""),$S73/$F73,"")))</f>
        <v/>
      </c>
      <c r="W73" s="81" t="str">
        <f t="shared" si="10"/>
        <v/>
      </c>
      <c r="X73" s="80" t="str">
        <f t="shared" si="5"/>
        <v/>
      </c>
      <c r="Y73" s="80" t="str">
        <f t="shared" si="6"/>
        <v/>
      </c>
      <c r="Z73" s="80" t="str">
        <f t="shared" si="7"/>
        <v/>
      </c>
      <c r="AA73" s="70" t="str">
        <f t="shared" si="8"/>
        <v/>
      </c>
      <c r="AB73" s="71" t="e">
        <f>IF($S73="","",IF(#REF!="Tolerance",IF((#REF!*3*T73+S73)-E73&lt;F73,"",(#REF!*3*T73+S73)-E73),IF(OR(#REF!="GD&amp;T",#REF!="MAX"),IF((#REF!*3*T73+S73)&lt;F73,"",(#REF!*3*T73+S73)),"")))</f>
        <v>#REF!</v>
      </c>
      <c r="AC73" s="71" t="e">
        <f>IF(S73="","",IF(#REF!="Tolerance",IF(-((#REF!*3*T73)-S73)-E73&gt;G73,"",-((#REF!*3*T73)-S73)-E73),IF(#REF!="MIN",IF(-((#REF!*3*T73)-S73)&gt;G73,"",-((#REF!*3*T73)-S73)),"")))</f>
        <v>#REF!</v>
      </c>
      <c r="AD73" s="71">
        <f t="shared" si="11"/>
        <v>4.5739999999999998</v>
      </c>
      <c r="AE73" s="71" t="str">
        <f t="shared" si="9"/>
        <v/>
      </c>
      <c r="AF73" s="82"/>
      <c r="AG73" s="83" t="str">
        <f t="shared" si="12"/>
        <v/>
      </c>
      <c r="AH73" s="125"/>
      <c r="AI73" s="72"/>
      <c r="AJ73" s="72"/>
      <c r="AK73" s="73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</row>
    <row r="74" spans="2:70" ht="19.149999999999999" customHeight="1">
      <c r="B74" s="66" t="s">
        <v>239</v>
      </c>
      <c r="C74" s="75" t="s">
        <v>112</v>
      </c>
      <c r="D74" s="85" t="s">
        <v>45</v>
      </c>
      <c r="E74" s="86">
        <v>4.5739999999999998</v>
      </c>
      <c r="F74" s="87">
        <v>0.04</v>
      </c>
      <c r="G74" s="87">
        <v>-0.04</v>
      </c>
      <c r="H74" s="79" t="s">
        <v>46</v>
      </c>
      <c r="I74" s="67"/>
      <c r="J74" s="68">
        <v>4.6139999999999999</v>
      </c>
      <c r="K74" s="68">
        <v>4.5339999999999998</v>
      </c>
      <c r="L74" s="68">
        <v>4.6079999999999997</v>
      </c>
      <c r="M74" s="68">
        <v>4.54</v>
      </c>
      <c r="N74" s="116"/>
      <c r="O74" s="116"/>
      <c r="P74" s="69"/>
      <c r="Q74" s="88">
        <f t="shared" si="0"/>
        <v>0</v>
      </c>
      <c r="R74" s="88">
        <f t="shared" si="1"/>
        <v>0</v>
      </c>
      <c r="S74" s="88">
        <f t="shared" si="2"/>
        <v>0</v>
      </c>
      <c r="T74" s="89">
        <f t="shared" si="24"/>
        <v>0</v>
      </c>
      <c r="U74" s="80" t="str">
        <f t="shared" si="4"/>
        <v/>
      </c>
      <c r="V74" s="81" t="str">
        <f>IF(OR($AM74="",ISNUMBER($AM74)=FALSE),"",IF(AND(#REF!="Tolerance",$E74&lt;&gt;""),($S74-$E74)/(($J74-$K74)/2),IF(AND(#REF!="GD&amp;T",$F74&lt;&gt;""),$S74/$F74,"")))</f>
        <v/>
      </c>
      <c r="W74" s="81" t="str">
        <f t="shared" si="10"/>
        <v/>
      </c>
      <c r="X74" s="80" t="str">
        <f t="shared" si="5"/>
        <v/>
      </c>
      <c r="Y74" s="80" t="str">
        <f t="shared" si="6"/>
        <v/>
      </c>
      <c r="Z74" s="80" t="str">
        <f t="shared" si="7"/>
        <v/>
      </c>
      <c r="AA74" s="70" t="str">
        <f t="shared" si="8"/>
        <v/>
      </c>
      <c r="AB74" s="71" t="e">
        <f>IF($S74="","",IF(#REF!="Tolerance",IF((#REF!*3*T74+S74)-E74&lt;F74,"",(#REF!*3*T74+S74)-E74),IF(OR(#REF!="GD&amp;T",#REF!="MAX"),IF((#REF!*3*T74+S74)&lt;F74,"",(#REF!*3*T74+S74)),"")))</f>
        <v>#REF!</v>
      </c>
      <c r="AC74" s="71" t="e">
        <f>IF(S74="","",IF(#REF!="Tolerance",IF(-((#REF!*3*T74)-S74)-E74&gt;G74,"",-((#REF!*3*T74)-S74)-E74),IF(#REF!="MIN",IF(-((#REF!*3*T74)-S74)&gt;G74,"",-((#REF!*3*T74)-S74)),"")))</f>
        <v>#REF!</v>
      </c>
      <c r="AD74" s="71">
        <f t="shared" si="11"/>
        <v>4.5739999999999998</v>
      </c>
      <c r="AE74" s="71" t="str">
        <f t="shared" si="9"/>
        <v/>
      </c>
      <c r="AF74" s="82"/>
      <c r="AG74" s="83" t="str">
        <f t="shared" si="12"/>
        <v/>
      </c>
      <c r="AH74" s="125"/>
      <c r="AI74" s="72"/>
      <c r="AJ74" s="72"/>
      <c r="AK74" s="73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</row>
    <row r="75" spans="2:70" ht="19.149999999999999" customHeight="1">
      <c r="B75" s="66" t="s">
        <v>240</v>
      </c>
      <c r="C75" s="75" t="s">
        <v>113</v>
      </c>
      <c r="D75" s="85" t="s">
        <v>45</v>
      </c>
      <c r="E75" s="86">
        <v>19.952000000000002</v>
      </c>
      <c r="F75" s="87">
        <v>0.03</v>
      </c>
      <c r="G75" s="87">
        <v>-0.03</v>
      </c>
      <c r="H75" s="79" t="s">
        <v>46</v>
      </c>
      <c r="I75" s="67"/>
      <c r="J75" s="68">
        <v>19.982000000000003</v>
      </c>
      <c r="K75" s="68">
        <v>19.922000000000001</v>
      </c>
      <c r="L75" s="68">
        <v>19.977500000000003</v>
      </c>
      <c r="M75" s="68">
        <v>19.926500000000001</v>
      </c>
      <c r="N75" s="116"/>
      <c r="O75" s="116"/>
      <c r="P75" s="69"/>
      <c r="Q75" s="88">
        <f t="shared" si="0"/>
        <v>0</v>
      </c>
      <c r="R75" s="88">
        <f t="shared" si="1"/>
        <v>0</v>
      </c>
      <c r="S75" s="88">
        <f t="shared" si="2"/>
        <v>0</v>
      </c>
      <c r="T75" s="89">
        <f t="shared" si="24"/>
        <v>0</v>
      </c>
      <c r="U75" s="80" t="str">
        <f t="shared" si="4"/>
        <v/>
      </c>
      <c r="V75" s="81" t="str">
        <f>IF(OR($AM75="",ISNUMBER($AM75)=FALSE),"",IF(AND(#REF!="Tolerance",$E75&lt;&gt;""),($S75-$E75)/(($J75-$K75)/2),IF(AND(#REF!="GD&amp;T",$F75&lt;&gt;""),$S75/$F75,"")))</f>
        <v/>
      </c>
      <c r="W75" s="81" t="str">
        <f t="shared" si="10"/>
        <v/>
      </c>
      <c r="X75" s="80" t="str">
        <f t="shared" si="5"/>
        <v/>
      </c>
      <c r="Y75" s="80" t="str">
        <f t="shared" si="6"/>
        <v/>
      </c>
      <c r="Z75" s="80" t="str">
        <f t="shared" si="7"/>
        <v/>
      </c>
      <c r="AA75" s="70" t="str">
        <f t="shared" si="8"/>
        <v/>
      </c>
      <c r="AB75" s="71" t="e">
        <f>IF($S75="","",IF(#REF!="Tolerance",IF((#REF!*3*T75+S75)-E75&lt;F75,"",(#REF!*3*T75+S75)-E75),IF(OR(#REF!="GD&amp;T",#REF!="MAX"),IF((#REF!*3*T75+S75)&lt;F75,"",(#REF!*3*T75+S75)),"")))</f>
        <v>#REF!</v>
      </c>
      <c r="AC75" s="71" t="e">
        <f>IF(S75="","",IF(#REF!="Tolerance",IF(-((#REF!*3*T75)-S75)-E75&gt;G75,"",-((#REF!*3*T75)-S75)-E75),IF(#REF!="MIN",IF(-((#REF!*3*T75)-S75)&gt;G75,"",-((#REF!*3*T75)-S75)),"")))</f>
        <v>#REF!</v>
      </c>
      <c r="AD75" s="71">
        <f t="shared" si="11"/>
        <v>19.952000000000002</v>
      </c>
      <c r="AE75" s="71" t="str">
        <f t="shared" si="9"/>
        <v/>
      </c>
      <c r="AF75" s="82"/>
      <c r="AG75" s="83" t="str">
        <f t="shared" si="12"/>
        <v/>
      </c>
      <c r="AH75" s="125"/>
      <c r="AI75" s="72"/>
      <c r="AJ75" s="72"/>
      <c r="AK75" s="73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</row>
    <row r="76" spans="2:70" ht="19.149999999999999" customHeight="1">
      <c r="B76" s="66" t="s">
        <v>240</v>
      </c>
      <c r="C76" s="75" t="s">
        <v>114</v>
      </c>
      <c r="D76" s="85" t="s">
        <v>45</v>
      </c>
      <c r="E76" s="86">
        <v>19.952000000000002</v>
      </c>
      <c r="F76" s="87">
        <v>0.03</v>
      </c>
      <c r="G76" s="87">
        <v>-0.03</v>
      </c>
      <c r="H76" s="79" t="s">
        <v>46</v>
      </c>
      <c r="I76" s="67"/>
      <c r="J76" s="68">
        <v>19.982000000000003</v>
      </c>
      <c r="K76" s="68">
        <v>19.922000000000001</v>
      </c>
      <c r="L76" s="68">
        <v>19.977500000000003</v>
      </c>
      <c r="M76" s="68">
        <v>19.926500000000001</v>
      </c>
      <c r="N76" s="116"/>
      <c r="O76" s="116"/>
      <c r="P76" s="69"/>
      <c r="Q76" s="88">
        <f t="shared" si="0"/>
        <v>0</v>
      </c>
      <c r="R76" s="88">
        <f t="shared" si="1"/>
        <v>0</v>
      </c>
      <c r="S76" s="88">
        <f t="shared" si="2"/>
        <v>0</v>
      </c>
      <c r="T76" s="89">
        <f t="shared" si="24"/>
        <v>0</v>
      </c>
      <c r="U76" s="80" t="str">
        <f t="shared" si="4"/>
        <v/>
      </c>
      <c r="V76" s="81" t="str">
        <f>IF(OR($AM76="",ISNUMBER($AM76)=FALSE),"",IF(AND(#REF!="Tolerance",$E76&lt;&gt;""),($S76-$E76)/(($J76-$K76)/2),IF(AND(#REF!="GD&amp;T",$F76&lt;&gt;""),$S76/$F76,"")))</f>
        <v/>
      </c>
      <c r="W76" s="81" t="str">
        <f t="shared" si="10"/>
        <v/>
      </c>
      <c r="X76" s="80" t="str">
        <f t="shared" si="5"/>
        <v/>
      </c>
      <c r="Y76" s="80" t="str">
        <f t="shared" si="6"/>
        <v/>
      </c>
      <c r="Z76" s="80" t="str">
        <f t="shared" si="7"/>
        <v/>
      </c>
      <c r="AA76" s="70" t="str">
        <f t="shared" si="8"/>
        <v/>
      </c>
      <c r="AB76" s="71" t="e">
        <f>IF($S76="","",IF(#REF!="Tolerance",IF((#REF!*3*T76+S76)-E76&lt;F76,"",(#REF!*3*T76+S76)-E76),IF(OR(#REF!="GD&amp;T",#REF!="MAX"),IF((#REF!*3*T76+S76)&lt;F76,"",(#REF!*3*T76+S76)),"")))</f>
        <v>#REF!</v>
      </c>
      <c r="AC76" s="71" t="e">
        <f>IF(S76="","",IF(#REF!="Tolerance",IF(-((#REF!*3*T76)-S76)-E76&gt;G76,"",-((#REF!*3*T76)-S76)-E76),IF(#REF!="MIN",IF(-((#REF!*3*T76)-S76)&gt;G76,"",-((#REF!*3*T76)-S76)),"")))</f>
        <v>#REF!</v>
      </c>
      <c r="AD76" s="71">
        <f t="shared" si="11"/>
        <v>19.952000000000002</v>
      </c>
      <c r="AE76" s="71" t="str">
        <f t="shared" si="9"/>
        <v/>
      </c>
      <c r="AF76" s="82"/>
      <c r="AG76" s="83" t="str">
        <f t="shared" si="12"/>
        <v/>
      </c>
      <c r="AH76" s="125"/>
      <c r="AI76" s="72"/>
      <c r="AJ76" s="72"/>
      <c r="AK76" s="73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</row>
    <row r="77" spans="2:70" ht="19.149999999999999" customHeight="1">
      <c r="B77" s="66" t="s">
        <v>241</v>
      </c>
      <c r="C77" s="75" t="s">
        <v>183</v>
      </c>
      <c r="D77" s="85" t="s">
        <v>45</v>
      </c>
      <c r="E77" s="86">
        <v>4.5609999999999999</v>
      </c>
      <c r="F77" s="87">
        <v>0.03</v>
      </c>
      <c r="G77" s="87">
        <v>-0.03</v>
      </c>
      <c r="H77" s="79" t="s">
        <v>46</v>
      </c>
      <c r="I77" s="67"/>
      <c r="J77" s="68">
        <v>4.5910000000000002</v>
      </c>
      <c r="K77" s="68">
        <v>4.5309999999999997</v>
      </c>
      <c r="L77" s="68">
        <v>4.5865</v>
      </c>
      <c r="M77" s="68">
        <v>4.5354999999999999</v>
      </c>
      <c r="N77" s="116"/>
      <c r="O77" s="116"/>
      <c r="P77" s="69"/>
      <c r="Q77" s="88">
        <f t="shared" si="0"/>
        <v>0</v>
      </c>
      <c r="R77" s="88">
        <f t="shared" si="1"/>
        <v>0</v>
      </c>
      <c r="S77" s="88">
        <f t="shared" si="2"/>
        <v>0</v>
      </c>
      <c r="T77" s="89">
        <f t="shared" si="24"/>
        <v>0</v>
      </c>
      <c r="U77" s="80" t="str">
        <f t="shared" si="4"/>
        <v/>
      </c>
      <c r="V77" s="81" t="str">
        <f>IF(OR($AM77="",ISNUMBER($AM77)=FALSE),"",IF(AND(#REF!="Tolerance",$E77&lt;&gt;""),($S77-$E77)/(($J77-$K77)/2),IF(AND(#REF!="GD&amp;T",$F77&lt;&gt;""),$S77/$F77,"")))</f>
        <v/>
      </c>
      <c r="W77" s="81" t="str">
        <f t="shared" si="10"/>
        <v/>
      </c>
      <c r="X77" s="80" t="str">
        <f t="shared" si="5"/>
        <v/>
      </c>
      <c r="Y77" s="80" t="str">
        <f t="shared" si="6"/>
        <v/>
      </c>
      <c r="Z77" s="80" t="str">
        <f t="shared" si="7"/>
        <v/>
      </c>
      <c r="AA77" s="70" t="str">
        <f t="shared" si="8"/>
        <v/>
      </c>
      <c r="AB77" s="71" t="e">
        <f>IF($S77="","",IF(#REF!="Tolerance",IF((#REF!*3*T77+S77)-E77&lt;F77,"",(#REF!*3*T77+S77)-E77),IF(OR(#REF!="GD&amp;T",#REF!="MAX"),IF((#REF!*3*T77+S77)&lt;F77,"",(#REF!*3*T77+S77)),"")))</f>
        <v>#REF!</v>
      </c>
      <c r="AC77" s="71" t="e">
        <f>IF(S77="","",IF(#REF!="Tolerance",IF(-((#REF!*3*T77)-S77)-E77&gt;G77,"",-((#REF!*3*T77)-S77)-E77),IF(#REF!="MIN",IF(-((#REF!*3*T77)-S77)&gt;G77,"",-((#REF!*3*T77)-S77)),"")))</f>
        <v>#REF!</v>
      </c>
      <c r="AD77" s="71">
        <f t="shared" si="11"/>
        <v>4.5609999999999999</v>
      </c>
      <c r="AE77" s="71" t="str">
        <f t="shared" si="9"/>
        <v/>
      </c>
      <c r="AF77" s="82"/>
      <c r="AG77" s="83" t="str">
        <f t="shared" si="12"/>
        <v/>
      </c>
      <c r="AH77" s="125"/>
      <c r="AI77" s="72"/>
      <c r="AJ77" s="72"/>
      <c r="AK77" s="73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</row>
    <row r="78" spans="2:70" ht="19.149999999999999" customHeight="1">
      <c r="B78" s="66" t="s">
        <v>241</v>
      </c>
      <c r="C78" s="75" t="s">
        <v>184</v>
      </c>
      <c r="D78" s="85" t="s">
        <v>45</v>
      </c>
      <c r="E78" s="86">
        <v>4.5609999999999999</v>
      </c>
      <c r="F78" s="87">
        <v>0.03</v>
      </c>
      <c r="G78" s="87">
        <v>-0.03</v>
      </c>
      <c r="H78" s="79" t="s">
        <v>46</v>
      </c>
      <c r="I78" s="67"/>
      <c r="J78" s="68">
        <v>4.5910000000000002</v>
      </c>
      <c r="K78" s="68">
        <v>4.5309999999999997</v>
      </c>
      <c r="L78" s="68">
        <v>4.5865</v>
      </c>
      <c r="M78" s="68">
        <v>4.5354999999999999</v>
      </c>
      <c r="N78" s="116"/>
      <c r="O78" s="116"/>
      <c r="P78" s="69"/>
      <c r="Q78" s="88">
        <f t="shared" si="0"/>
        <v>0</v>
      </c>
      <c r="R78" s="88">
        <f t="shared" si="1"/>
        <v>0</v>
      </c>
      <c r="S78" s="88">
        <f t="shared" si="2"/>
        <v>0</v>
      </c>
      <c r="T78" s="89">
        <f t="shared" si="24"/>
        <v>0</v>
      </c>
      <c r="U78" s="80" t="str">
        <f t="shared" si="4"/>
        <v/>
      </c>
      <c r="V78" s="81" t="str">
        <f>IF(OR($AM78="",ISNUMBER($AM78)=FALSE),"",IF(AND(#REF!="Tolerance",$E78&lt;&gt;""),($S78-$E78)/(($J78-$K78)/2),IF(AND(#REF!="GD&amp;T",$F78&lt;&gt;""),$S78/$F78,"")))</f>
        <v/>
      </c>
      <c r="W78" s="81" t="str">
        <f t="shared" si="10"/>
        <v/>
      </c>
      <c r="X78" s="80" t="str">
        <f t="shared" si="5"/>
        <v/>
      </c>
      <c r="Y78" s="80" t="str">
        <f t="shared" si="6"/>
        <v/>
      </c>
      <c r="Z78" s="80" t="str">
        <f t="shared" si="7"/>
        <v/>
      </c>
      <c r="AA78" s="70" t="str">
        <f t="shared" si="8"/>
        <v/>
      </c>
      <c r="AB78" s="71" t="e">
        <f>IF($S78="","",IF(#REF!="Tolerance",IF((#REF!*3*T78+S78)-E78&lt;F78,"",(#REF!*3*T78+S78)-E78),IF(OR(#REF!="GD&amp;T",#REF!="MAX"),IF((#REF!*3*T78+S78)&lt;F78,"",(#REF!*3*T78+S78)),"")))</f>
        <v>#REF!</v>
      </c>
      <c r="AC78" s="71" t="e">
        <f>IF(S78="","",IF(#REF!="Tolerance",IF(-((#REF!*3*T78)-S78)-E78&gt;G78,"",-((#REF!*3*T78)-S78)-E78),IF(#REF!="MIN",IF(-((#REF!*3*T78)-S78)&gt;G78,"",-((#REF!*3*T78)-S78)),"")))</f>
        <v>#REF!</v>
      </c>
      <c r="AD78" s="71">
        <f t="shared" si="11"/>
        <v>4.5609999999999999</v>
      </c>
      <c r="AE78" s="71" t="str">
        <f t="shared" si="9"/>
        <v/>
      </c>
      <c r="AF78" s="82"/>
      <c r="AG78" s="83" t="str">
        <f t="shared" si="12"/>
        <v/>
      </c>
      <c r="AH78" s="125"/>
      <c r="AI78" s="72"/>
      <c r="AJ78" s="72"/>
      <c r="AK78" s="73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</row>
    <row r="79" spans="2:70" ht="19.149999999999999" customHeight="1">
      <c r="B79" s="90" t="s">
        <v>241</v>
      </c>
      <c r="C79" s="75" t="s">
        <v>185</v>
      </c>
      <c r="D79" s="85" t="s">
        <v>45</v>
      </c>
      <c r="E79" s="86">
        <v>4.5609999999999999</v>
      </c>
      <c r="F79" s="87">
        <v>0.03</v>
      </c>
      <c r="G79" s="87">
        <v>-0.03</v>
      </c>
      <c r="H79" s="79" t="s">
        <v>46</v>
      </c>
      <c r="I79" s="67"/>
      <c r="J79" s="68">
        <v>4.5910000000000002</v>
      </c>
      <c r="K79" s="68">
        <v>4.5309999999999997</v>
      </c>
      <c r="L79" s="68">
        <v>4.5865</v>
      </c>
      <c r="M79" s="68">
        <v>4.5354999999999999</v>
      </c>
      <c r="N79" s="116"/>
      <c r="O79" s="116"/>
      <c r="P79" s="69"/>
      <c r="Q79" s="88">
        <f t="shared" si="0"/>
        <v>0</v>
      </c>
      <c r="R79" s="88">
        <f t="shared" si="1"/>
        <v>0</v>
      </c>
      <c r="S79" s="88">
        <f t="shared" si="2"/>
        <v>0</v>
      </c>
      <c r="T79" s="89">
        <f t="shared" si="24"/>
        <v>0</v>
      </c>
      <c r="U79" s="80" t="str">
        <f t="shared" si="4"/>
        <v/>
      </c>
      <c r="V79" s="81" t="str">
        <f>IF(OR($AM79="",ISNUMBER($AM79)=FALSE),"",IF(AND(#REF!="Tolerance",$E79&lt;&gt;""),($S79-$E79)/(($J79-$K79)/2),IF(AND(#REF!="GD&amp;T",$F79&lt;&gt;""),$S79/$F79,"")))</f>
        <v/>
      </c>
      <c r="W79" s="81" t="str">
        <f t="shared" si="10"/>
        <v/>
      </c>
      <c r="X79" s="80" t="str">
        <f t="shared" si="5"/>
        <v/>
      </c>
      <c r="Y79" s="80" t="str">
        <f t="shared" si="6"/>
        <v/>
      </c>
      <c r="Z79" s="80" t="str">
        <f t="shared" si="7"/>
        <v/>
      </c>
      <c r="AA79" s="70" t="str">
        <f t="shared" si="8"/>
        <v/>
      </c>
      <c r="AB79" s="71" t="e">
        <f>IF($S79="","",IF(#REF!="Tolerance",IF((#REF!*3*T79+S79)-E79&lt;F79,"",(#REF!*3*T79+S79)-E79),IF(OR(#REF!="GD&amp;T",#REF!="MAX"),IF((#REF!*3*T79+S79)&lt;F79,"",(#REF!*3*T79+S79)),"")))</f>
        <v>#REF!</v>
      </c>
      <c r="AC79" s="71" t="e">
        <f>IF(S79="","",IF(#REF!="Tolerance",IF(-((#REF!*3*T79)-S79)-E79&gt;G79,"",-((#REF!*3*T79)-S79)-E79),IF(#REF!="MIN",IF(-((#REF!*3*T79)-S79)&gt;G79,"",-((#REF!*3*T79)-S79)),"")))</f>
        <v>#REF!</v>
      </c>
      <c r="AD79" s="71">
        <f t="shared" si="11"/>
        <v>4.5609999999999999</v>
      </c>
      <c r="AE79" s="71" t="str">
        <f t="shared" si="9"/>
        <v/>
      </c>
      <c r="AF79" s="82"/>
      <c r="AG79" s="83" t="str">
        <f t="shared" si="12"/>
        <v/>
      </c>
      <c r="AH79" s="125"/>
      <c r="AI79" s="72"/>
      <c r="AJ79" s="72"/>
      <c r="AK79" s="73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</row>
    <row r="80" spans="2:70" ht="19.149999999999999" customHeight="1">
      <c r="B80" s="90" t="s">
        <v>241</v>
      </c>
      <c r="C80" s="75" t="s">
        <v>186</v>
      </c>
      <c r="D80" s="85" t="s">
        <v>45</v>
      </c>
      <c r="E80" s="86">
        <v>4.5609999999999999</v>
      </c>
      <c r="F80" s="87">
        <v>0.03</v>
      </c>
      <c r="G80" s="87">
        <v>-0.03</v>
      </c>
      <c r="H80" s="79" t="s">
        <v>46</v>
      </c>
      <c r="I80" s="67"/>
      <c r="J80" s="68">
        <v>4.5910000000000002</v>
      </c>
      <c r="K80" s="68">
        <v>4.5309999999999997</v>
      </c>
      <c r="L80" s="68">
        <v>4.5865</v>
      </c>
      <c r="M80" s="68">
        <v>4.5354999999999999</v>
      </c>
      <c r="N80" s="116"/>
      <c r="O80" s="116"/>
      <c r="P80" s="69"/>
      <c r="Q80" s="88">
        <f t="shared" si="0"/>
        <v>0</v>
      </c>
      <c r="R80" s="88">
        <f t="shared" si="1"/>
        <v>0</v>
      </c>
      <c r="S80" s="88">
        <f t="shared" si="2"/>
        <v>0</v>
      </c>
      <c r="T80" s="89">
        <f t="shared" si="24"/>
        <v>0</v>
      </c>
      <c r="U80" s="80" t="str">
        <f t="shared" si="4"/>
        <v/>
      </c>
      <c r="V80" s="81" t="str">
        <f>IF(OR($AM80="",ISNUMBER($AM80)=FALSE),"",IF(AND(#REF!="Tolerance",$E80&lt;&gt;""),($S80-$E80)/(($J80-$K80)/2),IF(AND(#REF!="GD&amp;T",$F80&lt;&gt;""),$S80/$F80,"")))</f>
        <v/>
      </c>
      <c r="W80" s="81" t="str">
        <f t="shared" si="10"/>
        <v/>
      </c>
      <c r="X80" s="80" t="str">
        <f t="shared" si="5"/>
        <v/>
      </c>
      <c r="Y80" s="80" t="str">
        <f t="shared" si="6"/>
        <v/>
      </c>
      <c r="Z80" s="80" t="str">
        <f t="shared" si="7"/>
        <v/>
      </c>
      <c r="AA80" s="70" t="str">
        <f t="shared" si="8"/>
        <v/>
      </c>
      <c r="AB80" s="71" t="e">
        <f>IF($S80="","",IF(#REF!="Tolerance",IF((#REF!*3*T80+S80)-E80&lt;F80,"",(#REF!*3*T80+S80)-E80),IF(OR(#REF!="GD&amp;T",#REF!="MAX"),IF((#REF!*3*T80+S80)&lt;F80,"",(#REF!*3*T80+S80)),"")))</f>
        <v>#REF!</v>
      </c>
      <c r="AC80" s="71" t="e">
        <f>IF(S80="","",IF(#REF!="Tolerance",IF(-((#REF!*3*T80)-S80)-E80&gt;G80,"",-((#REF!*3*T80)-S80)-E80),IF(#REF!="MIN",IF(-((#REF!*3*T80)-S80)&gt;G80,"",-((#REF!*3*T80)-S80)),"")))</f>
        <v>#REF!</v>
      </c>
      <c r="AD80" s="71">
        <f t="shared" si="11"/>
        <v>4.5609999999999999</v>
      </c>
      <c r="AE80" s="71" t="str">
        <f t="shared" si="9"/>
        <v/>
      </c>
      <c r="AF80" s="82"/>
      <c r="AG80" s="83" t="str">
        <f t="shared" si="12"/>
        <v/>
      </c>
      <c r="AH80" s="125"/>
      <c r="AI80" s="72"/>
      <c r="AJ80" s="72"/>
      <c r="AK80" s="73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</row>
    <row r="81" spans="2:70" ht="19.149999999999999" customHeight="1">
      <c r="B81" s="90" t="s">
        <v>241</v>
      </c>
      <c r="C81" s="75" t="s">
        <v>187</v>
      </c>
      <c r="D81" s="85" t="s">
        <v>45</v>
      </c>
      <c r="E81" s="86">
        <v>4.5609999999999999</v>
      </c>
      <c r="F81" s="87">
        <v>0.03</v>
      </c>
      <c r="G81" s="87">
        <v>-0.03</v>
      </c>
      <c r="H81" s="79" t="s">
        <v>46</v>
      </c>
      <c r="I81" s="67"/>
      <c r="J81" s="68">
        <v>4.5910000000000002</v>
      </c>
      <c r="K81" s="68">
        <v>4.5309999999999997</v>
      </c>
      <c r="L81" s="68">
        <v>4.5865</v>
      </c>
      <c r="M81" s="68">
        <v>4.5354999999999999</v>
      </c>
      <c r="N81" s="116"/>
      <c r="O81" s="116"/>
      <c r="P81" s="69"/>
      <c r="Q81" s="88">
        <f t="shared" ref="Q81:Q132" si="25">IF(OR($AM81=ISBLANK(TRUE),ISNUMBER($AM81)=FALSE),,MAX(AM81:BR81))</f>
        <v>0</v>
      </c>
      <c r="R81" s="88">
        <f t="shared" ref="R81:R132" si="26">IF(OR($AM81=ISBLANK(TRUE),ISNUMBER($AM81)=FALSE),,MIN(AM81:BR81))</f>
        <v>0</v>
      </c>
      <c r="S81" s="88">
        <f t="shared" ref="S81:S132" si="27">IF(OR($AM81=ISBLANK(TRUE),ISNUMBER($AM81)=FALSE),,AVERAGE(AM81:BR81))</f>
        <v>0</v>
      </c>
      <c r="T81" s="89">
        <f t="shared" si="24"/>
        <v>0</v>
      </c>
      <c r="U81" s="80" t="str">
        <f t="shared" ref="U81:U132" si="28">IF(OR($AM81="",ISNUMBER($AM81)=FALSE),"",IF(AND(E81=0,G81=0),X81,IF(AND(E81="",F81=""),Y81,(F81+ABS(G81))/(6*T81))))</f>
        <v/>
      </c>
      <c r="V81" s="81" t="str">
        <f>IF(OR($AM81="",ISNUMBER($AM81)=FALSE),"",IF(AND(#REF!="Tolerance",$E81&lt;&gt;""),($S81-$E81)/(($J81-$K81)/2),IF(AND(#REF!="GD&amp;T",$F81&lt;&gt;""),$S81/$F81,"")))</f>
        <v/>
      </c>
      <c r="W81" s="81" t="str">
        <f t="shared" si="10"/>
        <v/>
      </c>
      <c r="X81" s="80" t="str">
        <f t="shared" ref="X81:X132" si="29">IF(OR($AM81="",ISNUMBER($AM81)=FALSE),"",IF(F81="","",(J81-S81)/(3*T81)))</f>
        <v/>
      </c>
      <c r="Y81" s="80" t="str">
        <f t="shared" ref="Y81:Y132" si="30">IF(OR($AM81="",ISNUMBER($AM81)=FALSE),"",IF(G81="","",(S81-K81)/(3*T81)))</f>
        <v/>
      </c>
      <c r="Z81" s="80" t="str">
        <f t="shared" ref="Z81:Z132" si="31">IF(OR($AM81="",ISNUMBER($AM81)=FALSE),"",IF(AND(E81=0,G81=0),((F81)-(S81))/(3*T81),MIN(X81:Y81)))</f>
        <v/>
      </c>
      <c r="AA81" s="70" t="str">
        <f t="shared" ref="AA81:AA132" si="32">IF(OR($AM81="",ISNUMBER($AM81)=FALSE),"",IF(AND(E81=0,G81=0),NORMSDIST(3*Z81),NORMSDIST(3*Z81)+NORMSDIST(6*U81-3*Z81)-1))</f>
        <v/>
      </c>
      <c r="AB81" s="71" t="e">
        <f>IF($S81="","",IF(#REF!="Tolerance",IF((#REF!*3*T81+S81)-E81&lt;F81,"",(#REF!*3*T81+S81)-E81),IF(OR(#REF!="GD&amp;T",#REF!="MAX"),IF((#REF!*3*T81+S81)&lt;F81,"",(#REF!*3*T81+S81)),"")))</f>
        <v>#REF!</v>
      </c>
      <c r="AC81" s="71" t="e">
        <f>IF(S81="","",IF(#REF!="Tolerance",IF(-((#REF!*3*T81)-S81)-E81&gt;G81,"",-((#REF!*3*T81)-S81)-E81),IF(#REF!="MIN",IF(-((#REF!*3*T81)-S81)&gt;G81,"",-((#REF!*3*T81)-S81)),"")))</f>
        <v>#REF!</v>
      </c>
      <c r="AD81" s="71">
        <f t="shared" si="11"/>
        <v>4.5609999999999999</v>
      </c>
      <c r="AE81" s="71" t="str">
        <f t="shared" ref="AE81:AE140" si="33">IF(OR($U81&gt;$AE$4,$T81=""),"",$AE$4*6*$T81)</f>
        <v/>
      </c>
      <c r="AF81" s="82"/>
      <c r="AG81" s="83" t="str">
        <f t="shared" si="12"/>
        <v/>
      </c>
      <c r="AH81" s="125"/>
      <c r="AI81" s="72"/>
      <c r="AJ81" s="72"/>
      <c r="AK81" s="73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</row>
    <row r="82" spans="2:70" ht="19.149999999999999" customHeight="1">
      <c r="B82" s="90" t="s">
        <v>241</v>
      </c>
      <c r="C82" s="75" t="s">
        <v>188</v>
      </c>
      <c r="D82" s="85" t="s">
        <v>45</v>
      </c>
      <c r="E82" s="86">
        <v>4.5609999999999999</v>
      </c>
      <c r="F82" s="87">
        <v>0.03</v>
      </c>
      <c r="G82" s="87">
        <v>-0.03</v>
      </c>
      <c r="H82" s="79" t="s">
        <v>46</v>
      </c>
      <c r="I82" s="67"/>
      <c r="J82" s="68">
        <v>4.5910000000000002</v>
      </c>
      <c r="K82" s="68">
        <v>4.5309999999999997</v>
      </c>
      <c r="L82" s="68">
        <v>4.5865</v>
      </c>
      <c r="M82" s="68">
        <v>4.5354999999999999</v>
      </c>
      <c r="N82" s="116"/>
      <c r="O82" s="116"/>
      <c r="P82" s="69"/>
      <c r="Q82" s="88">
        <f t="shared" si="25"/>
        <v>0</v>
      </c>
      <c r="R82" s="88">
        <f t="shared" si="26"/>
        <v>0</v>
      </c>
      <c r="S82" s="88">
        <f t="shared" si="27"/>
        <v>0</v>
      </c>
      <c r="T82" s="89">
        <f t="shared" si="24"/>
        <v>0</v>
      </c>
      <c r="U82" s="80" t="str">
        <f t="shared" si="28"/>
        <v/>
      </c>
      <c r="V82" s="81" t="str">
        <f>IF(OR($AM82="",ISNUMBER($AM82)=FALSE),"",IF(AND(#REF!="Tolerance",$E82&lt;&gt;""),($S82-$E82)/(($J82-$K82)/2),IF(AND(#REF!="GD&amp;T",$F82&lt;&gt;""),$S82/$F82,"")))</f>
        <v/>
      </c>
      <c r="W82" s="81" t="str">
        <f t="shared" ref="W82:W140" si="34">IF($V82="","",IF(ABS($V82)&lt;=0.125, "Level A",IF(AND(ABS($V82)&gt;0.125,ABS($V82)&lt;=0.25), "Level B",IF(AND(ABS($V82)&gt;0.25,ABS($V82)&lt;=0.5), "Level C", IF(ABS($V82)&gt;0.5, "Level D")))))</f>
        <v/>
      </c>
      <c r="X82" s="80" t="str">
        <f t="shared" si="29"/>
        <v/>
      </c>
      <c r="Y82" s="80" t="str">
        <f t="shared" si="30"/>
        <v/>
      </c>
      <c r="Z82" s="80" t="str">
        <f t="shared" si="31"/>
        <v/>
      </c>
      <c r="AA82" s="70" t="str">
        <f t="shared" si="32"/>
        <v/>
      </c>
      <c r="AB82" s="71" t="e">
        <f>IF($S82="","",IF(#REF!="Tolerance",IF((#REF!*3*T82+S82)-E82&lt;F82,"",(#REF!*3*T82+S82)-E82),IF(OR(#REF!="GD&amp;T",#REF!="MAX"),IF((#REF!*3*T82+S82)&lt;F82,"",(#REF!*3*T82+S82)),"")))</f>
        <v>#REF!</v>
      </c>
      <c r="AC82" s="71" t="e">
        <f>IF(S82="","",IF(#REF!="Tolerance",IF(-((#REF!*3*T82)-S82)-E82&gt;G82,"",-((#REF!*3*T82)-S82)-E82),IF(#REF!="MIN",IF(-((#REF!*3*T82)-S82)&gt;G82,"",-((#REF!*3*T82)-S82)),"")))</f>
        <v>#REF!</v>
      </c>
      <c r="AD82" s="71">
        <f t="shared" ref="AD82:AD133" si="35">IF(OR(E82="",S82=""),"",(J82+K82)/2-S82)</f>
        <v>4.5609999999999999</v>
      </c>
      <c r="AE82" s="71" t="str">
        <f t="shared" si="33"/>
        <v/>
      </c>
      <c r="AF82" s="82"/>
      <c r="AG82" s="83" t="str">
        <f t="shared" ref="AG82:AG133" si="36">IF(AF82="","",IF(AF82&gt;=0.966,"Normal","Not Normal"))</f>
        <v/>
      </c>
      <c r="AH82" s="125"/>
      <c r="AI82" s="72"/>
      <c r="AJ82" s="72"/>
      <c r="AK82" s="73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</row>
    <row r="83" spans="2:70" ht="19.149999999999999" customHeight="1">
      <c r="B83" s="90" t="s">
        <v>242</v>
      </c>
      <c r="C83" s="75" t="s">
        <v>193</v>
      </c>
      <c r="D83" s="85" t="s">
        <v>45</v>
      </c>
      <c r="E83" s="86">
        <v>23.286000000000001</v>
      </c>
      <c r="F83" s="87">
        <v>0.03</v>
      </c>
      <c r="G83" s="87">
        <v>-0.03</v>
      </c>
      <c r="H83" s="79" t="s">
        <v>46</v>
      </c>
      <c r="I83" s="67"/>
      <c r="J83" s="68">
        <v>23.316000000000003</v>
      </c>
      <c r="K83" s="68">
        <v>23.256</v>
      </c>
      <c r="L83" s="68">
        <v>23.311500000000002</v>
      </c>
      <c r="M83" s="68">
        <v>23.2605</v>
      </c>
      <c r="N83" s="116"/>
      <c r="O83" s="116"/>
      <c r="P83" s="69"/>
      <c r="Q83" s="88">
        <f t="shared" si="25"/>
        <v>0</v>
      </c>
      <c r="R83" s="88">
        <f t="shared" si="26"/>
        <v>0</v>
      </c>
      <c r="S83" s="88">
        <f t="shared" si="27"/>
        <v>0</v>
      </c>
      <c r="T83" s="89">
        <f t="shared" si="24"/>
        <v>0</v>
      </c>
      <c r="U83" s="80" t="str">
        <f t="shared" si="28"/>
        <v/>
      </c>
      <c r="V83" s="81" t="str">
        <f>IF(OR($AM83="",ISNUMBER($AM83)=FALSE),"",IF(AND(#REF!="Tolerance",$E83&lt;&gt;""),($S83-$E83)/(($J83-$K83)/2),IF(AND(#REF!="GD&amp;T",$F83&lt;&gt;""),$S83/$F83,"")))</f>
        <v/>
      </c>
      <c r="W83" s="81" t="str">
        <f t="shared" si="34"/>
        <v/>
      </c>
      <c r="X83" s="80" t="str">
        <f t="shared" si="29"/>
        <v/>
      </c>
      <c r="Y83" s="80" t="str">
        <f t="shared" si="30"/>
        <v/>
      </c>
      <c r="Z83" s="80" t="str">
        <f t="shared" si="31"/>
        <v/>
      </c>
      <c r="AA83" s="70" t="str">
        <f t="shared" si="32"/>
        <v/>
      </c>
      <c r="AB83" s="71" t="e">
        <f>IF($S83="","",IF(#REF!="Tolerance",IF((#REF!*3*T83+S83)-E83&lt;F83,"",(#REF!*3*T83+S83)-E83),IF(OR(#REF!="GD&amp;T",#REF!="MAX"),IF((#REF!*3*T83+S83)&lt;F83,"",(#REF!*3*T83+S83)),"")))</f>
        <v>#REF!</v>
      </c>
      <c r="AC83" s="71" t="e">
        <f>IF(S83="","",IF(#REF!="Tolerance",IF(-((#REF!*3*T83)-S83)-E83&gt;G83,"",-((#REF!*3*T83)-S83)-E83),IF(#REF!="MIN",IF(-((#REF!*3*T83)-S83)&gt;G83,"",-((#REF!*3*T83)-S83)),"")))</f>
        <v>#REF!</v>
      </c>
      <c r="AD83" s="71">
        <f t="shared" si="35"/>
        <v>23.286000000000001</v>
      </c>
      <c r="AE83" s="71" t="str">
        <f t="shared" si="33"/>
        <v/>
      </c>
      <c r="AF83" s="82"/>
      <c r="AG83" s="83" t="str">
        <f t="shared" si="36"/>
        <v/>
      </c>
      <c r="AH83" s="125"/>
      <c r="AI83" s="72"/>
      <c r="AJ83" s="72"/>
      <c r="AK83" s="73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</row>
    <row r="84" spans="2:70" ht="19.149999999999999" customHeight="1">
      <c r="B84" s="66" t="s">
        <v>242</v>
      </c>
      <c r="C84" s="75" t="s">
        <v>194</v>
      </c>
      <c r="D84" s="85" t="s">
        <v>45</v>
      </c>
      <c r="E84" s="86">
        <v>23.286000000000001</v>
      </c>
      <c r="F84" s="87">
        <v>0.03</v>
      </c>
      <c r="G84" s="87">
        <v>-0.03</v>
      </c>
      <c r="H84" s="79" t="s">
        <v>46</v>
      </c>
      <c r="I84" s="67"/>
      <c r="J84" s="68">
        <v>23.316000000000003</v>
      </c>
      <c r="K84" s="68">
        <v>23.256</v>
      </c>
      <c r="L84" s="68">
        <v>23.311500000000002</v>
      </c>
      <c r="M84" s="68">
        <v>23.2605</v>
      </c>
      <c r="N84" s="116"/>
      <c r="O84" s="116"/>
      <c r="P84" s="69"/>
      <c r="Q84" s="88">
        <f t="shared" si="25"/>
        <v>0</v>
      </c>
      <c r="R84" s="88">
        <f t="shared" si="26"/>
        <v>0</v>
      </c>
      <c r="S84" s="88">
        <f t="shared" si="27"/>
        <v>0</v>
      </c>
      <c r="T84" s="89">
        <f t="shared" si="24"/>
        <v>0</v>
      </c>
      <c r="U84" s="80" t="str">
        <f t="shared" si="28"/>
        <v/>
      </c>
      <c r="V84" s="81" t="str">
        <f>IF(OR($AM84="",ISNUMBER($AM84)=FALSE),"",IF(AND(#REF!="Tolerance",$E84&lt;&gt;""),($S84-$E84)/(($J84-$K84)/2),IF(AND(#REF!="GD&amp;T",$F84&lt;&gt;""),$S84/$F84,"")))</f>
        <v/>
      </c>
      <c r="W84" s="81" t="str">
        <f t="shared" si="34"/>
        <v/>
      </c>
      <c r="X84" s="80" t="str">
        <f t="shared" si="29"/>
        <v/>
      </c>
      <c r="Y84" s="80" t="str">
        <f t="shared" si="30"/>
        <v/>
      </c>
      <c r="Z84" s="80" t="str">
        <f t="shared" si="31"/>
        <v/>
      </c>
      <c r="AA84" s="70" t="str">
        <f t="shared" si="32"/>
        <v/>
      </c>
      <c r="AB84" s="71" t="e">
        <f>IF($S84="","",IF(#REF!="Tolerance",IF((#REF!*3*T84+S84)-E84&lt;F84,"",(#REF!*3*T84+S84)-E84),IF(OR(#REF!="GD&amp;T",#REF!="MAX"),IF((#REF!*3*T84+S84)&lt;F84,"",(#REF!*3*T84+S84)),"")))</f>
        <v>#REF!</v>
      </c>
      <c r="AC84" s="71" t="e">
        <f>IF(S84="","",IF(#REF!="Tolerance",IF(-((#REF!*3*T84)-S84)-E84&gt;G84,"",-((#REF!*3*T84)-S84)-E84),IF(#REF!="MIN",IF(-((#REF!*3*T84)-S84)&gt;G84,"",-((#REF!*3*T84)-S84)),"")))</f>
        <v>#REF!</v>
      </c>
      <c r="AD84" s="71">
        <f t="shared" si="35"/>
        <v>23.286000000000001</v>
      </c>
      <c r="AE84" s="71" t="str">
        <f t="shared" si="33"/>
        <v/>
      </c>
      <c r="AF84" s="82"/>
      <c r="AG84" s="83" t="str">
        <f t="shared" si="36"/>
        <v/>
      </c>
      <c r="AH84" s="125"/>
      <c r="AI84" s="72"/>
      <c r="AJ84" s="72"/>
      <c r="AK84" s="73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</row>
    <row r="85" spans="2:70" ht="19.149999999999999" customHeight="1">
      <c r="B85" s="66" t="s">
        <v>243</v>
      </c>
      <c r="C85" s="75" t="s">
        <v>195</v>
      </c>
      <c r="D85" s="85" t="s">
        <v>45</v>
      </c>
      <c r="E85" s="86">
        <v>0.04</v>
      </c>
      <c r="F85" s="87">
        <v>0.04</v>
      </c>
      <c r="G85" s="87">
        <v>-0.04</v>
      </c>
      <c r="H85" s="79" t="s">
        <v>46</v>
      </c>
      <c r="I85" s="67"/>
      <c r="J85" s="68">
        <v>0.08</v>
      </c>
      <c r="K85" s="68">
        <v>0</v>
      </c>
      <c r="L85" s="68">
        <v>7.400000000000001E-2</v>
      </c>
      <c r="M85" s="68">
        <v>5.9999999999999984E-3</v>
      </c>
      <c r="N85" s="116"/>
      <c r="O85" s="116"/>
      <c r="P85" s="69"/>
      <c r="Q85" s="88">
        <f t="shared" si="25"/>
        <v>0</v>
      </c>
      <c r="R85" s="88">
        <f t="shared" si="26"/>
        <v>0</v>
      </c>
      <c r="S85" s="88">
        <f t="shared" si="27"/>
        <v>0</v>
      </c>
      <c r="T85" s="89">
        <f>IF(OR($AM85=ISBLANK(TRUE),ISNUMBER($AM85)=FALSE),,STDEV(AM85:BR85))</f>
        <v>0</v>
      </c>
      <c r="U85" s="80" t="str">
        <f t="shared" si="28"/>
        <v/>
      </c>
      <c r="V85" s="81" t="str">
        <f>IF(OR($AM85="",ISNUMBER($AM85)=FALSE),"",IF(AND(#REF!="Tolerance",$E85&lt;&gt;""),($S85-$E85)/(($J85-$K85)/2),IF(AND(#REF!="GD&amp;T",$F85&lt;&gt;""),$S85/$F85,"")))</f>
        <v/>
      </c>
      <c r="W85" s="81" t="str">
        <f t="shared" si="34"/>
        <v/>
      </c>
      <c r="X85" s="80" t="str">
        <f t="shared" si="29"/>
        <v/>
      </c>
      <c r="Y85" s="80" t="str">
        <f t="shared" si="30"/>
        <v/>
      </c>
      <c r="Z85" s="80" t="str">
        <f t="shared" si="31"/>
        <v/>
      </c>
      <c r="AA85" s="70" t="str">
        <f t="shared" si="32"/>
        <v/>
      </c>
      <c r="AB85" s="71" t="e">
        <f>IF($S85="","",IF(#REF!="Tolerance",IF((#REF!*3*T85+S85)-E85&lt;F85,"",(#REF!*3*T85+S85)-E85),IF(OR(#REF!="GD&amp;T",#REF!="MAX"),IF((#REF!*3*T85+S85)&lt;F85,"",(#REF!*3*T85+S85)),"")))</f>
        <v>#REF!</v>
      </c>
      <c r="AC85" s="71" t="e">
        <f>IF(S85="","",IF(#REF!="Tolerance",IF(-((#REF!*3*T85)-S85)-E85&gt;G85,"",-((#REF!*3*T85)-S85)-E85),IF(#REF!="MIN",IF(-((#REF!*3*T85)-S85)&gt;G85,"",-((#REF!*3*T85)-S85)),"")))</f>
        <v>#REF!</v>
      </c>
      <c r="AD85" s="71">
        <f t="shared" si="35"/>
        <v>0.04</v>
      </c>
      <c r="AE85" s="71" t="str">
        <f t="shared" si="33"/>
        <v/>
      </c>
      <c r="AF85" s="82"/>
      <c r="AG85" s="83" t="str">
        <f t="shared" si="36"/>
        <v/>
      </c>
      <c r="AH85" s="125"/>
      <c r="AI85" s="72"/>
      <c r="AJ85" s="72"/>
      <c r="AK85" s="73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</row>
    <row r="86" spans="2:70" ht="19.149999999999999" customHeight="1">
      <c r="B86" s="66" t="s">
        <v>243</v>
      </c>
      <c r="C86" s="75" t="s">
        <v>196</v>
      </c>
      <c r="D86" s="85" t="s">
        <v>45</v>
      </c>
      <c r="E86" s="86">
        <v>0.04</v>
      </c>
      <c r="F86" s="87">
        <v>0.04</v>
      </c>
      <c r="G86" s="87">
        <v>-0.04</v>
      </c>
      <c r="H86" s="79" t="s">
        <v>46</v>
      </c>
      <c r="I86" s="67"/>
      <c r="J86" s="68">
        <v>0.08</v>
      </c>
      <c r="K86" s="68">
        <v>0</v>
      </c>
      <c r="L86" s="68">
        <v>7.400000000000001E-2</v>
      </c>
      <c r="M86" s="68">
        <v>5.9999999999999984E-3</v>
      </c>
      <c r="N86" s="116"/>
      <c r="O86" s="116"/>
      <c r="P86" s="69"/>
      <c r="Q86" s="88">
        <f t="shared" si="25"/>
        <v>0</v>
      </c>
      <c r="R86" s="88">
        <f t="shared" si="26"/>
        <v>0</v>
      </c>
      <c r="S86" s="88">
        <f t="shared" si="27"/>
        <v>0</v>
      </c>
      <c r="T86" s="89">
        <f t="shared" ref="T86:T137" si="37">IF(OR($AM86=ISBLANK(TRUE),ISNUMBER($AM86)=FALSE),,STDEV(AM86:BR86))</f>
        <v>0</v>
      </c>
      <c r="U86" s="80" t="str">
        <f t="shared" si="28"/>
        <v/>
      </c>
      <c r="V86" s="81" t="str">
        <f>IF(OR($AM86="",ISNUMBER($AM86)=FALSE),"",IF(AND(#REF!="Tolerance",$E86&lt;&gt;""),($S86-$E86)/(($J86-$K86)/2),IF(AND(#REF!="GD&amp;T",$F86&lt;&gt;""),$S86/$F86,"")))</f>
        <v/>
      </c>
      <c r="W86" s="81" t="str">
        <f t="shared" si="34"/>
        <v/>
      </c>
      <c r="X86" s="80" t="str">
        <f t="shared" si="29"/>
        <v/>
      </c>
      <c r="Y86" s="80" t="str">
        <f t="shared" si="30"/>
        <v/>
      </c>
      <c r="Z86" s="80" t="str">
        <f t="shared" si="31"/>
        <v/>
      </c>
      <c r="AA86" s="70" t="str">
        <f t="shared" si="32"/>
        <v/>
      </c>
      <c r="AB86" s="71" t="e">
        <f>IF($S86="","",IF(#REF!="Tolerance",IF((#REF!*3*T86+S86)-E86&lt;F86,"",(#REF!*3*T86+S86)-E86),IF(OR(#REF!="GD&amp;T",#REF!="MAX"),IF((#REF!*3*T86+S86)&lt;F86,"",(#REF!*3*T86+S86)),"")))</f>
        <v>#REF!</v>
      </c>
      <c r="AC86" s="71" t="e">
        <f>IF(S86="","",IF(#REF!="Tolerance",IF(-((#REF!*3*T86)-S86)-E86&gt;G86,"",-((#REF!*3*T86)-S86)-E86),IF(#REF!="MIN",IF(-((#REF!*3*T86)-S86)&gt;G86,"",-((#REF!*3*T86)-S86)),"")))</f>
        <v>#REF!</v>
      </c>
      <c r="AD86" s="71">
        <f t="shared" si="35"/>
        <v>0.04</v>
      </c>
      <c r="AE86" s="71" t="str">
        <f t="shared" si="33"/>
        <v/>
      </c>
      <c r="AF86" s="82"/>
      <c r="AG86" s="83" t="str">
        <f t="shared" si="36"/>
        <v/>
      </c>
      <c r="AH86" s="125"/>
      <c r="AI86" s="72"/>
      <c r="AJ86" s="72"/>
      <c r="AK86" s="73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</row>
    <row r="87" spans="2:70" ht="19.149999999999999" customHeight="1">
      <c r="B87" s="66" t="s">
        <v>243</v>
      </c>
      <c r="C87" s="75" t="s">
        <v>197</v>
      </c>
      <c r="D87" s="85" t="s">
        <v>45</v>
      </c>
      <c r="E87" s="86">
        <v>0.04</v>
      </c>
      <c r="F87" s="87">
        <v>0.04</v>
      </c>
      <c r="G87" s="87">
        <v>-0.04</v>
      </c>
      <c r="H87" s="79" t="s">
        <v>46</v>
      </c>
      <c r="I87" s="67"/>
      <c r="J87" s="68">
        <v>0.08</v>
      </c>
      <c r="K87" s="68">
        <v>0</v>
      </c>
      <c r="L87" s="68">
        <v>7.400000000000001E-2</v>
      </c>
      <c r="M87" s="68">
        <v>5.9999999999999984E-3</v>
      </c>
      <c r="N87" s="116"/>
      <c r="O87" s="116"/>
      <c r="P87" s="69"/>
      <c r="Q87" s="88">
        <f t="shared" si="25"/>
        <v>0</v>
      </c>
      <c r="R87" s="88">
        <f t="shared" si="26"/>
        <v>0</v>
      </c>
      <c r="S87" s="88">
        <f t="shared" si="27"/>
        <v>0</v>
      </c>
      <c r="T87" s="89">
        <f t="shared" si="37"/>
        <v>0</v>
      </c>
      <c r="U87" s="80" t="str">
        <f t="shared" si="28"/>
        <v/>
      </c>
      <c r="V87" s="81" t="str">
        <f>IF(OR($AM87="",ISNUMBER($AM87)=FALSE),"",IF(AND(#REF!="Tolerance",$E87&lt;&gt;""),($S87-$E87)/(($J87-$K87)/2),IF(AND(#REF!="GD&amp;T",$F87&lt;&gt;""),$S87/$F87,"")))</f>
        <v/>
      </c>
      <c r="W87" s="81" t="str">
        <f t="shared" si="34"/>
        <v/>
      </c>
      <c r="X87" s="80" t="str">
        <f t="shared" si="29"/>
        <v/>
      </c>
      <c r="Y87" s="80" t="str">
        <f t="shared" si="30"/>
        <v/>
      </c>
      <c r="Z87" s="80" t="str">
        <f t="shared" si="31"/>
        <v/>
      </c>
      <c r="AA87" s="70" t="str">
        <f t="shared" si="32"/>
        <v/>
      </c>
      <c r="AB87" s="71" t="e">
        <f>IF($S87="","",IF(#REF!="Tolerance",IF((#REF!*3*T87+S87)-E87&lt;F87,"",(#REF!*3*T87+S87)-E87),IF(OR(#REF!="GD&amp;T",#REF!="MAX"),IF((#REF!*3*T87+S87)&lt;F87,"",(#REF!*3*T87+S87)),"")))</f>
        <v>#REF!</v>
      </c>
      <c r="AC87" s="71" t="e">
        <f>IF(S87="","",IF(#REF!="Tolerance",IF(-((#REF!*3*T87)-S87)-E87&gt;G87,"",-((#REF!*3*T87)-S87)-E87),IF(#REF!="MIN",IF(-((#REF!*3*T87)-S87)&gt;G87,"",-((#REF!*3*T87)-S87)),"")))</f>
        <v>#REF!</v>
      </c>
      <c r="AD87" s="71">
        <f t="shared" si="35"/>
        <v>0.04</v>
      </c>
      <c r="AE87" s="71" t="str">
        <f t="shared" si="33"/>
        <v/>
      </c>
      <c r="AF87" s="82"/>
      <c r="AG87" s="83" t="str">
        <f t="shared" si="36"/>
        <v/>
      </c>
      <c r="AH87" s="125"/>
      <c r="AI87" s="72"/>
      <c r="AJ87" s="72"/>
      <c r="AK87" s="73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</row>
    <row r="88" spans="2:70" ht="19.149999999999999" customHeight="1">
      <c r="B88" s="66" t="s">
        <v>243</v>
      </c>
      <c r="C88" s="75" t="s">
        <v>198</v>
      </c>
      <c r="D88" s="85" t="s">
        <v>45</v>
      </c>
      <c r="E88" s="86">
        <v>0.04</v>
      </c>
      <c r="F88" s="87">
        <v>0.04</v>
      </c>
      <c r="G88" s="87">
        <v>-0.04</v>
      </c>
      <c r="H88" s="79" t="s">
        <v>46</v>
      </c>
      <c r="I88" s="67"/>
      <c r="J88" s="68">
        <v>0.08</v>
      </c>
      <c r="K88" s="68">
        <v>0</v>
      </c>
      <c r="L88" s="68">
        <v>7.400000000000001E-2</v>
      </c>
      <c r="M88" s="68">
        <v>5.9999999999999984E-3</v>
      </c>
      <c r="N88" s="116"/>
      <c r="O88" s="116"/>
      <c r="P88" s="69"/>
      <c r="Q88" s="88">
        <f t="shared" si="25"/>
        <v>0</v>
      </c>
      <c r="R88" s="88">
        <f t="shared" si="26"/>
        <v>0</v>
      </c>
      <c r="S88" s="88">
        <f t="shared" si="27"/>
        <v>0</v>
      </c>
      <c r="T88" s="89">
        <f t="shared" si="37"/>
        <v>0</v>
      </c>
      <c r="U88" s="80" t="str">
        <f t="shared" si="28"/>
        <v/>
      </c>
      <c r="V88" s="81" t="str">
        <f>IF(OR($AM88="",ISNUMBER($AM88)=FALSE),"",IF(AND(#REF!="Tolerance",$E88&lt;&gt;""),($S88-$E88)/(($J88-$K88)/2),IF(AND(#REF!="GD&amp;T",$F88&lt;&gt;""),$S88/$F88,"")))</f>
        <v/>
      </c>
      <c r="W88" s="81" t="str">
        <f t="shared" si="34"/>
        <v/>
      </c>
      <c r="X88" s="80" t="str">
        <f t="shared" si="29"/>
        <v/>
      </c>
      <c r="Y88" s="80" t="str">
        <f t="shared" si="30"/>
        <v/>
      </c>
      <c r="Z88" s="80" t="str">
        <f t="shared" si="31"/>
        <v/>
      </c>
      <c r="AA88" s="70" t="str">
        <f t="shared" si="32"/>
        <v/>
      </c>
      <c r="AB88" s="71" t="e">
        <f>IF($S88="","",IF(#REF!="Tolerance",IF((#REF!*3*T88+S88)-E88&lt;F88,"",(#REF!*3*T88+S88)-E88),IF(OR(#REF!="GD&amp;T",#REF!="MAX"),IF((#REF!*3*T88+S88)&lt;F88,"",(#REF!*3*T88+S88)),"")))</f>
        <v>#REF!</v>
      </c>
      <c r="AC88" s="71" t="e">
        <f>IF(S88="","",IF(#REF!="Tolerance",IF(-((#REF!*3*T88)-S88)-E88&gt;G88,"",-((#REF!*3*T88)-S88)-E88),IF(#REF!="MIN",IF(-((#REF!*3*T88)-S88)&gt;G88,"",-((#REF!*3*T88)-S88)),"")))</f>
        <v>#REF!</v>
      </c>
      <c r="AD88" s="71">
        <f t="shared" si="35"/>
        <v>0.04</v>
      </c>
      <c r="AE88" s="71" t="str">
        <f t="shared" si="33"/>
        <v/>
      </c>
      <c r="AF88" s="82"/>
      <c r="AG88" s="83" t="str">
        <f t="shared" si="36"/>
        <v/>
      </c>
      <c r="AH88" s="125"/>
      <c r="AI88" s="72"/>
      <c r="AJ88" s="72"/>
      <c r="AK88" s="73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</row>
    <row r="89" spans="2:70" ht="19.149999999999999" customHeight="1">
      <c r="B89" s="66" t="s">
        <v>243</v>
      </c>
      <c r="C89" s="75" t="s">
        <v>199</v>
      </c>
      <c r="D89" s="85" t="s">
        <v>45</v>
      </c>
      <c r="E89" s="86">
        <v>0.04</v>
      </c>
      <c r="F89" s="87">
        <v>0.04</v>
      </c>
      <c r="G89" s="87">
        <v>-0.04</v>
      </c>
      <c r="H89" s="79" t="s">
        <v>46</v>
      </c>
      <c r="I89" s="67"/>
      <c r="J89" s="68">
        <v>0.08</v>
      </c>
      <c r="K89" s="68">
        <v>0</v>
      </c>
      <c r="L89" s="68">
        <v>7.400000000000001E-2</v>
      </c>
      <c r="M89" s="68">
        <v>5.9999999999999984E-3</v>
      </c>
      <c r="N89" s="116"/>
      <c r="O89" s="116"/>
      <c r="P89" s="69"/>
      <c r="Q89" s="88">
        <f t="shared" si="25"/>
        <v>0</v>
      </c>
      <c r="R89" s="88">
        <f t="shared" si="26"/>
        <v>0</v>
      </c>
      <c r="S89" s="88">
        <f t="shared" si="27"/>
        <v>0</v>
      </c>
      <c r="T89" s="89">
        <f t="shared" si="37"/>
        <v>0</v>
      </c>
      <c r="U89" s="80" t="str">
        <f t="shared" si="28"/>
        <v/>
      </c>
      <c r="V89" s="81" t="str">
        <f>IF(OR($AM89="",ISNUMBER($AM89)=FALSE),"",IF(AND(#REF!="Tolerance",$E89&lt;&gt;""),($S89-$E89)/(($J89-$K89)/2),IF(AND(#REF!="GD&amp;T",$F89&lt;&gt;""),$S89/$F89,"")))</f>
        <v/>
      </c>
      <c r="W89" s="81" t="str">
        <f t="shared" si="34"/>
        <v/>
      </c>
      <c r="X89" s="80" t="str">
        <f t="shared" si="29"/>
        <v/>
      </c>
      <c r="Y89" s="80" t="str">
        <f t="shared" si="30"/>
        <v/>
      </c>
      <c r="Z89" s="80" t="str">
        <f t="shared" si="31"/>
        <v/>
      </c>
      <c r="AA89" s="70" t="str">
        <f t="shared" si="32"/>
        <v/>
      </c>
      <c r="AB89" s="71" t="e">
        <f>IF($S89="","",IF(#REF!="Tolerance",IF((#REF!*3*T89+S89)-E89&lt;F89,"",(#REF!*3*T89+S89)-E89),IF(OR(#REF!="GD&amp;T",#REF!="MAX"),IF((#REF!*3*T89+S89)&lt;F89,"",(#REF!*3*T89+S89)),"")))</f>
        <v>#REF!</v>
      </c>
      <c r="AC89" s="71" t="e">
        <f>IF(S89="","",IF(#REF!="Tolerance",IF(-((#REF!*3*T89)-S89)-E89&gt;G89,"",-((#REF!*3*T89)-S89)-E89),IF(#REF!="MIN",IF(-((#REF!*3*T89)-S89)&gt;G89,"",-((#REF!*3*T89)-S89)),"")))</f>
        <v>#REF!</v>
      </c>
      <c r="AD89" s="71">
        <f t="shared" si="35"/>
        <v>0.04</v>
      </c>
      <c r="AE89" s="71" t="str">
        <f t="shared" si="33"/>
        <v/>
      </c>
      <c r="AF89" s="82"/>
      <c r="AG89" s="83" t="str">
        <f t="shared" si="36"/>
        <v/>
      </c>
      <c r="AH89" s="125"/>
      <c r="AI89" s="72"/>
      <c r="AJ89" s="72"/>
      <c r="AK89" s="73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</row>
    <row r="90" spans="2:70" ht="19.149999999999999" customHeight="1">
      <c r="B90" s="66" t="s">
        <v>243</v>
      </c>
      <c r="C90" s="75" t="s">
        <v>200</v>
      </c>
      <c r="D90" s="85" t="s">
        <v>45</v>
      </c>
      <c r="E90" s="86">
        <v>0.04</v>
      </c>
      <c r="F90" s="87">
        <v>0.04</v>
      </c>
      <c r="G90" s="87">
        <v>-0.04</v>
      </c>
      <c r="H90" s="79" t="s">
        <v>46</v>
      </c>
      <c r="I90" s="67"/>
      <c r="J90" s="68">
        <v>0.08</v>
      </c>
      <c r="K90" s="68">
        <v>0</v>
      </c>
      <c r="L90" s="68">
        <v>7.400000000000001E-2</v>
      </c>
      <c r="M90" s="68">
        <v>5.9999999999999984E-3</v>
      </c>
      <c r="N90" s="116"/>
      <c r="O90" s="116"/>
      <c r="P90" s="69"/>
      <c r="Q90" s="88">
        <f t="shared" si="25"/>
        <v>0</v>
      </c>
      <c r="R90" s="88">
        <f t="shared" si="26"/>
        <v>0</v>
      </c>
      <c r="S90" s="88">
        <f t="shared" si="27"/>
        <v>0</v>
      </c>
      <c r="T90" s="89">
        <f t="shared" si="37"/>
        <v>0</v>
      </c>
      <c r="U90" s="80" t="str">
        <f t="shared" si="28"/>
        <v/>
      </c>
      <c r="V90" s="81" t="str">
        <f>IF(OR($AM90="",ISNUMBER($AM90)=FALSE),"",IF(AND(#REF!="Tolerance",$E90&lt;&gt;""),($S90-$E90)/(($J90-$K90)/2),IF(AND(#REF!="GD&amp;T",$F90&lt;&gt;""),$S90/$F90,"")))</f>
        <v/>
      </c>
      <c r="W90" s="81" t="str">
        <f t="shared" si="34"/>
        <v/>
      </c>
      <c r="X90" s="80" t="str">
        <f t="shared" si="29"/>
        <v/>
      </c>
      <c r="Y90" s="80" t="str">
        <f t="shared" si="30"/>
        <v/>
      </c>
      <c r="Z90" s="80" t="str">
        <f t="shared" si="31"/>
        <v/>
      </c>
      <c r="AA90" s="70" t="str">
        <f t="shared" si="32"/>
        <v/>
      </c>
      <c r="AB90" s="71" t="e">
        <f>IF($S90="","",IF(#REF!="Tolerance",IF((#REF!*3*T90+S90)-E90&lt;F90,"",(#REF!*3*T90+S90)-E90),IF(OR(#REF!="GD&amp;T",#REF!="MAX"),IF((#REF!*3*T90+S90)&lt;F90,"",(#REF!*3*T90+S90)),"")))</f>
        <v>#REF!</v>
      </c>
      <c r="AC90" s="71" t="e">
        <f>IF(S90="","",IF(#REF!="Tolerance",IF(-((#REF!*3*T90)-S90)-E90&gt;G90,"",-((#REF!*3*T90)-S90)-E90),IF(#REF!="MIN",IF(-((#REF!*3*T90)-S90)&gt;G90,"",-((#REF!*3*T90)-S90)),"")))</f>
        <v>#REF!</v>
      </c>
      <c r="AD90" s="71">
        <f t="shared" si="35"/>
        <v>0.04</v>
      </c>
      <c r="AE90" s="71" t="str">
        <f t="shared" si="33"/>
        <v/>
      </c>
      <c r="AF90" s="82"/>
      <c r="AG90" s="83" t="str">
        <f t="shared" si="36"/>
        <v/>
      </c>
      <c r="AH90" s="125"/>
      <c r="AI90" s="72"/>
      <c r="AJ90" s="72"/>
      <c r="AK90" s="73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</row>
    <row r="91" spans="2:70" ht="19.149999999999999" customHeight="1">
      <c r="B91" s="66" t="s">
        <v>243</v>
      </c>
      <c r="C91" s="75" t="s">
        <v>266</v>
      </c>
      <c r="D91" s="85" t="s">
        <v>45</v>
      </c>
      <c r="E91" s="86">
        <v>0.04</v>
      </c>
      <c r="F91" s="87">
        <v>0.04</v>
      </c>
      <c r="G91" s="87">
        <v>-0.04</v>
      </c>
      <c r="H91" s="79" t="s">
        <v>46</v>
      </c>
      <c r="I91" s="67"/>
      <c r="J91" s="68">
        <v>0.08</v>
      </c>
      <c r="K91" s="68">
        <v>0</v>
      </c>
      <c r="L91" s="68">
        <v>7.400000000000001E-2</v>
      </c>
      <c r="M91" s="68">
        <v>5.9999999999999984E-3</v>
      </c>
      <c r="N91" s="116"/>
      <c r="O91" s="116"/>
      <c r="P91" s="69"/>
      <c r="Q91" s="88">
        <f t="shared" si="25"/>
        <v>0</v>
      </c>
      <c r="R91" s="88">
        <f t="shared" si="26"/>
        <v>0</v>
      </c>
      <c r="S91" s="88">
        <f t="shared" si="27"/>
        <v>0</v>
      </c>
      <c r="T91" s="89">
        <f t="shared" si="37"/>
        <v>0</v>
      </c>
      <c r="U91" s="80" t="str">
        <f t="shared" si="28"/>
        <v/>
      </c>
      <c r="V91" s="81" t="str">
        <f>IF(OR($AM91="",ISNUMBER($AM91)=FALSE),"",IF(AND(#REF!="Tolerance",$E91&lt;&gt;""),($S91-$E91)/(($J91-$K91)/2),IF(AND(#REF!="GD&amp;T",$F91&lt;&gt;""),$S91/$F91,"")))</f>
        <v/>
      </c>
      <c r="W91" s="81" t="str">
        <f t="shared" si="34"/>
        <v/>
      </c>
      <c r="X91" s="80" t="str">
        <f t="shared" si="29"/>
        <v/>
      </c>
      <c r="Y91" s="80" t="str">
        <f t="shared" si="30"/>
        <v/>
      </c>
      <c r="Z91" s="80" t="str">
        <f t="shared" si="31"/>
        <v/>
      </c>
      <c r="AA91" s="70" t="str">
        <f t="shared" si="32"/>
        <v/>
      </c>
      <c r="AB91" s="71" t="e">
        <f>IF($S91="","",IF(#REF!="Tolerance",IF((#REF!*3*T91+S91)-E91&lt;F91,"",(#REF!*3*T91+S91)-E91),IF(OR(#REF!="GD&amp;T",#REF!="MAX"),IF((#REF!*3*T91+S91)&lt;F91,"",(#REF!*3*T91+S91)),"")))</f>
        <v>#REF!</v>
      </c>
      <c r="AC91" s="71" t="e">
        <f>IF(S91="","",IF(#REF!="Tolerance",IF(-((#REF!*3*T91)-S91)-E91&gt;G91,"",-((#REF!*3*T91)-S91)-E91),IF(#REF!="MIN",IF(-((#REF!*3*T91)-S91)&gt;G91,"",-((#REF!*3*T91)-S91)),"")))</f>
        <v>#REF!</v>
      </c>
      <c r="AD91" s="71">
        <f t="shared" si="35"/>
        <v>0.04</v>
      </c>
      <c r="AE91" s="71" t="str">
        <f t="shared" si="33"/>
        <v/>
      </c>
      <c r="AF91" s="82"/>
      <c r="AG91" s="83" t="str">
        <f t="shared" si="36"/>
        <v/>
      </c>
      <c r="AH91" s="125"/>
      <c r="AI91" s="72"/>
      <c r="AJ91" s="72"/>
      <c r="AK91" s="73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</row>
    <row r="92" spans="2:70" ht="19.149999999999999" customHeight="1">
      <c r="B92" s="66" t="s">
        <v>243</v>
      </c>
      <c r="C92" s="75" t="s">
        <v>267</v>
      </c>
      <c r="D92" s="85" t="s">
        <v>45</v>
      </c>
      <c r="E92" s="86">
        <v>0.04</v>
      </c>
      <c r="F92" s="87">
        <v>0.04</v>
      </c>
      <c r="G92" s="87">
        <v>-0.04</v>
      </c>
      <c r="H92" s="79" t="s">
        <v>46</v>
      </c>
      <c r="I92" s="67"/>
      <c r="J92" s="68">
        <v>0.08</v>
      </c>
      <c r="K92" s="68">
        <v>0</v>
      </c>
      <c r="L92" s="68">
        <v>7.400000000000001E-2</v>
      </c>
      <c r="M92" s="68">
        <v>5.9999999999999984E-3</v>
      </c>
      <c r="N92" s="116"/>
      <c r="O92" s="116"/>
      <c r="P92" s="69"/>
      <c r="Q92" s="88">
        <f t="shared" si="25"/>
        <v>0</v>
      </c>
      <c r="R92" s="88">
        <f t="shared" si="26"/>
        <v>0</v>
      </c>
      <c r="S92" s="88">
        <f t="shared" si="27"/>
        <v>0</v>
      </c>
      <c r="T92" s="89">
        <f t="shared" si="37"/>
        <v>0</v>
      </c>
      <c r="U92" s="80" t="str">
        <f t="shared" si="28"/>
        <v/>
      </c>
      <c r="V92" s="81" t="str">
        <f>IF(OR($AM92="",ISNUMBER($AM92)=FALSE),"",IF(AND(#REF!="Tolerance",$E92&lt;&gt;""),($S92-$E92)/(($J92-$K92)/2),IF(AND(#REF!="GD&amp;T",$F92&lt;&gt;""),$S92/$F92,"")))</f>
        <v/>
      </c>
      <c r="W92" s="81" t="str">
        <f t="shared" si="34"/>
        <v/>
      </c>
      <c r="X92" s="80" t="str">
        <f t="shared" si="29"/>
        <v/>
      </c>
      <c r="Y92" s="80" t="str">
        <f t="shared" si="30"/>
        <v/>
      </c>
      <c r="Z92" s="80" t="str">
        <f t="shared" si="31"/>
        <v/>
      </c>
      <c r="AA92" s="70" t="str">
        <f t="shared" si="32"/>
        <v/>
      </c>
      <c r="AB92" s="71" t="e">
        <f>IF($S92="","",IF(#REF!="Tolerance",IF((#REF!*3*T92+S92)-E92&lt;F92,"",(#REF!*3*T92+S92)-E92),IF(OR(#REF!="GD&amp;T",#REF!="MAX"),IF((#REF!*3*T92+S92)&lt;F92,"",(#REF!*3*T92+S92)),"")))</f>
        <v>#REF!</v>
      </c>
      <c r="AC92" s="71" t="e">
        <f>IF(S92="","",IF(#REF!="Tolerance",IF(-((#REF!*3*T92)-S92)-E92&gt;G92,"",-((#REF!*3*T92)-S92)-E92),IF(#REF!="MIN",IF(-((#REF!*3*T92)-S92)&gt;G92,"",-((#REF!*3*T92)-S92)),"")))</f>
        <v>#REF!</v>
      </c>
      <c r="AD92" s="71">
        <f t="shared" si="35"/>
        <v>0.04</v>
      </c>
      <c r="AE92" s="71" t="str">
        <f t="shared" si="33"/>
        <v/>
      </c>
      <c r="AF92" s="82"/>
      <c r="AG92" s="83" t="str">
        <f t="shared" si="36"/>
        <v/>
      </c>
      <c r="AH92" s="125"/>
      <c r="AI92" s="72"/>
      <c r="AJ92" s="72"/>
      <c r="AK92" s="73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  <c r="AW92" s="110"/>
      <c r="AX92" s="110"/>
      <c r="AY92" s="110"/>
      <c r="AZ92" s="110"/>
      <c r="BA92" s="110"/>
      <c r="BB92" s="110"/>
      <c r="BC92" s="110"/>
      <c r="BD92" s="110"/>
      <c r="BE92" s="110"/>
      <c r="BF92" s="110"/>
      <c r="BG92" s="110"/>
      <c r="BH92" s="110"/>
      <c r="BI92" s="110"/>
      <c r="BJ92" s="110"/>
      <c r="BK92" s="110"/>
      <c r="BL92" s="110"/>
      <c r="BM92" s="110"/>
      <c r="BN92" s="110"/>
      <c r="BO92" s="110"/>
      <c r="BP92" s="110"/>
      <c r="BQ92" s="110"/>
      <c r="BR92" s="110"/>
    </row>
    <row r="93" spans="2:70" ht="19.149999999999999" customHeight="1">
      <c r="B93" s="66" t="s">
        <v>243</v>
      </c>
      <c r="C93" s="75" t="s">
        <v>268</v>
      </c>
      <c r="D93" s="85" t="s">
        <v>45</v>
      </c>
      <c r="E93" s="86">
        <v>0.04</v>
      </c>
      <c r="F93" s="87">
        <v>0.04</v>
      </c>
      <c r="G93" s="87">
        <v>-0.04</v>
      </c>
      <c r="H93" s="79" t="s">
        <v>46</v>
      </c>
      <c r="I93" s="67"/>
      <c r="J93" s="68">
        <v>0.08</v>
      </c>
      <c r="K93" s="68">
        <v>0</v>
      </c>
      <c r="L93" s="68">
        <v>7.400000000000001E-2</v>
      </c>
      <c r="M93" s="68">
        <v>5.9999999999999984E-3</v>
      </c>
      <c r="N93" s="116"/>
      <c r="O93" s="116"/>
      <c r="P93" s="69"/>
      <c r="Q93" s="88">
        <f t="shared" si="25"/>
        <v>0</v>
      </c>
      <c r="R93" s="88">
        <f t="shared" si="26"/>
        <v>0</v>
      </c>
      <c r="S93" s="88">
        <f t="shared" si="27"/>
        <v>0</v>
      </c>
      <c r="T93" s="89">
        <f t="shared" si="37"/>
        <v>0</v>
      </c>
      <c r="U93" s="80" t="str">
        <f t="shared" si="28"/>
        <v/>
      </c>
      <c r="V93" s="81" t="str">
        <f>IF(OR($AM93="",ISNUMBER($AM93)=FALSE),"",IF(AND(#REF!="Tolerance",$E93&lt;&gt;""),($S93-$E93)/(($J93-$K93)/2),IF(AND(#REF!="GD&amp;T",$F93&lt;&gt;""),$S93/$F93,"")))</f>
        <v/>
      </c>
      <c r="W93" s="81" t="str">
        <f t="shared" si="34"/>
        <v/>
      </c>
      <c r="X93" s="80" t="str">
        <f t="shared" si="29"/>
        <v/>
      </c>
      <c r="Y93" s="80" t="str">
        <f t="shared" si="30"/>
        <v/>
      </c>
      <c r="Z93" s="80" t="str">
        <f t="shared" si="31"/>
        <v/>
      </c>
      <c r="AA93" s="70" t="str">
        <f t="shared" si="32"/>
        <v/>
      </c>
      <c r="AB93" s="71" t="e">
        <f>IF($S93="","",IF(#REF!="Tolerance",IF((#REF!*3*T93+S93)-E93&lt;F93,"",(#REF!*3*T93+S93)-E93),IF(OR(#REF!="GD&amp;T",#REF!="MAX"),IF((#REF!*3*T93+S93)&lt;F93,"",(#REF!*3*T93+S93)),"")))</f>
        <v>#REF!</v>
      </c>
      <c r="AC93" s="71" t="e">
        <f>IF(S93="","",IF(#REF!="Tolerance",IF(-((#REF!*3*T93)-S93)-E93&gt;G93,"",-((#REF!*3*T93)-S93)-E93),IF(#REF!="MIN",IF(-((#REF!*3*T93)-S93)&gt;G93,"",-((#REF!*3*T93)-S93)),"")))</f>
        <v>#REF!</v>
      </c>
      <c r="AD93" s="71">
        <f t="shared" si="35"/>
        <v>0.04</v>
      </c>
      <c r="AE93" s="71" t="str">
        <f t="shared" si="33"/>
        <v/>
      </c>
      <c r="AF93" s="82"/>
      <c r="AG93" s="83" t="str">
        <f t="shared" si="36"/>
        <v/>
      </c>
      <c r="AH93" s="125"/>
      <c r="AI93" s="72"/>
      <c r="AJ93" s="72"/>
      <c r="AK93" s="73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  <c r="BB93" s="110"/>
      <c r="BC93" s="110"/>
      <c r="BD93" s="110"/>
      <c r="BE93" s="110"/>
      <c r="BF93" s="110"/>
      <c r="BG93" s="110"/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</row>
    <row r="94" spans="2:70" ht="19.149999999999999" customHeight="1">
      <c r="B94" s="66" t="s">
        <v>243</v>
      </c>
      <c r="C94" s="75" t="s">
        <v>269</v>
      </c>
      <c r="D94" s="85" t="s">
        <v>45</v>
      </c>
      <c r="E94" s="86">
        <v>0.04</v>
      </c>
      <c r="F94" s="87">
        <v>0.04</v>
      </c>
      <c r="G94" s="87">
        <v>-0.04</v>
      </c>
      <c r="H94" s="79" t="s">
        <v>46</v>
      </c>
      <c r="I94" s="67"/>
      <c r="J94" s="68">
        <v>0.08</v>
      </c>
      <c r="K94" s="68">
        <v>0</v>
      </c>
      <c r="L94" s="68">
        <v>7.400000000000001E-2</v>
      </c>
      <c r="M94" s="68">
        <v>5.9999999999999984E-3</v>
      </c>
      <c r="N94" s="116"/>
      <c r="O94" s="116"/>
      <c r="P94" s="69"/>
      <c r="Q94" s="88">
        <f t="shared" si="25"/>
        <v>0</v>
      </c>
      <c r="R94" s="88">
        <f t="shared" si="26"/>
        <v>0</v>
      </c>
      <c r="S94" s="88">
        <f t="shared" si="27"/>
        <v>0</v>
      </c>
      <c r="T94" s="89">
        <f t="shared" si="37"/>
        <v>0</v>
      </c>
      <c r="U94" s="80" t="str">
        <f t="shared" si="28"/>
        <v/>
      </c>
      <c r="V94" s="81" t="str">
        <f>IF(OR($AM94="",ISNUMBER($AM94)=FALSE),"",IF(AND(#REF!="Tolerance",$E94&lt;&gt;""),($S94-$E94)/(($J94-$K94)/2),IF(AND(#REF!="GD&amp;T",$F94&lt;&gt;""),$S94/$F94,"")))</f>
        <v/>
      </c>
      <c r="W94" s="81" t="str">
        <f t="shared" si="34"/>
        <v/>
      </c>
      <c r="X94" s="80" t="str">
        <f t="shared" si="29"/>
        <v/>
      </c>
      <c r="Y94" s="80" t="str">
        <f t="shared" si="30"/>
        <v/>
      </c>
      <c r="Z94" s="80" t="str">
        <f t="shared" si="31"/>
        <v/>
      </c>
      <c r="AA94" s="70" t="str">
        <f t="shared" si="32"/>
        <v/>
      </c>
      <c r="AB94" s="71" t="e">
        <f>IF($S94="","",IF(#REF!="Tolerance",IF((#REF!*3*T94+S94)-E94&lt;F94,"",(#REF!*3*T94+S94)-E94),IF(OR(#REF!="GD&amp;T",#REF!="MAX"),IF((#REF!*3*T94+S94)&lt;F94,"",(#REF!*3*T94+S94)),"")))</f>
        <v>#REF!</v>
      </c>
      <c r="AC94" s="71" t="e">
        <f>IF(S94="","",IF(#REF!="Tolerance",IF(-((#REF!*3*T94)-S94)-E94&gt;G94,"",-((#REF!*3*T94)-S94)-E94),IF(#REF!="MIN",IF(-((#REF!*3*T94)-S94)&gt;G94,"",-((#REF!*3*T94)-S94)),"")))</f>
        <v>#REF!</v>
      </c>
      <c r="AD94" s="71">
        <f t="shared" si="35"/>
        <v>0.04</v>
      </c>
      <c r="AE94" s="71" t="str">
        <f t="shared" si="33"/>
        <v/>
      </c>
      <c r="AF94" s="82"/>
      <c r="AG94" s="83" t="str">
        <f t="shared" si="36"/>
        <v/>
      </c>
      <c r="AH94" s="125"/>
      <c r="AI94" s="72"/>
      <c r="AJ94" s="72"/>
      <c r="AK94" s="73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</row>
    <row r="95" spans="2:70" ht="19.149999999999999" customHeight="1">
      <c r="B95" s="66" t="s">
        <v>243</v>
      </c>
      <c r="C95" s="75" t="s">
        <v>270</v>
      </c>
      <c r="D95" s="85" t="s">
        <v>45</v>
      </c>
      <c r="E95" s="86">
        <v>0.04</v>
      </c>
      <c r="F95" s="87">
        <v>0.04</v>
      </c>
      <c r="G95" s="87">
        <v>-0.04</v>
      </c>
      <c r="H95" s="79" t="s">
        <v>46</v>
      </c>
      <c r="I95" s="67"/>
      <c r="J95" s="68">
        <v>0.08</v>
      </c>
      <c r="K95" s="68">
        <v>0</v>
      </c>
      <c r="L95" s="68">
        <v>7.400000000000001E-2</v>
      </c>
      <c r="M95" s="68">
        <v>5.9999999999999984E-3</v>
      </c>
      <c r="N95" s="116"/>
      <c r="O95" s="116"/>
      <c r="P95" s="69"/>
      <c r="Q95" s="88">
        <f t="shared" si="25"/>
        <v>0</v>
      </c>
      <c r="R95" s="88">
        <f t="shared" si="26"/>
        <v>0</v>
      </c>
      <c r="S95" s="88">
        <f t="shared" si="27"/>
        <v>0</v>
      </c>
      <c r="T95" s="89">
        <f t="shared" si="37"/>
        <v>0</v>
      </c>
      <c r="U95" s="80" t="str">
        <f t="shared" si="28"/>
        <v/>
      </c>
      <c r="V95" s="81" t="str">
        <f>IF(OR($AM95="",ISNUMBER($AM95)=FALSE),"",IF(AND(#REF!="Tolerance",$E95&lt;&gt;""),($S95-$E95)/(($J95-$K95)/2),IF(AND(#REF!="GD&amp;T",$F95&lt;&gt;""),$S95/$F95,"")))</f>
        <v/>
      </c>
      <c r="W95" s="81" t="str">
        <f t="shared" si="34"/>
        <v/>
      </c>
      <c r="X95" s="80" t="str">
        <f t="shared" si="29"/>
        <v/>
      </c>
      <c r="Y95" s="80" t="str">
        <f t="shared" si="30"/>
        <v/>
      </c>
      <c r="Z95" s="80" t="str">
        <f t="shared" si="31"/>
        <v/>
      </c>
      <c r="AA95" s="70" t="str">
        <f t="shared" si="32"/>
        <v/>
      </c>
      <c r="AB95" s="71" t="e">
        <f>IF($S95="","",IF(#REF!="Tolerance",IF((#REF!*3*T95+S95)-E95&lt;F95,"",(#REF!*3*T95+S95)-E95),IF(OR(#REF!="GD&amp;T",#REF!="MAX"),IF((#REF!*3*T95+S95)&lt;F95,"",(#REF!*3*T95+S95)),"")))</f>
        <v>#REF!</v>
      </c>
      <c r="AC95" s="71" t="e">
        <f>IF(S95="","",IF(#REF!="Tolerance",IF(-((#REF!*3*T95)-S95)-E95&gt;G95,"",-((#REF!*3*T95)-S95)-E95),IF(#REF!="MIN",IF(-((#REF!*3*T95)-S95)&gt;G95,"",-((#REF!*3*T95)-S95)),"")))</f>
        <v>#REF!</v>
      </c>
      <c r="AD95" s="71">
        <f t="shared" si="35"/>
        <v>0.04</v>
      </c>
      <c r="AE95" s="71" t="str">
        <f t="shared" si="33"/>
        <v/>
      </c>
      <c r="AF95" s="82"/>
      <c r="AG95" s="83" t="str">
        <f t="shared" si="36"/>
        <v/>
      </c>
      <c r="AH95" s="125"/>
      <c r="AI95" s="72"/>
      <c r="AJ95" s="72"/>
      <c r="AK95" s="73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</row>
    <row r="96" spans="2:70" ht="19.149999999999999" customHeight="1">
      <c r="B96" s="90" t="s">
        <v>243</v>
      </c>
      <c r="C96" s="75" t="s">
        <v>271</v>
      </c>
      <c r="D96" s="85" t="s">
        <v>45</v>
      </c>
      <c r="E96" s="86">
        <v>0.04</v>
      </c>
      <c r="F96" s="87">
        <v>0.04</v>
      </c>
      <c r="G96" s="87">
        <v>-0.04</v>
      </c>
      <c r="H96" s="79" t="s">
        <v>46</v>
      </c>
      <c r="I96" s="67"/>
      <c r="J96" s="68">
        <v>0.08</v>
      </c>
      <c r="K96" s="68">
        <v>0</v>
      </c>
      <c r="L96" s="68">
        <v>7.400000000000001E-2</v>
      </c>
      <c r="M96" s="68">
        <v>5.9999999999999984E-3</v>
      </c>
      <c r="N96" s="116"/>
      <c r="O96" s="116"/>
      <c r="P96" s="69"/>
      <c r="Q96" s="88">
        <f t="shared" si="25"/>
        <v>0</v>
      </c>
      <c r="R96" s="88">
        <f t="shared" si="26"/>
        <v>0</v>
      </c>
      <c r="S96" s="88">
        <f t="shared" si="27"/>
        <v>0</v>
      </c>
      <c r="T96" s="89">
        <f t="shared" si="37"/>
        <v>0</v>
      </c>
      <c r="U96" s="80" t="str">
        <f t="shared" si="28"/>
        <v/>
      </c>
      <c r="V96" s="81" t="str">
        <f>IF(OR($AM96="",ISNUMBER($AM96)=FALSE),"",IF(AND(#REF!="Tolerance",$E96&lt;&gt;""),($S96-$E96)/(($J96-$K96)/2),IF(AND(#REF!="GD&amp;T",$F96&lt;&gt;""),$S96/$F96,"")))</f>
        <v/>
      </c>
      <c r="W96" s="81" t="str">
        <f t="shared" si="34"/>
        <v/>
      </c>
      <c r="X96" s="80" t="str">
        <f t="shared" si="29"/>
        <v/>
      </c>
      <c r="Y96" s="80" t="str">
        <f t="shared" si="30"/>
        <v/>
      </c>
      <c r="Z96" s="80" t="str">
        <f t="shared" si="31"/>
        <v/>
      </c>
      <c r="AA96" s="70" t="str">
        <f t="shared" si="32"/>
        <v/>
      </c>
      <c r="AB96" s="71" t="e">
        <f>IF($S96="","",IF(#REF!="Tolerance",IF((#REF!*3*T96+S96)-E96&lt;F96,"",(#REF!*3*T96+S96)-E96),IF(OR(#REF!="GD&amp;T",#REF!="MAX"),IF((#REF!*3*T96+S96)&lt;F96,"",(#REF!*3*T96+S96)),"")))</f>
        <v>#REF!</v>
      </c>
      <c r="AC96" s="71" t="e">
        <f>IF(S96="","",IF(#REF!="Tolerance",IF(-((#REF!*3*T96)-S96)-E96&gt;G96,"",-((#REF!*3*T96)-S96)-E96),IF(#REF!="MIN",IF(-((#REF!*3*T96)-S96)&gt;G96,"",-((#REF!*3*T96)-S96)),"")))</f>
        <v>#REF!</v>
      </c>
      <c r="AD96" s="71">
        <f t="shared" si="35"/>
        <v>0.04</v>
      </c>
      <c r="AE96" s="71" t="str">
        <f t="shared" si="33"/>
        <v/>
      </c>
      <c r="AF96" s="82"/>
      <c r="AG96" s="83" t="str">
        <f t="shared" si="36"/>
        <v/>
      </c>
      <c r="AH96" s="125"/>
      <c r="AI96" s="72"/>
      <c r="AJ96" s="72"/>
      <c r="AK96" s="73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  <c r="BA96" s="110"/>
      <c r="BB96" s="110"/>
      <c r="BC96" s="110"/>
      <c r="BD96" s="110"/>
      <c r="BE96" s="110"/>
      <c r="BF96" s="110"/>
      <c r="BG96" s="110"/>
      <c r="BH96" s="110"/>
      <c r="BI96" s="110"/>
      <c r="BJ96" s="110"/>
      <c r="BK96" s="110"/>
      <c r="BL96" s="110"/>
      <c r="BM96" s="110"/>
      <c r="BN96" s="110"/>
      <c r="BO96" s="110"/>
      <c r="BP96" s="110"/>
      <c r="BQ96" s="110"/>
      <c r="BR96" s="110"/>
    </row>
    <row r="97" spans="2:70" ht="19.149999999999999" customHeight="1">
      <c r="B97" s="66" t="s">
        <v>243</v>
      </c>
      <c r="C97" s="75" t="s">
        <v>272</v>
      </c>
      <c r="D97" s="85" t="s">
        <v>45</v>
      </c>
      <c r="E97" s="86">
        <v>0.04</v>
      </c>
      <c r="F97" s="87">
        <v>0.04</v>
      </c>
      <c r="G97" s="87">
        <v>-0.04</v>
      </c>
      <c r="H97" s="79" t="s">
        <v>46</v>
      </c>
      <c r="I97" s="67"/>
      <c r="J97" s="68">
        <v>0.08</v>
      </c>
      <c r="K97" s="68">
        <v>0</v>
      </c>
      <c r="L97" s="68">
        <v>7.400000000000001E-2</v>
      </c>
      <c r="M97" s="68">
        <v>5.9999999999999984E-3</v>
      </c>
      <c r="N97" s="116"/>
      <c r="O97" s="116"/>
      <c r="P97" s="69"/>
      <c r="Q97" s="88">
        <f t="shared" si="25"/>
        <v>0</v>
      </c>
      <c r="R97" s="88">
        <f t="shared" si="26"/>
        <v>0</v>
      </c>
      <c r="S97" s="88">
        <f t="shared" si="27"/>
        <v>0</v>
      </c>
      <c r="T97" s="89">
        <f t="shared" si="37"/>
        <v>0</v>
      </c>
      <c r="U97" s="80" t="str">
        <f t="shared" si="28"/>
        <v/>
      </c>
      <c r="V97" s="81" t="str">
        <f>IF(OR($AM97="",ISNUMBER($AM97)=FALSE),"",IF(AND(#REF!="Tolerance",$E97&lt;&gt;""),($S97-$E97)/(($J97-$K97)/2),IF(AND(#REF!="GD&amp;T",$F97&lt;&gt;""),$S97/$F97,"")))</f>
        <v/>
      </c>
      <c r="W97" s="81" t="str">
        <f t="shared" si="34"/>
        <v/>
      </c>
      <c r="X97" s="80" t="str">
        <f t="shared" si="29"/>
        <v/>
      </c>
      <c r="Y97" s="80" t="str">
        <f t="shared" si="30"/>
        <v/>
      </c>
      <c r="Z97" s="80" t="str">
        <f t="shared" si="31"/>
        <v/>
      </c>
      <c r="AA97" s="70" t="str">
        <f t="shared" si="32"/>
        <v/>
      </c>
      <c r="AB97" s="71" t="e">
        <f>IF($S97="","",IF(#REF!="Tolerance",IF((#REF!*3*T97+S97)-E97&lt;F97,"",(#REF!*3*T97+S97)-E97),IF(OR(#REF!="GD&amp;T",#REF!="MAX"),IF((#REF!*3*T97+S97)&lt;F97,"",(#REF!*3*T97+S97)),"")))</f>
        <v>#REF!</v>
      </c>
      <c r="AC97" s="71" t="e">
        <f>IF(S97="","",IF(#REF!="Tolerance",IF(-((#REF!*3*T97)-S97)-E97&gt;G97,"",-((#REF!*3*T97)-S97)-E97),IF(#REF!="MIN",IF(-((#REF!*3*T97)-S97)&gt;G97,"",-((#REF!*3*T97)-S97)),"")))</f>
        <v>#REF!</v>
      </c>
      <c r="AD97" s="71">
        <f t="shared" si="35"/>
        <v>0.04</v>
      </c>
      <c r="AE97" s="71" t="str">
        <f t="shared" si="33"/>
        <v/>
      </c>
      <c r="AF97" s="82"/>
      <c r="AG97" s="83" t="str">
        <f t="shared" si="36"/>
        <v/>
      </c>
      <c r="AH97" s="125"/>
      <c r="AI97" s="72"/>
      <c r="AJ97" s="72"/>
      <c r="AK97" s="73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  <c r="BG97" s="110"/>
      <c r="BH97" s="110"/>
      <c r="BI97" s="110"/>
      <c r="BJ97" s="110"/>
      <c r="BK97" s="110"/>
      <c r="BL97" s="110"/>
      <c r="BM97" s="110"/>
      <c r="BN97" s="110"/>
      <c r="BO97" s="110"/>
      <c r="BP97" s="110"/>
      <c r="BQ97" s="110"/>
      <c r="BR97" s="110"/>
    </row>
    <row r="98" spans="2:70" ht="19.149999999999999" customHeight="1">
      <c r="B98" s="66" t="s">
        <v>243</v>
      </c>
      <c r="C98" s="75" t="s">
        <v>273</v>
      </c>
      <c r="D98" s="85" t="s">
        <v>45</v>
      </c>
      <c r="E98" s="86">
        <v>0.04</v>
      </c>
      <c r="F98" s="87">
        <v>0.04</v>
      </c>
      <c r="G98" s="87">
        <v>-0.04</v>
      </c>
      <c r="H98" s="79" t="s">
        <v>46</v>
      </c>
      <c r="I98" s="67"/>
      <c r="J98" s="68">
        <v>0.08</v>
      </c>
      <c r="K98" s="68">
        <v>0</v>
      </c>
      <c r="L98" s="68">
        <v>7.400000000000001E-2</v>
      </c>
      <c r="M98" s="68">
        <v>5.9999999999999984E-3</v>
      </c>
      <c r="N98" s="116"/>
      <c r="O98" s="116"/>
      <c r="P98" s="69"/>
      <c r="Q98" s="88">
        <f t="shared" si="25"/>
        <v>0</v>
      </c>
      <c r="R98" s="88">
        <f t="shared" si="26"/>
        <v>0</v>
      </c>
      <c r="S98" s="88">
        <f t="shared" si="27"/>
        <v>0</v>
      </c>
      <c r="T98" s="89">
        <f t="shared" si="37"/>
        <v>0</v>
      </c>
      <c r="U98" s="80" t="str">
        <f t="shared" si="28"/>
        <v/>
      </c>
      <c r="V98" s="81" t="str">
        <f>IF(OR($AM98="",ISNUMBER($AM98)=FALSE),"",IF(AND(#REF!="Tolerance",$E98&lt;&gt;""),($S98-$E98)/(($J98-$K98)/2),IF(AND(#REF!="GD&amp;T",$F98&lt;&gt;""),$S98/$F98,"")))</f>
        <v/>
      </c>
      <c r="W98" s="81" t="str">
        <f t="shared" si="34"/>
        <v/>
      </c>
      <c r="X98" s="80" t="str">
        <f t="shared" si="29"/>
        <v/>
      </c>
      <c r="Y98" s="80" t="str">
        <f t="shared" si="30"/>
        <v/>
      </c>
      <c r="Z98" s="80" t="str">
        <f t="shared" si="31"/>
        <v/>
      </c>
      <c r="AA98" s="70" t="str">
        <f t="shared" si="32"/>
        <v/>
      </c>
      <c r="AB98" s="71" t="e">
        <f>IF($S98="","",IF(#REF!="Tolerance",IF((#REF!*3*T98+S98)-E98&lt;F98,"",(#REF!*3*T98+S98)-E98),IF(OR(#REF!="GD&amp;T",#REF!="MAX"),IF((#REF!*3*T98+S98)&lt;F98,"",(#REF!*3*T98+S98)),"")))</f>
        <v>#REF!</v>
      </c>
      <c r="AC98" s="71" t="e">
        <f>IF(S98="","",IF(#REF!="Tolerance",IF(-((#REF!*3*T98)-S98)-E98&gt;G98,"",-((#REF!*3*T98)-S98)-E98),IF(#REF!="MIN",IF(-((#REF!*3*T98)-S98)&gt;G98,"",-((#REF!*3*T98)-S98)),"")))</f>
        <v>#REF!</v>
      </c>
      <c r="AD98" s="71">
        <f t="shared" si="35"/>
        <v>0.04</v>
      </c>
      <c r="AE98" s="71" t="str">
        <f t="shared" si="33"/>
        <v/>
      </c>
      <c r="AF98" s="82"/>
      <c r="AG98" s="83" t="str">
        <f t="shared" si="36"/>
        <v/>
      </c>
      <c r="AH98" s="125"/>
      <c r="AI98" s="72"/>
      <c r="AJ98" s="72"/>
      <c r="AK98" s="73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  <c r="BG98" s="110"/>
      <c r="BH98" s="110"/>
      <c r="BI98" s="110"/>
      <c r="BJ98" s="110"/>
      <c r="BK98" s="110"/>
      <c r="BL98" s="110"/>
      <c r="BM98" s="110"/>
      <c r="BN98" s="110"/>
      <c r="BO98" s="110"/>
      <c r="BP98" s="110"/>
      <c r="BQ98" s="110"/>
      <c r="BR98" s="110"/>
    </row>
    <row r="99" spans="2:70" ht="19.149999999999999" customHeight="1">
      <c r="B99" s="66" t="s">
        <v>243</v>
      </c>
      <c r="C99" s="75" t="s">
        <v>274</v>
      </c>
      <c r="D99" s="85" t="s">
        <v>45</v>
      </c>
      <c r="E99" s="86">
        <v>0.04</v>
      </c>
      <c r="F99" s="87">
        <v>0.04</v>
      </c>
      <c r="G99" s="87">
        <v>-0.04</v>
      </c>
      <c r="H99" s="79" t="s">
        <v>46</v>
      </c>
      <c r="I99" s="67"/>
      <c r="J99" s="68">
        <v>0.08</v>
      </c>
      <c r="K99" s="68">
        <v>0</v>
      </c>
      <c r="L99" s="68">
        <v>7.400000000000001E-2</v>
      </c>
      <c r="M99" s="68">
        <v>5.9999999999999984E-3</v>
      </c>
      <c r="N99" s="116"/>
      <c r="O99" s="116"/>
      <c r="P99" s="69"/>
      <c r="Q99" s="88">
        <f t="shared" si="25"/>
        <v>0</v>
      </c>
      <c r="R99" s="88">
        <f t="shared" si="26"/>
        <v>0</v>
      </c>
      <c r="S99" s="88">
        <f t="shared" si="27"/>
        <v>0</v>
      </c>
      <c r="T99" s="89">
        <f t="shared" si="37"/>
        <v>0</v>
      </c>
      <c r="U99" s="80" t="str">
        <f t="shared" si="28"/>
        <v/>
      </c>
      <c r="V99" s="81" t="str">
        <f>IF(OR($AM99="",ISNUMBER($AM99)=FALSE),"",IF(AND(#REF!="Tolerance",$E99&lt;&gt;""),($S99-$E99)/(($J99-$K99)/2),IF(AND(#REF!="GD&amp;T",$F99&lt;&gt;""),$S99/$F99,"")))</f>
        <v/>
      </c>
      <c r="W99" s="81" t="str">
        <f t="shared" si="34"/>
        <v/>
      </c>
      <c r="X99" s="80" t="str">
        <f t="shared" si="29"/>
        <v/>
      </c>
      <c r="Y99" s="80" t="str">
        <f t="shared" si="30"/>
        <v/>
      </c>
      <c r="Z99" s="80" t="str">
        <f t="shared" si="31"/>
        <v/>
      </c>
      <c r="AA99" s="70" t="str">
        <f t="shared" si="32"/>
        <v/>
      </c>
      <c r="AB99" s="71" t="e">
        <f>IF($S99="","",IF(#REF!="Tolerance",IF((#REF!*3*T99+S99)-E99&lt;F99,"",(#REF!*3*T99+S99)-E99),IF(OR(#REF!="GD&amp;T",#REF!="MAX"),IF((#REF!*3*T99+S99)&lt;F99,"",(#REF!*3*T99+S99)),"")))</f>
        <v>#REF!</v>
      </c>
      <c r="AC99" s="71" t="e">
        <f>IF(S99="","",IF(#REF!="Tolerance",IF(-((#REF!*3*T99)-S99)-E99&gt;G99,"",-((#REF!*3*T99)-S99)-E99),IF(#REF!="MIN",IF(-((#REF!*3*T99)-S99)&gt;G99,"",-((#REF!*3*T99)-S99)),"")))</f>
        <v>#REF!</v>
      </c>
      <c r="AD99" s="71">
        <f t="shared" si="35"/>
        <v>0.04</v>
      </c>
      <c r="AE99" s="71" t="str">
        <f t="shared" si="33"/>
        <v/>
      </c>
      <c r="AF99" s="82"/>
      <c r="AG99" s="83" t="str">
        <f t="shared" si="36"/>
        <v/>
      </c>
      <c r="AH99" s="125"/>
      <c r="AI99" s="72"/>
      <c r="AJ99" s="72"/>
      <c r="AK99" s="73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  <c r="BG99" s="110"/>
      <c r="BH99" s="110"/>
      <c r="BI99" s="110"/>
      <c r="BJ99" s="110"/>
      <c r="BK99" s="110"/>
      <c r="BL99" s="110"/>
      <c r="BM99" s="110"/>
      <c r="BN99" s="110"/>
      <c r="BO99" s="110"/>
      <c r="BP99" s="110"/>
      <c r="BQ99" s="110"/>
      <c r="BR99" s="110"/>
    </row>
    <row r="100" spans="2:70" ht="19.149999999999999" customHeight="1">
      <c r="B100" s="66" t="s">
        <v>243</v>
      </c>
      <c r="C100" s="75" t="s">
        <v>275</v>
      </c>
      <c r="D100" s="85" t="s">
        <v>45</v>
      </c>
      <c r="E100" s="86">
        <v>0.04</v>
      </c>
      <c r="F100" s="87">
        <v>0.04</v>
      </c>
      <c r="G100" s="87">
        <v>-0.04</v>
      </c>
      <c r="H100" s="79" t="s">
        <v>46</v>
      </c>
      <c r="I100" s="67"/>
      <c r="J100" s="68">
        <v>0.08</v>
      </c>
      <c r="K100" s="68">
        <v>0</v>
      </c>
      <c r="L100" s="68">
        <v>7.400000000000001E-2</v>
      </c>
      <c r="M100" s="68">
        <v>5.9999999999999984E-3</v>
      </c>
      <c r="N100" s="116"/>
      <c r="O100" s="116"/>
      <c r="P100" s="69"/>
      <c r="Q100" s="88">
        <f t="shared" si="25"/>
        <v>0</v>
      </c>
      <c r="R100" s="88">
        <f t="shared" si="26"/>
        <v>0</v>
      </c>
      <c r="S100" s="88">
        <f t="shared" si="27"/>
        <v>0</v>
      </c>
      <c r="T100" s="89">
        <f t="shared" si="37"/>
        <v>0</v>
      </c>
      <c r="U100" s="80" t="str">
        <f t="shared" si="28"/>
        <v/>
      </c>
      <c r="V100" s="81" t="str">
        <f>IF(OR($AM100="",ISNUMBER($AM100)=FALSE),"",IF(AND(#REF!="Tolerance",$E100&lt;&gt;""),($S100-$E100)/(($J100-$K100)/2),IF(AND(#REF!="GD&amp;T",$F100&lt;&gt;""),$S100/$F100,"")))</f>
        <v/>
      </c>
      <c r="W100" s="81" t="str">
        <f t="shared" si="34"/>
        <v/>
      </c>
      <c r="X100" s="80" t="str">
        <f t="shared" si="29"/>
        <v/>
      </c>
      <c r="Y100" s="80" t="str">
        <f t="shared" si="30"/>
        <v/>
      </c>
      <c r="Z100" s="80" t="str">
        <f t="shared" si="31"/>
        <v/>
      </c>
      <c r="AA100" s="70" t="str">
        <f t="shared" si="32"/>
        <v/>
      </c>
      <c r="AB100" s="71" t="e">
        <f>IF($S100="","",IF(#REF!="Tolerance",IF((#REF!*3*T100+S100)-E100&lt;F100,"",(#REF!*3*T100+S100)-E100),IF(OR(#REF!="GD&amp;T",#REF!="MAX"),IF((#REF!*3*T100+S100)&lt;F100,"",(#REF!*3*T100+S100)),"")))</f>
        <v>#REF!</v>
      </c>
      <c r="AC100" s="71" t="e">
        <f>IF(S100="","",IF(#REF!="Tolerance",IF(-((#REF!*3*T100)-S100)-E100&gt;G100,"",-((#REF!*3*T100)-S100)-E100),IF(#REF!="MIN",IF(-((#REF!*3*T100)-S100)&gt;G100,"",-((#REF!*3*T100)-S100)),"")))</f>
        <v>#REF!</v>
      </c>
      <c r="AD100" s="71">
        <f t="shared" si="35"/>
        <v>0.04</v>
      </c>
      <c r="AE100" s="71" t="str">
        <f t="shared" si="33"/>
        <v/>
      </c>
      <c r="AF100" s="82"/>
      <c r="AG100" s="83" t="str">
        <f t="shared" si="36"/>
        <v/>
      </c>
      <c r="AH100" s="125"/>
      <c r="AI100" s="72"/>
      <c r="AJ100" s="72"/>
      <c r="AK100" s="73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</row>
    <row r="101" spans="2:70" ht="19.149999999999999" customHeight="1">
      <c r="B101" s="66" t="s">
        <v>243</v>
      </c>
      <c r="C101" s="75" t="s">
        <v>276</v>
      </c>
      <c r="D101" s="85" t="s">
        <v>45</v>
      </c>
      <c r="E101" s="86">
        <v>0.04</v>
      </c>
      <c r="F101" s="87">
        <v>0.04</v>
      </c>
      <c r="G101" s="87">
        <v>-0.04</v>
      </c>
      <c r="H101" s="79" t="s">
        <v>46</v>
      </c>
      <c r="I101" s="67"/>
      <c r="J101" s="68">
        <v>0.08</v>
      </c>
      <c r="K101" s="68">
        <v>0</v>
      </c>
      <c r="L101" s="68">
        <v>7.400000000000001E-2</v>
      </c>
      <c r="M101" s="68">
        <v>5.9999999999999984E-3</v>
      </c>
      <c r="N101" s="116"/>
      <c r="O101" s="116"/>
      <c r="P101" s="69"/>
      <c r="Q101" s="88">
        <f t="shared" si="25"/>
        <v>0</v>
      </c>
      <c r="R101" s="88">
        <f t="shared" si="26"/>
        <v>0</v>
      </c>
      <c r="S101" s="88">
        <f t="shared" si="27"/>
        <v>0</v>
      </c>
      <c r="T101" s="89">
        <f t="shared" si="37"/>
        <v>0</v>
      </c>
      <c r="U101" s="80" t="str">
        <f t="shared" si="28"/>
        <v/>
      </c>
      <c r="V101" s="81" t="str">
        <f>IF(OR($AM101="",ISNUMBER($AM101)=FALSE),"",IF(AND(#REF!="Tolerance",$E101&lt;&gt;""),($S101-$E101)/(($J101-$K101)/2),IF(AND(#REF!="GD&amp;T",$F101&lt;&gt;""),$S101/$F101,"")))</f>
        <v/>
      </c>
      <c r="W101" s="81" t="str">
        <f t="shared" si="34"/>
        <v/>
      </c>
      <c r="X101" s="80" t="str">
        <f t="shared" si="29"/>
        <v/>
      </c>
      <c r="Y101" s="80" t="str">
        <f t="shared" si="30"/>
        <v/>
      </c>
      <c r="Z101" s="80" t="str">
        <f t="shared" si="31"/>
        <v/>
      </c>
      <c r="AA101" s="70" t="str">
        <f t="shared" si="32"/>
        <v/>
      </c>
      <c r="AB101" s="71" t="e">
        <f>IF($S101="","",IF(#REF!="Tolerance",IF((#REF!*3*T101+S101)-E101&lt;F101,"",(#REF!*3*T101+S101)-E101),IF(OR(#REF!="GD&amp;T",#REF!="MAX"),IF((#REF!*3*T101+S101)&lt;F101,"",(#REF!*3*T101+S101)),"")))</f>
        <v>#REF!</v>
      </c>
      <c r="AC101" s="71" t="e">
        <f>IF(S101="","",IF(#REF!="Tolerance",IF(-((#REF!*3*T101)-S101)-E101&gt;G101,"",-((#REF!*3*T101)-S101)-E101),IF(#REF!="MIN",IF(-((#REF!*3*T101)-S101)&gt;G101,"",-((#REF!*3*T101)-S101)),"")))</f>
        <v>#REF!</v>
      </c>
      <c r="AD101" s="71">
        <f t="shared" si="35"/>
        <v>0.04</v>
      </c>
      <c r="AE101" s="71" t="str">
        <f t="shared" si="33"/>
        <v/>
      </c>
      <c r="AF101" s="82"/>
      <c r="AG101" s="83" t="str">
        <f t="shared" si="36"/>
        <v/>
      </c>
      <c r="AH101" s="125"/>
      <c r="AI101" s="72"/>
      <c r="AJ101" s="72"/>
      <c r="AK101" s="73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  <c r="BD101" s="110"/>
      <c r="BE101" s="110"/>
      <c r="BF101" s="110"/>
      <c r="BG101" s="110"/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</row>
    <row r="102" spans="2:70" ht="19.149999999999999" customHeight="1">
      <c r="B102" s="66" t="s">
        <v>243</v>
      </c>
      <c r="C102" s="75" t="s">
        <v>277</v>
      </c>
      <c r="D102" s="85" t="s">
        <v>45</v>
      </c>
      <c r="E102" s="86">
        <v>0.04</v>
      </c>
      <c r="F102" s="87">
        <v>0.04</v>
      </c>
      <c r="G102" s="87">
        <v>-0.04</v>
      </c>
      <c r="H102" s="79" t="s">
        <v>46</v>
      </c>
      <c r="I102" s="67"/>
      <c r="J102" s="68">
        <v>0.08</v>
      </c>
      <c r="K102" s="68">
        <v>0</v>
      </c>
      <c r="L102" s="68">
        <v>7.400000000000001E-2</v>
      </c>
      <c r="M102" s="68">
        <v>5.9999999999999984E-3</v>
      </c>
      <c r="N102" s="116"/>
      <c r="O102" s="116"/>
      <c r="P102" s="69"/>
      <c r="Q102" s="88">
        <f t="shared" si="25"/>
        <v>0</v>
      </c>
      <c r="R102" s="88">
        <f t="shared" si="26"/>
        <v>0</v>
      </c>
      <c r="S102" s="88">
        <f t="shared" si="27"/>
        <v>0</v>
      </c>
      <c r="T102" s="89">
        <f t="shared" si="37"/>
        <v>0</v>
      </c>
      <c r="U102" s="80" t="str">
        <f t="shared" si="28"/>
        <v/>
      </c>
      <c r="V102" s="81" t="str">
        <f>IF(OR($AM102="",ISNUMBER($AM102)=FALSE),"",IF(AND(#REF!="Tolerance",$E102&lt;&gt;""),($S102-$E102)/(($J102-$K102)/2),IF(AND(#REF!="GD&amp;T",$F102&lt;&gt;""),$S102/$F102,"")))</f>
        <v/>
      </c>
      <c r="W102" s="81" t="str">
        <f t="shared" si="34"/>
        <v/>
      </c>
      <c r="X102" s="80" t="str">
        <f t="shared" si="29"/>
        <v/>
      </c>
      <c r="Y102" s="80" t="str">
        <f t="shared" si="30"/>
        <v/>
      </c>
      <c r="Z102" s="80" t="str">
        <f t="shared" si="31"/>
        <v/>
      </c>
      <c r="AA102" s="70" t="str">
        <f t="shared" si="32"/>
        <v/>
      </c>
      <c r="AB102" s="71" t="e">
        <f>IF($S102="","",IF(#REF!="Tolerance",IF((#REF!*3*T102+S102)-E102&lt;F102,"",(#REF!*3*T102+S102)-E102),IF(OR(#REF!="GD&amp;T",#REF!="MAX"),IF((#REF!*3*T102+S102)&lt;F102,"",(#REF!*3*T102+S102)),"")))</f>
        <v>#REF!</v>
      </c>
      <c r="AC102" s="71" t="e">
        <f>IF(S102="","",IF(#REF!="Tolerance",IF(-((#REF!*3*T102)-S102)-E102&gt;G102,"",-((#REF!*3*T102)-S102)-E102),IF(#REF!="MIN",IF(-((#REF!*3*T102)-S102)&gt;G102,"",-((#REF!*3*T102)-S102)),"")))</f>
        <v>#REF!</v>
      </c>
      <c r="AD102" s="71">
        <f t="shared" si="35"/>
        <v>0.04</v>
      </c>
      <c r="AE102" s="71" t="str">
        <f t="shared" si="33"/>
        <v/>
      </c>
      <c r="AF102" s="82"/>
      <c r="AG102" s="83" t="str">
        <f t="shared" si="36"/>
        <v/>
      </c>
      <c r="AH102" s="125"/>
      <c r="AI102" s="72"/>
      <c r="AJ102" s="72"/>
      <c r="AK102" s="73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  <c r="AW102" s="110"/>
      <c r="AX102" s="110"/>
      <c r="AY102" s="110"/>
      <c r="AZ102" s="110"/>
      <c r="BA102" s="110"/>
      <c r="BB102" s="110"/>
      <c r="BC102" s="110"/>
      <c r="BD102" s="110"/>
      <c r="BE102" s="110"/>
      <c r="BF102" s="110"/>
      <c r="BG102" s="110"/>
      <c r="BH102" s="110"/>
      <c r="BI102" s="110"/>
      <c r="BJ102" s="110"/>
      <c r="BK102" s="110"/>
      <c r="BL102" s="110"/>
      <c r="BM102" s="110"/>
      <c r="BN102" s="110"/>
      <c r="BO102" s="110"/>
      <c r="BP102" s="110"/>
      <c r="BQ102" s="110"/>
      <c r="BR102" s="110"/>
    </row>
    <row r="103" spans="2:70" ht="19.149999999999999" customHeight="1">
      <c r="B103" s="66" t="s">
        <v>243</v>
      </c>
      <c r="C103" s="75" t="s">
        <v>278</v>
      </c>
      <c r="D103" s="85" t="s">
        <v>45</v>
      </c>
      <c r="E103" s="86">
        <v>0.04</v>
      </c>
      <c r="F103" s="87">
        <v>0.04</v>
      </c>
      <c r="G103" s="87">
        <v>-0.04</v>
      </c>
      <c r="H103" s="79" t="s">
        <v>46</v>
      </c>
      <c r="I103" s="67"/>
      <c r="J103" s="68">
        <v>0.08</v>
      </c>
      <c r="K103" s="68">
        <v>0</v>
      </c>
      <c r="L103" s="68">
        <v>7.400000000000001E-2</v>
      </c>
      <c r="M103" s="68">
        <v>5.9999999999999984E-3</v>
      </c>
      <c r="N103" s="116"/>
      <c r="O103" s="116"/>
      <c r="P103" s="69"/>
      <c r="Q103" s="88">
        <f t="shared" si="25"/>
        <v>0</v>
      </c>
      <c r="R103" s="88">
        <f t="shared" si="26"/>
        <v>0</v>
      </c>
      <c r="S103" s="88">
        <f t="shared" si="27"/>
        <v>0</v>
      </c>
      <c r="T103" s="89">
        <f t="shared" si="37"/>
        <v>0</v>
      </c>
      <c r="U103" s="80" t="str">
        <f t="shared" si="28"/>
        <v/>
      </c>
      <c r="V103" s="81" t="str">
        <f>IF(OR($AM103="",ISNUMBER($AM103)=FALSE),"",IF(AND(#REF!="Tolerance",$E103&lt;&gt;""),($S103-$E103)/(($J103-$K103)/2),IF(AND(#REF!="GD&amp;T",$F103&lt;&gt;""),$S103/$F103,"")))</f>
        <v/>
      </c>
      <c r="W103" s="81" t="str">
        <f t="shared" si="34"/>
        <v/>
      </c>
      <c r="X103" s="80" t="str">
        <f t="shared" si="29"/>
        <v/>
      </c>
      <c r="Y103" s="80" t="str">
        <f t="shared" si="30"/>
        <v/>
      </c>
      <c r="Z103" s="80" t="str">
        <f t="shared" si="31"/>
        <v/>
      </c>
      <c r="AA103" s="70" t="str">
        <f t="shared" si="32"/>
        <v/>
      </c>
      <c r="AB103" s="71" t="e">
        <f>IF($S103="","",IF(#REF!="Tolerance",IF((#REF!*3*T103+S103)-E103&lt;F103,"",(#REF!*3*T103+S103)-E103),IF(OR(#REF!="GD&amp;T",#REF!="MAX"),IF((#REF!*3*T103+S103)&lt;F103,"",(#REF!*3*T103+S103)),"")))</f>
        <v>#REF!</v>
      </c>
      <c r="AC103" s="71" t="e">
        <f>IF(S103="","",IF(#REF!="Tolerance",IF(-((#REF!*3*T103)-S103)-E103&gt;G103,"",-((#REF!*3*T103)-S103)-E103),IF(#REF!="MIN",IF(-((#REF!*3*T103)-S103)&gt;G103,"",-((#REF!*3*T103)-S103)),"")))</f>
        <v>#REF!</v>
      </c>
      <c r="AD103" s="71">
        <f t="shared" si="35"/>
        <v>0.04</v>
      </c>
      <c r="AE103" s="71" t="str">
        <f t="shared" si="33"/>
        <v/>
      </c>
      <c r="AF103" s="82"/>
      <c r="AG103" s="83" t="str">
        <f t="shared" si="36"/>
        <v/>
      </c>
      <c r="AH103" s="125"/>
      <c r="AI103" s="72"/>
      <c r="AJ103" s="72"/>
      <c r="AK103" s="73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  <c r="BD103" s="110"/>
      <c r="BE103" s="110"/>
      <c r="BF103" s="110"/>
      <c r="BG103" s="110"/>
      <c r="BH103" s="110"/>
      <c r="BI103" s="110"/>
      <c r="BJ103" s="110"/>
      <c r="BK103" s="110"/>
      <c r="BL103" s="110"/>
      <c r="BM103" s="110"/>
      <c r="BN103" s="110"/>
      <c r="BO103" s="110"/>
      <c r="BP103" s="110"/>
      <c r="BQ103" s="110"/>
      <c r="BR103" s="110"/>
    </row>
    <row r="104" spans="2:70" ht="19.149999999999999" customHeight="1">
      <c r="B104" s="66" t="s">
        <v>243</v>
      </c>
      <c r="C104" s="75" t="s">
        <v>279</v>
      </c>
      <c r="D104" s="85" t="s">
        <v>45</v>
      </c>
      <c r="E104" s="86">
        <v>0.04</v>
      </c>
      <c r="F104" s="87">
        <v>0.04</v>
      </c>
      <c r="G104" s="87">
        <v>-0.04</v>
      </c>
      <c r="H104" s="79" t="s">
        <v>46</v>
      </c>
      <c r="I104" s="67"/>
      <c r="J104" s="68">
        <v>0.08</v>
      </c>
      <c r="K104" s="68">
        <v>0</v>
      </c>
      <c r="L104" s="68">
        <v>7.400000000000001E-2</v>
      </c>
      <c r="M104" s="68">
        <v>5.9999999999999984E-3</v>
      </c>
      <c r="N104" s="116"/>
      <c r="O104" s="116"/>
      <c r="P104" s="69"/>
      <c r="Q104" s="88">
        <f t="shared" si="25"/>
        <v>0</v>
      </c>
      <c r="R104" s="88">
        <f t="shared" si="26"/>
        <v>0</v>
      </c>
      <c r="S104" s="88">
        <f t="shared" si="27"/>
        <v>0</v>
      </c>
      <c r="T104" s="89">
        <f t="shared" si="37"/>
        <v>0</v>
      </c>
      <c r="U104" s="80" t="str">
        <f t="shared" si="28"/>
        <v/>
      </c>
      <c r="V104" s="81" t="str">
        <f>IF(OR($AM104="",ISNUMBER($AM104)=FALSE),"",IF(AND(#REF!="Tolerance",$E104&lt;&gt;""),($S104-$E104)/(($J104-$K104)/2),IF(AND(#REF!="GD&amp;T",$F104&lt;&gt;""),$S104/$F104,"")))</f>
        <v/>
      </c>
      <c r="W104" s="81" t="str">
        <f t="shared" si="34"/>
        <v/>
      </c>
      <c r="X104" s="80" t="str">
        <f t="shared" si="29"/>
        <v/>
      </c>
      <c r="Y104" s="80" t="str">
        <f t="shared" si="30"/>
        <v/>
      </c>
      <c r="Z104" s="80" t="str">
        <f t="shared" si="31"/>
        <v/>
      </c>
      <c r="AA104" s="70" t="str">
        <f t="shared" si="32"/>
        <v/>
      </c>
      <c r="AB104" s="71" t="e">
        <f>IF($S104="","",IF(#REF!="Tolerance",IF((#REF!*3*T104+S104)-E104&lt;F104,"",(#REF!*3*T104+S104)-E104),IF(OR(#REF!="GD&amp;T",#REF!="MAX"),IF((#REF!*3*T104+S104)&lt;F104,"",(#REF!*3*T104+S104)),"")))</f>
        <v>#REF!</v>
      </c>
      <c r="AC104" s="71" t="e">
        <f>IF(S104="","",IF(#REF!="Tolerance",IF(-((#REF!*3*T104)-S104)-E104&gt;G104,"",-((#REF!*3*T104)-S104)-E104),IF(#REF!="MIN",IF(-((#REF!*3*T104)-S104)&gt;G104,"",-((#REF!*3*T104)-S104)),"")))</f>
        <v>#REF!</v>
      </c>
      <c r="AD104" s="71">
        <f t="shared" si="35"/>
        <v>0.04</v>
      </c>
      <c r="AE104" s="71" t="str">
        <f t="shared" si="33"/>
        <v/>
      </c>
      <c r="AF104" s="82"/>
      <c r="AG104" s="83" t="str">
        <f t="shared" si="36"/>
        <v/>
      </c>
      <c r="AH104" s="125"/>
      <c r="AI104" s="72"/>
      <c r="AJ104" s="72"/>
      <c r="AK104" s="73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  <c r="BG104" s="110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</row>
    <row r="105" spans="2:70" ht="19.149999999999999" customHeight="1">
      <c r="B105" s="90" t="s">
        <v>243</v>
      </c>
      <c r="C105" s="75" t="s">
        <v>280</v>
      </c>
      <c r="D105" s="85" t="s">
        <v>45</v>
      </c>
      <c r="E105" s="86">
        <v>0.04</v>
      </c>
      <c r="F105" s="87">
        <v>0.04</v>
      </c>
      <c r="G105" s="87">
        <v>-0.04</v>
      </c>
      <c r="H105" s="79" t="s">
        <v>46</v>
      </c>
      <c r="I105" s="67"/>
      <c r="J105" s="68">
        <v>0.08</v>
      </c>
      <c r="K105" s="68">
        <v>0</v>
      </c>
      <c r="L105" s="68">
        <v>7.400000000000001E-2</v>
      </c>
      <c r="M105" s="68">
        <v>5.9999999999999984E-3</v>
      </c>
      <c r="N105" s="116"/>
      <c r="O105" s="116"/>
      <c r="P105" s="69"/>
      <c r="Q105" s="88">
        <f t="shared" si="25"/>
        <v>0</v>
      </c>
      <c r="R105" s="88">
        <f t="shared" si="26"/>
        <v>0</v>
      </c>
      <c r="S105" s="88">
        <f t="shared" si="27"/>
        <v>0</v>
      </c>
      <c r="T105" s="89">
        <f t="shared" si="37"/>
        <v>0</v>
      </c>
      <c r="U105" s="80" t="str">
        <f t="shared" si="28"/>
        <v/>
      </c>
      <c r="V105" s="81" t="str">
        <f>IF(OR($AM105="",ISNUMBER($AM105)=FALSE),"",IF(AND(#REF!="Tolerance",$E105&lt;&gt;""),($S105-$E105)/(($J105-$K105)/2),IF(AND(#REF!="GD&amp;T",$F105&lt;&gt;""),$S105/$F105,"")))</f>
        <v/>
      </c>
      <c r="W105" s="81" t="str">
        <f t="shared" si="34"/>
        <v/>
      </c>
      <c r="X105" s="80" t="str">
        <f t="shared" si="29"/>
        <v/>
      </c>
      <c r="Y105" s="80" t="str">
        <f t="shared" si="30"/>
        <v/>
      </c>
      <c r="Z105" s="80" t="str">
        <f t="shared" si="31"/>
        <v/>
      </c>
      <c r="AA105" s="70" t="str">
        <f t="shared" si="32"/>
        <v/>
      </c>
      <c r="AB105" s="71" t="e">
        <f>IF($S105="","",IF(#REF!="Tolerance",IF((#REF!*3*T105+S105)-E105&lt;F105,"",(#REF!*3*T105+S105)-E105),IF(OR(#REF!="GD&amp;T",#REF!="MAX"),IF((#REF!*3*T105+S105)&lt;F105,"",(#REF!*3*T105+S105)),"")))</f>
        <v>#REF!</v>
      </c>
      <c r="AC105" s="71" t="e">
        <f>IF(S105="","",IF(#REF!="Tolerance",IF(-((#REF!*3*T105)-S105)-E105&gt;G105,"",-((#REF!*3*T105)-S105)-E105),IF(#REF!="MIN",IF(-((#REF!*3*T105)-S105)&gt;G105,"",-((#REF!*3*T105)-S105)),"")))</f>
        <v>#REF!</v>
      </c>
      <c r="AD105" s="71">
        <f t="shared" si="35"/>
        <v>0.04</v>
      </c>
      <c r="AE105" s="71" t="str">
        <f t="shared" si="33"/>
        <v/>
      </c>
      <c r="AF105" s="82"/>
      <c r="AG105" s="83" t="str">
        <f t="shared" si="36"/>
        <v/>
      </c>
      <c r="AH105" s="125"/>
      <c r="AI105" s="72"/>
      <c r="AJ105" s="72"/>
      <c r="AK105" s="73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</row>
    <row r="106" spans="2:70" ht="19.149999999999999" customHeight="1">
      <c r="B106" s="90" t="s">
        <v>244</v>
      </c>
      <c r="C106" s="75">
        <v>97</v>
      </c>
      <c r="D106" s="85" t="s">
        <v>45</v>
      </c>
      <c r="E106" s="86">
        <v>1.966</v>
      </c>
      <c r="F106" s="87">
        <v>2.5000000000000001E-2</v>
      </c>
      <c r="G106" s="87">
        <v>-2.5000000000000001E-2</v>
      </c>
      <c r="H106" s="79" t="s">
        <v>46</v>
      </c>
      <c r="I106" s="67"/>
      <c r="J106" s="68">
        <v>1.9909999999999999</v>
      </c>
      <c r="K106" s="68">
        <v>1.9410000000000001</v>
      </c>
      <c r="L106" s="68">
        <v>1.98725</v>
      </c>
      <c r="M106" s="68">
        <v>1.94475</v>
      </c>
      <c r="N106" s="116"/>
      <c r="O106" s="116"/>
      <c r="P106" s="69"/>
      <c r="Q106" s="88">
        <f t="shared" si="25"/>
        <v>0</v>
      </c>
      <c r="R106" s="88">
        <f t="shared" si="26"/>
        <v>0</v>
      </c>
      <c r="S106" s="88">
        <f t="shared" si="27"/>
        <v>0</v>
      </c>
      <c r="T106" s="89">
        <f t="shared" si="37"/>
        <v>0</v>
      </c>
      <c r="U106" s="80" t="str">
        <f t="shared" si="28"/>
        <v/>
      </c>
      <c r="V106" s="81" t="str">
        <f>IF(OR($AM106="",ISNUMBER($AM106)=FALSE),"",IF(AND(#REF!="Tolerance",$E106&lt;&gt;""),($S106-$E106)/(($J106-$K106)/2),IF(AND(#REF!="GD&amp;T",$F106&lt;&gt;""),$S106/$F106,"")))</f>
        <v/>
      </c>
      <c r="W106" s="81" t="str">
        <f t="shared" si="34"/>
        <v/>
      </c>
      <c r="X106" s="80" t="str">
        <f t="shared" si="29"/>
        <v/>
      </c>
      <c r="Y106" s="80" t="str">
        <f t="shared" si="30"/>
        <v/>
      </c>
      <c r="Z106" s="80" t="str">
        <f t="shared" si="31"/>
        <v/>
      </c>
      <c r="AA106" s="70" t="str">
        <f t="shared" si="32"/>
        <v/>
      </c>
      <c r="AB106" s="71" t="e">
        <f>IF($S106="","",IF(#REF!="Tolerance",IF((#REF!*3*T106+S106)-E106&lt;F106,"",(#REF!*3*T106+S106)-E106),IF(OR(#REF!="GD&amp;T",#REF!="MAX"),IF((#REF!*3*T106+S106)&lt;F106,"",(#REF!*3*T106+S106)),"")))</f>
        <v>#REF!</v>
      </c>
      <c r="AC106" s="71" t="e">
        <f>IF(S106="","",IF(#REF!="Tolerance",IF(-((#REF!*3*T106)-S106)-E106&gt;G106,"",-((#REF!*3*T106)-S106)-E106),IF(#REF!="MIN",IF(-((#REF!*3*T106)-S106)&gt;G106,"",-((#REF!*3*T106)-S106)),"")))</f>
        <v>#REF!</v>
      </c>
      <c r="AD106" s="71">
        <f t="shared" si="35"/>
        <v>1.966</v>
      </c>
      <c r="AE106" s="71" t="str">
        <f t="shared" si="33"/>
        <v/>
      </c>
      <c r="AF106" s="82"/>
      <c r="AG106" s="83" t="str">
        <f t="shared" si="36"/>
        <v/>
      </c>
      <c r="AH106" s="125"/>
      <c r="AI106" s="72"/>
      <c r="AJ106" s="72"/>
      <c r="AK106" s="73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</row>
    <row r="107" spans="2:70" ht="19.149999999999999" customHeight="1">
      <c r="B107" s="90" t="s">
        <v>245</v>
      </c>
      <c r="C107" s="75" t="s">
        <v>213</v>
      </c>
      <c r="D107" s="85" t="s">
        <v>45</v>
      </c>
      <c r="E107" s="86">
        <v>-0.45</v>
      </c>
      <c r="F107" s="87">
        <v>1.4999999999999999E-2</v>
      </c>
      <c r="G107" s="87">
        <v>-1.4999999999999999E-2</v>
      </c>
      <c r="H107" s="79" t="s">
        <v>231</v>
      </c>
      <c r="I107" s="67"/>
      <c r="J107" s="68">
        <v>-0.435</v>
      </c>
      <c r="K107" s="68">
        <v>-0.46500000000000002</v>
      </c>
      <c r="L107" s="68">
        <v>-0.43725000000000003</v>
      </c>
      <c r="M107" s="68">
        <v>-0.46274999999999999</v>
      </c>
      <c r="N107" s="116"/>
      <c r="O107" s="116"/>
      <c r="P107" s="69"/>
      <c r="Q107" s="88">
        <f t="shared" si="25"/>
        <v>0</v>
      </c>
      <c r="R107" s="88">
        <f t="shared" si="26"/>
        <v>0</v>
      </c>
      <c r="S107" s="88">
        <f t="shared" si="27"/>
        <v>0</v>
      </c>
      <c r="T107" s="89">
        <f t="shared" si="37"/>
        <v>0</v>
      </c>
      <c r="U107" s="80" t="str">
        <f t="shared" si="28"/>
        <v/>
      </c>
      <c r="V107" s="81" t="str">
        <f>IF(OR($AM107="",ISNUMBER($AM107)=FALSE),"",IF(AND(#REF!="Tolerance",$E107&lt;&gt;""),($S107-$E107)/(($J107-$K107)/2),IF(AND(#REF!="GD&amp;T",$F107&lt;&gt;""),$S107/$F107,"")))</f>
        <v/>
      </c>
      <c r="W107" s="81" t="str">
        <f t="shared" si="34"/>
        <v/>
      </c>
      <c r="X107" s="80" t="str">
        <f t="shared" si="29"/>
        <v/>
      </c>
      <c r="Y107" s="80" t="str">
        <f t="shared" si="30"/>
        <v/>
      </c>
      <c r="Z107" s="80" t="str">
        <f t="shared" si="31"/>
        <v/>
      </c>
      <c r="AA107" s="70" t="str">
        <f t="shared" si="32"/>
        <v/>
      </c>
      <c r="AB107" s="71" t="e">
        <f>IF($S107="","",IF(#REF!="Tolerance",IF((#REF!*3*T107+S107)-E107&lt;F107,"",(#REF!*3*T107+S107)-E107),IF(OR(#REF!="GD&amp;T",#REF!="MAX"),IF((#REF!*3*T107+S107)&lt;F107,"",(#REF!*3*T107+S107)),"")))</f>
        <v>#REF!</v>
      </c>
      <c r="AC107" s="71" t="e">
        <f>IF(S107="","",IF(#REF!="Tolerance",IF(-((#REF!*3*T107)-S107)-E107&gt;G107,"",-((#REF!*3*T107)-S107)-E107),IF(#REF!="MIN",IF(-((#REF!*3*T107)-S107)&gt;G107,"",-((#REF!*3*T107)-S107)),"")))</f>
        <v>#REF!</v>
      </c>
      <c r="AD107" s="71">
        <f t="shared" si="35"/>
        <v>-0.45</v>
      </c>
      <c r="AE107" s="71" t="str">
        <f t="shared" si="33"/>
        <v/>
      </c>
      <c r="AF107" s="82"/>
      <c r="AG107" s="83" t="str">
        <f t="shared" si="36"/>
        <v/>
      </c>
      <c r="AH107" s="125"/>
      <c r="AI107" s="72"/>
      <c r="AJ107" s="72"/>
      <c r="AK107" s="73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</row>
    <row r="108" spans="2:70" ht="19.149999999999999" customHeight="1">
      <c r="B108" s="90" t="s">
        <v>245</v>
      </c>
      <c r="C108" s="75" t="s">
        <v>214</v>
      </c>
      <c r="D108" s="85" t="s">
        <v>45</v>
      </c>
      <c r="E108" s="86">
        <v>-0.45</v>
      </c>
      <c r="F108" s="87">
        <v>1.4999999999999999E-2</v>
      </c>
      <c r="G108" s="87">
        <v>-1.4999999999999999E-2</v>
      </c>
      <c r="H108" s="79" t="s">
        <v>231</v>
      </c>
      <c r="I108" s="67"/>
      <c r="J108" s="68">
        <v>-0.435</v>
      </c>
      <c r="K108" s="68">
        <v>-0.46500000000000002</v>
      </c>
      <c r="L108" s="68">
        <v>-0.43725000000000003</v>
      </c>
      <c r="M108" s="68">
        <v>-0.46274999999999999</v>
      </c>
      <c r="N108" s="116"/>
      <c r="O108" s="116"/>
      <c r="P108" s="69"/>
      <c r="Q108" s="88">
        <f>IF(OR($AM108=ISBLANK(TRUE),ISNUMBER($AM108)=FALSE),,MAX(AM108:BR108))</f>
        <v>0</v>
      </c>
      <c r="R108" s="88">
        <f>IF(OR($AM108=ISBLANK(TRUE),ISNUMBER($AM108)=FALSE),,MIN(AM108:BR108))</f>
        <v>0</v>
      </c>
      <c r="S108" s="88">
        <f>IF(OR($AM108=ISBLANK(TRUE),ISNUMBER($AM108)=FALSE),,AVERAGE(AM108:BR108))</f>
        <v>0</v>
      </c>
      <c r="T108" s="89">
        <f>IF(OR($AM108=ISBLANK(TRUE),ISNUMBER($AM108)=FALSE),,STDEV(AM108:BR108))</f>
        <v>0</v>
      </c>
      <c r="U108" s="80" t="str">
        <f>IF(OR($AM108="",ISNUMBER($AM108)=FALSE),"",IF(AND(E108=0,G108=0),X108,IF(AND(E108="",F108=""),Y108,(F108+ABS(G108))/(6*T108))))</f>
        <v/>
      </c>
      <c r="V108" s="81" t="str">
        <f>IF(OR($AM108="",ISNUMBER($AM108)=FALSE),"",IF(AND(#REF!="Tolerance",$E108&lt;&gt;""),($S108-$E108)/(($J108-$K108)/2),IF(AND(#REF!="GD&amp;T",$F108&lt;&gt;""),$S108/$F108,"")))</f>
        <v/>
      </c>
      <c r="W108" s="81" t="str">
        <f>IF($V108="","",IF(ABS($V108)&lt;=0.125, "Level A",IF(AND(ABS($V108)&gt;0.125,ABS($V108)&lt;=0.25), "Level B",IF(AND(ABS($V108)&gt;0.25,ABS($V108)&lt;=0.5), "Level C", IF(ABS($V108)&gt;0.5, "Level D")))))</f>
        <v/>
      </c>
      <c r="X108" s="80" t="str">
        <f>IF(OR($AM108="",ISNUMBER($AM108)=FALSE),"",IF(F108="","",(J108-S108)/(3*T108)))</f>
        <v/>
      </c>
      <c r="Y108" s="80" t="str">
        <f>IF(OR($AM108="",ISNUMBER($AM108)=FALSE),"",IF(G108="","",(S108-K108)/(3*T108)))</f>
        <v/>
      </c>
      <c r="Z108" s="80" t="str">
        <f>IF(OR($AM108="",ISNUMBER($AM108)=FALSE),"",IF(AND(E108=0,G108=0),((F108)-(S108))/(3*T108),MIN(X108:Y108)))</f>
        <v/>
      </c>
      <c r="AA108" s="70" t="str">
        <f>IF(OR($AM108="",ISNUMBER($AM108)=FALSE),"",IF(AND(E108=0,G108=0),NORMSDIST(3*Z108),NORMSDIST(3*Z108)+NORMSDIST(6*U108-3*Z108)-1))</f>
        <v/>
      </c>
      <c r="AB108" s="71" t="e">
        <f>IF($S108="","",IF(#REF!="Tolerance",IF((#REF!*3*T108+S108)-E108&lt;F108,"",(#REF!*3*T108+S108)-E108),IF(OR(#REF!="GD&amp;T",#REF!="MAX"),IF((#REF!*3*T108+S108)&lt;F108,"",(#REF!*3*T108+S108)),"")))</f>
        <v>#REF!</v>
      </c>
      <c r="AC108" s="71" t="e">
        <f>IF(S108="","",IF(#REF!="Tolerance",IF(-((#REF!*3*T108)-S108)-E108&gt;G108,"",-((#REF!*3*T108)-S108)-E108),IF(#REF!="MIN",IF(-((#REF!*3*T108)-S108)&gt;G108,"",-((#REF!*3*T108)-S108)),"")))</f>
        <v>#REF!</v>
      </c>
      <c r="AD108" s="71">
        <f t="shared" ref="AD108" si="38">IF(OR(E108="",S108=""),"",(J108+K108)/2-S108)</f>
        <v>-0.45</v>
      </c>
      <c r="AE108" s="71" t="str">
        <f>IF(OR($U108&gt;$AE$4,$T108=""),"",$AE$4*6*$T108)</f>
        <v/>
      </c>
      <c r="AF108" s="82"/>
      <c r="AG108" s="83" t="str">
        <f t="shared" ref="AG108" si="39">IF(AF108="","",IF(AF108&gt;=0.966,"Normal","Not Normal"))</f>
        <v/>
      </c>
      <c r="AH108" s="125"/>
      <c r="AI108" s="72"/>
      <c r="AJ108" s="72"/>
      <c r="AK108" s="73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</row>
    <row r="109" spans="2:70" ht="19.149999999999999" customHeight="1">
      <c r="B109" s="66" t="s">
        <v>23</v>
      </c>
      <c r="C109" s="106" t="s">
        <v>367</v>
      </c>
      <c r="D109" s="85" t="s">
        <v>45</v>
      </c>
      <c r="E109" s="107">
        <v>0</v>
      </c>
      <c r="F109" s="108">
        <v>8.0000000000000002E-3</v>
      </c>
      <c r="G109" s="108">
        <v>-8.0000000000000002E-3</v>
      </c>
      <c r="H109" s="79" t="s">
        <v>231</v>
      </c>
      <c r="I109" s="67"/>
      <c r="J109" s="68">
        <v>8.0000000000000002E-3</v>
      </c>
      <c r="K109" s="68">
        <v>-8.0000000000000002E-3</v>
      </c>
      <c r="L109" s="68">
        <v>6.7999999999999996E-3</v>
      </c>
      <c r="M109" s="68">
        <v>-6.7999999999999996E-3</v>
      </c>
      <c r="N109" s="116"/>
      <c r="O109" s="116"/>
      <c r="P109" s="69"/>
      <c r="Q109" s="88">
        <f>IF(OR($AM109=ISBLANK(TRUE),ISNUMBER($AM109)=FALSE),,MAX(AM109:BR109))</f>
        <v>0</v>
      </c>
      <c r="R109" s="88">
        <f>IF(OR($AM109=ISBLANK(TRUE),ISNUMBER($AM109)=FALSE),,MIN(AM109:BR109))</f>
        <v>0</v>
      </c>
      <c r="S109" s="88">
        <f>IF(OR($AM109=ISBLANK(TRUE),ISNUMBER($AM109)=FALSE),,AVERAGE(AM109:BR109))</f>
        <v>0</v>
      </c>
      <c r="T109" s="89">
        <f>IF(OR($AM109=ISBLANK(TRUE),ISNUMBER($AM109)=FALSE),,STDEV(AM109:BR109))</f>
        <v>0</v>
      </c>
      <c r="U109" s="117"/>
      <c r="V109" s="118"/>
      <c r="W109" s="118"/>
      <c r="X109" s="117"/>
      <c r="Y109" s="117"/>
      <c r="Z109" s="117"/>
      <c r="AA109" s="70"/>
      <c r="AB109" s="71"/>
      <c r="AC109" s="71"/>
      <c r="AD109" s="71"/>
      <c r="AE109" s="71"/>
      <c r="AF109" s="119"/>
      <c r="AG109" s="120"/>
      <c r="AH109" s="125"/>
      <c r="AI109" s="72"/>
      <c r="AJ109" s="72"/>
      <c r="AK109" s="73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  <c r="BE109" s="121"/>
      <c r="BF109" s="121"/>
      <c r="BG109" s="121"/>
      <c r="BH109" s="121"/>
      <c r="BI109" s="121"/>
      <c r="BJ109" s="121"/>
      <c r="BK109" s="121"/>
      <c r="BL109" s="121"/>
      <c r="BM109" s="121"/>
      <c r="BN109" s="121"/>
      <c r="BO109" s="121"/>
      <c r="BP109" s="121"/>
      <c r="BQ109" s="121"/>
      <c r="BR109" s="121"/>
    </row>
    <row r="110" spans="2:70" ht="19.149999999999999" customHeight="1">
      <c r="B110" s="66" t="s">
        <v>23</v>
      </c>
      <c r="C110" s="106" t="s">
        <v>373</v>
      </c>
      <c r="D110" s="85" t="s">
        <v>45</v>
      </c>
      <c r="E110" s="107">
        <v>0</v>
      </c>
      <c r="F110" s="108">
        <v>8.0000000000000002E-3</v>
      </c>
      <c r="G110" s="108">
        <v>-8.0000000000000002E-3</v>
      </c>
      <c r="H110" s="79" t="s">
        <v>231</v>
      </c>
      <c r="I110" s="67"/>
      <c r="J110" s="68">
        <v>8.0000000000000002E-3</v>
      </c>
      <c r="K110" s="68">
        <v>-8.0000000000000002E-3</v>
      </c>
      <c r="L110" s="68">
        <v>6.7999999999999996E-3</v>
      </c>
      <c r="M110" s="68">
        <v>-6.7999999999999996E-3</v>
      </c>
      <c r="N110" s="116"/>
      <c r="O110" s="116"/>
      <c r="P110" s="69"/>
      <c r="Q110" s="88">
        <f t="shared" ref="Q110:Q112" si="40">IF(OR($AM110=ISBLANK(TRUE),ISNUMBER($AM110)=FALSE),,MAX(AM110:BR110))</f>
        <v>0</v>
      </c>
      <c r="R110" s="88">
        <f t="shared" ref="R110:R112" si="41">IF(OR($AM110=ISBLANK(TRUE),ISNUMBER($AM110)=FALSE),,MIN(AM110:BR110))</f>
        <v>0</v>
      </c>
      <c r="S110" s="88">
        <f t="shared" ref="S110:S112" si="42">IF(OR($AM110=ISBLANK(TRUE),ISNUMBER($AM110)=FALSE),,AVERAGE(AM110:BR110))</f>
        <v>0</v>
      </c>
      <c r="T110" s="89">
        <f t="shared" ref="T110:T112" si="43">IF(OR($AM110=ISBLANK(TRUE),ISNUMBER($AM110)=FALSE),,STDEV(AM110:BR110))</f>
        <v>0</v>
      </c>
      <c r="U110" s="117"/>
      <c r="V110" s="118"/>
      <c r="W110" s="118"/>
      <c r="X110" s="117"/>
      <c r="Y110" s="117"/>
      <c r="Z110" s="117"/>
      <c r="AA110" s="70"/>
      <c r="AB110" s="71"/>
      <c r="AC110" s="71"/>
      <c r="AD110" s="71"/>
      <c r="AE110" s="71"/>
      <c r="AF110" s="119"/>
      <c r="AG110" s="120"/>
      <c r="AH110" s="125"/>
      <c r="AI110" s="72"/>
      <c r="AJ110" s="72"/>
      <c r="AK110" s="73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</row>
    <row r="111" spans="2:70" ht="19.149999999999999" customHeight="1">
      <c r="B111" s="66" t="s">
        <v>246</v>
      </c>
      <c r="C111" s="75" t="s">
        <v>215</v>
      </c>
      <c r="D111" s="85" t="s">
        <v>45</v>
      </c>
      <c r="E111" s="86">
        <v>-0.45</v>
      </c>
      <c r="F111" s="87">
        <v>1.4999999999999999E-2</v>
      </c>
      <c r="G111" s="87">
        <v>-1.4999999999999999E-2</v>
      </c>
      <c r="H111" s="79" t="s">
        <v>231</v>
      </c>
      <c r="I111" s="67"/>
      <c r="J111" s="68">
        <v>-0.435</v>
      </c>
      <c r="K111" s="68">
        <v>-0.46500000000000002</v>
      </c>
      <c r="L111" s="68">
        <v>-0.43725000000000003</v>
      </c>
      <c r="M111" s="68">
        <v>-0.46274999999999999</v>
      </c>
      <c r="N111" s="116"/>
      <c r="O111" s="116"/>
      <c r="P111" s="69"/>
      <c r="Q111" s="88">
        <f t="shared" si="40"/>
        <v>0</v>
      </c>
      <c r="R111" s="88">
        <f t="shared" si="41"/>
        <v>0</v>
      </c>
      <c r="S111" s="88">
        <f t="shared" si="42"/>
        <v>0</v>
      </c>
      <c r="T111" s="89">
        <f t="shared" si="43"/>
        <v>0</v>
      </c>
      <c r="U111" s="80" t="str">
        <f t="shared" si="28"/>
        <v/>
      </c>
      <c r="V111" s="81" t="str">
        <f>IF(OR($AM111="",ISNUMBER($AM111)=FALSE),"",IF(AND(#REF!="Tolerance",$E111&lt;&gt;""),($S111-$E111)/(($J111-$K111)/2),IF(AND(#REF!="GD&amp;T",$F111&lt;&gt;""),$S111/$F111,"")))</f>
        <v/>
      </c>
      <c r="W111" s="81" t="str">
        <f t="shared" si="34"/>
        <v/>
      </c>
      <c r="X111" s="80" t="str">
        <f t="shared" si="29"/>
        <v/>
      </c>
      <c r="Y111" s="80" t="str">
        <f t="shared" si="30"/>
        <v/>
      </c>
      <c r="Z111" s="80" t="str">
        <f t="shared" si="31"/>
        <v/>
      </c>
      <c r="AA111" s="70" t="str">
        <f t="shared" si="32"/>
        <v/>
      </c>
      <c r="AB111" s="71" t="e">
        <f>IF($S111="","",IF(#REF!="Tolerance",IF((#REF!*3*T111+S111)-E111&lt;F111,"",(#REF!*3*T111+S111)-E111),IF(OR(#REF!="GD&amp;T",#REF!="MAX"),IF((#REF!*3*T111+S111)&lt;F111,"",(#REF!*3*T111+S111)),"")))</f>
        <v>#REF!</v>
      </c>
      <c r="AC111" s="71" t="e">
        <f>IF(S111="","",IF(#REF!="Tolerance",IF(-((#REF!*3*T111)-S111)-E111&gt;G111,"",-((#REF!*3*T111)-S111)-E111),IF(#REF!="MIN",IF(-((#REF!*3*T111)-S111)&gt;G111,"",-((#REF!*3*T111)-S111)),"")))</f>
        <v>#REF!</v>
      </c>
      <c r="AD111" s="71">
        <f t="shared" si="35"/>
        <v>-0.45</v>
      </c>
      <c r="AE111" s="71" t="str">
        <f t="shared" si="33"/>
        <v/>
      </c>
      <c r="AF111" s="82"/>
      <c r="AG111" s="83" t="str">
        <f t="shared" si="36"/>
        <v/>
      </c>
      <c r="AH111" s="125"/>
      <c r="AI111" s="72"/>
      <c r="AJ111" s="72"/>
      <c r="AK111" s="73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  <c r="BG111" s="110"/>
      <c r="BH111" s="110"/>
      <c r="BI111" s="110"/>
      <c r="BJ111" s="110"/>
      <c r="BK111" s="110"/>
      <c r="BL111" s="110"/>
      <c r="BM111" s="110"/>
      <c r="BN111" s="110"/>
      <c r="BO111" s="110"/>
      <c r="BP111" s="110"/>
      <c r="BQ111" s="110"/>
      <c r="BR111" s="110"/>
    </row>
    <row r="112" spans="2:70" ht="19.149999999999999" customHeight="1">
      <c r="B112" s="66" t="s">
        <v>23</v>
      </c>
      <c r="C112" s="106">
        <v>123</v>
      </c>
      <c r="D112" s="85" t="s">
        <v>45</v>
      </c>
      <c r="E112" s="107">
        <v>0</v>
      </c>
      <c r="F112" s="108">
        <v>6.0000000000000001E-3</v>
      </c>
      <c r="G112" s="108">
        <v>-0.01</v>
      </c>
      <c r="H112" s="79" t="s">
        <v>231</v>
      </c>
      <c r="I112" s="67"/>
      <c r="J112" s="68">
        <v>6.0000000000000001E-3</v>
      </c>
      <c r="K112" s="68">
        <v>-0.01</v>
      </c>
      <c r="L112" s="68">
        <v>5.1000000000000004E-3</v>
      </c>
      <c r="M112" s="68">
        <v>-8.5000000000000006E-3</v>
      </c>
      <c r="N112" s="116"/>
      <c r="O112" s="116"/>
      <c r="P112" s="69"/>
      <c r="Q112" s="88">
        <f t="shared" si="40"/>
        <v>0</v>
      </c>
      <c r="R112" s="88">
        <f t="shared" si="41"/>
        <v>0</v>
      </c>
      <c r="S112" s="88">
        <f t="shared" si="42"/>
        <v>0</v>
      </c>
      <c r="T112" s="89">
        <f t="shared" si="43"/>
        <v>0</v>
      </c>
      <c r="U112" s="117"/>
      <c r="V112" s="118"/>
      <c r="W112" s="118"/>
      <c r="X112" s="117"/>
      <c r="Y112" s="117"/>
      <c r="Z112" s="117"/>
      <c r="AA112" s="70"/>
      <c r="AB112" s="71"/>
      <c r="AC112" s="71"/>
      <c r="AD112" s="71"/>
      <c r="AE112" s="71"/>
      <c r="AF112" s="119"/>
      <c r="AG112" s="120"/>
      <c r="AH112" s="125"/>
      <c r="AI112" s="72"/>
      <c r="AJ112" s="72"/>
      <c r="AK112" s="73"/>
      <c r="AM112" s="121"/>
      <c r="AN112" s="121"/>
      <c r="AO112" s="121"/>
      <c r="AP112" s="121"/>
      <c r="AQ112" s="121"/>
      <c r="AR112" s="121"/>
      <c r="AS112" s="121"/>
      <c r="AT112" s="121"/>
      <c r="AU112" s="121"/>
      <c r="AV112" s="121"/>
      <c r="AW112" s="121"/>
      <c r="AX112" s="121"/>
      <c r="AY112" s="121"/>
      <c r="AZ112" s="121"/>
      <c r="BA112" s="121"/>
      <c r="BB112" s="121"/>
      <c r="BC112" s="121"/>
      <c r="BD112" s="121"/>
      <c r="BE112" s="121"/>
      <c r="BF112" s="121"/>
      <c r="BG112" s="121"/>
      <c r="BH112" s="121"/>
      <c r="BI112" s="121"/>
      <c r="BJ112" s="121"/>
      <c r="BK112" s="121"/>
      <c r="BL112" s="121"/>
      <c r="BM112" s="121"/>
      <c r="BN112" s="121"/>
      <c r="BO112" s="121"/>
      <c r="BP112" s="121"/>
      <c r="BQ112" s="121"/>
      <c r="BR112" s="121"/>
    </row>
    <row r="113" spans="2:70" ht="19.149999999999999" customHeight="1">
      <c r="B113" s="90" t="s">
        <v>247</v>
      </c>
      <c r="C113" s="75">
        <v>126</v>
      </c>
      <c r="D113" s="85" t="s">
        <v>45</v>
      </c>
      <c r="E113" s="86">
        <v>0.26100000000000001</v>
      </c>
      <c r="F113" s="87">
        <v>0.03</v>
      </c>
      <c r="G113" s="87">
        <v>-0.03</v>
      </c>
      <c r="H113" s="79" t="s">
        <v>46</v>
      </c>
      <c r="I113" s="67"/>
      <c r="J113" s="68">
        <v>0.29100000000000004</v>
      </c>
      <c r="K113" s="68">
        <v>0.23100000000000001</v>
      </c>
      <c r="L113" s="68">
        <v>0.28650000000000003</v>
      </c>
      <c r="M113" s="68">
        <v>0.23550000000000001</v>
      </c>
      <c r="N113" s="116"/>
      <c r="O113" s="116"/>
      <c r="P113" s="69"/>
      <c r="Q113" s="88">
        <f t="shared" si="25"/>
        <v>0</v>
      </c>
      <c r="R113" s="88">
        <f t="shared" si="26"/>
        <v>0</v>
      </c>
      <c r="S113" s="88">
        <f t="shared" si="27"/>
        <v>0</v>
      </c>
      <c r="T113" s="89">
        <f t="shared" si="37"/>
        <v>0</v>
      </c>
      <c r="U113" s="80" t="str">
        <f t="shared" si="28"/>
        <v/>
      </c>
      <c r="V113" s="81" t="str">
        <f>IF(OR($AM113="",ISNUMBER($AM113)=FALSE),"",IF(AND(#REF!="Tolerance",$E113&lt;&gt;""),($S113-$E113)/(($J113-$K113)/2),IF(AND(#REF!="GD&amp;T",$F113&lt;&gt;""),$S113/$F113,"")))</f>
        <v/>
      </c>
      <c r="W113" s="81" t="str">
        <f t="shared" si="34"/>
        <v/>
      </c>
      <c r="X113" s="80" t="str">
        <f t="shared" si="29"/>
        <v/>
      </c>
      <c r="Y113" s="80" t="str">
        <f t="shared" si="30"/>
        <v/>
      </c>
      <c r="Z113" s="80" t="str">
        <f t="shared" si="31"/>
        <v/>
      </c>
      <c r="AA113" s="70" t="str">
        <f t="shared" si="32"/>
        <v/>
      </c>
      <c r="AB113" s="71" t="e">
        <f>IF($S113="","",IF(#REF!="Tolerance",IF((#REF!*3*T113+S113)-E113&lt;F113,"",(#REF!*3*T113+S113)-E113),IF(OR(#REF!="GD&amp;T",#REF!="MAX"),IF((#REF!*3*T113+S113)&lt;F113,"",(#REF!*3*T113+S113)),"")))</f>
        <v>#REF!</v>
      </c>
      <c r="AC113" s="71" t="e">
        <f>IF(S113="","",IF(#REF!="Tolerance",IF(-((#REF!*3*T113)-S113)-E113&gt;G113,"",-((#REF!*3*T113)-S113)-E113),IF(#REF!="MIN",IF(-((#REF!*3*T113)-S113)&gt;G113,"",-((#REF!*3*T113)-S113)),"")))</f>
        <v>#REF!</v>
      </c>
      <c r="AD113" s="71">
        <f t="shared" si="35"/>
        <v>0.26100000000000001</v>
      </c>
      <c r="AE113" s="71" t="str">
        <f t="shared" si="33"/>
        <v/>
      </c>
      <c r="AF113" s="82"/>
      <c r="AG113" s="83" t="str">
        <f t="shared" si="36"/>
        <v/>
      </c>
      <c r="AH113" s="125"/>
      <c r="AI113" s="72"/>
      <c r="AJ113" s="72"/>
      <c r="AK113" s="73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0"/>
      <c r="BK113" s="110"/>
      <c r="BL113" s="110"/>
      <c r="BM113" s="110"/>
      <c r="BN113" s="110"/>
      <c r="BO113" s="110"/>
      <c r="BP113" s="110"/>
      <c r="BQ113" s="110"/>
      <c r="BR113" s="110"/>
    </row>
    <row r="114" spans="2:70" ht="19.149999999999999" customHeight="1">
      <c r="B114" s="66" t="s">
        <v>248</v>
      </c>
      <c r="C114" s="75" t="s">
        <v>216</v>
      </c>
      <c r="D114" s="85" t="s">
        <v>45</v>
      </c>
      <c r="E114" s="86">
        <v>21.385999999999999</v>
      </c>
      <c r="F114" s="87">
        <v>0.03</v>
      </c>
      <c r="G114" s="87">
        <v>-0.03</v>
      </c>
      <c r="H114" s="79" t="s">
        <v>46</v>
      </c>
      <c r="I114" s="67"/>
      <c r="J114" s="68">
        <v>21.416</v>
      </c>
      <c r="K114" s="68">
        <v>21.355999999999998</v>
      </c>
      <c r="L114" s="68">
        <v>21.4115</v>
      </c>
      <c r="M114" s="68">
        <v>21.360499999999998</v>
      </c>
      <c r="N114" s="116"/>
      <c r="O114" s="116"/>
      <c r="P114" s="69"/>
      <c r="Q114" s="88">
        <f t="shared" si="25"/>
        <v>0</v>
      </c>
      <c r="R114" s="88">
        <f t="shared" si="26"/>
        <v>0</v>
      </c>
      <c r="S114" s="88">
        <f t="shared" si="27"/>
        <v>0</v>
      </c>
      <c r="T114" s="89">
        <f t="shared" si="37"/>
        <v>0</v>
      </c>
      <c r="U114" s="80" t="str">
        <f t="shared" si="28"/>
        <v/>
      </c>
      <c r="V114" s="81" t="str">
        <f>IF(OR($AM114="",ISNUMBER($AM114)=FALSE),"",IF(AND(#REF!="Tolerance",$E114&lt;&gt;""),($S114-$E114)/(($J114-$K114)/2),IF(AND(#REF!="GD&amp;T",$F114&lt;&gt;""),$S114/$F114,"")))</f>
        <v/>
      </c>
      <c r="W114" s="81" t="str">
        <f t="shared" si="34"/>
        <v/>
      </c>
      <c r="X114" s="80" t="str">
        <f t="shared" si="29"/>
        <v/>
      </c>
      <c r="Y114" s="80" t="str">
        <f t="shared" si="30"/>
        <v/>
      </c>
      <c r="Z114" s="80" t="str">
        <f t="shared" si="31"/>
        <v/>
      </c>
      <c r="AA114" s="70" t="str">
        <f t="shared" si="32"/>
        <v/>
      </c>
      <c r="AB114" s="71" t="e">
        <f>IF($S114="","",IF(#REF!="Tolerance",IF((#REF!*3*T114+S114)-E114&lt;F114,"",(#REF!*3*T114+S114)-E114),IF(OR(#REF!="GD&amp;T",#REF!="MAX"),IF((#REF!*3*T114+S114)&lt;F114,"",(#REF!*3*T114+S114)),"")))</f>
        <v>#REF!</v>
      </c>
      <c r="AC114" s="71" t="e">
        <f>IF(S114="","",IF(#REF!="Tolerance",IF(-((#REF!*3*T114)-S114)-E114&gt;G114,"",-((#REF!*3*T114)-S114)-E114),IF(#REF!="MIN",IF(-((#REF!*3*T114)-S114)&gt;G114,"",-((#REF!*3*T114)-S114)),"")))</f>
        <v>#REF!</v>
      </c>
      <c r="AD114" s="71">
        <f t="shared" si="35"/>
        <v>21.385999999999999</v>
      </c>
      <c r="AE114" s="71" t="str">
        <f t="shared" si="33"/>
        <v/>
      </c>
      <c r="AF114" s="82"/>
      <c r="AG114" s="83" t="str">
        <f t="shared" si="36"/>
        <v/>
      </c>
      <c r="AH114" s="125"/>
      <c r="AI114" s="72"/>
      <c r="AJ114" s="72"/>
      <c r="AK114" s="73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10"/>
      <c r="BI114" s="110"/>
      <c r="BJ114" s="110"/>
      <c r="BK114" s="110"/>
      <c r="BL114" s="110"/>
      <c r="BM114" s="110"/>
      <c r="BN114" s="110"/>
      <c r="BO114" s="110"/>
      <c r="BP114" s="110"/>
      <c r="BQ114" s="110"/>
      <c r="BR114" s="110"/>
    </row>
    <row r="115" spans="2:70" ht="19.149999999999999" customHeight="1">
      <c r="B115" s="66" t="s">
        <v>248</v>
      </c>
      <c r="C115" s="75" t="s">
        <v>217</v>
      </c>
      <c r="D115" s="85" t="s">
        <v>45</v>
      </c>
      <c r="E115" s="86">
        <v>21.385999999999999</v>
      </c>
      <c r="F115" s="87">
        <v>0.03</v>
      </c>
      <c r="G115" s="87">
        <v>-0.03</v>
      </c>
      <c r="H115" s="79" t="s">
        <v>46</v>
      </c>
      <c r="I115" s="67"/>
      <c r="J115" s="68">
        <v>21.416</v>
      </c>
      <c r="K115" s="68">
        <v>21.355999999999998</v>
      </c>
      <c r="L115" s="68">
        <v>21.4115</v>
      </c>
      <c r="M115" s="68">
        <v>21.360499999999998</v>
      </c>
      <c r="N115" s="116"/>
      <c r="O115" s="116"/>
      <c r="P115" s="69"/>
      <c r="Q115" s="88">
        <f t="shared" si="25"/>
        <v>0</v>
      </c>
      <c r="R115" s="88">
        <f t="shared" si="26"/>
        <v>0</v>
      </c>
      <c r="S115" s="88">
        <f t="shared" si="27"/>
        <v>0</v>
      </c>
      <c r="T115" s="89">
        <f t="shared" si="37"/>
        <v>0</v>
      </c>
      <c r="U115" s="80" t="str">
        <f t="shared" si="28"/>
        <v/>
      </c>
      <c r="V115" s="81" t="str">
        <f>IF(OR($AM115="",ISNUMBER($AM115)=FALSE),"",IF(AND(#REF!="Tolerance",$E115&lt;&gt;""),($S115-$E115)/(($J115-$K115)/2),IF(AND(#REF!="GD&amp;T",$F115&lt;&gt;""),$S115/$F115,"")))</f>
        <v/>
      </c>
      <c r="W115" s="81" t="str">
        <f t="shared" si="34"/>
        <v/>
      </c>
      <c r="X115" s="80" t="str">
        <f t="shared" si="29"/>
        <v/>
      </c>
      <c r="Y115" s="80" t="str">
        <f t="shared" si="30"/>
        <v/>
      </c>
      <c r="Z115" s="80" t="str">
        <f t="shared" si="31"/>
        <v/>
      </c>
      <c r="AA115" s="70" t="str">
        <f t="shared" si="32"/>
        <v/>
      </c>
      <c r="AB115" s="71" t="e">
        <f>IF($S115="","",IF(#REF!="Tolerance",IF((#REF!*3*T115+S115)-E115&lt;F115,"",(#REF!*3*T115+S115)-E115),IF(OR(#REF!="GD&amp;T",#REF!="MAX"),IF((#REF!*3*T115+S115)&lt;F115,"",(#REF!*3*T115+S115)),"")))</f>
        <v>#REF!</v>
      </c>
      <c r="AC115" s="71" t="e">
        <f>IF(S115="","",IF(#REF!="Tolerance",IF(-((#REF!*3*T115)-S115)-E115&gt;G115,"",-((#REF!*3*T115)-S115)-E115),IF(#REF!="MIN",IF(-((#REF!*3*T115)-S115)&gt;G115,"",-((#REF!*3*T115)-S115)),"")))</f>
        <v>#REF!</v>
      </c>
      <c r="AD115" s="71">
        <f t="shared" si="35"/>
        <v>21.385999999999999</v>
      </c>
      <c r="AE115" s="71" t="str">
        <f t="shared" si="33"/>
        <v/>
      </c>
      <c r="AF115" s="82"/>
      <c r="AG115" s="83" t="str">
        <f t="shared" si="36"/>
        <v/>
      </c>
      <c r="AH115" s="125"/>
      <c r="AI115" s="72"/>
      <c r="AJ115" s="72"/>
      <c r="AK115" s="73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</row>
    <row r="116" spans="2:70" ht="19.149999999999999" customHeight="1">
      <c r="B116" s="66" t="s">
        <v>249</v>
      </c>
      <c r="C116" s="75" t="s">
        <v>218</v>
      </c>
      <c r="D116" s="85" t="s">
        <v>45</v>
      </c>
      <c r="E116" s="86">
        <v>1.1240000000000001</v>
      </c>
      <c r="F116" s="87">
        <v>0.03</v>
      </c>
      <c r="G116" s="87">
        <v>-0.03</v>
      </c>
      <c r="H116" s="79" t="s">
        <v>46</v>
      </c>
      <c r="I116" s="67"/>
      <c r="J116" s="68">
        <v>1.1540000000000001</v>
      </c>
      <c r="K116" s="68">
        <v>1.0940000000000001</v>
      </c>
      <c r="L116" s="68">
        <v>1.1495000000000002</v>
      </c>
      <c r="M116" s="68">
        <v>1.0985</v>
      </c>
      <c r="N116" s="116"/>
      <c r="O116" s="116"/>
      <c r="P116" s="69"/>
      <c r="Q116" s="88">
        <f t="shared" si="25"/>
        <v>0</v>
      </c>
      <c r="R116" s="88">
        <f t="shared" si="26"/>
        <v>0</v>
      </c>
      <c r="S116" s="88">
        <f t="shared" si="27"/>
        <v>0</v>
      </c>
      <c r="T116" s="89">
        <f t="shared" si="37"/>
        <v>0</v>
      </c>
      <c r="U116" s="80" t="str">
        <f t="shared" si="28"/>
        <v/>
      </c>
      <c r="V116" s="81" t="str">
        <f>IF(OR($AM116="",ISNUMBER($AM116)=FALSE),"",IF(AND(#REF!="Tolerance",$E116&lt;&gt;""),($S116-$E116)/(($J116-$K116)/2),IF(AND(#REF!="GD&amp;T",$F116&lt;&gt;""),$S116/$F116,"")))</f>
        <v/>
      </c>
      <c r="W116" s="81" t="str">
        <f t="shared" si="34"/>
        <v/>
      </c>
      <c r="X116" s="80" t="str">
        <f t="shared" si="29"/>
        <v/>
      </c>
      <c r="Y116" s="80" t="str">
        <f t="shared" si="30"/>
        <v/>
      </c>
      <c r="Z116" s="80" t="str">
        <f t="shared" si="31"/>
        <v/>
      </c>
      <c r="AA116" s="70" t="str">
        <f t="shared" si="32"/>
        <v/>
      </c>
      <c r="AB116" s="71" t="e">
        <f>IF($S116="","",IF(#REF!="Tolerance",IF((#REF!*3*T116+S116)-E116&lt;F116,"",(#REF!*3*T116+S116)-E116),IF(OR(#REF!="GD&amp;T",#REF!="MAX"),IF((#REF!*3*T116+S116)&lt;F116,"",(#REF!*3*T116+S116)),"")))</f>
        <v>#REF!</v>
      </c>
      <c r="AC116" s="71" t="e">
        <f>IF(S116="","",IF(#REF!="Tolerance",IF(-((#REF!*3*T116)-S116)-E116&gt;G116,"",-((#REF!*3*T116)-S116)-E116),IF(#REF!="MIN",IF(-((#REF!*3*T116)-S116)&gt;G116,"",-((#REF!*3*T116)-S116)),"")))</f>
        <v>#REF!</v>
      </c>
      <c r="AD116" s="71">
        <f t="shared" si="35"/>
        <v>1.1240000000000001</v>
      </c>
      <c r="AE116" s="71" t="str">
        <f t="shared" si="33"/>
        <v/>
      </c>
      <c r="AF116" s="82"/>
      <c r="AG116" s="83" t="str">
        <f t="shared" si="36"/>
        <v/>
      </c>
      <c r="AH116" s="125"/>
      <c r="AI116" s="72"/>
      <c r="AJ116" s="72"/>
      <c r="AK116" s="73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</row>
    <row r="117" spans="2:70" ht="19.149999999999999" customHeight="1">
      <c r="B117" s="66" t="s">
        <v>249</v>
      </c>
      <c r="C117" s="75" t="s">
        <v>219</v>
      </c>
      <c r="D117" s="85" t="s">
        <v>45</v>
      </c>
      <c r="E117" s="86">
        <v>1.1240000000000001</v>
      </c>
      <c r="F117" s="87">
        <v>0.03</v>
      </c>
      <c r="G117" s="87">
        <v>-0.03</v>
      </c>
      <c r="H117" s="79" t="s">
        <v>46</v>
      </c>
      <c r="I117" s="67"/>
      <c r="J117" s="68">
        <v>1.1540000000000001</v>
      </c>
      <c r="K117" s="68">
        <v>1.0940000000000001</v>
      </c>
      <c r="L117" s="68">
        <v>1.1495000000000002</v>
      </c>
      <c r="M117" s="68">
        <v>1.0985</v>
      </c>
      <c r="N117" s="116"/>
      <c r="O117" s="116"/>
      <c r="P117" s="69"/>
      <c r="Q117" s="88">
        <f t="shared" si="25"/>
        <v>0</v>
      </c>
      <c r="R117" s="88">
        <f t="shared" si="26"/>
        <v>0</v>
      </c>
      <c r="S117" s="88">
        <f t="shared" si="27"/>
        <v>0</v>
      </c>
      <c r="T117" s="89">
        <f t="shared" si="37"/>
        <v>0</v>
      </c>
      <c r="U117" s="80" t="str">
        <f t="shared" si="28"/>
        <v/>
      </c>
      <c r="V117" s="81" t="str">
        <f>IF(OR($AM117="",ISNUMBER($AM117)=FALSE),"",IF(AND(#REF!="Tolerance",$E117&lt;&gt;""),($S117-$E117)/(($J117-$K117)/2),IF(AND(#REF!="GD&amp;T",$F117&lt;&gt;""),$S117/$F117,"")))</f>
        <v/>
      </c>
      <c r="W117" s="81" t="str">
        <f t="shared" si="34"/>
        <v/>
      </c>
      <c r="X117" s="80" t="str">
        <f t="shared" si="29"/>
        <v/>
      </c>
      <c r="Y117" s="80" t="str">
        <f t="shared" si="30"/>
        <v/>
      </c>
      <c r="Z117" s="80" t="str">
        <f t="shared" si="31"/>
        <v/>
      </c>
      <c r="AA117" s="70" t="str">
        <f t="shared" si="32"/>
        <v/>
      </c>
      <c r="AB117" s="71" t="e">
        <f>IF($S117="","",IF(#REF!="Tolerance",IF((#REF!*3*T117+S117)-E117&lt;F117,"",(#REF!*3*T117+S117)-E117),IF(OR(#REF!="GD&amp;T",#REF!="MAX"),IF((#REF!*3*T117+S117)&lt;F117,"",(#REF!*3*T117+S117)),"")))</f>
        <v>#REF!</v>
      </c>
      <c r="AC117" s="71" t="e">
        <f>IF(S117="","",IF(#REF!="Tolerance",IF(-((#REF!*3*T117)-S117)-E117&gt;G117,"",-((#REF!*3*T117)-S117)-E117),IF(#REF!="MIN",IF(-((#REF!*3*T117)-S117)&gt;G117,"",-((#REF!*3*T117)-S117)),"")))</f>
        <v>#REF!</v>
      </c>
      <c r="AD117" s="71">
        <f t="shared" si="35"/>
        <v>1.1240000000000001</v>
      </c>
      <c r="AE117" s="71" t="str">
        <f t="shared" si="33"/>
        <v/>
      </c>
      <c r="AF117" s="82"/>
      <c r="AG117" s="83" t="str">
        <f t="shared" si="36"/>
        <v/>
      </c>
      <c r="AH117" s="125"/>
      <c r="AI117" s="72"/>
      <c r="AJ117" s="72"/>
      <c r="AK117" s="73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0"/>
      <c r="BR117" s="110"/>
    </row>
    <row r="118" spans="2:70" ht="19.149999999999999" customHeight="1">
      <c r="B118" s="66" t="s">
        <v>303</v>
      </c>
      <c r="C118" s="75" t="s">
        <v>220</v>
      </c>
      <c r="D118" s="85" t="s">
        <v>45</v>
      </c>
      <c r="E118" s="86">
        <v>3.1509999999999998</v>
      </c>
      <c r="F118" s="87">
        <v>0.03</v>
      </c>
      <c r="G118" s="87">
        <v>-0.03</v>
      </c>
      <c r="H118" s="79" t="s">
        <v>46</v>
      </c>
      <c r="I118" s="67"/>
      <c r="J118" s="68">
        <v>3.1809999999999996</v>
      </c>
      <c r="K118" s="68">
        <v>3.121</v>
      </c>
      <c r="L118" s="68">
        <v>3.1764999999999999</v>
      </c>
      <c r="M118" s="68">
        <v>3.1254999999999997</v>
      </c>
      <c r="N118" s="116"/>
      <c r="O118" s="116"/>
      <c r="P118" s="69"/>
      <c r="Q118" s="88">
        <f t="shared" si="25"/>
        <v>0</v>
      </c>
      <c r="R118" s="88">
        <f t="shared" si="26"/>
        <v>0</v>
      </c>
      <c r="S118" s="88">
        <f t="shared" si="27"/>
        <v>0</v>
      </c>
      <c r="T118" s="89">
        <f t="shared" si="37"/>
        <v>0</v>
      </c>
      <c r="U118" s="80" t="str">
        <f t="shared" si="28"/>
        <v/>
      </c>
      <c r="V118" s="81" t="str">
        <f>IF(OR($AM118="",ISNUMBER($AM118)=FALSE),"",IF(AND(#REF!="Tolerance",$E118&lt;&gt;""),($S118-$E118)/(($J118-$K118)/2),IF(AND(#REF!="GD&amp;T",$F118&lt;&gt;""),$S118/$F118,"")))</f>
        <v/>
      </c>
      <c r="W118" s="81" t="str">
        <f t="shared" si="34"/>
        <v/>
      </c>
      <c r="X118" s="80" t="str">
        <f t="shared" si="29"/>
        <v/>
      </c>
      <c r="Y118" s="80" t="str">
        <f t="shared" si="30"/>
        <v/>
      </c>
      <c r="Z118" s="80" t="str">
        <f t="shared" si="31"/>
        <v/>
      </c>
      <c r="AA118" s="70" t="str">
        <f t="shared" si="32"/>
        <v/>
      </c>
      <c r="AB118" s="71" t="e">
        <f>IF($S118="","",IF(#REF!="Tolerance",IF((#REF!*3*T118+S118)-E118&lt;F118,"",(#REF!*3*T118+S118)-E118),IF(OR(#REF!="GD&amp;T",#REF!="MAX"),IF((#REF!*3*T118+S118)&lt;F118,"",(#REF!*3*T118+S118)),"")))</f>
        <v>#REF!</v>
      </c>
      <c r="AC118" s="71" t="e">
        <f>IF(S118="","",IF(#REF!="Tolerance",IF(-((#REF!*3*T118)-S118)-E118&gt;G118,"",-((#REF!*3*T118)-S118)-E118),IF(#REF!="MIN",IF(-((#REF!*3*T118)-S118)&gt;G118,"",-((#REF!*3*T118)-S118)),"")))</f>
        <v>#REF!</v>
      </c>
      <c r="AD118" s="71">
        <f t="shared" si="35"/>
        <v>3.1509999999999998</v>
      </c>
      <c r="AE118" s="71" t="str">
        <f t="shared" si="33"/>
        <v/>
      </c>
      <c r="AF118" s="82"/>
      <c r="AG118" s="83" t="str">
        <f t="shared" si="36"/>
        <v/>
      </c>
      <c r="AH118" s="125"/>
      <c r="AI118" s="72"/>
      <c r="AJ118" s="72"/>
      <c r="AK118" s="73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</row>
    <row r="119" spans="2:70" ht="19.149999999999999" customHeight="1">
      <c r="B119" s="66" t="s">
        <v>303</v>
      </c>
      <c r="C119" s="75" t="s">
        <v>221</v>
      </c>
      <c r="D119" s="85" t="s">
        <v>45</v>
      </c>
      <c r="E119" s="86">
        <v>3.1509999999999998</v>
      </c>
      <c r="F119" s="87">
        <v>0.03</v>
      </c>
      <c r="G119" s="87">
        <v>-0.03</v>
      </c>
      <c r="H119" s="79" t="s">
        <v>46</v>
      </c>
      <c r="I119" s="67"/>
      <c r="J119" s="68">
        <v>3.1809999999999996</v>
      </c>
      <c r="K119" s="68">
        <v>3.121</v>
      </c>
      <c r="L119" s="68">
        <v>3.1764999999999999</v>
      </c>
      <c r="M119" s="68">
        <v>3.1254999999999997</v>
      </c>
      <c r="N119" s="116"/>
      <c r="O119" s="116"/>
      <c r="P119" s="69"/>
      <c r="Q119" s="88">
        <f t="shared" si="25"/>
        <v>0</v>
      </c>
      <c r="R119" s="88">
        <f t="shared" si="26"/>
        <v>0</v>
      </c>
      <c r="S119" s="88">
        <f t="shared" si="27"/>
        <v>0</v>
      </c>
      <c r="T119" s="89">
        <f t="shared" si="37"/>
        <v>0</v>
      </c>
      <c r="U119" s="80" t="str">
        <f t="shared" si="28"/>
        <v/>
      </c>
      <c r="V119" s="81" t="str">
        <f>IF(OR($AM119="",ISNUMBER($AM119)=FALSE),"",IF(AND(#REF!="Tolerance",$E119&lt;&gt;""),($S119-$E119)/(($J119-$K119)/2),IF(AND(#REF!="GD&amp;T",$F119&lt;&gt;""),$S119/$F119,"")))</f>
        <v/>
      </c>
      <c r="W119" s="81" t="str">
        <f t="shared" si="34"/>
        <v/>
      </c>
      <c r="X119" s="80" t="str">
        <f t="shared" si="29"/>
        <v/>
      </c>
      <c r="Y119" s="80" t="str">
        <f t="shared" si="30"/>
        <v/>
      </c>
      <c r="Z119" s="80" t="str">
        <f t="shared" si="31"/>
        <v/>
      </c>
      <c r="AA119" s="70" t="str">
        <f t="shared" si="32"/>
        <v/>
      </c>
      <c r="AB119" s="71" t="e">
        <f>IF($S119="","",IF(#REF!="Tolerance",IF((#REF!*3*T119+S119)-E119&lt;F119,"",(#REF!*3*T119+S119)-E119),IF(OR(#REF!="GD&amp;T",#REF!="MAX"),IF((#REF!*3*T119+S119)&lt;F119,"",(#REF!*3*T119+S119)),"")))</f>
        <v>#REF!</v>
      </c>
      <c r="AC119" s="71" t="e">
        <f>IF(S119="","",IF(#REF!="Tolerance",IF(-((#REF!*3*T119)-S119)-E119&gt;G119,"",-((#REF!*3*T119)-S119)-E119),IF(#REF!="MIN",IF(-((#REF!*3*T119)-S119)&gt;G119,"",-((#REF!*3*T119)-S119)),"")))</f>
        <v>#REF!</v>
      </c>
      <c r="AD119" s="71">
        <f t="shared" si="35"/>
        <v>3.1509999999999998</v>
      </c>
      <c r="AE119" s="71" t="str">
        <f t="shared" si="33"/>
        <v/>
      </c>
      <c r="AF119" s="82"/>
      <c r="AG119" s="83" t="str">
        <f t="shared" si="36"/>
        <v/>
      </c>
      <c r="AH119" s="125"/>
      <c r="AI119" s="72"/>
      <c r="AJ119" s="72"/>
      <c r="AK119" s="73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0"/>
      <c r="BR119" s="110"/>
    </row>
    <row r="120" spans="2:70" ht="19.149999999999999" customHeight="1">
      <c r="B120" s="90" t="s">
        <v>250</v>
      </c>
      <c r="C120" s="75" t="s">
        <v>222</v>
      </c>
      <c r="D120" s="85" t="s">
        <v>45</v>
      </c>
      <c r="E120" s="86">
        <v>16.852</v>
      </c>
      <c r="F120" s="87">
        <v>0.03</v>
      </c>
      <c r="G120" s="87">
        <v>-0.03</v>
      </c>
      <c r="H120" s="79" t="s">
        <v>46</v>
      </c>
      <c r="I120" s="67"/>
      <c r="J120" s="68">
        <v>16.882000000000001</v>
      </c>
      <c r="K120" s="68">
        <v>16.821999999999999</v>
      </c>
      <c r="L120" s="68">
        <v>16.877500000000001</v>
      </c>
      <c r="M120" s="68">
        <v>16.826499999999999</v>
      </c>
      <c r="N120" s="116"/>
      <c r="O120" s="116"/>
      <c r="P120" s="69"/>
      <c r="Q120" s="88">
        <f t="shared" si="25"/>
        <v>0</v>
      </c>
      <c r="R120" s="88">
        <f t="shared" si="26"/>
        <v>0</v>
      </c>
      <c r="S120" s="88">
        <f t="shared" si="27"/>
        <v>0</v>
      </c>
      <c r="T120" s="89">
        <f t="shared" si="37"/>
        <v>0</v>
      </c>
      <c r="U120" s="80" t="str">
        <f t="shared" si="28"/>
        <v/>
      </c>
      <c r="V120" s="81" t="str">
        <f>IF(OR($AM120="",ISNUMBER($AM120)=FALSE),"",IF(AND(#REF!="Tolerance",$E120&lt;&gt;""),($S120-$E120)/(($J120-$K120)/2),IF(AND(#REF!="GD&amp;T",$F120&lt;&gt;""),$S120/$F120,"")))</f>
        <v/>
      </c>
      <c r="W120" s="81" t="str">
        <f t="shared" si="34"/>
        <v/>
      </c>
      <c r="X120" s="80" t="str">
        <f t="shared" si="29"/>
        <v/>
      </c>
      <c r="Y120" s="80" t="str">
        <f t="shared" si="30"/>
        <v/>
      </c>
      <c r="Z120" s="80" t="str">
        <f t="shared" si="31"/>
        <v/>
      </c>
      <c r="AA120" s="70" t="str">
        <f t="shared" si="32"/>
        <v/>
      </c>
      <c r="AB120" s="71" t="e">
        <f>IF($S120="","",IF(#REF!="Tolerance",IF((#REF!*3*T120+S120)-E120&lt;F120,"",(#REF!*3*T120+S120)-E120),IF(OR(#REF!="GD&amp;T",#REF!="MAX"),IF((#REF!*3*T120+S120)&lt;F120,"",(#REF!*3*T120+S120)),"")))</f>
        <v>#REF!</v>
      </c>
      <c r="AC120" s="71" t="e">
        <f>IF(S120="","",IF(#REF!="Tolerance",IF(-((#REF!*3*T120)-S120)-E120&gt;G120,"",-((#REF!*3*T120)-S120)-E120),IF(#REF!="MIN",IF(-((#REF!*3*T120)-S120)&gt;G120,"",-((#REF!*3*T120)-S120)),"")))</f>
        <v>#REF!</v>
      </c>
      <c r="AD120" s="71">
        <f t="shared" si="35"/>
        <v>16.852</v>
      </c>
      <c r="AE120" s="71" t="str">
        <f t="shared" si="33"/>
        <v/>
      </c>
      <c r="AF120" s="82"/>
      <c r="AG120" s="83" t="str">
        <f t="shared" si="36"/>
        <v/>
      </c>
      <c r="AH120" s="125"/>
      <c r="AI120" s="72"/>
      <c r="AJ120" s="72"/>
      <c r="AK120" s="73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0"/>
      <c r="BR120" s="110"/>
    </row>
    <row r="121" spans="2:70" ht="19.149999999999999" customHeight="1">
      <c r="B121" s="90" t="s">
        <v>250</v>
      </c>
      <c r="C121" s="75" t="s">
        <v>223</v>
      </c>
      <c r="D121" s="85" t="s">
        <v>45</v>
      </c>
      <c r="E121" s="86">
        <v>16.852</v>
      </c>
      <c r="F121" s="87">
        <v>0.03</v>
      </c>
      <c r="G121" s="87">
        <v>-0.03</v>
      </c>
      <c r="H121" s="79" t="s">
        <v>46</v>
      </c>
      <c r="I121" s="67"/>
      <c r="J121" s="68">
        <v>16.882000000000001</v>
      </c>
      <c r="K121" s="68">
        <v>16.821999999999999</v>
      </c>
      <c r="L121" s="68">
        <v>16.877500000000001</v>
      </c>
      <c r="M121" s="68">
        <v>16.826499999999999</v>
      </c>
      <c r="N121" s="116"/>
      <c r="O121" s="116"/>
      <c r="P121" s="69"/>
      <c r="Q121" s="88">
        <f t="shared" si="25"/>
        <v>0</v>
      </c>
      <c r="R121" s="88">
        <f t="shared" si="26"/>
        <v>0</v>
      </c>
      <c r="S121" s="88">
        <f t="shared" si="27"/>
        <v>0</v>
      </c>
      <c r="T121" s="89">
        <f t="shared" si="37"/>
        <v>0</v>
      </c>
      <c r="U121" s="80" t="str">
        <f t="shared" si="28"/>
        <v/>
      </c>
      <c r="V121" s="81" t="str">
        <f>IF(OR($AM121="",ISNUMBER($AM121)=FALSE),"",IF(AND(#REF!="Tolerance",$E121&lt;&gt;""),($S121-$E121)/(($J121-$K121)/2),IF(AND(#REF!="GD&amp;T",$F121&lt;&gt;""),$S121/$F121,"")))</f>
        <v/>
      </c>
      <c r="W121" s="81" t="str">
        <f t="shared" si="34"/>
        <v/>
      </c>
      <c r="X121" s="80" t="str">
        <f t="shared" si="29"/>
        <v/>
      </c>
      <c r="Y121" s="80" t="str">
        <f t="shared" si="30"/>
        <v/>
      </c>
      <c r="Z121" s="80" t="str">
        <f t="shared" si="31"/>
        <v/>
      </c>
      <c r="AA121" s="70" t="str">
        <f t="shared" si="32"/>
        <v/>
      </c>
      <c r="AB121" s="71" t="e">
        <f>IF($S121="","",IF(#REF!="Tolerance",IF((#REF!*3*T121+S121)-E121&lt;F121,"",(#REF!*3*T121+S121)-E121),IF(OR(#REF!="GD&amp;T",#REF!="MAX"),IF((#REF!*3*T121+S121)&lt;F121,"",(#REF!*3*T121+S121)),"")))</f>
        <v>#REF!</v>
      </c>
      <c r="AC121" s="71" t="e">
        <f>IF(S121="","",IF(#REF!="Tolerance",IF(-((#REF!*3*T121)-S121)-E121&gt;G121,"",-((#REF!*3*T121)-S121)-E121),IF(#REF!="MIN",IF(-((#REF!*3*T121)-S121)&gt;G121,"",-((#REF!*3*T121)-S121)),"")))</f>
        <v>#REF!</v>
      </c>
      <c r="AD121" s="71">
        <f t="shared" si="35"/>
        <v>16.852</v>
      </c>
      <c r="AE121" s="71" t="str">
        <f t="shared" si="33"/>
        <v/>
      </c>
      <c r="AF121" s="82"/>
      <c r="AG121" s="83" t="str">
        <f t="shared" si="36"/>
        <v/>
      </c>
      <c r="AH121" s="125"/>
      <c r="AI121" s="72"/>
      <c r="AJ121" s="72"/>
      <c r="AK121" s="73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0"/>
      <c r="BR121" s="110"/>
    </row>
    <row r="122" spans="2:70" ht="19.149999999999999" customHeight="1">
      <c r="B122" s="90" t="s">
        <v>251</v>
      </c>
      <c r="C122" s="75">
        <v>131</v>
      </c>
      <c r="D122" s="85" t="s">
        <v>228</v>
      </c>
      <c r="E122" s="86">
        <v>0.4</v>
      </c>
      <c r="F122" s="87">
        <v>0.03</v>
      </c>
      <c r="G122" s="87">
        <v>-0.03</v>
      </c>
      <c r="H122" s="79" t="s">
        <v>46</v>
      </c>
      <c r="I122" s="67"/>
      <c r="J122" s="68">
        <v>0.43000000000000005</v>
      </c>
      <c r="K122" s="68">
        <v>0.37</v>
      </c>
      <c r="L122" s="68">
        <v>0.42550000000000004</v>
      </c>
      <c r="M122" s="68">
        <v>0.3745</v>
      </c>
      <c r="N122" s="116"/>
      <c r="O122" s="116"/>
      <c r="P122" s="69"/>
      <c r="Q122" s="88">
        <f t="shared" si="25"/>
        <v>0</v>
      </c>
      <c r="R122" s="88">
        <f t="shared" si="26"/>
        <v>0</v>
      </c>
      <c r="S122" s="88">
        <f t="shared" si="27"/>
        <v>0</v>
      </c>
      <c r="T122" s="89">
        <f t="shared" si="37"/>
        <v>0</v>
      </c>
      <c r="U122" s="80" t="str">
        <f t="shared" si="28"/>
        <v/>
      </c>
      <c r="V122" s="81" t="str">
        <f>IF(OR($AM122="",ISNUMBER($AM122)=FALSE),"",IF(AND(#REF!="Tolerance",$E122&lt;&gt;""),($S122-$E122)/(($J122-$K122)/2),IF(AND(#REF!="GD&amp;T",$F122&lt;&gt;""),$S122/$F122,"")))</f>
        <v/>
      </c>
      <c r="W122" s="81" t="str">
        <f t="shared" si="34"/>
        <v/>
      </c>
      <c r="X122" s="80" t="str">
        <f t="shared" si="29"/>
        <v/>
      </c>
      <c r="Y122" s="80" t="str">
        <f t="shared" si="30"/>
        <v/>
      </c>
      <c r="Z122" s="80" t="str">
        <f t="shared" si="31"/>
        <v/>
      </c>
      <c r="AA122" s="70" t="str">
        <f t="shared" si="32"/>
        <v/>
      </c>
      <c r="AB122" s="71" t="e">
        <f>IF($S122="","",IF(#REF!="Tolerance",IF((#REF!*3*T122+S122)-E122&lt;F122,"",(#REF!*3*T122+S122)-E122),IF(OR(#REF!="GD&amp;T",#REF!="MAX"),IF((#REF!*3*T122+S122)&lt;F122,"",(#REF!*3*T122+S122)),"")))</f>
        <v>#REF!</v>
      </c>
      <c r="AC122" s="71" t="e">
        <f>IF(S122="","",IF(#REF!="Tolerance",IF(-((#REF!*3*T122)-S122)-E122&gt;G122,"",-((#REF!*3*T122)-S122)-E122),IF(#REF!="MIN",IF(-((#REF!*3*T122)-S122)&gt;G122,"",-((#REF!*3*T122)-S122)),"")))</f>
        <v>#REF!</v>
      </c>
      <c r="AD122" s="71">
        <f t="shared" si="35"/>
        <v>0.4</v>
      </c>
      <c r="AE122" s="71" t="str">
        <f t="shared" si="33"/>
        <v/>
      </c>
      <c r="AF122" s="82"/>
      <c r="AG122" s="83" t="str">
        <f t="shared" si="36"/>
        <v/>
      </c>
      <c r="AH122" s="125"/>
      <c r="AI122" s="72"/>
      <c r="AJ122" s="72"/>
      <c r="AK122" s="73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</row>
    <row r="123" spans="2:70" ht="19.149999999999999" customHeight="1">
      <c r="B123" s="90" t="s">
        <v>252</v>
      </c>
      <c r="C123" s="75">
        <v>132</v>
      </c>
      <c r="D123" s="85" t="s">
        <v>229</v>
      </c>
      <c r="E123" s="86"/>
      <c r="F123" s="87">
        <v>0.08</v>
      </c>
      <c r="G123" s="87"/>
      <c r="H123" s="79" t="s">
        <v>46</v>
      </c>
      <c r="I123" s="67"/>
      <c r="J123" s="68">
        <v>0.08</v>
      </c>
      <c r="K123" s="68">
        <v>0</v>
      </c>
      <c r="L123" s="68">
        <v>6.8000000000000005E-2</v>
      </c>
      <c r="M123" s="68">
        <v>0</v>
      </c>
      <c r="N123" s="116"/>
      <c r="O123" s="116"/>
      <c r="P123" s="69"/>
      <c r="Q123" s="88">
        <f t="shared" si="25"/>
        <v>0</v>
      </c>
      <c r="R123" s="88">
        <f t="shared" si="26"/>
        <v>0</v>
      </c>
      <c r="S123" s="88">
        <f t="shared" si="27"/>
        <v>0</v>
      </c>
      <c r="T123" s="89">
        <f t="shared" si="37"/>
        <v>0</v>
      </c>
      <c r="U123" s="80" t="str">
        <f t="shared" si="28"/>
        <v/>
      </c>
      <c r="V123" s="81" t="str">
        <f>IF(OR($AM123="",ISNUMBER($AM123)=FALSE),"",IF(AND(#REF!="Tolerance",$E123&lt;&gt;""),($S123-$E123)/(($J123-$K123)/2),IF(AND(#REF!="GD&amp;T",$F123&lt;&gt;""),$S123/$F123,"")))</f>
        <v/>
      </c>
      <c r="W123" s="81" t="str">
        <f t="shared" si="34"/>
        <v/>
      </c>
      <c r="X123" s="80" t="str">
        <f t="shared" si="29"/>
        <v/>
      </c>
      <c r="Y123" s="80" t="str">
        <f t="shared" si="30"/>
        <v/>
      </c>
      <c r="Z123" s="80" t="str">
        <f t="shared" si="31"/>
        <v/>
      </c>
      <c r="AA123" s="70" t="str">
        <f t="shared" si="32"/>
        <v/>
      </c>
      <c r="AB123" s="71" t="e">
        <f>IF($S123="","",IF(#REF!="Tolerance",IF((#REF!*3*T123+S123)-E123&lt;F123,"",(#REF!*3*T123+S123)-E123),IF(OR(#REF!="GD&amp;T",#REF!="MAX"),IF((#REF!*3*T123+S123)&lt;F123,"",(#REF!*3*T123+S123)),"")))</f>
        <v>#REF!</v>
      </c>
      <c r="AC123" s="71" t="e">
        <f>IF(S123="","",IF(#REF!="Tolerance",IF(-((#REF!*3*T123)-S123)-E123&gt;G123,"",-((#REF!*3*T123)-S123)-E123),IF(#REF!="MIN",IF(-((#REF!*3*T123)-S123)&gt;G123,"",-((#REF!*3*T123)-S123)),"")))</f>
        <v>#REF!</v>
      </c>
      <c r="AD123" s="71" t="str">
        <f t="shared" si="35"/>
        <v/>
      </c>
      <c r="AE123" s="71" t="str">
        <f t="shared" si="33"/>
        <v/>
      </c>
      <c r="AF123" s="82"/>
      <c r="AG123" s="83" t="str">
        <f t="shared" si="36"/>
        <v/>
      </c>
      <c r="AH123" s="125"/>
      <c r="AI123" s="72"/>
      <c r="AJ123" s="72"/>
      <c r="AK123" s="73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</row>
    <row r="124" spans="2:70" ht="19.149999999999999" customHeight="1">
      <c r="B124" s="90" t="s">
        <v>253</v>
      </c>
      <c r="C124" s="75">
        <v>140</v>
      </c>
      <c r="D124" s="85" t="s">
        <v>45</v>
      </c>
      <c r="E124" s="86">
        <v>6.0999999999999999E-2</v>
      </c>
      <c r="F124" s="87">
        <v>0.03</v>
      </c>
      <c r="G124" s="87">
        <v>-0.03</v>
      </c>
      <c r="H124" s="79" t="s">
        <v>46</v>
      </c>
      <c r="I124" s="67"/>
      <c r="J124" s="68">
        <v>9.0999999999999998E-2</v>
      </c>
      <c r="K124" s="68">
        <v>3.1E-2</v>
      </c>
      <c r="L124" s="68">
        <v>8.6499999999999994E-2</v>
      </c>
      <c r="M124" s="68">
        <v>3.5500000000000004E-2</v>
      </c>
      <c r="N124" s="116"/>
      <c r="O124" s="116"/>
      <c r="P124" s="69"/>
      <c r="Q124" s="88">
        <f t="shared" si="25"/>
        <v>0</v>
      </c>
      <c r="R124" s="88">
        <f t="shared" si="26"/>
        <v>0</v>
      </c>
      <c r="S124" s="88">
        <f t="shared" si="27"/>
        <v>0</v>
      </c>
      <c r="T124" s="89">
        <f t="shared" si="37"/>
        <v>0</v>
      </c>
      <c r="U124" s="80" t="str">
        <f t="shared" si="28"/>
        <v/>
      </c>
      <c r="V124" s="81" t="str">
        <f>IF(OR($AM124="",ISNUMBER($AM124)=FALSE),"",IF(AND(#REF!="Tolerance",$E124&lt;&gt;""),($S124-$E124)/(($J124-$K124)/2),IF(AND(#REF!="GD&amp;T",$F124&lt;&gt;""),$S124/$F124,"")))</f>
        <v/>
      </c>
      <c r="W124" s="81" t="str">
        <f t="shared" si="34"/>
        <v/>
      </c>
      <c r="X124" s="80" t="str">
        <f t="shared" si="29"/>
        <v/>
      </c>
      <c r="Y124" s="80" t="str">
        <f t="shared" si="30"/>
        <v/>
      </c>
      <c r="Z124" s="80" t="str">
        <f t="shared" si="31"/>
        <v/>
      </c>
      <c r="AA124" s="70" t="str">
        <f t="shared" si="32"/>
        <v/>
      </c>
      <c r="AB124" s="71" t="e">
        <f>IF($S124="","",IF(#REF!="Tolerance",IF((#REF!*3*T124+S124)-E124&lt;F124,"",(#REF!*3*T124+S124)-E124),IF(OR(#REF!="GD&amp;T",#REF!="MAX"),IF((#REF!*3*T124+S124)&lt;F124,"",(#REF!*3*T124+S124)),"")))</f>
        <v>#REF!</v>
      </c>
      <c r="AC124" s="71" t="e">
        <f>IF(S124="","",IF(#REF!="Tolerance",IF(-((#REF!*3*T124)-S124)-E124&gt;G124,"",-((#REF!*3*T124)-S124)-E124),IF(#REF!="MIN",IF(-((#REF!*3*T124)-S124)&gt;G124,"",-((#REF!*3*T124)-S124)),"")))</f>
        <v>#REF!</v>
      </c>
      <c r="AD124" s="71">
        <f t="shared" si="35"/>
        <v>6.0999999999999999E-2</v>
      </c>
      <c r="AE124" s="71" t="str">
        <f t="shared" si="33"/>
        <v/>
      </c>
      <c r="AF124" s="82"/>
      <c r="AG124" s="83" t="str">
        <f t="shared" si="36"/>
        <v/>
      </c>
      <c r="AH124" s="125"/>
      <c r="AI124" s="72"/>
      <c r="AJ124" s="72"/>
      <c r="AK124" s="73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</row>
    <row r="125" spans="2:70" ht="19.149999999999999" customHeight="1">
      <c r="B125" s="90" t="s">
        <v>254</v>
      </c>
      <c r="C125" s="75">
        <v>141</v>
      </c>
      <c r="D125" s="85" t="s">
        <v>45</v>
      </c>
      <c r="E125" s="86">
        <v>0.28000000000000003</v>
      </c>
      <c r="F125" s="87">
        <v>0.03</v>
      </c>
      <c r="G125" s="87">
        <v>-0.03</v>
      </c>
      <c r="H125" s="79" t="s">
        <v>46</v>
      </c>
      <c r="I125" s="67"/>
      <c r="J125" s="68">
        <v>0.31000000000000005</v>
      </c>
      <c r="K125" s="68">
        <v>0.25</v>
      </c>
      <c r="L125" s="68">
        <v>0.30550000000000005</v>
      </c>
      <c r="M125" s="68">
        <v>0.2545</v>
      </c>
      <c r="N125" s="116"/>
      <c r="O125" s="116"/>
      <c r="P125" s="69"/>
      <c r="Q125" s="88">
        <f t="shared" si="25"/>
        <v>0</v>
      </c>
      <c r="R125" s="88">
        <f t="shared" si="26"/>
        <v>0</v>
      </c>
      <c r="S125" s="88">
        <f t="shared" si="27"/>
        <v>0</v>
      </c>
      <c r="T125" s="89">
        <f t="shared" si="37"/>
        <v>0</v>
      </c>
      <c r="U125" s="80" t="str">
        <f t="shared" si="28"/>
        <v/>
      </c>
      <c r="V125" s="81" t="str">
        <f>IF(OR($AM125="",ISNUMBER($AM125)=FALSE),"",IF(AND(#REF!="Tolerance",$E125&lt;&gt;""),($S125-$E125)/(($J125-$K125)/2),IF(AND(#REF!="GD&amp;T",$F125&lt;&gt;""),$S125/$F125,"")))</f>
        <v/>
      </c>
      <c r="W125" s="81" t="str">
        <f t="shared" si="34"/>
        <v/>
      </c>
      <c r="X125" s="80" t="str">
        <f t="shared" si="29"/>
        <v/>
      </c>
      <c r="Y125" s="80" t="str">
        <f t="shared" si="30"/>
        <v/>
      </c>
      <c r="Z125" s="80" t="str">
        <f t="shared" si="31"/>
        <v/>
      </c>
      <c r="AA125" s="70" t="str">
        <f t="shared" si="32"/>
        <v/>
      </c>
      <c r="AB125" s="71" t="e">
        <f>IF($S125="","",IF(#REF!="Tolerance",IF((#REF!*3*T125+S125)-E125&lt;F125,"",(#REF!*3*T125+S125)-E125),IF(OR(#REF!="GD&amp;T",#REF!="MAX"),IF((#REF!*3*T125+S125)&lt;F125,"",(#REF!*3*T125+S125)),"")))</f>
        <v>#REF!</v>
      </c>
      <c r="AC125" s="71" t="e">
        <f>IF(S125="","",IF(#REF!="Tolerance",IF(-((#REF!*3*T125)-S125)-E125&gt;G125,"",-((#REF!*3*T125)-S125)-E125),IF(#REF!="MIN",IF(-((#REF!*3*T125)-S125)&gt;G125,"",-((#REF!*3*T125)-S125)),"")))</f>
        <v>#REF!</v>
      </c>
      <c r="AD125" s="71">
        <f t="shared" si="35"/>
        <v>0.28000000000000003</v>
      </c>
      <c r="AE125" s="71" t="str">
        <f t="shared" si="33"/>
        <v/>
      </c>
      <c r="AF125" s="82"/>
      <c r="AG125" s="83" t="str">
        <f t="shared" si="36"/>
        <v/>
      </c>
      <c r="AH125" s="125"/>
      <c r="AI125" s="72"/>
      <c r="AJ125" s="72"/>
      <c r="AK125" s="73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0"/>
      <c r="BK125" s="110"/>
      <c r="BL125" s="110"/>
      <c r="BM125" s="110"/>
      <c r="BN125" s="110"/>
      <c r="BO125" s="110"/>
      <c r="BP125" s="110"/>
      <c r="BQ125" s="110"/>
      <c r="BR125" s="110"/>
    </row>
    <row r="126" spans="2:70" ht="19.149999999999999" customHeight="1">
      <c r="B126" s="90" t="s">
        <v>255</v>
      </c>
      <c r="C126" s="75">
        <v>143</v>
      </c>
      <c r="D126" s="85" t="s">
        <v>230</v>
      </c>
      <c r="E126" s="86"/>
      <c r="F126" s="87">
        <v>0.17</v>
      </c>
      <c r="G126" s="87"/>
      <c r="H126" s="79" t="s">
        <v>46</v>
      </c>
      <c r="I126" s="67"/>
      <c r="J126" s="68">
        <v>0.17</v>
      </c>
      <c r="K126" s="68">
        <v>0</v>
      </c>
      <c r="L126" s="68">
        <v>0.14450000000000002</v>
      </c>
      <c r="M126" s="68">
        <v>0</v>
      </c>
      <c r="N126" s="116"/>
      <c r="O126" s="116"/>
      <c r="P126" s="69"/>
      <c r="Q126" s="88">
        <f t="shared" si="25"/>
        <v>0</v>
      </c>
      <c r="R126" s="88">
        <f t="shared" si="26"/>
        <v>0</v>
      </c>
      <c r="S126" s="88">
        <f t="shared" si="27"/>
        <v>0</v>
      </c>
      <c r="T126" s="89">
        <f t="shared" si="37"/>
        <v>0</v>
      </c>
      <c r="U126" s="80" t="str">
        <f t="shared" si="28"/>
        <v/>
      </c>
      <c r="V126" s="81" t="str">
        <f>IF(OR($AM126="",ISNUMBER($AM126)=FALSE),"",IF(AND(#REF!="Tolerance",$E126&lt;&gt;""),($S126-$E126)/(($J126-$K126)/2),IF(AND(#REF!="GD&amp;T",$F126&lt;&gt;""),$S126/$F126,"")))</f>
        <v/>
      </c>
      <c r="W126" s="81" t="str">
        <f t="shared" si="34"/>
        <v/>
      </c>
      <c r="X126" s="80" t="str">
        <f t="shared" si="29"/>
        <v/>
      </c>
      <c r="Y126" s="80" t="str">
        <f t="shared" si="30"/>
        <v/>
      </c>
      <c r="Z126" s="80" t="str">
        <f t="shared" si="31"/>
        <v/>
      </c>
      <c r="AA126" s="70" t="str">
        <f t="shared" si="32"/>
        <v/>
      </c>
      <c r="AB126" s="71" t="e">
        <f>IF($S126="","",IF(#REF!="Tolerance",IF((#REF!*3*T126+S126)-E126&lt;F126,"",(#REF!*3*T126+S126)-E126),IF(OR(#REF!="GD&amp;T",#REF!="MAX"),IF((#REF!*3*T126+S126)&lt;F126,"",(#REF!*3*T126+S126)),"")))</f>
        <v>#REF!</v>
      </c>
      <c r="AC126" s="71" t="e">
        <f>IF(S126="","",IF(#REF!="Tolerance",IF(-((#REF!*3*T126)-S126)-E126&gt;G126,"",-((#REF!*3*T126)-S126)-E126),IF(#REF!="MIN",IF(-((#REF!*3*T126)-S126)&gt;G126,"",-((#REF!*3*T126)-S126)),"")))</f>
        <v>#REF!</v>
      </c>
      <c r="AD126" s="71" t="str">
        <f t="shared" si="35"/>
        <v/>
      </c>
      <c r="AE126" s="71" t="str">
        <f t="shared" si="33"/>
        <v/>
      </c>
      <c r="AF126" s="82"/>
      <c r="AG126" s="83" t="str">
        <f t="shared" si="36"/>
        <v/>
      </c>
      <c r="AH126" s="125"/>
      <c r="AI126" s="72"/>
      <c r="AJ126" s="72"/>
      <c r="AK126" s="73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0"/>
      <c r="BK126" s="110"/>
      <c r="BL126" s="110"/>
      <c r="BM126" s="110"/>
      <c r="BN126" s="110"/>
      <c r="BO126" s="110"/>
      <c r="BP126" s="110"/>
      <c r="BQ126" s="110"/>
      <c r="BR126" s="110"/>
    </row>
    <row r="127" spans="2:70" ht="19.149999999999999" customHeight="1">
      <c r="B127" s="66" t="s">
        <v>256</v>
      </c>
      <c r="C127" s="75">
        <v>144</v>
      </c>
      <c r="D127" s="85" t="s">
        <v>230</v>
      </c>
      <c r="E127" s="86"/>
      <c r="F127" s="87">
        <v>0.14000000000000001</v>
      </c>
      <c r="G127" s="87"/>
      <c r="H127" s="79" t="s">
        <v>46</v>
      </c>
      <c r="I127" s="67"/>
      <c r="J127" s="68">
        <v>0.14000000000000001</v>
      </c>
      <c r="K127" s="68">
        <v>0</v>
      </c>
      <c r="L127" s="68">
        <v>0.11900000000000001</v>
      </c>
      <c r="M127" s="68">
        <v>0</v>
      </c>
      <c r="N127" s="116"/>
      <c r="O127" s="116"/>
      <c r="P127" s="69"/>
      <c r="Q127" s="88">
        <f t="shared" si="25"/>
        <v>0</v>
      </c>
      <c r="R127" s="88">
        <f t="shared" si="26"/>
        <v>0</v>
      </c>
      <c r="S127" s="88">
        <f t="shared" si="27"/>
        <v>0</v>
      </c>
      <c r="T127" s="89">
        <f t="shared" si="37"/>
        <v>0</v>
      </c>
      <c r="U127" s="80" t="str">
        <f t="shared" si="28"/>
        <v/>
      </c>
      <c r="V127" s="81" t="str">
        <f>IF(OR($AM127="",ISNUMBER($AM127)=FALSE),"",IF(AND(#REF!="Tolerance",$E127&lt;&gt;""),($S127-$E127)/(($J127-$K127)/2),IF(AND(#REF!="GD&amp;T",$F127&lt;&gt;""),$S127/$F127,"")))</f>
        <v/>
      </c>
      <c r="W127" s="81" t="str">
        <f t="shared" si="34"/>
        <v/>
      </c>
      <c r="X127" s="80" t="str">
        <f t="shared" si="29"/>
        <v/>
      </c>
      <c r="Y127" s="80" t="str">
        <f t="shared" si="30"/>
        <v/>
      </c>
      <c r="Z127" s="80" t="str">
        <f t="shared" si="31"/>
        <v/>
      </c>
      <c r="AA127" s="70" t="str">
        <f t="shared" si="32"/>
        <v/>
      </c>
      <c r="AB127" s="71" t="e">
        <f>IF($S127="","",IF(#REF!="Tolerance",IF((#REF!*3*T127+S127)-E127&lt;F127,"",(#REF!*3*T127+S127)-E127),IF(OR(#REF!="GD&amp;T",#REF!="MAX"),IF((#REF!*3*T127+S127)&lt;F127,"",(#REF!*3*T127+S127)),"")))</f>
        <v>#REF!</v>
      </c>
      <c r="AC127" s="71" t="e">
        <f>IF(S127="","",IF(#REF!="Tolerance",IF(-((#REF!*3*T127)-S127)-E127&gt;G127,"",-((#REF!*3*T127)-S127)-E127),IF(#REF!="MIN",IF(-((#REF!*3*T127)-S127)&gt;G127,"",-((#REF!*3*T127)-S127)),"")))</f>
        <v>#REF!</v>
      </c>
      <c r="AD127" s="71" t="str">
        <f t="shared" si="35"/>
        <v/>
      </c>
      <c r="AE127" s="71" t="str">
        <f t="shared" si="33"/>
        <v/>
      </c>
      <c r="AF127" s="82"/>
      <c r="AG127" s="83" t="str">
        <f t="shared" si="36"/>
        <v/>
      </c>
      <c r="AH127" s="125"/>
      <c r="AI127" s="72"/>
      <c r="AJ127" s="72"/>
      <c r="AK127" s="73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</row>
    <row r="128" spans="2:70" ht="19.149999999999999" customHeight="1">
      <c r="B128" s="66" t="s">
        <v>257</v>
      </c>
      <c r="C128" s="75" t="s">
        <v>224</v>
      </c>
      <c r="D128" s="85" t="s">
        <v>294</v>
      </c>
      <c r="E128" s="86"/>
      <c r="F128" s="87">
        <v>0.05</v>
      </c>
      <c r="G128" s="87"/>
      <c r="H128" s="79" t="s">
        <v>46</v>
      </c>
      <c r="I128" s="67"/>
      <c r="J128" s="68">
        <v>0.05</v>
      </c>
      <c r="K128" s="68">
        <v>0</v>
      </c>
      <c r="L128" s="68">
        <v>4.2500000000000003E-2</v>
      </c>
      <c r="M128" s="68">
        <v>0</v>
      </c>
      <c r="N128" s="116"/>
      <c r="O128" s="116"/>
      <c r="P128" s="69"/>
      <c r="Q128" s="88">
        <f t="shared" si="25"/>
        <v>0</v>
      </c>
      <c r="R128" s="88">
        <f t="shared" si="26"/>
        <v>0</v>
      </c>
      <c r="S128" s="88">
        <f t="shared" si="27"/>
        <v>0</v>
      </c>
      <c r="T128" s="89">
        <f t="shared" si="37"/>
        <v>0</v>
      </c>
      <c r="U128" s="80" t="str">
        <f t="shared" si="28"/>
        <v/>
      </c>
      <c r="V128" s="81" t="str">
        <f>IF(OR($AM128="",ISNUMBER($AM128)=FALSE),"",IF(AND(#REF!="Tolerance",$E128&lt;&gt;""),($S128-$E128)/(($J128-$K128)/2),IF(AND(#REF!="GD&amp;T",$F128&lt;&gt;""),$S128/$F128,"")))</f>
        <v/>
      </c>
      <c r="W128" s="81" t="str">
        <f t="shared" si="34"/>
        <v/>
      </c>
      <c r="X128" s="80" t="str">
        <f t="shared" si="29"/>
        <v/>
      </c>
      <c r="Y128" s="80" t="str">
        <f t="shared" si="30"/>
        <v/>
      </c>
      <c r="Z128" s="80" t="str">
        <f t="shared" si="31"/>
        <v/>
      </c>
      <c r="AA128" s="70" t="str">
        <f t="shared" si="32"/>
        <v/>
      </c>
      <c r="AB128" s="71" t="e">
        <f>IF($S128="","",IF(#REF!="Tolerance",IF((#REF!*3*T128+S128)-E128&lt;F128,"",(#REF!*3*T128+S128)-E128),IF(OR(#REF!="GD&amp;T",#REF!="MAX"),IF((#REF!*3*T128+S128)&lt;F128,"",(#REF!*3*T128+S128)),"")))</f>
        <v>#REF!</v>
      </c>
      <c r="AC128" s="71" t="e">
        <f>IF(S128="","",IF(#REF!="Tolerance",IF(-((#REF!*3*T128)-S128)-E128&gt;G128,"",-((#REF!*3*T128)-S128)-E128),IF(#REF!="MIN",IF(-((#REF!*3*T128)-S128)&gt;G128,"",-((#REF!*3*T128)-S128)),"")))</f>
        <v>#REF!</v>
      </c>
      <c r="AD128" s="71" t="str">
        <f t="shared" si="35"/>
        <v/>
      </c>
      <c r="AE128" s="71" t="str">
        <f t="shared" si="33"/>
        <v/>
      </c>
      <c r="AF128" s="82"/>
      <c r="AG128" s="83" t="str">
        <f t="shared" si="36"/>
        <v/>
      </c>
      <c r="AH128" s="125"/>
      <c r="AI128" s="72"/>
      <c r="AJ128" s="72"/>
      <c r="AK128" s="73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10"/>
      <c r="BR128" s="110"/>
    </row>
    <row r="129" spans="2:70" ht="19.149999999999999" customHeight="1">
      <c r="B129" s="66" t="s">
        <v>257</v>
      </c>
      <c r="C129" s="75" t="s">
        <v>225</v>
      </c>
      <c r="D129" s="85" t="s">
        <v>294</v>
      </c>
      <c r="E129" s="86"/>
      <c r="F129" s="87">
        <v>0.05</v>
      </c>
      <c r="G129" s="87"/>
      <c r="H129" s="79" t="s">
        <v>46</v>
      </c>
      <c r="I129" s="67"/>
      <c r="J129" s="68">
        <v>0.05</v>
      </c>
      <c r="K129" s="68">
        <v>0</v>
      </c>
      <c r="L129" s="68">
        <v>4.2500000000000003E-2</v>
      </c>
      <c r="M129" s="68">
        <v>0</v>
      </c>
      <c r="N129" s="116"/>
      <c r="O129" s="116"/>
      <c r="P129" s="69"/>
      <c r="Q129" s="88">
        <f t="shared" si="25"/>
        <v>0</v>
      </c>
      <c r="R129" s="88">
        <f t="shared" si="26"/>
        <v>0</v>
      </c>
      <c r="S129" s="88">
        <f t="shared" si="27"/>
        <v>0</v>
      </c>
      <c r="T129" s="89">
        <f t="shared" si="37"/>
        <v>0</v>
      </c>
      <c r="U129" s="80" t="str">
        <f t="shared" si="28"/>
        <v/>
      </c>
      <c r="V129" s="81" t="str">
        <f>IF(OR($AM129="",ISNUMBER($AM129)=FALSE),"",IF(AND(#REF!="Tolerance",$E129&lt;&gt;""),($S129-$E129)/(($J129-$K129)/2),IF(AND(#REF!="GD&amp;T",$F129&lt;&gt;""),$S129/$F129,"")))</f>
        <v/>
      </c>
      <c r="W129" s="81" t="str">
        <f t="shared" si="34"/>
        <v/>
      </c>
      <c r="X129" s="80" t="str">
        <f t="shared" si="29"/>
        <v/>
      </c>
      <c r="Y129" s="80" t="str">
        <f t="shared" si="30"/>
        <v/>
      </c>
      <c r="Z129" s="80" t="str">
        <f t="shared" si="31"/>
        <v/>
      </c>
      <c r="AA129" s="70" t="str">
        <f t="shared" si="32"/>
        <v/>
      </c>
      <c r="AB129" s="71" t="e">
        <f>IF($S129="","",IF(#REF!="Tolerance",IF((#REF!*3*T129+S129)-E129&lt;F129,"",(#REF!*3*T129+S129)-E129),IF(OR(#REF!="GD&amp;T",#REF!="MAX"),IF((#REF!*3*T129+S129)&lt;F129,"",(#REF!*3*T129+S129)),"")))</f>
        <v>#REF!</v>
      </c>
      <c r="AC129" s="71" t="e">
        <f>IF(S129="","",IF(#REF!="Tolerance",IF(-((#REF!*3*T129)-S129)-E129&gt;G129,"",-((#REF!*3*T129)-S129)-E129),IF(#REF!="MIN",IF(-((#REF!*3*T129)-S129)&gt;G129,"",-((#REF!*3*T129)-S129)),"")))</f>
        <v>#REF!</v>
      </c>
      <c r="AD129" s="71" t="str">
        <f t="shared" si="35"/>
        <v/>
      </c>
      <c r="AE129" s="71" t="str">
        <f t="shared" si="33"/>
        <v/>
      </c>
      <c r="AF129" s="82"/>
      <c r="AG129" s="83" t="str">
        <f t="shared" si="36"/>
        <v/>
      </c>
      <c r="AH129" s="125"/>
      <c r="AI129" s="72"/>
      <c r="AJ129" s="72"/>
      <c r="AK129" s="73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</row>
    <row r="130" spans="2:70" ht="19.149999999999999" customHeight="1">
      <c r="B130" s="66" t="s">
        <v>257</v>
      </c>
      <c r="C130" s="75" t="s">
        <v>226</v>
      </c>
      <c r="D130" s="85" t="s">
        <v>294</v>
      </c>
      <c r="E130" s="86"/>
      <c r="F130" s="87">
        <v>0.05</v>
      </c>
      <c r="G130" s="87"/>
      <c r="H130" s="79" t="s">
        <v>46</v>
      </c>
      <c r="I130" s="67"/>
      <c r="J130" s="68">
        <v>0.05</v>
      </c>
      <c r="K130" s="68">
        <v>0</v>
      </c>
      <c r="L130" s="68">
        <v>4.2500000000000003E-2</v>
      </c>
      <c r="M130" s="68">
        <v>0</v>
      </c>
      <c r="N130" s="116"/>
      <c r="O130" s="116"/>
      <c r="P130" s="69"/>
      <c r="Q130" s="88">
        <f t="shared" si="25"/>
        <v>0</v>
      </c>
      <c r="R130" s="88">
        <f t="shared" si="26"/>
        <v>0</v>
      </c>
      <c r="S130" s="88">
        <f t="shared" si="27"/>
        <v>0</v>
      </c>
      <c r="T130" s="89">
        <f t="shared" si="37"/>
        <v>0</v>
      </c>
      <c r="U130" s="80" t="str">
        <f t="shared" si="28"/>
        <v/>
      </c>
      <c r="V130" s="81" t="str">
        <f>IF(OR($AM130="",ISNUMBER($AM130)=FALSE),"",IF(AND(#REF!="Tolerance",$E130&lt;&gt;""),($S130-$E130)/(($J130-$K130)/2),IF(AND(#REF!="GD&amp;T",$F130&lt;&gt;""),$S130/$F130,"")))</f>
        <v/>
      </c>
      <c r="W130" s="81" t="str">
        <f t="shared" si="34"/>
        <v/>
      </c>
      <c r="X130" s="80" t="str">
        <f t="shared" si="29"/>
        <v/>
      </c>
      <c r="Y130" s="80" t="str">
        <f t="shared" si="30"/>
        <v/>
      </c>
      <c r="Z130" s="80" t="str">
        <f t="shared" si="31"/>
        <v/>
      </c>
      <c r="AA130" s="70" t="str">
        <f t="shared" si="32"/>
        <v/>
      </c>
      <c r="AB130" s="71" t="e">
        <f>IF($S130="","",IF(#REF!="Tolerance",IF((#REF!*3*T130+S130)-E130&lt;F130,"",(#REF!*3*T130+S130)-E130),IF(OR(#REF!="GD&amp;T",#REF!="MAX"),IF((#REF!*3*T130+S130)&lt;F130,"",(#REF!*3*T130+S130)),"")))</f>
        <v>#REF!</v>
      </c>
      <c r="AC130" s="71" t="e">
        <f>IF(S130="","",IF(#REF!="Tolerance",IF(-((#REF!*3*T130)-S130)-E130&gt;G130,"",-((#REF!*3*T130)-S130)-E130),IF(#REF!="MIN",IF(-((#REF!*3*T130)-S130)&gt;G130,"",-((#REF!*3*T130)-S130)),"")))</f>
        <v>#REF!</v>
      </c>
      <c r="AD130" s="71" t="str">
        <f t="shared" si="35"/>
        <v/>
      </c>
      <c r="AE130" s="71" t="str">
        <f t="shared" si="33"/>
        <v/>
      </c>
      <c r="AF130" s="82"/>
      <c r="AG130" s="83" t="str">
        <f t="shared" si="36"/>
        <v/>
      </c>
      <c r="AH130" s="125"/>
      <c r="AI130" s="72"/>
      <c r="AJ130" s="72"/>
      <c r="AK130" s="73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</row>
    <row r="131" spans="2:70" ht="19.149999999999999" customHeight="1">
      <c r="B131" s="66" t="s">
        <v>258</v>
      </c>
      <c r="C131" s="75" t="s">
        <v>308</v>
      </c>
      <c r="D131" s="85" t="s">
        <v>294</v>
      </c>
      <c r="E131" s="86"/>
      <c r="F131" s="87">
        <v>0.05</v>
      </c>
      <c r="G131" s="87"/>
      <c r="H131" s="79" t="s">
        <v>46</v>
      </c>
      <c r="I131" s="67"/>
      <c r="J131" s="68">
        <v>0.05</v>
      </c>
      <c r="K131" s="68">
        <v>0</v>
      </c>
      <c r="L131" s="68">
        <v>4.2500000000000003E-2</v>
      </c>
      <c r="M131" s="68">
        <v>0</v>
      </c>
      <c r="N131" s="116"/>
      <c r="O131" s="116"/>
      <c r="P131" s="69"/>
      <c r="Q131" s="88">
        <f t="shared" si="25"/>
        <v>0</v>
      </c>
      <c r="R131" s="88">
        <f t="shared" si="26"/>
        <v>0</v>
      </c>
      <c r="S131" s="88">
        <f t="shared" si="27"/>
        <v>0</v>
      </c>
      <c r="T131" s="89">
        <f t="shared" si="37"/>
        <v>0</v>
      </c>
      <c r="U131" s="80" t="str">
        <f t="shared" si="28"/>
        <v/>
      </c>
      <c r="V131" s="81" t="str">
        <f>IF(OR($AM131="",ISNUMBER($AM131)=FALSE),"",IF(AND(#REF!="Tolerance",$E131&lt;&gt;""),($S131-$E131)/(($J131-$K131)/2),IF(AND(#REF!="GD&amp;T",$F131&lt;&gt;""),$S131/$F131,"")))</f>
        <v/>
      </c>
      <c r="W131" s="81" t="str">
        <f t="shared" si="34"/>
        <v/>
      </c>
      <c r="X131" s="80" t="str">
        <f t="shared" si="29"/>
        <v/>
      </c>
      <c r="Y131" s="80" t="str">
        <f t="shared" si="30"/>
        <v/>
      </c>
      <c r="Z131" s="80" t="str">
        <f t="shared" si="31"/>
        <v/>
      </c>
      <c r="AA131" s="70" t="str">
        <f t="shared" si="32"/>
        <v/>
      </c>
      <c r="AB131" s="71" t="e">
        <f>IF($S131="","",IF(#REF!="Tolerance",IF((#REF!*3*T131+S131)-E131&lt;F131,"",(#REF!*3*T131+S131)-E131),IF(OR(#REF!="GD&amp;T",#REF!="MAX"),IF((#REF!*3*T131+S131)&lt;F131,"",(#REF!*3*T131+S131)),"")))</f>
        <v>#REF!</v>
      </c>
      <c r="AC131" s="71" t="e">
        <f>IF(S131="","",IF(#REF!="Tolerance",IF(-((#REF!*3*T131)-S131)-E131&gt;G131,"",-((#REF!*3*T131)-S131)-E131),IF(#REF!="MIN",IF(-((#REF!*3*T131)-S131)&gt;G131,"",-((#REF!*3*T131)-S131)),"")))</f>
        <v>#REF!</v>
      </c>
      <c r="AD131" s="71" t="str">
        <f t="shared" si="35"/>
        <v/>
      </c>
      <c r="AE131" s="71" t="str">
        <f t="shared" si="33"/>
        <v/>
      </c>
      <c r="AF131" s="82"/>
      <c r="AG131" s="83" t="str">
        <f t="shared" si="36"/>
        <v/>
      </c>
      <c r="AH131" s="125"/>
      <c r="AI131" s="72"/>
      <c r="AJ131" s="72"/>
      <c r="AK131" s="73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0"/>
      <c r="BR131" s="110"/>
    </row>
    <row r="132" spans="2:70" ht="19.149999999999999" customHeight="1">
      <c r="B132" s="66" t="s">
        <v>258</v>
      </c>
      <c r="C132" s="75" t="s">
        <v>292</v>
      </c>
      <c r="D132" s="85" t="s">
        <v>294</v>
      </c>
      <c r="E132" s="86"/>
      <c r="F132" s="87">
        <v>0.05</v>
      </c>
      <c r="G132" s="87"/>
      <c r="H132" s="79" t="s">
        <v>46</v>
      </c>
      <c r="I132" s="67"/>
      <c r="J132" s="68">
        <v>0.05</v>
      </c>
      <c r="K132" s="68">
        <v>0</v>
      </c>
      <c r="L132" s="68">
        <v>4.2500000000000003E-2</v>
      </c>
      <c r="M132" s="68">
        <v>0</v>
      </c>
      <c r="N132" s="116"/>
      <c r="O132" s="116"/>
      <c r="P132" s="69"/>
      <c r="Q132" s="88">
        <f t="shared" si="25"/>
        <v>0</v>
      </c>
      <c r="R132" s="88">
        <f t="shared" si="26"/>
        <v>0</v>
      </c>
      <c r="S132" s="88">
        <f t="shared" si="27"/>
        <v>0</v>
      </c>
      <c r="T132" s="89">
        <f t="shared" si="37"/>
        <v>0</v>
      </c>
      <c r="U132" s="80" t="str">
        <f t="shared" si="28"/>
        <v/>
      </c>
      <c r="V132" s="81" t="str">
        <f>IF(OR($AM132="",ISNUMBER($AM132)=FALSE),"",IF(AND(#REF!="Tolerance",$E132&lt;&gt;""),($S132-$E132)/(($J132-$K132)/2),IF(AND(#REF!="GD&amp;T",$F132&lt;&gt;""),$S132/$F132,"")))</f>
        <v/>
      </c>
      <c r="W132" s="81" t="str">
        <f t="shared" si="34"/>
        <v/>
      </c>
      <c r="X132" s="80" t="str">
        <f t="shared" si="29"/>
        <v/>
      </c>
      <c r="Y132" s="80" t="str">
        <f t="shared" si="30"/>
        <v/>
      </c>
      <c r="Z132" s="80" t="str">
        <f t="shared" si="31"/>
        <v/>
      </c>
      <c r="AA132" s="70" t="str">
        <f t="shared" si="32"/>
        <v/>
      </c>
      <c r="AB132" s="71" t="e">
        <f>IF($S132="","",IF(#REF!="Tolerance",IF((#REF!*3*T132+S132)-E132&lt;F132,"",(#REF!*3*T132+S132)-E132),IF(OR(#REF!="GD&amp;T",#REF!="MAX"),IF((#REF!*3*T132+S132)&lt;F132,"",(#REF!*3*T132+S132)),"")))</f>
        <v>#REF!</v>
      </c>
      <c r="AC132" s="71" t="e">
        <f>IF(S132="","",IF(#REF!="Tolerance",IF(-((#REF!*3*T132)-S132)-E132&gt;G132,"",-((#REF!*3*T132)-S132)-E132),IF(#REF!="MIN",IF(-((#REF!*3*T132)-S132)&gt;G132,"",-((#REF!*3*T132)-S132)),"")))</f>
        <v>#REF!</v>
      </c>
      <c r="AD132" s="71" t="str">
        <f t="shared" si="35"/>
        <v/>
      </c>
      <c r="AE132" s="71" t="str">
        <f t="shared" si="33"/>
        <v/>
      </c>
      <c r="AF132" s="82"/>
      <c r="AG132" s="83" t="str">
        <f t="shared" si="36"/>
        <v/>
      </c>
      <c r="AH132" s="125"/>
      <c r="AI132" s="72"/>
      <c r="AJ132" s="72"/>
      <c r="AK132" s="73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</row>
    <row r="133" spans="2:70" ht="19.149999999999999" customHeight="1">
      <c r="B133" s="90" t="s">
        <v>258</v>
      </c>
      <c r="C133" s="75" t="s">
        <v>293</v>
      </c>
      <c r="D133" s="85" t="s">
        <v>294</v>
      </c>
      <c r="E133" s="86"/>
      <c r="F133" s="87">
        <v>0.05</v>
      </c>
      <c r="G133" s="87"/>
      <c r="H133" s="79" t="s">
        <v>46</v>
      </c>
      <c r="I133" s="67"/>
      <c r="J133" s="68">
        <v>0.05</v>
      </c>
      <c r="K133" s="68">
        <v>0</v>
      </c>
      <c r="L133" s="68">
        <v>4.2500000000000003E-2</v>
      </c>
      <c r="M133" s="68">
        <v>0</v>
      </c>
      <c r="N133" s="116"/>
      <c r="O133" s="116"/>
      <c r="P133" s="69"/>
      <c r="Q133" s="88">
        <f t="shared" ref="Q133:Q140" si="44">IF(OR($AM133=ISBLANK(TRUE),ISNUMBER($AM133)=FALSE),,MAX(AM133:BR133))</f>
        <v>0</v>
      </c>
      <c r="R133" s="88">
        <f t="shared" ref="R133:R140" si="45">IF(OR($AM133=ISBLANK(TRUE),ISNUMBER($AM133)=FALSE),,MIN(AM133:BR133))</f>
        <v>0</v>
      </c>
      <c r="S133" s="88">
        <f t="shared" ref="S133:S140" si="46">IF(OR($AM133=ISBLANK(TRUE),ISNUMBER($AM133)=FALSE),,AVERAGE(AM133:BR133))</f>
        <v>0</v>
      </c>
      <c r="T133" s="89">
        <f t="shared" si="37"/>
        <v>0</v>
      </c>
      <c r="U133" s="80" t="str">
        <f t="shared" ref="U133:U140" si="47">IF(OR($AM133="",ISNUMBER($AM133)=FALSE),"",IF(AND(E133=0,G133=0),X133,IF(AND(E133="",F133=""),Y133,(F133+ABS(G133))/(6*T133))))</f>
        <v/>
      </c>
      <c r="V133" s="81" t="str">
        <f>IF(OR($AM133="",ISNUMBER($AM133)=FALSE),"",IF(AND(#REF!="Tolerance",$E133&lt;&gt;""),($S133-$E133)/(($J133-$K133)/2),IF(AND(#REF!="GD&amp;T",$F133&lt;&gt;""),$S133/$F133,"")))</f>
        <v/>
      </c>
      <c r="W133" s="81" t="str">
        <f t="shared" si="34"/>
        <v/>
      </c>
      <c r="X133" s="80" t="str">
        <f t="shared" ref="X133:X140" si="48">IF(OR($AM133="",ISNUMBER($AM133)=FALSE),"",IF(F133="","",(J133-S133)/(3*T133)))</f>
        <v/>
      </c>
      <c r="Y133" s="80" t="str">
        <f t="shared" ref="Y133:Y140" si="49">IF(OR($AM133="",ISNUMBER($AM133)=FALSE),"",IF(G133="","",(S133-K133)/(3*T133)))</f>
        <v/>
      </c>
      <c r="Z133" s="80" t="str">
        <f t="shared" ref="Z133:Z140" si="50">IF(OR($AM133="",ISNUMBER($AM133)=FALSE),"",IF(AND(E133=0,G133=0),((F133)-(S133))/(3*T133),MIN(X133:Y133)))</f>
        <v/>
      </c>
      <c r="AA133" s="70" t="str">
        <f t="shared" ref="AA133:AA140" si="51">IF(OR($AM133="",ISNUMBER($AM133)=FALSE),"",IF(AND(E133=0,G133=0),NORMSDIST(3*Z133),NORMSDIST(3*Z133)+NORMSDIST(6*U133-3*Z133)-1))</f>
        <v/>
      </c>
      <c r="AB133" s="71" t="e">
        <f>IF($S133="","",IF(#REF!="Tolerance",IF((#REF!*3*T133+S133)-E133&lt;F133,"",(#REF!*3*T133+S133)-E133),IF(OR(#REF!="GD&amp;T",#REF!="MAX"),IF((#REF!*3*T133+S133)&lt;F133,"",(#REF!*3*T133+S133)),"")))</f>
        <v>#REF!</v>
      </c>
      <c r="AC133" s="71" t="e">
        <f>IF(S133="","",IF(#REF!="Tolerance",IF(-((#REF!*3*T133)-S133)-E133&gt;G133,"",-((#REF!*3*T133)-S133)-E133),IF(#REF!="MIN",IF(-((#REF!*3*T133)-S133)&gt;G133,"",-((#REF!*3*T133)-S133)),"")))</f>
        <v>#REF!</v>
      </c>
      <c r="AD133" s="71" t="str">
        <f t="shared" si="35"/>
        <v/>
      </c>
      <c r="AE133" s="71" t="str">
        <f t="shared" si="33"/>
        <v/>
      </c>
      <c r="AF133" s="82"/>
      <c r="AG133" s="83" t="str">
        <f t="shared" si="36"/>
        <v/>
      </c>
      <c r="AH133" s="125"/>
      <c r="AI133" s="72"/>
      <c r="AJ133" s="72"/>
      <c r="AK133" s="73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0"/>
      <c r="BR133" s="110"/>
    </row>
    <row r="134" spans="2:70" ht="19.149999999999999" customHeight="1">
      <c r="B134" s="90" t="s">
        <v>309</v>
      </c>
      <c r="C134" s="75">
        <v>147</v>
      </c>
      <c r="D134" s="85" t="s">
        <v>294</v>
      </c>
      <c r="E134" s="86"/>
      <c r="F134" s="87">
        <v>0.02</v>
      </c>
      <c r="G134" s="87"/>
      <c r="H134" s="79" t="s">
        <v>46</v>
      </c>
      <c r="I134" s="67"/>
      <c r="J134" s="68">
        <v>0.02</v>
      </c>
      <c r="K134" s="68">
        <v>0</v>
      </c>
      <c r="L134" s="68">
        <v>1.7000000000000001E-2</v>
      </c>
      <c r="M134" s="68">
        <v>0</v>
      </c>
      <c r="N134" s="116"/>
      <c r="O134" s="116"/>
      <c r="P134" s="69"/>
      <c r="Q134" s="88">
        <f t="shared" si="44"/>
        <v>0</v>
      </c>
      <c r="R134" s="88">
        <f t="shared" si="45"/>
        <v>0</v>
      </c>
      <c r="S134" s="88">
        <f t="shared" si="46"/>
        <v>0</v>
      </c>
      <c r="T134" s="89">
        <f t="shared" si="37"/>
        <v>0</v>
      </c>
      <c r="U134" s="80" t="str">
        <f t="shared" si="47"/>
        <v/>
      </c>
      <c r="V134" s="81" t="str">
        <f>IF(OR($AM134="",ISNUMBER($AM134)=FALSE),"",IF(AND(#REF!="Tolerance",$E134&lt;&gt;""),($S134-$E134)/(($J134-$K134)/2),IF(AND(#REF!="GD&amp;T",$F134&lt;&gt;""),$S134/$F134,"")))</f>
        <v/>
      </c>
      <c r="W134" s="81" t="str">
        <f t="shared" si="34"/>
        <v/>
      </c>
      <c r="X134" s="80" t="str">
        <f t="shared" si="48"/>
        <v/>
      </c>
      <c r="Y134" s="80" t="str">
        <f t="shared" si="49"/>
        <v/>
      </c>
      <c r="Z134" s="80" t="str">
        <f t="shared" si="50"/>
        <v/>
      </c>
      <c r="AA134" s="70" t="str">
        <f t="shared" si="51"/>
        <v/>
      </c>
      <c r="AB134" s="71" t="e">
        <f>IF($S134="","",IF(#REF!="Tolerance",IF((#REF!*3*T134+S134)-E134&lt;F134,"",(#REF!*3*T134+S134)-E134),IF(OR(#REF!="GD&amp;T",#REF!="MAX"),IF((#REF!*3*T134+S134)&lt;F134,"",(#REF!*3*T134+S134)),"")))</f>
        <v>#REF!</v>
      </c>
      <c r="AC134" s="71" t="e">
        <f>IF(S134="","",IF(#REF!="Tolerance",IF(-((#REF!*3*T134)-S134)-E134&gt;G134,"",-((#REF!*3*T134)-S134)-E134),IF(#REF!="MIN",IF(-((#REF!*3*T134)-S134)&gt;G134,"",-((#REF!*3*T134)-S134)),"")))</f>
        <v>#REF!</v>
      </c>
      <c r="AD134" s="71" t="str">
        <f t="shared" ref="AD134:AD140" si="52">IF(OR(E134="",S134=""),"",(J134+K134)/2-S134)</f>
        <v/>
      </c>
      <c r="AE134" s="71" t="str">
        <f t="shared" si="33"/>
        <v/>
      </c>
      <c r="AF134" s="82"/>
      <c r="AG134" s="83" t="str">
        <f t="shared" ref="AG134:AG140" si="53">IF(AF134="","",IF(AF134&gt;=0.966,"Normal","Not Normal"))</f>
        <v/>
      </c>
      <c r="AH134" s="125"/>
      <c r="AI134" s="72"/>
      <c r="AJ134" s="72"/>
      <c r="AK134" s="73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</row>
    <row r="135" spans="2:70" ht="19.149999999999999" customHeight="1">
      <c r="B135" s="90" t="s">
        <v>310</v>
      </c>
      <c r="C135" s="75">
        <v>148</v>
      </c>
      <c r="D135" s="85" t="s">
        <v>297</v>
      </c>
      <c r="E135" s="86"/>
      <c r="F135" s="87">
        <v>0.02</v>
      </c>
      <c r="G135" s="87"/>
      <c r="H135" s="79" t="s">
        <v>46</v>
      </c>
      <c r="I135" s="67"/>
      <c r="J135" s="68">
        <v>0.02</v>
      </c>
      <c r="K135" s="68">
        <v>0</v>
      </c>
      <c r="L135" s="68">
        <v>1.7000000000000001E-2</v>
      </c>
      <c r="M135" s="68">
        <v>0</v>
      </c>
      <c r="N135" s="116"/>
      <c r="O135" s="116"/>
      <c r="P135" s="69"/>
      <c r="Q135" s="88">
        <f t="shared" si="44"/>
        <v>0</v>
      </c>
      <c r="R135" s="88">
        <f t="shared" si="45"/>
        <v>0</v>
      </c>
      <c r="S135" s="88">
        <f t="shared" si="46"/>
        <v>0</v>
      </c>
      <c r="T135" s="89">
        <f t="shared" si="37"/>
        <v>0</v>
      </c>
      <c r="U135" s="80" t="str">
        <f t="shared" si="47"/>
        <v/>
      </c>
      <c r="V135" s="81" t="str">
        <f>IF(OR($AM135="",ISNUMBER($AM135)=FALSE),"",IF(AND(#REF!="Tolerance",$E135&lt;&gt;""),($S135-$E135)/(($J135-$K135)/2),IF(AND(#REF!="GD&amp;T",$F135&lt;&gt;""),$S135/$F135,"")))</f>
        <v/>
      </c>
      <c r="W135" s="81" t="str">
        <f t="shared" si="34"/>
        <v/>
      </c>
      <c r="X135" s="80" t="str">
        <f t="shared" si="48"/>
        <v/>
      </c>
      <c r="Y135" s="80" t="str">
        <f t="shared" si="49"/>
        <v/>
      </c>
      <c r="Z135" s="80" t="str">
        <f t="shared" si="50"/>
        <v/>
      </c>
      <c r="AA135" s="70" t="str">
        <f t="shared" si="51"/>
        <v/>
      </c>
      <c r="AB135" s="71" t="e">
        <f>IF($S135="","",IF(#REF!="Tolerance",IF((#REF!*3*T135+S135)-E135&lt;F135,"",(#REF!*3*T135+S135)-E135),IF(OR(#REF!="GD&amp;T",#REF!="MAX"),IF((#REF!*3*T135+S135)&lt;F135,"",(#REF!*3*T135+S135)),"")))</f>
        <v>#REF!</v>
      </c>
      <c r="AC135" s="71" t="e">
        <f>IF(S135="","",IF(#REF!="Tolerance",IF(-((#REF!*3*T135)-S135)-E135&gt;G135,"",-((#REF!*3*T135)-S135)-E135),IF(#REF!="MIN",IF(-((#REF!*3*T135)-S135)&gt;G135,"",-((#REF!*3*T135)-S135)),"")))</f>
        <v>#REF!</v>
      </c>
      <c r="AD135" s="71" t="str">
        <f t="shared" si="52"/>
        <v/>
      </c>
      <c r="AE135" s="71" t="str">
        <f t="shared" si="33"/>
        <v/>
      </c>
      <c r="AF135" s="82"/>
      <c r="AG135" s="83" t="str">
        <f t="shared" si="53"/>
        <v/>
      </c>
      <c r="AH135" s="125"/>
      <c r="AI135" s="72"/>
      <c r="AJ135" s="72"/>
      <c r="AK135" s="73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  <c r="BM135" s="110"/>
      <c r="BN135" s="110"/>
      <c r="BO135" s="110"/>
      <c r="BP135" s="110"/>
      <c r="BQ135" s="110"/>
      <c r="BR135" s="110"/>
    </row>
    <row r="136" spans="2:70" ht="19.149999999999999" customHeight="1">
      <c r="B136" s="90" t="s">
        <v>311</v>
      </c>
      <c r="C136" s="75">
        <v>153</v>
      </c>
      <c r="D136" s="85" t="s">
        <v>47</v>
      </c>
      <c r="E136" s="86"/>
      <c r="F136" s="87">
        <v>0.06</v>
      </c>
      <c r="G136" s="87"/>
      <c r="H136" s="79" t="s">
        <v>46</v>
      </c>
      <c r="I136" s="67"/>
      <c r="J136" s="68">
        <v>0.06</v>
      </c>
      <c r="K136" s="68">
        <v>0</v>
      </c>
      <c r="L136" s="68">
        <v>5.0999999999999997E-2</v>
      </c>
      <c r="M136" s="68">
        <v>0</v>
      </c>
      <c r="N136" s="116"/>
      <c r="O136" s="116"/>
      <c r="P136" s="69"/>
      <c r="Q136" s="88">
        <f t="shared" si="44"/>
        <v>0</v>
      </c>
      <c r="R136" s="88">
        <f t="shared" si="45"/>
        <v>0</v>
      </c>
      <c r="S136" s="88">
        <f t="shared" si="46"/>
        <v>0</v>
      </c>
      <c r="T136" s="89">
        <f t="shared" si="37"/>
        <v>0</v>
      </c>
      <c r="U136" s="80" t="str">
        <f t="shared" si="47"/>
        <v/>
      </c>
      <c r="V136" s="81" t="str">
        <f>IF(OR($AM136="",ISNUMBER($AM136)=FALSE),"",IF(AND(#REF!="Tolerance",$E136&lt;&gt;""),($S136-$E136)/(($J136-$K136)/2),IF(AND(#REF!="GD&amp;T",$F136&lt;&gt;""),$S136/$F136,"")))</f>
        <v/>
      </c>
      <c r="W136" s="81" t="str">
        <f t="shared" si="34"/>
        <v/>
      </c>
      <c r="X136" s="80" t="str">
        <f t="shared" si="48"/>
        <v/>
      </c>
      <c r="Y136" s="80" t="str">
        <f t="shared" si="49"/>
        <v/>
      </c>
      <c r="Z136" s="80" t="str">
        <f t="shared" si="50"/>
        <v/>
      </c>
      <c r="AA136" s="70" t="str">
        <f t="shared" si="51"/>
        <v/>
      </c>
      <c r="AB136" s="71" t="e">
        <f>IF($S136="","",IF(#REF!="Tolerance",IF((#REF!*3*T136+S136)-E136&lt;F136,"",(#REF!*3*T136+S136)-E136),IF(OR(#REF!="GD&amp;T",#REF!="MAX"),IF((#REF!*3*T136+S136)&lt;F136,"",(#REF!*3*T136+S136)),"")))</f>
        <v>#REF!</v>
      </c>
      <c r="AC136" s="71" t="e">
        <f>IF(S136="","",IF(#REF!="Tolerance",IF(-((#REF!*3*T136)-S136)-E136&gt;G136,"",-((#REF!*3*T136)-S136)-E136),IF(#REF!="MIN",IF(-((#REF!*3*T136)-S136)&gt;G136,"",-((#REF!*3*T136)-S136)),"")))</f>
        <v>#REF!</v>
      </c>
      <c r="AD136" s="71" t="str">
        <f t="shared" si="52"/>
        <v/>
      </c>
      <c r="AE136" s="71" t="str">
        <f t="shared" si="33"/>
        <v/>
      </c>
      <c r="AF136" s="82"/>
      <c r="AG136" s="83" t="str">
        <f t="shared" si="53"/>
        <v/>
      </c>
      <c r="AH136" s="125"/>
      <c r="AI136" s="72"/>
      <c r="AJ136" s="72"/>
      <c r="AK136" s="73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</row>
    <row r="137" spans="2:70" ht="19.149999999999999" customHeight="1">
      <c r="B137" s="66" t="s">
        <v>312</v>
      </c>
      <c r="C137" s="75">
        <v>154</v>
      </c>
      <c r="D137" s="85" t="s">
        <v>47</v>
      </c>
      <c r="E137" s="86"/>
      <c r="F137" s="87">
        <v>0.06</v>
      </c>
      <c r="G137" s="87"/>
      <c r="H137" s="79" t="s">
        <v>46</v>
      </c>
      <c r="I137" s="67"/>
      <c r="J137" s="68">
        <v>0.06</v>
      </c>
      <c r="K137" s="68">
        <v>0</v>
      </c>
      <c r="L137" s="68">
        <v>5.0999999999999997E-2</v>
      </c>
      <c r="M137" s="68">
        <v>0</v>
      </c>
      <c r="N137" s="116"/>
      <c r="O137" s="116"/>
      <c r="P137" s="69"/>
      <c r="Q137" s="88">
        <f t="shared" si="44"/>
        <v>0</v>
      </c>
      <c r="R137" s="88">
        <f t="shared" si="45"/>
        <v>0</v>
      </c>
      <c r="S137" s="88">
        <f t="shared" si="46"/>
        <v>0</v>
      </c>
      <c r="T137" s="89">
        <f t="shared" si="37"/>
        <v>0</v>
      </c>
      <c r="U137" s="80" t="str">
        <f t="shared" si="47"/>
        <v/>
      </c>
      <c r="V137" s="81" t="str">
        <f>IF(OR($AM137="",ISNUMBER($AM137)=FALSE),"",IF(AND(#REF!="Tolerance",$E137&lt;&gt;""),($S137-$E137)/(($J137-$K137)/2),IF(AND(#REF!="GD&amp;T",$F137&lt;&gt;""),$S137/$F137,"")))</f>
        <v/>
      </c>
      <c r="W137" s="81" t="str">
        <f t="shared" si="34"/>
        <v/>
      </c>
      <c r="X137" s="80" t="str">
        <f t="shared" si="48"/>
        <v/>
      </c>
      <c r="Y137" s="80" t="str">
        <f t="shared" si="49"/>
        <v/>
      </c>
      <c r="Z137" s="80" t="str">
        <f t="shared" si="50"/>
        <v/>
      </c>
      <c r="AA137" s="70" t="str">
        <f t="shared" si="51"/>
        <v/>
      </c>
      <c r="AB137" s="71" t="e">
        <f>IF($S137="","",IF(#REF!="Tolerance",IF((#REF!*3*T137+S137)-E137&lt;F137,"",(#REF!*3*T137+S137)-E137),IF(OR(#REF!="GD&amp;T",#REF!="MAX"),IF((#REF!*3*T137+S137)&lt;F137,"",(#REF!*3*T137+S137)),"")))</f>
        <v>#REF!</v>
      </c>
      <c r="AC137" s="71" t="e">
        <f>IF(S137="","",IF(#REF!="Tolerance",IF(-((#REF!*3*T137)-S137)-E137&gt;G137,"",-((#REF!*3*T137)-S137)-E137),IF(#REF!="MIN",IF(-((#REF!*3*T137)-S137)&gt;G137,"",-((#REF!*3*T137)-S137)),"")))</f>
        <v>#REF!</v>
      </c>
      <c r="AD137" s="71" t="str">
        <f t="shared" si="52"/>
        <v/>
      </c>
      <c r="AE137" s="71" t="str">
        <f t="shared" si="33"/>
        <v/>
      </c>
      <c r="AF137" s="82"/>
      <c r="AG137" s="83" t="str">
        <f t="shared" si="53"/>
        <v/>
      </c>
      <c r="AH137" s="125"/>
      <c r="AI137" s="72"/>
      <c r="AJ137" s="72"/>
      <c r="AK137" s="73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  <c r="BG137" s="110"/>
      <c r="BH137" s="110"/>
      <c r="BI137" s="110"/>
      <c r="BJ137" s="110"/>
      <c r="BK137" s="110"/>
      <c r="BL137" s="110"/>
      <c r="BM137" s="110"/>
      <c r="BN137" s="110"/>
      <c r="BO137" s="110"/>
      <c r="BP137" s="110"/>
      <c r="BQ137" s="110"/>
      <c r="BR137" s="110"/>
    </row>
    <row r="138" spans="2:70" ht="19.149999999999999" customHeight="1">
      <c r="B138" s="66" t="s">
        <v>313</v>
      </c>
      <c r="C138" s="75">
        <v>155</v>
      </c>
      <c r="D138" s="85" t="s">
        <v>47</v>
      </c>
      <c r="E138" s="86"/>
      <c r="F138" s="87">
        <v>0.06</v>
      </c>
      <c r="G138" s="87"/>
      <c r="H138" s="79" t="s">
        <v>46</v>
      </c>
      <c r="I138" s="67"/>
      <c r="J138" s="68">
        <v>0.06</v>
      </c>
      <c r="K138" s="68">
        <v>0</v>
      </c>
      <c r="L138" s="68">
        <v>2.5499999999999998E-2</v>
      </c>
      <c r="M138" s="68">
        <v>0</v>
      </c>
      <c r="N138" s="116"/>
      <c r="O138" s="116"/>
      <c r="P138" s="69"/>
      <c r="Q138" s="88">
        <f t="shared" si="44"/>
        <v>0</v>
      </c>
      <c r="R138" s="88">
        <f t="shared" si="45"/>
        <v>0</v>
      </c>
      <c r="S138" s="88">
        <f t="shared" si="46"/>
        <v>0</v>
      </c>
      <c r="T138" s="89">
        <f t="shared" ref="T138:T140" si="54">IF(OR($AM138=ISBLANK(TRUE),ISNUMBER($AM138)=FALSE),,STDEV(AM138:BR138))</f>
        <v>0</v>
      </c>
      <c r="U138" s="80" t="str">
        <f t="shared" si="47"/>
        <v/>
      </c>
      <c r="V138" s="81" t="str">
        <f>IF(OR($AM138="",ISNUMBER($AM138)=FALSE),"",IF(AND(#REF!="Tolerance",$E138&lt;&gt;""),($S138-$E138)/(($J138-$K138)/2),IF(AND(#REF!="GD&amp;T",$F138&lt;&gt;""),$S138/$F138,"")))</f>
        <v/>
      </c>
      <c r="W138" s="81" t="str">
        <f t="shared" si="34"/>
        <v/>
      </c>
      <c r="X138" s="80" t="str">
        <f t="shared" si="48"/>
        <v/>
      </c>
      <c r="Y138" s="80" t="str">
        <f t="shared" si="49"/>
        <v/>
      </c>
      <c r="Z138" s="80" t="str">
        <f t="shared" si="50"/>
        <v/>
      </c>
      <c r="AA138" s="70" t="str">
        <f t="shared" si="51"/>
        <v/>
      </c>
      <c r="AB138" s="71" t="e">
        <f>IF($S138="","",IF(#REF!="Tolerance",IF((#REF!*3*T138+S138)-E138&lt;F138,"",(#REF!*3*T138+S138)-E138),IF(OR(#REF!="GD&amp;T",#REF!="MAX"),IF((#REF!*3*T138+S138)&lt;F138,"",(#REF!*3*T138+S138)),"")))</f>
        <v>#REF!</v>
      </c>
      <c r="AC138" s="71" t="e">
        <f>IF(S138="","",IF(#REF!="Tolerance",IF(-((#REF!*3*T138)-S138)-E138&gt;G138,"",-((#REF!*3*T138)-S138)-E138),IF(#REF!="MIN",IF(-((#REF!*3*T138)-S138)&gt;G138,"",-((#REF!*3*T138)-S138)),"")))</f>
        <v>#REF!</v>
      </c>
      <c r="AD138" s="71" t="str">
        <f t="shared" si="52"/>
        <v/>
      </c>
      <c r="AE138" s="71" t="str">
        <f t="shared" si="33"/>
        <v/>
      </c>
      <c r="AF138" s="82"/>
      <c r="AG138" s="83" t="str">
        <f t="shared" si="53"/>
        <v/>
      </c>
      <c r="AH138" s="125"/>
      <c r="AI138" s="72"/>
      <c r="AJ138" s="72"/>
      <c r="AK138" s="73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110"/>
      <c r="BR138" s="110"/>
    </row>
    <row r="139" spans="2:70" ht="19.149999999999999" customHeight="1">
      <c r="B139" s="66" t="s">
        <v>314</v>
      </c>
      <c r="C139" s="75">
        <v>157</v>
      </c>
      <c r="D139" s="85" t="s">
        <v>45</v>
      </c>
      <c r="E139" s="86">
        <v>18.472999999999999</v>
      </c>
      <c r="F139" s="87">
        <v>0.02</v>
      </c>
      <c r="G139" s="87">
        <v>-0.02</v>
      </c>
      <c r="H139" s="79" t="s">
        <v>46</v>
      </c>
      <c r="I139" s="67"/>
      <c r="J139" s="68">
        <v>18.492999999999999</v>
      </c>
      <c r="K139" s="68">
        <v>18.452999999999999</v>
      </c>
      <c r="L139" s="68">
        <v>18.489999999999998</v>
      </c>
      <c r="M139" s="68">
        <v>18.456</v>
      </c>
      <c r="N139" s="116"/>
      <c r="O139" s="116"/>
      <c r="P139" s="69"/>
      <c r="Q139" s="88">
        <f t="shared" si="44"/>
        <v>0</v>
      </c>
      <c r="R139" s="88">
        <f t="shared" si="45"/>
        <v>0</v>
      </c>
      <c r="S139" s="88">
        <f t="shared" si="46"/>
        <v>0</v>
      </c>
      <c r="T139" s="89">
        <f t="shared" si="54"/>
        <v>0</v>
      </c>
      <c r="U139" s="80" t="str">
        <f t="shared" si="47"/>
        <v/>
      </c>
      <c r="V139" s="81" t="str">
        <f>IF(OR($AM139="",ISNUMBER($AM139)=FALSE),"",IF(AND(#REF!="Tolerance",$E139&lt;&gt;""),($S139-$E139)/(($J139-$K139)/2),IF(AND(#REF!="GD&amp;T",$F139&lt;&gt;""),$S139/$F139,"")))</f>
        <v/>
      </c>
      <c r="W139" s="81" t="str">
        <f t="shared" si="34"/>
        <v/>
      </c>
      <c r="X139" s="80" t="str">
        <f t="shared" si="48"/>
        <v/>
      </c>
      <c r="Y139" s="80" t="str">
        <f t="shared" si="49"/>
        <v/>
      </c>
      <c r="Z139" s="80" t="str">
        <f t="shared" si="50"/>
        <v/>
      </c>
      <c r="AA139" s="70" t="str">
        <f t="shared" si="51"/>
        <v/>
      </c>
      <c r="AB139" s="71" t="e">
        <f>IF($S139="","",IF(#REF!="Tolerance",IF((#REF!*3*T139+S139)-E139&lt;F139,"",(#REF!*3*T139+S139)-E139),IF(OR(#REF!="GD&amp;T",#REF!="MAX"),IF((#REF!*3*T139+S139)&lt;F139,"",(#REF!*3*T139+S139)),"")))</f>
        <v>#REF!</v>
      </c>
      <c r="AC139" s="71" t="e">
        <f>IF(S139="","",IF(#REF!="Tolerance",IF(-((#REF!*3*T139)-S139)-E139&gt;G139,"",-((#REF!*3*T139)-S139)-E139),IF(#REF!="MIN",IF(-((#REF!*3*T139)-S139)&gt;G139,"",-((#REF!*3*T139)-S139)),"")))</f>
        <v>#REF!</v>
      </c>
      <c r="AD139" s="71">
        <f t="shared" si="52"/>
        <v>18.472999999999999</v>
      </c>
      <c r="AE139" s="71" t="str">
        <f t="shared" si="33"/>
        <v/>
      </c>
      <c r="AF139" s="82"/>
      <c r="AG139" s="83" t="str">
        <f t="shared" si="53"/>
        <v/>
      </c>
      <c r="AH139" s="125"/>
      <c r="AI139" s="72"/>
      <c r="AJ139" s="72"/>
      <c r="AK139" s="73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</row>
    <row r="140" spans="2:70" ht="19.149999999999999" customHeight="1">
      <c r="B140" s="90" t="s">
        <v>315</v>
      </c>
      <c r="C140" s="75">
        <v>158</v>
      </c>
      <c r="D140" s="85" t="s">
        <v>45</v>
      </c>
      <c r="E140" s="86">
        <v>18.593</v>
      </c>
      <c r="F140" s="87">
        <v>0.02</v>
      </c>
      <c r="G140" s="87">
        <v>-0.02</v>
      </c>
      <c r="H140" s="79" t="s">
        <v>46</v>
      </c>
      <c r="I140" s="67"/>
      <c r="J140" s="68">
        <v>18.613</v>
      </c>
      <c r="K140" s="68">
        <v>18.573</v>
      </c>
      <c r="L140" s="68">
        <v>18.61</v>
      </c>
      <c r="M140" s="68">
        <v>18.576000000000001</v>
      </c>
      <c r="N140" s="116"/>
      <c r="O140" s="116"/>
      <c r="P140" s="69"/>
      <c r="Q140" s="88">
        <f t="shared" si="44"/>
        <v>0</v>
      </c>
      <c r="R140" s="88">
        <f t="shared" si="45"/>
        <v>0</v>
      </c>
      <c r="S140" s="88">
        <f t="shared" si="46"/>
        <v>0</v>
      </c>
      <c r="T140" s="89">
        <f t="shared" si="54"/>
        <v>0</v>
      </c>
      <c r="U140" s="80" t="str">
        <f t="shared" si="47"/>
        <v/>
      </c>
      <c r="V140" s="81" t="str">
        <f>IF(OR($AM140="",ISNUMBER($AM140)=FALSE),"",IF(AND(#REF!="Tolerance",$E140&lt;&gt;""),($S140-$E140)/(($J140-$K140)/2),IF(AND(#REF!="GD&amp;T",$F140&lt;&gt;""),$S140/$F140,"")))</f>
        <v/>
      </c>
      <c r="W140" s="81" t="str">
        <f t="shared" si="34"/>
        <v/>
      </c>
      <c r="X140" s="80" t="str">
        <f t="shared" si="48"/>
        <v/>
      </c>
      <c r="Y140" s="80" t="str">
        <f t="shared" si="49"/>
        <v/>
      </c>
      <c r="Z140" s="80" t="str">
        <f t="shared" si="50"/>
        <v/>
      </c>
      <c r="AA140" s="70" t="str">
        <f t="shared" si="51"/>
        <v/>
      </c>
      <c r="AB140" s="71" t="e">
        <f>IF($S140="","",IF(#REF!="Tolerance",IF((#REF!*3*T140+S140)-E140&lt;F140,"",(#REF!*3*T140+S140)-E140),IF(OR(#REF!="GD&amp;T",#REF!="MAX"),IF((#REF!*3*T140+S140)&lt;F140,"",(#REF!*3*T140+S140)),"")))</f>
        <v>#REF!</v>
      </c>
      <c r="AC140" s="71" t="e">
        <f>IF(S140="","",IF(#REF!="Tolerance",IF(-((#REF!*3*T140)-S140)-E140&gt;G140,"",-((#REF!*3*T140)-S140)-E140),IF(#REF!="MIN",IF(-((#REF!*3*T140)-S140)&gt;G140,"",-((#REF!*3*T140)-S140)),"")))</f>
        <v>#REF!</v>
      </c>
      <c r="AD140" s="71">
        <f t="shared" si="52"/>
        <v>18.593</v>
      </c>
      <c r="AE140" s="71" t="str">
        <f t="shared" si="33"/>
        <v/>
      </c>
      <c r="AF140" s="82"/>
      <c r="AG140" s="83" t="str">
        <f t="shared" si="53"/>
        <v/>
      </c>
      <c r="AH140" s="125"/>
      <c r="AI140" s="72"/>
      <c r="AJ140" s="72"/>
      <c r="AK140" s="73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</row>
    <row r="141" spans="2:70">
      <c r="AH141" s="124"/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140">
    <cfRule type="cellIs" dxfId="6" priority="1" stopIfTrue="1" operator="notBetween">
      <formula>$E6+$F6</formula>
      <formula>$E6+$G6</formula>
    </cfRule>
    <cfRule type="cellIs" dxfId="5" priority="2" operator="lessThan">
      <formula>$M6</formula>
    </cfRule>
    <cfRule type="cellIs" dxfId="4" priority="3" operator="greaterThan">
      <formula>$L6</formula>
    </cfRule>
  </conditionalFormatting>
  <conditionalFormatting sqref="AM25:BR30">
    <cfRule type="cellIs" dxfId="3" priority="6" operator="lessThan">
      <formula>$O25</formula>
    </cfRule>
    <cfRule type="cellIs" dxfId="2" priority="11" operator="greaterThan">
      <formula>$N25</formula>
    </cfRule>
  </conditionalFormatting>
  <conditionalFormatting sqref="AM62:BR67">
    <cfRule type="cellIs" dxfId="1" priority="4" operator="lessThan">
      <formula>$O62</formula>
    </cfRule>
    <cfRule type="cellIs" dxfId="0" priority="5" operator="greaterThan">
      <formula>$N62</formula>
    </cfRule>
  </conditionalFormatting>
  <dataValidations disablePrompts="1" count="2">
    <dataValidation type="list" allowBlank="1" showInputMessage="1" showErrorMessage="1" sqref="I6:I15" xr:uid="{01CA2B5B-A33F-D241-9110-448CCEAFB7EF}">
      <formula1>gauging</formula1>
    </dataValidation>
    <dataValidation type="list" allowBlank="1" showInputMessage="1" showErrorMessage="1" sqref="H6:H15" xr:uid="{A43B2927-A0B1-764A-A782-6614148E909F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2026-01-13T22:29:20Z</dcterms:modified>
</cp:coreProperties>
</file>