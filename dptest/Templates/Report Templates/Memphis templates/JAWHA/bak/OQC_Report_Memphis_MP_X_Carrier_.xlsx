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16578947-4BB1-4105-91F2-0B68D596CCB5}" xr6:coauthVersionLast="47" xr6:coauthVersionMax="47" xr10:uidLastSave="{00000000-0000-0000-0000-000000000000}"/>
  <bookViews>
    <workbookView xWindow="-120" yWindow="480" windowWidth="29040" windowHeight="15840" tabRatio="806" xr2:uid="{558B7DC1-779D-BB42-B43A-ED7A08375808}"/>
  </bookViews>
  <sheets>
    <sheet name="Waiver Summary" sheetId="5" r:id="rId1"/>
    <sheet name="Shipping Lot List" sheetId="25" r:id="rId2"/>
    <sheet name="FAI" sheetId="23" r:id="rId3"/>
    <sheet name="SPC" sheetId="22" r:id="rId4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1" hidden="1">'Shipping Lot List'!$B$1:$I$5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[0]!ㅂㅂㅂ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E10" i="5" s="1"/>
  <c r="T58" i="23"/>
  <c r="V58" i="23" s="1"/>
  <c r="S58" i="23"/>
  <c r="U58" i="23" s="1"/>
  <c r="R58" i="23"/>
  <c r="Q58" i="23"/>
  <c r="P58" i="23"/>
  <c r="O58" i="23"/>
  <c r="T57" i="23"/>
  <c r="V57" i="23" s="1"/>
  <c r="S57" i="23"/>
  <c r="U57" i="23" s="1"/>
  <c r="R57" i="23"/>
  <c r="Q57" i="23"/>
  <c r="P57" i="23"/>
  <c r="O57" i="23"/>
  <c r="T56" i="23"/>
  <c r="V56" i="23" s="1"/>
  <c r="S56" i="23"/>
  <c r="U56" i="23" s="1"/>
  <c r="R56" i="23"/>
  <c r="Q56" i="23"/>
  <c r="P56" i="23"/>
  <c r="O56" i="23"/>
  <c r="T55" i="23"/>
  <c r="V55" i="23" s="1"/>
  <c r="S55" i="23"/>
  <c r="U55" i="23" s="1"/>
  <c r="R55" i="23"/>
  <c r="Q55" i="23"/>
  <c r="P55" i="23"/>
  <c r="O55" i="23"/>
  <c r="T54" i="23"/>
  <c r="V54" i="23" s="1"/>
  <c r="S54" i="23"/>
  <c r="U54" i="23" s="1"/>
  <c r="R54" i="23"/>
  <c r="Q54" i="23"/>
  <c r="P54" i="23"/>
  <c r="O54" i="23"/>
  <c r="T53" i="23"/>
  <c r="V53" i="23" s="1"/>
  <c r="S53" i="23"/>
  <c r="U53" i="23" s="1"/>
  <c r="R53" i="23"/>
  <c r="Q53" i="23"/>
  <c r="P53" i="23"/>
  <c r="O53" i="23"/>
  <c r="V52" i="23"/>
  <c r="T52" i="23"/>
  <c r="S52" i="23"/>
  <c r="U52" i="23" s="1"/>
  <c r="R52" i="23"/>
  <c r="Q52" i="23"/>
  <c r="P52" i="23"/>
  <c r="O52" i="23"/>
  <c r="T51" i="23"/>
  <c r="V51" i="23" s="1"/>
  <c r="S51" i="23"/>
  <c r="U51" i="23" s="1"/>
  <c r="R51" i="23"/>
  <c r="Q51" i="23"/>
  <c r="P51" i="23"/>
  <c r="O51" i="23"/>
  <c r="T50" i="23"/>
  <c r="V50" i="23" s="1"/>
  <c r="S50" i="23"/>
  <c r="U50" i="23" s="1"/>
  <c r="R50" i="23"/>
  <c r="Q50" i="23"/>
  <c r="P50" i="23"/>
  <c r="O50" i="23"/>
  <c r="T49" i="23"/>
  <c r="V49" i="23" s="1"/>
  <c r="S49" i="23"/>
  <c r="U49" i="23" s="1"/>
  <c r="R49" i="23"/>
  <c r="Q49" i="23"/>
  <c r="P49" i="23"/>
  <c r="O49" i="23"/>
  <c r="T48" i="23"/>
  <c r="V48" i="23" s="1"/>
  <c r="S48" i="23"/>
  <c r="U48" i="23" s="1"/>
  <c r="R48" i="23"/>
  <c r="Q48" i="23"/>
  <c r="P48" i="23"/>
  <c r="O48" i="23"/>
  <c r="T47" i="23"/>
  <c r="V47" i="23" s="1"/>
  <c r="S47" i="23"/>
  <c r="U47" i="23" s="1"/>
  <c r="R47" i="23"/>
  <c r="Q47" i="23"/>
  <c r="P47" i="23"/>
  <c r="O47" i="23"/>
  <c r="T46" i="23"/>
  <c r="V46" i="23" s="1"/>
  <c r="S46" i="23"/>
  <c r="U46" i="23" s="1"/>
  <c r="R46" i="23"/>
  <c r="Q46" i="23"/>
  <c r="P46" i="23"/>
  <c r="O46" i="23"/>
  <c r="T45" i="23"/>
  <c r="V45" i="23" s="1"/>
  <c r="S45" i="23"/>
  <c r="U45" i="23" s="1"/>
  <c r="R45" i="23"/>
  <c r="Q45" i="23"/>
  <c r="P45" i="23"/>
  <c r="O45" i="23"/>
  <c r="T44" i="23"/>
  <c r="V44" i="23" s="1"/>
  <c r="S44" i="23"/>
  <c r="U44" i="23" s="1"/>
  <c r="R44" i="23"/>
  <c r="Q44" i="23"/>
  <c r="P44" i="23"/>
  <c r="O44" i="23"/>
  <c r="T43" i="23"/>
  <c r="V43" i="23" s="1"/>
  <c r="S43" i="23"/>
  <c r="U43" i="23" s="1"/>
  <c r="R43" i="23"/>
  <c r="Q43" i="23"/>
  <c r="P43" i="23"/>
  <c r="O43" i="23"/>
  <c r="T42" i="23"/>
  <c r="V42" i="23" s="1"/>
  <c r="S42" i="23"/>
  <c r="U42" i="23" s="1"/>
  <c r="R42" i="23"/>
  <c r="Q42" i="23"/>
  <c r="P42" i="23"/>
  <c r="O42" i="23"/>
  <c r="T41" i="23"/>
  <c r="V41" i="23" s="1"/>
  <c r="S41" i="23"/>
  <c r="U41" i="23" s="1"/>
  <c r="R41" i="23"/>
  <c r="Q41" i="23"/>
  <c r="P41" i="23"/>
  <c r="O41" i="23"/>
  <c r="T40" i="23"/>
  <c r="V40" i="23" s="1"/>
  <c r="S40" i="23"/>
  <c r="U40" i="23" s="1"/>
  <c r="R40" i="23"/>
  <c r="Q40" i="23"/>
  <c r="P40" i="23"/>
  <c r="O40" i="23"/>
  <c r="T39" i="23"/>
  <c r="V39" i="23" s="1"/>
  <c r="S39" i="23"/>
  <c r="U39" i="23"/>
  <c r="R39" i="23"/>
  <c r="Q39" i="23"/>
  <c r="P39" i="23"/>
  <c r="O39" i="23"/>
  <c r="T38" i="23"/>
  <c r="V38" i="23" s="1"/>
  <c r="S38" i="23"/>
  <c r="U38" i="23" s="1"/>
  <c r="R38" i="23"/>
  <c r="Q38" i="23"/>
  <c r="P38" i="23"/>
  <c r="O38" i="23"/>
  <c r="T37" i="23"/>
  <c r="V37" i="23" s="1"/>
  <c r="S37" i="23"/>
  <c r="U37" i="23" s="1"/>
  <c r="R37" i="23"/>
  <c r="Q37" i="23"/>
  <c r="P37" i="23"/>
  <c r="O37" i="23"/>
  <c r="T36" i="23"/>
  <c r="V36" i="23" s="1"/>
  <c r="S36" i="23"/>
  <c r="U36" i="23" s="1"/>
  <c r="R36" i="23"/>
  <c r="Q36" i="23"/>
  <c r="P36" i="23"/>
  <c r="O36" i="23"/>
  <c r="T35" i="23"/>
  <c r="V35" i="23" s="1"/>
  <c r="S35" i="23"/>
  <c r="U35" i="23" s="1"/>
  <c r="R35" i="23"/>
  <c r="Q35" i="23"/>
  <c r="P35" i="23"/>
  <c r="O35" i="23"/>
  <c r="T34" i="23"/>
  <c r="S34" i="23"/>
  <c r="R34" i="23"/>
  <c r="Q34" i="23"/>
  <c r="P34" i="23"/>
  <c r="O34" i="23"/>
  <c r="T33" i="23"/>
  <c r="V33" i="23"/>
  <c r="S33" i="23"/>
  <c r="U33" i="23" s="1"/>
  <c r="R33" i="23"/>
  <c r="Q33" i="23"/>
  <c r="P33" i="23"/>
  <c r="O33" i="23"/>
  <c r="T32" i="23"/>
  <c r="V32" i="23" s="1"/>
  <c r="S32" i="23"/>
  <c r="U32" i="23"/>
  <c r="R32" i="23"/>
  <c r="Q32" i="23"/>
  <c r="P32" i="23"/>
  <c r="O32" i="23"/>
  <c r="T31" i="23"/>
  <c r="V31" i="23"/>
  <c r="S31" i="23"/>
  <c r="U31" i="23" s="1"/>
  <c r="R31" i="23"/>
  <c r="Q31" i="23"/>
  <c r="P31" i="23"/>
  <c r="O31" i="23"/>
  <c r="T30" i="23"/>
  <c r="V30" i="23"/>
  <c r="S30" i="23"/>
  <c r="U30" i="23" s="1"/>
  <c r="R30" i="23"/>
  <c r="Q30" i="23"/>
  <c r="P30" i="23"/>
  <c r="O30" i="23"/>
  <c r="V29" i="23"/>
  <c r="T29" i="23"/>
  <c r="S29" i="23"/>
  <c r="U29" i="23" s="1"/>
  <c r="R29" i="23"/>
  <c r="Q29" i="23"/>
  <c r="P29" i="23"/>
  <c r="O29" i="23"/>
  <c r="V28" i="23"/>
  <c r="T28" i="23"/>
  <c r="S28" i="23"/>
  <c r="U28" i="23" s="1"/>
  <c r="R28" i="23"/>
  <c r="Q28" i="23"/>
  <c r="P28" i="23"/>
  <c r="O28" i="23"/>
  <c r="T27" i="23"/>
  <c r="V27" i="23"/>
  <c r="S27" i="23"/>
  <c r="U27" i="23" s="1"/>
  <c r="R27" i="23"/>
  <c r="Q27" i="23"/>
  <c r="P27" i="23"/>
  <c r="O27" i="23"/>
  <c r="T26" i="23"/>
  <c r="V26" i="23"/>
  <c r="S26" i="23"/>
  <c r="U26" i="23"/>
  <c r="R26" i="23"/>
  <c r="Q26" i="23"/>
  <c r="P26" i="23"/>
  <c r="O26" i="23"/>
  <c r="T25" i="23"/>
  <c r="V25" i="23"/>
  <c r="S25" i="23"/>
  <c r="U25" i="23" s="1"/>
  <c r="R25" i="23"/>
  <c r="Q25" i="23"/>
  <c r="P25" i="23"/>
  <c r="O25" i="23"/>
  <c r="T24" i="23"/>
  <c r="V24" i="23" s="1"/>
  <c r="S24" i="23"/>
  <c r="U24" i="23" s="1"/>
  <c r="R24" i="23"/>
  <c r="Q24" i="23"/>
  <c r="P24" i="23"/>
  <c r="O24" i="23"/>
  <c r="T23" i="23"/>
  <c r="V23" i="23" s="1"/>
  <c r="S23" i="23"/>
  <c r="U23" i="23" s="1"/>
  <c r="R23" i="23"/>
  <c r="Q23" i="23"/>
  <c r="P23" i="23"/>
  <c r="O23" i="23"/>
  <c r="T22" i="23"/>
  <c r="V22" i="23" s="1"/>
  <c r="S22" i="23"/>
  <c r="U22" i="23" s="1"/>
  <c r="R22" i="23"/>
  <c r="Q22" i="23"/>
  <c r="P22" i="23"/>
  <c r="O22" i="23"/>
  <c r="T21" i="23"/>
  <c r="V21" i="23" s="1"/>
  <c r="S21" i="23"/>
  <c r="U21" i="23" s="1"/>
  <c r="R21" i="23"/>
  <c r="Q21" i="23"/>
  <c r="P21" i="23"/>
  <c r="O21" i="23"/>
  <c r="T20" i="23"/>
  <c r="V20" i="23"/>
  <c r="S20" i="23"/>
  <c r="U20" i="23" s="1"/>
  <c r="R20" i="23"/>
  <c r="Q20" i="23"/>
  <c r="P20" i="23"/>
  <c r="O20" i="23"/>
  <c r="T19" i="23"/>
  <c r="V19" i="23"/>
  <c r="S19" i="23"/>
  <c r="U19" i="23" s="1"/>
  <c r="R19" i="23"/>
  <c r="Q19" i="23"/>
  <c r="P19" i="23"/>
  <c r="O19" i="23"/>
  <c r="T18" i="23"/>
  <c r="V18" i="23"/>
  <c r="S18" i="23"/>
  <c r="U18" i="23" s="1"/>
  <c r="R18" i="23"/>
  <c r="Q18" i="23"/>
  <c r="P18" i="23"/>
  <c r="O18" i="23"/>
  <c r="T17" i="23"/>
  <c r="V17" i="23"/>
  <c r="S17" i="23"/>
  <c r="U17" i="23" s="1"/>
  <c r="R17" i="23"/>
  <c r="Q17" i="23"/>
  <c r="P17" i="23"/>
  <c r="O17" i="23"/>
  <c r="T16" i="23"/>
  <c r="V16" i="23"/>
  <c r="S16" i="23"/>
  <c r="U16" i="23"/>
  <c r="R16" i="23"/>
  <c r="Q16" i="23"/>
  <c r="P16" i="23"/>
  <c r="O16" i="23"/>
  <c r="T15" i="23"/>
  <c r="V15" i="23" s="1"/>
  <c r="S15" i="23"/>
  <c r="U15" i="23" s="1"/>
  <c r="R15" i="23"/>
  <c r="Q15" i="23"/>
  <c r="P15" i="23"/>
  <c r="O15" i="23"/>
  <c r="T14" i="23"/>
  <c r="V14" i="23"/>
  <c r="S14" i="23"/>
  <c r="U14" i="23" s="1"/>
  <c r="R14" i="23"/>
  <c r="Q14" i="23"/>
  <c r="P14" i="23"/>
  <c r="O14" i="23"/>
  <c r="V13" i="23"/>
  <c r="T13" i="23"/>
  <c r="S13" i="23"/>
  <c r="U13" i="23" s="1"/>
  <c r="R13" i="23"/>
  <c r="Q13" i="23"/>
  <c r="P13" i="23"/>
  <c r="O13" i="23"/>
  <c r="V12" i="23"/>
  <c r="T12" i="23"/>
  <c r="S12" i="23"/>
  <c r="U12" i="23"/>
  <c r="R12" i="23"/>
  <c r="Q12" i="23"/>
  <c r="P12" i="23"/>
  <c r="O12" i="23"/>
  <c r="T11" i="23"/>
  <c r="V11" i="23"/>
  <c r="S11" i="23"/>
  <c r="U11" i="23" s="1"/>
  <c r="R11" i="23"/>
  <c r="Q11" i="23"/>
  <c r="P11" i="23"/>
  <c r="O11" i="23"/>
  <c r="T10" i="23"/>
  <c r="V10" i="23"/>
  <c r="S10" i="23"/>
  <c r="U10" i="23"/>
  <c r="R10" i="23"/>
  <c r="Q10" i="23"/>
  <c r="P10" i="23"/>
  <c r="O10" i="23"/>
  <c r="T9" i="23"/>
  <c r="V9" i="23"/>
  <c r="S9" i="23"/>
  <c r="U9" i="23" s="1"/>
  <c r="R9" i="23"/>
  <c r="Q9" i="23"/>
  <c r="P9" i="23"/>
  <c r="O9" i="23"/>
  <c r="T8" i="23"/>
  <c r="V8" i="23" s="1"/>
  <c r="S8" i="23"/>
  <c r="U8" i="23" s="1"/>
  <c r="R8" i="23"/>
  <c r="Q8" i="23"/>
  <c r="P8" i="23"/>
  <c r="O8" i="23"/>
  <c r="T7" i="23"/>
  <c r="V7" i="23" s="1"/>
  <c r="S7" i="23"/>
  <c r="U7" i="23" s="1"/>
  <c r="R7" i="23"/>
  <c r="Q7" i="23"/>
  <c r="P7" i="23"/>
  <c r="O7" i="23"/>
  <c r="T6" i="23"/>
  <c r="V6" i="23" s="1"/>
  <c r="S6" i="23"/>
  <c r="U6" i="23" s="1"/>
  <c r="R6" i="23"/>
  <c r="Q6" i="23"/>
  <c r="P6" i="23"/>
  <c r="O6" i="23"/>
  <c r="AC145" i="22"/>
  <c r="AB145" i="22"/>
  <c r="AE145" i="22"/>
  <c r="AD145" i="22"/>
  <c r="AC144" i="22"/>
  <c r="AB144" i="22"/>
  <c r="AE144" i="22"/>
  <c r="AD144" i="22"/>
  <c r="AE143" i="22"/>
  <c r="AD143" i="22"/>
  <c r="AE142" i="22"/>
  <c r="AD142" i="22"/>
  <c r="AC141" i="22"/>
  <c r="AB141" i="22"/>
  <c r="AE141" i="22"/>
  <c r="AD141" i="22"/>
  <c r="AC140" i="22"/>
  <c r="AE140" i="22"/>
  <c r="AD140" i="22"/>
  <c r="AE139" i="22"/>
  <c r="AD139" i="22"/>
  <c r="AC138" i="22"/>
  <c r="AE138" i="22"/>
  <c r="AD138" i="22"/>
  <c r="AC137" i="22"/>
  <c r="AB137" i="22"/>
  <c r="AE137" i="22"/>
  <c r="AD137" i="22"/>
  <c r="AC136" i="22"/>
  <c r="AE136" i="22"/>
  <c r="AD136" i="22"/>
  <c r="AE135" i="22"/>
  <c r="AE134" i="22"/>
  <c r="AC133" i="22"/>
  <c r="AB133" i="22"/>
  <c r="AD133" i="22"/>
  <c r="AC132" i="22"/>
  <c r="AE132" i="22"/>
  <c r="AD132" i="22"/>
  <c r="AC131" i="22"/>
  <c r="AB131" i="22"/>
  <c r="AE131" i="22"/>
  <c r="AD131" i="22"/>
  <c r="AC130" i="22"/>
  <c r="AE130" i="22"/>
  <c r="AD130" i="22"/>
  <c r="AE129" i="22"/>
  <c r="AC128" i="22"/>
  <c r="AE128" i="22"/>
  <c r="AD128" i="22"/>
  <c r="AC127" i="22"/>
  <c r="AB127" i="22"/>
  <c r="AE127" i="22"/>
  <c r="AD127" i="22"/>
  <c r="AE126" i="22"/>
  <c r="AC126" i="22"/>
  <c r="AB126" i="22"/>
  <c r="AD126" i="22"/>
  <c r="AE125" i="22"/>
  <c r="AC125" i="22"/>
  <c r="AD125" i="22"/>
  <c r="AE124" i="22"/>
  <c r="AD124" i="22"/>
  <c r="AC124" i="22"/>
  <c r="AB124" i="22"/>
  <c r="AD123" i="22"/>
  <c r="AC123" i="22"/>
  <c r="AB123" i="22"/>
  <c r="AE122" i="22"/>
  <c r="AD122" i="22"/>
  <c r="AC122" i="22"/>
  <c r="AB122" i="22"/>
  <c r="AE121" i="22"/>
  <c r="AD121" i="22"/>
  <c r="AC121" i="22"/>
  <c r="AB121" i="22"/>
  <c r="AD120" i="22"/>
  <c r="AC120" i="22"/>
  <c r="AB120" i="22"/>
  <c r="AE119" i="22"/>
  <c r="AD119" i="22"/>
  <c r="AC119" i="22"/>
  <c r="AB119" i="22"/>
  <c r="AD118" i="22"/>
  <c r="AC118" i="22"/>
  <c r="AB118" i="22"/>
  <c r="AD117" i="22"/>
  <c r="AC117" i="22"/>
  <c r="AB117" i="22"/>
  <c r="AE117" i="22"/>
  <c r="AC116" i="22"/>
  <c r="AE116" i="22"/>
  <c r="AD116" i="22"/>
  <c r="AE115" i="22"/>
  <c r="AD115" i="22"/>
  <c r="AC115" i="22"/>
  <c r="AD114" i="22"/>
  <c r="AC114" i="22"/>
  <c r="AB114" i="22"/>
  <c r="AE114" i="22"/>
  <c r="AE113" i="22"/>
  <c r="AD113" i="22"/>
  <c r="AC113" i="22"/>
  <c r="AB113" i="22"/>
  <c r="AB112" i="22"/>
  <c r="AE112" i="22"/>
  <c r="AE111" i="22"/>
  <c r="AD111" i="22"/>
  <c r="AC111" i="22"/>
  <c r="AB111" i="22"/>
  <c r="AD110" i="22"/>
  <c r="AC110" i="22"/>
  <c r="AB110" i="22"/>
  <c r="AE110" i="22"/>
  <c r="AE109" i="22"/>
  <c r="AD109" i="22"/>
  <c r="AC109" i="22"/>
  <c r="AB109" i="22"/>
  <c r="AE108" i="22"/>
  <c r="AD108" i="22"/>
  <c r="AC108" i="22"/>
  <c r="AB108" i="22"/>
  <c r="AD107" i="22"/>
  <c r="AC107" i="22"/>
  <c r="AB107" i="22"/>
  <c r="AE107" i="22"/>
  <c r="AE106" i="22"/>
  <c r="AD106" i="22"/>
  <c r="AC106" i="22"/>
  <c r="AB106" i="22"/>
  <c r="AD105" i="22"/>
  <c r="AC105" i="22"/>
  <c r="AB105" i="22"/>
  <c r="AE105" i="22"/>
  <c r="AD104" i="22"/>
  <c r="AC104" i="22"/>
  <c r="AB104" i="22"/>
  <c r="AE104" i="22"/>
  <c r="AE103" i="22"/>
  <c r="AD103" i="22"/>
  <c r="AC103" i="22"/>
  <c r="AB103" i="22"/>
  <c r="AD102" i="22"/>
  <c r="AC102" i="22"/>
  <c r="AB102" i="22"/>
  <c r="AE102" i="22"/>
  <c r="AD101" i="22"/>
  <c r="AC101" i="22"/>
  <c r="AB101" i="22"/>
  <c r="AE99" i="22"/>
  <c r="AD99" i="22"/>
  <c r="AC99" i="22"/>
  <c r="AB99" i="22"/>
  <c r="AD98" i="22"/>
  <c r="AE97" i="22"/>
  <c r="AE96" i="22"/>
  <c r="AD96" i="22"/>
  <c r="AC96" i="22"/>
  <c r="AB96" i="22"/>
  <c r="AD95" i="22"/>
  <c r="AC95" i="22"/>
  <c r="AB95" i="22"/>
  <c r="AE95" i="22"/>
  <c r="AD94" i="22"/>
  <c r="AC94" i="22"/>
  <c r="AB94" i="22"/>
  <c r="AE94" i="22"/>
  <c r="AD93" i="22"/>
  <c r="AC93" i="22"/>
  <c r="AB93" i="22"/>
  <c r="AE93" i="22"/>
  <c r="AD92" i="22"/>
  <c r="AC92" i="22"/>
  <c r="AE92" i="22"/>
  <c r="AB92" i="22"/>
  <c r="AD91" i="22"/>
  <c r="AC91" i="22"/>
  <c r="AE91" i="22"/>
  <c r="AB91" i="22"/>
  <c r="AD90" i="22"/>
  <c r="AE90" i="22"/>
  <c r="AB90" i="22"/>
  <c r="AD89" i="22"/>
  <c r="AE89" i="22"/>
  <c r="AB89" i="22"/>
  <c r="AD88" i="22"/>
  <c r="AB88" i="22"/>
  <c r="AD87" i="22"/>
  <c r="AB87" i="22"/>
  <c r="AD86" i="22"/>
  <c r="AE86" i="22"/>
  <c r="AB86" i="22"/>
  <c r="AD85" i="22"/>
  <c r="AD84" i="22"/>
  <c r="AD83" i="22"/>
  <c r="AC83" i="22"/>
  <c r="AB82" i="22"/>
  <c r="AB80" i="22"/>
  <c r="AB79" i="22"/>
  <c r="AB78" i="22"/>
  <c r="AB77" i="22"/>
  <c r="AC75" i="22"/>
  <c r="AC74" i="22"/>
  <c r="AD73" i="22"/>
  <c r="AC72" i="22"/>
  <c r="AB72" i="22"/>
  <c r="AD71" i="22"/>
  <c r="AC71" i="22"/>
  <c r="AD70" i="22"/>
  <c r="AC70" i="22"/>
  <c r="AB68" i="22"/>
  <c r="AB67" i="22"/>
  <c r="AB65" i="22"/>
  <c r="AB64" i="22"/>
  <c r="AB62" i="22"/>
  <c r="AB60" i="22"/>
  <c r="AB59" i="22"/>
  <c r="AB57" i="22"/>
  <c r="AB56" i="22"/>
  <c r="AB54" i="22"/>
  <c r="AB53" i="22"/>
  <c r="AB52" i="22"/>
  <c r="AB51" i="22"/>
  <c r="AB50" i="22"/>
  <c r="AD47" i="22"/>
  <c r="AC47" i="22"/>
  <c r="AB47" i="22"/>
  <c r="AD44" i="22"/>
  <c r="AC44" i="22"/>
  <c r="AB44" i="22"/>
  <c r="AD43" i="22"/>
  <c r="AD41" i="22"/>
  <c r="AC41" i="22"/>
  <c r="AB41" i="22"/>
  <c r="AD40" i="22"/>
  <c r="AC40" i="22"/>
  <c r="AD39" i="22"/>
  <c r="AC39" i="22"/>
  <c r="AB39" i="22"/>
  <c r="AD36" i="22"/>
  <c r="AC36" i="22"/>
  <c r="AB36" i="22"/>
  <c r="AC32" i="22"/>
  <c r="AB32" i="22"/>
  <c r="AC31" i="22"/>
  <c r="AB31" i="22"/>
  <c r="AC30" i="22"/>
  <c r="AB30" i="22"/>
  <c r="AG24" i="22"/>
  <c r="V24" i="22"/>
  <c r="W24" i="22" s="1"/>
  <c r="T24" i="22"/>
  <c r="X24" i="22" s="1"/>
  <c r="U24" i="22"/>
  <c r="AE24" i="22" s="1"/>
  <c r="S24" i="22"/>
  <c r="AC24" i="22" s="1"/>
  <c r="R24" i="22"/>
  <c r="Q24" i="22"/>
  <c r="AG23" i="22"/>
  <c r="V23" i="22"/>
  <c r="W23" i="22" s="1"/>
  <c r="T23" i="22"/>
  <c r="U23" i="22" s="1"/>
  <c r="S23" i="22"/>
  <c r="AC23" i="22" s="1"/>
  <c r="R23" i="22"/>
  <c r="Q23" i="22"/>
  <c r="AG22" i="22"/>
  <c r="V22" i="22"/>
  <c r="W22" i="22" s="1"/>
  <c r="T22" i="22"/>
  <c r="X22" i="22" s="1"/>
  <c r="U22" i="22"/>
  <c r="AE22" i="22" s="1"/>
  <c r="S22" i="22"/>
  <c r="AD22" i="22" s="1"/>
  <c r="R22" i="22"/>
  <c r="Q22" i="22"/>
  <c r="AG21" i="22"/>
  <c r="V21" i="22"/>
  <c r="W21" i="22" s="1"/>
  <c r="T21" i="22"/>
  <c r="U21" i="22"/>
  <c r="S21" i="22"/>
  <c r="AC21" i="22" s="1"/>
  <c r="R21" i="22"/>
  <c r="Q21" i="22"/>
  <c r="AG20" i="22"/>
  <c r="V20" i="22"/>
  <c r="W20" i="22" s="1"/>
  <c r="T20" i="22"/>
  <c r="U20" i="22" s="1"/>
  <c r="S20" i="22"/>
  <c r="AC20" i="22" s="1"/>
  <c r="R20" i="22"/>
  <c r="Q20" i="22"/>
  <c r="AG19" i="22"/>
  <c r="V19" i="22"/>
  <c r="W19" i="22" s="1"/>
  <c r="T19" i="22"/>
  <c r="U19" i="22"/>
  <c r="S19" i="22"/>
  <c r="AB19" i="22" s="1"/>
  <c r="R19" i="22"/>
  <c r="Q19" i="22"/>
  <c r="AG18" i="22"/>
  <c r="V18" i="22"/>
  <c r="W18" i="22" s="1"/>
  <c r="T18" i="22"/>
  <c r="U18" i="22"/>
  <c r="S18" i="22"/>
  <c r="AB18" i="22" s="1"/>
  <c r="R18" i="22"/>
  <c r="Q18" i="22"/>
  <c r="AG17" i="22"/>
  <c r="V17" i="22"/>
  <c r="W17" i="22" s="1"/>
  <c r="T17" i="22"/>
  <c r="U17" i="22"/>
  <c r="AE17" i="22"/>
  <c r="S17" i="22"/>
  <c r="AC17" i="22" s="1"/>
  <c r="R17" i="22"/>
  <c r="Q17" i="22"/>
  <c r="AG16" i="22"/>
  <c r="V16" i="22"/>
  <c r="W16" i="22" s="1"/>
  <c r="T16" i="22"/>
  <c r="U16" i="22" s="1"/>
  <c r="AE16" i="22" s="1"/>
  <c r="S16" i="22"/>
  <c r="AD16" i="22" s="1"/>
  <c r="R16" i="22"/>
  <c r="Q16" i="22"/>
  <c r="AG15" i="22"/>
  <c r="V15" i="22"/>
  <c r="W15" i="22" s="1"/>
  <c r="T15" i="22"/>
  <c r="U15" i="22" s="1"/>
  <c r="AE15" i="22" s="1"/>
  <c r="S15" i="22"/>
  <c r="AC15" i="22" s="1"/>
  <c r="R15" i="22"/>
  <c r="Q15" i="22"/>
  <c r="AG14" i="22"/>
  <c r="V14" i="22"/>
  <c r="W14" i="22" s="1"/>
  <c r="T14" i="22"/>
  <c r="U14" i="22" s="1"/>
  <c r="AE14" i="22" s="1"/>
  <c r="S14" i="22"/>
  <c r="AB14" i="22" s="1"/>
  <c r="R14" i="22"/>
  <c r="Q14" i="22"/>
  <c r="AG13" i="22"/>
  <c r="V13" i="22"/>
  <c r="W13" i="22" s="1"/>
  <c r="T13" i="22"/>
  <c r="Y13" i="22"/>
  <c r="S13" i="22"/>
  <c r="AC13" i="22" s="1"/>
  <c r="R13" i="22"/>
  <c r="Q13" i="22"/>
  <c r="AG12" i="22"/>
  <c r="V12" i="22"/>
  <c r="W12" i="22" s="1"/>
  <c r="T12" i="22"/>
  <c r="Y12" i="22"/>
  <c r="S12" i="22"/>
  <c r="AD12" i="22" s="1"/>
  <c r="R12" i="22"/>
  <c r="Q12" i="22"/>
  <c r="AG11" i="22"/>
  <c r="V11" i="22"/>
  <c r="W11" i="22" s="1"/>
  <c r="T11" i="22"/>
  <c r="S11" i="22"/>
  <c r="AD11" i="22" s="1"/>
  <c r="R11" i="22"/>
  <c r="Q11" i="22"/>
  <c r="AG10" i="22"/>
  <c r="V10" i="22"/>
  <c r="W10" i="22" s="1"/>
  <c r="T10" i="22"/>
  <c r="S10" i="22"/>
  <c r="AB10" i="22" s="1"/>
  <c r="R10" i="22"/>
  <c r="Q10" i="22"/>
  <c r="AG9" i="22"/>
  <c r="V9" i="22"/>
  <c r="W9" i="22" s="1"/>
  <c r="T9" i="22"/>
  <c r="U9" i="22"/>
  <c r="S9" i="22"/>
  <c r="AB9" i="22" s="1"/>
  <c r="R9" i="22"/>
  <c r="Q9" i="22"/>
  <c r="AG8" i="22"/>
  <c r="V8" i="22"/>
  <c r="W8" i="22" s="1"/>
  <c r="T8" i="22"/>
  <c r="U8" i="22" s="1"/>
  <c r="S8" i="22"/>
  <c r="AB8" i="22" s="1"/>
  <c r="R8" i="22"/>
  <c r="Q8" i="22"/>
  <c r="AG7" i="22"/>
  <c r="V7" i="22"/>
  <c r="W7" i="22" s="1"/>
  <c r="T7" i="22"/>
  <c r="U7" i="22"/>
  <c r="S7" i="22"/>
  <c r="AC7" i="22" s="1"/>
  <c r="R7" i="22"/>
  <c r="Q7" i="22"/>
  <c r="AG6" i="22"/>
  <c r="V6" i="22"/>
  <c r="W6" i="22" s="1"/>
  <c r="T6" i="22"/>
  <c r="S6" i="22"/>
  <c r="AD6" i="22" s="1"/>
  <c r="R6" i="22"/>
  <c r="Q6" i="22"/>
  <c r="Y24" i="22"/>
  <c r="X18" i="22"/>
  <c r="X10" i="22"/>
  <c r="U10" i="22"/>
  <c r="Y10" i="22"/>
  <c r="Y8" i="22"/>
  <c r="Y23" i="22"/>
  <c r="X20" i="22"/>
  <c r="AE88" i="22"/>
  <c r="AE87" i="22"/>
  <c r="AC43" i="22"/>
  <c r="AB43" i="22"/>
  <c r="AE33" i="22"/>
  <c r="AC33" i="22"/>
  <c r="AB33" i="22"/>
  <c r="AB34" i="22"/>
  <c r="AC35" i="22"/>
  <c r="AB35" i="22"/>
  <c r="AC42" i="22"/>
  <c r="AE45" i="22"/>
  <c r="AD45" i="22"/>
  <c r="AD46" i="22"/>
  <c r="AC46" i="22"/>
  <c r="AB46" i="22"/>
  <c r="AE37" i="22"/>
  <c r="AD37" i="22"/>
  <c r="AE38" i="22"/>
  <c r="AD38" i="22"/>
  <c r="AC38" i="22"/>
  <c r="AB38" i="22"/>
  <c r="AD49" i="22"/>
  <c r="AC49" i="22"/>
  <c r="AB49" i="22"/>
  <c r="AD58" i="22"/>
  <c r="AC58" i="22"/>
  <c r="AE58" i="22"/>
  <c r="AB58" i="22"/>
  <c r="AD33" i="22"/>
  <c r="AC34" i="22"/>
  <c r="AD35" i="22"/>
  <c r="AB45" i="22"/>
  <c r="X19" i="22"/>
  <c r="AD34" i="22"/>
  <c r="AB37" i="22"/>
  <c r="AB42" i="22"/>
  <c r="AC45" i="22"/>
  <c r="AC37" i="22"/>
  <c r="AD42" i="22"/>
  <c r="X23" i="22"/>
  <c r="AD50" i="22"/>
  <c r="AC50" i="22"/>
  <c r="AD55" i="22"/>
  <c r="AC55" i="22"/>
  <c r="AE55" i="22"/>
  <c r="AD63" i="22"/>
  <c r="AC63" i="22"/>
  <c r="AE63" i="22"/>
  <c r="AD66" i="22"/>
  <c r="AC66" i="22"/>
  <c r="AB66" i="22"/>
  <c r="AD60" i="22"/>
  <c r="AC60" i="22"/>
  <c r="AE60" i="22"/>
  <c r="AE30" i="22"/>
  <c r="AD30" i="22"/>
  <c r="AD31" i="22"/>
  <c r="AE36" i="22"/>
  <c r="AE44" i="22"/>
  <c r="AE47" i="22"/>
  <c r="AB55" i="22"/>
  <c r="AD57" i="22"/>
  <c r="AC57" i="22"/>
  <c r="AE57" i="22"/>
  <c r="AB63" i="22"/>
  <c r="AD32" i="22"/>
  <c r="AB40" i="22"/>
  <c r="AD48" i="22"/>
  <c r="AC48" i="22"/>
  <c r="AD61" i="22"/>
  <c r="AC61" i="22"/>
  <c r="AD69" i="22"/>
  <c r="AD68" i="22"/>
  <c r="AC68" i="22"/>
  <c r="AE68" i="22"/>
  <c r="AD65" i="22"/>
  <c r="AC65" i="22"/>
  <c r="AD54" i="22"/>
  <c r="AC54" i="22"/>
  <c r="AD62" i="22"/>
  <c r="AC62" i="22"/>
  <c r="AD51" i="22"/>
  <c r="AC51" i="22"/>
  <c r="AD52" i="22"/>
  <c r="AC52" i="22"/>
  <c r="AD53" i="22"/>
  <c r="AC53" i="22"/>
  <c r="AD59" i="22"/>
  <c r="AC59" i="22"/>
  <c r="AD67" i="22"/>
  <c r="AC67" i="22"/>
  <c r="AB69" i="22"/>
  <c r="AE72" i="22"/>
  <c r="AD72" i="22"/>
  <c r="AB48" i="22"/>
  <c r="AD56" i="22"/>
  <c r="AC56" i="22"/>
  <c r="AB61" i="22"/>
  <c r="AD64" i="22"/>
  <c r="AC64" i="22"/>
  <c r="AC69" i="22"/>
  <c r="AE71" i="22"/>
  <c r="AB71" i="22"/>
  <c r="AE81" i="22"/>
  <c r="AD81" i="22"/>
  <c r="AC81" i="22"/>
  <c r="AE80" i="22"/>
  <c r="AD80" i="22"/>
  <c r="AC80" i="22"/>
  <c r="AD76" i="22"/>
  <c r="AB76" i="22"/>
  <c r="AC76" i="22"/>
  <c r="AD79" i="22"/>
  <c r="AC79" i="22"/>
  <c r="AB83" i="22"/>
  <c r="AB85" i="22"/>
  <c r="AC85" i="22"/>
  <c r="AE85" i="22"/>
  <c r="AB70" i="22"/>
  <c r="AD75" i="22"/>
  <c r="AB75" i="22"/>
  <c r="AE77" i="22"/>
  <c r="AD77" i="22"/>
  <c r="AC77" i="22"/>
  <c r="AB84" i="22"/>
  <c r="AC84" i="22"/>
  <c r="AB73" i="22"/>
  <c r="AE78" i="22"/>
  <c r="AD78" i="22"/>
  <c r="AC78" i="22"/>
  <c r="AD82" i="22"/>
  <c r="AC82" i="22"/>
  <c r="AC73" i="22"/>
  <c r="AD74" i="22"/>
  <c r="AB74" i="22"/>
  <c r="AB81" i="22"/>
  <c r="AB98" i="22"/>
  <c r="AC98" i="22"/>
  <c r="AE101" i="22"/>
  <c r="AE98" i="22"/>
  <c r="AD100" i="22"/>
  <c r="AC100" i="22"/>
  <c r="AB100" i="22"/>
  <c r="AE100" i="22"/>
  <c r="AD97" i="22"/>
  <c r="AC97" i="22"/>
  <c r="AB97" i="22"/>
  <c r="AC86" i="22"/>
  <c r="AC87" i="22"/>
  <c r="AC88" i="22"/>
  <c r="AC89" i="22"/>
  <c r="AC90" i="22"/>
  <c r="AE118" i="22"/>
  <c r="AD112" i="22"/>
  <c r="AC112" i="22"/>
  <c r="AB116" i="22"/>
  <c r="AE120" i="22"/>
  <c r="AE123" i="22"/>
  <c r="AD129" i="22"/>
  <c r="AC129" i="22"/>
  <c r="AB129" i="22"/>
  <c r="AD134" i="22"/>
  <c r="AB134" i="22"/>
  <c r="AC134" i="22"/>
  <c r="AE133" i="22"/>
  <c r="AD135" i="22"/>
  <c r="AC135" i="22"/>
  <c r="AB135" i="22"/>
  <c r="AB115" i="22"/>
  <c r="AB130" i="22"/>
  <c r="AB138" i="22"/>
  <c r="AB142" i="22"/>
  <c r="AC142" i="22"/>
  <c r="AB139" i="22"/>
  <c r="AB143" i="22"/>
  <c r="AC139" i="22"/>
  <c r="AC143" i="22"/>
  <c r="AB125" i="22"/>
  <c r="AB128" i="22"/>
  <c r="AB132" i="22"/>
  <c r="AB136" i="22"/>
  <c r="AB140" i="22"/>
  <c r="Z10" i="22"/>
  <c r="AA10" i="22" s="1"/>
  <c r="AE82" i="22"/>
  <c r="AE73" i="22"/>
  <c r="AE83" i="22"/>
  <c r="AE79" i="22"/>
  <c r="AE31" i="22"/>
  <c r="AE75" i="22"/>
  <c r="AE64" i="22"/>
  <c r="AE59" i="22"/>
  <c r="AE61" i="22"/>
  <c r="AE35" i="22"/>
  <c r="AE40" i="22"/>
  <c r="AE46" i="22"/>
  <c r="AE70" i="22"/>
  <c r="AE54" i="22"/>
  <c r="AE69" i="22"/>
  <c r="AE52" i="22"/>
  <c r="AE84" i="22"/>
  <c r="AE48" i="22"/>
  <c r="AE34" i="22"/>
  <c r="AE51" i="22"/>
  <c r="AE49" i="22"/>
  <c r="AE32" i="22"/>
  <c r="AE67" i="22"/>
  <c r="AE42" i="22"/>
  <c r="AE76" i="22"/>
  <c r="AE53" i="22"/>
  <c r="AE56" i="22"/>
  <c r="AE41" i="22"/>
  <c r="AE62" i="22"/>
  <c r="AE43" i="22"/>
  <c r="AE66" i="22"/>
  <c r="AE50" i="22"/>
  <c r="AE74" i="22"/>
  <c r="AE65" i="22"/>
  <c r="AE39" i="22"/>
  <c r="AE21" i="22" l="1"/>
  <c r="AB22" i="22"/>
  <c r="AB24" i="22"/>
  <c r="AC16" i="22"/>
  <c r="AE7" i="22"/>
  <c r="AD18" i="22"/>
  <c r="AC11" i="22"/>
  <c r="AE19" i="22"/>
  <c r="AD14" i="22"/>
  <c r="AE18" i="22"/>
  <c r="AD23" i="22"/>
  <c r="AD20" i="22"/>
  <c r="AB20" i="22"/>
  <c r="AB7" i="22"/>
  <c r="Y11" i="22"/>
  <c r="Z24" i="22"/>
  <c r="AA24" i="22" s="1"/>
  <c r="AD15" i="22"/>
  <c r="Z23" i="22"/>
  <c r="AA23" i="22" s="1"/>
  <c r="AB11" i="22"/>
  <c r="X15" i="22"/>
  <c r="AC12" i="22"/>
  <c r="Y15" i="22"/>
  <c r="Y7" i="22"/>
  <c r="Z7" i="22" s="1"/>
  <c r="AA7" i="22" s="1"/>
  <c r="X17" i="22"/>
  <c r="Y21" i="22"/>
  <c r="Y14" i="22"/>
  <c r="Y18" i="22"/>
  <c r="Z18" i="22" s="1"/>
  <c r="AA18" i="22" s="1"/>
  <c r="Y20" i="22"/>
  <c r="Z20" i="22" s="1"/>
  <c r="AA20" i="22" s="1"/>
  <c r="AC22" i="22"/>
  <c r="AB15" i="22"/>
  <c r="AD9" i="22"/>
  <c r="X11" i="22"/>
  <c r="Z11" i="22" s="1"/>
  <c r="X7" i="22"/>
  <c r="X21" i="22"/>
  <c r="X12" i="22"/>
  <c r="U12" i="22" s="1"/>
  <c r="AE12" i="22" s="1"/>
  <c r="Y6" i="22"/>
  <c r="AE20" i="22"/>
  <c r="AE9" i="22"/>
  <c r="AB23" i="22"/>
  <c r="AD8" i="22"/>
  <c r="AD21" i="22"/>
  <c r="AB16" i="22"/>
  <c r="Y16" i="22"/>
  <c r="AC8" i="22"/>
  <c r="Z12" i="22"/>
  <c r="AA12" i="22" s="1"/>
  <c r="U11" i="22"/>
  <c r="AE11" i="22" s="1"/>
  <c r="AE6" i="22"/>
  <c r="AE23" i="22"/>
  <c r="Y17" i="22"/>
  <c r="AB6" i="22"/>
  <c r="AC6" i="22"/>
  <c r="Y9" i="22"/>
  <c r="AE10" i="22"/>
  <c r="AC18" i="22"/>
  <c r="X14" i="22"/>
  <c r="Z14" i="22" s="1"/>
  <c r="AA14" i="22" s="1"/>
  <c r="Y19" i="22"/>
  <c r="Z19" i="22" s="1"/>
  <c r="AA19" i="22" s="1"/>
  <c r="X6" i="22"/>
  <c r="Z6" i="22" s="1"/>
  <c r="AA6" i="22" s="1"/>
  <c r="X8" i="22"/>
  <c r="Z8" i="22" s="1"/>
  <c r="AA8" i="22" s="1"/>
  <c r="Z13" i="22"/>
  <c r="AA13" i="22" s="1"/>
  <c r="AC14" i="22"/>
  <c r="AE8" i="22"/>
  <c r="U6" i="22"/>
  <c r="AD19" i="22"/>
  <c r="X13" i="22"/>
  <c r="U13" i="22" s="1"/>
  <c r="AE13" i="22" s="1"/>
  <c r="X16" i="22"/>
  <c r="X9" i="22"/>
  <c r="Z9" i="22" s="1"/>
  <c r="AA9" i="22" s="1"/>
  <c r="AC19" i="22"/>
  <c r="Y22" i="22"/>
  <c r="Z22" i="22" s="1"/>
  <c r="AA22" i="22" s="1"/>
  <c r="AB12" i="22"/>
  <c r="AD13" i="22"/>
  <c r="AC10" i="22"/>
  <c r="AB21" i="22"/>
  <c r="AD7" i="22"/>
  <c r="AB13" i="22"/>
  <c r="AD17" i="22"/>
  <c r="AD10" i="22"/>
  <c r="AC9" i="22"/>
  <c r="AB17" i="22"/>
  <c r="AD24" i="22"/>
  <c r="Z17" i="22" l="1"/>
  <c r="AA17" i="22" s="1"/>
  <c r="Z15" i="22"/>
  <c r="AA15" i="22" s="1"/>
  <c r="Z21" i="22"/>
  <c r="AA21" i="22" s="1"/>
  <c r="Z16" i="22"/>
  <c r="AA16" i="22" s="1"/>
  <c r="AA11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703C23E5-551C-434C-AAC8-8372E80908C2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6E1A4F8-E2D0-414A-97CB-707366805D2C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9AD6277B-61FA-3A42-9EB7-0849F1A663C7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<sst xmlns="http://schemas.openxmlformats.org/spreadsheetml/2006/main" count="367" uniqueCount="180">
  <si>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</si>
  <si>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</si>
  <si>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</si>
  <si>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</si>
  <si>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</si>
  <si>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</si>
  <si>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</si>
  <si>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</si>
  <si>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</si>
  <si>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</si>
  <si>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</si>
  <si>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</si>
  <si>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</si>
  <si>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</si>
  <si>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</si>
  <si>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</si>
  <si>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</si>
  <si>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</si>
  <si>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</si>
  <si>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</si>
  <si>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</si>
  <si>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</si>
  <si>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</si>
  <si>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</si>
  <si>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</si>
  <si>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</si>
  <si>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</si>
  <si>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</si>
  <si>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</si>
  <si>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</si>
  <si>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</si>
  <si>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</si>
  <si>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</si>
  <si>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</si>
  <si>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</si>
  <si>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</si>
  <si>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</si>
  <si>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</si>
  <si>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</si>
  <si>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</si>
  <si>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</si>
  <si>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</si>
  <si>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</si>
  <si>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</si>
  <si>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</si>
  <si>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Height</t>
  </si>
  <si>
    <t>OMM</t>
  </si>
  <si>
    <t>Parallelism</t>
  </si>
  <si>
    <t>Perpendicularity</t>
  </si>
  <si>
    <t>Distance</t>
  </si>
  <si>
    <t>Enhanced Cpk Data Sheet - Enclosures MD</t>
  </si>
  <si>
    <t xml:space="preserve">  </t>
    <phoneticPr fontId="42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</si>
  <si>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</si>
  <si>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</si>
  <si>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</si>
  <si>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</si>
  <si>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</si>
  <si>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</si>
  <si>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</si>
  <si>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</si>
  <si>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6" type="noConversion"/>
  </si>
  <si>
    <t>Description</t>
    <phoneticPr fontId="47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</si>
  <si>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</si>
  <si>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</si>
  <si>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</si>
  <si>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</si>
  <si>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</si>
  <si>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</si>
  <si>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</si>
  <si>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2" type="noConversion"/>
  </si>
  <si>
    <t>Cp</t>
  </si>
  <si>
    <t>Ca</t>
  </si>
  <si>
    <t>Ca Level</t>
  </si>
  <si>
    <t>UCPK</t>
    <phoneticPr fontId="48" type="noConversion"/>
  </si>
  <si>
    <t>LCPK</t>
    <phoneticPr fontId="48" type="noConversion"/>
  </si>
  <si>
    <t>Cpk</t>
  </si>
  <si>
    <t>Yield</t>
  </si>
  <si>
    <t>+Tol =&gt; Cpk*</t>
  </si>
  <si>
    <t>-Tol =&gt; Cpk*</t>
  </si>
  <si>
    <t>Mean Shift</t>
    <phoneticPr fontId="42" type="noConversion"/>
  </si>
  <si>
    <t>Tol Range
=&gt; Cp*</t>
  </si>
  <si>
    <t>Normality Test</t>
    <phoneticPr fontId="10" type="noConversion"/>
  </si>
  <si>
    <t>Normality Result</t>
  </si>
  <si>
    <t>Notes</t>
  </si>
  <si>
    <t>D</t>
  </si>
  <si>
    <t>No</t>
  </si>
  <si>
    <t>F</t>
  </si>
  <si>
    <t>H</t>
  </si>
  <si>
    <t>I</t>
  </si>
  <si>
    <t>J</t>
  </si>
  <si>
    <t>W</t>
  </si>
  <si>
    <t>X</t>
  </si>
  <si>
    <t>Memphis-Project</t>
    <phoneticPr fontId="10" type="noConversion"/>
  </si>
  <si>
    <t>817-11233</t>
    <phoneticPr fontId="10" type="noConversion"/>
  </si>
  <si>
    <t>Angle</t>
  </si>
  <si>
    <t xml:space="preserve">Distance
</t>
  </si>
  <si>
    <t>AH-1</t>
  </si>
  <si>
    <t>AH-2</t>
  </si>
  <si>
    <t>AI</t>
  </si>
  <si>
    <t>AJ-1</t>
  </si>
  <si>
    <t>AJ-2</t>
  </si>
  <si>
    <t>AK</t>
  </si>
  <si>
    <t>Tolerance</t>
  </si>
  <si>
    <t>MIC</t>
  </si>
  <si>
    <t>4-1</t>
  </si>
  <si>
    <t>4-2</t>
  </si>
  <si>
    <t>4-3</t>
  </si>
  <si>
    <t>6-1</t>
  </si>
  <si>
    <t>6-2</t>
  </si>
  <si>
    <t>6-3</t>
  </si>
  <si>
    <t>8</t>
  </si>
  <si>
    <t>9</t>
  </si>
  <si>
    <t>10-1</t>
  </si>
  <si>
    <t>10-2</t>
  </si>
  <si>
    <t>10-3</t>
  </si>
  <si>
    <t>23</t>
  </si>
  <si>
    <t>24</t>
  </si>
  <si>
    <t>25A-1</t>
  </si>
  <si>
    <t>25A-2</t>
  </si>
  <si>
    <t>25A-3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</si>
  <si>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</si>
  <si>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</si>
  <si>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</si>
  <si>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</si>
  <si>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</si>
  <si>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</si>
  <si>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</si>
  <si>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</si>
  <si>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</si>
  <si>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</si>
  <si>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</si>
  <si>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</si>
  <si>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</si>
  <si>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40-1</t>
  </si>
  <si>
    <t>40-2</t>
  </si>
  <si>
    <t>40-3</t>
  </si>
  <si>
    <t>40-4</t>
  </si>
  <si>
    <t>41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</si>
  <si>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</si>
  <si>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</si>
  <si>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</si>
  <si>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</si>
  <si>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</si>
  <si>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</si>
  <si>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</si>
  <si>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</si>
  <si>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</si>
  <si>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</si>
  <si>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</si>
  <si>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</si>
  <si>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</si>
  <si>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68-1</t>
  </si>
  <si>
    <t xml:space="preserve"> 68-2</t>
  </si>
  <si>
    <t xml:space="preserve"> 69</t>
  </si>
  <si>
    <t xml:space="preserve"> 70-1</t>
  </si>
  <si>
    <t xml:space="preserve"> 70-2</t>
  </si>
  <si>
    <t xml:space="preserve"> 71</t>
  </si>
  <si>
    <t>68-1</t>
  </si>
  <si>
    <t>68-2</t>
  </si>
  <si>
    <t>69</t>
  </si>
  <si>
    <t>70-1</t>
  </si>
  <si>
    <t>70-2</t>
  </si>
  <si>
    <t>71</t>
  </si>
  <si>
    <t>MCO Rev.7 / MSoP Rev.1 /
PGM Rev.1</t>
    <phoneticPr fontId="10" type="noConversion"/>
  </si>
  <si>
    <t>MP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</si>
  <si>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</si>
  <si>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</si>
  <si>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</si>
  <si>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</si>
  <si>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</si>
  <si>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</si>
  <si>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</si>
  <si>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</si>
  <si>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</si>
  <si>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PCS</t>
    <phoneticPr fontId="57" type="noConversion"/>
  </si>
  <si>
    <t>3HUR00019A/720/DP252242080F3BXM</t>
  </si>
  <si>
    <t>20250603-25-B</t>
  </si>
  <si>
    <t>관리치수</t>
    <phoneticPr fontId="10" type="noConversion"/>
  </si>
  <si>
    <t>LG 요청 치수</t>
    <phoneticPr fontId="10" type="noConversion"/>
  </si>
  <si>
    <t>Annealing Date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</si>
</sst>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.0000_ "/>
    <numFmt numFmtId="184" formatCode="0_);[Red]\(0\)"/>
  </numFmts>
  <fonts count="63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indexed="81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name val="맑은 고딕"/>
      <family val="2"/>
      <charset val="129"/>
    </font>
    <font>
      <sz val="9"/>
      <color theme="0"/>
      <name val="Arial"/>
      <family val="2"/>
    </font>
    <font>
      <sz val="10"/>
      <color theme="0"/>
      <name val="Arial"/>
      <family val="2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93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2" applyNumberFormat="0" applyAlignment="0" applyProtection="0">
      <alignment vertical="center"/>
    </xf>
    <xf numFmtId="0" fontId="27" fillId="10" borderId="13" applyNumberFormat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1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8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51" fillId="0" borderId="0"/>
    <xf numFmtId="178" fontId="11" fillId="0" borderId="0"/>
    <xf numFmtId="178" fontId="9" fillId="0" borderId="0"/>
  </cellStyleXfs>
  <cellXfs count="19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8" fillId="0" borderId="0" xfId="0" applyFont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25" xfId="0" applyFont="1" applyBorder="1" applyAlignment="1" applyProtection="1">
      <alignment horizontal="center" vertical="center"/>
      <protection locked="0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9" fontId="12" fillId="0" borderId="23" xfId="49" applyFont="1" applyFill="1" applyBorder="1" applyAlignment="1">
      <alignment horizontal="center" vertical="center"/>
    </xf>
    <xf numFmtId="181" fontId="12" fillId="0" borderId="23" xfId="49" applyNumberFormat="1" applyFont="1" applyFill="1" applyBorder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9" fontId="12" fillId="0" borderId="0" xfId="49" applyFont="1" applyFill="1" applyBorder="1" applyAlignment="1">
      <alignment horizontal="center" vertical="center"/>
    </xf>
    <xf numFmtId="181" fontId="12" fillId="0" borderId="0" xfId="49" applyNumberFormat="1" applyFont="1" applyFill="1" applyBorder="1" applyAlignment="1">
      <alignment horizontal="center" vertical="center"/>
    </xf>
    <xf numFmtId="9" fontId="12" fillId="0" borderId="24" xfId="49" applyFont="1" applyFill="1" applyBorder="1" applyAlignment="1">
      <alignment horizontal="center" vertical="center"/>
    </xf>
    <xf numFmtId="181" fontId="12" fillId="0" borderId="24" xfId="49" applyNumberFormat="1" applyFont="1" applyFill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25" xfId="0" applyNumberFormat="1" applyFont="1" applyBorder="1" applyAlignment="1" applyProtection="1">
      <alignment horizontal="center" vertical="center"/>
      <protection locked="0"/>
    </xf>
    <xf numFmtId="49" fontId="12" fillId="0" borderId="25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 applyProtection="1">
      <alignment horizontal="center" vertical="center" wrapText="1"/>
      <protection locked="0"/>
    </xf>
    <xf numFmtId="181" fontId="55" fillId="0" borderId="20" xfId="0" applyNumberFormat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4" fontId="56" fillId="0" borderId="0" xfId="62" applyNumberFormat="1" applyFont="1" applyAlignment="1">
      <alignment horizontal="center" vertical="center"/>
    </xf>
    <xf numFmtId="0" fontId="12" fillId="0" borderId="25" xfId="0" quotePrefix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9" xfId="0" applyFont="1" applyBorder="1" applyAlignment="1">
      <alignment vertical="center"/>
    </xf>
    <xf numFmtId="0" fontId="12" fillId="0" borderId="8" xfId="0" applyFont="1" applyBorder="1" applyAlignment="1" applyProtection="1">
      <alignment horizontal="center" vertical="center"/>
      <protection locked="0"/>
    </xf>
    <xf numFmtId="58" fontId="39" fillId="0" borderId="19" xfId="48" applyNumberFormat="1" applyFont="1" applyBorder="1" applyAlignment="1" applyProtection="1">
      <alignment vertical="center" wrapText="1"/>
      <protection locked="0"/>
    </xf>
    <xf numFmtId="2" fontId="39" fillId="0" borderId="19" xfId="48" applyNumberFormat="1" applyFont="1" applyBorder="1" applyAlignment="1" applyProtection="1">
      <alignment vertical="center" wrapText="1"/>
      <protection locked="0"/>
    </xf>
    <xf numFmtId="0" fontId="43" fillId="0" borderId="19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vertical="center" wrapText="1"/>
    </xf>
    <xf numFmtId="0" fontId="39" fillId="0" borderId="19" xfId="48" applyFont="1" applyBorder="1" applyAlignment="1">
      <alignment vertical="center" wrapText="1"/>
    </xf>
    <xf numFmtId="0" fontId="39" fillId="0" borderId="19" xfId="48" applyFont="1" applyBorder="1" applyAlignment="1">
      <alignment vertical="center"/>
    </xf>
    <xf numFmtId="2" fontId="39" fillId="0" borderId="19" xfId="48" applyNumberFormat="1" applyFont="1" applyBorder="1" applyAlignment="1">
      <alignment vertical="center"/>
    </xf>
    <xf numFmtId="181" fontId="39" fillId="0" borderId="19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4" fillId="0" borderId="19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>
      <alignment vertical="center"/>
    </xf>
    <xf numFmtId="0" fontId="39" fillId="0" borderId="25" xfId="48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vertical="center"/>
    </xf>
    <xf numFmtId="0" fontId="12" fillId="0" borderId="19" xfId="691" applyNumberFormat="1" applyFont="1" applyBorder="1" applyAlignment="1" applyProtection="1">
      <alignment horizontal="center" vertical="center"/>
      <protection locked="0"/>
    </xf>
    <xf numFmtId="0" fontId="12" fillId="0" borderId="25" xfId="4" applyNumberFormat="1" applyFont="1" applyBorder="1" applyAlignment="1">
      <alignment horizontal="center" vertical="center"/>
    </xf>
    <xf numFmtId="181" fontId="12" fillId="0" borderId="25" xfId="364" applyNumberFormat="1" applyFont="1" applyBorder="1" applyAlignment="1" applyProtection="1">
      <alignment horizontal="center" vertical="center"/>
      <protection locked="0"/>
    </xf>
    <xf numFmtId="181" fontId="12" fillId="0" borderId="25" xfId="690" applyNumberFormat="1" applyFont="1" applyBorder="1" applyAlignment="1" applyProtection="1">
      <alignment horizontal="center" vertical="center" wrapText="1"/>
      <protection locked="0"/>
    </xf>
    <xf numFmtId="49" fontId="12" fillId="0" borderId="25" xfId="690" applyNumberFormat="1" applyFont="1" applyBorder="1" applyAlignment="1" applyProtection="1">
      <alignment horizontal="center" vertical="center" wrapText="1"/>
      <protection locked="0"/>
    </xf>
    <xf numFmtId="49" fontId="12" fillId="0" borderId="8" xfId="690" applyNumberFormat="1" applyFont="1" applyBorder="1" applyAlignment="1" applyProtection="1">
      <alignment horizontal="center" vertical="center" wrapText="1"/>
      <protection locked="0"/>
    </xf>
    <xf numFmtId="181" fontId="12" fillId="0" borderId="8" xfId="0" applyNumberFormat="1" applyFont="1" applyBorder="1" applyAlignment="1" applyProtection="1">
      <alignment horizontal="center" vertical="center"/>
      <protection locked="0"/>
    </xf>
    <xf numFmtId="0" fontId="50" fillId="0" borderId="22" xfId="0" applyFont="1" applyBorder="1" applyAlignment="1">
      <alignment vertical="center"/>
    </xf>
    <xf numFmtId="182" fontId="12" fillId="0" borderId="25" xfId="690" applyNumberFormat="1" applyFont="1" applyBorder="1" applyAlignment="1">
      <alignment horizontal="center" vertical="center"/>
    </xf>
    <xf numFmtId="182" fontId="12" fillId="0" borderId="25" xfId="48" applyNumberFormat="1" applyFont="1" applyBorder="1" applyAlignment="1">
      <alignment horizontal="center" vertical="center"/>
    </xf>
    <xf numFmtId="181" fontId="12" fillId="0" borderId="25" xfId="48" applyNumberFormat="1" applyFont="1" applyBorder="1" applyAlignment="1">
      <alignment horizontal="center" vertical="center"/>
    </xf>
    <xf numFmtId="10" fontId="12" fillId="0" borderId="25" xfId="48" applyNumberFormat="1" applyFont="1" applyBorder="1" applyAlignment="1">
      <alignment horizontal="center" vertical="center"/>
    </xf>
    <xf numFmtId="181" fontId="12" fillId="0" borderId="25" xfId="690" applyNumberFormat="1" applyFont="1" applyBorder="1" applyAlignment="1" applyProtection="1">
      <alignment horizontal="center" vertical="center"/>
      <protection locked="0"/>
    </xf>
    <xf numFmtId="0" fontId="39" fillId="0" borderId="25" xfId="690" applyFont="1" applyBorder="1" applyAlignment="1" applyProtection="1">
      <alignment horizontal="center" vertical="center"/>
      <protection locked="0"/>
    </xf>
    <xf numFmtId="0" fontId="39" fillId="0" borderId="0" xfId="690" applyFont="1" applyAlignment="1" applyProtection="1">
      <alignment horizontal="center" vertical="center"/>
      <protection locked="0"/>
    </xf>
    <xf numFmtId="0" fontId="39" fillId="0" borderId="3" xfId="690" applyFont="1" applyBorder="1" applyAlignment="1" applyProtection="1">
      <alignment horizontal="center" vertical="center"/>
      <protection locked="0"/>
    </xf>
    <xf numFmtId="0" fontId="12" fillId="0" borderId="19" xfId="0" quotePrefix="1" applyFont="1" applyBorder="1" applyAlignment="1" applyProtection="1">
      <alignment horizontal="center" vertical="center"/>
      <protection locked="0"/>
    </xf>
    <xf numFmtId="0" fontId="12" fillId="0" borderId="19" xfId="4" applyNumberFormat="1" applyFont="1" applyBorder="1" applyAlignment="1">
      <alignment horizontal="center" vertical="center"/>
    </xf>
    <xf numFmtId="181" fontId="12" fillId="0" borderId="19" xfId="364" applyNumberFormat="1" applyFont="1" applyBorder="1" applyAlignment="1" applyProtection="1">
      <alignment horizontal="center" vertical="center"/>
      <protection locked="0"/>
    </xf>
    <xf numFmtId="181" fontId="12" fillId="0" borderId="19" xfId="690" applyNumberFormat="1" applyFont="1" applyBorder="1" applyAlignment="1" applyProtection="1">
      <alignment horizontal="center" vertical="center" wrapText="1"/>
      <protection locked="0"/>
    </xf>
    <xf numFmtId="49" fontId="12" fillId="0" borderId="19" xfId="690" applyNumberFormat="1" applyFont="1" applyBorder="1" applyAlignment="1" applyProtection="1">
      <alignment horizontal="center" vertical="center" wrapText="1"/>
      <protection locked="0"/>
    </xf>
    <xf numFmtId="49" fontId="12" fillId="0" borderId="4" xfId="690" applyNumberFormat="1" applyFont="1" applyBorder="1" applyAlignment="1" applyProtection="1">
      <alignment horizontal="center" vertical="center" wrapText="1"/>
      <protection locked="0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182" fontId="12" fillId="0" borderId="19" xfId="690" applyNumberFormat="1" applyFont="1" applyBorder="1" applyAlignment="1">
      <alignment horizontal="center" vertical="center"/>
    </xf>
    <xf numFmtId="182" fontId="12" fillId="0" borderId="19" xfId="48" applyNumberFormat="1" applyFont="1" applyBorder="1" applyAlignment="1">
      <alignment horizontal="center" vertical="center"/>
    </xf>
    <xf numFmtId="181" fontId="12" fillId="0" borderId="19" xfId="48" applyNumberFormat="1" applyFont="1" applyBorder="1" applyAlignment="1">
      <alignment horizontal="center" vertical="center"/>
    </xf>
    <xf numFmtId="10" fontId="12" fillId="0" borderId="19" xfId="48" applyNumberFormat="1" applyFont="1" applyBorder="1" applyAlignment="1">
      <alignment horizontal="center" vertical="center"/>
    </xf>
    <xf numFmtId="181" fontId="12" fillId="0" borderId="19" xfId="690" applyNumberFormat="1" applyFont="1" applyBorder="1" applyAlignment="1" applyProtection="1">
      <alignment horizontal="center" vertical="center"/>
      <protection locked="0"/>
    </xf>
    <xf numFmtId="0" fontId="39" fillId="0" borderId="19" xfId="690" applyFont="1" applyBorder="1" applyAlignment="1" applyProtection="1">
      <alignment horizontal="center" vertical="center"/>
      <protection locked="0"/>
    </xf>
    <xf numFmtId="0" fontId="12" fillId="0" borderId="24" xfId="691" applyNumberFormat="1" applyFont="1" applyBorder="1" applyAlignment="1" applyProtection="1">
      <alignment horizontal="center" vertical="center"/>
      <protection locked="0"/>
    </xf>
    <xf numFmtId="0" fontId="12" fillId="0" borderId="24" xfId="0" applyFont="1" applyBorder="1" applyAlignment="1" applyProtection="1">
      <alignment horizontal="center" vertical="center"/>
      <protection locked="0"/>
    </xf>
    <xf numFmtId="0" fontId="12" fillId="0" borderId="24" xfId="4" applyNumberFormat="1" applyFont="1" applyBorder="1" applyAlignment="1">
      <alignment horizontal="center" vertical="center"/>
    </xf>
    <xf numFmtId="181" fontId="12" fillId="0" borderId="24" xfId="364" applyNumberFormat="1" applyFont="1" applyBorder="1" applyAlignment="1" applyProtection="1">
      <alignment horizontal="center" vertical="center"/>
      <protection locked="0"/>
    </xf>
    <xf numFmtId="181" fontId="12" fillId="0" borderId="24" xfId="690" applyNumberFormat="1" applyFont="1" applyBorder="1" applyAlignment="1" applyProtection="1">
      <alignment horizontal="center" vertical="center" wrapText="1"/>
      <protection locked="0"/>
    </xf>
    <xf numFmtId="49" fontId="12" fillId="0" borderId="24" xfId="690" applyNumberFormat="1" applyFont="1" applyBorder="1" applyAlignment="1" applyProtection="1">
      <alignment horizontal="center" vertical="center" wrapText="1"/>
      <protection locked="0"/>
    </xf>
    <xf numFmtId="181" fontId="12" fillId="0" borderId="24" xfId="0" applyNumberFormat="1" applyFont="1" applyBorder="1" applyAlignment="1" applyProtection="1">
      <alignment horizontal="center" vertical="center"/>
      <protection locked="0"/>
    </xf>
    <xf numFmtId="0" fontId="50" fillId="0" borderId="24" xfId="0" applyFont="1" applyBorder="1" applyAlignment="1">
      <alignment vertical="center"/>
    </xf>
    <xf numFmtId="182" fontId="12" fillId="0" borderId="24" xfId="690" applyNumberFormat="1" applyFont="1" applyBorder="1" applyAlignment="1">
      <alignment horizontal="center" vertical="center"/>
    </xf>
    <xf numFmtId="182" fontId="12" fillId="0" borderId="24" xfId="48" applyNumberFormat="1" applyFont="1" applyBorder="1" applyAlignment="1">
      <alignment horizontal="center" vertical="center"/>
    </xf>
    <xf numFmtId="181" fontId="12" fillId="0" borderId="24" xfId="48" applyNumberFormat="1" applyFont="1" applyBorder="1" applyAlignment="1">
      <alignment horizontal="center" vertical="center"/>
    </xf>
    <xf numFmtId="10" fontId="12" fillId="0" borderId="24" xfId="48" applyNumberFormat="1" applyFont="1" applyBorder="1" applyAlignment="1">
      <alignment horizontal="center" vertical="center"/>
    </xf>
    <xf numFmtId="181" fontId="12" fillId="0" borderId="24" xfId="690" applyNumberFormat="1" applyFont="1" applyBorder="1" applyAlignment="1" applyProtection="1">
      <alignment horizontal="center" vertical="center"/>
      <protection locked="0"/>
    </xf>
    <xf numFmtId="0" fontId="39" fillId="0" borderId="24" xfId="690" applyFont="1" applyBorder="1" applyAlignment="1" applyProtection="1">
      <alignment horizontal="center" vertical="center"/>
      <protection locked="0"/>
    </xf>
    <xf numFmtId="0" fontId="0" fillId="0" borderId="24" xfId="0" applyBorder="1" applyAlignment="1">
      <alignment vertical="center"/>
    </xf>
    <xf numFmtId="183" fontId="12" fillId="0" borderId="24" xfId="691" applyNumberFormat="1" applyFont="1" applyBorder="1" applyAlignment="1">
      <alignment horizontal="center" vertical="center"/>
    </xf>
    <xf numFmtId="0" fontId="12" fillId="0" borderId="0" xfId="691" applyNumberFormat="1" applyFont="1" applyAlignment="1" applyProtection="1">
      <alignment horizontal="center" vertical="center"/>
      <protection locked="0"/>
    </xf>
    <xf numFmtId="0" fontId="12" fillId="0" borderId="0" xfId="4" applyNumberFormat="1" applyFont="1" applyAlignment="1">
      <alignment horizontal="center" vertical="center"/>
    </xf>
    <xf numFmtId="181" fontId="12" fillId="0" borderId="0" xfId="364" applyNumberFormat="1" applyFont="1" applyAlignment="1" applyProtection="1">
      <alignment horizontal="center" vertical="center"/>
      <protection locked="0"/>
    </xf>
    <xf numFmtId="181" fontId="12" fillId="0" borderId="0" xfId="690" applyNumberFormat="1" applyFont="1" applyAlignment="1" applyProtection="1">
      <alignment horizontal="center" vertical="center" wrapText="1"/>
      <protection locked="0"/>
    </xf>
    <xf numFmtId="49" fontId="12" fillId="0" borderId="0" xfId="690" applyNumberFormat="1" applyFont="1" applyAlignment="1" applyProtection="1">
      <alignment horizontal="center" vertical="center" wrapText="1"/>
      <protection locked="0"/>
    </xf>
    <xf numFmtId="0" fontId="50" fillId="0" borderId="0" xfId="0" applyFont="1" applyAlignment="1">
      <alignment vertical="center"/>
    </xf>
    <xf numFmtId="182" fontId="12" fillId="0" borderId="0" xfId="690" applyNumberFormat="1" applyFont="1" applyAlignment="1">
      <alignment horizontal="center" vertical="center"/>
    </xf>
    <xf numFmtId="182" fontId="12" fillId="0" borderId="0" xfId="48" applyNumberFormat="1" applyFont="1" applyAlignment="1">
      <alignment horizontal="center" vertical="center"/>
    </xf>
    <xf numFmtId="181" fontId="12" fillId="0" borderId="0" xfId="48" applyNumberFormat="1" applyFont="1" applyAlignment="1">
      <alignment horizontal="center" vertical="center"/>
    </xf>
    <xf numFmtId="10" fontId="12" fillId="0" borderId="0" xfId="48" applyNumberFormat="1" applyFont="1" applyAlignment="1">
      <alignment horizontal="center" vertical="center"/>
    </xf>
    <xf numFmtId="181" fontId="12" fillId="0" borderId="0" xfId="690" applyNumberFormat="1" applyFont="1" applyAlignment="1" applyProtection="1">
      <alignment horizontal="center" vertical="center"/>
      <protection locked="0"/>
    </xf>
    <xf numFmtId="0" fontId="39" fillId="0" borderId="0" xfId="690" applyFont="1" applyAlignment="1" applyProtection="1">
      <alignment horizontal="left" vertical="center"/>
      <protection locked="0"/>
    </xf>
    <xf numFmtId="183" fontId="12" fillId="0" borderId="0" xfId="691" applyNumberFormat="1" applyFont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182" fontId="12" fillId="0" borderId="25" xfId="691" applyNumberFormat="1" applyFont="1" applyBorder="1" applyAlignment="1">
      <alignment horizontal="center" vertical="center"/>
    </xf>
    <xf numFmtId="14" fontId="56" fillId="4" borderId="25" xfId="387" applyNumberFormat="1" applyFont="1" applyFill="1" applyBorder="1" applyAlignment="1">
      <alignment horizontal="center" vertical="center"/>
    </xf>
    <xf numFmtId="14" fontId="56" fillId="4" borderId="25" xfId="387" quotePrefix="1" applyNumberFormat="1" applyFont="1" applyFill="1" applyBorder="1" applyAlignment="1">
      <alignment horizontal="center" vertical="center"/>
    </xf>
    <xf numFmtId="0" fontId="56" fillId="4" borderId="25" xfId="387" applyFont="1" applyFill="1" applyBorder="1" applyAlignment="1">
      <alignment horizontal="center" vertical="center"/>
    </xf>
    <xf numFmtId="49" fontId="56" fillId="4" borderId="25" xfId="387" applyNumberFormat="1" applyFont="1" applyFill="1" applyBorder="1" applyAlignment="1">
      <alignment horizontal="center" vertical="center"/>
    </xf>
    <xf numFmtId="0" fontId="56" fillId="0" borderId="25" xfId="387" applyFont="1" applyBorder="1" applyAlignment="1">
      <alignment horizontal="center" vertical="center"/>
    </xf>
    <xf numFmtId="184" fontId="56" fillId="4" borderId="25" xfId="387" applyNumberFormat="1" applyFont="1" applyFill="1" applyBorder="1" applyAlignment="1">
      <alignment horizontal="center" vertical="center"/>
    </xf>
    <xf numFmtId="184" fontId="56" fillId="0" borderId="25" xfId="387" applyNumberFormat="1" applyFont="1" applyBorder="1" applyAlignment="1">
      <alignment horizontal="center" vertical="center"/>
    </xf>
    <xf numFmtId="49" fontId="56" fillId="4" borderId="25" xfId="387" applyNumberFormat="1" applyFont="1" applyFill="1" applyBorder="1">
      <alignment vertical="center"/>
    </xf>
    <xf numFmtId="184" fontId="56" fillId="4" borderId="25" xfId="387" applyNumberFormat="1" applyFont="1" applyFill="1" applyBorder="1">
      <alignment vertical="center"/>
    </xf>
    <xf numFmtId="0" fontId="38" fillId="0" borderId="27" xfId="0" applyFont="1" applyBorder="1" applyAlignment="1">
      <alignment horizontal="center" vertical="center"/>
    </xf>
    <xf numFmtId="0" fontId="59" fillId="0" borderId="24" xfId="690" applyFont="1" applyBorder="1" applyAlignment="1" applyProtection="1">
      <alignment horizontal="left" vertical="center"/>
      <protection locked="0"/>
    </xf>
    <xf numFmtId="0" fontId="60" fillId="0" borderId="0" xfId="0" applyFont="1" applyAlignment="1" applyProtection="1">
      <alignment vertical="center"/>
      <protection locked="0"/>
    </xf>
    <xf numFmtId="0" fontId="61" fillId="0" borderId="25" xfId="690" applyFont="1" applyBorder="1" applyAlignment="1" applyProtection="1">
      <alignment horizontal="center" vertical="center"/>
      <protection locked="0"/>
    </xf>
    <xf numFmtId="0" fontId="62" fillId="0" borderId="25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180" fontId="39" fillId="0" borderId="25" xfId="0" applyNumberFormat="1" applyFont="1" applyBorder="1" applyAlignment="1">
      <alignment horizontal="center" vertical="center"/>
    </xf>
    <xf numFmtId="0" fontId="39" fillId="0" borderId="25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9" fillId="0" borderId="25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58" fillId="0" borderId="23" xfId="48" applyFont="1" applyBorder="1" applyAlignment="1">
      <alignment horizontal="center" vertical="center" wrapText="1"/>
    </xf>
    <xf numFmtId="0" fontId="39" fillId="0" borderId="27" xfId="48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</cellXfs>
  <cellStyles count="693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1" xr:uid="{141D7389-A7E2-4C66-8CB9-E51699D1478B}"/>
    <cellStyle name="20% - 강조색1 11" xfId="246" xr:uid="{A0133E03-4FF6-4773-83EB-E1C71755515E}"/>
    <cellStyle name="20% - 강조색1 11 2" xfId="571" xr:uid="{2285CC1A-5E68-456A-82EA-372C8C5F0CBF}"/>
    <cellStyle name="20% - 강조색1 12" xfId="266" xr:uid="{69765A4B-5601-441F-932C-239E408BA924}"/>
    <cellStyle name="20% - 강조색1 12 2" xfId="591" xr:uid="{3594D2BF-A664-447C-96A1-E9BB553DDBD0}"/>
    <cellStyle name="20% - 강조색1 13" xfId="286" xr:uid="{2D93951E-88EE-4D56-A398-D06CE1F6EA5E}"/>
    <cellStyle name="20% - 강조색1 13 2" xfId="611" xr:uid="{CCC7405D-5EB4-4686-B957-802B2A50C0CB}"/>
    <cellStyle name="20% - 강조색1 14" xfId="306" xr:uid="{D2E72044-9889-43C0-AEC5-6EB1830CA591}"/>
    <cellStyle name="20% - 강조색1 14 2" xfId="631" xr:uid="{682FD549-97E7-4753-A1BE-5C9E6BF55768}"/>
    <cellStyle name="20% - 강조색1 15" xfId="326" xr:uid="{F699FD11-AFE7-4F15-B0D0-594A5B59A6DC}"/>
    <cellStyle name="20% - 강조색1 15 2" xfId="651" xr:uid="{E2BAF0CA-879A-46C0-8CE8-92E1736C1998}"/>
    <cellStyle name="20% - 강조색1 16" xfId="346" xr:uid="{B2D40CCE-D2F7-47F4-A6D2-B2E79757B518}"/>
    <cellStyle name="20% - 강조색1 16 2" xfId="671" xr:uid="{8A583BF0-EE93-47B6-ABC1-7E1419D5C12E}"/>
    <cellStyle name="20% - 강조색1 17" xfId="369" xr:uid="{D3A8C506-74B3-4DA3-B230-D5E3DD3A12EB}"/>
    <cellStyle name="20% - 강조색1 2" xfId="66" xr:uid="{C000C105-B9B6-4FCD-955D-5C51AE01AD63}"/>
    <cellStyle name="20% - 강조색1 2 2" xfId="391" xr:uid="{B7F4EAC9-D5CE-4305-8022-B0B81B3C6E0C}"/>
    <cellStyle name="20% - 강조색1 3" xfId="86" xr:uid="{F5A672B4-D06D-4DB2-937D-339516178143}"/>
    <cellStyle name="20% - 강조색1 3 2" xfId="411" xr:uid="{17C15151-1AC0-4242-8CDC-51EA23224A41}"/>
    <cellStyle name="20% - 강조색1 4" xfId="106" xr:uid="{3C64C37A-44A9-4367-B271-41D2A0E02959}"/>
    <cellStyle name="20% - 강조색1 4 2" xfId="431" xr:uid="{1E9C0B75-B86F-41CF-8C78-160B41AD2886}"/>
    <cellStyle name="20% - 강조색1 5" xfId="126" xr:uid="{85AD6993-9104-4803-AB92-CF10796A4D3D}"/>
    <cellStyle name="20% - 강조색1 5 2" xfId="451" xr:uid="{A18692C0-F2A2-4D90-B61B-9FAC3FCD731F}"/>
    <cellStyle name="20% - 강조색1 6" xfId="146" xr:uid="{72C18894-A5F7-4A98-BC89-75E38C4C69E0}"/>
    <cellStyle name="20% - 강조색1 6 2" xfId="471" xr:uid="{618389CC-2EE9-49FA-BD42-B76B38ACE2F6}"/>
    <cellStyle name="20% - 강조색1 7" xfId="166" xr:uid="{3D432729-A8DE-423D-A1F2-8BB10728B8A7}"/>
    <cellStyle name="20% - 강조색1 7 2" xfId="491" xr:uid="{FFF2BFDA-5768-48A0-9ABC-D1202CF08281}"/>
    <cellStyle name="20% - 강조색1 8" xfId="186" xr:uid="{EA8B51F4-DF1C-4AD3-B065-82345EB025A5}"/>
    <cellStyle name="20% - 강조색1 8 2" xfId="511" xr:uid="{7F679B55-56D0-42E4-B34C-DCCD8E8B2CFC}"/>
    <cellStyle name="20% - 강조색1 9" xfId="206" xr:uid="{3AF2B297-8D3F-4630-89A2-074B4220D709}"/>
    <cellStyle name="20% - 강조색1 9 2" xfId="531" xr:uid="{9C3979F8-CDCC-4582-97F6-23054214F264}"/>
    <cellStyle name="20% - 강조색2 10" xfId="229" xr:uid="{626F9513-4C92-4F94-B200-104CF2CD402B}"/>
    <cellStyle name="20% - 강조색2 10 2" xfId="554" xr:uid="{4B42CDF6-6AF3-4FC7-910E-1E72EBB844FC}"/>
    <cellStyle name="20% - 강조색2 11" xfId="249" xr:uid="{26249CFF-D7A2-4344-AF21-7004B903DE59}"/>
    <cellStyle name="20% - 강조색2 11 2" xfId="574" xr:uid="{A96585AB-DCA8-494D-B400-D73CCCC6F06A}"/>
    <cellStyle name="20% - 강조색2 12" xfId="269" xr:uid="{4C7B131D-BF00-41A3-A47F-EF7251B28828}"/>
    <cellStyle name="20% - 강조색2 12 2" xfId="594" xr:uid="{C36B0452-55C2-48A8-B3E8-0942176FC48D}"/>
    <cellStyle name="20% - 강조색2 13" xfId="289" xr:uid="{DDA91409-2ECB-49B2-9139-3C4AB69E3086}"/>
    <cellStyle name="20% - 강조색2 13 2" xfId="614" xr:uid="{05D4D12C-A553-4031-8B16-B2BD13DC44E9}"/>
    <cellStyle name="20% - 강조색2 14" xfId="309" xr:uid="{28A644DC-7FF4-4C83-BFE4-A6C26544894C}"/>
    <cellStyle name="20% - 강조색2 14 2" xfId="634" xr:uid="{938886A6-1668-4EE2-B9C3-5AD931669893}"/>
    <cellStyle name="20% - 강조색2 15" xfId="329" xr:uid="{03343EA4-A181-4A6B-9013-D99EAEB9A7B5}"/>
    <cellStyle name="20% - 강조색2 15 2" xfId="654" xr:uid="{F3E1970B-AF59-45B0-8E6C-2599D85E187C}"/>
    <cellStyle name="20% - 강조색2 16" xfId="349" xr:uid="{90DF914E-13D3-42B4-90E8-30C7D1A3016E}"/>
    <cellStyle name="20% - 강조색2 16 2" xfId="674" xr:uid="{667E3FE6-CED2-4680-BE7C-2A372C68FB1A}"/>
    <cellStyle name="20% - 강조색2 17" xfId="372" xr:uid="{0013B3C8-E2A1-433E-A704-1376E6D55DCB}"/>
    <cellStyle name="20% - 강조색2 2" xfId="69" xr:uid="{D6F77B8E-DA75-4D1F-84E3-B26EE1B4E3DC}"/>
    <cellStyle name="20% - 강조색2 2 2" xfId="394" xr:uid="{356D10E6-7839-45DA-AB2C-08A035ECA49E}"/>
    <cellStyle name="20% - 강조색2 3" xfId="89" xr:uid="{E95C3191-E88A-42C1-9017-12532ABFFD51}"/>
    <cellStyle name="20% - 강조색2 3 2" xfId="414" xr:uid="{782BE4ED-82C1-4308-944D-6FDFF8A6386C}"/>
    <cellStyle name="20% - 강조색2 4" xfId="109" xr:uid="{D686A997-3988-4BCE-82AC-AEACBF73748C}"/>
    <cellStyle name="20% - 강조색2 4 2" xfId="434" xr:uid="{A798FAF4-7DDB-400B-A9F8-E74461644CE7}"/>
    <cellStyle name="20% - 강조색2 5" xfId="129" xr:uid="{0A64B3A1-8AA3-494D-9AD7-DACAB7C93F5B}"/>
    <cellStyle name="20% - 강조색2 5 2" xfId="454" xr:uid="{B6413C56-4E1E-42D7-A86F-F0EC7D9565AD}"/>
    <cellStyle name="20% - 강조색2 6" xfId="149" xr:uid="{F82DB304-D754-4E19-ACEA-7104782A493D}"/>
    <cellStyle name="20% - 강조색2 6 2" xfId="474" xr:uid="{4E6301FB-61AD-4D7E-AD7D-AFE4471880E5}"/>
    <cellStyle name="20% - 강조색2 7" xfId="169" xr:uid="{3ACEDB0C-3AB5-42A9-8A54-0171BEA68931}"/>
    <cellStyle name="20% - 강조색2 7 2" xfId="494" xr:uid="{20CDB2AA-7FB0-4476-9A14-5E44816AA902}"/>
    <cellStyle name="20% - 강조색2 8" xfId="189" xr:uid="{92D06AA7-BD79-4A08-A0AC-19FAAE141A9A}"/>
    <cellStyle name="20% - 강조색2 8 2" xfId="514" xr:uid="{F1ED80E5-8FBB-4BCB-8FA4-D6C943B560C3}"/>
    <cellStyle name="20% - 강조색2 9" xfId="209" xr:uid="{87FEFB61-F2A8-431E-926D-D0AA74DBDF54}"/>
    <cellStyle name="20% - 강조색2 9 2" xfId="534" xr:uid="{1D2904F6-74DC-43BE-A6D7-406DD038A8AD}"/>
    <cellStyle name="20% - 강조색3 10" xfId="232" xr:uid="{61651A33-B832-41AE-9EBF-C4749E3E2278}"/>
    <cellStyle name="20% - 강조색3 10 2" xfId="557" xr:uid="{725B372C-7B81-4064-BAE9-2D566BB4DDDC}"/>
    <cellStyle name="20% - 강조색3 11" xfId="252" xr:uid="{E949058E-E0C6-4200-8EC6-DBEF142DAD18}"/>
    <cellStyle name="20% - 강조색3 11 2" xfId="577" xr:uid="{B718F185-6566-43D2-A2E5-1D6EF70247A7}"/>
    <cellStyle name="20% - 강조색3 12" xfId="272" xr:uid="{426D12DE-A4BE-4992-808E-7DC40B9718AD}"/>
    <cellStyle name="20% - 강조색3 12 2" xfId="597" xr:uid="{2790643A-C9C9-48C6-901E-165EBD042860}"/>
    <cellStyle name="20% - 강조색3 13" xfId="292" xr:uid="{0768D020-6E83-4F1E-AF32-AE5A782C18B5}"/>
    <cellStyle name="20% - 강조색3 13 2" xfId="617" xr:uid="{CF1DC1BC-982B-4C51-B6C7-02C64481505B}"/>
    <cellStyle name="20% - 강조색3 14" xfId="312" xr:uid="{1703ADAA-77C1-42AF-988A-62849F1C5366}"/>
    <cellStyle name="20% - 강조색3 14 2" xfId="637" xr:uid="{F01B820F-6EEE-4EB9-B0C5-2213EEB7E1D0}"/>
    <cellStyle name="20% - 강조색3 15" xfId="332" xr:uid="{8893DAEB-8166-4103-ADD1-C300EA23E857}"/>
    <cellStyle name="20% - 강조색3 15 2" xfId="657" xr:uid="{1DA25012-4586-4D41-AE07-939961DCF8B6}"/>
    <cellStyle name="20% - 강조색3 16" xfId="352" xr:uid="{A4F2511B-64D6-493B-AC77-889421CE3F84}"/>
    <cellStyle name="20% - 강조색3 16 2" xfId="677" xr:uid="{8988C490-8FF6-46D4-9D54-40C99A2BE7B1}"/>
    <cellStyle name="20% - 강조색3 17" xfId="375" xr:uid="{284782FB-6006-4BEA-A876-BC97D28B336C}"/>
    <cellStyle name="20% - 강조색3 2" xfId="72" xr:uid="{DADA5BBF-655E-4DF7-8AF7-F67FAB006F70}"/>
    <cellStyle name="20% - 강조색3 2 2" xfId="397" xr:uid="{3741E958-A9EA-4BD4-A90A-A491D838BEFC}"/>
    <cellStyle name="20% - 강조색3 3" xfId="92" xr:uid="{8A2B4D20-D914-4DED-AD89-24BEA2F842A1}"/>
    <cellStyle name="20% - 강조색3 3 2" xfId="417" xr:uid="{AAEC881F-615A-48F0-9DA4-5300542818D6}"/>
    <cellStyle name="20% - 강조색3 4" xfId="112" xr:uid="{D02C6126-C8BA-436E-A7C9-F01EB6D42534}"/>
    <cellStyle name="20% - 강조색3 4 2" xfId="437" xr:uid="{7317A19F-0306-41A5-BDAC-801B0B4A36EF}"/>
    <cellStyle name="20% - 강조색3 5" xfId="132" xr:uid="{0B27F645-BFC1-4271-97C7-A69C5A0D1187}"/>
    <cellStyle name="20% - 강조색3 5 2" xfId="457" xr:uid="{40096B69-AC1C-4E47-9795-6CB65D97B6CB}"/>
    <cellStyle name="20% - 강조색3 6" xfId="152" xr:uid="{BC6E1FF5-9FA1-457C-807E-0DDB42F82165}"/>
    <cellStyle name="20% - 강조색3 6 2" xfId="477" xr:uid="{83B0B1C4-2654-4A9C-9E02-3AD4DB908276}"/>
    <cellStyle name="20% - 강조색3 7" xfId="172" xr:uid="{FBCAFDFA-76DB-42D8-9AFC-73132063C498}"/>
    <cellStyle name="20% - 강조색3 7 2" xfId="497" xr:uid="{C91BC47E-7291-447D-B180-C85238BDD90E}"/>
    <cellStyle name="20% - 강조색3 8" xfId="192" xr:uid="{7B7916C4-7649-4B69-BBA1-586F1F8236AC}"/>
    <cellStyle name="20% - 강조색3 8 2" xfId="517" xr:uid="{36D8F1BD-49ED-42ED-BF8A-ADD30151712A}"/>
    <cellStyle name="20% - 강조색3 9" xfId="212" xr:uid="{B05A3FC1-2BD3-4D5D-BBD1-AF122FFA97D0}"/>
    <cellStyle name="20% - 강조색3 9 2" xfId="537" xr:uid="{DDF7ECD1-9082-4D25-A9E8-F68B3E92BD04}"/>
    <cellStyle name="20% - 강조색4 10" xfId="235" xr:uid="{D7777BE9-BACF-476F-AC89-842F95EB340A}"/>
    <cellStyle name="20% - 강조색4 10 2" xfId="560" xr:uid="{3357A7AD-5A88-4DED-AD86-9A46456354D4}"/>
    <cellStyle name="20% - 강조색4 11" xfId="255" xr:uid="{8CECB8CF-16A3-4C86-9941-19EB25997AC4}"/>
    <cellStyle name="20% - 강조색4 11 2" xfId="580" xr:uid="{93EDA1B3-4894-426C-9283-D40B6216C203}"/>
    <cellStyle name="20% - 강조색4 12" xfId="275" xr:uid="{11494E53-DE89-497B-B9CA-0A28AD5C723D}"/>
    <cellStyle name="20% - 강조색4 12 2" xfId="600" xr:uid="{3D666633-4D4B-4B39-A50C-3D7FECEBDC2F}"/>
    <cellStyle name="20% - 강조색4 13" xfId="295" xr:uid="{542C1C52-CA1D-4EBF-A46A-733955597A8B}"/>
    <cellStyle name="20% - 강조색4 13 2" xfId="620" xr:uid="{47691035-F29F-4A8C-A70A-C255486B4B0C}"/>
    <cellStyle name="20% - 강조색4 14" xfId="315" xr:uid="{9865A804-0170-4131-AACE-8F585E2184FD}"/>
    <cellStyle name="20% - 강조색4 14 2" xfId="640" xr:uid="{CFBD482E-4521-4342-9FCB-F1B8B895158C}"/>
    <cellStyle name="20% - 강조색4 15" xfId="335" xr:uid="{7574BF02-A4A9-44E1-BE7C-980F480A446B}"/>
    <cellStyle name="20% - 강조색4 15 2" xfId="660" xr:uid="{0B46E3B7-4D5A-40BB-8883-51EE0FE14875}"/>
    <cellStyle name="20% - 강조색4 16" xfId="355" xr:uid="{90B0289A-96D5-4BC4-A0B4-357B6F7EC418}"/>
    <cellStyle name="20% - 강조색4 16 2" xfId="680" xr:uid="{136AAFCD-C3F0-4B60-8576-CC73CC9719FA}"/>
    <cellStyle name="20% - 강조색4 17" xfId="378" xr:uid="{C76D6B02-5F32-47BF-9C98-F94CFC638AC9}"/>
    <cellStyle name="20% - 강조색4 2" xfId="75" xr:uid="{05A71B88-BCC1-42C7-A0B3-5CF2BDB8026A}"/>
    <cellStyle name="20% - 강조색4 2 2" xfId="400" xr:uid="{368C5F4A-3EDC-4265-AC71-C6DE2340088D}"/>
    <cellStyle name="20% - 강조색4 3" xfId="95" xr:uid="{CEEC9913-54C2-470C-AD1F-B0DEF55F5A3D}"/>
    <cellStyle name="20% - 강조색4 3 2" xfId="420" xr:uid="{FE16E4E0-2320-46C8-97C5-4ECAB5FA8210}"/>
    <cellStyle name="20% - 강조색4 4" xfId="115" xr:uid="{9D29B216-1327-471D-A20E-ACED39D6B564}"/>
    <cellStyle name="20% - 강조색4 4 2" xfId="440" xr:uid="{82D22210-D3C1-40A5-8EFA-377E33A1EC26}"/>
    <cellStyle name="20% - 강조색4 5" xfId="135" xr:uid="{1F96C247-4CD8-4046-9DC3-CA3F66EB2D71}"/>
    <cellStyle name="20% - 강조색4 5 2" xfId="460" xr:uid="{52CE2F9C-7FC8-4533-8327-BA4E39DD9A9A}"/>
    <cellStyle name="20% - 강조색4 6" xfId="155" xr:uid="{45777F64-79FC-4C0E-B98D-EE32497B449E}"/>
    <cellStyle name="20% - 강조색4 6 2" xfId="480" xr:uid="{185CB45D-800D-4FEA-8CBF-5D7F553E1905}"/>
    <cellStyle name="20% - 강조색4 7" xfId="175" xr:uid="{D8023C2B-337C-4793-B1D3-453BF274B485}"/>
    <cellStyle name="20% - 강조색4 7 2" xfId="500" xr:uid="{82A7BD6B-E6AE-4A9D-9553-2A0F27894702}"/>
    <cellStyle name="20% - 강조색4 8" xfId="195" xr:uid="{8113DDBD-D399-448B-B8ED-873D89E0096A}"/>
    <cellStyle name="20% - 강조색4 8 2" xfId="520" xr:uid="{5D7A3749-2EAD-4B3F-8A1D-4D9FE7802119}"/>
    <cellStyle name="20% - 강조색4 9" xfId="215" xr:uid="{14FB7DB9-C519-47BE-8EC1-AA255607A88C}"/>
    <cellStyle name="20% - 강조색4 9 2" xfId="540" xr:uid="{30282D5B-8F96-4FF6-AE47-A87464F391C0}"/>
    <cellStyle name="20% - 강조색5 10" xfId="238" xr:uid="{E411D9CE-490D-4DFD-94EE-328AACF8795E}"/>
    <cellStyle name="20% - 강조색5 10 2" xfId="563" xr:uid="{9B21EA32-414D-4E67-9159-5FC6703B05A1}"/>
    <cellStyle name="20% - 강조색5 11" xfId="258" xr:uid="{A182F85F-D434-4461-A92A-139E7B12C467}"/>
    <cellStyle name="20% - 강조색5 11 2" xfId="583" xr:uid="{2D57BD2A-8000-405C-9B50-63228499CC29}"/>
    <cellStyle name="20% - 강조색5 12" xfId="278" xr:uid="{EB7F973A-7A61-4F6E-A5B0-410E883B7724}"/>
    <cellStyle name="20% - 강조색5 12 2" xfId="603" xr:uid="{6A63E8C9-7E2A-460D-8DD2-49A5290E7B1D}"/>
    <cellStyle name="20% - 강조색5 13" xfId="298" xr:uid="{E467C45C-A85E-4CBD-8151-8F87AEF39C33}"/>
    <cellStyle name="20% - 강조색5 13 2" xfId="623" xr:uid="{4BAC0A05-DC6D-445A-8B47-D0DC815012F1}"/>
    <cellStyle name="20% - 강조색5 14" xfId="318" xr:uid="{BD4DAB35-D038-4546-91FD-449946C108CB}"/>
    <cellStyle name="20% - 강조색5 14 2" xfId="643" xr:uid="{8DEC2EEF-2B17-489E-9F2D-9D64991E7893}"/>
    <cellStyle name="20% - 강조색5 15" xfId="338" xr:uid="{C5DB7B8A-2BB1-4DD5-AC2D-C79121582DE1}"/>
    <cellStyle name="20% - 강조색5 15 2" xfId="663" xr:uid="{8E843769-BDEA-4E4B-A2D4-893BF06A15B2}"/>
    <cellStyle name="20% - 강조색5 16" xfId="358" xr:uid="{1937A4F5-0471-44D0-B2CD-DBF9CC2D59D1}"/>
    <cellStyle name="20% - 강조색5 16 2" xfId="683" xr:uid="{2D7E11CB-B58F-4D7D-B529-DB7AB8983114}"/>
    <cellStyle name="20% - 강조색5 17" xfId="381" xr:uid="{4F24B963-AEE8-4530-84F4-FE77D7B5AC14}"/>
    <cellStyle name="20% - 강조색5 2" xfId="78" xr:uid="{09E915A1-162C-49F6-8553-DBB874A046DF}"/>
    <cellStyle name="20% - 강조색5 2 2" xfId="403" xr:uid="{F02A23D9-C165-4EF5-81A7-940D04B83C6B}"/>
    <cellStyle name="20% - 강조색5 3" xfId="98" xr:uid="{32594ED3-3038-4CDC-9C30-0B355FD9C119}"/>
    <cellStyle name="20% - 강조색5 3 2" xfId="423" xr:uid="{7C20F877-9B00-4379-9AE5-DE984B8AE792}"/>
    <cellStyle name="20% - 강조색5 4" xfId="118" xr:uid="{7C16B7F5-F116-4837-AC93-56230614F5EB}"/>
    <cellStyle name="20% - 강조색5 4 2" xfId="443" xr:uid="{A9ACA792-DF2D-40C7-BB1D-8C3E765F5A3B}"/>
    <cellStyle name="20% - 강조색5 5" xfId="138" xr:uid="{AD61E653-6D02-4993-BE8B-BC8C624BE249}"/>
    <cellStyle name="20% - 강조색5 5 2" xfId="463" xr:uid="{CCFEBFBF-AADA-4DE2-9484-B784AFBC5243}"/>
    <cellStyle name="20% - 강조색5 6" xfId="158" xr:uid="{79AED299-6773-43D7-859D-1841B1C64F91}"/>
    <cellStyle name="20% - 강조색5 6 2" xfId="483" xr:uid="{9410256F-2D31-499D-88AC-ED3A0A366592}"/>
    <cellStyle name="20% - 강조색5 7" xfId="178" xr:uid="{4E271861-0A9C-4BD9-AA4B-8EC2BC60B6CD}"/>
    <cellStyle name="20% - 강조색5 7 2" xfId="503" xr:uid="{B31BED31-5FF1-4D47-865E-CE0C131E0A63}"/>
    <cellStyle name="20% - 강조색5 8" xfId="198" xr:uid="{065D2FA9-1C3F-4C00-BAA7-41A137662E55}"/>
    <cellStyle name="20% - 강조색5 8 2" xfId="523" xr:uid="{56532674-806B-45BF-B847-C0CE90C1772F}"/>
    <cellStyle name="20% - 강조색5 9" xfId="218" xr:uid="{772F6110-8CBC-401D-913D-DFF9BBD2E526}"/>
    <cellStyle name="20% - 강조색5 9 2" xfId="543" xr:uid="{26382868-B59E-4391-A9BB-14FCF9AEEC14}"/>
    <cellStyle name="20% - 강조색6 10" xfId="241" xr:uid="{A9D7E7EF-A19E-4C1A-AB1C-96A3CDA2DCD8}"/>
    <cellStyle name="20% - 강조색6 10 2" xfId="566" xr:uid="{20B96A32-E19D-4A70-B90B-DABC2A32C05C}"/>
    <cellStyle name="20% - 강조색6 11" xfId="261" xr:uid="{8D2F71CB-6051-471E-94A7-4CAE37718795}"/>
    <cellStyle name="20% - 강조색6 11 2" xfId="586" xr:uid="{227B7DF0-2E66-44F3-A0CA-1567D3EDB802}"/>
    <cellStyle name="20% - 강조색6 12" xfId="281" xr:uid="{2976DA9E-E40C-4CBB-B753-8F3838D90FF5}"/>
    <cellStyle name="20% - 강조색6 12 2" xfId="606" xr:uid="{F3B42876-0CAA-4B32-BE84-EC2A90D20B1C}"/>
    <cellStyle name="20% - 강조색6 13" xfId="301" xr:uid="{1CF5B089-D809-40CF-978F-C0726662BAD4}"/>
    <cellStyle name="20% - 강조색6 13 2" xfId="626" xr:uid="{6355418B-94AC-4E61-886B-2780C7321076}"/>
    <cellStyle name="20% - 강조색6 14" xfId="321" xr:uid="{5C69464F-281D-4BAC-8941-618B90636E59}"/>
    <cellStyle name="20% - 강조색6 14 2" xfId="646" xr:uid="{82A5758F-551C-43F9-9F4D-2BE842CAD1E3}"/>
    <cellStyle name="20% - 강조색6 15" xfId="341" xr:uid="{40F01361-CA31-4499-9DBE-6C6AB30963FF}"/>
    <cellStyle name="20% - 강조색6 15 2" xfId="666" xr:uid="{7DB82F94-F309-40E6-8E1D-AFB47F752D6C}"/>
    <cellStyle name="20% - 강조색6 16" xfId="361" xr:uid="{F40D55B9-7FFD-4629-BBAC-33FEAF6B353F}"/>
    <cellStyle name="20% - 강조색6 16 2" xfId="686" xr:uid="{2A62C90F-C507-4F82-97A3-0749A5B6589F}"/>
    <cellStyle name="20% - 강조색6 17" xfId="384" xr:uid="{E3E99765-0CF6-44CB-B263-1916F2FCA6A3}"/>
    <cellStyle name="20% - 강조색6 2" xfId="81" xr:uid="{E94A4951-3DCE-4107-A172-07961584A1EC}"/>
    <cellStyle name="20% - 강조색6 2 2" xfId="406" xr:uid="{D7AB6C15-68C7-475D-94D4-4B18CA7D063F}"/>
    <cellStyle name="20% - 강조색6 3" xfId="101" xr:uid="{F0F6CE67-9038-4292-8AD0-D6B8B02E23D6}"/>
    <cellStyle name="20% - 강조색6 3 2" xfId="426" xr:uid="{CAE650E4-3B4E-485B-AEB7-6DC678D0E75F}"/>
    <cellStyle name="20% - 강조색6 4" xfId="121" xr:uid="{CFE1F780-5DD4-4234-A16D-F6D66B1D0248}"/>
    <cellStyle name="20% - 강조색6 4 2" xfId="446" xr:uid="{972E05F9-B1A9-45DD-A8B5-A2349974E57B}"/>
    <cellStyle name="20% - 강조색6 5" xfId="141" xr:uid="{5190C24C-3DB1-4404-98F9-AAA2ABDACE24}"/>
    <cellStyle name="20% - 강조색6 5 2" xfId="466" xr:uid="{1CEE4DE4-07A3-478F-8345-80EB1B2B2CC5}"/>
    <cellStyle name="20% - 강조색6 6" xfId="161" xr:uid="{068ACF7A-B94A-4263-9EA3-BAD4356213EE}"/>
    <cellStyle name="20% - 강조색6 6 2" xfId="486" xr:uid="{3E139934-66AF-45D6-A6CF-5CFC3BB29A57}"/>
    <cellStyle name="20% - 강조색6 7" xfId="181" xr:uid="{7F0E0991-186C-46D1-849C-F961850DAF91}"/>
    <cellStyle name="20% - 강조색6 7 2" xfId="506" xr:uid="{F2231BE4-992D-4EA1-B5A0-AD7DA1EEFBF1}"/>
    <cellStyle name="20% - 강조색6 8" xfId="201" xr:uid="{25052CED-D218-4512-8F9B-138DD7092BA0}"/>
    <cellStyle name="20% - 강조색6 8 2" xfId="526" xr:uid="{68694249-FE89-4B5F-A140-093CE68C5A6C}"/>
    <cellStyle name="20% - 강조색6 9" xfId="221" xr:uid="{CE3D1595-0958-48A2-B9EE-416DA293B80D}"/>
    <cellStyle name="20% - 강조색6 9 2" xfId="546" xr:uid="{5A180EDE-6976-4FC9-A658-288AE70516C4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2" xr:uid="{B5417E2D-FC10-40A6-9613-FD4E41513BC3}"/>
    <cellStyle name="40% - 강조색1 11" xfId="247" xr:uid="{1995D369-4950-4911-8B5B-D6D1B63DABEC}"/>
    <cellStyle name="40% - 강조색1 11 2" xfId="572" xr:uid="{54166BFB-03FC-4D4D-A711-263F1D62AB32}"/>
    <cellStyle name="40% - 강조색1 12" xfId="267" xr:uid="{28FA5F6C-C506-48F5-972A-4BD8254ECA20}"/>
    <cellStyle name="40% - 강조색1 12 2" xfId="592" xr:uid="{317476AE-FD83-4D47-8B19-DE31E1A47118}"/>
    <cellStyle name="40% - 강조색1 13" xfId="287" xr:uid="{DC801FBA-B5DC-4833-A0E5-0880E2C9FA75}"/>
    <cellStyle name="40% - 강조색1 13 2" xfId="612" xr:uid="{42AB598A-2E39-43D3-992F-E9A2E5C72B47}"/>
    <cellStyle name="40% - 강조색1 14" xfId="307" xr:uid="{D86DB530-F8E8-4256-A055-C4DCF24DF42B}"/>
    <cellStyle name="40% - 강조색1 14 2" xfId="632" xr:uid="{77620128-BC37-43E3-8640-4A849AB4C62E}"/>
    <cellStyle name="40% - 강조색1 15" xfId="327" xr:uid="{C6DEF322-810C-450F-8439-21E9E59A2120}"/>
    <cellStyle name="40% - 강조색1 15 2" xfId="652" xr:uid="{7B3BF656-2046-4531-9869-21BC083FC247}"/>
    <cellStyle name="40% - 강조색1 16" xfId="347" xr:uid="{7A654AAF-A51C-4D06-AD76-DDD5C11DEE5E}"/>
    <cellStyle name="40% - 강조색1 16 2" xfId="672" xr:uid="{8ACDD0C6-4DB7-46DB-8433-5F3007BC0937}"/>
    <cellStyle name="40% - 강조색1 17" xfId="370" xr:uid="{A665502A-4144-468B-9D20-3D077D44B2A4}"/>
    <cellStyle name="40% - 강조색1 2" xfId="67" xr:uid="{B3DEA3BC-2994-4847-AB57-CDE22DE2526D}"/>
    <cellStyle name="40% - 강조색1 2 2" xfId="392" xr:uid="{EEF3CD2D-E8FA-4A11-98E5-89C1539350FD}"/>
    <cellStyle name="40% - 강조색1 3" xfId="87" xr:uid="{BC042DC4-BE1F-4C1C-B3E7-DAD07FE4A460}"/>
    <cellStyle name="40% - 강조색1 3 2" xfId="412" xr:uid="{99E85ADA-9CEF-4A7F-B533-F00AA7664418}"/>
    <cellStyle name="40% - 강조색1 4" xfId="107" xr:uid="{0657A2DC-39FC-4EAF-86E3-357E212E02A7}"/>
    <cellStyle name="40% - 강조색1 4 2" xfId="432" xr:uid="{9BD8976B-DA14-4033-92CD-863346EB831C}"/>
    <cellStyle name="40% - 강조색1 5" xfId="127" xr:uid="{578BAB59-F1C4-40D9-A0B9-4F984791752D}"/>
    <cellStyle name="40% - 강조색1 5 2" xfId="452" xr:uid="{BB4C3F76-F685-482E-B7A5-EF4782ECA801}"/>
    <cellStyle name="40% - 강조색1 6" xfId="147" xr:uid="{8FFBF4F8-FB29-4DA6-9794-9A1398CED210}"/>
    <cellStyle name="40% - 강조색1 6 2" xfId="472" xr:uid="{1E02614E-50ED-4AD1-8669-9B73F570D36F}"/>
    <cellStyle name="40% - 강조색1 7" xfId="167" xr:uid="{1927FD0E-4BE2-4492-BB2E-1966527C7123}"/>
    <cellStyle name="40% - 강조색1 7 2" xfId="492" xr:uid="{06359DC1-E7FD-4B88-A6BD-ADAF4135CE23}"/>
    <cellStyle name="40% - 강조색1 8" xfId="187" xr:uid="{534FA0DC-8F7C-49E0-9E23-7705211A8717}"/>
    <cellStyle name="40% - 강조색1 8 2" xfId="512" xr:uid="{4D6E6FF3-3008-4959-A5CC-9008F5B588F1}"/>
    <cellStyle name="40% - 강조색1 9" xfId="207" xr:uid="{3AE69E2A-7B92-4C93-BFD7-548085599299}"/>
    <cellStyle name="40% - 강조색1 9 2" xfId="532" xr:uid="{174551B3-59EC-44C7-9D6B-99E18A678182}"/>
    <cellStyle name="40% - 강조색2 10" xfId="230" xr:uid="{382D258B-D946-495B-BB96-23BC5A2A4906}"/>
    <cellStyle name="40% - 강조색2 10 2" xfId="555" xr:uid="{65E259FA-67BF-424E-9F8C-36486CA13ED6}"/>
    <cellStyle name="40% - 강조색2 11" xfId="250" xr:uid="{BCC6833B-7F37-4366-AB03-A4189D5D1A5C}"/>
    <cellStyle name="40% - 강조색2 11 2" xfId="575" xr:uid="{9A00639E-6F82-4BAE-99D6-18F98D034C1D}"/>
    <cellStyle name="40% - 강조색2 12" xfId="270" xr:uid="{403E36EF-A38B-4C19-8BA7-DB8475CFAFF4}"/>
    <cellStyle name="40% - 강조색2 12 2" xfId="595" xr:uid="{1D25CD6C-5EE7-4BE7-8EE9-4F2F20791345}"/>
    <cellStyle name="40% - 강조색2 13" xfId="290" xr:uid="{A2F10307-2B51-454B-A85E-4616A0F5935B}"/>
    <cellStyle name="40% - 강조색2 13 2" xfId="615" xr:uid="{76002199-5900-454E-B8F8-68A69BC43A43}"/>
    <cellStyle name="40% - 강조색2 14" xfId="310" xr:uid="{B4141A08-22E1-4CDC-BA81-C732B403F5E0}"/>
    <cellStyle name="40% - 강조색2 14 2" xfId="635" xr:uid="{9DF856E3-61C4-4058-BAAA-CB3312951F4A}"/>
    <cellStyle name="40% - 강조색2 15" xfId="330" xr:uid="{33712066-8439-4FAC-8F5C-5F034E7A6D27}"/>
    <cellStyle name="40% - 강조색2 15 2" xfId="655" xr:uid="{C1C5232A-92E3-4291-9E08-59C17973A60E}"/>
    <cellStyle name="40% - 강조색2 16" xfId="350" xr:uid="{AFC6F076-90EA-4581-8BDE-36F03B53E5FA}"/>
    <cellStyle name="40% - 강조색2 16 2" xfId="675" xr:uid="{148F76FF-01A9-4D45-A8FB-5FFFE5E1DABE}"/>
    <cellStyle name="40% - 강조색2 17" xfId="373" xr:uid="{68064C65-8CB5-4B9F-9E54-B2958CA13D5C}"/>
    <cellStyle name="40% - 강조색2 2" xfId="70" xr:uid="{146568DE-76ED-412C-8120-A894E6D0A4B0}"/>
    <cellStyle name="40% - 강조색2 2 2" xfId="395" xr:uid="{0B5483EE-C2FE-467B-9B15-ECDE9890801E}"/>
    <cellStyle name="40% - 강조색2 3" xfId="90" xr:uid="{6937B661-ED94-4445-9C14-01D5D09A333C}"/>
    <cellStyle name="40% - 강조색2 3 2" xfId="415" xr:uid="{FEF1B745-C1AC-4F46-93EE-4861F1393690}"/>
    <cellStyle name="40% - 강조색2 4" xfId="110" xr:uid="{EF3AB1E6-F129-4803-A904-8F5D2B56F839}"/>
    <cellStyle name="40% - 강조색2 4 2" xfId="435" xr:uid="{3A740901-D580-4A82-83C6-97E3586356CF}"/>
    <cellStyle name="40% - 강조색2 5" xfId="130" xr:uid="{3B2608EE-CC80-4ED2-A47A-206D0C8833A2}"/>
    <cellStyle name="40% - 강조색2 5 2" xfId="455" xr:uid="{E92223AD-6926-4610-9A62-8738A243656F}"/>
    <cellStyle name="40% - 강조색2 6" xfId="150" xr:uid="{3036EC20-0BD7-4FB0-9452-B74E026CC1F0}"/>
    <cellStyle name="40% - 강조색2 6 2" xfId="475" xr:uid="{9A872B78-805E-490F-AC1D-8020F4294875}"/>
    <cellStyle name="40% - 강조색2 7" xfId="170" xr:uid="{06D71241-9842-4FB1-92CC-B4734351DE63}"/>
    <cellStyle name="40% - 강조색2 7 2" xfId="495" xr:uid="{B8A8CB34-54B8-411D-8847-1A26E890C70E}"/>
    <cellStyle name="40% - 강조색2 8" xfId="190" xr:uid="{E4CD3BF1-0702-4D79-8779-88F0FB3618AE}"/>
    <cellStyle name="40% - 강조색2 8 2" xfId="515" xr:uid="{BD0557E0-A005-45FB-B9E7-EB60F9748672}"/>
    <cellStyle name="40% - 강조색2 9" xfId="210" xr:uid="{132DE09A-2130-4280-B94F-352BF1679BB9}"/>
    <cellStyle name="40% - 강조색2 9 2" xfId="535" xr:uid="{2826E06A-E0DE-4EB3-B63F-B58CB11F876B}"/>
    <cellStyle name="40% - 강조색3 10" xfId="233" xr:uid="{5DCA0145-145D-477F-9C69-0E7D0BDAA8CE}"/>
    <cellStyle name="40% - 강조색3 10 2" xfId="558" xr:uid="{82564984-74CA-4357-BE14-BA5C2A6DE788}"/>
    <cellStyle name="40% - 강조색3 11" xfId="253" xr:uid="{12DE31AC-58EA-478B-B2F8-EC3A4EF8B964}"/>
    <cellStyle name="40% - 강조색3 11 2" xfId="578" xr:uid="{5BBB71BF-81E6-410A-B047-635B64A51DBA}"/>
    <cellStyle name="40% - 강조색3 12" xfId="273" xr:uid="{4D7B6B2B-88B6-4009-9330-B8230883E09C}"/>
    <cellStyle name="40% - 강조색3 12 2" xfId="598" xr:uid="{576D35D8-6624-44B9-AAFA-15FBA3A9C9A4}"/>
    <cellStyle name="40% - 강조색3 13" xfId="293" xr:uid="{9D4232AF-38AE-4270-A53D-2285EF09B933}"/>
    <cellStyle name="40% - 강조색3 13 2" xfId="618" xr:uid="{AA3C52FE-6A10-43F3-B567-F377DA5E52D0}"/>
    <cellStyle name="40% - 강조색3 14" xfId="313" xr:uid="{4DD5EB19-A054-4F9C-BA8A-F25A1F5CA218}"/>
    <cellStyle name="40% - 강조색3 14 2" xfId="638" xr:uid="{6BFF2607-3B14-4D2D-AD27-3F4D683D76D8}"/>
    <cellStyle name="40% - 강조색3 15" xfId="333" xr:uid="{B100FFB5-33E8-41BF-8CBF-C81607218082}"/>
    <cellStyle name="40% - 강조색3 15 2" xfId="658" xr:uid="{55B12BC8-A1FE-4178-B129-0B9768CBEF69}"/>
    <cellStyle name="40% - 강조색3 16" xfId="353" xr:uid="{3A0E85DF-FC63-43E3-BC34-1401B1198215}"/>
    <cellStyle name="40% - 강조색3 16 2" xfId="678" xr:uid="{626839B7-DC61-42E6-9705-91918DE1C657}"/>
    <cellStyle name="40% - 강조색3 17" xfId="376" xr:uid="{C5028590-0C9C-4CCB-9A4C-73E8C97BB9DE}"/>
    <cellStyle name="40% - 강조색3 2" xfId="73" xr:uid="{C705B1AE-544A-4371-ADBE-70B9BA64B990}"/>
    <cellStyle name="40% - 강조색3 2 2" xfId="398" xr:uid="{AA8E6B16-5B17-4475-BAF6-D290A856FF62}"/>
    <cellStyle name="40% - 강조색3 3" xfId="93" xr:uid="{75AFCD94-0305-4697-A3EE-8E26414271F6}"/>
    <cellStyle name="40% - 강조색3 3 2" xfId="418" xr:uid="{3ED9733D-5D61-49D2-AC7C-3100A8D6436E}"/>
    <cellStyle name="40% - 강조색3 4" xfId="113" xr:uid="{A46A58AF-ADF1-4CD5-8249-50FFE2BB1134}"/>
    <cellStyle name="40% - 강조색3 4 2" xfId="438" xr:uid="{DDDFA40E-33D5-47F6-9129-731A859727B6}"/>
    <cellStyle name="40% - 강조색3 5" xfId="133" xr:uid="{0800A894-E1D7-40D2-8B77-A8F344BA31E2}"/>
    <cellStyle name="40% - 강조색3 5 2" xfId="458" xr:uid="{F242A8C0-5265-446C-87D1-F2147E2CDA71}"/>
    <cellStyle name="40% - 강조색3 6" xfId="153" xr:uid="{54F5813A-1F40-4B47-825B-478DA88788F1}"/>
    <cellStyle name="40% - 강조색3 6 2" xfId="478" xr:uid="{9D801EC4-F9B4-48EB-9629-259CF1E6D81C}"/>
    <cellStyle name="40% - 강조색3 7" xfId="173" xr:uid="{31D59DE3-E49F-462A-9662-80189E92696D}"/>
    <cellStyle name="40% - 강조색3 7 2" xfId="498" xr:uid="{5F651FF2-92ED-45BC-9E96-956833A012B9}"/>
    <cellStyle name="40% - 강조색3 8" xfId="193" xr:uid="{B9B7443B-9F0E-4C88-B960-D2AFA151E97E}"/>
    <cellStyle name="40% - 강조색3 8 2" xfId="518" xr:uid="{C6147D92-BB29-4515-B116-7A5950E3C809}"/>
    <cellStyle name="40% - 강조색3 9" xfId="213" xr:uid="{4A23610B-77CE-47A2-B2FB-E8C44A920724}"/>
    <cellStyle name="40% - 강조색3 9 2" xfId="538" xr:uid="{6228959E-EEEB-49E5-94E8-D8D62CDB0BB8}"/>
    <cellStyle name="40% - 강조색4 10" xfId="236" xr:uid="{279AACC2-5F8A-4635-BD30-C38CC99F5BBF}"/>
    <cellStyle name="40% - 강조색4 10 2" xfId="561" xr:uid="{E901725E-0122-4BC9-9D3E-C4E8F52A80CB}"/>
    <cellStyle name="40% - 강조색4 11" xfId="256" xr:uid="{9192174F-5DD8-40D2-8FBE-748F54596A66}"/>
    <cellStyle name="40% - 강조색4 11 2" xfId="581" xr:uid="{9F5F91A3-A22F-4293-A907-A3F6231EBF2D}"/>
    <cellStyle name="40% - 강조색4 12" xfId="276" xr:uid="{E7D5EA16-D63E-4C1A-AF42-E59203C3D5BE}"/>
    <cellStyle name="40% - 강조색4 12 2" xfId="601" xr:uid="{C5F42BAB-4F49-445E-AA7D-9718F96ADE76}"/>
    <cellStyle name="40% - 강조색4 13" xfId="296" xr:uid="{CD315F74-634E-45B3-B400-D1F3A704B954}"/>
    <cellStyle name="40% - 강조색4 13 2" xfId="621" xr:uid="{25419CE3-026C-4D72-83D0-0D9A21E5C606}"/>
    <cellStyle name="40% - 강조색4 14" xfId="316" xr:uid="{AEE24686-1DFF-44DB-AACB-CB3518FE212E}"/>
    <cellStyle name="40% - 강조색4 14 2" xfId="641" xr:uid="{B4A4BD0A-A419-40BC-831A-6C5D40F71EDE}"/>
    <cellStyle name="40% - 강조색4 15" xfId="336" xr:uid="{8AB618DB-58B6-4512-9B5B-DEFD00DF04CB}"/>
    <cellStyle name="40% - 강조색4 15 2" xfId="661" xr:uid="{A9CA1326-7AB7-499D-81CC-313FEA0A7A36}"/>
    <cellStyle name="40% - 강조색4 16" xfId="356" xr:uid="{E771F947-75DA-4814-9184-2E49D604F767}"/>
    <cellStyle name="40% - 강조색4 16 2" xfId="681" xr:uid="{2023B703-DA65-454D-BC10-079BC15035F4}"/>
    <cellStyle name="40% - 강조색4 17" xfId="379" xr:uid="{7FF28EE7-BEEF-4702-AB91-63C79FFFF991}"/>
    <cellStyle name="40% - 강조색4 2" xfId="76" xr:uid="{EB5178A4-8D44-4DCF-8595-8E58742034D4}"/>
    <cellStyle name="40% - 강조색4 2 2" xfId="401" xr:uid="{89BBE645-568B-4AB0-A651-5F865E397A62}"/>
    <cellStyle name="40% - 강조색4 3" xfId="96" xr:uid="{7DDF99F7-62C4-4110-8149-7035429412C4}"/>
    <cellStyle name="40% - 강조색4 3 2" xfId="421" xr:uid="{49AA9ABB-29C4-499F-82CF-73A70CD54446}"/>
    <cellStyle name="40% - 강조색4 4" xfId="116" xr:uid="{1E9F2364-AB0C-4410-BDC1-1AE32AB9EBB0}"/>
    <cellStyle name="40% - 강조색4 4 2" xfId="441" xr:uid="{23BA07C0-6A68-4057-91EA-7F97F0DBE763}"/>
    <cellStyle name="40% - 강조색4 5" xfId="136" xr:uid="{E68D7333-2DDE-4C3C-926E-5C42685FBF6F}"/>
    <cellStyle name="40% - 강조색4 5 2" xfId="461" xr:uid="{55DA0CA2-C4F8-4F9F-B896-38850F82F72D}"/>
    <cellStyle name="40% - 강조색4 6" xfId="156" xr:uid="{4ACE2520-D97A-432B-9F39-F4AEAB87806C}"/>
    <cellStyle name="40% - 강조색4 6 2" xfId="481" xr:uid="{F5CBFEB4-2FE7-4A4B-AA9F-DDE62110D000}"/>
    <cellStyle name="40% - 강조색4 7" xfId="176" xr:uid="{45C0AF15-E90B-4919-B72B-1328E7C285F5}"/>
    <cellStyle name="40% - 강조색4 7 2" xfId="501" xr:uid="{4056B534-384A-4AEF-BB48-6D0F89D00DDA}"/>
    <cellStyle name="40% - 강조색4 8" xfId="196" xr:uid="{42FE4E23-137F-4281-896F-4A37A35DF536}"/>
    <cellStyle name="40% - 강조색4 8 2" xfId="521" xr:uid="{AB62BFE5-CE06-4286-9788-0B82A1F0565C}"/>
    <cellStyle name="40% - 강조색4 9" xfId="216" xr:uid="{5FE4A7DD-4F23-4F4B-9A91-26CA02F74E9F}"/>
    <cellStyle name="40% - 강조색4 9 2" xfId="541" xr:uid="{4754C34E-02FF-40BB-897F-AFAF0401C4AB}"/>
    <cellStyle name="40% - 강조색5 10" xfId="239" xr:uid="{BA76548E-7B5B-498D-8406-8634949E5754}"/>
    <cellStyle name="40% - 강조색5 10 2" xfId="564" xr:uid="{62AFFA87-75B5-454F-BEAD-A493193A409F}"/>
    <cellStyle name="40% - 강조색5 11" xfId="259" xr:uid="{424F185F-7460-4E6C-A653-EFCCE0B5C804}"/>
    <cellStyle name="40% - 강조색5 11 2" xfId="584" xr:uid="{A9ECBD9F-0297-4D9D-8EEC-83C6FC2D00C3}"/>
    <cellStyle name="40% - 강조색5 12" xfId="279" xr:uid="{F5BD1F5E-3484-4B88-A4B4-9A38BB4DB575}"/>
    <cellStyle name="40% - 강조색5 12 2" xfId="604" xr:uid="{4F123D09-F0BC-48F7-AA66-23DAB105E692}"/>
    <cellStyle name="40% - 강조색5 13" xfId="299" xr:uid="{A664C5D0-FB12-4A05-B564-030B6E90913C}"/>
    <cellStyle name="40% - 강조색5 13 2" xfId="624" xr:uid="{ADB10030-01F4-49DA-9677-B82B7E49C3E0}"/>
    <cellStyle name="40% - 강조색5 14" xfId="319" xr:uid="{BE37C2E4-E4CE-499D-B8C6-1A2D96C594B2}"/>
    <cellStyle name="40% - 강조색5 14 2" xfId="644" xr:uid="{BDD701A3-BDF2-40F0-85A3-86E48AC67D96}"/>
    <cellStyle name="40% - 강조색5 15" xfId="339" xr:uid="{A60B9A30-D593-48D8-B8B7-DA95F35BD562}"/>
    <cellStyle name="40% - 강조색5 15 2" xfId="664" xr:uid="{9720670A-BBDF-4CC1-BF31-90C487CC59CF}"/>
    <cellStyle name="40% - 강조색5 16" xfId="359" xr:uid="{3572AD67-08C0-4CA1-9D33-A662BC77D774}"/>
    <cellStyle name="40% - 강조색5 16 2" xfId="684" xr:uid="{E1642B61-8376-41CF-B53C-025BB98F5669}"/>
    <cellStyle name="40% - 강조색5 17" xfId="382" xr:uid="{AC01C5DC-3B11-4DFB-A3EE-AFAC96D95F35}"/>
    <cellStyle name="40% - 강조색5 2" xfId="79" xr:uid="{2FD2444E-57DF-4113-B480-858C6A8D4451}"/>
    <cellStyle name="40% - 강조색5 2 2" xfId="404" xr:uid="{B9B45EC7-783B-483D-ADDE-676564EF0269}"/>
    <cellStyle name="40% - 강조색5 3" xfId="99" xr:uid="{F226EFB6-2501-4022-91DE-D0995D383E3C}"/>
    <cellStyle name="40% - 강조색5 3 2" xfId="424" xr:uid="{39579442-C47F-4F45-A9D9-4F754A5F7040}"/>
    <cellStyle name="40% - 강조색5 4" xfId="119" xr:uid="{48F82457-8C9B-4497-BFC6-D40C30AE952B}"/>
    <cellStyle name="40% - 강조색5 4 2" xfId="444" xr:uid="{A8F975A7-A2E0-454B-9D5E-B725C475C973}"/>
    <cellStyle name="40% - 강조색5 5" xfId="139" xr:uid="{5D18B759-CFA1-423A-8896-513E7463EA2D}"/>
    <cellStyle name="40% - 강조색5 5 2" xfId="464" xr:uid="{6CB4985B-A171-4044-B28C-EF6AC3730292}"/>
    <cellStyle name="40% - 강조색5 6" xfId="159" xr:uid="{92D981D6-A165-4648-B862-13C2C8AF5A2B}"/>
    <cellStyle name="40% - 강조색5 6 2" xfId="484" xr:uid="{DAA8B9BA-B2D5-4E25-B2F7-32529C0F9CF7}"/>
    <cellStyle name="40% - 강조색5 7" xfId="179" xr:uid="{0E855858-D7BA-4E58-A50B-DF778967EFAA}"/>
    <cellStyle name="40% - 강조색5 7 2" xfId="504" xr:uid="{61E409BE-7B77-4C4D-AE9C-752C82D836D6}"/>
    <cellStyle name="40% - 강조색5 8" xfId="199" xr:uid="{4D7F1574-D752-49B6-892C-7686097E072D}"/>
    <cellStyle name="40% - 강조색5 8 2" xfId="524" xr:uid="{A27A7314-0325-4A20-AF76-326350C77BE1}"/>
    <cellStyle name="40% - 강조색5 9" xfId="219" xr:uid="{C3599F2D-029D-43AC-A322-099F96CB9902}"/>
    <cellStyle name="40% - 강조색5 9 2" xfId="544" xr:uid="{35510805-C8BB-4BB8-9F2A-6AC11A943FED}"/>
    <cellStyle name="40% - 강조색6 10" xfId="242" xr:uid="{E82BFB48-84FD-41B7-AB7F-3FC7DAD9B6DF}"/>
    <cellStyle name="40% - 강조색6 10 2" xfId="567" xr:uid="{B3E60255-3FB7-4EE4-8E70-C6EE0069BB11}"/>
    <cellStyle name="40% - 강조색6 11" xfId="262" xr:uid="{7F222311-21F8-4F52-86D3-B6BCB9F92164}"/>
    <cellStyle name="40% - 강조색6 11 2" xfId="587" xr:uid="{C6C52E4F-E08E-40BB-B6B2-E00C2B4DD633}"/>
    <cellStyle name="40% - 강조색6 12" xfId="282" xr:uid="{620521F1-AF1F-4213-A635-B81EA35B4D80}"/>
    <cellStyle name="40% - 강조색6 12 2" xfId="607" xr:uid="{F26FA79A-4170-4228-AB3D-FD73D54B36AC}"/>
    <cellStyle name="40% - 강조색6 13" xfId="302" xr:uid="{918AA8C0-6591-4A67-A306-A8D34B2778DA}"/>
    <cellStyle name="40% - 강조색6 13 2" xfId="627" xr:uid="{9E0480A8-BA90-4BFB-ABBD-BDDD4F4E8F98}"/>
    <cellStyle name="40% - 강조색6 14" xfId="322" xr:uid="{0F489502-E054-437F-BAD6-962A518FFF7D}"/>
    <cellStyle name="40% - 강조색6 14 2" xfId="647" xr:uid="{DF294A26-003F-4975-A321-89A4A8004CC0}"/>
    <cellStyle name="40% - 강조색6 15" xfId="342" xr:uid="{D02158DF-36FE-4148-9949-1B565C11BBDF}"/>
    <cellStyle name="40% - 강조색6 15 2" xfId="667" xr:uid="{FF7CDDAF-B7FA-45C7-9BB5-371A9BF083A0}"/>
    <cellStyle name="40% - 강조색6 16" xfId="362" xr:uid="{0228A41F-3552-403A-BEB9-13D91F7107B5}"/>
    <cellStyle name="40% - 강조색6 16 2" xfId="687" xr:uid="{22F9D4D4-AB64-4524-B2A1-638EFA63605C}"/>
    <cellStyle name="40% - 강조색6 17" xfId="385" xr:uid="{74D7FC4F-572A-4675-9901-A58E6C432084}"/>
    <cellStyle name="40% - 강조색6 2" xfId="82" xr:uid="{ABAFEDE8-FFD6-42E3-AE21-8DF4E8E999CF}"/>
    <cellStyle name="40% - 강조색6 2 2" xfId="407" xr:uid="{5324E2AA-2823-4BEC-BAD1-07E0047C4354}"/>
    <cellStyle name="40% - 강조색6 3" xfId="102" xr:uid="{261FF799-21A4-4DFD-BC41-AD36A40AB6C0}"/>
    <cellStyle name="40% - 강조색6 3 2" xfId="427" xr:uid="{DC58DC58-C70D-4D5C-8AD5-62BD6AC05C4F}"/>
    <cellStyle name="40% - 강조색6 4" xfId="122" xr:uid="{6D2E5168-6F7B-4B98-A80D-3A36768628F3}"/>
    <cellStyle name="40% - 강조색6 4 2" xfId="447" xr:uid="{1B6FB902-38EF-4C9D-A95B-B979E772CE64}"/>
    <cellStyle name="40% - 강조색6 5" xfId="142" xr:uid="{4647BD6D-3215-4C41-8EF3-2645F2D1CA00}"/>
    <cellStyle name="40% - 강조색6 5 2" xfId="467" xr:uid="{69A0C2E6-FC2F-4714-B8A8-E7DFD3B643DD}"/>
    <cellStyle name="40% - 강조색6 6" xfId="162" xr:uid="{7E3D72B4-30A0-4B08-BDD0-18D2D7826858}"/>
    <cellStyle name="40% - 강조색6 6 2" xfId="487" xr:uid="{7056F31F-AAA3-426F-922B-90EB2EB6F00D}"/>
    <cellStyle name="40% - 강조색6 7" xfId="182" xr:uid="{05CFEC58-67B0-46E3-A580-AB3F892F5F02}"/>
    <cellStyle name="40% - 강조색6 7 2" xfId="507" xr:uid="{D89194F6-D9CF-48CD-B701-B036E04C7242}"/>
    <cellStyle name="40% - 강조색6 8" xfId="202" xr:uid="{3DB6A435-9D18-41C8-A80C-5CA6BC3C8EC3}"/>
    <cellStyle name="40% - 강조색6 8 2" xfId="527" xr:uid="{ABEEA96E-EA04-40A2-83A8-1489773E0683}"/>
    <cellStyle name="40% - 강조색6 9" xfId="222" xr:uid="{437FDFC9-C82F-4230-A465-4560C5905C74}"/>
    <cellStyle name="40% - 강조색6 9 2" xfId="547" xr:uid="{66AEB78B-A35F-47B5-BF02-220446662FCE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3" xr:uid="{4EC12861-F112-4A57-BE82-8607D944A0FF}"/>
    <cellStyle name="60% - 강조색1 11" xfId="248" xr:uid="{E4397767-24DE-4A4E-8808-6EE3AC7ADD6A}"/>
    <cellStyle name="60% - 강조색1 11 2" xfId="573" xr:uid="{E9CD7AFC-95D5-47C8-9199-9183B028B0F9}"/>
    <cellStyle name="60% - 강조색1 12" xfId="268" xr:uid="{45163B68-6E14-49BA-BFA4-ECA510354E09}"/>
    <cellStyle name="60% - 강조색1 12 2" xfId="593" xr:uid="{E0F0E7AE-6988-4E30-9A8B-6DB1C84D8645}"/>
    <cellStyle name="60% - 강조색1 13" xfId="288" xr:uid="{4ECEC866-C940-4B1D-8E38-55A23D2D0542}"/>
    <cellStyle name="60% - 강조색1 13 2" xfId="613" xr:uid="{112F37A4-4AF9-4906-8E72-C5567A558F42}"/>
    <cellStyle name="60% - 강조색1 14" xfId="308" xr:uid="{DF8043AD-8773-4D93-B2C8-1B5C7502C135}"/>
    <cellStyle name="60% - 강조색1 14 2" xfId="633" xr:uid="{3634A00A-A53B-43A1-90A0-848FC7341300}"/>
    <cellStyle name="60% - 강조색1 15" xfId="328" xr:uid="{AE574A2D-9FB0-4ACE-B888-47AD5434508A}"/>
    <cellStyle name="60% - 강조색1 15 2" xfId="653" xr:uid="{50E0403C-A682-4E84-B7B7-AB504AA3622B}"/>
    <cellStyle name="60% - 강조색1 16" xfId="348" xr:uid="{8CEA539B-6240-42C9-B368-161B9EDC0A45}"/>
    <cellStyle name="60% - 강조색1 16 2" xfId="673" xr:uid="{969470CE-22B7-42DA-B45E-FBBE8524DB29}"/>
    <cellStyle name="60% - 강조색1 17" xfId="371" xr:uid="{61A5E3BE-7A75-427B-983F-60835FCC5B90}"/>
    <cellStyle name="60% - 강조색1 2" xfId="68" xr:uid="{D96F520C-0939-4D6D-A16E-E458CF2912C2}"/>
    <cellStyle name="60% - 강조색1 2 2" xfId="393" xr:uid="{2366AAF4-388E-49C8-B95E-197E10F2EBCE}"/>
    <cellStyle name="60% - 강조색1 3" xfId="88" xr:uid="{F66CE541-3BD7-4504-AC6D-7AF378A3DEDA}"/>
    <cellStyle name="60% - 강조색1 3 2" xfId="413" xr:uid="{D2C8687B-F327-4255-9DA7-81AC17A6B730}"/>
    <cellStyle name="60% - 강조색1 4" xfId="108" xr:uid="{6FA34F41-E20A-49FA-BFCA-CD52598158FD}"/>
    <cellStyle name="60% - 강조색1 4 2" xfId="433" xr:uid="{01E4C741-6FE6-420B-96DA-39EBC1E6B620}"/>
    <cellStyle name="60% - 강조색1 5" xfId="128" xr:uid="{3463E9EE-F8EC-4E54-834C-9B81B7FECD98}"/>
    <cellStyle name="60% - 강조색1 5 2" xfId="453" xr:uid="{72D18018-1065-4CED-86ED-886D5E1C8DFC}"/>
    <cellStyle name="60% - 강조색1 6" xfId="148" xr:uid="{5B333DEA-5B17-48AA-B16F-C66878B0742C}"/>
    <cellStyle name="60% - 강조색1 6 2" xfId="473" xr:uid="{164C198A-F482-40FC-8DD5-CA932CAA3233}"/>
    <cellStyle name="60% - 강조색1 7" xfId="168" xr:uid="{8212DAC3-9A02-42BE-8CA2-BF85CA1F7FF5}"/>
    <cellStyle name="60% - 강조색1 7 2" xfId="493" xr:uid="{F4F6569C-68F2-4B6D-B891-61C30DC8EC03}"/>
    <cellStyle name="60% - 강조색1 8" xfId="188" xr:uid="{C4DD9030-1D5F-45AE-A9B8-68EA671C2427}"/>
    <cellStyle name="60% - 강조색1 8 2" xfId="513" xr:uid="{2CA21C36-FFEF-4AF6-867E-5B68F878F588}"/>
    <cellStyle name="60% - 강조색1 9" xfId="208" xr:uid="{17F085EB-9BA6-42BC-90C0-6F0174349845}"/>
    <cellStyle name="60% - 강조색1 9 2" xfId="533" xr:uid="{A7BA6A8B-E76C-4AF8-8047-D3D63D72440F}"/>
    <cellStyle name="60% - 강조색2 10" xfId="231" xr:uid="{14C597ED-74A6-41A0-B9C3-84CD44CA0D59}"/>
    <cellStyle name="60% - 강조색2 10 2" xfId="556" xr:uid="{CFB59FE4-4177-42F4-92DD-4043281005F8}"/>
    <cellStyle name="60% - 강조색2 11" xfId="251" xr:uid="{8C1F64DB-16E4-48E9-A735-71A04F737194}"/>
    <cellStyle name="60% - 강조색2 11 2" xfId="576" xr:uid="{C0FADA00-7F69-4F7C-9898-56F17FC64589}"/>
    <cellStyle name="60% - 강조색2 12" xfId="271" xr:uid="{8AF8D59B-02D0-4311-9B00-197848AD0A13}"/>
    <cellStyle name="60% - 강조색2 12 2" xfId="596" xr:uid="{C934176D-E316-4723-BB41-38FCBDB63D99}"/>
    <cellStyle name="60% - 강조색2 13" xfId="291" xr:uid="{092D3EDE-EB8C-4BC8-A3E3-6F8586AFA4F1}"/>
    <cellStyle name="60% - 강조색2 13 2" xfId="616" xr:uid="{99D52341-DDBB-45C4-8FF7-2FBAFD8D416C}"/>
    <cellStyle name="60% - 강조색2 14" xfId="311" xr:uid="{67D6E8F6-6671-4854-A51D-68A4D4178F79}"/>
    <cellStyle name="60% - 강조색2 14 2" xfId="636" xr:uid="{AB3EDC1C-18C2-4B7E-9AC3-9CC110DA2CC7}"/>
    <cellStyle name="60% - 강조색2 15" xfId="331" xr:uid="{AFB5EB0C-80FD-4EB2-B8A6-C7F9EA67F76F}"/>
    <cellStyle name="60% - 강조색2 15 2" xfId="656" xr:uid="{62580ABB-7325-4653-9751-3FF483598EF5}"/>
    <cellStyle name="60% - 강조색2 16" xfId="351" xr:uid="{509739BE-ABF1-4169-8BB8-402FA881B622}"/>
    <cellStyle name="60% - 강조색2 16 2" xfId="676" xr:uid="{5741AA21-6FA2-4BE2-B20D-3B0EA68C4802}"/>
    <cellStyle name="60% - 강조색2 17" xfId="374" xr:uid="{47F7217D-3615-49DD-B7A2-06E8041A0B91}"/>
    <cellStyle name="60% - 강조색2 2" xfId="71" xr:uid="{644D7E5D-D95D-4561-AA7D-F03E99268569}"/>
    <cellStyle name="60% - 강조색2 2 2" xfId="396" xr:uid="{89F0BBF8-9CD1-453C-989D-D1D7F7C0A39A}"/>
    <cellStyle name="60% - 강조색2 3" xfId="91" xr:uid="{6D8DD7CB-BAD5-42BD-8CAA-D865CE7EE7B0}"/>
    <cellStyle name="60% - 강조색2 3 2" xfId="416" xr:uid="{D79F731D-992E-40F7-B960-7BB821A2FF5E}"/>
    <cellStyle name="60% - 강조색2 4" xfId="111" xr:uid="{EB7CA402-BA71-47F3-AA96-0364DD842CDA}"/>
    <cellStyle name="60% - 강조색2 4 2" xfId="436" xr:uid="{CDF25518-7F16-4170-98E6-BE6F263DA84C}"/>
    <cellStyle name="60% - 강조색2 5" xfId="131" xr:uid="{F4E8DAEC-7A51-4F25-AF51-75342EDBB9BF}"/>
    <cellStyle name="60% - 강조색2 5 2" xfId="456" xr:uid="{69EDD08B-1AC2-425B-8133-B207A295EBD3}"/>
    <cellStyle name="60% - 강조색2 6" xfId="151" xr:uid="{232C6D60-F69C-4131-BA00-A2518A57C92F}"/>
    <cellStyle name="60% - 강조색2 6 2" xfId="476" xr:uid="{ADC2CD55-A7A8-4139-A21C-3C26E340FF7E}"/>
    <cellStyle name="60% - 강조색2 7" xfId="171" xr:uid="{54B6E76E-4A23-423C-A58F-0036EF4BD218}"/>
    <cellStyle name="60% - 강조색2 7 2" xfId="496" xr:uid="{69087061-3559-4475-A931-765D1792B1BE}"/>
    <cellStyle name="60% - 강조색2 8" xfId="191" xr:uid="{CAB13629-03F9-4D57-B12A-3727FBAF4666}"/>
    <cellStyle name="60% - 강조색2 8 2" xfId="516" xr:uid="{A16CE06D-B355-446F-81BE-5D2D21FB5872}"/>
    <cellStyle name="60% - 강조색2 9" xfId="211" xr:uid="{A63107D2-B5A6-4F95-8B93-DE528608944A}"/>
    <cellStyle name="60% - 강조색2 9 2" xfId="536" xr:uid="{0793D6B5-7A55-4564-ADDF-03ADEA79F42E}"/>
    <cellStyle name="60% - 강조색3 10" xfId="234" xr:uid="{ED75E9BB-902D-42DB-AF09-843CCDFA3E09}"/>
    <cellStyle name="60% - 강조색3 10 2" xfId="559" xr:uid="{2C928C92-29AE-48FC-8A63-DEEE23F474B5}"/>
    <cellStyle name="60% - 강조색3 11" xfId="254" xr:uid="{EA1454C4-3A62-4C0E-9767-7776B2D9DF0C}"/>
    <cellStyle name="60% - 강조색3 11 2" xfId="579" xr:uid="{FE0AF633-9D44-4ADF-ABC7-6E1202EF178A}"/>
    <cellStyle name="60% - 강조색3 12" xfId="274" xr:uid="{758273EF-D7DF-41A3-A017-443AF2472E7F}"/>
    <cellStyle name="60% - 강조색3 12 2" xfId="599" xr:uid="{FD90ED65-D1AE-483F-A288-90DC52A59DB3}"/>
    <cellStyle name="60% - 강조색3 13" xfId="294" xr:uid="{9D1FA834-CFEF-4C9E-A7EE-EB66B3C4C5F0}"/>
    <cellStyle name="60% - 강조색3 13 2" xfId="619" xr:uid="{1707F13B-5E6E-41D4-A1E3-F3F5F6FA2CEC}"/>
    <cellStyle name="60% - 강조색3 14" xfId="314" xr:uid="{8A0584AF-AF63-476E-9C0B-405244535428}"/>
    <cellStyle name="60% - 강조색3 14 2" xfId="639" xr:uid="{7A007061-C15E-4328-A15A-84BDAD8DBCB6}"/>
    <cellStyle name="60% - 강조색3 15" xfId="334" xr:uid="{814BFB90-17CB-4D6B-A673-DDF213A4D15F}"/>
    <cellStyle name="60% - 강조색3 15 2" xfId="659" xr:uid="{AB5A10CC-224A-49E5-82BE-A7C8C74C21AC}"/>
    <cellStyle name="60% - 강조색3 16" xfId="354" xr:uid="{37125019-D4FC-4E93-9440-04BD06B12DCE}"/>
    <cellStyle name="60% - 강조색3 16 2" xfId="679" xr:uid="{F9733C32-7AF4-4D44-8149-D0AF306B31C9}"/>
    <cellStyle name="60% - 강조색3 17" xfId="377" xr:uid="{F4DE8EAA-EC72-4DB5-B7DB-7700E2217485}"/>
    <cellStyle name="60% - 강조색3 2" xfId="74" xr:uid="{8A119AEB-6E38-4FDE-B0BF-D55711F2A704}"/>
    <cellStyle name="60% - 강조색3 2 2" xfId="399" xr:uid="{F5CF2613-9C54-4863-AB3B-2122AEC00D41}"/>
    <cellStyle name="60% - 강조색3 3" xfId="94" xr:uid="{3C8C73D0-4078-4609-BAB5-8A20ADB91724}"/>
    <cellStyle name="60% - 강조색3 3 2" xfId="419" xr:uid="{44E51DED-4022-4D2F-B066-49ACE4471082}"/>
    <cellStyle name="60% - 강조색3 4" xfId="114" xr:uid="{EC9E5DEB-280D-4710-9F22-874497065958}"/>
    <cellStyle name="60% - 강조색3 4 2" xfId="439" xr:uid="{5AB044BA-5686-4B5D-9FD8-3A995DBE75A4}"/>
    <cellStyle name="60% - 강조색3 5" xfId="134" xr:uid="{CBEAA6D1-B501-4E4F-92F6-55490AEBEF24}"/>
    <cellStyle name="60% - 강조색3 5 2" xfId="459" xr:uid="{FE8B4B9D-9176-4FC5-BCE2-8500A9B2B69C}"/>
    <cellStyle name="60% - 강조색3 6" xfId="154" xr:uid="{BF2604A9-F699-4508-B09F-0FCF998B8E7C}"/>
    <cellStyle name="60% - 강조색3 6 2" xfId="479" xr:uid="{B8FCD52D-6B10-42A9-8DFA-035B7F128D1E}"/>
    <cellStyle name="60% - 강조색3 7" xfId="174" xr:uid="{CC34085C-2DF9-4B63-BC74-48FB0D0B41C0}"/>
    <cellStyle name="60% - 강조색3 7 2" xfId="499" xr:uid="{BFC3DEB3-6A56-4097-AA4B-BAD98942CF43}"/>
    <cellStyle name="60% - 강조색3 8" xfId="194" xr:uid="{92B4DA0C-F19C-4089-8BF9-BBEE225A05A5}"/>
    <cellStyle name="60% - 강조색3 8 2" xfId="519" xr:uid="{8035E97D-88DC-4864-8108-9A4DDB7DADA4}"/>
    <cellStyle name="60% - 강조색3 9" xfId="214" xr:uid="{FB8BE683-8343-4BEB-9B06-CDF01B070856}"/>
    <cellStyle name="60% - 강조색3 9 2" xfId="539" xr:uid="{AC3197FE-6132-46A1-9BF8-AC81D1002FE1}"/>
    <cellStyle name="60% - 강조색4 10" xfId="237" xr:uid="{70E89AC4-5EED-43E7-9ED8-EF9FC159426C}"/>
    <cellStyle name="60% - 강조색4 10 2" xfId="562" xr:uid="{D5F1416A-DA0E-4153-A697-B46A4E184B20}"/>
    <cellStyle name="60% - 강조색4 11" xfId="257" xr:uid="{069866A3-60DC-46EA-9CD7-FBE3CA7D5DA3}"/>
    <cellStyle name="60% - 강조색4 11 2" xfId="582" xr:uid="{24F8FA7D-4DCE-4297-890B-8FA337752C5F}"/>
    <cellStyle name="60% - 강조색4 12" xfId="277" xr:uid="{D7C60D16-EB4F-4F13-94C9-22FBC38F668A}"/>
    <cellStyle name="60% - 강조색4 12 2" xfId="602" xr:uid="{92B87CA9-AE9A-487E-B5F8-27512C79C329}"/>
    <cellStyle name="60% - 강조색4 13" xfId="297" xr:uid="{6F27FC83-76D1-46F7-B3AD-56241F0BE553}"/>
    <cellStyle name="60% - 강조색4 13 2" xfId="622" xr:uid="{7A8A8A5C-7AF9-4C44-A382-6BC2CDA9B24E}"/>
    <cellStyle name="60% - 강조색4 14" xfId="317" xr:uid="{E2708639-9E78-49CB-99B9-C5695C11F1AA}"/>
    <cellStyle name="60% - 강조색4 14 2" xfId="642" xr:uid="{CF4EF3AF-EB29-43C2-A527-FE2C1302B2F6}"/>
    <cellStyle name="60% - 강조색4 15" xfId="337" xr:uid="{C85AEFAC-1A27-465A-808B-FF9B657C1459}"/>
    <cellStyle name="60% - 강조색4 15 2" xfId="662" xr:uid="{DF529309-BCA9-47A6-A924-932F4079784B}"/>
    <cellStyle name="60% - 강조색4 16" xfId="357" xr:uid="{19EA790D-267E-40B1-9477-DADE12FD25CC}"/>
    <cellStyle name="60% - 강조색4 16 2" xfId="682" xr:uid="{39A7105A-C370-4390-9FB5-6B702DA48BD4}"/>
    <cellStyle name="60% - 강조색4 17" xfId="380" xr:uid="{5BCEDC26-A2CC-4AA9-B427-7B149DAC41E5}"/>
    <cellStyle name="60% - 강조색4 2" xfId="77" xr:uid="{1792CD84-041D-468B-B354-D747C2D04C1D}"/>
    <cellStyle name="60% - 강조색4 2 2" xfId="402" xr:uid="{313CD890-B45E-45B3-966C-022CE6A70086}"/>
    <cellStyle name="60% - 강조색4 3" xfId="97" xr:uid="{A1937497-621F-41D7-853F-4DF5D3F9421B}"/>
    <cellStyle name="60% - 강조색4 3 2" xfId="422" xr:uid="{2C832D81-C9CD-494C-A547-2D83CAE55469}"/>
    <cellStyle name="60% - 강조색4 4" xfId="117" xr:uid="{77FD045A-28DE-49C3-9FED-388E253D598A}"/>
    <cellStyle name="60% - 강조색4 4 2" xfId="442" xr:uid="{8FEC41F3-11F5-4972-BCD5-9B000538680A}"/>
    <cellStyle name="60% - 강조색4 5" xfId="137" xr:uid="{990E823D-6CD7-4AD7-A165-238769E1884C}"/>
    <cellStyle name="60% - 강조색4 5 2" xfId="462" xr:uid="{972AF249-DF48-4ECA-A342-7B2A64130E96}"/>
    <cellStyle name="60% - 강조색4 6" xfId="157" xr:uid="{DEC53E00-AB73-4777-A99B-B832E160D84A}"/>
    <cellStyle name="60% - 강조색4 6 2" xfId="482" xr:uid="{8CBBFD97-3C89-452F-BE92-C63C70631218}"/>
    <cellStyle name="60% - 강조색4 7" xfId="177" xr:uid="{98FF8F1B-C298-4C4F-8370-A09AC3F2FFB8}"/>
    <cellStyle name="60% - 강조색4 7 2" xfId="502" xr:uid="{C94302FA-9872-4F4A-8D4F-67CF83145273}"/>
    <cellStyle name="60% - 강조색4 8" xfId="197" xr:uid="{5C8022D0-2716-4511-BCE5-F749E9A7505F}"/>
    <cellStyle name="60% - 강조색4 8 2" xfId="522" xr:uid="{B1003814-FE38-4C9D-8077-2A155E191FB2}"/>
    <cellStyle name="60% - 강조색4 9" xfId="217" xr:uid="{398F5B73-4152-4111-A6C1-88930B304A8F}"/>
    <cellStyle name="60% - 강조색4 9 2" xfId="542" xr:uid="{B757DE19-D4C2-4604-A7B7-424817099AFC}"/>
    <cellStyle name="60% - 강조색5 10" xfId="240" xr:uid="{A4732F92-E2E7-47F7-8962-09A53158E49E}"/>
    <cellStyle name="60% - 강조색5 10 2" xfId="565" xr:uid="{513A77D6-810B-4EB3-B59F-1C5233519ABF}"/>
    <cellStyle name="60% - 강조색5 11" xfId="260" xr:uid="{833A5587-5E37-4DDD-A9A7-B9B835D4EEC6}"/>
    <cellStyle name="60% - 강조색5 11 2" xfId="585" xr:uid="{5D6E9867-4E0E-4317-92A9-022EC91D60C8}"/>
    <cellStyle name="60% - 강조색5 12" xfId="280" xr:uid="{0CF639C7-E6D7-4838-8BD1-2A7DDFC35C69}"/>
    <cellStyle name="60% - 강조색5 12 2" xfId="605" xr:uid="{399291CC-612A-4B10-813F-9547864BDA26}"/>
    <cellStyle name="60% - 강조색5 13" xfId="300" xr:uid="{DD9DC0D0-B0AA-4409-BC18-73F74EE6DC64}"/>
    <cellStyle name="60% - 강조색5 13 2" xfId="625" xr:uid="{F49CDA1D-042F-44E7-BD5C-BEA3AFFD4619}"/>
    <cellStyle name="60% - 강조색5 14" xfId="320" xr:uid="{509A9514-662E-4223-8C47-3AF46E407071}"/>
    <cellStyle name="60% - 강조색5 14 2" xfId="645" xr:uid="{6339FCF7-B04E-4732-B653-DF30885F9BF0}"/>
    <cellStyle name="60% - 강조색5 15" xfId="340" xr:uid="{9B28C65F-3F16-43C9-9433-48DBF0EA6B76}"/>
    <cellStyle name="60% - 강조색5 15 2" xfId="665" xr:uid="{761D474D-000C-4DB4-AECD-07446127EBFE}"/>
    <cellStyle name="60% - 강조색5 16" xfId="360" xr:uid="{77D17A4D-0892-4BC2-B936-5A54501FA2FF}"/>
    <cellStyle name="60% - 강조색5 16 2" xfId="685" xr:uid="{A2DD00D2-D3F4-487B-817D-72D53B05E9DC}"/>
    <cellStyle name="60% - 강조색5 17" xfId="383" xr:uid="{5A17CF2F-7D45-4BC0-ABFC-9FF0FEF72800}"/>
    <cellStyle name="60% - 강조색5 2" xfId="80" xr:uid="{83C87137-7D9D-4435-8D26-FB3DD7FDD5B2}"/>
    <cellStyle name="60% - 강조색5 2 2" xfId="405" xr:uid="{362B2614-98C1-4C59-A1A8-BE85AB44A7E4}"/>
    <cellStyle name="60% - 강조색5 3" xfId="100" xr:uid="{8A3FC43A-9273-4EDE-A3D4-12656ACA2B00}"/>
    <cellStyle name="60% - 강조색5 3 2" xfId="425" xr:uid="{66BF7B98-26A7-4D03-92B5-F8A635B6483B}"/>
    <cellStyle name="60% - 강조색5 4" xfId="120" xr:uid="{8C64B1C1-5D00-4464-8C70-D32A97402830}"/>
    <cellStyle name="60% - 강조색5 4 2" xfId="445" xr:uid="{872C435F-34ED-4E43-B431-E46F12597F6F}"/>
    <cellStyle name="60% - 강조색5 5" xfId="140" xr:uid="{CEEB8C43-7F0B-422B-AD7B-CFAA54FDBE61}"/>
    <cellStyle name="60% - 강조색5 5 2" xfId="465" xr:uid="{D662F89C-1267-41A6-8805-A9629FCEA340}"/>
    <cellStyle name="60% - 강조색5 6" xfId="160" xr:uid="{7CAA41A2-41F0-4F2A-852C-9148935AF173}"/>
    <cellStyle name="60% - 강조색5 6 2" xfId="485" xr:uid="{9594DE61-FA07-4B4A-B42A-71F77323BBB7}"/>
    <cellStyle name="60% - 강조색5 7" xfId="180" xr:uid="{B8F7E0E2-4C83-4F44-B59F-356F510E044A}"/>
    <cellStyle name="60% - 강조색5 7 2" xfId="505" xr:uid="{49ED54DB-FA5D-4CA3-8357-420B2DE15CA3}"/>
    <cellStyle name="60% - 강조색5 8" xfId="200" xr:uid="{6D2D570D-EC52-4E0C-B1E9-5D2AB26D118B}"/>
    <cellStyle name="60% - 강조색5 8 2" xfId="525" xr:uid="{C4586D3E-61CD-4021-8C8B-438BFCC02853}"/>
    <cellStyle name="60% - 강조색5 9" xfId="220" xr:uid="{922B3494-236E-4C09-974D-F60AAF6C7BE7}"/>
    <cellStyle name="60% - 강조색5 9 2" xfId="545" xr:uid="{76228A16-FFF1-41E8-B067-A384FAD45F62}"/>
    <cellStyle name="60% - 강조색6 10" xfId="243" xr:uid="{45C2A6A0-CD21-437A-82CA-BC3AD53B6A17}"/>
    <cellStyle name="60% - 강조색6 10 2" xfId="568" xr:uid="{F5CC5C52-89D6-40DD-B6AE-3A23924B877A}"/>
    <cellStyle name="60% - 강조색6 11" xfId="263" xr:uid="{A320767B-703A-471C-8140-F1287F2FFA6B}"/>
    <cellStyle name="60% - 강조색6 11 2" xfId="588" xr:uid="{DBF1898E-590F-4234-A1C1-74C0E641A8A8}"/>
    <cellStyle name="60% - 강조색6 12" xfId="283" xr:uid="{089059AD-EDC4-453B-8BF0-CD3801C452E4}"/>
    <cellStyle name="60% - 강조색6 12 2" xfId="608" xr:uid="{112937E6-345C-4896-A040-5420773A84A2}"/>
    <cellStyle name="60% - 강조색6 13" xfId="303" xr:uid="{DF5BB59F-4766-4740-8D6D-9EFC37439CE9}"/>
    <cellStyle name="60% - 강조색6 13 2" xfId="628" xr:uid="{F7F51479-4748-4A2D-871C-873B1F06587F}"/>
    <cellStyle name="60% - 강조색6 14" xfId="323" xr:uid="{7F342A78-9A20-4FA7-A393-60C2CB5924F1}"/>
    <cellStyle name="60% - 강조색6 14 2" xfId="648" xr:uid="{B632B314-D185-469E-8819-4F0AAB7C7677}"/>
    <cellStyle name="60% - 강조색6 15" xfId="343" xr:uid="{ED88BECD-6E0C-45E7-99FA-A4CDF3CF7ADD}"/>
    <cellStyle name="60% - 강조색6 15 2" xfId="668" xr:uid="{1859C603-0FD3-44E9-AE36-1F3B6827D3BF}"/>
    <cellStyle name="60% - 강조색6 16" xfId="363" xr:uid="{606700C0-23F4-4BB8-B081-FB2BDB824788}"/>
    <cellStyle name="60% - 강조색6 16 2" xfId="688" xr:uid="{9A92C928-7408-47E2-9873-601694B39730}"/>
    <cellStyle name="60% - 강조색6 17" xfId="386" xr:uid="{288FF4E9-178D-4125-9600-35A6BB1D9FC2}"/>
    <cellStyle name="60% - 강조색6 2" xfId="83" xr:uid="{17B91430-62BE-4134-AC04-1D7C5943D02F}"/>
    <cellStyle name="60% - 강조색6 2 2" xfId="408" xr:uid="{24541227-8A79-446A-A4CD-A5CCDDF13903}"/>
    <cellStyle name="60% - 강조색6 3" xfId="103" xr:uid="{9331A509-0875-4C0F-8C3D-D5FB52FB4174}"/>
    <cellStyle name="60% - 강조색6 3 2" xfId="428" xr:uid="{5FD7DB1E-DD0D-4ADC-BB55-C20F1641F035}"/>
    <cellStyle name="60% - 강조색6 4" xfId="123" xr:uid="{B9658C44-09E3-424D-B22E-7C3FCC9C0806}"/>
    <cellStyle name="60% - 강조색6 4 2" xfId="448" xr:uid="{79D06D8E-774B-4AE4-8FA4-3057092BCAEB}"/>
    <cellStyle name="60% - 강조색6 5" xfId="143" xr:uid="{C1BAFC03-FA40-4450-840A-F36FB1A6041B}"/>
    <cellStyle name="60% - 강조색6 5 2" xfId="468" xr:uid="{FDB7C850-D43F-4C55-B698-6260280D4C16}"/>
    <cellStyle name="60% - 강조색6 6" xfId="163" xr:uid="{1089B983-8593-4207-A1CE-09349D3C4605}"/>
    <cellStyle name="60% - 강조색6 6 2" xfId="488" xr:uid="{F5267F77-72B6-46FF-810D-57E24C5DF41E}"/>
    <cellStyle name="60% - 강조색6 7" xfId="183" xr:uid="{FF60C2DA-079A-4EE1-A9B5-1AD3A9A8D643}"/>
    <cellStyle name="60% - 강조색6 7 2" xfId="508" xr:uid="{F591A8AE-F128-4963-A758-11E449DE0B36}"/>
    <cellStyle name="60% - 강조색6 8" xfId="203" xr:uid="{1DBB24E1-EC94-4394-B3EB-483F05503DF3}"/>
    <cellStyle name="60% - 강조색6 8 2" xfId="528" xr:uid="{52FD48E1-40E8-4C8A-81AE-B11701A43736}"/>
    <cellStyle name="60% - 강조색6 9" xfId="223" xr:uid="{3EA00A76-CBFA-49F9-B4AE-8BB59E2AEFE3}"/>
    <cellStyle name="60% - 강조색6 9 2" xfId="548" xr:uid="{F77963C2-B0C3-425E-8A6C-D8EF63552B91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2" xr:uid="{9A019DB1-3950-C74A-BF8E-14310AD567AE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53694E4E-F695-4D4C-B78E-DDD1400FCAD0}"/>
    <cellStyle name="Normal_Capability Study - IPEG EVT1 0713a.xls" xfId="690" xr:uid="{AA9BF4B7-B15F-EF4B-91AC-B52D7763C17F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0" xr:uid="{16BFFD9D-80A4-4BD9-8ACC-1F63AF7526EE}"/>
    <cellStyle name="메모 11" xfId="225" xr:uid="{96156C23-3B33-4EC6-904C-30CD9C6AE460}"/>
    <cellStyle name="메모 11 2" xfId="550" xr:uid="{D5FF027C-ADA9-449D-8F5E-65A712B08D28}"/>
    <cellStyle name="메모 12" xfId="245" xr:uid="{5CB831BA-C7F1-474B-BA74-58288726F36E}"/>
    <cellStyle name="메모 12 2" xfId="570" xr:uid="{99A18CB1-85DE-425C-BF8D-080C6C2792E2}"/>
    <cellStyle name="메모 13" xfId="265" xr:uid="{91BBAD60-6ED6-4715-A410-BA21B2B80F9B}"/>
    <cellStyle name="메모 13 2" xfId="590" xr:uid="{AEE15A93-2E01-4B05-83F4-B16CC316C2E0}"/>
    <cellStyle name="메모 14" xfId="285" xr:uid="{72C31025-9F67-4651-9FD6-55D175EBD059}"/>
    <cellStyle name="메모 14 2" xfId="610" xr:uid="{4C6771C5-B909-4AF2-A372-3A7EC0956A14}"/>
    <cellStyle name="메모 15" xfId="305" xr:uid="{64142A57-8907-4EB8-81F0-21D0FC161584}"/>
    <cellStyle name="메모 15 2" xfId="630" xr:uid="{E342C770-2A53-4051-8DAB-E4C62F8A3711}"/>
    <cellStyle name="메모 16" xfId="325" xr:uid="{429D3280-652F-41CC-BE36-941A19F819E6}"/>
    <cellStyle name="메모 16 2" xfId="650" xr:uid="{64DC9EE1-5D0B-4BCF-A2FD-024B2A4231A7}"/>
    <cellStyle name="메모 17" xfId="345" xr:uid="{42ECB233-434C-45FD-A02B-764D46565700}"/>
    <cellStyle name="메모 17 2" xfId="670" xr:uid="{C133A3EA-F073-4953-9C81-4AAA50C50F78}"/>
    <cellStyle name="메모 2" xfId="63" xr:uid="{C5E085BA-2B59-45F4-9A7F-16FA145D7B84}"/>
    <cellStyle name="메모 2 2" xfId="388" xr:uid="{5233F32C-420F-48CD-AC6E-8C2CEFFA93F6}"/>
    <cellStyle name="메모 3" xfId="65" xr:uid="{CF354A69-28DB-401C-A63E-3F347A572426}"/>
    <cellStyle name="메모 3 2" xfId="390" xr:uid="{6D3C2191-4254-49E7-8450-D130065770A2}"/>
    <cellStyle name="메모 4" xfId="85" xr:uid="{775D36BA-F6FE-4815-AEDB-99DCD30B3F80}"/>
    <cellStyle name="메모 4 2" xfId="410" xr:uid="{B3C467C1-7915-4DCF-90A7-9DA3D88A64E1}"/>
    <cellStyle name="메모 5" xfId="105" xr:uid="{A16EE7B9-2783-46EF-847B-5843EB9314E0}"/>
    <cellStyle name="메모 5 2" xfId="430" xr:uid="{CC4735F0-C14D-4623-BE21-D06D5A031777}"/>
    <cellStyle name="메모 6" xfId="125" xr:uid="{99D5518B-558D-4D06-8223-349768351A5B}"/>
    <cellStyle name="메모 6 2" xfId="450" xr:uid="{6316C5EC-2C1A-408F-9AB8-90BC14A89459}"/>
    <cellStyle name="메모 7" xfId="145" xr:uid="{46215A0F-5D5F-4A1E-AE77-6F7125E3F5FD}"/>
    <cellStyle name="메모 7 2" xfId="470" xr:uid="{9740AB17-9C0B-4BCD-B9BA-1FAFBB330851}"/>
    <cellStyle name="메모 8" xfId="165" xr:uid="{3F7FA357-98BF-476F-AC6F-5346764332E9}"/>
    <cellStyle name="메모 8 2" xfId="490" xr:uid="{CAB424E8-7FEA-4325-9E82-803E29E4BD59}"/>
    <cellStyle name="메모 9" xfId="185" xr:uid="{3BDA0B01-7855-47A6-943B-A22238ECF36D}"/>
    <cellStyle name="메모 9 2" xfId="510" xr:uid="{D0A16E8E-5CF9-427D-9C41-64932104DA25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8" xr:uid="{858FA5FA-21CF-420D-902C-0D9A7A5FC8A2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29" xr:uid="{B2EB9DE4-06F4-42E9-9750-5B8F82580125}"/>
    <cellStyle name="표준 11" xfId="224" xr:uid="{DCBD210C-C26C-487C-AAFF-E96EFCCBF417}"/>
    <cellStyle name="표준 11 2" xfId="549" xr:uid="{8FE8D17E-C81C-4930-9128-8D90E7A3995F}"/>
    <cellStyle name="표준 12" xfId="244" xr:uid="{88A20BFC-BAA2-4A3D-B20F-C81594BE5818}"/>
    <cellStyle name="표준 12 2" xfId="569" xr:uid="{0C3D25E6-1A06-4EA5-95D5-208716FA4D7B}"/>
    <cellStyle name="표준 13" xfId="264" xr:uid="{5A98D856-1E8E-4B48-AB04-D5F9C62DEF9B}"/>
    <cellStyle name="표준 13 2" xfId="589" xr:uid="{38725755-7867-4478-9474-0B126F194E7A}"/>
    <cellStyle name="표준 14" xfId="284" xr:uid="{C1185FA1-2FFE-424F-966F-F35568CDFD2A}"/>
    <cellStyle name="표준 14 2" xfId="609" xr:uid="{054FBC68-D069-4334-81BD-33D7140FC02A}"/>
    <cellStyle name="표준 15" xfId="304" xr:uid="{34CB0A49-8C75-4926-9182-6D33642A8364}"/>
    <cellStyle name="표준 15 2" xfId="629" xr:uid="{FA39146E-3FAE-47E2-8AF0-7C77EDEB2FF0}"/>
    <cellStyle name="표준 16" xfId="324" xr:uid="{2AF502FC-B8DF-40F3-8A1B-C5F51B61B3E9}"/>
    <cellStyle name="표준 16 2" xfId="649" xr:uid="{67AD7ACB-E836-4EAB-9651-E5880BC3471B}"/>
    <cellStyle name="표준 17" xfId="344" xr:uid="{C24D31C8-5BE4-420F-9B14-38B86A495FDF}"/>
    <cellStyle name="표준 17 2" xfId="669" xr:uid="{43341843-326C-4294-92E3-DAD5E43F63F7}"/>
    <cellStyle name="표준 2" xfId="62" xr:uid="{2BCC682B-7B18-403A-8898-3D72D1F92BEA}"/>
    <cellStyle name="표준 2 2" xfId="367" xr:uid="{1DC67D5C-8146-4223-80C5-9B7EF4425AEB}"/>
    <cellStyle name="표준 2 2 2" xfId="689" xr:uid="{E6669E24-A4D1-4240-A29F-D02A6A241F16}"/>
    <cellStyle name="표준 2 3" xfId="387" xr:uid="{3362EBF0-EC1D-4400-A9DC-AEB6D43BFAB7}"/>
    <cellStyle name="표준 3" xfId="64" xr:uid="{8A91C379-9E86-4ECE-8FC9-502778FF8674}"/>
    <cellStyle name="표준 3 2" xfId="389" xr:uid="{93C33EA6-0F45-4B0E-A238-FABBA2AFDDA5}"/>
    <cellStyle name="표준 4" xfId="84" xr:uid="{D49317C4-0983-47D2-9FEE-B35901E022C0}"/>
    <cellStyle name="표준 4 2" xfId="409" xr:uid="{CF805BE4-0901-4F4E-A574-47ED208C090A}"/>
    <cellStyle name="표준 5" xfId="104" xr:uid="{C846E875-D831-4D02-8B7F-240014E6224A}"/>
    <cellStyle name="표준 5 2" xfId="429" xr:uid="{E2EA7BFD-7FFB-49BD-B5C7-F9A08732AC3A}"/>
    <cellStyle name="표준 6" xfId="124" xr:uid="{96BBFF81-0E0D-49A8-8075-BE29211F8FD1}"/>
    <cellStyle name="표준 6 2" xfId="449" xr:uid="{80802043-E954-4A7E-AC79-005A0F334956}"/>
    <cellStyle name="표준 7" xfId="144" xr:uid="{CCEE4C6D-6860-49F6-BD89-D6BFB3C97F52}"/>
    <cellStyle name="표준 7 2" xfId="469" xr:uid="{9D4935C7-421C-4454-89E6-29E4F28AB174}"/>
    <cellStyle name="표준 8" xfId="164" xr:uid="{C8006356-40C1-4BB8-AE4A-A787D7EEC51F}"/>
    <cellStyle name="표준 8 2" xfId="489" xr:uid="{24D650C1-5E1C-4628-AABC-9D0D5B1C8841}"/>
    <cellStyle name="표준 9" xfId="184" xr:uid="{546D25E5-03AC-4E09-9A2E-CEA11BAB5BC9}"/>
    <cellStyle name="표준 9 2" xfId="509" xr:uid="{D4D25DD4-D6B3-4802-8001-F5ED7E1EB28A}"/>
  </cellStyles>
  <dxfs count="11">
    <dxf>
      <fill>
        <patternFill>
          <bgColor theme="8" tint="0.79998168889431442"/>
        </patternFill>
      </fill>
    </dxf>
    <dxf>
      <font>
        <color auto="1"/>
      </font>
      <fill>
        <patternFill>
          <bgColor rgb="FFFFC1B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topLeftCell="A2" zoomScale="116" zoomScaleNormal="100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67" t="s">
        <v>20</v>
      </c>
      <c r="C2" s="167"/>
      <c r="D2" s="167"/>
      <c r="E2" s="167"/>
      <c r="F2" s="167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92</v>
      </c>
      <c r="D5" s="2" t="s">
        <v>7</v>
      </c>
      <c r="E5" s="163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63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21" t="s">
        <v>93</v>
      </c>
      <c r="D7" s="2"/>
      <c r="E7" s="162"/>
      <c r="H7" s="4"/>
      <c r="I7" s="4"/>
      <c r="J7" s="4"/>
    </row>
    <row r="8" spans="1:10" ht="30">
      <c r="A8" s="4"/>
      <c r="B8" s="2" t="s">
        <v>21</v>
      </c>
      <c r="C8" s="145" t="s">
        <v>163</v>
      </c>
      <c r="D8" s="2" t="s">
        <v>4</v>
      </c>
      <c r="E8" s="164">
        <f>SUM('Shipping Lot List'!I:I)</f>
        <v>720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46" t="s">
        <v>164</v>
      </c>
      <c r="D9" s="2" t="s">
        <v>3</v>
      </c>
      <c r="E9" s="164" t="s">
        <v>23</v>
      </c>
      <c r="F9" s="168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64">
        <f>E8</f>
        <v>720</v>
      </c>
      <c r="F10" s="168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69" t="s">
        <v>17</v>
      </c>
      <c r="C12" s="169"/>
      <c r="D12" s="169"/>
      <c r="E12" s="169"/>
      <c r="F12" s="169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66" t="s">
        <v>11</v>
      </c>
      <c r="C14" s="6"/>
      <c r="D14" s="13"/>
      <c r="E14" s="18"/>
      <c r="F14" s="19"/>
    </row>
    <row r="15" spans="1:10">
      <c r="A15" s="10"/>
      <c r="B15" s="166"/>
      <c r="C15" s="6"/>
      <c r="D15" s="7"/>
      <c r="E15" s="9"/>
      <c r="F15" s="13"/>
    </row>
    <row r="16" spans="1:10">
      <c r="A16" s="10"/>
      <c r="B16" s="166"/>
      <c r="C16" s="6"/>
      <c r="D16" s="7"/>
      <c r="E16" s="9"/>
      <c r="F16" s="13"/>
    </row>
    <row r="17" spans="1:6">
      <c r="A17" s="10"/>
      <c r="B17" s="166"/>
      <c r="C17" s="6"/>
      <c r="D17" s="7"/>
      <c r="E17" s="9"/>
      <c r="F17" s="13"/>
    </row>
    <row r="18" spans="1:6">
      <c r="A18" s="10"/>
      <c r="B18" s="166"/>
      <c r="C18" s="6"/>
      <c r="D18" s="7"/>
      <c r="E18" s="9"/>
      <c r="F18" s="13"/>
    </row>
    <row r="19" spans="1:6">
      <c r="A19" s="10"/>
      <c r="B19" s="166"/>
      <c r="C19" s="6"/>
      <c r="D19" s="7"/>
      <c r="E19" s="9"/>
      <c r="F19" s="13"/>
    </row>
    <row r="20" spans="1:6">
      <c r="A20" s="10"/>
      <c r="B20" s="166"/>
      <c r="C20" s="6"/>
      <c r="D20" s="7"/>
      <c r="E20" s="9"/>
      <c r="F20" s="13"/>
    </row>
    <row r="21" spans="1:6">
      <c r="A21" s="10"/>
      <c r="B21" s="166"/>
      <c r="C21" s="6"/>
      <c r="D21" s="7"/>
      <c r="E21" s="9"/>
      <c r="F21" s="13"/>
    </row>
    <row r="22" spans="1:6">
      <c r="A22" s="10"/>
      <c r="B22" s="166"/>
      <c r="C22" s="6"/>
      <c r="D22" s="7"/>
      <c r="E22" s="9"/>
      <c r="F22" s="13"/>
    </row>
    <row r="23" spans="1:6">
      <c r="A23" s="10"/>
      <c r="B23" s="166"/>
      <c r="C23" s="6"/>
      <c r="D23" s="7"/>
      <c r="E23" s="9"/>
      <c r="F23" s="13"/>
    </row>
    <row r="24" spans="1:6">
      <c r="A24" s="10"/>
      <c r="B24" s="166" t="s">
        <v>12</v>
      </c>
      <c r="C24" s="6"/>
      <c r="D24" s="13"/>
      <c r="E24" s="18"/>
      <c r="F24" s="19"/>
    </row>
    <row r="25" spans="1:6">
      <c r="A25" s="10"/>
      <c r="B25" s="166"/>
      <c r="C25" s="6"/>
      <c r="D25" s="13"/>
      <c r="E25" s="18"/>
      <c r="F25" s="19"/>
    </row>
    <row r="26" spans="1:6">
      <c r="A26" s="10"/>
      <c r="B26" s="166"/>
      <c r="C26" s="6"/>
      <c r="D26" s="13"/>
      <c r="E26" s="18"/>
      <c r="F26" s="13"/>
    </row>
    <row r="27" spans="1:6">
      <c r="A27" s="16"/>
      <c r="B27" s="166"/>
      <c r="C27" s="6"/>
      <c r="D27" s="13"/>
      <c r="E27" s="18"/>
      <c r="F27" s="13"/>
    </row>
    <row r="28" spans="1:6">
      <c r="A28" s="16"/>
      <c r="B28" s="166"/>
      <c r="C28" s="6"/>
      <c r="D28" s="13"/>
      <c r="E28" s="18"/>
      <c r="F28" s="13"/>
    </row>
    <row r="29" spans="1:6">
      <c r="A29" s="16"/>
      <c r="B29" s="166"/>
      <c r="C29" s="6"/>
      <c r="D29" s="13"/>
      <c r="E29" s="18"/>
      <c r="F29" s="13"/>
    </row>
    <row r="30" spans="1:6">
      <c r="A30" s="16"/>
      <c r="B30" s="166"/>
      <c r="C30" s="6"/>
      <c r="D30" s="13"/>
      <c r="E30" s="18"/>
      <c r="F30" s="13"/>
    </row>
    <row r="31" spans="1:6">
      <c r="A31" s="16"/>
      <c r="B31" s="166"/>
      <c r="C31" s="6"/>
      <c r="D31" s="13"/>
      <c r="E31" s="18"/>
      <c r="F31" s="13"/>
    </row>
    <row r="32" spans="1:6">
      <c r="A32" s="16"/>
      <c r="B32" s="166"/>
      <c r="C32" s="6"/>
      <c r="D32" s="13"/>
      <c r="E32" s="18"/>
      <c r="F32" s="13"/>
    </row>
    <row r="33" spans="1:6">
      <c r="A33" s="16"/>
      <c r="B33" s="166"/>
      <c r="C33" s="6"/>
      <c r="D33" s="13"/>
      <c r="E33" s="18"/>
      <c r="F33" s="13"/>
    </row>
    <row r="34" spans="1:6">
      <c r="A34" s="16"/>
      <c r="B34" s="166" t="s">
        <v>13</v>
      </c>
      <c r="C34" s="6"/>
      <c r="D34" s="7"/>
      <c r="E34" s="7"/>
      <c r="F34" s="13"/>
    </row>
    <row r="35" spans="1:6">
      <c r="A35" s="16"/>
      <c r="B35" s="166"/>
      <c r="C35" s="6"/>
      <c r="D35" s="7"/>
      <c r="E35" s="7"/>
      <c r="F35" s="13"/>
    </row>
    <row r="36" spans="1:6">
      <c r="A36" s="16"/>
      <c r="B36" s="166"/>
      <c r="C36" s="6"/>
      <c r="D36" s="7"/>
      <c r="E36" s="7"/>
      <c r="F36" s="13"/>
    </row>
    <row r="37" spans="1:6">
      <c r="A37" s="16"/>
      <c r="B37" s="166"/>
      <c r="C37" s="6"/>
      <c r="D37" s="7"/>
      <c r="E37" s="7"/>
      <c r="F37" s="13"/>
    </row>
    <row r="38" spans="1:6">
      <c r="A38" s="16"/>
      <c r="B38" s="166"/>
      <c r="C38" s="6"/>
      <c r="D38" s="7"/>
      <c r="E38" s="7"/>
      <c r="F38" s="13"/>
    </row>
    <row r="39" spans="1:6">
      <c r="A39" s="16"/>
      <c r="B39" s="166"/>
      <c r="C39" s="6"/>
      <c r="D39" s="7"/>
      <c r="E39" s="7"/>
      <c r="F39" s="13"/>
    </row>
    <row r="40" spans="1:6">
      <c r="A40" s="16"/>
      <c r="B40" s="166"/>
      <c r="C40" s="6"/>
      <c r="D40" s="7"/>
      <c r="E40" s="7"/>
      <c r="F40" s="13"/>
    </row>
    <row r="41" spans="1:6">
      <c r="A41" s="16"/>
      <c r="B41" s="166"/>
      <c r="C41" s="6"/>
      <c r="D41" s="7"/>
      <c r="E41" s="7"/>
      <c r="F41" s="13"/>
    </row>
    <row r="42" spans="1:6">
      <c r="A42" s="16"/>
      <c r="B42" s="166"/>
      <c r="C42" s="6"/>
      <c r="D42" s="7"/>
      <c r="E42" s="7"/>
      <c r="F42" s="13"/>
    </row>
    <row r="43" spans="1:6">
      <c r="A43" s="16"/>
      <c r="B43" s="166"/>
      <c r="C43" s="6"/>
      <c r="D43" s="7"/>
      <c r="E43" s="7"/>
      <c r="F43" s="13"/>
    </row>
    <row r="44" spans="1:6">
      <c r="B44" s="165" t="s">
        <v>19</v>
      </c>
      <c r="C44" s="6"/>
      <c r="D44" s="7"/>
      <c r="E44" s="7"/>
      <c r="F44" s="13"/>
    </row>
    <row r="45" spans="1:6">
      <c r="B45" s="165"/>
      <c r="C45" s="6"/>
      <c r="D45" s="7"/>
      <c r="E45" s="7"/>
      <c r="F45" s="13"/>
    </row>
    <row r="46" spans="1:6">
      <c r="B46" s="165"/>
      <c r="C46" s="6"/>
      <c r="D46" s="7"/>
      <c r="E46" s="7"/>
      <c r="F46" s="13"/>
    </row>
    <row r="47" spans="1:6">
      <c r="B47" s="165"/>
      <c r="C47" s="6"/>
      <c r="D47" s="7"/>
      <c r="E47" s="7"/>
      <c r="F47" s="13"/>
    </row>
    <row r="48" spans="1:6">
      <c r="B48" s="165"/>
      <c r="C48" s="6"/>
      <c r="D48" s="7"/>
      <c r="E48" s="7"/>
      <c r="F48" s="13"/>
    </row>
    <row r="49" spans="2:6">
      <c r="B49" s="165"/>
      <c r="C49" s="6"/>
      <c r="D49" s="7"/>
      <c r="E49" s="7"/>
      <c r="F49" s="13"/>
    </row>
    <row r="50" spans="2:6">
      <c r="B50" s="165"/>
      <c r="C50" s="6"/>
      <c r="D50" s="7"/>
      <c r="E50" s="7"/>
      <c r="F50" s="13"/>
    </row>
    <row r="51" spans="2:6">
      <c r="B51" s="165"/>
      <c r="C51" s="6"/>
      <c r="D51" s="7"/>
      <c r="E51" s="7"/>
      <c r="F51" s="13"/>
    </row>
    <row r="52" spans="2:6">
      <c r="B52" s="165"/>
      <c r="C52" s="6"/>
      <c r="D52" s="7"/>
      <c r="E52" s="7"/>
      <c r="F52" s="13"/>
    </row>
    <row r="53" spans="2:6">
      <c r="B53" s="165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conditionalFormatting sqref="E7">
    <cfRule type="containsText" dxfId="10" priority="1" operator="containsText" text="NG">
      <formula>NOT(ISERROR(SEARCH("NG",E7)))</formula>
    </cfRule>
    <cfRule type="containsText" dxfId="9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8BF9-9A92-0A4D-95E0-6282B9E1C50E}">
  <sheetPr codeName="Sheet1"/>
  <dimension ref="A1:J5"/>
  <sheetViews>
    <sheetView showGridLines="0" workbookViewId="0"/>
  </sheetViews>
  <sheetFormatPr defaultColWidth="10.88671875" defaultRowHeight="17.25"/>
  <cols>
    <col min="1" max="3" width="17.6640625" style="51" customWidth="1"/>
    <col min="4" max="4" width="12.6640625" style="51" customWidth="1"/>
    <col min="5" max="5" width="35.6640625" style="51" customWidth="1"/>
    <col min="6" max="6" width="17.6640625" style="51" customWidth="1"/>
    <col min="7" max="7" width="12.6640625" style="51" customWidth="1"/>
    <col min="8" max="8" width="12.6640625" style="52" customWidth="1"/>
    <col min="9" max="10" width="12.6640625" style="51" customWidth="1"/>
    <col min="11" max="16384" width="10.88671875" style="51"/>
  </cols>
  <sheetData>
    <row r="1" spans="1:10">
      <c r="A1" s="148" t="s">
        <v>165</v>
      </c>
      <c r="B1" s="148" t="s">
        <v>166</v>
      </c>
      <c r="C1" s="148" t="s">
        <v>179</v>
      </c>
      <c r="D1" s="151" t="s">
        <v>167</v>
      </c>
      <c r="E1" s="152" t="s">
        <v>168</v>
      </c>
      <c r="F1" s="152" t="s">
        <v>169</v>
      </c>
      <c r="G1" s="152" t="s">
        <v>170</v>
      </c>
      <c r="H1" s="152" t="s">
        <v>171</v>
      </c>
      <c r="I1" s="152" t="s">
        <v>172</v>
      </c>
      <c r="J1" s="151" t="s">
        <v>173</v>
      </c>
    </row>
    <row r="2" spans="1:10" ht="19.149999999999999" customHeight="1">
      <c r="A2" s="149" t="s">
        <v>93</v>
      </c>
      <c r="B2" s="148">
        <v>45820</v>
      </c>
      <c r="C2" s="148"/>
      <c r="D2" s="151" t="s">
        <v>164</v>
      </c>
      <c r="E2" s="151" t="s">
        <v>175</v>
      </c>
      <c r="F2" s="150" t="s">
        <v>176</v>
      </c>
      <c r="G2" s="156">
        <v>10800</v>
      </c>
      <c r="H2" s="153">
        <v>3</v>
      </c>
      <c r="I2" s="150">
        <v>720</v>
      </c>
      <c r="J2" s="152" t="s">
        <v>174</v>
      </c>
    </row>
    <row r="3" spans="1:10">
      <c r="A3" s="149"/>
      <c r="B3" s="148"/>
      <c r="C3" s="148"/>
      <c r="D3" s="151"/>
      <c r="E3" s="152"/>
      <c r="F3" s="155"/>
      <c r="G3" s="156"/>
      <c r="H3" s="154"/>
      <c r="I3" s="152"/>
      <c r="J3" s="152"/>
    </row>
    <row r="4" spans="1:10">
      <c r="A4" s="149"/>
      <c r="B4" s="148"/>
      <c r="C4" s="148"/>
      <c r="D4" s="151"/>
      <c r="E4" s="152"/>
      <c r="F4" s="155"/>
      <c r="G4" s="156"/>
      <c r="H4" s="154"/>
      <c r="I4" s="152"/>
      <c r="J4" s="152"/>
    </row>
    <row r="5" spans="1:10">
      <c r="A5" s="149"/>
      <c r="B5" s="148"/>
      <c r="C5" s="148"/>
      <c r="D5" s="151"/>
      <c r="E5" s="152"/>
      <c r="F5" s="155"/>
      <c r="G5" s="156"/>
      <c r="H5" s="154"/>
      <c r="I5" s="152"/>
      <c r="J5" s="152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81AC-7787-9E44-8524-CED9F821D059}">
  <sheetPr codeName="Sheet3"/>
  <dimension ref="A1:X59"/>
  <sheetViews>
    <sheetView zoomScale="75" zoomScaleNormal="100" workbookViewId="0">
      <selection sqref="A1:W1"/>
    </sheetView>
  </sheetViews>
  <sheetFormatPr defaultColWidth="12.44140625" defaultRowHeight="12.75"/>
  <cols>
    <col min="1" max="1" width="0.77734375" style="23" customWidth="1"/>
    <col min="2" max="2" width="9" style="23" customWidth="1"/>
    <col min="3" max="3" width="13" style="23" customWidth="1"/>
    <col min="4" max="6" width="9" style="23" customWidth="1"/>
    <col min="7" max="10" width="9" style="23" hidden="1" customWidth="1"/>
    <col min="11" max="22" width="9" style="23" customWidth="1"/>
    <col min="23" max="23" width="14.21875" style="23" customWidth="1"/>
    <col min="24" max="16384" width="12.44140625" style="23"/>
  </cols>
  <sheetData>
    <row r="1" spans="1:24" ht="20.25">
      <c r="A1" s="170" t="s">
        <v>25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</row>
    <row r="2" spans="1:24" ht="10.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4" s="24" customFormat="1" ht="15" customHeight="1">
      <c r="A3" s="20"/>
      <c r="B3" s="171" t="s">
        <v>26</v>
      </c>
      <c r="C3" s="171"/>
      <c r="D3" s="171"/>
      <c r="E3" s="171"/>
      <c r="F3" s="171"/>
      <c r="G3" s="171"/>
      <c r="H3" s="171"/>
      <c r="I3" s="171"/>
      <c r="J3" s="171"/>
      <c r="K3" s="171"/>
      <c r="L3" s="172" t="s">
        <v>27</v>
      </c>
      <c r="M3" s="172"/>
      <c r="N3" s="172"/>
      <c r="O3" s="172"/>
      <c r="P3" s="172"/>
      <c r="Q3" s="172"/>
      <c r="R3" s="173" t="s">
        <v>28</v>
      </c>
      <c r="S3" s="172"/>
      <c r="T3" s="172"/>
      <c r="U3" s="172"/>
      <c r="V3" s="174"/>
      <c r="W3" s="175" t="s">
        <v>29</v>
      </c>
    </row>
    <row r="4" spans="1:24" ht="15" customHeight="1">
      <c r="A4" s="36"/>
      <c r="B4" s="175" t="s">
        <v>30</v>
      </c>
      <c r="C4" s="175" t="s">
        <v>31</v>
      </c>
      <c r="D4" s="176" t="s">
        <v>32</v>
      </c>
      <c r="E4" s="177" t="s">
        <v>33</v>
      </c>
      <c r="F4" s="177" t="s">
        <v>34</v>
      </c>
      <c r="G4" s="183" t="s">
        <v>177</v>
      </c>
      <c r="H4" s="184"/>
      <c r="I4" s="183" t="s">
        <v>178</v>
      </c>
      <c r="J4" s="184"/>
      <c r="K4" s="180" t="s">
        <v>35</v>
      </c>
      <c r="L4" s="181" t="s">
        <v>36</v>
      </c>
      <c r="M4" s="182"/>
      <c r="N4" s="182"/>
      <c r="O4" s="181" t="s">
        <v>37</v>
      </c>
      <c r="P4" s="182"/>
      <c r="Q4" s="182"/>
      <c r="R4" s="178" t="s">
        <v>38</v>
      </c>
      <c r="S4" s="37" t="s">
        <v>39</v>
      </c>
      <c r="T4" s="38"/>
      <c r="U4" s="39" t="s">
        <v>40</v>
      </c>
      <c r="V4" s="38"/>
      <c r="W4" s="175"/>
    </row>
    <row r="5" spans="1:24" ht="18" customHeight="1">
      <c r="A5" s="40"/>
      <c r="B5" s="175"/>
      <c r="C5" s="175"/>
      <c r="D5" s="176"/>
      <c r="E5" s="177"/>
      <c r="F5" s="177"/>
      <c r="G5" s="77" t="s">
        <v>65</v>
      </c>
      <c r="H5" s="77" t="s">
        <v>66</v>
      </c>
      <c r="I5" s="77" t="s">
        <v>65</v>
      </c>
      <c r="J5" s="77" t="s">
        <v>66</v>
      </c>
      <c r="K5" s="180"/>
      <c r="L5" s="50"/>
      <c r="M5" s="50"/>
      <c r="N5" s="50"/>
      <c r="O5" s="50">
        <v>1</v>
      </c>
      <c r="P5" s="50">
        <v>2</v>
      </c>
      <c r="Q5" s="50">
        <v>3</v>
      </c>
      <c r="R5" s="179"/>
      <c r="S5" s="35" t="s">
        <v>41</v>
      </c>
      <c r="T5" s="38" t="s">
        <v>42</v>
      </c>
      <c r="U5" s="35" t="s">
        <v>43</v>
      </c>
      <c r="V5" s="38" t="s">
        <v>44</v>
      </c>
      <c r="W5" s="175"/>
    </row>
    <row r="6" spans="1:24" ht="18" customHeight="1">
      <c r="A6" s="30"/>
      <c r="B6" s="53" t="s">
        <v>104</v>
      </c>
      <c r="C6" s="25" t="s">
        <v>45</v>
      </c>
      <c r="D6" s="41">
        <v>0.5</v>
      </c>
      <c r="E6" s="41">
        <v>0.01</v>
      </c>
      <c r="F6" s="41">
        <v>-0.01</v>
      </c>
      <c r="G6" s="41">
        <v>0.50849999999999995</v>
      </c>
      <c r="H6" s="41">
        <v>0.49149999999999999</v>
      </c>
      <c r="I6" s="41"/>
      <c r="J6" s="41"/>
      <c r="K6" s="42" t="s">
        <v>46</v>
      </c>
      <c r="L6" s="49"/>
      <c r="M6" s="43"/>
      <c r="N6" s="43"/>
      <c r="O6" s="44" t="str">
        <f t="shared" ref="O6:O37" si="0">IF(ISERR(L6/L6)=TRUE," ",L6-$D6)</f>
        <v xml:space="preserve"> </v>
      </c>
      <c r="P6" s="44" t="str">
        <f t="shared" ref="P6:P37" si="1">IF(ISERR(M6/M6)=TRUE," ",M6-$D6)</f>
        <v xml:space="preserve"> </v>
      </c>
      <c r="Q6" s="44" t="str">
        <f t="shared" ref="Q6:Q37" si="2">IF(ISERR(N6/N6)=TRUE," ",N6-$D6)</f>
        <v xml:space="preserve"> </v>
      </c>
      <c r="R6" s="45" t="str">
        <f t="shared" ref="R6:R37" si="3">IF(ISERR(L6/L6)=TRUE," ",AVERAGE(L6:N6))</f>
        <v xml:space="preserve"> </v>
      </c>
      <c r="S6" s="46" t="str">
        <f t="shared" ref="S6:S37" si="4">IF(ISERR(E6/E6)=TRUE," ",IF(ISERR(L6/L6)=TRUE," ",IF(ISNUMBER($L6)=FALSE," ",IF(MAX($L6:$N6)&lt;$D6,0,(MAX($L6:$N6)-$D6)/$E6))))</f>
        <v xml:space="preserve"> </v>
      </c>
      <c r="T6" s="47" t="str">
        <f t="shared" ref="T6:T37" si="5">IF(ISERR(F6/D6)=TRUE," ",IF(ISERR(F6/F6)=TRUE," ",IF(ISERR(L6/L6)=TRUE," ",IF(ISNUMBER(L6)=FALSE," ",IF(MIN(L6:N6)&gt;$D6,0,($D6-MIN(L6:N6))/-F6)))))</f>
        <v xml:space="preserve"> </v>
      </c>
      <c r="U6" s="45" t="str">
        <f t="shared" ref="U6:U58" si="6">IF(ISNUMBER($S6)=TRUE,IF($S6&gt;0.651,IF($S6&gt;1.001,"Reject","Alert"),""),"")</f>
        <v/>
      </c>
      <c r="V6" s="45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61"/>
      <c r="X6" s="159"/>
    </row>
    <row r="7" spans="1:24" ht="18" customHeight="1">
      <c r="A7" s="30"/>
      <c r="B7" s="53" t="s">
        <v>105</v>
      </c>
      <c r="C7" s="48" t="s">
        <v>45</v>
      </c>
      <c r="D7" s="41">
        <v>0.5</v>
      </c>
      <c r="E7" s="41">
        <v>0.01</v>
      </c>
      <c r="F7" s="41">
        <v>-0.01</v>
      </c>
      <c r="G7" s="41">
        <v>0.50849999999999995</v>
      </c>
      <c r="H7" s="41">
        <v>0.49149999999999999</v>
      </c>
      <c r="I7" s="41"/>
      <c r="J7" s="41"/>
      <c r="K7" s="42" t="s">
        <v>46</v>
      </c>
      <c r="L7" s="49"/>
      <c r="M7" s="43"/>
      <c r="N7" s="43"/>
      <c r="O7" s="44" t="str">
        <f t="shared" si="0"/>
        <v xml:space="preserve"> </v>
      </c>
      <c r="P7" s="44" t="str">
        <f t="shared" si="1"/>
        <v xml:space="preserve"> </v>
      </c>
      <c r="Q7" s="44" t="str">
        <f t="shared" si="2"/>
        <v xml:space="preserve"> </v>
      </c>
      <c r="R7" s="45" t="str">
        <f t="shared" si="3"/>
        <v xml:space="preserve"> </v>
      </c>
      <c r="S7" s="46" t="str">
        <f t="shared" si="4"/>
        <v xml:space="preserve"> </v>
      </c>
      <c r="T7" s="47" t="str">
        <f t="shared" si="5"/>
        <v xml:space="preserve"> </v>
      </c>
      <c r="U7" s="45" t="str">
        <f t="shared" si="6"/>
        <v/>
      </c>
      <c r="V7" s="45" t="str">
        <f t="shared" si="7"/>
        <v/>
      </c>
      <c r="W7" s="161"/>
      <c r="X7" s="159"/>
    </row>
    <row r="8" spans="1:24" ht="18" customHeight="1">
      <c r="A8" s="30"/>
      <c r="B8" s="53" t="s">
        <v>106</v>
      </c>
      <c r="C8" s="42" t="s">
        <v>45</v>
      </c>
      <c r="D8" s="41">
        <v>0.5</v>
      </c>
      <c r="E8" s="41">
        <v>0.01</v>
      </c>
      <c r="F8" s="41">
        <v>-0.01</v>
      </c>
      <c r="G8" s="41">
        <v>0.50849999999999995</v>
      </c>
      <c r="H8" s="41">
        <v>0.49149999999999999</v>
      </c>
      <c r="I8" s="41"/>
      <c r="J8" s="41"/>
      <c r="K8" s="42" t="s">
        <v>46</v>
      </c>
      <c r="L8" s="49"/>
      <c r="M8" s="43"/>
      <c r="N8" s="43"/>
      <c r="O8" s="44" t="str">
        <f t="shared" si="0"/>
        <v xml:space="preserve"> </v>
      </c>
      <c r="P8" s="44" t="str">
        <f t="shared" si="1"/>
        <v xml:space="preserve"> </v>
      </c>
      <c r="Q8" s="44" t="str">
        <f t="shared" si="2"/>
        <v xml:space="preserve"> </v>
      </c>
      <c r="R8" s="45" t="str">
        <f t="shared" si="3"/>
        <v xml:space="preserve"> </v>
      </c>
      <c r="S8" s="46" t="str">
        <f t="shared" si="4"/>
        <v xml:space="preserve"> </v>
      </c>
      <c r="T8" s="47" t="str">
        <f t="shared" si="5"/>
        <v xml:space="preserve"> </v>
      </c>
      <c r="U8" s="45" t="str">
        <f t="shared" si="6"/>
        <v/>
      </c>
      <c r="V8" s="45" t="str">
        <f t="shared" si="7"/>
        <v/>
      </c>
      <c r="W8" s="161"/>
      <c r="X8" s="159"/>
    </row>
    <row r="9" spans="1:24" ht="18" customHeight="1">
      <c r="A9" s="30"/>
      <c r="B9" s="53" t="s">
        <v>107</v>
      </c>
      <c r="C9" s="42" t="s">
        <v>45</v>
      </c>
      <c r="D9" s="41">
        <v>0.5</v>
      </c>
      <c r="E9" s="41">
        <v>0.01</v>
      </c>
      <c r="F9" s="41">
        <v>-0.01</v>
      </c>
      <c r="G9" s="41">
        <v>0.50849999999999995</v>
      </c>
      <c r="H9" s="41">
        <v>0.49149999999999999</v>
      </c>
      <c r="I9" s="41"/>
      <c r="J9" s="41"/>
      <c r="K9" s="42" t="s">
        <v>46</v>
      </c>
      <c r="L9" s="49"/>
      <c r="M9" s="43"/>
      <c r="N9" s="43"/>
      <c r="O9" s="44" t="str">
        <f t="shared" si="0"/>
        <v xml:space="preserve"> </v>
      </c>
      <c r="P9" s="44" t="str">
        <f t="shared" si="1"/>
        <v xml:space="preserve"> </v>
      </c>
      <c r="Q9" s="44" t="str">
        <f t="shared" si="2"/>
        <v xml:space="preserve"> </v>
      </c>
      <c r="R9" s="45" t="str">
        <f t="shared" si="3"/>
        <v xml:space="preserve"> </v>
      </c>
      <c r="S9" s="46" t="str">
        <f t="shared" si="4"/>
        <v xml:space="preserve"> </v>
      </c>
      <c r="T9" s="47" t="str">
        <f t="shared" si="5"/>
        <v xml:space="preserve"> </v>
      </c>
      <c r="U9" s="45" t="str">
        <f t="shared" si="6"/>
        <v/>
      </c>
      <c r="V9" s="45" t="str">
        <f t="shared" si="7"/>
        <v/>
      </c>
      <c r="W9" s="161"/>
      <c r="X9" s="159"/>
    </row>
    <row r="10" spans="1:24" ht="18" customHeight="1">
      <c r="A10" s="30"/>
      <c r="B10" s="53" t="s">
        <v>108</v>
      </c>
      <c r="C10" s="42" t="s">
        <v>45</v>
      </c>
      <c r="D10" s="41">
        <v>0.5</v>
      </c>
      <c r="E10" s="41">
        <v>0.01</v>
      </c>
      <c r="F10" s="41">
        <v>-0.01</v>
      </c>
      <c r="G10" s="41">
        <v>0.50849999999999995</v>
      </c>
      <c r="H10" s="41">
        <v>0.49149999999999999</v>
      </c>
      <c r="I10" s="41"/>
      <c r="J10" s="41"/>
      <c r="K10" s="42" t="s">
        <v>46</v>
      </c>
      <c r="L10" s="49"/>
      <c r="M10" s="43"/>
      <c r="N10" s="43"/>
      <c r="O10" s="44" t="str">
        <f t="shared" si="0"/>
        <v xml:space="preserve"> </v>
      </c>
      <c r="P10" s="44" t="str">
        <f t="shared" si="1"/>
        <v xml:space="preserve"> </v>
      </c>
      <c r="Q10" s="44" t="str">
        <f t="shared" si="2"/>
        <v xml:space="preserve"> </v>
      </c>
      <c r="R10" s="45" t="str">
        <f t="shared" si="3"/>
        <v xml:space="preserve"> </v>
      </c>
      <c r="S10" s="46" t="str">
        <f t="shared" si="4"/>
        <v xml:space="preserve"> </v>
      </c>
      <c r="T10" s="47" t="str">
        <f t="shared" si="5"/>
        <v xml:space="preserve"> </v>
      </c>
      <c r="U10" s="45" t="str">
        <f t="shared" si="6"/>
        <v/>
      </c>
      <c r="V10" s="45" t="str">
        <f t="shared" si="7"/>
        <v/>
      </c>
      <c r="W10" s="161"/>
      <c r="X10" s="159"/>
    </row>
    <row r="11" spans="1:24" ht="18" customHeight="1">
      <c r="A11" s="30"/>
      <c r="B11" s="53" t="s">
        <v>109</v>
      </c>
      <c r="C11" s="42" t="s">
        <v>45</v>
      </c>
      <c r="D11" s="41">
        <v>0.5</v>
      </c>
      <c r="E11" s="41">
        <v>0.01</v>
      </c>
      <c r="F11" s="41">
        <v>-0.01</v>
      </c>
      <c r="G11" s="41">
        <v>0.50849999999999995</v>
      </c>
      <c r="H11" s="41">
        <v>0.49149999999999999</v>
      </c>
      <c r="I11" s="41"/>
      <c r="J11" s="41"/>
      <c r="K11" s="42" t="s">
        <v>46</v>
      </c>
      <c r="L11" s="49"/>
      <c r="M11" s="43"/>
      <c r="N11" s="43"/>
      <c r="O11" s="44" t="str">
        <f t="shared" si="0"/>
        <v xml:space="preserve"> </v>
      </c>
      <c r="P11" s="44" t="str">
        <f t="shared" si="1"/>
        <v xml:space="preserve"> </v>
      </c>
      <c r="Q11" s="44" t="str">
        <f t="shared" si="2"/>
        <v xml:space="preserve"> </v>
      </c>
      <c r="R11" s="45" t="str">
        <f t="shared" si="3"/>
        <v xml:space="preserve"> </v>
      </c>
      <c r="S11" s="46" t="str">
        <f t="shared" si="4"/>
        <v xml:space="preserve"> </v>
      </c>
      <c r="T11" s="47" t="str">
        <f t="shared" si="5"/>
        <v xml:space="preserve"> </v>
      </c>
      <c r="U11" s="45" t="str">
        <f t="shared" si="6"/>
        <v/>
      </c>
      <c r="V11" s="45" t="str">
        <f t="shared" si="7"/>
        <v/>
      </c>
      <c r="W11" s="161"/>
      <c r="X11" s="159"/>
    </row>
    <row r="12" spans="1:24" ht="18" customHeight="1">
      <c r="A12" s="30"/>
      <c r="B12" s="53" t="s">
        <v>110</v>
      </c>
      <c r="C12" s="42" t="s">
        <v>47</v>
      </c>
      <c r="D12" s="41"/>
      <c r="E12" s="41">
        <v>0.03</v>
      </c>
      <c r="F12" s="41"/>
      <c r="G12" s="41">
        <v>2.5499999999999998E-2</v>
      </c>
      <c r="H12" s="41">
        <v>0</v>
      </c>
      <c r="I12" s="41">
        <v>1.7999999999999999E-2</v>
      </c>
      <c r="J12" s="41"/>
      <c r="K12" s="42" t="s">
        <v>46</v>
      </c>
      <c r="L12" s="49"/>
      <c r="M12" s="43"/>
      <c r="N12" s="43"/>
      <c r="O12" s="44" t="str">
        <f t="shared" si="0"/>
        <v xml:space="preserve"> </v>
      </c>
      <c r="P12" s="44" t="str">
        <f t="shared" si="1"/>
        <v xml:space="preserve"> </v>
      </c>
      <c r="Q12" s="44" t="str">
        <f t="shared" si="2"/>
        <v xml:space="preserve"> </v>
      </c>
      <c r="R12" s="45" t="str">
        <f t="shared" si="3"/>
        <v xml:space="preserve"> </v>
      </c>
      <c r="S12" s="46" t="str">
        <f t="shared" si="4"/>
        <v xml:space="preserve"> </v>
      </c>
      <c r="T12" s="47" t="str">
        <f t="shared" si="5"/>
        <v xml:space="preserve"> </v>
      </c>
      <c r="U12" s="45" t="str">
        <f t="shared" si="6"/>
        <v/>
      </c>
      <c r="V12" s="45" t="str">
        <f t="shared" si="7"/>
        <v/>
      </c>
      <c r="W12" s="161"/>
      <c r="X12" s="159"/>
    </row>
    <row r="13" spans="1:24" ht="18" customHeight="1">
      <c r="A13" s="30"/>
      <c r="B13" s="53" t="s">
        <v>111</v>
      </c>
      <c r="C13" s="42" t="s">
        <v>48</v>
      </c>
      <c r="D13" s="41"/>
      <c r="E13" s="41">
        <v>0.03</v>
      </c>
      <c r="F13" s="41"/>
      <c r="G13" s="41">
        <v>2.5499999999999998E-2</v>
      </c>
      <c r="H13" s="41">
        <v>0</v>
      </c>
      <c r="I13" s="41">
        <v>2.1000000000000001E-2</v>
      </c>
      <c r="J13" s="41"/>
      <c r="K13" s="42" t="s">
        <v>46</v>
      </c>
      <c r="L13" s="49"/>
      <c r="M13" s="43"/>
      <c r="N13" s="43"/>
      <c r="O13" s="44" t="str">
        <f t="shared" si="0"/>
        <v xml:space="preserve"> </v>
      </c>
      <c r="P13" s="44" t="str">
        <f t="shared" si="1"/>
        <v xml:space="preserve"> </v>
      </c>
      <c r="Q13" s="44" t="str">
        <f t="shared" si="2"/>
        <v xml:space="preserve"> </v>
      </c>
      <c r="R13" s="45" t="str">
        <f t="shared" si="3"/>
        <v xml:space="preserve"> </v>
      </c>
      <c r="S13" s="46" t="str">
        <f t="shared" si="4"/>
        <v xml:space="preserve"> </v>
      </c>
      <c r="T13" s="47" t="str">
        <f t="shared" si="5"/>
        <v xml:space="preserve"> </v>
      </c>
      <c r="U13" s="45" t="str">
        <f t="shared" si="6"/>
        <v/>
      </c>
      <c r="V13" s="45" t="str">
        <f t="shared" si="7"/>
        <v/>
      </c>
      <c r="W13" s="161"/>
      <c r="X13" s="159"/>
    </row>
    <row r="14" spans="1:24" ht="18" customHeight="1">
      <c r="A14" s="30"/>
      <c r="B14" s="53" t="s">
        <v>112</v>
      </c>
      <c r="C14" s="42" t="s">
        <v>49</v>
      </c>
      <c r="D14" s="41">
        <v>1.0900000000000001</v>
      </c>
      <c r="E14" s="41">
        <v>1.4999999999999999E-2</v>
      </c>
      <c r="F14" s="41">
        <v>-0.01</v>
      </c>
      <c r="G14" s="41">
        <v>1.1027500000000001</v>
      </c>
      <c r="H14" s="41">
        <v>1.0815000000000001</v>
      </c>
      <c r="I14" s="41"/>
      <c r="J14" s="41"/>
      <c r="K14" s="42" t="s">
        <v>46</v>
      </c>
      <c r="L14" s="49"/>
      <c r="M14" s="43"/>
      <c r="N14" s="43"/>
      <c r="O14" s="44" t="str">
        <f t="shared" si="0"/>
        <v xml:space="preserve"> </v>
      </c>
      <c r="P14" s="44" t="str">
        <f t="shared" si="1"/>
        <v xml:space="preserve"> </v>
      </c>
      <c r="Q14" s="44" t="str">
        <f t="shared" si="2"/>
        <v xml:space="preserve"> </v>
      </c>
      <c r="R14" s="45" t="str">
        <f t="shared" si="3"/>
        <v xml:space="preserve"> </v>
      </c>
      <c r="S14" s="46" t="str">
        <f t="shared" si="4"/>
        <v xml:space="preserve"> </v>
      </c>
      <c r="T14" s="47" t="str">
        <f t="shared" si="5"/>
        <v xml:space="preserve"> </v>
      </c>
      <c r="U14" s="45" t="str">
        <f t="shared" si="6"/>
        <v/>
      </c>
      <c r="V14" s="45" t="str">
        <f t="shared" si="7"/>
        <v/>
      </c>
      <c r="W14" s="161"/>
      <c r="X14" s="159"/>
    </row>
    <row r="15" spans="1:24" ht="18" customHeight="1">
      <c r="A15" s="30"/>
      <c r="B15" s="53" t="s">
        <v>113</v>
      </c>
      <c r="C15" s="42" t="s">
        <v>49</v>
      </c>
      <c r="D15" s="41">
        <v>1.0900000000000001</v>
      </c>
      <c r="E15" s="41">
        <v>1.4999999999999999E-2</v>
      </c>
      <c r="F15" s="41">
        <v>-0.01</v>
      </c>
      <c r="G15" s="41">
        <v>1.1027500000000001</v>
      </c>
      <c r="H15" s="41">
        <v>1.0815000000000001</v>
      </c>
      <c r="I15" s="41"/>
      <c r="J15" s="41"/>
      <c r="K15" s="42" t="s">
        <v>46</v>
      </c>
      <c r="L15" s="49"/>
      <c r="M15" s="43"/>
      <c r="N15" s="43"/>
      <c r="O15" s="44" t="str">
        <f t="shared" si="0"/>
        <v xml:space="preserve"> </v>
      </c>
      <c r="P15" s="44" t="str">
        <f t="shared" si="1"/>
        <v xml:space="preserve"> </v>
      </c>
      <c r="Q15" s="44" t="str">
        <f t="shared" si="2"/>
        <v xml:space="preserve"> </v>
      </c>
      <c r="R15" s="45" t="str">
        <f t="shared" si="3"/>
        <v xml:space="preserve"> </v>
      </c>
      <c r="S15" s="46" t="str">
        <f t="shared" si="4"/>
        <v xml:space="preserve"> </v>
      </c>
      <c r="T15" s="47" t="str">
        <f t="shared" si="5"/>
        <v xml:space="preserve"> </v>
      </c>
      <c r="U15" s="45" t="str">
        <f t="shared" si="6"/>
        <v/>
      </c>
      <c r="V15" s="45" t="str">
        <f t="shared" si="7"/>
        <v/>
      </c>
      <c r="W15" s="161"/>
      <c r="X15" s="159"/>
    </row>
    <row r="16" spans="1:24" ht="18" customHeight="1">
      <c r="A16" s="30"/>
      <c r="B16" s="53" t="s">
        <v>114</v>
      </c>
      <c r="C16" s="42" t="s">
        <v>49</v>
      </c>
      <c r="D16" s="41">
        <v>1.0900000000000001</v>
      </c>
      <c r="E16" s="41">
        <v>1.4999999999999999E-2</v>
      </c>
      <c r="F16" s="41">
        <v>-0.01</v>
      </c>
      <c r="G16" s="41">
        <v>1.1027500000000001</v>
      </c>
      <c r="H16" s="41">
        <v>1.0815000000000001</v>
      </c>
      <c r="I16" s="41"/>
      <c r="J16" s="41"/>
      <c r="K16" s="42" t="s">
        <v>46</v>
      </c>
      <c r="L16" s="49"/>
      <c r="M16" s="43"/>
      <c r="N16" s="43"/>
      <c r="O16" s="44" t="str">
        <f t="shared" si="0"/>
        <v xml:space="preserve"> </v>
      </c>
      <c r="P16" s="44" t="str">
        <f t="shared" si="1"/>
        <v xml:space="preserve"> </v>
      </c>
      <c r="Q16" s="44" t="str">
        <f t="shared" si="2"/>
        <v xml:space="preserve"> </v>
      </c>
      <c r="R16" s="45" t="str">
        <f t="shared" si="3"/>
        <v xml:space="preserve"> </v>
      </c>
      <c r="S16" s="46" t="str">
        <f t="shared" si="4"/>
        <v xml:space="preserve"> </v>
      </c>
      <c r="T16" s="47" t="str">
        <f t="shared" si="5"/>
        <v xml:space="preserve"> </v>
      </c>
      <c r="U16" s="45" t="str">
        <f t="shared" si="6"/>
        <v/>
      </c>
      <c r="V16" s="45" t="str">
        <f t="shared" si="7"/>
        <v/>
      </c>
      <c r="W16" s="161"/>
      <c r="X16" s="159"/>
    </row>
    <row r="17" spans="1:24" ht="18" customHeight="1">
      <c r="A17" s="30"/>
      <c r="B17" s="53" t="s">
        <v>115</v>
      </c>
      <c r="C17" s="42" t="s">
        <v>49</v>
      </c>
      <c r="D17" s="41">
        <v>1.8520000000000001</v>
      </c>
      <c r="E17" s="41">
        <v>0.02</v>
      </c>
      <c r="F17" s="41">
        <v>-0.02</v>
      </c>
      <c r="G17" s="41">
        <v>1.869</v>
      </c>
      <c r="H17" s="41">
        <v>1.8350000000000002</v>
      </c>
      <c r="I17" s="41"/>
      <c r="J17" s="41"/>
      <c r="K17" s="42" t="s">
        <v>46</v>
      </c>
      <c r="L17" s="49"/>
      <c r="M17" s="43"/>
      <c r="N17" s="43"/>
      <c r="O17" s="44" t="str">
        <f t="shared" si="0"/>
        <v xml:space="preserve"> </v>
      </c>
      <c r="P17" s="44" t="str">
        <f t="shared" si="1"/>
        <v xml:space="preserve"> </v>
      </c>
      <c r="Q17" s="44" t="str">
        <f t="shared" si="2"/>
        <v xml:space="preserve"> </v>
      </c>
      <c r="R17" s="45" t="str">
        <f t="shared" si="3"/>
        <v xml:space="preserve"> </v>
      </c>
      <c r="S17" s="46" t="str">
        <f t="shared" si="4"/>
        <v xml:space="preserve"> </v>
      </c>
      <c r="T17" s="47" t="str">
        <f t="shared" si="5"/>
        <v xml:space="preserve"> </v>
      </c>
      <c r="U17" s="45" t="str">
        <f t="shared" si="6"/>
        <v/>
      </c>
      <c r="V17" s="45" t="str">
        <f t="shared" si="7"/>
        <v/>
      </c>
      <c r="W17" s="161"/>
      <c r="X17" s="159"/>
    </row>
    <row r="18" spans="1:24" ht="18" customHeight="1">
      <c r="A18" s="30"/>
      <c r="B18" s="53" t="s">
        <v>116</v>
      </c>
      <c r="C18" s="42" t="s">
        <v>49</v>
      </c>
      <c r="D18" s="41">
        <v>0.214</v>
      </c>
      <c r="E18" s="41">
        <v>0.02</v>
      </c>
      <c r="F18" s="41">
        <v>-0.02</v>
      </c>
      <c r="G18" s="41">
        <v>0.23099999999999998</v>
      </c>
      <c r="H18" s="41">
        <v>0.19700000000000001</v>
      </c>
      <c r="I18" s="41"/>
      <c r="J18" s="41"/>
      <c r="K18" s="42" t="s">
        <v>46</v>
      </c>
      <c r="L18" s="49"/>
      <c r="M18" s="43"/>
      <c r="N18" s="43"/>
      <c r="O18" s="44" t="str">
        <f t="shared" si="0"/>
        <v xml:space="preserve"> </v>
      </c>
      <c r="P18" s="44" t="str">
        <f t="shared" si="1"/>
        <v xml:space="preserve"> </v>
      </c>
      <c r="Q18" s="44" t="str">
        <f t="shared" si="2"/>
        <v xml:space="preserve"> </v>
      </c>
      <c r="R18" s="45" t="str">
        <f t="shared" si="3"/>
        <v xml:space="preserve"> </v>
      </c>
      <c r="S18" s="46" t="str">
        <f t="shared" si="4"/>
        <v xml:space="preserve"> </v>
      </c>
      <c r="T18" s="47" t="str">
        <f t="shared" si="5"/>
        <v xml:space="preserve"> </v>
      </c>
      <c r="U18" s="45" t="str">
        <f t="shared" si="6"/>
        <v/>
      </c>
      <c r="V18" s="45" t="str">
        <f t="shared" si="7"/>
        <v/>
      </c>
      <c r="W18" s="161"/>
      <c r="X18" s="159"/>
    </row>
    <row r="19" spans="1:24" ht="18" customHeight="1">
      <c r="A19" s="30"/>
      <c r="B19" s="53" t="s">
        <v>117</v>
      </c>
      <c r="C19" s="42" t="s">
        <v>49</v>
      </c>
      <c r="D19" s="41">
        <v>1.29</v>
      </c>
      <c r="E19" s="41">
        <v>0.03</v>
      </c>
      <c r="F19" s="41">
        <v>-0.03</v>
      </c>
      <c r="G19" s="41">
        <v>1.3155000000000001</v>
      </c>
      <c r="H19" s="41">
        <v>1.2645</v>
      </c>
      <c r="I19" s="41"/>
      <c r="J19" s="41"/>
      <c r="K19" s="42" t="s">
        <v>46</v>
      </c>
      <c r="L19" s="49"/>
      <c r="M19" s="43"/>
      <c r="N19" s="43"/>
      <c r="O19" s="44" t="str">
        <f t="shared" si="0"/>
        <v xml:space="preserve"> </v>
      </c>
      <c r="P19" s="44" t="str">
        <f t="shared" si="1"/>
        <v xml:space="preserve"> </v>
      </c>
      <c r="Q19" s="44" t="str">
        <f t="shared" si="2"/>
        <v xml:space="preserve"> </v>
      </c>
      <c r="R19" s="45" t="str">
        <f t="shared" si="3"/>
        <v xml:space="preserve"> </v>
      </c>
      <c r="S19" s="46" t="str">
        <f t="shared" si="4"/>
        <v xml:space="preserve"> </v>
      </c>
      <c r="T19" s="47" t="str">
        <f t="shared" si="5"/>
        <v xml:space="preserve"> </v>
      </c>
      <c r="U19" s="45" t="str">
        <f t="shared" si="6"/>
        <v/>
      </c>
      <c r="V19" s="45" t="str">
        <f t="shared" si="7"/>
        <v/>
      </c>
      <c r="W19" s="161"/>
      <c r="X19" s="159"/>
    </row>
    <row r="20" spans="1:24" ht="18" customHeight="1">
      <c r="A20" s="30"/>
      <c r="B20" s="53" t="s">
        <v>118</v>
      </c>
      <c r="C20" s="42" t="s">
        <v>49</v>
      </c>
      <c r="D20" s="41">
        <v>1.29</v>
      </c>
      <c r="E20" s="41">
        <v>0.03</v>
      </c>
      <c r="F20" s="41">
        <v>-0.03</v>
      </c>
      <c r="G20" s="41">
        <v>1.3155000000000001</v>
      </c>
      <c r="H20" s="41">
        <v>1.2645</v>
      </c>
      <c r="I20" s="41"/>
      <c r="J20" s="41"/>
      <c r="K20" s="42" t="s">
        <v>46</v>
      </c>
      <c r="L20" s="49"/>
      <c r="M20" s="43"/>
      <c r="N20" s="43"/>
      <c r="O20" s="44" t="str">
        <f t="shared" si="0"/>
        <v xml:space="preserve"> </v>
      </c>
      <c r="P20" s="44" t="str">
        <f t="shared" si="1"/>
        <v xml:space="preserve"> </v>
      </c>
      <c r="Q20" s="44" t="str">
        <f t="shared" si="2"/>
        <v xml:space="preserve"> </v>
      </c>
      <c r="R20" s="45" t="str">
        <f t="shared" si="3"/>
        <v xml:space="preserve"> </v>
      </c>
      <c r="S20" s="46" t="str">
        <f t="shared" si="4"/>
        <v xml:space="preserve"> </v>
      </c>
      <c r="T20" s="47" t="str">
        <f t="shared" si="5"/>
        <v xml:space="preserve"> </v>
      </c>
      <c r="U20" s="45" t="str">
        <f t="shared" si="6"/>
        <v/>
      </c>
      <c r="V20" s="45" t="str">
        <f t="shared" si="7"/>
        <v/>
      </c>
      <c r="W20" s="161"/>
      <c r="X20" s="159"/>
    </row>
    <row r="21" spans="1:24" ht="18" customHeight="1">
      <c r="A21" s="30"/>
      <c r="B21" s="53" t="s">
        <v>119</v>
      </c>
      <c r="C21" s="42" t="s">
        <v>49</v>
      </c>
      <c r="D21" s="41">
        <v>1.29</v>
      </c>
      <c r="E21" s="41">
        <v>0.03</v>
      </c>
      <c r="F21" s="41">
        <v>-0.03</v>
      </c>
      <c r="G21" s="41">
        <v>1.3155000000000001</v>
      </c>
      <c r="H21" s="41">
        <v>1.2645</v>
      </c>
      <c r="I21" s="41"/>
      <c r="J21" s="41"/>
      <c r="K21" s="42" t="s">
        <v>46</v>
      </c>
      <c r="L21" s="49"/>
      <c r="M21" s="43"/>
      <c r="N21" s="43"/>
      <c r="O21" s="44" t="str">
        <f t="shared" si="0"/>
        <v xml:space="preserve"> </v>
      </c>
      <c r="P21" s="44" t="str">
        <f t="shared" si="1"/>
        <v xml:space="preserve"> </v>
      </c>
      <c r="Q21" s="44" t="str">
        <f t="shared" si="2"/>
        <v xml:space="preserve"> </v>
      </c>
      <c r="R21" s="45" t="str">
        <f t="shared" si="3"/>
        <v xml:space="preserve"> </v>
      </c>
      <c r="S21" s="46" t="str">
        <f t="shared" si="4"/>
        <v xml:space="preserve"> </v>
      </c>
      <c r="T21" s="47" t="str">
        <f t="shared" si="5"/>
        <v xml:space="preserve"> </v>
      </c>
      <c r="U21" s="45" t="str">
        <f t="shared" si="6"/>
        <v/>
      </c>
      <c r="V21" s="45" t="str">
        <f t="shared" si="7"/>
        <v/>
      </c>
      <c r="W21" s="161"/>
      <c r="X21" s="159"/>
    </row>
    <row r="22" spans="1:24" ht="18" customHeight="1">
      <c r="A22" s="30"/>
      <c r="B22" s="53" t="s">
        <v>120</v>
      </c>
      <c r="C22" s="42" t="s">
        <v>49</v>
      </c>
      <c r="D22" s="41">
        <v>15.262</v>
      </c>
      <c r="E22" s="41">
        <v>0.03</v>
      </c>
      <c r="F22" s="41">
        <v>-0.03</v>
      </c>
      <c r="G22" s="41">
        <v>15.2875</v>
      </c>
      <c r="H22" s="41">
        <v>15.236500000000001</v>
      </c>
      <c r="I22" s="41"/>
      <c r="J22" s="41"/>
      <c r="K22" s="42" t="s">
        <v>46</v>
      </c>
      <c r="L22" s="49"/>
      <c r="M22" s="43"/>
      <c r="N22" s="43"/>
      <c r="O22" s="44" t="str">
        <f t="shared" si="0"/>
        <v xml:space="preserve"> </v>
      </c>
      <c r="P22" s="44" t="str">
        <f t="shared" si="1"/>
        <v xml:space="preserve"> </v>
      </c>
      <c r="Q22" s="44" t="str">
        <f t="shared" si="2"/>
        <v xml:space="preserve"> </v>
      </c>
      <c r="R22" s="45" t="str">
        <f t="shared" si="3"/>
        <v xml:space="preserve"> </v>
      </c>
      <c r="S22" s="46" t="str">
        <f t="shared" si="4"/>
        <v xml:space="preserve"> </v>
      </c>
      <c r="T22" s="47" t="str">
        <f t="shared" si="5"/>
        <v xml:space="preserve"> </v>
      </c>
      <c r="U22" s="45" t="str">
        <f t="shared" si="6"/>
        <v/>
      </c>
      <c r="V22" s="45" t="str">
        <f t="shared" si="7"/>
        <v/>
      </c>
      <c r="W22" s="161"/>
      <c r="X22" s="159"/>
    </row>
    <row r="23" spans="1:24" ht="18" customHeight="1">
      <c r="A23" s="30"/>
      <c r="B23" s="53" t="s">
        <v>121</v>
      </c>
      <c r="C23" s="42" t="s">
        <v>49</v>
      </c>
      <c r="D23" s="41">
        <v>12.839</v>
      </c>
      <c r="E23" s="41">
        <v>0.03</v>
      </c>
      <c r="F23" s="41">
        <v>-0.03</v>
      </c>
      <c r="G23" s="41">
        <v>12.8645</v>
      </c>
      <c r="H23" s="41">
        <v>12.813500000000001</v>
      </c>
      <c r="I23" s="41"/>
      <c r="J23" s="41"/>
      <c r="K23" s="42" t="s">
        <v>46</v>
      </c>
      <c r="L23" s="49"/>
      <c r="M23" s="43"/>
      <c r="N23" s="43"/>
      <c r="O23" s="44" t="str">
        <f t="shared" si="0"/>
        <v xml:space="preserve"> </v>
      </c>
      <c r="P23" s="44" t="str">
        <f t="shared" si="1"/>
        <v xml:space="preserve"> </v>
      </c>
      <c r="Q23" s="44" t="str">
        <f t="shared" si="2"/>
        <v xml:space="preserve"> </v>
      </c>
      <c r="R23" s="45" t="str">
        <f t="shared" si="3"/>
        <v xml:space="preserve"> </v>
      </c>
      <c r="S23" s="46" t="str">
        <f t="shared" si="4"/>
        <v xml:space="preserve"> </v>
      </c>
      <c r="T23" s="47" t="str">
        <f t="shared" si="5"/>
        <v xml:space="preserve"> </v>
      </c>
      <c r="U23" s="45" t="str">
        <f t="shared" si="6"/>
        <v/>
      </c>
      <c r="V23" s="45" t="str">
        <f t="shared" si="7"/>
        <v/>
      </c>
      <c r="W23" s="161"/>
      <c r="X23" s="159"/>
    </row>
    <row r="24" spans="1:24" ht="18" customHeight="1">
      <c r="A24" s="30"/>
      <c r="B24" s="53" t="s">
        <v>122</v>
      </c>
      <c r="C24" s="42" t="s">
        <v>49</v>
      </c>
      <c r="D24" s="41">
        <v>2.6269999999999998</v>
      </c>
      <c r="E24" s="41">
        <v>0.03</v>
      </c>
      <c r="F24" s="41">
        <v>-0.03</v>
      </c>
      <c r="G24" s="41">
        <v>2.6524999999999999</v>
      </c>
      <c r="H24" s="41">
        <v>2.6014999999999997</v>
      </c>
      <c r="I24" s="41"/>
      <c r="J24" s="41"/>
      <c r="K24" s="42" t="s">
        <v>46</v>
      </c>
      <c r="L24" s="49"/>
      <c r="M24" s="43"/>
      <c r="N24" s="43"/>
      <c r="O24" s="44" t="str">
        <f t="shared" si="0"/>
        <v xml:space="preserve"> </v>
      </c>
      <c r="P24" s="44" t="str">
        <f t="shared" si="1"/>
        <v xml:space="preserve"> </v>
      </c>
      <c r="Q24" s="44" t="str">
        <f t="shared" si="2"/>
        <v xml:space="preserve"> </v>
      </c>
      <c r="R24" s="45" t="str">
        <f t="shared" si="3"/>
        <v xml:space="preserve"> </v>
      </c>
      <c r="S24" s="46" t="str">
        <f t="shared" si="4"/>
        <v xml:space="preserve"> </v>
      </c>
      <c r="T24" s="47" t="str">
        <f t="shared" si="5"/>
        <v xml:space="preserve"> </v>
      </c>
      <c r="U24" s="45" t="str">
        <f t="shared" si="6"/>
        <v/>
      </c>
      <c r="V24" s="45" t="str">
        <f t="shared" si="7"/>
        <v/>
      </c>
      <c r="W24" s="161"/>
      <c r="X24" s="159"/>
    </row>
    <row r="25" spans="1:24" ht="18" customHeight="1">
      <c r="A25" s="30"/>
      <c r="B25" s="53" t="s">
        <v>123</v>
      </c>
      <c r="C25" s="42" t="s">
        <v>49</v>
      </c>
      <c r="D25" s="41">
        <v>12.481999999999999</v>
      </c>
      <c r="E25" s="41">
        <v>0.03</v>
      </c>
      <c r="F25" s="41">
        <v>-0.03</v>
      </c>
      <c r="G25" s="41">
        <v>12.507499999999999</v>
      </c>
      <c r="H25" s="41">
        <v>12.4565</v>
      </c>
      <c r="I25" s="41"/>
      <c r="J25" s="41"/>
      <c r="K25" s="42" t="s">
        <v>46</v>
      </c>
      <c r="L25" s="49"/>
      <c r="M25" s="43"/>
      <c r="N25" s="43"/>
      <c r="O25" s="44" t="str">
        <f t="shared" si="0"/>
        <v xml:space="preserve"> </v>
      </c>
      <c r="P25" s="44" t="str">
        <f t="shared" si="1"/>
        <v xml:space="preserve"> </v>
      </c>
      <c r="Q25" s="44" t="str">
        <f t="shared" si="2"/>
        <v xml:space="preserve"> </v>
      </c>
      <c r="R25" s="45" t="str">
        <f t="shared" si="3"/>
        <v xml:space="preserve"> </v>
      </c>
      <c r="S25" s="46" t="str">
        <f t="shared" si="4"/>
        <v xml:space="preserve"> </v>
      </c>
      <c r="T25" s="47" t="str">
        <f t="shared" si="5"/>
        <v xml:space="preserve"> </v>
      </c>
      <c r="U25" s="45" t="str">
        <f t="shared" si="6"/>
        <v/>
      </c>
      <c r="V25" s="45" t="str">
        <f t="shared" si="7"/>
        <v/>
      </c>
      <c r="W25" s="161"/>
      <c r="X25" s="159"/>
    </row>
    <row r="26" spans="1:24" ht="18" customHeight="1">
      <c r="A26" s="30"/>
      <c r="B26" s="53" t="s">
        <v>124</v>
      </c>
      <c r="C26" s="42" t="s">
        <v>49</v>
      </c>
      <c r="D26" s="41">
        <v>11.089</v>
      </c>
      <c r="E26" s="41">
        <v>0.03</v>
      </c>
      <c r="F26" s="41">
        <v>-0.03</v>
      </c>
      <c r="G26" s="41">
        <v>11.1145</v>
      </c>
      <c r="H26" s="41">
        <v>11.063500000000001</v>
      </c>
      <c r="I26" s="41"/>
      <c r="J26" s="41"/>
      <c r="K26" s="42" t="s">
        <v>46</v>
      </c>
      <c r="L26" s="49"/>
      <c r="M26" s="43"/>
      <c r="N26" s="43"/>
      <c r="O26" s="44" t="str">
        <f t="shared" si="0"/>
        <v xml:space="preserve"> </v>
      </c>
      <c r="P26" s="44" t="str">
        <f t="shared" si="1"/>
        <v xml:space="preserve"> </v>
      </c>
      <c r="Q26" s="44" t="str">
        <f t="shared" si="2"/>
        <v xml:space="preserve"> </v>
      </c>
      <c r="R26" s="45" t="str">
        <f t="shared" si="3"/>
        <v xml:space="preserve"> </v>
      </c>
      <c r="S26" s="46" t="str">
        <f t="shared" si="4"/>
        <v xml:space="preserve"> </v>
      </c>
      <c r="T26" s="47" t="str">
        <f t="shared" si="5"/>
        <v xml:space="preserve"> </v>
      </c>
      <c r="U26" s="45" t="str">
        <f t="shared" si="6"/>
        <v/>
      </c>
      <c r="V26" s="45" t="str">
        <f t="shared" si="7"/>
        <v/>
      </c>
      <c r="W26" s="161"/>
      <c r="X26" s="159"/>
    </row>
    <row r="27" spans="1:24" ht="18" customHeight="1">
      <c r="A27" s="30"/>
      <c r="B27" s="53" t="s">
        <v>125</v>
      </c>
      <c r="C27" s="42" t="s">
        <v>49</v>
      </c>
      <c r="D27" s="41">
        <v>2.0920000000000001</v>
      </c>
      <c r="E27" s="41">
        <v>0.03</v>
      </c>
      <c r="F27" s="41">
        <v>-0.03</v>
      </c>
      <c r="G27" s="41">
        <v>2.1175000000000002</v>
      </c>
      <c r="H27" s="41">
        <v>2.0665</v>
      </c>
      <c r="I27" s="41"/>
      <c r="J27" s="41"/>
      <c r="K27" s="42" t="s">
        <v>46</v>
      </c>
      <c r="L27" s="49"/>
      <c r="M27" s="43"/>
      <c r="N27" s="43"/>
      <c r="O27" s="44" t="str">
        <f t="shared" si="0"/>
        <v xml:space="preserve"> </v>
      </c>
      <c r="P27" s="44" t="str">
        <f t="shared" si="1"/>
        <v xml:space="preserve"> </v>
      </c>
      <c r="Q27" s="44" t="str">
        <f t="shared" si="2"/>
        <v xml:space="preserve"> </v>
      </c>
      <c r="R27" s="45" t="str">
        <f t="shared" si="3"/>
        <v xml:space="preserve"> </v>
      </c>
      <c r="S27" s="46" t="str">
        <f t="shared" si="4"/>
        <v xml:space="preserve"> </v>
      </c>
      <c r="T27" s="47" t="str">
        <f t="shared" si="5"/>
        <v xml:space="preserve"> </v>
      </c>
      <c r="U27" s="45" t="str">
        <f t="shared" si="6"/>
        <v/>
      </c>
      <c r="V27" s="45" t="str">
        <f t="shared" si="7"/>
        <v/>
      </c>
      <c r="W27" s="161"/>
      <c r="X27" s="159"/>
    </row>
    <row r="28" spans="1:24" ht="18" customHeight="1">
      <c r="A28" s="30"/>
      <c r="B28" s="53" t="s">
        <v>126</v>
      </c>
      <c r="C28" s="42" t="s">
        <v>49</v>
      </c>
      <c r="D28" s="41"/>
      <c r="E28" s="41">
        <v>0.03</v>
      </c>
      <c r="F28" s="41"/>
      <c r="G28" s="41">
        <v>2.5499999999999998E-2</v>
      </c>
      <c r="H28" s="41">
        <v>0</v>
      </c>
      <c r="I28" s="41"/>
      <c r="J28" s="41"/>
      <c r="K28" s="42" t="s">
        <v>46</v>
      </c>
      <c r="L28" s="49"/>
      <c r="M28" s="43"/>
      <c r="N28" s="43"/>
      <c r="O28" s="44" t="str">
        <f t="shared" si="0"/>
        <v xml:space="preserve"> </v>
      </c>
      <c r="P28" s="44" t="str">
        <f t="shared" si="1"/>
        <v xml:space="preserve"> </v>
      </c>
      <c r="Q28" s="44" t="str">
        <f t="shared" si="2"/>
        <v xml:space="preserve"> </v>
      </c>
      <c r="R28" s="45" t="str">
        <f t="shared" si="3"/>
        <v xml:space="preserve"> </v>
      </c>
      <c r="S28" s="46" t="str">
        <f t="shared" si="4"/>
        <v xml:space="preserve"> </v>
      </c>
      <c r="T28" s="47" t="str">
        <f t="shared" si="5"/>
        <v xml:space="preserve"> </v>
      </c>
      <c r="U28" s="45" t="str">
        <f t="shared" si="6"/>
        <v/>
      </c>
      <c r="V28" s="45" t="str">
        <f t="shared" si="7"/>
        <v/>
      </c>
      <c r="W28" s="161"/>
      <c r="X28" s="159"/>
    </row>
    <row r="29" spans="1:24" ht="18" customHeight="1">
      <c r="A29" s="30"/>
      <c r="B29" s="53" t="s">
        <v>127</v>
      </c>
      <c r="C29" s="42" t="s">
        <v>49</v>
      </c>
      <c r="D29" s="41"/>
      <c r="E29" s="41">
        <v>0.02</v>
      </c>
      <c r="F29" s="41"/>
      <c r="G29" s="41">
        <v>1.7000000000000001E-2</v>
      </c>
      <c r="H29" s="41">
        <v>0</v>
      </c>
      <c r="I29" s="41"/>
      <c r="J29" s="41"/>
      <c r="K29" s="42" t="s">
        <v>46</v>
      </c>
      <c r="L29" s="49"/>
      <c r="M29" s="43"/>
      <c r="N29" s="43"/>
      <c r="O29" s="44" t="str">
        <f t="shared" si="0"/>
        <v xml:space="preserve"> </v>
      </c>
      <c r="P29" s="44" t="str">
        <f t="shared" si="1"/>
        <v xml:space="preserve"> </v>
      </c>
      <c r="Q29" s="44" t="str">
        <f t="shared" si="2"/>
        <v xml:space="preserve"> </v>
      </c>
      <c r="R29" s="45" t="str">
        <f t="shared" si="3"/>
        <v xml:space="preserve"> </v>
      </c>
      <c r="S29" s="46" t="str">
        <f t="shared" si="4"/>
        <v xml:space="preserve"> </v>
      </c>
      <c r="T29" s="47" t="str">
        <f t="shared" si="5"/>
        <v xml:space="preserve"> </v>
      </c>
      <c r="U29" s="45" t="str">
        <f t="shared" si="6"/>
        <v/>
      </c>
      <c r="V29" s="45" t="str">
        <f t="shared" si="7"/>
        <v/>
      </c>
      <c r="W29" s="161"/>
      <c r="X29" s="159"/>
    </row>
    <row r="30" spans="1:24" ht="18" customHeight="1">
      <c r="A30" s="30"/>
      <c r="B30" s="53" t="s">
        <v>128</v>
      </c>
      <c r="C30" s="42" t="s">
        <v>49</v>
      </c>
      <c r="D30" s="41">
        <v>13.614000000000001</v>
      </c>
      <c r="E30" s="41">
        <v>0.03</v>
      </c>
      <c r="F30" s="41">
        <v>-0.03</v>
      </c>
      <c r="G30" s="41">
        <v>13.6395</v>
      </c>
      <c r="H30" s="41">
        <v>13.588500000000002</v>
      </c>
      <c r="I30" s="41"/>
      <c r="J30" s="41"/>
      <c r="K30" s="42" t="s">
        <v>46</v>
      </c>
      <c r="L30" s="49"/>
      <c r="M30" s="43"/>
      <c r="N30" s="43"/>
      <c r="O30" s="44" t="str">
        <f t="shared" si="0"/>
        <v xml:space="preserve"> </v>
      </c>
      <c r="P30" s="44" t="str">
        <f t="shared" si="1"/>
        <v xml:space="preserve"> </v>
      </c>
      <c r="Q30" s="44" t="str">
        <f t="shared" si="2"/>
        <v xml:space="preserve"> </v>
      </c>
      <c r="R30" s="45" t="str">
        <f t="shared" si="3"/>
        <v xml:space="preserve"> </v>
      </c>
      <c r="S30" s="46" t="str">
        <f t="shared" si="4"/>
        <v xml:space="preserve"> </v>
      </c>
      <c r="T30" s="47" t="str">
        <f t="shared" si="5"/>
        <v xml:space="preserve"> </v>
      </c>
      <c r="U30" s="45" t="str">
        <f t="shared" si="6"/>
        <v/>
      </c>
      <c r="V30" s="45" t="str">
        <f t="shared" si="7"/>
        <v/>
      </c>
      <c r="W30" s="161"/>
      <c r="X30" s="159"/>
    </row>
    <row r="31" spans="1:24" ht="18" customHeight="1">
      <c r="A31" s="30"/>
      <c r="B31" s="53" t="s">
        <v>129</v>
      </c>
      <c r="C31" s="42" t="s">
        <v>49</v>
      </c>
      <c r="D31" s="41">
        <v>1.9510000000000001</v>
      </c>
      <c r="E31" s="41">
        <v>0.03</v>
      </c>
      <c r="F31" s="41">
        <v>-0.03</v>
      </c>
      <c r="G31" s="41">
        <v>1.9765000000000001</v>
      </c>
      <c r="H31" s="41">
        <v>1.9255</v>
      </c>
      <c r="I31" s="41"/>
      <c r="J31" s="41"/>
      <c r="K31" s="42" t="s">
        <v>46</v>
      </c>
      <c r="L31" s="49"/>
      <c r="M31" s="43"/>
      <c r="N31" s="43"/>
      <c r="O31" s="44" t="str">
        <f t="shared" si="0"/>
        <v xml:space="preserve"> </v>
      </c>
      <c r="P31" s="44" t="str">
        <f t="shared" si="1"/>
        <v xml:space="preserve"> </v>
      </c>
      <c r="Q31" s="44" t="str">
        <f t="shared" si="2"/>
        <v xml:space="preserve"> </v>
      </c>
      <c r="R31" s="45" t="str">
        <f t="shared" si="3"/>
        <v xml:space="preserve"> </v>
      </c>
      <c r="S31" s="46" t="str">
        <f t="shared" si="4"/>
        <v xml:space="preserve"> </v>
      </c>
      <c r="T31" s="47" t="str">
        <f t="shared" si="5"/>
        <v xml:space="preserve"> </v>
      </c>
      <c r="U31" s="45" t="str">
        <f t="shared" si="6"/>
        <v/>
      </c>
      <c r="V31" s="45" t="str">
        <f t="shared" si="7"/>
        <v/>
      </c>
      <c r="W31" s="161"/>
      <c r="X31" s="159"/>
    </row>
    <row r="32" spans="1:24" ht="18" customHeight="1">
      <c r="A32" s="30"/>
      <c r="B32" s="53" t="s">
        <v>130</v>
      </c>
      <c r="C32" s="42" t="s">
        <v>49</v>
      </c>
      <c r="D32" s="41">
        <v>2.355</v>
      </c>
      <c r="E32" s="41">
        <v>0.03</v>
      </c>
      <c r="F32" s="41">
        <v>-0.03</v>
      </c>
      <c r="G32" s="41">
        <v>2.3805000000000001</v>
      </c>
      <c r="H32" s="41">
        <v>2.3294999999999999</v>
      </c>
      <c r="I32" s="41"/>
      <c r="J32" s="41"/>
      <c r="K32" s="42" t="s">
        <v>46</v>
      </c>
      <c r="L32" s="49"/>
      <c r="M32" s="43"/>
      <c r="N32" s="43"/>
      <c r="O32" s="44" t="str">
        <f t="shared" si="0"/>
        <v xml:space="preserve"> </v>
      </c>
      <c r="P32" s="44" t="str">
        <f t="shared" si="1"/>
        <v xml:space="preserve"> </v>
      </c>
      <c r="Q32" s="44" t="str">
        <f t="shared" si="2"/>
        <v xml:space="preserve"> </v>
      </c>
      <c r="R32" s="45" t="str">
        <f t="shared" si="3"/>
        <v xml:space="preserve"> </v>
      </c>
      <c r="S32" s="46" t="str">
        <f t="shared" si="4"/>
        <v xml:space="preserve"> </v>
      </c>
      <c r="T32" s="47" t="str">
        <f t="shared" si="5"/>
        <v xml:space="preserve"> </v>
      </c>
      <c r="U32" s="45" t="str">
        <f t="shared" si="6"/>
        <v/>
      </c>
      <c r="V32" s="45" t="str">
        <f t="shared" si="7"/>
        <v/>
      </c>
      <c r="W32" s="161"/>
      <c r="X32" s="159"/>
    </row>
    <row r="33" spans="1:24" ht="18" customHeight="1">
      <c r="A33" s="30"/>
      <c r="B33" s="53" t="s">
        <v>131</v>
      </c>
      <c r="C33" s="42" t="s">
        <v>49</v>
      </c>
      <c r="D33" s="41">
        <v>10.182</v>
      </c>
      <c r="E33" s="41">
        <v>0.03</v>
      </c>
      <c r="F33" s="41">
        <v>-0.03</v>
      </c>
      <c r="G33" s="41">
        <v>10.2075</v>
      </c>
      <c r="H33" s="41">
        <v>10.156500000000001</v>
      </c>
      <c r="I33" s="41"/>
      <c r="J33" s="41"/>
      <c r="K33" s="42" t="s">
        <v>46</v>
      </c>
      <c r="L33" s="49"/>
      <c r="M33" s="43"/>
      <c r="N33" s="43"/>
      <c r="O33" s="44" t="str">
        <f t="shared" si="0"/>
        <v xml:space="preserve"> </v>
      </c>
      <c r="P33" s="44" t="str">
        <f t="shared" si="1"/>
        <v xml:space="preserve"> </v>
      </c>
      <c r="Q33" s="44" t="str">
        <f t="shared" si="2"/>
        <v xml:space="preserve"> </v>
      </c>
      <c r="R33" s="45" t="str">
        <f t="shared" si="3"/>
        <v xml:space="preserve"> </v>
      </c>
      <c r="S33" s="46" t="str">
        <f t="shared" si="4"/>
        <v xml:space="preserve"> </v>
      </c>
      <c r="T33" s="47" t="str">
        <f t="shared" si="5"/>
        <v xml:space="preserve"> </v>
      </c>
      <c r="U33" s="45" t="str">
        <f t="shared" si="6"/>
        <v/>
      </c>
      <c r="V33" s="45" t="str">
        <f t="shared" si="7"/>
        <v/>
      </c>
      <c r="W33" s="161"/>
      <c r="X33" s="159"/>
    </row>
    <row r="34" spans="1:24" ht="18" customHeight="1">
      <c r="A34" s="30"/>
      <c r="B34" s="53" t="s">
        <v>132</v>
      </c>
      <c r="C34" s="42" t="s">
        <v>49</v>
      </c>
      <c r="D34" s="41">
        <v>0.2</v>
      </c>
      <c r="E34" s="41">
        <v>0.03</v>
      </c>
      <c r="F34" s="41">
        <v>-0.03</v>
      </c>
      <c r="G34" s="41">
        <v>0.22550000000000001</v>
      </c>
      <c r="H34" s="41">
        <v>0.17450000000000002</v>
      </c>
      <c r="I34" s="41"/>
      <c r="J34" s="41"/>
      <c r="K34" s="42" t="s">
        <v>46</v>
      </c>
      <c r="L34" s="49"/>
      <c r="M34" s="43"/>
      <c r="N34" s="43"/>
      <c r="O34" s="44" t="str">
        <f t="shared" si="0"/>
        <v xml:space="preserve"> </v>
      </c>
      <c r="P34" s="44" t="str">
        <f t="shared" si="1"/>
        <v xml:space="preserve"> </v>
      </c>
      <c r="Q34" s="44" t="str">
        <f t="shared" si="2"/>
        <v xml:space="preserve"> </v>
      </c>
      <c r="R34" s="45" t="str">
        <f t="shared" si="3"/>
        <v xml:space="preserve"> </v>
      </c>
      <c r="S34" s="46" t="str">
        <f t="shared" si="4"/>
        <v xml:space="preserve"> </v>
      </c>
      <c r="T34" s="47" t="str">
        <f t="shared" si="5"/>
        <v xml:space="preserve"> </v>
      </c>
      <c r="U34" s="45"/>
      <c r="V34" s="45"/>
      <c r="W34" s="161"/>
      <c r="X34" s="159"/>
    </row>
    <row r="35" spans="1:24" ht="18" customHeight="1">
      <c r="A35" s="30"/>
      <c r="B35" s="53" t="s">
        <v>133</v>
      </c>
      <c r="C35" s="42" t="s">
        <v>102</v>
      </c>
      <c r="D35" s="41">
        <v>0.35</v>
      </c>
      <c r="E35" s="41">
        <v>0.03</v>
      </c>
      <c r="F35" s="41">
        <v>-0.03</v>
      </c>
      <c r="G35" s="41">
        <v>0.3755</v>
      </c>
      <c r="H35" s="41">
        <v>0.32449999999999996</v>
      </c>
      <c r="I35" s="41"/>
      <c r="J35" s="41"/>
      <c r="K35" s="42" t="s">
        <v>103</v>
      </c>
      <c r="L35" s="49"/>
      <c r="M35" s="43"/>
      <c r="N35" s="43"/>
      <c r="O35" s="44" t="str">
        <f t="shared" si="0"/>
        <v xml:space="preserve"> </v>
      </c>
      <c r="P35" s="44" t="str">
        <f t="shared" si="1"/>
        <v xml:space="preserve"> </v>
      </c>
      <c r="Q35" s="44" t="str">
        <f t="shared" si="2"/>
        <v xml:space="preserve"> </v>
      </c>
      <c r="R35" s="45" t="str">
        <f t="shared" si="3"/>
        <v xml:space="preserve"> </v>
      </c>
      <c r="S35" s="46" t="str">
        <f t="shared" si="4"/>
        <v xml:space="preserve"> </v>
      </c>
      <c r="T35" s="47" t="str">
        <f t="shared" si="5"/>
        <v xml:space="preserve"> </v>
      </c>
      <c r="U35" s="45" t="str">
        <f t="shared" si="6"/>
        <v/>
      </c>
      <c r="V35" s="45" t="str">
        <f t="shared" ref="V35:V58" si="8">IF(L35="","",IF(ISERR(F35/F35)=TRUE,"",IF(ISERR(F35/D35)=TRUE,IF((F35-MIN(L35:N35))&gt;0.001,"Reject",""),IF(ISNUMBER($T35)=TRUE,IF($T35&gt;0.651,IF($T35&gt;1.001,"Reject","Alert"),""),""))))</f>
        <v/>
      </c>
      <c r="W35" s="161"/>
      <c r="X35" s="159"/>
    </row>
    <row r="36" spans="1:24" ht="18" customHeight="1">
      <c r="A36" s="30"/>
      <c r="B36" s="53" t="s">
        <v>134</v>
      </c>
      <c r="C36" s="42" t="s">
        <v>102</v>
      </c>
      <c r="D36" s="41">
        <v>0.35</v>
      </c>
      <c r="E36" s="41">
        <v>0.03</v>
      </c>
      <c r="F36" s="41">
        <v>-0.03</v>
      </c>
      <c r="G36" s="41">
        <v>0.3755</v>
      </c>
      <c r="H36" s="41">
        <v>0.32449999999999996</v>
      </c>
      <c r="I36" s="41"/>
      <c r="J36" s="41"/>
      <c r="K36" s="42" t="s">
        <v>103</v>
      </c>
      <c r="L36" s="49"/>
      <c r="M36" s="43"/>
      <c r="N36" s="43"/>
      <c r="O36" s="44" t="str">
        <f t="shared" si="0"/>
        <v xml:space="preserve"> </v>
      </c>
      <c r="P36" s="44" t="str">
        <f t="shared" si="1"/>
        <v xml:space="preserve"> </v>
      </c>
      <c r="Q36" s="44" t="str">
        <f t="shared" si="2"/>
        <v xml:space="preserve"> </v>
      </c>
      <c r="R36" s="45" t="str">
        <f t="shared" si="3"/>
        <v xml:space="preserve"> </v>
      </c>
      <c r="S36" s="46" t="str">
        <f t="shared" si="4"/>
        <v xml:space="preserve"> </v>
      </c>
      <c r="T36" s="47" t="str">
        <f t="shared" si="5"/>
        <v xml:space="preserve"> </v>
      </c>
      <c r="U36" s="45" t="str">
        <f t="shared" si="6"/>
        <v/>
      </c>
      <c r="V36" s="45" t="str">
        <f t="shared" si="8"/>
        <v/>
      </c>
      <c r="W36" s="161"/>
      <c r="X36" s="159"/>
    </row>
    <row r="37" spans="1:24" ht="18" customHeight="1">
      <c r="A37" s="30"/>
      <c r="B37" s="53" t="s">
        <v>135</v>
      </c>
      <c r="C37" s="42" t="s">
        <v>102</v>
      </c>
      <c r="D37" s="41">
        <v>0.35</v>
      </c>
      <c r="E37" s="41">
        <v>0.03</v>
      </c>
      <c r="F37" s="41">
        <v>-0.03</v>
      </c>
      <c r="G37" s="41">
        <v>0.3755</v>
      </c>
      <c r="H37" s="41">
        <v>0.32449999999999996</v>
      </c>
      <c r="I37" s="41"/>
      <c r="J37" s="41"/>
      <c r="K37" s="42" t="s">
        <v>103</v>
      </c>
      <c r="L37" s="49"/>
      <c r="M37" s="43"/>
      <c r="N37" s="43"/>
      <c r="O37" s="44" t="str">
        <f t="shared" si="0"/>
        <v xml:space="preserve"> </v>
      </c>
      <c r="P37" s="44" t="str">
        <f t="shared" si="1"/>
        <v xml:space="preserve"> </v>
      </c>
      <c r="Q37" s="44" t="str">
        <f t="shared" si="2"/>
        <v xml:space="preserve"> </v>
      </c>
      <c r="R37" s="45" t="str">
        <f t="shared" si="3"/>
        <v xml:space="preserve"> </v>
      </c>
      <c r="S37" s="46" t="str">
        <f t="shared" si="4"/>
        <v xml:space="preserve"> </v>
      </c>
      <c r="T37" s="47" t="str">
        <f t="shared" si="5"/>
        <v xml:space="preserve"> </v>
      </c>
      <c r="U37" s="45" t="str">
        <f t="shared" si="6"/>
        <v/>
      </c>
      <c r="V37" s="45" t="str">
        <f t="shared" si="8"/>
        <v/>
      </c>
      <c r="W37" s="161"/>
      <c r="X37" s="159"/>
    </row>
    <row r="38" spans="1:24" ht="18" customHeight="1">
      <c r="A38" s="30"/>
      <c r="B38" s="53" t="s">
        <v>136</v>
      </c>
      <c r="C38" s="42" t="s">
        <v>102</v>
      </c>
      <c r="D38" s="41">
        <v>0.35</v>
      </c>
      <c r="E38" s="41">
        <v>0.03</v>
      </c>
      <c r="F38" s="41">
        <v>-0.03</v>
      </c>
      <c r="G38" s="41">
        <v>0.3755</v>
      </c>
      <c r="H38" s="41">
        <v>0.32449999999999996</v>
      </c>
      <c r="I38" s="41"/>
      <c r="J38" s="41"/>
      <c r="K38" s="42" t="s">
        <v>103</v>
      </c>
      <c r="L38" s="49"/>
      <c r="M38" s="43"/>
      <c r="N38" s="43"/>
      <c r="O38" s="44" t="str">
        <f t="shared" ref="O38:O58" si="9">IF(ISERR(L38/L38)=TRUE," ",L38-$D38)</f>
        <v xml:space="preserve"> </v>
      </c>
      <c r="P38" s="44" t="str">
        <f t="shared" ref="P38:P58" si="10">IF(ISERR(M38/M38)=TRUE," ",M38-$D38)</f>
        <v xml:space="preserve"> </v>
      </c>
      <c r="Q38" s="44" t="str">
        <f t="shared" ref="Q38:Q58" si="11">IF(ISERR(N38/N38)=TRUE," ",N38-$D38)</f>
        <v xml:space="preserve"> </v>
      </c>
      <c r="R38" s="45" t="str">
        <f t="shared" ref="R38:R58" si="12">IF(ISERR(L38/L38)=TRUE," ",AVERAGE(L38:N38))</f>
        <v xml:space="preserve"> </v>
      </c>
      <c r="S38" s="46" t="str">
        <f t="shared" ref="S38:S58" si="13">IF(ISERR(E38/E38)=TRUE," ",IF(ISERR(L38/L38)=TRUE," ",IF(ISNUMBER($L38)=FALSE," ",IF(MAX($L38:$N38)&lt;$D38,0,(MAX($L38:$N38)-$D38)/$E38))))</f>
        <v xml:space="preserve"> </v>
      </c>
      <c r="T38" s="47" t="str">
        <f t="shared" ref="T38:T58" si="14">IF(ISERR(F38/D38)=TRUE," ",IF(ISERR(F38/F38)=TRUE," ",IF(ISERR(L38/L38)=TRUE," ",IF(ISNUMBER(L38)=FALSE," ",IF(MIN(L38:N38)&gt;$D38,0,($D38-MIN(L38:N38))/-F38)))))</f>
        <v xml:space="preserve"> </v>
      </c>
      <c r="U38" s="45" t="str">
        <f t="shared" si="6"/>
        <v/>
      </c>
      <c r="V38" s="45" t="str">
        <f t="shared" si="8"/>
        <v/>
      </c>
      <c r="W38" s="161"/>
      <c r="X38" s="159"/>
    </row>
    <row r="39" spans="1:24" ht="18" customHeight="1">
      <c r="A39" s="30"/>
      <c r="B39" s="53" t="s">
        <v>137</v>
      </c>
      <c r="C39" s="42" t="s">
        <v>49</v>
      </c>
      <c r="D39" s="41">
        <v>1.9019999999999999</v>
      </c>
      <c r="E39" s="41">
        <v>0.02</v>
      </c>
      <c r="F39" s="41">
        <v>-0.02</v>
      </c>
      <c r="G39" s="41">
        <v>1.9189999999999998</v>
      </c>
      <c r="H39" s="41">
        <v>1.885</v>
      </c>
      <c r="I39" s="41"/>
      <c r="J39" s="41"/>
      <c r="K39" s="42" t="s">
        <v>46</v>
      </c>
      <c r="L39" s="49"/>
      <c r="M39" s="43"/>
      <c r="N39" s="43"/>
      <c r="O39" s="44" t="str">
        <f t="shared" si="9"/>
        <v xml:space="preserve"> </v>
      </c>
      <c r="P39" s="44" t="str">
        <f t="shared" si="10"/>
        <v xml:space="preserve"> </v>
      </c>
      <c r="Q39" s="44" t="str">
        <f t="shared" si="11"/>
        <v xml:space="preserve"> </v>
      </c>
      <c r="R39" s="45" t="str">
        <f t="shared" si="12"/>
        <v xml:space="preserve"> </v>
      </c>
      <c r="S39" s="46" t="str">
        <f t="shared" si="13"/>
        <v xml:space="preserve"> </v>
      </c>
      <c r="T39" s="47" t="str">
        <f t="shared" si="14"/>
        <v xml:space="preserve"> </v>
      </c>
      <c r="U39" s="45" t="str">
        <f t="shared" si="6"/>
        <v/>
      </c>
      <c r="V39" s="45" t="str">
        <f t="shared" si="8"/>
        <v/>
      </c>
      <c r="W39" s="161"/>
      <c r="X39" s="159"/>
    </row>
    <row r="40" spans="1:24" ht="18" customHeight="1">
      <c r="A40" s="30"/>
      <c r="B40" s="53" t="s">
        <v>138</v>
      </c>
      <c r="C40" s="42" t="s">
        <v>49</v>
      </c>
      <c r="D40" s="41">
        <v>1.74</v>
      </c>
      <c r="E40" s="41">
        <v>0.03</v>
      </c>
      <c r="F40" s="41">
        <v>-0.03</v>
      </c>
      <c r="G40" s="41">
        <v>1.7655000000000001</v>
      </c>
      <c r="H40" s="41">
        <v>1.7144999999999999</v>
      </c>
      <c r="I40" s="41"/>
      <c r="J40" s="41"/>
      <c r="K40" s="42" t="s">
        <v>46</v>
      </c>
      <c r="L40" s="49"/>
      <c r="M40" s="43"/>
      <c r="N40" s="43"/>
      <c r="O40" s="44" t="str">
        <f t="shared" si="9"/>
        <v xml:space="preserve"> </v>
      </c>
      <c r="P40" s="44" t="str">
        <f t="shared" si="10"/>
        <v xml:space="preserve"> </v>
      </c>
      <c r="Q40" s="44" t="str">
        <f t="shared" si="11"/>
        <v xml:space="preserve"> </v>
      </c>
      <c r="R40" s="45" t="str">
        <f t="shared" si="12"/>
        <v xml:space="preserve"> </v>
      </c>
      <c r="S40" s="46" t="str">
        <f t="shared" si="13"/>
        <v xml:space="preserve"> </v>
      </c>
      <c r="T40" s="47" t="str">
        <f t="shared" si="14"/>
        <v xml:space="preserve"> </v>
      </c>
      <c r="U40" s="45" t="str">
        <f t="shared" si="6"/>
        <v/>
      </c>
      <c r="V40" s="45" t="str">
        <f t="shared" si="8"/>
        <v/>
      </c>
      <c r="W40" s="161"/>
      <c r="X40" s="159"/>
    </row>
    <row r="41" spans="1:24" ht="18" customHeight="1">
      <c r="A41" s="30"/>
      <c r="B41" s="53" t="s">
        <v>139</v>
      </c>
      <c r="C41" s="42" t="s">
        <v>49</v>
      </c>
      <c r="D41" s="41">
        <v>1.74</v>
      </c>
      <c r="E41" s="41">
        <v>0.03</v>
      </c>
      <c r="F41" s="41">
        <v>-0.03</v>
      </c>
      <c r="G41" s="41">
        <v>1.7655000000000001</v>
      </c>
      <c r="H41" s="41">
        <v>1.7144999999999999</v>
      </c>
      <c r="I41" s="41"/>
      <c r="J41" s="41"/>
      <c r="K41" s="42" t="s">
        <v>46</v>
      </c>
      <c r="L41" s="49"/>
      <c r="M41" s="43"/>
      <c r="N41" s="43"/>
      <c r="O41" s="44" t="str">
        <f t="shared" si="9"/>
        <v xml:space="preserve"> </v>
      </c>
      <c r="P41" s="44" t="str">
        <f t="shared" si="10"/>
        <v xml:space="preserve"> </v>
      </c>
      <c r="Q41" s="44" t="str">
        <f t="shared" si="11"/>
        <v xml:space="preserve"> </v>
      </c>
      <c r="R41" s="45" t="str">
        <f t="shared" si="12"/>
        <v xml:space="preserve"> </v>
      </c>
      <c r="S41" s="46" t="str">
        <f t="shared" si="13"/>
        <v xml:space="preserve"> </v>
      </c>
      <c r="T41" s="47" t="str">
        <f t="shared" si="14"/>
        <v xml:space="preserve"> </v>
      </c>
      <c r="U41" s="45" t="str">
        <f t="shared" si="6"/>
        <v/>
      </c>
      <c r="V41" s="45" t="str">
        <f t="shared" si="8"/>
        <v/>
      </c>
      <c r="W41" s="161"/>
      <c r="X41" s="159"/>
    </row>
    <row r="42" spans="1:24" ht="18" customHeight="1">
      <c r="A42" s="30"/>
      <c r="B42" s="53" t="s">
        <v>140</v>
      </c>
      <c r="C42" s="42" t="s">
        <v>49</v>
      </c>
      <c r="D42" s="41">
        <v>10.772</v>
      </c>
      <c r="E42" s="41">
        <v>0.03</v>
      </c>
      <c r="F42" s="41">
        <v>-0.03</v>
      </c>
      <c r="G42" s="41">
        <v>10.797499999999999</v>
      </c>
      <c r="H42" s="41">
        <v>10.746500000000001</v>
      </c>
      <c r="I42" s="41"/>
      <c r="J42" s="41"/>
      <c r="K42" s="42" t="s">
        <v>46</v>
      </c>
      <c r="L42" s="49"/>
      <c r="M42" s="43"/>
      <c r="N42" s="43"/>
      <c r="O42" s="44" t="str">
        <f t="shared" si="9"/>
        <v xml:space="preserve"> </v>
      </c>
      <c r="P42" s="44" t="str">
        <f t="shared" si="10"/>
        <v xml:space="preserve"> </v>
      </c>
      <c r="Q42" s="44" t="str">
        <f t="shared" si="11"/>
        <v xml:space="preserve"> </v>
      </c>
      <c r="R42" s="45" t="str">
        <f t="shared" si="12"/>
        <v xml:space="preserve"> </v>
      </c>
      <c r="S42" s="46" t="str">
        <f t="shared" si="13"/>
        <v xml:space="preserve"> </v>
      </c>
      <c r="T42" s="47" t="str">
        <f t="shared" si="14"/>
        <v xml:space="preserve"> </v>
      </c>
      <c r="U42" s="45" t="str">
        <f t="shared" si="6"/>
        <v/>
      </c>
      <c r="V42" s="45" t="str">
        <f t="shared" si="8"/>
        <v/>
      </c>
      <c r="W42" s="161"/>
      <c r="X42" s="159"/>
    </row>
    <row r="43" spans="1:24" ht="18" customHeight="1">
      <c r="A43" s="30"/>
      <c r="B43" s="53" t="s">
        <v>141</v>
      </c>
      <c r="C43" s="42" t="s">
        <v>49</v>
      </c>
      <c r="D43" s="41">
        <v>14.853999999999999</v>
      </c>
      <c r="E43" s="41">
        <v>0.03</v>
      </c>
      <c r="F43" s="41">
        <v>-0.03</v>
      </c>
      <c r="G43" s="41">
        <v>14.879499999999998</v>
      </c>
      <c r="H43" s="41">
        <v>14.8285</v>
      </c>
      <c r="I43" s="41"/>
      <c r="J43" s="41"/>
      <c r="K43" s="42" t="s">
        <v>46</v>
      </c>
      <c r="L43" s="49"/>
      <c r="M43" s="43"/>
      <c r="N43" s="43"/>
      <c r="O43" s="44" t="str">
        <f t="shared" si="9"/>
        <v xml:space="preserve"> </v>
      </c>
      <c r="P43" s="44" t="str">
        <f t="shared" si="10"/>
        <v xml:space="preserve"> </v>
      </c>
      <c r="Q43" s="44" t="str">
        <f t="shared" si="11"/>
        <v xml:space="preserve"> </v>
      </c>
      <c r="R43" s="45" t="str">
        <f t="shared" si="12"/>
        <v xml:space="preserve"> </v>
      </c>
      <c r="S43" s="46" t="str">
        <f t="shared" si="13"/>
        <v xml:space="preserve"> </v>
      </c>
      <c r="T43" s="47" t="str">
        <f t="shared" si="14"/>
        <v xml:space="preserve"> </v>
      </c>
      <c r="U43" s="45" t="str">
        <f t="shared" si="6"/>
        <v/>
      </c>
      <c r="V43" s="45" t="str">
        <f t="shared" si="8"/>
        <v/>
      </c>
      <c r="W43" s="161"/>
      <c r="X43" s="159"/>
    </row>
    <row r="44" spans="1:24" ht="18" customHeight="1">
      <c r="A44" s="30"/>
      <c r="B44" s="53" t="s">
        <v>142</v>
      </c>
      <c r="C44" s="42" t="s">
        <v>49</v>
      </c>
      <c r="D44" s="41">
        <v>13.27</v>
      </c>
      <c r="E44" s="41">
        <v>0.03</v>
      </c>
      <c r="F44" s="41">
        <v>-0.03</v>
      </c>
      <c r="G44" s="41">
        <v>13.295499999999999</v>
      </c>
      <c r="H44" s="41">
        <v>13.2445</v>
      </c>
      <c r="I44" s="41"/>
      <c r="J44" s="41"/>
      <c r="K44" s="42" t="s">
        <v>46</v>
      </c>
      <c r="L44" s="49"/>
      <c r="M44" s="43"/>
      <c r="N44" s="43"/>
      <c r="O44" s="44" t="str">
        <f t="shared" si="9"/>
        <v xml:space="preserve"> </v>
      </c>
      <c r="P44" s="44" t="str">
        <f t="shared" si="10"/>
        <v xml:space="preserve"> </v>
      </c>
      <c r="Q44" s="44" t="str">
        <f t="shared" si="11"/>
        <v xml:space="preserve"> </v>
      </c>
      <c r="R44" s="45" t="str">
        <f t="shared" si="12"/>
        <v xml:space="preserve"> </v>
      </c>
      <c r="S44" s="46" t="str">
        <f t="shared" si="13"/>
        <v xml:space="preserve"> </v>
      </c>
      <c r="T44" s="47" t="str">
        <f t="shared" si="14"/>
        <v xml:space="preserve"> </v>
      </c>
      <c r="U44" s="45" t="str">
        <f t="shared" si="6"/>
        <v/>
      </c>
      <c r="V44" s="45" t="str">
        <f t="shared" si="8"/>
        <v/>
      </c>
      <c r="W44" s="161"/>
      <c r="X44" s="159"/>
    </row>
    <row r="45" spans="1:24" ht="18" customHeight="1">
      <c r="A45" s="30"/>
      <c r="B45" s="53" t="s">
        <v>143</v>
      </c>
      <c r="C45" s="42" t="s">
        <v>49</v>
      </c>
      <c r="D45" s="41">
        <v>0.64200000000000002</v>
      </c>
      <c r="E45" s="41">
        <v>0.03</v>
      </c>
      <c r="F45" s="41">
        <v>-0.03</v>
      </c>
      <c r="G45" s="41">
        <v>0.66749999999999998</v>
      </c>
      <c r="H45" s="41">
        <v>0.61650000000000005</v>
      </c>
      <c r="I45" s="41"/>
      <c r="J45" s="41"/>
      <c r="K45" s="42" t="s">
        <v>46</v>
      </c>
      <c r="L45" s="49"/>
      <c r="M45" s="43"/>
      <c r="N45" s="43"/>
      <c r="O45" s="44" t="str">
        <f t="shared" si="9"/>
        <v xml:space="preserve"> </v>
      </c>
      <c r="P45" s="44" t="str">
        <f t="shared" si="10"/>
        <v xml:space="preserve"> </v>
      </c>
      <c r="Q45" s="44" t="str">
        <f t="shared" si="11"/>
        <v xml:space="preserve"> </v>
      </c>
      <c r="R45" s="45" t="str">
        <f t="shared" si="12"/>
        <v xml:space="preserve"> </v>
      </c>
      <c r="S45" s="46" t="str">
        <f t="shared" si="13"/>
        <v xml:space="preserve"> </v>
      </c>
      <c r="T45" s="47" t="str">
        <f t="shared" si="14"/>
        <v xml:space="preserve"> </v>
      </c>
      <c r="U45" s="45" t="str">
        <f t="shared" si="6"/>
        <v/>
      </c>
      <c r="V45" s="45" t="str">
        <f t="shared" si="8"/>
        <v/>
      </c>
      <c r="W45" s="161"/>
      <c r="X45" s="159"/>
    </row>
    <row r="46" spans="1:24" ht="18" customHeight="1">
      <c r="A46" s="30"/>
      <c r="B46" s="53" t="s">
        <v>144</v>
      </c>
      <c r="C46" s="42" t="s">
        <v>49</v>
      </c>
      <c r="D46" s="41">
        <v>0.40300000000000002</v>
      </c>
      <c r="E46" s="41">
        <v>0.03</v>
      </c>
      <c r="F46" s="41">
        <v>-0.03</v>
      </c>
      <c r="G46" s="41">
        <v>0.42850000000000005</v>
      </c>
      <c r="H46" s="41">
        <v>0.3775</v>
      </c>
      <c r="I46" s="41"/>
      <c r="J46" s="41"/>
      <c r="K46" s="42" t="s">
        <v>46</v>
      </c>
      <c r="L46" s="49"/>
      <c r="M46" s="43"/>
      <c r="N46" s="43"/>
      <c r="O46" s="44" t="str">
        <f t="shared" si="9"/>
        <v xml:space="preserve"> </v>
      </c>
      <c r="P46" s="44" t="str">
        <f t="shared" si="10"/>
        <v xml:space="preserve"> </v>
      </c>
      <c r="Q46" s="44" t="str">
        <f t="shared" si="11"/>
        <v xml:space="preserve"> </v>
      </c>
      <c r="R46" s="45" t="str">
        <f t="shared" si="12"/>
        <v xml:space="preserve"> </v>
      </c>
      <c r="S46" s="46" t="str">
        <f t="shared" si="13"/>
        <v xml:space="preserve"> </v>
      </c>
      <c r="T46" s="47" t="str">
        <f t="shared" si="14"/>
        <v xml:space="preserve"> </v>
      </c>
      <c r="U46" s="45" t="str">
        <f t="shared" si="6"/>
        <v/>
      </c>
      <c r="V46" s="45" t="str">
        <f t="shared" si="8"/>
        <v/>
      </c>
      <c r="W46" s="161"/>
      <c r="X46" s="159"/>
    </row>
    <row r="47" spans="1:24" ht="17.25" customHeight="1">
      <c r="A47" s="30"/>
      <c r="B47" s="53" t="s">
        <v>145</v>
      </c>
      <c r="C47" s="42" t="s">
        <v>49</v>
      </c>
      <c r="D47" s="41">
        <v>1.986</v>
      </c>
      <c r="E47" s="41">
        <v>0.03</v>
      </c>
      <c r="F47" s="41">
        <v>-0.03</v>
      </c>
      <c r="G47" s="41">
        <v>2.0114999999999998</v>
      </c>
      <c r="H47" s="41">
        <v>1.9604999999999999</v>
      </c>
      <c r="I47" s="41"/>
      <c r="J47" s="41"/>
      <c r="K47" s="42" t="s">
        <v>46</v>
      </c>
      <c r="L47" s="49"/>
      <c r="M47" s="43"/>
      <c r="N47" s="43"/>
      <c r="O47" s="44" t="str">
        <f t="shared" si="9"/>
        <v xml:space="preserve"> </v>
      </c>
      <c r="P47" s="44" t="str">
        <f t="shared" si="10"/>
        <v xml:space="preserve"> </v>
      </c>
      <c r="Q47" s="44" t="str">
        <f t="shared" si="11"/>
        <v xml:space="preserve"> </v>
      </c>
      <c r="R47" s="45" t="str">
        <f t="shared" si="12"/>
        <v xml:space="preserve"> </v>
      </c>
      <c r="S47" s="46" t="str">
        <f t="shared" si="13"/>
        <v xml:space="preserve"> </v>
      </c>
      <c r="T47" s="47" t="str">
        <f t="shared" si="14"/>
        <v xml:space="preserve"> </v>
      </c>
      <c r="U47" s="45" t="str">
        <f t="shared" si="6"/>
        <v/>
      </c>
      <c r="V47" s="45" t="str">
        <f t="shared" si="8"/>
        <v/>
      </c>
      <c r="W47" s="161"/>
      <c r="X47" s="159"/>
    </row>
    <row r="48" spans="1:24" ht="18" customHeight="1">
      <c r="A48" s="30"/>
      <c r="B48" s="53" t="s">
        <v>146</v>
      </c>
      <c r="C48" s="42" t="s">
        <v>49</v>
      </c>
      <c r="D48" s="41">
        <v>2.226</v>
      </c>
      <c r="E48" s="41">
        <v>0.03</v>
      </c>
      <c r="F48" s="41">
        <v>-0.03</v>
      </c>
      <c r="G48" s="41">
        <v>2.2515000000000001</v>
      </c>
      <c r="H48" s="41">
        <v>2.2004999999999999</v>
      </c>
      <c r="I48" s="41"/>
      <c r="J48" s="41"/>
      <c r="K48" s="42" t="s">
        <v>46</v>
      </c>
      <c r="L48" s="49"/>
      <c r="M48" s="43"/>
      <c r="N48" s="43"/>
      <c r="O48" s="44" t="str">
        <f t="shared" si="9"/>
        <v xml:space="preserve"> </v>
      </c>
      <c r="P48" s="44" t="str">
        <f t="shared" si="10"/>
        <v xml:space="preserve"> </v>
      </c>
      <c r="Q48" s="44" t="str">
        <f t="shared" si="11"/>
        <v xml:space="preserve"> </v>
      </c>
      <c r="R48" s="45" t="str">
        <f t="shared" si="12"/>
        <v xml:space="preserve"> </v>
      </c>
      <c r="S48" s="46" t="str">
        <f t="shared" si="13"/>
        <v xml:space="preserve"> </v>
      </c>
      <c r="T48" s="47" t="str">
        <f t="shared" si="14"/>
        <v xml:space="preserve"> </v>
      </c>
      <c r="U48" s="45" t="str">
        <f t="shared" si="6"/>
        <v/>
      </c>
      <c r="V48" s="45" t="str">
        <f t="shared" si="8"/>
        <v/>
      </c>
      <c r="W48" s="161"/>
      <c r="X48" s="159"/>
    </row>
    <row r="49" spans="1:24" ht="18" customHeight="1">
      <c r="A49" s="30"/>
      <c r="B49" s="53" t="s">
        <v>147</v>
      </c>
      <c r="C49" s="42" t="s">
        <v>49</v>
      </c>
      <c r="D49" s="41">
        <v>1.718</v>
      </c>
      <c r="E49" s="41">
        <v>0.02</v>
      </c>
      <c r="F49" s="41">
        <v>-0.02</v>
      </c>
      <c r="G49" s="41">
        <v>1.7349999999999999</v>
      </c>
      <c r="H49" s="41">
        <v>1.7010000000000001</v>
      </c>
      <c r="I49" s="41"/>
      <c r="J49" s="41"/>
      <c r="K49" s="42" t="s">
        <v>46</v>
      </c>
      <c r="L49" s="49"/>
      <c r="M49" s="43"/>
      <c r="N49" s="43"/>
      <c r="O49" s="44" t="str">
        <f t="shared" si="9"/>
        <v xml:space="preserve"> </v>
      </c>
      <c r="P49" s="44" t="str">
        <f t="shared" si="10"/>
        <v xml:space="preserve"> </v>
      </c>
      <c r="Q49" s="44" t="str">
        <f t="shared" si="11"/>
        <v xml:space="preserve"> </v>
      </c>
      <c r="R49" s="45" t="str">
        <f t="shared" si="12"/>
        <v xml:space="preserve"> </v>
      </c>
      <c r="S49" s="46" t="str">
        <f t="shared" si="13"/>
        <v xml:space="preserve"> </v>
      </c>
      <c r="T49" s="47" t="str">
        <f t="shared" si="14"/>
        <v xml:space="preserve"> </v>
      </c>
      <c r="U49" s="45" t="str">
        <f t="shared" si="6"/>
        <v/>
      </c>
      <c r="V49" s="45" t="str">
        <f t="shared" si="8"/>
        <v/>
      </c>
      <c r="W49" s="161"/>
      <c r="X49" s="159"/>
    </row>
    <row r="50" spans="1:24" ht="18" customHeight="1">
      <c r="A50" s="30"/>
      <c r="B50" s="53" t="s">
        <v>148</v>
      </c>
      <c r="C50" s="42" t="s">
        <v>49</v>
      </c>
      <c r="D50" s="41">
        <v>0.38500000000000001</v>
      </c>
      <c r="E50" s="41">
        <v>0.22</v>
      </c>
      <c r="F50" s="41">
        <v>-0.22</v>
      </c>
      <c r="G50" s="41">
        <v>0.57200000000000006</v>
      </c>
      <c r="H50" s="41">
        <v>0.19800000000000001</v>
      </c>
      <c r="I50" s="41"/>
      <c r="J50" s="41"/>
      <c r="K50" s="42" t="s">
        <v>46</v>
      </c>
      <c r="L50" s="49"/>
      <c r="M50" s="43"/>
      <c r="N50" s="43"/>
      <c r="O50" s="44" t="str">
        <f t="shared" si="9"/>
        <v xml:space="preserve"> </v>
      </c>
      <c r="P50" s="44" t="str">
        <f t="shared" si="10"/>
        <v xml:space="preserve"> </v>
      </c>
      <c r="Q50" s="44" t="str">
        <f t="shared" si="11"/>
        <v xml:space="preserve"> </v>
      </c>
      <c r="R50" s="45" t="str">
        <f t="shared" si="12"/>
        <v xml:space="preserve"> </v>
      </c>
      <c r="S50" s="46" t="str">
        <f t="shared" si="13"/>
        <v xml:space="preserve"> </v>
      </c>
      <c r="T50" s="47" t="str">
        <f t="shared" si="14"/>
        <v xml:space="preserve"> </v>
      </c>
      <c r="U50" s="45" t="str">
        <f t="shared" si="6"/>
        <v/>
      </c>
      <c r="V50" s="45" t="str">
        <f t="shared" si="8"/>
        <v/>
      </c>
      <c r="W50" s="161"/>
      <c r="X50" s="159"/>
    </row>
    <row r="51" spans="1:24" ht="18" customHeight="1">
      <c r="A51" s="30"/>
      <c r="B51" s="53" t="s">
        <v>149</v>
      </c>
      <c r="C51" s="42" t="s">
        <v>49</v>
      </c>
      <c r="D51" s="41">
        <v>5.2779999999999996</v>
      </c>
      <c r="E51" s="41">
        <v>0.3</v>
      </c>
      <c r="F51" s="41">
        <v>-0.3</v>
      </c>
      <c r="G51" s="41">
        <v>5.5329999999999995</v>
      </c>
      <c r="H51" s="41">
        <v>5.0229999999999997</v>
      </c>
      <c r="I51" s="41"/>
      <c r="J51" s="41"/>
      <c r="K51" s="42" t="s">
        <v>46</v>
      </c>
      <c r="L51" s="49"/>
      <c r="M51" s="43"/>
      <c r="N51" s="43"/>
      <c r="O51" s="44" t="str">
        <f t="shared" si="9"/>
        <v xml:space="preserve"> </v>
      </c>
      <c r="P51" s="44" t="str">
        <f t="shared" si="10"/>
        <v xml:space="preserve"> </v>
      </c>
      <c r="Q51" s="44" t="str">
        <f t="shared" si="11"/>
        <v xml:space="preserve"> </v>
      </c>
      <c r="R51" s="45" t="str">
        <f t="shared" si="12"/>
        <v xml:space="preserve"> </v>
      </c>
      <c r="S51" s="46" t="str">
        <f t="shared" si="13"/>
        <v xml:space="preserve"> </v>
      </c>
      <c r="T51" s="47" t="str">
        <f t="shared" si="14"/>
        <v xml:space="preserve"> </v>
      </c>
      <c r="U51" s="45" t="str">
        <f t="shared" si="6"/>
        <v/>
      </c>
      <c r="V51" s="45" t="str">
        <f t="shared" si="8"/>
        <v/>
      </c>
      <c r="W51" s="161"/>
      <c r="X51" s="159"/>
    </row>
    <row r="52" spans="1:24" ht="18" customHeight="1">
      <c r="A52" s="30"/>
      <c r="B52" s="53" t="s">
        <v>150</v>
      </c>
      <c r="C52" s="42" t="s">
        <v>94</v>
      </c>
      <c r="D52" s="41">
        <v>0</v>
      </c>
      <c r="E52" s="41">
        <v>3</v>
      </c>
      <c r="F52" s="41">
        <v>-3</v>
      </c>
      <c r="G52" s="41">
        <v>2.5499999999999998</v>
      </c>
      <c r="H52" s="41">
        <v>-2.5499999999999998</v>
      </c>
      <c r="I52" s="41"/>
      <c r="J52" s="41"/>
      <c r="K52" s="42" t="s">
        <v>46</v>
      </c>
      <c r="L52" s="49"/>
      <c r="M52" s="43"/>
      <c r="N52" s="43"/>
      <c r="O52" s="44" t="str">
        <f t="shared" si="9"/>
        <v xml:space="preserve"> </v>
      </c>
      <c r="P52" s="44" t="str">
        <f t="shared" si="10"/>
        <v xml:space="preserve"> </v>
      </c>
      <c r="Q52" s="44" t="str">
        <f t="shared" si="11"/>
        <v xml:space="preserve"> </v>
      </c>
      <c r="R52" s="45" t="str">
        <f t="shared" si="12"/>
        <v xml:space="preserve"> </v>
      </c>
      <c r="S52" s="46" t="str">
        <f t="shared" si="13"/>
        <v xml:space="preserve"> </v>
      </c>
      <c r="T52" s="47" t="str">
        <f t="shared" si="14"/>
        <v xml:space="preserve"> </v>
      </c>
      <c r="U52" s="45" t="str">
        <f t="shared" si="6"/>
        <v/>
      </c>
      <c r="V52" s="45" t="str">
        <f t="shared" si="8"/>
        <v/>
      </c>
      <c r="W52" s="161"/>
      <c r="X52" s="159"/>
    </row>
    <row r="53" spans="1:24" ht="18" customHeight="1">
      <c r="A53" s="30"/>
      <c r="B53" s="53" t="s">
        <v>151</v>
      </c>
      <c r="C53" s="42" t="s">
        <v>95</v>
      </c>
      <c r="D53" s="41">
        <v>1.03</v>
      </c>
      <c r="E53" s="41">
        <v>0.02</v>
      </c>
      <c r="F53" s="41">
        <v>-0.02</v>
      </c>
      <c r="G53" s="41">
        <v>1.0469999999999999</v>
      </c>
      <c r="H53" s="41">
        <v>1.0130000000000001</v>
      </c>
      <c r="I53" s="41"/>
      <c r="J53" s="41"/>
      <c r="K53" s="42" t="s">
        <v>46</v>
      </c>
      <c r="L53" s="49"/>
      <c r="M53" s="43"/>
      <c r="N53" s="43"/>
      <c r="O53" s="44" t="str">
        <f t="shared" si="9"/>
        <v xml:space="preserve"> </v>
      </c>
      <c r="P53" s="44" t="str">
        <f t="shared" si="10"/>
        <v xml:space="preserve"> </v>
      </c>
      <c r="Q53" s="44" t="str">
        <f t="shared" si="11"/>
        <v xml:space="preserve"> </v>
      </c>
      <c r="R53" s="45" t="str">
        <f t="shared" si="12"/>
        <v xml:space="preserve"> </v>
      </c>
      <c r="S53" s="46" t="str">
        <f t="shared" si="13"/>
        <v xml:space="preserve"> </v>
      </c>
      <c r="T53" s="47" t="str">
        <f t="shared" si="14"/>
        <v xml:space="preserve"> </v>
      </c>
      <c r="U53" s="45" t="str">
        <f t="shared" si="6"/>
        <v/>
      </c>
      <c r="V53" s="45" t="str">
        <f t="shared" si="8"/>
        <v/>
      </c>
      <c r="W53" s="161"/>
      <c r="X53" s="159"/>
    </row>
    <row r="54" spans="1:24" ht="18" customHeight="1">
      <c r="A54" s="30"/>
      <c r="B54" s="53" t="s">
        <v>152</v>
      </c>
      <c r="C54" s="42" t="s">
        <v>95</v>
      </c>
      <c r="D54" s="41">
        <v>1.03</v>
      </c>
      <c r="E54" s="41">
        <v>0.02</v>
      </c>
      <c r="F54" s="41">
        <v>-0.02</v>
      </c>
      <c r="G54" s="41">
        <v>1.0469999999999999</v>
      </c>
      <c r="H54" s="41">
        <v>1.0130000000000001</v>
      </c>
      <c r="I54" s="41"/>
      <c r="J54" s="41"/>
      <c r="K54" s="42" t="s">
        <v>46</v>
      </c>
      <c r="L54" s="49"/>
      <c r="M54" s="43"/>
      <c r="N54" s="43"/>
      <c r="O54" s="44" t="str">
        <f t="shared" si="9"/>
        <v xml:space="preserve"> </v>
      </c>
      <c r="P54" s="44" t="str">
        <f t="shared" si="10"/>
        <v xml:space="preserve"> </v>
      </c>
      <c r="Q54" s="44" t="str">
        <f t="shared" si="11"/>
        <v xml:space="preserve"> </v>
      </c>
      <c r="R54" s="45" t="str">
        <f t="shared" si="12"/>
        <v xml:space="preserve"> </v>
      </c>
      <c r="S54" s="46" t="str">
        <f t="shared" si="13"/>
        <v xml:space="preserve"> </v>
      </c>
      <c r="T54" s="47" t="str">
        <f t="shared" si="14"/>
        <v xml:space="preserve"> </v>
      </c>
      <c r="U54" s="45" t="str">
        <f t="shared" si="6"/>
        <v/>
      </c>
      <c r="V54" s="45" t="str">
        <f t="shared" si="8"/>
        <v/>
      </c>
      <c r="W54" s="161"/>
      <c r="X54" s="159"/>
    </row>
    <row r="55" spans="1:24" ht="18" customHeight="1">
      <c r="A55" s="30"/>
      <c r="B55" s="53" t="s">
        <v>153</v>
      </c>
      <c r="C55" s="42" t="s">
        <v>95</v>
      </c>
      <c r="D55" s="41">
        <v>14.496</v>
      </c>
      <c r="E55" s="41">
        <v>0.02</v>
      </c>
      <c r="F55" s="41">
        <v>-0.02</v>
      </c>
      <c r="G55" s="41">
        <v>14.513</v>
      </c>
      <c r="H55" s="41">
        <v>14.479000000000001</v>
      </c>
      <c r="I55" s="41"/>
      <c r="J55" s="41"/>
      <c r="K55" s="42" t="s">
        <v>46</v>
      </c>
      <c r="L55" s="49"/>
      <c r="M55" s="43"/>
      <c r="N55" s="43"/>
      <c r="O55" s="44" t="str">
        <f t="shared" si="9"/>
        <v xml:space="preserve"> </v>
      </c>
      <c r="P55" s="44" t="str">
        <f t="shared" si="10"/>
        <v xml:space="preserve"> </v>
      </c>
      <c r="Q55" s="44" t="str">
        <f t="shared" si="11"/>
        <v xml:space="preserve"> </v>
      </c>
      <c r="R55" s="45" t="str">
        <f t="shared" si="12"/>
        <v xml:space="preserve"> </v>
      </c>
      <c r="S55" s="46" t="str">
        <f t="shared" si="13"/>
        <v xml:space="preserve"> </v>
      </c>
      <c r="T55" s="47" t="str">
        <f t="shared" si="14"/>
        <v xml:space="preserve"> </v>
      </c>
      <c r="U55" s="45" t="str">
        <f t="shared" si="6"/>
        <v/>
      </c>
      <c r="V55" s="45" t="str">
        <f t="shared" si="8"/>
        <v/>
      </c>
      <c r="W55" s="161"/>
      <c r="X55" s="159"/>
    </row>
    <row r="56" spans="1:24" ht="18" customHeight="1">
      <c r="A56" s="30"/>
      <c r="B56" s="53" t="s">
        <v>154</v>
      </c>
      <c r="C56" s="42" t="s">
        <v>95</v>
      </c>
      <c r="D56" s="41">
        <v>0.77</v>
      </c>
      <c r="E56" s="41">
        <v>0.02</v>
      </c>
      <c r="F56" s="41">
        <v>-0.02</v>
      </c>
      <c r="G56" s="41">
        <v>0.78700000000000003</v>
      </c>
      <c r="H56" s="41">
        <v>0.753</v>
      </c>
      <c r="I56" s="41"/>
      <c r="J56" s="41"/>
      <c r="K56" s="42" t="s">
        <v>46</v>
      </c>
      <c r="L56" s="49"/>
      <c r="M56" s="43"/>
      <c r="N56" s="43"/>
      <c r="O56" s="44" t="str">
        <f t="shared" si="9"/>
        <v xml:space="preserve"> </v>
      </c>
      <c r="P56" s="44" t="str">
        <f t="shared" si="10"/>
        <v xml:space="preserve"> </v>
      </c>
      <c r="Q56" s="44" t="str">
        <f t="shared" si="11"/>
        <v xml:space="preserve"> </v>
      </c>
      <c r="R56" s="45" t="str">
        <f t="shared" si="12"/>
        <v xml:space="preserve"> </v>
      </c>
      <c r="S56" s="46" t="str">
        <f t="shared" si="13"/>
        <v xml:space="preserve"> </v>
      </c>
      <c r="T56" s="47" t="str">
        <f t="shared" si="14"/>
        <v xml:space="preserve"> </v>
      </c>
      <c r="U56" s="45" t="str">
        <f t="shared" si="6"/>
        <v/>
      </c>
      <c r="V56" s="45" t="str">
        <f t="shared" si="8"/>
        <v/>
      </c>
      <c r="W56" s="161"/>
      <c r="X56" s="159"/>
    </row>
    <row r="57" spans="1:24" ht="18" customHeight="1">
      <c r="A57" s="30"/>
      <c r="B57" s="53" t="s">
        <v>155</v>
      </c>
      <c r="C57" s="42" t="s">
        <v>95</v>
      </c>
      <c r="D57" s="41">
        <v>0.77</v>
      </c>
      <c r="E57" s="41">
        <v>0.02</v>
      </c>
      <c r="F57" s="41">
        <v>-0.02</v>
      </c>
      <c r="G57" s="41">
        <v>0.78700000000000003</v>
      </c>
      <c r="H57" s="41">
        <v>0.753</v>
      </c>
      <c r="I57" s="41"/>
      <c r="J57" s="41"/>
      <c r="K57" s="42" t="s">
        <v>46</v>
      </c>
      <c r="L57" s="49"/>
      <c r="M57" s="43"/>
      <c r="N57" s="43"/>
      <c r="O57" s="44" t="str">
        <f t="shared" si="9"/>
        <v xml:space="preserve"> </v>
      </c>
      <c r="P57" s="44" t="str">
        <f t="shared" si="10"/>
        <v xml:space="preserve"> </v>
      </c>
      <c r="Q57" s="44" t="str">
        <f t="shared" si="11"/>
        <v xml:space="preserve"> </v>
      </c>
      <c r="R57" s="45" t="str">
        <f t="shared" si="12"/>
        <v xml:space="preserve"> </v>
      </c>
      <c r="S57" s="46" t="str">
        <f t="shared" si="13"/>
        <v xml:space="preserve"> </v>
      </c>
      <c r="T57" s="47" t="str">
        <f t="shared" si="14"/>
        <v xml:space="preserve"> </v>
      </c>
      <c r="U57" s="45" t="str">
        <f t="shared" si="6"/>
        <v/>
      </c>
      <c r="V57" s="45" t="str">
        <f t="shared" si="8"/>
        <v/>
      </c>
      <c r="W57" s="161"/>
      <c r="X57" s="159"/>
    </row>
    <row r="58" spans="1:24" ht="18" customHeight="1">
      <c r="A58" s="30"/>
      <c r="B58" s="53" t="s">
        <v>156</v>
      </c>
      <c r="C58" s="42" t="s">
        <v>95</v>
      </c>
      <c r="D58" s="41">
        <v>11.776999999999999</v>
      </c>
      <c r="E58" s="41">
        <v>0.02</v>
      </c>
      <c r="F58" s="41">
        <v>-0.02</v>
      </c>
      <c r="G58" s="41">
        <v>11.793999999999999</v>
      </c>
      <c r="H58" s="41">
        <v>11.76</v>
      </c>
      <c r="I58" s="41"/>
      <c r="J58" s="41"/>
      <c r="K58" s="42" t="s">
        <v>46</v>
      </c>
      <c r="L58" s="49"/>
      <c r="M58" s="43"/>
      <c r="N58" s="43"/>
      <c r="O58" s="44" t="str">
        <f t="shared" si="9"/>
        <v xml:space="preserve"> </v>
      </c>
      <c r="P58" s="44" t="str">
        <f t="shared" si="10"/>
        <v xml:space="preserve"> </v>
      </c>
      <c r="Q58" s="44" t="str">
        <f t="shared" si="11"/>
        <v xml:space="preserve"> </v>
      </c>
      <c r="R58" s="45" t="str">
        <f t="shared" si="12"/>
        <v xml:space="preserve"> </v>
      </c>
      <c r="S58" s="46" t="str">
        <f t="shared" si="13"/>
        <v xml:space="preserve"> </v>
      </c>
      <c r="T58" s="47" t="str">
        <f t="shared" si="14"/>
        <v xml:space="preserve"> </v>
      </c>
      <c r="U58" s="45" t="str">
        <f t="shared" si="6"/>
        <v/>
      </c>
      <c r="V58" s="45" t="str">
        <f t="shared" si="8"/>
        <v/>
      </c>
      <c r="W58" s="161"/>
      <c r="X58" s="159"/>
    </row>
    <row r="59" spans="1:24">
      <c r="X59" s="159"/>
    </row>
  </sheetData>
  <mergeCells count="16">
    <mergeCell ref="A1:W1"/>
    <mergeCell ref="B3:K3"/>
    <mergeCell ref="L3:Q3"/>
    <mergeCell ref="R3:V3"/>
    <mergeCell ref="W3:W5"/>
    <mergeCell ref="B4:B5"/>
    <mergeCell ref="C4:C5"/>
    <mergeCell ref="D4:D5"/>
    <mergeCell ref="E4:E5"/>
    <mergeCell ref="F4:F5"/>
    <mergeCell ref="R4:R5"/>
    <mergeCell ref="K4:K5"/>
    <mergeCell ref="L4:N4"/>
    <mergeCell ref="O4:Q4"/>
    <mergeCell ref="G4:H4"/>
    <mergeCell ref="I4:J4"/>
  </mergeCells>
  <phoneticPr fontId="10" type="noConversion"/>
  <conditionalFormatting sqref="L6:N58">
    <cfRule type="expression" dxfId="8" priority="1" stopIfTrue="1">
      <formula>AND(($D6+$E6)&lt;&gt;"",L6&lt;&gt;"",L6&gt;($D6+$E6))</formula>
    </cfRule>
    <cfRule type="expression" dxfId="7" priority="2" stopIfTrue="1">
      <formula>AND(($D6+$F6)&lt;&gt;"",L6&lt;&gt;"",L6&lt;($D6+$F6))</formula>
    </cfRule>
    <cfRule type="cellIs" dxfId="6" priority="3" operator="lessThan">
      <formula>$H6</formula>
    </cfRule>
    <cfRule type="cellIs" dxfId="5" priority="4" operator="greaterThan">
      <formula>$G6</formula>
    </cfRule>
  </conditionalFormatting>
  <conditionalFormatting sqref="L12:N13">
    <cfRule type="cellIs" dxfId="4" priority="5" operator="greaterThan">
      <formula>$I12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BAFC-8522-6D42-A012-D85B1EC56890}">
  <sheetPr codeName="Sheet4"/>
  <dimension ref="A1:BR145"/>
  <sheetViews>
    <sheetView showGridLines="0" zoomScale="75" zoomScaleNormal="90" zoomScalePageLayoutView="125" workbookViewId="0">
      <pane xSplit="16" ySplit="1" topLeftCell="Q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G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5" width="7.77734375" style="15" hidden="1" customWidth="1"/>
    <col min="16" max="16" width="0.77734375" style="15" customWidth="1"/>
    <col min="17" max="20" width="7.77734375" style="15" customWidth="1"/>
    <col min="21" max="26" width="7.77734375" style="15" hidden="1" customWidth="1"/>
    <col min="27" max="27" width="7.77734375" style="15" customWidth="1"/>
    <col min="28" max="28" width="10" style="15" hidden="1" customWidth="1"/>
    <col min="29" max="31" width="9.44140625" style="15" hidden="1" customWidth="1"/>
    <col min="32" max="32" width="7.77734375" style="15" customWidth="1"/>
    <col min="33" max="33" width="9" style="15" customWidth="1"/>
    <col min="34" max="34" width="8.6640625" style="15" customWidth="1"/>
    <col min="35" max="36" width="9" style="15" hidden="1" customWidth="1"/>
    <col min="37" max="37" width="7.5546875" style="15" hidden="1" customWidth="1"/>
    <col min="38" max="38" width="0.77734375" style="15" customWidth="1"/>
    <col min="39" max="70" width="7.77734375" style="15" customWidth="1"/>
    <col min="71" max="16384" width="8.77734375" style="15"/>
  </cols>
  <sheetData>
    <row r="1" spans="1:70" s="23" customFormat="1" ht="22.15" customHeight="1">
      <c r="A1" s="170" t="s">
        <v>50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22"/>
      <c r="AI1" s="22"/>
      <c r="AJ1" s="22"/>
      <c r="AK1" s="22"/>
      <c r="AL1" s="22"/>
    </row>
    <row r="2" spans="1:70" s="23" customFormat="1" ht="9" customHeight="1"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Q2" s="54"/>
      <c r="R2" s="54"/>
      <c r="S2" s="54"/>
      <c r="T2" s="54"/>
      <c r="U2" s="54" t="s">
        <v>51</v>
      </c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M2" s="55"/>
    </row>
    <row r="3" spans="1:70" s="24" customFormat="1" ht="15" customHeight="1">
      <c r="A3" s="56"/>
      <c r="B3" s="173" t="s">
        <v>52</v>
      </c>
      <c r="C3" s="172"/>
      <c r="D3" s="172"/>
      <c r="E3" s="172"/>
      <c r="F3" s="172"/>
      <c r="G3" s="172"/>
      <c r="H3" s="172"/>
      <c r="I3" s="172"/>
      <c r="J3" s="172"/>
      <c r="K3" s="174"/>
      <c r="L3" s="157"/>
      <c r="M3" s="157"/>
      <c r="N3" s="157"/>
      <c r="O3" s="157"/>
      <c r="P3" s="57"/>
      <c r="Q3" s="173" t="s">
        <v>53</v>
      </c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4"/>
      <c r="AH3" s="58"/>
      <c r="AI3" s="191" t="s">
        <v>54</v>
      </c>
      <c r="AJ3" s="191"/>
      <c r="AK3" s="191"/>
      <c r="AL3" s="20"/>
      <c r="AM3" s="185" t="s">
        <v>55</v>
      </c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7"/>
    </row>
    <row r="4" spans="1:70" s="24" customFormat="1" ht="25.15" customHeight="1">
      <c r="A4" s="56"/>
      <c r="B4" s="59"/>
      <c r="C4" s="59"/>
      <c r="D4" s="59"/>
      <c r="E4" s="60"/>
      <c r="F4" s="61" t="s">
        <v>56</v>
      </c>
      <c r="G4" s="61" t="s">
        <v>57</v>
      </c>
      <c r="H4" s="62"/>
      <c r="I4" s="62"/>
      <c r="J4" s="63"/>
      <c r="K4" s="63"/>
      <c r="L4" s="183" t="s">
        <v>177</v>
      </c>
      <c r="M4" s="184"/>
      <c r="N4" s="183" t="s">
        <v>178</v>
      </c>
      <c r="O4" s="184"/>
      <c r="P4" s="56"/>
      <c r="Q4" s="64"/>
      <c r="R4" s="64"/>
      <c r="S4" s="65"/>
      <c r="T4" s="64"/>
      <c r="U4" s="66"/>
      <c r="V4" s="66"/>
      <c r="W4" s="66"/>
      <c r="X4" s="66"/>
      <c r="Y4" s="66"/>
      <c r="Z4" s="66"/>
      <c r="AA4" s="66"/>
      <c r="AB4" s="192" t="s">
        <v>58</v>
      </c>
      <c r="AC4" s="193"/>
      <c r="AD4" s="67" t="s">
        <v>59</v>
      </c>
      <c r="AE4" s="68">
        <v>1.5</v>
      </c>
      <c r="AF4" s="69"/>
      <c r="AG4" s="69"/>
      <c r="AH4" s="57"/>
      <c r="AI4" s="20"/>
      <c r="AJ4" s="20"/>
      <c r="AK4" s="70"/>
      <c r="AL4" s="71"/>
      <c r="AM4" s="188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89"/>
      <c r="BL4" s="189"/>
      <c r="BM4" s="189"/>
      <c r="BN4" s="189"/>
      <c r="BO4" s="189"/>
      <c r="BP4" s="189"/>
      <c r="BQ4" s="189"/>
      <c r="BR4" s="190"/>
    </row>
    <row r="5" spans="1:70" s="86" customFormat="1" ht="24">
      <c r="A5" s="72"/>
      <c r="B5" s="73" t="s">
        <v>60</v>
      </c>
      <c r="C5" s="73" t="s">
        <v>30</v>
      </c>
      <c r="D5" s="73" t="s">
        <v>61</v>
      </c>
      <c r="E5" s="74" t="s">
        <v>32</v>
      </c>
      <c r="F5" s="75" t="s">
        <v>62</v>
      </c>
      <c r="G5" s="75" t="s">
        <v>63</v>
      </c>
      <c r="H5" s="76" t="s">
        <v>35</v>
      </c>
      <c r="I5" s="76" t="s">
        <v>64</v>
      </c>
      <c r="J5" s="77" t="s">
        <v>65</v>
      </c>
      <c r="K5" s="77" t="s">
        <v>66</v>
      </c>
      <c r="L5" s="77" t="s">
        <v>65</v>
      </c>
      <c r="M5" s="77" t="s">
        <v>66</v>
      </c>
      <c r="N5" s="77" t="s">
        <v>65</v>
      </c>
      <c r="O5" s="77" t="s">
        <v>66</v>
      </c>
      <c r="P5" s="72"/>
      <c r="Q5" s="78" t="s">
        <v>67</v>
      </c>
      <c r="R5" s="78" t="s">
        <v>68</v>
      </c>
      <c r="S5" s="79" t="s">
        <v>38</v>
      </c>
      <c r="T5" s="78" t="s">
        <v>69</v>
      </c>
      <c r="U5" s="80" t="s">
        <v>70</v>
      </c>
      <c r="V5" s="80" t="s">
        <v>71</v>
      </c>
      <c r="W5" s="80" t="s">
        <v>72</v>
      </c>
      <c r="X5" s="80" t="s">
        <v>73</v>
      </c>
      <c r="Y5" s="80" t="s">
        <v>74</v>
      </c>
      <c r="Z5" s="80" t="s">
        <v>75</v>
      </c>
      <c r="AA5" s="80" t="s">
        <v>76</v>
      </c>
      <c r="AB5" s="81" t="s">
        <v>77</v>
      </c>
      <c r="AC5" s="81" t="s">
        <v>78</v>
      </c>
      <c r="AD5" s="81" t="s">
        <v>79</v>
      </c>
      <c r="AE5" s="82" t="s">
        <v>80</v>
      </c>
      <c r="AF5" s="83" t="s">
        <v>81</v>
      </c>
      <c r="AG5" s="83" t="s">
        <v>82</v>
      </c>
      <c r="AH5" s="83" t="s">
        <v>83</v>
      </c>
      <c r="AI5" s="20"/>
      <c r="AJ5" s="20"/>
      <c r="AK5" s="70"/>
      <c r="AL5" s="84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</row>
    <row r="6" spans="1:70" ht="19.149999999999999" customHeight="1">
      <c r="B6" s="87" t="s">
        <v>84</v>
      </c>
      <c r="C6" s="53" t="s">
        <v>104</v>
      </c>
      <c r="D6" s="88" t="s">
        <v>45</v>
      </c>
      <c r="E6" s="89">
        <v>0.5</v>
      </c>
      <c r="F6" s="90">
        <v>0.01</v>
      </c>
      <c r="G6" s="90">
        <v>-0.01</v>
      </c>
      <c r="H6" s="91" t="s">
        <v>46</v>
      </c>
      <c r="I6" s="92" t="s">
        <v>85</v>
      </c>
      <c r="J6" s="93">
        <v>0.51</v>
      </c>
      <c r="K6" s="93">
        <v>0.49</v>
      </c>
      <c r="L6" s="109">
        <v>0.50849999999999995</v>
      </c>
      <c r="M6" s="109">
        <v>0.49149999999999999</v>
      </c>
      <c r="N6" s="109"/>
      <c r="O6" s="109"/>
      <c r="P6" s="94"/>
      <c r="Q6" s="95">
        <f t="shared" ref="Q6:Q24" si="0">IF(OR($AM6=ISBLANK(TRUE),ISNUMBER($AM6)=FALSE),,MAX(AM6:BR6))</f>
        <v>0</v>
      </c>
      <c r="R6" s="95">
        <f t="shared" ref="R6:R24" si="1">IF(OR($AM6=ISBLANK(TRUE),ISNUMBER($AM6)=FALSE),,MIN(AM6:BR6))</f>
        <v>0</v>
      </c>
      <c r="S6" s="95">
        <f t="shared" ref="S6:S24" si="2">IF(OR($AM6=ISBLANK(TRUE),ISNUMBER($AM6)=FALSE),,AVERAGE(AM6:BR6))</f>
        <v>0</v>
      </c>
      <c r="T6" s="96">
        <f t="shared" ref="T6:T24" si="3">IF(OR($AM6=ISBLANK(TRUE),ISNUMBER($AM6)=FALSE),,STDEV(AM6:BR6))</f>
        <v>0</v>
      </c>
      <c r="U6" s="97" t="str">
        <f t="shared" ref="U6:U24" si="4">IF(OR($AM6="",ISNUMBER($AM6)=FALSE),"",IF(AND(E6=0,G6=0),X6,IF(AND(E6="",F6=""),Y6,(F6+ABS(G6))/(6*T6))))</f>
        <v/>
      </c>
      <c r="V6" s="98" t="str">
        <f>IF(OR($AM6="",ISNUMBER($AM6)=FALSE),"",IF(AND(#REF!="Tolerance",$E6&lt;&gt;""),($S6-$E6)/(($J6-$K6)/2),IF(AND(#REF!="GD&amp;T",$F6&lt;&gt;""),$S6/$F6,"")))</f>
        <v/>
      </c>
      <c r="W6" s="98" t="str">
        <f>IF($V6="","",IF(ABS($V6)&lt;=0.125, "Level A",IF(AND(ABS($V6)&gt;0.125,ABS($V6)&lt;=0.25), "Level B",IF(AND(ABS($V6)&gt;0.25,ABS($V6)&lt;=0.5), "Level C", IF(ABS($V6)&gt;0.5, "Level D")))))</f>
        <v/>
      </c>
      <c r="X6" s="97" t="str">
        <f t="shared" ref="X6:X24" si="5">IF(OR($AM6="",ISNUMBER($AM6)=FALSE),"",IF(F6="","",(J6-S6)/(3*T6)))</f>
        <v/>
      </c>
      <c r="Y6" s="97" t="str">
        <f t="shared" ref="Y6:Y24" si="6">IF(OR($AM6="",ISNUMBER($AM6)=FALSE),"",IF(G6="","",(S6-K6)/(3*T6)))</f>
        <v/>
      </c>
      <c r="Z6" s="97" t="str">
        <f t="shared" ref="Z6:Z24" si="7">IF(OR($AM6="",ISNUMBER($AM6)=FALSE),"",IF(AND(E6=0,G6=0),((F6)-(S6))/(3*T6),MIN(X6:Y6)))</f>
        <v/>
      </c>
      <c r="AA6" s="26" t="str">
        <f t="shared" ref="AA6:AA24" si="8">IF(OR($AM6="",ISNUMBER($AM6)=FALSE),"",IF(AND(E6=0,G6=0),NORMSDIST(3*Z6),NORMSDIST(3*Z6)+NORMSDIST(6*U6-3*Z6)-1))</f>
        <v/>
      </c>
      <c r="AB6" s="27" t="e">
        <f>IF($S6="","",IF(#REF!="Tolerance",IF((#REF!*3*T6+S6)-E6&lt;F6,"",(#REF!*3*T6+S6)-E6),IF(OR(#REF!="GD&amp;T",#REF!="MAX"),IF((#REF!*3*T6+S6)&lt;F6,"",(#REF!*3*T6+S6)),"")))</f>
        <v>#REF!</v>
      </c>
      <c r="AC6" s="27" t="e">
        <f>IF(S6="","",IF(#REF!="Tolerance",IF(-((#REF!*3*T6)-S6)-E6&gt;G6,"",-((#REF!*3*T6)-S6)-E6),IF(#REF!="MIN",IF(-((#REF!*3*T6)-S6)&gt;G6,"",-((#REF!*3*T6)-S6)),"")))</f>
        <v>#REF!</v>
      </c>
      <c r="AD6" s="27">
        <f>IF(OR(E6="",S6=""),"",(J6+K6)/2-S6)</f>
        <v>0.5</v>
      </c>
      <c r="AE6" s="27" t="str">
        <f t="shared" ref="AE6:AE73" si="9">IF(OR($U6&gt;$AE$4,$T6=""),"",$AE$4*6*$T6)</f>
        <v/>
      </c>
      <c r="AF6" s="99"/>
      <c r="AG6" s="100" t="str">
        <f>IF(AF6="","",IF(AF6&gt;=0.966,"Normal","Not Normal"))</f>
        <v/>
      </c>
      <c r="AH6" s="160"/>
      <c r="AI6" s="101"/>
      <c r="AJ6" s="101"/>
      <c r="AK6" s="102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</row>
    <row r="7" spans="1:70" ht="19.149999999999999" customHeight="1">
      <c r="B7" s="87" t="s">
        <v>84</v>
      </c>
      <c r="C7" s="53" t="s">
        <v>105</v>
      </c>
      <c r="D7" s="88" t="s">
        <v>45</v>
      </c>
      <c r="E7" s="89">
        <v>0.5</v>
      </c>
      <c r="F7" s="90">
        <v>0.01</v>
      </c>
      <c r="G7" s="90">
        <v>-0.01</v>
      </c>
      <c r="H7" s="91" t="s">
        <v>46</v>
      </c>
      <c r="I7" s="92" t="s">
        <v>85</v>
      </c>
      <c r="J7" s="93">
        <v>0.51</v>
      </c>
      <c r="K7" s="93">
        <v>0.49</v>
      </c>
      <c r="L7" s="109">
        <v>0.50849999999999995</v>
      </c>
      <c r="M7" s="109">
        <v>0.49149999999999999</v>
      </c>
      <c r="N7" s="109"/>
      <c r="O7" s="109"/>
      <c r="P7" s="94"/>
      <c r="Q7" s="95">
        <f t="shared" si="0"/>
        <v>0</v>
      </c>
      <c r="R7" s="95">
        <f t="shared" si="1"/>
        <v>0</v>
      </c>
      <c r="S7" s="95">
        <f t="shared" si="2"/>
        <v>0</v>
      </c>
      <c r="T7" s="96">
        <f t="shared" si="3"/>
        <v>0</v>
      </c>
      <c r="U7" s="97" t="str">
        <f t="shared" si="4"/>
        <v/>
      </c>
      <c r="V7" s="98" t="str">
        <f>IF(OR($AM7="",ISNUMBER($AM7)=FALSE),"",IF(AND(#REF!="Tolerance",$E7&lt;&gt;""),($S7-$E7)/(($J7-$K7)/2),IF(AND(#REF!="GD&amp;T",$F7&lt;&gt;""),$S7/$F7,"")))</f>
        <v/>
      </c>
      <c r="W7" s="98" t="str">
        <f t="shared" ref="W7:W24" si="10">IF($V7="","",IF(ABS($V7)&lt;=0.125, "Level A",IF(AND(ABS($V7)&gt;0.125,ABS($V7)&lt;=0.25), "Level B",IF(AND(ABS($V7)&gt;0.25,ABS($V7)&lt;=0.5), "Level C", IF(ABS($V7)&gt;0.5, "Level D")))))</f>
        <v/>
      </c>
      <c r="X7" s="97" t="str">
        <f t="shared" si="5"/>
        <v/>
      </c>
      <c r="Y7" s="97" t="str">
        <f t="shared" si="6"/>
        <v/>
      </c>
      <c r="Z7" s="97" t="str">
        <f t="shared" si="7"/>
        <v/>
      </c>
      <c r="AA7" s="26" t="str">
        <f t="shared" si="8"/>
        <v/>
      </c>
      <c r="AB7" s="27" t="e">
        <f>IF($S7="","",IF(#REF!="Tolerance",IF((#REF!*3*T7+S7)-E7&lt;F7,"",(#REF!*3*T7+S7)-E7),IF(OR(#REF!="GD&amp;T",#REF!="MAX"),IF((#REF!*3*T7+S7)&lt;F7,"",(#REF!*3*T7+S7)),"")))</f>
        <v>#REF!</v>
      </c>
      <c r="AC7" s="27" t="e">
        <f>IF(S7="","",IF(#REF!="Tolerance",IF(-((#REF!*3*T7)-S7)-E7&gt;G7,"",-((#REF!*3*T7)-S7)-E7),IF(#REF!="MIN",IF(-((#REF!*3*T7)-S7)&gt;G7,"",-((#REF!*3*T7)-S7)),"")))</f>
        <v>#REF!</v>
      </c>
      <c r="AD7" s="27">
        <f t="shared" ref="AD7:AD74" si="11">IF(OR(E7="",S7=""),"",(J7+K7)/2-S7)</f>
        <v>0.5</v>
      </c>
      <c r="AE7" s="27" t="str">
        <f t="shared" si="9"/>
        <v/>
      </c>
      <c r="AF7" s="99"/>
      <c r="AG7" s="100" t="str">
        <f t="shared" ref="AG7:AG24" si="12">IF(AF7="","",IF(AF7&gt;=0.966,"Normal","Not Normal"))</f>
        <v/>
      </c>
      <c r="AH7" s="160"/>
      <c r="AI7" s="101"/>
      <c r="AJ7" s="101"/>
      <c r="AK7" s="102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</row>
    <row r="8" spans="1:70" ht="19.149999999999999" customHeight="1">
      <c r="B8" s="87" t="s">
        <v>84</v>
      </c>
      <c r="C8" s="53" t="s">
        <v>106</v>
      </c>
      <c r="D8" s="88" t="s">
        <v>45</v>
      </c>
      <c r="E8" s="89">
        <v>0.5</v>
      </c>
      <c r="F8" s="90">
        <v>0.01</v>
      </c>
      <c r="G8" s="90">
        <v>-0.01</v>
      </c>
      <c r="H8" s="91" t="s">
        <v>46</v>
      </c>
      <c r="I8" s="92" t="s">
        <v>85</v>
      </c>
      <c r="J8" s="93">
        <v>0.51</v>
      </c>
      <c r="K8" s="93">
        <v>0.49</v>
      </c>
      <c r="L8" s="109">
        <v>0.50849999999999995</v>
      </c>
      <c r="M8" s="109">
        <v>0.49149999999999999</v>
      </c>
      <c r="N8" s="109"/>
      <c r="O8" s="109"/>
      <c r="P8" s="94"/>
      <c r="Q8" s="95">
        <f t="shared" si="0"/>
        <v>0</v>
      </c>
      <c r="R8" s="95">
        <f t="shared" si="1"/>
        <v>0</v>
      </c>
      <c r="S8" s="95">
        <f t="shared" si="2"/>
        <v>0</v>
      </c>
      <c r="T8" s="96">
        <f t="shared" si="3"/>
        <v>0</v>
      </c>
      <c r="U8" s="97" t="str">
        <f t="shared" si="4"/>
        <v/>
      </c>
      <c r="V8" s="98" t="str">
        <f>IF(OR($AM8="",ISNUMBER($AM8)=FALSE),"",IF(AND(#REF!="Tolerance",$E8&lt;&gt;""),($S8-$E8)/(($J8-$K8)/2),IF(AND(#REF!="GD&amp;T",$F8&lt;&gt;""),$S8/$F8,"")))</f>
        <v/>
      </c>
      <c r="W8" s="98" t="str">
        <f t="shared" si="10"/>
        <v/>
      </c>
      <c r="X8" s="97" t="str">
        <f t="shared" si="5"/>
        <v/>
      </c>
      <c r="Y8" s="97" t="str">
        <f t="shared" si="6"/>
        <v/>
      </c>
      <c r="Z8" s="97" t="str">
        <f t="shared" si="7"/>
        <v/>
      </c>
      <c r="AA8" s="26" t="str">
        <f t="shared" si="8"/>
        <v/>
      </c>
      <c r="AB8" s="27" t="e">
        <f>IF($S8="","",IF(#REF!="Tolerance",IF((#REF!*3*T8+S8)-E8&lt;F8,"",(#REF!*3*T8+S8)-E8),IF(OR(#REF!="GD&amp;T",#REF!="MAX"),IF((#REF!*3*T8+S8)&lt;F8,"",(#REF!*3*T8+S8)),"")))</f>
        <v>#REF!</v>
      </c>
      <c r="AC8" s="27" t="e">
        <f>IF(S8="","",IF(#REF!="Tolerance",IF(-((#REF!*3*T8)-S8)-E8&gt;G8,"",-((#REF!*3*T8)-S8)-E8),IF(#REF!="MIN",IF(-((#REF!*3*T8)-S8)&gt;G8,"",-((#REF!*3*T8)-S8)),"")))</f>
        <v>#REF!</v>
      </c>
      <c r="AD8" s="27">
        <f t="shared" si="11"/>
        <v>0.5</v>
      </c>
      <c r="AE8" s="27" t="str">
        <f t="shared" si="9"/>
        <v/>
      </c>
      <c r="AF8" s="99"/>
      <c r="AG8" s="100" t="str">
        <f t="shared" si="12"/>
        <v/>
      </c>
      <c r="AH8" s="160"/>
      <c r="AI8" s="101"/>
      <c r="AJ8" s="101"/>
      <c r="AK8" s="102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</row>
    <row r="9" spans="1:70" ht="19.149999999999999" customHeight="1">
      <c r="B9" s="87" t="s">
        <v>86</v>
      </c>
      <c r="C9" s="53" t="s">
        <v>107</v>
      </c>
      <c r="D9" s="88" t="s">
        <v>45</v>
      </c>
      <c r="E9" s="89">
        <v>0.5</v>
      </c>
      <c r="F9" s="90">
        <v>0.01</v>
      </c>
      <c r="G9" s="90">
        <v>-0.01</v>
      </c>
      <c r="H9" s="91" t="s">
        <v>46</v>
      </c>
      <c r="I9" s="92" t="s">
        <v>85</v>
      </c>
      <c r="J9" s="93">
        <v>0.51</v>
      </c>
      <c r="K9" s="93">
        <v>0.49</v>
      </c>
      <c r="L9" s="109">
        <v>0.50849999999999995</v>
      </c>
      <c r="M9" s="109">
        <v>0.49149999999999999</v>
      </c>
      <c r="N9" s="109"/>
      <c r="O9" s="109"/>
      <c r="P9" s="94"/>
      <c r="Q9" s="95">
        <f t="shared" si="0"/>
        <v>0</v>
      </c>
      <c r="R9" s="95">
        <f t="shared" si="1"/>
        <v>0</v>
      </c>
      <c r="S9" s="95">
        <f t="shared" si="2"/>
        <v>0</v>
      </c>
      <c r="T9" s="96">
        <f t="shared" si="3"/>
        <v>0</v>
      </c>
      <c r="U9" s="97" t="str">
        <f t="shared" si="4"/>
        <v/>
      </c>
      <c r="V9" s="98" t="str">
        <f>IF(OR($AM9="",ISNUMBER($AM9)=FALSE),"",IF(AND(#REF!="Tolerance",$E9&lt;&gt;""),($S9-$E9)/(($J9-$K9)/2),IF(AND(#REF!="GD&amp;T",$F9&lt;&gt;""),$S9/$F9,"")))</f>
        <v/>
      </c>
      <c r="W9" s="98" t="str">
        <f t="shared" si="10"/>
        <v/>
      </c>
      <c r="X9" s="97" t="str">
        <f t="shared" si="5"/>
        <v/>
      </c>
      <c r="Y9" s="97" t="str">
        <f t="shared" si="6"/>
        <v/>
      </c>
      <c r="Z9" s="97" t="str">
        <f t="shared" si="7"/>
        <v/>
      </c>
      <c r="AA9" s="26" t="str">
        <f t="shared" si="8"/>
        <v/>
      </c>
      <c r="AB9" s="27" t="e">
        <f>IF($S9="","",IF(#REF!="Tolerance",IF((#REF!*3*T9+S9)-E9&lt;F9,"",(#REF!*3*T9+S9)-E9),IF(OR(#REF!="GD&amp;T",#REF!="MAX"),IF((#REF!*3*T9+S9)&lt;F9,"",(#REF!*3*T9+S9)),"")))</f>
        <v>#REF!</v>
      </c>
      <c r="AC9" s="27" t="e">
        <f>IF(S9="","",IF(#REF!="Tolerance",IF(-((#REF!*3*T9)-S9)-E9&gt;G9,"",-((#REF!*3*T9)-S9)-E9),IF(#REF!="MIN",IF(-((#REF!*3*T9)-S9)&gt;G9,"",-((#REF!*3*T9)-S9)),"")))</f>
        <v>#REF!</v>
      </c>
      <c r="AD9" s="27">
        <f t="shared" si="11"/>
        <v>0.5</v>
      </c>
      <c r="AE9" s="27" t="str">
        <f t="shared" si="9"/>
        <v/>
      </c>
      <c r="AF9" s="99"/>
      <c r="AG9" s="100" t="str">
        <f t="shared" si="12"/>
        <v/>
      </c>
      <c r="AH9" s="160"/>
      <c r="AI9" s="101"/>
      <c r="AJ9" s="101"/>
      <c r="AK9" s="102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</row>
    <row r="10" spans="1:70" ht="19.149999999999999" customHeight="1">
      <c r="B10" s="87" t="s">
        <v>86</v>
      </c>
      <c r="C10" s="53" t="s">
        <v>108</v>
      </c>
      <c r="D10" s="88" t="s">
        <v>45</v>
      </c>
      <c r="E10" s="89">
        <v>0.5</v>
      </c>
      <c r="F10" s="90">
        <v>0.01</v>
      </c>
      <c r="G10" s="90">
        <v>-0.01</v>
      </c>
      <c r="H10" s="91" t="s">
        <v>46</v>
      </c>
      <c r="I10" s="92" t="s">
        <v>85</v>
      </c>
      <c r="J10" s="93">
        <v>0.51</v>
      </c>
      <c r="K10" s="93">
        <v>0.49</v>
      </c>
      <c r="L10" s="109">
        <v>0.50849999999999995</v>
      </c>
      <c r="M10" s="109">
        <v>0.49149999999999999</v>
      </c>
      <c r="N10" s="109"/>
      <c r="O10" s="109"/>
      <c r="P10" s="94"/>
      <c r="Q10" s="95">
        <f t="shared" si="0"/>
        <v>0</v>
      </c>
      <c r="R10" s="95">
        <f t="shared" si="1"/>
        <v>0</v>
      </c>
      <c r="S10" s="95">
        <f t="shared" si="2"/>
        <v>0</v>
      </c>
      <c r="T10" s="96">
        <f t="shared" si="3"/>
        <v>0</v>
      </c>
      <c r="U10" s="97" t="str">
        <f t="shared" si="4"/>
        <v/>
      </c>
      <c r="V10" s="98" t="str">
        <f>IF(OR($AM10="",ISNUMBER($AM10)=FALSE),"",IF(AND(#REF!="Tolerance",$E10&lt;&gt;""),($S10-$E10)/(($J10-$K10)/2),IF(AND(#REF!="GD&amp;T",$F10&lt;&gt;""),$S10/$F10,"")))</f>
        <v/>
      </c>
      <c r="W10" s="98" t="str">
        <f t="shared" si="10"/>
        <v/>
      </c>
      <c r="X10" s="97" t="str">
        <f t="shared" si="5"/>
        <v/>
      </c>
      <c r="Y10" s="97" t="str">
        <f t="shared" si="6"/>
        <v/>
      </c>
      <c r="Z10" s="97" t="str">
        <f t="shared" si="7"/>
        <v/>
      </c>
      <c r="AA10" s="26" t="str">
        <f t="shared" si="8"/>
        <v/>
      </c>
      <c r="AB10" s="27" t="e">
        <f>IF($S10="","",IF(#REF!="Tolerance",IF((#REF!*3*T10+S10)-E10&lt;F10,"",(#REF!*3*T10+S10)-E10),IF(OR(#REF!="GD&amp;T",#REF!="MAX"),IF((#REF!*3*T10+S10)&lt;F10,"",(#REF!*3*T10+S10)),"")))</f>
        <v>#REF!</v>
      </c>
      <c r="AC10" s="27" t="e">
        <f>IF(S10="","",IF(#REF!="Tolerance",IF(-((#REF!*3*T10)-S10)-E10&gt;G10,"",-((#REF!*3*T10)-S10)-E10),IF(#REF!="MIN",IF(-((#REF!*3*T10)-S10)&gt;G10,"",-((#REF!*3*T10)-S10)),"")))</f>
        <v>#REF!</v>
      </c>
      <c r="AD10" s="27">
        <f t="shared" si="11"/>
        <v>0.5</v>
      </c>
      <c r="AE10" s="27" t="str">
        <f t="shared" si="9"/>
        <v/>
      </c>
      <c r="AF10" s="99"/>
      <c r="AG10" s="100" t="str">
        <f t="shared" si="12"/>
        <v/>
      </c>
      <c r="AH10" s="160"/>
      <c r="AI10" s="101"/>
      <c r="AJ10" s="101"/>
      <c r="AK10" s="102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</row>
    <row r="11" spans="1:70" ht="19.149999999999999" customHeight="1">
      <c r="B11" s="87" t="s">
        <v>86</v>
      </c>
      <c r="C11" s="53" t="s">
        <v>109</v>
      </c>
      <c r="D11" s="88" t="s">
        <v>45</v>
      </c>
      <c r="E11" s="89">
        <v>0.5</v>
      </c>
      <c r="F11" s="90">
        <v>0.01</v>
      </c>
      <c r="G11" s="90">
        <v>-0.01</v>
      </c>
      <c r="H11" s="91" t="s">
        <v>46</v>
      </c>
      <c r="I11" s="92" t="s">
        <v>85</v>
      </c>
      <c r="J11" s="93">
        <v>0.51</v>
      </c>
      <c r="K11" s="93">
        <v>0.49</v>
      </c>
      <c r="L11" s="109">
        <v>0.50849999999999995</v>
      </c>
      <c r="M11" s="109">
        <v>0.49149999999999999</v>
      </c>
      <c r="N11" s="109"/>
      <c r="O11" s="109"/>
      <c r="P11" s="94"/>
      <c r="Q11" s="95">
        <f t="shared" si="0"/>
        <v>0</v>
      </c>
      <c r="R11" s="95">
        <f t="shared" si="1"/>
        <v>0</v>
      </c>
      <c r="S11" s="95">
        <f t="shared" si="2"/>
        <v>0</v>
      </c>
      <c r="T11" s="96">
        <f t="shared" si="3"/>
        <v>0</v>
      </c>
      <c r="U11" s="97" t="str">
        <f t="shared" si="4"/>
        <v/>
      </c>
      <c r="V11" s="98" t="str">
        <f>IF(OR($AM11="",ISNUMBER($AM11)=FALSE),"",IF(AND(#REF!="Tolerance",$E11&lt;&gt;""),($S11-$E11)/(($J11-$K11)/2),IF(AND(#REF!="GD&amp;T",$F11&lt;&gt;""),$S11/$F11,"")))</f>
        <v/>
      </c>
      <c r="W11" s="98" t="str">
        <f t="shared" si="10"/>
        <v/>
      </c>
      <c r="X11" s="97" t="str">
        <f t="shared" si="5"/>
        <v/>
      </c>
      <c r="Y11" s="97" t="str">
        <f t="shared" si="6"/>
        <v/>
      </c>
      <c r="Z11" s="97" t="str">
        <f t="shared" si="7"/>
        <v/>
      </c>
      <c r="AA11" s="26" t="str">
        <f t="shared" si="8"/>
        <v/>
      </c>
      <c r="AB11" s="27" t="e">
        <f>IF($S11="","",IF(#REF!="Tolerance",IF((#REF!*3*T11+S11)-E11&lt;F11,"",(#REF!*3*T11+S11)-E11),IF(OR(#REF!="GD&amp;T",#REF!="MAX"),IF((#REF!*3*T11+S11)&lt;F11,"",(#REF!*3*T11+S11)),"")))</f>
        <v>#REF!</v>
      </c>
      <c r="AC11" s="27" t="e">
        <f>IF(S11="","",IF(#REF!="Tolerance",IF(-((#REF!*3*T11)-S11)-E11&gt;G11,"",-((#REF!*3*T11)-S11)-E11),IF(#REF!="MIN",IF(-((#REF!*3*T11)-S11)&gt;G11,"",-((#REF!*3*T11)-S11)),"")))</f>
        <v>#REF!</v>
      </c>
      <c r="AD11" s="27">
        <f t="shared" si="11"/>
        <v>0.5</v>
      </c>
      <c r="AE11" s="27" t="str">
        <f t="shared" si="9"/>
        <v/>
      </c>
      <c r="AF11" s="99"/>
      <c r="AG11" s="100" t="str">
        <f t="shared" si="12"/>
        <v/>
      </c>
      <c r="AH11" s="160"/>
      <c r="AI11" s="101"/>
      <c r="AJ11" s="101"/>
      <c r="AK11" s="102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</row>
    <row r="12" spans="1:70" ht="19.149999999999999" customHeight="1">
      <c r="B12" s="87" t="s">
        <v>87</v>
      </c>
      <c r="C12" s="53" t="s">
        <v>110</v>
      </c>
      <c r="D12" s="88" t="s">
        <v>47</v>
      </c>
      <c r="E12" s="89"/>
      <c r="F12" s="90">
        <v>0.03</v>
      </c>
      <c r="G12" s="90"/>
      <c r="H12" s="91" t="s">
        <v>46</v>
      </c>
      <c r="I12" s="92" t="s">
        <v>85</v>
      </c>
      <c r="J12" s="93">
        <v>0.03</v>
      </c>
      <c r="K12" s="93">
        <v>0</v>
      </c>
      <c r="L12" s="109">
        <v>2.5499999999999998E-2</v>
      </c>
      <c r="M12" s="109">
        <v>0</v>
      </c>
      <c r="N12" s="109">
        <v>1.7999999999999999E-2</v>
      </c>
      <c r="O12" s="109">
        <v>0</v>
      </c>
      <c r="P12" s="94"/>
      <c r="Q12" s="95">
        <f t="shared" si="0"/>
        <v>0</v>
      </c>
      <c r="R12" s="95">
        <f t="shared" si="1"/>
        <v>0</v>
      </c>
      <c r="S12" s="95">
        <f t="shared" si="2"/>
        <v>0</v>
      </c>
      <c r="T12" s="96">
        <f t="shared" si="3"/>
        <v>0</v>
      </c>
      <c r="U12" s="97" t="str">
        <f t="shared" si="4"/>
        <v/>
      </c>
      <c r="V12" s="98" t="str">
        <f>IF(OR($AM12="",ISNUMBER($AM12)=FALSE),"",IF(AND(#REF!="Tolerance",$E12&lt;&gt;""),($S12-$E12)/(($J12-$K12)/2),IF(AND(#REF!="GD&amp;T",$F12&lt;&gt;""),$S12/$F12,"")))</f>
        <v/>
      </c>
      <c r="W12" s="98" t="str">
        <f t="shared" si="10"/>
        <v/>
      </c>
      <c r="X12" s="97" t="str">
        <f t="shared" si="5"/>
        <v/>
      </c>
      <c r="Y12" s="97" t="str">
        <f t="shared" si="6"/>
        <v/>
      </c>
      <c r="Z12" s="97" t="str">
        <f t="shared" si="7"/>
        <v/>
      </c>
      <c r="AA12" s="26" t="str">
        <f t="shared" si="8"/>
        <v/>
      </c>
      <c r="AB12" s="27" t="e">
        <f>IF($S12="","",IF(#REF!="Tolerance",IF((#REF!*3*T12+S12)-E12&lt;F12,"",(#REF!*3*T12+S12)-E12),IF(OR(#REF!="GD&amp;T",#REF!="MAX"),IF((#REF!*3*T12+S12)&lt;F12,"",(#REF!*3*T12+S12)),"")))</f>
        <v>#REF!</v>
      </c>
      <c r="AC12" s="27" t="e">
        <f>IF(S12="","",IF(#REF!="Tolerance",IF(-((#REF!*3*T12)-S12)-E12&gt;G12,"",-((#REF!*3*T12)-S12)-E12),IF(#REF!="MIN",IF(-((#REF!*3*T12)-S12)&gt;G12,"",-((#REF!*3*T12)-S12)),"")))</f>
        <v>#REF!</v>
      </c>
      <c r="AD12" s="27" t="str">
        <f t="shared" si="11"/>
        <v/>
      </c>
      <c r="AE12" s="27" t="str">
        <f t="shared" si="9"/>
        <v/>
      </c>
      <c r="AF12" s="99"/>
      <c r="AG12" s="100" t="str">
        <f t="shared" si="12"/>
        <v/>
      </c>
      <c r="AH12" s="160"/>
      <c r="AI12" s="101"/>
      <c r="AJ12" s="101"/>
      <c r="AK12" s="102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</row>
    <row r="13" spans="1:70" ht="19.149999999999999" customHeight="1">
      <c r="B13" s="87" t="s">
        <v>88</v>
      </c>
      <c r="C13" s="53" t="s">
        <v>111</v>
      </c>
      <c r="D13" s="88" t="s">
        <v>48</v>
      </c>
      <c r="E13" s="89"/>
      <c r="F13" s="90">
        <v>0.03</v>
      </c>
      <c r="G13" s="90"/>
      <c r="H13" s="91" t="s">
        <v>46</v>
      </c>
      <c r="I13" s="92" t="s">
        <v>85</v>
      </c>
      <c r="J13" s="93">
        <v>0.03</v>
      </c>
      <c r="K13" s="93">
        <v>0</v>
      </c>
      <c r="L13" s="109">
        <v>2.5499999999999998E-2</v>
      </c>
      <c r="M13" s="109">
        <v>0</v>
      </c>
      <c r="N13" s="109">
        <v>2.1000000000000001E-2</v>
      </c>
      <c r="O13" s="109">
        <v>0</v>
      </c>
      <c r="P13" s="94"/>
      <c r="Q13" s="95">
        <f t="shared" si="0"/>
        <v>0</v>
      </c>
      <c r="R13" s="95">
        <f t="shared" si="1"/>
        <v>0</v>
      </c>
      <c r="S13" s="95">
        <f t="shared" si="2"/>
        <v>0</v>
      </c>
      <c r="T13" s="96">
        <f t="shared" si="3"/>
        <v>0</v>
      </c>
      <c r="U13" s="97" t="str">
        <f t="shared" si="4"/>
        <v/>
      </c>
      <c r="V13" s="98" t="str">
        <f>IF(OR($AM13="",ISNUMBER($AM13)=FALSE),"",IF(AND(#REF!="Tolerance",$E13&lt;&gt;""),($S13-$E13)/(($J13-$K13)/2),IF(AND(#REF!="GD&amp;T",$F13&lt;&gt;""),$S13/$F13,"")))</f>
        <v/>
      </c>
      <c r="W13" s="98" t="str">
        <f t="shared" si="10"/>
        <v/>
      </c>
      <c r="X13" s="97" t="str">
        <f t="shared" si="5"/>
        <v/>
      </c>
      <c r="Y13" s="97" t="str">
        <f t="shared" si="6"/>
        <v/>
      </c>
      <c r="Z13" s="97" t="str">
        <f t="shared" si="7"/>
        <v/>
      </c>
      <c r="AA13" s="26" t="str">
        <f t="shared" si="8"/>
        <v/>
      </c>
      <c r="AB13" s="27" t="e">
        <f>IF($S13="","",IF(#REF!="Tolerance",IF((#REF!*3*T13+S13)-E13&lt;F13,"",(#REF!*3*T13+S13)-E13),IF(OR(#REF!="GD&amp;T",#REF!="MAX"),IF((#REF!*3*T13+S13)&lt;F13,"",(#REF!*3*T13+S13)),"")))</f>
        <v>#REF!</v>
      </c>
      <c r="AC13" s="27" t="e">
        <f>IF(S13="","",IF(#REF!="Tolerance",IF(-((#REF!*3*T13)-S13)-E13&gt;G13,"",-((#REF!*3*T13)-S13)-E13),IF(#REF!="MIN",IF(-((#REF!*3*T13)-S13)&gt;G13,"",-((#REF!*3*T13)-S13)),"")))</f>
        <v>#REF!</v>
      </c>
      <c r="AD13" s="27" t="str">
        <f t="shared" si="11"/>
        <v/>
      </c>
      <c r="AE13" s="27" t="str">
        <f t="shared" si="9"/>
        <v/>
      </c>
      <c r="AF13" s="99"/>
      <c r="AG13" s="100" t="str">
        <f t="shared" si="12"/>
        <v/>
      </c>
      <c r="AH13" s="160"/>
      <c r="AI13" s="101"/>
      <c r="AJ13" s="101"/>
      <c r="AK13" s="102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</row>
    <row r="14" spans="1:70" ht="19.149999999999999" customHeight="1">
      <c r="B14" s="87" t="s">
        <v>89</v>
      </c>
      <c r="C14" s="53" t="s">
        <v>112</v>
      </c>
      <c r="D14" s="88" t="s">
        <v>49</v>
      </c>
      <c r="E14" s="89">
        <v>1.0900000000000001</v>
      </c>
      <c r="F14" s="90">
        <v>1.4999999999999999E-2</v>
      </c>
      <c r="G14" s="90">
        <v>-0.01</v>
      </c>
      <c r="H14" s="91" t="s">
        <v>46</v>
      </c>
      <c r="I14" s="92" t="s">
        <v>85</v>
      </c>
      <c r="J14" s="93">
        <v>1.105</v>
      </c>
      <c r="K14" s="93">
        <v>1.08</v>
      </c>
      <c r="L14" s="109">
        <v>1.1027500000000001</v>
      </c>
      <c r="M14" s="109">
        <v>1.0815000000000001</v>
      </c>
      <c r="N14" s="109"/>
      <c r="O14" s="109"/>
      <c r="P14" s="94"/>
      <c r="Q14" s="95">
        <f t="shared" si="0"/>
        <v>0</v>
      </c>
      <c r="R14" s="95">
        <f t="shared" si="1"/>
        <v>0</v>
      </c>
      <c r="S14" s="95">
        <f t="shared" si="2"/>
        <v>0</v>
      </c>
      <c r="T14" s="96">
        <f t="shared" si="3"/>
        <v>0</v>
      </c>
      <c r="U14" s="97" t="str">
        <f t="shared" si="4"/>
        <v/>
      </c>
      <c r="V14" s="98" t="str">
        <f>IF(OR($AM14="",ISNUMBER($AM14)=FALSE),"",IF(AND(#REF!="Tolerance",$E14&lt;&gt;""),($S14-$E14)/(($J14-$K14)/2),IF(AND(#REF!="GD&amp;T",$F14&lt;&gt;""),$S14/$F14,"")))</f>
        <v/>
      </c>
      <c r="W14" s="98" t="str">
        <f t="shared" si="10"/>
        <v/>
      </c>
      <c r="X14" s="97" t="str">
        <f t="shared" si="5"/>
        <v/>
      </c>
      <c r="Y14" s="97" t="str">
        <f t="shared" si="6"/>
        <v/>
      </c>
      <c r="Z14" s="97" t="str">
        <f t="shared" si="7"/>
        <v/>
      </c>
      <c r="AA14" s="26" t="str">
        <f t="shared" si="8"/>
        <v/>
      </c>
      <c r="AB14" s="27" t="e">
        <f>IF($S14="","",IF(#REF!="Tolerance",IF((#REF!*3*T14+S14)-E14&lt;F14,"",(#REF!*3*T14+S14)-E14),IF(OR(#REF!="GD&amp;T",#REF!="MAX"),IF((#REF!*3*T14+S14)&lt;F14,"",(#REF!*3*T14+S14)),"")))</f>
        <v>#REF!</v>
      </c>
      <c r="AC14" s="27" t="e">
        <f>IF(S14="","",IF(#REF!="Tolerance",IF(-((#REF!*3*T14)-S14)-E14&gt;G14,"",-((#REF!*3*T14)-S14)-E14),IF(#REF!="MIN",IF(-((#REF!*3*T14)-S14)&gt;G14,"",-((#REF!*3*T14)-S14)),"")))</f>
        <v>#REF!</v>
      </c>
      <c r="AD14" s="27">
        <f t="shared" si="11"/>
        <v>1.0925</v>
      </c>
      <c r="AE14" s="27" t="str">
        <f t="shared" si="9"/>
        <v/>
      </c>
      <c r="AF14" s="99"/>
      <c r="AG14" s="100" t="str">
        <f t="shared" si="12"/>
        <v/>
      </c>
      <c r="AH14" s="160"/>
      <c r="AI14" s="101"/>
      <c r="AJ14" s="101"/>
      <c r="AK14" s="102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</row>
    <row r="15" spans="1:70" ht="19.149999999999999" customHeight="1">
      <c r="B15" s="87" t="s">
        <v>89</v>
      </c>
      <c r="C15" s="53" t="s">
        <v>113</v>
      </c>
      <c r="D15" s="88" t="s">
        <v>49</v>
      </c>
      <c r="E15" s="89">
        <v>1.0900000000000001</v>
      </c>
      <c r="F15" s="90">
        <v>1.4999999999999999E-2</v>
      </c>
      <c r="G15" s="90">
        <v>-0.01</v>
      </c>
      <c r="H15" s="91" t="s">
        <v>46</v>
      </c>
      <c r="I15" s="92" t="s">
        <v>85</v>
      </c>
      <c r="J15" s="93">
        <v>1.105</v>
      </c>
      <c r="K15" s="93">
        <v>1.08</v>
      </c>
      <c r="L15" s="109">
        <v>1.1027500000000001</v>
      </c>
      <c r="M15" s="109">
        <v>1.0815000000000001</v>
      </c>
      <c r="N15" s="109"/>
      <c r="O15" s="109"/>
      <c r="P15" s="94"/>
      <c r="Q15" s="95">
        <f t="shared" si="0"/>
        <v>0</v>
      </c>
      <c r="R15" s="95">
        <f t="shared" si="1"/>
        <v>0</v>
      </c>
      <c r="S15" s="95">
        <f t="shared" si="2"/>
        <v>0</v>
      </c>
      <c r="T15" s="96">
        <f t="shared" si="3"/>
        <v>0</v>
      </c>
      <c r="U15" s="97" t="str">
        <f t="shared" si="4"/>
        <v/>
      </c>
      <c r="V15" s="98" t="str">
        <f>IF(OR($AM15="",ISNUMBER($AM15)=FALSE),"",IF(AND(#REF!="Tolerance",$E15&lt;&gt;""),($S15-$E15)/(($J15-$K15)/2),IF(AND(#REF!="GD&amp;T",$F15&lt;&gt;""),$S15/$F15,"")))</f>
        <v/>
      </c>
      <c r="W15" s="98" t="str">
        <f t="shared" si="10"/>
        <v/>
      </c>
      <c r="X15" s="97" t="str">
        <f t="shared" si="5"/>
        <v/>
      </c>
      <c r="Y15" s="97" t="str">
        <f t="shared" si="6"/>
        <v/>
      </c>
      <c r="Z15" s="97" t="str">
        <f t="shared" si="7"/>
        <v/>
      </c>
      <c r="AA15" s="26" t="str">
        <f t="shared" si="8"/>
        <v/>
      </c>
      <c r="AB15" s="27" t="e">
        <f>IF($S15="","",IF(#REF!="Tolerance",IF((#REF!*3*T15+S15)-E15&lt;F15,"",(#REF!*3*T15+S15)-E15),IF(OR(#REF!="GD&amp;T",#REF!="MAX"),IF((#REF!*3*T15+S15)&lt;F15,"",(#REF!*3*T15+S15)),"")))</f>
        <v>#REF!</v>
      </c>
      <c r="AC15" s="27" t="e">
        <f>IF(S15="","",IF(#REF!="Tolerance",IF(-((#REF!*3*T15)-S15)-E15&gt;G15,"",-((#REF!*3*T15)-S15)-E15),IF(#REF!="MIN",IF(-((#REF!*3*T15)-S15)&gt;G15,"",-((#REF!*3*T15)-S15)),"")))</f>
        <v>#REF!</v>
      </c>
      <c r="AD15" s="27">
        <f t="shared" si="11"/>
        <v>1.0925</v>
      </c>
      <c r="AE15" s="27" t="str">
        <f t="shared" si="9"/>
        <v/>
      </c>
      <c r="AF15" s="99"/>
      <c r="AG15" s="100" t="str">
        <f t="shared" si="12"/>
        <v/>
      </c>
      <c r="AH15" s="160"/>
      <c r="AI15" s="101"/>
      <c r="AJ15" s="101"/>
      <c r="AK15" s="102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</row>
    <row r="16" spans="1:70" ht="19.149999999999999" customHeight="1">
      <c r="B16" s="87" t="s">
        <v>89</v>
      </c>
      <c r="C16" s="53" t="s">
        <v>114</v>
      </c>
      <c r="D16" s="88" t="s">
        <v>49</v>
      </c>
      <c r="E16" s="89">
        <v>1.0900000000000001</v>
      </c>
      <c r="F16" s="90">
        <v>1.4999999999999999E-2</v>
      </c>
      <c r="G16" s="90">
        <v>-0.01</v>
      </c>
      <c r="H16" s="91" t="s">
        <v>46</v>
      </c>
      <c r="I16" s="92" t="s">
        <v>85</v>
      </c>
      <c r="J16" s="93">
        <v>1.105</v>
      </c>
      <c r="K16" s="93">
        <v>1.08</v>
      </c>
      <c r="L16" s="109">
        <v>1.1027500000000001</v>
      </c>
      <c r="M16" s="109">
        <v>1.0815000000000001</v>
      </c>
      <c r="N16" s="109"/>
      <c r="O16" s="109"/>
      <c r="P16" s="94"/>
      <c r="Q16" s="95">
        <f t="shared" si="0"/>
        <v>0</v>
      </c>
      <c r="R16" s="95">
        <f t="shared" si="1"/>
        <v>0</v>
      </c>
      <c r="S16" s="95">
        <f t="shared" si="2"/>
        <v>0</v>
      </c>
      <c r="T16" s="96">
        <f t="shared" si="3"/>
        <v>0</v>
      </c>
      <c r="U16" s="97" t="str">
        <f t="shared" si="4"/>
        <v/>
      </c>
      <c r="V16" s="98" t="str">
        <f>IF(OR($AM16="",ISNUMBER($AM16)=FALSE),"",IF(AND(#REF!="Tolerance",$E16&lt;&gt;""),($S16-$E16)/(($J16-$K16)/2),IF(AND(#REF!="GD&amp;T",$F16&lt;&gt;""),$S16/$F16,"")))</f>
        <v/>
      </c>
      <c r="W16" s="98" t="str">
        <f t="shared" si="10"/>
        <v/>
      </c>
      <c r="X16" s="97" t="str">
        <f t="shared" si="5"/>
        <v/>
      </c>
      <c r="Y16" s="97" t="str">
        <f t="shared" si="6"/>
        <v/>
      </c>
      <c r="Z16" s="97" t="str">
        <f t="shared" si="7"/>
        <v/>
      </c>
      <c r="AA16" s="26" t="str">
        <f t="shared" si="8"/>
        <v/>
      </c>
      <c r="AB16" s="27" t="e">
        <f>IF($S16="","",IF(#REF!="Tolerance",IF((#REF!*3*T16+S16)-E16&lt;F16,"",(#REF!*3*T16+S16)-E16),IF(OR(#REF!="GD&amp;T",#REF!="MAX"),IF((#REF!*3*T16+S16)&lt;F16,"",(#REF!*3*T16+S16)),"")))</f>
        <v>#REF!</v>
      </c>
      <c r="AC16" s="27" t="e">
        <f>IF(S16="","",IF(#REF!="Tolerance",IF(-((#REF!*3*T16)-S16)-E16&gt;G16,"",-((#REF!*3*T16)-S16)-E16),IF(#REF!="MIN",IF(-((#REF!*3*T16)-S16)&gt;G16,"",-((#REF!*3*T16)-S16)),"")))</f>
        <v>#REF!</v>
      </c>
      <c r="AD16" s="27">
        <f t="shared" si="11"/>
        <v>1.0925</v>
      </c>
      <c r="AE16" s="27" t="str">
        <f t="shared" si="9"/>
        <v/>
      </c>
      <c r="AF16" s="99"/>
      <c r="AG16" s="100" t="str">
        <f t="shared" si="12"/>
        <v/>
      </c>
      <c r="AH16" s="160"/>
      <c r="AI16" s="101"/>
      <c r="AJ16" s="101"/>
      <c r="AK16" s="102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</row>
    <row r="17" spans="2:70" ht="19.149999999999999" customHeight="1">
      <c r="B17" s="87" t="s">
        <v>90</v>
      </c>
      <c r="C17" s="53" t="s">
        <v>115</v>
      </c>
      <c r="D17" s="88" t="s">
        <v>49</v>
      </c>
      <c r="E17" s="89">
        <v>1.8520000000000001</v>
      </c>
      <c r="F17" s="90">
        <v>0.02</v>
      </c>
      <c r="G17" s="90">
        <v>-0.02</v>
      </c>
      <c r="H17" s="91" t="s">
        <v>46</v>
      </c>
      <c r="I17" s="92" t="s">
        <v>85</v>
      </c>
      <c r="J17" s="93">
        <v>1.8720000000000001</v>
      </c>
      <c r="K17" s="93">
        <v>1.8320000000000001</v>
      </c>
      <c r="L17" s="109">
        <v>1.869</v>
      </c>
      <c r="M17" s="109">
        <v>1.8350000000000002</v>
      </c>
      <c r="N17" s="109"/>
      <c r="O17" s="109"/>
      <c r="P17" s="94"/>
      <c r="Q17" s="95">
        <f t="shared" si="0"/>
        <v>0</v>
      </c>
      <c r="R17" s="95">
        <f t="shared" si="1"/>
        <v>0</v>
      </c>
      <c r="S17" s="95">
        <f t="shared" si="2"/>
        <v>0</v>
      </c>
      <c r="T17" s="96">
        <f t="shared" si="3"/>
        <v>0</v>
      </c>
      <c r="U17" s="97" t="str">
        <f t="shared" si="4"/>
        <v/>
      </c>
      <c r="V17" s="98" t="str">
        <f>IF(OR($AM17="",ISNUMBER($AM17)=FALSE),"",IF(AND(#REF!="Tolerance",$E17&lt;&gt;""),($S17-$E17)/(($J17-$K17)/2),IF(AND(#REF!="GD&amp;T",$F17&lt;&gt;""),$S17/$F17,"")))</f>
        <v/>
      </c>
      <c r="W17" s="98" t="str">
        <f t="shared" si="10"/>
        <v/>
      </c>
      <c r="X17" s="97" t="str">
        <f t="shared" si="5"/>
        <v/>
      </c>
      <c r="Y17" s="97" t="str">
        <f t="shared" si="6"/>
        <v/>
      </c>
      <c r="Z17" s="97" t="str">
        <f t="shared" si="7"/>
        <v/>
      </c>
      <c r="AA17" s="26" t="str">
        <f t="shared" si="8"/>
        <v/>
      </c>
      <c r="AB17" s="27" t="e">
        <f>IF($S17="","",IF(#REF!="Tolerance",IF((#REF!*3*T17+S17)-E17&lt;F17,"",(#REF!*3*T17+S17)-E17),IF(OR(#REF!="GD&amp;T",#REF!="MAX"),IF((#REF!*3*T17+S17)&lt;F17,"",(#REF!*3*T17+S17)),"")))</f>
        <v>#REF!</v>
      </c>
      <c r="AC17" s="27" t="e">
        <f>IF(S17="","",IF(#REF!="Tolerance",IF(-((#REF!*3*T17)-S17)-E17&gt;G17,"",-((#REF!*3*T17)-S17)-E17),IF(#REF!="MIN",IF(-((#REF!*3*T17)-S17)&gt;G17,"",-((#REF!*3*T17)-S17)),"")))</f>
        <v>#REF!</v>
      </c>
      <c r="AD17" s="27">
        <f t="shared" si="11"/>
        <v>1.8520000000000001</v>
      </c>
      <c r="AE17" s="27" t="str">
        <f t="shared" si="9"/>
        <v/>
      </c>
      <c r="AF17" s="99"/>
      <c r="AG17" s="100" t="str">
        <f t="shared" si="12"/>
        <v/>
      </c>
      <c r="AH17" s="160"/>
      <c r="AI17" s="101"/>
      <c r="AJ17" s="101"/>
      <c r="AK17" s="102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</row>
    <row r="18" spans="2:70" ht="19.149999999999999" customHeight="1">
      <c r="B18" s="87" t="s">
        <v>91</v>
      </c>
      <c r="C18" s="53" t="s">
        <v>116</v>
      </c>
      <c r="D18" s="88" t="s">
        <v>49</v>
      </c>
      <c r="E18" s="89">
        <v>0.214</v>
      </c>
      <c r="F18" s="90">
        <v>0.02</v>
      </c>
      <c r="G18" s="90">
        <v>-0.02</v>
      </c>
      <c r="H18" s="91" t="s">
        <v>46</v>
      </c>
      <c r="I18" s="92" t="s">
        <v>85</v>
      </c>
      <c r="J18" s="93">
        <v>0.23399999999999999</v>
      </c>
      <c r="K18" s="93">
        <v>0.19400000000000001</v>
      </c>
      <c r="L18" s="109">
        <v>0.23099999999999998</v>
      </c>
      <c r="M18" s="109">
        <v>0.19700000000000001</v>
      </c>
      <c r="N18" s="109"/>
      <c r="O18" s="109"/>
      <c r="P18" s="94"/>
      <c r="Q18" s="95">
        <f t="shared" si="0"/>
        <v>0</v>
      </c>
      <c r="R18" s="95">
        <f t="shared" si="1"/>
        <v>0</v>
      </c>
      <c r="S18" s="95">
        <f t="shared" si="2"/>
        <v>0</v>
      </c>
      <c r="T18" s="96">
        <f t="shared" si="3"/>
        <v>0</v>
      </c>
      <c r="U18" s="97" t="str">
        <f t="shared" si="4"/>
        <v/>
      </c>
      <c r="V18" s="98" t="str">
        <f>IF(OR($AM18="",ISNUMBER($AM18)=FALSE),"",IF(AND(#REF!="Tolerance",$E18&lt;&gt;""),($S18-$E18)/(($J18-$K18)/2),IF(AND(#REF!="GD&amp;T",$F18&lt;&gt;""),$S18/$F18,"")))</f>
        <v/>
      </c>
      <c r="W18" s="98" t="str">
        <f t="shared" si="10"/>
        <v/>
      </c>
      <c r="X18" s="97" t="str">
        <f t="shared" si="5"/>
        <v/>
      </c>
      <c r="Y18" s="97" t="str">
        <f t="shared" si="6"/>
        <v/>
      </c>
      <c r="Z18" s="97" t="str">
        <f t="shared" si="7"/>
        <v/>
      </c>
      <c r="AA18" s="26" t="str">
        <f t="shared" si="8"/>
        <v/>
      </c>
      <c r="AB18" s="27" t="e">
        <f>IF($S18="","",IF(#REF!="Tolerance",IF((#REF!*3*T18+S18)-E18&lt;F18,"",(#REF!*3*T18+S18)-E18),IF(OR(#REF!="GD&amp;T",#REF!="MAX"),IF((#REF!*3*T18+S18)&lt;F18,"",(#REF!*3*T18+S18)),"")))</f>
        <v>#REF!</v>
      </c>
      <c r="AC18" s="27" t="e">
        <f>IF(S18="","",IF(#REF!="Tolerance",IF(-((#REF!*3*T18)-S18)-E18&gt;G18,"",-((#REF!*3*T18)-S18)-E18),IF(#REF!="MIN",IF(-((#REF!*3*T18)-S18)&gt;G18,"",-((#REF!*3*T18)-S18)),"")))</f>
        <v>#REF!</v>
      </c>
      <c r="AD18" s="27">
        <f t="shared" si="11"/>
        <v>0.214</v>
      </c>
      <c r="AE18" s="27" t="str">
        <f t="shared" si="9"/>
        <v/>
      </c>
      <c r="AF18" s="99"/>
      <c r="AG18" s="100" t="str">
        <f t="shared" si="12"/>
        <v/>
      </c>
      <c r="AH18" s="160"/>
      <c r="AI18" s="101"/>
      <c r="AJ18" s="101"/>
      <c r="AK18" s="102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</row>
    <row r="19" spans="2:70" ht="19.149999999999999" customHeight="1">
      <c r="B19" s="87" t="s">
        <v>96</v>
      </c>
      <c r="C19" s="53" t="s">
        <v>157</v>
      </c>
      <c r="D19" s="88" t="s">
        <v>95</v>
      </c>
      <c r="E19" s="89">
        <v>1.03</v>
      </c>
      <c r="F19" s="90">
        <v>0.02</v>
      </c>
      <c r="G19" s="90">
        <v>-0.02</v>
      </c>
      <c r="H19" s="91" t="s">
        <v>46</v>
      </c>
      <c r="I19" s="92"/>
      <c r="J19" s="93">
        <v>1.05</v>
      </c>
      <c r="K19" s="93">
        <v>1.01</v>
      </c>
      <c r="L19" s="109">
        <v>1.0469999999999999</v>
      </c>
      <c r="M19" s="109">
        <v>1.0130000000000001</v>
      </c>
      <c r="N19" s="109"/>
      <c r="O19" s="109"/>
      <c r="P19" s="94"/>
      <c r="Q19" s="95">
        <f t="shared" si="0"/>
        <v>0</v>
      </c>
      <c r="R19" s="95">
        <f t="shared" si="1"/>
        <v>0</v>
      </c>
      <c r="S19" s="95">
        <f t="shared" si="2"/>
        <v>0</v>
      </c>
      <c r="T19" s="96">
        <f t="shared" si="3"/>
        <v>0</v>
      </c>
      <c r="U19" s="97" t="str">
        <f t="shared" si="4"/>
        <v/>
      </c>
      <c r="V19" s="98" t="str">
        <f>IF(OR($AM19="",ISNUMBER($AM19)=FALSE),"",IF(AND(#REF!="Tolerance",$E19&lt;&gt;""),($S19-$E19)/(($J19-$K19)/2),IF(AND(#REF!="GD&amp;T",$F19&lt;&gt;""),$S19/$F19,"")))</f>
        <v/>
      </c>
      <c r="W19" s="98" t="str">
        <f t="shared" si="10"/>
        <v/>
      </c>
      <c r="X19" s="97" t="str">
        <f t="shared" si="5"/>
        <v/>
      </c>
      <c r="Y19" s="97" t="str">
        <f t="shared" si="6"/>
        <v/>
      </c>
      <c r="Z19" s="97" t="str">
        <f t="shared" si="7"/>
        <v/>
      </c>
      <c r="AA19" s="26" t="str">
        <f t="shared" si="8"/>
        <v/>
      </c>
      <c r="AB19" s="27" t="e">
        <f>IF($S19="","",IF(#REF!="Tolerance",IF((#REF!*3*T19+S19)-E19&lt;F19,"",(#REF!*3*T19+S19)-E19),IF(OR(#REF!="GD&amp;T",#REF!="MAX"),IF((#REF!*3*T19+S19)&lt;F19,"",(#REF!*3*T19+S19)),"")))</f>
        <v>#REF!</v>
      </c>
      <c r="AC19" s="27" t="e">
        <f>IF(S19="","",IF(#REF!="Tolerance",IF(-((#REF!*3*T19)-S19)-E19&gt;G19,"",-((#REF!*3*T19)-S19)-E19),IF(#REF!="MIN",IF(-((#REF!*3*T19)-S19)&gt;G19,"",-((#REF!*3*T19)-S19)),"")))</f>
        <v>#REF!</v>
      </c>
      <c r="AD19" s="27">
        <f t="shared" si="11"/>
        <v>1.03</v>
      </c>
      <c r="AE19" s="27" t="str">
        <f t="shared" si="9"/>
        <v/>
      </c>
      <c r="AF19" s="99"/>
      <c r="AG19" s="100" t="str">
        <f t="shared" si="12"/>
        <v/>
      </c>
      <c r="AH19" s="160"/>
      <c r="AI19" s="101"/>
      <c r="AJ19" s="101"/>
      <c r="AK19" s="102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</row>
    <row r="20" spans="2:70" ht="19.149999999999999" customHeight="1">
      <c r="B20" s="87" t="s">
        <v>97</v>
      </c>
      <c r="C20" s="53" t="s">
        <v>158</v>
      </c>
      <c r="D20" s="88" t="s">
        <v>95</v>
      </c>
      <c r="E20" s="89">
        <v>1.03</v>
      </c>
      <c r="F20" s="90">
        <v>0.02</v>
      </c>
      <c r="G20" s="90">
        <v>-0.02</v>
      </c>
      <c r="H20" s="91" t="s">
        <v>46</v>
      </c>
      <c r="I20" s="92"/>
      <c r="J20" s="93">
        <v>1.05</v>
      </c>
      <c r="K20" s="93">
        <v>1.01</v>
      </c>
      <c r="L20" s="109">
        <v>1.0469999999999999</v>
      </c>
      <c r="M20" s="109">
        <v>1.0130000000000001</v>
      </c>
      <c r="N20" s="109"/>
      <c r="O20" s="109"/>
      <c r="P20" s="94"/>
      <c r="Q20" s="95">
        <f t="shared" si="0"/>
        <v>0</v>
      </c>
      <c r="R20" s="95">
        <f t="shared" si="1"/>
        <v>0</v>
      </c>
      <c r="S20" s="95">
        <f t="shared" si="2"/>
        <v>0</v>
      </c>
      <c r="T20" s="96">
        <f t="shared" si="3"/>
        <v>0</v>
      </c>
      <c r="U20" s="97" t="str">
        <f t="shared" si="4"/>
        <v/>
      </c>
      <c r="V20" s="98" t="str">
        <f>IF(OR($AM20="",ISNUMBER($AM20)=FALSE),"",IF(AND(#REF!="Tolerance",$E20&lt;&gt;""),($S20-$E20)/(($J20-$K20)/2),IF(AND(#REF!="GD&amp;T",$F20&lt;&gt;""),$S20/$F20,"")))</f>
        <v/>
      </c>
      <c r="W20" s="98" t="str">
        <f t="shared" si="10"/>
        <v/>
      </c>
      <c r="X20" s="97" t="str">
        <f t="shared" si="5"/>
        <v/>
      </c>
      <c r="Y20" s="97" t="str">
        <f t="shared" si="6"/>
        <v/>
      </c>
      <c r="Z20" s="97" t="str">
        <f t="shared" si="7"/>
        <v/>
      </c>
      <c r="AA20" s="26" t="str">
        <f t="shared" si="8"/>
        <v/>
      </c>
      <c r="AB20" s="27" t="e">
        <f>IF($S20="","",IF(#REF!="Tolerance",IF((#REF!*3*T20+S20)-E20&lt;F20,"",(#REF!*3*T20+S20)-E20),IF(OR(#REF!="GD&amp;T",#REF!="MAX"),IF((#REF!*3*T20+S20)&lt;F20,"",(#REF!*3*T20+S20)),"")))</f>
        <v>#REF!</v>
      </c>
      <c r="AC20" s="27" t="e">
        <f>IF(S20="","",IF(#REF!="Tolerance",IF(-((#REF!*3*T20)-S20)-E20&gt;G20,"",-((#REF!*3*T20)-S20)-E20),IF(#REF!="MIN",IF(-((#REF!*3*T20)-S20)&gt;G20,"",-((#REF!*3*T20)-S20)),"")))</f>
        <v>#REF!</v>
      </c>
      <c r="AD20" s="27">
        <f t="shared" si="11"/>
        <v>1.03</v>
      </c>
      <c r="AE20" s="27" t="str">
        <f t="shared" si="9"/>
        <v/>
      </c>
      <c r="AF20" s="99"/>
      <c r="AG20" s="100" t="str">
        <f t="shared" si="12"/>
        <v/>
      </c>
      <c r="AH20" s="160"/>
      <c r="AI20" s="101"/>
      <c r="AJ20" s="101"/>
      <c r="AK20" s="102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</row>
    <row r="21" spans="2:70" ht="19.149999999999999" customHeight="1">
      <c r="B21" s="87" t="s">
        <v>98</v>
      </c>
      <c r="C21" s="53" t="s">
        <v>159</v>
      </c>
      <c r="D21" s="88" t="s">
        <v>95</v>
      </c>
      <c r="E21" s="89">
        <v>14.496</v>
      </c>
      <c r="F21" s="90">
        <v>0.02</v>
      </c>
      <c r="G21" s="90">
        <v>-0.02</v>
      </c>
      <c r="H21" s="91" t="s">
        <v>46</v>
      </c>
      <c r="I21" s="92"/>
      <c r="J21" s="93">
        <v>14.516</v>
      </c>
      <c r="K21" s="93">
        <v>14.476000000000001</v>
      </c>
      <c r="L21" s="109">
        <v>14.513</v>
      </c>
      <c r="M21" s="109">
        <v>14.479000000000001</v>
      </c>
      <c r="N21" s="109"/>
      <c r="O21" s="109"/>
      <c r="P21" s="94"/>
      <c r="Q21" s="95">
        <f t="shared" si="0"/>
        <v>0</v>
      </c>
      <c r="R21" s="95">
        <f t="shared" si="1"/>
        <v>0</v>
      </c>
      <c r="S21" s="95">
        <f t="shared" si="2"/>
        <v>0</v>
      </c>
      <c r="T21" s="96">
        <f t="shared" si="3"/>
        <v>0</v>
      </c>
      <c r="U21" s="97" t="str">
        <f t="shared" si="4"/>
        <v/>
      </c>
      <c r="V21" s="98" t="str">
        <f>IF(OR($AM21="",ISNUMBER($AM21)=FALSE),"",IF(AND(#REF!="Tolerance",$E21&lt;&gt;""),($S21-$E21)/(($J21-$K21)/2),IF(AND(#REF!="GD&amp;T",$F21&lt;&gt;""),$S21/$F21,"")))</f>
        <v/>
      </c>
      <c r="W21" s="98" t="str">
        <f t="shared" si="10"/>
        <v/>
      </c>
      <c r="X21" s="97" t="str">
        <f t="shared" si="5"/>
        <v/>
      </c>
      <c r="Y21" s="97" t="str">
        <f t="shared" si="6"/>
        <v/>
      </c>
      <c r="Z21" s="97" t="str">
        <f t="shared" si="7"/>
        <v/>
      </c>
      <c r="AA21" s="26" t="str">
        <f t="shared" si="8"/>
        <v/>
      </c>
      <c r="AB21" s="27" t="e">
        <f>IF($S21="","",IF(#REF!="Tolerance",IF((#REF!*3*T21+S21)-E21&lt;F21,"",(#REF!*3*T21+S21)-E21),IF(OR(#REF!="GD&amp;T",#REF!="MAX"),IF((#REF!*3*T21+S21)&lt;F21,"",(#REF!*3*T21+S21)),"")))</f>
        <v>#REF!</v>
      </c>
      <c r="AC21" s="27" t="e">
        <f>IF(S21="","",IF(#REF!="Tolerance",IF(-((#REF!*3*T21)-S21)-E21&gt;G21,"",-((#REF!*3*T21)-S21)-E21),IF(#REF!="MIN",IF(-((#REF!*3*T21)-S21)&gt;G21,"",-((#REF!*3*T21)-S21)),"")))</f>
        <v>#REF!</v>
      </c>
      <c r="AD21" s="27">
        <f t="shared" si="11"/>
        <v>14.496</v>
      </c>
      <c r="AE21" s="27" t="str">
        <f t="shared" si="9"/>
        <v/>
      </c>
      <c r="AF21" s="99"/>
      <c r="AG21" s="100" t="str">
        <f t="shared" si="12"/>
        <v/>
      </c>
      <c r="AH21" s="160"/>
      <c r="AI21" s="101"/>
      <c r="AJ21" s="101"/>
      <c r="AK21" s="102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</row>
    <row r="22" spans="2:70" ht="19.149999999999999" customHeight="1">
      <c r="B22" s="87" t="s">
        <v>99</v>
      </c>
      <c r="C22" s="53" t="s">
        <v>160</v>
      </c>
      <c r="D22" s="88" t="s">
        <v>95</v>
      </c>
      <c r="E22" s="89">
        <v>0.77</v>
      </c>
      <c r="F22" s="90">
        <v>0.02</v>
      </c>
      <c r="G22" s="90">
        <v>-0.02</v>
      </c>
      <c r="H22" s="91" t="s">
        <v>46</v>
      </c>
      <c r="I22" s="92"/>
      <c r="J22" s="93">
        <v>0.79</v>
      </c>
      <c r="K22" s="93">
        <v>0.75</v>
      </c>
      <c r="L22" s="109">
        <v>0.78700000000000003</v>
      </c>
      <c r="M22" s="109">
        <v>0.753</v>
      </c>
      <c r="N22" s="109"/>
      <c r="O22" s="109"/>
      <c r="P22" s="94"/>
      <c r="Q22" s="95">
        <f t="shared" si="0"/>
        <v>0</v>
      </c>
      <c r="R22" s="95">
        <f t="shared" si="1"/>
        <v>0</v>
      </c>
      <c r="S22" s="95">
        <f t="shared" si="2"/>
        <v>0</v>
      </c>
      <c r="T22" s="96">
        <f t="shared" si="3"/>
        <v>0</v>
      </c>
      <c r="U22" s="97" t="str">
        <f t="shared" si="4"/>
        <v/>
      </c>
      <c r="V22" s="98" t="str">
        <f>IF(OR($AM22="",ISNUMBER($AM22)=FALSE),"",IF(AND(#REF!="Tolerance",$E22&lt;&gt;""),($S22-$E22)/(($J22-$K22)/2),IF(AND(#REF!="GD&amp;T",$F22&lt;&gt;""),$S22/$F22,"")))</f>
        <v/>
      </c>
      <c r="W22" s="98" t="str">
        <f t="shared" si="10"/>
        <v/>
      </c>
      <c r="X22" s="97" t="str">
        <f t="shared" si="5"/>
        <v/>
      </c>
      <c r="Y22" s="97" t="str">
        <f t="shared" si="6"/>
        <v/>
      </c>
      <c r="Z22" s="97" t="str">
        <f t="shared" si="7"/>
        <v/>
      </c>
      <c r="AA22" s="26" t="str">
        <f t="shared" si="8"/>
        <v/>
      </c>
      <c r="AB22" s="27" t="e">
        <f>IF($S22="","",IF(#REF!="Tolerance",IF((#REF!*3*T22+S22)-E22&lt;F22,"",(#REF!*3*T22+S22)-E22),IF(OR(#REF!="GD&amp;T",#REF!="MAX"),IF((#REF!*3*T22+S22)&lt;F22,"",(#REF!*3*T22+S22)),"")))</f>
        <v>#REF!</v>
      </c>
      <c r="AC22" s="27" t="e">
        <f>IF(S22="","",IF(#REF!="Tolerance",IF(-((#REF!*3*T22)-S22)-E22&gt;G22,"",-((#REF!*3*T22)-S22)-E22),IF(#REF!="MIN",IF(-((#REF!*3*T22)-S22)&gt;G22,"",-((#REF!*3*T22)-S22)),"")))</f>
        <v>#REF!</v>
      </c>
      <c r="AD22" s="27">
        <f t="shared" si="11"/>
        <v>0.77</v>
      </c>
      <c r="AE22" s="27" t="str">
        <f t="shared" si="9"/>
        <v/>
      </c>
      <c r="AF22" s="99"/>
      <c r="AG22" s="100" t="str">
        <f t="shared" si="12"/>
        <v/>
      </c>
      <c r="AH22" s="160"/>
      <c r="AI22" s="101"/>
      <c r="AJ22" s="101"/>
      <c r="AK22" s="102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</row>
    <row r="23" spans="2:70" ht="19.149999999999999" customHeight="1">
      <c r="B23" s="87" t="s">
        <v>100</v>
      </c>
      <c r="C23" s="53" t="s">
        <v>161</v>
      </c>
      <c r="D23" s="88" t="s">
        <v>95</v>
      </c>
      <c r="E23" s="89">
        <v>0.77</v>
      </c>
      <c r="F23" s="90">
        <v>0.02</v>
      </c>
      <c r="G23" s="90">
        <v>-0.02</v>
      </c>
      <c r="H23" s="91" t="s">
        <v>46</v>
      </c>
      <c r="I23" s="92"/>
      <c r="J23" s="93">
        <v>0.79</v>
      </c>
      <c r="K23" s="93">
        <v>0.75</v>
      </c>
      <c r="L23" s="109">
        <v>0.78700000000000003</v>
      </c>
      <c r="M23" s="109">
        <v>0.753</v>
      </c>
      <c r="N23" s="109"/>
      <c r="O23" s="109"/>
      <c r="P23" s="94"/>
      <c r="Q23" s="95">
        <f t="shared" si="0"/>
        <v>0</v>
      </c>
      <c r="R23" s="95">
        <f t="shared" si="1"/>
        <v>0</v>
      </c>
      <c r="S23" s="95">
        <f t="shared" si="2"/>
        <v>0</v>
      </c>
      <c r="T23" s="96">
        <f t="shared" si="3"/>
        <v>0</v>
      </c>
      <c r="U23" s="97" t="str">
        <f t="shared" si="4"/>
        <v/>
      </c>
      <c r="V23" s="98" t="str">
        <f>IF(OR($AM23="",ISNUMBER($AM23)=FALSE),"",IF(AND(#REF!="Tolerance",$E23&lt;&gt;""),($S23-$E23)/(($J23-$K23)/2),IF(AND(#REF!="GD&amp;T",$F23&lt;&gt;""),$S23/$F23,"")))</f>
        <v/>
      </c>
      <c r="W23" s="98" t="str">
        <f t="shared" si="10"/>
        <v/>
      </c>
      <c r="X23" s="97" t="str">
        <f t="shared" si="5"/>
        <v/>
      </c>
      <c r="Y23" s="97" t="str">
        <f t="shared" si="6"/>
        <v/>
      </c>
      <c r="Z23" s="97" t="str">
        <f t="shared" si="7"/>
        <v/>
      </c>
      <c r="AA23" s="26" t="str">
        <f t="shared" si="8"/>
        <v/>
      </c>
      <c r="AB23" s="27" t="e">
        <f>IF($S23="","",IF(#REF!="Tolerance",IF((#REF!*3*T23+S23)-E23&lt;F23,"",(#REF!*3*T23+S23)-E23),IF(OR(#REF!="GD&amp;T",#REF!="MAX"),IF((#REF!*3*T23+S23)&lt;F23,"",(#REF!*3*T23+S23)),"")))</f>
        <v>#REF!</v>
      </c>
      <c r="AC23" s="27" t="e">
        <f>IF(S23="","",IF(#REF!="Tolerance",IF(-((#REF!*3*T23)-S23)-E23&gt;G23,"",-((#REF!*3*T23)-S23)-E23),IF(#REF!="MIN",IF(-((#REF!*3*T23)-S23)&gt;G23,"",-((#REF!*3*T23)-S23)),"")))</f>
        <v>#REF!</v>
      </c>
      <c r="AD23" s="27">
        <f t="shared" si="11"/>
        <v>0.77</v>
      </c>
      <c r="AE23" s="27" t="str">
        <f t="shared" si="9"/>
        <v/>
      </c>
      <c r="AF23" s="99"/>
      <c r="AG23" s="100" t="str">
        <f t="shared" si="12"/>
        <v/>
      </c>
      <c r="AH23" s="160"/>
      <c r="AI23" s="101"/>
      <c r="AJ23" s="101"/>
      <c r="AK23" s="102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</row>
    <row r="24" spans="2:70" ht="19.149999999999999" customHeight="1">
      <c r="B24" s="87" t="s">
        <v>101</v>
      </c>
      <c r="C24" s="103" t="s">
        <v>162</v>
      </c>
      <c r="D24" s="104" t="s">
        <v>95</v>
      </c>
      <c r="E24" s="105">
        <v>11.776999999999999</v>
      </c>
      <c r="F24" s="106">
        <v>0.02</v>
      </c>
      <c r="G24" s="106">
        <v>-0.02</v>
      </c>
      <c r="H24" s="107" t="s">
        <v>46</v>
      </c>
      <c r="I24" s="108"/>
      <c r="J24" s="109">
        <v>11.796999999999999</v>
      </c>
      <c r="K24" s="109">
        <v>11.757</v>
      </c>
      <c r="L24" s="109">
        <v>11.793999999999999</v>
      </c>
      <c r="M24" s="109">
        <v>11.76</v>
      </c>
      <c r="N24" s="109"/>
      <c r="O24" s="109"/>
      <c r="P24" s="94"/>
      <c r="Q24" s="110">
        <f t="shared" si="0"/>
        <v>0</v>
      </c>
      <c r="R24" s="110">
        <f t="shared" si="1"/>
        <v>0</v>
      </c>
      <c r="S24" s="110">
        <f t="shared" si="2"/>
        <v>0</v>
      </c>
      <c r="T24" s="111">
        <f t="shared" si="3"/>
        <v>0</v>
      </c>
      <c r="U24" s="112" t="str">
        <f t="shared" si="4"/>
        <v/>
      </c>
      <c r="V24" s="113" t="str">
        <f>IF(OR($AM24="",ISNUMBER($AM24)=FALSE),"",IF(AND(#REF!="Tolerance",$E24&lt;&gt;""),($S24-$E24)/(($J24-$K24)/2),IF(AND(#REF!="GD&amp;T",$F24&lt;&gt;""),$S24/$F24,"")))</f>
        <v/>
      </c>
      <c r="W24" s="113" t="str">
        <f t="shared" si="10"/>
        <v/>
      </c>
      <c r="X24" s="112" t="str">
        <f t="shared" si="5"/>
        <v/>
      </c>
      <c r="Y24" s="112" t="str">
        <f t="shared" si="6"/>
        <v/>
      </c>
      <c r="Z24" s="112" t="str">
        <f t="shared" si="7"/>
        <v/>
      </c>
      <c r="AA24" s="28" t="str">
        <f t="shared" si="8"/>
        <v/>
      </c>
      <c r="AB24" s="29" t="e">
        <f>IF($S24="","",IF(#REF!="Tolerance",IF((#REF!*3*T24+S24)-E24&lt;F24,"",(#REF!*3*T24+S24)-E24),IF(OR(#REF!="GD&amp;T",#REF!="MAX"),IF((#REF!*3*T24+S24)&lt;F24,"",(#REF!*3*T24+S24)),"")))</f>
        <v>#REF!</v>
      </c>
      <c r="AC24" s="29" t="e">
        <f>IF(S24="","",IF(#REF!="Tolerance",IF(-((#REF!*3*T24)-S24)-E24&gt;G24,"",-((#REF!*3*T24)-S24)-E24),IF(#REF!="MIN",IF(-((#REF!*3*T24)-S24)&gt;G24,"",-((#REF!*3*T24)-S24)),"")))</f>
        <v>#REF!</v>
      </c>
      <c r="AD24" s="29">
        <f t="shared" si="11"/>
        <v>11.776999999999999</v>
      </c>
      <c r="AE24" s="29" t="str">
        <f t="shared" si="9"/>
        <v/>
      </c>
      <c r="AF24" s="114"/>
      <c r="AG24" s="115" t="str">
        <f t="shared" si="12"/>
        <v/>
      </c>
      <c r="AH24" s="160"/>
      <c r="AI24" s="101"/>
      <c r="AJ24" s="101"/>
      <c r="AK24" s="102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</row>
    <row r="25" spans="2:70" ht="19.149999999999999" customHeight="1">
      <c r="B25" s="116"/>
      <c r="C25" s="117"/>
      <c r="D25" s="118"/>
      <c r="E25" s="119"/>
      <c r="F25" s="120"/>
      <c r="G25" s="120"/>
      <c r="H25" s="121"/>
      <c r="I25" s="121"/>
      <c r="J25" s="122"/>
      <c r="K25" s="122"/>
      <c r="L25" s="122"/>
      <c r="M25" s="122"/>
      <c r="N25" s="122"/>
      <c r="O25" s="122"/>
      <c r="P25" s="123"/>
      <c r="Q25" s="124"/>
      <c r="R25" s="124"/>
      <c r="S25" s="124"/>
      <c r="T25" s="125"/>
      <c r="U25" s="126"/>
      <c r="V25" s="127"/>
      <c r="W25" s="127"/>
      <c r="X25" s="126"/>
      <c r="Y25" s="126"/>
      <c r="Z25" s="126"/>
      <c r="AA25" s="33"/>
      <c r="AB25" s="34"/>
      <c r="AC25" s="34"/>
      <c r="AD25" s="34"/>
      <c r="AE25" s="34"/>
      <c r="AF25" s="128"/>
      <c r="AG25" s="129"/>
      <c r="AH25" s="158"/>
      <c r="AI25" s="129"/>
      <c r="AJ25" s="129"/>
      <c r="AK25" s="129"/>
      <c r="AL25" s="130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</row>
    <row r="26" spans="2:70" ht="19.149999999999999" customHeight="1">
      <c r="B26" s="132"/>
      <c r="C26" s="24"/>
      <c r="D26" s="133"/>
      <c r="E26" s="134"/>
      <c r="F26" s="135"/>
      <c r="G26" s="135"/>
      <c r="H26" s="136"/>
      <c r="I26" s="136"/>
      <c r="J26" s="30"/>
      <c r="K26" s="30"/>
      <c r="L26" s="30"/>
      <c r="M26" s="30"/>
      <c r="N26" s="30"/>
      <c r="O26" s="30"/>
      <c r="P26" s="137"/>
      <c r="Q26" s="138"/>
      <c r="R26" s="138"/>
      <c r="S26" s="138"/>
      <c r="T26" s="139"/>
      <c r="U26" s="140"/>
      <c r="V26" s="141"/>
      <c r="W26" s="141"/>
      <c r="X26" s="140"/>
      <c r="Y26" s="140"/>
      <c r="Z26" s="140"/>
      <c r="AA26" s="31"/>
      <c r="AB26" s="32"/>
      <c r="AC26" s="32"/>
      <c r="AD26" s="32"/>
      <c r="AE26" s="32"/>
      <c r="AF26" s="142"/>
      <c r="AG26" s="101"/>
      <c r="AH26" s="143"/>
      <c r="AI26" s="101"/>
      <c r="AJ26" s="101"/>
      <c r="AK26" s="101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</row>
    <row r="27" spans="2:70" ht="19.149999999999999" customHeight="1">
      <c r="B27" s="132"/>
      <c r="C27" s="24"/>
      <c r="D27" s="133"/>
      <c r="E27" s="134"/>
      <c r="F27" s="135"/>
      <c r="G27" s="135"/>
      <c r="H27" s="136"/>
      <c r="I27" s="136"/>
      <c r="J27" s="30"/>
      <c r="K27" s="30"/>
      <c r="L27" s="30"/>
      <c r="M27" s="30"/>
      <c r="N27" s="30"/>
      <c r="O27" s="30"/>
      <c r="P27" s="137"/>
      <c r="Q27" s="138"/>
      <c r="R27" s="138"/>
      <c r="S27" s="138"/>
      <c r="T27" s="139"/>
      <c r="U27" s="140"/>
      <c r="V27" s="141"/>
      <c r="W27" s="141"/>
      <c r="X27" s="140"/>
      <c r="Y27" s="140"/>
      <c r="Z27" s="140"/>
      <c r="AA27" s="31"/>
      <c r="AB27" s="32"/>
      <c r="AC27" s="32"/>
      <c r="AD27" s="32"/>
      <c r="AE27" s="32"/>
      <c r="AF27" s="142"/>
      <c r="AG27" s="101"/>
      <c r="AH27" s="143"/>
      <c r="AI27" s="101"/>
      <c r="AJ27" s="101"/>
      <c r="AK27" s="101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  <c r="BQ27" s="144"/>
      <c r="BR27" s="144"/>
    </row>
    <row r="28" spans="2:70" ht="19.149999999999999" customHeight="1">
      <c r="B28" s="132"/>
      <c r="C28" s="24"/>
      <c r="D28" s="133"/>
      <c r="E28" s="134"/>
      <c r="F28" s="135"/>
      <c r="G28" s="135"/>
      <c r="H28" s="136"/>
      <c r="I28" s="136"/>
      <c r="J28" s="30"/>
      <c r="K28" s="30"/>
      <c r="L28" s="30"/>
      <c r="M28" s="30"/>
      <c r="N28" s="30"/>
      <c r="O28" s="30"/>
      <c r="P28" s="137"/>
      <c r="Q28" s="138"/>
      <c r="R28" s="138"/>
      <c r="S28" s="138"/>
      <c r="T28" s="139"/>
      <c r="U28" s="140"/>
      <c r="V28" s="141"/>
      <c r="W28" s="141"/>
      <c r="X28" s="140"/>
      <c r="Y28" s="140"/>
      <c r="Z28" s="140"/>
      <c r="AA28" s="31"/>
      <c r="AB28" s="32"/>
      <c r="AC28" s="32"/>
      <c r="AD28" s="32"/>
      <c r="AE28" s="32"/>
      <c r="AF28" s="142"/>
      <c r="AG28" s="101"/>
      <c r="AH28" s="143"/>
      <c r="AI28" s="101"/>
      <c r="AJ28" s="101"/>
      <c r="AK28" s="101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</row>
    <row r="29" spans="2:70" ht="19.149999999999999" customHeight="1">
      <c r="B29" s="132"/>
      <c r="C29" s="24"/>
      <c r="D29" s="133"/>
      <c r="E29" s="134"/>
      <c r="F29" s="135"/>
      <c r="G29" s="135"/>
      <c r="H29" s="136"/>
      <c r="I29" s="136"/>
      <c r="J29" s="30"/>
      <c r="K29" s="30"/>
      <c r="L29" s="30"/>
      <c r="M29" s="30"/>
      <c r="N29" s="30"/>
      <c r="O29" s="30"/>
      <c r="P29" s="137"/>
      <c r="Q29" s="138"/>
      <c r="R29" s="138"/>
      <c r="S29" s="138"/>
      <c r="T29" s="139"/>
      <c r="U29" s="140"/>
      <c r="V29" s="141"/>
      <c r="W29" s="141"/>
      <c r="X29" s="140"/>
      <c r="Y29" s="140"/>
      <c r="Z29" s="140"/>
      <c r="AA29" s="31"/>
      <c r="AB29" s="32"/>
      <c r="AC29" s="32"/>
      <c r="AD29" s="32"/>
      <c r="AE29" s="32"/>
      <c r="AF29" s="142"/>
      <c r="AG29" s="101"/>
      <c r="AH29" s="143"/>
      <c r="AI29" s="101"/>
      <c r="AJ29" s="101"/>
      <c r="AK29" s="101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</row>
    <row r="30" spans="2:70" ht="19.149999999999999" customHeight="1">
      <c r="B30" s="132"/>
      <c r="C30" s="24"/>
      <c r="D30" s="133"/>
      <c r="E30" s="134"/>
      <c r="F30" s="135"/>
      <c r="G30" s="135"/>
      <c r="H30" s="136"/>
      <c r="I30" s="136"/>
      <c r="J30" s="30"/>
      <c r="K30" s="30"/>
      <c r="L30" s="30"/>
      <c r="M30" s="30"/>
      <c r="N30" s="30"/>
      <c r="O30" s="30"/>
      <c r="P30" s="137"/>
      <c r="Q30" s="138"/>
      <c r="R30" s="138"/>
      <c r="S30" s="138"/>
      <c r="T30" s="139"/>
      <c r="U30" s="140"/>
      <c r="V30" s="141"/>
      <c r="W30" s="141"/>
      <c r="X30" s="140"/>
      <c r="Y30" s="140"/>
      <c r="Z30" s="140"/>
      <c r="AA30" s="31"/>
      <c r="AB30" s="32" t="str">
        <f>IF($S30="","",IF(#REF!="Tolerance",IF((#REF!*3*T30+S30)-E30&lt;F30,"",(#REF!*3*T30+S30)-E30),IF(OR(#REF!="GD&amp;T",#REF!="MAX"),IF((#REF!*3*T30+S30)&lt;F30,"",(#REF!*3*T30+S30)),"")))</f>
        <v/>
      </c>
      <c r="AC30" s="32" t="str">
        <f>IF(S30="","",IF(#REF!="Tolerance",IF(-((#REF!*3*T30)-S30)-E30&gt;G30,"",-((#REF!*3*T30)-S30)-E30),IF(#REF!="MIN",IF(-((#REF!*3*T30)-S30)&gt;G30,"",-((#REF!*3*T30)-S30)),"")))</f>
        <v/>
      </c>
      <c r="AD30" s="32" t="str">
        <f t="shared" si="11"/>
        <v/>
      </c>
      <c r="AE30" s="32" t="str">
        <f t="shared" si="9"/>
        <v/>
      </c>
      <c r="AF30" s="142"/>
      <c r="AG30" s="101"/>
      <c r="AH30" s="143"/>
      <c r="AI30" s="101"/>
      <c r="AJ30" s="101"/>
      <c r="AK30" s="101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</row>
    <row r="31" spans="2:70" ht="19.149999999999999" customHeight="1">
      <c r="B31" s="132"/>
      <c r="C31" s="24"/>
      <c r="D31" s="133"/>
      <c r="E31" s="134"/>
      <c r="F31" s="135"/>
      <c r="G31" s="135"/>
      <c r="H31" s="136"/>
      <c r="I31" s="136"/>
      <c r="J31" s="30"/>
      <c r="K31" s="30"/>
      <c r="L31" s="30"/>
      <c r="M31" s="30"/>
      <c r="N31" s="30"/>
      <c r="O31" s="30"/>
      <c r="P31" s="137"/>
      <c r="Q31" s="138"/>
      <c r="R31" s="138"/>
      <c r="S31" s="138"/>
      <c r="T31" s="139"/>
      <c r="U31" s="140"/>
      <c r="V31" s="141"/>
      <c r="W31" s="141"/>
      <c r="X31" s="140"/>
      <c r="Y31" s="140"/>
      <c r="Z31" s="140"/>
      <c r="AA31" s="31"/>
      <c r="AB31" s="32" t="str">
        <f>IF($S31="","",IF(#REF!="Tolerance",IF((#REF!*3*T31+S31)-E31&lt;F31,"",(#REF!*3*T31+S31)-E31),IF(OR(#REF!="GD&amp;T",#REF!="MAX"),IF((#REF!*3*T31+S31)&lt;F31,"",(#REF!*3*T31+S31)),"")))</f>
        <v/>
      </c>
      <c r="AC31" s="32" t="str">
        <f>IF(S31="","",IF(#REF!="Tolerance",IF(-((#REF!*3*T31)-S31)-E31&gt;G31,"",-((#REF!*3*T31)-S31)-E31),IF(#REF!="MIN",IF(-((#REF!*3*T31)-S31)&gt;G31,"",-((#REF!*3*T31)-S31)),"")))</f>
        <v/>
      </c>
      <c r="AD31" s="32" t="str">
        <f t="shared" si="11"/>
        <v/>
      </c>
      <c r="AE31" s="32" t="str">
        <f t="shared" si="9"/>
        <v/>
      </c>
      <c r="AF31" s="142"/>
      <c r="AG31" s="101"/>
      <c r="AH31" s="143"/>
      <c r="AI31" s="101"/>
      <c r="AJ31" s="101"/>
      <c r="AK31" s="101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</row>
    <row r="32" spans="2:70" ht="19.149999999999999" customHeight="1">
      <c r="B32" s="132"/>
      <c r="C32" s="24"/>
      <c r="D32" s="133"/>
      <c r="E32" s="134"/>
      <c r="F32" s="135"/>
      <c r="G32" s="135"/>
      <c r="H32" s="136"/>
      <c r="I32" s="136"/>
      <c r="J32" s="30"/>
      <c r="K32" s="30"/>
      <c r="L32" s="30"/>
      <c r="M32" s="30"/>
      <c r="N32" s="30"/>
      <c r="O32" s="30"/>
      <c r="P32" s="137"/>
      <c r="Q32" s="138"/>
      <c r="R32" s="138"/>
      <c r="S32" s="138"/>
      <c r="T32" s="139"/>
      <c r="U32" s="140"/>
      <c r="V32" s="141"/>
      <c r="W32" s="141"/>
      <c r="X32" s="140"/>
      <c r="Y32" s="140"/>
      <c r="Z32" s="140"/>
      <c r="AA32" s="31"/>
      <c r="AB32" s="32" t="str">
        <f>IF($S32="","",IF(#REF!="Tolerance",IF((#REF!*3*T32+S32)-E32&lt;F32,"",(#REF!*3*T32+S32)-E32),IF(OR(#REF!="GD&amp;T",#REF!="MAX"),IF((#REF!*3*T32+S32)&lt;F32,"",(#REF!*3*T32+S32)),"")))</f>
        <v/>
      </c>
      <c r="AC32" s="32" t="str">
        <f>IF(S32="","",IF(#REF!="Tolerance",IF(-((#REF!*3*T32)-S32)-E32&gt;G32,"",-((#REF!*3*T32)-S32)-E32),IF(#REF!="MIN",IF(-((#REF!*3*T32)-S32)&gt;G32,"",-((#REF!*3*T32)-S32)),"")))</f>
        <v/>
      </c>
      <c r="AD32" s="32" t="str">
        <f t="shared" si="11"/>
        <v/>
      </c>
      <c r="AE32" s="32" t="str">
        <f t="shared" si="9"/>
        <v/>
      </c>
      <c r="AF32" s="142"/>
      <c r="AG32" s="101"/>
      <c r="AH32" s="143"/>
      <c r="AI32" s="101"/>
      <c r="AJ32" s="101"/>
      <c r="AK32" s="101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</row>
    <row r="33" spans="2:70" ht="19.149999999999999" customHeight="1">
      <c r="B33" s="132"/>
      <c r="C33" s="24"/>
      <c r="D33" s="133"/>
      <c r="E33" s="134"/>
      <c r="F33" s="135"/>
      <c r="G33" s="135"/>
      <c r="H33" s="136"/>
      <c r="I33" s="136"/>
      <c r="J33" s="30"/>
      <c r="K33" s="30"/>
      <c r="L33" s="30"/>
      <c r="M33" s="30"/>
      <c r="N33" s="30"/>
      <c r="O33" s="30"/>
      <c r="P33" s="137"/>
      <c r="Q33" s="138"/>
      <c r="R33" s="138"/>
      <c r="S33" s="138"/>
      <c r="T33" s="139"/>
      <c r="U33" s="140"/>
      <c r="V33" s="141"/>
      <c r="W33" s="141"/>
      <c r="X33" s="140"/>
      <c r="Y33" s="140"/>
      <c r="Z33" s="140"/>
      <c r="AA33" s="31"/>
      <c r="AB33" s="32" t="str">
        <f>IF($S33="","",IF(#REF!="Tolerance",IF((#REF!*3*T33+S33)-E33&lt;F33,"",(#REF!*3*T33+S33)-E33),IF(OR(#REF!="GD&amp;T",#REF!="MAX"),IF((#REF!*3*T33+S33)&lt;F33,"",(#REF!*3*T33+S33)),"")))</f>
        <v/>
      </c>
      <c r="AC33" s="32" t="str">
        <f>IF(S33="","",IF(#REF!="Tolerance",IF(-((#REF!*3*T33)-S33)-E33&gt;G33,"",-((#REF!*3*T33)-S33)-E33),IF(#REF!="MIN",IF(-((#REF!*3*T33)-S33)&gt;G33,"",-((#REF!*3*T33)-S33)),"")))</f>
        <v/>
      </c>
      <c r="AD33" s="32" t="str">
        <f t="shared" si="11"/>
        <v/>
      </c>
      <c r="AE33" s="32" t="str">
        <f t="shared" si="9"/>
        <v/>
      </c>
      <c r="AF33" s="142"/>
      <c r="AG33" s="101"/>
      <c r="AH33" s="143"/>
      <c r="AI33" s="101"/>
      <c r="AJ33" s="101"/>
      <c r="AK33" s="101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</row>
    <row r="34" spans="2:70" ht="19.149999999999999" customHeight="1">
      <c r="B34" s="132"/>
      <c r="C34" s="24"/>
      <c r="D34" s="133"/>
      <c r="E34" s="134"/>
      <c r="F34" s="135"/>
      <c r="G34" s="135"/>
      <c r="H34" s="136"/>
      <c r="I34" s="136"/>
      <c r="J34" s="30"/>
      <c r="K34" s="30"/>
      <c r="L34" s="30"/>
      <c r="M34" s="30"/>
      <c r="N34" s="30"/>
      <c r="O34" s="30"/>
      <c r="P34" s="137"/>
      <c r="Q34" s="138"/>
      <c r="R34" s="138"/>
      <c r="S34" s="138"/>
      <c r="T34" s="139"/>
      <c r="U34" s="140"/>
      <c r="V34" s="141"/>
      <c r="W34" s="141"/>
      <c r="X34" s="140"/>
      <c r="Y34" s="140"/>
      <c r="Z34" s="140"/>
      <c r="AA34" s="31"/>
      <c r="AB34" s="32" t="str">
        <f>IF($S34="","",IF(#REF!="Tolerance",IF((#REF!*3*T34+S34)-E34&lt;F34,"",(#REF!*3*T34+S34)-E34),IF(OR(#REF!="GD&amp;T",#REF!="MAX"),IF((#REF!*3*T34+S34)&lt;F34,"",(#REF!*3*T34+S34)),"")))</f>
        <v/>
      </c>
      <c r="AC34" s="32" t="str">
        <f>IF(S34="","",IF(#REF!="Tolerance",IF(-((#REF!*3*T34)-S34)-E34&gt;G34,"",-((#REF!*3*T34)-S34)-E34),IF(#REF!="MIN",IF(-((#REF!*3*T34)-S34)&gt;G34,"",-((#REF!*3*T34)-S34)),"")))</f>
        <v/>
      </c>
      <c r="AD34" s="32" t="str">
        <f t="shared" si="11"/>
        <v/>
      </c>
      <c r="AE34" s="32" t="str">
        <f t="shared" si="9"/>
        <v/>
      </c>
      <c r="AF34" s="142"/>
      <c r="AG34" s="101"/>
      <c r="AH34" s="143"/>
      <c r="AI34" s="101"/>
      <c r="AJ34" s="101"/>
      <c r="AK34" s="101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  <c r="BQ34" s="144"/>
      <c r="BR34" s="144"/>
    </row>
    <row r="35" spans="2:70" ht="19.149999999999999" customHeight="1">
      <c r="B35" s="132"/>
      <c r="C35" s="24"/>
      <c r="D35" s="133"/>
      <c r="E35" s="134"/>
      <c r="F35" s="135"/>
      <c r="G35" s="135"/>
      <c r="H35" s="136"/>
      <c r="I35" s="136"/>
      <c r="J35" s="30"/>
      <c r="K35" s="30"/>
      <c r="L35" s="30"/>
      <c r="M35" s="30"/>
      <c r="N35" s="30"/>
      <c r="O35" s="30"/>
      <c r="P35" s="137"/>
      <c r="Q35" s="138"/>
      <c r="R35" s="138"/>
      <c r="S35" s="138"/>
      <c r="T35" s="139"/>
      <c r="U35" s="140"/>
      <c r="V35" s="141"/>
      <c r="W35" s="141"/>
      <c r="X35" s="140"/>
      <c r="Y35" s="140"/>
      <c r="Z35" s="140"/>
      <c r="AA35" s="31"/>
      <c r="AB35" s="32" t="str">
        <f>IF($S35="","",IF(#REF!="Tolerance",IF((#REF!*3*T35+S35)-E35&lt;F35,"",(#REF!*3*T35+S35)-E35),IF(OR(#REF!="GD&amp;T",#REF!="MAX"),IF((#REF!*3*T35+S35)&lt;F35,"",(#REF!*3*T35+S35)),"")))</f>
        <v/>
      </c>
      <c r="AC35" s="32" t="str">
        <f>IF(S35="","",IF(#REF!="Tolerance",IF(-((#REF!*3*T35)-S35)-E35&gt;G35,"",-((#REF!*3*T35)-S35)-E35),IF(#REF!="MIN",IF(-((#REF!*3*T35)-S35)&gt;G35,"",-((#REF!*3*T35)-S35)),"")))</f>
        <v/>
      </c>
      <c r="AD35" s="32" t="str">
        <f t="shared" si="11"/>
        <v/>
      </c>
      <c r="AE35" s="32" t="str">
        <f t="shared" si="9"/>
        <v/>
      </c>
      <c r="AF35" s="142"/>
      <c r="AG35" s="101"/>
      <c r="AH35" s="143"/>
      <c r="AI35" s="101"/>
      <c r="AJ35" s="101"/>
      <c r="AK35" s="101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</row>
    <row r="36" spans="2:70" ht="19.149999999999999" customHeight="1">
      <c r="B36" s="132"/>
      <c r="C36" s="24"/>
      <c r="D36" s="133"/>
      <c r="E36" s="134"/>
      <c r="F36" s="135"/>
      <c r="G36" s="135"/>
      <c r="H36" s="136"/>
      <c r="I36" s="136"/>
      <c r="J36" s="30"/>
      <c r="K36" s="30"/>
      <c r="L36" s="30"/>
      <c r="M36" s="30"/>
      <c r="N36" s="30"/>
      <c r="O36" s="30"/>
      <c r="P36" s="137"/>
      <c r="Q36" s="138"/>
      <c r="R36" s="138"/>
      <c r="S36" s="138"/>
      <c r="T36" s="139"/>
      <c r="U36" s="140"/>
      <c r="V36" s="141"/>
      <c r="W36" s="141"/>
      <c r="X36" s="140"/>
      <c r="Y36" s="140"/>
      <c r="Z36" s="140"/>
      <c r="AA36" s="31"/>
      <c r="AB36" s="32" t="str">
        <f>IF($S36="","",IF(#REF!="Tolerance",IF((#REF!*3*T36+S36)-E36&lt;F36,"",(#REF!*3*T36+S36)-E36),IF(OR(#REF!="GD&amp;T",#REF!="MAX"),IF((#REF!*3*T36+S36)&lt;F36,"",(#REF!*3*T36+S36)),"")))</f>
        <v/>
      </c>
      <c r="AC36" s="32" t="str">
        <f>IF(S36="","",IF(#REF!="Tolerance",IF(-((#REF!*3*T36)-S36)-E36&gt;G36,"",-((#REF!*3*T36)-S36)-E36),IF(#REF!="MIN",IF(-((#REF!*3*T36)-S36)&gt;G36,"",-((#REF!*3*T36)-S36)),"")))</f>
        <v/>
      </c>
      <c r="AD36" s="32" t="str">
        <f t="shared" si="11"/>
        <v/>
      </c>
      <c r="AE36" s="32" t="str">
        <f t="shared" si="9"/>
        <v/>
      </c>
      <c r="AF36" s="142"/>
      <c r="AG36" s="101"/>
      <c r="AH36" s="143"/>
      <c r="AI36" s="101"/>
      <c r="AJ36" s="101"/>
      <c r="AK36" s="101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</row>
    <row r="37" spans="2:70" ht="19.149999999999999" customHeight="1">
      <c r="B37" s="132"/>
      <c r="C37" s="24"/>
      <c r="D37" s="133"/>
      <c r="E37" s="134"/>
      <c r="F37" s="135"/>
      <c r="G37" s="135"/>
      <c r="H37" s="136"/>
      <c r="I37" s="136"/>
      <c r="J37" s="30"/>
      <c r="K37" s="30"/>
      <c r="L37" s="30"/>
      <c r="M37" s="30"/>
      <c r="N37" s="30"/>
      <c r="O37" s="30"/>
      <c r="P37" s="137"/>
      <c r="Q37" s="138"/>
      <c r="R37" s="138"/>
      <c r="S37" s="138"/>
      <c r="T37" s="139"/>
      <c r="U37" s="140"/>
      <c r="V37" s="141"/>
      <c r="W37" s="141"/>
      <c r="X37" s="140"/>
      <c r="Y37" s="140"/>
      <c r="Z37" s="140"/>
      <c r="AA37" s="31"/>
      <c r="AB37" s="32" t="str">
        <f>IF($S37="","",IF(#REF!="Tolerance",IF((#REF!*3*T37+S37)-E37&lt;F37,"",(#REF!*3*T37+S37)-E37),IF(OR(#REF!="GD&amp;T",#REF!="MAX"),IF((#REF!*3*T37+S37)&lt;F37,"",(#REF!*3*T37+S37)),"")))</f>
        <v/>
      </c>
      <c r="AC37" s="32" t="str">
        <f>IF(S37="","",IF(#REF!="Tolerance",IF(-((#REF!*3*T37)-S37)-E37&gt;G37,"",-((#REF!*3*T37)-S37)-E37),IF(#REF!="MIN",IF(-((#REF!*3*T37)-S37)&gt;G37,"",-((#REF!*3*T37)-S37)),"")))</f>
        <v/>
      </c>
      <c r="AD37" s="32" t="str">
        <f t="shared" si="11"/>
        <v/>
      </c>
      <c r="AE37" s="32" t="str">
        <f t="shared" si="9"/>
        <v/>
      </c>
      <c r="AF37" s="142"/>
      <c r="AG37" s="101"/>
      <c r="AH37" s="143"/>
      <c r="AI37" s="101"/>
      <c r="AJ37" s="101"/>
      <c r="AK37" s="101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</row>
    <row r="38" spans="2:70" ht="19.149999999999999" customHeight="1">
      <c r="B38" s="132"/>
      <c r="C38" s="24"/>
      <c r="D38" s="133"/>
      <c r="E38" s="134"/>
      <c r="F38" s="135"/>
      <c r="G38" s="135"/>
      <c r="H38" s="136"/>
      <c r="I38" s="136"/>
      <c r="J38" s="30"/>
      <c r="K38" s="30"/>
      <c r="L38" s="30"/>
      <c r="M38" s="30"/>
      <c r="N38" s="30"/>
      <c r="O38" s="30"/>
      <c r="P38" s="137"/>
      <c r="Q38" s="138"/>
      <c r="R38" s="138"/>
      <c r="S38" s="138"/>
      <c r="T38" s="139"/>
      <c r="U38" s="140"/>
      <c r="V38" s="141"/>
      <c r="W38" s="141"/>
      <c r="X38" s="140"/>
      <c r="Y38" s="140"/>
      <c r="Z38" s="140"/>
      <c r="AA38" s="31"/>
      <c r="AB38" s="32" t="str">
        <f>IF($S38="","",IF(#REF!="Tolerance",IF((#REF!*3*T38+S38)-E38&lt;F38,"",(#REF!*3*T38+S38)-E38),IF(OR(#REF!="GD&amp;T",#REF!="MAX"),IF((#REF!*3*T38+S38)&lt;F38,"",(#REF!*3*T38+S38)),"")))</f>
        <v/>
      </c>
      <c r="AC38" s="32" t="str">
        <f>IF(S38="","",IF(#REF!="Tolerance",IF(-((#REF!*3*T38)-S38)-E38&gt;G38,"",-((#REF!*3*T38)-S38)-E38),IF(#REF!="MIN",IF(-((#REF!*3*T38)-S38)&gt;G38,"",-((#REF!*3*T38)-S38)),"")))</f>
        <v/>
      </c>
      <c r="AD38" s="32" t="str">
        <f t="shared" si="11"/>
        <v/>
      </c>
      <c r="AE38" s="32" t="str">
        <f t="shared" si="9"/>
        <v/>
      </c>
      <c r="AF38" s="142"/>
      <c r="AG38" s="101"/>
      <c r="AH38" s="143"/>
      <c r="AI38" s="101"/>
      <c r="AJ38" s="101"/>
      <c r="AK38" s="101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</row>
    <row r="39" spans="2:70" ht="19.149999999999999" customHeight="1">
      <c r="B39" s="132"/>
      <c r="C39" s="24"/>
      <c r="D39" s="133"/>
      <c r="E39" s="134"/>
      <c r="F39" s="135"/>
      <c r="G39" s="135"/>
      <c r="H39" s="136"/>
      <c r="I39" s="136"/>
      <c r="J39" s="30"/>
      <c r="K39" s="30"/>
      <c r="L39" s="30"/>
      <c r="M39" s="30"/>
      <c r="N39" s="30"/>
      <c r="O39" s="30"/>
      <c r="P39" s="137"/>
      <c r="Q39" s="138"/>
      <c r="R39" s="138"/>
      <c r="S39" s="138"/>
      <c r="T39" s="139"/>
      <c r="U39" s="140"/>
      <c r="V39" s="141"/>
      <c r="W39" s="141"/>
      <c r="X39" s="140"/>
      <c r="Y39" s="140"/>
      <c r="Z39" s="140"/>
      <c r="AA39" s="31"/>
      <c r="AB39" s="32" t="str">
        <f>IF($S39="","",IF(#REF!="Tolerance",IF((#REF!*3*T39+S39)-E39&lt;F39,"",(#REF!*3*T39+S39)-E39),IF(OR(#REF!="GD&amp;T",#REF!="MAX"),IF((#REF!*3*T39+S39)&lt;F39,"",(#REF!*3*T39+S39)),"")))</f>
        <v/>
      </c>
      <c r="AC39" s="32" t="str">
        <f>IF(S39="","",IF(#REF!="Tolerance",IF(-((#REF!*3*T39)-S39)-E39&gt;G39,"",-((#REF!*3*T39)-S39)-E39),IF(#REF!="MIN",IF(-((#REF!*3*T39)-S39)&gt;G39,"",-((#REF!*3*T39)-S39)),"")))</f>
        <v/>
      </c>
      <c r="AD39" s="32" t="str">
        <f t="shared" si="11"/>
        <v/>
      </c>
      <c r="AE39" s="32" t="str">
        <f t="shared" si="9"/>
        <v/>
      </c>
      <c r="AF39" s="142"/>
      <c r="AG39" s="101"/>
      <c r="AH39" s="143"/>
      <c r="AI39" s="101"/>
      <c r="AJ39" s="101"/>
      <c r="AK39" s="101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</row>
    <row r="40" spans="2:70" ht="19.149999999999999" customHeight="1">
      <c r="B40" s="132"/>
      <c r="C40" s="24"/>
      <c r="D40" s="133"/>
      <c r="E40" s="134"/>
      <c r="F40" s="135"/>
      <c r="G40" s="135"/>
      <c r="H40" s="136"/>
      <c r="I40" s="136"/>
      <c r="J40" s="30"/>
      <c r="K40" s="30"/>
      <c r="L40" s="30"/>
      <c r="M40" s="30"/>
      <c r="N40" s="30"/>
      <c r="O40" s="30"/>
      <c r="P40" s="137"/>
      <c r="Q40" s="138"/>
      <c r="R40" s="138"/>
      <c r="S40" s="138"/>
      <c r="T40" s="139"/>
      <c r="U40" s="140"/>
      <c r="V40" s="141"/>
      <c r="W40" s="141"/>
      <c r="X40" s="140"/>
      <c r="Y40" s="140"/>
      <c r="Z40" s="140"/>
      <c r="AA40" s="31"/>
      <c r="AB40" s="32" t="str">
        <f>IF($S40="","",IF(#REF!="Tolerance",IF((#REF!*3*T40+S40)-E40&lt;F40,"",(#REF!*3*T40+S40)-E40),IF(OR(#REF!="GD&amp;T",#REF!="MAX"),IF((#REF!*3*T40+S40)&lt;F40,"",(#REF!*3*T40+S40)),"")))</f>
        <v/>
      </c>
      <c r="AC40" s="32" t="str">
        <f>IF(S40="","",IF(#REF!="Tolerance",IF(-((#REF!*3*T40)-S40)-E40&gt;G40,"",-((#REF!*3*T40)-S40)-E40),IF(#REF!="MIN",IF(-((#REF!*3*T40)-S40)&gt;G40,"",-((#REF!*3*T40)-S40)),"")))</f>
        <v/>
      </c>
      <c r="AD40" s="32" t="str">
        <f t="shared" si="11"/>
        <v/>
      </c>
      <c r="AE40" s="32" t="str">
        <f t="shared" si="9"/>
        <v/>
      </c>
      <c r="AF40" s="142"/>
      <c r="AG40" s="101"/>
      <c r="AH40" s="143"/>
      <c r="AI40" s="101"/>
      <c r="AJ40" s="101"/>
      <c r="AK40" s="101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144"/>
    </row>
    <row r="41" spans="2:70" ht="19.149999999999999" customHeight="1">
      <c r="B41" s="132"/>
      <c r="C41" s="24"/>
      <c r="D41" s="133"/>
      <c r="E41" s="134"/>
      <c r="F41" s="135"/>
      <c r="G41" s="135"/>
      <c r="H41" s="136"/>
      <c r="I41" s="136"/>
      <c r="J41" s="30"/>
      <c r="K41" s="30"/>
      <c r="L41" s="30"/>
      <c r="M41" s="30"/>
      <c r="N41" s="30"/>
      <c r="O41" s="30"/>
      <c r="P41" s="137"/>
      <c r="Q41" s="138"/>
      <c r="R41" s="138"/>
      <c r="S41" s="138"/>
      <c r="T41" s="139"/>
      <c r="U41" s="140"/>
      <c r="V41" s="141"/>
      <c r="W41" s="141"/>
      <c r="X41" s="140"/>
      <c r="Y41" s="140"/>
      <c r="Z41" s="140"/>
      <c r="AA41" s="31"/>
      <c r="AB41" s="32" t="str">
        <f>IF($S41="","",IF(#REF!="Tolerance",IF((#REF!*3*T41+S41)-E41&lt;F41,"",(#REF!*3*T41+S41)-E41),IF(OR(#REF!="GD&amp;T",#REF!="MAX"),IF((#REF!*3*T41+S41)&lt;F41,"",(#REF!*3*T41+S41)),"")))</f>
        <v/>
      </c>
      <c r="AC41" s="32" t="str">
        <f>IF(S41="","",IF(#REF!="Tolerance",IF(-((#REF!*3*T41)-S41)-E41&gt;G41,"",-((#REF!*3*T41)-S41)-E41),IF(#REF!="MIN",IF(-((#REF!*3*T41)-S41)&gt;G41,"",-((#REF!*3*T41)-S41)),"")))</f>
        <v/>
      </c>
      <c r="AD41" s="32" t="str">
        <f t="shared" si="11"/>
        <v/>
      </c>
      <c r="AE41" s="32" t="str">
        <f t="shared" si="9"/>
        <v/>
      </c>
      <c r="AF41" s="142"/>
      <c r="AG41" s="101"/>
      <c r="AH41" s="143"/>
      <c r="AI41" s="101"/>
      <c r="AJ41" s="101"/>
      <c r="AK41" s="101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</row>
    <row r="42" spans="2:70" ht="19.149999999999999" customHeight="1">
      <c r="B42" s="132"/>
      <c r="C42" s="24"/>
      <c r="D42" s="133"/>
      <c r="E42" s="134"/>
      <c r="F42" s="135"/>
      <c r="G42" s="135"/>
      <c r="H42" s="136"/>
      <c r="I42" s="136"/>
      <c r="J42" s="30"/>
      <c r="K42" s="30"/>
      <c r="L42" s="30"/>
      <c r="M42" s="30"/>
      <c r="N42" s="30"/>
      <c r="O42" s="30"/>
      <c r="P42" s="137"/>
      <c r="Q42" s="138"/>
      <c r="R42" s="138"/>
      <c r="S42" s="138"/>
      <c r="T42" s="139"/>
      <c r="U42" s="140"/>
      <c r="V42" s="141"/>
      <c r="W42" s="141"/>
      <c r="X42" s="140"/>
      <c r="Y42" s="140"/>
      <c r="Z42" s="140"/>
      <c r="AA42" s="31"/>
      <c r="AB42" s="32" t="str">
        <f>IF($S42="","",IF(#REF!="Tolerance",IF((#REF!*3*T42+S42)-E42&lt;F42,"",(#REF!*3*T42+S42)-E42),IF(OR(#REF!="GD&amp;T",#REF!="MAX"),IF((#REF!*3*T42+S42)&lt;F42,"",(#REF!*3*T42+S42)),"")))</f>
        <v/>
      </c>
      <c r="AC42" s="32" t="str">
        <f>IF(S42="","",IF(#REF!="Tolerance",IF(-((#REF!*3*T42)-S42)-E42&gt;G42,"",-((#REF!*3*T42)-S42)-E42),IF(#REF!="MIN",IF(-((#REF!*3*T42)-S42)&gt;G42,"",-((#REF!*3*T42)-S42)),"")))</f>
        <v/>
      </c>
      <c r="AD42" s="32" t="str">
        <f t="shared" si="11"/>
        <v/>
      </c>
      <c r="AE42" s="32" t="str">
        <f t="shared" si="9"/>
        <v/>
      </c>
      <c r="AF42" s="142"/>
      <c r="AG42" s="101"/>
      <c r="AH42" s="143"/>
      <c r="AI42" s="101"/>
      <c r="AJ42" s="101"/>
      <c r="AK42" s="101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</row>
    <row r="43" spans="2:70" ht="19.149999999999999" customHeight="1">
      <c r="B43" s="132"/>
      <c r="C43" s="24"/>
      <c r="D43" s="133"/>
      <c r="E43" s="134"/>
      <c r="F43" s="135"/>
      <c r="G43" s="135"/>
      <c r="H43" s="136"/>
      <c r="I43" s="136"/>
      <c r="J43" s="30"/>
      <c r="K43" s="30"/>
      <c r="L43" s="30"/>
      <c r="M43" s="30"/>
      <c r="N43" s="30"/>
      <c r="O43" s="30"/>
      <c r="P43" s="137"/>
      <c r="Q43" s="138"/>
      <c r="R43" s="138"/>
      <c r="S43" s="138"/>
      <c r="T43" s="139"/>
      <c r="U43" s="140"/>
      <c r="V43" s="141"/>
      <c r="W43" s="141"/>
      <c r="X43" s="140"/>
      <c r="Y43" s="140"/>
      <c r="Z43" s="140"/>
      <c r="AA43" s="31"/>
      <c r="AB43" s="32" t="str">
        <f>IF($S43="","",IF(#REF!="Tolerance",IF((#REF!*3*T43+S43)-E43&lt;F43,"",(#REF!*3*T43+S43)-E43),IF(OR(#REF!="GD&amp;T",#REF!="MAX"),IF((#REF!*3*T43+S43)&lt;F43,"",(#REF!*3*T43+S43)),"")))</f>
        <v/>
      </c>
      <c r="AC43" s="32" t="str">
        <f>IF(S43="","",IF(#REF!="Tolerance",IF(-((#REF!*3*T43)-S43)-E43&gt;G43,"",-((#REF!*3*T43)-S43)-E43),IF(#REF!="MIN",IF(-((#REF!*3*T43)-S43)&gt;G43,"",-((#REF!*3*T43)-S43)),"")))</f>
        <v/>
      </c>
      <c r="AD43" s="32" t="str">
        <f t="shared" si="11"/>
        <v/>
      </c>
      <c r="AE43" s="32" t="str">
        <f t="shared" si="9"/>
        <v/>
      </c>
      <c r="AF43" s="142"/>
      <c r="AG43" s="101"/>
      <c r="AH43" s="143"/>
      <c r="AI43" s="101"/>
      <c r="AJ43" s="101"/>
      <c r="AK43" s="101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4"/>
      <c r="BL43" s="144"/>
      <c r="BM43" s="144"/>
      <c r="BN43" s="144"/>
      <c r="BO43" s="144"/>
      <c r="BP43" s="144"/>
      <c r="BQ43" s="144"/>
      <c r="BR43" s="144"/>
    </row>
    <row r="44" spans="2:70" ht="19.149999999999999" customHeight="1">
      <c r="B44" s="132"/>
      <c r="C44" s="24"/>
      <c r="D44" s="133"/>
      <c r="E44" s="134"/>
      <c r="F44" s="135"/>
      <c r="G44" s="135"/>
      <c r="H44" s="136"/>
      <c r="I44" s="136"/>
      <c r="J44" s="30"/>
      <c r="K44" s="30"/>
      <c r="L44" s="30"/>
      <c r="M44" s="30"/>
      <c r="N44" s="30"/>
      <c r="O44" s="30"/>
      <c r="P44" s="137"/>
      <c r="Q44" s="138"/>
      <c r="R44" s="138"/>
      <c r="S44" s="138"/>
      <c r="T44" s="139"/>
      <c r="U44" s="140"/>
      <c r="V44" s="141"/>
      <c r="W44" s="141"/>
      <c r="X44" s="140"/>
      <c r="Y44" s="140"/>
      <c r="Z44" s="140"/>
      <c r="AA44" s="31"/>
      <c r="AB44" s="32" t="str">
        <f>IF($S44="","",IF(#REF!="Tolerance",IF((#REF!*3*T44+S44)-E44&lt;F44,"",(#REF!*3*T44+S44)-E44),IF(OR(#REF!="GD&amp;T",#REF!="MAX"),IF((#REF!*3*T44+S44)&lt;F44,"",(#REF!*3*T44+S44)),"")))</f>
        <v/>
      </c>
      <c r="AC44" s="32" t="str">
        <f>IF(S44="","",IF(#REF!="Tolerance",IF(-((#REF!*3*T44)-S44)-E44&gt;G44,"",-((#REF!*3*T44)-S44)-E44),IF(#REF!="MIN",IF(-((#REF!*3*T44)-S44)&gt;G44,"",-((#REF!*3*T44)-S44)),"")))</f>
        <v/>
      </c>
      <c r="AD44" s="32" t="str">
        <f t="shared" si="11"/>
        <v/>
      </c>
      <c r="AE44" s="32" t="str">
        <f t="shared" si="9"/>
        <v/>
      </c>
      <c r="AF44" s="142"/>
      <c r="AG44" s="101"/>
      <c r="AH44" s="143"/>
      <c r="AI44" s="101"/>
      <c r="AJ44" s="101"/>
      <c r="AK44" s="101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4"/>
      <c r="BK44" s="144"/>
      <c r="BL44" s="144"/>
      <c r="BM44" s="144"/>
      <c r="BN44" s="144"/>
      <c r="BO44" s="144"/>
      <c r="BP44" s="144"/>
      <c r="BQ44" s="144"/>
      <c r="BR44" s="144"/>
    </row>
    <row r="45" spans="2:70" ht="19.149999999999999" customHeight="1">
      <c r="B45" s="132"/>
      <c r="C45" s="24"/>
      <c r="D45" s="133"/>
      <c r="E45" s="134"/>
      <c r="F45" s="135"/>
      <c r="G45" s="135"/>
      <c r="H45" s="136"/>
      <c r="I45" s="136"/>
      <c r="J45" s="30"/>
      <c r="K45" s="30"/>
      <c r="L45" s="30"/>
      <c r="M45" s="30"/>
      <c r="N45" s="30"/>
      <c r="O45" s="30"/>
      <c r="P45" s="137"/>
      <c r="Q45" s="138"/>
      <c r="R45" s="138"/>
      <c r="S45" s="138"/>
      <c r="T45" s="139"/>
      <c r="U45" s="140"/>
      <c r="V45" s="141"/>
      <c r="W45" s="141"/>
      <c r="X45" s="140"/>
      <c r="Y45" s="140"/>
      <c r="Z45" s="140"/>
      <c r="AA45" s="31"/>
      <c r="AB45" s="32" t="str">
        <f>IF($S45="","",IF(#REF!="Tolerance",IF((#REF!*3*T45+S45)-E45&lt;F45,"",(#REF!*3*T45+S45)-E45),IF(OR(#REF!="GD&amp;T",#REF!="MAX"),IF((#REF!*3*T45+S45)&lt;F45,"",(#REF!*3*T45+S45)),"")))</f>
        <v/>
      </c>
      <c r="AC45" s="32" t="str">
        <f>IF(S45="","",IF(#REF!="Tolerance",IF(-((#REF!*3*T45)-S45)-E45&gt;G45,"",-((#REF!*3*T45)-S45)-E45),IF(#REF!="MIN",IF(-((#REF!*3*T45)-S45)&gt;G45,"",-((#REF!*3*T45)-S45)),"")))</f>
        <v/>
      </c>
      <c r="AD45" s="32" t="str">
        <f t="shared" si="11"/>
        <v/>
      </c>
      <c r="AE45" s="32" t="str">
        <f t="shared" si="9"/>
        <v/>
      </c>
      <c r="AF45" s="142"/>
      <c r="AG45" s="101"/>
      <c r="AH45" s="143"/>
      <c r="AI45" s="101"/>
      <c r="AJ45" s="101"/>
      <c r="AK45" s="101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4"/>
      <c r="BK45" s="144"/>
      <c r="BL45" s="144"/>
      <c r="BM45" s="144"/>
      <c r="BN45" s="144"/>
      <c r="BO45" s="144"/>
      <c r="BP45" s="144"/>
      <c r="BQ45" s="144"/>
      <c r="BR45" s="144"/>
    </row>
    <row r="46" spans="2:70" ht="19.149999999999999" customHeight="1">
      <c r="B46" s="132"/>
      <c r="C46" s="24"/>
      <c r="D46" s="133"/>
      <c r="E46" s="134"/>
      <c r="F46" s="135"/>
      <c r="G46" s="135"/>
      <c r="H46" s="136"/>
      <c r="I46" s="136"/>
      <c r="J46" s="30"/>
      <c r="K46" s="30"/>
      <c r="L46" s="30"/>
      <c r="M46" s="30"/>
      <c r="N46" s="30"/>
      <c r="O46" s="30"/>
      <c r="P46" s="137"/>
      <c r="Q46" s="138"/>
      <c r="R46" s="138"/>
      <c r="S46" s="138"/>
      <c r="T46" s="139"/>
      <c r="U46" s="140"/>
      <c r="V46" s="141"/>
      <c r="W46" s="141"/>
      <c r="X46" s="140"/>
      <c r="Y46" s="140"/>
      <c r="Z46" s="140"/>
      <c r="AA46" s="31"/>
      <c r="AB46" s="32" t="str">
        <f>IF($S46="","",IF(#REF!="Tolerance",IF((#REF!*3*T46+S46)-E46&lt;F46,"",(#REF!*3*T46+S46)-E46),IF(OR(#REF!="GD&amp;T",#REF!="MAX"),IF((#REF!*3*T46+S46)&lt;F46,"",(#REF!*3*T46+S46)),"")))</f>
        <v/>
      </c>
      <c r="AC46" s="32" t="str">
        <f>IF(S46="","",IF(#REF!="Tolerance",IF(-((#REF!*3*T46)-S46)-E46&gt;G46,"",-((#REF!*3*T46)-S46)-E46),IF(#REF!="MIN",IF(-((#REF!*3*T46)-S46)&gt;G46,"",-((#REF!*3*T46)-S46)),"")))</f>
        <v/>
      </c>
      <c r="AD46" s="32" t="str">
        <f t="shared" si="11"/>
        <v/>
      </c>
      <c r="AE46" s="32" t="str">
        <f t="shared" si="9"/>
        <v/>
      </c>
      <c r="AF46" s="142"/>
      <c r="AG46" s="101"/>
      <c r="AH46" s="143"/>
      <c r="AI46" s="101"/>
      <c r="AJ46" s="101"/>
      <c r="AK46" s="101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4"/>
      <c r="BK46" s="144"/>
      <c r="BL46" s="144"/>
      <c r="BM46" s="144"/>
      <c r="BN46" s="144"/>
      <c r="BO46" s="144"/>
      <c r="BP46" s="144"/>
      <c r="BQ46" s="144"/>
      <c r="BR46" s="144"/>
    </row>
    <row r="47" spans="2:70" ht="19.149999999999999" customHeight="1">
      <c r="B47" s="132"/>
      <c r="C47" s="24"/>
      <c r="D47" s="133"/>
      <c r="E47" s="134"/>
      <c r="F47" s="135"/>
      <c r="G47" s="135"/>
      <c r="H47" s="136"/>
      <c r="I47" s="136"/>
      <c r="J47" s="30"/>
      <c r="K47" s="30"/>
      <c r="L47" s="30"/>
      <c r="M47" s="30"/>
      <c r="N47" s="30"/>
      <c r="O47" s="30"/>
      <c r="P47" s="137"/>
      <c r="Q47" s="138"/>
      <c r="R47" s="138"/>
      <c r="S47" s="138"/>
      <c r="T47" s="139"/>
      <c r="U47" s="140"/>
      <c r="V47" s="141"/>
      <c r="W47" s="141"/>
      <c r="X47" s="140"/>
      <c r="Y47" s="140"/>
      <c r="Z47" s="140"/>
      <c r="AA47" s="31"/>
      <c r="AB47" s="32" t="str">
        <f>IF($S47="","",IF(#REF!="Tolerance",IF((#REF!*3*T47+S47)-E47&lt;F47,"",(#REF!*3*T47+S47)-E47),IF(OR(#REF!="GD&amp;T",#REF!="MAX"),IF((#REF!*3*T47+S47)&lt;F47,"",(#REF!*3*T47+S47)),"")))</f>
        <v/>
      </c>
      <c r="AC47" s="32" t="str">
        <f>IF(S47="","",IF(#REF!="Tolerance",IF(-((#REF!*3*T47)-S47)-E47&gt;G47,"",-((#REF!*3*T47)-S47)-E47),IF(#REF!="MIN",IF(-((#REF!*3*T47)-S47)&gt;G47,"",-((#REF!*3*T47)-S47)),"")))</f>
        <v/>
      </c>
      <c r="AD47" s="32" t="str">
        <f t="shared" si="11"/>
        <v/>
      </c>
      <c r="AE47" s="32" t="str">
        <f t="shared" si="9"/>
        <v/>
      </c>
      <c r="AF47" s="142"/>
      <c r="AG47" s="101"/>
      <c r="AH47" s="143"/>
      <c r="AI47" s="101"/>
      <c r="AJ47" s="101"/>
      <c r="AK47" s="101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4"/>
      <c r="BC47" s="144"/>
      <c r="BD47" s="144"/>
      <c r="BE47" s="144"/>
      <c r="BF47" s="144"/>
      <c r="BG47" s="144"/>
      <c r="BH47" s="144"/>
      <c r="BI47" s="144"/>
      <c r="BJ47" s="144"/>
      <c r="BK47" s="144"/>
      <c r="BL47" s="144"/>
      <c r="BM47" s="144"/>
      <c r="BN47" s="144"/>
      <c r="BO47" s="144"/>
      <c r="BP47" s="144"/>
      <c r="BQ47" s="144"/>
      <c r="BR47" s="144"/>
    </row>
    <row r="48" spans="2:70" ht="19.149999999999999" customHeight="1">
      <c r="B48" s="132"/>
      <c r="C48" s="24"/>
      <c r="D48" s="133"/>
      <c r="E48" s="134"/>
      <c r="F48" s="135"/>
      <c r="G48" s="135"/>
      <c r="H48" s="136"/>
      <c r="I48" s="136"/>
      <c r="J48" s="30"/>
      <c r="K48" s="30"/>
      <c r="L48" s="30"/>
      <c r="M48" s="30"/>
      <c r="N48" s="30"/>
      <c r="O48" s="30"/>
      <c r="P48" s="137"/>
      <c r="Q48" s="138"/>
      <c r="R48" s="138"/>
      <c r="S48" s="138"/>
      <c r="T48" s="139"/>
      <c r="U48" s="140"/>
      <c r="V48" s="141"/>
      <c r="W48" s="141"/>
      <c r="X48" s="140"/>
      <c r="Y48" s="140"/>
      <c r="Z48" s="140"/>
      <c r="AA48" s="31"/>
      <c r="AB48" s="32" t="str">
        <f>IF($S48="","",IF(#REF!="Tolerance",IF((#REF!*3*T48+S48)-E48&lt;F48,"",(#REF!*3*T48+S48)-E48),IF(OR(#REF!="GD&amp;T",#REF!="MAX"),IF((#REF!*3*T48+S48)&lt;F48,"",(#REF!*3*T48+S48)),"")))</f>
        <v/>
      </c>
      <c r="AC48" s="32" t="str">
        <f>IF(S48="","",IF(#REF!="Tolerance",IF(-((#REF!*3*T48)-S48)-E48&gt;G48,"",-((#REF!*3*T48)-S48)-E48),IF(#REF!="MIN",IF(-((#REF!*3*T48)-S48)&gt;G48,"",-((#REF!*3*T48)-S48)),"")))</f>
        <v/>
      </c>
      <c r="AD48" s="32" t="str">
        <f t="shared" si="11"/>
        <v/>
      </c>
      <c r="AE48" s="32" t="str">
        <f t="shared" si="9"/>
        <v/>
      </c>
      <c r="AF48" s="142"/>
      <c r="AG48" s="101"/>
      <c r="AH48" s="143"/>
      <c r="AI48" s="101"/>
      <c r="AJ48" s="101"/>
      <c r="AK48" s="101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</row>
    <row r="49" spans="2:70" ht="19.149999999999999" customHeight="1">
      <c r="B49" s="132"/>
      <c r="C49" s="24"/>
      <c r="D49" s="133"/>
      <c r="E49" s="134"/>
      <c r="F49" s="135"/>
      <c r="G49" s="135"/>
      <c r="H49" s="136"/>
      <c r="I49" s="136"/>
      <c r="J49" s="30"/>
      <c r="K49" s="30"/>
      <c r="L49" s="30"/>
      <c r="M49" s="30"/>
      <c r="N49" s="30"/>
      <c r="O49" s="30"/>
      <c r="P49" s="137"/>
      <c r="Q49" s="138"/>
      <c r="R49" s="138"/>
      <c r="S49" s="138"/>
      <c r="T49" s="139"/>
      <c r="U49" s="140"/>
      <c r="V49" s="141"/>
      <c r="W49" s="141"/>
      <c r="X49" s="140"/>
      <c r="Y49" s="140"/>
      <c r="Z49" s="140"/>
      <c r="AA49" s="31"/>
      <c r="AB49" s="32" t="str">
        <f>IF($S49="","",IF(#REF!="Tolerance",IF((#REF!*3*T49+S49)-E49&lt;F49,"",(#REF!*3*T49+S49)-E49),IF(OR(#REF!="GD&amp;T",#REF!="MAX"),IF((#REF!*3*T49+S49)&lt;F49,"",(#REF!*3*T49+S49)),"")))</f>
        <v/>
      </c>
      <c r="AC49" s="32" t="str">
        <f>IF(S49="","",IF(#REF!="Tolerance",IF(-((#REF!*3*T49)-S49)-E49&gt;G49,"",-((#REF!*3*T49)-S49)-E49),IF(#REF!="MIN",IF(-((#REF!*3*T49)-S49)&gt;G49,"",-((#REF!*3*T49)-S49)),"")))</f>
        <v/>
      </c>
      <c r="AD49" s="32" t="str">
        <f t="shared" si="11"/>
        <v/>
      </c>
      <c r="AE49" s="32" t="str">
        <f t="shared" si="9"/>
        <v/>
      </c>
      <c r="AF49" s="142"/>
      <c r="AG49" s="101"/>
      <c r="AH49" s="143"/>
      <c r="AI49" s="101"/>
      <c r="AJ49" s="101"/>
      <c r="AK49" s="101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44"/>
      <c r="BK49" s="144"/>
      <c r="BL49" s="144"/>
      <c r="BM49" s="144"/>
      <c r="BN49" s="144"/>
      <c r="BO49" s="144"/>
      <c r="BP49" s="144"/>
      <c r="BQ49" s="144"/>
      <c r="BR49" s="144"/>
    </row>
    <row r="50" spans="2:70" ht="19.149999999999999" customHeight="1">
      <c r="B50" s="132"/>
      <c r="C50" s="24"/>
      <c r="D50" s="133"/>
      <c r="E50" s="134"/>
      <c r="F50" s="135"/>
      <c r="G50" s="135"/>
      <c r="H50" s="136"/>
      <c r="I50" s="136"/>
      <c r="J50" s="30"/>
      <c r="K50" s="30"/>
      <c r="L50" s="30"/>
      <c r="M50" s="30"/>
      <c r="N50" s="30"/>
      <c r="O50" s="30"/>
      <c r="P50" s="137"/>
      <c r="Q50" s="138"/>
      <c r="R50" s="138"/>
      <c r="S50" s="138"/>
      <c r="T50" s="139"/>
      <c r="U50" s="140"/>
      <c r="V50" s="141"/>
      <c r="W50" s="141"/>
      <c r="X50" s="140"/>
      <c r="Y50" s="140"/>
      <c r="Z50" s="140"/>
      <c r="AA50" s="31"/>
      <c r="AB50" s="32" t="str">
        <f>IF($S50="","",IF(#REF!="Tolerance",IF((#REF!*3*T50+S50)-E50&lt;F50,"",(#REF!*3*T50+S50)-E50),IF(OR(#REF!="GD&amp;T",#REF!="MAX"),IF((#REF!*3*T50+S50)&lt;F50,"",(#REF!*3*T50+S50)),"")))</f>
        <v/>
      </c>
      <c r="AC50" s="32" t="str">
        <f>IF(S50="","",IF(#REF!="Tolerance",IF(-((#REF!*3*T50)-S50)-E50&gt;G50,"",-((#REF!*3*T50)-S50)-E50),IF(#REF!="MIN",IF(-((#REF!*3*T50)-S50)&gt;G50,"",-((#REF!*3*T50)-S50)),"")))</f>
        <v/>
      </c>
      <c r="AD50" s="32" t="str">
        <f t="shared" si="11"/>
        <v/>
      </c>
      <c r="AE50" s="32" t="str">
        <f t="shared" si="9"/>
        <v/>
      </c>
      <c r="AF50" s="142"/>
      <c r="AG50" s="101"/>
      <c r="AH50" s="143"/>
      <c r="AI50" s="101"/>
      <c r="AJ50" s="101"/>
      <c r="AK50" s="101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</row>
    <row r="51" spans="2:70" ht="19.149999999999999" customHeight="1">
      <c r="B51" s="132"/>
      <c r="C51" s="24"/>
      <c r="D51" s="133"/>
      <c r="E51" s="134"/>
      <c r="F51" s="135"/>
      <c r="G51" s="135"/>
      <c r="H51" s="136"/>
      <c r="I51" s="136"/>
      <c r="J51" s="30"/>
      <c r="K51" s="30"/>
      <c r="L51" s="30"/>
      <c r="M51" s="30"/>
      <c r="N51" s="30"/>
      <c r="O51" s="30"/>
      <c r="P51" s="137"/>
      <c r="Q51" s="138"/>
      <c r="R51" s="138"/>
      <c r="S51" s="138"/>
      <c r="T51" s="139"/>
      <c r="U51" s="140"/>
      <c r="V51" s="141"/>
      <c r="W51" s="141"/>
      <c r="X51" s="140"/>
      <c r="Y51" s="140"/>
      <c r="Z51" s="140"/>
      <c r="AA51" s="31"/>
      <c r="AB51" s="32" t="str">
        <f>IF($S51="","",IF(#REF!="Tolerance",IF((#REF!*3*T51+S51)-E51&lt;F51,"",(#REF!*3*T51+S51)-E51),IF(OR(#REF!="GD&amp;T",#REF!="MAX"),IF((#REF!*3*T51+S51)&lt;F51,"",(#REF!*3*T51+S51)),"")))</f>
        <v/>
      </c>
      <c r="AC51" s="32" t="str">
        <f>IF(S51="","",IF(#REF!="Tolerance",IF(-((#REF!*3*T51)-S51)-E51&gt;G51,"",-((#REF!*3*T51)-S51)-E51),IF(#REF!="MIN",IF(-((#REF!*3*T51)-S51)&gt;G51,"",-((#REF!*3*T51)-S51)),"")))</f>
        <v/>
      </c>
      <c r="AD51" s="32" t="str">
        <f t="shared" si="11"/>
        <v/>
      </c>
      <c r="AE51" s="32" t="str">
        <f t="shared" si="9"/>
        <v/>
      </c>
      <c r="AF51" s="142"/>
      <c r="AG51" s="101"/>
      <c r="AH51" s="143"/>
      <c r="AI51" s="101"/>
      <c r="AJ51" s="101"/>
      <c r="AK51" s="101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4"/>
      <c r="BN51" s="144"/>
      <c r="BO51" s="144"/>
      <c r="BP51" s="144"/>
      <c r="BQ51" s="144"/>
      <c r="BR51" s="144"/>
    </row>
    <row r="52" spans="2:70" ht="19.149999999999999" customHeight="1">
      <c r="B52" s="132"/>
      <c r="C52" s="24"/>
      <c r="D52" s="133"/>
      <c r="E52" s="134"/>
      <c r="F52" s="135"/>
      <c r="G52" s="135"/>
      <c r="H52" s="136"/>
      <c r="I52" s="136"/>
      <c r="J52" s="30"/>
      <c r="K52" s="30"/>
      <c r="L52" s="30"/>
      <c r="M52" s="30"/>
      <c r="N52" s="30"/>
      <c r="O52" s="30"/>
      <c r="P52" s="137"/>
      <c r="Q52" s="138"/>
      <c r="R52" s="138"/>
      <c r="S52" s="138"/>
      <c r="T52" s="139"/>
      <c r="U52" s="140"/>
      <c r="V52" s="141"/>
      <c r="W52" s="141"/>
      <c r="X52" s="140"/>
      <c r="Y52" s="140"/>
      <c r="Z52" s="140"/>
      <c r="AA52" s="31"/>
      <c r="AB52" s="32" t="str">
        <f>IF($S52="","",IF(#REF!="Tolerance",IF((#REF!*3*T52+S52)-E52&lt;F52,"",(#REF!*3*T52+S52)-E52),IF(OR(#REF!="GD&amp;T",#REF!="MAX"),IF((#REF!*3*T52+S52)&lt;F52,"",(#REF!*3*T52+S52)),"")))</f>
        <v/>
      </c>
      <c r="AC52" s="32" t="str">
        <f>IF(S52="","",IF(#REF!="Tolerance",IF(-((#REF!*3*T52)-S52)-E52&gt;G52,"",-((#REF!*3*T52)-S52)-E52),IF(#REF!="MIN",IF(-((#REF!*3*T52)-S52)&gt;G52,"",-((#REF!*3*T52)-S52)),"")))</f>
        <v/>
      </c>
      <c r="AD52" s="32" t="str">
        <f t="shared" si="11"/>
        <v/>
      </c>
      <c r="AE52" s="32" t="str">
        <f t="shared" si="9"/>
        <v/>
      </c>
      <c r="AF52" s="142"/>
      <c r="AG52" s="101"/>
      <c r="AH52" s="143"/>
      <c r="AI52" s="101"/>
      <c r="AJ52" s="101"/>
      <c r="AK52" s="101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4"/>
      <c r="BK52" s="144"/>
      <c r="BL52" s="144"/>
      <c r="BM52" s="144"/>
      <c r="BN52" s="144"/>
      <c r="BO52" s="144"/>
      <c r="BP52" s="144"/>
      <c r="BQ52" s="144"/>
      <c r="BR52" s="144"/>
    </row>
    <row r="53" spans="2:70" ht="19.149999999999999" customHeight="1">
      <c r="B53" s="132"/>
      <c r="C53" s="24"/>
      <c r="D53" s="133"/>
      <c r="E53" s="134"/>
      <c r="F53" s="135"/>
      <c r="G53" s="135"/>
      <c r="H53" s="136"/>
      <c r="I53" s="136"/>
      <c r="J53" s="30"/>
      <c r="K53" s="30"/>
      <c r="L53" s="30"/>
      <c r="M53" s="30"/>
      <c r="N53" s="30"/>
      <c r="O53" s="30"/>
      <c r="P53" s="137"/>
      <c r="Q53" s="138"/>
      <c r="R53" s="138"/>
      <c r="S53" s="138"/>
      <c r="T53" s="139"/>
      <c r="U53" s="140"/>
      <c r="V53" s="141"/>
      <c r="W53" s="141"/>
      <c r="X53" s="140"/>
      <c r="Y53" s="140"/>
      <c r="Z53" s="140"/>
      <c r="AA53" s="31"/>
      <c r="AB53" s="32" t="str">
        <f>IF($S53="","",IF(#REF!="Tolerance",IF((#REF!*3*T53+S53)-E53&lt;F53,"",(#REF!*3*T53+S53)-E53),IF(OR(#REF!="GD&amp;T",#REF!="MAX"),IF((#REF!*3*T53+S53)&lt;F53,"",(#REF!*3*T53+S53)),"")))</f>
        <v/>
      </c>
      <c r="AC53" s="32" t="str">
        <f>IF(S53="","",IF(#REF!="Tolerance",IF(-((#REF!*3*T53)-S53)-E53&gt;G53,"",-((#REF!*3*T53)-S53)-E53),IF(#REF!="MIN",IF(-((#REF!*3*T53)-S53)&gt;G53,"",-((#REF!*3*T53)-S53)),"")))</f>
        <v/>
      </c>
      <c r="AD53" s="32" t="str">
        <f t="shared" si="11"/>
        <v/>
      </c>
      <c r="AE53" s="32" t="str">
        <f t="shared" si="9"/>
        <v/>
      </c>
      <c r="AF53" s="142"/>
      <c r="AG53" s="101"/>
      <c r="AH53" s="143"/>
      <c r="AI53" s="101"/>
      <c r="AJ53" s="101"/>
      <c r="AK53" s="101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4"/>
      <c r="BM53" s="144"/>
      <c r="BN53" s="144"/>
      <c r="BO53" s="144"/>
      <c r="BP53" s="144"/>
      <c r="BQ53" s="144"/>
      <c r="BR53" s="144"/>
    </row>
    <row r="54" spans="2:70" ht="19.149999999999999" customHeight="1">
      <c r="B54" s="132"/>
      <c r="C54" s="24"/>
      <c r="D54" s="133"/>
      <c r="E54" s="134"/>
      <c r="F54" s="135"/>
      <c r="G54" s="135"/>
      <c r="H54" s="136"/>
      <c r="I54" s="136"/>
      <c r="J54" s="30"/>
      <c r="K54" s="30"/>
      <c r="L54" s="30"/>
      <c r="M54" s="30"/>
      <c r="N54" s="30"/>
      <c r="O54" s="30"/>
      <c r="P54" s="137"/>
      <c r="Q54" s="138"/>
      <c r="R54" s="138"/>
      <c r="S54" s="138"/>
      <c r="T54" s="139"/>
      <c r="U54" s="140"/>
      <c r="V54" s="141"/>
      <c r="W54" s="141"/>
      <c r="X54" s="140"/>
      <c r="Y54" s="140"/>
      <c r="Z54" s="140"/>
      <c r="AA54" s="31"/>
      <c r="AB54" s="32" t="str">
        <f>IF($S54="","",IF(#REF!="Tolerance",IF((#REF!*3*T54+S54)-E54&lt;F54,"",(#REF!*3*T54+S54)-E54),IF(OR(#REF!="GD&amp;T",#REF!="MAX"),IF((#REF!*3*T54+S54)&lt;F54,"",(#REF!*3*T54+S54)),"")))</f>
        <v/>
      </c>
      <c r="AC54" s="32" t="str">
        <f>IF(S54="","",IF(#REF!="Tolerance",IF(-((#REF!*3*T54)-S54)-E54&gt;G54,"",-((#REF!*3*T54)-S54)-E54),IF(#REF!="MIN",IF(-((#REF!*3*T54)-S54)&gt;G54,"",-((#REF!*3*T54)-S54)),"")))</f>
        <v/>
      </c>
      <c r="AD54" s="32" t="str">
        <f t="shared" si="11"/>
        <v/>
      </c>
      <c r="AE54" s="32" t="str">
        <f t="shared" si="9"/>
        <v/>
      </c>
      <c r="AF54" s="142"/>
      <c r="AG54" s="101"/>
      <c r="AH54" s="143"/>
      <c r="AI54" s="101"/>
      <c r="AJ54" s="101"/>
      <c r="AK54" s="101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4"/>
      <c r="BM54" s="144"/>
      <c r="BN54" s="144"/>
      <c r="BO54" s="144"/>
      <c r="BP54" s="144"/>
      <c r="BQ54" s="144"/>
      <c r="BR54" s="144"/>
    </row>
    <row r="55" spans="2:70" ht="19.149999999999999" customHeight="1">
      <c r="B55" s="132"/>
      <c r="C55" s="24"/>
      <c r="D55" s="133"/>
      <c r="E55" s="134"/>
      <c r="F55" s="135"/>
      <c r="G55" s="135"/>
      <c r="H55" s="136"/>
      <c r="I55" s="136"/>
      <c r="J55" s="30"/>
      <c r="K55" s="30"/>
      <c r="L55" s="30"/>
      <c r="M55" s="30"/>
      <c r="N55" s="30"/>
      <c r="O55" s="30"/>
      <c r="P55" s="137"/>
      <c r="Q55" s="138"/>
      <c r="R55" s="138"/>
      <c r="S55" s="138"/>
      <c r="T55" s="139"/>
      <c r="U55" s="140"/>
      <c r="V55" s="141"/>
      <c r="W55" s="141"/>
      <c r="X55" s="140"/>
      <c r="Y55" s="140"/>
      <c r="Z55" s="140"/>
      <c r="AA55" s="31"/>
      <c r="AB55" s="32" t="str">
        <f>IF($S55="","",IF(#REF!="Tolerance",IF((#REF!*3*T55+S55)-E55&lt;F55,"",(#REF!*3*T55+S55)-E55),IF(OR(#REF!="GD&amp;T",#REF!="MAX"),IF((#REF!*3*T55+S55)&lt;F55,"",(#REF!*3*T55+S55)),"")))</f>
        <v/>
      </c>
      <c r="AC55" s="32" t="str">
        <f>IF(S55="","",IF(#REF!="Tolerance",IF(-((#REF!*3*T55)-S55)-E55&gt;G55,"",-((#REF!*3*T55)-S55)-E55),IF(#REF!="MIN",IF(-((#REF!*3*T55)-S55)&gt;G55,"",-((#REF!*3*T55)-S55)),"")))</f>
        <v/>
      </c>
      <c r="AD55" s="32" t="str">
        <f t="shared" si="11"/>
        <v/>
      </c>
      <c r="AE55" s="32" t="str">
        <f t="shared" si="9"/>
        <v/>
      </c>
      <c r="AF55" s="142"/>
      <c r="AG55" s="101"/>
      <c r="AH55" s="143"/>
      <c r="AI55" s="101"/>
      <c r="AJ55" s="101"/>
      <c r="AK55" s="101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44"/>
      <c r="BP55" s="144"/>
      <c r="BQ55" s="144"/>
      <c r="BR55" s="144"/>
    </row>
    <row r="56" spans="2:70" ht="19.149999999999999" customHeight="1">
      <c r="B56" s="132"/>
      <c r="C56" s="24"/>
      <c r="D56" s="133"/>
      <c r="E56" s="134"/>
      <c r="F56" s="135"/>
      <c r="G56" s="135"/>
      <c r="H56" s="136"/>
      <c r="I56" s="136"/>
      <c r="J56" s="30"/>
      <c r="K56" s="30"/>
      <c r="L56" s="30"/>
      <c r="M56" s="30"/>
      <c r="N56" s="30"/>
      <c r="O56" s="30"/>
      <c r="P56" s="137"/>
      <c r="Q56" s="138"/>
      <c r="R56" s="138"/>
      <c r="S56" s="138"/>
      <c r="T56" s="139"/>
      <c r="U56" s="140"/>
      <c r="V56" s="141"/>
      <c r="W56" s="141"/>
      <c r="X56" s="140"/>
      <c r="Y56" s="140"/>
      <c r="Z56" s="140"/>
      <c r="AA56" s="31"/>
      <c r="AB56" s="32" t="str">
        <f>IF($S56="","",IF(#REF!="Tolerance",IF((#REF!*3*T56+S56)-E56&lt;F56,"",(#REF!*3*T56+S56)-E56),IF(OR(#REF!="GD&amp;T",#REF!="MAX"),IF((#REF!*3*T56+S56)&lt;F56,"",(#REF!*3*T56+S56)),"")))</f>
        <v/>
      </c>
      <c r="AC56" s="32" t="str">
        <f>IF(S56="","",IF(#REF!="Tolerance",IF(-((#REF!*3*T56)-S56)-E56&gt;G56,"",-((#REF!*3*T56)-S56)-E56),IF(#REF!="MIN",IF(-((#REF!*3*T56)-S56)&gt;G56,"",-((#REF!*3*T56)-S56)),"")))</f>
        <v/>
      </c>
      <c r="AD56" s="32" t="str">
        <f t="shared" si="11"/>
        <v/>
      </c>
      <c r="AE56" s="32" t="str">
        <f t="shared" si="9"/>
        <v/>
      </c>
      <c r="AF56" s="142"/>
      <c r="AG56" s="101"/>
      <c r="AH56" s="143"/>
      <c r="AI56" s="101"/>
      <c r="AJ56" s="101"/>
      <c r="AK56" s="101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4"/>
      <c r="BM56" s="144"/>
      <c r="BN56" s="144"/>
      <c r="BO56" s="144"/>
      <c r="BP56" s="144"/>
      <c r="BQ56" s="144"/>
      <c r="BR56" s="144"/>
    </row>
    <row r="57" spans="2:70" ht="19.149999999999999" customHeight="1">
      <c r="B57" s="132"/>
      <c r="C57" s="24"/>
      <c r="D57" s="133"/>
      <c r="E57" s="134"/>
      <c r="F57" s="135"/>
      <c r="G57" s="135"/>
      <c r="H57" s="136"/>
      <c r="I57" s="136"/>
      <c r="J57" s="30"/>
      <c r="K57" s="30"/>
      <c r="L57" s="30"/>
      <c r="M57" s="30"/>
      <c r="N57" s="30"/>
      <c r="O57" s="30"/>
      <c r="P57" s="137"/>
      <c r="Q57" s="138"/>
      <c r="R57" s="138"/>
      <c r="S57" s="138"/>
      <c r="T57" s="139"/>
      <c r="U57" s="140"/>
      <c r="V57" s="141"/>
      <c r="W57" s="141"/>
      <c r="X57" s="140"/>
      <c r="Y57" s="140"/>
      <c r="Z57" s="140"/>
      <c r="AA57" s="31"/>
      <c r="AB57" s="32" t="str">
        <f>IF($S57="","",IF(#REF!="Tolerance",IF((#REF!*3*T57+S57)-E57&lt;F57,"",(#REF!*3*T57+S57)-E57),IF(OR(#REF!="GD&amp;T",#REF!="MAX"),IF((#REF!*3*T57+S57)&lt;F57,"",(#REF!*3*T57+S57)),"")))</f>
        <v/>
      </c>
      <c r="AC57" s="32" t="str">
        <f>IF(S57="","",IF(#REF!="Tolerance",IF(-((#REF!*3*T57)-S57)-E57&gt;G57,"",-((#REF!*3*T57)-S57)-E57),IF(#REF!="MIN",IF(-((#REF!*3*T57)-S57)&gt;G57,"",-((#REF!*3*T57)-S57)),"")))</f>
        <v/>
      </c>
      <c r="AD57" s="32" t="str">
        <f t="shared" si="11"/>
        <v/>
      </c>
      <c r="AE57" s="32" t="str">
        <f t="shared" si="9"/>
        <v/>
      </c>
      <c r="AF57" s="142"/>
      <c r="AG57" s="101"/>
      <c r="AH57" s="143"/>
      <c r="AI57" s="101"/>
      <c r="AJ57" s="101"/>
      <c r="AK57" s="101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144"/>
      <c r="BN57" s="144"/>
      <c r="BO57" s="144"/>
      <c r="BP57" s="144"/>
      <c r="BQ57" s="144"/>
      <c r="BR57" s="144"/>
    </row>
    <row r="58" spans="2:70" ht="19.149999999999999" customHeight="1">
      <c r="B58" s="132"/>
      <c r="C58" s="24"/>
      <c r="D58" s="133"/>
      <c r="E58" s="134"/>
      <c r="F58" s="135"/>
      <c r="G58" s="135"/>
      <c r="H58" s="136"/>
      <c r="I58" s="136"/>
      <c r="J58" s="30"/>
      <c r="K58" s="30"/>
      <c r="L58" s="30"/>
      <c r="M58" s="30"/>
      <c r="N58" s="30"/>
      <c r="O58" s="30"/>
      <c r="P58" s="137"/>
      <c r="Q58" s="138"/>
      <c r="R58" s="138"/>
      <c r="S58" s="138"/>
      <c r="T58" s="139"/>
      <c r="U58" s="140"/>
      <c r="V58" s="141"/>
      <c r="W58" s="141"/>
      <c r="X58" s="140"/>
      <c r="Y58" s="140"/>
      <c r="Z58" s="140"/>
      <c r="AA58" s="31"/>
      <c r="AB58" s="32" t="str">
        <f>IF($S58="","",IF(#REF!="Tolerance",IF((#REF!*3*T58+S58)-E58&lt;F58,"",(#REF!*3*T58+S58)-E58),IF(OR(#REF!="GD&amp;T",#REF!="MAX"),IF((#REF!*3*T58+S58)&lt;F58,"",(#REF!*3*T58+S58)),"")))</f>
        <v/>
      </c>
      <c r="AC58" s="32" t="str">
        <f>IF(S58="","",IF(#REF!="Tolerance",IF(-((#REF!*3*T58)-S58)-E58&gt;G58,"",-((#REF!*3*T58)-S58)-E58),IF(#REF!="MIN",IF(-((#REF!*3*T58)-S58)&gt;G58,"",-((#REF!*3*T58)-S58)),"")))</f>
        <v/>
      </c>
      <c r="AD58" s="32" t="str">
        <f t="shared" si="11"/>
        <v/>
      </c>
      <c r="AE58" s="32" t="str">
        <f t="shared" si="9"/>
        <v/>
      </c>
      <c r="AF58" s="142"/>
      <c r="AG58" s="101"/>
      <c r="AH58" s="143"/>
      <c r="AI58" s="101"/>
      <c r="AJ58" s="101"/>
      <c r="AK58" s="101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  <c r="BM58" s="144"/>
      <c r="BN58" s="144"/>
      <c r="BO58" s="144"/>
      <c r="BP58" s="144"/>
      <c r="BQ58" s="144"/>
      <c r="BR58" s="144"/>
    </row>
    <row r="59" spans="2:70" ht="19.149999999999999" customHeight="1">
      <c r="B59" s="132"/>
      <c r="C59" s="24"/>
      <c r="D59" s="133"/>
      <c r="E59" s="134"/>
      <c r="F59" s="135"/>
      <c r="G59" s="135"/>
      <c r="H59" s="136"/>
      <c r="I59" s="136"/>
      <c r="J59" s="30"/>
      <c r="K59" s="30"/>
      <c r="L59" s="30"/>
      <c r="M59" s="30"/>
      <c r="N59" s="30"/>
      <c r="O59" s="30"/>
      <c r="P59" s="137"/>
      <c r="Q59" s="138"/>
      <c r="R59" s="138"/>
      <c r="S59" s="138"/>
      <c r="T59" s="139"/>
      <c r="U59" s="140"/>
      <c r="V59" s="141"/>
      <c r="W59" s="141"/>
      <c r="X59" s="140"/>
      <c r="Y59" s="140"/>
      <c r="Z59" s="140"/>
      <c r="AA59" s="31"/>
      <c r="AB59" s="32" t="str">
        <f>IF($S59="","",IF(#REF!="Tolerance",IF((#REF!*3*T59+S59)-E59&lt;F59,"",(#REF!*3*T59+S59)-E59),IF(OR(#REF!="GD&amp;T",#REF!="MAX"),IF((#REF!*3*T59+S59)&lt;F59,"",(#REF!*3*T59+S59)),"")))</f>
        <v/>
      </c>
      <c r="AC59" s="32" t="str">
        <f>IF(S59="","",IF(#REF!="Tolerance",IF(-((#REF!*3*T59)-S59)-E59&gt;G59,"",-((#REF!*3*T59)-S59)-E59),IF(#REF!="MIN",IF(-((#REF!*3*T59)-S59)&gt;G59,"",-((#REF!*3*T59)-S59)),"")))</f>
        <v/>
      </c>
      <c r="AD59" s="32" t="str">
        <f t="shared" si="11"/>
        <v/>
      </c>
      <c r="AE59" s="32" t="str">
        <f t="shared" si="9"/>
        <v/>
      </c>
      <c r="AF59" s="142"/>
      <c r="AG59" s="101"/>
      <c r="AH59" s="143"/>
      <c r="AI59" s="101"/>
      <c r="AJ59" s="101"/>
      <c r="AK59" s="101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E59" s="144"/>
      <c r="BF59" s="144"/>
      <c r="BG59" s="144"/>
      <c r="BH59" s="144"/>
      <c r="BI59" s="144"/>
      <c r="BJ59" s="144"/>
      <c r="BK59" s="144"/>
      <c r="BL59" s="144"/>
      <c r="BM59" s="144"/>
      <c r="BN59" s="144"/>
      <c r="BO59" s="144"/>
      <c r="BP59" s="144"/>
      <c r="BQ59" s="144"/>
      <c r="BR59" s="144"/>
    </row>
    <row r="60" spans="2:70" ht="19.149999999999999" customHeight="1">
      <c r="B60" s="132"/>
      <c r="C60" s="24"/>
      <c r="D60" s="133"/>
      <c r="E60" s="134"/>
      <c r="F60" s="135"/>
      <c r="G60" s="135"/>
      <c r="H60" s="136"/>
      <c r="I60" s="136"/>
      <c r="J60" s="30"/>
      <c r="K60" s="30"/>
      <c r="L60" s="30"/>
      <c r="M60" s="30"/>
      <c r="N60" s="30"/>
      <c r="O60" s="30"/>
      <c r="P60" s="137"/>
      <c r="Q60" s="138"/>
      <c r="R60" s="138"/>
      <c r="S60" s="138"/>
      <c r="T60" s="139"/>
      <c r="U60" s="140"/>
      <c r="V60" s="141"/>
      <c r="W60" s="141"/>
      <c r="X60" s="140"/>
      <c r="Y60" s="140"/>
      <c r="Z60" s="140"/>
      <c r="AA60" s="31"/>
      <c r="AB60" s="32" t="str">
        <f>IF($S60="","",IF(#REF!="Tolerance",IF((#REF!*3*T60+S60)-E60&lt;F60,"",(#REF!*3*T60+S60)-E60),IF(OR(#REF!="GD&amp;T",#REF!="MAX"),IF((#REF!*3*T60+S60)&lt;F60,"",(#REF!*3*T60+S60)),"")))</f>
        <v/>
      </c>
      <c r="AC60" s="32" t="str">
        <f>IF(S60="","",IF(#REF!="Tolerance",IF(-((#REF!*3*T60)-S60)-E60&gt;G60,"",-((#REF!*3*T60)-S60)-E60),IF(#REF!="MIN",IF(-((#REF!*3*T60)-S60)&gt;G60,"",-((#REF!*3*T60)-S60)),"")))</f>
        <v/>
      </c>
      <c r="AD60" s="32" t="str">
        <f t="shared" si="11"/>
        <v/>
      </c>
      <c r="AE60" s="32" t="str">
        <f t="shared" si="9"/>
        <v/>
      </c>
      <c r="AF60" s="142"/>
      <c r="AG60" s="101"/>
      <c r="AH60" s="143"/>
      <c r="AI60" s="101"/>
      <c r="AJ60" s="101"/>
      <c r="AK60" s="101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  <c r="BM60" s="144"/>
      <c r="BN60" s="144"/>
      <c r="BO60" s="144"/>
      <c r="BP60" s="144"/>
      <c r="BQ60" s="144"/>
      <c r="BR60" s="144"/>
    </row>
    <row r="61" spans="2:70" ht="19.149999999999999" customHeight="1">
      <c r="B61" s="132"/>
      <c r="C61" s="24"/>
      <c r="D61" s="133"/>
      <c r="E61" s="134"/>
      <c r="F61" s="135"/>
      <c r="G61" s="135"/>
      <c r="H61" s="136"/>
      <c r="I61" s="136"/>
      <c r="J61" s="30"/>
      <c r="K61" s="30"/>
      <c r="L61" s="30"/>
      <c r="M61" s="30"/>
      <c r="N61" s="30"/>
      <c r="O61" s="30"/>
      <c r="P61" s="137"/>
      <c r="Q61" s="138"/>
      <c r="R61" s="138"/>
      <c r="S61" s="138"/>
      <c r="T61" s="139"/>
      <c r="U61" s="140"/>
      <c r="V61" s="141"/>
      <c r="W61" s="141"/>
      <c r="X61" s="140"/>
      <c r="Y61" s="140"/>
      <c r="Z61" s="140"/>
      <c r="AA61" s="31"/>
      <c r="AB61" s="32" t="str">
        <f>IF($S61="","",IF(#REF!="Tolerance",IF((#REF!*3*T61+S61)-E61&lt;F61,"",(#REF!*3*T61+S61)-E61),IF(OR(#REF!="GD&amp;T",#REF!="MAX"),IF((#REF!*3*T61+S61)&lt;F61,"",(#REF!*3*T61+S61)),"")))</f>
        <v/>
      </c>
      <c r="AC61" s="32" t="str">
        <f>IF(S61="","",IF(#REF!="Tolerance",IF(-((#REF!*3*T61)-S61)-E61&gt;G61,"",-((#REF!*3*T61)-S61)-E61),IF(#REF!="MIN",IF(-((#REF!*3*T61)-S61)&gt;G61,"",-((#REF!*3*T61)-S61)),"")))</f>
        <v/>
      </c>
      <c r="AD61" s="32" t="str">
        <f t="shared" si="11"/>
        <v/>
      </c>
      <c r="AE61" s="32" t="str">
        <f t="shared" si="9"/>
        <v/>
      </c>
      <c r="AF61" s="142"/>
      <c r="AG61" s="101"/>
      <c r="AH61" s="143"/>
      <c r="AI61" s="101"/>
      <c r="AJ61" s="101"/>
      <c r="AK61" s="101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4"/>
      <c r="BM61" s="144"/>
      <c r="BN61" s="144"/>
      <c r="BO61" s="144"/>
      <c r="BP61" s="144"/>
      <c r="BQ61" s="144"/>
      <c r="BR61" s="144"/>
    </row>
    <row r="62" spans="2:70" ht="19.149999999999999" customHeight="1">
      <c r="B62" s="132"/>
      <c r="C62" s="24"/>
      <c r="D62" s="133"/>
      <c r="E62" s="134"/>
      <c r="F62" s="135"/>
      <c r="G62" s="135"/>
      <c r="H62" s="136"/>
      <c r="I62" s="136"/>
      <c r="J62" s="30"/>
      <c r="K62" s="30"/>
      <c r="L62" s="30"/>
      <c r="M62" s="30"/>
      <c r="N62" s="30"/>
      <c r="O62" s="30"/>
      <c r="P62" s="137"/>
      <c r="Q62" s="138"/>
      <c r="R62" s="138"/>
      <c r="S62" s="138"/>
      <c r="T62" s="139"/>
      <c r="U62" s="140"/>
      <c r="V62" s="141"/>
      <c r="W62" s="141"/>
      <c r="X62" s="140"/>
      <c r="Y62" s="140"/>
      <c r="Z62" s="140"/>
      <c r="AA62" s="31"/>
      <c r="AB62" s="32" t="str">
        <f>IF($S62="","",IF(#REF!="Tolerance",IF((#REF!*3*T62+S62)-E62&lt;F62,"",(#REF!*3*T62+S62)-E62),IF(OR(#REF!="GD&amp;T",#REF!="MAX"),IF((#REF!*3*T62+S62)&lt;F62,"",(#REF!*3*T62+S62)),"")))</f>
        <v/>
      </c>
      <c r="AC62" s="32" t="str">
        <f>IF(S62="","",IF(#REF!="Tolerance",IF(-((#REF!*3*T62)-S62)-E62&gt;G62,"",-((#REF!*3*T62)-S62)-E62),IF(#REF!="MIN",IF(-((#REF!*3*T62)-S62)&gt;G62,"",-((#REF!*3*T62)-S62)),"")))</f>
        <v/>
      </c>
      <c r="AD62" s="32" t="str">
        <f t="shared" si="11"/>
        <v/>
      </c>
      <c r="AE62" s="32" t="str">
        <f t="shared" si="9"/>
        <v/>
      </c>
      <c r="AF62" s="142"/>
      <c r="AG62" s="101"/>
      <c r="AH62" s="143"/>
      <c r="AI62" s="101"/>
      <c r="AJ62" s="101"/>
      <c r="AK62" s="101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  <c r="BO62" s="144"/>
      <c r="BP62" s="144"/>
      <c r="BQ62" s="144"/>
      <c r="BR62" s="144"/>
    </row>
    <row r="63" spans="2:70" ht="19.149999999999999" customHeight="1">
      <c r="B63" s="132"/>
      <c r="C63" s="24"/>
      <c r="D63" s="133"/>
      <c r="E63" s="134"/>
      <c r="F63" s="135"/>
      <c r="G63" s="135"/>
      <c r="H63" s="136"/>
      <c r="I63" s="136"/>
      <c r="J63" s="30"/>
      <c r="K63" s="30"/>
      <c r="L63" s="30"/>
      <c r="M63" s="30"/>
      <c r="N63" s="30"/>
      <c r="O63" s="30"/>
      <c r="P63" s="137"/>
      <c r="Q63" s="138"/>
      <c r="R63" s="138"/>
      <c r="S63" s="138"/>
      <c r="T63" s="139"/>
      <c r="U63" s="140"/>
      <c r="V63" s="141"/>
      <c r="W63" s="141"/>
      <c r="X63" s="140"/>
      <c r="Y63" s="140"/>
      <c r="Z63" s="140"/>
      <c r="AA63" s="31"/>
      <c r="AB63" s="32" t="str">
        <f>IF($S63="","",IF(#REF!="Tolerance",IF((#REF!*3*T63+S63)-E63&lt;F63,"",(#REF!*3*T63+S63)-E63),IF(OR(#REF!="GD&amp;T",#REF!="MAX"),IF((#REF!*3*T63+S63)&lt;F63,"",(#REF!*3*T63+S63)),"")))</f>
        <v/>
      </c>
      <c r="AC63" s="32" t="str">
        <f>IF(S63="","",IF(#REF!="Tolerance",IF(-((#REF!*3*T63)-S63)-E63&gt;G63,"",-((#REF!*3*T63)-S63)-E63),IF(#REF!="MIN",IF(-((#REF!*3*T63)-S63)&gt;G63,"",-((#REF!*3*T63)-S63)),"")))</f>
        <v/>
      </c>
      <c r="AD63" s="32" t="str">
        <f t="shared" si="11"/>
        <v/>
      </c>
      <c r="AE63" s="32" t="str">
        <f t="shared" si="9"/>
        <v/>
      </c>
      <c r="AF63" s="142"/>
      <c r="AG63" s="101"/>
      <c r="AH63" s="143"/>
      <c r="AI63" s="101"/>
      <c r="AJ63" s="101"/>
      <c r="AK63" s="101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144"/>
      <c r="BN63" s="144"/>
      <c r="BO63" s="144"/>
      <c r="BP63" s="144"/>
      <c r="BQ63" s="144"/>
      <c r="BR63" s="144"/>
    </row>
    <row r="64" spans="2:70" ht="19.149999999999999" customHeight="1">
      <c r="B64" s="132"/>
      <c r="C64" s="24"/>
      <c r="D64" s="133"/>
      <c r="E64" s="134"/>
      <c r="F64" s="135"/>
      <c r="G64" s="135"/>
      <c r="H64" s="136"/>
      <c r="I64" s="136"/>
      <c r="J64" s="30"/>
      <c r="K64" s="30"/>
      <c r="L64" s="30"/>
      <c r="M64" s="30"/>
      <c r="N64" s="30"/>
      <c r="O64" s="30"/>
      <c r="P64" s="137"/>
      <c r="Q64" s="138"/>
      <c r="R64" s="138"/>
      <c r="S64" s="138"/>
      <c r="T64" s="139"/>
      <c r="U64" s="140"/>
      <c r="V64" s="141"/>
      <c r="W64" s="141"/>
      <c r="X64" s="140"/>
      <c r="Y64" s="140"/>
      <c r="Z64" s="140"/>
      <c r="AA64" s="31"/>
      <c r="AB64" s="32" t="str">
        <f>IF($S64="","",IF(#REF!="Tolerance",IF((#REF!*3*T64+S64)-E64&lt;F64,"",(#REF!*3*T64+S64)-E64),IF(OR(#REF!="GD&amp;T",#REF!="MAX"),IF((#REF!*3*T64+S64)&lt;F64,"",(#REF!*3*T64+S64)),"")))</f>
        <v/>
      </c>
      <c r="AC64" s="32" t="str">
        <f>IF(S64="","",IF(#REF!="Tolerance",IF(-((#REF!*3*T64)-S64)-E64&gt;G64,"",-((#REF!*3*T64)-S64)-E64),IF(#REF!="MIN",IF(-((#REF!*3*T64)-S64)&gt;G64,"",-((#REF!*3*T64)-S64)),"")))</f>
        <v/>
      </c>
      <c r="AD64" s="32" t="str">
        <f t="shared" si="11"/>
        <v/>
      </c>
      <c r="AE64" s="32" t="str">
        <f t="shared" si="9"/>
        <v/>
      </c>
      <c r="AF64" s="142"/>
      <c r="AG64" s="101"/>
      <c r="AH64" s="143"/>
      <c r="AI64" s="101"/>
      <c r="AJ64" s="101"/>
      <c r="AK64" s="101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</row>
    <row r="65" spans="2:70" ht="19.149999999999999" customHeight="1">
      <c r="B65" s="132"/>
      <c r="C65" s="24"/>
      <c r="D65" s="133"/>
      <c r="E65" s="134"/>
      <c r="F65" s="135"/>
      <c r="G65" s="135"/>
      <c r="H65" s="136"/>
      <c r="I65" s="136"/>
      <c r="J65" s="30"/>
      <c r="K65" s="30"/>
      <c r="L65" s="30"/>
      <c r="M65" s="30"/>
      <c r="N65" s="30"/>
      <c r="O65" s="30"/>
      <c r="P65" s="137"/>
      <c r="Q65" s="138"/>
      <c r="R65" s="138"/>
      <c r="S65" s="138"/>
      <c r="T65" s="139"/>
      <c r="U65" s="140"/>
      <c r="V65" s="141"/>
      <c r="W65" s="141"/>
      <c r="X65" s="140"/>
      <c r="Y65" s="140"/>
      <c r="Z65" s="140"/>
      <c r="AA65" s="31"/>
      <c r="AB65" s="32" t="str">
        <f>IF($S65="","",IF(#REF!="Tolerance",IF((#REF!*3*T65+S65)-E65&lt;F65,"",(#REF!*3*T65+S65)-E65),IF(OR(#REF!="GD&amp;T",#REF!="MAX"),IF((#REF!*3*T65+S65)&lt;F65,"",(#REF!*3*T65+S65)),"")))</f>
        <v/>
      </c>
      <c r="AC65" s="32" t="str">
        <f>IF(S65="","",IF(#REF!="Tolerance",IF(-((#REF!*3*T65)-S65)-E65&gt;G65,"",-((#REF!*3*T65)-S65)-E65),IF(#REF!="MIN",IF(-((#REF!*3*T65)-S65)&gt;G65,"",-((#REF!*3*T65)-S65)),"")))</f>
        <v/>
      </c>
      <c r="AD65" s="32" t="str">
        <f t="shared" si="11"/>
        <v/>
      </c>
      <c r="AE65" s="32" t="str">
        <f t="shared" si="9"/>
        <v/>
      </c>
      <c r="AF65" s="142"/>
      <c r="AG65" s="101"/>
      <c r="AH65" s="143"/>
      <c r="AI65" s="101"/>
      <c r="AJ65" s="101"/>
      <c r="AK65" s="101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144"/>
      <c r="BN65" s="144"/>
      <c r="BO65" s="144"/>
      <c r="BP65" s="144"/>
      <c r="BQ65" s="144"/>
      <c r="BR65" s="144"/>
    </row>
    <row r="66" spans="2:70" ht="19.149999999999999" customHeight="1">
      <c r="B66" s="132"/>
      <c r="C66" s="24"/>
      <c r="D66" s="133"/>
      <c r="E66" s="134"/>
      <c r="F66" s="135"/>
      <c r="G66" s="135"/>
      <c r="H66" s="136"/>
      <c r="I66" s="136"/>
      <c r="J66" s="30"/>
      <c r="K66" s="30"/>
      <c r="L66" s="30"/>
      <c r="M66" s="30"/>
      <c r="N66" s="30"/>
      <c r="O66" s="30"/>
      <c r="P66" s="137"/>
      <c r="Q66" s="138"/>
      <c r="R66" s="138"/>
      <c r="S66" s="138"/>
      <c r="T66" s="139"/>
      <c r="U66" s="140"/>
      <c r="V66" s="141"/>
      <c r="W66" s="141"/>
      <c r="X66" s="140"/>
      <c r="Y66" s="140"/>
      <c r="Z66" s="140"/>
      <c r="AA66" s="31"/>
      <c r="AB66" s="32" t="str">
        <f>IF($S66="","",IF(#REF!="Tolerance",IF((#REF!*3*T66+S66)-E66&lt;F66,"",(#REF!*3*T66+S66)-E66),IF(OR(#REF!="GD&amp;T",#REF!="MAX"),IF((#REF!*3*T66+S66)&lt;F66,"",(#REF!*3*T66+S66)),"")))</f>
        <v/>
      </c>
      <c r="AC66" s="32" t="str">
        <f>IF(S66="","",IF(#REF!="Tolerance",IF(-((#REF!*3*T66)-S66)-E66&gt;G66,"",-((#REF!*3*T66)-S66)-E66),IF(#REF!="MIN",IF(-((#REF!*3*T66)-S66)&gt;G66,"",-((#REF!*3*T66)-S66)),"")))</f>
        <v/>
      </c>
      <c r="AD66" s="32" t="str">
        <f t="shared" si="11"/>
        <v/>
      </c>
      <c r="AE66" s="32" t="str">
        <f t="shared" si="9"/>
        <v/>
      </c>
      <c r="AF66" s="142"/>
      <c r="AG66" s="101"/>
      <c r="AH66" s="143"/>
      <c r="AI66" s="101"/>
      <c r="AJ66" s="101"/>
      <c r="AK66" s="101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</row>
    <row r="67" spans="2:70" ht="19.149999999999999" customHeight="1">
      <c r="B67" s="132"/>
      <c r="C67" s="24"/>
      <c r="D67" s="133"/>
      <c r="E67" s="134"/>
      <c r="F67" s="135"/>
      <c r="G67" s="135"/>
      <c r="H67" s="136"/>
      <c r="I67" s="136"/>
      <c r="J67" s="30"/>
      <c r="K67" s="30"/>
      <c r="L67" s="30"/>
      <c r="M67" s="30"/>
      <c r="N67" s="30"/>
      <c r="O67" s="30"/>
      <c r="P67" s="137"/>
      <c r="Q67" s="138"/>
      <c r="R67" s="138"/>
      <c r="S67" s="138"/>
      <c r="T67" s="139"/>
      <c r="U67" s="140"/>
      <c r="V67" s="141"/>
      <c r="W67" s="141"/>
      <c r="X67" s="140"/>
      <c r="Y67" s="140"/>
      <c r="Z67" s="140"/>
      <c r="AA67" s="31"/>
      <c r="AB67" s="32" t="str">
        <f>IF($S67="","",IF(#REF!="Tolerance",IF((#REF!*3*T67+S67)-E67&lt;F67,"",(#REF!*3*T67+S67)-E67),IF(OR(#REF!="GD&amp;T",#REF!="MAX"),IF((#REF!*3*T67+S67)&lt;F67,"",(#REF!*3*T67+S67)),"")))</f>
        <v/>
      </c>
      <c r="AC67" s="32" t="str">
        <f>IF(S67="","",IF(#REF!="Tolerance",IF(-((#REF!*3*T67)-S67)-E67&gt;G67,"",-((#REF!*3*T67)-S67)-E67),IF(#REF!="MIN",IF(-((#REF!*3*T67)-S67)&gt;G67,"",-((#REF!*3*T67)-S67)),"")))</f>
        <v/>
      </c>
      <c r="AD67" s="32" t="str">
        <f t="shared" si="11"/>
        <v/>
      </c>
      <c r="AE67" s="32" t="str">
        <f t="shared" si="9"/>
        <v/>
      </c>
      <c r="AF67" s="142"/>
      <c r="AG67" s="101"/>
      <c r="AH67" s="143"/>
      <c r="AI67" s="101"/>
      <c r="AJ67" s="101"/>
      <c r="AK67" s="101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  <c r="BM67" s="144"/>
      <c r="BN67" s="144"/>
      <c r="BO67" s="144"/>
      <c r="BP67" s="144"/>
      <c r="BQ67" s="144"/>
      <c r="BR67" s="144"/>
    </row>
    <row r="68" spans="2:70" ht="19.149999999999999" customHeight="1">
      <c r="B68" s="132"/>
      <c r="C68" s="24"/>
      <c r="D68" s="133"/>
      <c r="E68" s="134"/>
      <c r="F68" s="135"/>
      <c r="G68" s="135"/>
      <c r="H68" s="136"/>
      <c r="I68" s="136"/>
      <c r="J68" s="30"/>
      <c r="K68" s="30"/>
      <c r="L68" s="30"/>
      <c r="M68" s="30"/>
      <c r="N68" s="30"/>
      <c r="O68" s="30"/>
      <c r="P68" s="137"/>
      <c r="Q68" s="138"/>
      <c r="R68" s="138"/>
      <c r="S68" s="138"/>
      <c r="T68" s="139"/>
      <c r="U68" s="140"/>
      <c r="V68" s="141"/>
      <c r="W68" s="141"/>
      <c r="X68" s="140"/>
      <c r="Y68" s="140"/>
      <c r="Z68" s="140"/>
      <c r="AA68" s="31"/>
      <c r="AB68" s="32" t="str">
        <f>IF($S68="","",IF(#REF!="Tolerance",IF((#REF!*3*T68+S68)-E68&lt;F68,"",(#REF!*3*T68+S68)-E68),IF(OR(#REF!="GD&amp;T",#REF!="MAX"),IF((#REF!*3*T68+S68)&lt;F68,"",(#REF!*3*T68+S68)),"")))</f>
        <v/>
      </c>
      <c r="AC68" s="32" t="str">
        <f>IF(S68="","",IF(#REF!="Tolerance",IF(-((#REF!*3*T68)-S68)-E68&gt;G68,"",-((#REF!*3*T68)-S68)-E68),IF(#REF!="MIN",IF(-((#REF!*3*T68)-S68)&gt;G68,"",-((#REF!*3*T68)-S68)),"")))</f>
        <v/>
      </c>
      <c r="AD68" s="32" t="str">
        <f t="shared" si="11"/>
        <v/>
      </c>
      <c r="AE68" s="32" t="str">
        <f t="shared" si="9"/>
        <v/>
      </c>
      <c r="AF68" s="142"/>
      <c r="AG68" s="101"/>
      <c r="AH68" s="143"/>
      <c r="AI68" s="101"/>
      <c r="AJ68" s="101"/>
      <c r="AK68" s="101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  <c r="BO68" s="144"/>
      <c r="BP68" s="144"/>
      <c r="BQ68" s="144"/>
      <c r="BR68" s="144"/>
    </row>
    <row r="69" spans="2:70" ht="19.149999999999999" customHeight="1">
      <c r="B69" s="132"/>
      <c r="C69" s="24"/>
      <c r="D69" s="133"/>
      <c r="E69" s="134"/>
      <c r="F69" s="135"/>
      <c r="G69" s="135"/>
      <c r="H69" s="136"/>
      <c r="I69" s="136"/>
      <c r="J69" s="30"/>
      <c r="K69" s="30"/>
      <c r="L69" s="30"/>
      <c r="M69" s="30"/>
      <c r="N69" s="30"/>
      <c r="O69" s="30"/>
      <c r="P69" s="137"/>
      <c r="Q69" s="138"/>
      <c r="R69" s="138"/>
      <c r="S69" s="138"/>
      <c r="T69" s="139"/>
      <c r="U69" s="140"/>
      <c r="V69" s="141"/>
      <c r="W69" s="141"/>
      <c r="X69" s="140"/>
      <c r="Y69" s="140"/>
      <c r="Z69" s="140"/>
      <c r="AA69" s="31"/>
      <c r="AB69" s="32" t="str">
        <f>IF($S69="","",IF(#REF!="Tolerance",IF((#REF!*3*T69+S69)-E69&lt;F69,"",(#REF!*3*T69+S69)-E69),IF(OR(#REF!="GD&amp;T",#REF!="MAX"),IF((#REF!*3*T69+S69)&lt;F69,"",(#REF!*3*T69+S69)),"")))</f>
        <v/>
      </c>
      <c r="AC69" s="32" t="str">
        <f>IF(S69="","",IF(#REF!="Tolerance",IF(-((#REF!*3*T69)-S69)-E69&gt;G69,"",-((#REF!*3*T69)-S69)-E69),IF(#REF!="MIN",IF(-((#REF!*3*T69)-S69)&gt;G69,"",-((#REF!*3*T69)-S69)),"")))</f>
        <v/>
      </c>
      <c r="AD69" s="32" t="str">
        <f t="shared" si="11"/>
        <v/>
      </c>
      <c r="AE69" s="32" t="str">
        <f t="shared" si="9"/>
        <v/>
      </c>
      <c r="AF69" s="142"/>
      <c r="AG69" s="101"/>
      <c r="AH69" s="143"/>
      <c r="AI69" s="101"/>
      <c r="AJ69" s="101"/>
      <c r="AK69" s="101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144"/>
      <c r="BN69" s="144"/>
      <c r="BO69" s="144"/>
      <c r="BP69" s="144"/>
      <c r="BQ69" s="144"/>
      <c r="BR69" s="144"/>
    </row>
    <row r="70" spans="2:70" ht="19.149999999999999" customHeight="1">
      <c r="B70" s="132"/>
      <c r="C70" s="24"/>
      <c r="D70" s="133"/>
      <c r="E70" s="134"/>
      <c r="F70" s="135"/>
      <c r="G70" s="135"/>
      <c r="H70" s="136"/>
      <c r="I70" s="136"/>
      <c r="J70" s="30"/>
      <c r="K70" s="30"/>
      <c r="L70" s="30"/>
      <c r="M70" s="30"/>
      <c r="N70" s="30"/>
      <c r="O70" s="30"/>
      <c r="P70" s="137"/>
      <c r="Q70" s="138"/>
      <c r="R70" s="138"/>
      <c r="S70" s="138"/>
      <c r="T70" s="139"/>
      <c r="U70" s="140"/>
      <c r="V70" s="141"/>
      <c r="W70" s="141"/>
      <c r="X70" s="140"/>
      <c r="Y70" s="140"/>
      <c r="Z70" s="140"/>
      <c r="AA70" s="31"/>
      <c r="AB70" s="32" t="str">
        <f>IF($S70="","",IF(#REF!="Tolerance",IF((#REF!*3*T70+S70)-E70&lt;F70,"",(#REF!*3*T70+S70)-E70),IF(OR(#REF!="GD&amp;T",#REF!="MAX"),IF((#REF!*3*T70+S70)&lt;F70,"",(#REF!*3*T70+S70)),"")))</f>
        <v/>
      </c>
      <c r="AC70" s="32" t="str">
        <f>IF(S70="","",IF(#REF!="Tolerance",IF(-((#REF!*3*T70)-S70)-E70&gt;G70,"",-((#REF!*3*T70)-S70)-E70),IF(#REF!="MIN",IF(-((#REF!*3*T70)-S70)&gt;G70,"",-((#REF!*3*T70)-S70)),"")))</f>
        <v/>
      </c>
      <c r="AD70" s="32" t="str">
        <f t="shared" si="11"/>
        <v/>
      </c>
      <c r="AE70" s="32" t="str">
        <f t="shared" si="9"/>
        <v/>
      </c>
      <c r="AF70" s="142"/>
      <c r="AG70" s="101"/>
      <c r="AH70" s="143"/>
      <c r="AI70" s="101"/>
      <c r="AJ70" s="101"/>
      <c r="AK70" s="101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4"/>
      <c r="BM70" s="144"/>
      <c r="BN70" s="144"/>
      <c r="BO70" s="144"/>
      <c r="BP70" s="144"/>
      <c r="BQ70" s="144"/>
      <c r="BR70" s="144"/>
    </row>
    <row r="71" spans="2:70" ht="19.149999999999999" customHeight="1">
      <c r="B71" s="132"/>
      <c r="C71" s="24"/>
      <c r="D71" s="133"/>
      <c r="E71" s="134"/>
      <c r="F71" s="135"/>
      <c r="G71" s="135"/>
      <c r="H71" s="136"/>
      <c r="I71" s="136"/>
      <c r="J71" s="30"/>
      <c r="K71" s="30"/>
      <c r="L71" s="30"/>
      <c r="M71" s="30"/>
      <c r="N71" s="30"/>
      <c r="O71" s="30"/>
      <c r="P71" s="137"/>
      <c r="Q71" s="138"/>
      <c r="R71" s="138"/>
      <c r="S71" s="138"/>
      <c r="T71" s="139"/>
      <c r="U71" s="140"/>
      <c r="V71" s="141"/>
      <c r="W71" s="141"/>
      <c r="X71" s="140"/>
      <c r="Y71" s="140"/>
      <c r="Z71" s="140"/>
      <c r="AA71" s="31"/>
      <c r="AB71" s="32" t="str">
        <f>IF($S71="","",IF(#REF!="Tolerance",IF((#REF!*3*T71+S71)-E71&lt;F71,"",(#REF!*3*T71+S71)-E71),IF(OR(#REF!="GD&amp;T",#REF!="MAX"),IF((#REF!*3*T71+S71)&lt;F71,"",(#REF!*3*T71+S71)),"")))</f>
        <v/>
      </c>
      <c r="AC71" s="32" t="str">
        <f>IF(S71="","",IF(#REF!="Tolerance",IF(-((#REF!*3*T71)-S71)-E71&gt;G71,"",-((#REF!*3*T71)-S71)-E71),IF(#REF!="MIN",IF(-((#REF!*3*T71)-S71)&gt;G71,"",-((#REF!*3*T71)-S71)),"")))</f>
        <v/>
      </c>
      <c r="AD71" s="32" t="str">
        <f t="shared" si="11"/>
        <v/>
      </c>
      <c r="AE71" s="32" t="str">
        <f t="shared" si="9"/>
        <v/>
      </c>
      <c r="AF71" s="142"/>
      <c r="AG71" s="101"/>
      <c r="AH71" s="143"/>
      <c r="AI71" s="101"/>
      <c r="AJ71" s="101"/>
      <c r="AK71" s="101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4"/>
      <c r="BM71" s="144"/>
      <c r="BN71" s="144"/>
      <c r="BO71" s="144"/>
      <c r="BP71" s="144"/>
      <c r="BQ71" s="144"/>
      <c r="BR71" s="144"/>
    </row>
    <row r="72" spans="2:70" ht="19.149999999999999" customHeight="1">
      <c r="B72" s="132"/>
      <c r="C72" s="24"/>
      <c r="D72" s="133"/>
      <c r="E72" s="134"/>
      <c r="F72" s="135"/>
      <c r="G72" s="135"/>
      <c r="H72" s="136"/>
      <c r="I72" s="136"/>
      <c r="J72" s="30"/>
      <c r="K72" s="30"/>
      <c r="L72" s="30"/>
      <c r="M72" s="30"/>
      <c r="N72" s="30"/>
      <c r="O72" s="30"/>
      <c r="P72" s="137"/>
      <c r="Q72" s="138"/>
      <c r="R72" s="138"/>
      <c r="S72" s="138"/>
      <c r="T72" s="139"/>
      <c r="U72" s="140"/>
      <c r="V72" s="141"/>
      <c r="W72" s="141"/>
      <c r="X72" s="140"/>
      <c r="Y72" s="140"/>
      <c r="Z72" s="140"/>
      <c r="AA72" s="31"/>
      <c r="AB72" s="32" t="str">
        <f>IF($S72="","",IF(#REF!="Tolerance",IF((#REF!*3*T72+S72)-E72&lt;F72,"",(#REF!*3*T72+S72)-E72),IF(OR(#REF!="GD&amp;T",#REF!="MAX"),IF((#REF!*3*T72+S72)&lt;F72,"",(#REF!*3*T72+S72)),"")))</f>
        <v/>
      </c>
      <c r="AC72" s="32" t="str">
        <f>IF(S72="","",IF(#REF!="Tolerance",IF(-((#REF!*3*T72)-S72)-E72&gt;G72,"",-((#REF!*3*T72)-S72)-E72),IF(#REF!="MIN",IF(-((#REF!*3*T72)-S72)&gt;G72,"",-((#REF!*3*T72)-S72)),"")))</f>
        <v/>
      </c>
      <c r="AD72" s="32" t="str">
        <f t="shared" si="11"/>
        <v/>
      </c>
      <c r="AE72" s="32" t="str">
        <f t="shared" si="9"/>
        <v/>
      </c>
      <c r="AF72" s="142"/>
      <c r="AG72" s="101"/>
      <c r="AH72" s="143"/>
      <c r="AI72" s="101"/>
      <c r="AJ72" s="101"/>
      <c r="AK72" s="101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  <c r="BM72" s="144"/>
      <c r="BN72" s="144"/>
      <c r="BO72" s="144"/>
      <c r="BP72" s="144"/>
      <c r="BQ72" s="144"/>
      <c r="BR72" s="144"/>
    </row>
    <row r="73" spans="2:70" ht="19.149999999999999" customHeight="1">
      <c r="B73" s="132"/>
      <c r="C73" s="24"/>
      <c r="D73" s="133"/>
      <c r="E73" s="134"/>
      <c r="F73" s="135"/>
      <c r="G73" s="135"/>
      <c r="H73" s="136"/>
      <c r="I73" s="136"/>
      <c r="J73" s="30"/>
      <c r="K73" s="30"/>
      <c r="L73" s="30"/>
      <c r="M73" s="30"/>
      <c r="N73" s="30"/>
      <c r="O73" s="30"/>
      <c r="P73" s="137"/>
      <c r="Q73" s="138"/>
      <c r="R73" s="138"/>
      <c r="S73" s="138"/>
      <c r="T73" s="139"/>
      <c r="U73" s="140"/>
      <c r="V73" s="141"/>
      <c r="W73" s="141"/>
      <c r="X73" s="140"/>
      <c r="Y73" s="140"/>
      <c r="Z73" s="140"/>
      <c r="AA73" s="31"/>
      <c r="AB73" s="32" t="str">
        <f>IF($S73="","",IF(#REF!="Tolerance",IF((#REF!*3*T73+S73)-E73&lt;F73,"",(#REF!*3*T73+S73)-E73),IF(OR(#REF!="GD&amp;T",#REF!="MAX"),IF((#REF!*3*T73+S73)&lt;F73,"",(#REF!*3*T73+S73)),"")))</f>
        <v/>
      </c>
      <c r="AC73" s="32" t="str">
        <f>IF(S73="","",IF(#REF!="Tolerance",IF(-((#REF!*3*T73)-S73)-E73&gt;G73,"",-((#REF!*3*T73)-S73)-E73),IF(#REF!="MIN",IF(-((#REF!*3*T73)-S73)&gt;G73,"",-((#REF!*3*T73)-S73)),"")))</f>
        <v/>
      </c>
      <c r="AD73" s="32" t="str">
        <f t="shared" si="11"/>
        <v/>
      </c>
      <c r="AE73" s="32" t="str">
        <f t="shared" si="9"/>
        <v/>
      </c>
      <c r="AF73" s="142"/>
      <c r="AG73" s="101"/>
      <c r="AH73" s="143"/>
      <c r="AI73" s="101"/>
      <c r="AJ73" s="101"/>
      <c r="AK73" s="101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4"/>
      <c r="BM73" s="144"/>
      <c r="BN73" s="144"/>
      <c r="BO73" s="144"/>
      <c r="BP73" s="144"/>
      <c r="BQ73" s="144"/>
      <c r="BR73" s="144"/>
    </row>
    <row r="74" spans="2:70" ht="19.149999999999999" customHeight="1">
      <c r="B74" s="132"/>
      <c r="C74" s="24"/>
      <c r="D74" s="133"/>
      <c r="E74" s="134"/>
      <c r="F74" s="135"/>
      <c r="G74" s="135"/>
      <c r="H74" s="136"/>
      <c r="I74" s="136"/>
      <c r="J74" s="30"/>
      <c r="K74" s="30"/>
      <c r="L74" s="30"/>
      <c r="M74" s="30"/>
      <c r="N74" s="30"/>
      <c r="O74" s="30"/>
      <c r="P74" s="137"/>
      <c r="Q74" s="138"/>
      <c r="R74" s="138"/>
      <c r="S74" s="138"/>
      <c r="T74" s="139"/>
      <c r="U74" s="140"/>
      <c r="V74" s="141"/>
      <c r="W74" s="141"/>
      <c r="X74" s="140"/>
      <c r="Y74" s="140"/>
      <c r="Z74" s="140"/>
      <c r="AA74" s="31"/>
      <c r="AB74" s="32" t="str">
        <f>IF($S74="","",IF(#REF!="Tolerance",IF((#REF!*3*T74+S74)-E74&lt;F74,"",(#REF!*3*T74+S74)-E74),IF(OR(#REF!="GD&amp;T",#REF!="MAX"),IF((#REF!*3*T74+S74)&lt;F74,"",(#REF!*3*T74+S74)),"")))</f>
        <v/>
      </c>
      <c r="AC74" s="32" t="str">
        <f>IF(S74="","",IF(#REF!="Tolerance",IF(-((#REF!*3*T74)-S74)-E74&gt;G74,"",-((#REF!*3*T74)-S74)-E74),IF(#REF!="MIN",IF(-((#REF!*3*T74)-S74)&gt;G74,"",-((#REF!*3*T74)-S74)),"")))</f>
        <v/>
      </c>
      <c r="AD74" s="32" t="str">
        <f t="shared" si="11"/>
        <v/>
      </c>
      <c r="AE74" s="32" t="str">
        <f t="shared" ref="AE74:AE145" si="13">IF(OR($U74&gt;$AE$4,$T74=""),"",$AE$4*6*$T74)</f>
        <v/>
      </c>
      <c r="AF74" s="142"/>
      <c r="AG74" s="101"/>
      <c r="AH74" s="143"/>
      <c r="AI74" s="101"/>
      <c r="AJ74" s="101"/>
      <c r="AK74" s="101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  <c r="BO74" s="144"/>
      <c r="BP74" s="144"/>
      <c r="BQ74" s="144"/>
      <c r="BR74" s="144"/>
    </row>
    <row r="75" spans="2:70" ht="19.149999999999999" customHeight="1">
      <c r="B75" s="132"/>
      <c r="C75" s="24"/>
      <c r="D75" s="133"/>
      <c r="E75" s="134"/>
      <c r="F75" s="135"/>
      <c r="G75" s="135"/>
      <c r="H75" s="136"/>
      <c r="I75" s="136"/>
      <c r="J75" s="30"/>
      <c r="K75" s="30"/>
      <c r="L75" s="30"/>
      <c r="M75" s="30"/>
      <c r="N75" s="30"/>
      <c r="O75" s="30"/>
      <c r="P75" s="137"/>
      <c r="Q75" s="138"/>
      <c r="R75" s="138"/>
      <c r="S75" s="138"/>
      <c r="T75" s="139"/>
      <c r="U75" s="140"/>
      <c r="V75" s="141"/>
      <c r="W75" s="141"/>
      <c r="X75" s="140"/>
      <c r="Y75" s="140"/>
      <c r="Z75" s="140"/>
      <c r="AA75" s="31"/>
      <c r="AB75" s="32" t="str">
        <f>IF($S75="","",IF(#REF!="Tolerance",IF((#REF!*3*T75+S75)-E75&lt;F75,"",(#REF!*3*T75+S75)-E75),IF(OR(#REF!="GD&amp;T",#REF!="MAX"),IF((#REF!*3*T75+S75)&lt;F75,"",(#REF!*3*T75+S75)),"")))</f>
        <v/>
      </c>
      <c r="AC75" s="32" t="str">
        <f>IF(S75="","",IF(#REF!="Tolerance",IF(-((#REF!*3*T75)-S75)-E75&gt;G75,"",-((#REF!*3*T75)-S75)-E75),IF(#REF!="MIN",IF(-((#REF!*3*T75)-S75)&gt;G75,"",-((#REF!*3*T75)-S75)),"")))</f>
        <v/>
      </c>
      <c r="AD75" s="32" t="str">
        <f t="shared" ref="AD75:AD138" si="14">IF(OR(E75="",S75=""),"",(J75+K75)/2-S75)</f>
        <v/>
      </c>
      <c r="AE75" s="32" t="str">
        <f t="shared" si="13"/>
        <v/>
      </c>
      <c r="AF75" s="142"/>
      <c r="AG75" s="101"/>
      <c r="AH75" s="143"/>
      <c r="AI75" s="101"/>
      <c r="AJ75" s="101"/>
      <c r="AK75" s="101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4"/>
      <c r="BM75" s="144"/>
      <c r="BN75" s="144"/>
      <c r="BO75" s="144"/>
      <c r="BP75" s="144"/>
      <c r="BQ75" s="144"/>
      <c r="BR75" s="144"/>
    </row>
    <row r="76" spans="2:70" ht="19.149999999999999" customHeight="1">
      <c r="B76" s="132"/>
      <c r="C76" s="24"/>
      <c r="D76" s="133"/>
      <c r="E76" s="134"/>
      <c r="F76" s="135"/>
      <c r="G76" s="135"/>
      <c r="H76" s="136"/>
      <c r="I76" s="136"/>
      <c r="J76" s="30"/>
      <c r="K76" s="30"/>
      <c r="L76" s="30"/>
      <c r="M76" s="30"/>
      <c r="N76" s="30"/>
      <c r="O76" s="30"/>
      <c r="P76" s="137"/>
      <c r="Q76" s="138"/>
      <c r="R76" s="138"/>
      <c r="S76" s="138"/>
      <c r="T76" s="139"/>
      <c r="U76" s="140"/>
      <c r="V76" s="141"/>
      <c r="W76" s="141"/>
      <c r="X76" s="140"/>
      <c r="Y76" s="140"/>
      <c r="Z76" s="140"/>
      <c r="AA76" s="31"/>
      <c r="AB76" s="32" t="str">
        <f>IF($S76="","",IF(#REF!="Tolerance",IF((#REF!*3*T76+S76)-E76&lt;F76,"",(#REF!*3*T76+S76)-E76),IF(OR(#REF!="GD&amp;T",#REF!="MAX"),IF((#REF!*3*T76+S76)&lt;F76,"",(#REF!*3*T76+S76)),"")))</f>
        <v/>
      </c>
      <c r="AC76" s="32" t="str">
        <f>IF(S76="","",IF(#REF!="Tolerance",IF(-((#REF!*3*T76)-S76)-E76&gt;G76,"",-((#REF!*3*T76)-S76)-E76),IF(#REF!="MIN",IF(-((#REF!*3*T76)-S76)&gt;G76,"",-((#REF!*3*T76)-S76)),"")))</f>
        <v/>
      </c>
      <c r="AD76" s="32" t="str">
        <f t="shared" si="14"/>
        <v/>
      </c>
      <c r="AE76" s="32" t="str">
        <f t="shared" si="13"/>
        <v/>
      </c>
      <c r="AF76" s="142"/>
      <c r="AG76" s="101"/>
      <c r="AH76" s="143"/>
      <c r="AI76" s="101"/>
      <c r="AJ76" s="101"/>
      <c r="AK76" s="101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144"/>
      <c r="BC76" s="144"/>
      <c r="BD76" s="144"/>
      <c r="BE76" s="144"/>
      <c r="BF76" s="144"/>
      <c r="BG76" s="144"/>
      <c r="BH76" s="144"/>
      <c r="BI76" s="144"/>
      <c r="BJ76" s="144"/>
      <c r="BK76" s="144"/>
      <c r="BL76" s="144"/>
      <c r="BM76" s="144"/>
      <c r="BN76" s="144"/>
      <c r="BO76" s="144"/>
      <c r="BP76" s="144"/>
      <c r="BQ76" s="144"/>
      <c r="BR76" s="144"/>
    </row>
    <row r="77" spans="2:70" ht="19.149999999999999" customHeight="1">
      <c r="B77" s="132"/>
      <c r="C77" s="24"/>
      <c r="D77" s="133"/>
      <c r="E77" s="134"/>
      <c r="F77" s="135"/>
      <c r="G77" s="135"/>
      <c r="H77" s="136"/>
      <c r="I77" s="136"/>
      <c r="J77" s="30"/>
      <c r="K77" s="30"/>
      <c r="L77" s="30"/>
      <c r="M77" s="30"/>
      <c r="N77" s="30"/>
      <c r="O77" s="30"/>
      <c r="P77" s="137"/>
      <c r="Q77" s="138"/>
      <c r="R77" s="138"/>
      <c r="S77" s="138"/>
      <c r="T77" s="139"/>
      <c r="U77" s="140"/>
      <c r="V77" s="141"/>
      <c r="W77" s="141"/>
      <c r="X77" s="140"/>
      <c r="Y77" s="140"/>
      <c r="Z77" s="140"/>
      <c r="AA77" s="31"/>
      <c r="AB77" s="32" t="str">
        <f>IF($S77="","",IF(#REF!="Tolerance",IF((#REF!*3*T77+S77)-E77&lt;F77,"",(#REF!*3*T77+S77)-E77),IF(OR(#REF!="GD&amp;T",#REF!="MAX"),IF((#REF!*3*T77+S77)&lt;F77,"",(#REF!*3*T77+S77)),"")))</f>
        <v/>
      </c>
      <c r="AC77" s="32" t="str">
        <f>IF(S77="","",IF(#REF!="Tolerance",IF(-((#REF!*3*T77)-S77)-E77&gt;G77,"",-((#REF!*3*T77)-S77)-E77),IF(#REF!="MIN",IF(-((#REF!*3*T77)-S77)&gt;G77,"",-((#REF!*3*T77)-S77)),"")))</f>
        <v/>
      </c>
      <c r="AD77" s="32" t="str">
        <f t="shared" si="14"/>
        <v/>
      </c>
      <c r="AE77" s="32" t="str">
        <f t="shared" si="13"/>
        <v/>
      </c>
      <c r="AF77" s="142"/>
      <c r="AG77" s="101"/>
      <c r="AH77" s="143"/>
      <c r="AI77" s="101"/>
      <c r="AJ77" s="101"/>
      <c r="AK77" s="101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4"/>
      <c r="BM77" s="144"/>
      <c r="BN77" s="144"/>
      <c r="BO77" s="144"/>
      <c r="BP77" s="144"/>
      <c r="BQ77" s="144"/>
      <c r="BR77" s="144"/>
    </row>
    <row r="78" spans="2:70" ht="19.149999999999999" customHeight="1">
      <c r="B78" s="132"/>
      <c r="C78" s="24"/>
      <c r="D78" s="133"/>
      <c r="E78" s="134"/>
      <c r="F78" s="135"/>
      <c r="G78" s="135"/>
      <c r="H78" s="136"/>
      <c r="I78" s="136"/>
      <c r="J78" s="30"/>
      <c r="K78" s="30"/>
      <c r="L78" s="30"/>
      <c r="M78" s="30"/>
      <c r="N78" s="30"/>
      <c r="O78" s="30"/>
      <c r="P78" s="137"/>
      <c r="Q78" s="138"/>
      <c r="R78" s="138"/>
      <c r="S78" s="138"/>
      <c r="T78" s="139"/>
      <c r="U78" s="140"/>
      <c r="V78" s="141"/>
      <c r="W78" s="141"/>
      <c r="X78" s="140"/>
      <c r="Y78" s="140"/>
      <c r="Z78" s="140"/>
      <c r="AA78" s="31"/>
      <c r="AB78" s="32" t="str">
        <f>IF($S78="","",IF(#REF!="Tolerance",IF((#REF!*3*T78+S78)-E78&lt;F78,"",(#REF!*3*T78+S78)-E78),IF(OR(#REF!="GD&amp;T",#REF!="MAX"),IF((#REF!*3*T78+S78)&lt;F78,"",(#REF!*3*T78+S78)),"")))</f>
        <v/>
      </c>
      <c r="AC78" s="32" t="str">
        <f>IF(S78="","",IF(#REF!="Tolerance",IF(-((#REF!*3*T78)-S78)-E78&gt;G78,"",-((#REF!*3*T78)-S78)-E78),IF(#REF!="MIN",IF(-((#REF!*3*T78)-S78)&gt;G78,"",-((#REF!*3*T78)-S78)),"")))</f>
        <v/>
      </c>
      <c r="AD78" s="32" t="str">
        <f t="shared" si="14"/>
        <v/>
      </c>
      <c r="AE78" s="32" t="str">
        <f t="shared" si="13"/>
        <v/>
      </c>
      <c r="AF78" s="142"/>
      <c r="AG78" s="101"/>
      <c r="AH78" s="143"/>
      <c r="AI78" s="101"/>
      <c r="AJ78" s="101"/>
      <c r="AK78" s="101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144"/>
      <c r="BN78" s="144"/>
      <c r="BO78" s="144"/>
      <c r="BP78" s="144"/>
      <c r="BQ78" s="144"/>
      <c r="BR78" s="144"/>
    </row>
    <row r="79" spans="2:70" ht="19.149999999999999" customHeight="1">
      <c r="B79" s="132"/>
      <c r="C79" s="24"/>
      <c r="D79" s="133"/>
      <c r="E79" s="134"/>
      <c r="F79" s="135"/>
      <c r="G79" s="135"/>
      <c r="H79" s="136"/>
      <c r="I79" s="136"/>
      <c r="J79" s="30"/>
      <c r="K79" s="30"/>
      <c r="L79" s="30"/>
      <c r="M79" s="30"/>
      <c r="N79" s="30"/>
      <c r="O79" s="30"/>
      <c r="P79" s="137"/>
      <c r="Q79" s="138"/>
      <c r="R79" s="138"/>
      <c r="S79" s="138"/>
      <c r="T79" s="139"/>
      <c r="U79" s="140"/>
      <c r="V79" s="141"/>
      <c r="W79" s="141"/>
      <c r="X79" s="140"/>
      <c r="Y79" s="140"/>
      <c r="Z79" s="140"/>
      <c r="AA79" s="31"/>
      <c r="AB79" s="32" t="str">
        <f>IF($S79="","",IF(#REF!="Tolerance",IF((#REF!*3*T79+S79)-E79&lt;F79,"",(#REF!*3*T79+S79)-E79),IF(OR(#REF!="GD&amp;T",#REF!="MAX"),IF((#REF!*3*T79+S79)&lt;F79,"",(#REF!*3*T79+S79)),"")))</f>
        <v/>
      </c>
      <c r="AC79" s="32" t="str">
        <f>IF(S79="","",IF(#REF!="Tolerance",IF(-((#REF!*3*T79)-S79)-E79&gt;G79,"",-((#REF!*3*T79)-S79)-E79),IF(#REF!="MIN",IF(-((#REF!*3*T79)-S79)&gt;G79,"",-((#REF!*3*T79)-S79)),"")))</f>
        <v/>
      </c>
      <c r="AD79" s="32" t="str">
        <f t="shared" si="14"/>
        <v/>
      </c>
      <c r="AE79" s="32" t="str">
        <f t="shared" si="13"/>
        <v/>
      </c>
      <c r="AF79" s="142"/>
      <c r="AG79" s="101"/>
      <c r="AH79" s="143"/>
      <c r="AI79" s="101"/>
      <c r="AJ79" s="101"/>
      <c r="AK79" s="101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4"/>
      <c r="BM79" s="144"/>
      <c r="BN79" s="144"/>
      <c r="BO79" s="144"/>
      <c r="BP79" s="144"/>
      <c r="BQ79" s="144"/>
      <c r="BR79" s="144"/>
    </row>
    <row r="80" spans="2:70" ht="19.149999999999999" customHeight="1">
      <c r="B80" s="132"/>
      <c r="C80" s="24"/>
      <c r="D80" s="133"/>
      <c r="E80" s="134"/>
      <c r="F80" s="135"/>
      <c r="G80" s="135"/>
      <c r="H80" s="136"/>
      <c r="I80" s="136"/>
      <c r="J80" s="30"/>
      <c r="K80" s="30"/>
      <c r="L80" s="30"/>
      <c r="M80" s="30"/>
      <c r="N80" s="30"/>
      <c r="O80" s="30"/>
      <c r="P80" s="137"/>
      <c r="Q80" s="138"/>
      <c r="R80" s="138"/>
      <c r="S80" s="138"/>
      <c r="T80" s="139"/>
      <c r="U80" s="140"/>
      <c r="V80" s="141"/>
      <c r="W80" s="141"/>
      <c r="X80" s="140"/>
      <c r="Y80" s="140"/>
      <c r="Z80" s="140"/>
      <c r="AA80" s="31"/>
      <c r="AB80" s="32" t="str">
        <f>IF($S80="","",IF(#REF!="Tolerance",IF((#REF!*3*T80+S80)-E80&lt;F80,"",(#REF!*3*T80+S80)-E80),IF(OR(#REF!="GD&amp;T",#REF!="MAX"),IF((#REF!*3*T80+S80)&lt;F80,"",(#REF!*3*T80+S80)),"")))</f>
        <v/>
      </c>
      <c r="AC80" s="32" t="str">
        <f>IF(S80="","",IF(#REF!="Tolerance",IF(-((#REF!*3*T80)-S80)-E80&gt;G80,"",-((#REF!*3*T80)-S80)-E80),IF(#REF!="MIN",IF(-((#REF!*3*T80)-S80)&gt;G80,"",-((#REF!*3*T80)-S80)),"")))</f>
        <v/>
      </c>
      <c r="AD80" s="32" t="str">
        <f t="shared" si="14"/>
        <v/>
      </c>
      <c r="AE80" s="32" t="str">
        <f t="shared" si="13"/>
        <v/>
      </c>
      <c r="AF80" s="142"/>
      <c r="AG80" s="101"/>
      <c r="AH80" s="143"/>
      <c r="AI80" s="101"/>
      <c r="AJ80" s="101"/>
      <c r="AK80" s="101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144"/>
      <c r="BC80" s="144"/>
      <c r="BD80" s="144"/>
      <c r="BE80" s="144"/>
      <c r="BF80" s="144"/>
      <c r="BG80" s="144"/>
      <c r="BH80" s="144"/>
      <c r="BI80" s="144"/>
      <c r="BJ80" s="144"/>
      <c r="BK80" s="144"/>
      <c r="BL80" s="144"/>
      <c r="BM80" s="144"/>
      <c r="BN80" s="144"/>
      <c r="BO80" s="144"/>
      <c r="BP80" s="144"/>
      <c r="BQ80" s="144"/>
      <c r="BR80" s="144"/>
    </row>
    <row r="81" spans="2:70" ht="19.149999999999999" customHeight="1">
      <c r="B81" s="132"/>
      <c r="C81" s="24"/>
      <c r="D81" s="133"/>
      <c r="E81" s="134"/>
      <c r="F81" s="135"/>
      <c r="G81" s="135"/>
      <c r="H81" s="136"/>
      <c r="I81" s="136"/>
      <c r="J81" s="30"/>
      <c r="K81" s="30"/>
      <c r="L81" s="30"/>
      <c r="M81" s="30"/>
      <c r="N81" s="30"/>
      <c r="O81" s="30"/>
      <c r="P81" s="137"/>
      <c r="Q81" s="138"/>
      <c r="R81" s="138"/>
      <c r="S81" s="138"/>
      <c r="T81" s="139"/>
      <c r="U81" s="140"/>
      <c r="V81" s="141"/>
      <c r="W81" s="141"/>
      <c r="X81" s="140"/>
      <c r="Y81" s="140"/>
      <c r="Z81" s="140"/>
      <c r="AA81" s="31"/>
      <c r="AB81" s="32" t="str">
        <f>IF($S81="","",IF(#REF!="Tolerance",IF((#REF!*3*T81+S81)-E81&lt;F81,"",(#REF!*3*T81+S81)-E81),IF(OR(#REF!="GD&amp;T",#REF!="MAX"),IF((#REF!*3*T81+S81)&lt;F81,"",(#REF!*3*T81+S81)),"")))</f>
        <v/>
      </c>
      <c r="AC81" s="32" t="str">
        <f>IF(S81="","",IF(#REF!="Tolerance",IF(-((#REF!*3*T81)-S81)-E81&gt;G81,"",-((#REF!*3*T81)-S81)-E81),IF(#REF!="MIN",IF(-((#REF!*3*T81)-S81)&gt;G81,"",-((#REF!*3*T81)-S81)),"")))</f>
        <v/>
      </c>
      <c r="AD81" s="32" t="str">
        <f t="shared" si="14"/>
        <v/>
      </c>
      <c r="AE81" s="32" t="str">
        <f t="shared" si="13"/>
        <v/>
      </c>
      <c r="AF81" s="142"/>
      <c r="AG81" s="101"/>
      <c r="AH81" s="143"/>
      <c r="AI81" s="101"/>
      <c r="AJ81" s="101"/>
      <c r="AK81" s="101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  <c r="BM81" s="144"/>
      <c r="BN81" s="144"/>
      <c r="BO81" s="144"/>
      <c r="BP81" s="144"/>
      <c r="BQ81" s="144"/>
      <c r="BR81" s="144"/>
    </row>
    <row r="82" spans="2:70" ht="19.149999999999999" customHeight="1">
      <c r="B82" s="132"/>
      <c r="C82" s="24"/>
      <c r="D82" s="133"/>
      <c r="E82" s="134"/>
      <c r="F82" s="135"/>
      <c r="G82" s="135"/>
      <c r="H82" s="136"/>
      <c r="I82" s="136"/>
      <c r="J82" s="30"/>
      <c r="K82" s="30"/>
      <c r="L82" s="30"/>
      <c r="M82" s="30"/>
      <c r="N82" s="30"/>
      <c r="O82" s="30"/>
      <c r="P82" s="137"/>
      <c r="Q82" s="138"/>
      <c r="R82" s="138"/>
      <c r="S82" s="138"/>
      <c r="T82" s="139"/>
      <c r="U82" s="140"/>
      <c r="V82" s="141"/>
      <c r="W82" s="141"/>
      <c r="X82" s="140"/>
      <c r="Y82" s="140"/>
      <c r="Z82" s="140"/>
      <c r="AA82" s="31"/>
      <c r="AB82" s="32" t="str">
        <f>IF($S82="","",IF(#REF!="Tolerance",IF((#REF!*3*T82+S82)-E82&lt;F82,"",(#REF!*3*T82+S82)-E82),IF(OR(#REF!="GD&amp;T",#REF!="MAX"),IF((#REF!*3*T82+S82)&lt;F82,"",(#REF!*3*T82+S82)),"")))</f>
        <v/>
      </c>
      <c r="AC82" s="32" t="str">
        <f>IF(S82="","",IF(#REF!="Tolerance",IF(-((#REF!*3*T82)-S82)-E82&gt;G82,"",-((#REF!*3*T82)-S82)-E82),IF(#REF!="MIN",IF(-((#REF!*3*T82)-S82)&gt;G82,"",-((#REF!*3*T82)-S82)),"")))</f>
        <v/>
      </c>
      <c r="AD82" s="32" t="str">
        <f t="shared" si="14"/>
        <v/>
      </c>
      <c r="AE82" s="32" t="str">
        <f t="shared" si="13"/>
        <v/>
      </c>
      <c r="AF82" s="142"/>
      <c r="AG82" s="101"/>
      <c r="AH82" s="143"/>
      <c r="AI82" s="101"/>
      <c r="AJ82" s="101"/>
      <c r="AK82" s="101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  <c r="BC82" s="144"/>
      <c r="BD82" s="144"/>
      <c r="BE82" s="144"/>
      <c r="BF82" s="144"/>
      <c r="BG82" s="144"/>
      <c r="BH82" s="144"/>
      <c r="BI82" s="144"/>
      <c r="BJ82" s="144"/>
      <c r="BK82" s="144"/>
      <c r="BL82" s="144"/>
      <c r="BM82" s="144"/>
      <c r="BN82" s="144"/>
      <c r="BO82" s="144"/>
      <c r="BP82" s="144"/>
      <c r="BQ82" s="144"/>
      <c r="BR82" s="144"/>
    </row>
    <row r="83" spans="2:70" ht="19.149999999999999" customHeight="1">
      <c r="B83" s="132"/>
      <c r="C83" s="24"/>
      <c r="D83" s="133"/>
      <c r="E83" s="134"/>
      <c r="F83" s="135"/>
      <c r="G83" s="135"/>
      <c r="H83" s="136"/>
      <c r="I83" s="136"/>
      <c r="J83" s="30"/>
      <c r="K83" s="30"/>
      <c r="L83" s="30"/>
      <c r="M83" s="30"/>
      <c r="N83" s="30"/>
      <c r="O83" s="30"/>
      <c r="P83" s="137"/>
      <c r="Q83" s="138"/>
      <c r="R83" s="138"/>
      <c r="S83" s="138"/>
      <c r="T83" s="139"/>
      <c r="U83" s="140"/>
      <c r="V83" s="141"/>
      <c r="W83" s="141"/>
      <c r="X83" s="140"/>
      <c r="Y83" s="140"/>
      <c r="Z83" s="140"/>
      <c r="AA83" s="31"/>
      <c r="AB83" s="32" t="str">
        <f>IF($S83="","",IF(#REF!="Tolerance",IF((#REF!*3*T83+S83)-E83&lt;F83,"",(#REF!*3*T83+S83)-E83),IF(OR(#REF!="GD&amp;T",#REF!="MAX"),IF((#REF!*3*T83+S83)&lt;F83,"",(#REF!*3*T83+S83)),"")))</f>
        <v/>
      </c>
      <c r="AC83" s="32" t="str">
        <f>IF(S83="","",IF(#REF!="Tolerance",IF(-((#REF!*3*T83)-S83)-E83&gt;G83,"",-((#REF!*3*T83)-S83)-E83),IF(#REF!="MIN",IF(-((#REF!*3*T83)-S83)&gt;G83,"",-((#REF!*3*T83)-S83)),"")))</f>
        <v/>
      </c>
      <c r="AD83" s="32" t="str">
        <f t="shared" si="14"/>
        <v/>
      </c>
      <c r="AE83" s="32" t="str">
        <f t="shared" si="13"/>
        <v/>
      </c>
      <c r="AF83" s="142"/>
      <c r="AG83" s="101"/>
      <c r="AH83" s="143"/>
      <c r="AI83" s="101"/>
      <c r="AJ83" s="101"/>
      <c r="AK83" s="101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44"/>
      <c r="BA83" s="144"/>
      <c r="BB83" s="144"/>
      <c r="BC83" s="144"/>
      <c r="BD83" s="144"/>
      <c r="BE83" s="144"/>
      <c r="BF83" s="144"/>
      <c r="BG83" s="144"/>
      <c r="BH83" s="144"/>
      <c r="BI83" s="144"/>
      <c r="BJ83" s="144"/>
      <c r="BK83" s="144"/>
      <c r="BL83" s="144"/>
      <c r="BM83" s="144"/>
      <c r="BN83" s="144"/>
      <c r="BO83" s="144"/>
      <c r="BP83" s="144"/>
      <c r="BQ83" s="144"/>
      <c r="BR83" s="144"/>
    </row>
    <row r="84" spans="2:70" ht="19.149999999999999" customHeight="1">
      <c r="B84" s="132"/>
      <c r="C84" s="24"/>
      <c r="D84" s="133"/>
      <c r="E84" s="134"/>
      <c r="F84" s="135"/>
      <c r="G84" s="135"/>
      <c r="H84" s="136"/>
      <c r="I84" s="136"/>
      <c r="J84" s="30"/>
      <c r="K84" s="30"/>
      <c r="L84" s="30"/>
      <c r="M84" s="30"/>
      <c r="N84" s="30"/>
      <c r="O84" s="30"/>
      <c r="P84" s="137"/>
      <c r="Q84" s="138"/>
      <c r="R84" s="138"/>
      <c r="S84" s="138"/>
      <c r="T84" s="139"/>
      <c r="U84" s="140"/>
      <c r="V84" s="141"/>
      <c r="W84" s="141"/>
      <c r="X84" s="140"/>
      <c r="Y84" s="140"/>
      <c r="Z84" s="140"/>
      <c r="AA84" s="31"/>
      <c r="AB84" s="32" t="str">
        <f>IF($S84="","",IF(#REF!="Tolerance",IF((#REF!*3*T84+S84)-E84&lt;F84,"",(#REF!*3*T84+S84)-E84),IF(OR(#REF!="GD&amp;T",#REF!="MAX"),IF((#REF!*3*T84+S84)&lt;F84,"",(#REF!*3*T84+S84)),"")))</f>
        <v/>
      </c>
      <c r="AC84" s="32" t="str">
        <f>IF(S84="","",IF(#REF!="Tolerance",IF(-((#REF!*3*T84)-S84)-E84&gt;G84,"",-((#REF!*3*T84)-S84)-E84),IF(#REF!="MIN",IF(-((#REF!*3*T84)-S84)&gt;G84,"",-((#REF!*3*T84)-S84)),"")))</f>
        <v/>
      </c>
      <c r="AD84" s="32" t="str">
        <f t="shared" si="14"/>
        <v/>
      </c>
      <c r="AE84" s="32" t="str">
        <f t="shared" si="13"/>
        <v/>
      </c>
      <c r="AF84" s="142"/>
      <c r="AG84" s="101"/>
      <c r="AH84" s="143"/>
      <c r="AI84" s="101"/>
      <c r="AJ84" s="101"/>
      <c r="AK84" s="101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  <c r="BC84" s="144"/>
      <c r="BD84" s="144"/>
      <c r="BE84" s="144"/>
      <c r="BF84" s="144"/>
      <c r="BG84" s="144"/>
      <c r="BH84" s="144"/>
      <c r="BI84" s="144"/>
      <c r="BJ84" s="144"/>
      <c r="BK84" s="144"/>
      <c r="BL84" s="144"/>
      <c r="BM84" s="144"/>
      <c r="BN84" s="144"/>
      <c r="BO84" s="144"/>
      <c r="BP84" s="144"/>
      <c r="BQ84" s="144"/>
      <c r="BR84" s="144"/>
    </row>
    <row r="85" spans="2:70" ht="19.149999999999999" customHeight="1">
      <c r="B85" s="132"/>
      <c r="C85" s="24"/>
      <c r="D85" s="133"/>
      <c r="E85" s="134"/>
      <c r="F85" s="135"/>
      <c r="G85" s="135"/>
      <c r="H85" s="136"/>
      <c r="I85" s="136"/>
      <c r="J85" s="30"/>
      <c r="K85" s="30"/>
      <c r="L85" s="30"/>
      <c r="M85" s="30"/>
      <c r="N85" s="30"/>
      <c r="O85" s="30"/>
      <c r="P85" s="137"/>
      <c r="Q85" s="138"/>
      <c r="R85" s="138"/>
      <c r="S85" s="138"/>
      <c r="T85" s="139"/>
      <c r="U85" s="140"/>
      <c r="V85" s="141"/>
      <c r="W85" s="141"/>
      <c r="X85" s="140"/>
      <c r="Y85" s="140"/>
      <c r="Z85" s="140"/>
      <c r="AA85" s="31"/>
      <c r="AB85" s="32" t="str">
        <f>IF($S85="","",IF(#REF!="Tolerance",IF((#REF!*3*T85+S85)-E85&lt;F85,"",(#REF!*3*T85+S85)-E85),IF(OR(#REF!="GD&amp;T",#REF!="MAX"),IF((#REF!*3*T85+S85)&lt;F85,"",(#REF!*3*T85+S85)),"")))</f>
        <v/>
      </c>
      <c r="AC85" s="32" t="str">
        <f>IF(S85="","",IF(#REF!="Tolerance",IF(-((#REF!*3*T85)-S85)-E85&gt;G85,"",-((#REF!*3*T85)-S85)-E85),IF(#REF!="MIN",IF(-((#REF!*3*T85)-S85)&gt;G85,"",-((#REF!*3*T85)-S85)),"")))</f>
        <v/>
      </c>
      <c r="AD85" s="32" t="str">
        <f t="shared" si="14"/>
        <v/>
      </c>
      <c r="AE85" s="32" t="str">
        <f t="shared" si="13"/>
        <v/>
      </c>
      <c r="AF85" s="142"/>
      <c r="AG85" s="101"/>
      <c r="AH85" s="143"/>
      <c r="AI85" s="101"/>
      <c r="AJ85" s="101"/>
      <c r="AK85" s="101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144"/>
      <c r="BC85" s="144"/>
      <c r="BD85" s="144"/>
      <c r="BE85" s="144"/>
      <c r="BF85" s="144"/>
      <c r="BG85" s="144"/>
      <c r="BH85" s="144"/>
      <c r="BI85" s="144"/>
      <c r="BJ85" s="144"/>
      <c r="BK85" s="144"/>
      <c r="BL85" s="144"/>
      <c r="BM85" s="144"/>
      <c r="BN85" s="144"/>
      <c r="BO85" s="144"/>
      <c r="BP85" s="144"/>
      <c r="BQ85" s="144"/>
      <c r="BR85" s="144"/>
    </row>
    <row r="86" spans="2:70" ht="19.149999999999999" customHeight="1">
      <c r="B86" s="132"/>
      <c r="C86" s="24"/>
      <c r="D86" s="133"/>
      <c r="E86" s="134"/>
      <c r="F86" s="135"/>
      <c r="G86" s="135"/>
      <c r="H86" s="136"/>
      <c r="I86" s="136"/>
      <c r="J86" s="30"/>
      <c r="K86" s="30"/>
      <c r="L86" s="30"/>
      <c r="M86" s="30"/>
      <c r="N86" s="30"/>
      <c r="O86" s="30"/>
      <c r="P86" s="137"/>
      <c r="Q86" s="138"/>
      <c r="R86" s="138"/>
      <c r="S86" s="138"/>
      <c r="T86" s="139"/>
      <c r="U86" s="140"/>
      <c r="V86" s="141"/>
      <c r="W86" s="141"/>
      <c r="X86" s="140"/>
      <c r="Y86" s="140"/>
      <c r="Z86" s="140"/>
      <c r="AA86" s="31"/>
      <c r="AB86" s="32" t="str">
        <f>IF($S86="","",IF(#REF!="Tolerance",IF((#REF!*3*T86+S86)-E86&lt;F86,"",(#REF!*3*T86+S86)-E86),IF(OR(#REF!="GD&amp;T",#REF!="MAX"),IF((#REF!*3*T86+S86)&lt;F86,"",(#REF!*3*T86+S86)),"")))</f>
        <v/>
      </c>
      <c r="AC86" s="32" t="str">
        <f>IF(S86="","",IF(#REF!="Tolerance",IF(-((#REF!*3*T86)-S86)-E86&gt;G86,"",-((#REF!*3*T86)-S86)-E86),IF(#REF!="MIN",IF(-((#REF!*3*T86)-S86)&gt;G86,"",-((#REF!*3*T86)-S86)),"")))</f>
        <v/>
      </c>
      <c r="AD86" s="32" t="str">
        <f t="shared" si="14"/>
        <v/>
      </c>
      <c r="AE86" s="32" t="str">
        <f t="shared" si="13"/>
        <v/>
      </c>
      <c r="AF86" s="142"/>
      <c r="AG86" s="101"/>
      <c r="AH86" s="143"/>
      <c r="AI86" s="101"/>
      <c r="AJ86" s="101"/>
      <c r="AK86" s="101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4"/>
      <c r="BM86" s="144"/>
      <c r="BN86" s="144"/>
      <c r="BO86" s="144"/>
      <c r="BP86" s="144"/>
      <c r="BQ86" s="144"/>
      <c r="BR86" s="144"/>
    </row>
    <row r="87" spans="2:70" ht="19.149999999999999" customHeight="1">
      <c r="B87" s="132"/>
      <c r="C87" s="24"/>
      <c r="D87" s="133"/>
      <c r="E87" s="134"/>
      <c r="F87" s="135"/>
      <c r="G87" s="135"/>
      <c r="H87" s="136"/>
      <c r="I87" s="136"/>
      <c r="J87" s="30"/>
      <c r="K87" s="30"/>
      <c r="L87" s="30"/>
      <c r="M87" s="30"/>
      <c r="N87" s="30"/>
      <c r="O87" s="30"/>
      <c r="P87" s="137"/>
      <c r="Q87" s="138"/>
      <c r="R87" s="138"/>
      <c r="S87" s="138"/>
      <c r="T87" s="139"/>
      <c r="U87" s="140"/>
      <c r="V87" s="141"/>
      <c r="W87" s="141"/>
      <c r="X87" s="140"/>
      <c r="Y87" s="140"/>
      <c r="Z87" s="140"/>
      <c r="AA87" s="31"/>
      <c r="AB87" s="32" t="str">
        <f>IF($S87="","",IF(#REF!="Tolerance",IF((#REF!*3*T87+S87)-E87&lt;F87,"",(#REF!*3*T87+S87)-E87),IF(OR(#REF!="GD&amp;T",#REF!="MAX"),IF((#REF!*3*T87+S87)&lt;F87,"",(#REF!*3*T87+S87)),"")))</f>
        <v/>
      </c>
      <c r="AC87" s="32" t="str">
        <f>IF(S87="","",IF(#REF!="Tolerance",IF(-((#REF!*3*T87)-S87)-E87&gt;G87,"",-((#REF!*3*T87)-S87)-E87),IF(#REF!="MIN",IF(-((#REF!*3*T87)-S87)&gt;G87,"",-((#REF!*3*T87)-S87)),"")))</f>
        <v/>
      </c>
      <c r="AD87" s="32" t="str">
        <f t="shared" si="14"/>
        <v/>
      </c>
      <c r="AE87" s="32" t="str">
        <f t="shared" si="13"/>
        <v/>
      </c>
      <c r="AF87" s="142"/>
      <c r="AG87" s="101"/>
      <c r="AH87" s="143"/>
      <c r="AI87" s="101"/>
      <c r="AJ87" s="101"/>
      <c r="AK87" s="101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144"/>
      <c r="BC87" s="144"/>
      <c r="BD87" s="144"/>
      <c r="BE87" s="144"/>
      <c r="BF87" s="144"/>
      <c r="BG87" s="144"/>
      <c r="BH87" s="144"/>
      <c r="BI87" s="144"/>
      <c r="BJ87" s="144"/>
      <c r="BK87" s="144"/>
      <c r="BL87" s="144"/>
      <c r="BM87" s="144"/>
      <c r="BN87" s="144"/>
      <c r="BO87" s="144"/>
      <c r="BP87" s="144"/>
      <c r="BQ87" s="144"/>
      <c r="BR87" s="144"/>
    </row>
    <row r="88" spans="2:70" ht="19.149999999999999" customHeight="1">
      <c r="B88" s="132"/>
      <c r="C88" s="24"/>
      <c r="D88" s="133"/>
      <c r="E88" s="134"/>
      <c r="F88" s="135"/>
      <c r="G88" s="135"/>
      <c r="H88" s="136"/>
      <c r="I88" s="136"/>
      <c r="J88" s="30"/>
      <c r="K88" s="30"/>
      <c r="L88" s="30"/>
      <c r="M88" s="30"/>
      <c r="N88" s="30"/>
      <c r="O88" s="30"/>
      <c r="P88" s="137"/>
      <c r="Q88" s="138"/>
      <c r="R88" s="138"/>
      <c r="S88" s="138"/>
      <c r="T88" s="139"/>
      <c r="U88" s="140"/>
      <c r="V88" s="141"/>
      <c r="W88" s="141"/>
      <c r="X88" s="140"/>
      <c r="Y88" s="140"/>
      <c r="Z88" s="140"/>
      <c r="AA88" s="31"/>
      <c r="AB88" s="32" t="str">
        <f>IF($S88="","",IF(#REF!="Tolerance",IF((#REF!*3*T88+S88)-E88&lt;F88,"",(#REF!*3*T88+S88)-E88),IF(OR(#REF!="GD&amp;T",#REF!="MAX"),IF((#REF!*3*T88+S88)&lt;F88,"",(#REF!*3*T88+S88)),"")))</f>
        <v/>
      </c>
      <c r="AC88" s="32" t="str">
        <f>IF(S88="","",IF(#REF!="Tolerance",IF(-((#REF!*3*T88)-S88)-E88&gt;G88,"",-((#REF!*3*T88)-S88)-E88),IF(#REF!="MIN",IF(-((#REF!*3*T88)-S88)&gt;G88,"",-((#REF!*3*T88)-S88)),"")))</f>
        <v/>
      </c>
      <c r="AD88" s="32" t="str">
        <f t="shared" si="14"/>
        <v/>
      </c>
      <c r="AE88" s="32" t="str">
        <f t="shared" si="13"/>
        <v/>
      </c>
      <c r="AF88" s="142"/>
      <c r="AG88" s="101"/>
      <c r="AH88" s="143"/>
      <c r="AI88" s="101"/>
      <c r="AJ88" s="101"/>
      <c r="AK88" s="101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4"/>
      <c r="BM88" s="144"/>
      <c r="BN88" s="144"/>
      <c r="BO88" s="144"/>
      <c r="BP88" s="144"/>
      <c r="BQ88" s="144"/>
      <c r="BR88" s="144"/>
    </row>
    <row r="89" spans="2:70" ht="19.149999999999999" customHeight="1">
      <c r="B89" s="132"/>
      <c r="C89" s="24"/>
      <c r="D89" s="133"/>
      <c r="E89" s="134"/>
      <c r="F89" s="135"/>
      <c r="G89" s="135"/>
      <c r="H89" s="136"/>
      <c r="I89" s="136"/>
      <c r="J89" s="30"/>
      <c r="K89" s="30"/>
      <c r="L89" s="30"/>
      <c r="M89" s="30"/>
      <c r="N89" s="30"/>
      <c r="O89" s="30"/>
      <c r="P89" s="137"/>
      <c r="Q89" s="138"/>
      <c r="R89" s="138"/>
      <c r="S89" s="138"/>
      <c r="T89" s="139"/>
      <c r="U89" s="140"/>
      <c r="V89" s="141"/>
      <c r="W89" s="141"/>
      <c r="X89" s="140"/>
      <c r="Y89" s="140"/>
      <c r="Z89" s="140"/>
      <c r="AA89" s="31"/>
      <c r="AB89" s="32" t="str">
        <f>IF($S89="","",IF(#REF!="Tolerance",IF((#REF!*3*T89+S89)-E89&lt;F89,"",(#REF!*3*T89+S89)-E89),IF(OR(#REF!="GD&amp;T",#REF!="MAX"),IF((#REF!*3*T89+S89)&lt;F89,"",(#REF!*3*T89+S89)),"")))</f>
        <v/>
      </c>
      <c r="AC89" s="32" t="str">
        <f>IF(S89="","",IF(#REF!="Tolerance",IF(-((#REF!*3*T89)-S89)-E89&gt;G89,"",-((#REF!*3*T89)-S89)-E89),IF(#REF!="MIN",IF(-((#REF!*3*T89)-S89)&gt;G89,"",-((#REF!*3*T89)-S89)),"")))</f>
        <v/>
      </c>
      <c r="AD89" s="32" t="str">
        <f t="shared" si="14"/>
        <v/>
      </c>
      <c r="AE89" s="32" t="str">
        <f t="shared" si="13"/>
        <v/>
      </c>
      <c r="AF89" s="142"/>
      <c r="AG89" s="101"/>
      <c r="AH89" s="143"/>
      <c r="AI89" s="101"/>
      <c r="AJ89" s="101"/>
      <c r="AK89" s="101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  <c r="BM89" s="144"/>
      <c r="BN89" s="144"/>
      <c r="BO89" s="144"/>
      <c r="BP89" s="144"/>
      <c r="BQ89" s="144"/>
      <c r="BR89" s="144"/>
    </row>
    <row r="90" spans="2:70" ht="19.149999999999999" customHeight="1">
      <c r="B90" s="132"/>
      <c r="C90" s="24"/>
      <c r="D90" s="133"/>
      <c r="E90" s="134"/>
      <c r="F90" s="135"/>
      <c r="G90" s="135"/>
      <c r="H90" s="136"/>
      <c r="I90" s="136"/>
      <c r="J90" s="30"/>
      <c r="K90" s="30"/>
      <c r="L90" s="30"/>
      <c r="M90" s="30"/>
      <c r="N90" s="30"/>
      <c r="O90" s="30"/>
      <c r="P90" s="137"/>
      <c r="Q90" s="138"/>
      <c r="R90" s="138"/>
      <c r="S90" s="138"/>
      <c r="T90" s="139"/>
      <c r="U90" s="140"/>
      <c r="V90" s="141"/>
      <c r="W90" s="141"/>
      <c r="X90" s="140"/>
      <c r="Y90" s="140"/>
      <c r="Z90" s="140"/>
      <c r="AA90" s="31"/>
      <c r="AB90" s="32" t="str">
        <f>IF($S90="","",IF(#REF!="Tolerance",IF((#REF!*3*T90+S90)-E90&lt;F90,"",(#REF!*3*T90+S90)-E90),IF(OR(#REF!="GD&amp;T",#REF!="MAX"),IF((#REF!*3*T90+S90)&lt;F90,"",(#REF!*3*T90+S90)),"")))</f>
        <v/>
      </c>
      <c r="AC90" s="32" t="str">
        <f>IF(S90="","",IF(#REF!="Tolerance",IF(-((#REF!*3*T90)-S90)-E90&gt;G90,"",-((#REF!*3*T90)-S90)-E90),IF(#REF!="MIN",IF(-((#REF!*3*T90)-S90)&gt;G90,"",-((#REF!*3*T90)-S90)),"")))</f>
        <v/>
      </c>
      <c r="AD90" s="32" t="str">
        <f t="shared" si="14"/>
        <v/>
      </c>
      <c r="AE90" s="32" t="str">
        <f t="shared" si="13"/>
        <v/>
      </c>
      <c r="AF90" s="142"/>
      <c r="AG90" s="101"/>
      <c r="AH90" s="143"/>
      <c r="AI90" s="101"/>
      <c r="AJ90" s="101"/>
      <c r="AK90" s="101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4"/>
      <c r="BM90" s="144"/>
      <c r="BN90" s="144"/>
      <c r="BO90" s="144"/>
      <c r="BP90" s="144"/>
      <c r="BQ90" s="144"/>
      <c r="BR90" s="144"/>
    </row>
    <row r="91" spans="2:70" ht="19.149999999999999" customHeight="1">
      <c r="B91" s="132"/>
      <c r="C91" s="24"/>
      <c r="D91" s="133"/>
      <c r="E91" s="134"/>
      <c r="F91" s="135"/>
      <c r="G91" s="135"/>
      <c r="H91" s="136"/>
      <c r="I91" s="136"/>
      <c r="J91" s="30"/>
      <c r="K91" s="30"/>
      <c r="L91" s="30"/>
      <c r="M91" s="30"/>
      <c r="N91" s="30"/>
      <c r="O91" s="30"/>
      <c r="P91" s="137"/>
      <c r="Q91" s="138"/>
      <c r="R91" s="138"/>
      <c r="S91" s="138"/>
      <c r="T91" s="139"/>
      <c r="U91" s="140"/>
      <c r="V91" s="141"/>
      <c r="W91" s="141"/>
      <c r="X91" s="140"/>
      <c r="Y91" s="140"/>
      <c r="Z91" s="140"/>
      <c r="AA91" s="31"/>
      <c r="AB91" s="32" t="str">
        <f>IF($S91="","",IF(#REF!="Tolerance",IF((#REF!*3*T91+S91)-E91&lt;F91,"",(#REF!*3*T91+S91)-E91),IF(OR(#REF!="GD&amp;T",#REF!="MAX"),IF((#REF!*3*T91+S91)&lt;F91,"",(#REF!*3*T91+S91)),"")))</f>
        <v/>
      </c>
      <c r="AC91" s="32" t="str">
        <f>IF(S91="","",IF(#REF!="Tolerance",IF(-((#REF!*3*T91)-S91)-E91&gt;G91,"",-((#REF!*3*T91)-S91)-E91),IF(#REF!="MIN",IF(-((#REF!*3*T91)-S91)&gt;G91,"",-((#REF!*3*T91)-S91)),"")))</f>
        <v/>
      </c>
      <c r="AD91" s="32" t="str">
        <f t="shared" si="14"/>
        <v/>
      </c>
      <c r="AE91" s="32" t="str">
        <f t="shared" si="13"/>
        <v/>
      </c>
      <c r="AF91" s="142"/>
      <c r="AG91" s="101"/>
      <c r="AH91" s="143"/>
      <c r="AI91" s="101"/>
      <c r="AJ91" s="101"/>
      <c r="AK91" s="101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144"/>
      <c r="BC91" s="144"/>
      <c r="BD91" s="144"/>
      <c r="BE91" s="144"/>
      <c r="BF91" s="144"/>
      <c r="BG91" s="144"/>
      <c r="BH91" s="144"/>
      <c r="BI91" s="144"/>
      <c r="BJ91" s="144"/>
      <c r="BK91" s="144"/>
      <c r="BL91" s="144"/>
      <c r="BM91" s="144"/>
      <c r="BN91" s="144"/>
      <c r="BO91" s="144"/>
      <c r="BP91" s="144"/>
      <c r="BQ91" s="144"/>
      <c r="BR91" s="144"/>
    </row>
    <row r="92" spans="2:70" ht="19.149999999999999" customHeight="1">
      <c r="B92" s="132"/>
      <c r="C92" s="24"/>
      <c r="D92" s="133"/>
      <c r="E92" s="134"/>
      <c r="F92" s="135"/>
      <c r="G92" s="135"/>
      <c r="H92" s="136"/>
      <c r="I92" s="136"/>
      <c r="J92" s="30"/>
      <c r="K92" s="30"/>
      <c r="L92" s="30"/>
      <c r="M92" s="30"/>
      <c r="N92" s="30"/>
      <c r="O92" s="30"/>
      <c r="P92" s="137"/>
      <c r="Q92" s="138"/>
      <c r="R92" s="138"/>
      <c r="S92" s="138"/>
      <c r="T92" s="139"/>
      <c r="U92" s="140"/>
      <c r="V92" s="141"/>
      <c r="W92" s="141"/>
      <c r="X92" s="140"/>
      <c r="Y92" s="140"/>
      <c r="Z92" s="140"/>
      <c r="AA92" s="31"/>
      <c r="AB92" s="32" t="str">
        <f>IF($S92="","",IF(#REF!="Tolerance",IF((#REF!*3*T92+S92)-E92&lt;F92,"",(#REF!*3*T92+S92)-E92),IF(OR(#REF!="GD&amp;T",#REF!="MAX"),IF((#REF!*3*T92+S92)&lt;F92,"",(#REF!*3*T92+S92)),"")))</f>
        <v/>
      </c>
      <c r="AC92" s="32" t="str">
        <f>IF(S92="","",IF(#REF!="Tolerance",IF(-((#REF!*3*T92)-S92)-E92&gt;G92,"",-((#REF!*3*T92)-S92)-E92),IF(#REF!="MIN",IF(-((#REF!*3*T92)-S92)&gt;G92,"",-((#REF!*3*T92)-S92)),"")))</f>
        <v/>
      </c>
      <c r="AD92" s="32" t="str">
        <f t="shared" si="14"/>
        <v/>
      </c>
      <c r="AE92" s="32" t="str">
        <f t="shared" si="13"/>
        <v/>
      </c>
      <c r="AF92" s="142"/>
      <c r="AG92" s="101"/>
      <c r="AH92" s="143"/>
      <c r="AI92" s="101"/>
      <c r="AJ92" s="101"/>
      <c r="AK92" s="101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  <c r="BC92" s="144"/>
      <c r="BD92" s="144"/>
      <c r="BE92" s="144"/>
      <c r="BF92" s="144"/>
      <c r="BG92" s="144"/>
      <c r="BH92" s="144"/>
      <c r="BI92" s="144"/>
      <c r="BJ92" s="144"/>
      <c r="BK92" s="144"/>
      <c r="BL92" s="144"/>
      <c r="BM92" s="144"/>
      <c r="BN92" s="144"/>
      <c r="BO92" s="144"/>
      <c r="BP92" s="144"/>
      <c r="BQ92" s="144"/>
      <c r="BR92" s="144"/>
    </row>
    <row r="93" spans="2:70" ht="19.149999999999999" customHeight="1">
      <c r="B93" s="132"/>
      <c r="C93" s="24"/>
      <c r="D93" s="133"/>
      <c r="E93" s="134"/>
      <c r="F93" s="135"/>
      <c r="G93" s="135"/>
      <c r="H93" s="136"/>
      <c r="I93" s="136"/>
      <c r="J93" s="30"/>
      <c r="K93" s="30"/>
      <c r="L93" s="30"/>
      <c r="M93" s="30"/>
      <c r="N93" s="30"/>
      <c r="O93" s="30"/>
      <c r="P93" s="137"/>
      <c r="Q93" s="138"/>
      <c r="R93" s="138"/>
      <c r="S93" s="138"/>
      <c r="T93" s="139"/>
      <c r="U93" s="140"/>
      <c r="V93" s="141"/>
      <c r="W93" s="141"/>
      <c r="X93" s="140"/>
      <c r="Y93" s="140"/>
      <c r="Z93" s="140"/>
      <c r="AA93" s="31"/>
      <c r="AB93" s="32" t="str">
        <f>IF($S93="","",IF(#REF!="Tolerance",IF((#REF!*3*T93+S93)-E93&lt;F93,"",(#REF!*3*T93+S93)-E93),IF(OR(#REF!="GD&amp;T",#REF!="MAX"),IF((#REF!*3*T93+S93)&lt;F93,"",(#REF!*3*T93+S93)),"")))</f>
        <v/>
      </c>
      <c r="AC93" s="32" t="str">
        <f>IF(S93="","",IF(#REF!="Tolerance",IF(-((#REF!*3*T93)-S93)-E93&gt;G93,"",-((#REF!*3*T93)-S93)-E93),IF(#REF!="MIN",IF(-((#REF!*3*T93)-S93)&gt;G93,"",-((#REF!*3*T93)-S93)),"")))</f>
        <v/>
      </c>
      <c r="AD93" s="32" t="str">
        <f t="shared" si="14"/>
        <v/>
      </c>
      <c r="AE93" s="32" t="str">
        <f t="shared" si="13"/>
        <v/>
      </c>
      <c r="AF93" s="142"/>
      <c r="AG93" s="101"/>
      <c r="AH93" s="143"/>
      <c r="AI93" s="101"/>
      <c r="AJ93" s="101"/>
      <c r="AK93" s="101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144"/>
      <c r="BC93" s="144"/>
      <c r="BD93" s="144"/>
      <c r="BE93" s="144"/>
      <c r="BF93" s="144"/>
      <c r="BG93" s="144"/>
      <c r="BH93" s="144"/>
      <c r="BI93" s="144"/>
      <c r="BJ93" s="144"/>
      <c r="BK93" s="144"/>
      <c r="BL93" s="144"/>
      <c r="BM93" s="144"/>
      <c r="BN93" s="144"/>
      <c r="BO93" s="144"/>
      <c r="BP93" s="144"/>
      <c r="BQ93" s="144"/>
      <c r="BR93" s="144"/>
    </row>
    <row r="94" spans="2:70" ht="19.149999999999999" customHeight="1">
      <c r="B94" s="132"/>
      <c r="C94" s="24"/>
      <c r="D94" s="133"/>
      <c r="E94" s="134"/>
      <c r="F94" s="135"/>
      <c r="G94" s="135"/>
      <c r="H94" s="136"/>
      <c r="I94" s="136"/>
      <c r="J94" s="30"/>
      <c r="K94" s="30"/>
      <c r="L94" s="30"/>
      <c r="M94" s="30"/>
      <c r="N94" s="30"/>
      <c r="O94" s="30"/>
      <c r="P94" s="137"/>
      <c r="Q94" s="138"/>
      <c r="R94" s="138"/>
      <c r="S94" s="138"/>
      <c r="T94" s="139"/>
      <c r="U94" s="140"/>
      <c r="V94" s="141"/>
      <c r="W94" s="141"/>
      <c r="X94" s="140"/>
      <c r="Y94" s="140"/>
      <c r="Z94" s="140"/>
      <c r="AA94" s="31"/>
      <c r="AB94" s="32" t="str">
        <f>IF($S94="","",IF(#REF!="Tolerance",IF((#REF!*3*T94+S94)-E94&lt;F94,"",(#REF!*3*T94+S94)-E94),IF(OR(#REF!="GD&amp;T",#REF!="MAX"),IF((#REF!*3*T94+S94)&lt;F94,"",(#REF!*3*T94+S94)),"")))</f>
        <v/>
      </c>
      <c r="AC94" s="32" t="str">
        <f>IF(S94="","",IF(#REF!="Tolerance",IF(-((#REF!*3*T94)-S94)-E94&gt;G94,"",-((#REF!*3*T94)-S94)-E94),IF(#REF!="MIN",IF(-((#REF!*3*T94)-S94)&gt;G94,"",-((#REF!*3*T94)-S94)),"")))</f>
        <v/>
      </c>
      <c r="AD94" s="32" t="str">
        <f t="shared" si="14"/>
        <v/>
      </c>
      <c r="AE94" s="32" t="str">
        <f t="shared" si="13"/>
        <v/>
      </c>
      <c r="AF94" s="142"/>
      <c r="AG94" s="101"/>
      <c r="AH94" s="143"/>
      <c r="AI94" s="101"/>
      <c r="AJ94" s="101"/>
      <c r="AK94" s="101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</row>
    <row r="95" spans="2:70" ht="19.149999999999999" customHeight="1">
      <c r="B95" s="132"/>
      <c r="C95" s="24"/>
      <c r="D95" s="133"/>
      <c r="E95" s="134"/>
      <c r="F95" s="135"/>
      <c r="G95" s="135"/>
      <c r="H95" s="136"/>
      <c r="I95" s="136"/>
      <c r="J95" s="30"/>
      <c r="K95" s="30"/>
      <c r="L95" s="30"/>
      <c r="M95" s="30"/>
      <c r="N95" s="30"/>
      <c r="O95" s="30"/>
      <c r="P95" s="137"/>
      <c r="Q95" s="138"/>
      <c r="R95" s="138"/>
      <c r="S95" s="138"/>
      <c r="T95" s="139"/>
      <c r="U95" s="140"/>
      <c r="V95" s="141"/>
      <c r="W95" s="141"/>
      <c r="X95" s="140"/>
      <c r="Y95" s="140"/>
      <c r="Z95" s="140"/>
      <c r="AA95" s="31"/>
      <c r="AB95" s="32" t="str">
        <f>IF($S95="","",IF(#REF!="Tolerance",IF((#REF!*3*T95+S95)-E95&lt;F95,"",(#REF!*3*T95+S95)-E95),IF(OR(#REF!="GD&amp;T",#REF!="MAX"),IF((#REF!*3*T95+S95)&lt;F95,"",(#REF!*3*T95+S95)),"")))</f>
        <v/>
      </c>
      <c r="AC95" s="32" t="str">
        <f>IF(S95="","",IF(#REF!="Tolerance",IF(-((#REF!*3*T95)-S95)-E95&gt;G95,"",-((#REF!*3*T95)-S95)-E95),IF(#REF!="MIN",IF(-((#REF!*3*T95)-S95)&gt;G95,"",-((#REF!*3*T95)-S95)),"")))</f>
        <v/>
      </c>
      <c r="AD95" s="32" t="str">
        <f t="shared" si="14"/>
        <v/>
      </c>
      <c r="AE95" s="32" t="str">
        <f t="shared" si="13"/>
        <v/>
      </c>
      <c r="AF95" s="142"/>
      <c r="AG95" s="101"/>
      <c r="AH95" s="143"/>
      <c r="AI95" s="101"/>
      <c r="AJ95" s="101"/>
      <c r="AK95" s="101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</row>
    <row r="96" spans="2:70" ht="19.149999999999999" customHeight="1">
      <c r="B96" s="132"/>
      <c r="C96" s="24"/>
      <c r="D96" s="133"/>
      <c r="E96" s="134"/>
      <c r="F96" s="135"/>
      <c r="G96" s="135"/>
      <c r="H96" s="136"/>
      <c r="I96" s="136"/>
      <c r="J96" s="30"/>
      <c r="K96" s="30"/>
      <c r="L96" s="30"/>
      <c r="M96" s="30"/>
      <c r="N96" s="30"/>
      <c r="O96" s="30"/>
      <c r="P96" s="137"/>
      <c r="Q96" s="138"/>
      <c r="R96" s="138"/>
      <c r="S96" s="138"/>
      <c r="T96" s="139"/>
      <c r="U96" s="140"/>
      <c r="V96" s="141"/>
      <c r="W96" s="141"/>
      <c r="X96" s="140"/>
      <c r="Y96" s="140"/>
      <c r="Z96" s="140"/>
      <c r="AA96" s="31"/>
      <c r="AB96" s="32" t="str">
        <f>IF($S96="","",IF(#REF!="Tolerance",IF((#REF!*3*T96+S96)-E96&lt;F96,"",(#REF!*3*T96+S96)-E96),IF(OR(#REF!="GD&amp;T",#REF!="MAX"),IF((#REF!*3*T96+S96)&lt;F96,"",(#REF!*3*T96+S96)),"")))</f>
        <v/>
      </c>
      <c r="AC96" s="32" t="str">
        <f>IF(S96="","",IF(#REF!="Tolerance",IF(-((#REF!*3*T96)-S96)-E96&gt;G96,"",-((#REF!*3*T96)-S96)-E96),IF(#REF!="MIN",IF(-((#REF!*3*T96)-S96)&gt;G96,"",-((#REF!*3*T96)-S96)),"")))</f>
        <v/>
      </c>
      <c r="AD96" s="32" t="str">
        <f t="shared" si="14"/>
        <v/>
      </c>
      <c r="AE96" s="32" t="str">
        <f t="shared" si="13"/>
        <v/>
      </c>
      <c r="AF96" s="142"/>
      <c r="AG96" s="101"/>
      <c r="AH96" s="143"/>
      <c r="AI96" s="101"/>
      <c r="AJ96" s="101"/>
      <c r="AK96" s="101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44"/>
    </row>
    <row r="97" spans="2:70" ht="19.149999999999999" customHeight="1">
      <c r="B97" s="132"/>
      <c r="C97" s="24"/>
      <c r="D97" s="133"/>
      <c r="E97" s="134"/>
      <c r="F97" s="135"/>
      <c r="G97" s="135"/>
      <c r="H97" s="136"/>
      <c r="I97" s="136"/>
      <c r="J97" s="30"/>
      <c r="K97" s="30"/>
      <c r="L97" s="30"/>
      <c r="M97" s="30"/>
      <c r="N97" s="30"/>
      <c r="O97" s="30"/>
      <c r="P97" s="137"/>
      <c r="Q97" s="138"/>
      <c r="R97" s="138"/>
      <c r="S97" s="138"/>
      <c r="T97" s="139"/>
      <c r="U97" s="140"/>
      <c r="V97" s="141"/>
      <c r="W97" s="141"/>
      <c r="X97" s="140"/>
      <c r="Y97" s="140"/>
      <c r="Z97" s="140"/>
      <c r="AA97" s="31"/>
      <c r="AB97" s="32" t="str">
        <f>IF($S97="","",IF(#REF!="Tolerance",IF((#REF!*3*T97+S97)-E97&lt;F97,"",(#REF!*3*T97+S97)-E97),IF(OR(#REF!="GD&amp;T",#REF!="MAX"),IF((#REF!*3*T97+S97)&lt;F97,"",(#REF!*3*T97+S97)),"")))</f>
        <v/>
      </c>
      <c r="AC97" s="32" t="str">
        <f>IF(S97="","",IF(#REF!="Tolerance",IF(-((#REF!*3*T97)-S97)-E97&gt;G97,"",-((#REF!*3*T97)-S97)-E97),IF(#REF!="MIN",IF(-((#REF!*3*T97)-S97)&gt;G97,"",-((#REF!*3*T97)-S97)),"")))</f>
        <v/>
      </c>
      <c r="AD97" s="32" t="str">
        <f t="shared" si="14"/>
        <v/>
      </c>
      <c r="AE97" s="32" t="str">
        <f t="shared" si="13"/>
        <v/>
      </c>
      <c r="AF97" s="142"/>
      <c r="AG97" s="101"/>
      <c r="AH97" s="143"/>
      <c r="AI97" s="101"/>
      <c r="AJ97" s="101"/>
      <c r="AK97" s="101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44"/>
      <c r="BP97" s="144"/>
      <c r="BQ97" s="144"/>
      <c r="BR97" s="144"/>
    </row>
    <row r="98" spans="2:70" ht="19.149999999999999" customHeight="1">
      <c r="B98" s="132"/>
      <c r="C98" s="24"/>
      <c r="D98" s="133"/>
      <c r="E98" s="134"/>
      <c r="F98" s="135"/>
      <c r="G98" s="135"/>
      <c r="H98" s="136"/>
      <c r="I98" s="136"/>
      <c r="J98" s="30"/>
      <c r="K98" s="30"/>
      <c r="L98" s="30"/>
      <c r="M98" s="30"/>
      <c r="N98" s="30"/>
      <c r="O98" s="30"/>
      <c r="P98" s="137"/>
      <c r="Q98" s="138"/>
      <c r="R98" s="138"/>
      <c r="S98" s="138"/>
      <c r="T98" s="139"/>
      <c r="U98" s="140"/>
      <c r="V98" s="141"/>
      <c r="W98" s="141"/>
      <c r="X98" s="140"/>
      <c r="Y98" s="140"/>
      <c r="Z98" s="140"/>
      <c r="AA98" s="31"/>
      <c r="AB98" s="32" t="str">
        <f>IF($S98="","",IF(#REF!="Tolerance",IF((#REF!*3*T98+S98)-E98&lt;F98,"",(#REF!*3*T98+S98)-E98),IF(OR(#REF!="GD&amp;T",#REF!="MAX"),IF((#REF!*3*T98+S98)&lt;F98,"",(#REF!*3*T98+S98)),"")))</f>
        <v/>
      </c>
      <c r="AC98" s="32" t="str">
        <f>IF(S98="","",IF(#REF!="Tolerance",IF(-((#REF!*3*T98)-S98)-E98&gt;G98,"",-((#REF!*3*T98)-S98)-E98),IF(#REF!="MIN",IF(-((#REF!*3*T98)-S98)&gt;G98,"",-((#REF!*3*T98)-S98)),"")))</f>
        <v/>
      </c>
      <c r="AD98" s="32" t="str">
        <f t="shared" si="14"/>
        <v/>
      </c>
      <c r="AE98" s="32" t="str">
        <f t="shared" si="13"/>
        <v/>
      </c>
      <c r="AF98" s="142"/>
      <c r="AG98" s="101"/>
      <c r="AH98" s="143"/>
      <c r="AI98" s="101"/>
      <c r="AJ98" s="101"/>
      <c r="AK98" s="101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144"/>
      <c r="BF98" s="144"/>
      <c r="BG98" s="144"/>
      <c r="BH98" s="144"/>
      <c r="BI98" s="144"/>
      <c r="BJ98" s="144"/>
      <c r="BK98" s="144"/>
      <c r="BL98" s="144"/>
      <c r="BM98" s="144"/>
      <c r="BN98" s="144"/>
      <c r="BO98" s="144"/>
      <c r="BP98" s="144"/>
      <c r="BQ98" s="144"/>
      <c r="BR98" s="144"/>
    </row>
    <row r="99" spans="2:70" ht="19.149999999999999" customHeight="1">
      <c r="B99" s="132"/>
      <c r="C99" s="24"/>
      <c r="D99" s="133"/>
      <c r="E99" s="134"/>
      <c r="F99" s="135"/>
      <c r="G99" s="135"/>
      <c r="H99" s="136"/>
      <c r="I99" s="136"/>
      <c r="J99" s="30"/>
      <c r="K99" s="30"/>
      <c r="L99" s="30"/>
      <c r="M99" s="30"/>
      <c r="N99" s="30"/>
      <c r="O99" s="30"/>
      <c r="P99" s="137"/>
      <c r="Q99" s="138"/>
      <c r="R99" s="138"/>
      <c r="S99" s="138"/>
      <c r="T99" s="139"/>
      <c r="U99" s="140"/>
      <c r="V99" s="141"/>
      <c r="W99" s="141"/>
      <c r="X99" s="140"/>
      <c r="Y99" s="140"/>
      <c r="Z99" s="140"/>
      <c r="AA99" s="31"/>
      <c r="AB99" s="32" t="str">
        <f>IF($S99="","",IF(#REF!="Tolerance",IF((#REF!*3*T99+S99)-E99&lt;F99,"",(#REF!*3*T99+S99)-E99),IF(OR(#REF!="GD&amp;T",#REF!="MAX"),IF((#REF!*3*T99+S99)&lt;F99,"",(#REF!*3*T99+S99)),"")))</f>
        <v/>
      </c>
      <c r="AC99" s="32" t="str">
        <f>IF(S99="","",IF(#REF!="Tolerance",IF(-((#REF!*3*T99)-S99)-E99&gt;G99,"",-((#REF!*3*T99)-S99)-E99),IF(#REF!="MIN",IF(-((#REF!*3*T99)-S99)&gt;G99,"",-((#REF!*3*T99)-S99)),"")))</f>
        <v/>
      </c>
      <c r="AD99" s="32" t="str">
        <f t="shared" si="14"/>
        <v/>
      </c>
      <c r="AE99" s="32" t="str">
        <f t="shared" si="13"/>
        <v/>
      </c>
      <c r="AF99" s="142"/>
      <c r="AG99" s="101"/>
      <c r="AH99" s="143"/>
      <c r="AI99" s="101"/>
      <c r="AJ99" s="101"/>
      <c r="AK99" s="101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144"/>
      <c r="BC99" s="144"/>
      <c r="BD99" s="144"/>
      <c r="BE99" s="144"/>
      <c r="BF99" s="144"/>
      <c r="BG99" s="144"/>
      <c r="BH99" s="144"/>
      <c r="BI99" s="144"/>
      <c r="BJ99" s="144"/>
      <c r="BK99" s="144"/>
      <c r="BL99" s="144"/>
      <c r="BM99" s="144"/>
      <c r="BN99" s="144"/>
      <c r="BO99" s="144"/>
      <c r="BP99" s="144"/>
      <c r="BQ99" s="144"/>
      <c r="BR99" s="144"/>
    </row>
    <row r="100" spans="2:70" ht="19.149999999999999" customHeight="1">
      <c r="B100" s="132"/>
      <c r="C100" s="24"/>
      <c r="D100" s="133"/>
      <c r="E100" s="134"/>
      <c r="F100" s="135"/>
      <c r="G100" s="135"/>
      <c r="H100" s="136"/>
      <c r="I100" s="136"/>
      <c r="J100" s="30"/>
      <c r="K100" s="30"/>
      <c r="L100" s="30"/>
      <c r="M100" s="30"/>
      <c r="N100" s="30"/>
      <c r="O100" s="30"/>
      <c r="P100" s="137"/>
      <c r="Q100" s="138"/>
      <c r="R100" s="138"/>
      <c r="S100" s="138"/>
      <c r="T100" s="139"/>
      <c r="U100" s="140"/>
      <c r="V100" s="141"/>
      <c r="W100" s="141"/>
      <c r="X100" s="140"/>
      <c r="Y100" s="140"/>
      <c r="Z100" s="140"/>
      <c r="AA100" s="31"/>
      <c r="AB100" s="32" t="str">
        <f>IF($S100="","",IF(#REF!="Tolerance",IF((#REF!*3*T100+S100)-E100&lt;F100,"",(#REF!*3*T100+S100)-E100),IF(OR(#REF!="GD&amp;T",#REF!="MAX"),IF((#REF!*3*T100+S100)&lt;F100,"",(#REF!*3*T100+S100)),"")))</f>
        <v/>
      </c>
      <c r="AC100" s="32" t="str">
        <f>IF(S100="","",IF(#REF!="Tolerance",IF(-((#REF!*3*T100)-S100)-E100&gt;G100,"",-((#REF!*3*T100)-S100)-E100),IF(#REF!="MIN",IF(-((#REF!*3*T100)-S100)&gt;G100,"",-((#REF!*3*T100)-S100)),"")))</f>
        <v/>
      </c>
      <c r="AD100" s="32" t="str">
        <f t="shared" si="14"/>
        <v/>
      </c>
      <c r="AE100" s="32" t="str">
        <f t="shared" si="13"/>
        <v/>
      </c>
      <c r="AF100" s="142"/>
      <c r="AG100" s="101"/>
      <c r="AH100" s="143"/>
      <c r="AI100" s="101"/>
      <c r="AJ100" s="101"/>
      <c r="AK100" s="101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  <c r="BE100" s="144"/>
      <c r="BF100" s="144"/>
      <c r="BG100" s="144"/>
      <c r="BH100" s="144"/>
      <c r="BI100" s="144"/>
      <c r="BJ100" s="144"/>
      <c r="BK100" s="144"/>
      <c r="BL100" s="144"/>
      <c r="BM100" s="144"/>
      <c r="BN100" s="144"/>
      <c r="BO100" s="144"/>
      <c r="BP100" s="144"/>
      <c r="BQ100" s="144"/>
      <c r="BR100" s="144"/>
    </row>
    <row r="101" spans="2:70" ht="19.149999999999999" customHeight="1">
      <c r="B101" s="132"/>
      <c r="C101" s="24"/>
      <c r="D101" s="133"/>
      <c r="E101" s="134"/>
      <c r="F101" s="135"/>
      <c r="G101" s="135"/>
      <c r="H101" s="136"/>
      <c r="I101" s="136"/>
      <c r="J101" s="30"/>
      <c r="K101" s="30"/>
      <c r="L101" s="30"/>
      <c r="M101" s="30"/>
      <c r="N101" s="30"/>
      <c r="O101" s="30"/>
      <c r="P101" s="137"/>
      <c r="Q101" s="138"/>
      <c r="R101" s="138"/>
      <c r="S101" s="138"/>
      <c r="T101" s="139"/>
      <c r="U101" s="140"/>
      <c r="V101" s="141"/>
      <c r="W101" s="141"/>
      <c r="X101" s="140"/>
      <c r="Y101" s="140"/>
      <c r="Z101" s="140"/>
      <c r="AA101" s="31"/>
      <c r="AB101" s="32" t="str">
        <f>IF($S101="","",IF(#REF!="Tolerance",IF((#REF!*3*T101+S101)-E101&lt;F101,"",(#REF!*3*T101+S101)-E101),IF(OR(#REF!="GD&amp;T",#REF!="MAX"),IF((#REF!*3*T101+S101)&lt;F101,"",(#REF!*3*T101+S101)),"")))</f>
        <v/>
      </c>
      <c r="AC101" s="32" t="str">
        <f>IF(S101="","",IF(#REF!="Tolerance",IF(-((#REF!*3*T101)-S101)-E101&gt;G101,"",-((#REF!*3*T101)-S101)-E101),IF(#REF!="MIN",IF(-((#REF!*3*T101)-S101)&gt;G101,"",-((#REF!*3*T101)-S101)),"")))</f>
        <v/>
      </c>
      <c r="AD101" s="32" t="str">
        <f t="shared" si="14"/>
        <v/>
      </c>
      <c r="AE101" s="32" t="str">
        <f t="shared" si="13"/>
        <v/>
      </c>
      <c r="AF101" s="142"/>
      <c r="AG101" s="101"/>
      <c r="AH101" s="143"/>
      <c r="AI101" s="101"/>
      <c r="AJ101" s="101"/>
      <c r="AK101" s="101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  <c r="BB101" s="144"/>
      <c r="BC101" s="144"/>
      <c r="BD101" s="144"/>
      <c r="BE101" s="144"/>
      <c r="BF101" s="144"/>
      <c r="BG101" s="144"/>
      <c r="BH101" s="144"/>
      <c r="BI101" s="144"/>
      <c r="BJ101" s="144"/>
      <c r="BK101" s="144"/>
      <c r="BL101" s="144"/>
      <c r="BM101" s="144"/>
      <c r="BN101" s="144"/>
      <c r="BO101" s="144"/>
      <c r="BP101" s="144"/>
      <c r="BQ101" s="144"/>
      <c r="BR101" s="144"/>
    </row>
    <row r="102" spans="2:70" ht="19.149999999999999" customHeight="1">
      <c r="B102" s="132"/>
      <c r="C102" s="24"/>
      <c r="D102" s="133"/>
      <c r="E102" s="134"/>
      <c r="F102" s="135"/>
      <c r="G102" s="135"/>
      <c r="H102" s="136"/>
      <c r="I102" s="136"/>
      <c r="J102" s="30"/>
      <c r="K102" s="30"/>
      <c r="L102" s="30"/>
      <c r="M102" s="30"/>
      <c r="N102" s="30"/>
      <c r="O102" s="30"/>
      <c r="P102" s="137"/>
      <c r="Q102" s="138"/>
      <c r="R102" s="138"/>
      <c r="S102" s="138"/>
      <c r="T102" s="139"/>
      <c r="U102" s="140"/>
      <c r="V102" s="141"/>
      <c r="W102" s="141"/>
      <c r="X102" s="140"/>
      <c r="Y102" s="140"/>
      <c r="Z102" s="140"/>
      <c r="AA102" s="31"/>
      <c r="AB102" s="32" t="str">
        <f>IF($S102="","",IF(#REF!="Tolerance",IF((#REF!*3*T102+S102)-E102&lt;F102,"",(#REF!*3*T102+S102)-E102),IF(OR(#REF!="GD&amp;T",#REF!="MAX"),IF((#REF!*3*T102+S102)&lt;F102,"",(#REF!*3*T102+S102)),"")))</f>
        <v/>
      </c>
      <c r="AC102" s="32" t="str">
        <f>IF(S102="","",IF(#REF!="Tolerance",IF(-((#REF!*3*T102)-S102)-E102&gt;G102,"",-((#REF!*3*T102)-S102)-E102),IF(#REF!="MIN",IF(-((#REF!*3*T102)-S102)&gt;G102,"",-((#REF!*3*T102)-S102)),"")))</f>
        <v/>
      </c>
      <c r="AD102" s="32" t="str">
        <f t="shared" si="14"/>
        <v/>
      </c>
      <c r="AE102" s="32" t="str">
        <f t="shared" si="13"/>
        <v/>
      </c>
      <c r="AF102" s="142"/>
      <c r="AG102" s="101"/>
      <c r="AH102" s="143"/>
      <c r="AI102" s="101"/>
      <c r="AJ102" s="101"/>
      <c r="AK102" s="101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  <c r="BB102" s="144"/>
      <c r="BC102" s="144"/>
      <c r="BD102" s="144"/>
      <c r="BE102" s="144"/>
      <c r="BF102" s="144"/>
      <c r="BG102" s="144"/>
      <c r="BH102" s="144"/>
      <c r="BI102" s="144"/>
      <c r="BJ102" s="144"/>
      <c r="BK102" s="144"/>
      <c r="BL102" s="144"/>
      <c r="BM102" s="144"/>
      <c r="BN102" s="144"/>
      <c r="BO102" s="144"/>
      <c r="BP102" s="144"/>
      <c r="BQ102" s="144"/>
      <c r="BR102" s="144"/>
    </row>
    <row r="103" spans="2:70" ht="19.149999999999999" customHeight="1">
      <c r="B103" s="132"/>
      <c r="C103" s="24"/>
      <c r="D103" s="133"/>
      <c r="E103" s="134"/>
      <c r="F103" s="135"/>
      <c r="G103" s="135"/>
      <c r="H103" s="136"/>
      <c r="I103" s="136"/>
      <c r="J103" s="30"/>
      <c r="K103" s="30"/>
      <c r="L103" s="30"/>
      <c r="M103" s="30"/>
      <c r="N103" s="30"/>
      <c r="O103" s="30"/>
      <c r="P103" s="137"/>
      <c r="Q103" s="138"/>
      <c r="R103" s="138"/>
      <c r="S103" s="138"/>
      <c r="T103" s="139"/>
      <c r="U103" s="140"/>
      <c r="V103" s="141"/>
      <c r="W103" s="141"/>
      <c r="X103" s="140"/>
      <c r="Y103" s="140"/>
      <c r="Z103" s="140"/>
      <c r="AA103" s="31"/>
      <c r="AB103" s="32" t="str">
        <f>IF($S103="","",IF(#REF!="Tolerance",IF((#REF!*3*T103+S103)-E103&lt;F103,"",(#REF!*3*T103+S103)-E103),IF(OR(#REF!="GD&amp;T",#REF!="MAX"),IF((#REF!*3*T103+S103)&lt;F103,"",(#REF!*3*T103+S103)),"")))</f>
        <v/>
      </c>
      <c r="AC103" s="32" t="str">
        <f>IF(S103="","",IF(#REF!="Tolerance",IF(-((#REF!*3*T103)-S103)-E103&gt;G103,"",-((#REF!*3*T103)-S103)-E103),IF(#REF!="MIN",IF(-((#REF!*3*T103)-S103)&gt;G103,"",-((#REF!*3*T103)-S103)),"")))</f>
        <v/>
      </c>
      <c r="AD103" s="32" t="str">
        <f t="shared" si="14"/>
        <v/>
      </c>
      <c r="AE103" s="32" t="str">
        <f t="shared" si="13"/>
        <v/>
      </c>
      <c r="AF103" s="142"/>
      <c r="AG103" s="101"/>
      <c r="AH103" s="143"/>
      <c r="AI103" s="101"/>
      <c r="AJ103" s="101"/>
      <c r="AK103" s="101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4"/>
      <c r="BO103" s="144"/>
      <c r="BP103" s="144"/>
      <c r="BQ103" s="144"/>
      <c r="BR103" s="144"/>
    </row>
    <row r="104" spans="2:70" ht="19.149999999999999" customHeight="1">
      <c r="B104" s="132"/>
      <c r="C104" s="24"/>
      <c r="D104" s="133"/>
      <c r="E104" s="134"/>
      <c r="F104" s="135"/>
      <c r="G104" s="135"/>
      <c r="H104" s="136"/>
      <c r="I104" s="136"/>
      <c r="J104" s="30"/>
      <c r="K104" s="30"/>
      <c r="L104" s="30"/>
      <c r="M104" s="30"/>
      <c r="N104" s="30"/>
      <c r="O104" s="30"/>
      <c r="P104" s="137"/>
      <c r="Q104" s="138"/>
      <c r="R104" s="138"/>
      <c r="S104" s="138"/>
      <c r="T104" s="139"/>
      <c r="U104" s="140"/>
      <c r="V104" s="141"/>
      <c r="W104" s="141"/>
      <c r="X104" s="140"/>
      <c r="Y104" s="140"/>
      <c r="Z104" s="140"/>
      <c r="AA104" s="31"/>
      <c r="AB104" s="32" t="str">
        <f>IF($S104="","",IF(#REF!="Tolerance",IF((#REF!*3*T104+S104)-E104&lt;F104,"",(#REF!*3*T104+S104)-E104),IF(OR(#REF!="GD&amp;T",#REF!="MAX"),IF((#REF!*3*T104+S104)&lt;F104,"",(#REF!*3*T104+S104)),"")))</f>
        <v/>
      </c>
      <c r="AC104" s="32" t="str">
        <f>IF(S104="","",IF(#REF!="Tolerance",IF(-((#REF!*3*T104)-S104)-E104&gt;G104,"",-((#REF!*3*T104)-S104)-E104),IF(#REF!="MIN",IF(-((#REF!*3*T104)-S104)&gt;G104,"",-((#REF!*3*T104)-S104)),"")))</f>
        <v/>
      </c>
      <c r="AD104" s="32" t="str">
        <f t="shared" si="14"/>
        <v/>
      </c>
      <c r="AE104" s="32" t="str">
        <f t="shared" si="13"/>
        <v/>
      </c>
      <c r="AF104" s="142"/>
      <c r="AG104" s="101"/>
      <c r="AH104" s="143"/>
      <c r="AI104" s="101"/>
      <c r="AJ104" s="101"/>
      <c r="AK104" s="101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  <c r="BB104" s="144"/>
      <c r="BC104" s="144"/>
      <c r="BD104" s="144"/>
      <c r="BE104" s="144"/>
      <c r="BF104" s="144"/>
      <c r="BG104" s="144"/>
      <c r="BH104" s="144"/>
      <c r="BI104" s="144"/>
      <c r="BJ104" s="144"/>
      <c r="BK104" s="144"/>
      <c r="BL104" s="144"/>
      <c r="BM104" s="144"/>
      <c r="BN104" s="144"/>
      <c r="BO104" s="144"/>
      <c r="BP104" s="144"/>
      <c r="BQ104" s="144"/>
      <c r="BR104" s="144"/>
    </row>
    <row r="105" spans="2:70" ht="19.149999999999999" customHeight="1">
      <c r="B105" s="132"/>
      <c r="C105" s="24"/>
      <c r="D105" s="133"/>
      <c r="E105" s="134"/>
      <c r="F105" s="135"/>
      <c r="G105" s="135"/>
      <c r="H105" s="136"/>
      <c r="I105" s="136"/>
      <c r="J105" s="30"/>
      <c r="K105" s="30"/>
      <c r="L105" s="30"/>
      <c r="M105" s="30"/>
      <c r="N105" s="30"/>
      <c r="O105" s="30"/>
      <c r="P105" s="137"/>
      <c r="Q105" s="138"/>
      <c r="R105" s="138"/>
      <c r="S105" s="138"/>
      <c r="T105" s="139"/>
      <c r="U105" s="140"/>
      <c r="V105" s="141"/>
      <c r="W105" s="141"/>
      <c r="X105" s="140"/>
      <c r="Y105" s="140"/>
      <c r="Z105" s="140"/>
      <c r="AA105" s="31"/>
      <c r="AB105" s="32" t="str">
        <f>IF($S105="","",IF(#REF!="Tolerance",IF((#REF!*3*T105+S105)-E105&lt;F105,"",(#REF!*3*T105+S105)-E105),IF(OR(#REF!="GD&amp;T",#REF!="MAX"),IF((#REF!*3*T105+S105)&lt;F105,"",(#REF!*3*T105+S105)),"")))</f>
        <v/>
      </c>
      <c r="AC105" s="32" t="str">
        <f>IF(S105="","",IF(#REF!="Tolerance",IF(-((#REF!*3*T105)-S105)-E105&gt;G105,"",-((#REF!*3*T105)-S105)-E105),IF(#REF!="MIN",IF(-((#REF!*3*T105)-S105)&gt;G105,"",-((#REF!*3*T105)-S105)),"")))</f>
        <v/>
      </c>
      <c r="AD105" s="32" t="str">
        <f t="shared" si="14"/>
        <v/>
      </c>
      <c r="AE105" s="32" t="str">
        <f t="shared" si="13"/>
        <v/>
      </c>
      <c r="AF105" s="142"/>
      <c r="AG105" s="101"/>
      <c r="AH105" s="143"/>
      <c r="AI105" s="101"/>
      <c r="AJ105" s="101"/>
      <c r="AK105" s="101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  <c r="BA105" s="144"/>
      <c r="BB105" s="144"/>
      <c r="BC105" s="144"/>
      <c r="BD105" s="144"/>
      <c r="BE105" s="144"/>
      <c r="BF105" s="144"/>
      <c r="BG105" s="144"/>
      <c r="BH105" s="144"/>
      <c r="BI105" s="144"/>
      <c r="BJ105" s="144"/>
      <c r="BK105" s="144"/>
      <c r="BL105" s="144"/>
      <c r="BM105" s="144"/>
      <c r="BN105" s="144"/>
      <c r="BO105" s="144"/>
      <c r="BP105" s="144"/>
      <c r="BQ105" s="144"/>
      <c r="BR105" s="144"/>
    </row>
    <row r="106" spans="2:70" ht="19.149999999999999" customHeight="1">
      <c r="B106" s="132"/>
      <c r="C106" s="24"/>
      <c r="D106" s="133"/>
      <c r="E106" s="134"/>
      <c r="F106" s="135"/>
      <c r="G106" s="135"/>
      <c r="H106" s="136"/>
      <c r="I106" s="136"/>
      <c r="J106" s="30"/>
      <c r="K106" s="30"/>
      <c r="L106" s="30"/>
      <c r="M106" s="30"/>
      <c r="N106" s="30"/>
      <c r="O106" s="30"/>
      <c r="P106" s="137"/>
      <c r="Q106" s="138"/>
      <c r="R106" s="138"/>
      <c r="S106" s="138"/>
      <c r="T106" s="139"/>
      <c r="U106" s="140"/>
      <c r="V106" s="141"/>
      <c r="W106" s="141"/>
      <c r="X106" s="140"/>
      <c r="Y106" s="140"/>
      <c r="Z106" s="140"/>
      <c r="AA106" s="31"/>
      <c r="AB106" s="32" t="str">
        <f>IF($S106="","",IF(#REF!="Tolerance",IF((#REF!*3*T106+S106)-E106&lt;F106,"",(#REF!*3*T106+S106)-E106),IF(OR(#REF!="GD&amp;T",#REF!="MAX"),IF((#REF!*3*T106+S106)&lt;F106,"",(#REF!*3*T106+S106)),"")))</f>
        <v/>
      </c>
      <c r="AC106" s="32" t="str">
        <f>IF(S106="","",IF(#REF!="Tolerance",IF(-((#REF!*3*T106)-S106)-E106&gt;G106,"",-((#REF!*3*T106)-S106)-E106),IF(#REF!="MIN",IF(-((#REF!*3*T106)-S106)&gt;G106,"",-((#REF!*3*T106)-S106)),"")))</f>
        <v/>
      </c>
      <c r="AD106" s="32" t="str">
        <f t="shared" si="14"/>
        <v/>
      </c>
      <c r="AE106" s="32" t="str">
        <f t="shared" si="13"/>
        <v/>
      </c>
      <c r="AF106" s="142"/>
      <c r="AG106" s="101"/>
      <c r="AH106" s="143"/>
      <c r="AI106" s="101"/>
      <c r="AJ106" s="101"/>
      <c r="AK106" s="101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  <c r="BB106" s="144"/>
      <c r="BC106" s="144"/>
      <c r="BD106" s="144"/>
      <c r="BE106" s="144"/>
      <c r="BF106" s="144"/>
      <c r="BG106" s="144"/>
      <c r="BH106" s="144"/>
      <c r="BI106" s="144"/>
      <c r="BJ106" s="144"/>
      <c r="BK106" s="144"/>
      <c r="BL106" s="144"/>
      <c r="BM106" s="144"/>
      <c r="BN106" s="144"/>
      <c r="BO106" s="144"/>
      <c r="BP106" s="144"/>
      <c r="BQ106" s="144"/>
      <c r="BR106" s="144"/>
    </row>
    <row r="107" spans="2:70" ht="19.149999999999999" customHeight="1">
      <c r="B107" s="132"/>
      <c r="C107" s="24"/>
      <c r="D107" s="133"/>
      <c r="E107" s="134"/>
      <c r="F107" s="135"/>
      <c r="G107" s="135"/>
      <c r="H107" s="136"/>
      <c r="I107" s="136"/>
      <c r="J107" s="30"/>
      <c r="K107" s="30"/>
      <c r="L107" s="30"/>
      <c r="M107" s="30"/>
      <c r="N107" s="30"/>
      <c r="O107" s="30"/>
      <c r="P107" s="137"/>
      <c r="Q107" s="138"/>
      <c r="R107" s="138"/>
      <c r="S107" s="138"/>
      <c r="T107" s="139"/>
      <c r="U107" s="140"/>
      <c r="V107" s="141"/>
      <c r="W107" s="141"/>
      <c r="X107" s="140"/>
      <c r="Y107" s="140"/>
      <c r="Z107" s="140"/>
      <c r="AA107" s="31"/>
      <c r="AB107" s="32" t="str">
        <f>IF($S107="","",IF(#REF!="Tolerance",IF((#REF!*3*T107+S107)-E107&lt;F107,"",(#REF!*3*T107+S107)-E107),IF(OR(#REF!="GD&amp;T",#REF!="MAX"),IF((#REF!*3*T107+S107)&lt;F107,"",(#REF!*3*T107+S107)),"")))</f>
        <v/>
      </c>
      <c r="AC107" s="32" t="str">
        <f>IF(S107="","",IF(#REF!="Tolerance",IF(-((#REF!*3*T107)-S107)-E107&gt;G107,"",-((#REF!*3*T107)-S107)-E107),IF(#REF!="MIN",IF(-((#REF!*3*T107)-S107)&gt;G107,"",-((#REF!*3*T107)-S107)),"")))</f>
        <v/>
      </c>
      <c r="AD107" s="32" t="str">
        <f t="shared" si="14"/>
        <v/>
      </c>
      <c r="AE107" s="32" t="str">
        <f t="shared" si="13"/>
        <v/>
      </c>
      <c r="AF107" s="142"/>
      <c r="AG107" s="101"/>
      <c r="AH107" s="143"/>
      <c r="AI107" s="101"/>
      <c r="AJ107" s="101"/>
      <c r="AK107" s="101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144"/>
      <c r="BC107" s="144"/>
      <c r="BD107" s="144"/>
      <c r="BE107" s="144"/>
      <c r="BF107" s="144"/>
      <c r="BG107" s="144"/>
      <c r="BH107" s="144"/>
      <c r="BI107" s="144"/>
      <c r="BJ107" s="144"/>
      <c r="BK107" s="144"/>
      <c r="BL107" s="144"/>
      <c r="BM107" s="144"/>
      <c r="BN107" s="144"/>
      <c r="BO107" s="144"/>
      <c r="BP107" s="144"/>
      <c r="BQ107" s="144"/>
      <c r="BR107" s="144"/>
    </row>
    <row r="108" spans="2:70" ht="19.149999999999999" customHeight="1">
      <c r="B108" s="132"/>
      <c r="C108" s="24"/>
      <c r="D108" s="133"/>
      <c r="E108" s="134"/>
      <c r="F108" s="135"/>
      <c r="G108" s="135"/>
      <c r="H108" s="136"/>
      <c r="I108" s="136"/>
      <c r="J108" s="30"/>
      <c r="K108" s="30"/>
      <c r="L108" s="30"/>
      <c r="M108" s="30"/>
      <c r="N108" s="30"/>
      <c r="O108" s="30"/>
      <c r="P108" s="137"/>
      <c r="Q108" s="138"/>
      <c r="R108" s="138"/>
      <c r="S108" s="138"/>
      <c r="T108" s="139"/>
      <c r="U108" s="140"/>
      <c r="V108" s="141"/>
      <c r="W108" s="141"/>
      <c r="X108" s="140"/>
      <c r="Y108" s="140"/>
      <c r="Z108" s="140"/>
      <c r="AA108" s="31"/>
      <c r="AB108" s="32" t="str">
        <f>IF($S108="","",IF(#REF!="Tolerance",IF((#REF!*3*T108+S108)-E108&lt;F108,"",(#REF!*3*T108+S108)-E108),IF(OR(#REF!="GD&amp;T",#REF!="MAX"),IF((#REF!*3*T108+S108)&lt;F108,"",(#REF!*3*T108+S108)),"")))</f>
        <v/>
      </c>
      <c r="AC108" s="32" t="str">
        <f>IF(S108="","",IF(#REF!="Tolerance",IF(-((#REF!*3*T108)-S108)-E108&gt;G108,"",-((#REF!*3*T108)-S108)-E108),IF(#REF!="MIN",IF(-((#REF!*3*T108)-S108)&gt;G108,"",-((#REF!*3*T108)-S108)),"")))</f>
        <v/>
      </c>
      <c r="AD108" s="32" t="str">
        <f t="shared" si="14"/>
        <v/>
      </c>
      <c r="AE108" s="32" t="str">
        <f t="shared" si="13"/>
        <v/>
      </c>
      <c r="AF108" s="142"/>
      <c r="AG108" s="101"/>
      <c r="AH108" s="143"/>
      <c r="AI108" s="101"/>
      <c r="AJ108" s="101"/>
      <c r="AK108" s="101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  <c r="BB108" s="144"/>
      <c r="BC108" s="144"/>
      <c r="BD108" s="144"/>
      <c r="BE108" s="144"/>
      <c r="BF108" s="144"/>
      <c r="BG108" s="144"/>
      <c r="BH108" s="144"/>
      <c r="BI108" s="144"/>
      <c r="BJ108" s="144"/>
      <c r="BK108" s="144"/>
      <c r="BL108" s="144"/>
      <c r="BM108" s="144"/>
      <c r="BN108" s="144"/>
      <c r="BO108" s="144"/>
      <c r="BP108" s="144"/>
      <c r="BQ108" s="144"/>
      <c r="BR108" s="144"/>
    </row>
    <row r="109" spans="2:70" ht="19.149999999999999" customHeight="1">
      <c r="B109" s="132"/>
      <c r="C109" s="24"/>
      <c r="D109" s="133"/>
      <c r="E109" s="134"/>
      <c r="F109" s="135"/>
      <c r="G109" s="135"/>
      <c r="H109" s="136"/>
      <c r="I109" s="136"/>
      <c r="J109" s="30"/>
      <c r="K109" s="30"/>
      <c r="L109" s="30"/>
      <c r="M109" s="30"/>
      <c r="N109" s="30"/>
      <c r="O109" s="30"/>
      <c r="P109" s="137"/>
      <c r="Q109" s="138"/>
      <c r="R109" s="138"/>
      <c r="S109" s="138"/>
      <c r="T109" s="139"/>
      <c r="U109" s="140"/>
      <c r="V109" s="141"/>
      <c r="W109" s="141"/>
      <c r="X109" s="140"/>
      <c r="Y109" s="140"/>
      <c r="Z109" s="140"/>
      <c r="AA109" s="31"/>
      <c r="AB109" s="32" t="str">
        <f>IF($S109="","",IF(#REF!="Tolerance",IF((#REF!*3*T109+S109)-E109&lt;F109,"",(#REF!*3*T109+S109)-E109),IF(OR(#REF!="GD&amp;T",#REF!="MAX"),IF((#REF!*3*T109+S109)&lt;F109,"",(#REF!*3*T109+S109)),"")))</f>
        <v/>
      </c>
      <c r="AC109" s="32" t="str">
        <f>IF(S109="","",IF(#REF!="Tolerance",IF(-((#REF!*3*T109)-S109)-E109&gt;G109,"",-((#REF!*3*T109)-S109)-E109),IF(#REF!="MIN",IF(-((#REF!*3*T109)-S109)&gt;G109,"",-((#REF!*3*T109)-S109)),"")))</f>
        <v/>
      </c>
      <c r="AD109" s="32" t="str">
        <f t="shared" si="14"/>
        <v/>
      </c>
      <c r="AE109" s="32" t="str">
        <f t="shared" si="13"/>
        <v/>
      </c>
      <c r="AF109" s="142"/>
      <c r="AG109" s="101"/>
      <c r="AH109" s="143"/>
      <c r="AI109" s="101"/>
      <c r="AJ109" s="101"/>
      <c r="AK109" s="101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144"/>
      <c r="BC109" s="144"/>
      <c r="BD109" s="144"/>
      <c r="BE109" s="144"/>
      <c r="BF109" s="144"/>
      <c r="BG109" s="144"/>
      <c r="BH109" s="144"/>
      <c r="BI109" s="144"/>
      <c r="BJ109" s="144"/>
      <c r="BK109" s="144"/>
      <c r="BL109" s="144"/>
      <c r="BM109" s="144"/>
      <c r="BN109" s="144"/>
      <c r="BO109" s="144"/>
      <c r="BP109" s="144"/>
      <c r="BQ109" s="144"/>
      <c r="BR109" s="144"/>
    </row>
    <row r="110" spans="2:70" ht="19.149999999999999" customHeight="1">
      <c r="B110" s="132"/>
      <c r="C110" s="24"/>
      <c r="D110" s="133"/>
      <c r="E110" s="134"/>
      <c r="F110" s="135"/>
      <c r="G110" s="135"/>
      <c r="H110" s="136"/>
      <c r="I110" s="136"/>
      <c r="J110" s="30"/>
      <c r="K110" s="30"/>
      <c r="L110" s="30"/>
      <c r="M110" s="30"/>
      <c r="N110" s="30"/>
      <c r="O110" s="30"/>
      <c r="P110" s="137"/>
      <c r="Q110" s="138"/>
      <c r="R110" s="138"/>
      <c r="S110" s="138"/>
      <c r="T110" s="139"/>
      <c r="U110" s="140"/>
      <c r="V110" s="141"/>
      <c r="W110" s="141"/>
      <c r="X110" s="140"/>
      <c r="Y110" s="140"/>
      <c r="Z110" s="140"/>
      <c r="AA110" s="31"/>
      <c r="AB110" s="32" t="str">
        <f>IF($S110="","",IF(#REF!="Tolerance",IF((#REF!*3*T110+S110)-E110&lt;F110,"",(#REF!*3*T110+S110)-E110),IF(OR(#REF!="GD&amp;T",#REF!="MAX"),IF((#REF!*3*T110+S110)&lt;F110,"",(#REF!*3*T110+S110)),"")))</f>
        <v/>
      </c>
      <c r="AC110" s="32" t="str">
        <f>IF(S110="","",IF(#REF!="Tolerance",IF(-((#REF!*3*T110)-S110)-E110&gt;G110,"",-((#REF!*3*T110)-S110)-E110),IF(#REF!="MIN",IF(-((#REF!*3*T110)-S110)&gt;G110,"",-((#REF!*3*T110)-S110)),"")))</f>
        <v/>
      </c>
      <c r="AD110" s="32" t="str">
        <f t="shared" si="14"/>
        <v/>
      </c>
      <c r="AE110" s="32" t="str">
        <f t="shared" si="13"/>
        <v/>
      </c>
      <c r="AF110" s="142"/>
      <c r="AG110" s="101"/>
      <c r="AH110" s="143"/>
      <c r="AI110" s="101"/>
      <c r="AJ110" s="101"/>
      <c r="AK110" s="101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  <c r="BB110" s="144"/>
      <c r="BC110" s="144"/>
      <c r="BD110" s="144"/>
      <c r="BE110" s="144"/>
      <c r="BF110" s="144"/>
      <c r="BG110" s="144"/>
      <c r="BH110" s="144"/>
      <c r="BI110" s="144"/>
      <c r="BJ110" s="144"/>
      <c r="BK110" s="144"/>
      <c r="BL110" s="144"/>
      <c r="BM110" s="144"/>
      <c r="BN110" s="144"/>
      <c r="BO110" s="144"/>
      <c r="BP110" s="144"/>
      <c r="BQ110" s="144"/>
      <c r="BR110" s="144"/>
    </row>
    <row r="111" spans="2:70" ht="19.149999999999999" customHeight="1">
      <c r="B111" s="132"/>
      <c r="C111" s="24"/>
      <c r="D111" s="133"/>
      <c r="E111" s="134"/>
      <c r="F111" s="135"/>
      <c r="G111" s="135"/>
      <c r="H111" s="136"/>
      <c r="I111" s="136"/>
      <c r="J111" s="30"/>
      <c r="K111" s="30"/>
      <c r="L111" s="30"/>
      <c r="M111" s="30"/>
      <c r="N111" s="30"/>
      <c r="O111" s="30"/>
      <c r="P111" s="137"/>
      <c r="Q111" s="138"/>
      <c r="R111" s="138"/>
      <c r="S111" s="138"/>
      <c r="T111" s="139"/>
      <c r="U111" s="140"/>
      <c r="V111" s="141"/>
      <c r="W111" s="141"/>
      <c r="X111" s="140"/>
      <c r="Y111" s="140"/>
      <c r="Z111" s="140"/>
      <c r="AA111" s="31"/>
      <c r="AB111" s="32" t="str">
        <f>IF($S111="","",IF(#REF!="Tolerance",IF((#REF!*3*T111+S111)-E111&lt;F111,"",(#REF!*3*T111+S111)-E111),IF(OR(#REF!="GD&amp;T",#REF!="MAX"),IF((#REF!*3*T111+S111)&lt;F111,"",(#REF!*3*T111+S111)),"")))</f>
        <v/>
      </c>
      <c r="AC111" s="32" t="str">
        <f>IF(S111="","",IF(#REF!="Tolerance",IF(-((#REF!*3*T111)-S111)-E111&gt;G111,"",-((#REF!*3*T111)-S111)-E111),IF(#REF!="MIN",IF(-((#REF!*3*T111)-S111)&gt;G111,"",-((#REF!*3*T111)-S111)),"")))</f>
        <v/>
      </c>
      <c r="AD111" s="32" t="str">
        <f t="shared" si="14"/>
        <v/>
      </c>
      <c r="AE111" s="32" t="str">
        <f t="shared" si="13"/>
        <v/>
      </c>
      <c r="AF111" s="142"/>
      <c r="AG111" s="101"/>
      <c r="AH111" s="143"/>
      <c r="AI111" s="101"/>
      <c r="AJ111" s="101"/>
      <c r="AK111" s="101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  <c r="BA111" s="144"/>
      <c r="BB111" s="144"/>
      <c r="BC111" s="144"/>
      <c r="BD111" s="144"/>
      <c r="BE111" s="144"/>
      <c r="BF111" s="144"/>
      <c r="BG111" s="144"/>
      <c r="BH111" s="144"/>
      <c r="BI111" s="144"/>
      <c r="BJ111" s="144"/>
      <c r="BK111" s="144"/>
      <c r="BL111" s="144"/>
      <c r="BM111" s="144"/>
      <c r="BN111" s="144"/>
      <c r="BO111" s="144"/>
      <c r="BP111" s="144"/>
      <c r="BQ111" s="144"/>
      <c r="BR111" s="144"/>
    </row>
    <row r="112" spans="2:70" ht="19.149999999999999" customHeight="1">
      <c r="B112" s="132"/>
      <c r="C112" s="24"/>
      <c r="D112" s="133"/>
      <c r="E112" s="134"/>
      <c r="F112" s="135"/>
      <c r="G112" s="135"/>
      <c r="H112" s="136"/>
      <c r="I112" s="136"/>
      <c r="J112" s="30"/>
      <c r="K112" s="30"/>
      <c r="L112" s="30"/>
      <c r="M112" s="30"/>
      <c r="N112" s="30"/>
      <c r="O112" s="30"/>
      <c r="P112" s="137"/>
      <c r="Q112" s="138"/>
      <c r="R112" s="138"/>
      <c r="S112" s="138"/>
      <c r="T112" s="139"/>
      <c r="U112" s="140"/>
      <c r="V112" s="141"/>
      <c r="W112" s="141"/>
      <c r="X112" s="140"/>
      <c r="Y112" s="140"/>
      <c r="Z112" s="140"/>
      <c r="AA112" s="31"/>
      <c r="AB112" s="32" t="str">
        <f>IF($S112="","",IF(#REF!="Tolerance",IF((#REF!*3*T112+S112)-E112&lt;F112,"",(#REF!*3*T112+S112)-E112),IF(OR(#REF!="GD&amp;T",#REF!="MAX"),IF((#REF!*3*T112+S112)&lt;F112,"",(#REF!*3*T112+S112)),"")))</f>
        <v/>
      </c>
      <c r="AC112" s="32" t="str">
        <f>IF(S112="","",IF(#REF!="Tolerance",IF(-((#REF!*3*T112)-S112)-E112&gt;G112,"",-((#REF!*3*T112)-S112)-E112),IF(#REF!="MIN",IF(-((#REF!*3*T112)-S112)&gt;G112,"",-((#REF!*3*T112)-S112)),"")))</f>
        <v/>
      </c>
      <c r="AD112" s="32" t="str">
        <f t="shared" si="14"/>
        <v/>
      </c>
      <c r="AE112" s="32" t="str">
        <f t="shared" si="13"/>
        <v/>
      </c>
      <c r="AF112" s="142"/>
      <c r="AG112" s="101"/>
      <c r="AH112" s="143"/>
      <c r="AI112" s="101"/>
      <c r="AJ112" s="101"/>
      <c r="AK112" s="101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  <c r="BB112" s="144"/>
      <c r="BC112" s="144"/>
      <c r="BD112" s="144"/>
      <c r="BE112" s="144"/>
      <c r="BF112" s="144"/>
      <c r="BG112" s="144"/>
      <c r="BH112" s="144"/>
      <c r="BI112" s="144"/>
      <c r="BJ112" s="144"/>
      <c r="BK112" s="144"/>
      <c r="BL112" s="144"/>
      <c r="BM112" s="144"/>
      <c r="BN112" s="144"/>
      <c r="BO112" s="144"/>
      <c r="BP112" s="144"/>
      <c r="BQ112" s="144"/>
      <c r="BR112" s="144"/>
    </row>
    <row r="113" spans="2:70" ht="19.149999999999999" customHeight="1">
      <c r="B113" s="132"/>
      <c r="C113" s="24"/>
      <c r="D113" s="133"/>
      <c r="E113" s="134"/>
      <c r="F113" s="135"/>
      <c r="G113" s="135"/>
      <c r="H113" s="136"/>
      <c r="I113" s="136"/>
      <c r="J113" s="30"/>
      <c r="K113" s="30"/>
      <c r="L113" s="30"/>
      <c r="M113" s="30"/>
      <c r="N113" s="30"/>
      <c r="O113" s="30"/>
      <c r="P113" s="137"/>
      <c r="Q113" s="138"/>
      <c r="R113" s="138"/>
      <c r="S113" s="138"/>
      <c r="T113" s="139"/>
      <c r="U113" s="140"/>
      <c r="V113" s="141"/>
      <c r="W113" s="141"/>
      <c r="X113" s="140"/>
      <c r="Y113" s="140"/>
      <c r="Z113" s="140"/>
      <c r="AA113" s="31"/>
      <c r="AB113" s="32" t="str">
        <f>IF($S113="","",IF(#REF!="Tolerance",IF((#REF!*3*T113+S113)-E113&lt;F113,"",(#REF!*3*T113+S113)-E113),IF(OR(#REF!="GD&amp;T",#REF!="MAX"),IF((#REF!*3*T113+S113)&lt;F113,"",(#REF!*3*T113+S113)),"")))</f>
        <v/>
      </c>
      <c r="AC113" s="32" t="str">
        <f>IF(S113="","",IF(#REF!="Tolerance",IF(-((#REF!*3*T113)-S113)-E113&gt;G113,"",-((#REF!*3*T113)-S113)-E113),IF(#REF!="MIN",IF(-((#REF!*3*T113)-S113)&gt;G113,"",-((#REF!*3*T113)-S113)),"")))</f>
        <v/>
      </c>
      <c r="AD113" s="32" t="str">
        <f t="shared" si="14"/>
        <v/>
      </c>
      <c r="AE113" s="32" t="str">
        <f t="shared" si="13"/>
        <v/>
      </c>
      <c r="AF113" s="142"/>
      <c r="AG113" s="101"/>
      <c r="AH113" s="143"/>
      <c r="AI113" s="101"/>
      <c r="AJ113" s="101"/>
      <c r="AK113" s="101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  <c r="BB113" s="144"/>
      <c r="BC113" s="144"/>
      <c r="BD113" s="144"/>
      <c r="BE113" s="144"/>
      <c r="BF113" s="144"/>
      <c r="BG113" s="144"/>
      <c r="BH113" s="144"/>
      <c r="BI113" s="144"/>
      <c r="BJ113" s="144"/>
      <c r="BK113" s="144"/>
      <c r="BL113" s="144"/>
      <c r="BM113" s="144"/>
      <c r="BN113" s="144"/>
      <c r="BO113" s="144"/>
      <c r="BP113" s="144"/>
      <c r="BQ113" s="144"/>
      <c r="BR113" s="144"/>
    </row>
    <row r="114" spans="2:70" ht="19.149999999999999" customHeight="1">
      <c r="B114" s="132"/>
      <c r="C114" s="24"/>
      <c r="D114" s="133"/>
      <c r="E114" s="134"/>
      <c r="F114" s="135"/>
      <c r="G114" s="135"/>
      <c r="H114" s="136"/>
      <c r="I114" s="136"/>
      <c r="J114" s="30"/>
      <c r="K114" s="30"/>
      <c r="L114" s="30"/>
      <c r="M114" s="30"/>
      <c r="N114" s="30"/>
      <c r="O114" s="30"/>
      <c r="P114" s="137"/>
      <c r="Q114" s="138"/>
      <c r="R114" s="138"/>
      <c r="S114" s="138"/>
      <c r="T114" s="139"/>
      <c r="U114" s="140"/>
      <c r="V114" s="141"/>
      <c r="W114" s="141"/>
      <c r="X114" s="140"/>
      <c r="Y114" s="140"/>
      <c r="Z114" s="140"/>
      <c r="AA114" s="31"/>
      <c r="AB114" s="32" t="str">
        <f>IF($S114="","",IF(#REF!="Tolerance",IF((#REF!*3*T114+S114)-E114&lt;F114,"",(#REF!*3*T114+S114)-E114),IF(OR(#REF!="GD&amp;T",#REF!="MAX"),IF((#REF!*3*T114+S114)&lt;F114,"",(#REF!*3*T114+S114)),"")))</f>
        <v/>
      </c>
      <c r="AC114" s="32" t="str">
        <f>IF(S114="","",IF(#REF!="Tolerance",IF(-((#REF!*3*T114)-S114)-E114&gt;G114,"",-((#REF!*3*T114)-S114)-E114),IF(#REF!="MIN",IF(-((#REF!*3*T114)-S114)&gt;G114,"",-((#REF!*3*T114)-S114)),"")))</f>
        <v/>
      </c>
      <c r="AD114" s="32" t="str">
        <f t="shared" si="14"/>
        <v/>
      </c>
      <c r="AE114" s="32" t="str">
        <f t="shared" si="13"/>
        <v/>
      </c>
      <c r="AF114" s="142"/>
      <c r="AG114" s="101"/>
      <c r="AH114" s="143"/>
      <c r="AI114" s="101"/>
      <c r="AJ114" s="101"/>
      <c r="AK114" s="101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144"/>
      <c r="BC114" s="144"/>
      <c r="BD114" s="144"/>
      <c r="BE114" s="144"/>
      <c r="BF114" s="144"/>
      <c r="BG114" s="144"/>
      <c r="BH114" s="144"/>
      <c r="BI114" s="144"/>
      <c r="BJ114" s="144"/>
      <c r="BK114" s="144"/>
      <c r="BL114" s="144"/>
      <c r="BM114" s="144"/>
      <c r="BN114" s="144"/>
      <c r="BO114" s="144"/>
      <c r="BP114" s="144"/>
      <c r="BQ114" s="144"/>
      <c r="BR114" s="144"/>
    </row>
    <row r="115" spans="2:70" ht="19.149999999999999" customHeight="1">
      <c r="B115" s="132"/>
      <c r="C115" s="24"/>
      <c r="D115" s="133"/>
      <c r="E115" s="134"/>
      <c r="F115" s="135"/>
      <c r="G115" s="135"/>
      <c r="H115" s="136"/>
      <c r="I115" s="136"/>
      <c r="J115" s="30"/>
      <c r="K115" s="30"/>
      <c r="L115" s="30"/>
      <c r="M115" s="30"/>
      <c r="N115" s="30"/>
      <c r="O115" s="30"/>
      <c r="P115" s="137"/>
      <c r="Q115" s="138"/>
      <c r="R115" s="138"/>
      <c r="S115" s="138"/>
      <c r="T115" s="139"/>
      <c r="U115" s="140"/>
      <c r="V115" s="141"/>
      <c r="W115" s="141"/>
      <c r="X115" s="140"/>
      <c r="Y115" s="140"/>
      <c r="Z115" s="140"/>
      <c r="AA115" s="31"/>
      <c r="AB115" s="32" t="str">
        <f>IF($S115="","",IF(#REF!="Tolerance",IF((#REF!*3*T115+S115)-E115&lt;F115,"",(#REF!*3*T115+S115)-E115),IF(OR(#REF!="GD&amp;T",#REF!="MAX"),IF((#REF!*3*T115+S115)&lt;F115,"",(#REF!*3*T115+S115)),"")))</f>
        <v/>
      </c>
      <c r="AC115" s="32" t="str">
        <f>IF(S115="","",IF(#REF!="Tolerance",IF(-((#REF!*3*T115)-S115)-E115&gt;G115,"",-((#REF!*3*T115)-S115)-E115),IF(#REF!="MIN",IF(-((#REF!*3*T115)-S115)&gt;G115,"",-((#REF!*3*T115)-S115)),"")))</f>
        <v/>
      </c>
      <c r="AD115" s="32" t="str">
        <f t="shared" si="14"/>
        <v/>
      </c>
      <c r="AE115" s="32" t="str">
        <f t="shared" si="13"/>
        <v/>
      </c>
      <c r="AF115" s="142"/>
      <c r="AG115" s="101"/>
      <c r="AH115" s="143"/>
      <c r="AI115" s="101"/>
      <c r="AJ115" s="101"/>
      <c r="AK115" s="101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144"/>
      <c r="BC115" s="144"/>
      <c r="BD115" s="144"/>
      <c r="BE115" s="144"/>
      <c r="BF115" s="144"/>
      <c r="BG115" s="144"/>
      <c r="BH115" s="144"/>
      <c r="BI115" s="144"/>
      <c r="BJ115" s="144"/>
      <c r="BK115" s="144"/>
      <c r="BL115" s="144"/>
      <c r="BM115" s="144"/>
      <c r="BN115" s="144"/>
      <c r="BO115" s="144"/>
      <c r="BP115" s="144"/>
      <c r="BQ115" s="144"/>
      <c r="BR115" s="144"/>
    </row>
    <row r="116" spans="2:70" ht="19.149999999999999" customHeight="1">
      <c r="B116" s="132"/>
      <c r="C116" s="24"/>
      <c r="D116" s="133"/>
      <c r="E116" s="134"/>
      <c r="F116" s="135"/>
      <c r="G116" s="135"/>
      <c r="H116" s="136"/>
      <c r="I116" s="136"/>
      <c r="J116" s="30"/>
      <c r="K116" s="30"/>
      <c r="L116" s="30"/>
      <c r="M116" s="30"/>
      <c r="N116" s="30"/>
      <c r="O116" s="30"/>
      <c r="P116" s="137"/>
      <c r="Q116" s="138"/>
      <c r="R116" s="138"/>
      <c r="S116" s="138"/>
      <c r="T116" s="139"/>
      <c r="U116" s="140"/>
      <c r="V116" s="141"/>
      <c r="W116" s="141"/>
      <c r="X116" s="140"/>
      <c r="Y116" s="140"/>
      <c r="Z116" s="140"/>
      <c r="AA116" s="31"/>
      <c r="AB116" s="32" t="str">
        <f>IF($S116="","",IF(#REF!="Tolerance",IF((#REF!*3*T116+S116)-E116&lt;F116,"",(#REF!*3*T116+S116)-E116),IF(OR(#REF!="GD&amp;T",#REF!="MAX"),IF((#REF!*3*T116+S116)&lt;F116,"",(#REF!*3*T116+S116)),"")))</f>
        <v/>
      </c>
      <c r="AC116" s="32" t="str">
        <f>IF(S116="","",IF(#REF!="Tolerance",IF(-((#REF!*3*T116)-S116)-E116&gt;G116,"",-((#REF!*3*T116)-S116)-E116),IF(#REF!="MIN",IF(-((#REF!*3*T116)-S116)&gt;G116,"",-((#REF!*3*T116)-S116)),"")))</f>
        <v/>
      </c>
      <c r="AD116" s="32" t="str">
        <f t="shared" si="14"/>
        <v/>
      </c>
      <c r="AE116" s="32" t="str">
        <f t="shared" si="13"/>
        <v/>
      </c>
      <c r="AF116" s="142"/>
      <c r="AG116" s="101"/>
      <c r="AH116" s="143"/>
      <c r="AI116" s="101"/>
      <c r="AJ116" s="101"/>
      <c r="AK116" s="101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  <c r="BB116" s="144"/>
      <c r="BC116" s="144"/>
      <c r="BD116" s="144"/>
      <c r="BE116" s="144"/>
      <c r="BF116" s="144"/>
      <c r="BG116" s="144"/>
      <c r="BH116" s="144"/>
      <c r="BI116" s="144"/>
      <c r="BJ116" s="144"/>
      <c r="BK116" s="144"/>
      <c r="BL116" s="144"/>
      <c r="BM116" s="144"/>
      <c r="BN116" s="144"/>
      <c r="BO116" s="144"/>
      <c r="BP116" s="144"/>
      <c r="BQ116" s="144"/>
      <c r="BR116" s="144"/>
    </row>
    <row r="117" spans="2:70" ht="19.149999999999999" customHeight="1">
      <c r="B117" s="132"/>
      <c r="C117" s="24"/>
      <c r="D117" s="133"/>
      <c r="E117" s="134"/>
      <c r="F117" s="135"/>
      <c r="G117" s="135"/>
      <c r="H117" s="136"/>
      <c r="I117" s="136"/>
      <c r="J117" s="30"/>
      <c r="K117" s="30"/>
      <c r="L117" s="30"/>
      <c r="M117" s="30"/>
      <c r="N117" s="30"/>
      <c r="O117" s="30"/>
      <c r="P117" s="137"/>
      <c r="Q117" s="138"/>
      <c r="R117" s="138"/>
      <c r="S117" s="138"/>
      <c r="T117" s="139"/>
      <c r="U117" s="140"/>
      <c r="V117" s="141"/>
      <c r="W117" s="141"/>
      <c r="X117" s="140"/>
      <c r="Y117" s="140"/>
      <c r="Z117" s="140"/>
      <c r="AA117" s="31"/>
      <c r="AB117" s="32" t="str">
        <f>IF($S117="","",IF(#REF!="Tolerance",IF((#REF!*3*T117+S117)-E117&lt;F117,"",(#REF!*3*T117+S117)-E117),IF(OR(#REF!="GD&amp;T",#REF!="MAX"),IF((#REF!*3*T117+S117)&lt;F117,"",(#REF!*3*T117+S117)),"")))</f>
        <v/>
      </c>
      <c r="AC117" s="32" t="str">
        <f>IF(S117="","",IF(#REF!="Tolerance",IF(-((#REF!*3*T117)-S117)-E117&gt;G117,"",-((#REF!*3*T117)-S117)-E117),IF(#REF!="MIN",IF(-((#REF!*3*T117)-S117)&gt;G117,"",-((#REF!*3*T117)-S117)),"")))</f>
        <v/>
      </c>
      <c r="AD117" s="32" t="str">
        <f t="shared" si="14"/>
        <v/>
      </c>
      <c r="AE117" s="32" t="str">
        <f t="shared" si="13"/>
        <v/>
      </c>
      <c r="AF117" s="142"/>
      <c r="AG117" s="101"/>
      <c r="AH117" s="143"/>
      <c r="AI117" s="101"/>
      <c r="AJ117" s="101"/>
      <c r="AK117" s="101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  <c r="BB117" s="144"/>
      <c r="BC117" s="144"/>
      <c r="BD117" s="144"/>
      <c r="BE117" s="144"/>
      <c r="BF117" s="144"/>
      <c r="BG117" s="144"/>
      <c r="BH117" s="144"/>
      <c r="BI117" s="144"/>
      <c r="BJ117" s="144"/>
      <c r="BK117" s="144"/>
      <c r="BL117" s="144"/>
      <c r="BM117" s="144"/>
      <c r="BN117" s="144"/>
      <c r="BO117" s="144"/>
      <c r="BP117" s="144"/>
      <c r="BQ117" s="144"/>
      <c r="BR117" s="144"/>
    </row>
    <row r="118" spans="2:70" ht="19.149999999999999" customHeight="1">
      <c r="B118" s="132"/>
      <c r="C118" s="24"/>
      <c r="D118" s="133"/>
      <c r="E118" s="134"/>
      <c r="F118" s="135"/>
      <c r="G118" s="135"/>
      <c r="H118" s="136"/>
      <c r="I118" s="136"/>
      <c r="J118" s="30"/>
      <c r="K118" s="30"/>
      <c r="L118" s="30"/>
      <c r="M118" s="30"/>
      <c r="N118" s="30"/>
      <c r="O118" s="30"/>
      <c r="P118" s="137"/>
      <c r="Q118" s="138"/>
      <c r="R118" s="138"/>
      <c r="S118" s="138"/>
      <c r="T118" s="139"/>
      <c r="U118" s="140"/>
      <c r="V118" s="141"/>
      <c r="W118" s="141"/>
      <c r="X118" s="140"/>
      <c r="Y118" s="140"/>
      <c r="Z118" s="140"/>
      <c r="AA118" s="31"/>
      <c r="AB118" s="32" t="str">
        <f>IF($S118="","",IF(#REF!="Tolerance",IF((#REF!*3*T118+S118)-E118&lt;F118,"",(#REF!*3*T118+S118)-E118),IF(OR(#REF!="GD&amp;T",#REF!="MAX"),IF((#REF!*3*T118+S118)&lt;F118,"",(#REF!*3*T118+S118)),"")))</f>
        <v/>
      </c>
      <c r="AC118" s="32" t="str">
        <f>IF(S118="","",IF(#REF!="Tolerance",IF(-((#REF!*3*T118)-S118)-E118&gt;G118,"",-((#REF!*3*T118)-S118)-E118),IF(#REF!="MIN",IF(-((#REF!*3*T118)-S118)&gt;G118,"",-((#REF!*3*T118)-S118)),"")))</f>
        <v/>
      </c>
      <c r="AD118" s="32" t="str">
        <f t="shared" si="14"/>
        <v/>
      </c>
      <c r="AE118" s="32" t="str">
        <f t="shared" si="13"/>
        <v/>
      </c>
      <c r="AF118" s="142"/>
      <c r="AG118" s="101"/>
      <c r="AH118" s="143"/>
      <c r="AI118" s="101"/>
      <c r="AJ118" s="101"/>
      <c r="AK118" s="101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  <c r="BA118" s="144"/>
      <c r="BB118" s="144"/>
      <c r="BC118" s="144"/>
      <c r="BD118" s="144"/>
      <c r="BE118" s="144"/>
      <c r="BF118" s="144"/>
      <c r="BG118" s="144"/>
      <c r="BH118" s="144"/>
      <c r="BI118" s="144"/>
      <c r="BJ118" s="144"/>
      <c r="BK118" s="144"/>
      <c r="BL118" s="144"/>
      <c r="BM118" s="144"/>
      <c r="BN118" s="144"/>
      <c r="BO118" s="144"/>
      <c r="BP118" s="144"/>
      <c r="BQ118" s="144"/>
      <c r="BR118" s="144"/>
    </row>
    <row r="119" spans="2:70" ht="19.149999999999999" customHeight="1">
      <c r="B119" s="132"/>
      <c r="C119" s="24"/>
      <c r="D119" s="133"/>
      <c r="E119" s="134"/>
      <c r="F119" s="135"/>
      <c r="G119" s="135"/>
      <c r="H119" s="136"/>
      <c r="I119" s="136"/>
      <c r="J119" s="30"/>
      <c r="K119" s="30"/>
      <c r="L119" s="30"/>
      <c r="M119" s="30"/>
      <c r="N119" s="30"/>
      <c r="O119" s="30"/>
      <c r="P119" s="137"/>
      <c r="Q119" s="138"/>
      <c r="R119" s="138"/>
      <c r="S119" s="138"/>
      <c r="T119" s="139"/>
      <c r="U119" s="140"/>
      <c r="V119" s="141"/>
      <c r="W119" s="141"/>
      <c r="X119" s="140"/>
      <c r="Y119" s="140"/>
      <c r="Z119" s="140"/>
      <c r="AA119" s="31"/>
      <c r="AB119" s="32" t="str">
        <f>IF($S119="","",IF(#REF!="Tolerance",IF((#REF!*3*T119+S119)-E119&lt;F119,"",(#REF!*3*T119+S119)-E119),IF(OR(#REF!="GD&amp;T",#REF!="MAX"),IF((#REF!*3*T119+S119)&lt;F119,"",(#REF!*3*T119+S119)),"")))</f>
        <v/>
      </c>
      <c r="AC119" s="32" t="str">
        <f>IF(S119="","",IF(#REF!="Tolerance",IF(-((#REF!*3*T119)-S119)-E119&gt;G119,"",-((#REF!*3*T119)-S119)-E119),IF(#REF!="MIN",IF(-((#REF!*3*T119)-S119)&gt;G119,"",-((#REF!*3*T119)-S119)),"")))</f>
        <v/>
      </c>
      <c r="AD119" s="32" t="str">
        <f t="shared" si="14"/>
        <v/>
      </c>
      <c r="AE119" s="32" t="str">
        <f t="shared" si="13"/>
        <v/>
      </c>
      <c r="AF119" s="142"/>
      <c r="AG119" s="101"/>
      <c r="AH119" s="143"/>
      <c r="AI119" s="101"/>
      <c r="AJ119" s="101"/>
      <c r="AK119" s="101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  <c r="BA119" s="144"/>
      <c r="BB119" s="144"/>
      <c r="BC119" s="144"/>
      <c r="BD119" s="144"/>
      <c r="BE119" s="144"/>
      <c r="BF119" s="144"/>
      <c r="BG119" s="144"/>
      <c r="BH119" s="144"/>
      <c r="BI119" s="144"/>
      <c r="BJ119" s="144"/>
      <c r="BK119" s="144"/>
      <c r="BL119" s="144"/>
      <c r="BM119" s="144"/>
      <c r="BN119" s="144"/>
      <c r="BO119" s="144"/>
      <c r="BP119" s="144"/>
      <c r="BQ119" s="144"/>
      <c r="BR119" s="144"/>
    </row>
    <row r="120" spans="2:70" ht="19.149999999999999" customHeight="1">
      <c r="B120" s="132"/>
      <c r="C120" s="24"/>
      <c r="D120" s="133"/>
      <c r="E120" s="134"/>
      <c r="F120" s="135"/>
      <c r="G120" s="135"/>
      <c r="H120" s="136"/>
      <c r="I120" s="136"/>
      <c r="J120" s="30"/>
      <c r="K120" s="30"/>
      <c r="L120" s="30"/>
      <c r="M120" s="30"/>
      <c r="N120" s="30"/>
      <c r="O120" s="30"/>
      <c r="P120" s="137"/>
      <c r="Q120" s="138"/>
      <c r="R120" s="138"/>
      <c r="S120" s="138"/>
      <c r="T120" s="139"/>
      <c r="U120" s="140"/>
      <c r="V120" s="141"/>
      <c r="W120" s="141"/>
      <c r="X120" s="140"/>
      <c r="Y120" s="140"/>
      <c r="Z120" s="140"/>
      <c r="AA120" s="31"/>
      <c r="AB120" s="32" t="str">
        <f>IF($S120="","",IF(#REF!="Tolerance",IF((#REF!*3*T120+S120)-E120&lt;F120,"",(#REF!*3*T120+S120)-E120),IF(OR(#REF!="GD&amp;T",#REF!="MAX"),IF((#REF!*3*T120+S120)&lt;F120,"",(#REF!*3*T120+S120)),"")))</f>
        <v/>
      </c>
      <c r="AC120" s="32" t="str">
        <f>IF(S120="","",IF(#REF!="Tolerance",IF(-((#REF!*3*T120)-S120)-E120&gt;G120,"",-((#REF!*3*T120)-S120)-E120),IF(#REF!="MIN",IF(-((#REF!*3*T120)-S120)&gt;G120,"",-((#REF!*3*T120)-S120)),"")))</f>
        <v/>
      </c>
      <c r="AD120" s="32" t="str">
        <f t="shared" si="14"/>
        <v/>
      </c>
      <c r="AE120" s="32" t="str">
        <f t="shared" si="13"/>
        <v/>
      </c>
      <c r="AF120" s="142"/>
      <c r="AG120" s="101"/>
      <c r="AH120" s="143"/>
      <c r="AI120" s="101"/>
      <c r="AJ120" s="101"/>
      <c r="AK120" s="101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144"/>
      <c r="BC120" s="144"/>
      <c r="BD120" s="144"/>
      <c r="BE120" s="144"/>
      <c r="BF120" s="144"/>
      <c r="BG120" s="144"/>
      <c r="BH120" s="144"/>
      <c r="BI120" s="144"/>
      <c r="BJ120" s="144"/>
      <c r="BK120" s="144"/>
      <c r="BL120" s="144"/>
      <c r="BM120" s="144"/>
      <c r="BN120" s="144"/>
      <c r="BO120" s="144"/>
      <c r="BP120" s="144"/>
      <c r="BQ120" s="144"/>
      <c r="BR120" s="144"/>
    </row>
    <row r="121" spans="2:70" ht="19.149999999999999" customHeight="1">
      <c r="B121" s="132"/>
      <c r="C121" s="24"/>
      <c r="D121" s="133"/>
      <c r="E121" s="134"/>
      <c r="F121" s="135"/>
      <c r="G121" s="135"/>
      <c r="H121" s="136"/>
      <c r="I121" s="136"/>
      <c r="J121" s="30"/>
      <c r="K121" s="30"/>
      <c r="L121" s="30"/>
      <c r="M121" s="30"/>
      <c r="N121" s="30"/>
      <c r="O121" s="30"/>
      <c r="P121" s="137"/>
      <c r="Q121" s="138"/>
      <c r="R121" s="138"/>
      <c r="S121" s="138"/>
      <c r="T121" s="139"/>
      <c r="U121" s="140"/>
      <c r="V121" s="141"/>
      <c r="W121" s="141"/>
      <c r="X121" s="140"/>
      <c r="Y121" s="140"/>
      <c r="Z121" s="140"/>
      <c r="AA121" s="31"/>
      <c r="AB121" s="32" t="str">
        <f>IF($S121="","",IF(#REF!="Tolerance",IF((#REF!*3*T121+S121)-E121&lt;F121,"",(#REF!*3*T121+S121)-E121),IF(OR(#REF!="GD&amp;T",#REF!="MAX"),IF((#REF!*3*T121+S121)&lt;F121,"",(#REF!*3*T121+S121)),"")))</f>
        <v/>
      </c>
      <c r="AC121" s="32" t="str">
        <f>IF(S121="","",IF(#REF!="Tolerance",IF(-((#REF!*3*T121)-S121)-E121&gt;G121,"",-((#REF!*3*T121)-S121)-E121),IF(#REF!="MIN",IF(-((#REF!*3*T121)-S121)&gt;G121,"",-((#REF!*3*T121)-S121)),"")))</f>
        <v/>
      </c>
      <c r="AD121" s="32" t="str">
        <f t="shared" si="14"/>
        <v/>
      </c>
      <c r="AE121" s="32" t="str">
        <f t="shared" si="13"/>
        <v/>
      </c>
      <c r="AF121" s="142"/>
      <c r="AG121" s="101"/>
      <c r="AH121" s="143"/>
      <c r="AI121" s="101"/>
      <c r="AJ121" s="101"/>
      <c r="AK121" s="101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  <c r="BB121" s="144"/>
      <c r="BC121" s="144"/>
      <c r="BD121" s="144"/>
      <c r="BE121" s="144"/>
      <c r="BF121" s="144"/>
      <c r="BG121" s="144"/>
      <c r="BH121" s="144"/>
      <c r="BI121" s="144"/>
      <c r="BJ121" s="144"/>
      <c r="BK121" s="144"/>
      <c r="BL121" s="144"/>
      <c r="BM121" s="144"/>
      <c r="BN121" s="144"/>
      <c r="BO121" s="144"/>
      <c r="BP121" s="144"/>
      <c r="BQ121" s="144"/>
      <c r="BR121" s="144"/>
    </row>
    <row r="122" spans="2:70" ht="19.149999999999999" customHeight="1">
      <c r="B122" s="132"/>
      <c r="C122" s="24"/>
      <c r="D122" s="133"/>
      <c r="E122" s="134"/>
      <c r="F122" s="135"/>
      <c r="G122" s="135"/>
      <c r="H122" s="136"/>
      <c r="I122" s="136"/>
      <c r="J122" s="30"/>
      <c r="K122" s="30"/>
      <c r="L122" s="30"/>
      <c r="M122" s="30"/>
      <c r="N122" s="30"/>
      <c r="O122" s="30"/>
      <c r="P122" s="137"/>
      <c r="Q122" s="138"/>
      <c r="R122" s="138"/>
      <c r="S122" s="138"/>
      <c r="T122" s="139"/>
      <c r="U122" s="140"/>
      <c r="V122" s="141"/>
      <c r="W122" s="141"/>
      <c r="X122" s="140"/>
      <c r="Y122" s="140"/>
      <c r="Z122" s="140"/>
      <c r="AA122" s="31"/>
      <c r="AB122" s="32" t="str">
        <f>IF($S122="","",IF(#REF!="Tolerance",IF((#REF!*3*T122+S122)-E122&lt;F122,"",(#REF!*3*T122+S122)-E122),IF(OR(#REF!="GD&amp;T",#REF!="MAX"),IF((#REF!*3*T122+S122)&lt;F122,"",(#REF!*3*T122+S122)),"")))</f>
        <v/>
      </c>
      <c r="AC122" s="32" t="str">
        <f>IF(S122="","",IF(#REF!="Tolerance",IF(-((#REF!*3*T122)-S122)-E122&gt;G122,"",-((#REF!*3*T122)-S122)-E122),IF(#REF!="MIN",IF(-((#REF!*3*T122)-S122)&gt;G122,"",-((#REF!*3*T122)-S122)),"")))</f>
        <v/>
      </c>
      <c r="AD122" s="32" t="str">
        <f t="shared" si="14"/>
        <v/>
      </c>
      <c r="AE122" s="32" t="str">
        <f t="shared" si="13"/>
        <v/>
      </c>
      <c r="AF122" s="142"/>
      <c r="AG122" s="101"/>
      <c r="AH122" s="143"/>
      <c r="AI122" s="101"/>
      <c r="AJ122" s="101"/>
      <c r="AK122" s="101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144"/>
      <c r="BC122" s="144"/>
      <c r="BD122" s="144"/>
      <c r="BE122" s="144"/>
      <c r="BF122" s="144"/>
      <c r="BG122" s="144"/>
      <c r="BH122" s="144"/>
      <c r="BI122" s="144"/>
      <c r="BJ122" s="144"/>
      <c r="BK122" s="144"/>
      <c r="BL122" s="144"/>
      <c r="BM122" s="144"/>
      <c r="BN122" s="144"/>
      <c r="BO122" s="144"/>
      <c r="BP122" s="144"/>
      <c r="BQ122" s="144"/>
      <c r="BR122" s="144"/>
    </row>
    <row r="123" spans="2:70" ht="19.149999999999999" customHeight="1">
      <c r="B123" s="132"/>
      <c r="C123" s="24"/>
      <c r="D123" s="133"/>
      <c r="E123" s="134"/>
      <c r="F123" s="135"/>
      <c r="G123" s="135"/>
      <c r="H123" s="136"/>
      <c r="I123" s="136"/>
      <c r="J123" s="30"/>
      <c r="K123" s="30"/>
      <c r="L123" s="30"/>
      <c r="M123" s="30"/>
      <c r="N123" s="30"/>
      <c r="O123" s="30"/>
      <c r="P123" s="137"/>
      <c r="Q123" s="138"/>
      <c r="R123" s="138"/>
      <c r="S123" s="138"/>
      <c r="T123" s="139"/>
      <c r="U123" s="140"/>
      <c r="V123" s="141"/>
      <c r="W123" s="141"/>
      <c r="X123" s="140"/>
      <c r="Y123" s="140"/>
      <c r="Z123" s="140"/>
      <c r="AA123" s="31"/>
      <c r="AB123" s="32" t="str">
        <f>IF($S123="","",IF(#REF!="Tolerance",IF((#REF!*3*T123+S123)-E123&lt;F123,"",(#REF!*3*T123+S123)-E123),IF(OR(#REF!="GD&amp;T",#REF!="MAX"),IF((#REF!*3*T123+S123)&lt;F123,"",(#REF!*3*T123+S123)),"")))</f>
        <v/>
      </c>
      <c r="AC123" s="32" t="str">
        <f>IF(S123="","",IF(#REF!="Tolerance",IF(-((#REF!*3*T123)-S123)-E123&gt;G123,"",-((#REF!*3*T123)-S123)-E123),IF(#REF!="MIN",IF(-((#REF!*3*T123)-S123)&gt;G123,"",-((#REF!*3*T123)-S123)),"")))</f>
        <v/>
      </c>
      <c r="AD123" s="32" t="str">
        <f t="shared" si="14"/>
        <v/>
      </c>
      <c r="AE123" s="32" t="str">
        <f t="shared" si="13"/>
        <v/>
      </c>
      <c r="AF123" s="142"/>
      <c r="AG123" s="101"/>
      <c r="AH123" s="143"/>
      <c r="AI123" s="101"/>
      <c r="AJ123" s="101"/>
      <c r="AK123" s="101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  <c r="BB123" s="144"/>
      <c r="BC123" s="144"/>
      <c r="BD123" s="144"/>
      <c r="BE123" s="144"/>
      <c r="BF123" s="144"/>
      <c r="BG123" s="144"/>
      <c r="BH123" s="144"/>
      <c r="BI123" s="144"/>
      <c r="BJ123" s="144"/>
      <c r="BK123" s="144"/>
      <c r="BL123" s="144"/>
      <c r="BM123" s="144"/>
      <c r="BN123" s="144"/>
      <c r="BO123" s="144"/>
      <c r="BP123" s="144"/>
      <c r="BQ123" s="144"/>
      <c r="BR123" s="144"/>
    </row>
    <row r="124" spans="2:70" ht="19.149999999999999" customHeight="1">
      <c r="B124" s="132"/>
      <c r="C124" s="24"/>
      <c r="D124" s="133"/>
      <c r="E124" s="134"/>
      <c r="F124" s="135"/>
      <c r="G124" s="135"/>
      <c r="H124" s="136"/>
      <c r="I124" s="136"/>
      <c r="J124" s="30"/>
      <c r="K124" s="30"/>
      <c r="L124" s="30"/>
      <c r="M124" s="30"/>
      <c r="N124" s="30"/>
      <c r="O124" s="30"/>
      <c r="P124" s="137"/>
      <c r="Q124" s="138"/>
      <c r="R124" s="138"/>
      <c r="S124" s="138"/>
      <c r="T124" s="139"/>
      <c r="U124" s="140"/>
      <c r="V124" s="141"/>
      <c r="W124" s="141"/>
      <c r="X124" s="140"/>
      <c r="Y124" s="140"/>
      <c r="Z124" s="140"/>
      <c r="AA124" s="31"/>
      <c r="AB124" s="32" t="str">
        <f>IF($S124="","",IF(#REF!="Tolerance",IF((#REF!*3*T124+S124)-E124&lt;F124,"",(#REF!*3*T124+S124)-E124),IF(OR(#REF!="GD&amp;T",#REF!="MAX"),IF((#REF!*3*T124+S124)&lt;F124,"",(#REF!*3*T124+S124)),"")))</f>
        <v/>
      </c>
      <c r="AC124" s="32" t="str">
        <f>IF(S124="","",IF(#REF!="Tolerance",IF(-((#REF!*3*T124)-S124)-E124&gt;G124,"",-((#REF!*3*T124)-S124)-E124),IF(#REF!="MIN",IF(-((#REF!*3*T124)-S124)&gt;G124,"",-((#REF!*3*T124)-S124)),"")))</f>
        <v/>
      </c>
      <c r="AD124" s="32" t="str">
        <f t="shared" si="14"/>
        <v/>
      </c>
      <c r="AE124" s="32" t="str">
        <f t="shared" si="13"/>
        <v/>
      </c>
      <c r="AF124" s="142"/>
      <c r="AG124" s="101"/>
      <c r="AH124" s="143"/>
      <c r="AI124" s="101"/>
      <c r="AJ124" s="101"/>
      <c r="AK124" s="101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  <c r="BB124" s="144"/>
      <c r="BC124" s="144"/>
      <c r="BD124" s="144"/>
      <c r="BE124" s="144"/>
      <c r="BF124" s="144"/>
      <c r="BG124" s="144"/>
      <c r="BH124" s="144"/>
      <c r="BI124" s="144"/>
      <c r="BJ124" s="144"/>
      <c r="BK124" s="144"/>
      <c r="BL124" s="144"/>
      <c r="BM124" s="144"/>
      <c r="BN124" s="144"/>
      <c r="BO124" s="144"/>
      <c r="BP124" s="144"/>
      <c r="BQ124" s="144"/>
      <c r="BR124" s="144"/>
    </row>
    <row r="125" spans="2:70" ht="19.149999999999999" customHeight="1">
      <c r="B125" s="132"/>
      <c r="C125" s="24"/>
      <c r="D125" s="133"/>
      <c r="E125" s="134"/>
      <c r="F125" s="135"/>
      <c r="G125" s="135"/>
      <c r="H125" s="136"/>
      <c r="I125" s="136"/>
      <c r="J125" s="30"/>
      <c r="K125" s="30"/>
      <c r="L125" s="30"/>
      <c r="M125" s="30"/>
      <c r="N125" s="30"/>
      <c r="O125" s="30"/>
      <c r="P125" s="137"/>
      <c r="Q125" s="138"/>
      <c r="R125" s="138"/>
      <c r="S125" s="138"/>
      <c r="T125" s="139"/>
      <c r="U125" s="140"/>
      <c r="V125" s="141"/>
      <c r="W125" s="141"/>
      <c r="X125" s="140"/>
      <c r="Y125" s="140"/>
      <c r="Z125" s="140"/>
      <c r="AA125" s="31"/>
      <c r="AB125" s="32" t="str">
        <f>IF($S125="","",IF(#REF!="Tolerance",IF((#REF!*3*T125+S125)-E125&lt;F125,"",(#REF!*3*T125+S125)-E125),IF(OR(#REF!="GD&amp;T",#REF!="MAX"),IF((#REF!*3*T125+S125)&lt;F125,"",(#REF!*3*T125+S125)),"")))</f>
        <v/>
      </c>
      <c r="AC125" s="32" t="str">
        <f>IF(S125="","",IF(#REF!="Tolerance",IF(-((#REF!*3*T125)-S125)-E125&gt;G125,"",-((#REF!*3*T125)-S125)-E125),IF(#REF!="MIN",IF(-((#REF!*3*T125)-S125)&gt;G125,"",-((#REF!*3*T125)-S125)),"")))</f>
        <v/>
      </c>
      <c r="AD125" s="32" t="str">
        <f t="shared" si="14"/>
        <v/>
      </c>
      <c r="AE125" s="32" t="str">
        <f t="shared" si="13"/>
        <v/>
      </c>
      <c r="AF125" s="142"/>
      <c r="AG125" s="101"/>
      <c r="AH125" s="143"/>
      <c r="AI125" s="101"/>
      <c r="AJ125" s="101"/>
      <c r="AK125" s="101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144"/>
      <c r="BC125" s="144"/>
      <c r="BD125" s="144"/>
      <c r="BE125" s="144"/>
      <c r="BF125" s="144"/>
      <c r="BG125" s="144"/>
      <c r="BH125" s="144"/>
      <c r="BI125" s="144"/>
      <c r="BJ125" s="144"/>
      <c r="BK125" s="144"/>
      <c r="BL125" s="144"/>
      <c r="BM125" s="144"/>
      <c r="BN125" s="144"/>
      <c r="BO125" s="144"/>
      <c r="BP125" s="144"/>
      <c r="BQ125" s="144"/>
      <c r="BR125" s="144"/>
    </row>
    <row r="126" spans="2:70" ht="19.149999999999999" customHeight="1">
      <c r="B126" s="132"/>
      <c r="C126" s="24"/>
      <c r="D126" s="133"/>
      <c r="E126" s="134"/>
      <c r="F126" s="135"/>
      <c r="G126" s="135"/>
      <c r="H126" s="136"/>
      <c r="I126" s="136"/>
      <c r="J126" s="30"/>
      <c r="K126" s="30"/>
      <c r="L126" s="30"/>
      <c r="M126" s="30"/>
      <c r="N126" s="30"/>
      <c r="O126" s="30"/>
      <c r="P126" s="137"/>
      <c r="Q126" s="138"/>
      <c r="R126" s="138"/>
      <c r="S126" s="138"/>
      <c r="T126" s="139"/>
      <c r="U126" s="140"/>
      <c r="V126" s="141"/>
      <c r="W126" s="141"/>
      <c r="X126" s="140"/>
      <c r="Y126" s="140"/>
      <c r="Z126" s="140"/>
      <c r="AA126" s="31"/>
      <c r="AB126" s="32" t="str">
        <f>IF($S126="","",IF(#REF!="Tolerance",IF((#REF!*3*T126+S126)-E126&lt;F126,"",(#REF!*3*T126+S126)-E126),IF(OR(#REF!="GD&amp;T",#REF!="MAX"),IF((#REF!*3*T126+S126)&lt;F126,"",(#REF!*3*T126+S126)),"")))</f>
        <v/>
      </c>
      <c r="AC126" s="32" t="str">
        <f>IF(S126="","",IF(#REF!="Tolerance",IF(-((#REF!*3*T126)-S126)-E126&gt;G126,"",-((#REF!*3*T126)-S126)-E126),IF(#REF!="MIN",IF(-((#REF!*3*T126)-S126)&gt;G126,"",-((#REF!*3*T126)-S126)),"")))</f>
        <v/>
      </c>
      <c r="AD126" s="32" t="str">
        <f t="shared" si="14"/>
        <v/>
      </c>
      <c r="AE126" s="32" t="str">
        <f t="shared" si="13"/>
        <v/>
      </c>
      <c r="AF126" s="142"/>
      <c r="AG126" s="101"/>
      <c r="AH126" s="143"/>
      <c r="AI126" s="101"/>
      <c r="AJ126" s="101"/>
      <c r="AK126" s="101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144"/>
      <c r="BC126" s="144"/>
      <c r="BD126" s="144"/>
      <c r="BE126" s="144"/>
      <c r="BF126" s="144"/>
      <c r="BG126" s="144"/>
      <c r="BH126" s="144"/>
      <c r="BI126" s="144"/>
      <c r="BJ126" s="144"/>
      <c r="BK126" s="144"/>
      <c r="BL126" s="144"/>
      <c r="BM126" s="144"/>
      <c r="BN126" s="144"/>
      <c r="BO126" s="144"/>
      <c r="BP126" s="144"/>
      <c r="BQ126" s="144"/>
      <c r="BR126" s="144"/>
    </row>
    <row r="127" spans="2:70" ht="19.149999999999999" customHeight="1">
      <c r="B127" s="132"/>
      <c r="C127" s="24"/>
      <c r="D127" s="133"/>
      <c r="E127" s="134"/>
      <c r="F127" s="135"/>
      <c r="G127" s="135"/>
      <c r="H127" s="136"/>
      <c r="I127" s="136"/>
      <c r="J127" s="30"/>
      <c r="K127" s="30"/>
      <c r="L127" s="30"/>
      <c r="M127" s="30"/>
      <c r="N127" s="30"/>
      <c r="O127" s="30"/>
      <c r="P127" s="137"/>
      <c r="Q127" s="138"/>
      <c r="R127" s="138"/>
      <c r="S127" s="138"/>
      <c r="T127" s="139"/>
      <c r="U127" s="140"/>
      <c r="V127" s="141"/>
      <c r="W127" s="141"/>
      <c r="X127" s="140"/>
      <c r="Y127" s="140"/>
      <c r="Z127" s="140"/>
      <c r="AA127" s="31"/>
      <c r="AB127" s="32" t="str">
        <f>IF($S127="","",IF(#REF!="Tolerance",IF((#REF!*3*T127+S127)-E127&lt;F127,"",(#REF!*3*T127+S127)-E127),IF(OR(#REF!="GD&amp;T",#REF!="MAX"),IF((#REF!*3*T127+S127)&lt;F127,"",(#REF!*3*T127+S127)),"")))</f>
        <v/>
      </c>
      <c r="AC127" s="32" t="str">
        <f>IF(S127="","",IF(#REF!="Tolerance",IF(-((#REF!*3*T127)-S127)-E127&gt;G127,"",-((#REF!*3*T127)-S127)-E127),IF(#REF!="MIN",IF(-((#REF!*3*T127)-S127)&gt;G127,"",-((#REF!*3*T127)-S127)),"")))</f>
        <v/>
      </c>
      <c r="AD127" s="32" t="str">
        <f t="shared" si="14"/>
        <v/>
      </c>
      <c r="AE127" s="32" t="str">
        <f t="shared" si="13"/>
        <v/>
      </c>
      <c r="AF127" s="142"/>
      <c r="AG127" s="101"/>
      <c r="AH127" s="143"/>
      <c r="AI127" s="101"/>
      <c r="AJ127" s="101"/>
      <c r="AK127" s="101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  <c r="BB127" s="144"/>
      <c r="BC127" s="144"/>
      <c r="BD127" s="144"/>
      <c r="BE127" s="144"/>
      <c r="BF127" s="144"/>
      <c r="BG127" s="144"/>
      <c r="BH127" s="144"/>
      <c r="BI127" s="144"/>
      <c r="BJ127" s="144"/>
      <c r="BK127" s="144"/>
      <c r="BL127" s="144"/>
      <c r="BM127" s="144"/>
      <c r="BN127" s="144"/>
      <c r="BO127" s="144"/>
      <c r="BP127" s="144"/>
      <c r="BQ127" s="144"/>
      <c r="BR127" s="144"/>
    </row>
    <row r="128" spans="2:70" ht="19.149999999999999" customHeight="1">
      <c r="B128" s="132"/>
      <c r="C128" s="24"/>
      <c r="D128" s="133"/>
      <c r="E128" s="134"/>
      <c r="F128" s="135"/>
      <c r="G128" s="135"/>
      <c r="H128" s="136"/>
      <c r="I128" s="136"/>
      <c r="J128" s="30"/>
      <c r="K128" s="30"/>
      <c r="L128" s="30"/>
      <c r="M128" s="30"/>
      <c r="N128" s="30"/>
      <c r="O128" s="30"/>
      <c r="P128" s="137"/>
      <c r="Q128" s="138"/>
      <c r="R128" s="138"/>
      <c r="S128" s="138"/>
      <c r="T128" s="139"/>
      <c r="U128" s="140"/>
      <c r="V128" s="141"/>
      <c r="W128" s="141"/>
      <c r="X128" s="140"/>
      <c r="Y128" s="140"/>
      <c r="Z128" s="140"/>
      <c r="AA128" s="31"/>
      <c r="AB128" s="32" t="str">
        <f>IF($S128="","",IF(#REF!="Tolerance",IF((#REF!*3*T128+S128)-E128&lt;F128,"",(#REF!*3*T128+S128)-E128),IF(OR(#REF!="GD&amp;T",#REF!="MAX"),IF((#REF!*3*T128+S128)&lt;F128,"",(#REF!*3*T128+S128)),"")))</f>
        <v/>
      </c>
      <c r="AC128" s="32" t="str">
        <f>IF(S128="","",IF(#REF!="Tolerance",IF(-((#REF!*3*T128)-S128)-E128&gt;G128,"",-((#REF!*3*T128)-S128)-E128),IF(#REF!="MIN",IF(-((#REF!*3*T128)-S128)&gt;G128,"",-((#REF!*3*T128)-S128)),"")))</f>
        <v/>
      </c>
      <c r="AD128" s="32" t="str">
        <f t="shared" si="14"/>
        <v/>
      </c>
      <c r="AE128" s="32" t="str">
        <f t="shared" si="13"/>
        <v/>
      </c>
      <c r="AF128" s="142"/>
      <c r="AG128" s="101"/>
      <c r="AH128" s="143"/>
      <c r="AI128" s="101"/>
      <c r="AJ128" s="101"/>
      <c r="AK128" s="101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  <c r="BB128" s="144"/>
      <c r="BC128" s="144"/>
      <c r="BD128" s="144"/>
      <c r="BE128" s="144"/>
      <c r="BF128" s="144"/>
      <c r="BG128" s="144"/>
      <c r="BH128" s="144"/>
      <c r="BI128" s="144"/>
      <c r="BJ128" s="144"/>
      <c r="BK128" s="144"/>
      <c r="BL128" s="144"/>
      <c r="BM128" s="144"/>
      <c r="BN128" s="144"/>
      <c r="BO128" s="144"/>
      <c r="BP128" s="144"/>
      <c r="BQ128" s="144"/>
      <c r="BR128" s="144"/>
    </row>
    <row r="129" spans="2:70" ht="19.149999999999999" customHeight="1">
      <c r="B129" s="132"/>
      <c r="C129" s="24"/>
      <c r="D129" s="133"/>
      <c r="E129" s="134"/>
      <c r="F129" s="135"/>
      <c r="G129" s="135"/>
      <c r="H129" s="136"/>
      <c r="I129" s="136"/>
      <c r="J129" s="30"/>
      <c r="K129" s="30"/>
      <c r="L129" s="30"/>
      <c r="M129" s="30"/>
      <c r="N129" s="30"/>
      <c r="O129" s="30"/>
      <c r="P129" s="137"/>
      <c r="Q129" s="138"/>
      <c r="R129" s="138"/>
      <c r="S129" s="138"/>
      <c r="T129" s="139"/>
      <c r="U129" s="140"/>
      <c r="V129" s="141"/>
      <c r="W129" s="141"/>
      <c r="X129" s="140"/>
      <c r="Y129" s="140"/>
      <c r="Z129" s="140"/>
      <c r="AA129" s="31"/>
      <c r="AB129" s="32" t="str">
        <f>IF($S129="","",IF(#REF!="Tolerance",IF((#REF!*3*T129+S129)-E129&lt;F129,"",(#REF!*3*T129+S129)-E129),IF(OR(#REF!="GD&amp;T",#REF!="MAX"),IF((#REF!*3*T129+S129)&lt;F129,"",(#REF!*3*T129+S129)),"")))</f>
        <v/>
      </c>
      <c r="AC129" s="32" t="str">
        <f>IF(S129="","",IF(#REF!="Tolerance",IF(-((#REF!*3*T129)-S129)-E129&gt;G129,"",-((#REF!*3*T129)-S129)-E129),IF(#REF!="MIN",IF(-((#REF!*3*T129)-S129)&gt;G129,"",-((#REF!*3*T129)-S129)),"")))</f>
        <v/>
      </c>
      <c r="AD129" s="32" t="str">
        <f t="shared" si="14"/>
        <v/>
      </c>
      <c r="AE129" s="32" t="str">
        <f t="shared" si="13"/>
        <v/>
      </c>
      <c r="AF129" s="142"/>
      <c r="AG129" s="101"/>
      <c r="AH129" s="143"/>
      <c r="AI129" s="101"/>
      <c r="AJ129" s="101"/>
      <c r="AK129" s="101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  <c r="BA129" s="144"/>
      <c r="BB129" s="144"/>
      <c r="BC129" s="144"/>
      <c r="BD129" s="144"/>
      <c r="BE129" s="144"/>
      <c r="BF129" s="144"/>
      <c r="BG129" s="144"/>
      <c r="BH129" s="144"/>
      <c r="BI129" s="144"/>
      <c r="BJ129" s="144"/>
      <c r="BK129" s="144"/>
      <c r="BL129" s="144"/>
      <c r="BM129" s="144"/>
      <c r="BN129" s="144"/>
      <c r="BO129" s="144"/>
      <c r="BP129" s="144"/>
      <c r="BQ129" s="144"/>
      <c r="BR129" s="144"/>
    </row>
    <row r="130" spans="2:70" ht="19.149999999999999" customHeight="1">
      <c r="B130" s="132"/>
      <c r="C130" s="24"/>
      <c r="D130" s="133"/>
      <c r="E130" s="134"/>
      <c r="F130" s="135"/>
      <c r="G130" s="135"/>
      <c r="H130" s="136"/>
      <c r="I130" s="136"/>
      <c r="J130" s="30"/>
      <c r="K130" s="30"/>
      <c r="L130" s="30"/>
      <c r="M130" s="30"/>
      <c r="N130" s="30"/>
      <c r="O130" s="30"/>
      <c r="P130" s="137"/>
      <c r="Q130" s="138"/>
      <c r="R130" s="138"/>
      <c r="S130" s="138"/>
      <c r="T130" s="139"/>
      <c r="U130" s="140"/>
      <c r="V130" s="141"/>
      <c r="W130" s="141"/>
      <c r="X130" s="140"/>
      <c r="Y130" s="140"/>
      <c r="Z130" s="140"/>
      <c r="AA130" s="31"/>
      <c r="AB130" s="32" t="str">
        <f>IF($S130="","",IF(#REF!="Tolerance",IF((#REF!*3*T130+S130)-E130&lt;F130,"",(#REF!*3*T130+S130)-E130),IF(OR(#REF!="GD&amp;T",#REF!="MAX"),IF((#REF!*3*T130+S130)&lt;F130,"",(#REF!*3*T130+S130)),"")))</f>
        <v/>
      </c>
      <c r="AC130" s="32" t="str">
        <f>IF(S130="","",IF(#REF!="Tolerance",IF(-((#REF!*3*T130)-S130)-E130&gt;G130,"",-((#REF!*3*T130)-S130)-E130),IF(#REF!="MIN",IF(-((#REF!*3*T130)-S130)&gt;G130,"",-((#REF!*3*T130)-S130)),"")))</f>
        <v/>
      </c>
      <c r="AD130" s="32" t="str">
        <f t="shared" si="14"/>
        <v/>
      </c>
      <c r="AE130" s="32" t="str">
        <f t="shared" si="13"/>
        <v/>
      </c>
      <c r="AF130" s="142"/>
      <c r="AG130" s="101"/>
      <c r="AH130" s="143"/>
      <c r="AI130" s="101"/>
      <c r="AJ130" s="101"/>
      <c r="AK130" s="101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  <c r="BA130" s="144"/>
      <c r="BB130" s="144"/>
      <c r="BC130" s="144"/>
      <c r="BD130" s="144"/>
      <c r="BE130" s="144"/>
      <c r="BF130" s="144"/>
      <c r="BG130" s="144"/>
      <c r="BH130" s="144"/>
      <c r="BI130" s="144"/>
      <c r="BJ130" s="144"/>
      <c r="BK130" s="144"/>
      <c r="BL130" s="144"/>
      <c r="BM130" s="144"/>
      <c r="BN130" s="144"/>
      <c r="BO130" s="144"/>
      <c r="BP130" s="144"/>
      <c r="BQ130" s="144"/>
      <c r="BR130" s="144"/>
    </row>
    <row r="131" spans="2:70" ht="19.149999999999999" customHeight="1">
      <c r="B131" s="132"/>
      <c r="C131" s="24"/>
      <c r="D131" s="133"/>
      <c r="E131" s="134"/>
      <c r="F131" s="135"/>
      <c r="G131" s="135"/>
      <c r="H131" s="136"/>
      <c r="I131" s="136"/>
      <c r="J131" s="30"/>
      <c r="K131" s="30"/>
      <c r="L131" s="30"/>
      <c r="M131" s="30"/>
      <c r="N131" s="30"/>
      <c r="O131" s="30"/>
      <c r="P131" s="137"/>
      <c r="Q131" s="138"/>
      <c r="R131" s="138"/>
      <c r="S131" s="138"/>
      <c r="T131" s="139"/>
      <c r="U131" s="140"/>
      <c r="V131" s="141"/>
      <c r="W131" s="141"/>
      <c r="X131" s="140"/>
      <c r="Y131" s="140"/>
      <c r="Z131" s="140"/>
      <c r="AA131" s="31"/>
      <c r="AB131" s="32" t="str">
        <f>IF($S131="","",IF(#REF!="Tolerance",IF((#REF!*3*T131+S131)-E131&lt;F131,"",(#REF!*3*T131+S131)-E131),IF(OR(#REF!="GD&amp;T",#REF!="MAX"),IF((#REF!*3*T131+S131)&lt;F131,"",(#REF!*3*T131+S131)),"")))</f>
        <v/>
      </c>
      <c r="AC131" s="32" t="str">
        <f>IF(S131="","",IF(#REF!="Tolerance",IF(-((#REF!*3*T131)-S131)-E131&gt;G131,"",-((#REF!*3*T131)-S131)-E131),IF(#REF!="MIN",IF(-((#REF!*3*T131)-S131)&gt;G131,"",-((#REF!*3*T131)-S131)),"")))</f>
        <v/>
      </c>
      <c r="AD131" s="32" t="str">
        <f t="shared" si="14"/>
        <v/>
      </c>
      <c r="AE131" s="32" t="str">
        <f t="shared" si="13"/>
        <v/>
      </c>
      <c r="AF131" s="142"/>
      <c r="AG131" s="101"/>
      <c r="AH131" s="143"/>
      <c r="AI131" s="101"/>
      <c r="AJ131" s="101"/>
      <c r="AK131" s="101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  <c r="BA131" s="144"/>
      <c r="BB131" s="144"/>
      <c r="BC131" s="144"/>
      <c r="BD131" s="144"/>
      <c r="BE131" s="144"/>
      <c r="BF131" s="144"/>
      <c r="BG131" s="144"/>
      <c r="BH131" s="144"/>
      <c r="BI131" s="144"/>
      <c r="BJ131" s="144"/>
      <c r="BK131" s="144"/>
      <c r="BL131" s="144"/>
      <c r="BM131" s="144"/>
      <c r="BN131" s="144"/>
      <c r="BO131" s="144"/>
      <c r="BP131" s="144"/>
      <c r="BQ131" s="144"/>
      <c r="BR131" s="144"/>
    </row>
    <row r="132" spans="2:70" ht="19.149999999999999" customHeight="1">
      <c r="B132" s="132"/>
      <c r="C132" s="24"/>
      <c r="D132" s="133"/>
      <c r="E132" s="134"/>
      <c r="F132" s="135"/>
      <c r="G132" s="135"/>
      <c r="H132" s="136"/>
      <c r="I132" s="136"/>
      <c r="J132" s="30"/>
      <c r="K132" s="30"/>
      <c r="L132" s="30"/>
      <c r="M132" s="30"/>
      <c r="N132" s="30"/>
      <c r="O132" s="30"/>
      <c r="P132" s="137"/>
      <c r="Q132" s="138"/>
      <c r="R132" s="138"/>
      <c r="S132" s="138"/>
      <c r="T132" s="139"/>
      <c r="U132" s="140"/>
      <c r="V132" s="141"/>
      <c r="W132" s="141"/>
      <c r="X132" s="140"/>
      <c r="Y132" s="140"/>
      <c r="Z132" s="140"/>
      <c r="AA132" s="31"/>
      <c r="AB132" s="32" t="str">
        <f>IF($S132="","",IF(#REF!="Tolerance",IF((#REF!*3*T132+S132)-E132&lt;F132,"",(#REF!*3*T132+S132)-E132),IF(OR(#REF!="GD&amp;T",#REF!="MAX"),IF((#REF!*3*T132+S132)&lt;F132,"",(#REF!*3*T132+S132)),"")))</f>
        <v/>
      </c>
      <c r="AC132" s="32" t="str">
        <f>IF(S132="","",IF(#REF!="Tolerance",IF(-((#REF!*3*T132)-S132)-E132&gt;G132,"",-((#REF!*3*T132)-S132)-E132),IF(#REF!="MIN",IF(-((#REF!*3*T132)-S132)&gt;G132,"",-((#REF!*3*T132)-S132)),"")))</f>
        <v/>
      </c>
      <c r="AD132" s="32" t="str">
        <f t="shared" si="14"/>
        <v/>
      </c>
      <c r="AE132" s="32" t="str">
        <f t="shared" si="13"/>
        <v/>
      </c>
      <c r="AF132" s="142"/>
      <c r="AG132" s="101"/>
      <c r="AH132" s="143"/>
      <c r="AI132" s="101"/>
      <c r="AJ132" s="101"/>
      <c r="AK132" s="101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  <c r="BB132" s="144"/>
      <c r="BC132" s="144"/>
      <c r="BD132" s="144"/>
      <c r="BE132" s="144"/>
      <c r="BF132" s="144"/>
      <c r="BG132" s="144"/>
      <c r="BH132" s="144"/>
      <c r="BI132" s="144"/>
      <c r="BJ132" s="144"/>
      <c r="BK132" s="144"/>
      <c r="BL132" s="144"/>
      <c r="BM132" s="144"/>
      <c r="BN132" s="144"/>
      <c r="BO132" s="144"/>
      <c r="BP132" s="144"/>
      <c r="BQ132" s="144"/>
      <c r="BR132" s="144"/>
    </row>
    <row r="133" spans="2:70" ht="19.149999999999999" customHeight="1">
      <c r="B133" s="132"/>
      <c r="C133" s="24"/>
      <c r="D133" s="133"/>
      <c r="E133" s="134"/>
      <c r="F133" s="135"/>
      <c r="G133" s="135"/>
      <c r="H133" s="136"/>
      <c r="I133" s="136"/>
      <c r="J133" s="30"/>
      <c r="K133" s="30"/>
      <c r="L133" s="30"/>
      <c r="M133" s="30"/>
      <c r="N133" s="30"/>
      <c r="O133" s="30"/>
      <c r="P133" s="137"/>
      <c r="Q133" s="138"/>
      <c r="R133" s="138"/>
      <c r="S133" s="138"/>
      <c r="T133" s="139"/>
      <c r="U133" s="140"/>
      <c r="V133" s="141"/>
      <c r="W133" s="141"/>
      <c r="X133" s="140"/>
      <c r="Y133" s="140"/>
      <c r="Z133" s="140"/>
      <c r="AA133" s="31"/>
      <c r="AB133" s="32" t="str">
        <f>IF($S133="","",IF(#REF!="Tolerance",IF((#REF!*3*T133+S133)-E133&lt;F133,"",(#REF!*3*T133+S133)-E133),IF(OR(#REF!="GD&amp;T",#REF!="MAX"),IF((#REF!*3*T133+S133)&lt;F133,"",(#REF!*3*T133+S133)),"")))</f>
        <v/>
      </c>
      <c r="AC133" s="32" t="str">
        <f>IF(S133="","",IF(#REF!="Tolerance",IF(-((#REF!*3*T133)-S133)-E133&gt;G133,"",-((#REF!*3*T133)-S133)-E133),IF(#REF!="MIN",IF(-((#REF!*3*T133)-S133)&gt;G133,"",-((#REF!*3*T133)-S133)),"")))</f>
        <v/>
      </c>
      <c r="AD133" s="32" t="str">
        <f t="shared" si="14"/>
        <v/>
      </c>
      <c r="AE133" s="32" t="str">
        <f t="shared" si="13"/>
        <v/>
      </c>
      <c r="AF133" s="142"/>
      <c r="AG133" s="101"/>
      <c r="AH133" s="143"/>
      <c r="AI133" s="101"/>
      <c r="AJ133" s="101"/>
      <c r="AK133" s="101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  <c r="BB133" s="144"/>
      <c r="BC133" s="144"/>
      <c r="BD133" s="144"/>
      <c r="BE133" s="144"/>
      <c r="BF133" s="144"/>
      <c r="BG133" s="144"/>
      <c r="BH133" s="144"/>
      <c r="BI133" s="144"/>
      <c r="BJ133" s="144"/>
      <c r="BK133" s="144"/>
      <c r="BL133" s="144"/>
      <c r="BM133" s="144"/>
      <c r="BN133" s="144"/>
      <c r="BO133" s="144"/>
      <c r="BP133" s="144"/>
      <c r="BQ133" s="144"/>
      <c r="BR133" s="144"/>
    </row>
    <row r="134" spans="2:70" ht="19.149999999999999" customHeight="1">
      <c r="B134" s="132"/>
      <c r="C134" s="24"/>
      <c r="D134" s="133"/>
      <c r="E134" s="134"/>
      <c r="F134" s="135"/>
      <c r="G134" s="135"/>
      <c r="H134" s="136"/>
      <c r="I134" s="136"/>
      <c r="J134" s="30"/>
      <c r="K134" s="30"/>
      <c r="L134" s="30"/>
      <c r="M134" s="30"/>
      <c r="N134" s="30"/>
      <c r="O134" s="30"/>
      <c r="P134" s="137"/>
      <c r="Q134" s="138"/>
      <c r="R134" s="138"/>
      <c r="S134" s="138"/>
      <c r="T134" s="139"/>
      <c r="U134" s="140"/>
      <c r="V134" s="141"/>
      <c r="W134" s="141"/>
      <c r="X134" s="140"/>
      <c r="Y134" s="140"/>
      <c r="Z134" s="140"/>
      <c r="AA134" s="31"/>
      <c r="AB134" s="32" t="str">
        <f>IF($S134="","",IF(#REF!="Tolerance",IF((#REF!*3*T134+S134)-E134&lt;F134,"",(#REF!*3*T134+S134)-E134),IF(OR(#REF!="GD&amp;T",#REF!="MAX"),IF((#REF!*3*T134+S134)&lt;F134,"",(#REF!*3*T134+S134)),"")))</f>
        <v/>
      </c>
      <c r="AC134" s="32" t="str">
        <f>IF(S134="","",IF(#REF!="Tolerance",IF(-((#REF!*3*T134)-S134)-E134&gt;G134,"",-((#REF!*3*T134)-S134)-E134),IF(#REF!="MIN",IF(-((#REF!*3*T134)-S134)&gt;G134,"",-((#REF!*3*T134)-S134)),"")))</f>
        <v/>
      </c>
      <c r="AD134" s="32" t="str">
        <f t="shared" si="14"/>
        <v/>
      </c>
      <c r="AE134" s="32" t="str">
        <f t="shared" si="13"/>
        <v/>
      </c>
      <c r="AF134" s="142"/>
      <c r="AG134" s="101"/>
      <c r="AH134" s="143"/>
      <c r="AI134" s="101"/>
      <c r="AJ134" s="101"/>
      <c r="AK134" s="101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144"/>
      <c r="BC134" s="144"/>
      <c r="BD134" s="144"/>
      <c r="BE134" s="144"/>
      <c r="BF134" s="144"/>
      <c r="BG134" s="144"/>
      <c r="BH134" s="144"/>
      <c r="BI134" s="144"/>
      <c r="BJ134" s="144"/>
      <c r="BK134" s="144"/>
      <c r="BL134" s="144"/>
      <c r="BM134" s="144"/>
      <c r="BN134" s="144"/>
      <c r="BO134" s="144"/>
      <c r="BP134" s="144"/>
      <c r="BQ134" s="144"/>
      <c r="BR134" s="144"/>
    </row>
    <row r="135" spans="2:70" ht="19.149999999999999" customHeight="1">
      <c r="B135" s="132"/>
      <c r="C135" s="24"/>
      <c r="D135" s="133"/>
      <c r="E135" s="134"/>
      <c r="F135" s="135"/>
      <c r="G135" s="135"/>
      <c r="H135" s="136"/>
      <c r="I135" s="136"/>
      <c r="J135" s="30"/>
      <c r="K135" s="30"/>
      <c r="L135" s="30"/>
      <c r="M135" s="30"/>
      <c r="N135" s="30"/>
      <c r="O135" s="30"/>
      <c r="P135" s="137"/>
      <c r="Q135" s="138"/>
      <c r="R135" s="138"/>
      <c r="S135" s="138"/>
      <c r="T135" s="139"/>
      <c r="U135" s="140"/>
      <c r="V135" s="141"/>
      <c r="W135" s="141"/>
      <c r="X135" s="140"/>
      <c r="Y135" s="140"/>
      <c r="Z135" s="140"/>
      <c r="AA135" s="31"/>
      <c r="AB135" s="32" t="str">
        <f>IF($S135="","",IF(#REF!="Tolerance",IF((#REF!*3*T135+S135)-E135&lt;F135,"",(#REF!*3*T135+S135)-E135),IF(OR(#REF!="GD&amp;T",#REF!="MAX"),IF((#REF!*3*T135+S135)&lt;F135,"",(#REF!*3*T135+S135)),"")))</f>
        <v/>
      </c>
      <c r="AC135" s="32" t="str">
        <f>IF(S135="","",IF(#REF!="Tolerance",IF(-((#REF!*3*T135)-S135)-E135&gt;G135,"",-((#REF!*3*T135)-S135)-E135),IF(#REF!="MIN",IF(-((#REF!*3*T135)-S135)&gt;G135,"",-((#REF!*3*T135)-S135)),"")))</f>
        <v/>
      </c>
      <c r="AD135" s="32" t="str">
        <f t="shared" si="14"/>
        <v/>
      </c>
      <c r="AE135" s="32" t="str">
        <f t="shared" si="13"/>
        <v/>
      </c>
      <c r="AF135" s="142"/>
      <c r="AG135" s="101"/>
      <c r="AH135" s="143"/>
      <c r="AI135" s="101"/>
      <c r="AJ135" s="101"/>
      <c r="AK135" s="101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  <c r="BB135" s="144"/>
      <c r="BC135" s="144"/>
      <c r="BD135" s="144"/>
      <c r="BE135" s="144"/>
      <c r="BF135" s="144"/>
      <c r="BG135" s="144"/>
      <c r="BH135" s="144"/>
      <c r="BI135" s="144"/>
      <c r="BJ135" s="144"/>
      <c r="BK135" s="144"/>
      <c r="BL135" s="144"/>
      <c r="BM135" s="144"/>
      <c r="BN135" s="144"/>
      <c r="BO135" s="144"/>
      <c r="BP135" s="144"/>
      <c r="BQ135" s="144"/>
      <c r="BR135" s="144"/>
    </row>
    <row r="136" spans="2:70" ht="19.149999999999999" customHeight="1">
      <c r="B136" s="132"/>
      <c r="C136" s="24"/>
      <c r="D136" s="133"/>
      <c r="E136" s="134"/>
      <c r="F136" s="135"/>
      <c r="G136" s="135"/>
      <c r="H136" s="136"/>
      <c r="I136" s="136"/>
      <c r="J136" s="30"/>
      <c r="K136" s="30"/>
      <c r="L136" s="30"/>
      <c r="M136" s="30"/>
      <c r="N136" s="30"/>
      <c r="O136" s="30"/>
      <c r="P136" s="137"/>
      <c r="Q136" s="138"/>
      <c r="R136" s="138"/>
      <c r="S136" s="138"/>
      <c r="T136" s="139"/>
      <c r="U136" s="140"/>
      <c r="V136" s="141"/>
      <c r="W136" s="141"/>
      <c r="X136" s="140"/>
      <c r="Y136" s="140"/>
      <c r="Z136" s="140"/>
      <c r="AA136" s="31"/>
      <c r="AB136" s="32" t="str">
        <f>IF($S136="","",IF(#REF!="Tolerance",IF((#REF!*3*T136+S136)-E136&lt;F136,"",(#REF!*3*T136+S136)-E136),IF(OR(#REF!="GD&amp;T",#REF!="MAX"),IF((#REF!*3*T136+S136)&lt;F136,"",(#REF!*3*T136+S136)),"")))</f>
        <v/>
      </c>
      <c r="AC136" s="32" t="str">
        <f>IF(S136="","",IF(#REF!="Tolerance",IF(-((#REF!*3*T136)-S136)-E136&gt;G136,"",-((#REF!*3*T136)-S136)-E136),IF(#REF!="MIN",IF(-((#REF!*3*T136)-S136)&gt;G136,"",-((#REF!*3*T136)-S136)),"")))</f>
        <v/>
      </c>
      <c r="AD136" s="32" t="str">
        <f t="shared" si="14"/>
        <v/>
      </c>
      <c r="AE136" s="32" t="str">
        <f t="shared" si="13"/>
        <v/>
      </c>
      <c r="AF136" s="142"/>
      <c r="AG136" s="101"/>
      <c r="AH136" s="143"/>
      <c r="AI136" s="101"/>
      <c r="AJ136" s="101"/>
      <c r="AK136" s="101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  <c r="BA136" s="144"/>
      <c r="BB136" s="144"/>
      <c r="BC136" s="144"/>
      <c r="BD136" s="144"/>
      <c r="BE136" s="144"/>
      <c r="BF136" s="144"/>
      <c r="BG136" s="144"/>
      <c r="BH136" s="144"/>
      <c r="BI136" s="144"/>
      <c r="BJ136" s="144"/>
      <c r="BK136" s="144"/>
      <c r="BL136" s="144"/>
      <c r="BM136" s="144"/>
      <c r="BN136" s="144"/>
      <c r="BO136" s="144"/>
      <c r="BP136" s="144"/>
      <c r="BQ136" s="144"/>
      <c r="BR136" s="144"/>
    </row>
    <row r="137" spans="2:70" ht="19.149999999999999" customHeight="1">
      <c r="B137" s="132"/>
      <c r="C137" s="24"/>
      <c r="D137" s="133"/>
      <c r="E137" s="134"/>
      <c r="F137" s="135"/>
      <c r="G137" s="135"/>
      <c r="H137" s="136"/>
      <c r="I137" s="136"/>
      <c r="J137" s="30"/>
      <c r="K137" s="30"/>
      <c r="L137" s="30"/>
      <c r="M137" s="30"/>
      <c r="N137" s="30"/>
      <c r="O137" s="30"/>
      <c r="P137" s="137"/>
      <c r="Q137" s="138"/>
      <c r="R137" s="138"/>
      <c r="S137" s="138"/>
      <c r="T137" s="139"/>
      <c r="U137" s="140"/>
      <c r="V137" s="141"/>
      <c r="W137" s="141"/>
      <c r="X137" s="140"/>
      <c r="Y137" s="140"/>
      <c r="Z137" s="140"/>
      <c r="AA137" s="31"/>
      <c r="AB137" s="32" t="str">
        <f>IF($S137="","",IF(#REF!="Tolerance",IF((#REF!*3*T137+S137)-E137&lt;F137,"",(#REF!*3*T137+S137)-E137),IF(OR(#REF!="GD&amp;T",#REF!="MAX"),IF((#REF!*3*T137+S137)&lt;F137,"",(#REF!*3*T137+S137)),"")))</f>
        <v/>
      </c>
      <c r="AC137" s="32" t="str">
        <f>IF(S137="","",IF(#REF!="Tolerance",IF(-((#REF!*3*T137)-S137)-E137&gt;G137,"",-((#REF!*3*T137)-S137)-E137),IF(#REF!="MIN",IF(-((#REF!*3*T137)-S137)&gt;G137,"",-((#REF!*3*T137)-S137)),"")))</f>
        <v/>
      </c>
      <c r="AD137" s="32" t="str">
        <f t="shared" si="14"/>
        <v/>
      </c>
      <c r="AE137" s="32" t="str">
        <f t="shared" si="13"/>
        <v/>
      </c>
      <c r="AF137" s="142"/>
      <c r="AG137" s="101"/>
      <c r="AH137" s="143"/>
      <c r="AI137" s="101"/>
      <c r="AJ137" s="101"/>
      <c r="AK137" s="101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144"/>
      <c r="BC137" s="144"/>
      <c r="BD137" s="144"/>
      <c r="BE137" s="144"/>
      <c r="BF137" s="144"/>
      <c r="BG137" s="144"/>
      <c r="BH137" s="144"/>
      <c r="BI137" s="144"/>
      <c r="BJ137" s="144"/>
      <c r="BK137" s="144"/>
      <c r="BL137" s="144"/>
      <c r="BM137" s="144"/>
      <c r="BN137" s="144"/>
      <c r="BO137" s="144"/>
      <c r="BP137" s="144"/>
      <c r="BQ137" s="144"/>
      <c r="BR137" s="144"/>
    </row>
    <row r="138" spans="2:70" ht="19.149999999999999" customHeight="1">
      <c r="B138" s="132"/>
      <c r="C138" s="24"/>
      <c r="D138" s="133"/>
      <c r="E138" s="134"/>
      <c r="F138" s="135"/>
      <c r="G138" s="135"/>
      <c r="H138" s="136"/>
      <c r="I138" s="136"/>
      <c r="J138" s="30"/>
      <c r="K138" s="30"/>
      <c r="L138" s="30"/>
      <c r="M138" s="30"/>
      <c r="N138" s="30"/>
      <c r="O138" s="30"/>
      <c r="P138" s="137"/>
      <c r="Q138" s="138"/>
      <c r="R138" s="138"/>
      <c r="S138" s="138"/>
      <c r="T138" s="139"/>
      <c r="U138" s="140"/>
      <c r="V138" s="141"/>
      <c r="W138" s="141"/>
      <c r="X138" s="140"/>
      <c r="Y138" s="140"/>
      <c r="Z138" s="140"/>
      <c r="AA138" s="31"/>
      <c r="AB138" s="32" t="str">
        <f>IF($S138="","",IF(#REF!="Tolerance",IF((#REF!*3*T138+S138)-E138&lt;F138,"",(#REF!*3*T138+S138)-E138),IF(OR(#REF!="GD&amp;T",#REF!="MAX"),IF((#REF!*3*T138+S138)&lt;F138,"",(#REF!*3*T138+S138)),"")))</f>
        <v/>
      </c>
      <c r="AC138" s="32" t="str">
        <f>IF(S138="","",IF(#REF!="Tolerance",IF(-((#REF!*3*T138)-S138)-E138&gt;G138,"",-((#REF!*3*T138)-S138)-E138),IF(#REF!="MIN",IF(-((#REF!*3*T138)-S138)&gt;G138,"",-((#REF!*3*T138)-S138)),"")))</f>
        <v/>
      </c>
      <c r="AD138" s="32" t="str">
        <f t="shared" si="14"/>
        <v/>
      </c>
      <c r="AE138" s="32" t="str">
        <f t="shared" si="13"/>
        <v/>
      </c>
      <c r="AF138" s="142"/>
      <c r="AG138" s="101"/>
      <c r="AH138" s="143"/>
      <c r="AI138" s="101"/>
      <c r="AJ138" s="101"/>
      <c r="AK138" s="101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  <c r="BB138" s="144"/>
      <c r="BC138" s="144"/>
      <c r="BD138" s="144"/>
      <c r="BE138" s="144"/>
      <c r="BF138" s="144"/>
      <c r="BG138" s="144"/>
      <c r="BH138" s="144"/>
      <c r="BI138" s="144"/>
      <c r="BJ138" s="144"/>
      <c r="BK138" s="144"/>
      <c r="BL138" s="144"/>
      <c r="BM138" s="144"/>
      <c r="BN138" s="144"/>
      <c r="BO138" s="144"/>
      <c r="BP138" s="144"/>
      <c r="BQ138" s="144"/>
      <c r="BR138" s="144"/>
    </row>
    <row r="139" spans="2:70" ht="19.149999999999999" customHeight="1">
      <c r="B139" s="132"/>
      <c r="C139" s="24"/>
      <c r="D139" s="133"/>
      <c r="E139" s="134"/>
      <c r="F139" s="135"/>
      <c r="G139" s="135"/>
      <c r="H139" s="136"/>
      <c r="I139" s="136"/>
      <c r="J139" s="30"/>
      <c r="K139" s="30"/>
      <c r="L139" s="30"/>
      <c r="M139" s="30"/>
      <c r="N139" s="30"/>
      <c r="O139" s="30"/>
      <c r="P139" s="137"/>
      <c r="Q139" s="138"/>
      <c r="R139" s="138"/>
      <c r="S139" s="138"/>
      <c r="T139" s="139"/>
      <c r="U139" s="140"/>
      <c r="V139" s="141"/>
      <c r="W139" s="141"/>
      <c r="X139" s="140"/>
      <c r="Y139" s="140"/>
      <c r="Z139" s="140"/>
      <c r="AA139" s="31"/>
      <c r="AB139" s="32" t="str">
        <f>IF($S139="","",IF(#REF!="Tolerance",IF((#REF!*3*T139+S139)-E139&lt;F139,"",(#REF!*3*T139+S139)-E139),IF(OR(#REF!="GD&amp;T",#REF!="MAX"),IF((#REF!*3*T139+S139)&lt;F139,"",(#REF!*3*T139+S139)),"")))</f>
        <v/>
      </c>
      <c r="AC139" s="32" t="str">
        <f>IF(S139="","",IF(#REF!="Tolerance",IF(-((#REF!*3*T139)-S139)-E139&gt;G139,"",-((#REF!*3*T139)-S139)-E139),IF(#REF!="MIN",IF(-((#REF!*3*T139)-S139)&gt;G139,"",-((#REF!*3*T139)-S139)),"")))</f>
        <v/>
      </c>
      <c r="AD139" s="32" t="str">
        <f t="shared" ref="AD139:AD145" si="15">IF(OR(E139="",S139=""),"",(J139+K139)/2-S139)</f>
        <v/>
      </c>
      <c r="AE139" s="32" t="str">
        <f t="shared" si="13"/>
        <v/>
      </c>
      <c r="AF139" s="142"/>
      <c r="AG139" s="101"/>
      <c r="AH139" s="143"/>
      <c r="AI139" s="101"/>
      <c r="AJ139" s="101"/>
      <c r="AK139" s="101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  <c r="BB139" s="144"/>
      <c r="BC139" s="144"/>
      <c r="BD139" s="144"/>
      <c r="BE139" s="144"/>
      <c r="BF139" s="144"/>
      <c r="BG139" s="144"/>
      <c r="BH139" s="144"/>
      <c r="BI139" s="144"/>
      <c r="BJ139" s="144"/>
      <c r="BK139" s="144"/>
      <c r="BL139" s="144"/>
      <c r="BM139" s="144"/>
      <c r="BN139" s="144"/>
      <c r="BO139" s="144"/>
      <c r="BP139" s="144"/>
      <c r="BQ139" s="144"/>
      <c r="BR139" s="144"/>
    </row>
    <row r="140" spans="2:70" ht="19.149999999999999" customHeight="1">
      <c r="B140" s="132"/>
      <c r="C140" s="24"/>
      <c r="D140" s="133"/>
      <c r="E140" s="134"/>
      <c r="F140" s="135"/>
      <c r="G140" s="135"/>
      <c r="H140" s="136"/>
      <c r="I140" s="136"/>
      <c r="J140" s="30"/>
      <c r="K140" s="30"/>
      <c r="L140" s="30"/>
      <c r="M140" s="30"/>
      <c r="N140" s="30"/>
      <c r="O140" s="30"/>
      <c r="P140" s="137"/>
      <c r="Q140" s="138"/>
      <c r="R140" s="138"/>
      <c r="S140" s="138"/>
      <c r="T140" s="139"/>
      <c r="U140" s="140"/>
      <c r="V140" s="141"/>
      <c r="W140" s="141"/>
      <c r="X140" s="140"/>
      <c r="Y140" s="140"/>
      <c r="Z140" s="140"/>
      <c r="AA140" s="31"/>
      <c r="AB140" s="32" t="str">
        <f>IF($S140="","",IF(#REF!="Tolerance",IF((#REF!*3*T140+S140)-E140&lt;F140,"",(#REF!*3*T140+S140)-E140),IF(OR(#REF!="GD&amp;T",#REF!="MAX"),IF((#REF!*3*T140+S140)&lt;F140,"",(#REF!*3*T140+S140)),"")))</f>
        <v/>
      </c>
      <c r="AC140" s="32" t="str">
        <f>IF(S140="","",IF(#REF!="Tolerance",IF(-((#REF!*3*T140)-S140)-E140&gt;G140,"",-((#REF!*3*T140)-S140)-E140),IF(#REF!="MIN",IF(-((#REF!*3*T140)-S140)&gt;G140,"",-((#REF!*3*T140)-S140)),"")))</f>
        <v/>
      </c>
      <c r="AD140" s="32" t="str">
        <f t="shared" si="15"/>
        <v/>
      </c>
      <c r="AE140" s="32" t="str">
        <f t="shared" si="13"/>
        <v/>
      </c>
      <c r="AF140" s="142"/>
      <c r="AG140" s="101"/>
      <c r="AH140" s="143"/>
      <c r="AI140" s="101"/>
      <c r="AJ140" s="101"/>
      <c r="AK140" s="101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  <c r="BB140" s="144"/>
      <c r="BC140" s="144"/>
      <c r="BD140" s="144"/>
      <c r="BE140" s="144"/>
      <c r="BF140" s="144"/>
      <c r="BG140" s="144"/>
      <c r="BH140" s="144"/>
      <c r="BI140" s="144"/>
      <c r="BJ140" s="144"/>
      <c r="BK140" s="144"/>
      <c r="BL140" s="144"/>
      <c r="BM140" s="144"/>
      <c r="BN140" s="144"/>
      <c r="BO140" s="144"/>
      <c r="BP140" s="144"/>
      <c r="BQ140" s="144"/>
      <c r="BR140" s="144"/>
    </row>
    <row r="141" spans="2:70" ht="19.149999999999999" customHeight="1">
      <c r="B141" s="132"/>
      <c r="C141" s="24"/>
      <c r="D141" s="133"/>
      <c r="E141" s="134"/>
      <c r="F141" s="135"/>
      <c r="G141" s="135"/>
      <c r="H141" s="136"/>
      <c r="I141" s="136"/>
      <c r="J141" s="30"/>
      <c r="K141" s="30"/>
      <c r="L141" s="30"/>
      <c r="M141" s="30"/>
      <c r="N141" s="30"/>
      <c r="O141" s="30"/>
      <c r="P141" s="137"/>
      <c r="Q141" s="138"/>
      <c r="R141" s="138"/>
      <c r="S141" s="138"/>
      <c r="T141" s="139"/>
      <c r="U141" s="140"/>
      <c r="V141" s="141"/>
      <c r="W141" s="141"/>
      <c r="X141" s="140"/>
      <c r="Y141" s="140"/>
      <c r="Z141" s="140"/>
      <c r="AA141" s="31"/>
      <c r="AB141" s="32" t="str">
        <f>IF($S141="","",IF(#REF!="Tolerance",IF((#REF!*3*T141+S141)-E141&lt;F141,"",(#REF!*3*T141+S141)-E141),IF(OR(#REF!="GD&amp;T",#REF!="MAX"),IF((#REF!*3*T141+S141)&lt;F141,"",(#REF!*3*T141+S141)),"")))</f>
        <v/>
      </c>
      <c r="AC141" s="32" t="str">
        <f>IF(S141="","",IF(#REF!="Tolerance",IF(-((#REF!*3*T141)-S141)-E141&gt;G141,"",-((#REF!*3*T141)-S141)-E141),IF(#REF!="MIN",IF(-((#REF!*3*T141)-S141)&gt;G141,"",-((#REF!*3*T141)-S141)),"")))</f>
        <v/>
      </c>
      <c r="AD141" s="32" t="str">
        <f t="shared" si="15"/>
        <v/>
      </c>
      <c r="AE141" s="32" t="str">
        <f t="shared" si="13"/>
        <v/>
      </c>
      <c r="AF141" s="142"/>
      <c r="AG141" s="101"/>
      <c r="AH141" s="143"/>
      <c r="AI141" s="101"/>
      <c r="AJ141" s="101"/>
      <c r="AK141" s="101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  <c r="BA141" s="144"/>
      <c r="BB141" s="144"/>
      <c r="BC141" s="144"/>
      <c r="BD141" s="144"/>
      <c r="BE141" s="144"/>
      <c r="BF141" s="144"/>
      <c r="BG141" s="144"/>
      <c r="BH141" s="144"/>
      <c r="BI141" s="144"/>
      <c r="BJ141" s="144"/>
      <c r="BK141" s="144"/>
      <c r="BL141" s="144"/>
      <c r="BM141" s="144"/>
      <c r="BN141" s="144"/>
      <c r="BO141" s="144"/>
      <c r="BP141" s="144"/>
      <c r="BQ141" s="144"/>
      <c r="BR141" s="144"/>
    </row>
    <row r="142" spans="2:70" ht="19.149999999999999" customHeight="1">
      <c r="B142" s="132"/>
      <c r="C142" s="24"/>
      <c r="D142" s="133"/>
      <c r="E142" s="134"/>
      <c r="F142" s="135"/>
      <c r="G142" s="135"/>
      <c r="H142" s="136"/>
      <c r="I142" s="136"/>
      <c r="J142" s="30"/>
      <c r="K142" s="30"/>
      <c r="L142" s="30"/>
      <c r="M142" s="30"/>
      <c r="N142" s="30"/>
      <c r="O142" s="30"/>
      <c r="P142" s="137"/>
      <c r="Q142" s="138"/>
      <c r="R142" s="138"/>
      <c r="S142" s="138"/>
      <c r="T142" s="139"/>
      <c r="U142" s="140"/>
      <c r="V142" s="141"/>
      <c r="W142" s="141"/>
      <c r="X142" s="140"/>
      <c r="Y142" s="140"/>
      <c r="Z142" s="140"/>
      <c r="AA142" s="31"/>
      <c r="AB142" s="32" t="str">
        <f>IF($S142="","",IF(#REF!="Tolerance",IF((#REF!*3*T142+S142)-E142&lt;F142,"",(#REF!*3*T142+S142)-E142),IF(OR(#REF!="GD&amp;T",#REF!="MAX"),IF((#REF!*3*T142+S142)&lt;F142,"",(#REF!*3*T142+S142)),"")))</f>
        <v/>
      </c>
      <c r="AC142" s="32" t="str">
        <f>IF(S142="","",IF(#REF!="Tolerance",IF(-((#REF!*3*T142)-S142)-E142&gt;G142,"",-((#REF!*3*T142)-S142)-E142),IF(#REF!="MIN",IF(-((#REF!*3*T142)-S142)&gt;G142,"",-((#REF!*3*T142)-S142)),"")))</f>
        <v/>
      </c>
      <c r="AD142" s="32" t="str">
        <f t="shared" si="15"/>
        <v/>
      </c>
      <c r="AE142" s="32" t="str">
        <f t="shared" si="13"/>
        <v/>
      </c>
      <c r="AF142" s="142"/>
      <c r="AG142" s="101"/>
      <c r="AH142" s="143"/>
      <c r="AI142" s="101"/>
      <c r="AJ142" s="101"/>
      <c r="AK142" s="101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  <c r="BB142" s="144"/>
      <c r="BC142" s="144"/>
      <c r="BD142" s="144"/>
      <c r="BE142" s="144"/>
      <c r="BF142" s="144"/>
      <c r="BG142" s="144"/>
      <c r="BH142" s="144"/>
      <c r="BI142" s="144"/>
      <c r="BJ142" s="144"/>
      <c r="BK142" s="144"/>
      <c r="BL142" s="144"/>
      <c r="BM142" s="144"/>
      <c r="BN142" s="144"/>
      <c r="BO142" s="144"/>
      <c r="BP142" s="144"/>
      <c r="BQ142" s="144"/>
      <c r="BR142" s="144"/>
    </row>
    <row r="143" spans="2:70" ht="19.149999999999999" customHeight="1">
      <c r="B143" s="132"/>
      <c r="C143" s="24"/>
      <c r="D143" s="133"/>
      <c r="E143" s="134"/>
      <c r="F143" s="135"/>
      <c r="G143" s="135"/>
      <c r="H143" s="136"/>
      <c r="I143" s="136"/>
      <c r="J143" s="30"/>
      <c r="K143" s="30"/>
      <c r="L143" s="30"/>
      <c r="M143" s="30"/>
      <c r="N143" s="30"/>
      <c r="O143" s="30"/>
      <c r="P143" s="137"/>
      <c r="Q143" s="138"/>
      <c r="R143" s="138"/>
      <c r="S143" s="138"/>
      <c r="T143" s="139"/>
      <c r="U143" s="140"/>
      <c r="V143" s="141"/>
      <c r="W143" s="141"/>
      <c r="X143" s="140"/>
      <c r="Y143" s="140"/>
      <c r="Z143" s="140"/>
      <c r="AA143" s="31"/>
      <c r="AB143" s="32" t="str">
        <f>IF($S143="","",IF(#REF!="Tolerance",IF((#REF!*3*T143+S143)-E143&lt;F143,"",(#REF!*3*T143+S143)-E143),IF(OR(#REF!="GD&amp;T",#REF!="MAX"),IF((#REF!*3*T143+S143)&lt;F143,"",(#REF!*3*T143+S143)),"")))</f>
        <v/>
      </c>
      <c r="AC143" s="32" t="str">
        <f>IF(S143="","",IF(#REF!="Tolerance",IF(-((#REF!*3*T143)-S143)-E143&gt;G143,"",-((#REF!*3*T143)-S143)-E143),IF(#REF!="MIN",IF(-((#REF!*3*T143)-S143)&gt;G143,"",-((#REF!*3*T143)-S143)),"")))</f>
        <v/>
      </c>
      <c r="AD143" s="32" t="str">
        <f t="shared" si="15"/>
        <v/>
      </c>
      <c r="AE143" s="32" t="str">
        <f t="shared" si="13"/>
        <v/>
      </c>
      <c r="AF143" s="142"/>
      <c r="AG143" s="101"/>
      <c r="AH143" s="143"/>
      <c r="AI143" s="101"/>
      <c r="AJ143" s="101"/>
      <c r="AK143" s="101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  <c r="BA143" s="144"/>
      <c r="BB143" s="144"/>
      <c r="BC143" s="144"/>
      <c r="BD143" s="144"/>
      <c r="BE143" s="144"/>
      <c r="BF143" s="144"/>
      <c r="BG143" s="144"/>
      <c r="BH143" s="144"/>
      <c r="BI143" s="144"/>
      <c r="BJ143" s="144"/>
      <c r="BK143" s="144"/>
      <c r="BL143" s="144"/>
      <c r="BM143" s="144"/>
      <c r="BN143" s="144"/>
      <c r="BO143" s="144"/>
      <c r="BP143" s="144"/>
      <c r="BQ143" s="144"/>
      <c r="BR143" s="144"/>
    </row>
    <row r="144" spans="2:70" ht="19.149999999999999" customHeight="1">
      <c r="B144" s="132"/>
      <c r="C144" s="24"/>
      <c r="D144" s="133"/>
      <c r="E144" s="134"/>
      <c r="F144" s="135"/>
      <c r="G144" s="135"/>
      <c r="H144" s="136"/>
      <c r="I144" s="136"/>
      <c r="J144" s="30"/>
      <c r="K144" s="30"/>
      <c r="L144" s="30"/>
      <c r="M144" s="30"/>
      <c r="N144" s="30"/>
      <c r="O144" s="30"/>
      <c r="P144" s="137"/>
      <c r="Q144" s="138"/>
      <c r="R144" s="138"/>
      <c r="S144" s="138"/>
      <c r="T144" s="139"/>
      <c r="U144" s="140"/>
      <c r="V144" s="141"/>
      <c r="W144" s="141"/>
      <c r="X144" s="140"/>
      <c r="Y144" s="140"/>
      <c r="Z144" s="140"/>
      <c r="AA144" s="31"/>
      <c r="AB144" s="32" t="str">
        <f>IF($S144="","",IF(#REF!="Tolerance",IF((#REF!*3*T144+S144)-E144&lt;F144,"",(#REF!*3*T144+S144)-E144),IF(OR(#REF!="GD&amp;T",#REF!="MAX"),IF((#REF!*3*T144+S144)&lt;F144,"",(#REF!*3*T144+S144)),"")))</f>
        <v/>
      </c>
      <c r="AC144" s="32" t="str">
        <f>IF(S144="","",IF(#REF!="Tolerance",IF(-((#REF!*3*T144)-S144)-E144&gt;G144,"",-((#REF!*3*T144)-S144)-E144),IF(#REF!="MIN",IF(-((#REF!*3*T144)-S144)&gt;G144,"",-((#REF!*3*T144)-S144)),"")))</f>
        <v/>
      </c>
      <c r="AD144" s="32" t="str">
        <f t="shared" si="15"/>
        <v/>
      </c>
      <c r="AE144" s="32" t="str">
        <f t="shared" si="13"/>
        <v/>
      </c>
      <c r="AF144" s="142"/>
      <c r="AG144" s="101"/>
      <c r="AH144" s="143"/>
      <c r="AI144" s="101"/>
      <c r="AJ144" s="101"/>
      <c r="AK144" s="101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  <c r="BA144" s="144"/>
      <c r="BB144" s="144"/>
      <c r="BC144" s="144"/>
      <c r="BD144" s="144"/>
      <c r="BE144" s="144"/>
      <c r="BF144" s="144"/>
      <c r="BG144" s="144"/>
      <c r="BH144" s="144"/>
      <c r="BI144" s="144"/>
      <c r="BJ144" s="144"/>
      <c r="BK144" s="144"/>
      <c r="BL144" s="144"/>
      <c r="BM144" s="144"/>
      <c r="BN144" s="144"/>
      <c r="BO144" s="144"/>
      <c r="BP144" s="144"/>
      <c r="BQ144" s="144"/>
      <c r="BR144" s="144"/>
    </row>
    <row r="145" spans="2:70" ht="19.149999999999999" customHeight="1">
      <c r="B145" s="132"/>
      <c r="C145" s="24"/>
      <c r="D145" s="133"/>
      <c r="E145" s="134"/>
      <c r="F145" s="135"/>
      <c r="G145" s="135"/>
      <c r="H145" s="136"/>
      <c r="I145" s="136"/>
      <c r="J145" s="30"/>
      <c r="K145" s="30"/>
      <c r="L145" s="30"/>
      <c r="M145" s="30"/>
      <c r="N145" s="30"/>
      <c r="O145" s="30"/>
      <c r="P145" s="137"/>
      <c r="Q145" s="138"/>
      <c r="R145" s="138"/>
      <c r="S145" s="138"/>
      <c r="T145" s="139"/>
      <c r="U145" s="140"/>
      <c r="V145" s="141"/>
      <c r="W145" s="141"/>
      <c r="X145" s="140"/>
      <c r="Y145" s="140"/>
      <c r="Z145" s="140"/>
      <c r="AA145" s="31"/>
      <c r="AB145" s="32" t="str">
        <f>IF($S145="","",IF(#REF!="Tolerance",IF((#REF!*3*T145+S145)-E145&lt;F145,"",(#REF!*3*T145+S145)-E145),IF(OR(#REF!="GD&amp;T",#REF!="MAX"),IF((#REF!*3*T145+S145)&lt;F145,"",(#REF!*3*T145+S145)),"")))</f>
        <v/>
      </c>
      <c r="AC145" s="32" t="str">
        <f>IF(S145="","",IF(#REF!="Tolerance",IF(-((#REF!*3*T145)-S145)-E145&gt;G145,"",-((#REF!*3*T145)-S145)-E145),IF(#REF!="MIN",IF(-((#REF!*3*T145)-S145)&gt;G145,"",-((#REF!*3*T145)-S145)),"")))</f>
        <v/>
      </c>
      <c r="AD145" s="32" t="str">
        <f t="shared" si="15"/>
        <v/>
      </c>
      <c r="AE145" s="32" t="str">
        <f t="shared" si="13"/>
        <v/>
      </c>
      <c r="AF145" s="142"/>
      <c r="AG145" s="101"/>
      <c r="AH145" s="143"/>
      <c r="AI145" s="101"/>
      <c r="AJ145" s="101"/>
      <c r="AK145" s="101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144"/>
      <c r="BC145" s="144"/>
      <c r="BD145" s="144"/>
      <c r="BE145" s="144"/>
      <c r="BF145" s="144"/>
      <c r="BG145" s="144"/>
      <c r="BH145" s="144"/>
      <c r="BI145" s="144"/>
      <c r="BJ145" s="144"/>
      <c r="BK145" s="144"/>
      <c r="BL145" s="144"/>
      <c r="BM145" s="144"/>
      <c r="BN145" s="144"/>
      <c r="BO145" s="144"/>
      <c r="BP145" s="144"/>
      <c r="BQ145" s="144"/>
      <c r="BR145" s="144"/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24">
    <cfRule type="cellIs" dxfId="3" priority="2" operator="lessThan">
      <formula>$M6</formula>
    </cfRule>
    <cfRule type="cellIs" dxfId="2" priority="3" operator="greaterThan">
      <formula>$J6</formula>
    </cfRule>
  </conditionalFormatting>
  <conditionalFormatting sqref="AM6:BR145">
    <cfRule type="cellIs" dxfId="1" priority="1" stopIfTrue="1" operator="notBetween">
      <formula>$E6+$F6</formula>
      <formula>$E6+$G6</formula>
    </cfRule>
  </conditionalFormatting>
  <conditionalFormatting sqref="AM12:BR13">
    <cfRule type="cellIs" dxfId="0" priority="14" operator="greaterThan">
      <formula>$N12</formula>
    </cfRule>
  </conditionalFormatting>
  <dataValidations count="2">
    <dataValidation type="list" allowBlank="1" showInputMessage="1" showErrorMessage="1" sqref="H6:H15" xr:uid="{4DA07D21-5D72-6741-8BE0-2D6815A97A6E}">
      <formula1>insp_meth</formula1>
    </dataValidation>
    <dataValidation type="list" allowBlank="1" showInputMessage="1" showErrorMessage="1" sqref="I6:I15" xr:uid="{E6FA26F1-9E5E-9A4D-AD7B-F51A2627CF8F}">
      <formula1>gauging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2026-01-13T22:29:48Z</dcterms:modified>
</cp:coreProperties>
</file>