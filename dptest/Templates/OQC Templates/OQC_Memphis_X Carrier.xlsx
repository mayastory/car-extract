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drawings/drawing3.xml" ContentType="application/vnd.openxmlformats-officedocument.drawing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 codeName="현재_통합_문서" autoCompressPictures="0"/>
  <mc:AlternateContent xmlns:mc="http://schemas.openxmlformats.org/markup-compatibility/2006">
    <mc:Choice Requires="x15">
      <x15ac:absPath xmlns:x15ac="http://schemas.microsoft.com/office/spreadsheetml/2010/11/ac" url="C:\xampp\htdocs\DPTest\oqc templates\"/>
    </mc:Choice>
  </mc:AlternateContent>
  <xr:revisionPtr revIDLastSave="0" documentId="13_ncr:1_{4B6B0337-2B9F-4029-BEF2-B78AB11A49E7}" xr6:coauthVersionLast="47" xr6:coauthVersionMax="47" xr10:uidLastSave="{00000000-0000-0000-0000-000000000000}"/>
  <bookViews>
    <workbookView xWindow="-120" yWindow="480" windowWidth="29040" windowHeight="15840" tabRatio="644" xr2:uid="{00000000-000D-0000-FFFF-FFFF00000000}"/>
  </bookViews>
  <sheets>
    <sheet name="OQC" sheetId="42" r:id="rId1"/>
    <sheet name="OOC" sheetId="41" state="hidden" r:id="rId2"/>
    <sheet name="1Cav기존" sheetId="1" state="hidden" r:id="rId3"/>
    <sheet name="2Cav기존" sheetId="35" state="hidden" r:id="rId4"/>
    <sheet name="3Cav기존" sheetId="37" state="hidden" r:id="rId5"/>
    <sheet name="4Cav기존" sheetId="38" state="hidden" r:id="rId6"/>
    <sheet name="Drawing" sheetId="5" state="hidden" r:id="rId7"/>
    <sheet name="Revision" sheetId="6" state="hidden" r:id="rId8"/>
    <sheet name="Setup" sheetId="3" state="hidden" r:id="rId9"/>
  </sheets>
  <definedNames>
    <definedName name="__123Graph_B" hidden="1">#REF!</definedName>
    <definedName name="_Dist_Bin" hidden="1">#REF!</definedName>
    <definedName name="_Dist_Values" hidden="1">#REF!</definedName>
    <definedName name="_Fill" hidden="1">#REF!</definedName>
    <definedName name="_xlnm._FilterDatabase" localSheetId="2" hidden="1">'1Cav기존'!$A$10:$BP$47</definedName>
    <definedName name="_xlnm._FilterDatabase" localSheetId="3" hidden="1">'2Cav기존'!$A$10:$BP$47</definedName>
    <definedName name="_xlnm._FilterDatabase" localSheetId="4" hidden="1">'3Cav기존'!$A$10:$BP$47</definedName>
    <definedName name="_xlnm._FilterDatabase" localSheetId="5" hidden="1">'4Cav기존'!$A$10:$BP$47</definedName>
    <definedName name="_Key1" hidden="1">#REF!</definedName>
    <definedName name="_Key2" hidden="1">#REF!</definedName>
    <definedName name="_Order1" hidden="1">0</definedName>
    <definedName name="_Order2" hidden="1">255</definedName>
    <definedName name="_rt" localSheetId="0" hidden="1">#REF!</definedName>
    <definedName name="_rt" hidden="1">#REF!</definedName>
    <definedName name="_Sort" localSheetId="0" hidden="1">#REF!</definedName>
    <definedName name="_Sort" hidden="1">#REF!</definedName>
    <definedName name="a" hidden="1">#REF!</definedName>
    <definedName name="AERGA" localSheetId="0" hidden="1">{#N/A,#N/A,FALSE,"원가검토서"}</definedName>
    <definedName name="AERGA" hidden="1">{#N/A,#N/A,FALSE,"원가검토서"}</definedName>
    <definedName name="AFDAGA" localSheetId="0" hidden="1">{#N/A,#N/A,FALSE,"원가검토서"}</definedName>
    <definedName name="AFDAGA" hidden="1">{#N/A,#N/A,FALSE,"원가검토서"}</definedName>
    <definedName name="CFVGYTU" localSheetId="0" hidden="1">{#N/A,#N/A,FALSE,"원가검토서"}</definedName>
    <definedName name="CFVGYTU" hidden="1">{#N/A,#N/A,FALSE,"원가검토서"}</definedName>
    <definedName name="CMMVersion" localSheetId="1">OOC!#REF!</definedName>
    <definedName name="ddfg" localSheetId="0" hidden="1">{#N/A,#N/A,FALSE,"원가검토서"}</definedName>
    <definedName name="ddfg" hidden="1">{#N/A,#N/A,FALSE,"원가검토서"}</definedName>
    <definedName name="DFAGF" localSheetId="0" hidden="1">{#N/A,#N/A,FALSE,"원가검토서"}</definedName>
    <definedName name="DFAGF" hidden="1">{#N/A,#N/A,FALSE,"원가검토서"}</definedName>
    <definedName name="DFG" localSheetId="0" hidden="1">{#N/A,#N/A,FALSE,"원가검토서"}</definedName>
    <definedName name="DFG" hidden="1">{#N/A,#N/A,FALSE,"원가검토서"}</definedName>
    <definedName name="DFGEERT" localSheetId="0" hidden="1">{#N/A,#N/A,FALSE,"원가검토서"}</definedName>
    <definedName name="DFGEERT" hidden="1">{#N/A,#N/A,FALSE,"원가검토서"}</definedName>
    <definedName name="dfsf" localSheetId="0" hidden="1">{#N/A,#N/A,FALSE,"원가검토서"}</definedName>
    <definedName name="dfsf" hidden="1">{#N/A,#N/A,FALSE,"원가검토서"}</definedName>
    <definedName name="dim_type" localSheetId="1">#REF!</definedName>
    <definedName name="dim_types" localSheetId="1">#REF!</definedName>
    <definedName name="DS" localSheetId="0" hidden="1">{#N/A,#N/A,FALSE,"원가검토서"}</definedName>
    <definedName name="DS" hidden="1">{#N/A,#N/A,FALSE,"원가검토서"}</definedName>
    <definedName name="FGGHNMK" localSheetId="0" hidden="1">{#N/A,#N/A,FALSE,"원가검토서"}</definedName>
    <definedName name="FGGHNMK" hidden="1">{#N/A,#N/A,FALSE,"원가검토서"}</definedName>
    <definedName name="FGHJ" localSheetId="0" hidden="1">{#N/A,#N/A,FALSE,"원가검토서"}</definedName>
    <definedName name="FGHJ" hidden="1">{#N/A,#N/A,FALSE,"원가검토서"}</definedName>
    <definedName name="gauging" localSheetId="1">#REF!</definedName>
    <definedName name="HJGFJHFJH" localSheetId="0" hidden="1">{#N/A,#N/A,FALSE,"원가검토서"}</definedName>
    <definedName name="HJGFJHFJH" hidden="1">{#N/A,#N/A,FALSE,"원가검토서"}</definedName>
    <definedName name="HTML_CodePage" hidden="1">1</definedName>
    <definedName name="HTML_Control" localSheetId="0" hidden="1">{"'Sheet9'!$K$8"}</definedName>
    <definedName name="HTML_Control" hidden="1">{"'Sheet9'!$K$8"}</definedName>
    <definedName name="HTML_Description" hidden="1">""</definedName>
    <definedName name="HTML_Email" hidden="1">""</definedName>
    <definedName name="HTML_Header" hidden="1">"Sheet9"</definedName>
    <definedName name="HTML_LastUpdate" hidden="1">"99-5-30"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"书"</definedName>
    <definedName name="HTML1_1" hidden="1">"[FOLLOW.XLS]場所マスタ!$A$1:$C$33"</definedName>
    <definedName name="HTML1_10" hidden="1">""</definedName>
    <definedName name="HTML1_11" hidden="1">1</definedName>
    <definedName name="HTML1_12" hidden="1">"F:\COMMON\SIZAI\KAGAKU\HTML\KAIHATU\follow.htm"</definedName>
    <definedName name="HTML1_2" hidden="1">1</definedName>
    <definedName name="HTML1_3" hidden="1">"回答状況"</definedName>
    <definedName name="HTML1_4" hidden="1">"回答状況"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Count" hidden="1">1</definedName>
    <definedName name="insp_meth" localSheetId="1">#REF!</definedName>
    <definedName name="JJUHG" localSheetId="0" hidden="1">{#N/A,#N/A,FALSE,"원가검토서"}</definedName>
    <definedName name="JJUHG" hidden="1">{#N/A,#N/A,FALSE,"원가검토서"}</definedName>
    <definedName name="on" hidden="1">#REF!</definedName>
    <definedName name="WET" localSheetId="0" hidden="1">{#N/A,#N/A,FALSE,"원가검토서"}</definedName>
    <definedName name="WET" hidden="1">{#N/A,#N/A,FALSE,"원가검토서"}</definedName>
    <definedName name="WGEG" localSheetId="0" hidden="1">{#N/A,#N/A,FALSE,"원가검토서"}</definedName>
    <definedName name="WGEG" hidden="1">{#N/A,#N/A,FALSE,"원가검토서"}</definedName>
    <definedName name="WGREG" localSheetId="0" hidden="1">{#N/A,#N/A,FALSE,"원가검토서"}</definedName>
    <definedName name="WGREG" hidden="1">{#N/A,#N/A,FALSE,"원가검토서"}</definedName>
    <definedName name="wrn.원가검토서." localSheetId="0" hidden="1">{#N/A,#N/A,FALSE,"원가검토서"}</definedName>
    <definedName name="wrn.원가검토서." hidden="1">{#N/A,#N/A,FALSE,"원가검토서"}</definedName>
    <definedName name="Z_87557640_3C8C_11D4_8266_00A0245DE547_.wvu.PrintArea" hidden="1">#REF!</definedName>
    <definedName name="ㄱ쇼" localSheetId="0" hidden="1">{#N/A,#N/A,FALSE,"원가검토서"}</definedName>
    <definedName name="ㄱ쇼" hidden="1">{#N/A,#N/A,FALSE,"원가검토서"}</definedName>
    <definedName name="고고고" localSheetId="0" hidden="1">{#N/A,#N/A,FALSE,"원가검토서"}</definedName>
    <definedName name="고고고" hidden="1">{#N/A,#N/A,FALSE,"원가검토서"}</definedName>
    <definedName name="공정도" localSheetId="0" hidden="1">{#N/A,#N/A,FALSE,"원가검토서"}</definedName>
    <definedName name="공정도" hidden="1">{#N/A,#N/A,FALSE,"원가검토서"}</definedName>
    <definedName name="금" localSheetId="0" hidden="1">{#N/A,#N/A,FALSE,"원가검토서"}</definedName>
    <definedName name="금" hidden="1">{#N/A,#N/A,FALSE,"원가검토서"}</definedName>
    <definedName name="금형" localSheetId="0" hidden="1">{#N/A,#N/A,FALSE,"원가검토서"}</definedName>
    <definedName name="금형" hidden="1">{#N/A,#N/A,FALSE,"원가검토서"}</definedName>
    <definedName name="금형견적" localSheetId="0" hidden="1">{#N/A,#N/A,FALSE,"원가검토서"}</definedName>
    <definedName name="금형견적" hidden="1">{#N/A,#N/A,FALSE,"원가검토서"}</definedName>
    <definedName name="수직편차_19041" localSheetId="0" hidden="1">{#N/A,#N/A,FALSE,"원가검토서"}</definedName>
    <definedName name="수직편차_19041" hidden="1">{#N/A,#N/A,FALSE,"원가검토서"}</definedName>
    <definedName name="수직편차_190419" localSheetId="0" hidden="1">{#N/A,#N/A,FALSE,"원가검토서"}</definedName>
    <definedName name="수직편차_190419" hidden="1">{#N/A,#N/A,FALSE,"원가검토서"}</definedName>
    <definedName name="ㅇㄹ호" localSheetId="0" hidden="1">{#N/A,#N/A,FALSE,"원가검토서"}</definedName>
    <definedName name="ㅇㄹ호" hidden="1">{#N/A,#N/A,FALSE,"원가검토서"}</definedName>
    <definedName name="ㅇㅀㄷㄱ쇼" localSheetId="0" hidden="1">{#N/A,#N/A,FALSE,"원가검토서"}</definedName>
    <definedName name="ㅇㅀㄷㄱ쇼" hidden="1">{#N/A,#N/A,FALSE,"원가검토서"}</definedName>
    <definedName name="ㅇㅀㄷㄱㅈ" localSheetId="0" hidden="1">{#N/A,#N/A,FALSE,"원가검토서"}</definedName>
    <definedName name="ㅇㅀㄷㄱㅈ" hidden="1">{#N/A,#N/A,FALSE,"원가검토서"}</definedName>
    <definedName name="포장" localSheetId="0" hidden="1">{#N/A,#N/A,FALSE,"원가검토서"}</definedName>
    <definedName name="포장" hidden="1">{#N/A,#N/A,FALSE,"원가검토서"}</definedName>
    <definedName name="포장사양" localSheetId="0" hidden="1">#REF!</definedName>
    <definedName name="포장사양" hidden="1">#REF!</definedName>
    <definedName name="포장사양서" localSheetId="0" hidden="1">{#N/A,#N/A,FALSE,"원가검토서"}</definedName>
    <definedName name="포장사양서" hidden="1">{#N/A,#N/A,FALSE,"원가검토서"}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5" i="42" l="1" a="1"/>
  <c r="AK5" i="42" s="1"/>
  <c r="AK4" i="42" a="1"/>
  <c r="AK4" i="42" s="1"/>
  <c r="AK2" i="42" a="1"/>
  <c r="AK2" i="42" s="1"/>
  <c r="O40" i="42" l="1"/>
  <c r="P40" i="42"/>
  <c r="Q40" i="42"/>
  <c r="R40" i="42"/>
  <c r="S40" i="42" s="1"/>
  <c r="O41" i="42"/>
  <c r="P41" i="42"/>
  <c r="Q41" i="42"/>
  <c r="R41" i="42"/>
  <c r="S41" i="42" s="1"/>
  <c r="O42" i="42"/>
  <c r="P42" i="42"/>
  <c r="Q42" i="42"/>
  <c r="R42" i="42"/>
  <c r="S42" i="42" s="1"/>
  <c r="O43" i="42"/>
  <c r="P43" i="42"/>
  <c r="Q43" i="42"/>
  <c r="R43" i="42"/>
  <c r="S43" i="42" s="1"/>
  <c r="S17" i="41" l="1"/>
  <c r="T17" i="41"/>
  <c r="X17" i="41"/>
  <c r="Y17" i="41"/>
  <c r="AC17" i="41"/>
  <c r="AD17" i="41"/>
  <c r="AH17" i="41"/>
  <c r="AI17" i="41"/>
  <c r="S18" i="41"/>
  <c r="T18" i="41"/>
  <c r="X18" i="41"/>
  <c r="Y18" i="41"/>
  <c r="AC18" i="41"/>
  <c r="AD18" i="41"/>
  <c r="AH18" i="41"/>
  <c r="AI18" i="41"/>
  <c r="S19" i="41"/>
  <c r="T19" i="41"/>
  <c r="X19" i="41"/>
  <c r="Y19" i="41"/>
  <c r="AC19" i="41"/>
  <c r="AD19" i="41"/>
  <c r="AH19" i="41"/>
  <c r="AI19" i="41"/>
  <c r="S21" i="41"/>
  <c r="T21" i="41"/>
  <c r="X21" i="41"/>
  <c r="Y21" i="41"/>
  <c r="AC21" i="41"/>
  <c r="AD21" i="41"/>
  <c r="AH21" i="41"/>
  <c r="AI21" i="41"/>
  <c r="S51" i="41"/>
  <c r="T51" i="41"/>
  <c r="X51" i="41"/>
  <c r="Y51" i="41"/>
  <c r="AC51" i="41"/>
  <c r="AD51" i="41"/>
  <c r="AH51" i="41"/>
  <c r="AI51" i="41"/>
  <c r="S52" i="41"/>
  <c r="T52" i="41"/>
  <c r="X52" i="41"/>
  <c r="Y52" i="41"/>
  <c r="AC52" i="41"/>
  <c r="AD52" i="41"/>
  <c r="AH52" i="41"/>
  <c r="AI52" i="41"/>
  <c r="S53" i="41"/>
  <c r="T53" i="41"/>
  <c r="X53" i="41"/>
  <c r="Y53" i="41"/>
  <c r="AC53" i="41"/>
  <c r="AD53" i="41"/>
  <c r="AH53" i="41"/>
  <c r="AI53" i="41"/>
  <c r="AF51" i="41" l="1"/>
  <c r="AA21" i="41"/>
  <c r="AA17" i="41"/>
  <c r="AA51" i="41"/>
  <c r="AA52" i="41"/>
  <c r="AA19" i="41"/>
  <c r="AA18" i="41"/>
  <c r="AA53" i="41"/>
  <c r="Z21" i="41"/>
  <c r="Z18" i="41"/>
  <c r="Z52" i="41"/>
  <c r="Z19" i="41"/>
  <c r="Z53" i="41"/>
  <c r="Z17" i="41"/>
  <c r="Z51" i="41"/>
  <c r="AF18" i="41"/>
  <c r="AE51" i="41"/>
  <c r="AE18" i="41"/>
  <c r="AF53" i="41"/>
  <c r="AF52" i="41"/>
  <c r="AE52" i="41"/>
  <c r="AF19" i="41"/>
  <c r="AE19" i="41"/>
  <c r="AE53" i="41"/>
  <c r="AF21" i="41"/>
  <c r="AF17" i="41"/>
  <c r="AE21" i="41"/>
  <c r="AE17" i="41"/>
  <c r="AJ51" i="41"/>
  <c r="AK52" i="41"/>
  <c r="AK19" i="41"/>
  <c r="AK53" i="41"/>
  <c r="AK18" i="41"/>
  <c r="AK21" i="41"/>
  <c r="AK17" i="41"/>
  <c r="AJ21" i="41"/>
  <c r="AK51" i="41"/>
  <c r="U53" i="41"/>
  <c r="V51" i="41"/>
  <c r="V21" i="41"/>
  <c r="U21" i="41"/>
  <c r="U51" i="41"/>
  <c r="V19" i="41"/>
  <c r="V18" i="41"/>
  <c r="V53" i="41"/>
  <c r="U18" i="41"/>
  <c r="U19" i="41"/>
  <c r="AJ19" i="41"/>
  <c r="AJ18" i="41"/>
  <c r="AJ17" i="41"/>
  <c r="AJ53" i="41"/>
  <c r="AJ52" i="41"/>
  <c r="U52" i="41"/>
  <c r="V52" i="41"/>
  <c r="V17" i="41"/>
  <c r="U17" i="41"/>
  <c r="O19" i="42" l="1"/>
  <c r="P19" i="42"/>
  <c r="Q19" i="42"/>
  <c r="R19" i="42"/>
  <c r="O21" i="42"/>
  <c r="P21" i="42"/>
  <c r="Q21" i="42"/>
  <c r="R21" i="42"/>
  <c r="R20" i="42"/>
  <c r="O20" i="42"/>
  <c r="Q20" i="42"/>
  <c r="P20" i="42"/>
  <c r="AG7" i="41"/>
  <c r="AB7" i="41"/>
  <c r="W7" i="41"/>
  <c r="R7" i="41"/>
  <c r="P14" i="42" l="1"/>
  <c r="O14" i="42"/>
  <c r="Q14" i="42"/>
  <c r="R14" i="42"/>
  <c r="P17" i="42"/>
  <c r="Q17" i="42"/>
  <c r="O17" i="42"/>
  <c r="R17" i="42"/>
  <c r="P22" i="42"/>
  <c r="Q22" i="42"/>
  <c r="R22" i="42"/>
  <c r="O22" i="42"/>
  <c r="R38" i="42"/>
  <c r="P38" i="42"/>
  <c r="O38" i="42"/>
  <c r="Q38" i="42"/>
  <c r="P27" i="42"/>
  <c r="Q27" i="42"/>
  <c r="O27" i="42"/>
  <c r="R27" i="42"/>
  <c r="O31" i="42"/>
  <c r="R31" i="42"/>
  <c r="P31" i="42"/>
  <c r="Q31" i="42"/>
  <c r="R35" i="42"/>
  <c r="Q35" i="42"/>
  <c r="P35" i="42"/>
  <c r="O35" i="42"/>
  <c r="O39" i="42"/>
  <c r="P39" i="42"/>
  <c r="R39" i="42"/>
  <c r="Q39" i="42"/>
  <c r="O47" i="42"/>
  <c r="R47" i="42"/>
  <c r="Q47" i="42"/>
  <c r="P47" i="42"/>
  <c r="O51" i="42"/>
  <c r="Q51" i="42"/>
  <c r="R51" i="42"/>
  <c r="P51" i="42"/>
  <c r="Q55" i="42"/>
  <c r="R55" i="42"/>
  <c r="O55" i="42"/>
  <c r="P55" i="42"/>
  <c r="Q26" i="42"/>
  <c r="R26" i="42"/>
  <c r="P26" i="42"/>
  <c r="O26" i="42"/>
  <c r="O54" i="42"/>
  <c r="Q54" i="42"/>
  <c r="P54" i="42"/>
  <c r="R54" i="42"/>
  <c r="O34" i="42"/>
  <c r="P34" i="42"/>
  <c r="Q34" i="42"/>
  <c r="R34" i="42"/>
  <c r="P50" i="42"/>
  <c r="O50" i="42"/>
  <c r="R50" i="42"/>
  <c r="Q50" i="42"/>
  <c r="R58" i="42"/>
  <c r="P58" i="42"/>
  <c r="Q58" i="42"/>
  <c r="O58" i="42"/>
  <c r="P60" i="42"/>
  <c r="R60" i="42"/>
  <c r="O60" i="42"/>
  <c r="Q60" i="42"/>
  <c r="O13" i="42"/>
  <c r="Q13" i="42"/>
  <c r="R13" i="42"/>
  <c r="P13" i="42"/>
  <c r="O16" i="42"/>
  <c r="P16" i="42"/>
  <c r="Q16" i="42"/>
  <c r="R16" i="42"/>
  <c r="R18" i="42"/>
  <c r="Q18" i="42"/>
  <c r="P18" i="42"/>
  <c r="O18" i="42"/>
  <c r="P24" i="42"/>
  <c r="Q24" i="42"/>
  <c r="O24" i="42"/>
  <c r="R24" i="42"/>
  <c r="P28" i="42"/>
  <c r="Q28" i="42"/>
  <c r="O28" i="42"/>
  <c r="R28" i="42"/>
  <c r="R32" i="42"/>
  <c r="P32" i="42"/>
  <c r="O32" i="42"/>
  <c r="Q32" i="42"/>
  <c r="O36" i="42"/>
  <c r="Q36" i="42"/>
  <c r="R36" i="42"/>
  <c r="P36" i="42"/>
  <c r="O44" i="42"/>
  <c r="Q44" i="42"/>
  <c r="P44" i="42"/>
  <c r="R44" i="42"/>
  <c r="O48" i="42"/>
  <c r="Q48" i="42"/>
  <c r="P48" i="42"/>
  <c r="R48" i="42"/>
  <c r="Q52" i="42"/>
  <c r="R52" i="42"/>
  <c r="O52" i="42"/>
  <c r="P52" i="42"/>
  <c r="O56" i="42"/>
  <c r="P56" i="42"/>
  <c r="Q56" i="42"/>
  <c r="R56" i="42"/>
  <c r="Q46" i="42"/>
  <c r="R46" i="42"/>
  <c r="O46" i="42"/>
  <c r="P46" i="42"/>
  <c r="P63" i="42"/>
  <c r="R63" i="42"/>
  <c r="O63" i="42"/>
  <c r="Q63" i="42"/>
  <c r="O59" i="42"/>
  <c r="P59" i="42"/>
  <c r="R59" i="42"/>
  <c r="Q59" i="42"/>
  <c r="O62" i="42"/>
  <c r="P62" i="42"/>
  <c r="R62" i="42"/>
  <c r="Q62" i="42"/>
  <c r="Q30" i="42"/>
  <c r="R30" i="42"/>
  <c r="O30" i="42"/>
  <c r="P30" i="42"/>
  <c r="P25" i="42"/>
  <c r="Q25" i="42"/>
  <c r="R25" i="42"/>
  <c r="O25" i="42"/>
  <c r="Q29" i="42"/>
  <c r="R29" i="42"/>
  <c r="P29" i="42"/>
  <c r="O29" i="42"/>
  <c r="P33" i="42"/>
  <c r="Q33" i="42"/>
  <c r="R33" i="42"/>
  <c r="O33" i="42"/>
  <c r="Q37" i="42"/>
  <c r="R37" i="42"/>
  <c r="O37" i="42"/>
  <c r="P37" i="42"/>
  <c r="O45" i="42"/>
  <c r="Q45" i="42"/>
  <c r="P45" i="42"/>
  <c r="R45" i="42"/>
  <c r="Q49" i="42"/>
  <c r="R49" i="42"/>
  <c r="O49" i="42"/>
  <c r="P49" i="42"/>
  <c r="O53" i="42"/>
  <c r="R53" i="42"/>
  <c r="P53" i="42"/>
  <c r="Q53" i="42"/>
  <c r="O57" i="42"/>
  <c r="Q57" i="42"/>
  <c r="P57" i="42"/>
  <c r="R57" i="42"/>
  <c r="R61" i="42"/>
  <c r="P61" i="42"/>
  <c r="Q61" i="42"/>
  <c r="O61" i="42"/>
  <c r="O12" i="42"/>
  <c r="P12" i="42"/>
  <c r="Q12" i="42"/>
  <c r="R12" i="42"/>
  <c r="O15" i="42"/>
  <c r="P15" i="42"/>
  <c r="Q15" i="42"/>
  <c r="R15" i="42"/>
  <c r="Q23" i="42"/>
  <c r="R23" i="42"/>
  <c r="O23" i="42"/>
  <c r="P23" i="42"/>
  <c r="T41" i="41"/>
  <c r="V41" i="41" s="1"/>
  <c r="S41" i="41"/>
  <c r="U41" i="41" s="1"/>
  <c r="T40" i="41"/>
  <c r="V40" i="41" s="1"/>
  <c r="S40" i="41"/>
  <c r="U40" i="41" s="1"/>
  <c r="X40" i="41"/>
  <c r="Z40" i="41" s="1"/>
  <c r="X41" i="41"/>
  <c r="Z41" i="41" s="1"/>
  <c r="Y41" i="41"/>
  <c r="AA41" i="41" s="1"/>
  <c r="Y40" i="41"/>
  <c r="AA40" i="41" s="1"/>
  <c r="AD41" i="41"/>
  <c r="AF41" i="41" s="1"/>
  <c r="AC41" i="41"/>
  <c r="AE41" i="41" s="1"/>
  <c r="AD40" i="41"/>
  <c r="AF40" i="41" s="1"/>
  <c r="AC40" i="41"/>
  <c r="AE40" i="41" s="1"/>
  <c r="AI41" i="41"/>
  <c r="AK41" i="41" s="1"/>
  <c r="AI40" i="41"/>
  <c r="AK40" i="41" s="1"/>
  <c r="AH41" i="41"/>
  <c r="AJ41" i="41" s="1"/>
  <c r="AH40" i="41"/>
  <c r="AJ40" i="41" s="1"/>
  <c r="AH12" i="41"/>
  <c r="AH15" i="41"/>
  <c r="AI12" i="41"/>
  <c r="AI15" i="41"/>
  <c r="AH23" i="41"/>
  <c r="AJ23" i="41" s="1"/>
  <c r="AI23" i="41"/>
  <c r="AK23" i="41" s="1"/>
  <c r="AH26" i="41"/>
  <c r="AJ26" i="41" s="1"/>
  <c r="AH29" i="41"/>
  <c r="AJ29" i="41" s="1"/>
  <c r="AH32" i="41"/>
  <c r="AJ32" i="41" s="1"/>
  <c r="AH35" i="41"/>
  <c r="AJ35" i="41" s="1"/>
  <c r="AH38" i="41"/>
  <c r="AJ38" i="41" s="1"/>
  <c r="AH43" i="41"/>
  <c r="AJ43" i="41" s="1"/>
  <c r="AH46" i="41"/>
  <c r="AH49" i="41"/>
  <c r="AH55" i="41"/>
  <c r="AH58" i="41"/>
  <c r="AJ58" i="41" s="1"/>
  <c r="AH61" i="41"/>
  <c r="AJ61" i="41" s="1"/>
  <c r="AH64" i="41"/>
  <c r="AJ64" i="41" s="1"/>
  <c r="AH67" i="41"/>
  <c r="AJ67" i="41" s="1"/>
  <c r="AH70" i="41"/>
  <c r="AJ70" i="41" s="1"/>
  <c r="AH73" i="41"/>
  <c r="AH76" i="41"/>
  <c r="AH79" i="41"/>
  <c r="AJ79" i="41" s="1"/>
  <c r="AH82" i="41"/>
  <c r="AJ82" i="41" s="1"/>
  <c r="AH85" i="41"/>
  <c r="AJ85" i="41" s="1"/>
  <c r="AH88" i="41"/>
  <c r="AH91" i="41"/>
  <c r="AH94" i="41"/>
  <c r="AH97" i="41"/>
  <c r="AJ97" i="41" s="1"/>
  <c r="AH100" i="41"/>
  <c r="AJ100" i="41" s="1"/>
  <c r="AH103" i="41"/>
  <c r="AJ103" i="41" s="1"/>
  <c r="AH106" i="41"/>
  <c r="AJ106" i="41" s="1"/>
  <c r="AH109" i="41"/>
  <c r="AH112" i="41"/>
  <c r="AH115" i="41"/>
  <c r="AH118" i="41"/>
  <c r="AH121" i="41"/>
  <c r="AH124" i="41"/>
  <c r="AH127" i="41"/>
  <c r="AH130" i="41"/>
  <c r="AJ130" i="41" s="1"/>
  <c r="AH133" i="41"/>
  <c r="AJ133" i="41" s="1"/>
  <c r="AH136" i="41"/>
  <c r="AJ136" i="41" s="1"/>
  <c r="AH139" i="41"/>
  <c r="AJ139" i="41" s="1"/>
  <c r="AH142" i="41"/>
  <c r="AJ142" i="41" s="1"/>
  <c r="AH145" i="41"/>
  <c r="AJ145" i="41" s="1"/>
  <c r="AH148" i="41"/>
  <c r="AJ148" i="41" s="1"/>
  <c r="AH151" i="41"/>
  <c r="AJ151" i="41" s="1"/>
  <c r="AH154" i="41"/>
  <c r="AJ154" i="41" s="1"/>
  <c r="AH157" i="41"/>
  <c r="AJ157" i="41" s="1"/>
  <c r="AH160" i="41"/>
  <c r="AJ160" i="41" s="1"/>
  <c r="AH163" i="41"/>
  <c r="AJ163" i="41" s="1"/>
  <c r="AH166" i="41"/>
  <c r="AJ166" i="41" s="1"/>
  <c r="AH169" i="41"/>
  <c r="AJ169" i="41" s="1"/>
  <c r="AH172" i="41"/>
  <c r="AJ172" i="41" s="1"/>
  <c r="AH175" i="41"/>
  <c r="AJ175" i="41" s="1"/>
  <c r="AH178" i="41"/>
  <c r="AJ178" i="41" s="1"/>
  <c r="AH181" i="41"/>
  <c r="AJ181" i="41" s="1"/>
  <c r="AH184" i="41"/>
  <c r="AJ184" i="41" s="1"/>
  <c r="AH187" i="41"/>
  <c r="AJ187" i="41" s="1"/>
  <c r="AH190" i="41"/>
  <c r="AJ190" i="41" s="1"/>
  <c r="AH193" i="41"/>
  <c r="AJ193" i="41" s="1"/>
  <c r="AH196" i="41"/>
  <c r="AJ196" i="41" s="1"/>
  <c r="AH199" i="41"/>
  <c r="AJ199" i="41" s="1"/>
  <c r="AH202" i="41"/>
  <c r="AJ202" i="41" s="1"/>
  <c r="AH205" i="41"/>
  <c r="AJ205" i="41" s="1"/>
  <c r="AH208" i="41"/>
  <c r="AJ208" i="41" s="1"/>
  <c r="AH211" i="41"/>
  <c r="AJ211" i="41" s="1"/>
  <c r="AH214" i="41"/>
  <c r="AJ214" i="41" s="1"/>
  <c r="AH217" i="41"/>
  <c r="AJ217" i="41" s="1"/>
  <c r="AH220" i="41"/>
  <c r="AJ220" i="41" s="1"/>
  <c r="AH223" i="41"/>
  <c r="AJ223" i="41" s="1"/>
  <c r="AH226" i="41"/>
  <c r="AJ226" i="41" s="1"/>
  <c r="AH229" i="41"/>
  <c r="AJ229" i="41" s="1"/>
  <c r="AH232" i="41"/>
  <c r="AJ232" i="41" s="1"/>
  <c r="AH235" i="41"/>
  <c r="AJ235" i="41" s="1"/>
  <c r="AH238" i="41"/>
  <c r="AJ238" i="41" s="1"/>
  <c r="AH241" i="41"/>
  <c r="AJ241" i="41" s="1"/>
  <c r="AH244" i="41"/>
  <c r="AJ244" i="41" s="1"/>
  <c r="AH247" i="41"/>
  <c r="AJ247" i="41" s="1"/>
  <c r="AH250" i="41"/>
  <c r="AJ250" i="41" s="1"/>
  <c r="AH253" i="41"/>
  <c r="AJ253" i="41" s="1"/>
  <c r="AH256" i="41"/>
  <c r="AJ256" i="41" s="1"/>
  <c r="AI26" i="41"/>
  <c r="AK26" i="41" s="1"/>
  <c r="AI29" i="41"/>
  <c r="AK29" i="41" s="1"/>
  <c r="AI32" i="41"/>
  <c r="AK32" i="41" s="1"/>
  <c r="AI35" i="41"/>
  <c r="AK35" i="41" s="1"/>
  <c r="AI38" i="41"/>
  <c r="AK38" i="41" s="1"/>
  <c r="AI43" i="41"/>
  <c r="AK43" i="41" s="1"/>
  <c r="AI46" i="41"/>
  <c r="AI49" i="41"/>
  <c r="AI55" i="41"/>
  <c r="AI58" i="41"/>
  <c r="AK58" i="41" s="1"/>
  <c r="AI61" i="41"/>
  <c r="AK61" i="41" s="1"/>
  <c r="AI64" i="41"/>
  <c r="AK64" i="41" s="1"/>
  <c r="AI67" i="41"/>
  <c r="AK67" i="41" s="1"/>
  <c r="AI70" i="41"/>
  <c r="AK70" i="41" s="1"/>
  <c r="AI73" i="41"/>
  <c r="AI76" i="41"/>
  <c r="AI79" i="41"/>
  <c r="AK79" i="41" s="1"/>
  <c r="AI82" i="41"/>
  <c r="AK82" i="41" s="1"/>
  <c r="AI85" i="41"/>
  <c r="AK85" i="41" s="1"/>
  <c r="AI88" i="41"/>
  <c r="AI91" i="41"/>
  <c r="AI94" i="41"/>
  <c r="AI97" i="41"/>
  <c r="AK97" i="41" s="1"/>
  <c r="AI100" i="41"/>
  <c r="AK100" i="41" s="1"/>
  <c r="AI103" i="41"/>
  <c r="AK103" i="41" s="1"/>
  <c r="AI106" i="41"/>
  <c r="AK106" i="41" s="1"/>
  <c r="AI109" i="41"/>
  <c r="AI112" i="41"/>
  <c r="AI115" i="41"/>
  <c r="AI118" i="41"/>
  <c r="AI121" i="41"/>
  <c r="AI124" i="41"/>
  <c r="AI127" i="41"/>
  <c r="AI130" i="41"/>
  <c r="AK130" i="41" s="1"/>
  <c r="AI133" i="41"/>
  <c r="AK133" i="41" s="1"/>
  <c r="AI136" i="41"/>
  <c r="AK136" i="41" s="1"/>
  <c r="AI139" i="41"/>
  <c r="AK139" i="41" s="1"/>
  <c r="AI142" i="41"/>
  <c r="AK142" i="41" s="1"/>
  <c r="AI145" i="41"/>
  <c r="AK145" i="41" s="1"/>
  <c r="AI148" i="41"/>
  <c r="AK148" i="41" s="1"/>
  <c r="AI151" i="41"/>
  <c r="AK151" i="41" s="1"/>
  <c r="AI154" i="41"/>
  <c r="AK154" i="41" s="1"/>
  <c r="AI157" i="41"/>
  <c r="AK157" i="41" s="1"/>
  <c r="AI160" i="41"/>
  <c r="AK160" i="41" s="1"/>
  <c r="AI163" i="41"/>
  <c r="AK163" i="41" s="1"/>
  <c r="AI166" i="41"/>
  <c r="AK166" i="41" s="1"/>
  <c r="AI169" i="41"/>
  <c r="AK169" i="41" s="1"/>
  <c r="AI172" i="41"/>
  <c r="AK172" i="41" s="1"/>
  <c r="AI175" i="41"/>
  <c r="AK175" i="41" s="1"/>
  <c r="AI178" i="41"/>
  <c r="AK178" i="41" s="1"/>
  <c r="AI181" i="41"/>
  <c r="AK181" i="41" s="1"/>
  <c r="AI184" i="41"/>
  <c r="AK184" i="41" s="1"/>
  <c r="AI187" i="41"/>
  <c r="AK187" i="41" s="1"/>
  <c r="AI190" i="41"/>
  <c r="AK190" i="41" s="1"/>
  <c r="AI193" i="41"/>
  <c r="AK193" i="41" s="1"/>
  <c r="AI196" i="41"/>
  <c r="AK196" i="41" s="1"/>
  <c r="AI199" i="41"/>
  <c r="AK199" i="41" s="1"/>
  <c r="AI202" i="41"/>
  <c r="AK202" i="41" s="1"/>
  <c r="AI205" i="41"/>
  <c r="AK205" i="41" s="1"/>
  <c r="AI208" i="41"/>
  <c r="AK208" i="41" s="1"/>
  <c r="AI211" i="41"/>
  <c r="AK211" i="41" s="1"/>
  <c r="AI214" i="41"/>
  <c r="AK214" i="41" s="1"/>
  <c r="AI217" i="41"/>
  <c r="AK217" i="41" s="1"/>
  <c r="AI220" i="41"/>
  <c r="AK220" i="41" s="1"/>
  <c r="AI223" i="41"/>
  <c r="AK223" i="41" s="1"/>
  <c r="AI226" i="41"/>
  <c r="AK226" i="41" s="1"/>
  <c r="AI229" i="41"/>
  <c r="AK229" i="41" s="1"/>
  <c r="AI232" i="41"/>
  <c r="AK232" i="41" s="1"/>
  <c r="AI235" i="41"/>
  <c r="AK235" i="41" s="1"/>
  <c r="AI238" i="41"/>
  <c r="AK238" i="41" s="1"/>
  <c r="AI241" i="41"/>
  <c r="AK241" i="41" s="1"/>
  <c r="AI244" i="41"/>
  <c r="AK244" i="41" s="1"/>
  <c r="AI247" i="41"/>
  <c r="AK247" i="41" s="1"/>
  <c r="AI250" i="41"/>
  <c r="AK250" i="41" s="1"/>
  <c r="AI253" i="41"/>
  <c r="AK253" i="41" s="1"/>
  <c r="AI256" i="41"/>
  <c r="AK256" i="41" s="1"/>
  <c r="AH13" i="41"/>
  <c r="AH16" i="41"/>
  <c r="AH20" i="41"/>
  <c r="AI27" i="41"/>
  <c r="AK27" i="41" s="1"/>
  <c r="AI30" i="41"/>
  <c r="AK30" i="41" s="1"/>
  <c r="AI33" i="41"/>
  <c r="AK33" i="41" s="1"/>
  <c r="AI36" i="41"/>
  <c r="AK36" i="41" s="1"/>
  <c r="AI39" i="41"/>
  <c r="AK39" i="41" s="1"/>
  <c r="AI44" i="41"/>
  <c r="AK44" i="41" s="1"/>
  <c r="AI47" i="41"/>
  <c r="AI50" i="41"/>
  <c r="AI56" i="41"/>
  <c r="AI59" i="41"/>
  <c r="AK59" i="41" s="1"/>
  <c r="AI62" i="41"/>
  <c r="AK62" i="41" s="1"/>
  <c r="AI65" i="41"/>
  <c r="AK65" i="41" s="1"/>
  <c r="AI68" i="41"/>
  <c r="AK68" i="41" s="1"/>
  <c r="AI71" i="41"/>
  <c r="AK71" i="41" s="1"/>
  <c r="AI74" i="41"/>
  <c r="AI77" i="41"/>
  <c r="AK77" i="41" s="1"/>
  <c r="AI80" i="41"/>
  <c r="AK80" i="41" s="1"/>
  <c r="AI83" i="41"/>
  <c r="AK83" i="41" s="1"/>
  <c r="AI86" i="41"/>
  <c r="AI89" i="41"/>
  <c r="AI92" i="41"/>
  <c r="AI95" i="41"/>
  <c r="AI98" i="41"/>
  <c r="AK98" i="41" s="1"/>
  <c r="AI101" i="41"/>
  <c r="AK101" i="41" s="1"/>
  <c r="AI104" i="41"/>
  <c r="AK104" i="41" s="1"/>
  <c r="AI107" i="41"/>
  <c r="AI110" i="41"/>
  <c r="AI113" i="41"/>
  <c r="AI116" i="41"/>
  <c r="AI119" i="41"/>
  <c r="AI122" i="41"/>
  <c r="AI125" i="41"/>
  <c r="AI128" i="41"/>
  <c r="AI131" i="41"/>
  <c r="AK131" i="41" s="1"/>
  <c r="AI134" i="41"/>
  <c r="AK134" i="41" s="1"/>
  <c r="AI137" i="41"/>
  <c r="AK137" i="41" s="1"/>
  <c r="AI140" i="41"/>
  <c r="AK140" i="41" s="1"/>
  <c r="AI143" i="41"/>
  <c r="AK143" i="41" s="1"/>
  <c r="AI146" i="41"/>
  <c r="AK146" i="41" s="1"/>
  <c r="AI149" i="41"/>
  <c r="AK149" i="41" s="1"/>
  <c r="AI152" i="41"/>
  <c r="AK152" i="41" s="1"/>
  <c r="AI155" i="41"/>
  <c r="AK155" i="41" s="1"/>
  <c r="AI158" i="41"/>
  <c r="AK158" i="41" s="1"/>
  <c r="AI161" i="41"/>
  <c r="AK161" i="41" s="1"/>
  <c r="AI164" i="41"/>
  <c r="AK164" i="41" s="1"/>
  <c r="AI167" i="41"/>
  <c r="AK167" i="41" s="1"/>
  <c r="AI170" i="41"/>
  <c r="AK170" i="41" s="1"/>
  <c r="AI173" i="41"/>
  <c r="AK173" i="41" s="1"/>
  <c r="AI176" i="41"/>
  <c r="AK176" i="41" s="1"/>
  <c r="AI179" i="41"/>
  <c r="AK179" i="41" s="1"/>
  <c r="AI182" i="41"/>
  <c r="AK182" i="41" s="1"/>
  <c r="AI185" i="41"/>
  <c r="AK185" i="41" s="1"/>
  <c r="AI188" i="41"/>
  <c r="AK188" i="41" s="1"/>
  <c r="AI22" i="41"/>
  <c r="AK22" i="41" s="1"/>
  <c r="AH25" i="41"/>
  <c r="AH28" i="41"/>
  <c r="AH31" i="41"/>
  <c r="AH34" i="41"/>
  <c r="AJ34" i="41" s="1"/>
  <c r="AH37" i="41"/>
  <c r="AJ37" i="41" s="1"/>
  <c r="AH42" i="41"/>
  <c r="AJ42" i="41" s="1"/>
  <c r="AH45" i="41"/>
  <c r="AJ45" i="41" s="1"/>
  <c r="AH48" i="41"/>
  <c r="AH54" i="41"/>
  <c r="AI13" i="41"/>
  <c r="AI42" i="41"/>
  <c r="AK42" i="41" s="1"/>
  <c r="AH50" i="41"/>
  <c r="AI191" i="41"/>
  <c r="AK191" i="41" s="1"/>
  <c r="AH201" i="41"/>
  <c r="AJ201" i="41" s="1"/>
  <c r="AH212" i="41"/>
  <c r="AJ212" i="41" s="1"/>
  <c r="AI216" i="41"/>
  <c r="AK216" i="41" s="1"/>
  <c r="AH227" i="41"/>
  <c r="AJ227" i="41" s="1"/>
  <c r="AH231" i="41"/>
  <c r="AJ231" i="41" s="1"/>
  <c r="AH236" i="41"/>
  <c r="AJ236" i="41" s="1"/>
  <c r="AH240" i="41"/>
  <c r="AJ240" i="41" s="1"/>
  <c r="AH245" i="41"/>
  <c r="AJ245" i="41" s="1"/>
  <c r="AH249" i="41"/>
  <c r="AJ249" i="41" s="1"/>
  <c r="AH254" i="41"/>
  <c r="AJ254" i="41" s="1"/>
  <c r="AH258" i="41"/>
  <c r="AJ258" i="41" s="1"/>
  <c r="AH36" i="41"/>
  <c r="AJ36" i="41" s="1"/>
  <c r="AI192" i="41"/>
  <c r="AK192" i="41" s="1"/>
  <c r="AH228" i="41"/>
  <c r="AJ228" i="41" s="1"/>
  <c r="AH27" i="41"/>
  <c r="AJ27" i="41" s="1"/>
  <c r="AH197" i="41"/>
  <c r="AJ197" i="41" s="1"/>
  <c r="AI201" i="41"/>
  <c r="AK201" i="41" s="1"/>
  <c r="AI212" i="41"/>
  <c r="AK212" i="41" s="1"/>
  <c r="AH222" i="41"/>
  <c r="AJ222" i="41" s="1"/>
  <c r="AI227" i="41"/>
  <c r="AK227" i="41" s="1"/>
  <c r="AI231" i="41"/>
  <c r="AK231" i="41" s="1"/>
  <c r="AI236" i="41"/>
  <c r="AK236" i="41" s="1"/>
  <c r="AI240" i="41"/>
  <c r="AK240" i="41" s="1"/>
  <c r="AI245" i="41"/>
  <c r="AK245" i="41" s="1"/>
  <c r="AI249" i="41"/>
  <c r="AK249" i="41" s="1"/>
  <c r="AI254" i="41"/>
  <c r="AK254" i="41" s="1"/>
  <c r="AI258" i="41"/>
  <c r="AK258" i="41" s="1"/>
  <c r="AH237" i="41"/>
  <c r="AJ237" i="41" s="1"/>
  <c r="AH14" i="41"/>
  <c r="AI34" i="41"/>
  <c r="AK34" i="41" s="1"/>
  <c r="AH44" i="41"/>
  <c r="AJ44" i="41" s="1"/>
  <c r="AH60" i="41"/>
  <c r="AJ60" i="41" s="1"/>
  <c r="AH66" i="41"/>
  <c r="AJ66" i="41" s="1"/>
  <c r="AH72" i="41"/>
  <c r="AJ72" i="41" s="1"/>
  <c r="AH78" i="41"/>
  <c r="AJ78" i="41" s="1"/>
  <c r="AH84" i="41"/>
  <c r="AJ84" i="41" s="1"/>
  <c r="AH90" i="41"/>
  <c r="AH96" i="41"/>
  <c r="AJ96" i="41" s="1"/>
  <c r="AH102" i="41"/>
  <c r="AJ102" i="41" s="1"/>
  <c r="AH108" i="41"/>
  <c r="AH114" i="41"/>
  <c r="AH120" i="41"/>
  <c r="AJ120" i="41" s="1"/>
  <c r="AH126" i="41"/>
  <c r="AH132" i="41"/>
  <c r="AH138" i="41"/>
  <c r="AJ138" i="41" s="1"/>
  <c r="AH144" i="41"/>
  <c r="AJ144" i="41" s="1"/>
  <c r="AH150" i="41"/>
  <c r="AJ150" i="41" s="1"/>
  <c r="AH156" i="41"/>
  <c r="AJ156" i="41" s="1"/>
  <c r="AH162" i="41"/>
  <c r="AJ162" i="41" s="1"/>
  <c r="AH168" i="41"/>
  <c r="AJ168" i="41" s="1"/>
  <c r="AH174" i="41"/>
  <c r="AJ174" i="41" s="1"/>
  <c r="AH180" i="41"/>
  <c r="AJ180" i="41" s="1"/>
  <c r="AH186" i="41"/>
  <c r="AJ186" i="41" s="1"/>
  <c r="AI197" i="41"/>
  <c r="AK197" i="41" s="1"/>
  <c r="AH207" i="41"/>
  <c r="AJ207" i="41" s="1"/>
  <c r="AH218" i="41"/>
  <c r="AJ218" i="41" s="1"/>
  <c r="AI222" i="41"/>
  <c r="AK222" i="41" s="1"/>
  <c r="AI28" i="41"/>
  <c r="AI203" i="41"/>
  <c r="AK203" i="41" s="1"/>
  <c r="AH213" i="41"/>
  <c r="AJ213" i="41" s="1"/>
  <c r="AH224" i="41"/>
  <c r="AJ224" i="41" s="1"/>
  <c r="AH242" i="41"/>
  <c r="AJ242" i="41" s="1"/>
  <c r="AH251" i="41"/>
  <c r="AJ251" i="41" s="1"/>
  <c r="AI14" i="41"/>
  <c r="AI54" i="41"/>
  <c r="AI60" i="41"/>
  <c r="AK60" i="41" s="1"/>
  <c r="AI66" i="41"/>
  <c r="AK66" i="41" s="1"/>
  <c r="AI72" i="41"/>
  <c r="AK72" i="41" s="1"/>
  <c r="AI78" i="41"/>
  <c r="AK78" i="41" s="1"/>
  <c r="AI84" i="41"/>
  <c r="AK84" i="41" s="1"/>
  <c r="AI90" i="41"/>
  <c r="AI96" i="41"/>
  <c r="AK96" i="41" s="1"/>
  <c r="AI102" i="41"/>
  <c r="AK102" i="41" s="1"/>
  <c r="AI108" i="41"/>
  <c r="AI114" i="41"/>
  <c r="AI120" i="41"/>
  <c r="AK120" i="41" s="1"/>
  <c r="AI126" i="41"/>
  <c r="AI132" i="41"/>
  <c r="AI138" i="41"/>
  <c r="AK138" i="41" s="1"/>
  <c r="AI144" i="41"/>
  <c r="AK144" i="41" s="1"/>
  <c r="AI150" i="41"/>
  <c r="AK150" i="41" s="1"/>
  <c r="AI156" i="41"/>
  <c r="AK156" i="41" s="1"/>
  <c r="AI162" i="41"/>
  <c r="AK162" i="41" s="1"/>
  <c r="AI168" i="41"/>
  <c r="AK168" i="41" s="1"/>
  <c r="AI174" i="41"/>
  <c r="AK174" i="41" s="1"/>
  <c r="AI180" i="41"/>
  <c r="AK180" i="41" s="1"/>
  <c r="AI186" i="41"/>
  <c r="AK186" i="41" s="1"/>
  <c r="AH192" i="41"/>
  <c r="AJ192" i="41" s="1"/>
  <c r="AH203" i="41"/>
  <c r="AJ203" i="41" s="1"/>
  <c r="AI207" i="41"/>
  <c r="AK207" i="41" s="1"/>
  <c r="AI218" i="41"/>
  <c r="AK218" i="41" s="1"/>
  <c r="AH233" i="41"/>
  <c r="AJ233" i="41" s="1"/>
  <c r="AH246" i="41"/>
  <c r="AJ246" i="41" s="1"/>
  <c r="AH255" i="41"/>
  <c r="AJ255" i="41" s="1"/>
  <c r="AI16" i="41"/>
  <c r="AH22" i="41"/>
  <c r="AJ22" i="41" s="1"/>
  <c r="AI45" i="41"/>
  <c r="AK45" i="41" s="1"/>
  <c r="AH56" i="41"/>
  <c r="AH62" i="41"/>
  <c r="AJ62" i="41" s="1"/>
  <c r="AH68" i="41"/>
  <c r="AJ68" i="41" s="1"/>
  <c r="AH74" i="41"/>
  <c r="AH80" i="41"/>
  <c r="AJ80" i="41" s="1"/>
  <c r="AH86" i="41"/>
  <c r="AH92" i="41"/>
  <c r="AH98" i="41"/>
  <c r="AJ98" i="41" s="1"/>
  <c r="AH104" i="41"/>
  <c r="AJ104" i="41" s="1"/>
  <c r="AH110" i="41"/>
  <c r="AH116" i="41"/>
  <c r="AH122" i="41"/>
  <c r="AH128" i="41"/>
  <c r="AH134" i="41"/>
  <c r="AJ134" i="41" s="1"/>
  <c r="AH140" i="41"/>
  <c r="AJ140" i="41" s="1"/>
  <c r="AH146" i="41"/>
  <c r="AJ146" i="41" s="1"/>
  <c r="AH152" i="41"/>
  <c r="AJ152" i="41" s="1"/>
  <c r="AH158" i="41"/>
  <c r="AJ158" i="41" s="1"/>
  <c r="AH164" i="41"/>
  <c r="AJ164" i="41" s="1"/>
  <c r="AH170" i="41"/>
  <c r="AJ170" i="41" s="1"/>
  <c r="AH176" i="41"/>
  <c r="AJ176" i="41" s="1"/>
  <c r="AH182" i="41"/>
  <c r="AJ182" i="41" s="1"/>
  <c r="AH188" i="41"/>
  <c r="AJ188" i="41" s="1"/>
  <c r="AH198" i="41"/>
  <c r="AJ198" i="41" s="1"/>
  <c r="AH209" i="41"/>
  <c r="AJ209" i="41" s="1"/>
  <c r="AI213" i="41"/>
  <c r="AK213" i="41" s="1"/>
  <c r="AI224" i="41"/>
  <c r="AK224" i="41" s="1"/>
  <c r="AI228" i="41"/>
  <c r="AK228" i="41" s="1"/>
  <c r="AI233" i="41"/>
  <c r="AK233" i="41" s="1"/>
  <c r="AI237" i="41"/>
  <c r="AK237" i="41" s="1"/>
  <c r="AI242" i="41"/>
  <c r="AK242" i="41" s="1"/>
  <c r="AI246" i="41"/>
  <c r="AK246" i="41" s="1"/>
  <c r="AI251" i="41"/>
  <c r="AK251" i="41" s="1"/>
  <c r="AI255" i="41"/>
  <c r="AK255" i="41" s="1"/>
  <c r="AI20" i="41"/>
  <c r="AH30" i="41"/>
  <c r="AJ30" i="41" s="1"/>
  <c r="AH194" i="41"/>
  <c r="AJ194" i="41" s="1"/>
  <c r="AI198" i="41"/>
  <c r="AK198" i="41" s="1"/>
  <c r="AI209" i="41"/>
  <c r="AK209" i="41" s="1"/>
  <c r="AH219" i="41"/>
  <c r="AJ219" i="41" s="1"/>
  <c r="AH24" i="41"/>
  <c r="AI37" i="41"/>
  <c r="AK37" i="41" s="1"/>
  <c r="AH47" i="41"/>
  <c r="AI194" i="41"/>
  <c r="AK194" i="41" s="1"/>
  <c r="AH204" i="41"/>
  <c r="AJ204" i="41" s="1"/>
  <c r="AH215" i="41"/>
  <c r="AJ215" i="41" s="1"/>
  <c r="AI219" i="41"/>
  <c r="AK219" i="41" s="1"/>
  <c r="AI24" i="41"/>
  <c r="AH57" i="41"/>
  <c r="AJ57" i="41" s="1"/>
  <c r="AH63" i="41"/>
  <c r="AJ63" i="41" s="1"/>
  <c r="AH69" i="41"/>
  <c r="AJ69" i="41" s="1"/>
  <c r="AH75" i="41"/>
  <c r="AH81" i="41"/>
  <c r="AH87" i="41"/>
  <c r="AH93" i="41"/>
  <c r="AH99" i="41"/>
  <c r="AJ99" i="41" s="1"/>
  <c r="AH105" i="41"/>
  <c r="AJ105" i="41" s="1"/>
  <c r="AH111" i="41"/>
  <c r="AH117" i="41"/>
  <c r="AH123" i="41"/>
  <c r="AH129" i="41"/>
  <c r="AJ129" i="41" s="1"/>
  <c r="AH135" i="41"/>
  <c r="AJ135" i="41" s="1"/>
  <c r="AH141" i="41"/>
  <c r="AJ141" i="41" s="1"/>
  <c r="AH147" i="41"/>
  <c r="AJ147" i="41" s="1"/>
  <c r="AH153" i="41"/>
  <c r="AJ153" i="41" s="1"/>
  <c r="AH159" i="41"/>
  <c r="AJ159" i="41" s="1"/>
  <c r="AH165" i="41"/>
  <c r="AJ165" i="41" s="1"/>
  <c r="AH171" i="41"/>
  <c r="AJ171" i="41" s="1"/>
  <c r="AH177" i="41"/>
  <c r="AJ177" i="41" s="1"/>
  <c r="AH183" i="41"/>
  <c r="AJ183" i="41" s="1"/>
  <c r="AH189" i="41"/>
  <c r="AJ189" i="41" s="1"/>
  <c r="AH200" i="41"/>
  <c r="AJ200" i="41" s="1"/>
  <c r="AI204" i="41"/>
  <c r="AK204" i="41" s="1"/>
  <c r="AI215" i="41"/>
  <c r="AK215" i="41" s="1"/>
  <c r="AH225" i="41"/>
  <c r="AJ225" i="41" s="1"/>
  <c r="AH230" i="41"/>
  <c r="AJ230" i="41" s="1"/>
  <c r="AH234" i="41"/>
  <c r="AJ234" i="41" s="1"/>
  <c r="AH239" i="41"/>
  <c r="AJ239" i="41" s="1"/>
  <c r="AH243" i="41"/>
  <c r="AJ243" i="41" s="1"/>
  <c r="AH248" i="41"/>
  <c r="AJ248" i="41" s="1"/>
  <c r="AH252" i="41"/>
  <c r="AJ252" i="41" s="1"/>
  <c r="AH257" i="41"/>
  <c r="AJ257" i="41" s="1"/>
  <c r="AI31" i="41"/>
  <c r="AH39" i="41"/>
  <c r="AJ39" i="41" s="1"/>
  <c r="AI57" i="41"/>
  <c r="AK57" i="41" s="1"/>
  <c r="AI63" i="41"/>
  <c r="AK63" i="41" s="1"/>
  <c r="AI69" i="41"/>
  <c r="AK69" i="41" s="1"/>
  <c r="AI75" i="41"/>
  <c r="AI81" i="41"/>
  <c r="AI87" i="41"/>
  <c r="AI93" i="41"/>
  <c r="AI99" i="41"/>
  <c r="AK99" i="41" s="1"/>
  <c r="AI105" i="41"/>
  <c r="AK105" i="41" s="1"/>
  <c r="AI111" i="41"/>
  <c r="AI117" i="41"/>
  <c r="AI123" i="41"/>
  <c r="AI129" i="41"/>
  <c r="AK129" i="41" s="1"/>
  <c r="AI135" i="41"/>
  <c r="AK135" i="41" s="1"/>
  <c r="AI141" i="41"/>
  <c r="AK141" i="41" s="1"/>
  <c r="AI147" i="41"/>
  <c r="AK147" i="41" s="1"/>
  <c r="AI153" i="41"/>
  <c r="AK153" i="41" s="1"/>
  <c r="AI159" i="41"/>
  <c r="AK159" i="41" s="1"/>
  <c r="AI165" i="41"/>
  <c r="AK165" i="41" s="1"/>
  <c r="AI171" i="41"/>
  <c r="AK171" i="41" s="1"/>
  <c r="AI177" i="41"/>
  <c r="AK177" i="41" s="1"/>
  <c r="AI183" i="41"/>
  <c r="AK183" i="41" s="1"/>
  <c r="AI189" i="41"/>
  <c r="AK189" i="41" s="1"/>
  <c r="AI200" i="41"/>
  <c r="AK200" i="41" s="1"/>
  <c r="AH210" i="41"/>
  <c r="AJ210" i="41" s="1"/>
  <c r="AH221" i="41"/>
  <c r="AJ221" i="41" s="1"/>
  <c r="AI225" i="41"/>
  <c r="AK225" i="41" s="1"/>
  <c r="AI230" i="41"/>
  <c r="AK230" i="41" s="1"/>
  <c r="AI234" i="41"/>
  <c r="AK234" i="41" s="1"/>
  <c r="AI239" i="41"/>
  <c r="AK239" i="41" s="1"/>
  <c r="AI243" i="41"/>
  <c r="AK243" i="41" s="1"/>
  <c r="AI248" i="41"/>
  <c r="AK248" i="41" s="1"/>
  <c r="AI252" i="41"/>
  <c r="AK252" i="41" s="1"/>
  <c r="AI257" i="41"/>
  <c r="AK257" i="41" s="1"/>
  <c r="AI48" i="41"/>
  <c r="AH195" i="41"/>
  <c r="AJ195" i="41" s="1"/>
  <c r="AH206" i="41"/>
  <c r="AJ206" i="41" s="1"/>
  <c r="AI210" i="41"/>
  <c r="AK210" i="41" s="1"/>
  <c r="AI221" i="41"/>
  <c r="AK221" i="41" s="1"/>
  <c r="AI25" i="41"/>
  <c r="AH33" i="41"/>
  <c r="AJ33" i="41" s="1"/>
  <c r="AH59" i="41"/>
  <c r="AJ59" i="41" s="1"/>
  <c r="AH65" i="41"/>
  <c r="AJ65" i="41" s="1"/>
  <c r="AH71" i="41"/>
  <c r="AJ71" i="41" s="1"/>
  <c r="AH77" i="41"/>
  <c r="AJ77" i="41" s="1"/>
  <c r="AH83" i="41"/>
  <c r="AJ83" i="41" s="1"/>
  <c r="AH89" i="41"/>
  <c r="AH95" i="41"/>
  <c r="AH101" i="41"/>
  <c r="AJ101" i="41" s="1"/>
  <c r="AH107" i="41"/>
  <c r="AH113" i="41"/>
  <c r="AH119" i="41"/>
  <c r="AH125" i="41"/>
  <c r="AH131" i="41"/>
  <c r="AJ131" i="41" s="1"/>
  <c r="AH137" i="41"/>
  <c r="AJ137" i="41" s="1"/>
  <c r="AH143" i="41"/>
  <c r="AJ143" i="41" s="1"/>
  <c r="AH149" i="41"/>
  <c r="AJ149" i="41" s="1"/>
  <c r="AH155" i="41"/>
  <c r="AJ155" i="41" s="1"/>
  <c r="AH161" i="41"/>
  <c r="AJ161" i="41" s="1"/>
  <c r="AH167" i="41"/>
  <c r="AJ167" i="41" s="1"/>
  <c r="AH216" i="41"/>
  <c r="AJ216" i="41" s="1"/>
  <c r="AH173" i="41"/>
  <c r="AJ173" i="41" s="1"/>
  <c r="AH179" i="41"/>
  <c r="AJ179" i="41" s="1"/>
  <c r="AH185" i="41"/>
  <c r="AJ185" i="41" s="1"/>
  <c r="AI206" i="41"/>
  <c r="AK206" i="41" s="1"/>
  <c r="AH191" i="41"/>
  <c r="AJ191" i="41" s="1"/>
  <c r="AI195" i="41"/>
  <c r="AK195" i="41" s="1"/>
  <c r="AD11" i="41"/>
  <c r="AC12" i="41"/>
  <c r="AC15" i="41"/>
  <c r="AC26" i="41"/>
  <c r="AE26" i="41" s="1"/>
  <c r="AC29" i="41"/>
  <c r="AE29" i="41" s="1"/>
  <c r="AC32" i="41"/>
  <c r="AE32" i="41" s="1"/>
  <c r="AC35" i="41"/>
  <c r="AE35" i="41" s="1"/>
  <c r="AC38" i="41"/>
  <c r="AE38" i="41" s="1"/>
  <c r="AC43" i="41"/>
  <c r="AE43" i="41" s="1"/>
  <c r="AC46" i="41"/>
  <c r="AC49" i="41"/>
  <c r="AC55" i="41"/>
  <c r="AC58" i="41"/>
  <c r="AE58" i="41" s="1"/>
  <c r="AC61" i="41"/>
  <c r="AE61" i="41" s="1"/>
  <c r="AC64" i="41"/>
  <c r="AE64" i="41" s="1"/>
  <c r="AC67" i="41"/>
  <c r="AE67" i="41" s="1"/>
  <c r="AC70" i="41"/>
  <c r="AE70" i="41" s="1"/>
  <c r="AC73" i="41"/>
  <c r="AC76" i="41"/>
  <c r="AC79" i="41"/>
  <c r="AE79" i="41" s="1"/>
  <c r="AC82" i="41"/>
  <c r="AE82" i="41" s="1"/>
  <c r="AC85" i="41"/>
  <c r="AE85" i="41" s="1"/>
  <c r="AC88" i="41"/>
  <c r="AC91" i="41"/>
  <c r="AC94" i="41"/>
  <c r="AC97" i="41"/>
  <c r="AE97" i="41" s="1"/>
  <c r="AC100" i="41"/>
  <c r="AE100" i="41" s="1"/>
  <c r="AC103" i="41"/>
  <c r="AE103" i="41" s="1"/>
  <c r="AC106" i="41"/>
  <c r="AE106" i="41" s="1"/>
  <c r="AC109" i="41"/>
  <c r="AC112" i="41"/>
  <c r="AC115" i="41"/>
  <c r="AC118" i="41"/>
  <c r="AC121" i="41"/>
  <c r="AC124" i="41"/>
  <c r="AC127" i="41"/>
  <c r="AC130" i="41"/>
  <c r="AE130" i="41" s="1"/>
  <c r="AC133" i="41"/>
  <c r="AE133" i="41" s="1"/>
  <c r="AC136" i="41"/>
  <c r="AE136" i="41" s="1"/>
  <c r="AC139" i="41"/>
  <c r="AE139" i="41" s="1"/>
  <c r="AC142" i="41"/>
  <c r="AE142" i="41" s="1"/>
  <c r="AC145" i="41"/>
  <c r="AE145" i="41" s="1"/>
  <c r="AC148" i="41"/>
  <c r="AE148" i="41" s="1"/>
  <c r="AC151" i="41"/>
  <c r="AE151" i="41" s="1"/>
  <c r="AC154" i="41"/>
  <c r="AE154" i="41" s="1"/>
  <c r="AC157" i="41"/>
  <c r="AE157" i="41" s="1"/>
  <c r="AC160" i="41"/>
  <c r="AE160" i="41" s="1"/>
  <c r="AC163" i="41"/>
  <c r="AE163" i="41" s="1"/>
  <c r="AC166" i="41"/>
  <c r="AE166" i="41" s="1"/>
  <c r="AC169" i="41"/>
  <c r="AE169" i="41" s="1"/>
  <c r="AC172" i="41"/>
  <c r="AE172" i="41" s="1"/>
  <c r="AC175" i="41"/>
  <c r="AE175" i="41" s="1"/>
  <c r="AC178" i="41"/>
  <c r="AE178" i="41" s="1"/>
  <c r="AC181" i="41"/>
  <c r="AE181" i="41" s="1"/>
  <c r="AC184" i="41"/>
  <c r="AE184" i="41" s="1"/>
  <c r="AC187" i="41"/>
  <c r="AE187" i="41" s="1"/>
  <c r="AC190" i="41"/>
  <c r="AE190" i="41" s="1"/>
  <c r="AC193" i="41"/>
  <c r="AE193" i="41" s="1"/>
  <c r="AC196" i="41"/>
  <c r="AE196" i="41" s="1"/>
  <c r="AC199" i="41"/>
  <c r="AE199" i="41" s="1"/>
  <c r="AC202" i="41"/>
  <c r="AE202" i="41" s="1"/>
  <c r="AC205" i="41"/>
  <c r="AE205" i="41" s="1"/>
  <c r="AC208" i="41"/>
  <c r="AE208" i="41" s="1"/>
  <c r="AC211" i="41"/>
  <c r="AE211" i="41" s="1"/>
  <c r="AC214" i="41"/>
  <c r="AE214" i="41" s="1"/>
  <c r="AC217" i="41"/>
  <c r="AE217" i="41" s="1"/>
  <c r="AC220" i="41"/>
  <c r="AE220" i="41" s="1"/>
  <c r="AC223" i="41"/>
  <c r="AE223" i="41" s="1"/>
  <c r="AC226" i="41"/>
  <c r="AE226" i="41" s="1"/>
  <c r="AC229" i="41"/>
  <c r="AE229" i="41" s="1"/>
  <c r="AC232" i="41"/>
  <c r="AE232" i="41" s="1"/>
  <c r="AC235" i="41"/>
  <c r="AE235" i="41" s="1"/>
  <c r="AC238" i="41"/>
  <c r="AE238" i="41" s="1"/>
  <c r="AC241" i="41"/>
  <c r="AE241" i="41" s="1"/>
  <c r="AC244" i="41"/>
  <c r="AE244" i="41" s="1"/>
  <c r="AC247" i="41"/>
  <c r="AE247" i="41" s="1"/>
  <c r="AC250" i="41"/>
  <c r="AE250" i="41" s="1"/>
  <c r="AC253" i="41"/>
  <c r="AE253" i="41" s="1"/>
  <c r="AC256" i="41"/>
  <c r="AE256" i="41" s="1"/>
  <c r="AD12" i="41"/>
  <c r="AD15" i="41"/>
  <c r="AD26" i="41"/>
  <c r="AF26" i="41" s="1"/>
  <c r="AD29" i="41"/>
  <c r="AF29" i="41" s="1"/>
  <c r="AD32" i="41"/>
  <c r="AF32" i="41" s="1"/>
  <c r="AD35" i="41"/>
  <c r="AF35" i="41" s="1"/>
  <c r="AD38" i="41"/>
  <c r="AF38" i="41" s="1"/>
  <c r="AD43" i="41"/>
  <c r="AF43" i="41" s="1"/>
  <c r="AD46" i="41"/>
  <c r="AD49" i="41"/>
  <c r="AD55" i="41"/>
  <c r="AD58" i="41"/>
  <c r="AF58" i="41" s="1"/>
  <c r="AD61" i="41"/>
  <c r="AF61" i="41" s="1"/>
  <c r="AD64" i="41"/>
  <c r="AF64" i="41" s="1"/>
  <c r="AD67" i="41"/>
  <c r="AF67" i="41" s="1"/>
  <c r="AD70" i="41"/>
  <c r="AF70" i="41" s="1"/>
  <c r="AD73" i="41"/>
  <c r="AD76" i="41"/>
  <c r="AD79" i="41"/>
  <c r="AF79" i="41" s="1"/>
  <c r="AD82" i="41"/>
  <c r="AF82" i="41" s="1"/>
  <c r="AD85" i="41"/>
  <c r="AF85" i="41" s="1"/>
  <c r="AD88" i="41"/>
  <c r="AD91" i="41"/>
  <c r="AD94" i="41"/>
  <c r="AD97" i="41"/>
  <c r="AF97" i="41" s="1"/>
  <c r="AD100" i="41"/>
  <c r="AF100" i="41" s="1"/>
  <c r="AD103" i="41"/>
  <c r="AF103" i="41" s="1"/>
  <c r="AD106" i="41"/>
  <c r="AF106" i="41" s="1"/>
  <c r="AD109" i="41"/>
  <c r="AD112" i="41"/>
  <c r="AD115" i="41"/>
  <c r="AD118" i="41"/>
  <c r="AD121" i="41"/>
  <c r="AD124" i="41"/>
  <c r="AD127" i="41"/>
  <c r="AD130" i="41"/>
  <c r="AF130" i="41" s="1"/>
  <c r="AD133" i="41"/>
  <c r="AF133" i="41" s="1"/>
  <c r="AD136" i="41"/>
  <c r="AF136" i="41" s="1"/>
  <c r="AD139" i="41"/>
  <c r="AF139" i="41" s="1"/>
  <c r="AD142" i="41"/>
  <c r="AF142" i="41" s="1"/>
  <c r="AD145" i="41"/>
  <c r="AF145" i="41" s="1"/>
  <c r="AD148" i="41"/>
  <c r="AF148" i="41" s="1"/>
  <c r="AD151" i="41"/>
  <c r="AF151" i="41" s="1"/>
  <c r="AD154" i="41"/>
  <c r="AF154" i="41" s="1"/>
  <c r="AD157" i="41"/>
  <c r="AF157" i="41" s="1"/>
  <c r="AD160" i="41"/>
  <c r="AF160" i="41" s="1"/>
  <c r="AD163" i="41"/>
  <c r="AF163" i="41" s="1"/>
  <c r="AD166" i="41"/>
  <c r="AF166" i="41" s="1"/>
  <c r="AD169" i="41"/>
  <c r="AF169" i="41" s="1"/>
  <c r="AD172" i="41"/>
  <c r="AF172" i="41" s="1"/>
  <c r="AD175" i="41"/>
  <c r="AF175" i="41" s="1"/>
  <c r="AD178" i="41"/>
  <c r="AF178" i="41" s="1"/>
  <c r="AD181" i="41"/>
  <c r="AF181" i="41" s="1"/>
  <c r="AD184" i="41"/>
  <c r="AF184" i="41" s="1"/>
  <c r="AD187" i="41"/>
  <c r="AF187" i="41" s="1"/>
  <c r="AD190" i="41"/>
  <c r="AF190" i="41" s="1"/>
  <c r="AD193" i="41"/>
  <c r="AF193" i="41" s="1"/>
  <c r="AD196" i="41"/>
  <c r="AF196" i="41" s="1"/>
  <c r="AD199" i="41"/>
  <c r="AF199" i="41" s="1"/>
  <c r="AD202" i="41"/>
  <c r="AF202" i="41" s="1"/>
  <c r="AD205" i="41"/>
  <c r="AF205" i="41" s="1"/>
  <c r="AD208" i="41"/>
  <c r="AF208" i="41" s="1"/>
  <c r="AD211" i="41"/>
  <c r="AF211" i="41" s="1"/>
  <c r="AD214" i="41"/>
  <c r="AF214" i="41" s="1"/>
  <c r="AD217" i="41"/>
  <c r="AF217" i="41" s="1"/>
  <c r="AD220" i="41"/>
  <c r="AF220" i="41" s="1"/>
  <c r="AD223" i="41"/>
  <c r="AF223" i="41" s="1"/>
  <c r="AD226" i="41"/>
  <c r="AF226" i="41" s="1"/>
  <c r="AD229" i="41"/>
  <c r="AF229" i="41" s="1"/>
  <c r="AD232" i="41"/>
  <c r="AF232" i="41" s="1"/>
  <c r="AD235" i="41"/>
  <c r="AF235" i="41" s="1"/>
  <c r="AD238" i="41"/>
  <c r="AF238" i="41" s="1"/>
  <c r="AD241" i="41"/>
  <c r="AF241" i="41" s="1"/>
  <c r="AD244" i="41"/>
  <c r="AF244" i="41" s="1"/>
  <c r="AD247" i="41"/>
  <c r="AF247" i="41" s="1"/>
  <c r="AD250" i="41"/>
  <c r="AF250" i="41" s="1"/>
  <c r="AD253" i="41"/>
  <c r="AF253" i="41" s="1"/>
  <c r="AD256" i="41"/>
  <c r="AF256" i="41" s="1"/>
  <c r="AC24" i="41"/>
  <c r="AC22" i="41"/>
  <c r="AE22" i="41" s="1"/>
  <c r="AD234" i="41"/>
  <c r="AF234" i="41" s="1"/>
  <c r="AD22" i="41"/>
  <c r="AF22" i="41" s="1"/>
  <c r="AC14" i="41"/>
  <c r="AC25" i="41"/>
  <c r="AC28" i="41"/>
  <c r="AC31" i="41"/>
  <c r="AC34" i="41"/>
  <c r="AE34" i="41" s="1"/>
  <c r="AC37" i="41"/>
  <c r="AE37" i="41" s="1"/>
  <c r="AC42" i="41"/>
  <c r="AE42" i="41" s="1"/>
  <c r="AC45" i="41"/>
  <c r="AE45" i="41" s="1"/>
  <c r="AC48" i="41"/>
  <c r="AC54" i="41"/>
  <c r="AC57" i="41"/>
  <c r="AE57" i="41" s="1"/>
  <c r="AC60" i="41"/>
  <c r="AE60" i="41" s="1"/>
  <c r="AC63" i="41"/>
  <c r="AE63" i="41" s="1"/>
  <c r="AC66" i="41"/>
  <c r="AE66" i="41" s="1"/>
  <c r="AC69" i="41"/>
  <c r="AE69" i="41" s="1"/>
  <c r="AC72" i="41"/>
  <c r="AE72" i="41" s="1"/>
  <c r="AC75" i="41"/>
  <c r="AC78" i="41"/>
  <c r="AE78" i="41" s="1"/>
  <c r="AC81" i="41"/>
  <c r="AC84" i="41"/>
  <c r="AE84" i="41" s="1"/>
  <c r="AC87" i="41"/>
  <c r="AC90" i="41"/>
  <c r="AC93" i="41"/>
  <c r="AC96" i="41"/>
  <c r="AE96" i="41" s="1"/>
  <c r="AC99" i="41"/>
  <c r="AE99" i="41" s="1"/>
  <c r="AC102" i="41"/>
  <c r="AE102" i="41" s="1"/>
  <c r="AC105" i="41"/>
  <c r="AE105" i="41" s="1"/>
  <c r="AC108" i="41"/>
  <c r="AC111" i="41"/>
  <c r="AC114" i="41"/>
  <c r="AC117" i="41"/>
  <c r="AC120" i="41"/>
  <c r="AE120" i="41" s="1"/>
  <c r="AC123" i="41"/>
  <c r="AC126" i="41"/>
  <c r="AC129" i="41"/>
  <c r="AE129" i="41" s="1"/>
  <c r="AC132" i="41"/>
  <c r="AC135" i="41"/>
  <c r="AE135" i="41" s="1"/>
  <c r="AC138" i="41"/>
  <c r="AE138" i="41" s="1"/>
  <c r="AC141" i="41"/>
  <c r="AE141" i="41" s="1"/>
  <c r="AC144" i="41"/>
  <c r="AE144" i="41" s="1"/>
  <c r="AC147" i="41"/>
  <c r="AE147" i="41" s="1"/>
  <c r="AC150" i="41"/>
  <c r="AE150" i="41" s="1"/>
  <c r="AC153" i="41"/>
  <c r="AE153" i="41" s="1"/>
  <c r="AC156" i="41"/>
  <c r="AE156" i="41" s="1"/>
  <c r="AC159" i="41"/>
  <c r="AE159" i="41" s="1"/>
  <c r="AC162" i="41"/>
  <c r="AE162" i="41" s="1"/>
  <c r="AC165" i="41"/>
  <c r="AE165" i="41" s="1"/>
  <c r="AC168" i="41"/>
  <c r="AE168" i="41" s="1"/>
  <c r="AC171" i="41"/>
  <c r="AE171" i="41" s="1"/>
  <c r="AC174" i="41"/>
  <c r="AE174" i="41" s="1"/>
  <c r="AC177" i="41"/>
  <c r="AE177" i="41" s="1"/>
  <c r="AC180" i="41"/>
  <c r="AE180" i="41" s="1"/>
  <c r="AC183" i="41"/>
  <c r="AE183" i="41" s="1"/>
  <c r="AC186" i="41"/>
  <c r="AE186" i="41" s="1"/>
  <c r="AC189" i="41"/>
  <c r="AE189" i="41" s="1"/>
  <c r="AC192" i="41"/>
  <c r="AE192" i="41" s="1"/>
  <c r="AC195" i="41"/>
  <c r="AE195" i="41" s="1"/>
  <c r="AC198" i="41"/>
  <c r="AE198" i="41" s="1"/>
  <c r="AC201" i="41"/>
  <c r="AE201" i="41" s="1"/>
  <c r="AC204" i="41"/>
  <c r="AE204" i="41" s="1"/>
  <c r="AC207" i="41"/>
  <c r="AE207" i="41" s="1"/>
  <c r="AC210" i="41"/>
  <c r="AE210" i="41" s="1"/>
  <c r="AC213" i="41"/>
  <c r="AE213" i="41" s="1"/>
  <c r="AC216" i="41"/>
  <c r="AE216" i="41" s="1"/>
  <c r="AC219" i="41"/>
  <c r="AE219" i="41" s="1"/>
  <c r="AC222" i="41"/>
  <c r="AE222" i="41" s="1"/>
  <c r="AC225" i="41"/>
  <c r="AE225" i="41" s="1"/>
  <c r="AC228" i="41"/>
  <c r="AE228" i="41" s="1"/>
  <c r="AC231" i="41"/>
  <c r="AE231" i="41" s="1"/>
  <c r="AC234" i="41"/>
  <c r="AE234" i="41" s="1"/>
  <c r="AC237" i="41"/>
  <c r="AE237" i="41" s="1"/>
  <c r="AC240" i="41"/>
  <c r="AE240" i="41" s="1"/>
  <c r="AC243" i="41"/>
  <c r="AE243" i="41" s="1"/>
  <c r="AC246" i="41"/>
  <c r="AE246" i="41" s="1"/>
  <c r="AC249" i="41"/>
  <c r="AE249" i="41" s="1"/>
  <c r="AC252" i="41"/>
  <c r="AE252" i="41" s="1"/>
  <c r="AC255" i="41"/>
  <c r="AE255" i="41" s="1"/>
  <c r="AC258" i="41"/>
  <c r="AE258" i="41" s="1"/>
  <c r="AD231" i="41"/>
  <c r="AF231" i="41" s="1"/>
  <c r="AD14" i="41"/>
  <c r="AD25" i="41"/>
  <c r="AD28" i="41"/>
  <c r="AD31" i="41"/>
  <c r="AD34" i="41"/>
  <c r="AF34" i="41" s="1"/>
  <c r="AD37" i="41"/>
  <c r="AF37" i="41" s="1"/>
  <c r="AD42" i="41"/>
  <c r="AF42" i="41" s="1"/>
  <c r="AD45" i="41"/>
  <c r="AF45" i="41" s="1"/>
  <c r="AD48" i="41"/>
  <c r="AD54" i="41"/>
  <c r="AD57" i="41"/>
  <c r="AF57" i="41" s="1"/>
  <c r="AD60" i="41"/>
  <c r="AF60" i="41" s="1"/>
  <c r="AD63" i="41"/>
  <c r="AF63" i="41" s="1"/>
  <c r="AD66" i="41"/>
  <c r="AF66" i="41" s="1"/>
  <c r="AD69" i="41"/>
  <c r="AF69" i="41" s="1"/>
  <c r="AD72" i="41"/>
  <c r="AF72" i="41" s="1"/>
  <c r="AD75" i="41"/>
  <c r="AD78" i="41"/>
  <c r="AF78" i="41" s="1"/>
  <c r="AD81" i="41"/>
  <c r="AD84" i="41"/>
  <c r="AF84" i="41" s="1"/>
  <c r="AD87" i="41"/>
  <c r="AD90" i="41"/>
  <c r="AD93" i="41"/>
  <c r="AD96" i="41"/>
  <c r="AF96" i="41" s="1"/>
  <c r="AD99" i="41"/>
  <c r="AF99" i="41" s="1"/>
  <c r="AD102" i="41"/>
  <c r="AF102" i="41" s="1"/>
  <c r="AD105" i="41"/>
  <c r="AF105" i="41" s="1"/>
  <c r="AD108" i="41"/>
  <c r="AD111" i="41"/>
  <c r="AD114" i="41"/>
  <c r="AD117" i="41"/>
  <c r="AD120" i="41"/>
  <c r="AF120" i="41" s="1"/>
  <c r="AD123" i="41"/>
  <c r="AD126" i="41"/>
  <c r="AD129" i="41"/>
  <c r="AF129" i="41" s="1"/>
  <c r="AD132" i="41"/>
  <c r="AD135" i="41"/>
  <c r="AF135" i="41" s="1"/>
  <c r="AD138" i="41"/>
  <c r="AF138" i="41" s="1"/>
  <c r="AD141" i="41"/>
  <c r="AF141" i="41" s="1"/>
  <c r="AD144" i="41"/>
  <c r="AF144" i="41" s="1"/>
  <c r="AD147" i="41"/>
  <c r="AF147" i="41" s="1"/>
  <c r="AD150" i="41"/>
  <c r="AF150" i="41" s="1"/>
  <c r="AD153" i="41"/>
  <c r="AF153" i="41" s="1"/>
  <c r="AD156" i="41"/>
  <c r="AF156" i="41" s="1"/>
  <c r="AD159" i="41"/>
  <c r="AF159" i="41" s="1"/>
  <c r="AD162" i="41"/>
  <c r="AF162" i="41" s="1"/>
  <c r="AD165" i="41"/>
  <c r="AF165" i="41" s="1"/>
  <c r="AD168" i="41"/>
  <c r="AF168" i="41" s="1"/>
  <c r="AD171" i="41"/>
  <c r="AF171" i="41" s="1"/>
  <c r="AD174" i="41"/>
  <c r="AF174" i="41" s="1"/>
  <c r="AD177" i="41"/>
  <c r="AF177" i="41" s="1"/>
  <c r="AD180" i="41"/>
  <c r="AF180" i="41" s="1"/>
  <c r="AD183" i="41"/>
  <c r="AF183" i="41" s="1"/>
  <c r="AD186" i="41"/>
  <c r="AF186" i="41" s="1"/>
  <c r="AD189" i="41"/>
  <c r="AF189" i="41" s="1"/>
  <c r="AD192" i="41"/>
  <c r="AF192" i="41" s="1"/>
  <c r="AD195" i="41"/>
  <c r="AF195" i="41" s="1"/>
  <c r="AD198" i="41"/>
  <c r="AF198" i="41" s="1"/>
  <c r="AD201" i="41"/>
  <c r="AF201" i="41" s="1"/>
  <c r="AD204" i="41"/>
  <c r="AF204" i="41" s="1"/>
  <c r="AD207" i="41"/>
  <c r="AF207" i="41" s="1"/>
  <c r="AD210" i="41"/>
  <c r="AF210" i="41" s="1"/>
  <c r="AD213" i="41"/>
  <c r="AF213" i="41" s="1"/>
  <c r="AD216" i="41"/>
  <c r="AF216" i="41" s="1"/>
  <c r="AD219" i="41"/>
  <c r="AF219" i="41" s="1"/>
  <c r="AD222" i="41"/>
  <c r="AF222" i="41" s="1"/>
  <c r="AD225" i="41"/>
  <c r="AF225" i="41" s="1"/>
  <c r="AD228" i="41"/>
  <c r="AF228" i="41" s="1"/>
  <c r="AD237" i="41"/>
  <c r="AF237" i="41" s="1"/>
  <c r="AD240" i="41"/>
  <c r="AF240" i="41" s="1"/>
  <c r="AD243" i="41"/>
  <c r="AF243" i="41" s="1"/>
  <c r="AD246" i="41"/>
  <c r="AF246" i="41" s="1"/>
  <c r="AD249" i="41"/>
  <c r="AF249" i="41" s="1"/>
  <c r="AD252" i="41"/>
  <c r="AF252" i="41" s="1"/>
  <c r="AD255" i="41"/>
  <c r="AF255" i="41" s="1"/>
  <c r="AD258" i="41"/>
  <c r="AF258" i="41" s="1"/>
  <c r="AC20" i="41"/>
  <c r="AC13" i="41"/>
  <c r="AC16" i="41"/>
  <c r="AC27" i="41"/>
  <c r="AE27" i="41" s="1"/>
  <c r="AC30" i="41"/>
  <c r="AE30" i="41" s="1"/>
  <c r="AC33" i="41"/>
  <c r="AE33" i="41" s="1"/>
  <c r="AC36" i="41"/>
  <c r="AE36" i="41" s="1"/>
  <c r="AC39" i="41"/>
  <c r="AE39" i="41" s="1"/>
  <c r="AC44" i="41"/>
  <c r="AE44" i="41" s="1"/>
  <c r="AC47" i="41"/>
  <c r="AC50" i="41"/>
  <c r="AC56" i="41"/>
  <c r="AC59" i="41"/>
  <c r="AE59" i="41" s="1"/>
  <c r="AC62" i="41"/>
  <c r="AE62" i="41" s="1"/>
  <c r="AC65" i="41"/>
  <c r="AE65" i="41" s="1"/>
  <c r="AC68" i="41"/>
  <c r="AE68" i="41" s="1"/>
  <c r="AC71" i="41"/>
  <c r="AE71" i="41" s="1"/>
  <c r="AC74" i="41"/>
  <c r="AC77" i="41"/>
  <c r="AE77" i="41" s="1"/>
  <c r="AC80" i="41"/>
  <c r="AE80" i="41" s="1"/>
  <c r="AC83" i="41"/>
  <c r="AE83" i="41" s="1"/>
  <c r="AC86" i="41"/>
  <c r="AC89" i="41"/>
  <c r="AC92" i="41"/>
  <c r="AC95" i="41"/>
  <c r="AC98" i="41"/>
  <c r="AE98" i="41" s="1"/>
  <c r="AC101" i="41"/>
  <c r="AE101" i="41" s="1"/>
  <c r="AC104" i="41"/>
  <c r="AE104" i="41" s="1"/>
  <c r="AC107" i="41"/>
  <c r="AC110" i="41"/>
  <c r="AC113" i="41"/>
  <c r="AC116" i="41"/>
  <c r="AC119" i="41"/>
  <c r="AC122" i="41"/>
  <c r="AC125" i="41"/>
  <c r="AC128" i="41"/>
  <c r="AC131" i="41"/>
  <c r="AE131" i="41" s="1"/>
  <c r="AC134" i="41"/>
  <c r="AE134" i="41" s="1"/>
  <c r="AC137" i="41"/>
  <c r="AE137" i="41" s="1"/>
  <c r="AC140" i="41"/>
  <c r="AE140" i="41" s="1"/>
  <c r="AC143" i="41"/>
  <c r="AE143" i="41" s="1"/>
  <c r="AC146" i="41"/>
  <c r="AE146" i="41" s="1"/>
  <c r="AC149" i="41"/>
  <c r="AE149" i="41" s="1"/>
  <c r="AC152" i="41"/>
  <c r="AE152" i="41" s="1"/>
  <c r="AC155" i="41"/>
  <c r="AE155" i="41" s="1"/>
  <c r="AC158" i="41"/>
  <c r="AE158" i="41" s="1"/>
  <c r="AC161" i="41"/>
  <c r="AE161" i="41" s="1"/>
  <c r="AC164" i="41"/>
  <c r="AE164" i="41" s="1"/>
  <c r="AC167" i="41"/>
  <c r="AE167" i="41" s="1"/>
  <c r="AC170" i="41"/>
  <c r="AE170" i="41" s="1"/>
  <c r="AC173" i="41"/>
  <c r="AE173" i="41" s="1"/>
  <c r="AC176" i="41"/>
  <c r="AE176" i="41" s="1"/>
  <c r="AC179" i="41"/>
  <c r="AE179" i="41" s="1"/>
  <c r="AC182" i="41"/>
  <c r="AE182" i="41" s="1"/>
  <c r="AC185" i="41"/>
  <c r="AE185" i="41" s="1"/>
  <c r="AC188" i="41"/>
  <c r="AE188" i="41" s="1"/>
  <c r="AC191" i="41"/>
  <c r="AE191" i="41" s="1"/>
  <c r="AC194" i="41"/>
  <c r="AE194" i="41" s="1"/>
  <c r="AC197" i="41"/>
  <c r="AE197" i="41" s="1"/>
  <c r="AC200" i="41"/>
  <c r="AE200" i="41" s="1"/>
  <c r="AC203" i="41"/>
  <c r="AE203" i="41" s="1"/>
  <c r="AC206" i="41"/>
  <c r="AE206" i="41" s="1"/>
  <c r="AC209" i="41"/>
  <c r="AE209" i="41" s="1"/>
  <c r="AC212" i="41"/>
  <c r="AE212" i="41" s="1"/>
  <c r="AC215" i="41"/>
  <c r="AE215" i="41" s="1"/>
  <c r="AC218" i="41"/>
  <c r="AE218" i="41" s="1"/>
  <c r="AC221" i="41"/>
  <c r="AE221" i="41" s="1"/>
  <c r="AC224" i="41"/>
  <c r="AE224" i="41" s="1"/>
  <c r="AC227" i="41"/>
  <c r="AE227" i="41" s="1"/>
  <c r="AC230" i="41"/>
  <c r="AE230" i="41" s="1"/>
  <c r="AC233" i="41"/>
  <c r="AE233" i="41" s="1"/>
  <c r="AC236" i="41"/>
  <c r="AE236" i="41" s="1"/>
  <c r="AC239" i="41"/>
  <c r="AE239" i="41" s="1"/>
  <c r="AC242" i="41"/>
  <c r="AE242" i="41" s="1"/>
  <c r="AC245" i="41"/>
  <c r="AE245" i="41" s="1"/>
  <c r="AC248" i="41"/>
  <c r="AE248" i="41" s="1"/>
  <c r="AC251" i="41"/>
  <c r="AE251" i="41" s="1"/>
  <c r="AC254" i="41"/>
  <c r="AE254" i="41" s="1"/>
  <c r="AC257" i="41"/>
  <c r="AE257" i="41" s="1"/>
  <c r="AD13" i="41"/>
  <c r="AD16" i="41"/>
  <c r="AD74" i="41"/>
  <c r="AD110" i="41"/>
  <c r="AD146" i="41"/>
  <c r="AF146" i="41" s="1"/>
  <c r="AD182" i="41"/>
  <c r="AF182" i="41" s="1"/>
  <c r="AD218" i="41"/>
  <c r="AF218" i="41" s="1"/>
  <c r="AD254" i="41"/>
  <c r="AF254" i="41" s="1"/>
  <c r="AD194" i="41"/>
  <c r="AF194" i="41" s="1"/>
  <c r="AD137" i="41"/>
  <c r="AF137" i="41" s="1"/>
  <c r="AD20" i="41"/>
  <c r="AD50" i="41"/>
  <c r="AD89" i="41"/>
  <c r="AD125" i="41"/>
  <c r="AD161" i="41"/>
  <c r="AF161" i="41" s="1"/>
  <c r="AD197" i="41"/>
  <c r="AF197" i="41" s="1"/>
  <c r="AD233" i="41"/>
  <c r="AF233" i="41" s="1"/>
  <c r="AD128" i="41"/>
  <c r="AD24" i="41"/>
  <c r="AD68" i="41"/>
  <c r="AF68" i="41" s="1"/>
  <c r="AD104" i="41"/>
  <c r="AF104" i="41" s="1"/>
  <c r="AD140" i="41"/>
  <c r="AF140" i="41" s="1"/>
  <c r="AD176" i="41"/>
  <c r="AF176" i="41" s="1"/>
  <c r="AD212" i="41"/>
  <c r="AF212" i="41" s="1"/>
  <c r="AD248" i="41"/>
  <c r="AF248" i="41" s="1"/>
  <c r="AD86" i="41"/>
  <c r="AD230" i="41"/>
  <c r="AF230" i="41" s="1"/>
  <c r="AD209" i="41"/>
  <c r="AF209" i="41" s="1"/>
  <c r="AD33" i="41"/>
  <c r="AF33" i="41" s="1"/>
  <c r="AD44" i="41"/>
  <c r="AF44" i="41" s="1"/>
  <c r="AD83" i="41"/>
  <c r="AF83" i="41" s="1"/>
  <c r="AD119" i="41"/>
  <c r="AD155" i="41"/>
  <c r="AF155" i="41" s="1"/>
  <c r="AD191" i="41"/>
  <c r="AF191" i="41" s="1"/>
  <c r="AD227" i="41"/>
  <c r="AF227" i="41" s="1"/>
  <c r="AD200" i="41"/>
  <c r="AF200" i="41" s="1"/>
  <c r="AD47" i="41"/>
  <c r="AD158" i="41"/>
  <c r="AF158" i="41" s="1"/>
  <c r="AD101" i="41"/>
  <c r="AF101" i="41" s="1"/>
  <c r="AD245" i="41"/>
  <c r="AF245" i="41" s="1"/>
  <c r="AD62" i="41"/>
  <c r="AF62" i="41" s="1"/>
  <c r="AD98" i="41"/>
  <c r="AF98" i="41" s="1"/>
  <c r="AD134" i="41"/>
  <c r="AF134" i="41" s="1"/>
  <c r="AD170" i="41"/>
  <c r="AF170" i="41" s="1"/>
  <c r="AD206" i="41"/>
  <c r="AF206" i="41" s="1"/>
  <c r="AD242" i="41"/>
  <c r="AF242" i="41" s="1"/>
  <c r="AD92" i="41"/>
  <c r="AD164" i="41"/>
  <c r="AF164" i="41" s="1"/>
  <c r="AD236" i="41"/>
  <c r="AF236" i="41" s="1"/>
  <c r="AD122" i="41"/>
  <c r="AD173" i="41"/>
  <c r="AF173" i="41" s="1"/>
  <c r="AD77" i="41"/>
  <c r="AF77" i="41" s="1"/>
  <c r="AD113" i="41"/>
  <c r="AD149" i="41"/>
  <c r="AF149" i="41" s="1"/>
  <c r="AD185" i="41"/>
  <c r="AF185" i="41" s="1"/>
  <c r="AD221" i="41"/>
  <c r="AF221" i="41" s="1"/>
  <c r="AD257" i="41"/>
  <c r="AF257" i="41" s="1"/>
  <c r="AD56" i="41"/>
  <c r="AD65" i="41"/>
  <c r="AF65" i="41" s="1"/>
  <c r="AD27" i="41"/>
  <c r="AF27" i="41" s="1"/>
  <c r="AD36" i="41"/>
  <c r="AF36" i="41" s="1"/>
  <c r="AD71" i="41"/>
  <c r="AF71" i="41" s="1"/>
  <c r="AD107" i="41"/>
  <c r="AD143" i="41"/>
  <c r="AF143" i="41" s="1"/>
  <c r="AD179" i="41"/>
  <c r="AF179" i="41" s="1"/>
  <c r="AD215" i="41"/>
  <c r="AF215" i="41" s="1"/>
  <c r="AD251" i="41"/>
  <c r="AF251" i="41" s="1"/>
  <c r="AC23" i="41"/>
  <c r="AE23" i="41" s="1"/>
  <c r="AD23" i="41"/>
  <c r="AF23" i="41" s="1"/>
  <c r="AD80" i="41"/>
  <c r="AF80" i="41" s="1"/>
  <c r="AD116" i="41"/>
  <c r="AD152" i="41"/>
  <c r="AF152" i="41" s="1"/>
  <c r="AD188" i="41"/>
  <c r="AF188" i="41" s="1"/>
  <c r="AD224" i="41"/>
  <c r="AF224" i="41" s="1"/>
  <c r="AD30" i="41"/>
  <c r="AF30" i="41" s="1"/>
  <c r="AD39" i="41"/>
  <c r="AF39" i="41" s="1"/>
  <c r="AD59" i="41"/>
  <c r="AF59" i="41" s="1"/>
  <c r="AD95" i="41"/>
  <c r="AD131" i="41"/>
  <c r="AF131" i="41" s="1"/>
  <c r="AD167" i="41"/>
  <c r="AF167" i="41" s="1"/>
  <c r="AD203" i="41"/>
  <c r="AF203" i="41" s="1"/>
  <c r="AD239" i="41"/>
  <c r="AF239" i="41" s="1"/>
  <c r="AC302" i="41"/>
  <c r="AE302" i="41" s="1"/>
  <c r="X12" i="41"/>
  <c r="X13" i="41"/>
  <c r="X14" i="41"/>
  <c r="X15" i="41"/>
  <c r="X16" i="41"/>
  <c r="Y12" i="41"/>
  <c r="Y13" i="41"/>
  <c r="Y14" i="41"/>
  <c r="Y15" i="41"/>
  <c r="Y16" i="41"/>
  <c r="X25" i="41"/>
  <c r="X26" i="41"/>
  <c r="Z26" i="41" s="1"/>
  <c r="X27" i="41"/>
  <c r="Z27" i="41" s="1"/>
  <c r="X28" i="41"/>
  <c r="X29" i="41"/>
  <c r="Z29" i="41" s="1"/>
  <c r="X30" i="41"/>
  <c r="Z30" i="41" s="1"/>
  <c r="X31" i="41"/>
  <c r="X32" i="41"/>
  <c r="Z32" i="41" s="1"/>
  <c r="X33" i="41"/>
  <c r="Z33" i="41" s="1"/>
  <c r="X34" i="41"/>
  <c r="Z34" i="41" s="1"/>
  <c r="X35" i="41"/>
  <c r="Z35" i="41" s="1"/>
  <c r="X36" i="41"/>
  <c r="Z36" i="41" s="1"/>
  <c r="X37" i="41"/>
  <c r="Z37" i="41" s="1"/>
  <c r="X38" i="41"/>
  <c r="Z38" i="41" s="1"/>
  <c r="X39" i="41"/>
  <c r="Z39" i="41" s="1"/>
  <c r="X42" i="41"/>
  <c r="Z42" i="41" s="1"/>
  <c r="X43" i="41"/>
  <c r="Z43" i="41" s="1"/>
  <c r="X44" i="41"/>
  <c r="Z44" i="41" s="1"/>
  <c r="X45" i="41"/>
  <c r="Z45" i="41" s="1"/>
  <c r="X46" i="41"/>
  <c r="X47" i="41"/>
  <c r="X48" i="41"/>
  <c r="X49" i="41"/>
  <c r="X50" i="41"/>
  <c r="Y25" i="41"/>
  <c r="Y26" i="41"/>
  <c r="AA26" i="41" s="1"/>
  <c r="Y27" i="41"/>
  <c r="AA27" i="41" s="1"/>
  <c r="Y28" i="41"/>
  <c r="Y29" i="41"/>
  <c r="AA29" i="41" s="1"/>
  <c r="Y30" i="41"/>
  <c r="AA30" i="41" s="1"/>
  <c r="Y31" i="41"/>
  <c r="Y32" i="41"/>
  <c r="AA32" i="41" s="1"/>
  <c r="Y33" i="41"/>
  <c r="AA33" i="41" s="1"/>
  <c r="Y34" i="41"/>
  <c r="AA34" i="41" s="1"/>
  <c r="Y35" i="41"/>
  <c r="AA35" i="41" s="1"/>
  <c r="Y36" i="41"/>
  <c r="AA36" i="41" s="1"/>
  <c r="Y37" i="41"/>
  <c r="AA37" i="41" s="1"/>
  <c r="Y38" i="41"/>
  <c r="AA38" i="41" s="1"/>
  <c r="Y39" i="41"/>
  <c r="AA39" i="41" s="1"/>
  <c r="Y42" i="41"/>
  <c r="AA42" i="41" s="1"/>
  <c r="Y43" i="41"/>
  <c r="AA43" i="41" s="1"/>
  <c r="Y44" i="41"/>
  <c r="AA44" i="41" s="1"/>
  <c r="Y45" i="41"/>
  <c r="AA45" i="41" s="1"/>
  <c r="Y46" i="41"/>
  <c r="Y47" i="41"/>
  <c r="Y48" i="41"/>
  <c r="Y49" i="41"/>
  <c r="Y50" i="41"/>
  <c r="X20" i="41"/>
  <c r="X22" i="41"/>
  <c r="Z22" i="41" s="1"/>
  <c r="X57" i="41"/>
  <c r="Z57" i="41" s="1"/>
  <c r="Y58" i="41"/>
  <c r="AA58" i="41" s="1"/>
  <c r="X69" i="41"/>
  <c r="Z69" i="41" s="1"/>
  <c r="Y70" i="41"/>
  <c r="AA70" i="41" s="1"/>
  <c r="X81" i="41"/>
  <c r="Y82" i="41"/>
  <c r="AA82" i="41" s="1"/>
  <c r="X93" i="41"/>
  <c r="Y94" i="41"/>
  <c r="X105" i="41"/>
  <c r="Z105" i="41" s="1"/>
  <c r="Y106" i="41"/>
  <c r="AA106" i="41" s="1"/>
  <c r="X117" i="41"/>
  <c r="Y118" i="41"/>
  <c r="X129" i="41"/>
  <c r="Z129" i="41" s="1"/>
  <c r="X130" i="41"/>
  <c r="Z130" i="41" s="1"/>
  <c r="X131" i="41"/>
  <c r="Z131" i="41" s="1"/>
  <c r="X132" i="41"/>
  <c r="X133" i="41"/>
  <c r="Z133" i="41" s="1"/>
  <c r="X134" i="41"/>
  <c r="Z134" i="41" s="1"/>
  <c r="X135" i="41"/>
  <c r="Z135" i="41" s="1"/>
  <c r="X136" i="41"/>
  <c r="Z136" i="41" s="1"/>
  <c r="X137" i="41"/>
  <c r="Z137" i="41" s="1"/>
  <c r="X138" i="41"/>
  <c r="Z138" i="41" s="1"/>
  <c r="X139" i="41"/>
  <c r="Z139" i="41" s="1"/>
  <c r="X140" i="41"/>
  <c r="Z140" i="41" s="1"/>
  <c r="X141" i="41"/>
  <c r="Z141" i="41" s="1"/>
  <c r="X142" i="41"/>
  <c r="Z142" i="41" s="1"/>
  <c r="X143" i="41"/>
  <c r="Z143" i="41" s="1"/>
  <c r="X144" i="41"/>
  <c r="Z144" i="41" s="1"/>
  <c r="X145" i="41"/>
  <c r="Z145" i="41" s="1"/>
  <c r="X146" i="41"/>
  <c r="Z146" i="41" s="1"/>
  <c r="X147" i="41"/>
  <c r="Z147" i="41" s="1"/>
  <c r="X148" i="41"/>
  <c r="Z148" i="41" s="1"/>
  <c r="X149" i="41"/>
  <c r="Z149" i="41" s="1"/>
  <c r="X150" i="41"/>
  <c r="Z150" i="41" s="1"/>
  <c r="X151" i="41"/>
  <c r="Z151" i="41" s="1"/>
  <c r="X152" i="41"/>
  <c r="Z152" i="41" s="1"/>
  <c r="X153" i="41"/>
  <c r="Z153" i="41" s="1"/>
  <c r="X154" i="41"/>
  <c r="Z154" i="41" s="1"/>
  <c r="X155" i="41"/>
  <c r="Z155" i="41" s="1"/>
  <c r="X156" i="41"/>
  <c r="Z156" i="41" s="1"/>
  <c r="X157" i="41"/>
  <c r="Z157" i="41" s="1"/>
  <c r="X158" i="41"/>
  <c r="Z158" i="41" s="1"/>
  <c r="X159" i="41"/>
  <c r="Z159" i="41" s="1"/>
  <c r="X160" i="41"/>
  <c r="Z160" i="41" s="1"/>
  <c r="X161" i="41"/>
  <c r="Z161" i="41" s="1"/>
  <c r="X162" i="41"/>
  <c r="Z162" i="41" s="1"/>
  <c r="X163" i="41"/>
  <c r="Z163" i="41" s="1"/>
  <c r="X164" i="41"/>
  <c r="Z164" i="41" s="1"/>
  <c r="X165" i="41"/>
  <c r="Z165" i="41" s="1"/>
  <c r="X166" i="41"/>
  <c r="Z166" i="41" s="1"/>
  <c r="X167" i="41"/>
  <c r="Z167" i="41" s="1"/>
  <c r="X168" i="41"/>
  <c r="Z168" i="41" s="1"/>
  <c r="X169" i="41"/>
  <c r="Z169" i="41" s="1"/>
  <c r="X170" i="41"/>
  <c r="Z170" i="41" s="1"/>
  <c r="X171" i="41"/>
  <c r="Z171" i="41" s="1"/>
  <c r="X172" i="41"/>
  <c r="Z172" i="41" s="1"/>
  <c r="X173" i="41"/>
  <c r="Z173" i="41" s="1"/>
  <c r="X174" i="41"/>
  <c r="Z174" i="41" s="1"/>
  <c r="X175" i="41"/>
  <c r="Z175" i="41" s="1"/>
  <c r="X176" i="41"/>
  <c r="Z176" i="41" s="1"/>
  <c r="X177" i="41"/>
  <c r="Z177" i="41" s="1"/>
  <c r="X178" i="41"/>
  <c r="Z178" i="41" s="1"/>
  <c r="X179" i="41"/>
  <c r="Z179" i="41" s="1"/>
  <c r="X180" i="41"/>
  <c r="Z180" i="41" s="1"/>
  <c r="X181" i="41"/>
  <c r="Z181" i="41" s="1"/>
  <c r="X182" i="41"/>
  <c r="Z182" i="41" s="1"/>
  <c r="X183" i="41"/>
  <c r="Z183" i="41" s="1"/>
  <c r="X184" i="41"/>
  <c r="Z184" i="41" s="1"/>
  <c r="X185" i="41"/>
  <c r="Z185" i="41" s="1"/>
  <c r="X186" i="41"/>
  <c r="Z186" i="41" s="1"/>
  <c r="X187" i="41"/>
  <c r="Z187" i="41" s="1"/>
  <c r="X188" i="41"/>
  <c r="Z188" i="41" s="1"/>
  <c r="X189" i="41"/>
  <c r="Z189" i="41" s="1"/>
  <c r="Y20" i="41"/>
  <c r="Y22" i="41"/>
  <c r="AA22" i="41" s="1"/>
  <c r="X56" i="41"/>
  <c r="Y57" i="41"/>
  <c r="AA57" i="41" s="1"/>
  <c r="X68" i="41"/>
  <c r="Z68" i="41" s="1"/>
  <c r="Y69" i="41"/>
  <c r="AA69" i="41" s="1"/>
  <c r="X80" i="41"/>
  <c r="Z80" i="41" s="1"/>
  <c r="Y81" i="41"/>
  <c r="X92" i="41"/>
  <c r="Y93" i="41"/>
  <c r="X104" i="41"/>
  <c r="Z104" i="41" s="1"/>
  <c r="Y105" i="41"/>
  <c r="AA105" i="41" s="1"/>
  <c r="X116" i="41"/>
  <c r="Y117" i="41"/>
  <c r="X128" i="41"/>
  <c r="Y129" i="41"/>
  <c r="AA129" i="41" s="1"/>
  <c r="Y130" i="41"/>
  <c r="AA130" i="41" s="1"/>
  <c r="Y131" i="41"/>
  <c r="AA131" i="41" s="1"/>
  <c r="Y132" i="41"/>
  <c r="Y133" i="41"/>
  <c r="AA133" i="41" s="1"/>
  <c r="Y134" i="41"/>
  <c r="AA134" i="41" s="1"/>
  <c r="Y135" i="41"/>
  <c r="AA135" i="41" s="1"/>
  <c r="Y136" i="41"/>
  <c r="AA136" i="41" s="1"/>
  <c r="Y137" i="41"/>
  <c r="AA137" i="41" s="1"/>
  <c r="Y138" i="41"/>
  <c r="AA138" i="41" s="1"/>
  <c r="Y139" i="41"/>
  <c r="AA139" i="41" s="1"/>
  <c r="Y140" i="41"/>
  <c r="AA140" i="41" s="1"/>
  <c r="Y141" i="41"/>
  <c r="AA141" i="41" s="1"/>
  <c r="Y142" i="41"/>
  <c r="AA142" i="41" s="1"/>
  <c r="Y143" i="41"/>
  <c r="AA143" i="41" s="1"/>
  <c r="Y144" i="41"/>
  <c r="AA144" i="41" s="1"/>
  <c r="Y145" i="41"/>
  <c r="AA145" i="41" s="1"/>
  <c r="Y146" i="41"/>
  <c r="AA146" i="41" s="1"/>
  <c r="Y147" i="41"/>
  <c r="AA147" i="41" s="1"/>
  <c r="Y148" i="41"/>
  <c r="AA148" i="41" s="1"/>
  <c r="Y149" i="41"/>
  <c r="AA149" i="41" s="1"/>
  <c r="Y150" i="41"/>
  <c r="AA150" i="41" s="1"/>
  <c r="Y151" i="41"/>
  <c r="AA151" i="41" s="1"/>
  <c r="Y152" i="41"/>
  <c r="AA152" i="41" s="1"/>
  <c r="Y153" i="41"/>
  <c r="AA153" i="41" s="1"/>
  <c r="Y154" i="41"/>
  <c r="AA154" i="41" s="1"/>
  <c r="Y155" i="41"/>
  <c r="AA155" i="41" s="1"/>
  <c r="Y156" i="41"/>
  <c r="AA156" i="41" s="1"/>
  <c r="Y157" i="41"/>
  <c r="AA157" i="41" s="1"/>
  <c r="Y158" i="41"/>
  <c r="AA158" i="41" s="1"/>
  <c r="Y159" i="41"/>
  <c r="AA159" i="41" s="1"/>
  <c r="Y160" i="41"/>
  <c r="AA160" i="41" s="1"/>
  <c r="Y161" i="41"/>
  <c r="AA161" i="41" s="1"/>
  <c r="Y162" i="41"/>
  <c r="AA162" i="41" s="1"/>
  <c r="Y163" i="41"/>
  <c r="AA163" i="41" s="1"/>
  <c r="Y164" i="41"/>
  <c r="AA164" i="41" s="1"/>
  <c r="Y165" i="41"/>
  <c r="AA165" i="41" s="1"/>
  <c r="Y166" i="41"/>
  <c r="AA166" i="41" s="1"/>
  <c r="Y167" i="41"/>
  <c r="AA167" i="41" s="1"/>
  <c r="Y168" i="41"/>
  <c r="AA168" i="41" s="1"/>
  <c r="Y169" i="41"/>
  <c r="AA169" i="41" s="1"/>
  <c r="Y170" i="41"/>
  <c r="AA170" i="41" s="1"/>
  <c r="Y171" i="41"/>
  <c r="AA171" i="41" s="1"/>
  <c r="Y172" i="41"/>
  <c r="AA172" i="41" s="1"/>
  <c r="Y173" i="41"/>
  <c r="AA173" i="41" s="1"/>
  <c r="Y174" i="41"/>
  <c r="AA174" i="41" s="1"/>
  <c r="Y175" i="41"/>
  <c r="AA175" i="41" s="1"/>
  <c r="Y176" i="41"/>
  <c r="AA176" i="41" s="1"/>
  <c r="Y177" i="41"/>
  <c r="AA177" i="41" s="1"/>
  <c r="Y178" i="41"/>
  <c r="AA178" i="41" s="1"/>
  <c r="Y179" i="41"/>
  <c r="AA179" i="41" s="1"/>
  <c r="Y180" i="41"/>
  <c r="AA180" i="41" s="1"/>
  <c r="Y181" i="41"/>
  <c r="AA181" i="41" s="1"/>
  <c r="Y182" i="41"/>
  <c r="AA182" i="41" s="1"/>
  <c r="Y183" i="41"/>
  <c r="AA183" i="41" s="1"/>
  <c r="Y184" i="41"/>
  <c r="AA184" i="41" s="1"/>
  <c r="Y185" i="41"/>
  <c r="AA185" i="41" s="1"/>
  <c r="Y186" i="41"/>
  <c r="AA186" i="41" s="1"/>
  <c r="Y187" i="41"/>
  <c r="AA187" i="41" s="1"/>
  <c r="Y188" i="41"/>
  <c r="AA188" i="41" s="1"/>
  <c r="X54" i="41"/>
  <c r="Y55" i="41"/>
  <c r="X66" i="41"/>
  <c r="Z66" i="41" s="1"/>
  <c r="Y67" i="41"/>
  <c r="AA67" i="41" s="1"/>
  <c r="X78" i="41"/>
  <c r="Z78" i="41" s="1"/>
  <c r="Y79" i="41"/>
  <c r="AA79" i="41" s="1"/>
  <c r="X90" i="41"/>
  <c r="Y91" i="41"/>
  <c r="X102" i="41"/>
  <c r="Z102" i="41" s="1"/>
  <c r="Y103" i="41"/>
  <c r="AA103" i="41" s="1"/>
  <c r="X114" i="41"/>
  <c r="Y115" i="41"/>
  <c r="X126" i="41"/>
  <c r="Y127" i="41"/>
  <c r="Y66" i="41"/>
  <c r="AA66" i="41" s="1"/>
  <c r="Y71" i="41"/>
  <c r="AA71" i="41" s="1"/>
  <c r="X84" i="41"/>
  <c r="Z84" i="41" s="1"/>
  <c r="Y85" i="41"/>
  <c r="AA85" i="41" s="1"/>
  <c r="X99" i="41"/>
  <c r="Z99" i="41" s="1"/>
  <c r="Y100" i="41"/>
  <c r="AA100" i="41" s="1"/>
  <c r="Y114" i="41"/>
  <c r="Y119" i="41"/>
  <c r="X65" i="41"/>
  <c r="Z65" i="41" s="1"/>
  <c r="X79" i="41"/>
  <c r="Z79" i="41" s="1"/>
  <c r="Y84" i="41"/>
  <c r="AA84" i="41" s="1"/>
  <c r="X98" i="41"/>
  <c r="Z98" i="41" s="1"/>
  <c r="Y99" i="41"/>
  <c r="AA99" i="41" s="1"/>
  <c r="X113" i="41"/>
  <c r="X127" i="41"/>
  <c r="X24" i="41"/>
  <c r="X64" i="41"/>
  <c r="Z64" i="41" s="1"/>
  <c r="Y65" i="41"/>
  <c r="AA65" i="41" s="1"/>
  <c r="X70" i="41"/>
  <c r="Z70" i="41" s="1"/>
  <c r="X83" i="41"/>
  <c r="Z83" i="41" s="1"/>
  <c r="Y92" i="41"/>
  <c r="X97" i="41"/>
  <c r="Z97" i="41" s="1"/>
  <c r="Y98" i="41"/>
  <c r="AA98" i="41" s="1"/>
  <c r="X112" i="41"/>
  <c r="Y113" i="41"/>
  <c r="X118" i="41"/>
  <c r="X190" i="41"/>
  <c r="Z190" i="41" s="1"/>
  <c r="X191" i="41"/>
  <c r="Z191" i="41" s="1"/>
  <c r="X192" i="41"/>
  <c r="Z192" i="41" s="1"/>
  <c r="X193" i="41"/>
  <c r="Z193" i="41" s="1"/>
  <c r="X194" i="41"/>
  <c r="Z194" i="41" s="1"/>
  <c r="X195" i="41"/>
  <c r="Z195" i="41" s="1"/>
  <c r="X196" i="41"/>
  <c r="Z196" i="41" s="1"/>
  <c r="X197" i="41"/>
  <c r="Z197" i="41" s="1"/>
  <c r="X198" i="41"/>
  <c r="Z198" i="41" s="1"/>
  <c r="X199" i="41"/>
  <c r="Z199" i="41" s="1"/>
  <c r="X200" i="41"/>
  <c r="Z200" i="41" s="1"/>
  <c r="X201" i="41"/>
  <c r="Z201" i="41" s="1"/>
  <c r="X202" i="41"/>
  <c r="Z202" i="41" s="1"/>
  <c r="X203" i="41"/>
  <c r="Z203" i="41" s="1"/>
  <c r="X204" i="41"/>
  <c r="Z204" i="41" s="1"/>
  <c r="X205" i="41"/>
  <c r="Z205" i="41" s="1"/>
  <c r="X206" i="41"/>
  <c r="Z206" i="41" s="1"/>
  <c r="X207" i="41"/>
  <c r="Z207" i="41" s="1"/>
  <c r="X208" i="41"/>
  <c r="Z208" i="41" s="1"/>
  <c r="X209" i="41"/>
  <c r="Z209" i="41" s="1"/>
  <c r="X210" i="41"/>
  <c r="Z210" i="41" s="1"/>
  <c r="X211" i="41"/>
  <c r="Z211" i="41" s="1"/>
  <c r="X212" i="41"/>
  <c r="Z212" i="41" s="1"/>
  <c r="X213" i="41"/>
  <c r="Z213" i="41" s="1"/>
  <c r="X214" i="41"/>
  <c r="Z214" i="41" s="1"/>
  <c r="X215" i="41"/>
  <c r="Z215" i="41" s="1"/>
  <c r="X216" i="41"/>
  <c r="Z216" i="41" s="1"/>
  <c r="X217" i="41"/>
  <c r="Z217" i="41" s="1"/>
  <c r="X218" i="41"/>
  <c r="Z218" i="41" s="1"/>
  <c r="X219" i="41"/>
  <c r="Z219" i="41" s="1"/>
  <c r="X220" i="41"/>
  <c r="Z220" i="41" s="1"/>
  <c r="X221" i="41"/>
  <c r="Z221" i="41" s="1"/>
  <c r="X222" i="41"/>
  <c r="Z222" i="41" s="1"/>
  <c r="X223" i="41"/>
  <c r="Z223" i="41" s="1"/>
  <c r="X224" i="41"/>
  <c r="Z224" i="41" s="1"/>
  <c r="X225" i="41"/>
  <c r="Z225" i="41" s="1"/>
  <c r="X226" i="41"/>
  <c r="Z226" i="41" s="1"/>
  <c r="X227" i="41"/>
  <c r="Z227" i="41" s="1"/>
  <c r="X228" i="41"/>
  <c r="Z228" i="41" s="1"/>
  <c r="X229" i="41"/>
  <c r="Z229" i="41" s="1"/>
  <c r="X230" i="41"/>
  <c r="Z230" i="41" s="1"/>
  <c r="X231" i="41"/>
  <c r="Z231" i="41" s="1"/>
  <c r="X232" i="41"/>
  <c r="Z232" i="41" s="1"/>
  <c r="X233" i="41"/>
  <c r="Z233" i="41" s="1"/>
  <c r="X234" i="41"/>
  <c r="Z234" i="41" s="1"/>
  <c r="X235" i="41"/>
  <c r="Z235" i="41" s="1"/>
  <c r="X236" i="41"/>
  <c r="Z236" i="41" s="1"/>
  <c r="X237" i="41"/>
  <c r="Z237" i="41" s="1"/>
  <c r="X238" i="41"/>
  <c r="Z238" i="41" s="1"/>
  <c r="X239" i="41"/>
  <c r="Z239" i="41" s="1"/>
  <c r="X240" i="41"/>
  <c r="Z240" i="41" s="1"/>
  <c r="X241" i="41"/>
  <c r="Z241" i="41" s="1"/>
  <c r="X242" i="41"/>
  <c r="Z242" i="41" s="1"/>
  <c r="Y24" i="41"/>
  <c r="X63" i="41"/>
  <c r="Z63" i="41" s="1"/>
  <c r="Y64" i="41"/>
  <c r="AA64" i="41" s="1"/>
  <c r="Y78" i="41"/>
  <c r="AA78" i="41" s="1"/>
  <c r="Y83" i="41"/>
  <c r="AA83" i="41" s="1"/>
  <c r="X96" i="41"/>
  <c r="Z96" i="41" s="1"/>
  <c r="Y97" i="41"/>
  <c r="AA97" i="41" s="1"/>
  <c r="X111" i="41"/>
  <c r="Y112" i="41"/>
  <c r="Y126" i="41"/>
  <c r="Y189" i="41"/>
  <c r="AA189" i="41" s="1"/>
  <c r="Y190" i="41"/>
  <c r="AA190" i="41" s="1"/>
  <c r="Y191" i="41"/>
  <c r="AA191" i="41" s="1"/>
  <c r="Y192" i="41"/>
  <c r="AA192" i="41" s="1"/>
  <c r="Y193" i="41"/>
  <c r="AA193" i="41" s="1"/>
  <c r="Y194" i="41"/>
  <c r="AA194" i="41" s="1"/>
  <c r="Y195" i="41"/>
  <c r="AA195" i="41" s="1"/>
  <c r="Y196" i="41"/>
  <c r="AA196" i="41" s="1"/>
  <c r="Y197" i="41"/>
  <c r="AA197" i="41" s="1"/>
  <c r="Y198" i="41"/>
  <c r="AA198" i="41" s="1"/>
  <c r="Y199" i="41"/>
  <c r="AA199" i="41" s="1"/>
  <c r="Y200" i="41"/>
  <c r="AA200" i="41" s="1"/>
  <c r="Y201" i="41"/>
  <c r="AA201" i="41" s="1"/>
  <c r="Y202" i="41"/>
  <c r="AA202" i="41" s="1"/>
  <c r="Y203" i="41"/>
  <c r="AA203" i="41" s="1"/>
  <c r="Y204" i="41"/>
  <c r="AA204" i="41" s="1"/>
  <c r="Y205" i="41"/>
  <c r="AA205" i="41" s="1"/>
  <c r="Y206" i="41"/>
  <c r="AA206" i="41" s="1"/>
  <c r="Y207" i="41"/>
  <c r="AA207" i="41" s="1"/>
  <c r="Y208" i="41"/>
  <c r="AA208" i="41" s="1"/>
  <c r="Y209" i="41"/>
  <c r="AA209" i="41" s="1"/>
  <c r="Y210" i="41"/>
  <c r="AA210" i="41" s="1"/>
  <c r="Y211" i="41"/>
  <c r="AA211" i="41" s="1"/>
  <c r="Y212" i="41"/>
  <c r="AA212" i="41" s="1"/>
  <c r="Y213" i="41"/>
  <c r="AA213" i="41" s="1"/>
  <c r="Y214" i="41"/>
  <c r="AA214" i="41" s="1"/>
  <c r="Y215" i="41"/>
  <c r="AA215" i="41" s="1"/>
  <c r="Y216" i="41"/>
  <c r="AA216" i="41" s="1"/>
  <c r="Y217" i="41"/>
  <c r="AA217" i="41" s="1"/>
  <c r="Y218" i="41"/>
  <c r="AA218" i="41" s="1"/>
  <c r="Y219" i="41"/>
  <c r="AA219" i="41" s="1"/>
  <c r="Y220" i="41"/>
  <c r="AA220" i="41" s="1"/>
  <c r="Y221" i="41"/>
  <c r="AA221" i="41" s="1"/>
  <c r="Y222" i="41"/>
  <c r="AA222" i="41" s="1"/>
  <c r="Y223" i="41"/>
  <c r="AA223" i="41" s="1"/>
  <c r="Y224" i="41"/>
  <c r="AA224" i="41" s="1"/>
  <c r="Y225" i="41"/>
  <c r="AA225" i="41" s="1"/>
  <c r="Y226" i="41"/>
  <c r="AA226" i="41" s="1"/>
  <c r="Y227" i="41"/>
  <c r="AA227" i="41" s="1"/>
  <c r="Y228" i="41"/>
  <c r="AA228" i="41" s="1"/>
  <c r="Y229" i="41"/>
  <c r="AA229" i="41" s="1"/>
  <c r="Y230" i="41"/>
  <c r="AA230" i="41" s="1"/>
  <c r="Y231" i="41"/>
  <c r="AA231" i="41" s="1"/>
  <c r="Y232" i="41"/>
  <c r="AA232" i="41" s="1"/>
  <c r="Y233" i="41"/>
  <c r="AA233" i="41" s="1"/>
  <c r="Y234" i="41"/>
  <c r="AA234" i="41" s="1"/>
  <c r="Y235" i="41"/>
  <c r="AA235" i="41" s="1"/>
  <c r="Y236" i="41"/>
  <c r="AA236" i="41" s="1"/>
  <c r="Y237" i="41"/>
  <c r="AA237" i="41" s="1"/>
  <c r="Y238" i="41"/>
  <c r="AA238" i="41" s="1"/>
  <c r="Y239" i="41"/>
  <c r="AA239" i="41" s="1"/>
  <c r="Y240" i="41"/>
  <c r="AA240" i="41" s="1"/>
  <c r="Y241" i="41"/>
  <c r="AA241" i="41" s="1"/>
  <c r="Y242" i="41"/>
  <c r="AA242" i="41" s="1"/>
  <c r="Y63" i="41"/>
  <c r="AA63" i="41" s="1"/>
  <c r="Y86" i="41"/>
  <c r="X115" i="41"/>
  <c r="X119" i="41"/>
  <c r="X62" i="41"/>
  <c r="Z62" i="41" s="1"/>
  <c r="X82" i="41"/>
  <c r="Z82" i="41" s="1"/>
  <c r="X100" i="41"/>
  <c r="Z100" i="41" s="1"/>
  <c r="Y111" i="41"/>
  <c r="Y56" i="41"/>
  <c r="X60" i="41"/>
  <c r="Z60" i="41" s="1"/>
  <c r="Y61" i="41"/>
  <c r="AA61" i="41" s="1"/>
  <c r="X77" i="41"/>
  <c r="Z77" i="41" s="1"/>
  <c r="X109" i="41"/>
  <c r="Y110" i="41"/>
  <c r="X61" i="41"/>
  <c r="Z61" i="41" s="1"/>
  <c r="Y62" i="41"/>
  <c r="AA62" i="41" s="1"/>
  <c r="X85" i="41"/>
  <c r="Z85" i="41" s="1"/>
  <c r="Y96" i="41"/>
  <c r="AA96" i="41" s="1"/>
  <c r="X110" i="41"/>
  <c r="X58" i="41"/>
  <c r="Z58" i="41" s="1"/>
  <c r="X72" i="41"/>
  <c r="Z72" i="41" s="1"/>
  <c r="Y73" i="41"/>
  <c r="X88" i="41"/>
  <c r="Y89" i="41"/>
  <c r="Y102" i="41"/>
  <c r="AA102" i="41" s="1"/>
  <c r="X121" i="41"/>
  <c r="Y122" i="41"/>
  <c r="Y128" i="41"/>
  <c r="Y68" i="41"/>
  <c r="AA68" i="41" s="1"/>
  <c r="Y72" i="41"/>
  <c r="AA72" i="41" s="1"/>
  <c r="X87" i="41"/>
  <c r="Y88" i="41"/>
  <c r="X106" i="41"/>
  <c r="Z106" i="41" s="1"/>
  <c r="X120" i="41"/>
  <c r="Z120" i="41" s="1"/>
  <c r="Y121" i="41"/>
  <c r="Y87" i="41"/>
  <c r="X101" i="41"/>
  <c r="Z101" i="41" s="1"/>
  <c r="Y116" i="41"/>
  <c r="Y120" i="41"/>
  <c r="AA120" i="41" s="1"/>
  <c r="X67" i="41"/>
  <c r="Z67" i="41" s="1"/>
  <c r="X71" i="41"/>
  <c r="Z71" i="41" s="1"/>
  <c r="X86" i="41"/>
  <c r="Y101" i="41"/>
  <c r="AA101" i="41" s="1"/>
  <c r="Y74" i="41"/>
  <c r="X125" i="41"/>
  <c r="X243" i="41"/>
  <c r="Z243" i="41" s="1"/>
  <c r="X244" i="41"/>
  <c r="Z244" i="41" s="1"/>
  <c r="X245" i="41"/>
  <c r="Z245" i="41" s="1"/>
  <c r="X246" i="41"/>
  <c r="Z246" i="41" s="1"/>
  <c r="X247" i="41"/>
  <c r="Z247" i="41" s="1"/>
  <c r="X248" i="41"/>
  <c r="Z248" i="41" s="1"/>
  <c r="X249" i="41"/>
  <c r="Z249" i="41" s="1"/>
  <c r="X250" i="41"/>
  <c r="Z250" i="41" s="1"/>
  <c r="X251" i="41"/>
  <c r="Z251" i="41" s="1"/>
  <c r="X252" i="41"/>
  <c r="Z252" i="41" s="1"/>
  <c r="X253" i="41"/>
  <c r="Z253" i="41" s="1"/>
  <c r="X254" i="41"/>
  <c r="Z254" i="41" s="1"/>
  <c r="X255" i="41"/>
  <c r="Z255" i="41" s="1"/>
  <c r="X256" i="41"/>
  <c r="Z256" i="41" s="1"/>
  <c r="X257" i="41"/>
  <c r="Z257" i="41" s="1"/>
  <c r="X258" i="41"/>
  <c r="Z258" i="41" s="1"/>
  <c r="Y60" i="41"/>
  <c r="AA60" i="41" s="1"/>
  <c r="X73" i="41"/>
  <c r="X124" i="41"/>
  <c r="Y125" i="41"/>
  <c r="Y243" i="41"/>
  <c r="AA243" i="41" s="1"/>
  <c r="Y244" i="41"/>
  <c r="AA244" i="41" s="1"/>
  <c r="Y245" i="41"/>
  <c r="AA245" i="41" s="1"/>
  <c r="Y246" i="41"/>
  <c r="AA246" i="41" s="1"/>
  <c r="Y247" i="41"/>
  <c r="AA247" i="41" s="1"/>
  <c r="Y248" i="41"/>
  <c r="AA248" i="41" s="1"/>
  <c r="Y249" i="41"/>
  <c r="AA249" i="41" s="1"/>
  <c r="Y250" i="41"/>
  <c r="AA250" i="41" s="1"/>
  <c r="Y251" i="41"/>
  <c r="AA251" i="41" s="1"/>
  <c r="Y253" i="41"/>
  <c r="AA253" i="41" s="1"/>
  <c r="Y254" i="41"/>
  <c r="AA254" i="41" s="1"/>
  <c r="Y255" i="41"/>
  <c r="AA255" i="41" s="1"/>
  <c r="Y256" i="41"/>
  <c r="AA256" i="41" s="1"/>
  <c r="Y257" i="41"/>
  <c r="AA257" i="41" s="1"/>
  <c r="Y258" i="41"/>
  <c r="AA258" i="41" s="1"/>
  <c r="X23" i="41"/>
  <c r="Z23" i="41" s="1"/>
  <c r="Y124" i="41"/>
  <c r="Y23" i="41"/>
  <c r="AA23" i="41" s="1"/>
  <c r="X59" i="41"/>
  <c r="Z59" i="41" s="1"/>
  <c r="X123" i="41"/>
  <c r="Y59" i="41"/>
  <c r="AA59" i="41" s="1"/>
  <c r="Y252" i="41"/>
  <c r="AA252" i="41" s="1"/>
  <c r="X95" i="41"/>
  <c r="X76" i="41"/>
  <c r="Y90" i="41"/>
  <c r="X94" i="41"/>
  <c r="X108" i="41"/>
  <c r="Y54" i="41"/>
  <c r="X75" i="41"/>
  <c r="Y76" i="41"/>
  <c r="Y80" i="41"/>
  <c r="AA80" i="41" s="1"/>
  <c r="Y104" i="41"/>
  <c r="AA104" i="41" s="1"/>
  <c r="Y108" i="41"/>
  <c r="Y123" i="41"/>
  <c r="X55" i="41"/>
  <c r="X91" i="41"/>
  <c r="Y95" i="41"/>
  <c r="Y77" i="41"/>
  <c r="AA77" i="41" s="1"/>
  <c r="Y109" i="41"/>
  <c r="X122" i="41"/>
  <c r="Y75" i="41"/>
  <c r="X107" i="41"/>
  <c r="X74" i="41"/>
  <c r="X89" i="41"/>
  <c r="X103" i="41"/>
  <c r="Z103" i="41" s="1"/>
  <c r="Y107" i="41"/>
  <c r="T261" i="41"/>
  <c r="V261" i="41" s="1"/>
  <c r="S12" i="41"/>
  <c r="S15" i="41"/>
  <c r="S24" i="41"/>
  <c r="S25" i="41"/>
  <c r="S28" i="41"/>
  <c r="S31" i="41"/>
  <c r="S34" i="41"/>
  <c r="U34" i="41" s="1"/>
  <c r="S37" i="41"/>
  <c r="U37" i="41" s="1"/>
  <c r="S42" i="41"/>
  <c r="U42" i="41" s="1"/>
  <c r="S45" i="41"/>
  <c r="U45" i="41" s="1"/>
  <c r="S48" i="41"/>
  <c r="S54" i="41"/>
  <c r="S57" i="41"/>
  <c r="U57" i="41" s="1"/>
  <c r="S60" i="41"/>
  <c r="U60" i="41" s="1"/>
  <c r="S63" i="41"/>
  <c r="U63" i="41" s="1"/>
  <c r="S66" i="41"/>
  <c r="U66" i="41" s="1"/>
  <c r="S69" i="41"/>
  <c r="U69" i="41" s="1"/>
  <c r="S72" i="41"/>
  <c r="U72" i="41" s="1"/>
  <c r="S75" i="41"/>
  <c r="S78" i="41"/>
  <c r="U78" i="41" s="1"/>
  <c r="S81" i="41"/>
  <c r="S84" i="41"/>
  <c r="U84" i="41" s="1"/>
  <c r="S87" i="41"/>
  <c r="S90" i="41"/>
  <c r="S93" i="41"/>
  <c r="S96" i="41"/>
  <c r="U96" i="41" s="1"/>
  <c r="S99" i="41"/>
  <c r="U99" i="41" s="1"/>
  <c r="S102" i="41"/>
  <c r="U102" i="41" s="1"/>
  <c r="S105" i="41"/>
  <c r="U105" i="41" s="1"/>
  <c r="S108" i="41"/>
  <c r="S111" i="41"/>
  <c r="S114" i="41"/>
  <c r="S117" i="41"/>
  <c r="S120" i="41"/>
  <c r="U120" i="41" s="1"/>
  <c r="S123" i="41"/>
  <c r="S126" i="41"/>
  <c r="S129" i="41"/>
  <c r="U129" i="41" s="1"/>
  <c r="S132" i="41"/>
  <c r="U132" i="41" s="1"/>
  <c r="S135" i="41"/>
  <c r="U135" i="41" s="1"/>
  <c r="S138" i="41"/>
  <c r="U138" i="41" s="1"/>
  <c r="S141" i="41"/>
  <c r="U141" i="41" s="1"/>
  <c r="S144" i="41"/>
  <c r="U144" i="41" s="1"/>
  <c r="S147" i="41"/>
  <c r="U147" i="41" s="1"/>
  <c r="S150" i="41"/>
  <c r="U150" i="41" s="1"/>
  <c r="S153" i="41"/>
  <c r="U153" i="41" s="1"/>
  <c r="S156" i="41"/>
  <c r="U156" i="41" s="1"/>
  <c r="S159" i="41"/>
  <c r="U159" i="41" s="1"/>
  <c r="S162" i="41"/>
  <c r="U162" i="41" s="1"/>
  <c r="S165" i="41"/>
  <c r="U165" i="41" s="1"/>
  <c r="S168" i="41"/>
  <c r="U168" i="41" s="1"/>
  <c r="S171" i="41"/>
  <c r="U171" i="41" s="1"/>
  <c r="S174" i="41"/>
  <c r="U174" i="41" s="1"/>
  <c r="S177" i="41"/>
  <c r="U177" i="41" s="1"/>
  <c r="S180" i="41"/>
  <c r="U180" i="41" s="1"/>
  <c r="S183" i="41"/>
  <c r="U183" i="41" s="1"/>
  <c r="S186" i="41"/>
  <c r="U186" i="41" s="1"/>
  <c r="S189" i="41"/>
  <c r="U189" i="41" s="1"/>
  <c r="S192" i="41"/>
  <c r="U192" i="41" s="1"/>
  <c r="S195" i="41"/>
  <c r="U195" i="41" s="1"/>
  <c r="S198" i="41"/>
  <c r="U198" i="41" s="1"/>
  <c r="S201" i="41"/>
  <c r="U201" i="41" s="1"/>
  <c r="S204" i="41"/>
  <c r="U204" i="41" s="1"/>
  <c r="S207" i="41"/>
  <c r="U207" i="41" s="1"/>
  <c r="S210" i="41"/>
  <c r="U210" i="41" s="1"/>
  <c r="S213" i="41"/>
  <c r="U213" i="41" s="1"/>
  <c r="S216" i="41"/>
  <c r="U216" i="41" s="1"/>
  <c r="S219" i="41"/>
  <c r="U219" i="41" s="1"/>
  <c r="S222" i="41"/>
  <c r="U222" i="41" s="1"/>
  <c r="S225" i="41"/>
  <c r="U225" i="41" s="1"/>
  <c r="S228" i="41"/>
  <c r="U228" i="41" s="1"/>
  <c r="S231" i="41"/>
  <c r="U231" i="41" s="1"/>
  <c r="S234" i="41"/>
  <c r="U234" i="41" s="1"/>
  <c r="S237" i="41"/>
  <c r="U237" i="41" s="1"/>
  <c r="S240" i="41"/>
  <c r="U240" i="41" s="1"/>
  <c r="S243" i="41"/>
  <c r="U243" i="41" s="1"/>
  <c r="S246" i="41"/>
  <c r="U246" i="41" s="1"/>
  <c r="S249" i="41"/>
  <c r="U249" i="41" s="1"/>
  <c r="S252" i="41"/>
  <c r="U252" i="41" s="1"/>
  <c r="S255" i="41"/>
  <c r="U255" i="41" s="1"/>
  <c r="S258" i="41"/>
  <c r="U258" i="41" s="1"/>
  <c r="T12" i="41"/>
  <c r="T15" i="41"/>
  <c r="T24" i="41"/>
  <c r="T25" i="41"/>
  <c r="T28" i="41"/>
  <c r="T31" i="41"/>
  <c r="T34" i="41"/>
  <c r="V34" i="41" s="1"/>
  <c r="T37" i="41"/>
  <c r="V37" i="41" s="1"/>
  <c r="T42" i="41"/>
  <c r="V42" i="41" s="1"/>
  <c r="T45" i="41"/>
  <c r="V45" i="41" s="1"/>
  <c r="T48" i="41"/>
  <c r="T54" i="41"/>
  <c r="T57" i="41"/>
  <c r="V57" i="41" s="1"/>
  <c r="T60" i="41"/>
  <c r="V60" i="41" s="1"/>
  <c r="T63" i="41"/>
  <c r="V63" i="41" s="1"/>
  <c r="T66" i="41"/>
  <c r="V66" i="41" s="1"/>
  <c r="T69" i="41"/>
  <c r="V69" i="41" s="1"/>
  <c r="T72" i="41"/>
  <c r="V72" i="41" s="1"/>
  <c r="T75" i="41"/>
  <c r="T78" i="41"/>
  <c r="V78" i="41" s="1"/>
  <c r="T81" i="41"/>
  <c r="T84" i="41"/>
  <c r="V84" i="41" s="1"/>
  <c r="T87" i="41"/>
  <c r="T90" i="41"/>
  <c r="T93" i="41"/>
  <c r="T96" i="41"/>
  <c r="V96" i="41" s="1"/>
  <c r="T99" i="41"/>
  <c r="V99" i="41" s="1"/>
  <c r="T102" i="41"/>
  <c r="V102" i="41" s="1"/>
  <c r="T105" i="41"/>
  <c r="V105" i="41" s="1"/>
  <c r="T108" i="41"/>
  <c r="T111" i="41"/>
  <c r="T114" i="41"/>
  <c r="T117" i="41"/>
  <c r="T120" i="41"/>
  <c r="V120" i="41" s="1"/>
  <c r="T123" i="41"/>
  <c r="T126" i="41"/>
  <c r="T129" i="41"/>
  <c r="V129" i="41" s="1"/>
  <c r="T132" i="41"/>
  <c r="V132" i="41" s="1"/>
  <c r="T135" i="41"/>
  <c r="V135" i="41" s="1"/>
  <c r="T138" i="41"/>
  <c r="V138" i="41" s="1"/>
  <c r="T141" i="41"/>
  <c r="V141" i="41" s="1"/>
  <c r="T144" i="41"/>
  <c r="V144" i="41" s="1"/>
  <c r="T147" i="41"/>
  <c r="V147" i="41" s="1"/>
  <c r="T150" i="41"/>
  <c r="V150" i="41" s="1"/>
  <c r="T153" i="41"/>
  <c r="V153" i="41" s="1"/>
  <c r="T156" i="41"/>
  <c r="V156" i="41" s="1"/>
  <c r="T159" i="41"/>
  <c r="V159" i="41" s="1"/>
  <c r="T162" i="41"/>
  <c r="V162" i="41" s="1"/>
  <c r="T165" i="41"/>
  <c r="V165" i="41" s="1"/>
  <c r="T168" i="41"/>
  <c r="V168" i="41" s="1"/>
  <c r="T171" i="41"/>
  <c r="V171" i="41" s="1"/>
  <c r="T174" i="41"/>
  <c r="V174" i="41" s="1"/>
  <c r="T177" i="41"/>
  <c r="V177" i="41" s="1"/>
  <c r="T180" i="41"/>
  <c r="V180" i="41" s="1"/>
  <c r="T183" i="41"/>
  <c r="V183" i="41" s="1"/>
  <c r="T186" i="41"/>
  <c r="V186" i="41" s="1"/>
  <c r="T189" i="41"/>
  <c r="V189" i="41" s="1"/>
  <c r="T192" i="41"/>
  <c r="V192" i="41" s="1"/>
  <c r="T195" i="41"/>
  <c r="V195" i="41" s="1"/>
  <c r="T198" i="41"/>
  <c r="V198" i="41" s="1"/>
  <c r="T201" i="41"/>
  <c r="V201" i="41" s="1"/>
  <c r="T204" i="41"/>
  <c r="V204" i="41" s="1"/>
  <c r="T207" i="41"/>
  <c r="V207" i="41" s="1"/>
  <c r="T210" i="41"/>
  <c r="V210" i="41" s="1"/>
  <c r="T213" i="41"/>
  <c r="V213" i="41" s="1"/>
  <c r="T216" i="41"/>
  <c r="V216" i="41" s="1"/>
  <c r="T219" i="41"/>
  <c r="V219" i="41" s="1"/>
  <c r="T222" i="41"/>
  <c r="V222" i="41" s="1"/>
  <c r="T225" i="41"/>
  <c r="V225" i="41" s="1"/>
  <c r="T228" i="41"/>
  <c r="V228" i="41" s="1"/>
  <c r="T231" i="41"/>
  <c r="V231" i="41" s="1"/>
  <c r="T234" i="41"/>
  <c r="V234" i="41" s="1"/>
  <c r="T237" i="41"/>
  <c r="V237" i="41" s="1"/>
  <c r="T240" i="41"/>
  <c r="V240" i="41" s="1"/>
  <c r="T243" i="41"/>
  <c r="V243" i="41" s="1"/>
  <c r="T246" i="41"/>
  <c r="V246" i="41" s="1"/>
  <c r="T249" i="41"/>
  <c r="V249" i="41" s="1"/>
  <c r="T252" i="41"/>
  <c r="V252" i="41" s="1"/>
  <c r="T255" i="41"/>
  <c r="V255" i="41" s="1"/>
  <c r="T258" i="41"/>
  <c r="V258" i="41" s="1"/>
  <c r="S13" i="41"/>
  <c r="S16" i="41"/>
  <c r="S22" i="41"/>
  <c r="U22" i="41" s="1"/>
  <c r="S26" i="41"/>
  <c r="U26" i="41" s="1"/>
  <c r="S29" i="41"/>
  <c r="U29" i="41" s="1"/>
  <c r="S32" i="41"/>
  <c r="U32" i="41" s="1"/>
  <c r="S35" i="41"/>
  <c r="U35" i="41" s="1"/>
  <c r="S38" i="41"/>
  <c r="U38" i="41" s="1"/>
  <c r="S43" i="41"/>
  <c r="U43" i="41" s="1"/>
  <c r="S46" i="41"/>
  <c r="S49" i="41"/>
  <c r="S55" i="41"/>
  <c r="S58" i="41"/>
  <c r="U58" i="41" s="1"/>
  <c r="S61" i="41"/>
  <c r="U61" i="41" s="1"/>
  <c r="S64" i="41"/>
  <c r="U64" i="41" s="1"/>
  <c r="S67" i="41"/>
  <c r="U67" i="41" s="1"/>
  <c r="S70" i="41"/>
  <c r="U70" i="41" s="1"/>
  <c r="S73" i="41"/>
  <c r="S76" i="41"/>
  <c r="S79" i="41"/>
  <c r="U79" i="41" s="1"/>
  <c r="S82" i="41"/>
  <c r="U82" i="41" s="1"/>
  <c r="S85" i="41"/>
  <c r="U85" i="41" s="1"/>
  <c r="S88" i="41"/>
  <c r="S91" i="41"/>
  <c r="S94" i="41"/>
  <c r="S97" i="41"/>
  <c r="U97" i="41" s="1"/>
  <c r="S100" i="41"/>
  <c r="U100" i="41" s="1"/>
  <c r="S103" i="41"/>
  <c r="U103" i="41" s="1"/>
  <c r="S106" i="41"/>
  <c r="U106" i="41" s="1"/>
  <c r="S109" i="41"/>
  <c r="S112" i="41"/>
  <c r="S115" i="41"/>
  <c r="S118" i="41"/>
  <c r="S121" i="41"/>
  <c r="S124" i="41"/>
  <c r="S127" i="41"/>
  <c r="S130" i="41"/>
  <c r="U130" i="41" s="1"/>
  <c r="S133" i="41"/>
  <c r="U133" i="41" s="1"/>
  <c r="S136" i="41"/>
  <c r="U136" i="41" s="1"/>
  <c r="S139" i="41"/>
  <c r="U139" i="41" s="1"/>
  <c r="S142" i="41"/>
  <c r="U142" i="41" s="1"/>
  <c r="S145" i="41"/>
  <c r="U145" i="41" s="1"/>
  <c r="S148" i="41"/>
  <c r="U148" i="41" s="1"/>
  <c r="S151" i="41"/>
  <c r="U151" i="41" s="1"/>
  <c r="S154" i="41"/>
  <c r="U154" i="41" s="1"/>
  <c r="S157" i="41"/>
  <c r="U157" i="41" s="1"/>
  <c r="S160" i="41"/>
  <c r="U160" i="41" s="1"/>
  <c r="S163" i="41"/>
  <c r="U163" i="41" s="1"/>
  <c r="S166" i="41"/>
  <c r="U166" i="41" s="1"/>
  <c r="S169" i="41"/>
  <c r="U169" i="41" s="1"/>
  <c r="S172" i="41"/>
  <c r="U172" i="41" s="1"/>
  <c r="S175" i="41"/>
  <c r="U175" i="41" s="1"/>
  <c r="S178" i="41"/>
  <c r="U178" i="41" s="1"/>
  <c r="S181" i="41"/>
  <c r="U181" i="41" s="1"/>
  <c r="S184" i="41"/>
  <c r="U184" i="41" s="1"/>
  <c r="S187" i="41"/>
  <c r="U187" i="41" s="1"/>
  <c r="S190" i="41"/>
  <c r="U190" i="41" s="1"/>
  <c r="S193" i="41"/>
  <c r="U193" i="41" s="1"/>
  <c r="S196" i="41"/>
  <c r="U196" i="41" s="1"/>
  <c r="S199" i="41"/>
  <c r="U199" i="41" s="1"/>
  <c r="S202" i="41"/>
  <c r="U202" i="41" s="1"/>
  <c r="S205" i="41"/>
  <c r="U205" i="41" s="1"/>
  <c r="S208" i="41"/>
  <c r="U208" i="41" s="1"/>
  <c r="S211" i="41"/>
  <c r="U211" i="41" s="1"/>
  <c r="S214" i="41"/>
  <c r="U214" i="41" s="1"/>
  <c r="S217" i="41"/>
  <c r="U217" i="41" s="1"/>
  <c r="S220" i="41"/>
  <c r="U220" i="41" s="1"/>
  <c r="S223" i="41"/>
  <c r="U223" i="41" s="1"/>
  <c r="S226" i="41"/>
  <c r="U226" i="41" s="1"/>
  <c r="S229" i="41"/>
  <c r="U229" i="41" s="1"/>
  <c r="S232" i="41"/>
  <c r="U232" i="41" s="1"/>
  <c r="S235" i="41"/>
  <c r="U235" i="41" s="1"/>
  <c r="S238" i="41"/>
  <c r="U238" i="41" s="1"/>
  <c r="S241" i="41"/>
  <c r="U241" i="41" s="1"/>
  <c r="S244" i="41"/>
  <c r="U244" i="41" s="1"/>
  <c r="S247" i="41"/>
  <c r="U247" i="41" s="1"/>
  <c r="S250" i="41"/>
  <c r="U250" i="41" s="1"/>
  <c r="S253" i="41"/>
  <c r="U253" i="41" s="1"/>
  <c r="S256" i="41"/>
  <c r="U256" i="41" s="1"/>
  <c r="T13" i="41"/>
  <c r="T29" i="41"/>
  <c r="V29" i="41" s="1"/>
  <c r="S39" i="41"/>
  <c r="U39" i="41" s="1"/>
  <c r="T65" i="41"/>
  <c r="V65" i="41" s="1"/>
  <c r="T76" i="41"/>
  <c r="S86" i="41"/>
  <c r="T101" i="41"/>
  <c r="V101" i="41" s="1"/>
  <c r="T112" i="41"/>
  <c r="S131" i="41"/>
  <c r="U131" i="41" s="1"/>
  <c r="S140" i="41"/>
  <c r="U140" i="41" s="1"/>
  <c r="S158" i="41"/>
  <c r="U158" i="41" s="1"/>
  <c r="S185" i="41"/>
  <c r="U185" i="41" s="1"/>
  <c r="S221" i="41"/>
  <c r="U221" i="41" s="1"/>
  <c r="S230" i="41"/>
  <c r="U230" i="41" s="1"/>
  <c r="S248" i="41"/>
  <c r="U248" i="41" s="1"/>
  <c r="S257" i="41"/>
  <c r="U257" i="41" s="1"/>
  <c r="T39" i="41"/>
  <c r="V39" i="41" s="1"/>
  <c r="T61" i="41"/>
  <c r="V61" i="41" s="1"/>
  <c r="S71" i="41"/>
  <c r="U71" i="41" s="1"/>
  <c r="T86" i="41"/>
  <c r="T97" i="41"/>
  <c r="V97" i="41" s="1"/>
  <c r="S107" i="41"/>
  <c r="S149" i="41"/>
  <c r="U149" i="41" s="1"/>
  <c r="S167" i="41"/>
  <c r="U167" i="41" s="1"/>
  <c r="S176" i="41"/>
  <c r="U176" i="41" s="1"/>
  <c r="S194" i="41"/>
  <c r="U194" i="41" s="1"/>
  <c r="S203" i="41"/>
  <c r="U203" i="41" s="1"/>
  <c r="S212" i="41"/>
  <c r="U212" i="41" s="1"/>
  <c r="S239" i="41"/>
  <c r="U239" i="41" s="1"/>
  <c r="T22" i="41"/>
  <c r="V22" i="41" s="1"/>
  <c r="T35" i="41"/>
  <c r="V35" i="41" s="1"/>
  <c r="S47" i="41"/>
  <c r="S56" i="41"/>
  <c r="T71" i="41"/>
  <c r="V71" i="41" s="1"/>
  <c r="T82" i="41"/>
  <c r="V82" i="41" s="1"/>
  <c r="S92" i="41"/>
  <c r="T107" i="41"/>
  <c r="S122" i="41"/>
  <c r="S23" i="41"/>
  <c r="U23" i="41" s="1"/>
  <c r="T26" i="41"/>
  <c r="V26" i="41" s="1"/>
  <c r="S36" i="41"/>
  <c r="U36" i="41" s="1"/>
  <c r="T62" i="41"/>
  <c r="V62" i="41" s="1"/>
  <c r="T73" i="41"/>
  <c r="S83" i="41"/>
  <c r="U83" i="41" s="1"/>
  <c r="T98" i="41"/>
  <c r="V98" i="41" s="1"/>
  <c r="T109" i="41"/>
  <c r="T23" i="41"/>
  <c r="V23" i="41" s="1"/>
  <c r="T36" i="41"/>
  <c r="V36" i="41" s="1"/>
  <c r="T49" i="41"/>
  <c r="T58" i="41"/>
  <c r="V58" i="41" s="1"/>
  <c r="S68" i="41"/>
  <c r="U68" i="41" s="1"/>
  <c r="T83" i="41"/>
  <c r="V83" i="41" s="1"/>
  <c r="T94" i="41"/>
  <c r="S104" i="41"/>
  <c r="U104" i="41" s="1"/>
  <c r="S119" i="41"/>
  <c r="S20" i="41"/>
  <c r="S27" i="41"/>
  <c r="U27" i="41" s="1"/>
  <c r="T44" i="41"/>
  <c r="V44" i="41" s="1"/>
  <c r="T64" i="41"/>
  <c r="V64" i="41" s="1"/>
  <c r="S74" i="41"/>
  <c r="T89" i="41"/>
  <c r="T100" i="41"/>
  <c r="V100" i="41" s="1"/>
  <c r="S110" i="41"/>
  <c r="T20" i="41"/>
  <c r="T27" i="41"/>
  <c r="V27" i="41" s="1"/>
  <c r="T38" i="41"/>
  <c r="V38" i="41" s="1"/>
  <c r="S50" i="41"/>
  <c r="S59" i="41"/>
  <c r="U59" i="41" s="1"/>
  <c r="T74" i="41"/>
  <c r="T85" i="41"/>
  <c r="V85" i="41" s="1"/>
  <c r="S95" i="41"/>
  <c r="T110" i="41"/>
  <c r="S14" i="41"/>
  <c r="T59" i="41"/>
  <c r="V59" i="41" s="1"/>
  <c r="T130" i="41"/>
  <c r="V130" i="41" s="1"/>
  <c r="T139" i="41"/>
  <c r="V139" i="41" s="1"/>
  <c r="T148" i="41"/>
  <c r="V148" i="41" s="1"/>
  <c r="T164" i="41"/>
  <c r="V164" i="41" s="1"/>
  <c r="T179" i="41"/>
  <c r="V179" i="41" s="1"/>
  <c r="T203" i="41"/>
  <c r="V203" i="41" s="1"/>
  <c r="T218" i="41"/>
  <c r="V218" i="41" s="1"/>
  <c r="T233" i="41"/>
  <c r="V233" i="41" s="1"/>
  <c r="T257" i="41"/>
  <c r="V257" i="41" s="1"/>
  <c r="T166" i="41"/>
  <c r="V166" i="41" s="1"/>
  <c r="T190" i="41"/>
  <c r="V190" i="41" s="1"/>
  <c r="S236" i="41"/>
  <c r="U236" i="41" s="1"/>
  <c r="T244" i="41"/>
  <c r="V244" i="41" s="1"/>
  <c r="T142" i="41"/>
  <c r="V142" i="41" s="1"/>
  <c r="T236" i="41"/>
  <c r="V236" i="41" s="1"/>
  <c r="T251" i="41"/>
  <c r="V251" i="41" s="1"/>
  <c r="T14" i="41"/>
  <c r="T121" i="41"/>
  <c r="T131" i="41"/>
  <c r="V131" i="41" s="1"/>
  <c r="T140" i="41"/>
  <c r="V140" i="41" s="1"/>
  <c r="T149" i="41"/>
  <c r="V149" i="41" s="1"/>
  <c r="T157" i="41"/>
  <c r="V157" i="41" s="1"/>
  <c r="S173" i="41"/>
  <c r="U173" i="41" s="1"/>
  <c r="T181" i="41"/>
  <c r="V181" i="41" s="1"/>
  <c r="S188" i="41"/>
  <c r="U188" i="41" s="1"/>
  <c r="T196" i="41"/>
  <c r="V196" i="41" s="1"/>
  <c r="T211" i="41"/>
  <c r="V211" i="41" s="1"/>
  <c r="S227" i="41"/>
  <c r="U227" i="41" s="1"/>
  <c r="T235" i="41"/>
  <c r="V235" i="41" s="1"/>
  <c r="S242" i="41"/>
  <c r="U242" i="41" s="1"/>
  <c r="T250" i="41"/>
  <c r="V250" i="41" s="1"/>
  <c r="T43" i="41"/>
  <c r="V43" i="41" s="1"/>
  <c r="S62" i="41"/>
  <c r="U62" i="41" s="1"/>
  <c r="S197" i="41"/>
  <c r="U197" i="41" s="1"/>
  <c r="T205" i="41"/>
  <c r="V205" i="41" s="1"/>
  <c r="T220" i="41"/>
  <c r="V220" i="41" s="1"/>
  <c r="S251" i="41"/>
  <c r="U251" i="41" s="1"/>
  <c r="T124" i="41"/>
  <c r="T167" i="41"/>
  <c r="V167" i="41" s="1"/>
  <c r="T197" i="41"/>
  <c r="V197" i="41" s="1"/>
  <c r="T16" i="41"/>
  <c r="S98" i="41"/>
  <c r="U98" i="41" s="1"/>
  <c r="T122" i="41"/>
  <c r="T158" i="41"/>
  <c r="V158" i="41" s="1"/>
  <c r="T173" i="41"/>
  <c r="V173" i="41" s="1"/>
  <c r="T188" i="41"/>
  <c r="V188" i="41" s="1"/>
  <c r="T212" i="41"/>
  <c r="V212" i="41" s="1"/>
  <c r="T227" i="41"/>
  <c r="V227" i="41" s="1"/>
  <c r="T242" i="41"/>
  <c r="V242" i="41" s="1"/>
  <c r="S182" i="41"/>
  <c r="U182" i="41" s="1"/>
  <c r="S30" i="41"/>
  <c r="U30" i="41" s="1"/>
  <c r="S44" i="41"/>
  <c r="U44" i="41" s="1"/>
  <c r="T88" i="41"/>
  <c r="S113" i="41"/>
  <c r="T133" i="41"/>
  <c r="V133" i="41" s="1"/>
  <c r="T151" i="41"/>
  <c r="V151" i="41" s="1"/>
  <c r="T182" i="41"/>
  <c r="V182" i="41" s="1"/>
  <c r="T221" i="41"/>
  <c r="V221" i="41" s="1"/>
  <c r="S200" i="41"/>
  <c r="U200" i="41" s="1"/>
  <c r="T30" i="41"/>
  <c r="V30" i="41" s="1"/>
  <c r="S77" i="41"/>
  <c r="U77" i="41" s="1"/>
  <c r="S89" i="41"/>
  <c r="S101" i="41"/>
  <c r="U101" i="41" s="1"/>
  <c r="T113" i="41"/>
  <c r="S125" i="41"/>
  <c r="S134" i="41"/>
  <c r="U134" i="41" s="1"/>
  <c r="S143" i="41"/>
  <c r="U143" i="41" s="1"/>
  <c r="S152" i="41"/>
  <c r="U152" i="41" s="1"/>
  <c r="T160" i="41"/>
  <c r="V160" i="41" s="1"/>
  <c r="T175" i="41"/>
  <c r="V175" i="41" s="1"/>
  <c r="S191" i="41"/>
  <c r="U191" i="41" s="1"/>
  <c r="T199" i="41"/>
  <c r="V199" i="41" s="1"/>
  <c r="S206" i="41"/>
  <c r="U206" i="41" s="1"/>
  <c r="T214" i="41"/>
  <c r="V214" i="41" s="1"/>
  <c r="T229" i="41"/>
  <c r="V229" i="41" s="1"/>
  <c r="S245" i="41"/>
  <c r="U245" i="41" s="1"/>
  <c r="T253" i="41"/>
  <c r="V253" i="41" s="1"/>
  <c r="T32" i="41"/>
  <c r="V32" i="41" s="1"/>
  <c r="T46" i="41"/>
  <c r="S65" i="41"/>
  <c r="U65" i="41" s="1"/>
  <c r="T77" i="41"/>
  <c r="V77" i="41" s="1"/>
  <c r="T103" i="41"/>
  <c r="V103" i="41" s="1"/>
  <c r="T115" i="41"/>
  <c r="T125" i="41"/>
  <c r="T134" i="41"/>
  <c r="V134" i="41" s="1"/>
  <c r="T143" i="41"/>
  <c r="V143" i="41" s="1"/>
  <c r="T152" i="41"/>
  <c r="V152" i="41" s="1"/>
  <c r="T176" i="41"/>
  <c r="V176" i="41" s="1"/>
  <c r="T191" i="41"/>
  <c r="V191" i="41" s="1"/>
  <c r="T206" i="41"/>
  <c r="V206" i="41" s="1"/>
  <c r="T230" i="41"/>
  <c r="V230" i="41" s="1"/>
  <c r="T245" i="41"/>
  <c r="V245" i="41" s="1"/>
  <c r="S33" i="41"/>
  <c r="U33" i="41" s="1"/>
  <c r="T47" i="41"/>
  <c r="T67" i="41"/>
  <c r="V67" i="41" s="1"/>
  <c r="T79" i="41"/>
  <c r="V79" i="41" s="1"/>
  <c r="T91" i="41"/>
  <c r="S116" i="41"/>
  <c r="T127" i="41"/>
  <c r="T136" i="41"/>
  <c r="V136" i="41" s="1"/>
  <c r="T145" i="41"/>
  <c r="V145" i="41" s="1"/>
  <c r="T154" i="41"/>
  <c r="V154" i="41" s="1"/>
  <c r="S161" i="41"/>
  <c r="U161" i="41" s="1"/>
  <c r="T169" i="41"/>
  <c r="V169" i="41" s="1"/>
  <c r="T184" i="41"/>
  <c r="V184" i="41" s="1"/>
  <c r="T208" i="41"/>
  <c r="V208" i="41" s="1"/>
  <c r="S215" i="41"/>
  <c r="U215" i="41" s="1"/>
  <c r="T223" i="41"/>
  <c r="V223" i="41" s="1"/>
  <c r="T238" i="41"/>
  <c r="V238" i="41" s="1"/>
  <c r="S254" i="41"/>
  <c r="U254" i="41" s="1"/>
  <c r="T33" i="41"/>
  <c r="V33" i="41" s="1"/>
  <c r="T55" i="41"/>
  <c r="S80" i="41"/>
  <c r="U80" i="41" s="1"/>
  <c r="T92" i="41"/>
  <c r="T104" i="41"/>
  <c r="V104" i="41" s="1"/>
  <c r="T116" i="41"/>
  <c r="T161" i="41"/>
  <c r="V161" i="41" s="1"/>
  <c r="T185" i="41"/>
  <c r="V185" i="41" s="1"/>
  <c r="T200" i="41"/>
  <c r="V200" i="41" s="1"/>
  <c r="T215" i="41"/>
  <c r="V215" i="41" s="1"/>
  <c r="T239" i="41"/>
  <c r="V239" i="41" s="1"/>
  <c r="T254" i="41"/>
  <c r="V254" i="41" s="1"/>
  <c r="T50" i="41"/>
  <c r="T155" i="41"/>
  <c r="V155" i="41" s="1"/>
  <c r="T170" i="41"/>
  <c r="V170" i="41" s="1"/>
  <c r="T248" i="41"/>
  <c r="V248" i="41" s="1"/>
  <c r="T95" i="41"/>
  <c r="S164" i="41"/>
  <c r="U164" i="41" s="1"/>
  <c r="T187" i="41"/>
  <c r="V187" i="41" s="1"/>
  <c r="T202" i="41"/>
  <c r="V202" i="41" s="1"/>
  <c r="T241" i="41"/>
  <c r="V241" i="41" s="1"/>
  <c r="T256" i="41"/>
  <c r="V256" i="41" s="1"/>
  <c r="T56" i="41"/>
  <c r="T68" i="41"/>
  <c r="V68" i="41" s="1"/>
  <c r="T80" i="41"/>
  <c r="V80" i="41" s="1"/>
  <c r="T106" i="41"/>
  <c r="V106" i="41" s="1"/>
  <c r="T118" i="41"/>
  <c r="S128" i="41"/>
  <c r="S137" i="41"/>
  <c r="U137" i="41" s="1"/>
  <c r="S146" i="41"/>
  <c r="U146" i="41" s="1"/>
  <c r="S155" i="41"/>
  <c r="U155" i="41" s="1"/>
  <c r="T163" i="41"/>
  <c r="V163" i="41" s="1"/>
  <c r="S170" i="41"/>
  <c r="U170" i="41" s="1"/>
  <c r="T178" i="41"/>
  <c r="V178" i="41" s="1"/>
  <c r="T193" i="41"/>
  <c r="V193" i="41" s="1"/>
  <c r="S209" i="41"/>
  <c r="U209" i="41" s="1"/>
  <c r="T217" i="41"/>
  <c r="V217" i="41" s="1"/>
  <c r="S224" i="41"/>
  <c r="U224" i="41" s="1"/>
  <c r="T232" i="41"/>
  <c r="V232" i="41" s="1"/>
  <c r="T247" i="41"/>
  <c r="V247" i="41" s="1"/>
  <c r="T70" i="41"/>
  <c r="V70" i="41" s="1"/>
  <c r="T128" i="41"/>
  <c r="T137" i="41"/>
  <c r="V137" i="41" s="1"/>
  <c r="T146" i="41"/>
  <c r="V146" i="41" s="1"/>
  <c r="T194" i="41"/>
  <c r="V194" i="41" s="1"/>
  <c r="T209" i="41"/>
  <c r="V209" i="41" s="1"/>
  <c r="T224" i="41"/>
  <c r="V224" i="41" s="1"/>
  <c r="T119" i="41"/>
  <c r="T172" i="41"/>
  <c r="V172" i="41" s="1"/>
  <c r="S179" i="41"/>
  <c r="U179" i="41" s="1"/>
  <c r="S218" i="41"/>
  <c r="U218" i="41" s="1"/>
  <c r="T226" i="41"/>
  <c r="V226" i="41" s="1"/>
  <c r="S233" i="41"/>
  <c r="U233" i="41" s="1"/>
  <c r="AI333" i="41"/>
  <c r="AK333" i="41" s="1"/>
  <c r="AH319" i="41"/>
  <c r="AJ319" i="41" s="1"/>
  <c r="Y380" i="41"/>
  <c r="AA380" i="41" s="1"/>
  <c r="AI292" i="41"/>
  <c r="AK292" i="41" s="1"/>
  <c r="X11" i="41"/>
  <c r="AH11" i="41"/>
  <c r="AH312" i="41"/>
  <c r="AJ312" i="41" s="1"/>
  <c r="AD349" i="41"/>
  <c r="AF349" i="41" s="1"/>
  <c r="AC275" i="41"/>
  <c r="AE275" i="41" s="1"/>
  <c r="T277" i="41"/>
  <c r="V277" i="41" s="1"/>
  <c r="X277" i="41"/>
  <c r="Z277" i="41" s="1"/>
  <c r="Y317" i="41"/>
  <c r="AA317" i="41" s="1"/>
  <c r="AD281" i="41"/>
  <c r="AF281" i="41" s="1"/>
  <c r="T265" i="41"/>
  <c r="V265" i="41" s="1"/>
  <c r="Y11" i="41"/>
  <c r="Y273" i="41"/>
  <c r="AA273" i="41" s="1"/>
  <c r="AD292" i="41"/>
  <c r="AF292" i="41" s="1"/>
  <c r="T323" i="41"/>
  <c r="V323" i="41" s="1"/>
  <c r="T317" i="41"/>
  <c r="V317" i="41" s="1"/>
  <c r="T267" i="41"/>
  <c r="V267" i="41" s="1"/>
  <c r="S11" i="41"/>
  <c r="T310" i="41"/>
  <c r="V310" i="41" s="1"/>
  <c r="T11" i="41"/>
  <c r="S275" i="41"/>
  <c r="U275" i="41" s="1"/>
  <c r="AD272" i="41"/>
  <c r="AF272" i="41" s="1"/>
  <c r="AI289" i="41"/>
  <c r="AK289" i="41" s="1"/>
  <c r="AI299" i="41"/>
  <c r="AK299" i="41" s="1"/>
  <c r="AH579" i="41"/>
  <c r="AJ579" i="41" s="1"/>
  <c r="AH576" i="41"/>
  <c r="AJ576" i="41" s="1"/>
  <c r="AH573" i="41"/>
  <c r="AJ573" i="41" s="1"/>
  <c r="AH570" i="41"/>
  <c r="AJ570" i="41" s="1"/>
  <c r="AH567" i="41"/>
  <c r="AJ567" i="41" s="1"/>
  <c r="AH564" i="41"/>
  <c r="AJ564" i="41" s="1"/>
  <c r="AH561" i="41"/>
  <c r="AJ561" i="41" s="1"/>
  <c r="AH558" i="41"/>
  <c r="AJ558" i="41" s="1"/>
  <c r="AH555" i="41"/>
  <c r="AJ555" i="41" s="1"/>
  <c r="AH552" i="41"/>
  <c r="AJ552" i="41" s="1"/>
  <c r="AH549" i="41"/>
  <c r="AJ549" i="41" s="1"/>
  <c r="AH546" i="41"/>
  <c r="AJ546" i="41" s="1"/>
  <c r="AH543" i="41"/>
  <c r="AJ543" i="41" s="1"/>
  <c r="AI579" i="41"/>
  <c r="AK579" i="41" s="1"/>
  <c r="AI570" i="41"/>
  <c r="AK570" i="41" s="1"/>
  <c r="AI561" i="41"/>
  <c r="AK561" i="41" s="1"/>
  <c r="AH538" i="41"/>
  <c r="AJ538" i="41" s="1"/>
  <c r="AH537" i="41"/>
  <c r="AJ537" i="41" s="1"/>
  <c r="AH529" i="41"/>
  <c r="AJ529" i="41" s="1"/>
  <c r="AH528" i="41"/>
  <c r="AJ528" i="41" s="1"/>
  <c r="AH520" i="41"/>
  <c r="AJ520" i="41" s="1"/>
  <c r="AH519" i="41"/>
  <c r="AJ519" i="41" s="1"/>
  <c r="AH514" i="41"/>
  <c r="AJ514" i="41" s="1"/>
  <c r="AH511" i="41"/>
  <c r="AJ511" i="41" s="1"/>
  <c r="AH508" i="41"/>
  <c r="AJ508" i="41" s="1"/>
  <c r="AH505" i="41"/>
  <c r="AJ505" i="41" s="1"/>
  <c r="AH502" i="41"/>
  <c r="AJ502" i="41" s="1"/>
  <c r="AH499" i="41"/>
  <c r="AJ499" i="41" s="1"/>
  <c r="AH496" i="41"/>
  <c r="AJ496" i="41" s="1"/>
  <c r="AH493" i="41"/>
  <c r="AJ493" i="41" s="1"/>
  <c r="AH490" i="41"/>
  <c r="AJ490" i="41" s="1"/>
  <c r="AH487" i="41"/>
  <c r="AJ487" i="41" s="1"/>
  <c r="AH484" i="41"/>
  <c r="AJ484" i="41" s="1"/>
  <c r="AH481" i="41"/>
  <c r="AJ481" i="41" s="1"/>
  <c r="AI536" i="41"/>
  <c r="AK536" i="41" s="1"/>
  <c r="AI527" i="41"/>
  <c r="AK527" i="41" s="1"/>
  <c r="AI518" i="41"/>
  <c r="AK518" i="41" s="1"/>
  <c r="AI572" i="41"/>
  <c r="AK572" i="41" s="1"/>
  <c r="AI571" i="41"/>
  <c r="AK571" i="41" s="1"/>
  <c r="AI563" i="41"/>
  <c r="AK563" i="41" s="1"/>
  <c r="AI562" i="41"/>
  <c r="AK562" i="41" s="1"/>
  <c r="AH536" i="41"/>
  <c r="AJ536" i="41" s="1"/>
  <c r="AH527" i="41"/>
  <c r="AJ527" i="41" s="1"/>
  <c r="AH518" i="41"/>
  <c r="AJ518" i="41" s="1"/>
  <c r="AI576" i="41"/>
  <c r="AK576" i="41" s="1"/>
  <c r="AI567" i="41"/>
  <c r="AK567" i="41" s="1"/>
  <c r="AI558" i="41"/>
  <c r="AK558" i="41" s="1"/>
  <c r="AH556" i="41"/>
  <c r="AJ556" i="41" s="1"/>
  <c r="AH553" i="41"/>
  <c r="AJ553" i="41" s="1"/>
  <c r="AH550" i="41"/>
  <c r="AJ550" i="41" s="1"/>
  <c r="AH547" i="41"/>
  <c r="AJ547" i="41" s="1"/>
  <c r="AH544" i="41"/>
  <c r="AJ544" i="41" s="1"/>
  <c r="AH541" i="41"/>
  <c r="AJ541" i="41" s="1"/>
  <c r="AH540" i="41"/>
  <c r="AJ540" i="41" s="1"/>
  <c r="AH532" i="41"/>
  <c r="AJ532" i="41" s="1"/>
  <c r="AH531" i="41"/>
  <c r="AJ531" i="41" s="1"/>
  <c r="AH523" i="41"/>
  <c r="AJ523" i="41" s="1"/>
  <c r="AH522" i="41"/>
  <c r="AJ522" i="41" s="1"/>
  <c r="AH515" i="41"/>
  <c r="AJ515" i="41" s="1"/>
  <c r="AH512" i="41"/>
  <c r="AJ512" i="41" s="1"/>
  <c r="AH509" i="41"/>
  <c r="AJ509" i="41" s="1"/>
  <c r="AH506" i="41"/>
  <c r="AJ506" i="41" s="1"/>
  <c r="AH503" i="41"/>
  <c r="AJ503" i="41" s="1"/>
  <c r="AH500" i="41"/>
  <c r="AJ500" i="41" s="1"/>
  <c r="AH559" i="41"/>
  <c r="AJ559" i="41" s="1"/>
  <c r="AI555" i="41"/>
  <c r="AK555" i="41" s="1"/>
  <c r="AI537" i="41"/>
  <c r="AK537" i="41" s="1"/>
  <c r="AH533" i="41"/>
  <c r="AJ533" i="41" s="1"/>
  <c r="AI529" i="41"/>
  <c r="AK529" i="41" s="1"/>
  <c r="AI511" i="41"/>
  <c r="AK511" i="41" s="1"/>
  <c r="AI497" i="41"/>
  <c r="AK497" i="41" s="1"/>
  <c r="AH489" i="41"/>
  <c r="AJ489" i="41" s="1"/>
  <c r="AH480" i="41"/>
  <c r="AJ480" i="41" s="1"/>
  <c r="AH477" i="41"/>
  <c r="AJ477" i="41" s="1"/>
  <c r="AH474" i="41"/>
  <c r="AJ474" i="41" s="1"/>
  <c r="AI574" i="41"/>
  <c r="AK574" i="41" s="1"/>
  <c r="AH572" i="41"/>
  <c r="AJ572" i="41" s="1"/>
  <c r="AI550" i="41"/>
  <c r="AK550" i="41" s="1"/>
  <c r="AI547" i="41"/>
  <c r="AK547" i="41" s="1"/>
  <c r="AI544" i="41"/>
  <c r="AK544" i="41" s="1"/>
  <c r="AI541" i="41"/>
  <c r="AK541" i="41" s="1"/>
  <c r="AI534" i="41"/>
  <c r="AK534" i="41" s="1"/>
  <c r="AI526" i="41"/>
  <c r="AK526" i="41" s="1"/>
  <c r="AI522" i="41"/>
  <c r="AK522" i="41" s="1"/>
  <c r="AI513" i="41"/>
  <c r="AK513" i="41" s="1"/>
  <c r="AI512" i="41"/>
  <c r="AK512" i="41" s="1"/>
  <c r="AH578" i="41"/>
  <c r="AJ578" i="41" s="1"/>
  <c r="AH560" i="41"/>
  <c r="AJ560" i="41" s="1"/>
  <c r="AH551" i="41"/>
  <c r="AJ551" i="41" s="1"/>
  <c r="AH548" i="41"/>
  <c r="AJ548" i="41" s="1"/>
  <c r="AH545" i="41"/>
  <c r="AJ545" i="41" s="1"/>
  <c r="AI575" i="41"/>
  <c r="AK575" i="41" s="1"/>
  <c r="AI556" i="41"/>
  <c r="AK556" i="41" s="1"/>
  <c r="AI539" i="41"/>
  <c r="AK539" i="41" s="1"/>
  <c r="AH535" i="41"/>
  <c r="AJ535" i="41" s="1"/>
  <c r="AH516" i="41"/>
  <c r="AJ516" i="41" s="1"/>
  <c r="AI493" i="41"/>
  <c r="AK493" i="41" s="1"/>
  <c r="AI492" i="41"/>
  <c r="AK492" i="41" s="1"/>
  <c r="AI482" i="41"/>
  <c r="AK482" i="41" s="1"/>
  <c r="AI578" i="41"/>
  <c r="AK578" i="41" s="1"/>
  <c r="AH574" i="41"/>
  <c r="AJ574" i="41" s="1"/>
  <c r="AI559" i="41"/>
  <c r="AK559" i="41" s="1"/>
  <c r="AH542" i="41"/>
  <c r="AJ542" i="41" s="1"/>
  <c r="AI540" i="41"/>
  <c r="AK540" i="41" s="1"/>
  <c r="AI531" i="41"/>
  <c r="AK531" i="41" s="1"/>
  <c r="AI515" i="41"/>
  <c r="AK515" i="41" s="1"/>
  <c r="AI509" i="41"/>
  <c r="AK509" i="41" s="1"/>
  <c r="AI505" i="41"/>
  <c r="AK505" i="41" s="1"/>
  <c r="AI500" i="41"/>
  <c r="AK500" i="41" s="1"/>
  <c r="AH471" i="41"/>
  <c r="AJ471" i="41" s="1"/>
  <c r="AH468" i="41"/>
  <c r="AJ468" i="41" s="1"/>
  <c r="AH465" i="41"/>
  <c r="AJ465" i="41" s="1"/>
  <c r="AH462" i="41"/>
  <c r="AJ462" i="41" s="1"/>
  <c r="AH459" i="41"/>
  <c r="AJ459" i="41" s="1"/>
  <c r="AH456" i="41"/>
  <c r="AJ456" i="41" s="1"/>
  <c r="AH453" i="41"/>
  <c r="AJ453" i="41" s="1"/>
  <c r="AH450" i="41"/>
  <c r="AJ450" i="41" s="1"/>
  <c r="AH447" i="41"/>
  <c r="AJ447" i="41" s="1"/>
  <c r="AH444" i="41"/>
  <c r="AJ444" i="41" s="1"/>
  <c r="AH441" i="41"/>
  <c r="AJ441" i="41" s="1"/>
  <c r="AH438" i="41"/>
  <c r="AJ438" i="41" s="1"/>
  <c r="AH435" i="41"/>
  <c r="AJ435" i="41" s="1"/>
  <c r="AH432" i="41"/>
  <c r="AJ432" i="41" s="1"/>
  <c r="AI546" i="41"/>
  <c r="AK546" i="41" s="1"/>
  <c r="AI577" i="41"/>
  <c r="AK577" i="41" s="1"/>
  <c r="AI573" i="41"/>
  <c r="AK573" i="41" s="1"/>
  <c r="AI564" i="41"/>
  <c r="AK564" i="41" s="1"/>
  <c r="AI553" i="41"/>
  <c r="AK553" i="41" s="1"/>
  <c r="AI538" i="41"/>
  <c r="AK538" i="41" s="1"/>
  <c r="AI520" i="41"/>
  <c r="AK520" i="41" s="1"/>
  <c r="AH501" i="41"/>
  <c r="AJ501" i="41" s="1"/>
  <c r="AI489" i="41"/>
  <c r="AK489" i="41" s="1"/>
  <c r="AI488" i="41"/>
  <c r="AK488" i="41" s="1"/>
  <c r="AI486" i="41"/>
  <c r="AK486" i="41" s="1"/>
  <c r="AH577" i="41"/>
  <c r="AJ577" i="41" s="1"/>
  <c r="AI548" i="41"/>
  <c r="AK548" i="41" s="1"/>
  <c r="AH534" i="41"/>
  <c r="AJ534" i="41" s="1"/>
  <c r="AI525" i="41"/>
  <c r="AK525" i="41" s="1"/>
  <c r="AI516" i="41"/>
  <c r="AK516" i="41" s="1"/>
  <c r="AH513" i="41"/>
  <c r="AJ513" i="41" s="1"/>
  <c r="AI510" i="41"/>
  <c r="AK510" i="41" s="1"/>
  <c r="AI506" i="41"/>
  <c r="AK506" i="41" s="1"/>
  <c r="AI491" i="41"/>
  <c r="AK491" i="41" s="1"/>
  <c r="AI490" i="41"/>
  <c r="AK490" i="41" s="1"/>
  <c r="AH488" i="41"/>
  <c r="AJ488" i="41" s="1"/>
  <c r="AI487" i="41"/>
  <c r="AK487" i="41" s="1"/>
  <c r="AH486" i="41"/>
  <c r="AJ486" i="41" s="1"/>
  <c r="AI485" i="41"/>
  <c r="AK485" i="41" s="1"/>
  <c r="AI484" i="41"/>
  <c r="AK484" i="41" s="1"/>
  <c r="AI483" i="41"/>
  <c r="AK483" i="41" s="1"/>
  <c r="AI473" i="41"/>
  <c r="AK473" i="41" s="1"/>
  <c r="AH571" i="41"/>
  <c r="AJ571" i="41" s="1"/>
  <c r="AI568" i="41"/>
  <c r="AK568" i="41" s="1"/>
  <c r="AI565" i="41"/>
  <c r="AK565" i="41" s="1"/>
  <c r="AI552" i="41"/>
  <c r="AK552" i="41" s="1"/>
  <c r="AI504" i="41"/>
  <c r="AK504" i="41" s="1"/>
  <c r="AH472" i="41"/>
  <c r="AJ472" i="41" s="1"/>
  <c r="AH463" i="41"/>
  <c r="AJ463" i="41" s="1"/>
  <c r="AH452" i="41"/>
  <c r="AJ452" i="41" s="1"/>
  <c r="AH443" i="41"/>
  <c r="AJ443" i="41" s="1"/>
  <c r="AH569" i="41"/>
  <c r="AJ569" i="41" s="1"/>
  <c r="AH539" i="41"/>
  <c r="AJ539" i="41" s="1"/>
  <c r="AI502" i="41"/>
  <c r="AK502" i="41" s="1"/>
  <c r="AH485" i="41"/>
  <c r="AJ485" i="41" s="1"/>
  <c r="AI481" i="41"/>
  <c r="AK481" i="41" s="1"/>
  <c r="AI475" i="41"/>
  <c r="AK475" i="41" s="1"/>
  <c r="AH470" i="41"/>
  <c r="AJ470" i="41" s="1"/>
  <c r="AH461" i="41"/>
  <c r="AJ461" i="41" s="1"/>
  <c r="AI451" i="41"/>
  <c r="AK451" i="41" s="1"/>
  <c r="AI442" i="41"/>
  <c r="AK442" i="41" s="1"/>
  <c r="AI433" i="41"/>
  <c r="AK433" i="41" s="1"/>
  <c r="AH575" i="41"/>
  <c r="AJ575" i="41" s="1"/>
  <c r="AI507" i="41"/>
  <c r="AK507" i="41" s="1"/>
  <c r="AI499" i="41"/>
  <c r="AK499" i="41" s="1"/>
  <c r="AI496" i="41"/>
  <c r="AK496" i="41" s="1"/>
  <c r="AH563" i="41"/>
  <c r="AJ563" i="41" s="1"/>
  <c r="AI517" i="41"/>
  <c r="AK517" i="41" s="1"/>
  <c r="AH507" i="41"/>
  <c r="AJ507" i="41" s="1"/>
  <c r="AI476" i="41"/>
  <c r="AK476" i="41" s="1"/>
  <c r="AH469" i="41"/>
  <c r="AJ469" i="41" s="1"/>
  <c r="AH460" i="41"/>
  <c r="AJ460" i="41" s="1"/>
  <c r="AH455" i="41"/>
  <c r="AJ455" i="41" s="1"/>
  <c r="AI566" i="41"/>
  <c r="AK566" i="41" s="1"/>
  <c r="AI521" i="41"/>
  <c r="AK521" i="41" s="1"/>
  <c r="AH510" i="41"/>
  <c r="AJ510" i="41" s="1"/>
  <c r="AH494" i="41"/>
  <c r="AJ494" i="41" s="1"/>
  <c r="AH491" i="41"/>
  <c r="AJ491" i="41" s="1"/>
  <c r="AH483" i="41"/>
  <c r="AJ483" i="41" s="1"/>
  <c r="AH478" i="41"/>
  <c r="AJ478" i="41" s="1"/>
  <c r="AH466" i="41"/>
  <c r="AJ466" i="41" s="1"/>
  <c r="AH458" i="41"/>
  <c r="AJ458" i="41" s="1"/>
  <c r="AH449" i="41"/>
  <c r="AJ449" i="41" s="1"/>
  <c r="AH440" i="41"/>
  <c r="AJ440" i="41" s="1"/>
  <c r="AI431" i="41"/>
  <c r="AK431" i="41" s="1"/>
  <c r="AI428" i="41"/>
  <c r="AK428" i="41" s="1"/>
  <c r="AI425" i="41"/>
  <c r="AK425" i="41" s="1"/>
  <c r="AI422" i="41"/>
  <c r="AK422" i="41" s="1"/>
  <c r="AI419" i="41"/>
  <c r="AK419" i="41" s="1"/>
  <c r="AI416" i="41"/>
  <c r="AK416" i="41" s="1"/>
  <c r="AH566" i="41"/>
  <c r="AJ566" i="41" s="1"/>
  <c r="AH562" i="41"/>
  <c r="AJ562" i="41" s="1"/>
  <c r="AI557" i="41"/>
  <c r="AK557" i="41" s="1"/>
  <c r="AI533" i="41"/>
  <c r="AK533" i="41" s="1"/>
  <c r="AI528" i="41"/>
  <c r="AK528" i="41" s="1"/>
  <c r="AH521" i="41"/>
  <c r="AJ521" i="41" s="1"/>
  <c r="AI514" i="41"/>
  <c r="AK514" i="41" s="1"/>
  <c r="AI479" i="41"/>
  <c r="AK479" i="41" s="1"/>
  <c r="AI465" i="41"/>
  <c r="AK465" i="41" s="1"/>
  <c r="AI464" i="41"/>
  <c r="AK464" i="41" s="1"/>
  <c r="AH565" i="41"/>
  <c r="AJ565" i="41" s="1"/>
  <c r="AI542" i="41"/>
  <c r="AK542" i="41" s="1"/>
  <c r="AI532" i="41"/>
  <c r="AK532" i="41" s="1"/>
  <c r="AI471" i="41"/>
  <c r="AK471" i="41" s="1"/>
  <c r="AI440" i="41"/>
  <c r="AK440" i="41" s="1"/>
  <c r="AH439" i="41"/>
  <c r="AJ439" i="41" s="1"/>
  <c r="AH430" i="41"/>
  <c r="AJ430" i="41" s="1"/>
  <c r="AI429" i="41"/>
  <c r="AK429" i="41" s="1"/>
  <c r="AH421" i="41"/>
  <c r="AJ421" i="41" s="1"/>
  <c r="AI420" i="41"/>
  <c r="AK420" i="41" s="1"/>
  <c r="AI413" i="41"/>
  <c r="AK413" i="41" s="1"/>
  <c r="AH409" i="41"/>
  <c r="AJ409" i="41" s="1"/>
  <c r="AI404" i="41"/>
  <c r="AK404" i="41" s="1"/>
  <c r="AH400" i="41"/>
  <c r="AJ400" i="41" s="1"/>
  <c r="AH554" i="41"/>
  <c r="AJ554" i="41" s="1"/>
  <c r="AH526" i="41"/>
  <c r="AJ526" i="41" s="1"/>
  <c r="AI480" i="41"/>
  <c r="AK480" i="41" s="1"/>
  <c r="AI478" i="41"/>
  <c r="AK478" i="41" s="1"/>
  <c r="AH476" i="41"/>
  <c r="AJ476" i="41" s="1"/>
  <c r="AI474" i="41"/>
  <c r="AK474" i="41" s="1"/>
  <c r="AI469" i="41"/>
  <c r="AK469" i="41" s="1"/>
  <c r="AI466" i="41"/>
  <c r="AK466" i="41" s="1"/>
  <c r="AI457" i="41"/>
  <c r="AK457" i="41" s="1"/>
  <c r="AI443" i="41"/>
  <c r="AK443" i="41" s="1"/>
  <c r="AI427" i="41"/>
  <c r="AK427" i="41" s="1"/>
  <c r="AI418" i="41"/>
  <c r="AK418" i="41" s="1"/>
  <c r="AI412" i="41"/>
  <c r="AK412" i="41" s="1"/>
  <c r="AI535" i="41"/>
  <c r="AK535" i="41" s="1"/>
  <c r="AI530" i="41"/>
  <c r="AK530" i="41" s="1"/>
  <c r="AI508" i="41"/>
  <c r="AK508" i="41" s="1"/>
  <c r="AI501" i="41"/>
  <c r="AK501" i="41" s="1"/>
  <c r="AI498" i="41"/>
  <c r="AK498" i="41" s="1"/>
  <c r="AI495" i="41"/>
  <c r="AK495" i="41" s="1"/>
  <c r="AH482" i="41"/>
  <c r="AJ482" i="41" s="1"/>
  <c r="AI472" i="41"/>
  <c r="AK472" i="41" s="1"/>
  <c r="AH457" i="41"/>
  <c r="AJ457" i="41" s="1"/>
  <c r="AI452" i="41"/>
  <c r="AK452" i="41" s="1"/>
  <c r="AI444" i="41"/>
  <c r="AK444" i="41" s="1"/>
  <c r="AH427" i="41"/>
  <c r="AJ427" i="41" s="1"/>
  <c r="AI426" i="41"/>
  <c r="AK426" i="41" s="1"/>
  <c r="AH418" i="41"/>
  <c r="AJ418" i="41" s="1"/>
  <c r="AI417" i="41"/>
  <c r="AK417" i="41" s="1"/>
  <c r="AH530" i="41"/>
  <c r="AJ530" i="41" s="1"/>
  <c r="AH525" i="41"/>
  <c r="AJ525" i="41" s="1"/>
  <c r="AH498" i="41"/>
  <c r="AJ498" i="41" s="1"/>
  <c r="AH495" i="41"/>
  <c r="AJ495" i="41" s="1"/>
  <c r="AH492" i="41"/>
  <c r="AJ492" i="41" s="1"/>
  <c r="AI461" i="41"/>
  <c r="AK461" i="41" s="1"/>
  <c r="AI446" i="41"/>
  <c r="AK446" i="41" s="1"/>
  <c r="AI445" i="41"/>
  <c r="AK445" i="41" s="1"/>
  <c r="AH426" i="41"/>
  <c r="AJ426" i="41" s="1"/>
  <c r="AH417" i="41"/>
  <c r="AJ417" i="41" s="1"/>
  <c r="AI411" i="41"/>
  <c r="AK411" i="41" s="1"/>
  <c r="AH568" i="41"/>
  <c r="AJ568" i="41" s="1"/>
  <c r="AH524" i="41"/>
  <c r="AJ524" i="41" s="1"/>
  <c r="AI519" i="41"/>
  <c r="AK519" i="41" s="1"/>
  <c r="AI454" i="41"/>
  <c r="AK454" i="41" s="1"/>
  <c r="AI448" i="41"/>
  <c r="AK448" i="41" s="1"/>
  <c r="AH557" i="41"/>
  <c r="AJ557" i="41" s="1"/>
  <c r="AI458" i="41"/>
  <c r="AK458" i="41" s="1"/>
  <c r="AI456" i="41"/>
  <c r="AK456" i="41" s="1"/>
  <c r="AI435" i="41"/>
  <c r="AK435" i="41" s="1"/>
  <c r="AH424" i="41"/>
  <c r="AJ424" i="41" s="1"/>
  <c r="AH420" i="41"/>
  <c r="AJ420" i="41" s="1"/>
  <c r="AI408" i="41"/>
  <c r="AK408" i="41" s="1"/>
  <c r="AH401" i="41"/>
  <c r="AJ401" i="41" s="1"/>
  <c r="AH395" i="41"/>
  <c r="AJ395" i="41" s="1"/>
  <c r="AI390" i="41"/>
  <c r="AK390" i="41" s="1"/>
  <c r="AH386" i="41"/>
  <c r="AJ386" i="41" s="1"/>
  <c r="AI381" i="41"/>
  <c r="AK381" i="41" s="1"/>
  <c r="AH377" i="41"/>
  <c r="AJ377" i="41" s="1"/>
  <c r="AH374" i="41"/>
  <c r="AJ374" i="41" s="1"/>
  <c r="AH371" i="41"/>
  <c r="AJ371" i="41" s="1"/>
  <c r="AI569" i="41"/>
  <c r="AK569" i="41" s="1"/>
  <c r="AI554" i="41"/>
  <c r="AK554" i="41" s="1"/>
  <c r="AH517" i="41"/>
  <c r="AJ517" i="41" s="1"/>
  <c r="AI468" i="41"/>
  <c r="AK468" i="41" s="1"/>
  <c r="AI460" i="41"/>
  <c r="AK460" i="41" s="1"/>
  <c r="AI449" i="41"/>
  <c r="AK449" i="41" s="1"/>
  <c r="AI421" i="41"/>
  <c r="AK421" i="41" s="1"/>
  <c r="AH407" i="41"/>
  <c r="AJ407" i="41" s="1"/>
  <c r="AI398" i="41"/>
  <c r="AK398" i="41" s="1"/>
  <c r="AH394" i="41"/>
  <c r="AJ394" i="41" s="1"/>
  <c r="AI389" i="41"/>
  <c r="AK389" i="41" s="1"/>
  <c r="AH385" i="41"/>
  <c r="AJ385" i="41" s="1"/>
  <c r="AI380" i="41"/>
  <c r="AK380" i="41" s="1"/>
  <c r="AI376" i="41"/>
  <c r="AK376" i="41" s="1"/>
  <c r="AI373" i="41"/>
  <c r="AK373" i="41" s="1"/>
  <c r="AI551" i="41"/>
  <c r="AK551" i="41" s="1"/>
  <c r="AI523" i="41"/>
  <c r="AK523" i="41" s="1"/>
  <c r="AH497" i="41"/>
  <c r="AJ497" i="41" s="1"/>
  <c r="AI467" i="41"/>
  <c r="AK467" i="41" s="1"/>
  <c r="AI462" i="41"/>
  <c r="AK462" i="41" s="1"/>
  <c r="AI560" i="41"/>
  <c r="AK560" i="41" s="1"/>
  <c r="AH475" i="41"/>
  <c r="AJ475" i="41" s="1"/>
  <c r="AH437" i="41"/>
  <c r="AJ437" i="41" s="1"/>
  <c r="AH434" i="41"/>
  <c r="AJ434" i="41" s="1"/>
  <c r="AH423" i="41"/>
  <c r="AJ423" i="41" s="1"/>
  <c r="AH419" i="41"/>
  <c r="AJ419" i="41" s="1"/>
  <c r="AH403" i="41"/>
  <c r="AJ403" i="41" s="1"/>
  <c r="AI402" i="41"/>
  <c r="AK402" i="41" s="1"/>
  <c r="AH396" i="41"/>
  <c r="AJ396" i="41" s="1"/>
  <c r="AH387" i="41"/>
  <c r="AJ387" i="41" s="1"/>
  <c r="AI543" i="41"/>
  <c r="AK543" i="41" s="1"/>
  <c r="AH504" i="41"/>
  <c r="AJ504" i="41" s="1"/>
  <c r="AI453" i="41"/>
  <c r="AK453" i="41" s="1"/>
  <c r="AI450" i="41"/>
  <c r="AK450" i="41" s="1"/>
  <c r="AI447" i="41"/>
  <c r="AK447" i="41" s="1"/>
  <c r="AI436" i="41"/>
  <c r="AK436" i="41" s="1"/>
  <c r="AI434" i="41"/>
  <c r="AK434" i="41" s="1"/>
  <c r="AI432" i="41"/>
  <c r="AK432" i="41" s="1"/>
  <c r="AI423" i="41"/>
  <c r="AK423" i="41" s="1"/>
  <c r="AI414" i="41"/>
  <c r="AK414" i="41" s="1"/>
  <c r="AH406" i="41"/>
  <c r="AJ406" i="41" s="1"/>
  <c r="AI400" i="41"/>
  <c r="AK400" i="41" s="1"/>
  <c r="AH390" i="41"/>
  <c r="AJ390" i="41" s="1"/>
  <c r="AI371" i="41"/>
  <c r="AK371" i="41" s="1"/>
  <c r="AH368" i="41"/>
  <c r="AJ368" i="41" s="1"/>
  <c r="AH365" i="41"/>
  <c r="AJ365" i="41" s="1"/>
  <c r="AH362" i="41"/>
  <c r="AJ362" i="41" s="1"/>
  <c r="AH359" i="41"/>
  <c r="AJ359" i="41" s="1"/>
  <c r="AH356" i="41"/>
  <c r="AJ356" i="41" s="1"/>
  <c r="AH353" i="41"/>
  <c r="AJ353" i="41" s="1"/>
  <c r="AH350" i="41"/>
  <c r="AJ350" i="41" s="1"/>
  <c r="AH347" i="41"/>
  <c r="AJ347" i="41" s="1"/>
  <c r="AH344" i="41"/>
  <c r="AJ344" i="41" s="1"/>
  <c r="AH341" i="41"/>
  <c r="AJ341" i="41" s="1"/>
  <c r="AH338" i="41"/>
  <c r="AJ338" i="41" s="1"/>
  <c r="AH335" i="41"/>
  <c r="AJ335" i="41" s="1"/>
  <c r="AH332" i="41"/>
  <c r="AJ332" i="41" s="1"/>
  <c r="AH329" i="41"/>
  <c r="AJ329" i="41" s="1"/>
  <c r="AH326" i="41"/>
  <c r="AJ326" i="41" s="1"/>
  <c r="AH323" i="41"/>
  <c r="AJ323" i="41" s="1"/>
  <c r="AH320" i="41"/>
  <c r="AJ320" i="41" s="1"/>
  <c r="AH317" i="41"/>
  <c r="AJ317" i="41" s="1"/>
  <c r="AI503" i="41"/>
  <c r="AK503" i="41" s="1"/>
  <c r="AH436" i="41"/>
  <c r="AJ436" i="41" s="1"/>
  <c r="AH414" i="41"/>
  <c r="AJ414" i="41" s="1"/>
  <c r="AH411" i="41"/>
  <c r="AJ411" i="41" s="1"/>
  <c r="AI407" i="41"/>
  <c r="AK407" i="41" s="1"/>
  <c r="AI391" i="41"/>
  <c r="AK391" i="41" s="1"/>
  <c r="AI524" i="41"/>
  <c r="AK524" i="41" s="1"/>
  <c r="AH446" i="41"/>
  <c r="AJ446" i="41" s="1"/>
  <c r="AH402" i="41"/>
  <c r="AJ402" i="41" s="1"/>
  <c r="AI394" i="41"/>
  <c r="AK394" i="41" s="1"/>
  <c r="AI382" i="41"/>
  <c r="AK382" i="41" s="1"/>
  <c r="AH379" i="41"/>
  <c r="AJ379" i="41" s="1"/>
  <c r="AH378" i="41"/>
  <c r="AJ378" i="41" s="1"/>
  <c r="AI377" i="41"/>
  <c r="AK377" i="41" s="1"/>
  <c r="AH370" i="41"/>
  <c r="AJ370" i="41" s="1"/>
  <c r="AH367" i="41"/>
  <c r="AJ367" i="41" s="1"/>
  <c r="AH364" i="41"/>
  <c r="AJ364" i="41" s="1"/>
  <c r="AH361" i="41"/>
  <c r="AJ361" i="41" s="1"/>
  <c r="AI470" i="41"/>
  <c r="AK470" i="41" s="1"/>
  <c r="AI455" i="41"/>
  <c r="AK455" i="41" s="1"/>
  <c r="AI424" i="41"/>
  <c r="AK424" i="41" s="1"/>
  <c r="AI545" i="41"/>
  <c r="AK545" i="41" s="1"/>
  <c r="AI477" i="41"/>
  <c r="AK477" i="41" s="1"/>
  <c r="AH464" i="41"/>
  <c r="AJ464" i="41" s="1"/>
  <c r="AI439" i="41"/>
  <c r="AK439" i="41" s="1"/>
  <c r="AI406" i="41"/>
  <c r="AK406" i="41" s="1"/>
  <c r="AH389" i="41"/>
  <c r="AJ389" i="41" s="1"/>
  <c r="AH388" i="41"/>
  <c r="AJ388" i="41" s="1"/>
  <c r="AH372" i="41"/>
  <c r="AJ372" i="41" s="1"/>
  <c r="AI368" i="41"/>
  <c r="AK368" i="41" s="1"/>
  <c r="AI365" i="41"/>
  <c r="AK365" i="41" s="1"/>
  <c r="AI362" i="41"/>
  <c r="AK362" i="41" s="1"/>
  <c r="AH473" i="41"/>
  <c r="AJ473" i="41" s="1"/>
  <c r="AI459" i="41"/>
  <c r="AK459" i="41" s="1"/>
  <c r="AH454" i="41"/>
  <c r="AJ454" i="41" s="1"/>
  <c r="AH410" i="41"/>
  <c r="AJ410" i="41" s="1"/>
  <c r="AH399" i="41"/>
  <c r="AJ399" i="41" s="1"/>
  <c r="AH383" i="41"/>
  <c r="AJ383" i="41" s="1"/>
  <c r="AI375" i="41"/>
  <c r="AK375" i="41" s="1"/>
  <c r="AI353" i="41"/>
  <c r="AK353" i="41" s="1"/>
  <c r="AI344" i="41"/>
  <c r="AK344" i="41" s="1"/>
  <c r="AI335" i="41"/>
  <c r="AK335" i="41" s="1"/>
  <c r="AI326" i="41"/>
  <c r="AK326" i="41" s="1"/>
  <c r="AI317" i="41"/>
  <c r="AK317" i="41" s="1"/>
  <c r="AH314" i="41"/>
  <c r="AJ314" i="41" s="1"/>
  <c r="AH311" i="41"/>
  <c r="AJ311" i="41" s="1"/>
  <c r="AH308" i="41"/>
  <c r="AJ308" i="41" s="1"/>
  <c r="AH305" i="41"/>
  <c r="AJ305" i="41" s="1"/>
  <c r="AH302" i="41"/>
  <c r="AJ302" i="41" s="1"/>
  <c r="AH299" i="41"/>
  <c r="AJ299" i="41" s="1"/>
  <c r="AH296" i="41"/>
  <c r="AJ296" i="41" s="1"/>
  <c r="AH293" i="41"/>
  <c r="AJ293" i="41" s="1"/>
  <c r="AH290" i="41"/>
  <c r="AJ290" i="41" s="1"/>
  <c r="AH448" i="41"/>
  <c r="AJ448" i="41" s="1"/>
  <c r="AH431" i="41"/>
  <c r="AJ431" i="41" s="1"/>
  <c r="AH428" i="41"/>
  <c r="AJ428" i="41" s="1"/>
  <c r="AH425" i="41"/>
  <c r="AJ425" i="41" s="1"/>
  <c r="AH422" i="41"/>
  <c r="AJ422" i="41" s="1"/>
  <c r="AI397" i="41"/>
  <c r="AK397" i="41" s="1"/>
  <c r="AI392" i="41"/>
  <c r="AK392" i="41" s="1"/>
  <c r="AH380" i="41"/>
  <c r="AJ380" i="41" s="1"/>
  <c r="AH375" i="41"/>
  <c r="AJ375" i="41" s="1"/>
  <c r="AI357" i="41"/>
  <c r="AK357" i="41" s="1"/>
  <c r="AI348" i="41"/>
  <c r="AK348" i="41" s="1"/>
  <c r="AI339" i="41"/>
  <c r="AK339" i="41" s="1"/>
  <c r="AI330" i="41"/>
  <c r="AK330" i="41" s="1"/>
  <c r="AI321" i="41"/>
  <c r="AK321" i="41" s="1"/>
  <c r="AI549" i="41"/>
  <c r="AK549" i="41" s="1"/>
  <c r="AH442" i="41"/>
  <c r="AJ442" i="41" s="1"/>
  <c r="AH433" i="41"/>
  <c r="AJ433" i="41" s="1"/>
  <c r="AI430" i="41"/>
  <c r="AK430" i="41" s="1"/>
  <c r="AI393" i="41"/>
  <c r="AK393" i="41" s="1"/>
  <c r="AH369" i="41"/>
  <c r="AJ369" i="41" s="1"/>
  <c r="AH366" i="41"/>
  <c r="AJ366" i="41" s="1"/>
  <c r="AH363" i="41"/>
  <c r="AJ363" i="41" s="1"/>
  <c r="AI360" i="41"/>
  <c r="AK360" i="41" s="1"/>
  <c r="AI351" i="41"/>
  <c r="AK351" i="41" s="1"/>
  <c r="AI342" i="41"/>
  <c r="AK342" i="41" s="1"/>
  <c r="AH467" i="41"/>
  <c r="AJ467" i="41" s="1"/>
  <c r="AH408" i="41"/>
  <c r="AJ408" i="41" s="1"/>
  <c r="AI379" i="41"/>
  <c r="AK379" i="41" s="1"/>
  <c r="AI358" i="41"/>
  <c r="AK358" i="41" s="1"/>
  <c r="AH354" i="41"/>
  <c r="AJ354" i="41" s="1"/>
  <c r="AI349" i="41"/>
  <c r="AK349" i="41" s="1"/>
  <c r="AH345" i="41"/>
  <c r="AJ345" i="41" s="1"/>
  <c r="AI340" i="41"/>
  <c r="AK340" i="41" s="1"/>
  <c r="AH413" i="41"/>
  <c r="AJ413" i="41" s="1"/>
  <c r="AH404" i="41"/>
  <c r="AJ404" i="41" s="1"/>
  <c r="AI384" i="41"/>
  <c r="AK384" i="41" s="1"/>
  <c r="AI396" i="41"/>
  <c r="AK396" i="41" s="1"/>
  <c r="AH384" i="41"/>
  <c r="AJ384" i="41" s="1"/>
  <c r="AH382" i="41"/>
  <c r="AJ382" i="41" s="1"/>
  <c r="AI359" i="41"/>
  <c r="AK359" i="41" s="1"/>
  <c r="AH343" i="41"/>
  <c r="AJ343" i="41" s="1"/>
  <c r="AH429" i="41"/>
  <c r="AJ429" i="41" s="1"/>
  <c r="AH416" i="41"/>
  <c r="AJ416" i="41" s="1"/>
  <c r="AI409" i="41"/>
  <c r="AK409" i="41" s="1"/>
  <c r="AI401" i="41"/>
  <c r="AK401" i="41" s="1"/>
  <c r="AH391" i="41"/>
  <c r="AJ391" i="41" s="1"/>
  <c r="AI369" i="41"/>
  <c r="AK369" i="41" s="1"/>
  <c r="AI366" i="41"/>
  <c r="AK366" i="41" s="1"/>
  <c r="AI363" i="41"/>
  <c r="AK363" i="41" s="1"/>
  <c r="AI354" i="41"/>
  <c r="AK354" i="41" s="1"/>
  <c r="AI338" i="41"/>
  <c r="AK338" i="41" s="1"/>
  <c r="AH336" i="41"/>
  <c r="AJ336" i="41" s="1"/>
  <c r="AH333" i="41"/>
  <c r="AJ333" i="41" s="1"/>
  <c r="AI332" i="41"/>
  <c r="AK332" i="41" s="1"/>
  <c r="AI331" i="41"/>
  <c r="AK331" i="41" s="1"/>
  <c r="AH330" i="41"/>
  <c r="AJ330" i="41" s="1"/>
  <c r="AI329" i="41"/>
  <c r="AK329" i="41" s="1"/>
  <c r="AI328" i="41"/>
  <c r="AK328" i="41" s="1"/>
  <c r="AI325" i="41"/>
  <c r="AK325" i="41" s="1"/>
  <c r="AH310" i="41"/>
  <c r="AJ310" i="41" s="1"/>
  <c r="AH301" i="41"/>
  <c r="AJ301" i="41" s="1"/>
  <c r="AH292" i="41"/>
  <c r="AJ292" i="41" s="1"/>
  <c r="AH286" i="41"/>
  <c r="AJ286" i="41" s="1"/>
  <c r="AI463" i="41"/>
  <c r="AK463" i="41" s="1"/>
  <c r="AH412" i="41"/>
  <c r="AJ412" i="41" s="1"/>
  <c r="AH373" i="41"/>
  <c r="AJ373" i="41" s="1"/>
  <c r="AI347" i="41"/>
  <c r="AK347" i="41" s="1"/>
  <c r="AH313" i="41"/>
  <c r="AJ313" i="41" s="1"/>
  <c r="AH304" i="41"/>
  <c r="AJ304" i="41" s="1"/>
  <c r="AH295" i="41"/>
  <c r="AJ295" i="41" s="1"/>
  <c r="AH283" i="41"/>
  <c r="AJ283" i="41" s="1"/>
  <c r="AI494" i="41"/>
  <c r="AK494" i="41" s="1"/>
  <c r="AI441" i="41"/>
  <c r="AK441" i="41" s="1"/>
  <c r="AI410" i="41"/>
  <c r="AK410" i="41" s="1"/>
  <c r="AI399" i="41"/>
  <c r="AK399" i="41" s="1"/>
  <c r="AI415" i="41"/>
  <c r="AK415" i="41" s="1"/>
  <c r="AI405" i="41"/>
  <c r="AK405" i="41" s="1"/>
  <c r="AH392" i="41"/>
  <c r="AJ392" i="41" s="1"/>
  <c r="AI385" i="41"/>
  <c r="AK385" i="41" s="1"/>
  <c r="AI374" i="41"/>
  <c r="AK374" i="41" s="1"/>
  <c r="AI345" i="41"/>
  <c r="AK345" i="41" s="1"/>
  <c r="AI336" i="41"/>
  <c r="AK336" i="41" s="1"/>
  <c r="AI323" i="41"/>
  <c r="AK323" i="41" s="1"/>
  <c r="AH316" i="41"/>
  <c r="AJ316" i="41" s="1"/>
  <c r="AH315" i="41"/>
  <c r="AJ315" i="41" s="1"/>
  <c r="AI303" i="41"/>
  <c r="AK303" i="41" s="1"/>
  <c r="AI302" i="41"/>
  <c r="AK302" i="41" s="1"/>
  <c r="AH289" i="41"/>
  <c r="AJ289" i="41" s="1"/>
  <c r="AI288" i="41"/>
  <c r="AK288" i="41" s="1"/>
  <c r="AI287" i="41"/>
  <c r="AK287" i="41" s="1"/>
  <c r="AI286" i="41"/>
  <c r="AK286" i="41" s="1"/>
  <c r="AI285" i="41"/>
  <c r="AK285" i="41" s="1"/>
  <c r="AH274" i="41"/>
  <c r="AJ274" i="41" s="1"/>
  <c r="AI273" i="41"/>
  <c r="AK273" i="41" s="1"/>
  <c r="AH265" i="41"/>
  <c r="AJ265" i="41" s="1"/>
  <c r="AI264" i="41"/>
  <c r="AK264" i="41" s="1"/>
  <c r="AH415" i="41"/>
  <c r="AJ415" i="41" s="1"/>
  <c r="AH405" i="41"/>
  <c r="AJ405" i="41" s="1"/>
  <c r="AI395" i="41"/>
  <c r="AK395" i="41" s="1"/>
  <c r="AI388" i="41"/>
  <c r="AK388" i="41" s="1"/>
  <c r="AH358" i="41"/>
  <c r="AJ358" i="41" s="1"/>
  <c r="AH340" i="41"/>
  <c r="AJ340" i="41" s="1"/>
  <c r="AI337" i="41"/>
  <c r="AK337" i="41" s="1"/>
  <c r="AI324" i="41"/>
  <c r="AK324" i="41" s="1"/>
  <c r="AI304" i="41"/>
  <c r="AK304" i="41" s="1"/>
  <c r="AH303" i="41"/>
  <c r="AJ303" i="41" s="1"/>
  <c r="AI291" i="41"/>
  <c r="AK291" i="41" s="1"/>
  <c r="AI290" i="41"/>
  <c r="AK290" i="41" s="1"/>
  <c r="AH288" i="41"/>
  <c r="AJ288" i="41" s="1"/>
  <c r="AH287" i="41"/>
  <c r="AJ287" i="41" s="1"/>
  <c r="AH285" i="41"/>
  <c r="AJ285" i="41" s="1"/>
  <c r="AI284" i="41"/>
  <c r="AK284" i="41" s="1"/>
  <c r="AI283" i="41"/>
  <c r="AK283" i="41" s="1"/>
  <c r="AI282" i="41"/>
  <c r="AK282" i="41" s="1"/>
  <c r="AI281" i="41"/>
  <c r="AK281" i="41" s="1"/>
  <c r="AH273" i="41"/>
  <c r="AJ273" i="41" s="1"/>
  <c r="AI272" i="41"/>
  <c r="AK272" i="41" s="1"/>
  <c r="AH264" i="41"/>
  <c r="AJ264" i="41" s="1"/>
  <c r="AI263" i="41"/>
  <c r="AK263" i="41" s="1"/>
  <c r="AH445" i="41"/>
  <c r="AJ445" i="41" s="1"/>
  <c r="AH381" i="41"/>
  <c r="AJ381" i="41" s="1"/>
  <c r="AI367" i="41"/>
  <c r="AK367" i="41" s="1"/>
  <c r="AI361" i="41"/>
  <c r="AK361" i="41" s="1"/>
  <c r="AI356" i="41"/>
  <c r="AK356" i="41" s="1"/>
  <c r="AH331" i="41"/>
  <c r="AJ331" i="41" s="1"/>
  <c r="AH325" i="41"/>
  <c r="AJ325" i="41" s="1"/>
  <c r="AI318" i="41"/>
  <c r="AK318" i="41" s="1"/>
  <c r="AI307" i="41"/>
  <c r="AK307" i="41" s="1"/>
  <c r="AI306" i="41"/>
  <c r="AK306" i="41" s="1"/>
  <c r="AI305" i="41"/>
  <c r="AK305" i="41" s="1"/>
  <c r="AI280" i="41"/>
  <c r="AK280" i="41" s="1"/>
  <c r="AI271" i="41"/>
  <c r="AK271" i="41" s="1"/>
  <c r="AI262" i="41"/>
  <c r="AK262" i="41" s="1"/>
  <c r="AI403" i="41"/>
  <c r="AK403" i="41" s="1"/>
  <c r="AI437" i="41"/>
  <c r="AK437" i="41" s="1"/>
  <c r="AI383" i="41"/>
  <c r="AK383" i="41" s="1"/>
  <c r="AH355" i="41"/>
  <c r="AJ355" i="41" s="1"/>
  <c r="AI346" i="41"/>
  <c r="AK346" i="41" s="1"/>
  <c r="AH342" i="41"/>
  <c r="AJ342" i="41" s="1"/>
  <c r="AI322" i="41"/>
  <c r="AK322" i="41" s="1"/>
  <c r="AH307" i="41"/>
  <c r="AJ307" i="41" s="1"/>
  <c r="AH300" i="41"/>
  <c r="AJ300" i="41" s="1"/>
  <c r="AI297" i="41"/>
  <c r="AK297" i="41" s="1"/>
  <c r="AI294" i="41"/>
  <c r="AK294" i="41" s="1"/>
  <c r="AI277" i="41"/>
  <c r="AK277" i="41" s="1"/>
  <c r="AH271" i="41"/>
  <c r="AJ271" i="41" s="1"/>
  <c r="AI259" i="41"/>
  <c r="AK259" i="41" s="1"/>
  <c r="AH451" i="41"/>
  <c r="AJ451" i="41" s="1"/>
  <c r="AI387" i="41"/>
  <c r="AK387" i="41" s="1"/>
  <c r="AH357" i="41"/>
  <c r="AJ357" i="41" s="1"/>
  <c r="AH346" i="41"/>
  <c r="AJ346" i="41" s="1"/>
  <c r="AH322" i="41"/>
  <c r="AJ322" i="41" s="1"/>
  <c r="AH297" i="41"/>
  <c r="AJ297" i="41" s="1"/>
  <c r="AH294" i="41"/>
  <c r="AJ294" i="41" s="1"/>
  <c r="AI278" i="41"/>
  <c r="AK278" i="41" s="1"/>
  <c r="AH277" i="41"/>
  <c r="AJ277" i="41" s="1"/>
  <c r="AI265" i="41"/>
  <c r="AK265" i="41" s="1"/>
  <c r="AI260" i="41"/>
  <c r="AK260" i="41" s="1"/>
  <c r="AH259" i="41"/>
  <c r="AJ259" i="41" s="1"/>
  <c r="AH397" i="41"/>
  <c r="AJ397" i="41" s="1"/>
  <c r="AI364" i="41"/>
  <c r="AK364" i="41" s="1"/>
  <c r="AH348" i="41"/>
  <c r="AJ348" i="41" s="1"/>
  <c r="AH328" i="41"/>
  <c r="AJ328" i="41" s="1"/>
  <c r="AI320" i="41"/>
  <c r="AK320" i="41" s="1"/>
  <c r="AH291" i="41"/>
  <c r="AJ291" i="41" s="1"/>
  <c r="AH278" i="41"/>
  <c r="AJ278" i="41" s="1"/>
  <c r="AH272" i="41"/>
  <c r="AJ272" i="41" s="1"/>
  <c r="AI266" i="41"/>
  <c r="AK266" i="41" s="1"/>
  <c r="AH260" i="41"/>
  <c r="AJ260" i="41" s="1"/>
  <c r="AI386" i="41"/>
  <c r="AK386" i="41" s="1"/>
  <c r="AI372" i="41"/>
  <c r="AK372" i="41" s="1"/>
  <c r="AI334" i="41"/>
  <c r="AK334" i="41" s="1"/>
  <c r="AI301" i="41"/>
  <c r="AK301" i="41" s="1"/>
  <c r="AI298" i="41"/>
  <c r="AK298" i="41" s="1"/>
  <c r="AI279" i="41"/>
  <c r="AK279" i="41" s="1"/>
  <c r="AH266" i="41"/>
  <c r="AJ266" i="41" s="1"/>
  <c r="AI261" i="41"/>
  <c r="AK261" i="41" s="1"/>
  <c r="AI438" i="41"/>
  <c r="AK438" i="41" s="1"/>
  <c r="AI378" i="41"/>
  <c r="AK378" i="41" s="1"/>
  <c r="AI352" i="41"/>
  <c r="AK352" i="41" s="1"/>
  <c r="AI350" i="41"/>
  <c r="AK350" i="41" s="1"/>
  <c r="AH479" i="41"/>
  <c r="AJ479" i="41" s="1"/>
  <c r="AH352" i="41"/>
  <c r="AJ352" i="41" s="1"/>
  <c r="AI343" i="41"/>
  <c r="AK343" i="41" s="1"/>
  <c r="AI341" i="41"/>
  <c r="AK341" i="41" s="1"/>
  <c r="AH337" i="41"/>
  <c r="AJ337" i="41" s="1"/>
  <c r="AH318" i="41"/>
  <c r="AJ318" i="41" s="1"/>
  <c r="AH280" i="41"/>
  <c r="AJ280" i="41" s="1"/>
  <c r="AI268" i="41"/>
  <c r="AK268" i="41" s="1"/>
  <c r="AH262" i="41"/>
  <c r="AJ262" i="41" s="1"/>
  <c r="AI308" i="41"/>
  <c r="AK308" i="41" s="1"/>
  <c r="AI296" i="41"/>
  <c r="AK296" i="41" s="1"/>
  <c r="AH284" i="41"/>
  <c r="AJ284" i="41" s="1"/>
  <c r="AH282" i="41"/>
  <c r="AJ282" i="41" s="1"/>
  <c r="AH261" i="41"/>
  <c r="AJ261" i="41" s="1"/>
  <c r="AH334" i="41"/>
  <c r="AJ334" i="41" s="1"/>
  <c r="AH298" i="41"/>
  <c r="AJ298" i="41" s="1"/>
  <c r="AI269" i="41"/>
  <c r="AK269" i="41" s="1"/>
  <c r="AI267" i="41"/>
  <c r="AK267" i="41" s="1"/>
  <c r="AH263" i="41"/>
  <c r="AJ263" i="41" s="1"/>
  <c r="AH398" i="41"/>
  <c r="AJ398" i="41" s="1"/>
  <c r="AH351" i="41"/>
  <c r="AJ351" i="41" s="1"/>
  <c r="AI313" i="41"/>
  <c r="AK313" i="41" s="1"/>
  <c r="AI293" i="41"/>
  <c r="AK293" i="41" s="1"/>
  <c r="AH269" i="41"/>
  <c r="AJ269" i="41" s="1"/>
  <c r="AH267" i="41"/>
  <c r="AJ267" i="41" s="1"/>
  <c r="AI315" i="41"/>
  <c r="AK315" i="41" s="1"/>
  <c r="AI295" i="41"/>
  <c r="AK295" i="41" s="1"/>
  <c r="AH279" i="41"/>
  <c r="AJ279" i="41" s="1"/>
  <c r="AI275" i="41"/>
  <c r="AK275" i="41" s="1"/>
  <c r="AI310" i="41"/>
  <c r="AK310" i="41" s="1"/>
  <c r="AH281" i="41"/>
  <c r="AJ281" i="41" s="1"/>
  <c r="AH275" i="41"/>
  <c r="AJ275" i="41" s="1"/>
  <c r="AH349" i="41"/>
  <c r="AJ349" i="41" s="1"/>
  <c r="AI312" i="41"/>
  <c r="AK312" i="41" s="1"/>
  <c r="AI300" i="41"/>
  <c r="AK300" i="41" s="1"/>
  <c r="AI319" i="41"/>
  <c r="AK319" i="41" s="1"/>
  <c r="AI314" i="41"/>
  <c r="AK314" i="41" s="1"/>
  <c r="AH309" i="41"/>
  <c r="AJ309" i="41" s="1"/>
  <c r="AI270" i="41"/>
  <c r="AK270" i="41" s="1"/>
  <c r="AH268" i="41"/>
  <c r="AJ268" i="41" s="1"/>
  <c r="AH327" i="41"/>
  <c r="AJ327" i="41" s="1"/>
  <c r="AH324" i="41"/>
  <c r="AJ324" i="41" s="1"/>
  <c r="AI311" i="41"/>
  <c r="AK311" i="41" s="1"/>
  <c r="AI276" i="41"/>
  <c r="AK276" i="41" s="1"/>
  <c r="AH376" i="41"/>
  <c r="AJ376" i="41" s="1"/>
  <c r="AH321" i="41"/>
  <c r="AJ321" i="41" s="1"/>
  <c r="AI316" i="41"/>
  <c r="AK316" i="41" s="1"/>
  <c r="AH306" i="41"/>
  <c r="AJ306" i="41" s="1"/>
  <c r="AH276" i="41"/>
  <c r="AJ276" i="41" s="1"/>
  <c r="S265" i="41"/>
  <c r="U265" i="41" s="1"/>
  <c r="X273" i="41"/>
  <c r="Z273" i="41" s="1"/>
  <c r="AC281" i="41"/>
  <c r="AE281" i="41" s="1"/>
  <c r="T300" i="41"/>
  <c r="V300" i="41" s="1"/>
  <c r="AI309" i="41"/>
  <c r="AK309" i="41" s="1"/>
  <c r="T320" i="41"/>
  <c r="V320" i="41" s="1"/>
  <c r="T331" i="41"/>
  <c r="V331" i="41" s="1"/>
  <c r="Y344" i="41"/>
  <c r="AA344" i="41" s="1"/>
  <c r="AI370" i="41"/>
  <c r="AK370" i="41" s="1"/>
  <c r="AI11" i="41"/>
  <c r="AC266" i="41"/>
  <c r="AE266" i="41" s="1"/>
  <c r="AI274" i="41"/>
  <c r="AK274" i="41" s="1"/>
  <c r="Y302" i="41"/>
  <c r="AA302" i="41" s="1"/>
  <c r="X312" i="41"/>
  <c r="Z312" i="41" s="1"/>
  <c r="S333" i="41"/>
  <c r="U333" i="41" s="1"/>
  <c r="AC285" i="41"/>
  <c r="AE285" i="41" s="1"/>
  <c r="S295" i="41"/>
  <c r="U295" i="41" s="1"/>
  <c r="S325" i="41"/>
  <c r="U325" i="41" s="1"/>
  <c r="Y354" i="41"/>
  <c r="AA354" i="41" s="1"/>
  <c r="Y390" i="41"/>
  <c r="AA390" i="41" s="1"/>
  <c r="X305" i="41"/>
  <c r="Z305" i="41" s="1"/>
  <c r="X336" i="41"/>
  <c r="Z336" i="41" s="1"/>
  <c r="AI355" i="41"/>
  <c r="AK355" i="41" s="1"/>
  <c r="AD393" i="41"/>
  <c r="AF393" i="41" s="1"/>
  <c r="Y305" i="41"/>
  <c r="AA305" i="41" s="1"/>
  <c r="T326" i="41"/>
  <c r="V326" i="41" s="1"/>
  <c r="T337" i="41"/>
  <c r="V337" i="41" s="1"/>
  <c r="Y356" i="41"/>
  <c r="AA356" i="41" s="1"/>
  <c r="AH393" i="41"/>
  <c r="AJ393" i="41" s="1"/>
  <c r="AC262" i="41"/>
  <c r="AE262" i="41" s="1"/>
  <c r="AH270" i="41"/>
  <c r="AJ270" i="41" s="1"/>
  <c r="T279" i="41"/>
  <c r="V279" i="41" s="1"/>
  <c r="T307" i="41"/>
  <c r="V307" i="41" s="1"/>
  <c r="AI327" i="41"/>
  <c r="AK327" i="41" s="1"/>
  <c r="AH360" i="41"/>
  <c r="AJ360" i="41" s="1"/>
  <c r="AD411" i="41"/>
  <c r="AF411" i="41" s="1"/>
  <c r="S579" i="41"/>
  <c r="U579" i="41" s="1"/>
  <c r="S576" i="41"/>
  <c r="U576" i="41" s="1"/>
  <c r="S573" i="41"/>
  <c r="U573" i="41" s="1"/>
  <c r="S570" i="41"/>
  <c r="U570" i="41" s="1"/>
  <c r="S567" i="41"/>
  <c r="U567" i="41" s="1"/>
  <c r="S564" i="41"/>
  <c r="U564" i="41" s="1"/>
  <c r="S561" i="41"/>
  <c r="U561" i="41" s="1"/>
  <c r="S558" i="41"/>
  <c r="U558" i="41" s="1"/>
  <c r="S555" i="41"/>
  <c r="U555" i="41" s="1"/>
  <c r="S552" i="41"/>
  <c r="U552" i="41" s="1"/>
  <c r="S549" i="41"/>
  <c r="U549" i="41" s="1"/>
  <c r="S546" i="41"/>
  <c r="U546" i="41" s="1"/>
  <c r="S543" i="41"/>
  <c r="U543" i="41" s="1"/>
  <c r="T573" i="41"/>
  <c r="V573" i="41" s="1"/>
  <c r="T564" i="41"/>
  <c r="V564" i="41" s="1"/>
  <c r="S536" i="41"/>
  <c r="U536" i="41" s="1"/>
  <c r="S527" i="41"/>
  <c r="U527" i="41" s="1"/>
  <c r="S518" i="41"/>
  <c r="U518" i="41" s="1"/>
  <c r="S514" i="41"/>
  <c r="U514" i="41" s="1"/>
  <c r="S511" i="41"/>
  <c r="U511" i="41" s="1"/>
  <c r="S508" i="41"/>
  <c r="U508" i="41" s="1"/>
  <c r="S505" i="41"/>
  <c r="U505" i="41" s="1"/>
  <c r="S502" i="41"/>
  <c r="U502" i="41" s="1"/>
  <c r="S499" i="41"/>
  <c r="U499" i="41" s="1"/>
  <c r="S496" i="41"/>
  <c r="U496" i="41" s="1"/>
  <c r="S493" i="41"/>
  <c r="U493" i="41" s="1"/>
  <c r="S490" i="41"/>
  <c r="U490" i="41" s="1"/>
  <c r="S487" i="41"/>
  <c r="U487" i="41" s="1"/>
  <c r="S484" i="41"/>
  <c r="U484" i="41" s="1"/>
  <c r="S481" i="41"/>
  <c r="U481" i="41" s="1"/>
  <c r="T535" i="41"/>
  <c r="V535" i="41" s="1"/>
  <c r="T534" i="41"/>
  <c r="V534" i="41" s="1"/>
  <c r="T526" i="41"/>
  <c r="V526" i="41" s="1"/>
  <c r="T525" i="41"/>
  <c r="V525" i="41" s="1"/>
  <c r="T517" i="41"/>
  <c r="V517" i="41" s="1"/>
  <c r="T575" i="41"/>
  <c r="V575" i="41" s="1"/>
  <c r="T574" i="41"/>
  <c r="V574" i="41" s="1"/>
  <c r="T566" i="41"/>
  <c r="V566" i="41" s="1"/>
  <c r="T565" i="41"/>
  <c r="V565" i="41" s="1"/>
  <c r="S535" i="41"/>
  <c r="U535" i="41" s="1"/>
  <c r="S534" i="41"/>
  <c r="U534" i="41" s="1"/>
  <c r="S526" i="41"/>
  <c r="U526" i="41" s="1"/>
  <c r="S525" i="41"/>
  <c r="U525" i="41" s="1"/>
  <c r="S517" i="41"/>
  <c r="U517" i="41" s="1"/>
  <c r="S556" i="41"/>
  <c r="U556" i="41" s="1"/>
  <c r="S553" i="41"/>
  <c r="U553" i="41" s="1"/>
  <c r="T579" i="41"/>
  <c r="V579" i="41" s="1"/>
  <c r="T570" i="41"/>
  <c r="V570" i="41" s="1"/>
  <c r="T561" i="41"/>
  <c r="V561" i="41" s="1"/>
  <c r="S539" i="41"/>
  <c r="U539" i="41" s="1"/>
  <c r="S530" i="41"/>
  <c r="U530" i="41" s="1"/>
  <c r="S521" i="41"/>
  <c r="U521" i="41" s="1"/>
  <c r="S515" i="41"/>
  <c r="U515" i="41" s="1"/>
  <c r="S512" i="41"/>
  <c r="U512" i="41" s="1"/>
  <c r="S509" i="41"/>
  <c r="U509" i="41" s="1"/>
  <c r="S506" i="41"/>
  <c r="U506" i="41" s="1"/>
  <c r="S503" i="41"/>
  <c r="U503" i="41" s="1"/>
  <c r="T577" i="41"/>
  <c r="V577" i="41" s="1"/>
  <c r="T569" i="41"/>
  <c r="V569" i="41" s="1"/>
  <c r="T554" i="41"/>
  <c r="V554" i="41" s="1"/>
  <c r="S531" i="41"/>
  <c r="U531" i="41" s="1"/>
  <c r="T527" i="41"/>
  <c r="V527" i="41" s="1"/>
  <c r="S523" i="41"/>
  <c r="U523" i="41" s="1"/>
  <c r="T514" i="41"/>
  <c r="V514" i="41" s="1"/>
  <c r="T496" i="41"/>
  <c r="V496" i="41" s="1"/>
  <c r="T495" i="41"/>
  <c r="V495" i="41" s="1"/>
  <c r="T484" i="41"/>
  <c r="V484" i="41" s="1"/>
  <c r="S480" i="41"/>
  <c r="U480" i="41" s="1"/>
  <c r="S477" i="41"/>
  <c r="U477" i="41" s="1"/>
  <c r="S474" i="41"/>
  <c r="U474" i="41" s="1"/>
  <c r="S577" i="41"/>
  <c r="U577" i="41" s="1"/>
  <c r="T571" i="41"/>
  <c r="V571" i="41" s="1"/>
  <c r="S569" i="41"/>
  <c r="U569" i="41" s="1"/>
  <c r="T567" i="41"/>
  <c r="V567" i="41" s="1"/>
  <c r="S554" i="41"/>
  <c r="U554" i="41" s="1"/>
  <c r="T549" i="41"/>
  <c r="V549" i="41" s="1"/>
  <c r="T546" i="41"/>
  <c r="V546" i="41" s="1"/>
  <c r="T543" i="41"/>
  <c r="V543" i="41" s="1"/>
  <c r="T539" i="41"/>
  <c r="V539" i="41" s="1"/>
  <c r="T524" i="41"/>
  <c r="V524" i="41" s="1"/>
  <c r="T516" i="41"/>
  <c r="V516" i="41" s="1"/>
  <c r="T515" i="41"/>
  <c r="V515" i="41" s="1"/>
  <c r="T576" i="41"/>
  <c r="V576" i="41" s="1"/>
  <c r="T555" i="41"/>
  <c r="V555" i="41" s="1"/>
  <c r="T578" i="41"/>
  <c r="V578" i="41" s="1"/>
  <c r="S574" i="41"/>
  <c r="U574" i="41" s="1"/>
  <c r="T572" i="41"/>
  <c r="V572" i="41" s="1"/>
  <c r="T550" i="41"/>
  <c r="V550" i="41" s="1"/>
  <c r="T547" i="41"/>
  <c r="V547" i="41" s="1"/>
  <c r="T544" i="41"/>
  <c r="V544" i="41" s="1"/>
  <c r="T537" i="41"/>
  <c r="V537" i="41" s="1"/>
  <c r="S533" i="41"/>
  <c r="U533" i="41" s="1"/>
  <c r="T529" i="41"/>
  <c r="V529" i="41" s="1"/>
  <c r="S510" i="41"/>
  <c r="U510" i="41" s="1"/>
  <c r="T509" i="41"/>
  <c r="V509" i="41" s="1"/>
  <c r="T508" i="41"/>
  <c r="V508" i="41" s="1"/>
  <c r="S507" i="41"/>
  <c r="U507" i="41" s="1"/>
  <c r="T506" i="41"/>
  <c r="V506" i="41" s="1"/>
  <c r="T505" i="41"/>
  <c r="V505" i="41" s="1"/>
  <c r="S504" i="41"/>
  <c r="U504" i="41" s="1"/>
  <c r="T503" i="41"/>
  <c r="V503" i="41" s="1"/>
  <c r="T502" i="41"/>
  <c r="V502" i="41" s="1"/>
  <c r="S501" i="41"/>
  <c r="U501" i="41" s="1"/>
  <c r="T500" i="41"/>
  <c r="V500" i="41" s="1"/>
  <c r="T491" i="41"/>
  <c r="V491" i="41" s="1"/>
  <c r="T486" i="41"/>
  <c r="V486" i="41" s="1"/>
  <c r="S482" i="41"/>
  <c r="U482" i="41" s="1"/>
  <c r="S578" i="41"/>
  <c r="U578" i="41" s="1"/>
  <c r="T568" i="41"/>
  <c r="V568" i="41" s="1"/>
  <c r="S547" i="41"/>
  <c r="U547" i="41" s="1"/>
  <c r="T530" i="41"/>
  <c r="V530" i="41" s="1"/>
  <c r="T528" i="41"/>
  <c r="V528" i="41" s="1"/>
  <c r="T521" i="41"/>
  <c r="V521" i="41" s="1"/>
  <c r="T507" i="41"/>
  <c r="V507" i="41" s="1"/>
  <c r="T492" i="41"/>
  <c r="V492" i="41" s="1"/>
  <c r="S491" i="41"/>
  <c r="U491" i="41" s="1"/>
  <c r="S489" i="41"/>
  <c r="U489" i="41" s="1"/>
  <c r="S488" i="41"/>
  <c r="U488" i="41" s="1"/>
  <c r="T487" i="41"/>
  <c r="V487" i="41" s="1"/>
  <c r="S486" i="41"/>
  <c r="U486" i="41" s="1"/>
  <c r="T485" i="41"/>
  <c r="V485" i="41" s="1"/>
  <c r="T483" i="41"/>
  <c r="V483" i="41" s="1"/>
  <c r="T474" i="41"/>
  <c r="V474" i="41" s="1"/>
  <c r="S471" i="41"/>
  <c r="U471" i="41" s="1"/>
  <c r="S468" i="41"/>
  <c r="U468" i="41" s="1"/>
  <c r="S465" i="41"/>
  <c r="U465" i="41" s="1"/>
  <c r="S462" i="41"/>
  <c r="U462" i="41" s="1"/>
  <c r="S459" i="41"/>
  <c r="U459" i="41" s="1"/>
  <c r="S456" i="41"/>
  <c r="U456" i="41" s="1"/>
  <c r="S453" i="41"/>
  <c r="U453" i="41" s="1"/>
  <c r="S450" i="41"/>
  <c r="U450" i="41" s="1"/>
  <c r="S447" i="41"/>
  <c r="U447" i="41" s="1"/>
  <c r="S444" i="41"/>
  <c r="U444" i="41" s="1"/>
  <c r="S441" i="41"/>
  <c r="U441" i="41" s="1"/>
  <c r="S438" i="41"/>
  <c r="U438" i="41" s="1"/>
  <c r="S435" i="41"/>
  <c r="U435" i="41" s="1"/>
  <c r="S568" i="41"/>
  <c r="U568" i="41" s="1"/>
  <c r="S565" i="41"/>
  <c r="U565" i="41" s="1"/>
  <c r="S571" i="41"/>
  <c r="U571" i="41" s="1"/>
  <c r="T562" i="41"/>
  <c r="V562" i="41" s="1"/>
  <c r="T559" i="41"/>
  <c r="V559" i="41" s="1"/>
  <c r="T551" i="41"/>
  <c r="V551" i="41" s="1"/>
  <c r="S519" i="41"/>
  <c r="U519" i="41" s="1"/>
  <c r="T511" i="41"/>
  <c r="V511" i="41" s="1"/>
  <c r="T494" i="41"/>
  <c r="V494" i="41" s="1"/>
  <c r="T493" i="41"/>
  <c r="V493" i="41" s="1"/>
  <c r="T480" i="41"/>
  <c r="V480" i="41" s="1"/>
  <c r="S562" i="41"/>
  <c r="U562" i="41" s="1"/>
  <c r="S559" i="41"/>
  <c r="U559" i="41" s="1"/>
  <c r="S551" i="41"/>
  <c r="U551" i="41" s="1"/>
  <c r="T542" i="41"/>
  <c r="V542" i="41" s="1"/>
  <c r="T533" i="41"/>
  <c r="V533" i="41" s="1"/>
  <c r="S524" i="41"/>
  <c r="U524" i="41" s="1"/>
  <c r="T504" i="41"/>
  <c r="V504" i="41" s="1"/>
  <c r="S495" i="41"/>
  <c r="U495" i="41" s="1"/>
  <c r="S494" i="41"/>
  <c r="U494" i="41" s="1"/>
  <c r="T479" i="41"/>
  <c r="V479" i="41" s="1"/>
  <c r="T473" i="41"/>
  <c r="V473" i="41" s="1"/>
  <c r="T557" i="41"/>
  <c r="V557" i="41" s="1"/>
  <c r="S540" i="41"/>
  <c r="U540" i="41" s="1"/>
  <c r="S538" i="41"/>
  <c r="U538" i="41" s="1"/>
  <c r="S500" i="41"/>
  <c r="U500" i="41" s="1"/>
  <c r="T497" i="41"/>
  <c r="V497" i="41" s="1"/>
  <c r="T490" i="41"/>
  <c r="V490" i="41" s="1"/>
  <c r="S476" i="41"/>
  <c r="U476" i="41" s="1"/>
  <c r="S470" i="41"/>
  <c r="U470" i="41" s="1"/>
  <c r="S461" i="41"/>
  <c r="U461" i="41" s="1"/>
  <c r="T456" i="41"/>
  <c r="V456" i="41" s="1"/>
  <c r="T447" i="41"/>
  <c r="V447" i="41" s="1"/>
  <c r="T438" i="41"/>
  <c r="V438" i="41" s="1"/>
  <c r="T556" i="41"/>
  <c r="V556" i="41" s="1"/>
  <c r="S542" i="41"/>
  <c r="U542" i="41" s="1"/>
  <c r="T478" i="41"/>
  <c r="V478" i="41" s="1"/>
  <c r="S469" i="41"/>
  <c r="U469" i="41" s="1"/>
  <c r="S460" i="41"/>
  <c r="U460" i="41" s="1"/>
  <c r="T455" i="41"/>
  <c r="V455" i="41" s="1"/>
  <c r="S451" i="41"/>
  <c r="U451" i="41" s="1"/>
  <c r="T446" i="41"/>
  <c r="V446" i="41" s="1"/>
  <c r="S442" i="41"/>
  <c r="U442" i="41" s="1"/>
  <c r="T437" i="41"/>
  <c r="V437" i="41" s="1"/>
  <c r="S433" i="41"/>
  <c r="U433" i="41" s="1"/>
  <c r="T560" i="41"/>
  <c r="V560" i="41" s="1"/>
  <c r="T552" i="41"/>
  <c r="V552" i="41" s="1"/>
  <c r="T523" i="41"/>
  <c r="V523" i="41" s="1"/>
  <c r="T518" i="41"/>
  <c r="V518" i="41" s="1"/>
  <c r="T498" i="41"/>
  <c r="V498" i="41" s="1"/>
  <c r="S560" i="41"/>
  <c r="U560" i="41" s="1"/>
  <c r="T548" i="41"/>
  <c r="V548" i="41" s="1"/>
  <c r="T545" i="41"/>
  <c r="V545" i="41" s="1"/>
  <c r="S537" i="41"/>
  <c r="U537" i="41" s="1"/>
  <c r="T520" i="41"/>
  <c r="V520" i="41" s="1"/>
  <c r="T501" i="41"/>
  <c r="V501" i="41" s="1"/>
  <c r="S498" i="41"/>
  <c r="U498" i="41" s="1"/>
  <c r="S483" i="41"/>
  <c r="U483" i="41" s="1"/>
  <c r="S467" i="41"/>
  <c r="U467" i="41" s="1"/>
  <c r="T459" i="41"/>
  <c r="V459" i="41" s="1"/>
  <c r="T450" i="41"/>
  <c r="V450" i="41" s="1"/>
  <c r="S563" i="41"/>
  <c r="U563" i="41" s="1"/>
  <c r="T558" i="41"/>
  <c r="V558" i="41" s="1"/>
  <c r="T541" i="41"/>
  <c r="V541" i="41" s="1"/>
  <c r="S529" i="41"/>
  <c r="U529" i="41" s="1"/>
  <c r="S513" i="41"/>
  <c r="U513" i="41" s="1"/>
  <c r="T499" i="41"/>
  <c r="V499" i="41" s="1"/>
  <c r="S473" i="41"/>
  <c r="U473" i="41" s="1"/>
  <c r="S464" i="41"/>
  <c r="U464" i="41" s="1"/>
  <c r="T453" i="41"/>
  <c r="V453" i="41" s="1"/>
  <c r="T444" i="41"/>
  <c r="V444" i="41" s="1"/>
  <c r="T435" i="41"/>
  <c r="V435" i="41" s="1"/>
  <c r="T431" i="41"/>
  <c r="V431" i="41" s="1"/>
  <c r="T428" i="41"/>
  <c r="V428" i="41" s="1"/>
  <c r="T425" i="41"/>
  <c r="V425" i="41" s="1"/>
  <c r="T422" i="41"/>
  <c r="V422" i="41" s="1"/>
  <c r="T419" i="41"/>
  <c r="V419" i="41" s="1"/>
  <c r="T416" i="41"/>
  <c r="V416" i="41" s="1"/>
  <c r="S541" i="41"/>
  <c r="U541" i="41" s="1"/>
  <c r="T536" i="41"/>
  <c r="V536" i="41" s="1"/>
  <c r="T531" i="41"/>
  <c r="V531" i="41" s="1"/>
  <c r="T489" i="41"/>
  <c r="V489" i="41" s="1"/>
  <c r="T472" i="41"/>
  <c r="V472" i="41" s="1"/>
  <c r="T463" i="41"/>
  <c r="V463" i="41" s="1"/>
  <c r="S557" i="41"/>
  <c r="U557" i="41" s="1"/>
  <c r="S528" i="41"/>
  <c r="U528" i="41" s="1"/>
  <c r="T510" i="41"/>
  <c r="V510" i="41" s="1"/>
  <c r="S497" i="41"/>
  <c r="U497" i="41" s="1"/>
  <c r="T467" i="41"/>
  <c r="V467" i="41" s="1"/>
  <c r="T464" i="41"/>
  <c r="V464" i="41" s="1"/>
  <c r="T458" i="41"/>
  <c r="V458" i="41" s="1"/>
  <c r="S452" i="41"/>
  <c r="U452" i="41" s="1"/>
  <c r="S443" i="41"/>
  <c r="U443" i="41" s="1"/>
  <c r="S428" i="41"/>
  <c r="U428" i="41" s="1"/>
  <c r="S419" i="41"/>
  <c r="U419" i="41" s="1"/>
  <c r="S413" i="41"/>
  <c r="U413" i="41" s="1"/>
  <c r="T408" i="41"/>
  <c r="V408" i="41" s="1"/>
  <c r="S404" i="41"/>
  <c r="U404" i="41" s="1"/>
  <c r="T399" i="41"/>
  <c r="V399" i="41" s="1"/>
  <c r="T563" i="41"/>
  <c r="V563" i="41" s="1"/>
  <c r="T513" i="41"/>
  <c r="V513" i="41" s="1"/>
  <c r="T454" i="41"/>
  <c r="V454" i="41" s="1"/>
  <c r="S426" i="41"/>
  <c r="U426" i="41" s="1"/>
  <c r="S417" i="41"/>
  <c r="U417" i="41" s="1"/>
  <c r="S412" i="41"/>
  <c r="U412" i="41" s="1"/>
  <c r="S572" i="41"/>
  <c r="U572" i="41" s="1"/>
  <c r="T462" i="41"/>
  <c r="V462" i="41" s="1"/>
  <c r="S454" i="41"/>
  <c r="U454" i="41" s="1"/>
  <c r="T448" i="41"/>
  <c r="V448" i="41" s="1"/>
  <c r="S425" i="41"/>
  <c r="U425" i="41" s="1"/>
  <c r="S416" i="41"/>
  <c r="U416" i="41" s="1"/>
  <c r="T553" i="41"/>
  <c r="V553" i="41" s="1"/>
  <c r="T540" i="41"/>
  <c r="V540" i="41" s="1"/>
  <c r="S485" i="41"/>
  <c r="U485" i="41" s="1"/>
  <c r="T468" i="41"/>
  <c r="V468" i="41" s="1"/>
  <c r="T465" i="41"/>
  <c r="V465" i="41" s="1"/>
  <c r="T449" i="41"/>
  <c r="V449" i="41" s="1"/>
  <c r="S448" i="41"/>
  <c r="U448" i="41" s="1"/>
  <c r="S437" i="41"/>
  <c r="U437" i="41" s="1"/>
  <c r="T436" i="41"/>
  <c r="V436" i="41" s="1"/>
  <c r="T434" i="41"/>
  <c r="V434" i="41" s="1"/>
  <c r="T424" i="41"/>
  <c r="V424" i="41" s="1"/>
  <c r="S411" i="41"/>
  <c r="U411" i="41" s="1"/>
  <c r="S544" i="41"/>
  <c r="U544" i="41" s="1"/>
  <c r="T466" i="41"/>
  <c r="V466" i="41" s="1"/>
  <c r="S463" i="41"/>
  <c r="U463" i="41" s="1"/>
  <c r="T440" i="41"/>
  <c r="V440" i="41" s="1"/>
  <c r="S439" i="41"/>
  <c r="U439" i="41" s="1"/>
  <c r="S575" i="41"/>
  <c r="U575" i="41" s="1"/>
  <c r="S545" i="41"/>
  <c r="U545" i="41" s="1"/>
  <c r="T512" i="41"/>
  <c r="V512" i="41" s="1"/>
  <c r="T482" i="41"/>
  <c r="V482" i="41" s="1"/>
  <c r="T475" i="41"/>
  <c r="V475" i="41" s="1"/>
  <c r="S472" i="41"/>
  <c r="U472" i="41" s="1"/>
  <c r="T439" i="41"/>
  <c r="V439" i="41" s="1"/>
  <c r="S422" i="41"/>
  <c r="U422" i="41" s="1"/>
  <c r="T418" i="41"/>
  <c r="V418" i="41" s="1"/>
  <c r="T412" i="41"/>
  <c r="V412" i="41" s="1"/>
  <c r="T407" i="41"/>
  <c r="V407" i="41" s="1"/>
  <c r="S400" i="41"/>
  <c r="U400" i="41" s="1"/>
  <c r="S399" i="41"/>
  <c r="U399" i="41" s="1"/>
  <c r="S390" i="41"/>
  <c r="U390" i="41" s="1"/>
  <c r="S381" i="41"/>
  <c r="U381" i="41" s="1"/>
  <c r="S377" i="41"/>
  <c r="U377" i="41" s="1"/>
  <c r="S374" i="41"/>
  <c r="U374" i="41" s="1"/>
  <c r="S466" i="41"/>
  <c r="U466" i="41" s="1"/>
  <c r="T452" i="41"/>
  <c r="V452" i="41" s="1"/>
  <c r="S423" i="41"/>
  <c r="U423" i="41" s="1"/>
  <c r="S415" i="41"/>
  <c r="U415" i="41" s="1"/>
  <c r="S406" i="41"/>
  <c r="U406" i="41" s="1"/>
  <c r="T405" i="41"/>
  <c r="V405" i="41" s="1"/>
  <c r="S398" i="41"/>
  <c r="U398" i="41" s="1"/>
  <c r="T393" i="41"/>
  <c r="V393" i="41" s="1"/>
  <c r="S389" i="41"/>
  <c r="U389" i="41" s="1"/>
  <c r="T384" i="41"/>
  <c r="V384" i="41" s="1"/>
  <c r="S380" i="41"/>
  <c r="U380" i="41" s="1"/>
  <c r="T376" i="41"/>
  <c r="V376" i="41" s="1"/>
  <c r="T373" i="41"/>
  <c r="V373" i="41" s="1"/>
  <c r="S516" i="41"/>
  <c r="U516" i="41" s="1"/>
  <c r="S566" i="41"/>
  <c r="U566" i="41" s="1"/>
  <c r="T532" i="41"/>
  <c r="V532" i="41" s="1"/>
  <c r="T460" i="41"/>
  <c r="V460" i="41" s="1"/>
  <c r="S440" i="41"/>
  <c r="U440" i="41" s="1"/>
  <c r="S548" i="41"/>
  <c r="U548" i="41" s="1"/>
  <c r="S522" i="41"/>
  <c r="U522" i="41" s="1"/>
  <c r="T470" i="41"/>
  <c r="V470" i="41" s="1"/>
  <c r="S455" i="41"/>
  <c r="U455" i="41" s="1"/>
  <c r="T421" i="41"/>
  <c r="V421" i="41" s="1"/>
  <c r="T417" i="41"/>
  <c r="V417" i="41" s="1"/>
  <c r="T410" i="41"/>
  <c r="V410" i="41" s="1"/>
  <c r="T401" i="41"/>
  <c r="V401" i="41" s="1"/>
  <c r="T391" i="41"/>
  <c r="V391" i="41" s="1"/>
  <c r="T382" i="41"/>
  <c r="V382" i="41" s="1"/>
  <c r="T457" i="41"/>
  <c r="V457" i="41" s="1"/>
  <c r="T445" i="41"/>
  <c r="V445" i="41" s="1"/>
  <c r="S402" i="41"/>
  <c r="U402" i="41" s="1"/>
  <c r="T394" i="41"/>
  <c r="V394" i="41" s="1"/>
  <c r="T381" i="41"/>
  <c r="V381" i="41" s="1"/>
  <c r="T380" i="41"/>
  <c r="V380" i="41" s="1"/>
  <c r="T379" i="41"/>
  <c r="V379" i="41" s="1"/>
  <c r="T378" i="41"/>
  <c r="V378" i="41" s="1"/>
  <c r="S371" i="41"/>
  <c r="U371" i="41" s="1"/>
  <c r="S368" i="41"/>
  <c r="U368" i="41" s="1"/>
  <c r="S365" i="41"/>
  <c r="U365" i="41" s="1"/>
  <c r="S362" i="41"/>
  <c r="U362" i="41" s="1"/>
  <c r="S359" i="41"/>
  <c r="U359" i="41" s="1"/>
  <c r="S356" i="41"/>
  <c r="U356" i="41" s="1"/>
  <c r="S353" i="41"/>
  <c r="U353" i="41" s="1"/>
  <c r="S350" i="41"/>
  <c r="U350" i="41" s="1"/>
  <c r="S347" i="41"/>
  <c r="U347" i="41" s="1"/>
  <c r="S344" i="41"/>
  <c r="U344" i="41" s="1"/>
  <c r="S341" i="41"/>
  <c r="U341" i="41" s="1"/>
  <c r="S338" i="41"/>
  <c r="U338" i="41" s="1"/>
  <c r="S335" i="41"/>
  <c r="U335" i="41" s="1"/>
  <c r="S332" i="41"/>
  <c r="U332" i="41" s="1"/>
  <c r="S329" i="41"/>
  <c r="U329" i="41" s="1"/>
  <c r="S326" i="41"/>
  <c r="U326" i="41" s="1"/>
  <c r="S323" i="41"/>
  <c r="U323" i="41" s="1"/>
  <c r="S320" i="41"/>
  <c r="U320" i="41" s="1"/>
  <c r="T477" i="41"/>
  <c r="V477" i="41" s="1"/>
  <c r="S457" i="41"/>
  <c r="U457" i="41" s="1"/>
  <c r="S445" i="41"/>
  <c r="U445" i="41" s="1"/>
  <c r="T442" i="41"/>
  <c r="V442" i="41" s="1"/>
  <c r="T429" i="41"/>
  <c r="V429" i="41" s="1"/>
  <c r="T420" i="41"/>
  <c r="V420" i="41" s="1"/>
  <c r="T409" i="41"/>
  <c r="V409" i="41" s="1"/>
  <c r="T403" i="41"/>
  <c r="V403" i="41" s="1"/>
  <c r="T395" i="41"/>
  <c r="V395" i="41" s="1"/>
  <c r="S394" i="41"/>
  <c r="U394" i="41" s="1"/>
  <c r="T481" i="41"/>
  <c r="V481" i="41" s="1"/>
  <c r="T471" i="41"/>
  <c r="V471" i="41" s="1"/>
  <c r="S436" i="41"/>
  <c r="U436" i="41" s="1"/>
  <c r="S434" i="41"/>
  <c r="U434" i="41" s="1"/>
  <c r="T432" i="41"/>
  <c r="V432" i="41" s="1"/>
  <c r="T423" i="41"/>
  <c r="V423" i="41" s="1"/>
  <c r="S410" i="41"/>
  <c r="U410" i="41" s="1"/>
  <c r="T398" i="41"/>
  <c r="V398" i="41" s="1"/>
  <c r="S397" i="41"/>
  <c r="U397" i="41" s="1"/>
  <c r="T386" i="41"/>
  <c r="V386" i="41" s="1"/>
  <c r="S385" i="41"/>
  <c r="U385" i="41" s="1"/>
  <c r="T375" i="41"/>
  <c r="V375" i="41" s="1"/>
  <c r="S370" i="41"/>
  <c r="U370" i="41" s="1"/>
  <c r="S367" i="41"/>
  <c r="U367" i="41" s="1"/>
  <c r="S364" i="41"/>
  <c r="U364" i="41" s="1"/>
  <c r="T538" i="41"/>
  <c r="V538" i="41" s="1"/>
  <c r="T441" i="41"/>
  <c r="V441" i="41" s="1"/>
  <c r="S432" i="41"/>
  <c r="U432" i="41" s="1"/>
  <c r="T461" i="41"/>
  <c r="V461" i="41" s="1"/>
  <c r="T451" i="41"/>
  <c r="V451" i="41" s="1"/>
  <c r="S431" i="41"/>
  <c r="U431" i="41" s="1"/>
  <c r="S408" i="41"/>
  <c r="U408" i="41" s="1"/>
  <c r="T402" i="41"/>
  <c r="V402" i="41" s="1"/>
  <c r="S393" i="41"/>
  <c r="U393" i="41" s="1"/>
  <c r="S392" i="41"/>
  <c r="U392" i="41" s="1"/>
  <c r="T371" i="41"/>
  <c r="V371" i="41" s="1"/>
  <c r="T368" i="41"/>
  <c r="V368" i="41" s="1"/>
  <c r="T365" i="41"/>
  <c r="V365" i="41" s="1"/>
  <c r="T362" i="41"/>
  <c r="V362" i="41" s="1"/>
  <c r="S449" i="41"/>
  <c r="U449" i="41" s="1"/>
  <c r="S429" i="41"/>
  <c r="U429" i="41" s="1"/>
  <c r="T426" i="41"/>
  <c r="V426" i="41" s="1"/>
  <c r="T415" i="41"/>
  <c r="V415" i="41" s="1"/>
  <c r="T388" i="41"/>
  <c r="V388" i="41" s="1"/>
  <c r="T377" i="41"/>
  <c r="V377" i="41" s="1"/>
  <c r="T357" i="41"/>
  <c r="V357" i="41" s="1"/>
  <c r="T348" i="41"/>
  <c r="V348" i="41" s="1"/>
  <c r="T339" i="41"/>
  <c r="V339" i="41" s="1"/>
  <c r="T330" i="41"/>
  <c r="V330" i="41" s="1"/>
  <c r="T321" i="41"/>
  <c r="V321" i="41" s="1"/>
  <c r="S317" i="41"/>
  <c r="U317" i="41" s="1"/>
  <c r="S314" i="41"/>
  <c r="U314" i="41" s="1"/>
  <c r="S311" i="41"/>
  <c r="U311" i="41" s="1"/>
  <c r="S308" i="41"/>
  <c r="U308" i="41" s="1"/>
  <c r="S305" i="41"/>
  <c r="U305" i="41" s="1"/>
  <c r="S302" i="41"/>
  <c r="U302" i="41" s="1"/>
  <c r="S299" i="41"/>
  <c r="U299" i="41" s="1"/>
  <c r="S296" i="41"/>
  <c r="U296" i="41" s="1"/>
  <c r="S293" i="41"/>
  <c r="U293" i="41" s="1"/>
  <c r="S290" i="41"/>
  <c r="U290" i="41" s="1"/>
  <c r="S532" i="41"/>
  <c r="U532" i="41" s="1"/>
  <c r="S420" i="41"/>
  <c r="U420" i="41" s="1"/>
  <c r="S403" i="41"/>
  <c r="U403" i="41" s="1"/>
  <c r="T396" i="41"/>
  <c r="V396" i="41" s="1"/>
  <c r="S388" i="41"/>
  <c r="U388" i="41" s="1"/>
  <c r="T385" i="41"/>
  <c r="V385" i="41" s="1"/>
  <c r="T370" i="41"/>
  <c r="V370" i="41" s="1"/>
  <c r="T369" i="41"/>
  <c r="V369" i="41" s="1"/>
  <c r="T367" i="41"/>
  <c r="V367" i="41" s="1"/>
  <c r="T366" i="41"/>
  <c r="V366" i="41" s="1"/>
  <c r="T364" i="41"/>
  <c r="V364" i="41" s="1"/>
  <c r="T363" i="41"/>
  <c r="V363" i="41" s="1"/>
  <c r="T361" i="41"/>
  <c r="V361" i="41" s="1"/>
  <c r="S357" i="41"/>
  <c r="U357" i="41" s="1"/>
  <c r="T352" i="41"/>
  <c r="V352" i="41" s="1"/>
  <c r="S348" i="41"/>
  <c r="U348" i="41" s="1"/>
  <c r="T343" i="41"/>
  <c r="V343" i="41" s="1"/>
  <c r="S339" i="41"/>
  <c r="U339" i="41" s="1"/>
  <c r="T334" i="41"/>
  <c r="V334" i="41" s="1"/>
  <c r="S330" i="41"/>
  <c r="U330" i="41" s="1"/>
  <c r="T325" i="41"/>
  <c r="V325" i="41" s="1"/>
  <c r="S321" i="41"/>
  <c r="U321" i="41" s="1"/>
  <c r="S479" i="41"/>
  <c r="U479" i="41" s="1"/>
  <c r="S458" i="41"/>
  <c r="U458" i="41" s="1"/>
  <c r="S414" i="41"/>
  <c r="U414" i="41" s="1"/>
  <c r="T406" i="41"/>
  <c r="V406" i="41" s="1"/>
  <c r="T389" i="41"/>
  <c r="V389" i="41" s="1"/>
  <c r="S386" i="41"/>
  <c r="U386" i="41" s="1"/>
  <c r="T383" i="41"/>
  <c r="V383" i="41" s="1"/>
  <c r="S379" i="41"/>
  <c r="U379" i="41" s="1"/>
  <c r="S360" i="41"/>
  <c r="U360" i="41" s="1"/>
  <c r="T355" i="41"/>
  <c r="V355" i="41" s="1"/>
  <c r="S351" i="41"/>
  <c r="U351" i="41" s="1"/>
  <c r="T346" i="41"/>
  <c r="V346" i="41" s="1"/>
  <c r="S342" i="41"/>
  <c r="U342" i="41" s="1"/>
  <c r="S475" i="41"/>
  <c r="U475" i="41" s="1"/>
  <c r="S418" i="41"/>
  <c r="U418" i="41" s="1"/>
  <c r="T413" i="41"/>
  <c r="V413" i="41" s="1"/>
  <c r="T400" i="41"/>
  <c r="V400" i="41" s="1"/>
  <c r="T390" i="41"/>
  <c r="V390" i="41" s="1"/>
  <c r="S376" i="41"/>
  <c r="U376" i="41" s="1"/>
  <c r="S358" i="41"/>
  <c r="U358" i="41" s="1"/>
  <c r="S349" i="41"/>
  <c r="U349" i="41" s="1"/>
  <c r="S340" i="41"/>
  <c r="U340" i="41" s="1"/>
  <c r="T519" i="41"/>
  <c r="V519" i="41" s="1"/>
  <c r="S492" i="41"/>
  <c r="U492" i="41" s="1"/>
  <c r="S478" i="41"/>
  <c r="U478" i="41" s="1"/>
  <c r="T430" i="41"/>
  <c r="V430" i="41" s="1"/>
  <c r="S430" i="41"/>
  <c r="U430" i="41" s="1"/>
  <c r="T392" i="41"/>
  <c r="V392" i="41" s="1"/>
  <c r="T387" i="41"/>
  <c r="V387" i="41" s="1"/>
  <c r="S375" i="41"/>
  <c r="U375" i="41" s="1"/>
  <c r="T356" i="41"/>
  <c r="V356" i="41" s="1"/>
  <c r="T345" i="41"/>
  <c r="V345" i="41" s="1"/>
  <c r="S550" i="41"/>
  <c r="U550" i="41" s="1"/>
  <c r="T476" i="41"/>
  <c r="V476" i="41" s="1"/>
  <c r="S421" i="41"/>
  <c r="U421" i="41" s="1"/>
  <c r="S387" i="41"/>
  <c r="U387" i="41" s="1"/>
  <c r="S373" i="41"/>
  <c r="U373" i="41" s="1"/>
  <c r="T351" i="41"/>
  <c r="V351" i="41" s="1"/>
  <c r="S345" i="41"/>
  <c r="U345" i="41" s="1"/>
  <c r="T340" i="41"/>
  <c r="V340" i="41" s="1"/>
  <c r="S322" i="41"/>
  <c r="U322" i="41" s="1"/>
  <c r="S319" i="41"/>
  <c r="U319" i="41" s="1"/>
  <c r="T318" i="41"/>
  <c r="V318" i="41" s="1"/>
  <c r="S309" i="41"/>
  <c r="U309" i="41" s="1"/>
  <c r="S300" i="41"/>
  <c r="U300" i="41" s="1"/>
  <c r="S291" i="41"/>
  <c r="U291" i="41" s="1"/>
  <c r="T488" i="41"/>
  <c r="V488" i="41" s="1"/>
  <c r="T522" i="41"/>
  <c r="V522" i="41" s="1"/>
  <c r="T469" i="41"/>
  <c r="V469" i="41" s="1"/>
  <c r="T443" i="41"/>
  <c r="V443" i="41" s="1"/>
  <c r="T414" i="41"/>
  <c r="V414" i="41" s="1"/>
  <c r="T411" i="41"/>
  <c r="V411" i="41" s="1"/>
  <c r="S395" i="41"/>
  <c r="U395" i="41" s="1"/>
  <c r="T360" i="41"/>
  <c r="V360" i="41" s="1"/>
  <c r="S354" i="41"/>
  <c r="U354" i="41" s="1"/>
  <c r="T349" i="41"/>
  <c r="V349" i="41" s="1"/>
  <c r="S337" i="41"/>
  <c r="U337" i="41" s="1"/>
  <c r="T336" i="41"/>
  <c r="V336" i="41" s="1"/>
  <c r="S334" i="41"/>
  <c r="U334" i="41" s="1"/>
  <c r="T333" i="41"/>
  <c r="V333" i="41" s="1"/>
  <c r="S312" i="41"/>
  <c r="U312" i="41" s="1"/>
  <c r="S303" i="41"/>
  <c r="U303" i="41" s="1"/>
  <c r="S294" i="41"/>
  <c r="U294" i="41" s="1"/>
  <c r="T287" i="41"/>
  <c r="V287" i="41" s="1"/>
  <c r="S520" i="41"/>
  <c r="U520" i="41" s="1"/>
  <c r="S405" i="41"/>
  <c r="U405" i="41" s="1"/>
  <c r="T397" i="41"/>
  <c r="V397" i="41" s="1"/>
  <c r="S401" i="41"/>
  <c r="U401" i="41" s="1"/>
  <c r="S396" i="41"/>
  <c r="U396" i="41" s="1"/>
  <c r="T354" i="41"/>
  <c r="V354" i="41" s="1"/>
  <c r="T332" i="41"/>
  <c r="V332" i="41" s="1"/>
  <c r="T319" i="41"/>
  <c r="V319" i="41" s="1"/>
  <c r="S307" i="41"/>
  <c r="U307" i="41" s="1"/>
  <c r="S306" i="41"/>
  <c r="U306" i="41" s="1"/>
  <c r="T293" i="41"/>
  <c r="V293" i="41" s="1"/>
  <c r="S281" i="41"/>
  <c r="U281" i="41" s="1"/>
  <c r="S272" i="41"/>
  <c r="U272" i="41" s="1"/>
  <c r="S263" i="41"/>
  <c r="U263" i="41" s="1"/>
  <c r="S446" i="41"/>
  <c r="U446" i="41" s="1"/>
  <c r="S424" i="41"/>
  <c r="U424" i="41" s="1"/>
  <c r="S382" i="41"/>
  <c r="U382" i="41" s="1"/>
  <c r="S352" i="41"/>
  <c r="U352" i="41" s="1"/>
  <c r="T344" i="41"/>
  <c r="V344" i="41" s="1"/>
  <c r="T308" i="41"/>
  <c r="V308" i="41" s="1"/>
  <c r="T295" i="41"/>
  <c r="V295" i="41" s="1"/>
  <c r="T294" i="41"/>
  <c r="V294" i="41" s="1"/>
  <c r="T280" i="41"/>
  <c r="V280" i="41" s="1"/>
  <c r="T271" i="41"/>
  <c r="V271" i="41" s="1"/>
  <c r="T262" i="41"/>
  <c r="V262" i="41" s="1"/>
  <c r="T433" i="41"/>
  <c r="V433" i="41" s="1"/>
  <c r="T404" i="41"/>
  <c r="V404" i="41" s="1"/>
  <c r="S409" i="41"/>
  <c r="U409" i="41" s="1"/>
  <c r="S372" i="41"/>
  <c r="U372" i="41" s="1"/>
  <c r="T342" i="41"/>
  <c r="V342" i="41" s="1"/>
  <c r="T327" i="41"/>
  <c r="V327" i="41" s="1"/>
  <c r="S310" i="41"/>
  <c r="U310" i="41" s="1"/>
  <c r="T298" i="41"/>
  <c r="V298" i="41" s="1"/>
  <c r="T297" i="41"/>
  <c r="V297" i="41" s="1"/>
  <c r="T296" i="41"/>
  <c r="V296" i="41" s="1"/>
  <c r="S279" i="41"/>
  <c r="U279" i="41" s="1"/>
  <c r="T278" i="41"/>
  <c r="V278" i="41" s="1"/>
  <c r="S270" i="41"/>
  <c r="U270" i="41" s="1"/>
  <c r="T269" i="41"/>
  <c r="V269" i="41" s="1"/>
  <c r="S261" i="41"/>
  <c r="U261" i="41" s="1"/>
  <c r="T260" i="41"/>
  <c r="V260" i="41" s="1"/>
  <c r="S407" i="41"/>
  <c r="U407" i="41" s="1"/>
  <c r="S427" i="41"/>
  <c r="U427" i="41" s="1"/>
  <c r="T315" i="41"/>
  <c r="V315" i="41" s="1"/>
  <c r="T292" i="41"/>
  <c r="V292" i="41" s="1"/>
  <c r="S288" i="41"/>
  <c r="U288" i="41" s="1"/>
  <c r="T284" i="41"/>
  <c r="V284" i="41" s="1"/>
  <c r="T273" i="41"/>
  <c r="V273" i="41" s="1"/>
  <c r="S267" i="41"/>
  <c r="U267" i="41" s="1"/>
  <c r="S318" i="41"/>
  <c r="U318" i="41" s="1"/>
  <c r="S315" i="41"/>
  <c r="U315" i="41" s="1"/>
  <c r="T312" i="41"/>
  <c r="V312" i="41" s="1"/>
  <c r="T305" i="41"/>
  <c r="V305" i="41" s="1"/>
  <c r="T302" i="41"/>
  <c r="V302" i="41" s="1"/>
  <c r="T299" i="41"/>
  <c r="V299" i="41" s="1"/>
  <c r="S292" i="41"/>
  <c r="U292" i="41" s="1"/>
  <c r="T289" i="41"/>
  <c r="V289" i="41" s="1"/>
  <c r="S284" i="41"/>
  <c r="U284" i="41" s="1"/>
  <c r="S273" i="41"/>
  <c r="U273" i="41" s="1"/>
  <c r="T268" i="41"/>
  <c r="V268" i="41" s="1"/>
  <c r="T335" i="41"/>
  <c r="V335" i="41" s="1"/>
  <c r="T324" i="41"/>
  <c r="V324" i="41" s="1"/>
  <c r="T309" i="41"/>
  <c r="V309" i="41" s="1"/>
  <c r="S289" i="41"/>
  <c r="U289" i="41" s="1"/>
  <c r="T285" i="41"/>
  <c r="V285" i="41" s="1"/>
  <c r="S280" i="41"/>
  <c r="U280" i="41" s="1"/>
  <c r="T274" i="41"/>
  <c r="V274" i="41" s="1"/>
  <c r="S268" i="41"/>
  <c r="U268" i="41" s="1"/>
  <c r="S262" i="41"/>
  <c r="U262" i="41" s="1"/>
  <c r="S383" i="41"/>
  <c r="U383" i="41" s="1"/>
  <c r="S355" i="41"/>
  <c r="U355" i="41" s="1"/>
  <c r="T353" i="41"/>
  <c r="V353" i="41" s="1"/>
  <c r="S327" i="41"/>
  <c r="U327" i="41" s="1"/>
  <c r="S324" i="41"/>
  <c r="U324" i="41" s="1"/>
  <c r="T316" i="41"/>
  <c r="V316" i="41" s="1"/>
  <c r="S285" i="41"/>
  <c r="U285" i="41" s="1"/>
  <c r="T275" i="41"/>
  <c r="V275" i="41" s="1"/>
  <c r="S274" i="41"/>
  <c r="U274" i="41" s="1"/>
  <c r="S269" i="41"/>
  <c r="U269" i="41" s="1"/>
  <c r="S391" i="41"/>
  <c r="U391" i="41" s="1"/>
  <c r="T372" i="41"/>
  <c r="V372" i="41" s="1"/>
  <c r="S346" i="41"/>
  <c r="U346" i="41" s="1"/>
  <c r="S378" i="41"/>
  <c r="U378" i="41" s="1"/>
  <c r="T328" i="41"/>
  <c r="V328" i="41" s="1"/>
  <c r="S297" i="41"/>
  <c r="U297" i="41" s="1"/>
  <c r="S286" i="41"/>
  <c r="U286" i="41" s="1"/>
  <c r="T282" i="41"/>
  <c r="V282" i="41" s="1"/>
  <c r="S276" i="41"/>
  <c r="U276" i="41" s="1"/>
  <c r="T264" i="41"/>
  <c r="V264" i="41" s="1"/>
  <c r="S363" i="41"/>
  <c r="U363" i="41" s="1"/>
  <c r="T359" i="41"/>
  <c r="V359" i="41" s="1"/>
  <c r="T347" i="41"/>
  <c r="V347" i="41" s="1"/>
  <c r="T314" i="41"/>
  <c r="V314" i="41" s="1"/>
  <c r="T304" i="41"/>
  <c r="V304" i="41" s="1"/>
  <c r="T270" i="41"/>
  <c r="V270" i="41" s="1"/>
  <c r="T266" i="41"/>
  <c r="V266" i="41" s="1"/>
  <c r="S264" i="41"/>
  <c r="U264" i="41" s="1"/>
  <c r="S366" i="41"/>
  <c r="U366" i="41" s="1"/>
  <c r="T338" i="41"/>
  <c r="V338" i="41" s="1"/>
  <c r="S316" i="41"/>
  <c r="U316" i="41" s="1"/>
  <c r="S304" i="41"/>
  <c r="U304" i="41" s="1"/>
  <c r="S287" i="41"/>
  <c r="U287" i="41" s="1"/>
  <c r="T276" i="41"/>
  <c r="V276" i="41" s="1"/>
  <c r="S266" i="41"/>
  <c r="U266" i="41" s="1"/>
  <c r="T374" i="41"/>
  <c r="V374" i="41" s="1"/>
  <c r="T311" i="41"/>
  <c r="V311" i="41" s="1"/>
  <c r="T306" i="41"/>
  <c r="V306" i="41" s="1"/>
  <c r="T301" i="41"/>
  <c r="V301" i="41" s="1"/>
  <c r="S278" i="41"/>
  <c r="U278" i="41" s="1"/>
  <c r="T272" i="41"/>
  <c r="V272" i="41" s="1"/>
  <c r="S384" i="41"/>
  <c r="U384" i="41" s="1"/>
  <c r="T358" i="41"/>
  <c r="V358" i="41" s="1"/>
  <c r="T313" i="41"/>
  <c r="V313" i="41" s="1"/>
  <c r="S301" i="41"/>
  <c r="U301" i="41" s="1"/>
  <c r="S282" i="41"/>
  <c r="U282" i="41" s="1"/>
  <c r="T350" i="41"/>
  <c r="V350" i="41" s="1"/>
  <c r="T341" i="41"/>
  <c r="V341" i="41" s="1"/>
  <c r="T329" i="41"/>
  <c r="V329" i="41" s="1"/>
  <c r="S313" i="41"/>
  <c r="U313" i="41" s="1"/>
  <c r="T291" i="41"/>
  <c r="V291" i="41" s="1"/>
  <c r="T259" i="41"/>
  <c r="V259" i="41" s="1"/>
  <c r="T303" i="41"/>
  <c r="V303" i="41" s="1"/>
  <c r="S298" i="41"/>
  <c r="U298" i="41" s="1"/>
  <c r="T286" i="41"/>
  <c r="V286" i="41" s="1"/>
  <c r="T263" i="41"/>
  <c r="V263" i="41" s="1"/>
  <c r="S259" i="41"/>
  <c r="U259" i="41" s="1"/>
  <c r="S369" i="41"/>
  <c r="U369" i="41" s="1"/>
  <c r="S361" i="41"/>
  <c r="U361" i="41" s="1"/>
  <c r="S336" i="41"/>
  <c r="U336" i="41" s="1"/>
  <c r="S331" i="41"/>
  <c r="U331" i="41" s="1"/>
  <c r="T290" i="41"/>
  <c r="V290" i="41" s="1"/>
  <c r="T288" i="41"/>
  <c r="V288" i="41" s="1"/>
  <c r="T281" i="41"/>
  <c r="V281" i="41" s="1"/>
  <c r="S277" i="41"/>
  <c r="U277" i="41" s="1"/>
  <c r="T322" i="41"/>
  <c r="V322" i="41" s="1"/>
  <c r="T283" i="41"/>
  <c r="V283" i="41" s="1"/>
  <c r="S343" i="41"/>
  <c r="U343" i="41" s="1"/>
  <c r="S283" i="41"/>
  <c r="U283" i="41" s="1"/>
  <c r="S260" i="41"/>
  <c r="U260" i="41" s="1"/>
  <c r="AC11" i="41"/>
  <c r="S271" i="41"/>
  <c r="U271" i="41" s="1"/>
  <c r="S328" i="41"/>
  <c r="U328" i="41" s="1"/>
  <c r="AH339" i="41"/>
  <c r="AJ339" i="41" s="1"/>
  <c r="T427" i="41"/>
  <c r="V427" i="41" s="1"/>
  <c r="X578" i="41"/>
  <c r="Z578" i="41" s="1"/>
  <c r="AC577" i="41"/>
  <c r="AE577" i="41" s="1"/>
  <c r="X575" i="41"/>
  <c r="Z575" i="41" s="1"/>
  <c r="AC574" i="41"/>
  <c r="AE574" i="41" s="1"/>
  <c r="X572" i="41"/>
  <c r="Z572" i="41" s="1"/>
  <c r="AC571" i="41"/>
  <c r="AE571" i="41" s="1"/>
  <c r="X569" i="41"/>
  <c r="Z569" i="41" s="1"/>
  <c r="AC568" i="41"/>
  <c r="AE568" i="41" s="1"/>
  <c r="X566" i="41"/>
  <c r="Z566" i="41" s="1"/>
  <c r="AC565" i="41"/>
  <c r="AE565" i="41" s="1"/>
  <c r="X563" i="41"/>
  <c r="Z563" i="41" s="1"/>
  <c r="AC562" i="41"/>
  <c r="AE562" i="41" s="1"/>
  <c r="X560" i="41"/>
  <c r="Z560" i="41" s="1"/>
  <c r="AC559" i="41"/>
  <c r="AE559" i="41" s="1"/>
  <c r="X557" i="41"/>
  <c r="Z557" i="41" s="1"/>
  <c r="AC556" i="41"/>
  <c r="AE556" i="41" s="1"/>
  <c r="X554" i="41"/>
  <c r="Z554" i="41" s="1"/>
  <c r="AC553" i="41"/>
  <c r="AE553" i="41" s="1"/>
  <c r="X551" i="41"/>
  <c r="Z551" i="41" s="1"/>
  <c r="AC550" i="41"/>
  <c r="AE550" i="41" s="1"/>
  <c r="X548" i="41"/>
  <c r="Z548" i="41" s="1"/>
  <c r="AC547" i="41"/>
  <c r="AE547" i="41" s="1"/>
  <c r="X545" i="41"/>
  <c r="Z545" i="41" s="1"/>
  <c r="AC544" i="41"/>
  <c r="AE544" i="41" s="1"/>
  <c r="X542" i="41"/>
  <c r="Z542" i="41" s="1"/>
  <c r="AD577" i="41"/>
  <c r="AF577" i="41" s="1"/>
  <c r="Y575" i="41"/>
  <c r="AA575" i="41" s="1"/>
  <c r="AD568" i="41"/>
  <c r="AF568" i="41" s="1"/>
  <c r="Y566" i="41"/>
  <c r="AA566" i="41" s="1"/>
  <c r="AD559" i="41"/>
  <c r="AF559" i="41" s="1"/>
  <c r="Y557" i="41"/>
  <c r="AA557" i="41" s="1"/>
  <c r="Y556" i="41"/>
  <c r="AA556" i="41" s="1"/>
  <c r="Y554" i="41"/>
  <c r="AA554" i="41" s="1"/>
  <c r="Y553" i="41"/>
  <c r="AA553" i="41" s="1"/>
  <c r="Y551" i="41"/>
  <c r="AA551" i="41" s="1"/>
  <c r="Y550" i="41"/>
  <c r="AA550" i="41" s="1"/>
  <c r="Y548" i="41"/>
  <c r="AA548" i="41" s="1"/>
  <c r="Y547" i="41"/>
  <c r="AA547" i="41" s="1"/>
  <c r="Y545" i="41"/>
  <c r="AA545" i="41" s="1"/>
  <c r="Y544" i="41"/>
  <c r="AA544" i="41" s="1"/>
  <c r="Y542" i="41"/>
  <c r="AA542" i="41" s="1"/>
  <c r="AC540" i="41"/>
  <c r="AE540" i="41" s="1"/>
  <c r="X534" i="41"/>
  <c r="Z534" i="41" s="1"/>
  <c r="X533" i="41"/>
  <c r="Z533" i="41" s="1"/>
  <c r="AC531" i="41"/>
  <c r="AE531" i="41" s="1"/>
  <c r="X525" i="41"/>
  <c r="Z525" i="41" s="1"/>
  <c r="X524" i="41"/>
  <c r="Z524" i="41" s="1"/>
  <c r="AC522" i="41"/>
  <c r="AE522" i="41" s="1"/>
  <c r="X516" i="41"/>
  <c r="Z516" i="41" s="1"/>
  <c r="AC515" i="41"/>
  <c r="AE515" i="41" s="1"/>
  <c r="X513" i="41"/>
  <c r="Z513" i="41" s="1"/>
  <c r="AC512" i="41"/>
  <c r="AE512" i="41" s="1"/>
  <c r="X510" i="41"/>
  <c r="Z510" i="41" s="1"/>
  <c r="AC509" i="41"/>
  <c r="AE509" i="41" s="1"/>
  <c r="X507" i="41"/>
  <c r="Z507" i="41" s="1"/>
  <c r="AC506" i="41"/>
  <c r="AE506" i="41" s="1"/>
  <c r="X504" i="41"/>
  <c r="Z504" i="41" s="1"/>
  <c r="AC503" i="41"/>
  <c r="AE503" i="41" s="1"/>
  <c r="X501" i="41"/>
  <c r="Z501" i="41" s="1"/>
  <c r="AC500" i="41"/>
  <c r="AE500" i="41" s="1"/>
  <c r="X498" i="41"/>
  <c r="Z498" i="41" s="1"/>
  <c r="AC497" i="41"/>
  <c r="AE497" i="41" s="1"/>
  <c r="X495" i="41"/>
  <c r="Z495" i="41" s="1"/>
  <c r="AC494" i="41"/>
  <c r="AE494" i="41" s="1"/>
  <c r="X492" i="41"/>
  <c r="Z492" i="41" s="1"/>
  <c r="AC491" i="41"/>
  <c r="AE491" i="41" s="1"/>
  <c r="X489" i="41"/>
  <c r="Z489" i="41" s="1"/>
  <c r="AC488" i="41"/>
  <c r="AE488" i="41" s="1"/>
  <c r="X486" i="41"/>
  <c r="Z486" i="41" s="1"/>
  <c r="AC485" i="41"/>
  <c r="AE485" i="41" s="1"/>
  <c r="X483" i="41"/>
  <c r="Z483" i="41" s="1"/>
  <c r="AC482" i="41"/>
  <c r="AE482" i="41" s="1"/>
  <c r="X556" i="41"/>
  <c r="Z556" i="41" s="1"/>
  <c r="Y555" i="41"/>
  <c r="AA555" i="41" s="1"/>
  <c r="X553" i="41"/>
  <c r="Z553" i="41" s="1"/>
  <c r="Y552" i="41"/>
  <c r="AA552" i="41" s="1"/>
  <c r="X550" i="41"/>
  <c r="Z550" i="41" s="1"/>
  <c r="Y549" i="41"/>
  <c r="AA549" i="41" s="1"/>
  <c r="X547" i="41"/>
  <c r="Z547" i="41" s="1"/>
  <c r="Y546" i="41"/>
  <c r="AA546" i="41" s="1"/>
  <c r="X544" i="41"/>
  <c r="Z544" i="41" s="1"/>
  <c r="Y543" i="41"/>
  <c r="AA543" i="41" s="1"/>
  <c r="Y541" i="41"/>
  <c r="AA541" i="41" s="1"/>
  <c r="AD539" i="41"/>
  <c r="AF539" i="41" s="1"/>
  <c r="AD538" i="41"/>
  <c r="AF538" i="41" s="1"/>
  <c r="Y532" i="41"/>
  <c r="AA532" i="41" s="1"/>
  <c r="AD530" i="41"/>
  <c r="AF530" i="41" s="1"/>
  <c r="AD529" i="41"/>
  <c r="AF529" i="41" s="1"/>
  <c r="Y523" i="41"/>
  <c r="AA523" i="41" s="1"/>
  <c r="AD521" i="41"/>
  <c r="AF521" i="41" s="1"/>
  <c r="AD520" i="41"/>
  <c r="AF520" i="41" s="1"/>
  <c r="AD579" i="41"/>
  <c r="AF579" i="41" s="1"/>
  <c r="AD578" i="41"/>
  <c r="AF578" i="41" s="1"/>
  <c r="Y577" i="41"/>
  <c r="AA577" i="41" s="1"/>
  <c r="Y576" i="41"/>
  <c r="AA576" i="41" s="1"/>
  <c r="AD570" i="41"/>
  <c r="AF570" i="41" s="1"/>
  <c r="AD569" i="41"/>
  <c r="AF569" i="41" s="1"/>
  <c r="Y568" i="41"/>
  <c r="AA568" i="41" s="1"/>
  <c r="Y567" i="41"/>
  <c r="AA567" i="41" s="1"/>
  <c r="AD561" i="41"/>
  <c r="AF561" i="41" s="1"/>
  <c r="AD560" i="41"/>
  <c r="AF560" i="41" s="1"/>
  <c r="Y559" i="41"/>
  <c r="AA559" i="41" s="1"/>
  <c r="Y558" i="41"/>
  <c r="AA558" i="41" s="1"/>
  <c r="X555" i="41"/>
  <c r="Z555" i="41" s="1"/>
  <c r="X552" i="41"/>
  <c r="Z552" i="41" s="1"/>
  <c r="X549" i="41"/>
  <c r="Z549" i="41" s="1"/>
  <c r="X546" i="41"/>
  <c r="Z546" i="41" s="1"/>
  <c r="X543" i="41"/>
  <c r="Z543" i="41" s="1"/>
  <c r="X541" i="41"/>
  <c r="Z541" i="41" s="1"/>
  <c r="AC539" i="41"/>
  <c r="AE539" i="41" s="1"/>
  <c r="AC538" i="41"/>
  <c r="AE538" i="41" s="1"/>
  <c r="X532" i="41"/>
  <c r="Z532" i="41" s="1"/>
  <c r="AC530" i="41"/>
  <c r="AE530" i="41" s="1"/>
  <c r="AC529" i="41"/>
  <c r="AE529" i="41" s="1"/>
  <c r="X523" i="41"/>
  <c r="Z523" i="41" s="1"/>
  <c r="AC521" i="41"/>
  <c r="AE521" i="41" s="1"/>
  <c r="AC520" i="41"/>
  <c r="AE520" i="41" s="1"/>
  <c r="AC579" i="41"/>
  <c r="AE579" i="41" s="1"/>
  <c r="AC578" i="41"/>
  <c r="AE578" i="41" s="1"/>
  <c r="X577" i="41"/>
  <c r="Z577" i="41" s="1"/>
  <c r="X576" i="41"/>
  <c r="Z576" i="41" s="1"/>
  <c r="AD574" i="41"/>
  <c r="AF574" i="41" s="1"/>
  <c r="Y572" i="41"/>
  <c r="AA572" i="41" s="1"/>
  <c r="AD565" i="41"/>
  <c r="AF565" i="41" s="1"/>
  <c r="Y563" i="41"/>
  <c r="AA563" i="41" s="1"/>
  <c r="X537" i="41"/>
  <c r="Z537" i="41" s="1"/>
  <c r="X536" i="41"/>
  <c r="Z536" i="41" s="1"/>
  <c r="AC534" i="41"/>
  <c r="AE534" i="41" s="1"/>
  <c r="X528" i="41"/>
  <c r="Z528" i="41" s="1"/>
  <c r="X527" i="41"/>
  <c r="Z527" i="41" s="1"/>
  <c r="AC525" i="41"/>
  <c r="AE525" i="41" s="1"/>
  <c r="X519" i="41"/>
  <c r="Z519" i="41" s="1"/>
  <c r="X518" i="41"/>
  <c r="Z518" i="41" s="1"/>
  <c r="AC516" i="41"/>
  <c r="AE516" i="41" s="1"/>
  <c r="X514" i="41"/>
  <c r="Z514" i="41" s="1"/>
  <c r="AC513" i="41"/>
  <c r="AE513" i="41" s="1"/>
  <c r="X511" i="41"/>
  <c r="Z511" i="41" s="1"/>
  <c r="AC510" i="41"/>
  <c r="AE510" i="41" s="1"/>
  <c r="X508" i="41"/>
  <c r="Z508" i="41" s="1"/>
  <c r="AC507" i="41"/>
  <c r="AE507" i="41" s="1"/>
  <c r="X505" i="41"/>
  <c r="Z505" i="41" s="1"/>
  <c r="AC504" i="41"/>
  <c r="AE504" i="41" s="1"/>
  <c r="X502" i="41"/>
  <c r="Z502" i="41" s="1"/>
  <c r="AC501" i="41"/>
  <c r="AE501" i="41" s="1"/>
  <c r="X573" i="41"/>
  <c r="Z573" i="41" s="1"/>
  <c r="X567" i="41"/>
  <c r="Z567" i="41" s="1"/>
  <c r="Y565" i="41"/>
  <c r="AA565" i="41" s="1"/>
  <c r="AC563" i="41"/>
  <c r="AE563" i="41" s="1"/>
  <c r="AC552" i="41"/>
  <c r="AE552" i="41" s="1"/>
  <c r="AD540" i="41"/>
  <c r="AF540" i="41" s="1"/>
  <c r="AC536" i="41"/>
  <c r="AE536" i="41" s="1"/>
  <c r="Y524" i="41"/>
  <c r="AA524" i="41" s="1"/>
  <c r="X520" i="41"/>
  <c r="Z520" i="41" s="1"/>
  <c r="AC517" i="41"/>
  <c r="AE517" i="41" s="1"/>
  <c r="Y516" i="41"/>
  <c r="AA516" i="41" s="1"/>
  <c r="AD509" i="41"/>
  <c r="AF509" i="41" s="1"/>
  <c r="AC508" i="41"/>
  <c r="AE508" i="41" s="1"/>
  <c r="AD507" i="41"/>
  <c r="AF507" i="41" s="1"/>
  <c r="AD506" i="41"/>
  <c r="AF506" i="41" s="1"/>
  <c r="AC505" i="41"/>
  <c r="AE505" i="41" s="1"/>
  <c r="AD504" i="41"/>
  <c r="AF504" i="41" s="1"/>
  <c r="AD503" i="41"/>
  <c r="AF503" i="41" s="1"/>
  <c r="AC502" i="41"/>
  <c r="AE502" i="41" s="1"/>
  <c r="AD501" i="41"/>
  <c r="AF501" i="41" s="1"/>
  <c r="AD500" i="41"/>
  <c r="AF500" i="41" s="1"/>
  <c r="AD499" i="41"/>
  <c r="AF499" i="41" s="1"/>
  <c r="Y493" i="41"/>
  <c r="AA493" i="41" s="1"/>
  <c r="AD491" i="41"/>
  <c r="AF491" i="41" s="1"/>
  <c r="AD490" i="41"/>
  <c r="AF490" i="41" s="1"/>
  <c r="Y487" i="41"/>
  <c r="AA487" i="41" s="1"/>
  <c r="AC486" i="41"/>
  <c r="AE486" i="41" s="1"/>
  <c r="AD481" i="41"/>
  <c r="AF481" i="41" s="1"/>
  <c r="X479" i="41"/>
  <c r="Z479" i="41" s="1"/>
  <c r="AC478" i="41"/>
  <c r="AE478" i="41" s="1"/>
  <c r="X476" i="41"/>
  <c r="Z476" i="41" s="1"/>
  <c r="AC475" i="41"/>
  <c r="AE475" i="41" s="1"/>
  <c r="Y579" i="41"/>
  <c r="AA579" i="41" s="1"/>
  <c r="X565" i="41"/>
  <c r="Z565" i="41" s="1"/>
  <c r="Y561" i="41"/>
  <c r="AA561" i="41" s="1"/>
  <c r="X559" i="41"/>
  <c r="Z559" i="41" s="1"/>
  <c r="AD557" i="41"/>
  <c r="AF557" i="41" s="1"/>
  <c r="Y540" i="41"/>
  <c r="AA540" i="41" s="1"/>
  <c r="AD537" i="41"/>
  <c r="AF537" i="41" s="1"/>
  <c r="Y536" i="41"/>
  <c r="AA536" i="41" s="1"/>
  <c r="Y528" i="41"/>
  <c r="AA528" i="41" s="1"/>
  <c r="AD525" i="41"/>
  <c r="AF525" i="41" s="1"/>
  <c r="Y521" i="41"/>
  <c r="AA521" i="41" s="1"/>
  <c r="AD511" i="41"/>
  <c r="AF511" i="41" s="1"/>
  <c r="AD510" i="41"/>
  <c r="AF510" i="41" s="1"/>
  <c r="X579" i="41"/>
  <c r="Z579" i="41" s="1"/>
  <c r="AC576" i="41"/>
  <c r="AE576" i="41" s="1"/>
  <c r="Y574" i="41"/>
  <c r="AA574" i="41" s="1"/>
  <c r="AC572" i="41"/>
  <c r="AE572" i="41" s="1"/>
  <c r="Y578" i="41"/>
  <c r="AA578" i="41" s="1"/>
  <c r="X574" i="41"/>
  <c r="Z574" i="41" s="1"/>
  <c r="Y570" i="41"/>
  <c r="AA570" i="41" s="1"/>
  <c r="X568" i="41"/>
  <c r="Z568" i="41" s="1"/>
  <c r="AD566" i="41"/>
  <c r="AF566" i="41" s="1"/>
  <c r="AC564" i="41"/>
  <c r="AE564" i="41" s="1"/>
  <c r="AD562" i="41"/>
  <c r="AF562" i="41" s="1"/>
  <c r="X570" i="41"/>
  <c r="Z570" i="41" s="1"/>
  <c r="AC566" i="41"/>
  <c r="AE566" i="41" s="1"/>
  <c r="Y562" i="41"/>
  <c r="AA562" i="41" s="1"/>
  <c r="AC560" i="41"/>
  <c r="AE560" i="41" s="1"/>
  <c r="AD558" i="41"/>
  <c r="AF558" i="41" s="1"/>
  <c r="X530" i="41"/>
  <c r="Z530" i="41" s="1"/>
  <c r="Y526" i="41"/>
  <c r="AA526" i="41" s="1"/>
  <c r="AD523" i="41"/>
  <c r="AF523" i="41" s="1"/>
  <c r="X522" i="41"/>
  <c r="Z522" i="41" s="1"/>
  <c r="AC519" i="41"/>
  <c r="AE519" i="41" s="1"/>
  <c r="AC514" i="41"/>
  <c r="AE514" i="41" s="1"/>
  <c r="X512" i="41"/>
  <c r="Z512" i="41" s="1"/>
  <c r="Y498" i="41"/>
  <c r="AA498" i="41" s="1"/>
  <c r="Y497" i="41"/>
  <c r="AA497" i="41" s="1"/>
  <c r="AD495" i="41"/>
  <c r="AF495" i="41" s="1"/>
  <c r="AD488" i="41"/>
  <c r="AF488" i="41" s="1"/>
  <c r="X485" i="41"/>
  <c r="Z485" i="41" s="1"/>
  <c r="Y571" i="41"/>
  <c r="AA571" i="41" s="1"/>
  <c r="X562" i="41"/>
  <c r="Z562" i="41" s="1"/>
  <c r="AD556" i="41"/>
  <c r="AF556" i="41" s="1"/>
  <c r="AC554" i="41"/>
  <c r="AE554" i="41" s="1"/>
  <c r="AD551" i="41"/>
  <c r="AF551" i="41" s="1"/>
  <c r="AC549" i="41"/>
  <c r="AE549" i="41" s="1"/>
  <c r="Y537" i="41"/>
  <c r="AA537" i="41" s="1"/>
  <c r="AD533" i="41"/>
  <c r="AF533" i="41" s="1"/>
  <c r="Y519" i="41"/>
  <c r="AA519" i="41" s="1"/>
  <c r="Y517" i="41"/>
  <c r="AA517" i="41" s="1"/>
  <c r="Y514" i="41"/>
  <c r="AA514" i="41" s="1"/>
  <c r="Y511" i="41"/>
  <c r="AA511" i="41" s="1"/>
  <c r="AD498" i="41"/>
  <c r="AF498" i="41" s="1"/>
  <c r="AD497" i="41"/>
  <c r="AF497" i="41" s="1"/>
  <c r="X494" i="41"/>
  <c r="Z494" i="41" s="1"/>
  <c r="Y479" i="41"/>
  <c r="AA479" i="41" s="1"/>
  <c r="AC477" i="41"/>
  <c r="AE477" i="41" s="1"/>
  <c r="AD476" i="41"/>
  <c r="AF476" i="41" s="1"/>
  <c r="X473" i="41"/>
  <c r="Z473" i="41" s="1"/>
  <c r="AC472" i="41"/>
  <c r="AE472" i="41" s="1"/>
  <c r="X470" i="41"/>
  <c r="Z470" i="41" s="1"/>
  <c r="AC469" i="41"/>
  <c r="AE469" i="41" s="1"/>
  <c r="X467" i="41"/>
  <c r="Z467" i="41" s="1"/>
  <c r="AC466" i="41"/>
  <c r="AE466" i="41" s="1"/>
  <c r="X464" i="41"/>
  <c r="Z464" i="41" s="1"/>
  <c r="AC463" i="41"/>
  <c r="AE463" i="41" s="1"/>
  <c r="X461" i="41"/>
  <c r="Z461" i="41" s="1"/>
  <c r="AC460" i="41"/>
  <c r="AE460" i="41" s="1"/>
  <c r="X458" i="41"/>
  <c r="Z458" i="41" s="1"/>
  <c r="AC457" i="41"/>
  <c r="AE457" i="41" s="1"/>
  <c r="X455" i="41"/>
  <c r="Z455" i="41" s="1"/>
  <c r="AC454" i="41"/>
  <c r="AE454" i="41" s="1"/>
  <c r="X452" i="41"/>
  <c r="Z452" i="41" s="1"/>
  <c r="AC451" i="41"/>
  <c r="AE451" i="41" s="1"/>
  <c r="X449" i="41"/>
  <c r="Z449" i="41" s="1"/>
  <c r="AC448" i="41"/>
  <c r="AE448" i="41" s="1"/>
  <c r="X446" i="41"/>
  <c r="Z446" i="41" s="1"/>
  <c r="AC445" i="41"/>
  <c r="AE445" i="41" s="1"/>
  <c r="X443" i="41"/>
  <c r="Z443" i="41" s="1"/>
  <c r="AC442" i="41"/>
  <c r="AE442" i="41" s="1"/>
  <c r="X440" i="41"/>
  <c r="Z440" i="41" s="1"/>
  <c r="AC439" i="41"/>
  <c r="AE439" i="41" s="1"/>
  <c r="X437" i="41"/>
  <c r="Z437" i="41" s="1"/>
  <c r="AC436" i="41"/>
  <c r="AE436" i="41" s="1"/>
  <c r="X434" i="41"/>
  <c r="Z434" i="41" s="1"/>
  <c r="AC433" i="41"/>
  <c r="AE433" i="41" s="1"/>
  <c r="X571" i="41"/>
  <c r="Z571" i="41" s="1"/>
  <c r="AC551" i="41"/>
  <c r="AE551" i="41" s="1"/>
  <c r="AD544" i="41"/>
  <c r="AF544" i="41" s="1"/>
  <c r="AD542" i="41"/>
  <c r="AF542" i="41" s="1"/>
  <c r="AC542" i="41"/>
  <c r="AE542" i="41" s="1"/>
  <c r="X535" i="41"/>
  <c r="Z535" i="41" s="1"/>
  <c r="Y533" i="41"/>
  <c r="AA533" i="41" s="1"/>
  <c r="AD531" i="41"/>
  <c r="AF531" i="41" s="1"/>
  <c r="AC524" i="41"/>
  <c r="AE524" i="41" s="1"/>
  <c r="AD522" i="41"/>
  <c r="AF522" i="41" s="1"/>
  <c r="AD515" i="41"/>
  <c r="AF515" i="41" s="1"/>
  <c r="AD512" i="41"/>
  <c r="AF512" i="41" s="1"/>
  <c r="AD505" i="41"/>
  <c r="AF505" i="41" s="1"/>
  <c r="X497" i="41"/>
  <c r="Z497" i="41" s="1"/>
  <c r="X496" i="41"/>
  <c r="Z496" i="41" s="1"/>
  <c r="X478" i="41"/>
  <c r="Z478" i="41" s="1"/>
  <c r="Y477" i="41"/>
  <c r="AA477" i="41" s="1"/>
  <c r="AD475" i="41"/>
  <c r="AF475" i="41" s="1"/>
  <c r="AD573" i="41"/>
  <c r="AF573" i="41" s="1"/>
  <c r="AC570" i="41"/>
  <c r="AE570" i="41" s="1"/>
  <c r="AD567" i="41"/>
  <c r="AF567" i="41" s="1"/>
  <c r="AD564" i="41"/>
  <c r="AF564" i="41" s="1"/>
  <c r="AD553" i="41"/>
  <c r="AF553" i="41" s="1"/>
  <c r="AD546" i="41"/>
  <c r="AF546" i="41" s="1"/>
  <c r="X540" i="41"/>
  <c r="Z540" i="41" s="1"/>
  <c r="Y531" i="41"/>
  <c r="AA531" i="41" s="1"/>
  <c r="Y522" i="41"/>
  <c r="AA522" i="41" s="1"/>
  <c r="Y515" i="41"/>
  <c r="AA515" i="41" s="1"/>
  <c r="Y512" i="41"/>
  <c r="AA512" i="41" s="1"/>
  <c r="Y509" i="41"/>
  <c r="AA509" i="41" s="1"/>
  <c r="X477" i="41"/>
  <c r="Z477" i="41" s="1"/>
  <c r="AD572" i="41"/>
  <c r="AF572" i="41" s="1"/>
  <c r="AC575" i="41"/>
  <c r="AE575" i="41" s="1"/>
  <c r="AC535" i="41"/>
  <c r="AE535" i="41" s="1"/>
  <c r="AC518" i="41"/>
  <c r="AE518" i="41" s="1"/>
  <c r="Y510" i="41"/>
  <c r="AA510" i="41" s="1"/>
  <c r="AD508" i="41"/>
  <c r="AF508" i="41" s="1"/>
  <c r="X503" i="41"/>
  <c r="Z503" i="41" s="1"/>
  <c r="Y494" i="41"/>
  <c r="AA494" i="41" s="1"/>
  <c r="Y491" i="41"/>
  <c r="AA491" i="41" s="1"/>
  <c r="AD479" i="41"/>
  <c r="AF479" i="41" s="1"/>
  <c r="X468" i="41"/>
  <c r="Z468" i="41" s="1"/>
  <c r="AC465" i="41"/>
  <c r="AE465" i="41" s="1"/>
  <c r="Y459" i="41"/>
  <c r="AA459" i="41" s="1"/>
  <c r="AC458" i="41"/>
  <c r="AE458" i="41" s="1"/>
  <c r="AD453" i="41"/>
  <c r="AF453" i="41" s="1"/>
  <c r="Y450" i="41"/>
  <c r="AA450" i="41" s="1"/>
  <c r="AC449" i="41"/>
  <c r="AE449" i="41" s="1"/>
  <c r="AD444" i="41"/>
  <c r="AF444" i="41" s="1"/>
  <c r="Y441" i="41"/>
  <c r="AA441" i="41" s="1"/>
  <c r="AC440" i="41"/>
  <c r="AE440" i="41" s="1"/>
  <c r="AD576" i="41"/>
  <c r="AF576" i="41" s="1"/>
  <c r="Y564" i="41"/>
  <c r="AA564" i="41" s="1"/>
  <c r="Y560" i="41"/>
  <c r="AA560" i="41" s="1"/>
  <c r="AD552" i="41"/>
  <c r="AF552" i="41" s="1"/>
  <c r="AD548" i="41"/>
  <c r="AF548" i="41" s="1"/>
  <c r="AD545" i="41"/>
  <c r="AF545" i="41" s="1"/>
  <c r="AD532" i="41"/>
  <c r="AF532" i="41" s="1"/>
  <c r="AD527" i="41"/>
  <c r="AF527" i="41" s="1"/>
  <c r="X506" i="41"/>
  <c r="Z506" i="41" s="1"/>
  <c r="Y501" i="41"/>
  <c r="AA501" i="41" s="1"/>
  <c r="AC495" i="41"/>
  <c r="AE495" i="41" s="1"/>
  <c r="AD492" i="41"/>
  <c r="AF492" i="41" s="1"/>
  <c r="AC484" i="41"/>
  <c r="AE484" i="41" s="1"/>
  <c r="Y483" i="41"/>
  <c r="AA483" i="41" s="1"/>
  <c r="AD480" i="41"/>
  <c r="AF480" i="41" s="1"/>
  <c r="AD474" i="41"/>
  <c r="AF474" i="41" s="1"/>
  <c r="AD473" i="41"/>
  <c r="AF473" i="41" s="1"/>
  <c r="X466" i="41"/>
  <c r="Z466" i="41" s="1"/>
  <c r="AC464" i="41"/>
  <c r="AE464" i="41" s="1"/>
  <c r="AD457" i="41"/>
  <c r="AF457" i="41" s="1"/>
  <c r="X454" i="41"/>
  <c r="Z454" i="41" s="1"/>
  <c r="AD448" i="41"/>
  <c r="AF448" i="41" s="1"/>
  <c r="X445" i="41"/>
  <c r="Z445" i="41" s="1"/>
  <c r="AD439" i="41"/>
  <c r="AF439" i="41" s="1"/>
  <c r="X436" i="41"/>
  <c r="Z436" i="41" s="1"/>
  <c r="AC569" i="41"/>
  <c r="AE569" i="41" s="1"/>
  <c r="X564" i="41"/>
  <c r="Z564" i="41" s="1"/>
  <c r="AD555" i="41"/>
  <c r="AF555" i="41" s="1"/>
  <c r="AC548" i="41"/>
  <c r="AE548" i="41" s="1"/>
  <c r="AC545" i="41"/>
  <c r="AE545" i="41" s="1"/>
  <c r="AC532" i="41"/>
  <c r="AE532" i="41" s="1"/>
  <c r="AC527" i="41"/>
  <c r="AE527" i="41" s="1"/>
  <c r="Y525" i="41"/>
  <c r="AA525" i="41" s="1"/>
  <c r="Y520" i="41"/>
  <c r="AA520" i="41" s="1"/>
  <c r="AC492" i="41"/>
  <c r="AE492" i="41" s="1"/>
  <c r="AD489" i="41"/>
  <c r="AF489" i="41" s="1"/>
  <c r="Y488" i="41"/>
  <c r="AA488" i="41" s="1"/>
  <c r="AD575" i="41"/>
  <c r="AF575" i="41" s="1"/>
  <c r="Y569" i="41"/>
  <c r="AA569" i="41" s="1"/>
  <c r="AC555" i="41"/>
  <c r="AE555" i="41" s="1"/>
  <c r="AD541" i="41"/>
  <c r="AF541" i="41" s="1"/>
  <c r="Y539" i="41"/>
  <c r="AA539" i="41" s="1"/>
  <c r="AD534" i="41"/>
  <c r="AF534" i="41" s="1"/>
  <c r="Y527" i="41"/>
  <c r="AA527" i="41" s="1"/>
  <c r="AD513" i="41"/>
  <c r="AF513" i="41" s="1"/>
  <c r="AC511" i="41"/>
  <c r="AE511" i="41" s="1"/>
  <c r="Y504" i="41"/>
  <c r="AA504" i="41" s="1"/>
  <c r="AD502" i="41"/>
  <c r="AF502" i="41" s="1"/>
  <c r="AC499" i="41"/>
  <c r="AE499" i="41" s="1"/>
  <c r="Y495" i="41"/>
  <c r="AA495" i="41" s="1"/>
  <c r="AC489" i="41"/>
  <c r="AE489" i="41" s="1"/>
  <c r="X488" i="41"/>
  <c r="Z488" i="41" s="1"/>
  <c r="AD485" i="41"/>
  <c r="AF485" i="41" s="1"/>
  <c r="Y484" i="41"/>
  <c r="AA484" i="41" s="1"/>
  <c r="AC471" i="41"/>
  <c r="AE471" i="41" s="1"/>
  <c r="X465" i="41"/>
  <c r="Z465" i="41" s="1"/>
  <c r="AC462" i="41"/>
  <c r="AE462" i="41" s="1"/>
  <c r="AD456" i="41"/>
  <c r="AF456" i="41" s="1"/>
  <c r="Y453" i="41"/>
  <c r="AA453" i="41" s="1"/>
  <c r="AC452" i="41"/>
  <c r="AE452" i="41" s="1"/>
  <c r="Y573" i="41"/>
  <c r="AA573" i="41" s="1"/>
  <c r="Y538" i="41"/>
  <c r="AA538" i="41" s="1"/>
  <c r="X531" i="41"/>
  <c r="Z531" i="41" s="1"/>
  <c r="AD526" i="41"/>
  <c r="AF526" i="41" s="1"/>
  <c r="Y507" i="41"/>
  <c r="AA507" i="41" s="1"/>
  <c r="Y505" i="41"/>
  <c r="AA505" i="41" s="1"/>
  <c r="Y500" i="41"/>
  <c r="AA500" i="41" s="1"/>
  <c r="AD482" i="41"/>
  <c r="AF482" i="41" s="1"/>
  <c r="Y481" i="41"/>
  <c r="AA481" i="41" s="1"/>
  <c r="Y476" i="41"/>
  <c r="AA476" i="41" s="1"/>
  <c r="X471" i="41"/>
  <c r="Z471" i="41" s="1"/>
  <c r="AC468" i="41"/>
  <c r="AE468" i="41" s="1"/>
  <c r="X462" i="41"/>
  <c r="Z462" i="41" s="1"/>
  <c r="AD459" i="41"/>
  <c r="AF459" i="41" s="1"/>
  <c r="Y456" i="41"/>
  <c r="AA456" i="41" s="1"/>
  <c r="AC455" i="41"/>
  <c r="AE455" i="41" s="1"/>
  <c r="AD450" i="41"/>
  <c r="AF450" i="41" s="1"/>
  <c r="Y447" i="41"/>
  <c r="AA447" i="41" s="1"/>
  <c r="AC446" i="41"/>
  <c r="AE446" i="41" s="1"/>
  <c r="AD441" i="41"/>
  <c r="AF441" i="41" s="1"/>
  <c r="Y438" i="41"/>
  <c r="AA438" i="41" s="1"/>
  <c r="AC437" i="41"/>
  <c r="AE437" i="41" s="1"/>
  <c r="AD432" i="41"/>
  <c r="AF432" i="41" s="1"/>
  <c r="Y430" i="41"/>
  <c r="AA430" i="41" s="1"/>
  <c r="AD429" i="41"/>
  <c r="AF429" i="41" s="1"/>
  <c r="Y427" i="41"/>
  <c r="AA427" i="41" s="1"/>
  <c r="AD426" i="41"/>
  <c r="AF426" i="41" s="1"/>
  <c r="Y424" i="41"/>
  <c r="AA424" i="41" s="1"/>
  <c r="AD423" i="41"/>
  <c r="AF423" i="41" s="1"/>
  <c r="Y421" i="41"/>
  <c r="AA421" i="41" s="1"/>
  <c r="AD420" i="41"/>
  <c r="AF420" i="41" s="1"/>
  <c r="Y418" i="41"/>
  <c r="AA418" i="41" s="1"/>
  <c r="AD417" i="41"/>
  <c r="AF417" i="41" s="1"/>
  <c r="AD554" i="41"/>
  <c r="AF554" i="41" s="1"/>
  <c r="AD543" i="41"/>
  <c r="AF543" i="41" s="1"/>
  <c r="X538" i="41"/>
  <c r="Z538" i="41" s="1"/>
  <c r="AC526" i="41"/>
  <c r="AE526" i="41" s="1"/>
  <c r="X500" i="41"/>
  <c r="Z500" i="41" s="1"/>
  <c r="X493" i="41"/>
  <c r="Z493" i="41" s="1"/>
  <c r="Y490" i="41"/>
  <c r="AA490" i="41" s="1"/>
  <c r="AD487" i="41"/>
  <c r="AF487" i="41" s="1"/>
  <c r="X481" i="41"/>
  <c r="Z481" i="41" s="1"/>
  <c r="AD477" i="41"/>
  <c r="AF477" i="41" s="1"/>
  <c r="Y470" i="41"/>
  <c r="AA470" i="41" s="1"/>
  <c r="Y469" i="41"/>
  <c r="AA469" i="41" s="1"/>
  <c r="AD467" i="41"/>
  <c r="AF467" i="41" s="1"/>
  <c r="Y461" i="41"/>
  <c r="AA461" i="41" s="1"/>
  <c r="Y460" i="41"/>
  <c r="AA460" i="41" s="1"/>
  <c r="AC459" i="41"/>
  <c r="AE459" i="41" s="1"/>
  <c r="AD549" i="41"/>
  <c r="AF549" i="41" s="1"/>
  <c r="AC537" i="41"/>
  <c r="AE537" i="41" s="1"/>
  <c r="Y518" i="41"/>
  <c r="AA518" i="41" s="1"/>
  <c r="Y506" i="41"/>
  <c r="AA506" i="41" s="1"/>
  <c r="X491" i="41"/>
  <c r="Z491" i="41" s="1"/>
  <c r="AD483" i="41"/>
  <c r="AF483" i="41" s="1"/>
  <c r="X475" i="41"/>
  <c r="Z475" i="41" s="1"/>
  <c r="AD465" i="41"/>
  <c r="AF465" i="41" s="1"/>
  <c r="AD449" i="41"/>
  <c r="AF449" i="41" s="1"/>
  <c r="Y446" i="41"/>
  <c r="AA446" i="41" s="1"/>
  <c r="AD438" i="41"/>
  <c r="AF438" i="41" s="1"/>
  <c r="AD437" i="41"/>
  <c r="AF437" i="41" s="1"/>
  <c r="AC435" i="41"/>
  <c r="AE435" i="41" s="1"/>
  <c r="AC434" i="41"/>
  <c r="AE434" i="41" s="1"/>
  <c r="AD433" i="41"/>
  <c r="AF433" i="41" s="1"/>
  <c r="AC432" i="41"/>
  <c r="AE432" i="41" s="1"/>
  <c r="X426" i="41"/>
  <c r="Z426" i="41" s="1"/>
  <c r="Y425" i="41"/>
  <c r="AA425" i="41" s="1"/>
  <c r="AC423" i="41"/>
  <c r="AE423" i="41" s="1"/>
  <c r="X417" i="41"/>
  <c r="Z417" i="41" s="1"/>
  <c r="Y416" i="41"/>
  <c r="AA416" i="41" s="1"/>
  <c r="AD410" i="41"/>
  <c r="AF410" i="41" s="1"/>
  <c r="X407" i="41"/>
  <c r="Z407" i="41" s="1"/>
  <c r="AD401" i="41"/>
  <c r="AF401" i="41" s="1"/>
  <c r="AD547" i="41"/>
  <c r="AF547" i="41" s="1"/>
  <c r="X517" i="41"/>
  <c r="Z517" i="41" s="1"/>
  <c r="Y502" i="41"/>
  <c r="AA502" i="41" s="1"/>
  <c r="Y496" i="41"/>
  <c r="AA496" i="41" s="1"/>
  <c r="Y468" i="41"/>
  <c r="AA468" i="41" s="1"/>
  <c r="AC456" i="41"/>
  <c r="AE456" i="41" s="1"/>
  <c r="AD440" i="41"/>
  <c r="AF440" i="41" s="1"/>
  <c r="Y437" i="41"/>
  <c r="AA437" i="41" s="1"/>
  <c r="X435" i="41"/>
  <c r="Z435" i="41" s="1"/>
  <c r="Y434" i="41"/>
  <c r="AA434" i="41" s="1"/>
  <c r="X433" i="41"/>
  <c r="Z433" i="41" s="1"/>
  <c r="Y432" i="41"/>
  <c r="AA432" i="41" s="1"/>
  <c r="AC430" i="41"/>
  <c r="AE430" i="41" s="1"/>
  <c r="Y423" i="41"/>
  <c r="AA423" i="41" s="1"/>
  <c r="AC421" i="41"/>
  <c r="AE421" i="41" s="1"/>
  <c r="X415" i="41"/>
  <c r="Z415" i="41" s="1"/>
  <c r="Y410" i="41"/>
  <c r="AA410" i="41" s="1"/>
  <c r="AC409" i="41"/>
  <c r="AE409" i="41" s="1"/>
  <c r="AC561" i="41"/>
  <c r="AE561" i="41" s="1"/>
  <c r="AC546" i="41"/>
  <c r="AE546" i="41" s="1"/>
  <c r="X526" i="41"/>
  <c r="Z526" i="41" s="1"/>
  <c r="X521" i="41"/>
  <c r="Z521" i="41" s="1"/>
  <c r="AD516" i="41"/>
  <c r="AF516" i="41" s="1"/>
  <c r="X490" i="41"/>
  <c r="Z490" i="41" s="1"/>
  <c r="AC487" i="41"/>
  <c r="AE487" i="41" s="1"/>
  <c r="Y485" i="41"/>
  <c r="AA485" i="41" s="1"/>
  <c r="AC474" i="41"/>
  <c r="AE474" i="41" s="1"/>
  <c r="Y471" i="41"/>
  <c r="AA471" i="41" s="1"/>
  <c r="AD463" i="41"/>
  <c r="AF463" i="41" s="1"/>
  <c r="AD460" i="41"/>
  <c r="AF460" i="41" s="1"/>
  <c r="Y455" i="41"/>
  <c r="AA455" i="41" s="1"/>
  <c r="AD451" i="41"/>
  <c r="AF451" i="41" s="1"/>
  <c r="AC441" i="41"/>
  <c r="AE441" i="41" s="1"/>
  <c r="Y439" i="41"/>
  <c r="AA439" i="41" s="1"/>
  <c r="X438" i="41"/>
  <c r="Z438" i="41" s="1"/>
  <c r="X432" i="41"/>
  <c r="Z432" i="41" s="1"/>
  <c r="Y431" i="41"/>
  <c r="AA431" i="41" s="1"/>
  <c r="AC429" i="41"/>
  <c r="AE429" i="41" s="1"/>
  <c r="X423" i="41"/>
  <c r="Z423" i="41" s="1"/>
  <c r="Y422" i="41"/>
  <c r="AA422" i="41" s="1"/>
  <c r="AC420" i="41"/>
  <c r="AE420" i="41" s="1"/>
  <c r="AD571" i="41"/>
  <c r="AF571" i="41" s="1"/>
  <c r="X561" i="41"/>
  <c r="Z561" i="41" s="1"/>
  <c r="AD535" i="41"/>
  <c r="AF535" i="41" s="1"/>
  <c r="AC480" i="41"/>
  <c r="AE480" i="41" s="1"/>
  <c r="AD478" i="41"/>
  <c r="AF478" i="41" s="1"/>
  <c r="AC476" i="41"/>
  <c r="AE476" i="41" s="1"/>
  <c r="AD466" i="41"/>
  <c r="AF466" i="41" s="1"/>
  <c r="Y463" i="41"/>
  <c r="AA463" i="41" s="1"/>
  <c r="X460" i="41"/>
  <c r="Z460" i="41" s="1"/>
  <c r="X450" i="41"/>
  <c r="Z450" i="41" s="1"/>
  <c r="AD443" i="41"/>
  <c r="AF443" i="41" s="1"/>
  <c r="AD442" i="41"/>
  <c r="AF442" i="41" s="1"/>
  <c r="Y440" i="41"/>
  <c r="AA440" i="41" s="1"/>
  <c r="X439" i="41"/>
  <c r="Z439" i="41" s="1"/>
  <c r="X431" i="41"/>
  <c r="Z431" i="41" s="1"/>
  <c r="AD428" i="41"/>
  <c r="AF428" i="41" s="1"/>
  <c r="X422" i="41"/>
  <c r="Z422" i="41" s="1"/>
  <c r="AD419" i="41"/>
  <c r="AF419" i="41" s="1"/>
  <c r="Y414" i="41"/>
  <c r="AA414" i="41" s="1"/>
  <c r="AC413" i="41"/>
  <c r="AE413" i="41" s="1"/>
  <c r="AC558" i="41"/>
  <c r="AE558" i="41" s="1"/>
  <c r="Y534" i="41"/>
  <c r="AA534" i="41" s="1"/>
  <c r="X529" i="41"/>
  <c r="Z529" i="41" s="1"/>
  <c r="Y489" i="41"/>
  <c r="AA489" i="41" s="1"/>
  <c r="X482" i="41"/>
  <c r="Z482" i="41" s="1"/>
  <c r="X472" i="41"/>
  <c r="Z472" i="41" s="1"/>
  <c r="AD464" i="41"/>
  <c r="AF464" i="41" s="1"/>
  <c r="AC461" i="41"/>
  <c r="AE461" i="41" s="1"/>
  <c r="AD458" i="41"/>
  <c r="AF458" i="41" s="1"/>
  <c r="X457" i="41"/>
  <c r="Z457" i="41" s="1"/>
  <c r="AD445" i="41"/>
  <c r="AF445" i="41" s="1"/>
  <c r="X442" i="41"/>
  <c r="Z442" i="41" s="1"/>
  <c r="AD536" i="41"/>
  <c r="AF536" i="41" s="1"/>
  <c r="AC528" i="41"/>
  <c r="AE528" i="41" s="1"/>
  <c r="AD519" i="41"/>
  <c r="AF519" i="41" s="1"/>
  <c r="AC490" i="41"/>
  <c r="AE490" i="41" s="1"/>
  <c r="Y478" i="41"/>
  <c r="AA478" i="41" s="1"/>
  <c r="X469" i="41"/>
  <c r="Z469" i="41" s="1"/>
  <c r="AC450" i="41"/>
  <c r="AE450" i="41" s="1"/>
  <c r="AD446" i="41"/>
  <c r="AF446" i="41" s="1"/>
  <c r="AD431" i="41"/>
  <c r="AF431" i="41" s="1"/>
  <c r="Y419" i="41"/>
  <c r="AA419" i="41" s="1"/>
  <c r="Y405" i="41"/>
  <c r="AA405" i="41" s="1"/>
  <c r="AC403" i="41"/>
  <c r="AE403" i="41" s="1"/>
  <c r="AD396" i="41"/>
  <c r="AF396" i="41" s="1"/>
  <c r="Y393" i="41"/>
  <c r="AA393" i="41" s="1"/>
  <c r="AC392" i="41"/>
  <c r="AE392" i="41" s="1"/>
  <c r="AD387" i="41"/>
  <c r="AF387" i="41" s="1"/>
  <c r="Y384" i="41"/>
  <c r="AA384" i="41" s="1"/>
  <c r="AC383" i="41"/>
  <c r="AE383" i="41" s="1"/>
  <c r="AD378" i="41"/>
  <c r="AF378" i="41" s="1"/>
  <c r="X376" i="41"/>
  <c r="Z376" i="41" s="1"/>
  <c r="AC375" i="41"/>
  <c r="AE375" i="41" s="1"/>
  <c r="X373" i="41"/>
  <c r="Z373" i="41" s="1"/>
  <c r="AC372" i="41"/>
  <c r="AE372" i="41" s="1"/>
  <c r="X499" i="41"/>
  <c r="Z499" i="41" s="1"/>
  <c r="X474" i="41"/>
  <c r="Z474" i="41" s="1"/>
  <c r="X463" i="41"/>
  <c r="Z463" i="41" s="1"/>
  <c r="Y458" i="41"/>
  <c r="AA458" i="41" s="1"/>
  <c r="X444" i="41"/>
  <c r="Z444" i="41" s="1"/>
  <c r="Y442" i="41"/>
  <c r="AA442" i="41" s="1"/>
  <c r="AD435" i="41"/>
  <c r="AF435" i="41" s="1"/>
  <c r="AC424" i="41"/>
  <c r="AE424" i="41" s="1"/>
  <c r="Y420" i="41"/>
  <c r="AA420" i="41" s="1"/>
  <c r="AD409" i="41"/>
  <c r="AF409" i="41" s="1"/>
  <c r="Y403" i="41"/>
  <c r="AA403" i="41" s="1"/>
  <c r="AC401" i="41"/>
  <c r="AE401" i="41" s="1"/>
  <c r="AD400" i="41"/>
  <c r="AF400" i="41" s="1"/>
  <c r="AD395" i="41"/>
  <c r="AF395" i="41" s="1"/>
  <c r="X392" i="41"/>
  <c r="Z392" i="41" s="1"/>
  <c r="AD386" i="41"/>
  <c r="AF386" i="41" s="1"/>
  <c r="X383" i="41"/>
  <c r="Z383" i="41" s="1"/>
  <c r="AD377" i="41"/>
  <c r="AF377" i="41" s="1"/>
  <c r="Y375" i="41"/>
  <c r="AA375" i="41" s="1"/>
  <c r="AD374" i="41"/>
  <c r="AF374" i="41" s="1"/>
  <c r="Y372" i="41"/>
  <c r="AA372" i="41" s="1"/>
  <c r="AD524" i="41"/>
  <c r="AF524" i="41" s="1"/>
  <c r="X509" i="41"/>
  <c r="Z509" i="41" s="1"/>
  <c r="AD550" i="41"/>
  <c r="AF550" i="41" s="1"/>
  <c r="X515" i="41"/>
  <c r="Z515" i="41" s="1"/>
  <c r="Y503" i="41"/>
  <c r="AA503" i="41" s="1"/>
  <c r="X480" i="41"/>
  <c r="Z480" i="41" s="1"/>
  <c r="AC473" i="41"/>
  <c r="AE473" i="41" s="1"/>
  <c r="AD470" i="41"/>
  <c r="AF470" i="41" s="1"/>
  <c r="AC453" i="41"/>
  <c r="AE453" i="41" s="1"/>
  <c r="Y451" i="41"/>
  <c r="AA451" i="41" s="1"/>
  <c r="AC447" i="41"/>
  <c r="AE447" i="41" s="1"/>
  <c r="Y529" i="41"/>
  <c r="AA529" i="41" s="1"/>
  <c r="AD496" i="41"/>
  <c r="AF496" i="41" s="1"/>
  <c r="AC479" i="41"/>
  <c r="AE479" i="41" s="1"/>
  <c r="AD472" i="41"/>
  <c r="AF472" i="41" s="1"/>
  <c r="Y462" i="41"/>
  <c r="AA462" i="41" s="1"/>
  <c r="Y443" i="41"/>
  <c r="AA443" i="41" s="1"/>
  <c r="Y436" i="41"/>
  <c r="AA436" i="41" s="1"/>
  <c r="Y433" i="41"/>
  <c r="AA433" i="41" s="1"/>
  <c r="AD430" i="41"/>
  <c r="AF430" i="41" s="1"/>
  <c r="AC422" i="41"/>
  <c r="AE422" i="41" s="1"/>
  <c r="AC414" i="41"/>
  <c r="AE414" i="41" s="1"/>
  <c r="Y413" i="41"/>
  <c r="AA413" i="41" s="1"/>
  <c r="Y412" i="41"/>
  <c r="AA412" i="41" s="1"/>
  <c r="X411" i="41"/>
  <c r="Z411" i="41" s="1"/>
  <c r="X408" i="41"/>
  <c r="Z408" i="41" s="1"/>
  <c r="Y407" i="41"/>
  <c r="AA407" i="41" s="1"/>
  <c r="AC405" i="41"/>
  <c r="AE405" i="41" s="1"/>
  <c r="Y399" i="41"/>
  <c r="AA399" i="41" s="1"/>
  <c r="AD397" i="41"/>
  <c r="AF397" i="41" s="1"/>
  <c r="Y394" i="41"/>
  <c r="AA394" i="41" s="1"/>
  <c r="AC393" i="41"/>
  <c r="AE393" i="41" s="1"/>
  <c r="X390" i="41"/>
  <c r="Z390" i="41" s="1"/>
  <c r="AD388" i="41"/>
  <c r="AF388" i="41" s="1"/>
  <c r="Y385" i="41"/>
  <c r="AA385" i="41" s="1"/>
  <c r="AC384" i="41"/>
  <c r="AE384" i="41" s="1"/>
  <c r="AC573" i="41"/>
  <c r="AE573" i="41" s="1"/>
  <c r="AC496" i="41"/>
  <c r="AE496" i="41" s="1"/>
  <c r="Y472" i="41"/>
  <c r="AA472" i="41" s="1"/>
  <c r="AD468" i="41"/>
  <c r="AF468" i="41" s="1"/>
  <c r="X429" i="41"/>
  <c r="Z429" i="41" s="1"/>
  <c r="AD425" i="41"/>
  <c r="AF425" i="41" s="1"/>
  <c r="AD416" i="41"/>
  <c r="AF416" i="41" s="1"/>
  <c r="AC410" i="41"/>
  <c r="AE410" i="41" s="1"/>
  <c r="AD405" i="41"/>
  <c r="AF405" i="41" s="1"/>
  <c r="Y404" i="41"/>
  <c r="AA404" i="41" s="1"/>
  <c r="AD399" i="41"/>
  <c r="AF399" i="41" s="1"/>
  <c r="AC398" i="41"/>
  <c r="AE398" i="41" s="1"/>
  <c r="Y397" i="41"/>
  <c r="AA397" i="41" s="1"/>
  <c r="X396" i="41"/>
  <c r="Z396" i="41" s="1"/>
  <c r="AC387" i="41"/>
  <c r="AE387" i="41" s="1"/>
  <c r="X384" i="41"/>
  <c r="Z384" i="41" s="1"/>
  <c r="Y376" i="41"/>
  <c r="AA376" i="41" s="1"/>
  <c r="AD373" i="41"/>
  <c r="AF373" i="41" s="1"/>
  <c r="X370" i="41"/>
  <c r="Z370" i="41" s="1"/>
  <c r="AC369" i="41"/>
  <c r="AE369" i="41" s="1"/>
  <c r="X367" i="41"/>
  <c r="Z367" i="41" s="1"/>
  <c r="AC366" i="41"/>
  <c r="AE366" i="41" s="1"/>
  <c r="X364" i="41"/>
  <c r="Z364" i="41" s="1"/>
  <c r="AC363" i="41"/>
  <c r="AE363" i="41" s="1"/>
  <c r="X361" i="41"/>
  <c r="Z361" i="41" s="1"/>
  <c r="AC360" i="41"/>
  <c r="AE360" i="41" s="1"/>
  <c r="X358" i="41"/>
  <c r="Z358" i="41" s="1"/>
  <c r="AC357" i="41"/>
  <c r="AE357" i="41" s="1"/>
  <c r="X355" i="41"/>
  <c r="Z355" i="41" s="1"/>
  <c r="AC354" i="41"/>
  <c r="AE354" i="41" s="1"/>
  <c r="X352" i="41"/>
  <c r="Z352" i="41" s="1"/>
  <c r="AC351" i="41"/>
  <c r="AE351" i="41" s="1"/>
  <c r="X349" i="41"/>
  <c r="Z349" i="41" s="1"/>
  <c r="AC348" i="41"/>
  <c r="AE348" i="41" s="1"/>
  <c r="X346" i="41"/>
  <c r="Z346" i="41" s="1"/>
  <c r="AC345" i="41"/>
  <c r="AE345" i="41" s="1"/>
  <c r="X343" i="41"/>
  <c r="Z343" i="41" s="1"/>
  <c r="AC342" i="41"/>
  <c r="AE342" i="41" s="1"/>
  <c r="X340" i="41"/>
  <c r="Z340" i="41" s="1"/>
  <c r="AC339" i="41"/>
  <c r="AE339" i="41" s="1"/>
  <c r="X337" i="41"/>
  <c r="Z337" i="41" s="1"/>
  <c r="AC336" i="41"/>
  <c r="AE336" i="41" s="1"/>
  <c r="X334" i="41"/>
  <c r="Z334" i="41" s="1"/>
  <c r="AC333" i="41"/>
  <c r="AE333" i="41" s="1"/>
  <c r="X331" i="41"/>
  <c r="Z331" i="41" s="1"/>
  <c r="AC330" i="41"/>
  <c r="AE330" i="41" s="1"/>
  <c r="X328" i="41"/>
  <c r="Z328" i="41" s="1"/>
  <c r="AC327" i="41"/>
  <c r="AE327" i="41" s="1"/>
  <c r="X325" i="41"/>
  <c r="Z325" i="41" s="1"/>
  <c r="AC324" i="41"/>
  <c r="AE324" i="41" s="1"/>
  <c r="X322" i="41"/>
  <c r="Z322" i="41" s="1"/>
  <c r="AC321" i="41"/>
  <c r="AE321" i="41" s="1"/>
  <c r="X319" i="41"/>
  <c r="Z319" i="41" s="1"/>
  <c r="AC318" i="41"/>
  <c r="AE318" i="41" s="1"/>
  <c r="AC567" i="41"/>
  <c r="AE567" i="41" s="1"/>
  <c r="AC543" i="41"/>
  <c r="AE543" i="41" s="1"/>
  <c r="AD528" i="41"/>
  <c r="AF528" i="41" s="1"/>
  <c r="AD514" i="41"/>
  <c r="AF514" i="41" s="1"/>
  <c r="Y482" i="41"/>
  <c r="AA482" i="41" s="1"/>
  <c r="Y464" i="41"/>
  <c r="AA464" i="41" s="1"/>
  <c r="AD447" i="41"/>
  <c r="AF447" i="41" s="1"/>
  <c r="X427" i="41"/>
  <c r="Z427" i="41" s="1"/>
  <c r="AC425" i="41"/>
  <c r="AE425" i="41" s="1"/>
  <c r="X418" i="41"/>
  <c r="Z418" i="41" s="1"/>
  <c r="AC416" i="41"/>
  <c r="AE416" i="41" s="1"/>
  <c r="X413" i="41"/>
  <c r="Z413" i="41" s="1"/>
  <c r="X404" i="41"/>
  <c r="Z404" i="41" s="1"/>
  <c r="AC399" i="41"/>
  <c r="AE399" i="41" s="1"/>
  <c r="Y398" i="41"/>
  <c r="AA398" i="41" s="1"/>
  <c r="X397" i="41"/>
  <c r="Z397" i="41" s="1"/>
  <c r="AC388" i="41"/>
  <c r="AE388" i="41" s="1"/>
  <c r="AD493" i="41"/>
  <c r="AF493" i="41" s="1"/>
  <c r="AD486" i="41"/>
  <c r="AF486" i="41" s="1"/>
  <c r="Y467" i="41"/>
  <c r="AA467" i="41" s="1"/>
  <c r="X441" i="41"/>
  <c r="Z441" i="41" s="1"/>
  <c r="AC438" i="41"/>
  <c r="AE438" i="41" s="1"/>
  <c r="X430" i="41"/>
  <c r="Z430" i="41" s="1"/>
  <c r="AC428" i="41"/>
  <c r="AE428" i="41" s="1"/>
  <c r="X421" i="41"/>
  <c r="Z421" i="41" s="1"/>
  <c r="AC419" i="41"/>
  <c r="AE419" i="41" s="1"/>
  <c r="AC411" i="41"/>
  <c r="AE411" i="41" s="1"/>
  <c r="AD407" i="41"/>
  <c r="AF407" i="41" s="1"/>
  <c r="Y406" i="41"/>
  <c r="AA406" i="41" s="1"/>
  <c r="X399" i="41"/>
  <c r="Z399" i="41" s="1"/>
  <c r="AC391" i="41"/>
  <c r="AE391" i="41" s="1"/>
  <c r="Y389" i="41"/>
  <c r="AA389" i="41" s="1"/>
  <c r="X388" i="41"/>
  <c r="Z388" i="41" s="1"/>
  <c r="Y373" i="41"/>
  <c r="AA373" i="41" s="1"/>
  <c r="AC371" i="41"/>
  <c r="AE371" i="41" s="1"/>
  <c r="X369" i="41"/>
  <c r="Z369" i="41" s="1"/>
  <c r="AC368" i="41"/>
  <c r="AE368" i="41" s="1"/>
  <c r="X366" i="41"/>
  <c r="Z366" i="41" s="1"/>
  <c r="AC365" i="41"/>
  <c r="AE365" i="41" s="1"/>
  <c r="X363" i="41"/>
  <c r="Z363" i="41" s="1"/>
  <c r="AC362" i="41"/>
  <c r="AE362" i="41" s="1"/>
  <c r="X558" i="41"/>
  <c r="Z558" i="41" s="1"/>
  <c r="AC523" i="41"/>
  <c r="AE523" i="41" s="1"/>
  <c r="AC493" i="41"/>
  <c r="AE493" i="41" s="1"/>
  <c r="Y486" i="41"/>
  <c r="AA486" i="41" s="1"/>
  <c r="Y480" i="41"/>
  <c r="AA480" i="41" s="1"/>
  <c r="Y475" i="41"/>
  <c r="AA475" i="41" s="1"/>
  <c r="X459" i="41"/>
  <c r="Z459" i="41" s="1"/>
  <c r="AD452" i="41"/>
  <c r="AF452" i="41" s="1"/>
  <c r="Y428" i="41"/>
  <c r="AA428" i="41" s="1"/>
  <c r="Y530" i="41"/>
  <c r="AA530" i="41" s="1"/>
  <c r="AD517" i="41"/>
  <c r="AF517" i="41" s="1"/>
  <c r="AC483" i="41"/>
  <c r="AE483" i="41" s="1"/>
  <c r="Y457" i="41"/>
  <c r="AA457" i="41" s="1"/>
  <c r="Y454" i="41"/>
  <c r="AA454" i="41" s="1"/>
  <c r="X448" i="41"/>
  <c r="Z448" i="41" s="1"/>
  <c r="Y445" i="41"/>
  <c r="AA445" i="41" s="1"/>
  <c r="Y429" i="41"/>
  <c r="AA429" i="41" s="1"/>
  <c r="AC427" i="41"/>
  <c r="AE427" i="41" s="1"/>
  <c r="X420" i="41"/>
  <c r="Z420" i="41" s="1"/>
  <c r="AC418" i="41"/>
  <c r="AE418" i="41" s="1"/>
  <c r="AD413" i="41"/>
  <c r="AF413" i="41" s="1"/>
  <c r="X409" i="41"/>
  <c r="Z409" i="41" s="1"/>
  <c r="AC404" i="41"/>
  <c r="AE404" i="41" s="1"/>
  <c r="X403" i="41"/>
  <c r="Z403" i="41" s="1"/>
  <c r="AD398" i="41"/>
  <c r="AF398" i="41" s="1"/>
  <c r="Y396" i="41"/>
  <c r="AA396" i="41" s="1"/>
  <c r="X395" i="41"/>
  <c r="Z395" i="41" s="1"/>
  <c r="AC386" i="41"/>
  <c r="AE386" i="41" s="1"/>
  <c r="X377" i="41"/>
  <c r="Z377" i="41" s="1"/>
  <c r="AC374" i="41"/>
  <c r="AE374" i="41" s="1"/>
  <c r="Y370" i="41"/>
  <c r="AA370" i="41" s="1"/>
  <c r="AD369" i="41"/>
  <c r="AF369" i="41" s="1"/>
  <c r="Y367" i="41"/>
  <c r="AA367" i="41" s="1"/>
  <c r="AD366" i="41"/>
  <c r="AF366" i="41" s="1"/>
  <c r="Y364" i="41"/>
  <c r="AA364" i="41" s="1"/>
  <c r="AD363" i="41"/>
  <c r="AF363" i="41" s="1"/>
  <c r="Y361" i="41"/>
  <c r="AA361" i="41" s="1"/>
  <c r="AC533" i="41"/>
  <c r="AE533" i="41" s="1"/>
  <c r="Y508" i="41"/>
  <c r="AA508" i="41" s="1"/>
  <c r="AD494" i="41"/>
  <c r="AF494" i="41" s="1"/>
  <c r="Y466" i="41"/>
  <c r="AA466" i="41" s="1"/>
  <c r="Y444" i="41"/>
  <c r="AA444" i="41" s="1"/>
  <c r="AD412" i="41"/>
  <c r="AF412" i="41" s="1"/>
  <c r="AC408" i="41"/>
  <c r="AE408" i="41" s="1"/>
  <c r="Y401" i="41"/>
  <c r="AA401" i="41" s="1"/>
  <c r="AD394" i="41"/>
  <c r="AF394" i="41" s="1"/>
  <c r="Y391" i="41"/>
  <c r="AA391" i="41" s="1"/>
  <c r="Y382" i="41"/>
  <c r="AA382" i="41" s="1"/>
  <c r="AD379" i="41"/>
  <c r="AF379" i="41" s="1"/>
  <c r="Y378" i="41"/>
  <c r="AA378" i="41" s="1"/>
  <c r="Y360" i="41"/>
  <c r="AA360" i="41" s="1"/>
  <c r="AC359" i="41"/>
  <c r="AE359" i="41" s="1"/>
  <c r="X356" i="41"/>
  <c r="Z356" i="41" s="1"/>
  <c r="Y351" i="41"/>
  <c r="AA351" i="41" s="1"/>
  <c r="AC350" i="41"/>
  <c r="AE350" i="41" s="1"/>
  <c r="X347" i="41"/>
  <c r="Z347" i="41" s="1"/>
  <c r="Y342" i="41"/>
  <c r="AA342" i="41" s="1"/>
  <c r="AC341" i="41"/>
  <c r="AE341" i="41" s="1"/>
  <c r="X338" i="41"/>
  <c r="Z338" i="41" s="1"/>
  <c r="Y333" i="41"/>
  <c r="AA333" i="41" s="1"/>
  <c r="AC332" i="41"/>
  <c r="AE332" i="41" s="1"/>
  <c r="X329" i="41"/>
  <c r="Z329" i="41" s="1"/>
  <c r="Y324" i="41"/>
  <c r="AA324" i="41" s="1"/>
  <c r="AC323" i="41"/>
  <c r="AE323" i="41" s="1"/>
  <c r="X320" i="41"/>
  <c r="Z320" i="41" s="1"/>
  <c r="X316" i="41"/>
  <c r="Z316" i="41" s="1"/>
  <c r="AC315" i="41"/>
  <c r="AE315" i="41" s="1"/>
  <c r="X313" i="41"/>
  <c r="Z313" i="41" s="1"/>
  <c r="AC312" i="41"/>
  <c r="AE312" i="41" s="1"/>
  <c r="X310" i="41"/>
  <c r="Z310" i="41" s="1"/>
  <c r="AC309" i="41"/>
  <c r="AE309" i="41" s="1"/>
  <c r="X307" i="41"/>
  <c r="Z307" i="41" s="1"/>
  <c r="AC306" i="41"/>
  <c r="AE306" i="41" s="1"/>
  <c r="X304" i="41"/>
  <c r="Z304" i="41" s="1"/>
  <c r="AC303" i="41"/>
  <c r="AE303" i="41" s="1"/>
  <c r="X301" i="41"/>
  <c r="Z301" i="41" s="1"/>
  <c r="AC300" i="41"/>
  <c r="AE300" i="41" s="1"/>
  <c r="X298" i="41"/>
  <c r="Z298" i="41" s="1"/>
  <c r="AC297" i="41"/>
  <c r="AE297" i="41" s="1"/>
  <c r="X295" i="41"/>
  <c r="Z295" i="41" s="1"/>
  <c r="AC294" i="41"/>
  <c r="AE294" i="41" s="1"/>
  <c r="X292" i="41"/>
  <c r="Z292" i="41" s="1"/>
  <c r="AC291" i="41"/>
  <c r="AE291" i="41" s="1"/>
  <c r="AD563" i="41"/>
  <c r="AF563" i="41" s="1"/>
  <c r="Y492" i="41"/>
  <c r="AA492" i="41" s="1"/>
  <c r="AD454" i="41"/>
  <c r="AF454" i="41" s="1"/>
  <c r="AC443" i="41"/>
  <c r="AE443" i="41" s="1"/>
  <c r="Y435" i="41"/>
  <c r="AA435" i="41" s="1"/>
  <c r="AC412" i="41"/>
  <c r="AE412" i="41" s="1"/>
  <c r="X410" i="41"/>
  <c r="Z410" i="41" s="1"/>
  <c r="AD406" i="41"/>
  <c r="AF406" i="41" s="1"/>
  <c r="X401" i="41"/>
  <c r="Z401" i="41" s="1"/>
  <c r="AC394" i="41"/>
  <c r="AE394" i="41" s="1"/>
  <c r="X391" i="41"/>
  <c r="Z391" i="41" s="1"/>
  <c r="AD389" i="41"/>
  <c r="AF389" i="41" s="1"/>
  <c r="X382" i="41"/>
  <c r="Z382" i="41" s="1"/>
  <c r="AC379" i="41"/>
  <c r="AE379" i="41" s="1"/>
  <c r="X378" i="41"/>
  <c r="Z378" i="41" s="1"/>
  <c r="X360" i="41"/>
  <c r="Z360" i="41" s="1"/>
  <c r="AD354" i="41"/>
  <c r="AF354" i="41" s="1"/>
  <c r="X351" i="41"/>
  <c r="Z351" i="41" s="1"/>
  <c r="AD345" i="41"/>
  <c r="AF345" i="41" s="1"/>
  <c r="X342" i="41"/>
  <c r="Z342" i="41" s="1"/>
  <c r="AD336" i="41"/>
  <c r="AF336" i="41" s="1"/>
  <c r="X333" i="41"/>
  <c r="Z333" i="41" s="1"/>
  <c r="AD327" i="41"/>
  <c r="AF327" i="41" s="1"/>
  <c r="X324" i="41"/>
  <c r="Z324" i="41" s="1"/>
  <c r="AD318" i="41"/>
  <c r="AF318" i="41" s="1"/>
  <c r="AC470" i="41"/>
  <c r="AE470" i="41" s="1"/>
  <c r="X447" i="41"/>
  <c r="Z447" i="41" s="1"/>
  <c r="AD424" i="41"/>
  <c r="AF424" i="41" s="1"/>
  <c r="X416" i="41"/>
  <c r="Z416" i="41" s="1"/>
  <c r="AC402" i="41"/>
  <c r="AE402" i="41" s="1"/>
  <c r="AC400" i="41"/>
  <c r="AE400" i="41" s="1"/>
  <c r="Y392" i="41"/>
  <c r="AA392" i="41" s="1"/>
  <c r="AD390" i="41"/>
  <c r="AF390" i="41" s="1"/>
  <c r="AD381" i="41"/>
  <c r="AF381" i="41" s="1"/>
  <c r="AD376" i="41"/>
  <c r="AF376" i="41" s="1"/>
  <c r="X375" i="41"/>
  <c r="Z375" i="41" s="1"/>
  <c r="AD357" i="41"/>
  <c r="AF357" i="41" s="1"/>
  <c r="X354" i="41"/>
  <c r="Z354" i="41" s="1"/>
  <c r="AD348" i="41"/>
  <c r="AF348" i="41" s="1"/>
  <c r="X345" i="41"/>
  <c r="Z345" i="41" s="1"/>
  <c r="AD339" i="41"/>
  <c r="AF339" i="41" s="1"/>
  <c r="Y535" i="41"/>
  <c r="AA535" i="41" s="1"/>
  <c r="Y513" i="41"/>
  <c r="AA513" i="41" s="1"/>
  <c r="AD484" i="41"/>
  <c r="AF484" i="41" s="1"/>
  <c r="AD461" i="41"/>
  <c r="AF461" i="41" s="1"/>
  <c r="AC415" i="41"/>
  <c r="AE415" i="41" s="1"/>
  <c r="X405" i="41"/>
  <c r="Z405" i="41" s="1"/>
  <c r="AD403" i="41"/>
  <c r="AF403" i="41" s="1"/>
  <c r="AD391" i="41"/>
  <c r="AF391" i="41" s="1"/>
  <c r="Y388" i="41"/>
  <c r="AA388" i="41" s="1"/>
  <c r="AC385" i="41"/>
  <c r="AE385" i="41" s="1"/>
  <c r="AC382" i="41"/>
  <c r="AE382" i="41" s="1"/>
  <c r="X381" i="41"/>
  <c r="Z381" i="41" s="1"/>
  <c r="AC378" i="41"/>
  <c r="AE378" i="41" s="1"/>
  <c r="Y377" i="41"/>
  <c r="AA377" i="41" s="1"/>
  <c r="Y371" i="41"/>
  <c r="AA371" i="41" s="1"/>
  <c r="Y369" i="41"/>
  <c r="AA369" i="41" s="1"/>
  <c r="Y368" i="41"/>
  <c r="AA368" i="41" s="1"/>
  <c r="Y366" i="41"/>
  <c r="AA366" i="41" s="1"/>
  <c r="Y365" i="41"/>
  <c r="AA365" i="41" s="1"/>
  <c r="Y363" i="41"/>
  <c r="AA363" i="41" s="1"/>
  <c r="Y362" i="41"/>
  <c r="AA362" i="41" s="1"/>
  <c r="AD355" i="41"/>
  <c r="AF355" i="41" s="1"/>
  <c r="Y352" i="41"/>
  <c r="AA352" i="41" s="1"/>
  <c r="AD346" i="41"/>
  <c r="AF346" i="41" s="1"/>
  <c r="Y343" i="41"/>
  <c r="AA343" i="41" s="1"/>
  <c r="AC557" i="41"/>
  <c r="AE557" i="41" s="1"/>
  <c r="Y417" i="41"/>
  <c r="AA417" i="41" s="1"/>
  <c r="AC407" i="41"/>
  <c r="AE407" i="41" s="1"/>
  <c r="X402" i="41"/>
  <c r="Z402" i="41" s="1"/>
  <c r="AC389" i="41"/>
  <c r="AE389" i="41" s="1"/>
  <c r="X387" i="41"/>
  <c r="Z387" i="41" s="1"/>
  <c r="AD518" i="41"/>
  <c r="AF518" i="41" s="1"/>
  <c r="X456" i="41"/>
  <c r="Z456" i="41" s="1"/>
  <c r="Y448" i="41"/>
  <c r="AA448" i="41" s="1"/>
  <c r="AD434" i="41"/>
  <c r="AF434" i="41" s="1"/>
  <c r="X425" i="41"/>
  <c r="Z425" i="41" s="1"/>
  <c r="X389" i="41"/>
  <c r="Z389" i="41" s="1"/>
  <c r="AD380" i="41"/>
  <c r="AF380" i="41" s="1"/>
  <c r="AC358" i="41"/>
  <c r="AE358" i="41" s="1"/>
  <c r="Y357" i="41"/>
  <c r="AA357" i="41" s="1"/>
  <c r="AD353" i="41"/>
  <c r="AF353" i="41" s="1"/>
  <c r="AC347" i="41"/>
  <c r="AE347" i="41" s="1"/>
  <c r="Y341" i="41"/>
  <c r="AA341" i="41" s="1"/>
  <c r="Y465" i="41"/>
  <c r="AA465" i="41" s="1"/>
  <c r="AD455" i="41"/>
  <c r="AF455" i="41" s="1"/>
  <c r="AD404" i="41"/>
  <c r="AF404" i="41" s="1"/>
  <c r="X394" i="41"/>
  <c r="Z394" i="41" s="1"/>
  <c r="AD382" i="41"/>
  <c r="AF382" i="41" s="1"/>
  <c r="AC380" i="41"/>
  <c r="AE380" i="41" s="1"/>
  <c r="X357" i="41"/>
  <c r="Z357" i="41" s="1"/>
  <c r="AC353" i="41"/>
  <c r="AE353" i="41" s="1"/>
  <c r="AD342" i="41"/>
  <c r="AF342" i="41" s="1"/>
  <c r="X341" i="41"/>
  <c r="Z341" i="41" s="1"/>
  <c r="X315" i="41"/>
  <c r="Z315" i="41" s="1"/>
  <c r="AC313" i="41"/>
  <c r="AE313" i="41" s="1"/>
  <c r="X306" i="41"/>
  <c r="Z306" i="41" s="1"/>
  <c r="AC304" i="41"/>
  <c r="AE304" i="41" s="1"/>
  <c r="X297" i="41"/>
  <c r="Z297" i="41" s="1"/>
  <c r="AC295" i="41"/>
  <c r="AE295" i="41" s="1"/>
  <c r="X289" i="41"/>
  <c r="Z289" i="41" s="1"/>
  <c r="AD287" i="41"/>
  <c r="AF287" i="41" s="1"/>
  <c r="Y284" i="41"/>
  <c r="AA284" i="41" s="1"/>
  <c r="AC283" i="41"/>
  <c r="AE283" i="41" s="1"/>
  <c r="Y474" i="41"/>
  <c r="AA474" i="41" s="1"/>
  <c r="AC426" i="41"/>
  <c r="AE426" i="41" s="1"/>
  <c r="AD402" i="41"/>
  <c r="AF402" i="41" s="1"/>
  <c r="AC397" i="41"/>
  <c r="AE397" i="41" s="1"/>
  <c r="AD385" i="41"/>
  <c r="AF385" i="41" s="1"/>
  <c r="Y383" i="41"/>
  <c r="AA383" i="41" s="1"/>
  <c r="Y381" i="41"/>
  <c r="AA381" i="41" s="1"/>
  <c r="X379" i="41"/>
  <c r="Z379" i="41" s="1"/>
  <c r="AD375" i="41"/>
  <c r="AF375" i="41" s="1"/>
  <c r="AD351" i="41"/>
  <c r="AF351" i="41" s="1"/>
  <c r="X350" i="41"/>
  <c r="Z350" i="41" s="1"/>
  <c r="Y345" i="41"/>
  <c r="AA345" i="41" s="1"/>
  <c r="X339" i="41"/>
  <c r="Z339" i="41" s="1"/>
  <c r="X326" i="41"/>
  <c r="Z326" i="41" s="1"/>
  <c r="Y325" i="41"/>
  <c r="AA325" i="41" s="1"/>
  <c r="X323" i="41"/>
  <c r="Z323" i="41" s="1"/>
  <c r="Y322" i="41"/>
  <c r="AA322" i="41" s="1"/>
  <c r="Y321" i="41"/>
  <c r="AA321" i="41" s="1"/>
  <c r="Y319" i="41"/>
  <c r="AA319" i="41" s="1"/>
  <c r="Y318" i="41"/>
  <c r="AA318" i="41" s="1"/>
  <c r="AC316" i="41"/>
  <c r="AE316" i="41" s="1"/>
  <c r="X309" i="41"/>
  <c r="Z309" i="41" s="1"/>
  <c r="AC307" i="41"/>
  <c r="AE307" i="41" s="1"/>
  <c r="X300" i="41"/>
  <c r="Z300" i="41" s="1"/>
  <c r="AC298" i="41"/>
  <c r="AE298" i="41" s="1"/>
  <c r="X291" i="41"/>
  <c r="Z291" i="41" s="1"/>
  <c r="AC289" i="41"/>
  <c r="AE289" i="41" s="1"/>
  <c r="X286" i="41"/>
  <c r="Z286" i="41" s="1"/>
  <c r="AD284" i="41"/>
  <c r="AF284" i="41" s="1"/>
  <c r="AC467" i="41"/>
  <c r="AE467" i="41" s="1"/>
  <c r="Y449" i="41"/>
  <c r="AA449" i="41" s="1"/>
  <c r="Y426" i="41"/>
  <c r="AA426" i="41" s="1"/>
  <c r="AD421" i="41"/>
  <c r="AF421" i="41" s="1"/>
  <c r="AC417" i="41"/>
  <c r="AE417" i="41" s="1"/>
  <c r="Y402" i="41"/>
  <c r="AA402" i="41" s="1"/>
  <c r="AC541" i="41"/>
  <c r="AE541" i="41" s="1"/>
  <c r="X487" i="41"/>
  <c r="Z487" i="41" s="1"/>
  <c r="AD462" i="41"/>
  <c r="AF462" i="41" s="1"/>
  <c r="X424" i="41"/>
  <c r="Z424" i="41" s="1"/>
  <c r="AD372" i="41"/>
  <c r="AF372" i="41" s="1"/>
  <c r="AC370" i="41"/>
  <c r="AE370" i="41" s="1"/>
  <c r="X368" i="41"/>
  <c r="Z368" i="41" s="1"/>
  <c r="AC364" i="41"/>
  <c r="AE364" i="41" s="1"/>
  <c r="X362" i="41"/>
  <c r="Z362" i="41" s="1"/>
  <c r="AD360" i="41"/>
  <c r="AF360" i="41" s="1"/>
  <c r="Y347" i="41"/>
  <c r="AA347" i="41" s="1"/>
  <c r="X344" i="41"/>
  <c r="Z344" i="41" s="1"/>
  <c r="AC335" i="41"/>
  <c r="AE335" i="41" s="1"/>
  <c r="AD328" i="41"/>
  <c r="AF328" i="41" s="1"/>
  <c r="Y327" i="41"/>
  <c r="AA327" i="41" s="1"/>
  <c r="AD322" i="41"/>
  <c r="AF322" i="41" s="1"/>
  <c r="Y320" i="41"/>
  <c r="AA320" i="41" s="1"/>
  <c r="AD314" i="41"/>
  <c r="AF314" i="41" s="1"/>
  <c r="AD313" i="41"/>
  <c r="AF313" i="41" s="1"/>
  <c r="AC299" i="41"/>
  <c r="AE299" i="41" s="1"/>
  <c r="Y297" i="41"/>
  <c r="AA297" i="41" s="1"/>
  <c r="X296" i="41"/>
  <c r="Z296" i="41" s="1"/>
  <c r="X279" i="41"/>
  <c r="Z279" i="41" s="1"/>
  <c r="Y278" i="41"/>
  <c r="AA278" i="41" s="1"/>
  <c r="AC276" i="41"/>
  <c r="AE276" i="41" s="1"/>
  <c r="X270" i="41"/>
  <c r="Z270" i="41" s="1"/>
  <c r="Y269" i="41"/>
  <c r="AA269" i="41" s="1"/>
  <c r="AC267" i="41"/>
  <c r="AE267" i="41" s="1"/>
  <c r="X261" i="41"/>
  <c r="Z261" i="41" s="1"/>
  <c r="Y260" i="41"/>
  <c r="AA260" i="41" s="1"/>
  <c r="X539" i="41"/>
  <c r="Z539" i="41" s="1"/>
  <c r="AD392" i="41"/>
  <c r="AF392" i="41" s="1"/>
  <c r="X372" i="41"/>
  <c r="Z372" i="41" s="1"/>
  <c r="AC355" i="41"/>
  <c r="AE355" i="41" s="1"/>
  <c r="AD350" i="41"/>
  <c r="AF350" i="41" s="1"/>
  <c r="Y339" i="41"/>
  <c r="AA339" i="41" s="1"/>
  <c r="AD329" i="41"/>
  <c r="AF329" i="41" s="1"/>
  <c r="AC328" i="41"/>
  <c r="AE328" i="41" s="1"/>
  <c r="X327" i="41"/>
  <c r="Z327" i="41" s="1"/>
  <c r="AC322" i="41"/>
  <c r="AE322" i="41" s="1"/>
  <c r="AC314" i="41"/>
  <c r="AE314" i="41" s="1"/>
  <c r="Y312" i="41"/>
  <c r="AA312" i="41" s="1"/>
  <c r="Y311" i="41"/>
  <c r="AA311" i="41" s="1"/>
  <c r="Y310" i="41"/>
  <c r="AA310" i="41" s="1"/>
  <c r="AD302" i="41"/>
  <c r="AF302" i="41" s="1"/>
  <c r="AD301" i="41"/>
  <c r="AF301" i="41" s="1"/>
  <c r="AD300" i="41"/>
  <c r="AF300" i="41" s="1"/>
  <c r="X278" i="41"/>
  <c r="Z278" i="41" s="1"/>
  <c r="Y277" i="41"/>
  <c r="AA277" i="41" s="1"/>
  <c r="AD275" i="41"/>
  <c r="AF275" i="41" s="1"/>
  <c r="X269" i="41"/>
  <c r="Z269" i="41" s="1"/>
  <c r="Y268" i="41"/>
  <c r="AA268" i="41" s="1"/>
  <c r="AD266" i="41"/>
  <c r="AF266" i="41" s="1"/>
  <c r="X260" i="41"/>
  <c r="Z260" i="41" s="1"/>
  <c r="Y259" i="41"/>
  <c r="AA259" i="41" s="1"/>
  <c r="AD415" i="41"/>
  <c r="AF415" i="41" s="1"/>
  <c r="Y409" i="41"/>
  <c r="AA409" i="41" s="1"/>
  <c r="Y400" i="41"/>
  <c r="AA400" i="41" s="1"/>
  <c r="X484" i="41"/>
  <c r="Z484" i="41" s="1"/>
  <c r="AC444" i="41"/>
  <c r="AE444" i="41" s="1"/>
  <c r="Y415" i="41"/>
  <c r="AA415" i="41" s="1"/>
  <c r="X400" i="41"/>
  <c r="Z400" i="41" s="1"/>
  <c r="AC395" i="41"/>
  <c r="AE395" i="41" s="1"/>
  <c r="AD384" i="41"/>
  <c r="AF384" i="41" s="1"/>
  <c r="Y379" i="41"/>
  <c r="AA379" i="41" s="1"/>
  <c r="AC376" i="41"/>
  <c r="AE376" i="41" s="1"/>
  <c r="X374" i="41"/>
  <c r="Z374" i="41" s="1"/>
  <c r="Y358" i="41"/>
  <c r="AA358" i="41" s="1"/>
  <c r="Y350" i="41"/>
  <c r="AA350" i="41" s="1"/>
  <c r="AD343" i="41"/>
  <c r="AF343" i="41" s="1"/>
  <c r="AC340" i="41"/>
  <c r="AE340" i="41" s="1"/>
  <c r="Y335" i="41"/>
  <c r="AA335" i="41" s="1"/>
  <c r="AD330" i="41"/>
  <c r="AF330" i="41" s="1"/>
  <c r="AD323" i="41"/>
  <c r="AF323" i="41" s="1"/>
  <c r="AD317" i="41"/>
  <c r="AF317" i="41" s="1"/>
  <c r="AD316" i="41"/>
  <c r="AF316" i="41" s="1"/>
  <c r="Y314" i="41"/>
  <c r="AA314" i="41" s="1"/>
  <c r="Y313" i="41"/>
  <c r="AA313" i="41" s="1"/>
  <c r="AD303" i="41"/>
  <c r="AF303" i="41" s="1"/>
  <c r="Y300" i="41"/>
  <c r="AA300" i="41" s="1"/>
  <c r="X299" i="41"/>
  <c r="Z299" i="41" s="1"/>
  <c r="AD290" i="41"/>
  <c r="AF290" i="41" s="1"/>
  <c r="AD289" i="41"/>
  <c r="AF289" i="41" s="1"/>
  <c r="AD288" i="41"/>
  <c r="AF288" i="41" s="1"/>
  <c r="AC287" i="41"/>
  <c r="AE287" i="41" s="1"/>
  <c r="AD286" i="41"/>
  <c r="AF286" i="41" s="1"/>
  <c r="Y276" i="41"/>
  <c r="AA276" i="41" s="1"/>
  <c r="AC274" i="41"/>
  <c r="AE274" i="41" s="1"/>
  <c r="AD273" i="41"/>
  <c r="AF273" i="41" s="1"/>
  <c r="Y267" i="41"/>
  <c r="AA267" i="41" s="1"/>
  <c r="AC265" i="41"/>
  <c r="AE265" i="41" s="1"/>
  <c r="AD264" i="41"/>
  <c r="AF264" i="41" s="1"/>
  <c r="AC481" i="41"/>
  <c r="AE481" i="41" s="1"/>
  <c r="AD414" i="41"/>
  <c r="AF414" i="41" s="1"/>
  <c r="AD408" i="41"/>
  <c r="AF408" i="41" s="1"/>
  <c r="X453" i="41"/>
  <c r="Z453" i="41" s="1"/>
  <c r="AD471" i="41"/>
  <c r="AF471" i="41" s="1"/>
  <c r="Y452" i="41"/>
  <c r="AA452" i="41" s="1"/>
  <c r="X419" i="41"/>
  <c r="Z419" i="41" s="1"/>
  <c r="X412" i="41"/>
  <c r="Z412" i="41" s="1"/>
  <c r="AC406" i="41"/>
  <c r="AE406" i="41" s="1"/>
  <c r="Y408" i="41"/>
  <c r="AA408" i="41" s="1"/>
  <c r="X398" i="41"/>
  <c r="Z398" i="41" s="1"/>
  <c r="X380" i="41"/>
  <c r="Z380" i="41" s="1"/>
  <c r="AC373" i="41"/>
  <c r="AE373" i="41" s="1"/>
  <c r="Y353" i="41"/>
  <c r="AA353" i="41" s="1"/>
  <c r="Y349" i="41"/>
  <c r="AA349" i="41" s="1"/>
  <c r="Y340" i="41"/>
  <c r="AA340" i="41" s="1"/>
  <c r="AC338" i="41"/>
  <c r="AE338" i="41" s="1"/>
  <c r="X335" i="41"/>
  <c r="Z335" i="41" s="1"/>
  <c r="X332" i="41"/>
  <c r="Z332" i="41" s="1"/>
  <c r="AC290" i="41"/>
  <c r="AE290" i="41" s="1"/>
  <c r="AC286" i="41"/>
  <c r="AE286" i="41" s="1"/>
  <c r="X285" i="41"/>
  <c r="Z285" i="41" s="1"/>
  <c r="AD282" i="41"/>
  <c r="AF282" i="41" s="1"/>
  <c r="X280" i="41"/>
  <c r="Z280" i="41" s="1"/>
  <c r="Y275" i="41"/>
  <c r="AA275" i="41" s="1"/>
  <c r="AD270" i="41"/>
  <c r="AF270" i="41" s="1"/>
  <c r="AC269" i="41"/>
  <c r="AE269" i="41" s="1"/>
  <c r="AC264" i="41"/>
  <c r="AE264" i="41" s="1"/>
  <c r="X262" i="41"/>
  <c r="Z262" i="41" s="1"/>
  <c r="AD422" i="41"/>
  <c r="AF422" i="41" s="1"/>
  <c r="X406" i="41"/>
  <c r="Z406" i="41" s="1"/>
  <c r="X393" i="41"/>
  <c r="Z393" i="41" s="1"/>
  <c r="AD383" i="41"/>
  <c r="AF383" i="41" s="1"/>
  <c r="AD370" i="41"/>
  <c r="AF370" i="41" s="1"/>
  <c r="AD367" i="41"/>
  <c r="AF367" i="41" s="1"/>
  <c r="AD362" i="41"/>
  <c r="AF362" i="41" s="1"/>
  <c r="X353" i="41"/>
  <c r="Z353" i="41" s="1"/>
  <c r="AD344" i="41"/>
  <c r="AF344" i="41" s="1"/>
  <c r="AD319" i="41"/>
  <c r="AF319" i="41" s="1"/>
  <c r="Y309" i="41"/>
  <c r="AA309" i="41" s="1"/>
  <c r="Y306" i="41"/>
  <c r="AA306" i="41" s="1"/>
  <c r="Y303" i="41"/>
  <c r="AA303" i="41" s="1"/>
  <c r="Y296" i="41"/>
  <c r="AA296" i="41" s="1"/>
  <c r="AC282" i="41"/>
  <c r="AE282" i="41" s="1"/>
  <c r="Y281" i="41"/>
  <c r="AA281" i="41" s="1"/>
  <c r="AD276" i="41"/>
  <c r="AF276" i="41" s="1"/>
  <c r="X275" i="41"/>
  <c r="Z275" i="41" s="1"/>
  <c r="AC270" i="41"/>
  <c r="AE270" i="41" s="1"/>
  <c r="Y263" i="41"/>
  <c r="AA263" i="41" s="1"/>
  <c r="X451" i="41"/>
  <c r="Z451" i="41" s="1"/>
  <c r="Y387" i="41"/>
  <c r="AA387" i="41" s="1"/>
  <c r="AC367" i="41"/>
  <c r="AE367" i="41" s="1"/>
  <c r="AD359" i="41"/>
  <c r="AF359" i="41" s="1"/>
  <c r="Y355" i="41"/>
  <c r="AA355" i="41" s="1"/>
  <c r="AC344" i="41"/>
  <c r="AE344" i="41" s="1"/>
  <c r="Y338" i="41"/>
  <c r="AA338" i="41" s="1"/>
  <c r="AD333" i="41"/>
  <c r="AF333" i="41" s="1"/>
  <c r="Y330" i="41"/>
  <c r="AA330" i="41" s="1"/>
  <c r="AD325" i="41"/>
  <c r="AF325" i="41" s="1"/>
  <c r="AC319" i="41"/>
  <c r="AE319" i="41" s="1"/>
  <c r="Y316" i="41"/>
  <c r="AA316" i="41" s="1"/>
  <c r="AD310" i="41"/>
  <c r="AF310" i="41" s="1"/>
  <c r="X303" i="41"/>
  <c r="Z303" i="41" s="1"/>
  <c r="Y293" i="41"/>
  <c r="AA293" i="41" s="1"/>
  <c r="Y290" i="41"/>
  <c r="AA290" i="41" s="1"/>
  <c r="X281" i="41"/>
  <c r="Z281" i="41" s="1"/>
  <c r="AD271" i="41"/>
  <c r="AF271" i="41" s="1"/>
  <c r="AD265" i="41"/>
  <c r="AF265" i="41" s="1"/>
  <c r="X263" i="41"/>
  <c r="Z263" i="41" s="1"/>
  <c r="Y499" i="41"/>
  <c r="AA499" i="41" s="1"/>
  <c r="AC346" i="41"/>
  <c r="AE346" i="41" s="1"/>
  <c r="Y336" i="41"/>
  <c r="AA336" i="41" s="1"/>
  <c r="AD331" i="41"/>
  <c r="AF331" i="41" s="1"/>
  <c r="X330" i="41"/>
  <c r="Z330" i="41" s="1"/>
  <c r="AC325" i="41"/>
  <c r="AE325" i="41" s="1"/>
  <c r="AC317" i="41"/>
  <c r="AE317" i="41" s="1"/>
  <c r="AC310" i="41"/>
  <c r="AE310" i="41" s="1"/>
  <c r="AD307" i="41"/>
  <c r="AF307" i="41" s="1"/>
  <c r="AD304" i="41"/>
  <c r="AF304" i="41" s="1"/>
  <c r="AD297" i="41"/>
  <c r="AF297" i="41" s="1"/>
  <c r="AD294" i="41"/>
  <c r="AF294" i="41" s="1"/>
  <c r="X293" i="41"/>
  <c r="Z293" i="41" s="1"/>
  <c r="X290" i="41"/>
  <c r="Z290" i="41" s="1"/>
  <c r="Y286" i="41"/>
  <c r="AA286" i="41" s="1"/>
  <c r="AD283" i="41"/>
  <c r="AF283" i="41" s="1"/>
  <c r="Y282" i="41"/>
  <c r="AA282" i="41" s="1"/>
  <c r="AD277" i="41"/>
  <c r="AF277" i="41" s="1"/>
  <c r="X276" i="41"/>
  <c r="Z276" i="41" s="1"/>
  <c r="AC271" i="41"/>
  <c r="AE271" i="41" s="1"/>
  <c r="Y264" i="41"/>
  <c r="AA264" i="41" s="1"/>
  <c r="AD259" i="41"/>
  <c r="AF259" i="41" s="1"/>
  <c r="AC498" i="41"/>
  <c r="AE498" i="41" s="1"/>
  <c r="AC396" i="41"/>
  <c r="AE396" i="41" s="1"/>
  <c r="Y386" i="41"/>
  <c r="AA386" i="41" s="1"/>
  <c r="AD364" i="41"/>
  <c r="AF364" i="41" s="1"/>
  <c r="AD361" i="41"/>
  <c r="AF361" i="41" s="1"/>
  <c r="Y359" i="41"/>
  <c r="AA359" i="41" s="1"/>
  <c r="AD418" i="41"/>
  <c r="AF418" i="41" s="1"/>
  <c r="X386" i="41"/>
  <c r="Z386" i="41" s="1"/>
  <c r="AC361" i="41"/>
  <c r="AE361" i="41" s="1"/>
  <c r="X359" i="41"/>
  <c r="Z359" i="41" s="1"/>
  <c r="X348" i="41"/>
  <c r="Z348" i="41" s="1"/>
  <c r="Y473" i="41"/>
  <c r="AA473" i="41" s="1"/>
  <c r="X414" i="41"/>
  <c r="Z414" i="41" s="1"/>
  <c r="AC390" i="41"/>
  <c r="AE390" i="41" s="1"/>
  <c r="AC381" i="41"/>
  <c r="AE381" i="41" s="1"/>
  <c r="AD352" i="41"/>
  <c r="AF352" i="41" s="1"/>
  <c r="AC343" i="41"/>
  <c r="AE343" i="41" s="1"/>
  <c r="AD341" i="41"/>
  <c r="AF341" i="41" s="1"/>
  <c r="AD337" i="41"/>
  <c r="AF337" i="41" s="1"/>
  <c r="AD334" i="41"/>
  <c r="AF334" i="41" s="1"/>
  <c r="AD326" i="41"/>
  <c r="AF326" i="41" s="1"/>
  <c r="AC320" i="41"/>
  <c r="AE320" i="41" s="1"/>
  <c r="X317" i="41"/>
  <c r="Z317" i="41" s="1"/>
  <c r="X314" i="41"/>
  <c r="Z314" i="41" s="1"/>
  <c r="AC311" i="41"/>
  <c r="AE311" i="41" s="1"/>
  <c r="AD308" i="41"/>
  <c r="AF308" i="41" s="1"/>
  <c r="Y307" i="41"/>
  <c r="AA307" i="41" s="1"/>
  <c r="AD305" i="41"/>
  <c r="AF305" i="41" s="1"/>
  <c r="Y304" i="41"/>
  <c r="AA304" i="41" s="1"/>
  <c r="X294" i="41"/>
  <c r="Z294" i="41" s="1"/>
  <c r="Y291" i="41"/>
  <c r="AA291" i="41" s="1"/>
  <c r="AC288" i="41"/>
  <c r="AE288" i="41" s="1"/>
  <c r="X287" i="41"/>
  <c r="Z287" i="41" s="1"/>
  <c r="AC284" i="41"/>
  <c r="AE284" i="41" s="1"/>
  <c r="Y283" i="41"/>
  <c r="AA283" i="41" s="1"/>
  <c r="AD279" i="41"/>
  <c r="AF279" i="41" s="1"/>
  <c r="AC278" i="41"/>
  <c r="AE278" i="41" s="1"/>
  <c r="AC273" i="41"/>
  <c r="AE273" i="41" s="1"/>
  <c r="X271" i="41"/>
  <c r="Z271" i="41" s="1"/>
  <c r="Y266" i="41"/>
  <c r="AA266" i="41" s="1"/>
  <c r="AD261" i="41"/>
  <c r="AF261" i="41" s="1"/>
  <c r="AC260" i="41"/>
  <c r="AE260" i="41" s="1"/>
  <c r="AD427" i="41"/>
  <c r="AF427" i="41" s="1"/>
  <c r="Y411" i="41"/>
  <c r="AA411" i="41" s="1"/>
  <c r="AC377" i="41"/>
  <c r="AE377" i="41" s="1"/>
  <c r="AD368" i="41"/>
  <c r="AF368" i="41" s="1"/>
  <c r="AD365" i="41"/>
  <c r="AF365" i="41" s="1"/>
  <c r="AC349" i="41"/>
  <c r="AE349" i="41" s="1"/>
  <c r="AD347" i="41"/>
  <c r="AF347" i="41" s="1"/>
  <c r="AC352" i="41"/>
  <c r="AE352" i="41" s="1"/>
  <c r="AD338" i="41"/>
  <c r="AF338" i="41" s="1"/>
  <c r="AD332" i="41"/>
  <c r="AF332" i="41" s="1"/>
  <c r="AD324" i="41"/>
  <c r="AF324" i="41" s="1"/>
  <c r="AC301" i="41"/>
  <c r="AE301" i="41" s="1"/>
  <c r="Y299" i="41"/>
  <c r="AA299" i="41" s="1"/>
  <c r="AD291" i="41"/>
  <c r="AF291" i="41" s="1"/>
  <c r="AC280" i="41"/>
  <c r="AE280" i="41" s="1"/>
  <c r="Y274" i="41"/>
  <c r="AA274" i="41" s="1"/>
  <c r="X272" i="41"/>
  <c r="Z272" i="41" s="1"/>
  <c r="X268" i="41"/>
  <c r="Z268" i="41" s="1"/>
  <c r="X385" i="41"/>
  <c r="Z385" i="41" s="1"/>
  <c r="Y374" i="41"/>
  <c r="AA374" i="41" s="1"/>
  <c r="AD358" i="41"/>
  <c r="AF358" i="41" s="1"/>
  <c r="Y346" i="41"/>
  <c r="AA346" i="41" s="1"/>
  <c r="AC329" i="41"/>
  <c r="AE329" i="41" s="1"/>
  <c r="X311" i="41"/>
  <c r="Z311" i="41" s="1"/>
  <c r="AD306" i="41"/>
  <c r="AF306" i="41" s="1"/>
  <c r="Y301" i="41"/>
  <c r="AA301" i="41" s="1"/>
  <c r="AD296" i="41"/>
  <c r="AF296" i="41" s="1"/>
  <c r="Y289" i="41"/>
  <c r="AA289" i="41" s="1"/>
  <c r="X282" i="41"/>
  <c r="Z282" i="41" s="1"/>
  <c r="X274" i="41"/>
  <c r="Z274" i="41" s="1"/>
  <c r="AD469" i="41"/>
  <c r="AF469" i="41" s="1"/>
  <c r="AC337" i="41"/>
  <c r="AE337" i="41" s="1"/>
  <c r="Y332" i="41"/>
  <c r="AA332" i="41" s="1"/>
  <c r="AC326" i="41"/>
  <c r="AE326" i="41" s="1"/>
  <c r="AD321" i="41"/>
  <c r="AF321" i="41" s="1"/>
  <c r="AC308" i="41"/>
  <c r="AE308" i="41" s="1"/>
  <c r="AC296" i="41"/>
  <c r="AE296" i="41" s="1"/>
  <c r="Y280" i="41"/>
  <c r="AA280" i="41" s="1"/>
  <c r="AC261" i="41"/>
  <c r="AE261" i="41" s="1"/>
  <c r="AC259" i="41"/>
  <c r="AE259" i="41" s="1"/>
  <c r="X365" i="41"/>
  <c r="Z365" i="41" s="1"/>
  <c r="Y337" i="41"/>
  <c r="AA337" i="41" s="1"/>
  <c r="AC334" i="41"/>
  <c r="AE334" i="41" s="1"/>
  <c r="AC331" i="41"/>
  <c r="AE331" i="41" s="1"/>
  <c r="Y329" i="41"/>
  <c r="AA329" i="41" s="1"/>
  <c r="X321" i="41"/>
  <c r="Z321" i="41" s="1"/>
  <c r="AD298" i="41"/>
  <c r="AF298" i="41" s="1"/>
  <c r="AD293" i="41"/>
  <c r="AF293" i="41" s="1"/>
  <c r="X284" i="41"/>
  <c r="Z284" i="41" s="1"/>
  <c r="AD267" i="41"/>
  <c r="AF267" i="41" s="1"/>
  <c r="Y265" i="41"/>
  <c r="AA265" i="41" s="1"/>
  <c r="AD263" i="41"/>
  <c r="AF263" i="41" s="1"/>
  <c r="X259" i="41"/>
  <c r="Z259" i="41" s="1"/>
  <c r="AD436" i="41"/>
  <c r="AF436" i="41" s="1"/>
  <c r="Y395" i="41"/>
  <c r="AA395" i="41" s="1"/>
  <c r="AD371" i="41"/>
  <c r="AF371" i="41" s="1"/>
  <c r="AD356" i="41"/>
  <c r="AF356" i="41" s="1"/>
  <c r="Y334" i="41"/>
  <c r="AA334" i="41" s="1"/>
  <c r="Y323" i="41"/>
  <c r="AA323" i="41" s="1"/>
  <c r="X318" i="41"/>
  <c r="Z318" i="41" s="1"/>
  <c r="AD315" i="41"/>
  <c r="AF315" i="41" s="1"/>
  <c r="Y308" i="41"/>
  <c r="AA308" i="41" s="1"/>
  <c r="AC305" i="41"/>
  <c r="AE305" i="41" s="1"/>
  <c r="Y298" i="41"/>
  <c r="AA298" i="41" s="1"/>
  <c r="AC293" i="41"/>
  <c r="AE293" i="41" s="1"/>
  <c r="Y288" i="41"/>
  <c r="AA288" i="41" s="1"/>
  <c r="X265" i="41"/>
  <c r="Z265" i="41" s="1"/>
  <c r="AC263" i="41"/>
  <c r="AE263" i="41" s="1"/>
  <c r="AC431" i="41"/>
  <c r="AE431" i="41" s="1"/>
  <c r="X371" i="41"/>
  <c r="Z371" i="41" s="1"/>
  <c r="AC356" i="41"/>
  <c r="AE356" i="41" s="1"/>
  <c r="Y331" i="41"/>
  <c r="AA331" i="41" s="1"/>
  <c r="Y326" i="41"/>
  <c r="AA326" i="41" s="1"/>
  <c r="AD320" i="41"/>
  <c r="AF320" i="41" s="1"/>
  <c r="Y315" i="41"/>
  <c r="AA315" i="41" s="1"/>
  <c r="X308" i="41"/>
  <c r="Z308" i="41" s="1"/>
  <c r="AD295" i="41"/>
  <c r="AF295" i="41" s="1"/>
  <c r="X288" i="41"/>
  <c r="Z288" i="41" s="1"/>
  <c r="AC279" i="41"/>
  <c r="AE279" i="41" s="1"/>
  <c r="AC277" i="41"/>
  <c r="AE277" i="41" s="1"/>
  <c r="Y271" i="41"/>
  <c r="AA271" i="41" s="1"/>
  <c r="AD269" i="41"/>
  <c r="AF269" i="41" s="1"/>
  <c r="X267" i="41"/>
  <c r="Z267" i="41" s="1"/>
  <c r="Y261" i="41"/>
  <c r="AA261" i="41" s="1"/>
  <c r="Y348" i="41"/>
  <c r="AA348" i="41" s="1"/>
  <c r="AD312" i="41"/>
  <c r="AF312" i="41" s="1"/>
  <c r="Y295" i="41"/>
  <c r="AA295" i="41" s="1"/>
  <c r="AC292" i="41"/>
  <c r="AE292" i="41" s="1"/>
  <c r="AD285" i="41"/>
  <c r="AF285" i="41" s="1"/>
  <c r="X283" i="41"/>
  <c r="Z283" i="41" s="1"/>
  <c r="Y279" i="41"/>
  <c r="AA279" i="41" s="1"/>
  <c r="AD262" i="41"/>
  <c r="AF262" i="41" s="1"/>
  <c r="AD260" i="41"/>
  <c r="AF260" i="41" s="1"/>
  <c r="X302" i="41"/>
  <c r="Z302" i="41" s="1"/>
  <c r="Y287" i="41"/>
  <c r="AA287" i="41" s="1"/>
  <c r="Y285" i="41"/>
  <c r="AA285" i="41" s="1"/>
  <c r="AD274" i="41"/>
  <c r="AF274" i="41" s="1"/>
  <c r="AC272" i="41"/>
  <c r="AE272" i="41" s="1"/>
  <c r="AD268" i="41"/>
  <c r="AF268" i="41" s="1"/>
  <c r="X266" i="41"/>
  <c r="Z266" i="41" s="1"/>
  <c r="X264" i="41"/>
  <c r="Z264" i="41" s="1"/>
  <c r="AD335" i="41"/>
  <c r="AF335" i="41" s="1"/>
  <c r="AD311" i="41"/>
  <c r="AF311" i="41" s="1"/>
  <c r="AD309" i="41"/>
  <c r="AF309" i="41" s="1"/>
  <c r="AD299" i="41"/>
  <c r="AF299" i="41" s="1"/>
  <c r="Y294" i="41"/>
  <c r="AA294" i="41" s="1"/>
  <c r="Y292" i="41"/>
  <c r="AA292" i="41" s="1"/>
  <c r="AD280" i="41"/>
  <c r="AF280" i="41" s="1"/>
  <c r="AD278" i="41"/>
  <c r="AF278" i="41" s="1"/>
  <c r="Y272" i="41"/>
  <c r="AA272" i="41" s="1"/>
  <c r="Y270" i="41"/>
  <c r="AA270" i="41" s="1"/>
  <c r="AC268" i="41"/>
  <c r="AE268" i="41" s="1"/>
  <c r="Y262" i="41"/>
  <c r="AA262" i="41" s="1"/>
  <c r="Y328" i="41"/>
  <c r="AA328" i="41" s="1"/>
  <c r="AD340" i="41"/>
  <c r="AF340" i="41" s="1"/>
  <c r="X428" i="41"/>
  <c r="Z428" i="41" s="1"/>
  <c r="AF132" i="41" l="1"/>
  <c r="AJ132" i="41"/>
  <c r="Z128" i="41"/>
  <c r="AK132" i="41"/>
  <c r="U128" i="41"/>
  <c r="AA128" i="41"/>
  <c r="Z132" i="41"/>
  <c r="AA132" i="41"/>
  <c r="AJ128" i="41"/>
  <c r="AK128" i="41"/>
  <c r="AF128" i="41"/>
  <c r="AE132" i="41"/>
  <c r="V128" i="41"/>
  <c r="AE128" i="41"/>
  <c r="AK127" i="41"/>
  <c r="Z127" i="41"/>
  <c r="AJ127" i="41"/>
  <c r="AE127" i="41"/>
  <c r="AF127" i="41"/>
  <c r="AA127" i="41"/>
  <c r="V127" i="41"/>
  <c r="U127" i="41"/>
  <c r="AF11" i="41"/>
  <c r="AA76" i="41"/>
  <c r="AA121" i="41"/>
  <c r="AA115" i="41"/>
  <c r="AA75" i="41"/>
  <c r="AA124" i="41"/>
  <c r="AA73" i="41"/>
  <c r="AA92" i="41"/>
  <c r="AA117" i="41"/>
  <c r="AA28" i="41"/>
  <c r="AA109" i="41"/>
  <c r="AA74" i="41"/>
  <c r="AA88" i="41"/>
  <c r="AA111" i="41"/>
  <c r="AA114" i="41"/>
  <c r="AA20" i="41"/>
  <c r="AA118" i="41"/>
  <c r="AA95" i="41"/>
  <c r="AA90" i="41"/>
  <c r="AA126" i="41"/>
  <c r="AA93" i="41"/>
  <c r="AA25" i="41"/>
  <c r="AA119" i="41"/>
  <c r="AA91" i="41"/>
  <c r="AA125" i="41"/>
  <c r="AA112" i="41"/>
  <c r="AA50" i="41"/>
  <c r="AA16" i="41"/>
  <c r="AA54" i="41"/>
  <c r="AA56" i="41"/>
  <c r="AA24" i="41"/>
  <c r="AA81" i="41"/>
  <c r="AA49" i="41"/>
  <c r="AA15" i="41"/>
  <c r="AA107" i="41"/>
  <c r="AA123" i="41"/>
  <c r="AA122" i="41"/>
  <c r="AA94" i="41"/>
  <c r="AA48" i="41"/>
  <c r="AA14" i="41"/>
  <c r="AA108" i="41"/>
  <c r="AA116" i="41"/>
  <c r="AA110" i="41"/>
  <c r="AA86" i="41"/>
  <c r="AA113" i="41"/>
  <c r="AA47" i="41"/>
  <c r="AA13" i="41"/>
  <c r="AA55" i="41"/>
  <c r="AA46" i="41"/>
  <c r="AA12" i="41"/>
  <c r="AA87" i="41"/>
  <c r="AA89" i="41"/>
  <c r="AA31" i="41"/>
  <c r="Z88" i="41"/>
  <c r="Z14" i="41"/>
  <c r="Z122" i="41"/>
  <c r="Z108" i="41"/>
  <c r="Z12" i="41"/>
  <c r="Z125" i="41"/>
  <c r="Z116" i="41"/>
  <c r="Z28" i="41"/>
  <c r="Z13" i="41"/>
  <c r="Z94" i="41"/>
  <c r="Z87" i="41"/>
  <c r="Z110" i="41"/>
  <c r="Z90" i="41"/>
  <c r="Z20" i="41"/>
  <c r="Z25" i="41"/>
  <c r="Z91" i="41"/>
  <c r="Z76" i="41"/>
  <c r="Z24" i="41"/>
  <c r="Z92" i="41"/>
  <c r="Z50" i="41"/>
  <c r="Z15" i="41"/>
  <c r="Z117" i="41"/>
  <c r="Z55" i="41"/>
  <c r="Z95" i="41"/>
  <c r="Z124" i="41"/>
  <c r="Z119" i="41"/>
  <c r="Z111" i="41"/>
  <c r="Z49" i="41"/>
  <c r="Z56" i="41"/>
  <c r="Z73" i="41"/>
  <c r="Z115" i="41"/>
  <c r="Z118" i="41"/>
  <c r="Z113" i="41"/>
  <c r="Z48" i="41"/>
  <c r="Z121" i="41"/>
  <c r="Z93" i="41"/>
  <c r="Z47" i="41"/>
  <c r="Z114" i="41"/>
  <c r="Z89" i="41"/>
  <c r="Z123" i="41"/>
  <c r="Z109" i="41"/>
  <c r="Z112" i="41"/>
  <c r="Z46" i="41"/>
  <c r="Z107" i="41"/>
  <c r="Z75" i="41"/>
  <c r="Z86" i="41"/>
  <c r="Z74" i="41"/>
  <c r="Z126" i="41"/>
  <c r="Z54" i="41"/>
  <c r="Z81" i="41"/>
  <c r="Z31" i="41"/>
  <c r="Z16" i="41"/>
  <c r="AE86" i="41"/>
  <c r="AF25" i="41"/>
  <c r="AE123" i="41"/>
  <c r="AE48" i="41"/>
  <c r="AF115" i="41"/>
  <c r="AF86" i="41"/>
  <c r="AF16" i="41"/>
  <c r="AE119" i="41"/>
  <c r="AF76" i="41"/>
  <c r="AF89" i="41"/>
  <c r="AF13" i="41"/>
  <c r="AE116" i="41"/>
  <c r="AE117" i="41"/>
  <c r="AE81" i="41"/>
  <c r="AF109" i="41"/>
  <c r="AF73" i="41"/>
  <c r="AE91" i="41"/>
  <c r="AE55" i="41"/>
  <c r="AF50" i="41"/>
  <c r="AE113" i="41"/>
  <c r="AF93" i="41"/>
  <c r="AE114" i="41"/>
  <c r="AE124" i="41"/>
  <c r="AE88" i="41"/>
  <c r="AE49" i="41"/>
  <c r="AF74" i="41"/>
  <c r="AE122" i="41"/>
  <c r="AE47" i="41"/>
  <c r="AE87" i="41"/>
  <c r="AE24" i="41"/>
  <c r="AE12" i="41"/>
  <c r="AF122" i="41"/>
  <c r="AF125" i="41"/>
  <c r="AF14" i="41"/>
  <c r="AF112" i="41"/>
  <c r="AE94" i="41"/>
  <c r="AF47" i="41"/>
  <c r="AF116" i="41"/>
  <c r="AF92" i="41"/>
  <c r="AF20" i="41"/>
  <c r="AE110" i="41"/>
  <c r="AE74" i="41"/>
  <c r="AF126" i="41"/>
  <c r="AF90" i="41"/>
  <c r="AF54" i="41"/>
  <c r="AE111" i="41"/>
  <c r="AE75" i="41"/>
  <c r="AE121" i="41"/>
  <c r="AE46" i="41"/>
  <c r="AF56" i="41"/>
  <c r="AE107" i="41"/>
  <c r="AF123" i="41"/>
  <c r="AF48" i="41"/>
  <c r="AF15" i="41"/>
  <c r="AE28" i="41"/>
  <c r="AE115" i="41"/>
  <c r="AF119" i="41"/>
  <c r="AE16" i="41"/>
  <c r="AF117" i="41"/>
  <c r="AF81" i="41"/>
  <c r="AE25" i="41"/>
  <c r="AF94" i="41"/>
  <c r="AE112" i="41"/>
  <c r="AE76" i="41"/>
  <c r="AF107" i="41"/>
  <c r="AF87" i="41"/>
  <c r="AE108" i="41"/>
  <c r="AE31" i="41"/>
  <c r="AE118" i="41"/>
  <c r="AF12" i="41"/>
  <c r="AF24" i="41"/>
  <c r="AE13" i="41"/>
  <c r="AF114" i="41"/>
  <c r="AE14" i="41"/>
  <c r="AF91" i="41"/>
  <c r="AF55" i="41"/>
  <c r="AE109" i="41"/>
  <c r="AE73" i="41"/>
  <c r="AF95" i="41"/>
  <c r="AE95" i="41"/>
  <c r="AE20" i="41"/>
  <c r="AF111" i="41"/>
  <c r="AF75" i="41"/>
  <c r="AF124" i="41"/>
  <c r="AF88" i="41"/>
  <c r="AF49" i="41"/>
  <c r="AF113" i="41"/>
  <c r="AE92" i="41"/>
  <c r="AE56" i="41"/>
  <c r="AF108" i="41"/>
  <c r="AF31" i="41"/>
  <c r="AE93" i="41"/>
  <c r="AF121" i="41"/>
  <c r="AF46" i="41"/>
  <c r="AF110" i="41"/>
  <c r="AE125" i="41"/>
  <c r="AE89" i="41"/>
  <c r="AE50" i="41"/>
  <c r="AF28" i="41"/>
  <c r="AE126" i="41"/>
  <c r="AE90" i="41"/>
  <c r="AE54" i="41"/>
  <c r="AF118" i="41"/>
  <c r="AE15" i="41"/>
  <c r="AJ89" i="41"/>
  <c r="AK48" i="41"/>
  <c r="AK117" i="41"/>
  <c r="AK31" i="41"/>
  <c r="AJ117" i="41"/>
  <c r="AK20" i="41"/>
  <c r="AJ116" i="41"/>
  <c r="AJ25" i="41"/>
  <c r="AK122" i="41"/>
  <c r="AK86" i="41"/>
  <c r="AK47" i="41"/>
  <c r="AJ118" i="41"/>
  <c r="AK111" i="41"/>
  <c r="AJ111" i="41"/>
  <c r="AJ110" i="41"/>
  <c r="AK16" i="41"/>
  <c r="AK90" i="41"/>
  <c r="AJ50" i="41"/>
  <c r="AK119" i="41"/>
  <c r="AJ115" i="41"/>
  <c r="AK28" i="41"/>
  <c r="AK116" i="41"/>
  <c r="AJ11" i="41"/>
  <c r="AK13" i="41"/>
  <c r="AK113" i="41"/>
  <c r="AJ109" i="41"/>
  <c r="AJ73" i="41"/>
  <c r="AJ112" i="41"/>
  <c r="AJ76" i="41"/>
  <c r="AK93" i="41"/>
  <c r="AJ93" i="41"/>
  <c r="AJ47" i="41"/>
  <c r="AJ92" i="41"/>
  <c r="AJ54" i="41"/>
  <c r="AK110" i="41"/>
  <c r="AK74" i="41"/>
  <c r="AK94" i="41"/>
  <c r="AK11" i="41"/>
  <c r="AK87" i="41"/>
  <c r="AJ125" i="41"/>
  <c r="AK81" i="41"/>
  <c r="AJ81" i="41"/>
  <c r="AJ24" i="41"/>
  <c r="AK124" i="41"/>
  <c r="AK88" i="41"/>
  <c r="AK49" i="41"/>
  <c r="AJ87" i="41"/>
  <c r="AJ86" i="41"/>
  <c r="AJ119" i="41"/>
  <c r="AK25" i="41"/>
  <c r="AK75" i="41"/>
  <c r="AJ75" i="41"/>
  <c r="AJ74" i="41"/>
  <c r="AK126" i="41"/>
  <c r="AK54" i="41"/>
  <c r="AJ114" i="41"/>
  <c r="AJ14" i="41"/>
  <c r="AJ20" i="41"/>
  <c r="AK121" i="41"/>
  <c r="AK46" i="41"/>
  <c r="AJ113" i="41"/>
  <c r="AK14" i="41"/>
  <c r="AJ108" i="41"/>
  <c r="AJ16" i="41"/>
  <c r="AK118" i="41"/>
  <c r="AJ94" i="41"/>
  <c r="AK15" i="41"/>
  <c r="AK107" i="41"/>
  <c r="AJ107" i="41"/>
  <c r="AK114" i="41"/>
  <c r="AK95" i="41"/>
  <c r="AJ13" i="41"/>
  <c r="AK115" i="41"/>
  <c r="AJ91" i="41"/>
  <c r="AJ55" i="41"/>
  <c r="AK12" i="41"/>
  <c r="AJ126" i="41"/>
  <c r="AJ48" i="41"/>
  <c r="AK91" i="41"/>
  <c r="AK55" i="41"/>
  <c r="AJ56" i="41"/>
  <c r="AK108" i="41"/>
  <c r="AJ31" i="41"/>
  <c r="AK92" i="41"/>
  <c r="AK56" i="41"/>
  <c r="AK112" i="41"/>
  <c r="AK76" i="41"/>
  <c r="AJ124" i="41"/>
  <c r="AJ88" i="41"/>
  <c r="AJ49" i="41"/>
  <c r="AJ15" i="41"/>
  <c r="AJ95" i="41"/>
  <c r="AK123" i="41"/>
  <c r="AJ123" i="41"/>
  <c r="AK24" i="41"/>
  <c r="AJ122" i="41"/>
  <c r="AJ90" i="41"/>
  <c r="AJ28" i="41"/>
  <c r="AK125" i="41"/>
  <c r="AK89" i="41"/>
  <c r="AK50" i="41"/>
  <c r="AK109" i="41"/>
  <c r="AK73" i="41"/>
  <c r="AJ121" i="41"/>
  <c r="AJ46" i="41"/>
  <c r="AJ12" i="41"/>
  <c r="V47" i="41"/>
  <c r="V110" i="41"/>
  <c r="U74" i="41"/>
  <c r="U92" i="41"/>
  <c r="U112" i="41"/>
  <c r="U76" i="41"/>
  <c r="V24" i="41"/>
  <c r="U123" i="41"/>
  <c r="U87" i="41"/>
  <c r="U48" i="41"/>
  <c r="V118" i="41"/>
  <c r="U95" i="41"/>
  <c r="U109" i="41"/>
  <c r="U73" i="41"/>
  <c r="V15" i="41"/>
  <c r="V14" i="41"/>
  <c r="V73" i="41"/>
  <c r="V11" i="41"/>
  <c r="V116" i="41"/>
  <c r="V109" i="41"/>
  <c r="U107" i="41"/>
  <c r="V93" i="41"/>
  <c r="V12" i="41"/>
  <c r="U117" i="41"/>
  <c r="U81" i="41"/>
  <c r="U119" i="41"/>
  <c r="V95" i="41"/>
  <c r="V46" i="41"/>
  <c r="V122" i="41"/>
  <c r="V74" i="41"/>
  <c r="U56" i="41"/>
  <c r="V126" i="41"/>
  <c r="V90" i="41"/>
  <c r="V54" i="41"/>
  <c r="U114" i="41"/>
  <c r="V88" i="41"/>
  <c r="U50" i="41"/>
  <c r="U11" i="41"/>
  <c r="V92" i="41"/>
  <c r="U113" i="41"/>
  <c r="V121" i="41"/>
  <c r="U20" i="41"/>
  <c r="U47" i="41"/>
  <c r="V86" i="41"/>
  <c r="V112" i="41"/>
  <c r="V123" i="41"/>
  <c r="V87" i="41"/>
  <c r="V48" i="41"/>
  <c r="U111" i="41"/>
  <c r="U75" i="41"/>
  <c r="V16" i="41"/>
  <c r="U31" i="41"/>
  <c r="V55" i="41"/>
  <c r="V113" i="41"/>
  <c r="U86" i="41"/>
  <c r="U94" i="41"/>
  <c r="U13" i="41"/>
  <c r="V117" i="41"/>
  <c r="V81" i="41"/>
  <c r="U28" i="41"/>
  <c r="U125" i="41"/>
  <c r="V50" i="41"/>
  <c r="V94" i="41"/>
  <c r="V76" i="41"/>
  <c r="U91" i="41"/>
  <c r="U55" i="41"/>
  <c r="V114" i="41"/>
  <c r="U25" i="41"/>
  <c r="U108" i="41"/>
  <c r="V119" i="41"/>
  <c r="U116" i="41"/>
  <c r="U89" i="41"/>
  <c r="V124" i="41"/>
  <c r="V20" i="41"/>
  <c r="U124" i="41"/>
  <c r="U88" i="41"/>
  <c r="U49" i="41"/>
  <c r="V111" i="41"/>
  <c r="V75" i="41"/>
  <c r="U24" i="41"/>
  <c r="U16" i="41"/>
  <c r="V56" i="41"/>
  <c r="V91" i="41"/>
  <c r="U110" i="41"/>
  <c r="U121" i="41"/>
  <c r="U46" i="41"/>
  <c r="V108" i="41"/>
  <c r="V31" i="41"/>
  <c r="U15" i="41"/>
  <c r="V125" i="41"/>
  <c r="U122" i="41"/>
  <c r="U118" i="41"/>
  <c r="V28" i="41"/>
  <c r="U93" i="41"/>
  <c r="U12" i="41"/>
  <c r="V115" i="41"/>
  <c r="U14" i="41"/>
  <c r="V89" i="41"/>
  <c r="V49" i="41"/>
  <c r="V107" i="41"/>
  <c r="V13" i="41"/>
  <c r="U115" i="41"/>
  <c r="V25" i="41"/>
  <c r="U126" i="41"/>
  <c r="U90" i="41"/>
  <c r="U54" i="41"/>
  <c r="AE11" i="41"/>
  <c r="Z11" i="41"/>
  <c r="AA11" i="41"/>
  <c r="S27" i="42" l="1"/>
  <c r="S22" i="42"/>
  <c r="S49" i="42"/>
  <c r="S23" i="42"/>
  <c r="S53" i="42"/>
  <c r="S30" i="42"/>
  <c r="S47" i="42"/>
  <c r="S13" i="42"/>
  <c r="S56" i="42"/>
  <c r="S54" i="42"/>
  <c r="S46" i="42"/>
  <c r="S52" i="42"/>
  <c r="S14" i="42"/>
  <c r="S35" i="42"/>
  <c r="S25" i="42"/>
  <c r="S20" i="42"/>
  <c r="S12" i="42"/>
  <c r="S32" i="42"/>
  <c r="S44" i="42"/>
  <c r="S60" i="42"/>
  <c r="S48" i="42"/>
  <c r="S45" i="42"/>
  <c r="S57" i="42"/>
  <c r="S24" i="42"/>
  <c r="S38" i="42"/>
  <c r="S16" i="42"/>
  <c r="S62" i="42"/>
  <c r="S61" i="42"/>
  <c r="S31" i="42"/>
  <c r="S36" i="42"/>
  <c r="S58" i="42"/>
  <c r="S19" i="42"/>
  <c r="S59" i="42"/>
  <c r="S51" i="42"/>
  <c r="S39" i="42"/>
  <c r="S15" i="42"/>
  <c r="S63" i="42"/>
  <c r="S29" i="42"/>
  <c r="S28" i="42"/>
  <c r="S21" i="42"/>
  <c r="S37" i="42"/>
  <c r="S50" i="42"/>
  <c r="S26" i="42"/>
  <c r="S55" i="42"/>
  <c r="T33" i="42"/>
  <c r="U33" i="42" s="1"/>
  <c r="W17" i="42"/>
  <c r="W18" i="42"/>
  <c r="T34" i="42"/>
  <c r="U34" i="42" s="1"/>
  <c r="T17" i="42"/>
  <c r="U17" i="42" s="1"/>
  <c r="W33" i="42"/>
  <c r="W34" i="42"/>
  <c r="T18" i="42"/>
  <c r="U18" i="42" s="1"/>
  <c r="L11" i="42" l="1"/>
  <c r="M11" i="42"/>
  <c r="O11" i="42"/>
  <c r="P11" i="42"/>
  <c r="Q11" i="42"/>
  <c r="R11" i="42"/>
  <c r="S11" i="42" s="1"/>
  <c r="AE11" i="42"/>
  <c r="L12" i="42"/>
  <c r="M12" i="42"/>
  <c r="W12" i="42" s="1"/>
  <c r="AE12" i="42"/>
  <c r="L13" i="42"/>
  <c r="M13" i="42"/>
  <c r="W13" i="42" s="1"/>
  <c r="AE13" i="42"/>
  <c r="L14" i="42"/>
  <c r="M14" i="42"/>
  <c r="W14" i="42" s="1"/>
  <c r="AE14" i="42"/>
  <c r="L15" i="42"/>
  <c r="M15" i="42"/>
  <c r="W15" i="42" s="1"/>
  <c r="AE15" i="42"/>
  <c r="L16" i="42"/>
  <c r="M16" i="42"/>
  <c r="W16" i="42" s="1"/>
  <c r="AE16" i="42"/>
  <c r="L17" i="42"/>
  <c r="V17" i="42" s="1"/>
  <c r="M17" i="42"/>
  <c r="AA17" i="42"/>
  <c r="AE17" i="42"/>
  <c r="L18" i="42"/>
  <c r="V18" i="42" s="1"/>
  <c r="M18" i="42"/>
  <c r="AE18" i="42"/>
  <c r="L19" i="42"/>
  <c r="M19" i="42"/>
  <c r="W19" i="42" s="1"/>
  <c r="AE19" i="42"/>
  <c r="L20" i="42"/>
  <c r="M20" i="42"/>
  <c r="W20" i="42" s="1"/>
  <c r="AE20" i="42"/>
  <c r="L21" i="42"/>
  <c r="M21" i="42"/>
  <c r="W21" i="42" s="1"/>
  <c r="AE21" i="42"/>
  <c r="L22" i="42"/>
  <c r="M22" i="42"/>
  <c r="W22" i="42" s="1"/>
  <c r="AE22" i="42"/>
  <c r="L23" i="42"/>
  <c r="M23" i="42"/>
  <c r="W23" i="42" s="1"/>
  <c r="AE23" i="42"/>
  <c r="L24" i="42"/>
  <c r="M24" i="42"/>
  <c r="W24" i="42" s="1"/>
  <c r="AE24" i="42"/>
  <c r="L25" i="42"/>
  <c r="M25" i="42"/>
  <c r="W25" i="42" s="1"/>
  <c r="AE25" i="42"/>
  <c r="L26" i="42"/>
  <c r="M26" i="42"/>
  <c r="W26" i="42" s="1"/>
  <c r="AE26" i="42"/>
  <c r="L27" i="42"/>
  <c r="M27" i="42"/>
  <c r="W27" i="42" s="1"/>
  <c r="AE27" i="42"/>
  <c r="L28" i="42"/>
  <c r="M28" i="42"/>
  <c r="W28" i="42" s="1"/>
  <c r="AE28" i="42"/>
  <c r="L29" i="42"/>
  <c r="M29" i="42"/>
  <c r="W29" i="42" s="1"/>
  <c r="AE29" i="42"/>
  <c r="L30" i="42"/>
  <c r="M30" i="42"/>
  <c r="W30" i="42" s="1"/>
  <c r="AE30" i="42"/>
  <c r="L31" i="42"/>
  <c r="M31" i="42"/>
  <c r="W31" i="42" s="1"/>
  <c r="AE31" i="42"/>
  <c r="L32" i="42"/>
  <c r="M32" i="42"/>
  <c r="W32" i="42" s="1"/>
  <c r="AE32" i="42"/>
  <c r="L33" i="42"/>
  <c r="V33" i="42" s="1"/>
  <c r="M33" i="42"/>
  <c r="AE33" i="42"/>
  <c r="L34" i="42"/>
  <c r="V34" i="42" s="1"/>
  <c r="M34" i="42"/>
  <c r="AE34" i="42"/>
  <c r="L35" i="42"/>
  <c r="M35" i="42"/>
  <c r="W35" i="42" s="1"/>
  <c r="AE35" i="42"/>
  <c r="L36" i="42"/>
  <c r="M36" i="42"/>
  <c r="W36" i="42" s="1"/>
  <c r="AE36" i="42"/>
  <c r="L37" i="42"/>
  <c r="M37" i="42"/>
  <c r="W37" i="42" s="1"/>
  <c r="AE37" i="42"/>
  <c r="L38" i="42"/>
  <c r="M38" i="42"/>
  <c r="W38" i="42" s="1"/>
  <c r="AE38" i="42"/>
  <c r="L39" i="42"/>
  <c r="M39" i="42"/>
  <c r="W39" i="42" s="1"/>
  <c r="AE39" i="42"/>
  <c r="L40" i="42"/>
  <c r="M40" i="42"/>
  <c r="W40" i="42" s="1"/>
  <c r="Z40" i="42"/>
  <c r="AE40" i="42"/>
  <c r="L41" i="42"/>
  <c r="M41" i="42"/>
  <c r="W41" i="42" s="1"/>
  <c r="AA41" i="42"/>
  <c r="AE41" i="42"/>
  <c r="L42" i="42"/>
  <c r="M42" i="42"/>
  <c r="W42" i="42" s="1"/>
  <c r="AE42" i="42"/>
  <c r="L43" i="42"/>
  <c r="M43" i="42"/>
  <c r="W43" i="42" s="1"/>
  <c r="Z43" i="42"/>
  <c r="AE43" i="42"/>
  <c r="L44" i="42"/>
  <c r="M44" i="42"/>
  <c r="W44" i="42" s="1"/>
  <c r="AE44" i="42"/>
  <c r="L45" i="42"/>
  <c r="M45" i="42"/>
  <c r="W45" i="42" s="1"/>
  <c r="AE45" i="42"/>
  <c r="L46" i="42"/>
  <c r="M46" i="42"/>
  <c r="W46" i="42" s="1"/>
  <c r="AE46" i="42"/>
  <c r="L47" i="42"/>
  <c r="M47" i="42"/>
  <c r="W47" i="42" s="1"/>
  <c r="AE47" i="42"/>
  <c r="L48" i="42"/>
  <c r="M48" i="42"/>
  <c r="W48" i="42" s="1"/>
  <c r="AC48" i="42"/>
  <c r="AE48" i="42"/>
  <c r="L49" i="42"/>
  <c r="M49" i="42"/>
  <c r="W49" i="42" s="1"/>
  <c r="AC49" i="42"/>
  <c r="AE49" i="42"/>
  <c r="L50" i="42"/>
  <c r="M50" i="42"/>
  <c r="W50" i="42" s="1"/>
  <c r="AE50" i="42"/>
  <c r="L51" i="42"/>
  <c r="M51" i="42"/>
  <c r="W51" i="42" s="1"/>
  <c r="AE51" i="42"/>
  <c r="L52" i="42"/>
  <c r="M52" i="42"/>
  <c r="W52" i="42" s="1"/>
  <c r="AE52" i="42"/>
  <c r="L53" i="42"/>
  <c r="M53" i="42"/>
  <c r="W53" i="42" s="1"/>
  <c r="AE53" i="42"/>
  <c r="L54" i="42"/>
  <c r="M54" i="42"/>
  <c r="W54" i="42" s="1"/>
  <c r="AE54" i="42"/>
  <c r="L55" i="42"/>
  <c r="M55" i="42"/>
  <c r="W55" i="42" s="1"/>
  <c r="AE55" i="42"/>
  <c r="L56" i="42"/>
  <c r="M56" i="42"/>
  <c r="W56" i="42" s="1"/>
  <c r="AE56" i="42"/>
  <c r="L57" i="42"/>
  <c r="M57" i="42"/>
  <c r="W57" i="42" s="1"/>
  <c r="AE57" i="42"/>
  <c r="L58" i="42"/>
  <c r="M58" i="42"/>
  <c r="W58" i="42" s="1"/>
  <c r="AC58" i="42"/>
  <c r="AE58" i="42"/>
  <c r="L59" i="42"/>
  <c r="M59" i="42"/>
  <c r="W59" i="42" s="1"/>
  <c r="AE59" i="42"/>
  <c r="L60" i="42"/>
  <c r="M60" i="42"/>
  <c r="W60" i="42" s="1"/>
  <c r="AE60" i="42"/>
  <c r="L61" i="42"/>
  <c r="M61" i="42"/>
  <c r="W61" i="42" s="1"/>
  <c r="AE61" i="42"/>
  <c r="L62" i="42"/>
  <c r="M62" i="42"/>
  <c r="W62" i="42" s="1"/>
  <c r="AE62" i="42"/>
  <c r="L63" i="42"/>
  <c r="M63" i="42"/>
  <c r="W63" i="42" s="1"/>
  <c r="AC63" i="42"/>
  <c r="AE63" i="42"/>
  <c r="BR126" i="35"/>
  <c r="BR125" i="35"/>
  <c r="BR124" i="35"/>
  <c r="BR123" i="35"/>
  <c r="BR122" i="35"/>
  <c r="BR121" i="35"/>
  <c r="BR119" i="35"/>
  <c r="BR118" i="35"/>
  <c r="BR117" i="35"/>
  <c r="BR116" i="35"/>
  <c r="BR115" i="35"/>
  <c r="BR114" i="35"/>
  <c r="BR113" i="35"/>
  <c r="BR112" i="35"/>
  <c r="BR111" i="35"/>
  <c r="BR110" i="35"/>
  <c r="BR109" i="35"/>
  <c r="BR108" i="35"/>
  <c r="BR107" i="35"/>
  <c r="BR95" i="35"/>
  <c r="BR94" i="35"/>
  <c r="BR93" i="35"/>
  <c r="BR92" i="35"/>
  <c r="BR91" i="35"/>
  <c r="BR90" i="35"/>
  <c r="BR89" i="35"/>
  <c r="BR88" i="35"/>
  <c r="BR87" i="35"/>
  <c r="BR86" i="35"/>
  <c r="BR81" i="35"/>
  <c r="BR76" i="35"/>
  <c r="BR75" i="35"/>
  <c r="BR74" i="35"/>
  <c r="BR73" i="35"/>
  <c r="BR56" i="35"/>
  <c r="BR55" i="35"/>
  <c r="BR54" i="35"/>
  <c r="BR53" i="35"/>
  <c r="BR52" i="35"/>
  <c r="BR51" i="35"/>
  <c r="BR50" i="35"/>
  <c r="BR49" i="35"/>
  <c r="BR48" i="35"/>
  <c r="BR47" i="35"/>
  <c r="BR46" i="35"/>
  <c r="BR31" i="35"/>
  <c r="BR28" i="35"/>
  <c r="BR25" i="35"/>
  <c r="BR24" i="35"/>
  <c r="BR21" i="35"/>
  <c r="BR20" i="35"/>
  <c r="BR19" i="35"/>
  <c r="BR18" i="35"/>
  <c r="BR17" i="35"/>
  <c r="BR16" i="35"/>
  <c r="BR15" i="35"/>
  <c r="BR14" i="35"/>
  <c r="BR13" i="35"/>
  <c r="BR12" i="35"/>
  <c r="BR11" i="35"/>
  <c r="BR126" i="37"/>
  <c r="BR125" i="37"/>
  <c r="BR124" i="37"/>
  <c r="BR123" i="37"/>
  <c r="BR122" i="37"/>
  <c r="BR121" i="37"/>
  <c r="BR119" i="37"/>
  <c r="BR118" i="37"/>
  <c r="BR117" i="37"/>
  <c r="BR116" i="37"/>
  <c r="BR115" i="37"/>
  <c r="BR114" i="37"/>
  <c r="BR113" i="37"/>
  <c r="BR112" i="37"/>
  <c r="BR111" i="37"/>
  <c r="BR110" i="37"/>
  <c r="BR109" i="37"/>
  <c r="BR108" i="37"/>
  <c r="BR107" i="37"/>
  <c r="BR95" i="37"/>
  <c r="BR94" i="37"/>
  <c r="BR93" i="37"/>
  <c r="BR92" i="37"/>
  <c r="BR91" i="37"/>
  <c r="BR90" i="37"/>
  <c r="BR89" i="37"/>
  <c r="BR88" i="37"/>
  <c r="BR87" i="37"/>
  <c r="BR86" i="37"/>
  <c r="BR81" i="37"/>
  <c r="BR76" i="37"/>
  <c r="BR75" i="37"/>
  <c r="BR74" i="37"/>
  <c r="BR73" i="37"/>
  <c r="BR56" i="37"/>
  <c r="BR55" i="37"/>
  <c r="BR54" i="37"/>
  <c r="BR53" i="37"/>
  <c r="BR52" i="37"/>
  <c r="BR51" i="37"/>
  <c r="BR50" i="37"/>
  <c r="BR49" i="37"/>
  <c r="BR48" i="37"/>
  <c r="BR47" i="37"/>
  <c r="BR46" i="37"/>
  <c r="BR31" i="37"/>
  <c r="BR28" i="37"/>
  <c r="BR25" i="37"/>
  <c r="BR24" i="37"/>
  <c r="BR21" i="37"/>
  <c r="BR20" i="37"/>
  <c r="BR19" i="37"/>
  <c r="BR18" i="37"/>
  <c r="BR17" i="37"/>
  <c r="BR16" i="37"/>
  <c r="BR15" i="37"/>
  <c r="BR14" i="37"/>
  <c r="BR13" i="37"/>
  <c r="BR12" i="37"/>
  <c r="BR11" i="37"/>
  <c r="BR126" i="38"/>
  <c r="BR125" i="38"/>
  <c r="BR124" i="38"/>
  <c r="BR123" i="38"/>
  <c r="BR122" i="38"/>
  <c r="BR121" i="38"/>
  <c r="BR119" i="38"/>
  <c r="BR118" i="38"/>
  <c r="BR117" i="38"/>
  <c r="BR116" i="38"/>
  <c r="BR115" i="38"/>
  <c r="BR114" i="38"/>
  <c r="BR113" i="38"/>
  <c r="BR112" i="38"/>
  <c r="BR111" i="38"/>
  <c r="BR110" i="38"/>
  <c r="BR109" i="38"/>
  <c r="BR108" i="38"/>
  <c r="BR107" i="38"/>
  <c r="BR95" i="38"/>
  <c r="BR94" i="38"/>
  <c r="BR93" i="38"/>
  <c r="BR92" i="38"/>
  <c r="BR91" i="38"/>
  <c r="BR90" i="38"/>
  <c r="BR89" i="38"/>
  <c r="BR88" i="38"/>
  <c r="BR87" i="38"/>
  <c r="BR86" i="38"/>
  <c r="BR81" i="38"/>
  <c r="BR76" i="38"/>
  <c r="BR75" i="38"/>
  <c r="BR74" i="38"/>
  <c r="BR73" i="38"/>
  <c r="BR56" i="38"/>
  <c r="BR55" i="38"/>
  <c r="BR54" i="38"/>
  <c r="BR53" i="38"/>
  <c r="BR52" i="38"/>
  <c r="BR51" i="38"/>
  <c r="BR50" i="38"/>
  <c r="BR49" i="38"/>
  <c r="BR48" i="38"/>
  <c r="BR47" i="38"/>
  <c r="BR46" i="38"/>
  <c r="BR31" i="38"/>
  <c r="BR28" i="38"/>
  <c r="BR25" i="38"/>
  <c r="BR24" i="38"/>
  <c r="BR21" i="38"/>
  <c r="BR20" i="38"/>
  <c r="BR19" i="38"/>
  <c r="BR18" i="38"/>
  <c r="BR17" i="38"/>
  <c r="BR16" i="38"/>
  <c r="BR15" i="38"/>
  <c r="BR14" i="38"/>
  <c r="BR13" i="38"/>
  <c r="BR12" i="38"/>
  <c r="BR11" i="38"/>
  <c r="BR126" i="1"/>
  <c r="BR125" i="1"/>
  <c r="BR124" i="1"/>
  <c r="BR123" i="1"/>
  <c r="BR122" i="1"/>
  <c r="BR121" i="1"/>
  <c r="BR119" i="1"/>
  <c r="BR118" i="1"/>
  <c r="BR117" i="1"/>
  <c r="BR116" i="1"/>
  <c r="BR115" i="1"/>
  <c r="BR114" i="1"/>
  <c r="BR113" i="1"/>
  <c r="BR112" i="1"/>
  <c r="BR111" i="1"/>
  <c r="BR110" i="1"/>
  <c r="BR109" i="1"/>
  <c r="BR108" i="1"/>
  <c r="BR107" i="1"/>
  <c r="BR95" i="1"/>
  <c r="BR94" i="1"/>
  <c r="BR93" i="1"/>
  <c r="BR92" i="1"/>
  <c r="BR91" i="1"/>
  <c r="BR90" i="1"/>
  <c r="BR89" i="1"/>
  <c r="BR88" i="1"/>
  <c r="BR87" i="1"/>
  <c r="BR86" i="1"/>
  <c r="BR81" i="1"/>
  <c r="BR76" i="1"/>
  <c r="BR75" i="1"/>
  <c r="BR74" i="1"/>
  <c r="BR73" i="1"/>
  <c r="BR56" i="1"/>
  <c r="BR55" i="1"/>
  <c r="BR54" i="1"/>
  <c r="BR53" i="1"/>
  <c r="BR52" i="1"/>
  <c r="BR51" i="1"/>
  <c r="BR50" i="1"/>
  <c r="BR49" i="1"/>
  <c r="BR48" i="1"/>
  <c r="BR47" i="1"/>
  <c r="BR46" i="1"/>
  <c r="BR31" i="1"/>
  <c r="BR28" i="1"/>
  <c r="BR25" i="1"/>
  <c r="BR24" i="1"/>
  <c r="BR21" i="1"/>
  <c r="BR20" i="1"/>
  <c r="BR19" i="1"/>
  <c r="BR18" i="1"/>
  <c r="BR17" i="1"/>
  <c r="BR16" i="1"/>
  <c r="BR15" i="1"/>
  <c r="BR14" i="1"/>
  <c r="BR13" i="1"/>
  <c r="BR12" i="1"/>
  <c r="BR11" i="1"/>
  <c r="AM21" i="35"/>
  <c r="AL21" i="35"/>
  <c r="AK21" i="35"/>
  <c r="AM21" i="37"/>
  <c r="AL21" i="37"/>
  <c r="AK21" i="37"/>
  <c r="AM21" i="38"/>
  <c r="AL21" i="38"/>
  <c r="AK21" i="38"/>
  <c r="V40" i="42" l="1"/>
  <c r="X40" i="42" s="1"/>
  <c r="Y40" i="42" s="1"/>
  <c r="T40" i="42"/>
  <c r="U40" i="42" s="1"/>
  <c r="V43" i="42"/>
  <c r="X43" i="42" s="1"/>
  <c r="Y43" i="42" s="1"/>
  <c r="T43" i="42"/>
  <c r="U43" i="42" s="1"/>
  <c r="V42" i="42"/>
  <c r="X42" i="42" s="1"/>
  <c r="Y42" i="42" s="1"/>
  <c r="T42" i="42"/>
  <c r="U42" i="42" s="1"/>
  <c r="T41" i="42"/>
  <c r="U41" i="42" s="1"/>
  <c r="V41" i="42"/>
  <c r="X41" i="42" s="1"/>
  <c r="Y41" i="42" s="1"/>
  <c r="X33" i="42"/>
  <c r="S33" i="42"/>
  <c r="AC33" i="42" s="1"/>
  <c r="X34" i="42"/>
  <c r="S34" i="42"/>
  <c r="AC34" i="42" s="1"/>
  <c r="X17" i="42"/>
  <c r="S17" i="42"/>
  <c r="AC17" i="42" s="1"/>
  <c r="X18" i="42"/>
  <c r="S18" i="42"/>
  <c r="AC18" i="42" s="1"/>
  <c r="T29" i="42"/>
  <c r="U29" i="42" s="1"/>
  <c r="V29" i="42"/>
  <c r="X29" i="42" s="1"/>
  <c r="Y29" i="42" s="1"/>
  <c r="T61" i="42"/>
  <c r="U61" i="42" s="1"/>
  <c r="V61" i="42"/>
  <c r="X61" i="42" s="1"/>
  <c r="Y61" i="42" s="1"/>
  <c r="T52" i="42"/>
  <c r="U52" i="42" s="1"/>
  <c r="V52" i="42"/>
  <c r="X52" i="42" s="1"/>
  <c r="Y52" i="42" s="1"/>
  <c r="T57" i="42"/>
  <c r="U57" i="42" s="1"/>
  <c r="V57" i="42"/>
  <c r="X57" i="42" s="1"/>
  <c r="Y57" i="42" s="1"/>
  <c r="T25" i="42"/>
  <c r="U25" i="42" s="1"/>
  <c r="V25" i="42"/>
  <c r="X25" i="42" s="1"/>
  <c r="Y25" i="42" s="1"/>
  <c r="T14" i="42"/>
  <c r="U14" i="42" s="1"/>
  <c r="V14" i="42"/>
  <c r="X14" i="42" s="1"/>
  <c r="Y14" i="42" s="1"/>
  <c r="T28" i="42"/>
  <c r="U28" i="42" s="1"/>
  <c r="V28" i="42"/>
  <c r="X28" i="42" s="1"/>
  <c r="Y28" i="42" s="1"/>
  <c r="T60" i="42"/>
  <c r="U60" i="42" s="1"/>
  <c r="V60" i="42"/>
  <c r="X60" i="42" s="1"/>
  <c r="Y60" i="42" s="1"/>
  <c r="T51" i="42"/>
  <c r="U51" i="42" s="1"/>
  <c r="V51" i="42"/>
  <c r="X51" i="42" s="1"/>
  <c r="Y51" i="42" s="1"/>
  <c r="T46" i="42"/>
  <c r="U46" i="42" s="1"/>
  <c r="V46" i="42"/>
  <c r="X46" i="42" s="1"/>
  <c r="Y46" i="42" s="1"/>
  <c r="T35" i="42"/>
  <c r="U35" i="42" s="1"/>
  <c r="V35" i="42"/>
  <c r="X35" i="42" s="1"/>
  <c r="Y35" i="42" s="1"/>
  <c r="T24" i="42"/>
  <c r="U24" i="42" s="1"/>
  <c r="V24" i="42"/>
  <c r="X24" i="42" s="1"/>
  <c r="Y24" i="42" s="1"/>
  <c r="T13" i="42"/>
  <c r="U13" i="42" s="1"/>
  <c r="V13" i="42"/>
  <c r="X13" i="42" s="1"/>
  <c r="Y13" i="42" s="1"/>
  <c r="T23" i="42"/>
  <c r="U23" i="42" s="1"/>
  <c r="V23" i="42"/>
  <c r="X23" i="42" s="1"/>
  <c r="Y23" i="42" s="1"/>
  <c r="T12" i="42"/>
  <c r="U12" i="42" s="1"/>
  <c r="V12" i="42"/>
  <c r="X12" i="42" s="1"/>
  <c r="Y12" i="42" s="1"/>
  <c r="T58" i="42"/>
  <c r="U58" i="42" s="1"/>
  <c r="V58" i="42"/>
  <c r="X58" i="42" s="1"/>
  <c r="Y58" i="42" s="1"/>
  <c r="T54" i="42"/>
  <c r="U54" i="42" s="1"/>
  <c r="V54" i="42"/>
  <c r="X54" i="42" s="1"/>
  <c r="Y54" i="42" s="1"/>
  <c r="T49" i="42"/>
  <c r="U49" i="42" s="1"/>
  <c r="V49" i="42"/>
  <c r="X49" i="42" s="1"/>
  <c r="Y49" i="42" s="1"/>
  <c r="T11" i="42"/>
  <c r="U11" i="42" s="1"/>
  <c r="T31" i="42"/>
  <c r="U31" i="42" s="1"/>
  <c r="V31" i="42"/>
  <c r="X31" i="42" s="1"/>
  <c r="Y31" i="42" s="1"/>
  <c r="T47" i="42"/>
  <c r="U47" i="42" s="1"/>
  <c r="V47" i="42"/>
  <c r="X47" i="42" s="1"/>
  <c r="Y47" i="42" s="1"/>
  <c r="T36" i="42"/>
  <c r="U36" i="42" s="1"/>
  <c r="V36" i="42"/>
  <c r="X36" i="42" s="1"/>
  <c r="Y36" i="42" s="1"/>
  <c r="T21" i="42"/>
  <c r="U21" i="42" s="1"/>
  <c r="V21" i="42"/>
  <c r="X21" i="42" s="1"/>
  <c r="Y21" i="42" s="1"/>
  <c r="T56" i="42"/>
  <c r="U56" i="42" s="1"/>
  <c r="V56" i="42"/>
  <c r="X56" i="42" s="1"/>
  <c r="Y56" i="42" s="1"/>
  <c r="T30" i="42"/>
  <c r="U30" i="42" s="1"/>
  <c r="V30" i="42"/>
  <c r="X30" i="42" s="1"/>
  <c r="Y30" i="42" s="1"/>
  <c r="T27" i="42"/>
  <c r="U27" i="42" s="1"/>
  <c r="V27" i="42"/>
  <c r="X27" i="42" s="1"/>
  <c r="Y27" i="42" s="1"/>
  <c r="T59" i="42"/>
  <c r="U59" i="42" s="1"/>
  <c r="V59" i="42"/>
  <c r="X59" i="42" s="1"/>
  <c r="Y59" i="42" s="1"/>
  <c r="T50" i="42"/>
  <c r="U50" i="42" s="1"/>
  <c r="V50" i="42"/>
  <c r="X50" i="42" s="1"/>
  <c r="Y50" i="42" s="1"/>
  <c r="T44" i="42"/>
  <c r="U44" i="42" s="1"/>
  <c r="V44" i="42"/>
  <c r="X44" i="42" s="1"/>
  <c r="Y44" i="42" s="1"/>
  <c r="T20" i="42"/>
  <c r="U20" i="42" s="1"/>
  <c r="V20" i="42"/>
  <c r="X20" i="42" s="1"/>
  <c r="Y20" i="42" s="1"/>
  <c r="T55" i="42"/>
  <c r="U55" i="42" s="1"/>
  <c r="V55" i="42"/>
  <c r="X55" i="42" s="1"/>
  <c r="Y55" i="42" s="1"/>
  <c r="T45" i="42"/>
  <c r="U45" i="42" s="1"/>
  <c r="V45" i="42"/>
  <c r="X45" i="42" s="1"/>
  <c r="Y45" i="42" s="1"/>
  <c r="T39" i="42"/>
  <c r="U39" i="42" s="1"/>
  <c r="V39" i="42"/>
  <c r="X39" i="42" s="1"/>
  <c r="Y39" i="42" s="1"/>
  <c r="T19" i="42"/>
  <c r="U19" i="42" s="1"/>
  <c r="V19" i="42"/>
  <c r="X19" i="42" s="1"/>
  <c r="Y19" i="42" s="1"/>
  <c r="T63" i="42"/>
  <c r="U63" i="42" s="1"/>
  <c r="V63" i="42"/>
  <c r="X63" i="42" s="1"/>
  <c r="Y63" i="42" s="1"/>
  <c r="T22" i="42"/>
  <c r="U22" i="42" s="1"/>
  <c r="V22" i="42"/>
  <c r="X22" i="42" s="1"/>
  <c r="Y22" i="42" s="1"/>
  <c r="T38" i="42"/>
  <c r="U38" i="42" s="1"/>
  <c r="V38" i="42"/>
  <c r="X38" i="42" s="1"/>
  <c r="Y38" i="42" s="1"/>
  <c r="T16" i="42"/>
  <c r="U16" i="42" s="1"/>
  <c r="V16" i="42"/>
  <c r="X16" i="42" s="1"/>
  <c r="Y16" i="42" s="1"/>
  <c r="T62" i="42"/>
  <c r="U62" i="42" s="1"/>
  <c r="V62" i="42"/>
  <c r="X62" i="42" s="1"/>
  <c r="Y62" i="42" s="1"/>
  <c r="T53" i="42"/>
  <c r="U53" i="42" s="1"/>
  <c r="V53" i="42"/>
  <c r="X53" i="42" s="1"/>
  <c r="Y53" i="42" s="1"/>
  <c r="T32" i="42"/>
  <c r="U32" i="42" s="1"/>
  <c r="V32" i="42"/>
  <c r="X32" i="42" s="1"/>
  <c r="Y32" i="42" s="1"/>
  <c r="T48" i="42"/>
  <c r="U48" i="42" s="1"/>
  <c r="V48" i="42"/>
  <c r="X48" i="42" s="1"/>
  <c r="Y48" i="42" s="1"/>
  <c r="T37" i="42"/>
  <c r="U37" i="42" s="1"/>
  <c r="V37" i="42"/>
  <c r="X37" i="42" s="1"/>
  <c r="Y37" i="42" s="1"/>
  <c r="T26" i="42"/>
  <c r="U26" i="42" s="1"/>
  <c r="V26" i="42"/>
  <c r="X26" i="42" s="1"/>
  <c r="Y26" i="42" s="1"/>
  <c r="T15" i="42"/>
  <c r="U15" i="42" s="1"/>
  <c r="V15" i="42"/>
  <c r="X15" i="42" s="1"/>
  <c r="Y15" i="42" s="1"/>
  <c r="AC56" i="42"/>
  <c r="AB52" i="42"/>
  <c r="AB39" i="42"/>
  <c r="AB50" i="42"/>
  <c r="AB33" i="42"/>
  <c r="AA21" i="42"/>
  <c r="AC32" i="42"/>
  <c r="AC44" i="42"/>
  <c r="Z20" i="42"/>
  <c r="AC61" i="42"/>
  <c r="AC11" i="42"/>
  <c r="AC60" i="42"/>
  <c r="AC24" i="42"/>
  <c r="AC54" i="42"/>
  <c r="AC51" i="42"/>
  <c r="AA43" i="42"/>
  <c r="AC46" i="42"/>
  <c r="Z63" i="42"/>
  <c r="AB59" i="42"/>
  <c r="AA48" i="42"/>
  <c r="Z29" i="42"/>
  <c r="AC29" i="42"/>
  <c r="AB22" i="42"/>
  <c r="AA13" i="42"/>
  <c r="AC28" i="42"/>
  <c r="Z49" i="42"/>
  <c r="Z23" i="42"/>
  <c r="Z53" i="42"/>
  <c r="Z58" i="42"/>
  <c r="AA37" i="42"/>
  <c r="AA12" i="42"/>
  <c r="Z36" i="42"/>
  <c r="AA63" i="42"/>
  <c r="AA26" i="42"/>
  <c r="AA16" i="42"/>
  <c r="W11" i="42"/>
  <c r="Z62" i="42"/>
  <c r="Z51" i="42"/>
  <c r="Z25" i="42"/>
  <c r="Z19" i="42"/>
  <c r="AA15" i="42"/>
  <c r="V11" i="42"/>
  <c r="AB63" i="42"/>
  <c r="Z61" i="42"/>
  <c r="Z38" i="42"/>
  <c r="Z24" i="42"/>
  <c r="Z18" i="42"/>
  <c r="AA14" i="42"/>
  <c r="Z35" i="42"/>
  <c r="Z27" i="42"/>
  <c r="Z11" i="42"/>
  <c r="Z46" i="42"/>
  <c r="Z56" i="42"/>
  <c r="Z31" i="42"/>
  <c r="AC19" i="42"/>
  <c r="AA54" i="42"/>
  <c r="Z30" i="42"/>
  <c r="AC55" i="42"/>
  <c r="AC62" i="42"/>
  <c r="AC53" i="42"/>
  <c r="AC52" i="42"/>
  <c r="AA59" i="42"/>
  <c r="AA50" i="42"/>
  <c r="Z59" i="42"/>
  <c r="Z50" i="42"/>
  <c r="AC57" i="42"/>
  <c r="AB61" i="42"/>
  <c r="Z54" i="42"/>
  <c r="AA61" i="42"/>
  <c r="AB56" i="42"/>
  <c r="AA56" i="42"/>
  <c r="AB54" i="42"/>
  <c r="AC59" i="42"/>
  <c r="AC50" i="42"/>
  <c r="AC47" i="42"/>
  <c r="Z48" i="42"/>
  <c r="Z52" i="42"/>
  <c r="AA52" i="42"/>
  <c r="AB46" i="42"/>
  <c r="AA46" i="42"/>
  <c r="AB48" i="42"/>
  <c r="AC37" i="42"/>
  <c r="AC13" i="42"/>
  <c r="AC31" i="42"/>
  <c r="AC43" i="42"/>
  <c r="AC41" i="42"/>
  <c r="AC26" i="42"/>
  <c r="AB13" i="42"/>
  <c r="Z39" i="42"/>
  <c r="AC42" i="42"/>
  <c r="AB43" i="42"/>
  <c r="AC39" i="42"/>
  <c r="Z14" i="42"/>
  <c r="AC38" i="42"/>
  <c r="AC15" i="42"/>
  <c r="Z13" i="42"/>
  <c r="AC40" i="42"/>
  <c r="AB35" i="42"/>
  <c r="AC36" i="42"/>
  <c r="AA35" i="42"/>
  <c r="Z41" i="42"/>
  <c r="AC45" i="42"/>
  <c r="AB41" i="42"/>
  <c r="AA39" i="42"/>
  <c r="AB37" i="42"/>
  <c r="Z37" i="42"/>
  <c r="Z33" i="42"/>
  <c r="AA33" i="42"/>
  <c r="AC35" i="42"/>
  <c r="AC27" i="42"/>
  <c r="AB19" i="42"/>
  <c r="AC23" i="42"/>
  <c r="AC22" i="42"/>
  <c r="AB31" i="42"/>
  <c r="AA31" i="42"/>
  <c r="AA19" i="42"/>
  <c r="AC25" i="42"/>
  <c r="AA24" i="42"/>
  <c r="Z16" i="42"/>
  <c r="Z12" i="42"/>
  <c r="AB26" i="42"/>
  <c r="AB21" i="42"/>
  <c r="AC14" i="42"/>
  <c r="AC16" i="42"/>
  <c r="AB29" i="42"/>
  <c r="AB24" i="42"/>
  <c r="AB27" i="42"/>
  <c r="AA27" i="42"/>
  <c r="Z26" i="42"/>
  <c r="AA22" i="42"/>
  <c r="Z21" i="42"/>
  <c r="Z17" i="42"/>
  <c r="Z15" i="42"/>
  <c r="AA11" i="42"/>
  <c r="AA29" i="42"/>
  <c r="AB11" i="42"/>
  <c r="Z22" i="42"/>
  <c r="AC12" i="42"/>
  <c r="AB16" i="42"/>
  <c r="AB12" i="42"/>
  <c r="AB17" i="42"/>
  <c r="AB15" i="42"/>
  <c r="AC30" i="42"/>
  <c r="AB14" i="42"/>
  <c r="AA45" i="42"/>
  <c r="AB45" i="42"/>
  <c r="AA32" i="42"/>
  <c r="AB32" i="42"/>
  <c r="AA55" i="42"/>
  <c r="AB55" i="42"/>
  <c r="AA42" i="42"/>
  <c r="AB42" i="42"/>
  <c r="Z28" i="42"/>
  <c r="AA28" i="42"/>
  <c r="AB28" i="42"/>
  <c r="AA51" i="42"/>
  <c r="AB51" i="42"/>
  <c r="AA38" i="42"/>
  <c r="AB38" i="42"/>
  <c r="AA58" i="42"/>
  <c r="AB58" i="42"/>
  <c r="AA60" i="42"/>
  <c r="AB60" i="42"/>
  <c r="Z45" i="42"/>
  <c r="Z32" i="42"/>
  <c r="Z55" i="42"/>
  <c r="AA47" i="42"/>
  <c r="AB47" i="42"/>
  <c r="Z42" i="42"/>
  <c r="AA34" i="42"/>
  <c r="AB34" i="42"/>
  <c r="AA44" i="42"/>
  <c r="AB44" i="42"/>
  <c r="AA57" i="42"/>
  <c r="AB57" i="42"/>
  <c r="Z60" i="42"/>
  <c r="AA53" i="42"/>
  <c r="AB53" i="42"/>
  <c r="AA62" i="42"/>
  <c r="AB62" i="42"/>
  <c r="Z47" i="42"/>
  <c r="Z34" i="42"/>
  <c r="AA30" i="42"/>
  <c r="AB30" i="42"/>
  <c r="AA40" i="42"/>
  <c r="AB40" i="42"/>
  <c r="Z57" i="42"/>
  <c r="AA49" i="42"/>
  <c r="AB49" i="42"/>
  <c r="Z44" i="42"/>
  <c r="AA36" i="42"/>
  <c r="AB36" i="42"/>
  <c r="AB25" i="42"/>
  <c r="AB23" i="42"/>
  <c r="AB20" i="42"/>
  <c r="AB18" i="42"/>
  <c r="AA25" i="42"/>
  <c r="AA23" i="42"/>
  <c r="AA20" i="42"/>
  <c r="AA18" i="42"/>
  <c r="BW94" i="1"/>
  <c r="BV94" i="1"/>
  <c r="BU94" i="1"/>
  <c r="BW93" i="1"/>
  <c r="BV93" i="1"/>
  <c r="BU93" i="1"/>
  <c r="BW92" i="1"/>
  <c r="BV92" i="1"/>
  <c r="BU92" i="1"/>
  <c r="BW91" i="1"/>
  <c r="BV91" i="1"/>
  <c r="BU91" i="1"/>
  <c r="BW94" i="35"/>
  <c r="BV94" i="35"/>
  <c r="BU94" i="35"/>
  <c r="BW93" i="35"/>
  <c r="BV93" i="35"/>
  <c r="BU93" i="35"/>
  <c r="BW92" i="35"/>
  <c r="BV92" i="35"/>
  <c r="BU92" i="35"/>
  <c r="BW91" i="35"/>
  <c r="BV91" i="35"/>
  <c r="BU91" i="35"/>
  <c r="BW94" i="37"/>
  <c r="BV94" i="37"/>
  <c r="BU94" i="37"/>
  <c r="BW93" i="37"/>
  <c r="BV93" i="37"/>
  <c r="BU93" i="37"/>
  <c r="BW92" i="37"/>
  <c r="BV92" i="37"/>
  <c r="BU92" i="37"/>
  <c r="BW91" i="37"/>
  <c r="BV91" i="37"/>
  <c r="BU91" i="37"/>
  <c r="BW94" i="38"/>
  <c r="BV94" i="38"/>
  <c r="BU94" i="38"/>
  <c r="BW93" i="38"/>
  <c r="BV93" i="38"/>
  <c r="BU93" i="38"/>
  <c r="BW92" i="38"/>
  <c r="BV92" i="38"/>
  <c r="BU92" i="38"/>
  <c r="BW91" i="38"/>
  <c r="BV91" i="38"/>
  <c r="BU91" i="38"/>
  <c r="H20" i="35"/>
  <c r="I48" i="35"/>
  <c r="H49" i="35"/>
  <c r="H50" i="35"/>
  <c r="H51" i="35"/>
  <c r="H81" i="35"/>
  <c r="I81" i="35"/>
  <c r="H86" i="35"/>
  <c r="I91" i="35"/>
  <c r="H92" i="35"/>
  <c r="I107" i="35"/>
  <c r="H108" i="35"/>
  <c r="I113" i="35"/>
  <c r="H114" i="35"/>
  <c r="I114" i="35"/>
  <c r="I116" i="35"/>
  <c r="H123" i="35"/>
  <c r="I126" i="35"/>
  <c r="I21" i="37"/>
  <c r="H31" i="37"/>
  <c r="H46" i="37"/>
  <c r="I49" i="37"/>
  <c r="H50" i="37"/>
  <c r="I50" i="37"/>
  <c r="H56" i="37"/>
  <c r="H74" i="37"/>
  <c r="I74" i="37"/>
  <c r="I81" i="37"/>
  <c r="I88" i="37"/>
  <c r="I91" i="37"/>
  <c r="H92" i="37"/>
  <c r="H94" i="37"/>
  <c r="H111" i="37"/>
  <c r="H115" i="37"/>
  <c r="H116" i="37"/>
  <c r="H21" i="38"/>
  <c r="H74" i="38"/>
  <c r="I74" i="38"/>
  <c r="H88" i="38"/>
  <c r="I93" i="38"/>
  <c r="H110" i="38"/>
  <c r="H111" i="38"/>
  <c r="I115" i="38"/>
  <c r="H124" i="38"/>
  <c r="H125" i="38"/>
  <c r="H46" i="1"/>
  <c r="I46" i="1"/>
  <c r="H52" i="1"/>
  <c r="I52" i="1"/>
  <c r="H54" i="1"/>
  <c r="I54" i="1"/>
  <c r="H76" i="1"/>
  <c r="I76" i="1"/>
  <c r="H88" i="1"/>
  <c r="I88" i="1"/>
  <c r="H94" i="1"/>
  <c r="I94" i="1"/>
  <c r="H107" i="1"/>
  <c r="I107" i="1"/>
  <c r="H113" i="1"/>
  <c r="I113" i="1"/>
  <c r="H117" i="1"/>
  <c r="I117" i="1"/>
  <c r="H124" i="1"/>
  <c r="H126" i="1"/>
  <c r="I126" i="1"/>
  <c r="H17" i="35"/>
  <c r="I17" i="35"/>
  <c r="H13" i="37"/>
  <c r="I13" i="37"/>
  <c r="H19" i="37"/>
  <c r="I19" i="37"/>
  <c r="H12" i="38"/>
  <c r="I12" i="38"/>
  <c r="I17" i="38"/>
  <c r="I19" i="38"/>
  <c r="H13" i="1"/>
  <c r="H19" i="1"/>
  <c r="I19" i="1"/>
  <c r="H11" i="38"/>
  <c r="S91" i="35"/>
  <c r="S92" i="35"/>
  <c r="S93" i="35"/>
  <c r="S94" i="35"/>
  <c r="S91" i="37"/>
  <c r="S92" i="37"/>
  <c r="S93" i="37"/>
  <c r="S94" i="37"/>
  <c r="S91" i="38"/>
  <c r="S92" i="38"/>
  <c r="S93" i="38"/>
  <c r="S94" i="38"/>
  <c r="S91" i="1"/>
  <c r="S92" i="1"/>
  <c r="S93" i="1"/>
  <c r="S94" i="1"/>
  <c r="H12" i="35"/>
  <c r="I12" i="35"/>
  <c r="H14" i="38"/>
  <c r="I14" i="38"/>
  <c r="H15" i="38"/>
  <c r="I15" i="38"/>
  <c r="I16" i="37"/>
  <c r="H18" i="35"/>
  <c r="I18" i="35"/>
  <c r="I19" i="35"/>
  <c r="H20" i="37"/>
  <c r="I20" i="1"/>
  <c r="H21" i="1"/>
  <c r="I21" i="38"/>
  <c r="H24" i="35"/>
  <c r="I24" i="35"/>
  <c r="I28" i="1"/>
  <c r="H31" i="35"/>
  <c r="I31" i="35"/>
  <c r="H46" i="35"/>
  <c r="I46" i="35"/>
  <c r="H47" i="38"/>
  <c r="H48" i="1"/>
  <c r="I48" i="1"/>
  <c r="I49" i="35"/>
  <c r="I50" i="1"/>
  <c r="H51" i="37"/>
  <c r="I51" i="35"/>
  <c r="H52" i="35"/>
  <c r="I52" i="35"/>
  <c r="I53" i="38"/>
  <c r="I55" i="37"/>
  <c r="I56" i="1"/>
  <c r="H73" i="1"/>
  <c r="I73" i="1"/>
  <c r="H74" i="35"/>
  <c r="I74" i="35"/>
  <c r="I76" i="35"/>
  <c r="I86" i="1"/>
  <c r="H87" i="35"/>
  <c r="I87" i="35"/>
  <c r="H88" i="35"/>
  <c r="I88" i="35"/>
  <c r="H90" i="1"/>
  <c r="I90" i="35"/>
  <c r="H91" i="35"/>
  <c r="I92" i="1"/>
  <c r="H93" i="1"/>
  <c r="I93" i="1"/>
  <c r="H94" i="35"/>
  <c r="I94" i="35"/>
  <c r="I95" i="1"/>
  <c r="I109" i="1"/>
  <c r="H110" i="1"/>
  <c r="I110" i="1"/>
  <c r="H111" i="35"/>
  <c r="I111" i="35"/>
  <c r="H112" i="38"/>
  <c r="I112" i="38"/>
  <c r="I114" i="37"/>
  <c r="H115" i="35"/>
  <c r="I115" i="1"/>
  <c r="H116" i="38"/>
  <c r="I116" i="37"/>
  <c r="H117" i="35"/>
  <c r="I117" i="35"/>
  <c r="H119" i="1"/>
  <c r="I119" i="1"/>
  <c r="I122" i="1"/>
  <c r="H123" i="1"/>
  <c r="I123" i="1"/>
  <c r="H124" i="35"/>
  <c r="I124" i="35"/>
  <c r="I125" i="1"/>
  <c r="I11" i="35"/>
  <c r="H11" i="37"/>
  <c r="Y17" i="42" l="1"/>
  <c r="Y33" i="42"/>
  <c r="Y18" i="42"/>
  <c r="Y34" i="42"/>
  <c r="X11" i="42"/>
  <c r="Y11" i="42" s="1"/>
  <c r="AC20" i="42"/>
  <c r="AC21" i="42"/>
  <c r="I124" i="38"/>
  <c r="H93" i="38"/>
  <c r="I20" i="38"/>
  <c r="I115" i="37"/>
  <c r="I93" i="37"/>
  <c r="H21" i="37"/>
  <c r="H116" i="35"/>
  <c r="I50" i="35"/>
  <c r="I21" i="35"/>
  <c r="H118" i="37"/>
  <c r="H118" i="35"/>
  <c r="H53" i="37"/>
  <c r="H53" i="35"/>
  <c r="H12" i="1"/>
  <c r="I12" i="37"/>
  <c r="I116" i="1"/>
  <c r="I87" i="1"/>
  <c r="I53" i="1"/>
  <c r="I31" i="1"/>
  <c r="I92" i="38"/>
  <c r="I73" i="38"/>
  <c r="I46" i="38"/>
  <c r="I124" i="37"/>
  <c r="H93" i="37"/>
  <c r="I20" i="37"/>
  <c r="I115" i="35"/>
  <c r="I93" i="35"/>
  <c r="H21" i="35"/>
  <c r="I125" i="37"/>
  <c r="I125" i="35"/>
  <c r="I95" i="37"/>
  <c r="I95" i="35"/>
  <c r="I89" i="37"/>
  <c r="I89" i="35"/>
  <c r="I75" i="37"/>
  <c r="I75" i="35"/>
  <c r="I47" i="37"/>
  <c r="I47" i="35"/>
  <c r="H125" i="37"/>
  <c r="H125" i="35"/>
  <c r="H112" i="37"/>
  <c r="H112" i="35"/>
  <c r="H95" i="37"/>
  <c r="H95" i="35"/>
  <c r="H89" i="37"/>
  <c r="H89" i="35"/>
  <c r="H75" i="37"/>
  <c r="H75" i="35"/>
  <c r="H47" i="37"/>
  <c r="H47" i="35"/>
  <c r="I12" i="1"/>
  <c r="I17" i="37"/>
  <c r="I17" i="1"/>
  <c r="H17" i="37"/>
  <c r="H17" i="1"/>
  <c r="H12" i="37"/>
  <c r="H125" i="1"/>
  <c r="H116" i="1"/>
  <c r="H95" i="1"/>
  <c r="H87" i="1"/>
  <c r="H53" i="1"/>
  <c r="H31" i="1"/>
  <c r="I123" i="38"/>
  <c r="I111" i="38"/>
  <c r="I89" i="38"/>
  <c r="H73" i="38"/>
  <c r="H46" i="38"/>
  <c r="H124" i="37"/>
  <c r="I92" i="37"/>
  <c r="I73" i="37"/>
  <c r="I46" i="37"/>
  <c r="H93" i="35"/>
  <c r="I20" i="35"/>
  <c r="I18" i="1"/>
  <c r="I18" i="38"/>
  <c r="I124" i="1"/>
  <c r="H123" i="38"/>
  <c r="H89" i="38"/>
  <c r="I56" i="38"/>
  <c r="I31" i="38"/>
  <c r="I123" i="37"/>
  <c r="I111" i="37"/>
  <c r="H73" i="37"/>
  <c r="I92" i="35"/>
  <c r="I73" i="35"/>
  <c r="I112" i="37"/>
  <c r="I112" i="35"/>
  <c r="I47" i="38"/>
  <c r="H16" i="37"/>
  <c r="H16" i="1"/>
  <c r="H18" i="1"/>
  <c r="H18" i="38"/>
  <c r="I122" i="38"/>
  <c r="I110" i="38"/>
  <c r="I88" i="38"/>
  <c r="H31" i="38"/>
  <c r="H123" i="37"/>
  <c r="I56" i="37"/>
  <c r="I31" i="37"/>
  <c r="I123" i="35"/>
  <c r="H73" i="35"/>
  <c r="I118" i="37"/>
  <c r="I118" i="35"/>
  <c r="H122" i="1"/>
  <c r="H122" i="38"/>
  <c r="H115" i="1"/>
  <c r="H115" i="38"/>
  <c r="H109" i="1"/>
  <c r="H109" i="38"/>
  <c r="H92" i="1"/>
  <c r="H92" i="38"/>
  <c r="H86" i="1"/>
  <c r="H86" i="38"/>
  <c r="H56" i="1"/>
  <c r="H56" i="38"/>
  <c r="H50" i="1"/>
  <c r="H50" i="38"/>
  <c r="H28" i="1"/>
  <c r="H28" i="38"/>
  <c r="H20" i="1"/>
  <c r="H20" i="38"/>
  <c r="I11" i="38"/>
  <c r="I15" i="1"/>
  <c r="H17" i="38"/>
  <c r="H18" i="37"/>
  <c r="H16" i="35"/>
  <c r="H112" i="1"/>
  <c r="H75" i="1"/>
  <c r="H51" i="1"/>
  <c r="H118" i="38"/>
  <c r="I109" i="38"/>
  <c r="I87" i="38"/>
  <c r="I52" i="38"/>
  <c r="H122" i="37"/>
  <c r="H110" i="37"/>
  <c r="H88" i="37"/>
  <c r="I28" i="37"/>
  <c r="I122" i="35"/>
  <c r="I110" i="35"/>
  <c r="H56" i="35"/>
  <c r="I16" i="35"/>
  <c r="I112" i="1"/>
  <c r="I51" i="1"/>
  <c r="I28" i="38"/>
  <c r="I56" i="35"/>
  <c r="I121" i="1"/>
  <c r="I121" i="38"/>
  <c r="I114" i="1"/>
  <c r="I114" i="38"/>
  <c r="I108" i="1"/>
  <c r="I108" i="38"/>
  <c r="I91" i="1"/>
  <c r="I91" i="38"/>
  <c r="I81" i="1"/>
  <c r="I81" i="38"/>
  <c r="I55" i="1"/>
  <c r="I55" i="38"/>
  <c r="I49" i="1"/>
  <c r="I49" i="38"/>
  <c r="I25" i="1"/>
  <c r="I25" i="38"/>
  <c r="I11" i="37"/>
  <c r="H15" i="1"/>
  <c r="I16" i="38"/>
  <c r="I15" i="37"/>
  <c r="I15" i="35"/>
  <c r="I111" i="1"/>
  <c r="I90" i="1"/>
  <c r="I74" i="1"/>
  <c r="I24" i="1"/>
  <c r="I117" i="38"/>
  <c r="I95" i="38"/>
  <c r="H87" i="38"/>
  <c r="H52" i="38"/>
  <c r="I121" i="37"/>
  <c r="I109" i="37"/>
  <c r="I87" i="37"/>
  <c r="I52" i="37"/>
  <c r="H28" i="37"/>
  <c r="H122" i="35"/>
  <c r="H110" i="35"/>
  <c r="I55" i="35"/>
  <c r="I28" i="35"/>
  <c r="I53" i="37"/>
  <c r="I53" i="35"/>
  <c r="I16" i="1"/>
  <c r="I118" i="38"/>
  <c r="I110" i="37"/>
  <c r="H121" i="1"/>
  <c r="H121" i="38"/>
  <c r="H121" i="37"/>
  <c r="H114" i="1"/>
  <c r="H114" i="38"/>
  <c r="H114" i="37"/>
  <c r="H108" i="1"/>
  <c r="H108" i="38"/>
  <c r="H108" i="37"/>
  <c r="H91" i="1"/>
  <c r="H91" i="38"/>
  <c r="H91" i="37"/>
  <c r="H81" i="1"/>
  <c r="H81" i="38"/>
  <c r="H81" i="37"/>
  <c r="H55" i="1"/>
  <c r="H55" i="38"/>
  <c r="H55" i="37"/>
  <c r="H49" i="1"/>
  <c r="H49" i="38"/>
  <c r="H49" i="37"/>
  <c r="H25" i="1"/>
  <c r="H25" i="38"/>
  <c r="H25" i="37"/>
  <c r="H11" i="35"/>
  <c r="I14" i="1"/>
  <c r="H16" i="38"/>
  <c r="H15" i="37"/>
  <c r="H15" i="35"/>
  <c r="H111" i="1"/>
  <c r="H74" i="1"/>
  <c r="H24" i="1"/>
  <c r="H117" i="38"/>
  <c r="H95" i="38"/>
  <c r="I86" i="38"/>
  <c r="I51" i="38"/>
  <c r="I24" i="38"/>
  <c r="I117" i="37"/>
  <c r="H109" i="37"/>
  <c r="H87" i="37"/>
  <c r="H52" i="37"/>
  <c r="I25" i="37"/>
  <c r="I121" i="35"/>
  <c r="I109" i="35"/>
  <c r="H55" i="35"/>
  <c r="H28" i="35"/>
  <c r="I18" i="37"/>
  <c r="I75" i="1"/>
  <c r="I126" i="38"/>
  <c r="I126" i="37"/>
  <c r="I119" i="38"/>
  <c r="I119" i="37"/>
  <c r="I113" i="38"/>
  <c r="I113" i="37"/>
  <c r="I107" i="38"/>
  <c r="I107" i="37"/>
  <c r="I90" i="38"/>
  <c r="I90" i="37"/>
  <c r="I76" i="38"/>
  <c r="I76" i="37"/>
  <c r="I54" i="38"/>
  <c r="I54" i="37"/>
  <c r="I48" i="38"/>
  <c r="I48" i="37"/>
  <c r="I13" i="38"/>
  <c r="I13" i="35"/>
  <c r="H11" i="1"/>
  <c r="H14" i="1"/>
  <c r="I14" i="37"/>
  <c r="I14" i="35"/>
  <c r="I118" i="1"/>
  <c r="I89" i="1"/>
  <c r="I47" i="1"/>
  <c r="I21" i="1"/>
  <c r="I116" i="38"/>
  <c r="I94" i="38"/>
  <c r="I75" i="38"/>
  <c r="H51" i="38"/>
  <c r="H24" i="38"/>
  <c r="H117" i="37"/>
  <c r="I108" i="37"/>
  <c r="I86" i="37"/>
  <c r="I51" i="37"/>
  <c r="I24" i="37"/>
  <c r="H121" i="35"/>
  <c r="H109" i="35"/>
  <c r="I54" i="35"/>
  <c r="I25" i="35"/>
  <c r="H53" i="38"/>
  <c r="I122" i="37"/>
  <c r="H126" i="38"/>
  <c r="H126" i="37"/>
  <c r="H126" i="35"/>
  <c r="H119" i="38"/>
  <c r="H119" i="37"/>
  <c r="H119" i="35"/>
  <c r="H113" i="38"/>
  <c r="H113" i="37"/>
  <c r="H113" i="35"/>
  <c r="H107" i="38"/>
  <c r="H107" i="37"/>
  <c r="H107" i="35"/>
  <c r="H90" i="38"/>
  <c r="H90" i="37"/>
  <c r="H90" i="35"/>
  <c r="H76" i="38"/>
  <c r="H76" i="37"/>
  <c r="H76" i="35"/>
  <c r="H54" i="38"/>
  <c r="H54" i="37"/>
  <c r="H54" i="35"/>
  <c r="H48" i="38"/>
  <c r="H48" i="37"/>
  <c r="H48" i="35"/>
  <c r="H19" i="38"/>
  <c r="H19" i="35"/>
  <c r="H13" i="38"/>
  <c r="H13" i="35"/>
  <c r="I11" i="1"/>
  <c r="I13" i="1"/>
  <c r="H14" i="37"/>
  <c r="H14" i="35"/>
  <c r="H118" i="1"/>
  <c r="H89" i="1"/>
  <c r="H47" i="1"/>
  <c r="I125" i="38"/>
  <c r="H94" i="38"/>
  <c r="H75" i="38"/>
  <c r="I50" i="38"/>
  <c r="I94" i="37"/>
  <c r="H86" i="37"/>
  <c r="H24" i="37"/>
  <c r="I119" i="35"/>
  <c r="I108" i="35"/>
  <c r="I86" i="35"/>
  <c r="H25" i="35"/>
  <c r="G11" i="41"/>
  <c r="H11" i="41"/>
  <c r="G12" i="41"/>
  <c r="H12" i="41"/>
  <c r="G13" i="41"/>
  <c r="H13" i="41"/>
  <c r="G14" i="41"/>
  <c r="H14" i="41"/>
  <c r="G15" i="41"/>
  <c r="H15" i="41"/>
  <c r="G16" i="41"/>
  <c r="H16" i="41"/>
  <c r="G17" i="41"/>
  <c r="H17" i="41"/>
  <c r="G18" i="41"/>
  <c r="H18" i="41"/>
  <c r="G19" i="41"/>
  <c r="H19" i="41"/>
  <c r="G20" i="41"/>
  <c r="H20" i="41"/>
  <c r="G21" i="41"/>
  <c r="H21" i="41"/>
  <c r="G24" i="41"/>
  <c r="H24" i="41"/>
  <c r="G25" i="41"/>
  <c r="H25" i="41"/>
  <c r="G28" i="41"/>
  <c r="H28" i="41"/>
  <c r="G31" i="41"/>
  <c r="H31" i="41"/>
  <c r="G46" i="41"/>
  <c r="H46" i="41"/>
  <c r="G47" i="41"/>
  <c r="H47" i="41"/>
  <c r="G48" i="41"/>
  <c r="H48" i="41"/>
  <c r="G49" i="41"/>
  <c r="H49" i="41"/>
  <c r="G50" i="41"/>
  <c r="H50" i="41"/>
  <c r="G51" i="41"/>
  <c r="H51" i="41"/>
  <c r="G52" i="41"/>
  <c r="H52" i="41"/>
  <c r="G53" i="41"/>
  <c r="H53" i="41"/>
  <c r="G54" i="41"/>
  <c r="H54" i="41"/>
  <c r="G55" i="41"/>
  <c r="H55" i="41"/>
  <c r="G56" i="41"/>
  <c r="H56" i="41"/>
  <c r="G73" i="41"/>
  <c r="H73" i="41"/>
  <c r="G74" i="41"/>
  <c r="H74" i="41"/>
  <c r="G75" i="41"/>
  <c r="H75" i="41"/>
  <c r="G76" i="41"/>
  <c r="H76" i="41"/>
  <c r="G81" i="41"/>
  <c r="H81" i="41"/>
  <c r="G86" i="41"/>
  <c r="H86" i="41"/>
  <c r="G87" i="41"/>
  <c r="H87" i="41"/>
  <c r="G88" i="41"/>
  <c r="H88" i="41"/>
  <c r="G89" i="41"/>
  <c r="H89" i="41"/>
  <c r="G90" i="41"/>
  <c r="H90" i="41"/>
  <c r="G91" i="41"/>
  <c r="H91" i="41"/>
  <c r="G92" i="41"/>
  <c r="H92" i="41"/>
  <c r="G93" i="41"/>
  <c r="H93" i="41"/>
  <c r="G94" i="41"/>
  <c r="H94" i="41"/>
  <c r="G95" i="41"/>
  <c r="H95" i="41"/>
  <c r="G107" i="41"/>
  <c r="H107" i="41"/>
  <c r="G108" i="41"/>
  <c r="H108" i="41"/>
  <c r="G109" i="41"/>
  <c r="H109" i="41"/>
  <c r="G110" i="41"/>
  <c r="H110" i="41"/>
  <c r="G111" i="41"/>
  <c r="H111" i="41"/>
  <c r="G112" i="41"/>
  <c r="H112" i="41"/>
  <c r="G113" i="41"/>
  <c r="H113" i="41"/>
  <c r="G114" i="41"/>
  <c r="H114" i="41"/>
  <c r="G115" i="41"/>
  <c r="H115" i="41"/>
  <c r="G116" i="41"/>
  <c r="H116" i="41"/>
  <c r="G117" i="41"/>
  <c r="H117" i="41"/>
  <c r="G118" i="41"/>
  <c r="H118" i="41"/>
  <c r="G119" i="41"/>
  <c r="H119" i="41"/>
  <c r="G121" i="41"/>
  <c r="H121" i="41"/>
  <c r="G122" i="41"/>
  <c r="H122" i="41"/>
  <c r="G123" i="41"/>
  <c r="H123" i="41"/>
  <c r="G124" i="41"/>
  <c r="H124" i="41"/>
  <c r="G125" i="41"/>
  <c r="H125" i="41"/>
  <c r="G126" i="41"/>
  <c r="H126" i="41"/>
  <c r="G127" i="41"/>
  <c r="H127" i="41"/>
  <c r="G128" i="41"/>
  <c r="H128" i="41"/>
  <c r="G129" i="41"/>
  <c r="H129" i="41"/>
  <c r="G130" i="41"/>
  <c r="H130" i="41"/>
  <c r="G131" i="41"/>
  <c r="H131" i="41"/>
  <c r="G132" i="41"/>
  <c r="H132" i="41"/>
  <c r="G133" i="41"/>
  <c r="H133" i="41"/>
  <c r="G134" i="41"/>
  <c r="H134" i="41"/>
  <c r="G135" i="41"/>
  <c r="H135" i="41"/>
  <c r="G136" i="41"/>
  <c r="H136" i="41"/>
  <c r="G137" i="41"/>
  <c r="H137" i="41"/>
  <c r="G138" i="41"/>
  <c r="H138" i="41"/>
  <c r="G139" i="41"/>
  <c r="H139" i="41"/>
  <c r="G140" i="41"/>
  <c r="H140" i="41"/>
  <c r="G141" i="41"/>
  <c r="H141" i="41"/>
  <c r="G142" i="41"/>
  <c r="H142" i="41"/>
  <c r="G143" i="41"/>
  <c r="H143" i="41"/>
  <c r="G144" i="41"/>
  <c r="H144" i="41"/>
  <c r="G145" i="41"/>
  <c r="H145" i="41"/>
  <c r="G146" i="41"/>
  <c r="H146" i="41"/>
  <c r="G147" i="41"/>
  <c r="H147" i="41"/>
  <c r="G148" i="41"/>
  <c r="H148" i="41"/>
  <c r="G149" i="41"/>
  <c r="H149" i="41"/>
  <c r="G150" i="41"/>
  <c r="H150" i="41"/>
  <c r="G151" i="41"/>
  <c r="H151" i="41"/>
  <c r="G152" i="41"/>
  <c r="H152" i="41"/>
  <c r="G153" i="41"/>
  <c r="H153" i="41"/>
  <c r="G154" i="41"/>
  <c r="H154" i="41"/>
  <c r="G155" i="41"/>
  <c r="H155" i="41"/>
  <c r="G156" i="41"/>
  <c r="H156" i="41"/>
  <c r="G157" i="41"/>
  <c r="H157" i="41"/>
  <c r="G158" i="41"/>
  <c r="H158" i="41"/>
  <c r="G159" i="41"/>
  <c r="H159" i="41"/>
  <c r="G160" i="41"/>
  <c r="H160" i="41"/>
  <c r="G161" i="41"/>
  <c r="H161" i="41"/>
  <c r="G162" i="41"/>
  <c r="H162" i="41"/>
  <c r="G163" i="41"/>
  <c r="H163" i="41"/>
  <c r="G164" i="41"/>
  <c r="H164" i="41"/>
  <c r="G165" i="41"/>
  <c r="H165" i="41"/>
  <c r="G166" i="41"/>
  <c r="H166" i="41"/>
  <c r="G167" i="41"/>
  <c r="H167" i="41"/>
  <c r="G168" i="41"/>
  <c r="H168" i="41"/>
  <c r="G169" i="41"/>
  <c r="H169" i="41"/>
  <c r="G170" i="41"/>
  <c r="H170" i="41"/>
  <c r="G171" i="41"/>
  <c r="H171" i="41"/>
  <c r="G172" i="41"/>
  <c r="H172" i="41"/>
  <c r="G173" i="41"/>
  <c r="H173" i="41"/>
  <c r="G174" i="41"/>
  <c r="H174" i="41"/>
  <c r="G175" i="41"/>
  <c r="H175" i="41"/>
  <c r="G176" i="41"/>
  <c r="H176" i="41"/>
  <c r="G177" i="41"/>
  <c r="H177" i="41"/>
  <c r="G178" i="41"/>
  <c r="H178" i="41"/>
  <c r="G179" i="41"/>
  <c r="H179" i="41"/>
  <c r="G180" i="41"/>
  <c r="H180" i="41"/>
  <c r="G181" i="41"/>
  <c r="H181" i="41"/>
  <c r="G182" i="41"/>
  <c r="H182" i="41"/>
  <c r="G183" i="41"/>
  <c r="H183" i="41"/>
  <c r="G184" i="41"/>
  <c r="H184" i="41"/>
  <c r="G185" i="41"/>
  <c r="H185" i="41"/>
  <c r="G186" i="41"/>
  <c r="H186" i="41"/>
  <c r="G187" i="41"/>
  <c r="H187" i="41"/>
  <c r="G188" i="41"/>
  <c r="H188" i="41"/>
  <c r="G189" i="41"/>
  <c r="H189" i="41"/>
  <c r="G190" i="41"/>
  <c r="H190" i="41"/>
  <c r="G191" i="41"/>
  <c r="H191" i="41"/>
  <c r="G192" i="41"/>
  <c r="H192" i="41"/>
  <c r="G193" i="41"/>
  <c r="H193" i="41"/>
  <c r="G194" i="41"/>
  <c r="H194" i="41"/>
  <c r="G195" i="41"/>
  <c r="H195" i="41"/>
  <c r="G196" i="41"/>
  <c r="H196" i="41"/>
  <c r="G197" i="41"/>
  <c r="H197" i="41"/>
  <c r="G198" i="41"/>
  <c r="H198" i="41"/>
  <c r="G199" i="41"/>
  <c r="H199" i="41"/>
  <c r="G200" i="41"/>
  <c r="H200" i="41"/>
  <c r="G201" i="41"/>
  <c r="H201" i="41"/>
  <c r="G202" i="41"/>
  <c r="H202" i="41"/>
  <c r="G203" i="41"/>
  <c r="H203" i="41"/>
  <c r="G204" i="41"/>
  <c r="H204" i="41"/>
  <c r="G205" i="41"/>
  <c r="H205" i="41"/>
  <c r="G206" i="41"/>
  <c r="H206" i="41"/>
  <c r="G207" i="41"/>
  <c r="H207" i="41"/>
  <c r="G208" i="41"/>
  <c r="H208" i="41"/>
  <c r="G209" i="41"/>
  <c r="H209" i="41"/>
  <c r="G210" i="41"/>
  <c r="H210" i="41"/>
  <c r="G211" i="41"/>
  <c r="H211" i="41"/>
  <c r="G212" i="41"/>
  <c r="H212" i="41"/>
  <c r="G213" i="41"/>
  <c r="H213" i="41"/>
  <c r="G214" i="41"/>
  <c r="H214" i="41"/>
  <c r="G215" i="41"/>
  <c r="H215" i="41"/>
  <c r="G216" i="41"/>
  <c r="H216" i="41"/>
  <c r="G217" i="41"/>
  <c r="H217" i="41"/>
  <c r="G218" i="41"/>
  <c r="H218" i="41"/>
  <c r="G219" i="41"/>
  <c r="H219" i="41"/>
  <c r="G220" i="41"/>
  <c r="H220" i="41"/>
  <c r="G221" i="41"/>
  <c r="H221" i="41"/>
  <c r="G222" i="41"/>
  <c r="H222" i="41"/>
  <c r="G223" i="41"/>
  <c r="H223" i="41"/>
  <c r="G224" i="41"/>
  <c r="H224" i="41"/>
  <c r="G225" i="41"/>
  <c r="H225" i="41"/>
  <c r="G226" i="41"/>
  <c r="H226" i="41"/>
  <c r="G227" i="41"/>
  <c r="H227" i="41"/>
  <c r="G228" i="41"/>
  <c r="H228" i="41"/>
  <c r="G229" i="41"/>
  <c r="H229" i="41"/>
  <c r="G230" i="41"/>
  <c r="H230" i="41"/>
  <c r="G231" i="41"/>
  <c r="H231" i="41"/>
  <c r="G232" i="41"/>
  <c r="H232" i="41"/>
  <c r="G233" i="41"/>
  <c r="H233" i="41"/>
  <c r="G234" i="41"/>
  <c r="H234" i="41"/>
  <c r="G235" i="41"/>
  <c r="H235" i="41"/>
  <c r="G236" i="41"/>
  <c r="H236" i="41"/>
  <c r="G237" i="41"/>
  <c r="H237" i="41"/>
  <c r="G238" i="41"/>
  <c r="H238" i="41"/>
  <c r="G239" i="41"/>
  <c r="H239" i="41"/>
  <c r="G240" i="41"/>
  <c r="H240" i="41"/>
  <c r="G241" i="41"/>
  <c r="H241" i="41"/>
  <c r="G242" i="41"/>
  <c r="H242" i="41"/>
  <c r="G243" i="41"/>
  <c r="H243" i="41"/>
  <c r="G244" i="41"/>
  <c r="H244" i="41"/>
  <c r="G245" i="41"/>
  <c r="H245" i="41"/>
  <c r="G246" i="41"/>
  <c r="H246" i="41"/>
  <c r="G247" i="41"/>
  <c r="H247" i="41"/>
  <c r="G248" i="41"/>
  <c r="H248" i="41"/>
  <c r="G249" i="41"/>
  <c r="H249" i="41"/>
  <c r="G250" i="41"/>
  <c r="H250" i="41"/>
  <c r="G251" i="41"/>
  <c r="H251" i="41"/>
  <c r="G252" i="41"/>
  <c r="H252" i="41"/>
  <c r="G253" i="41"/>
  <c r="H253" i="41"/>
  <c r="G254" i="41"/>
  <c r="H254" i="41"/>
  <c r="G255" i="41"/>
  <c r="H255" i="41"/>
  <c r="G256" i="41"/>
  <c r="H256" i="41"/>
  <c r="G257" i="41"/>
  <c r="H257" i="41"/>
  <c r="G258" i="41"/>
  <c r="H258" i="41"/>
  <c r="G259" i="41"/>
  <c r="H259" i="41"/>
  <c r="G260" i="41"/>
  <c r="H260" i="41"/>
  <c r="G261" i="41"/>
  <c r="H261" i="41"/>
  <c r="G262" i="41"/>
  <c r="H262" i="41"/>
  <c r="G263" i="41"/>
  <c r="H263" i="41"/>
  <c r="G264" i="41"/>
  <c r="H264" i="41"/>
  <c r="G265" i="41"/>
  <c r="H265" i="41"/>
  <c r="G266" i="41"/>
  <c r="H266" i="41"/>
  <c r="G267" i="41"/>
  <c r="H267" i="41"/>
  <c r="G268" i="41"/>
  <c r="H268" i="41"/>
  <c r="G269" i="41"/>
  <c r="H269" i="41"/>
  <c r="G270" i="41"/>
  <c r="H270" i="41"/>
  <c r="G271" i="41"/>
  <c r="H271" i="41"/>
  <c r="G272" i="41"/>
  <c r="H272" i="41"/>
  <c r="G273" i="41"/>
  <c r="H273" i="41"/>
  <c r="G274" i="41"/>
  <c r="H274" i="41"/>
  <c r="G275" i="41"/>
  <c r="H275" i="41"/>
  <c r="G276" i="41"/>
  <c r="H276" i="41"/>
  <c r="G277" i="41"/>
  <c r="H277" i="41"/>
  <c r="G278" i="41"/>
  <c r="H278" i="41"/>
  <c r="G279" i="41"/>
  <c r="H279" i="41"/>
  <c r="G280" i="41"/>
  <c r="H280" i="41"/>
  <c r="G281" i="41"/>
  <c r="H281" i="41"/>
  <c r="G282" i="41"/>
  <c r="H282" i="41"/>
  <c r="G283" i="41"/>
  <c r="H283" i="41"/>
  <c r="G284" i="41"/>
  <c r="H284" i="41"/>
  <c r="G285" i="41"/>
  <c r="H285" i="41"/>
  <c r="G286" i="41"/>
  <c r="H286" i="41"/>
  <c r="G287" i="41"/>
  <c r="H287" i="41"/>
  <c r="G288" i="41"/>
  <c r="H288" i="41"/>
  <c r="G289" i="41"/>
  <c r="H289" i="41"/>
  <c r="G290" i="41"/>
  <c r="H290" i="41"/>
  <c r="G291" i="41"/>
  <c r="H291" i="41"/>
  <c r="G292" i="41"/>
  <c r="H292" i="41"/>
  <c r="G293" i="41"/>
  <c r="H293" i="41"/>
  <c r="G294" i="41"/>
  <c r="H294" i="41"/>
  <c r="G295" i="41"/>
  <c r="H295" i="41"/>
  <c r="G296" i="41"/>
  <c r="H296" i="41"/>
  <c r="G297" i="41"/>
  <c r="H297" i="41"/>
  <c r="G298" i="41"/>
  <c r="H298" i="41"/>
  <c r="G299" i="41"/>
  <c r="H299" i="41"/>
  <c r="G300" i="41"/>
  <c r="H300" i="41"/>
  <c r="G301" i="41"/>
  <c r="H301" i="41"/>
  <c r="G302" i="41"/>
  <c r="H302" i="41"/>
  <c r="G303" i="41"/>
  <c r="H303" i="41"/>
  <c r="G304" i="41"/>
  <c r="H304" i="41"/>
  <c r="G305" i="41"/>
  <c r="H305" i="41"/>
  <c r="G306" i="41"/>
  <c r="H306" i="41"/>
  <c r="G307" i="41"/>
  <c r="H307" i="41"/>
  <c r="G308" i="41"/>
  <c r="H308" i="41"/>
  <c r="G309" i="41"/>
  <c r="H309" i="41"/>
  <c r="G310" i="41"/>
  <c r="H310" i="41"/>
  <c r="G311" i="41"/>
  <c r="H311" i="41"/>
  <c r="G312" i="41"/>
  <c r="H312" i="41"/>
  <c r="G313" i="41"/>
  <c r="H313" i="41"/>
  <c r="G314" i="41"/>
  <c r="H314" i="41"/>
  <c r="G315" i="41"/>
  <c r="H315" i="41"/>
  <c r="G316" i="41"/>
  <c r="H316" i="41"/>
  <c r="G317" i="41"/>
  <c r="H317" i="41"/>
  <c r="G318" i="41"/>
  <c r="H318" i="41"/>
  <c r="G319" i="41"/>
  <c r="H319" i="41"/>
  <c r="G320" i="41"/>
  <c r="H320" i="41"/>
  <c r="G321" i="41"/>
  <c r="H321" i="41"/>
  <c r="G322" i="41"/>
  <c r="H322" i="41"/>
  <c r="G323" i="41"/>
  <c r="H323" i="41"/>
  <c r="G324" i="41"/>
  <c r="H324" i="41"/>
  <c r="G325" i="41"/>
  <c r="H325" i="41"/>
  <c r="G326" i="41"/>
  <c r="H326" i="41"/>
  <c r="G327" i="41"/>
  <c r="H327" i="41"/>
  <c r="G328" i="41"/>
  <c r="H328" i="41"/>
  <c r="G329" i="41"/>
  <c r="H329" i="41"/>
  <c r="G330" i="41"/>
  <c r="H330" i="41"/>
  <c r="G331" i="41"/>
  <c r="H331" i="41"/>
  <c r="G332" i="41"/>
  <c r="H332" i="41"/>
  <c r="G333" i="41"/>
  <c r="H333" i="41"/>
  <c r="G334" i="41"/>
  <c r="H334" i="41"/>
  <c r="G335" i="41"/>
  <c r="H335" i="41"/>
  <c r="G336" i="41"/>
  <c r="H336" i="41"/>
  <c r="G337" i="41"/>
  <c r="H337" i="41"/>
  <c r="G338" i="41"/>
  <c r="H338" i="41"/>
  <c r="G339" i="41"/>
  <c r="H339" i="41"/>
  <c r="G340" i="41"/>
  <c r="H340" i="41"/>
  <c r="G341" i="41"/>
  <c r="H341" i="41"/>
  <c r="G342" i="41"/>
  <c r="H342" i="41"/>
  <c r="G343" i="41"/>
  <c r="H343" i="41"/>
  <c r="G344" i="41"/>
  <c r="H344" i="41"/>
  <c r="G345" i="41"/>
  <c r="H345" i="41"/>
  <c r="G346" i="41"/>
  <c r="H346" i="41"/>
  <c r="G347" i="41"/>
  <c r="H347" i="41"/>
  <c r="G348" i="41"/>
  <c r="H348" i="41"/>
  <c r="G349" i="41"/>
  <c r="H349" i="41"/>
  <c r="G350" i="41"/>
  <c r="H350" i="41"/>
  <c r="G351" i="41"/>
  <c r="H351" i="41"/>
  <c r="G352" i="41"/>
  <c r="H352" i="41"/>
  <c r="G353" i="41"/>
  <c r="H353" i="41"/>
  <c r="G354" i="41"/>
  <c r="H354" i="41"/>
  <c r="G355" i="41"/>
  <c r="H355" i="41"/>
  <c r="G356" i="41"/>
  <c r="H356" i="41"/>
  <c r="G357" i="41"/>
  <c r="H357" i="41"/>
  <c r="G358" i="41"/>
  <c r="H358" i="41"/>
  <c r="G359" i="41"/>
  <c r="H359" i="41"/>
  <c r="G360" i="41"/>
  <c r="H360" i="41"/>
  <c r="G361" i="41"/>
  <c r="H361" i="41"/>
  <c r="G362" i="41"/>
  <c r="H362" i="41"/>
  <c r="G363" i="41"/>
  <c r="H363" i="41"/>
  <c r="G364" i="41"/>
  <c r="H364" i="41"/>
  <c r="G365" i="41"/>
  <c r="H365" i="41"/>
  <c r="G366" i="41"/>
  <c r="H366" i="41"/>
  <c r="G367" i="41"/>
  <c r="H367" i="41"/>
  <c r="G368" i="41"/>
  <c r="H368" i="41"/>
  <c r="G369" i="41"/>
  <c r="H369" i="41"/>
  <c r="G370" i="41"/>
  <c r="H370" i="41"/>
  <c r="G371" i="41"/>
  <c r="H371" i="41"/>
  <c r="G372" i="41"/>
  <c r="H372" i="41"/>
  <c r="G373" i="41"/>
  <c r="H373" i="41"/>
  <c r="G374" i="41"/>
  <c r="H374" i="41"/>
  <c r="G375" i="41"/>
  <c r="H375" i="41"/>
  <c r="G376" i="41"/>
  <c r="H376" i="41"/>
  <c r="G377" i="41"/>
  <c r="H377" i="41"/>
  <c r="AO21" i="38"/>
  <c r="AP21" i="38"/>
  <c r="AQ21" i="38"/>
  <c r="AR21" i="38"/>
  <c r="AS21" i="38"/>
  <c r="AT21" i="38"/>
  <c r="AU21" i="38"/>
  <c r="AV21" i="38"/>
  <c r="AW21" i="38"/>
  <c r="AX21" i="38"/>
  <c r="AY21" i="38"/>
  <c r="AZ21" i="38"/>
  <c r="BA21" i="38"/>
  <c r="BB21" i="38"/>
  <c r="BC21" i="38"/>
  <c r="BD21" i="38"/>
  <c r="BE21" i="38"/>
  <c r="BF21" i="38"/>
  <c r="BG21" i="38"/>
  <c r="BH21" i="38"/>
  <c r="BI21" i="38"/>
  <c r="BJ21" i="38"/>
  <c r="BK21" i="38"/>
  <c r="BL21" i="38"/>
  <c r="BM21" i="38"/>
  <c r="BN21" i="38"/>
  <c r="BO21" i="38"/>
  <c r="BP21" i="38"/>
  <c r="AN21" i="38"/>
  <c r="AO21" i="37"/>
  <c r="AP21" i="37"/>
  <c r="AQ21" i="37"/>
  <c r="AR21" i="37"/>
  <c r="AS21" i="37"/>
  <c r="AT21" i="37"/>
  <c r="AU21" i="37"/>
  <c r="AV21" i="37"/>
  <c r="AW21" i="37"/>
  <c r="AX21" i="37"/>
  <c r="AY21" i="37"/>
  <c r="AZ21" i="37"/>
  <c r="BA21" i="37"/>
  <c r="BB21" i="37"/>
  <c r="BC21" i="37"/>
  <c r="BD21" i="37"/>
  <c r="BE21" i="37"/>
  <c r="BF21" i="37"/>
  <c r="BG21" i="37"/>
  <c r="BH21" i="37"/>
  <c r="BI21" i="37"/>
  <c r="BJ21" i="37"/>
  <c r="BK21" i="37"/>
  <c r="BL21" i="37"/>
  <c r="BM21" i="37"/>
  <c r="BN21" i="37"/>
  <c r="BO21" i="37"/>
  <c r="BP21" i="37"/>
  <c r="AN21" i="37"/>
  <c r="AO21" i="35"/>
  <c r="AP21" i="35"/>
  <c r="AQ21" i="35"/>
  <c r="AR21" i="35"/>
  <c r="AS21" i="35"/>
  <c r="AT21" i="35"/>
  <c r="AU21" i="35"/>
  <c r="AV21" i="35"/>
  <c r="AW21" i="35"/>
  <c r="AX21" i="35"/>
  <c r="AY21" i="35"/>
  <c r="AZ21" i="35"/>
  <c r="BA21" i="35"/>
  <c r="BB21" i="35"/>
  <c r="BC21" i="35"/>
  <c r="BD21" i="35"/>
  <c r="BE21" i="35"/>
  <c r="BF21" i="35"/>
  <c r="BG21" i="35"/>
  <c r="BH21" i="35"/>
  <c r="BI21" i="35"/>
  <c r="BJ21" i="35"/>
  <c r="BK21" i="35"/>
  <c r="BL21" i="35"/>
  <c r="BM21" i="35"/>
  <c r="BN21" i="35"/>
  <c r="BO21" i="35"/>
  <c r="BP21" i="35"/>
  <c r="AN21" i="35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AN21" i="1"/>
  <c r="BT125" i="1" l="1"/>
  <c r="BT125" i="38"/>
  <c r="BT125" i="37"/>
  <c r="BT125" i="35"/>
  <c r="BT122" i="37"/>
  <c r="BT122" i="35"/>
  <c r="BT122" i="1"/>
  <c r="BT122" i="38"/>
  <c r="BT118" i="1"/>
  <c r="BT118" i="38"/>
  <c r="BT118" i="37"/>
  <c r="BT118" i="35"/>
  <c r="BT115" i="37"/>
  <c r="BT115" i="35"/>
  <c r="BT115" i="1"/>
  <c r="BT115" i="38"/>
  <c r="BT112" i="1"/>
  <c r="BT112" i="38"/>
  <c r="BT112" i="37"/>
  <c r="BT112" i="35"/>
  <c r="BT109" i="37"/>
  <c r="BT109" i="35"/>
  <c r="BT109" i="1"/>
  <c r="BT109" i="38"/>
  <c r="BT95" i="1"/>
  <c r="BT95" i="38"/>
  <c r="BT95" i="37"/>
  <c r="BT95" i="35"/>
  <c r="BT92" i="37"/>
  <c r="BT92" i="38"/>
  <c r="BT92" i="1"/>
  <c r="BT92" i="35"/>
  <c r="BT89" i="35"/>
  <c r="BT89" i="1"/>
  <c r="BT89" i="38"/>
  <c r="BT89" i="37"/>
  <c r="BT86" i="1"/>
  <c r="BT86" i="38"/>
  <c r="BT86" i="37"/>
  <c r="BT86" i="35"/>
  <c r="BT75" i="35"/>
  <c r="BT75" i="1"/>
  <c r="BT75" i="38"/>
  <c r="BT75" i="37"/>
  <c r="BT56" i="1"/>
  <c r="BT56" i="38"/>
  <c r="BT56" i="37"/>
  <c r="BT56" i="35"/>
  <c r="BT53" i="35"/>
  <c r="BT53" i="1"/>
  <c r="BT53" i="38"/>
  <c r="BT53" i="37"/>
  <c r="BT50" i="1"/>
  <c r="BT50" i="38"/>
  <c r="BT50" i="37"/>
  <c r="BT50" i="35"/>
  <c r="BT47" i="35"/>
  <c r="BT47" i="1"/>
  <c r="BT47" i="38"/>
  <c r="BT47" i="37"/>
  <c r="BT28" i="1"/>
  <c r="BT28" i="38"/>
  <c r="BT28" i="37"/>
  <c r="BT28" i="35"/>
  <c r="BT20" i="1"/>
  <c r="BT20" i="38"/>
  <c r="BT20" i="37"/>
  <c r="BT20" i="35"/>
  <c r="BT18" i="35"/>
  <c r="BT18" i="1"/>
  <c r="BT18" i="38"/>
  <c r="BT18" i="37"/>
  <c r="BT15" i="37"/>
  <c r="BT15" i="35"/>
  <c r="BT15" i="1"/>
  <c r="BT15" i="38"/>
  <c r="BT12" i="35"/>
  <c r="BT12" i="1"/>
  <c r="BT12" i="38"/>
  <c r="BT12" i="37"/>
  <c r="BS125" i="1"/>
  <c r="BS125" i="38"/>
  <c r="BS125" i="35"/>
  <c r="BS125" i="37"/>
  <c r="BS122" i="37"/>
  <c r="BS122" i="35"/>
  <c r="BS122" i="1"/>
  <c r="BS122" i="38"/>
  <c r="BS118" i="1"/>
  <c r="BS118" i="38"/>
  <c r="BS118" i="37"/>
  <c r="BS118" i="35"/>
  <c r="BS115" i="37"/>
  <c r="BS115" i="35"/>
  <c r="BS115" i="38"/>
  <c r="BS115" i="1"/>
  <c r="BS112" i="1"/>
  <c r="BS112" i="38"/>
  <c r="BS112" i="35"/>
  <c r="BS112" i="37"/>
  <c r="BS109" i="37"/>
  <c r="BS109" i="35"/>
  <c r="BS109" i="1"/>
  <c r="BS109" i="38"/>
  <c r="BS95" i="1"/>
  <c r="BS95" i="38"/>
  <c r="BS95" i="37"/>
  <c r="BS95" i="35"/>
  <c r="BS92" i="1"/>
  <c r="BS92" i="38"/>
  <c r="BS92" i="37"/>
  <c r="BS92" i="35"/>
  <c r="BS89" i="35"/>
  <c r="BS89" i="38"/>
  <c r="BS89" i="1"/>
  <c r="BS89" i="37"/>
  <c r="BS86" i="1"/>
  <c r="BS86" i="38"/>
  <c r="BS86" i="37"/>
  <c r="BS86" i="35"/>
  <c r="BS75" i="35"/>
  <c r="BS75" i="1"/>
  <c r="BS75" i="37"/>
  <c r="BS75" i="38"/>
  <c r="BS56" i="1"/>
  <c r="BS56" i="38"/>
  <c r="BS56" i="37"/>
  <c r="BS56" i="35"/>
  <c r="BS53" i="35"/>
  <c r="BS53" i="1"/>
  <c r="BS53" i="37"/>
  <c r="BS53" i="38"/>
  <c r="BS50" i="1"/>
  <c r="BS50" i="38"/>
  <c r="BS50" i="37"/>
  <c r="BS50" i="35"/>
  <c r="BS47" i="35"/>
  <c r="BS47" i="37"/>
  <c r="BS47" i="38"/>
  <c r="BS47" i="1"/>
  <c r="BS28" i="1"/>
  <c r="BS28" i="38"/>
  <c r="BS28" i="37"/>
  <c r="BS28" i="35"/>
  <c r="BS20" i="1"/>
  <c r="BS20" i="38"/>
  <c r="BS20" i="37"/>
  <c r="BS20" i="35"/>
  <c r="BS18" i="35"/>
  <c r="BS18" i="1"/>
  <c r="BS18" i="38"/>
  <c r="BS18" i="37"/>
  <c r="BS15" i="37"/>
  <c r="BS15" i="1"/>
  <c r="BS15" i="38"/>
  <c r="BS15" i="35"/>
  <c r="BS12" i="35"/>
  <c r="BS12" i="1"/>
  <c r="BS12" i="38"/>
  <c r="BS12" i="37"/>
  <c r="BT124" i="35"/>
  <c r="BT124" i="1"/>
  <c r="BT124" i="38"/>
  <c r="BT124" i="37"/>
  <c r="BT121" i="37"/>
  <c r="BT121" i="35"/>
  <c r="BT121" i="1"/>
  <c r="BT121" i="38"/>
  <c r="BT117" i="35"/>
  <c r="BT117" i="1"/>
  <c r="BT117" i="38"/>
  <c r="BT117" i="37"/>
  <c r="BT114" i="37"/>
  <c r="BT114" i="35"/>
  <c r="BT114" i="38"/>
  <c r="BT114" i="1"/>
  <c r="BT111" i="35"/>
  <c r="BT111" i="1"/>
  <c r="BT111" i="38"/>
  <c r="BT111" i="37"/>
  <c r="BT108" i="37"/>
  <c r="BT108" i="35"/>
  <c r="BT108" i="38"/>
  <c r="BT108" i="1"/>
  <c r="BT94" i="35"/>
  <c r="BT94" i="1"/>
  <c r="BT94" i="38"/>
  <c r="BT94" i="37"/>
  <c r="BT91" i="1"/>
  <c r="BT91" i="38"/>
  <c r="BT91" i="37"/>
  <c r="BT91" i="35"/>
  <c r="BT88" i="37"/>
  <c r="BT88" i="35"/>
  <c r="BT88" i="38"/>
  <c r="BT88" i="1"/>
  <c r="BT81" i="1"/>
  <c r="BT81" i="38"/>
  <c r="BT81" i="37"/>
  <c r="BT81" i="35"/>
  <c r="BT74" i="37"/>
  <c r="BT74" i="35"/>
  <c r="BT74" i="1"/>
  <c r="BT74" i="38"/>
  <c r="BT55" i="1"/>
  <c r="BT55" i="38"/>
  <c r="BT55" i="37"/>
  <c r="BT55" i="35"/>
  <c r="BT52" i="37"/>
  <c r="BT52" i="35"/>
  <c r="BT52" i="38"/>
  <c r="BT52" i="1"/>
  <c r="BT49" i="1"/>
  <c r="BT49" i="38"/>
  <c r="BT49" i="37"/>
  <c r="BT49" i="35"/>
  <c r="BT46" i="37"/>
  <c r="BT46" i="35"/>
  <c r="BT46" i="1"/>
  <c r="BT46" i="38"/>
  <c r="BT25" i="1"/>
  <c r="BT25" i="38"/>
  <c r="BT25" i="37"/>
  <c r="BT25" i="35"/>
  <c r="BT24" i="37"/>
  <c r="BT24" i="35"/>
  <c r="BT24" i="1"/>
  <c r="BT24" i="38"/>
  <c r="BT17" i="35"/>
  <c r="BT17" i="1"/>
  <c r="BT17" i="38"/>
  <c r="BT17" i="37"/>
  <c r="BT14" i="1"/>
  <c r="BT14" i="38"/>
  <c r="BT14" i="37"/>
  <c r="BT14" i="35"/>
  <c r="BT11" i="35"/>
  <c r="BT11" i="1"/>
  <c r="BT11" i="38"/>
  <c r="BT11" i="37"/>
  <c r="BS114" i="37"/>
  <c r="BS114" i="35"/>
  <c r="BS114" i="38"/>
  <c r="BS114" i="1"/>
  <c r="BS108" i="37"/>
  <c r="BS108" i="1"/>
  <c r="BS108" i="35"/>
  <c r="BS108" i="38"/>
  <c r="BS91" i="1"/>
  <c r="BS91" i="38"/>
  <c r="BS91" i="35"/>
  <c r="BS91" i="37"/>
  <c r="BS81" i="1"/>
  <c r="BS81" i="38"/>
  <c r="BS81" i="35"/>
  <c r="BS81" i="37"/>
  <c r="BS55" i="1"/>
  <c r="BS55" i="38"/>
  <c r="BS55" i="35"/>
  <c r="BS55" i="37"/>
  <c r="BS49" i="1"/>
  <c r="BS49" i="38"/>
  <c r="BS49" i="35"/>
  <c r="BS49" i="37"/>
  <c r="BS24" i="37"/>
  <c r="BS24" i="35"/>
  <c r="BS24" i="1"/>
  <c r="BS24" i="38"/>
  <c r="BS14" i="1"/>
  <c r="BS14" i="38"/>
  <c r="BS14" i="37"/>
  <c r="BS14" i="35"/>
  <c r="BS121" i="37"/>
  <c r="BS121" i="1"/>
  <c r="BS121" i="35"/>
  <c r="BS121" i="38"/>
  <c r="BS111" i="35"/>
  <c r="BS111" i="1"/>
  <c r="BS111" i="38"/>
  <c r="BS111" i="37"/>
  <c r="BS94" i="35"/>
  <c r="BS94" i="1"/>
  <c r="BS94" i="38"/>
  <c r="BS94" i="37"/>
  <c r="BS88" i="37"/>
  <c r="BS88" i="35"/>
  <c r="BS88" i="38"/>
  <c r="BS88" i="1"/>
  <c r="BS74" i="37"/>
  <c r="BS74" i="35"/>
  <c r="BS74" i="1"/>
  <c r="BS74" i="38"/>
  <c r="BS52" i="37"/>
  <c r="BS52" i="35"/>
  <c r="BS52" i="38"/>
  <c r="BS52" i="1"/>
  <c r="BS46" i="37"/>
  <c r="BS46" i="35"/>
  <c r="BS46" i="1"/>
  <c r="BS46" i="38"/>
  <c r="BS25" i="1"/>
  <c r="BS25" i="38"/>
  <c r="BS25" i="37"/>
  <c r="BS25" i="35"/>
  <c r="BS17" i="35"/>
  <c r="BS17" i="38"/>
  <c r="BS17" i="1"/>
  <c r="BS17" i="37"/>
  <c r="BS11" i="35"/>
  <c r="BS11" i="1"/>
  <c r="BS11" i="37"/>
  <c r="BS11" i="38"/>
  <c r="BT126" i="1"/>
  <c r="BT126" i="38"/>
  <c r="BT126" i="37"/>
  <c r="BT126" i="35"/>
  <c r="BT123" i="35"/>
  <c r="BT123" i="1"/>
  <c r="BT123" i="38"/>
  <c r="BT123" i="37"/>
  <c r="BT119" i="1"/>
  <c r="BT119" i="38"/>
  <c r="BT119" i="37"/>
  <c r="BT119" i="35"/>
  <c r="BT116" i="35"/>
  <c r="BT116" i="1"/>
  <c r="BT116" i="38"/>
  <c r="BT116" i="37"/>
  <c r="BT113" i="1"/>
  <c r="BT113" i="38"/>
  <c r="BT113" i="37"/>
  <c r="BT113" i="35"/>
  <c r="BT110" i="35"/>
  <c r="BT110" i="1"/>
  <c r="BT110" i="38"/>
  <c r="BT110" i="37"/>
  <c r="BT107" i="1"/>
  <c r="BT107" i="38"/>
  <c r="BT107" i="37"/>
  <c r="BT107" i="35"/>
  <c r="BT93" i="37"/>
  <c r="BT93" i="35"/>
  <c r="BT93" i="1"/>
  <c r="BT93" i="38"/>
  <c r="BT90" i="35"/>
  <c r="BT90" i="1"/>
  <c r="BT90" i="38"/>
  <c r="BT90" i="37"/>
  <c r="BT87" i="37"/>
  <c r="BT87" i="35"/>
  <c r="BT87" i="38"/>
  <c r="BT87" i="1"/>
  <c r="BT76" i="35"/>
  <c r="BT76" i="1"/>
  <c r="BT76" i="38"/>
  <c r="BT76" i="37"/>
  <c r="BT73" i="37"/>
  <c r="BT73" i="35"/>
  <c r="BT73" i="1"/>
  <c r="BT73" i="38"/>
  <c r="BT54" i="35"/>
  <c r="BT54" i="1"/>
  <c r="BT54" i="38"/>
  <c r="BT54" i="37"/>
  <c r="BT51" i="37"/>
  <c r="BT51" i="35"/>
  <c r="BT51" i="38"/>
  <c r="BT51" i="1"/>
  <c r="BT48" i="35"/>
  <c r="BT48" i="1"/>
  <c r="BT48" i="38"/>
  <c r="BT48" i="37"/>
  <c r="BT31" i="37"/>
  <c r="BT31" i="35"/>
  <c r="BT31" i="1"/>
  <c r="BT31" i="38"/>
  <c r="BT21" i="37"/>
  <c r="BT21" i="35"/>
  <c r="BT21" i="38"/>
  <c r="BT21" i="1"/>
  <c r="BT19" i="1"/>
  <c r="BT19" i="38"/>
  <c r="BT19" i="37"/>
  <c r="BT19" i="35"/>
  <c r="BT16" i="37"/>
  <c r="BT16" i="35"/>
  <c r="BT16" i="38"/>
  <c r="BT16" i="1"/>
  <c r="BT13" i="1"/>
  <c r="BT13" i="38"/>
  <c r="BT13" i="37"/>
  <c r="BT13" i="35"/>
  <c r="BS124" i="35"/>
  <c r="BS124" i="1"/>
  <c r="BS124" i="38"/>
  <c r="BS124" i="37"/>
  <c r="BS126" i="1"/>
  <c r="BS126" i="38"/>
  <c r="BS126" i="37"/>
  <c r="BS126" i="35"/>
  <c r="BS123" i="35"/>
  <c r="BS123" i="1"/>
  <c r="BS123" i="37"/>
  <c r="BS123" i="38"/>
  <c r="BS119" i="1"/>
  <c r="BS119" i="38"/>
  <c r="BS119" i="37"/>
  <c r="BS119" i="35"/>
  <c r="BS116" i="35"/>
  <c r="BS116" i="1"/>
  <c r="BS116" i="37"/>
  <c r="BS116" i="38"/>
  <c r="BS113" i="1"/>
  <c r="BS113" i="38"/>
  <c r="BS113" i="37"/>
  <c r="BS113" i="35"/>
  <c r="BS110" i="35"/>
  <c r="BS110" i="38"/>
  <c r="BS110" i="37"/>
  <c r="BS110" i="1"/>
  <c r="BS107" i="1"/>
  <c r="BS107" i="38"/>
  <c r="BS107" i="37"/>
  <c r="BS107" i="35"/>
  <c r="BS93" i="37"/>
  <c r="BS93" i="35"/>
  <c r="BS93" i="1"/>
  <c r="BS93" i="38"/>
  <c r="BS90" i="35"/>
  <c r="BS90" i="1"/>
  <c r="BS90" i="38"/>
  <c r="BS90" i="37"/>
  <c r="BS87" i="37"/>
  <c r="BS87" i="1"/>
  <c r="BS87" i="35"/>
  <c r="BS87" i="38"/>
  <c r="BS76" i="35"/>
  <c r="BS76" i="1"/>
  <c r="BS76" i="38"/>
  <c r="BS76" i="37"/>
  <c r="BS73" i="37"/>
  <c r="BS73" i="1"/>
  <c r="BS73" i="35"/>
  <c r="BS73" i="38"/>
  <c r="BS54" i="35"/>
  <c r="BS54" i="1"/>
  <c r="BS54" i="38"/>
  <c r="BS54" i="37"/>
  <c r="BS51" i="37"/>
  <c r="BS51" i="35"/>
  <c r="BS51" i="38"/>
  <c r="BS51" i="1"/>
  <c r="BS48" i="35"/>
  <c r="BS48" i="1"/>
  <c r="BS48" i="38"/>
  <c r="BS48" i="37"/>
  <c r="BS31" i="37"/>
  <c r="BS31" i="1"/>
  <c r="BS31" i="35"/>
  <c r="BS31" i="38"/>
  <c r="BS21" i="37"/>
  <c r="BS21" i="38"/>
  <c r="BS21" i="35"/>
  <c r="BS21" i="1"/>
  <c r="BS19" i="1"/>
  <c r="BS19" i="38"/>
  <c r="BS19" i="35"/>
  <c r="BS19" i="37"/>
  <c r="BS16" i="37"/>
  <c r="BS16" i="35"/>
  <c r="BS16" i="1"/>
  <c r="BS16" i="38"/>
  <c r="BS13" i="1"/>
  <c r="BS13" i="38"/>
  <c r="BS13" i="37"/>
  <c r="BS13" i="35"/>
  <c r="BS117" i="35"/>
  <c r="BS117" i="1"/>
  <c r="BS117" i="38"/>
  <c r="BS117" i="37"/>
  <c r="AL21" i="1"/>
  <c r="AM21" i="1"/>
  <c r="AK21" i="1"/>
  <c r="BU21" i="1" l="1"/>
  <c r="BW21" i="1"/>
  <c r="BV21" i="1"/>
  <c r="BW21" i="35"/>
  <c r="BV21" i="35"/>
  <c r="BU21" i="35"/>
  <c r="BW21" i="37"/>
  <c r="BV21" i="37"/>
  <c r="BU21" i="37"/>
  <c r="BU21" i="38"/>
  <c r="BW21" i="38"/>
  <c r="BV21" i="38"/>
  <c r="AL11" i="35"/>
  <c r="AM11" i="35"/>
  <c r="AL12" i="35"/>
  <c r="AM12" i="35"/>
  <c r="AL13" i="35"/>
  <c r="AM13" i="35"/>
  <c r="AL14" i="35"/>
  <c r="AM14" i="35"/>
  <c r="AL15" i="35"/>
  <c r="AM15" i="35"/>
  <c r="AL16" i="35"/>
  <c r="AM16" i="35"/>
  <c r="AL17" i="35"/>
  <c r="AM17" i="35"/>
  <c r="AL18" i="35"/>
  <c r="AM18" i="35"/>
  <c r="AL19" i="35"/>
  <c r="AM19" i="35"/>
  <c r="AL20" i="35"/>
  <c r="AM20" i="35"/>
  <c r="AL24" i="35"/>
  <c r="AM24" i="35"/>
  <c r="AL25" i="35"/>
  <c r="AM25" i="35"/>
  <c r="AL28" i="35"/>
  <c r="AM28" i="35"/>
  <c r="AL31" i="35"/>
  <c r="AM31" i="35"/>
  <c r="AL46" i="35"/>
  <c r="AM46" i="35"/>
  <c r="AL47" i="35"/>
  <c r="AM47" i="35"/>
  <c r="AL48" i="35"/>
  <c r="AM48" i="35"/>
  <c r="AL49" i="35"/>
  <c r="AM49" i="35"/>
  <c r="AL50" i="35"/>
  <c r="AM50" i="35"/>
  <c r="AL51" i="35"/>
  <c r="AM51" i="35"/>
  <c r="AL52" i="35"/>
  <c r="AM52" i="35"/>
  <c r="AL53" i="35"/>
  <c r="AM53" i="35"/>
  <c r="AL54" i="35"/>
  <c r="AM54" i="35"/>
  <c r="AL55" i="35"/>
  <c r="AM55" i="35"/>
  <c r="AL56" i="35"/>
  <c r="AM56" i="35"/>
  <c r="AL73" i="35"/>
  <c r="AM73" i="35"/>
  <c r="AL74" i="35"/>
  <c r="AM74" i="35"/>
  <c r="AL75" i="35"/>
  <c r="AM75" i="35"/>
  <c r="AL76" i="35"/>
  <c r="AM76" i="35"/>
  <c r="AL81" i="35"/>
  <c r="AM81" i="35"/>
  <c r="AL86" i="35"/>
  <c r="AM86" i="35"/>
  <c r="AL87" i="35"/>
  <c r="AM87" i="35"/>
  <c r="AL88" i="35"/>
  <c r="AM88" i="35"/>
  <c r="AL89" i="35"/>
  <c r="AM89" i="35"/>
  <c r="AL90" i="35"/>
  <c r="AM90" i="35"/>
  <c r="AL95" i="35"/>
  <c r="AM95" i="35"/>
  <c r="AL107" i="35"/>
  <c r="AM107" i="35"/>
  <c r="AL108" i="35"/>
  <c r="AM108" i="35"/>
  <c r="AL109" i="35"/>
  <c r="AM109" i="35"/>
  <c r="AL110" i="35"/>
  <c r="AM110" i="35"/>
  <c r="AL111" i="35"/>
  <c r="AM111" i="35"/>
  <c r="AL112" i="35"/>
  <c r="AM112" i="35"/>
  <c r="AL113" i="35"/>
  <c r="AM113" i="35"/>
  <c r="AL114" i="35"/>
  <c r="AM114" i="35"/>
  <c r="AL115" i="35"/>
  <c r="AM115" i="35"/>
  <c r="AL116" i="35"/>
  <c r="AM116" i="35"/>
  <c r="AL117" i="35"/>
  <c r="AM117" i="35"/>
  <c r="AL118" i="35"/>
  <c r="AM118" i="35"/>
  <c r="AL119" i="35"/>
  <c r="AM119" i="35"/>
  <c r="AL121" i="35"/>
  <c r="AM121" i="35"/>
  <c r="AL122" i="35"/>
  <c r="AM122" i="35"/>
  <c r="AL123" i="35"/>
  <c r="AM123" i="35"/>
  <c r="AL124" i="35"/>
  <c r="AM124" i="35"/>
  <c r="AL125" i="35"/>
  <c r="AM125" i="35"/>
  <c r="AL126" i="35"/>
  <c r="AM126" i="35"/>
  <c r="AL11" i="38"/>
  <c r="AM11" i="38"/>
  <c r="AL12" i="38"/>
  <c r="AM12" i="38"/>
  <c r="AL13" i="38"/>
  <c r="AM13" i="38"/>
  <c r="AL14" i="38"/>
  <c r="AM14" i="38"/>
  <c r="AL15" i="38"/>
  <c r="AM15" i="38"/>
  <c r="AL16" i="38"/>
  <c r="AM16" i="38"/>
  <c r="AL17" i="38"/>
  <c r="AM17" i="38"/>
  <c r="AL18" i="38"/>
  <c r="AM18" i="38"/>
  <c r="AL19" i="38"/>
  <c r="AM19" i="38"/>
  <c r="AL20" i="38"/>
  <c r="AM20" i="38"/>
  <c r="AL24" i="38"/>
  <c r="AM24" i="38"/>
  <c r="AL25" i="38"/>
  <c r="AM25" i="38"/>
  <c r="AL28" i="38"/>
  <c r="AM28" i="38"/>
  <c r="AL31" i="38"/>
  <c r="AM31" i="38"/>
  <c r="AL46" i="38"/>
  <c r="AM46" i="38"/>
  <c r="AL47" i="38"/>
  <c r="AM47" i="38"/>
  <c r="AL48" i="38"/>
  <c r="AM48" i="38"/>
  <c r="AL49" i="38"/>
  <c r="AM49" i="38"/>
  <c r="AL50" i="38"/>
  <c r="AM50" i="38"/>
  <c r="AL51" i="38"/>
  <c r="AM51" i="38"/>
  <c r="AL52" i="38"/>
  <c r="AM52" i="38"/>
  <c r="AL53" i="38"/>
  <c r="AM53" i="38"/>
  <c r="AL54" i="38"/>
  <c r="AM54" i="38"/>
  <c r="AL55" i="38"/>
  <c r="AM55" i="38"/>
  <c r="AL56" i="38"/>
  <c r="AM56" i="38"/>
  <c r="AL73" i="38"/>
  <c r="AM73" i="38"/>
  <c r="AL74" i="38"/>
  <c r="AM74" i="38"/>
  <c r="AL75" i="38"/>
  <c r="AM75" i="38"/>
  <c r="AL76" i="38"/>
  <c r="AM76" i="38"/>
  <c r="AL81" i="38"/>
  <c r="AM81" i="38"/>
  <c r="AL86" i="38"/>
  <c r="AM86" i="38"/>
  <c r="AL87" i="38"/>
  <c r="AM87" i="38"/>
  <c r="AL88" i="38"/>
  <c r="AM88" i="38"/>
  <c r="AL89" i="38"/>
  <c r="AM89" i="38"/>
  <c r="AL90" i="38"/>
  <c r="AM90" i="38"/>
  <c r="AL95" i="38"/>
  <c r="AM95" i="38"/>
  <c r="AL107" i="38"/>
  <c r="AM107" i="38"/>
  <c r="AL108" i="38"/>
  <c r="AM108" i="38"/>
  <c r="AL109" i="38"/>
  <c r="AM109" i="38"/>
  <c r="AL110" i="38"/>
  <c r="AM110" i="38"/>
  <c r="AL111" i="38"/>
  <c r="AM111" i="38"/>
  <c r="AL112" i="38"/>
  <c r="AM112" i="38"/>
  <c r="AL113" i="38"/>
  <c r="AM113" i="38"/>
  <c r="AL114" i="38"/>
  <c r="AM114" i="38"/>
  <c r="AL115" i="38"/>
  <c r="AM115" i="38"/>
  <c r="AL116" i="38"/>
  <c r="AM116" i="38"/>
  <c r="AL117" i="38"/>
  <c r="AM117" i="38"/>
  <c r="AL118" i="38"/>
  <c r="AM118" i="38"/>
  <c r="AL119" i="38"/>
  <c r="AM119" i="38"/>
  <c r="AL121" i="38"/>
  <c r="AM121" i="38"/>
  <c r="AL122" i="38"/>
  <c r="AM122" i="38"/>
  <c r="AL123" i="38"/>
  <c r="AM123" i="38"/>
  <c r="AL124" i="38"/>
  <c r="AM124" i="38"/>
  <c r="AL125" i="38"/>
  <c r="AM125" i="38"/>
  <c r="AL126" i="38"/>
  <c r="AM126" i="38"/>
  <c r="AK126" i="38"/>
  <c r="AK125" i="38"/>
  <c r="AK124" i="38"/>
  <c r="AK123" i="38"/>
  <c r="AK122" i="38"/>
  <c r="AK121" i="38"/>
  <c r="AK119" i="38"/>
  <c r="AK118" i="38"/>
  <c r="AK117" i="38"/>
  <c r="AK116" i="38"/>
  <c r="AK115" i="38"/>
  <c r="AK114" i="38"/>
  <c r="AK113" i="38"/>
  <c r="AK112" i="38"/>
  <c r="AK111" i="38"/>
  <c r="AK110" i="38"/>
  <c r="AK109" i="38"/>
  <c r="AK108" i="38"/>
  <c r="AK107" i="38"/>
  <c r="AK95" i="38"/>
  <c r="AK90" i="38"/>
  <c r="AK89" i="38"/>
  <c r="AK88" i="38"/>
  <c r="AK87" i="38"/>
  <c r="AK86" i="38"/>
  <c r="AK81" i="38"/>
  <c r="AK76" i="38"/>
  <c r="AK75" i="38"/>
  <c r="AK74" i="38"/>
  <c r="AK73" i="38"/>
  <c r="AK56" i="38"/>
  <c r="AK55" i="38"/>
  <c r="AK54" i="38"/>
  <c r="AK53" i="38"/>
  <c r="AK52" i="38"/>
  <c r="AK51" i="38"/>
  <c r="AK50" i="38"/>
  <c r="AK49" i="38"/>
  <c r="AK48" i="38"/>
  <c r="AK47" i="38"/>
  <c r="AK46" i="38"/>
  <c r="AK31" i="38"/>
  <c r="AK28" i="38"/>
  <c r="AK25" i="38"/>
  <c r="AK24" i="38"/>
  <c r="AK20" i="38"/>
  <c r="AK19" i="38"/>
  <c r="AK18" i="38"/>
  <c r="AK17" i="38"/>
  <c r="AK16" i="38"/>
  <c r="AK15" i="38"/>
  <c r="AK14" i="38"/>
  <c r="AK13" i="38"/>
  <c r="AK12" i="38"/>
  <c r="AK11" i="38"/>
  <c r="AL11" i="37"/>
  <c r="AM11" i="37"/>
  <c r="AL12" i="37"/>
  <c r="AM12" i="37"/>
  <c r="AL13" i="37"/>
  <c r="AM13" i="37"/>
  <c r="AL14" i="37"/>
  <c r="AM14" i="37"/>
  <c r="AL15" i="37"/>
  <c r="AM15" i="37"/>
  <c r="AL16" i="37"/>
  <c r="AM16" i="37"/>
  <c r="AL17" i="37"/>
  <c r="AM17" i="37"/>
  <c r="AL18" i="37"/>
  <c r="AM18" i="37"/>
  <c r="AL19" i="37"/>
  <c r="AM19" i="37"/>
  <c r="AL20" i="37"/>
  <c r="AM20" i="37"/>
  <c r="AL24" i="37"/>
  <c r="AM24" i="37"/>
  <c r="AL25" i="37"/>
  <c r="AM25" i="37"/>
  <c r="AL28" i="37"/>
  <c r="AM28" i="37"/>
  <c r="AL31" i="37"/>
  <c r="AM31" i="37"/>
  <c r="AL46" i="37"/>
  <c r="AM46" i="37"/>
  <c r="AL47" i="37"/>
  <c r="AM47" i="37"/>
  <c r="AL48" i="37"/>
  <c r="AM48" i="37"/>
  <c r="AL49" i="37"/>
  <c r="AM49" i="37"/>
  <c r="AL50" i="37"/>
  <c r="AM50" i="37"/>
  <c r="AL51" i="37"/>
  <c r="AM51" i="37"/>
  <c r="AL52" i="37"/>
  <c r="AM52" i="37"/>
  <c r="AL53" i="37"/>
  <c r="AM53" i="37"/>
  <c r="AL54" i="37"/>
  <c r="AM54" i="37"/>
  <c r="AL55" i="37"/>
  <c r="AM55" i="37"/>
  <c r="AL56" i="37"/>
  <c r="AM56" i="37"/>
  <c r="AL73" i="37"/>
  <c r="AM73" i="37"/>
  <c r="AL74" i="37"/>
  <c r="AM74" i="37"/>
  <c r="AL75" i="37"/>
  <c r="AM75" i="37"/>
  <c r="AL76" i="37"/>
  <c r="AM76" i="37"/>
  <c r="AL81" i="37"/>
  <c r="AM81" i="37"/>
  <c r="AL86" i="37"/>
  <c r="AM86" i="37"/>
  <c r="AL87" i="37"/>
  <c r="AM87" i="37"/>
  <c r="AL88" i="37"/>
  <c r="AM88" i="37"/>
  <c r="AL89" i="37"/>
  <c r="AM89" i="37"/>
  <c r="AL90" i="37"/>
  <c r="AM90" i="37"/>
  <c r="AL95" i="37"/>
  <c r="AM95" i="37"/>
  <c r="AL107" i="37"/>
  <c r="AM107" i="37"/>
  <c r="AL108" i="37"/>
  <c r="AM108" i="37"/>
  <c r="AL109" i="37"/>
  <c r="AM109" i="37"/>
  <c r="AL110" i="37"/>
  <c r="AM110" i="37"/>
  <c r="AL111" i="37"/>
  <c r="AM111" i="37"/>
  <c r="AL112" i="37"/>
  <c r="AM112" i="37"/>
  <c r="AL113" i="37"/>
  <c r="AM113" i="37"/>
  <c r="AL114" i="37"/>
  <c r="AM114" i="37"/>
  <c r="AL115" i="37"/>
  <c r="AM115" i="37"/>
  <c r="AL116" i="37"/>
  <c r="AM116" i="37"/>
  <c r="AL117" i="37"/>
  <c r="AM117" i="37"/>
  <c r="AL118" i="37"/>
  <c r="AM118" i="37"/>
  <c r="AL119" i="37"/>
  <c r="AM119" i="37"/>
  <c r="AL121" i="37"/>
  <c r="AM121" i="37"/>
  <c r="AL122" i="37"/>
  <c r="AM122" i="37"/>
  <c r="AL123" i="37"/>
  <c r="AM123" i="37"/>
  <c r="AL124" i="37"/>
  <c r="AM124" i="37"/>
  <c r="AL125" i="37"/>
  <c r="AM125" i="37"/>
  <c r="AL126" i="37"/>
  <c r="AM126" i="37"/>
  <c r="AK126" i="37"/>
  <c r="AK125" i="37"/>
  <c r="AK124" i="37"/>
  <c r="AK123" i="37"/>
  <c r="AK122" i="37"/>
  <c r="AK121" i="37"/>
  <c r="AK119" i="37"/>
  <c r="AK118" i="37"/>
  <c r="AK117" i="37"/>
  <c r="AK116" i="37"/>
  <c r="AK115" i="37"/>
  <c r="AK114" i="37"/>
  <c r="AK113" i="37"/>
  <c r="AK112" i="37"/>
  <c r="AK111" i="37"/>
  <c r="AK110" i="37"/>
  <c r="AK109" i="37"/>
  <c r="AK108" i="37"/>
  <c r="AK107" i="37"/>
  <c r="AK95" i="37"/>
  <c r="AK90" i="37"/>
  <c r="AK89" i="37"/>
  <c r="AK88" i="37"/>
  <c r="AK87" i="37"/>
  <c r="AK86" i="37"/>
  <c r="AK81" i="37"/>
  <c r="AK76" i="37"/>
  <c r="AK75" i="37"/>
  <c r="AK74" i="37"/>
  <c r="AK73" i="37"/>
  <c r="AK56" i="37"/>
  <c r="AK55" i="37"/>
  <c r="AK54" i="37"/>
  <c r="AK53" i="37"/>
  <c r="AK52" i="37"/>
  <c r="AK51" i="37"/>
  <c r="AK50" i="37"/>
  <c r="AK49" i="37"/>
  <c r="AK48" i="37"/>
  <c r="AK47" i="37"/>
  <c r="AK46" i="37"/>
  <c r="AK31" i="37"/>
  <c r="AK28" i="37"/>
  <c r="AK25" i="37"/>
  <c r="AK24" i="37"/>
  <c r="W24" i="37" s="1"/>
  <c r="AK20" i="37"/>
  <c r="AK19" i="37"/>
  <c r="AK18" i="37"/>
  <c r="AK17" i="37"/>
  <c r="AK16" i="37"/>
  <c r="AK15" i="37"/>
  <c r="AK14" i="37"/>
  <c r="AK13" i="37"/>
  <c r="AK12" i="37"/>
  <c r="AK11" i="37"/>
  <c r="BP126" i="38"/>
  <c r="BO126" i="38"/>
  <c r="BN126" i="38"/>
  <c r="BM126" i="38"/>
  <c r="BL126" i="38"/>
  <c r="BK126" i="38"/>
  <c r="BJ126" i="38"/>
  <c r="BI126" i="38"/>
  <c r="BH126" i="38"/>
  <c r="BG126" i="38"/>
  <c r="BF126" i="38"/>
  <c r="BE126" i="38"/>
  <c r="BD126" i="38"/>
  <c r="BC126" i="38"/>
  <c r="BB126" i="38"/>
  <c r="BA126" i="38"/>
  <c r="AZ126" i="38"/>
  <c r="AY126" i="38"/>
  <c r="AX126" i="38"/>
  <c r="AW126" i="38"/>
  <c r="AV126" i="38"/>
  <c r="AU126" i="38"/>
  <c r="AT126" i="38"/>
  <c r="AS126" i="38"/>
  <c r="AR126" i="38"/>
  <c r="AQ126" i="38"/>
  <c r="AP126" i="38"/>
  <c r="AO126" i="38"/>
  <c r="AN126" i="38"/>
  <c r="M126" i="38"/>
  <c r="L126" i="38"/>
  <c r="BP125" i="38"/>
  <c r="BO125" i="38"/>
  <c r="BN125" i="38"/>
  <c r="BM125" i="38"/>
  <c r="BL125" i="38"/>
  <c r="BK125" i="38"/>
  <c r="BJ125" i="38"/>
  <c r="BI125" i="38"/>
  <c r="BH125" i="38"/>
  <c r="BG125" i="38"/>
  <c r="BF125" i="38"/>
  <c r="BE125" i="38"/>
  <c r="BD125" i="38"/>
  <c r="BC125" i="38"/>
  <c r="BB125" i="38"/>
  <c r="BA125" i="38"/>
  <c r="AZ125" i="38"/>
  <c r="AY125" i="38"/>
  <c r="AX125" i="38"/>
  <c r="AW125" i="38"/>
  <c r="AV125" i="38"/>
  <c r="AU125" i="38"/>
  <c r="AT125" i="38"/>
  <c r="AS125" i="38"/>
  <c r="AR125" i="38"/>
  <c r="AQ125" i="38"/>
  <c r="AP125" i="38"/>
  <c r="AO125" i="38"/>
  <c r="AN125" i="38"/>
  <c r="M125" i="38"/>
  <c r="L125" i="38"/>
  <c r="BP124" i="38"/>
  <c r="BO124" i="38"/>
  <c r="BN124" i="38"/>
  <c r="BM124" i="38"/>
  <c r="BL124" i="38"/>
  <c r="BK124" i="38"/>
  <c r="BJ124" i="38"/>
  <c r="BI124" i="38"/>
  <c r="BH124" i="38"/>
  <c r="BG124" i="38"/>
  <c r="BF124" i="38"/>
  <c r="BE124" i="38"/>
  <c r="BD124" i="38"/>
  <c r="BC124" i="38"/>
  <c r="BB124" i="38"/>
  <c r="BA124" i="38"/>
  <c r="AZ124" i="38"/>
  <c r="AY124" i="38"/>
  <c r="AX124" i="38"/>
  <c r="AW124" i="38"/>
  <c r="AV124" i="38"/>
  <c r="AU124" i="38"/>
  <c r="AT124" i="38"/>
  <c r="AS124" i="38"/>
  <c r="AR124" i="38"/>
  <c r="AQ124" i="38"/>
  <c r="AP124" i="38"/>
  <c r="AO124" i="38"/>
  <c r="AN124" i="38"/>
  <c r="M124" i="38"/>
  <c r="L124" i="38"/>
  <c r="BP123" i="38"/>
  <c r="BO123" i="38"/>
  <c r="BN123" i="38"/>
  <c r="BM123" i="38"/>
  <c r="BL123" i="38"/>
  <c r="BK123" i="38"/>
  <c r="BJ123" i="38"/>
  <c r="BI123" i="38"/>
  <c r="BH123" i="38"/>
  <c r="BG123" i="38"/>
  <c r="BF123" i="38"/>
  <c r="BE123" i="38"/>
  <c r="BD123" i="38"/>
  <c r="BC123" i="38"/>
  <c r="BB123" i="38"/>
  <c r="BA123" i="38"/>
  <c r="AZ123" i="38"/>
  <c r="AY123" i="38"/>
  <c r="AX123" i="38"/>
  <c r="AW123" i="38"/>
  <c r="AV123" i="38"/>
  <c r="AU123" i="38"/>
  <c r="AT123" i="38"/>
  <c r="AS123" i="38"/>
  <c r="AR123" i="38"/>
  <c r="AQ123" i="38"/>
  <c r="AP123" i="38"/>
  <c r="AO123" i="38"/>
  <c r="AN123" i="38"/>
  <c r="M123" i="38"/>
  <c r="L123" i="38"/>
  <c r="BP122" i="38"/>
  <c r="BO122" i="38"/>
  <c r="BN122" i="38"/>
  <c r="BM122" i="38"/>
  <c r="BL122" i="38"/>
  <c r="BK122" i="38"/>
  <c r="BJ122" i="38"/>
  <c r="BI122" i="38"/>
  <c r="BH122" i="38"/>
  <c r="BG122" i="38"/>
  <c r="BF122" i="38"/>
  <c r="BE122" i="38"/>
  <c r="BD122" i="38"/>
  <c r="BC122" i="38"/>
  <c r="BB122" i="38"/>
  <c r="BA122" i="38"/>
  <c r="AZ122" i="38"/>
  <c r="AY122" i="38"/>
  <c r="AX122" i="38"/>
  <c r="AW122" i="38"/>
  <c r="AV122" i="38"/>
  <c r="AU122" i="38"/>
  <c r="AT122" i="38"/>
  <c r="AS122" i="38"/>
  <c r="AR122" i="38"/>
  <c r="AQ122" i="38"/>
  <c r="AP122" i="38"/>
  <c r="AO122" i="38"/>
  <c r="AN122" i="38"/>
  <c r="M122" i="38"/>
  <c r="L122" i="38"/>
  <c r="BP121" i="38"/>
  <c r="BO121" i="38"/>
  <c r="BN121" i="38"/>
  <c r="BM121" i="38"/>
  <c r="BL121" i="38"/>
  <c r="BK121" i="38"/>
  <c r="BJ121" i="38"/>
  <c r="BI121" i="38"/>
  <c r="BH121" i="38"/>
  <c r="BG121" i="38"/>
  <c r="BF121" i="38"/>
  <c r="BE121" i="38"/>
  <c r="BD121" i="38"/>
  <c r="BC121" i="38"/>
  <c r="BB121" i="38"/>
  <c r="BA121" i="38"/>
  <c r="AZ121" i="38"/>
  <c r="AY121" i="38"/>
  <c r="AX121" i="38"/>
  <c r="AW121" i="38"/>
  <c r="AV121" i="38"/>
  <c r="AU121" i="38"/>
  <c r="AT121" i="38"/>
  <c r="AS121" i="38"/>
  <c r="AR121" i="38"/>
  <c r="AQ121" i="38"/>
  <c r="AP121" i="38"/>
  <c r="AO121" i="38"/>
  <c r="AN121" i="38"/>
  <c r="M121" i="38"/>
  <c r="L121" i="38"/>
  <c r="M119" i="38"/>
  <c r="L119" i="38"/>
  <c r="M118" i="38"/>
  <c r="L118" i="38"/>
  <c r="M117" i="38"/>
  <c r="L117" i="38"/>
  <c r="M116" i="38"/>
  <c r="L116" i="38"/>
  <c r="M115" i="38"/>
  <c r="L115" i="38"/>
  <c r="M114" i="38"/>
  <c r="L114" i="38"/>
  <c r="M113" i="38"/>
  <c r="L113" i="38"/>
  <c r="M112" i="38"/>
  <c r="L112" i="38"/>
  <c r="M111" i="38"/>
  <c r="L111" i="38"/>
  <c r="M110" i="38"/>
  <c r="L110" i="38"/>
  <c r="M109" i="38"/>
  <c r="L109" i="38"/>
  <c r="M108" i="38"/>
  <c r="L108" i="38"/>
  <c r="M107" i="38"/>
  <c r="L107" i="38"/>
  <c r="M95" i="38"/>
  <c r="L95" i="38"/>
  <c r="Y94" i="38"/>
  <c r="X94" i="38"/>
  <c r="W94" i="38"/>
  <c r="V94" i="38"/>
  <c r="T94" i="38"/>
  <c r="U94" i="38" s="1"/>
  <c r="R94" i="38"/>
  <c r="Q94" i="38"/>
  <c r="P94" i="38"/>
  <c r="O94" i="38"/>
  <c r="M94" i="38"/>
  <c r="L94" i="38"/>
  <c r="Y93" i="38"/>
  <c r="X93" i="38"/>
  <c r="W93" i="38"/>
  <c r="V93" i="38"/>
  <c r="T93" i="38"/>
  <c r="U93" i="38" s="1"/>
  <c r="R93" i="38"/>
  <c r="Q93" i="38"/>
  <c r="P93" i="38"/>
  <c r="O93" i="38"/>
  <c r="M93" i="38"/>
  <c r="L93" i="38"/>
  <c r="Y92" i="38"/>
  <c r="X92" i="38"/>
  <c r="W92" i="38"/>
  <c r="V92" i="38"/>
  <c r="T92" i="38"/>
  <c r="U92" i="38" s="1"/>
  <c r="R92" i="38"/>
  <c r="Q92" i="38"/>
  <c r="P92" i="38"/>
  <c r="O92" i="38"/>
  <c r="M92" i="38"/>
  <c r="L92" i="38"/>
  <c r="Y91" i="38"/>
  <c r="X91" i="38"/>
  <c r="W91" i="38"/>
  <c r="V91" i="38"/>
  <c r="T91" i="38"/>
  <c r="U91" i="38" s="1"/>
  <c r="R91" i="38"/>
  <c r="Q91" i="38"/>
  <c r="P91" i="38"/>
  <c r="O91" i="38"/>
  <c r="M91" i="38"/>
  <c r="L91" i="38"/>
  <c r="M90" i="38"/>
  <c r="L90" i="38"/>
  <c r="M89" i="38"/>
  <c r="L89" i="38"/>
  <c r="M88" i="38"/>
  <c r="L88" i="38"/>
  <c r="M87" i="38"/>
  <c r="L87" i="38"/>
  <c r="M86" i="38"/>
  <c r="L86" i="38"/>
  <c r="M81" i="38"/>
  <c r="L81" i="38"/>
  <c r="M76" i="38"/>
  <c r="L76" i="38"/>
  <c r="M75" i="38"/>
  <c r="L75" i="38"/>
  <c r="M74" i="38"/>
  <c r="L74" i="38"/>
  <c r="M73" i="38"/>
  <c r="L73" i="38"/>
  <c r="M56" i="38"/>
  <c r="L56" i="38"/>
  <c r="M55" i="38"/>
  <c r="L55" i="38"/>
  <c r="M54" i="38"/>
  <c r="L54" i="38"/>
  <c r="BP53" i="38"/>
  <c r="BO53" i="38"/>
  <c r="BN53" i="38"/>
  <c r="BM53" i="38"/>
  <c r="BL53" i="38"/>
  <c r="BK53" i="38"/>
  <c r="BJ53" i="38"/>
  <c r="BI53" i="38"/>
  <c r="BH53" i="38"/>
  <c r="BG53" i="38"/>
  <c r="BF53" i="38"/>
  <c r="BE53" i="38"/>
  <c r="BD53" i="38"/>
  <c r="BC53" i="38"/>
  <c r="BB53" i="38"/>
  <c r="BA53" i="38"/>
  <c r="AZ53" i="38"/>
  <c r="AY53" i="38"/>
  <c r="AX53" i="38"/>
  <c r="AW53" i="38"/>
  <c r="AV53" i="38"/>
  <c r="AU53" i="38"/>
  <c r="AT53" i="38"/>
  <c r="AS53" i="38"/>
  <c r="AR53" i="38"/>
  <c r="AQ53" i="38"/>
  <c r="AP53" i="38"/>
  <c r="AO53" i="38"/>
  <c r="AN53" i="38"/>
  <c r="M53" i="38"/>
  <c r="L53" i="38"/>
  <c r="BP52" i="38"/>
  <c r="BO52" i="38"/>
  <c r="BN52" i="38"/>
  <c r="BM52" i="38"/>
  <c r="BL52" i="38"/>
  <c r="BK52" i="38"/>
  <c r="BJ52" i="38"/>
  <c r="BI52" i="38"/>
  <c r="BH52" i="38"/>
  <c r="BG52" i="38"/>
  <c r="BF52" i="38"/>
  <c r="BE52" i="38"/>
  <c r="BD52" i="38"/>
  <c r="BC52" i="38"/>
  <c r="BB52" i="38"/>
  <c r="BA52" i="38"/>
  <c r="AZ52" i="38"/>
  <c r="AY52" i="38"/>
  <c r="AX52" i="38"/>
  <c r="AW52" i="38"/>
  <c r="AV52" i="38"/>
  <c r="AU52" i="38"/>
  <c r="AT52" i="38"/>
  <c r="AS52" i="38"/>
  <c r="AR52" i="38"/>
  <c r="AQ52" i="38"/>
  <c r="AP52" i="38"/>
  <c r="AO52" i="38"/>
  <c r="AN52" i="38"/>
  <c r="M52" i="38"/>
  <c r="L52" i="38"/>
  <c r="BP51" i="38"/>
  <c r="BO51" i="38"/>
  <c r="BN51" i="38"/>
  <c r="BM51" i="38"/>
  <c r="BL51" i="38"/>
  <c r="BK51" i="38"/>
  <c r="BJ51" i="38"/>
  <c r="BI51" i="38"/>
  <c r="BH51" i="38"/>
  <c r="BG51" i="38"/>
  <c r="BF51" i="38"/>
  <c r="BE51" i="38"/>
  <c r="BD51" i="38"/>
  <c r="BC51" i="38"/>
  <c r="BB51" i="38"/>
  <c r="BA51" i="38"/>
  <c r="AZ51" i="38"/>
  <c r="AY51" i="38"/>
  <c r="AX51" i="38"/>
  <c r="AW51" i="38"/>
  <c r="AV51" i="38"/>
  <c r="AU51" i="38"/>
  <c r="AT51" i="38"/>
  <c r="AS51" i="38"/>
  <c r="AR51" i="38"/>
  <c r="AQ51" i="38"/>
  <c r="AP51" i="38"/>
  <c r="AO51" i="38"/>
  <c r="AN51" i="38"/>
  <c r="M51" i="38"/>
  <c r="L51" i="38"/>
  <c r="M50" i="38"/>
  <c r="L50" i="38"/>
  <c r="M49" i="38"/>
  <c r="L49" i="38"/>
  <c r="M48" i="38"/>
  <c r="L48" i="38"/>
  <c r="BP47" i="38"/>
  <c r="BO47" i="38"/>
  <c r="BN47" i="38"/>
  <c r="BM47" i="38"/>
  <c r="BL47" i="38"/>
  <c r="BK47" i="38"/>
  <c r="BJ47" i="38"/>
  <c r="BI47" i="38"/>
  <c r="BH47" i="38"/>
  <c r="BG47" i="38"/>
  <c r="BF47" i="38"/>
  <c r="BE47" i="38"/>
  <c r="BD47" i="38"/>
  <c r="BC47" i="38"/>
  <c r="BB47" i="38"/>
  <c r="BA47" i="38"/>
  <c r="AZ47" i="38"/>
  <c r="AY47" i="38"/>
  <c r="AX47" i="38"/>
  <c r="AW47" i="38"/>
  <c r="AV47" i="38"/>
  <c r="AU47" i="38"/>
  <c r="AT47" i="38"/>
  <c r="AS47" i="38"/>
  <c r="AR47" i="38"/>
  <c r="AQ47" i="38"/>
  <c r="AP47" i="38"/>
  <c r="AO47" i="38"/>
  <c r="AN47" i="38"/>
  <c r="M47" i="38"/>
  <c r="L47" i="38"/>
  <c r="BP46" i="38"/>
  <c r="BO46" i="38"/>
  <c r="BN46" i="38"/>
  <c r="BM46" i="38"/>
  <c r="BL46" i="38"/>
  <c r="BK46" i="38"/>
  <c r="BJ46" i="38"/>
  <c r="BI46" i="38"/>
  <c r="BH46" i="38"/>
  <c r="BG46" i="38"/>
  <c r="BF46" i="38"/>
  <c r="BE46" i="38"/>
  <c r="BD46" i="38"/>
  <c r="BC46" i="38"/>
  <c r="BB46" i="38"/>
  <c r="BA46" i="38"/>
  <c r="AZ46" i="38"/>
  <c r="AY46" i="38"/>
  <c r="AX46" i="38"/>
  <c r="AW46" i="38"/>
  <c r="AV46" i="38"/>
  <c r="AU46" i="38"/>
  <c r="AT46" i="38"/>
  <c r="AS46" i="38"/>
  <c r="AR46" i="38"/>
  <c r="AQ46" i="38"/>
  <c r="AP46" i="38"/>
  <c r="AO46" i="38"/>
  <c r="AN46" i="38"/>
  <c r="M46" i="38"/>
  <c r="L46" i="38"/>
  <c r="BP31" i="38"/>
  <c r="BO31" i="38"/>
  <c r="BN31" i="38"/>
  <c r="BM31" i="38"/>
  <c r="BL31" i="38"/>
  <c r="BK31" i="38"/>
  <c r="BJ31" i="38"/>
  <c r="BI31" i="38"/>
  <c r="BH31" i="38"/>
  <c r="BG31" i="38"/>
  <c r="BF31" i="38"/>
  <c r="BE31" i="38"/>
  <c r="BD31" i="38"/>
  <c r="BC31" i="38"/>
  <c r="BB31" i="38"/>
  <c r="BA31" i="38"/>
  <c r="AZ31" i="38"/>
  <c r="AY31" i="38"/>
  <c r="AX31" i="38"/>
  <c r="AW31" i="38"/>
  <c r="AV31" i="38"/>
  <c r="AU31" i="38"/>
  <c r="AT31" i="38"/>
  <c r="AS31" i="38"/>
  <c r="AR31" i="38"/>
  <c r="AQ31" i="38"/>
  <c r="AP31" i="38"/>
  <c r="AO31" i="38"/>
  <c r="AN31" i="38"/>
  <c r="M31" i="38"/>
  <c r="L31" i="38"/>
  <c r="BP28" i="38"/>
  <c r="BO28" i="38"/>
  <c r="BN28" i="38"/>
  <c r="BM28" i="38"/>
  <c r="BL28" i="38"/>
  <c r="BK28" i="38"/>
  <c r="BJ28" i="38"/>
  <c r="BI28" i="38"/>
  <c r="BH28" i="38"/>
  <c r="BG28" i="38"/>
  <c r="BF28" i="38"/>
  <c r="BE28" i="38"/>
  <c r="BD28" i="38"/>
  <c r="BC28" i="38"/>
  <c r="BB28" i="38"/>
  <c r="BA28" i="38"/>
  <c r="AZ28" i="38"/>
  <c r="AY28" i="38"/>
  <c r="AX28" i="38"/>
  <c r="AW28" i="38"/>
  <c r="AV28" i="38"/>
  <c r="AU28" i="38"/>
  <c r="AT28" i="38"/>
  <c r="AS28" i="38"/>
  <c r="AR28" i="38"/>
  <c r="AQ28" i="38"/>
  <c r="AP28" i="38"/>
  <c r="AO28" i="38"/>
  <c r="AN28" i="38"/>
  <c r="M28" i="38"/>
  <c r="L28" i="38"/>
  <c r="BP25" i="38"/>
  <c r="BO25" i="38"/>
  <c r="BN25" i="38"/>
  <c r="BM25" i="38"/>
  <c r="BL25" i="38"/>
  <c r="BK25" i="38"/>
  <c r="BJ25" i="38"/>
  <c r="BI25" i="38"/>
  <c r="BH25" i="38"/>
  <c r="BG25" i="38"/>
  <c r="BF25" i="38"/>
  <c r="BE25" i="38"/>
  <c r="BD25" i="38"/>
  <c r="BC25" i="38"/>
  <c r="BB25" i="38"/>
  <c r="BA25" i="38"/>
  <c r="AZ25" i="38"/>
  <c r="AY25" i="38"/>
  <c r="AX25" i="38"/>
  <c r="AW25" i="38"/>
  <c r="AV25" i="38"/>
  <c r="AU25" i="38"/>
  <c r="AT25" i="38"/>
  <c r="AS25" i="38"/>
  <c r="AR25" i="38"/>
  <c r="AQ25" i="38"/>
  <c r="AP25" i="38"/>
  <c r="AO25" i="38"/>
  <c r="AN25" i="38"/>
  <c r="M25" i="38"/>
  <c r="L25" i="38"/>
  <c r="BP24" i="38"/>
  <c r="BO24" i="38"/>
  <c r="BN24" i="38"/>
  <c r="BM24" i="38"/>
  <c r="BL24" i="38"/>
  <c r="BK24" i="38"/>
  <c r="BJ24" i="38"/>
  <c r="BI24" i="38"/>
  <c r="BH24" i="38"/>
  <c r="BG24" i="38"/>
  <c r="BF24" i="38"/>
  <c r="BE24" i="38"/>
  <c r="BD24" i="38"/>
  <c r="BC24" i="38"/>
  <c r="BB24" i="38"/>
  <c r="BA24" i="38"/>
  <c r="AZ24" i="38"/>
  <c r="AY24" i="38"/>
  <c r="AX24" i="38"/>
  <c r="AW24" i="38"/>
  <c r="AV24" i="38"/>
  <c r="AU24" i="38"/>
  <c r="AT24" i="38"/>
  <c r="AS24" i="38"/>
  <c r="AR24" i="38"/>
  <c r="AQ24" i="38"/>
  <c r="AP24" i="38"/>
  <c r="AO24" i="38"/>
  <c r="AN24" i="38"/>
  <c r="M24" i="38"/>
  <c r="L24" i="38"/>
  <c r="M21" i="38"/>
  <c r="L21" i="38"/>
  <c r="BP20" i="38"/>
  <c r="BO20" i="38"/>
  <c r="BN20" i="38"/>
  <c r="BM20" i="38"/>
  <c r="BL20" i="38"/>
  <c r="BK20" i="38"/>
  <c r="BJ20" i="38"/>
  <c r="BI20" i="38"/>
  <c r="BH20" i="38"/>
  <c r="BG20" i="38"/>
  <c r="BF20" i="38"/>
  <c r="BE20" i="38"/>
  <c r="BD20" i="38"/>
  <c r="BC20" i="38"/>
  <c r="BB20" i="38"/>
  <c r="BA20" i="38"/>
  <c r="AZ20" i="38"/>
  <c r="AY20" i="38"/>
  <c r="AX20" i="38"/>
  <c r="AW20" i="38"/>
  <c r="AV20" i="38"/>
  <c r="AU20" i="38"/>
  <c r="AT20" i="38"/>
  <c r="AS20" i="38"/>
  <c r="AR20" i="38"/>
  <c r="AQ20" i="38"/>
  <c r="AP20" i="38"/>
  <c r="AO20" i="38"/>
  <c r="AN20" i="38"/>
  <c r="M20" i="38"/>
  <c r="L20" i="38"/>
  <c r="BP19" i="38"/>
  <c r="BO19" i="38"/>
  <c r="BN19" i="38"/>
  <c r="BM19" i="38"/>
  <c r="BL19" i="38"/>
  <c r="BK19" i="38"/>
  <c r="BJ19" i="38"/>
  <c r="BI19" i="38"/>
  <c r="BH19" i="38"/>
  <c r="BG19" i="38"/>
  <c r="BF19" i="38"/>
  <c r="BE19" i="38"/>
  <c r="BD19" i="38"/>
  <c r="BC19" i="38"/>
  <c r="BB19" i="38"/>
  <c r="BA19" i="38"/>
  <c r="AZ19" i="38"/>
  <c r="AY19" i="38"/>
  <c r="AX19" i="38"/>
  <c r="AW19" i="38"/>
  <c r="AV19" i="38"/>
  <c r="AU19" i="38"/>
  <c r="AT19" i="38"/>
  <c r="AS19" i="38"/>
  <c r="AR19" i="38"/>
  <c r="AQ19" i="38"/>
  <c r="AP19" i="38"/>
  <c r="AO19" i="38"/>
  <c r="AN19" i="38"/>
  <c r="M19" i="38"/>
  <c r="L19" i="38"/>
  <c r="BP18" i="38"/>
  <c r="BO18" i="38"/>
  <c r="BN18" i="38"/>
  <c r="BM18" i="38"/>
  <c r="BL18" i="38"/>
  <c r="BK18" i="38"/>
  <c r="BJ18" i="38"/>
  <c r="BI18" i="38"/>
  <c r="BH18" i="38"/>
  <c r="BG18" i="38"/>
  <c r="BF18" i="38"/>
  <c r="BE18" i="38"/>
  <c r="BD18" i="38"/>
  <c r="BC18" i="38"/>
  <c r="BB18" i="38"/>
  <c r="BA18" i="38"/>
  <c r="AZ18" i="38"/>
  <c r="AY18" i="38"/>
  <c r="AX18" i="38"/>
  <c r="AW18" i="38"/>
  <c r="AV18" i="38"/>
  <c r="AU18" i="38"/>
  <c r="AT18" i="38"/>
  <c r="AS18" i="38"/>
  <c r="AR18" i="38"/>
  <c r="AQ18" i="38"/>
  <c r="AP18" i="38"/>
  <c r="AO18" i="38"/>
  <c r="AN18" i="38"/>
  <c r="M18" i="38"/>
  <c r="L18" i="38"/>
  <c r="BP17" i="38"/>
  <c r="BO17" i="38"/>
  <c r="BN17" i="38"/>
  <c r="BM17" i="38"/>
  <c r="BL17" i="38"/>
  <c r="BK17" i="38"/>
  <c r="BJ17" i="38"/>
  <c r="BI17" i="38"/>
  <c r="BH17" i="38"/>
  <c r="BG17" i="38"/>
  <c r="BF17" i="38"/>
  <c r="BE17" i="38"/>
  <c r="BD17" i="38"/>
  <c r="BC17" i="38"/>
  <c r="BB17" i="38"/>
  <c r="BA17" i="38"/>
  <c r="AZ17" i="38"/>
  <c r="AY17" i="38"/>
  <c r="AX17" i="38"/>
  <c r="AW17" i="38"/>
  <c r="AV17" i="38"/>
  <c r="AU17" i="38"/>
  <c r="AT17" i="38"/>
  <c r="AS17" i="38"/>
  <c r="AR17" i="38"/>
  <c r="AQ17" i="38"/>
  <c r="AP17" i="38"/>
  <c r="AO17" i="38"/>
  <c r="AN17" i="38"/>
  <c r="M17" i="38"/>
  <c r="L17" i="38"/>
  <c r="BP16" i="38"/>
  <c r="BO16" i="38"/>
  <c r="BN16" i="38"/>
  <c r="BM16" i="38"/>
  <c r="BL16" i="38"/>
  <c r="BK16" i="38"/>
  <c r="BJ16" i="38"/>
  <c r="BI16" i="38"/>
  <c r="BH16" i="38"/>
  <c r="BG16" i="38"/>
  <c r="BF16" i="38"/>
  <c r="BE16" i="38"/>
  <c r="BD16" i="38"/>
  <c r="BC16" i="38"/>
  <c r="BB16" i="38"/>
  <c r="BA16" i="38"/>
  <c r="AZ16" i="38"/>
  <c r="AY16" i="38"/>
  <c r="AX16" i="38"/>
  <c r="AW16" i="38"/>
  <c r="AV16" i="38"/>
  <c r="AU16" i="38"/>
  <c r="AT16" i="38"/>
  <c r="AS16" i="38"/>
  <c r="AR16" i="38"/>
  <c r="AQ16" i="38"/>
  <c r="AP16" i="38"/>
  <c r="AO16" i="38"/>
  <c r="AN16" i="38"/>
  <c r="M16" i="38"/>
  <c r="L16" i="38"/>
  <c r="BP15" i="38"/>
  <c r="BO15" i="38"/>
  <c r="BN15" i="38"/>
  <c r="BM15" i="38"/>
  <c r="BL15" i="38"/>
  <c r="BK15" i="38"/>
  <c r="BJ15" i="38"/>
  <c r="BI15" i="38"/>
  <c r="BH15" i="38"/>
  <c r="BG15" i="38"/>
  <c r="BF15" i="38"/>
  <c r="BE15" i="38"/>
  <c r="BD15" i="38"/>
  <c r="BC15" i="38"/>
  <c r="BB15" i="38"/>
  <c r="BA15" i="38"/>
  <c r="AZ15" i="38"/>
  <c r="AY15" i="38"/>
  <c r="AX15" i="38"/>
  <c r="AW15" i="38"/>
  <c r="AV15" i="38"/>
  <c r="AU15" i="38"/>
  <c r="AT15" i="38"/>
  <c r="AS15" i="38"/>
  <c r="AR15" i="38"/>
  <c r="AQ15" i="38"/>
  <c r="AP15" i="38"/>
  <c r="AO15" i="38"/>
  <c r="AN15" i="38"/>
  <c r="M15" i="38"/>
  <c r="L15" i="38"/>
  <c r="BP14" i="38"/>
  <c r="BO14" i="38"/>
  <c r="BN14" i="38"/>
  <c r="BM14" i="38"/>
  <c r="BL14" i="38"/>
  <c r="BK14" i="38"/>
  <c r="BJ14" i="38"/>
  <c r="BI14" i="38"/>
  <c r="BH14" i="38"/>
  <c r="BG14" i="38"/>
  <c r="BF14" i="38"/>
  <c r="BE14" i="38"/>
  <c r="BD14" i="38"/>
  <c r="BC14" i="38"/>
  <c r="BB14" i="38"/>
  <c r="BA14" i="38"/>
  <c r="AZ14" i="38"/>
  <c r="AY14" i="38"/>
  <c r="AX14" i="38"/>
  <c r="AW14" i="38"/>
  <c r="AV14" i="38"/>
  <c r="AU14" i="38"/>
  <c r="AT14" i="38"/>
  <c r="AS14" i="38"/>
  <c r="AR14" i="38"/>
  <c r="AQ14" i="38"/>
  <c r="AP14" i="38"/>
  <c r="AO14" i="38"/>
  <c r="AN14" i="38"/>
  <c r="M14" i="38"/>
  <c r="L14" i="38"/>
  <c r="BP13" i="38"/>
  <c r="BO13" i="38"/>
  <c r="BN13" i="38"/>
  <c r="BM13" i="38"/>
  <c r="BL13" i="38"/>
  <c r="BK13" i="38"/>
  <c r="BJ13" i="38"/>
  <c r="BI13" i="38"/>
  <c r="BH13" i="38"/>
  <c r="BG13" i="38"/>
  <c r="BF13" i="38"/>
  <c r="BE13" i="38"/>
  <c r="BD13" i="38"/>
  <c r="BC13" i="38"/>
  <c r="BB13" i="38"/>
  <c r="BA13" i="38"/>
  <c r="AZ13" i="38"/>
  <c r="AY13" i="38"/>
  <c r="AX13" i="38"/>
  <c r="AW13" i="38"/>
  <c r="AV13" i="38"/>
  <c r="AU13" i="38"/>
  <c r="AT13" i="38"/>
  <c r="AS13" i="38"/>
  <c r="AR13" i="38"/>
  <c r="AQ13" i="38"/>
  <c r="AP13" i="38"/>
  <c r="AO13" i="38"/>
  <c r="AN13" i="38"/>
  <c r="M13" i="38"/>
  <c r="L13" i="38"/>
  <c r="BP12" i="38"/>
  <c r="BO12" i="38"/>
  <c r="BN12" i="38"/>
  <c r="BM12" i="38"/>
  <c r="BL12" i="38"/>
  <c r="BK12" i="38"/>
  <c r="BJ12" i="38"/>
  <c r="BI12" i="38"/>
  <c r="BH12" i="38"/>
  <c r="BG12" i="38"/>
  <c r="BF12" i="38"/>
  <c r="BE12" i="38"/>
  <c r="BD12" i="38"/>
  <c r="BC12" i="38"/>
  <c r="BB12" i="38"/>
  <c r="BA12" i="38"/>
  <c r="AZ12" i="38"/>
  <c r="AY12" i="38"/>
  <c r="AX12" i="38"/>
  <c r="AW12" i="38"/>
  <c r="AV12" i="38"/>
  <c r="AU12" i="38"/>
  <c r="AT12" i="38"/>
  <c r="AS12" i="38"/>
  <c r="AR12" i="38"/>
  <c r="AQ12" i="38"/>
  <c r="AP12" i="38"/>
  <c r="AO12" i="38"/>
  <c r="AN12" i="38"/>
  <c r="M12" i="38"/>
  <c r="L12" i="38"/>
  <c r="BP11" i="38"/>
  <c r="BO11" i="38"/>
  <c r="BN11" i="38"/>
  <c r="BM11" i="38"/>
  <c r="BL11" i="38"/>
  <c r="BK11" i="38"/>
  <c r="BJ11" i="38"/>
  <c r="BI11" i="38"/>
  <c r="BH11" i="38"/>
  <c r="BG11" i="38"/>
  <c r="BF11" i="38"/>
  <c r="BE11" i="38"/>
  <c r="BD11" i="38"/>
  <c r="BC11" i="38"/>
  <c r="BB11" i="38"/>
  <c r="BA11" i="38"/>
  <c r="AZ11" i="38"/>
  <c r="AY11" i="38"/>
  <c r="AX11" i="38"/>
  <c r="AW11" i="38"/>
  <c r="AV11" i="38"/>
  <c r="AU11" i="38"/>
  <c r="AT11" i="38"/>
  <c r="AS11" i="38"/>
  <c r="AR11" i="38"/>
  <c r="AQ11" i="38"/>
  <c r="AP11" i="38"/>
  <c r="AO11" i="38"/>
  <c r="AN11" i="38"/>
  <c r="M11" i="38"/>
  <c r="L11" i="38"/>
  <c r="BP126" i="37"/>
  <c r="BO126" i="37"/>
  <c r="BN126" i="37"/>
  <c r="BM126" i="37"/>
  <c r="BL126" i="37"/>
  <c r="BK126" i="37"/>
  <c r="BJ126" i="37"/>
  <c r="BI126" i="37"/>
  <c r="BH126" i="37"/>
  <c r="BG126" i="37"/>
  <c r="BF126" i="37"/>
  <c r="BE126" i="37"/>
  <c r="BD126" i="37"/>
  <c r="BC126" i="37"/>
  <c r="BB126" i="37"/>
  <c r="BA126" i="37"/>
  <c r="AZ126" i="37"/>
  <c r="AY126" i="37"/>
  <c r="AX126" i="37"/>
  <c r="AW126" i="37"/>
  <c r="AV126" i="37"/>
  <c r="AU126" i="37"/>
  <c r="AT126" i="37"/>
  <c r="AS126" i="37"/>
  <c r="AR126" i="37"/>
  <c r="AQ126" i="37"/>
  <c r="AP126" i="37"/>
  <c r="AO126" i="37"/>
  <c r="AN126" i="37"/>
  <c r="M126" i="37"/>
  <c r="L126" i="37"/>
  <c r="BP125" i="37"/>
  <c r="BO125" i="37"/>
  <c r="BN125" i="37"/>
  <c r="BM125" i="37"/>
  <c r="BL125" i="37"/>
  <c r="BK125" i="37"/>
  <c r="BJ125" i="37"/>
  <c r="BI125" i="37"/>
  <c r="BH125" i="37"/>
  <c r="BG125" i="37"/>
  <c r="BF125" i="37"/>
  <c r="BE125" i="37"/>
  <c r="BD125" i="37"/>
  <c r="BC125" i="37"/>
  <c r="BB125" i="37"/>
  <c r="BA125" i="37"/>
  <c r="AZ125" i="37"/>
  <c r="AY125" i="37"/>
  <c r="AX125" i="37"/>
  <c r="AW125" i="37"/>
  <c r="AV125" i="37"/>
  <c r="AU125" i="37"/>
  <c r="AT125" i="37"/>
  <c r="AS125" i="37"/>
  <c r="AR125" i="37"/>
  <c r="AQ125" i="37"/>
  <c r="AP125" i="37"/>
  <c r="AO125" i="37"/>
  <c r="AN125" i="37"/>
  <c r="M125" i="37"/>
  <c r="L125" i="37"/>
  <c r="BP124" i="37"/>
  <c r="BO124" i="37"/>
  <c r="BN124" i="37"/>
  <c r="BM124" i="37"/>
  <c r="BL124" i="37"/>
  <c r="BK124" i="37"/>
  <c r="BJ124" i="37"/>
  <c r="BI124" i="37"/>
  <c r="BH124" i="37"/>
  <c r="BG124" i="37"/>
  <c r="BF124" i="37"/>
  <c r="BE124" i="37"/>
  <c r="BD124" i="37"/>
  <c r="BC124" i="37"/>
  <c r="BB124" i="37"/>
  <c r="BA124" i="37"/>
  <c r="AZ124" i="37"/>
  <c r="AY124" i="37"/>
  <c r="AX124" i="37"/>
  <c r="AW124" i="37"/>
  <c r="AV124" i="37"/>
  <c r="AU124" i="37"/>
  <c r="AT124" i="37"/>
  <c r="AS124" i="37"/>
  <c r="AR124" i="37"/>
  <c r="AQ124" i="37"/>
  <c r="AP124" i="37"/>
  <c r="AO124" i="37"/>
  <c r="AN124" i="37"/>
  <c r="M124" i="37"/>
  <c r="L124" i="37"/>
  <c r="BP123" i="37"/>
  <c r="BO123" i="37"/>
  <c r="BN123" i="37"/>
  <c r="BM123" i="37"/>
  <c r="BL123" i="37"/>
  <c r="BK123" i="37"/>
  <c r="BJ123" i="37"/>
  <c r="BI123" i="37"/>
  <c r="BH123" i="37"/>
  <c r="BG123" i="37"/>
  <c r="BF123" i="37"/>
  <c r="BE123" i="37"/>
  <c r="BD123" i="37"/>
  <c r="BC123" i="37"/>
  <c r="BB123" i="37"/>
  <c r="BA123" i="37"/>
  <c r="AZ123" i="37"/>
  <c r="AY123" i="37"/>
  <c r="AX123" i="37"/>
  <c r="AW123" i="37"/>
  <c r="AV123" i="37"/>
  <c r="AU123" i="37"/>
  <c r="AT123" i="37"/>
  <c r="AS123" i="37"/>
  <c r="AR123" i="37"/>
  <c r="AQ123" i="37"/>
  <c r="AP123" i="37"/>
  <c r="AO123" i="37"/>
  <c r="AN123" i="37"/>
  <c r="M123" i="37"/>
  <c r="L123" i="37"/>
  <c r="BP122" i="37"/>
  <c r="BO122" i="37"/>
  <c r="BN122" i="37"/>
  <c r="BM122" i="37"/>
  <c r="BL122" i="37"/>
  <c r="BK122" i="37"/>
  <c r="BJ122" i="37"/>
  <c r="BI122" i="37"/>
  <c r="BH122" i="37"/>
  <c r="BG122" i="37"/>
  <c r="BF122" i="37"/>
  <c r="BE122" i="37"/>
  <c r="BD122" i="37"/>
  <c r="BC122" i="37"/>
  <c r="BB122" i="37"/>
  <c r="BA122" i="37"/>
  <c r="AZ122" i="37"/>
  <c r="AY122" i="37"/>
  <c r="AX122" i="37"/>
  <c r="AW122" i="37"/>
  <c r="AV122" i="37"/>
  <c r="AU122" i="37"/>
  <c r="AT122" i="37"/>
  <c r="AS122" i="37"/>
  <c r="AR122" i="37"/>
  <c r="AQ122" i="37"/>
  <c r="AP122" i="37"/>
  <c r="AO122" i="37"/>
  <c r="AN122" i="37"/>
  <c r="M122" i="37"/>
  <c r="L122" i="37"/>
  <c r="BP121" i="37"/>
  <c r="BO121" i="37"/>
  <c r="BN121" i="37"/>
  <c r="BM121" i="37"/>
  <c r="BL121" i="37"/>
  <c r="BK121" i="37"/>
  <c r="BJ121" i="37"/>
  <c r="BI121" i="37"/>
  <c r="BH121" i="37"/>
  <c r="BG121" i="37"/>
  <c r="BF121" i="37"/>
  <c r="BE121" i="37"/>
  <c r="BD121" i="37"/>
  <c r="BC121" i="37"/>
  <c r="BB121" i="37"/>
  <c r="BA121" i="37"/>
  <c r="AZ121" i="37"/>
  <c r="AY121" i="37"/>
  <c r="AX121" i="37"/>
  <c r="AW121" i="37"/>
  <c r="AV121" i="37"/>
  <c r="AU121" i="37"/>
  <c r="AT121" i="37"/>
  <c r="AS121" i="37"/>
  <c r="AR121" i="37"/>
  <c r="AQ121" i="37"/>
  <c r="AP121" i="37"/>
  <c r="AO121" i="37"/>
  <c r="AN121" i="37"/>
  <c r="M121" i="37"/>
  <c r="L121" i="37"/>
  <c r="M119" i="37"/>
  <c r="L119" i="37"/>
  <c r="M118" i="37"/>
  <c r="L118" i="37"/>
  <c r="M117" i="37"/>
  <c r="L117" i="37"/>
  <c r="M116" i="37"/>
  <c r="L116" i="37"/>
  <c r="M115" i="37"/>
  <c r="L115" i="37"/>
  <c r="M114" i="37"/>
  <c r="L114" i="37"/>
  <c r="M113" i="37"/>
  <c r="L113" i="37"/>
  <c r="M112" i="37"/>
  <c r="L112" i="37"/>
  <c r="M111" i="37"/>
  <c r="L111" i="37"/>
  <c r="M110" i="37"/>
  <c r="L110" i="37"/>
  <c r="M109" i="37"/>
  <c r="L109" i="37"/>
  <c r="M108" i="37"/>
  <c r="L108" i="37"/>
  <c r="M107" i="37"/>
  <c r="L107" i="37"/>
  <c r="M95" i="37"/>
  <c r="L95" i="37"/>
  <c r="Y94" i="37"/>
  <c r="X94" i="37"/>
  <c r="W94" i="37"/>
  <c r="V94" i="37"/>
  <c r="T94" i="37"/>
  <c r="U94" i="37" s="1"/>
  <c r="R94" i="37"/>
  <c r="Q94" i="37"/>
  <c r="P94" i="37"/>
  <c r="O94" i="37"/>
  <c r="M94" i="37"/>
  <c r="L94" i="37"/>
  <c r="Y93" i="37"/>
  <c r="X93" i="37"/>
  <c r="W93" i="37"/>
  <c r="V93" i="37"/>
  <c r="T93" i="37"/>
  <c r="U93" i="37" s="1"/>
  <c r="R93" i="37"/>
  <c r="Q93" i="37"/>
  <c r="P93" i="37"/>
  <c r="O93" i="37"/>
  <c r="M93" i="37"/>
  <c r="L93" i="37"/>
  <c r="Y92" i="37"/>
  <c r="X92" i="37"/>
  <c r="W92" i="37"/>
  <c r="V92" i="37"/>
  <c r="T92" i="37"/>
  <c r="U92" i="37" s="1"/>
  <c r="R92" i="37"/>
  <c r="Q92" i="37"/>
  <c r="P92" i="37"/>
  <c r="O92" i="37"/>
  <c r="M92" i="37"/>
  <c r="L92" i="37"/>
  <c r="Y91" i="37"/>
  <c r="X91" i="37"/>
  <c r="W91" i="37"/>
  <c r="V91" i="37"/>
  <c r="T91" i="37"/>
  <c r="U91" i="37" s="1"/>
  <c r="R91" i="37"/>
  <c r="Q91" i="37"/>
  <c r="P91" i="37"/>
  <c r="O91" i="37"/>
  <c r="M91" i="37"/>
  <c r="L91" i="37"/>
  <c r="M90" i="37"/>
  <c r="L90" i="37"/>
  <c r="M89" i="37"/>
  <c r="L89" i="37"/>
  <c r="M88" i="37"/>
  <c r="L88" i="37"/>
  <c r="M87" i="37"/>
  <c r="L87" i="37"/>
  <c r="M86" i="37"/>
  <c r="L86" i="37"/>
  <c r="M81" i="37"/>
  <c r="L81" i="37"/>
  <c r="M76" i="37"/>
  <c r="L76" i="37"/>
  <c r="M75" i="37"/>
  <c r="L75" i="37"/>
  <c r="M74" i="37"/>
  <c r="L74" i="37"/>
  <c r="M73" i="37"/>
  <c r="L73" i="37"/>
  <c r="M56" i="37"/>
  <c r="L56" i="37"/>
  <c r="M55" i="37"/>
  <c r="L55" i="37"/>
  <c r="M54" i="37"/>
  <c r="L54" i="37"/>
  <c r="BP53" i="37"/>
  <c r="BO53" i="37"/>
  <c r="BN53" i="37"/>
  <c r="BM53" i="37"/>
  <c r="BL53" i="37"/>
  <c r="BK53" i="37"/>
  <c r="BJ53" i="37"/>
  <c r="BI53" i="37"/>
  <c r="BH53" i="37"/>
  <c r="BG53" i="37"/>
  <c r="BF53" i="37"/>
  <c r="BE53" i="37"/>
  <c r="BD53" i="37"/>
  <c r="BC53" i="37"/>
  <c r="BB53" i="37"/>
  <c r="BA53" i="37"/>
  <c r="AZ53" i="37"/>
  <c r="AY53" i="37"/>
  <c r="AX53" i="37"/>
  <c r="AW53" i="37"/>
  <c r="AV53" i="37"/>
  <c r="AU53" i="37"/>
  <c r="AT53" i="37"/>
  <c r="AS53" i="37"/>
  <c r="AR53" i="37"/>
  <c r="AQ53" i="37"/>
  <c r="AP53" i="37"/>
  <c r="AO53" i="37"/>
  <c r="AN53" i="37"/>
  <c r="M53" i="37"/>
  <c r="L53" i="37"/>
  <c r="BP52" i="37"/>
  <c r="BO52" i="37"/>
  <c r="BN52" i="37"/>
  <c r="BM52" i="37"/>
  <c r="BL52" i="37"/>
  <c r="BK52" i="37"/>
  <c r="BJ52" i="37"/>
  <c r="BI52" i="37"/>
  <c r="BH52" i="37"/>
  <c r="BG52" i="37"/>
  <c r="BF52" i="37"/>
  <c r="BE52" i="37"/>
  <c r="BD52" i="37"/>
  <c r="BC52" i="37"/>
  <c r="BB52" i="37"/>
  <c r="BA52" i="37"/>
  <c r="AZ52" i="37"/>
  <c r="AY52" i="37"/>
  <c r="AX52" i="37"/>
  <c r="AW52" i="37"/>
  <c r="AV52" i="37"/>
  <c r="AU52" i="37"/>
  <c r="AT52" i="37"/>
  <c r="AS52" i="37"/>
  <c r="AR52" i="37"/>
  <c r="AQ52" i="37"/>
  <c r="AP52" i="37"/>
  <c r="AO52" i="37"/>
  <c r="AN52" i="37"/>
  <c r="M52" i="37"/>
  <c r="L52" i="37"/>
  <c r="BP51" i="37"/>
  <c r="BO51" i="37"/>
  <c r="BN51" i="37"/>
  <c r="BM51" i="37"/>
  <c r="BL51" i="37"/>
  <c r="BK51" i="37"/>
  <c r="BJ51" i="37"/>
  <c r="BI51" i="37"/>
  <c r="BH51" i="37"/>
  <c r="BG51" i="37"/>
  <c r="BF51" i="37"/>
  <c r="BE51" i="37"/>
  <c r="BD51" i="37"/>
  <c r="BC51" i="37"/>
  <c r="BB51" i="37"/>
  <c r="BA51" i="37"/>
  <c r="AZ51" i="37"/>
  <c r="AY51" i="37"/>
  <c r="AX51" i="37"/>
  <c r="AW51" i="37"/>
  <c r="AV51" i="37"/>
  <c r="AU51" i="37"/>
  <c r="AT51" i="37"/>
  <c r="AS51" i="37"/>
  <c r="AR51" i="37"/>
  <c r="AQ51" i="37"/>
  <c r="AP51" i="37"/>
  <c r="AO51" i="37"/>
  <c r="AN51" i="37"/>
  <c r="M51" i="37"/>
  <c r="L51" i="37"/>
  <c r="M50" i="37"/>
  <c r="L50" i="37"/>
  <c r="M49" i="37"/>
  <c r="L49" i="37"/>
  <c r="M48" i="37"/>
  <c r="L48" i="37"/>
  <c r="BP47" i="37"/>
  <c r="BO47" i="37"/>
  <c r="BN47" i="37"/>
  <c r="BM47" i="37"/>
  <c r="BL47" i="37"/>
  <c r="BK47" i="37"/>
  <c r="BJ47" i="37"/>
  <c r="BI47" i="37"/>
  <c r="BH47" i="37"/>
  <c r="BG47" i="37"/>
  <c r="BF47" i="37"/>
  <c r="BE47" i="37"/>
  <c r="BD47" i="37"/>
  <c r="BC47" i="37"/>
  <c r="BB47" i="37"/>
  <c r="BA47" i="37"/>
  <c r="AZ47" i="37"/>
  <c r="AY47" i="37"/>
  <c r="AX47" i="37"/>
  <c r="AW47" i="37"/>
  <c r="AV47" i="37"/>
  <c r="AU47" i="37"/>
  <c r="AT47" i="37"/>
  <c r="AS47" i="37"/>
  <c r="AR47" i="37"/>
  <c r="AQ47" i="37"/>
  <c r="AP47" i="37"/>
  <c r="AO47" i="37"/>
  <c r="AN47" i="37"/>
  <c r="M47" i="37"/>
  <c r="L47" i="37"/>
  <c r="BP46" i="37"/>
  <c r="BO46" i="37"/>
  <c r="BN46" i="37"/>
  <c r="BM46" i="37"/>
  <c r="BL46" i="37"/>
  <c r="BK46" i="37"/>
  <c r="BJ46" i="37"/>
  <c r="BI46" i="37"/>
  <c r="BH46" i="37"/>
  <c r="BG46" i="37"/>
  <c r="BF46" i="37"/>
  <c r="BE46" i="37"/>
  <c r="BD46" i="37"/>
  <c r="BC46" i="37"/>
  <c r="BB46" i="37"/>
  <c r="BA46" i="37"/>
  <c r="AZ46" i="37"/>
  <c r="AY46" i="37"/>
  <c r="AX46" i="37"/>
  <c r="AW46" i="37"/>
  <c r="AV46" i="37"/>
  <c r="AU46" i="37"/>
  <c r="AT46" i="37"/>
  <c r="AS46" i="37"/>
  <c r="AR46" i="37"/>
  <c r="AQ46" i="37"/>
  <c r="AP46" i="37"/>
  <c r="AO46" i="37"/>
  <c r="AN46" i="37"/>
  <c r="M46" i="37"/>
  <c r="L46" i="37"/>
  <c r="BP31" i="37"/>
  <c r="BO31" i="37"/>
  <c r="BN31" i="37"/>
  <c r="BM31" i="37"/>
  <c r="BL31" i="37"/>
  <c r="BK31" i="37"/>
  <c r="BJ31" i="37"/>
  <c r="BI31" i="37"/>
  <c r="BH31" i="37"/>
  <c r="BG31" i="37"/>
  <c r="BF31" i="37"/>
  <c r="BE31" i="37"/>
  <c r="BD31" i="37"/>
  <c r="BC31" i="37"/>
  <c r="BB31" i="37"/>
  <c r="BA31" i="37"/>
  <c r="AZ31" i="37"/>
  <c r="AY31" i="37"/>
  <c r="AX31" i="37"/>
  <c r="AW31" i="37"/>
  <c r="AV31" i="37"/>
  <c r="AU31" i="37"/>
  <c r="AT31" i="37"/>
  <c r="AS31" i="37"/>
  <c r="AR31" i="37"/>
  <c r="AQ31" i="37"/>
  <c r="AP31" i="37"/>
  <c r="AO31" i="37"/>
  <c r="AN31" i="37"/>
  <c r="M31" i="37"/>
  <c r="L31" i="37"/>
  <c r="BP28" i="37"/>
  <c r="BO28" i="37"/>
  <c r="BN28" i="37"/>
  <c r="BM28" i="37"/>
  <c r="BL28" i="37"/>
  <c r="BK28" i="37"/>
  <c r="BJ28" i="37"/>
  <c r="BI28" i="37"/>
  <c r="BH28" i="37"/>
  <c r="BG28" i="37"/>
  <c r="BF28" i="37"/>
  <c r="BE28" i="37"/>
  <c r="BD28" i="37"/>
  <c r="BC28" i="37"/>
  <c r="BB28" i="37"/>
  <c r="BA28" i="37"/>
  <c r="AZ28" i="37"/>
  <c r="AY28" i="37"/>
  <c r="AX28" i="37"/>
  <c r="AW28" i="37"/>
  <c r="AV28" i="37"/>
  <c r="AU28" i="37"/>
  <c r="AT28" i="37"/>
  <c r="AS28" i="37"/>
  <c r="AR28" i="37"/>
  <c r="AQ28" i="37"/>
  <c r="AP28" i="37"/>
  <c r="AO28" i="37"/>
  <c r="AN28" i="37"/>
  <c r="M28" i="37"/>
  <c r="L28" i="37"/>
  <c r="BP25" i="37"/>
  <c r="BO25" i="37"/>
  <c r="BN25" i="37"/>
  <c r="BM25" i="37"/>
  <c r="BL25" i="37"/>
  <c r="BK25" i="37"/>
  <c r="BJ25" i="37"/>
  <c r="BI25" i="37"/>
  <c r="BH25" i="37"/>
  <c r="BG25" i="37"/>
  <c r="BF25" i="37"/>
  <c r="BE25" i="37"/>
  <c r="BD25" i="37"/>
  <c r="BC25" i="37"/>
  <c r="BB25" i="37"/>
  <c r="BA25" i="37"/>
  <c r="AZ25" i="37"/>
  <c r="AY25" i="37"/>
  <c r="AX25" i="37"/>
  <c r="AW25" i="37"/>
  <c r="AV25" i="37"/>
  <c r="AU25" i="37"/>
  <c r="AT25" i="37"/>
  <c r="AS25" i="37"/>
  <c r="AR25" i="37"/>
  <c r="AQ25" i="37"/>
  <c r="AP25" i="37"/>
  <c r="AO25" i="37"/>
  <c r="AN25" i="37"/>
  <c r="M25" i="37"/>
  <c r="L25" i="37"/>
  <c r="BP24" i="37"/>
  <c r="BO24" i="37"/>
  <c r="BN24" i="37"/>
  <c r="BM24" i="37"/>
  <c r="BL24" i="37"/>
  <c r="BK24" i="37"/>
  <c r="BJ24" i="37"/>
  <c r="BI24" i="37"/>
  <c r="BH24" i="37"/>
  <c r="BG24" i="37"/>
  <c r="BF24" i="37"/>
  <c r="BE24" i="37"/>
  <c r="BD24" i="37"/>
  <c r="BC24" i="37"/>
  <c r="BB24" i="37"/>
  <c r="BA24" i="37"/>
  <c r="AZ24" i="37"/>
  <c r="AY24" i="37"/>
  <c r="AX24" i="37"/>
  <c r="AW24" i="37"/>
  <c r="AV24" i="37"/>
  <c r="AU24" i="37"/>
  <c r="AT24" i="37"/>
  <c r="AS24" i="37"/>
  <c r="AR24" i="37"/>
  <c r="AQ24" i="37"/>
  <c r="AP24" i="37"/>
  <c r="AO24" i="37"/>
  <c r="AN24" i="37"/>
  <c r="M24" i="37"/>
  <c r="L24" i="37"/>
  <c r="W21" i="37"/>
  <c r="M21" i="37"/>
  <c r="L21" i="37"/>
  <c r="BP20" i="37"/>
  <c r="BO20" i="37"/>
  <c r="BN20" i="37"/>
  <c r="BM20" i="37"/>
  <c r="BL20" i="37"/>
  <c r="BK20" i="37"/>
  <c r="BJ20" i="37"/>
  <c r="BI20" i="37"/>
  <c r="BH20" i="37"/>
  <c r="BG20" i="37"/>
  <c r="BF20" i="37"/>
  <c r="BE20" i="37"/>
  <c r="BD20" i="37"/>
  <c r="BC20" i="37"/>
  <c r="BB20" i="37"/>
  <c r="BA20" i="37"/>
  <c r="AZ20" i="37"/>
  <c r="AY20" i="37"/>
  <c r="AX20" i="37"/>
  <c r="AW20" i="37"/>
  <c r="AV20" i="37"/>
  <c r="AU20" i="37"/>
  <c r="AT20" i="37"/>
  <c r="AS20" i="37"/>
  <c r="AR20" i="37"/>
  <c r="AQ20" i="37"/>
  <c r="AP20" i="37"/>
  <c r="AO20" i="37"/>
  <c r="AN20" i="37"/>
  <c r="M20" i="37"/>
  <c r="L20" i="37"/>
  <c r="BP19" i="37"/>
  <c r="BO19" i="37"/>
  <c r="BN19" i="37"/>
  <c r="BM19" i="37"/>
  <c r="BL19" i="37"/>
  <c r="BK19" i="37"/>
  <c r="BJ19" i="37"/>
  <c r="BI19" i="37"/>
  <c r="BH19" i="37"/>
  <c r="BG19" i="37"/>
  <c r="BF19" i="37"/>
  <c r="BE19" i="37"/>
  <c r="BD19" i="37"/>
  <c r="BC19" i="37"/>
  <c r="BB19" i="37"/>
  <c r="BA19" i="37"/>
  <c r="AZ19" i="37"/>
  <c r="AY19" i="37"/>
  <c r="AX19" i="37"/>
  <c r="AW19" i="37"/>
  <c r="AV19" i="37"/>
  <c r="AU19" i="37"/>
  <c r="AT19" i="37"/>
  <c r="AS19" i="37"/>
  <c r="AR19" i="37"/>
  <c r="AQ19" i="37"/>
  <c r="AP19" i="37"/>
  <c r="AO19" i="37"/>
  <c r="AN19" i="37"/>
  <c r="M19" i="37"/>
  <c r="L19" i="37"/>
  <c r="BP18" i="37"/>
  <c r="BO18" i="37"/>
  <c r="BN18" i="37"/>
  <c r="BM18" i="37"/>
  <c r="BL18" i="37"/>
  <c r="BK18" i="37"/>
  <c r="BJ18" i="37"/>
  <c r="BI18" i="37"/>
  <c r="BH18" i="37"/>
  <c r="BG18" i="37"/>
  <c r="BF18" i="37"/>
  <c r="BE18" i="37"/>
  <c r="BD18" i="37"/>
  <c r="BC18" i="37"/>
  <c r="BB18" i="37"/>
  <c r="BA18" i="37"/>
  <c r="AZ18" i="37"/>
  <c r="AY18" i="37"/>
  <c r="AX18" i="37"/>
  <c r="AW18" i="37"/>
  <c r="AV18" i="37"/>
  <c r="AU18" i="37"/>
  <c r="AT18" i="37"/>
  <c r="AS18" i="37"/>
  <c r="AR18" i="37"/>
  <c r="AQ18" i="37"/>
  <c r="AP18" i="37"/>
  <c r="AO18" i="37"/>
  <c r="AN18" i="37"/>
  <c r="M18" i="37"/>
  <c r="L18" i="37"/>
  <c r="BP17" i="37"/>
  <c r="BO17" i="37"/>
  <c r="BN17" i="37"/>
  <c r="BM17" i="37"/>
  <c r="BL17" i="37"/>
  <c r="BK17" i="37"/>
  <c r="BJ17" i="37"/>
  <c r="BI17" i="37"/>
  <c r="BH17" i="37"/>
  <c r="BG17" i="37"/>
  <c r="BF17" i="37"/>
  <c r="BE17" i="37"/>
  <c r="BD17" i="37"/>
  <c r="BC17" i="37"/>
  <c r="BB17" i="37"/>
  <c r="BA17" i="37"/>
  <c r="AZ17" i="37"/>
  <c r="AY17" i="37"/>
  <c r="AX17" i="37"/>
  <c r="AW17" i="37"/>
  <c r="AV17" i="37"/>
  <c r="AU17" i="37"/>
  <c r="AT17" i="37"/>
  <c r="AS17" i="37"/>
  <c r="AR17" i="37"/>
  <c r="AQ17" i="37"/>
  <c r="AP17" i="37"/>
  <c r="AO17" i="37"/>
  <c r="AN17" i="37"/>
  <c r="M17" i="37"/>
  <c r="L17" i="37"/>
  <c r="BP16" i="37"/>
  <c r="BO16" i="37"/>
  <c r="BN16" i="37"/>
  <c r="BM16" i="37"/>
  <c r="BL16" i="37"/>
  <c r="BK16" i="37"/>
  <c r="BJ16" i="37"/>
  <c r="BI16" i="37"/>
  <c r="BH16" i="37"/>
  <c r="BG16" i="37"/>
  <c r="BF16" i="37"/>
  <c r="BE16" i="37"/>
  <c r="BD16" i="37"/>
  <c r="BC16" i="37"/>
  <c r="BB16" i="37"/>
  <c r="BA16" i="37"/>
  <c r="AZ16" i="37"/>
  <c r="AY16" i="37"/>
  <c r="AX16" i="37"/>
  <c r="AW16" i="37"/>
  <c r="AV16" i="37"/>
  <c r="AU16" i="37"/>
  <c r="AT16" i="37"/>
  <c r="AS16" i="37"/>
  <c r="AR16" i="37"/>
  <c r="AQ16" i="37"/>
  <c r="AP16" i="37"/>
  <c r="AO16" i="37"/>
  <c r="AN16" i="37"/>
  <c r="M16" i="37"/>
  <c r="L16" i="37"/>
  <c r="BP15" i="37"/>
  <c r="BO15" i="37"/>
  <c r="BN15" i="37"/>
  <c r="BM15" i="37"/>
  <c r="BL15" i="37"/>
  <c r="BK15" i="37"/>
  <c r="BJ15" i="37"/>
  <c r="BI15" i="37"/>
  <c r="BH15" i="37"/>
  <c r="BG15" i="37"/>
  <c r="BF15" i="37"/>
  <c r="BE15" i="37"/>
  <c r="BD15" i="37"/>
  <c r="BC15" i="37"/>
  <c r="BB15" i="37"/>
  <c r="BA15" i="37"/>
  <c r="AZ15" i="37"/>
  <c r="AY15" i="37"/>
  <c r="AX15" i="37"/>
  <c r="AW15" i="37"/>
  <c r="AV15" i="37"/>
  <c r="AU15" i="37"/>
  <c r="AT15" i="37"/>
  <c r="AS15" i="37"/>
  <c r="AR15" i="37"/>
  <c r="AQ15" i="37"/>
  <c r="AP15" i="37"/>
  <c r="AO15" i="37"/>
  <c r="AN15" i="37"/>
  <c r="M15" i="37"/>
  <c r="L15" i="37"/>
  <c r="BP14" i="37"/>
  <c r="BO14" i="37"/>
  <c r="BN14" i="37"/>
  <c r="BM14" i="37"/>
  <c r="BL14" i="37"/>
  <c r="BK14" i="37"/>
  <c r="BJ14" i="37"/>
  <c r="BI14" i="37"/>
  <c r="BH14" i="37"/>
  <c r="BG14" i="37"/>
  <c r="BF14" i="37"/>
  <c r="BE14" i="37"/>
  <c r="BD14" i="37"/>
  <c r="BC14" i="37"/>
  <c r="BB14" i="37"/>
  <c r="BA14" i="37"/>
  <c r="AZ14" i="37"/>
  <c r="AY14" i="37"/>
  <c r="AX14" i="37"/>
  <c r="AW14" i="37"/>
  <c r="AV14" i="37"/>
  <c r="AU14" i="37"/>
  <c r="AT14" i="37"/>
  <c r="AS14" i="37"/>
  <c r="AR14" i="37"/>
  <c r="AQ14" i="37"/>
  <c r="AP14" i="37"/>
  <c r="AO14" i="37"/>
  <c r="AN14" i="37"/>
  <c r="M14" i="37"/>
  <c r="L14" i="37"/>
  <c r="BP13" i="37"/>
  <c r="BO13" i="37"/>
  <c r="BN13" i="37"/>
  <c r="BM13" i="37"/>
  <c r="BL13" i="37"/>
  <c r="BK13" i="37"/>
  <c r="BJ13" i="37"/>
  <c r="BI13" i="37"/>
  <c r="BH13" i="37"/>
  <c r="BG13" i="37"/>
  <c r="BF13" i="37"/>
  <c r="BE13" i="37"/>
  <c r="BD13" i="37"/>
  <c r="BC13" i="37"/>
  <c r="BB13" i="37"/>
  <c r="BA13" i="37"/>
  <c r="AZ13" i="37"/>
  <c r="AY13" i="37"/>
  <c r="AX13" i="37"/>
  <c r="AW13" i="37"/>
  <c r="AV13" i="37"/>
  <c r="AU13" i="37"/>
  <c r="AT13" i="37"/>
  <c r="AS13" i="37"/>
  <c r="AR13" i="37"/>
  <c r="AQ13" i="37"/>
  <c r="AP13" i="37"/>
  <c r="AO13" i="37"/>
  <c r="AN13" i="37"/>
  <c r="M13" i="37"/>
  <c r="L13" i="37"/>
  <c r="BP12" i="37"/>
  <c r="BO12" i="37"/>
  <c r="BN12" i="37"/>
  <c r="BM12" i="37"/>
  <c r="BL12" i="37"/>
  <c r="BK12" i="37"/>
  <c r="BJ12" i="37"/>
  <c r="BI12" i="37"/>
  <c r="BH12" i="37"/>
  <c r="BG12" i="37"/>
  <c r="BF12" i="37"/>
  <c r="BE12" i="37"/>
  <c r="BD12" i="37"/>
  <c r="BC12" i="37"/>
  <c r="BB12" i="37"/>
  <c r="BA12" i="37"/>
  <c r="AZ12" i="37"/>
  <c r="AY12" i="37"/>
  <c r="AX12" i="37"/>
  <c r="AW12" i="37"/>
  <c r="AV12" i="37"/>
  <c r="AU12" i="37"/>
  <c r="AT12" i="37"/>
  <c r="AS12" i="37"/>
  <c r="AR12" i="37"/>
  <c r="AQ12" i="37"/>
  <c r="AP12" i="37"/>
  <c r="AO12" i="37"/>
  <c r="AN12" i="37"/>
  <c r="M12" i="37"/>
  <c r="L12" i="37"/>
  <c r="BP11" i="37"/>
  <c r="BO11" i="37"/>
  <c r="BN11" i="37"/>
  <c r="BM11" i="37"/>
  <c r="BL11" i="37"/>
  <c r="BK11" i="37"/>
  <c r="BJ11" i="37"/>
  <c r="BI11" i="37"/>
  <c r="BH11" i="37"/>
  <c r="BG11" i="37"/>
  <c r="BF11" i="37"/>
  <c r="BE11" i="37"/>
  <c r="BD11" i="37"/>
  <c r="BC11" i="37"/>
  <c r="BB11" i="37"/>
  <c r="BA11" i="37"/>
  <c r="AZ11" i="37"/>
  <c r="AY11" i="37"/>
  <c r="AX11" i="37"/>
  <c r="AW11" i="37"/>
  <c r="AV11" i="37"/>
  <c r="AU11" i="37"/>
  <c r="AT11" i="37"/>
  <c r="AS11" i="37"/>
  <c r="AR11" i="37"/>
  <c r="AQ11" i="37"/>
  <c r="AP11" i="37"/>
  <c r="AO11" i="37"/>
  <c r="AN11" i="37"/>
  <c r="M11" i="37"/>
  <c r="L11" i="37"/>
  <c r="AK126" i="35"/>
  <c r="AK125" i="35"/>
  <c r="AK124" i="35"/>
  <c r="AK123" i="35"/>
  <c r="AK122" i="35"/>
  <c r="AK121" i="35"/>
  <c r="AK119" i="35"/>
  <c r="AK118" i="35"/>
  <c r="AK117" i="35"/>
  <c r="AK116" i="35"/>
  <c r="AK115" i="35"/>
  <c r="AK114" i="35"/>
  <c r="AK113" i="35"/>
  <c r="AK112" i="35"/>
  <c r="AK111" i="35"/>
  <c r="AK110" i="35"/>
  <c r="AK109" i="35"/>
  <c r="AK108" i="35"/>
  <c r="AK107" i="35"/>
  <c r="AK95" i="35"/>
  <c r="AK90" i="35"/>
  <c r="AK89" i="35"/>
  <c r="AK88" i="35"/>
  <c r="AK87" i="35"/>
  <c r="AK86" i="35"/>
  <c r="AK81" i="35"/>
  <c r="AK76" i="35"/>
  <c r="AK75" i="35"/>
  <c r="AK74" i="35"/>
  <c r="AK73" i="35"/>
  <c r="AK56" i="35"/>
  <c r="AK55" i="35"/>
  <c r="AK54" i="35"/>
  <c r="AK53" i="35"/>
  <c r="AK52" i="35"/>
  <c r="AK51" i="35"/>
  <c r="AK50" i="35"/>
  <c r="AK49" i="35"/>
  <c r="AK48" i="35"/>
  <c r="AK47" i="35"/>
  <c r="AK46" i="35"/>
  <c r="AK31" i="35"/>
  <c r="AK28" i="35"/>
  <c r="AK25" i="35"/>
  <c r="AK24" i="35"/>
  <c r="AK20" i="35"/>
  <c r="AK19" i="35"/>
  <c r="AK18" i="35"/>
  <c r="AK17" i="35"/>
  <c r="AK16" i="35"/>
  <c r="AK15" i="35"/>
  <c r="AK14" i="35"/>
  <c r="AK13" i="35"/>
  <c r="AK12" i="35"/>
  <c r="AK11" i="35"/>
  <c r="BP126" i="35"/>
  <c r="BO126" i="35"/>
  <c r="BN126" i="35"/>
  <c r="BM126" i="35"/>
  <c r="BL126" i="35"/>
  <c r="BK126" i="35"/>
  <c r="BJ126" i="35"/>
  <c r="BI126" i="35"/>
  <c r="BH126" i="35"/>
  <c r="BG126" i="35"/>
  <c r="BF126" i="35"/>
  <c r="BE126" i="35"/>
  <c r="BD126" i="35"/>
  <c r="BC126" i="35"/>
  <c r="BB126" i="35"/>
  <c r="BA126" i="35"/>
  <c r="AZ126" i="35"/>
  <c r="AY126" i="35"/>
  <c r="AX126" i="35"/>
  <c r="AW126" i="35"/>
  <c r="AV126" i="35"/>
  <c r="AU126" i="35"/>
  <c r="AT126" i="35"/>
  <c r="AS126" i="35"/>
  <c r="AR126" i="35"/>
  <c r="AQ126" i="35"/>
  <c r="AP126" i="35"/>
  <c r="AO126" i="35"/>
  <c r="AN126" i="35"/>
  <c r="M126" i="35"/>
  <c r="L126" i="35"/>
  <c r="BP125" i="35"/>
  <c r="BO125" i="35"/>
  <c r="BN125" i="35"/>
  <c r="BM125" i="35"/>
  <c r="BL125" i="35"/>
  <c r="BK125" i="35"/>
  <c r="BJ125" i="35"/>
  <c r="BI125" i="35"/>
  <c r="BH125" i="35"/>
  <c r="BG125" i="35"/>
  <c r="BF125" i="35"/>
  <c r="BE125" i="35"/>
  <c r="BD125" i="35"/>
  <c r="BC125" i="35"/>
  <c r="BB125" i="35"/>
  <c r="BA125" i="35"/>
  <c r="AZ125" i="35"/>
  <c r="AY125" i="35"/>
  <c r="AX125" i="35"/>
  <c r="AW125" i="35"/>
  <c r="AV125" i="35"/>
  <c r="AU125" i="35"/>
  <c r="AT125" i="35"/>
  <c r="AS125" i="35"/>
  <c r="AR125" i="35"/>
  <c r="AQ125" i="35"/>
  <c r="AP125" i="35"/>
  <c r="AO125" i="35"/>
  <c r="AN125" i="35"/>
  <c r="M125" i="35"/>
  <c r="L125" i="35"/>
  <c r="BP124" i="35"/>
  <c r="BO124" i="35"/>
  <c r="BN124" i="35"/>
  <c r="BM124" i="35"/>
  <c r="BL124" i="35"/>
  <c r="BK124" i="35"/>
  <c r="BJ124" i="35"/>
  <c r="BI124" i="35"/>
  <c r="BH124" i="35"/>
  <c r="BG124" i="35"/>
  <c r="BF124" i="35"/>
  <c r="BE124" i="35"/>
  <c r="BD124" i="35"/>
  <c r="BC124" i="35"/>
  <c r="BB124" i="35"/>
  <c r="BA124" i="35"/>
  <c r="AZ124" i="35"/>
  <c r="AY124" i="35"/>
  <c r="AX124" i="35"/>
  <c r="AW124" i="35"/>
  <c r="AV124" i="35"/>
  <c r="AU124" i="35"/>
  <c r="AT124" i="35"/>
  <c r="AS124" i="35"/>
  <c r="AR124" i="35"/>
  <c r="AQ124" i="35"/>
  <c r="AP124" i="35"/>
  <c r="AO124" i="35"/>
  <c r="AN124" i="35"/>
  <c r="M124" i="35"/>
  <c r="L124" i="35"/>
  <c r="BP123" i="35"/>
  <c r="BO123" i="35"/>
  <c r="BN123" i="35"/>
  <c r="BM123" i="35"/>
  <c r="BL123" i="35"/>
  <c r="BK123" i="35"/>
  <c r="BJ123" i="35"/>
  <c r="BI123" i="35"/>
  <c r="BH123" i="35"/>
  <c r="BG123" i="35"/>
  <c r="BF123" i="35"/>
  <c r="BE123" i="35"/>
  <c r="BD123" i="35"/>
  <c r="BC123" i="35"/>
  <c r="BB123" i="35"/>
  <c r="BA123" i="35"/>
  <c r="AZ123" i="35"/>
  <c r="AY123" i="35"/>
  <c r="AX123" i="35"/>
  <c r="AW123" i="35"/>
  <c r="AV123" i="35"/>
  <c r="AU123" i="35"/>
  <c r="AT123" i="35"/>
  <c r="AS123" i="35"/>
  <c r="AR123" i="35"/>
  <c r="AQ123" i="35"/>
  <c r="AP123" i="35"/>
  <c r="AO123" i="35"/>
  <c r="AN123" i="35"/>
  <c r="M123" i="35"/>
  <c r="L123" i="35"/>
  <c r="BP122" i="35"/>
  <c r="BO122" i="35"/>
  <c r="BN122" i="35"/>
  <c r="BM122" i="35"/>
  <c r="BL122" i="35"/>
  <c r="BK122" i="35"/>
  <c r="BJ122" i="35"/>
  <c r="BI122" i="35"/>
  <c r="BH122" i="35"/>
  <c r="BG122" i="35"/>
  <c r="BF122" i="35"/>
  <c r="BE122" i="35"/>
  <c r="BD122" i="35"/>
  <c r="BC122" i="35"/>
  <c r="BB122" i="35"/>
  <c r="BA122" i="35"/>
  <c r="AZ122" i="35"/>
  <c r="AY122" i="35"/>
  <c r="AX122" i="35"/>
  <c r="AW122" i="35"/>
  <c r="AV122" i="35"/>
  <c r="AU122" i="35"/>
  <c r="AT122" i="35"/>
  <c r="AS122" i="35"/>
  <c r="AR122" i="35"/>
  <c r="AQ122" i="35"/>
  <c r="AP122" i="35"/>
  <c r="AO122" i="35"/>
  <c r="AN122" i="35"/>
  <c r="M122" i="35"/>
  <c r="L122" i="35"/>
  <c r="BP121" i="35"/>
  <c r="BO121" i="35"/>
  <c r="BN121" i="35"/>
  <c r="BM121" i="35"/>
  <c r="BL121" i="35"/>
  <c r="BK121" i="35"/>
  <c r="BJ121" i="35"/>
  <c r="BI121" i="35"/>
  <c r="BH121" i="35"/>
  <c r="BG121" i="35"/>
  <c r="BF121" i="35"/>
  <c r="BE121" i="35"/>
  <c r="BD121" i="35"/>
  <c r="BC121" i="35"/>
  <c r="BB121" i="35"/>
  <c r="BA121" i="35"/>
  <c r="AZ121" i="35"/>
  <c r="AY121" i="35"/>
  <c r="AX121" i="35"/>
  <c r="AW121" i="35"/>
  <c r="AV121" i="35"/>
  <c r="AU121" i="35"/>
  <c r="AT121" i="35"/>
  <c r="AS121" i="35"/>
  <c r="AR121" i="35"/>
  <c r="AQ121" i="35"/>
  <c r="AP121" i="35"/>
  <c r="AO121" i="35"/>
  <c r="AN121" i="35"/>
  <c r="M121" i="35"/>
  <c r="L121" i="35"/>
  <c r="M119" i="35"/>
  <c r="L119" i="35"/>
  <c r="M118" i="35"/>
  <c r="L118" i="35"/>
  <c r="M117" i="35"/>
  <c r="L117" i="35"/>
  <c r="M116" i="35"/>
  <c r="L116" i="35"/>
  <c r="M115" i="35"/>
  <c r="L115" i="35"/>
  <c r="M114" i="35"/>
  <c r="L114" i="35"/>
  <c r="M113" i="35"/>
  <c r="L113" i="35"/>
  <c r="M112" i="35"/>
  <c r="L112" i="35"/>
  <c r="M111" i="35"/>
  <c r="L111" i="35"/>
  <c r="M110" i="35"/>
  <c r="L110" i="35"/>
  <c r="M109" i="35"/>
  <c r="L109" i="35"/>
  <c r="M108" i="35"/>
  <c r="L108" i="35"/>
  <c r="M107" i="35"/>
  <c r="L107" i="35"/>
  <c r="M95" i="35"/>
  <c r="L95" i="35"/>
  <c r="Y94" i="35"/>
  <c r="X94" i="35"/>
  <c r="W94" i="35"/>
  <c r="V94" i="35"/>
  <c r="T94" i="35"/>
  <c r="U94" i="35" s="1"/>
  <c r="R94" i="35"/>
  <c r="Q94" i="35"/>
  <c r="P94" i="35"/>
  <c r="O94" i="35"/>
  <c r="M94" i="35"/>
  <c r="L94" i="35"/>
  <c r="Y93" i="35"/>
  <c r="X93" i="35"/>
  <c r="W93" i="35"/>
  <c r="V93" i="35"/>
  <c r="T93" i="35"/>
  <c r="U93" i="35" s="1"/>
  <c r="R93" i="35"/>
  <c r="Q93" i="35"/>
  <c r="P93" i="35"/>
  <c r="O93" i="35"/>
  <c r="M93" i="35"/>
  <c r="L93" i="35"/>
  <c r="Y92" i="35"/>
  <c r="X92" i="35"/>
  <c r="W92" i="35"/>
  <c r="V92" i="35"/>
  <c r="T92" i="35"/>
  <c r="U92" i="35" s="1"/>
  <c r="R92" i="35"/>
  <c r="Q92" i="35"/>
  <c r="P92" i="35"/>
  <c r="O92" i="35"/>
  <c r="M92" i="35"/>
  <c r="L92" i="35"/>
  <c r="Y91" i="35"/>
  <c r="X91" i="35"/>
  <c r="W91" i="35"/>
  <c r="V91" i="35"/>
  <c r="T91" i="35"/>
  <c r="U91" i="35" s="1"/>
  <c r="R91" i="35"/>
  <c r="Q91" i="35"/>
  <c r="P91" i="35"/>
  <c r="O91" i="35"/>
  <c r="M91" i="35"/>
  <c r="L91" i="35"/>
  <c r="M90" i="35"/>
  <c r="L90" i="35"/>
  <c r="M89" i="35"/>
  <c r="L89" i="35"/>
  <c r="M88" i="35"/>
  <c r="L88" i="35"/>
  <c r="M87" i="35"/>
  <c r="L87" i="35"/>
  <c r="M86" i="35"/>
  <c r="L86" i="35"/>
  <c r="M81" i="35"/>
  <c r="L81" i="35"/>
  <c r="M76" i="35"/>
  <c r="L76" i="35"/>
  <c r="M75" i="35"/>
  <c r="L75" i="35"/>
  <c r="M74" i="35"/>
  <c r="L74" i="35"/>
  <c r="M73" i="35"/>
  <c r="L73" i="35"/>
  <c r="M56" i="35"/>
  <c r="L56" i="35"/>
  <c r="M55" i="35"/>
  <c r="L55" i="35"/>
  <c r="M54" i="35"/>
  <c r="L54" i="35"/>
  <c r="BP53" i="35"/>
  <c r="BO53" i="35"/>
  <c r="BN53" i="35"/>
  <c r="BM53" i="35"/>
  <c r="BL53" i="35"/>
  <c r="BK53" i="35"/>
  <c r="BJ53" i="35"/>
  <c r="BI53" i="35"/>
  <c r="BH53" i="35"/>
  <c r="BG53" i="35"/>
  <c r="BF53" i="35"/>
  <c r="BE53" i="35"/>
  <c r="BD53" i="35"/>
  <c r="BC53" i="35"/>
  <c r="BB53" i="35"/>
  <c r="BA53" i="35"/>
  <c r="AZ53" i="35"/>
  <c r="AY53" i="35"/>
  <c r="AX53" i="35"/>
  <c r="AW53" i="35"/>
  <c r="AV53" i="35"/>
  <c r="AU53" i="35"/>
  <c r="AT53" i="35"/>
  <c r="AS53" i="35"/>
  <c r="AR53" i="35"/>
  <c r="AQ53" i="35"/>
  <c r="AP53" i="35"/>
  <c r="AO53" i="35"/>
  <c r="AN53" i="35"/>
  <c r="M53" i="35"/>
  <c r="L53" i="35"/>
  <c r="BP52" i="35"/>
  <c r="BO52" i="35"/>
  <c r="BN52" i="35"/>
  <c r="BM52" i="35"/>
  <c r="BL52" i="35"/>
  <c r="BK52" i="35"/>
  <c r="BJ52" i="35"/>
  <c r="BI52" i="35"/>
  <c r="BH52" i="35"/>
  <c r="BG52" i="35"/>
  <c r="BF52" i="35"/>
  <c r="BE52" i="35"/>
  <c r="BD52" i="35"/>
  <c r="BC52" i="35"/>
  <c r="BB52" i="35"/>
  <c r="BA52" i="35"/>
  <c r="AZ52" i="35"/>
  <c r="AY52" i="35"/>
  <c r="AX52" i="35"/>
  <c r="AW52" i="35"/>
  <c r="AV52" i="35"/>
  <c r="AU52" i="35"/>
  <c r="AT52" i="35"/>
  <c r="AS52" i="35"/>
  <c r="AR52" i="35"/>
  <c r="AQ52" i="35"/>
  <c r="AP52" i="35"/>
  <c r="AO52" i="35"/>
  <c r="AN52" i="35"/>
  <c r="M52" i="35"/>
  <c r="L52" i="35"/>
  <c r="BP51" i="35"/>
  <c r="BO51" i="35"/>
  <c r="BN51" i="35"/>
  <c r="BM51" i="35"/>
  <c r="BL51" i="35"/>
  <c r="BK51" i="35"/>
  <c r="BJ51" i="35"/>
  <c r="BI51" i="35"/>
  <c r="BH51" i="35"/>
  <c r="BG51" i="35"/>
  <c r="BF51" i="35"/>
  <c r="BE51" i="35"/>
  <c r="BD51" i="35"/>
  <c r="BC51" i="35"/>
  <c r="BB51" i="35"/>
  <c r="BA51" i="35"/>
  <c r="AZ51" i="35"/>
  <c r="AY51" i="35"/>
  <c r="AX51" i="35"/>
  <c r="AW51" i="35"/>
  <c r="AV51" i="35"/>
  <c r="AU51" i="35"/>
  <c r="AT51" i="35"/>
  <c r="AS51" i="35"/>
  <c r="AR51" i="35"/>
  <c r="AQ51" i="35"/>
  <c r="AP51" i="35"/>
  <c r="AO51" i="35"/>
  <c r="AN51" i="35"/>
  <c r="M51" i="35"/>
  <c r="L51" i="35"/>
  <c r="M50" i="35"/>
  <c r="L50" i="35"/>
  <c r="M49" i="35"/>
  <c r="L49" i="35"/>
  <c r="M48" i="35"/>
  <c r="L48" i="35"/>
  <c r="BP47" i="35"/>
  <c r="BO47" i="35"/>
  <c r="BN47" i="35"/>
  <c r="BM47" i="35"/>
  <c r="BL47" i="35"/>
  <c r="BK47" i="35"/>
  <c r="BJ47" i="35"/>
  <c r="BI47" i="35"/>
  <c r="BH47" i="35"/>
  <c r="BG47" i="35"/>
  <c r="BF47" i="35"/>
  <c r="BE47" i="35"/>
  <c r="BD47" i="35"/>
  <c r="BC47" i="35"/>
  <c r="BB47" i="35"/>
  <c r="BA47" i="35"/>
  <c r="AZ47" i="35"/>
  <c r="AY47" i="35"/>
  <c r="AX47" i="35"/>
  <c r="AW47" i="35"/>
  <c r="AV47" i="35"/>
  <c r="AU47" i="35"/>
  <c r="AT47" i="35"/>
  <c r="AS47" i="35"/>
  <c r="AR47" i="35"/>
  <c r="AQ47" i="35"/>
  <c r="AP47" i="35"/>
  <c r="AO47" i="35"/>
  <c r="AN47" i="35"/>
  <c r="M47" i="35"/>
  <c r="L47" i="35"/>
  <c r="BP46" i="35"/>
  <c r="BO46" i="35"/>
  <c r="BN46" i="35"/>
  <c r="BM46" i="35"/>
  <c r="BL46" i="35"/>
  <c r="BK46" i="35"/>
  <c r="BJ46" i="35"/>
  <c r="BI46" i="35"/>
  <c r="BH46" i="35"/>
  <c r="BG46" i="35"/>
  <c r="BF46" i="35"/>
  <c r="BE46" i="35"/>
  <c r="BD46" i="35"/>
  <c r="BC46" i="35"/>
  <c r="BB46" i="35"/>
  <c r="BA46" i="35"/>
  <c r="AZ46" i="35"/>
  <c r="AY46" i="35"/>
  <c r="AX46" i="35"/>
  <c r="AW46" i="35"/>
  <c r="AV46" i="35"/>
  <c r="AU46" i="35"/>
  <c r="AT46" i="35"/>
  <c r="AS46" i="35"/>
  <c r="AR46" i="35"/>
  <c r="AQ46" i="35"/>
  <c r="AP46" i="35"/>
  <c r="AO46" i="35"/>
  <c r="AN46" i="35"/>
  <c r="M46" i="35"/>
  <c r="L46" i="35"/>
  <c r="BP31" i="35"/>
  <c r="BO31" i="35"/>
  <c r="BN31" i="35"/>
  <c r="BM31" i="35"/>
  <c r="BL31" i="35"/>
  <c r="BK31" i="35"/>
  <c r="BJ31" i="35"/>
  <c r="BI31" i="35"/>
  <c r="BH31" i="35"/>
  <c r="BG31" i="35"/>
  <c r="BF31" i="35"/>
  <c r="BE31" i="35"/>
  <c r="BD31" i="35"/>
  <c r="BC31" i="35"/>
  <c r="BB31" i="35"/>
  <c r="BA31" i="35"/>
  <c r="AZ31" i="35"/>
  <c r="AY31" i="35"/>
  <c r="AX31" i="35"/>
  <c r="AW31" i="35"/>
  <c r="AV31" i="35"/>
  <c r="AU31" i="35"/>
  <c r="AT31" i="35"/>
  <c r="AS31" i="35"/>
  <c r="AR31" i="35"/>
  <c r="AQ31" i="35"/>
  <c r="AP31" i="35"/>
  <c r="AO31" i="35"/>
  <c r="AN31" i="35"/>
  <c r="M31" i="35"/>
  <c r="L31" i="35"/>
  <c r="BP28" i="35"/>
  <c r="BO28" i="35"/>
  <c r="BN28" i="35"/>
  <c r="BM28" i="35"/>
  <c r="BL28" i="35"/>
  <c r="BK28" i="35"/>
  <c r="BJ28" i="35"/>
  <c r="BI28" i="35"/>
  <c r="BH28" i="35"/>
  <c r="BG28" i="35"/>
  <c r="BF28" i="35"/>
  <c r="BE28" i="35"/>
  <c r="BD28" i="35"/>
  <c r="BC28" i="35"/>
  <c r="BB28" i="35"/>
  <c r="BA28" i="35"/>
  <c r="AZ28" i="35"/>
  <c r="AY28" i="35"/>
  <c r="AX28" i="35"/>
  <c r="AW28" i="35"/>
  <c r="AV28" i="35"/>
  <c r="AU28" i="35"/>
  <c r="AT28" i="35"/>
  <c r="AS28" i="35"/>
  <c r="AR28" i="35"/>
  <c r="AQ28" i="35"/>
  <c r="AP28" i="35"/>
  <c r="AO28" i="35"/>
  <c r="AN28" i="35"/>
  <c r="M28" i="35"/>
  <c r="L28" i="35"/>
  <c r="BP25" i="35"/>
  <c r="BO25" i="35"/>
  <c r="BN25" i="35"/>
  <c r="BM25" i="35"/>
  <c r="BL25" i="35"/>
  <c r="BK25" i="35"/>
  <c r="BJ25" i="35"/>
  <c r="BI25" i="35"/>
  <c r="BH25" i="35"/>
  <c r="BG25" i="35"/>
  <c r="BF25" i="35"/>
  <c r="BE25" i="35"/>
  <c r="BD25" i="35"/>
  <c r="BC25" i="35"/>
  <c r="BB25" i="35"/>
  <c r="BA25" i="35"/>
  <c r="AZ25" i="35"/>
  <c r="AY25" i="35"/>
  <c r="AX25" i="35"/>
  <c r="AW25" i="35"/>
  <c r="AV25" i="35"/>
  <c r="AU25" i="35"/>
  <c r="AT25" i="35"/>
  <c r="AS25" i="35"/>
  <c r="AR25" i="35"/>
  <c r="AQ25" i="35"/>
  <c r="AP25" i="35"/>
  <c r="AO25" i="35"/>
  <c r="AN25" i="35"/>
  <c r="M25" i="35"/>
  <c r="L25" i="35"/>
  <c r="BP24" i="35"/>
  <c r="BO24" i="35"/>
  <c r="BN24" i="35"/>
  <c r="BM24" i="35"/>
  <c r="BL24" i="35"/>
  <c r="BK24" i="35"/>
  <c r="BJ24" i="35"/>
  <c r="BI24" i="35"/>
  <c r="BH24" i="35"/>
  <c r="BG24" i="35"/>
  <c r="BF24" i="35"/>
  <c r="BE24" i="35"/>
  <c r="BD24" i="35"/>
  <c r="BC24" i="35"/>
  <c r="BB24" i="35"/>
  <c r="BA24" i="35"/>
  <c r="AZ24" i="35"/>
  <c r="AY24" i="35"/>
  <c r="AX24" i="35"/>
  <c r="AW24" i="35"/>
  <c r="AV24" i="35"/>
  <c r="AU24" i="35"/>
  <c r="AT24" i="35"/>
  <c r="AS24" i="35"/>
  <c r="AR24" i="35"/>
  <c r="AQ24" i="35"/>
  <c r="AP24" i="35"/>
  <c r="AO24" i="35"/>
  <c r="AN24" i="35"/>
  <c r="M24" i="35"/>
  <c r="L24" i="35"/>
  <c r="M21" i="35"/>
  <c r="L21" i="35"/>
  <c r="BP20" i="35"/>
  <c r="BO20" i="35"/>
  <c r="BN20" i="35"/>
  <c r="BM20" i="35"/>
  <c r="BL20" i="35"/>
  <c r="BK20" i="35"/>
  <c r="BJ20" i="35"/>
  <c r="BI20" i="35"/>
  <c r="BH20" i="35"/>
  <c r="BG20" i="35"/>
  <c r="BF20" i="35"/>
  <c r="BE20" i="35"/>
  <c r="BD20" i="35"/>
  <c r="BC20" i="35"/>
  <c r="BB20" i="35"/>
  <c r="BA20" i="35"/>
  <c r="AZ20" i="35"/>
  <c r="AY20" i="35"/>
  <c r="AX20" i="35"/>
  <c r="AW20" i="35"/>
  <c r="AV20" i="35"/>
  <c r="AU20" i="35"/>
  <c r="AT20" i="35"/>
  <c r="AS20" i="35"/>
  <c r="AR20" i="35"/>
  <c r="AQ20" i="35"/>
  <c r="AP20" i="35"/>
  <c r="AO20" i="35"/>
  <c r="AN20" i="35"/>
  <c r="M20" i="35"/>
  <c r="L20" i="35"/>
  <c r="BP19" i="35"/>
  <c r="BO19" i="35"/>
  <c r="BN19" i="35"/>
  <c r="BM19" i="35"/>
  <c r="BL19" i="35"/>
  <c r="BK19" i="35"/>
  <c r="BJ19" i="35"/>
  <c r="BI19" i="35"/>
  <c r="BH19" i="35"/>
  <c r="BG19" i="35"/>
  <c r="BF19" i="35"/>
  <c r="BE19" i="35"/>
  <c r="BD19" i="35"/>
  <c r="BC19" i="35"/>
  <c r="BB19" i="35"/>
  <c r="BA19" i="35"/>
  <c r="AZ19" i="35"/>
  <c r="AY19" i="35"/>
  <c r="AX19" i="35"/>
  <c r="AW19" i="35"/>
  <c r="AV19" i="35"/>
  <c r="AU19" i="35"/>
  <c r="AT19" i="35"/>
  <c r="AS19" i="35"/>
  <c r="AR19" i="35"/>
  <c r="AQ19" i="35"/>
  <c r="AP19" i="35"/>
  <c r="AO19" i="35"/>
  <c r="AN19" i="35"/>
  <c r="M19" i="35"/>
  <c r="L19" i="35"/>
  <c r="BP18" i="35"/>
  <c r="BO18" i="35"/>
  <c r="BN18" i="35"/>
  <c r="BM18" i="35"/>
  <c r="BL18" i="35"/>
  <c r="BK18" i="35"/>
  <c r="BJ18" i="35"/>
  <c r="BI18" i="35"/>
  <c r="BH18" i="35"/>
  <c r="BG18" i="35"/>
  <c r="BF18" i="35"/>
  <c r="BE18" i="35"/>
  <c r="BD18" i="35"/>
  <c r="BC18" i="35"/>
  <c r="BB18" i="35"/>
  <c r="BA18" i="35"/>
  <c r="AZ18" i="35"/>
  <c r="AY18" i="35"/>
  <c r="AX18" i="35"/>
  <c r="AW18" i="35"/>
  <c r="AV18" i="35"/>
  <c r="AU18" i="35"/>
  <c r="AT18" i="35"/>
  <c r="AS18" i="35"/>
  <c r="AR18" i="35"/>
  <c r="AQ18" i="35"/>
  <c r="AP18" i="35"/>
  <c r="AO18" i="35"/>
  <c r="AN18" i="35"/>
  <c r="M18" i="35"/>
  <c r="L18" i="35"/>
  <c r="BP17" i="35"/>
  <c r="BO17" i="35"/>
  <c r="BN17" i="35"/>
  <c r="BM17" i="35"/>
  <c r="BL17" i="35"/>
  <c r="BK17" i="35"/>
  <c r="BJ17" i="35"/>
  <c r="BI17" i="35"/>
  <c r="BH17" i="35"/>
  <c r="BG17" i="35"/>
  <c r="BF17" i="35"/>
  <c r="BE17" i="35"/>
  <c r="BD17" i="35"/>
  <c r="BC17" i="35"/>
  <c r="BB17" i="35"/>
  <c r="BA17" i="35"/>
  <c r="AZ17" i="35"/>
  <c r="AY17" i="35"/>
  <c r="AX17" i="35"/>
  <c r="AW17" i="35"/>
  <c r="AV17" i="35"/>
  <c r="AU17" i="35"/>
  <c r="AT17" i="35"/>
  <c r="AS17" i="35"/>
  <c r="AR17" i="35"/>
  <c r="AQ17" i="35"/>
  <c r="AP17" i="35"/>
  <c r="AO17" i="35"/>
  <c r="AN17" i="35"/>
  <c r="M17" i="35"/>
  <c r="L17" i="35"/>
  <c r="BP16" i="35"/>
  <c r="BO16" i="35"/>
  <c r="BN16" i="35"/>
  <c r="BM16" i="35"/>
  <c r="BL16" i="35"/>
  <c r="BK16" i="35"/>
  <c r="BJ16" i="35"/>
  <c r="BI16" i="35"/>
  <c r="BH16" i="35"/>
  <c r="BG16" i="35"/>
  <c r="BF16" i="35"/>
  <c r="BE16" i="35"/>
  <c r="BD16" i="35"/>
  <c r="BC16" i="35"/>
  <c r="BB16" i="35"/>
  <c r="BA16" i="35"/>
  <c r="AZ16" i="35"/>
  <c r="AY16" i="35"/>
  <c r="AX16" i="35"/>
  <c r="AW16" i="35"/>
  <c r="AV16" i="35"/>
  <c r="AU16" i="35"/>
  <c r="AT16" i="35"/>
  <c r="AS16" i="35"/>
  <c r="AR16" i="35"/>
  <c r="AQ16" i="35"/>
  <c r="AP16" i="35"/>
  <c r="AO16" i="35"/>
  <c r="AN16" i="35"/>
  <c r="M16" i="35"/>
  <c r="L16" i="35"/>
  <c r="BP15" i="35"/>
  <c r="BO15" i="35"/>
  <c r="BN15" i="35"/>
  <c r="BM15" i="35"/>
  <c r="BL15" i="35"/>
  <c r="BK15" i="35"/>
  <c r="BJ15" i="35"/>
  <c r="BI15" i="35"/>
  <c r="BH15" i="35"/>
  <c r="BG15" i="35"/>
  <c r="BF15" i="35"/>
  <c r="BE15" i="35"/>
  <c r="BD15" i="35"/>
  <c r="BC15" i="35"/>
  <c r="BB15" i="35"/>
  <c r="BA15" i="35"/>
  <c r="AZ15" i="35"/>
  <c r="AY15" i="35"/>
  <c r="AX15" i="35"/>
  <c r="AW15" i="35"/>
  <c r="AV15" i="35"/>
  <c r="AU15" i="35"/>
  <c r="AT15" i="35"/>
  <c r="AS15" i="35"/>
  <c r="AR15" i="35"/>
  <c r="AQ15" i="35"/>
  <c r="AP15" i="35"/>
  <c r="AO15" i="35"/>
  <c r="AN15" i="35"/>
  <c r="M15" i="35"/>
  <c r="L15" i="35"/>
  <c r="BP14" i="35"/>
  <c r="BO14" i="35"/>
  <c r="BN14" i="35"/>
  <c r="BM14" i="35"/>
  <c r="BL14" i="35"/>
  <c r="BK14" i="35"/>
  <c r="BJ14" i="35"/>
  <c r="BI14" i="35"/>
  <c r="BH14" i="35"/>
  <c r="BG14" i="35"/>
  <c r="BF14" i="35"/>
  <c r="BE14" i="35"/>
  <c r="BD14" i="35"/>
  <c r="BC14" i="35"/>
  <c r="BB14" i="35"/>
  <c r="BA14" i="35"/>
  <c r="AZ14" i="35"/>
  <c r="AY14" i="35"/>
  <c r="AX14" i="35"/>
  <c r="AW14" i="35"/>
  <c r="AV14" i="35"/>
  <c r="AU14" i="35"/>
  <c r="AT14" i="35"/>
  <c r="AS14" i="35"/>
  <c r="AR14" i="35"/>
  <c r="AQ14" i="35"/>
  <c r="AP14" i="35"/>
  <c r="AO14" i="35"/>
  <c r="AN14" i="35"/>
  <c r="M14" i="35"/>
  <c r="L14" i="35"/>
  <c r="BP13" i="35"/>
  <c r="BO13" i="35"/>
  <c r="BN13" i="35"/>
  <c r="BM13" i="35"/>
  <c r="BL13" i="35"/>
  <c r="BK13" i="35"/>
  <c r="BJ13" i="35"/>
  <c r="BI13" i="35"/>
  <c r="BH13" i="35"/>
  <c r="BG13" i="35"/>
  <c r="BF13" i="35"/>
  <c r="BE13" i="35"/>
  <c r="BD13" i="35"/>
  <c r="BC13" i="35"/>
  <c r="BB13" i="35"/>
  <c r="BA13" i="35"/>
  <c r="AZ13" i="35"/>
  <c r="AY13" i="35"/>
  <c r="AX13" i="35"/>
  <c r="AW13" i="35"/>
  <c r="AV13" i="35"/>
  <c r="AU13" i="35"/>
  <c r="AT13" i="35"/>
  <c r="AS13" i="35"/>
  <c r="AR13" i="35"/>
  <c r="AQ13" i="35"/>
  <c r="AP13" i="35"/>
  <c r="AO13" i="35"/>
  <c r="AN13" i="35"/>
  <c r="M13" i="35"/>
  <c r="L13" i="35"/>
  <c r="BP12" i="35"/>
  <c r="BO12" i="35"/>
  <c r="BN12" i="35"/>
  <c r="BM12" i="35"/>
  <c r="BL12" i="35"/>
  <c r="BK12" i="35"/>
  <c r="BJ12" i="35"/>
  <c r="BI12" i="35"/>
  <c r="BH12" i="35"/>
  <c r="BG12" i="35"/>
  <c r="BF12" i="35"/>
  <c r="BE12" i="35"/>
  <c r="BD12" i="35"/>
  <c r="BC12" i="35"/>
  <c r="BB12" i="35"/>
  <c r="BA12" i="35"/>
  <c r="AZ12" i="35"/>
  <c r="AY12" i="35"/>
  <c r="AX12" i="35"/>
  <c r="AW12" i="35"/>
  <c r="AV12" i="35"/>
  <c r="AU12" i="35"/>
  <c r="AT12" i="35"/>
  <c r="AS12" i="35"/>
  <c r="AR12" i="35"/>
  <c r="AQ12" i="35"/>
  <c r="AP12" i="35"/>
  <c r="AO12" i="35"/>
  <c r="AN12" i="35"/>
  <c r="M12" i="35"/>
  <c r="L12" i="35"/>
  <c r="BP11" i="35"/>
  <c r="BO11" i="35"/>
  <c r="BN11" i="35"/>
  <c r="BM11" i="35"/>
  <c r="BL11" i="35"/>
  <c r="BK11" i="35"/>
  <c r="BJ11" i="35"/>
  <c r="BI11" i="35"/>
  <c r="BH11" i="35"/>
  <c r="BG11" i="35"/>
  <c r="BF11" i="35"/>
  <c r="BE11" i="35"/>
  <c r="BD11" i="35"/>
  <c r="BC11" i="35"/>
  <c r="BB11" i="35"/>
  <c r="BA11" i="35"/>
  <c r="AZ11" i="35"/>
  <c r="AY11" i="35"/>
  <c r="AX11" i="35"/>
  <c r="AW11" i="35"/>
  <c r="AV11" i="35"/>
  <c r="AU11" i="35"/>
  <c r="AT11" i="35"/>
  <c r="AS11" i="35"/>
  <c r="AR11" i="35"/>
  <c r="AQ11" i="35"/>
  <c r="AP11" i="35"/>
  <c r="AO11" i="35"/>
  <c r="AN11" i="35"/>
  <c r="M11" i="35"/>
  <c r="L11" i="35"/>
  <c r="AO121" i="1"/>
  <c r="AP121" i="1"/>
  <c r="AQ121" i="1"/>
  <c r="AR121" i="1"/>
  <c r="AS121" i="1"/>
  <c r="AT121" i="1"/>
  <c r="AU121" i="1"/>
  <c r="AV121" i="1"/>
  <c r="AW121" i="1"/>
  <c r="AX121" i="1"/>
  <c r="AY121" i="1"/>
  <c r="AZ121" i="1"/>
  <c r="BA121" i="1"/>
  <c r="BB121" i="1"/>
  <c r="BC121" i="1"/>
  <c r="BD121" i="1"/>
  <c r="BE121" i="1"/>
  <c r="BF121" i="1"/>
  <c r="BG121" i="1"/>
  <c r="BH121" i="1"/>
  <c r="BI121" i="1"/>
  <c r="BJ121" i="1"/>
  <c r="BK121" i="1"/>
  <c r="BL121" i="1"/>
  <c r="BM121" i="1"/>
  <c r="BN121" i="1"/>
  <c r="BO121" i="1"/>
  <c r="BP121" i="1"/>
  <c r="AO122" i="1"/>
  <c r="AP122" i="1"/>
  <c r="AQ122" i="1"/>
  <c r="AR122" i="1"/>
  <c r="AS122" i="1"/>
  <c r="AT122" i="1"/>
  <c r="AU122" i="1"/>
  <c r="AV122" i="1"/>
  <c r="AW122" i="1"/>
  <c r="AX122" i="1"/>
  <c r="AY122" i="1"/>
  <c r="AZ122" i="1"/>
  <c r="BA122" i="1"/>
  <c r="BB122" i="1"/>
  <c r="BC122" i="1"/>
  <c r="BD122" i="1"/>
  <c r="BE122" i="1"/>
  <c r="BF122" i="1"/>
  <c r="BG122" i="1"/>
  <c r="BH122" i="1"/>
  <c r="BI122" i="1"/>
  <c r="BJ122" i="1"/>
  <c r="BK122" i="1"/>
  <c r="BL122" i="1"/>
  <c r="BM122" i="1"/>
  <c r="BN122" i="1"/>
  <c r="BO122" i="1"/>
  <c r="BP122" i="1"/>
  <c r="AO123" i="1"/>
  <c r="AP123" i="1"/>
  <c r="AQ123" i="1"/>
  <c r="AR123" i="1"/>
  <c r="AS123" i="1"/>
  <c r="AT123" i="1"/>
  <c r="AU123" i="1"/>
  <c r="AV123" i="1"/>
  <c r="AW123" i="1"/>
  <c r="AX123" i="1"/>
  <c r="AY123" i="1"/>
  <c r="AZ123" i="1"/>
  <c r="BA123" i="1"/>
  <c r="BB123" i="1"/>
  <c r="BC123" i="1"/>
  <c r="BD123" i="1"/>
  <c r="BE123" i="1"/>
  <c r="BF123" i="1"/>
  <c r="BG123" i="1"/>
  <c r="BH123" i="1"/>
  <c r="BI123" i="1"/>
  <c r="BJ123" i="1"/>
  <c r="BK123" i="1"/>
  <c r="BL123" i="1"/>
  <c r="BM123" i="1"/>
  <c r="BN123" i="1"/>
  <c r="BO123" i="1"/>
  <c r="BP123" i="1"/>
  <c r="AO124" i="1"/>
  <c r="AP124" i="1"/>
  <c r="AQ124" i="1"/>
  <c r="AR124" i="1"/>
  <c r="AS124" i="1"/>
  <c r="AT124" i="1"/>
  <c r="AU124" i="1"/>
  <c r="AV124" i="1"/>
  <c r="AW124" i="1"/>
  <c r="AX124" i="1"/>
  <c r="AY124" i="1"/>
  <c r="AZ124" i="1"/>
  <c r="BA124" i="1"/>
  <c r="BB124" i="1"/>
  <c r="BC124" i="1"/>
  <c r="BD124" i="1"/>
  <c r="BE124" i="1"/>
  <c r="BF124" i="1"/>
  <c r="BG124" i="1"/>
  <c r="BH124" i="1"/>
  <c r="BI124" i="1"/>
  <c r="BJ124" i="1"/>
  <c r="BK124" i="1"/>
  <c r="BL124" i="1"/>
  <c r="BM124" i="1"/>
  <c r="BN124" i="1"/>
  <c r="BO124" i="1"/>
  <c r="BP124" i="1"/>
  <c r="AO125" i="1"/>
  <c r="AP125" i="1"/>
  <c r="AQ125" i="1"/>
  <c r="AR125" i="1"/>
  <c r="AS125" i="1"/>
  <c r="AT125" i="1"/>
  <c r="AU125" i="1"/>
  <c r="AV125" i="1"/>
  <c r="AW125" i="1"/>
  <c r="AX125" i="1"/>
  <c r="AY125" i="1"/>
  <c r="AZ125" i="1"/>
  <c r="BA125" i="1"/>
  <c r="BB125" i="1"/>
  <c r="BC125" i="1"/>
  <c r="BD125" i="1"/>
  <c r="BE125" i="1"/>
  <c r="BF125" i="1"/>
  <c r="BG125" i="1"/>
  <c r="BH125" i="1"/>
  <c r="BI125" i="1"/>
  <c r="BJ125" i="1"/>
  <c r="BK125" i="1"/>
  <c r="BL125" i="1"/>
  <c r="BM125" i="1"/>
  <c r="BN125" i="1"/>
  <c r="BO125" i="1"/>
  <c r="BP125" i="1"/>
  <c r="AO126" i="1"/>
  <c r="AP126" i="1"/>
  <c r="AQ126" i="1"/>
  <c r="AR126" i="1"/>
  <c r="AS126" i="1"/>
  <c r="AT126" i="1"/>
  <c r="AU126" i="1"/>
  <c r="AV126" i="1"/>
  <c r="AW126" i="1"/>
  <c r="AX126" i="1"/>
  <c r="AY126" i="1"/>
  <c r="AZ126" i="1"/>
  <c r="BA126" i="1"/>
  <c r="BB126" i="1"/>
  <c r="BC126" i="1"/>
  <c r="BD126" i="1"/>
  <c r="BE126" i="1"/>
  <c r="BF126" i="1"/>
  <c r="BG126" i="1"/>
  <c r="BH126" i="1"/>
  <c r="BI126" i="1"/>
  <c r="BJ126" i="1"/>
  <c r="BK126" i="1"/>
  <c r="BL126" i="1"/>
  <c r="BM126" i="1"/>
  <c r="BN126" i="1"/>
  <c r="BO126" i="1"/>
  <c r="BP126" i="1"/>
  <c r="AN125" i="1"/>
  <c r="AN126" i="1"/>
  <c r="AN124" i="1"/>
  <c r="AN122" i="1"/>
  <c r="AN123" i="1"/>
  <c r="AN121" i="1"/>
  <c r="AL121" i="1"/>
  <c r="AM121" i="1"/>
  <c r="AL122" i="1"/>
  <c r="AM122" i="1"/>
  <c r="AL123" i="1"/>
  <c r="AM123" i="1"/>
  <c r="AL124" i="1"/>
  <c r="AM124" i="1"/>
  <c r="AL125" i="1"/>
  <c r="AM125" i="1"/>
  <c r="AL126" i="1"/>
  <c r="AM126" i="1"/>
  <c r="AK125" i="1"/>
  <c r="AK126" i="1"/>
  <c r="AK124" i="1"/>
  <c r="AK122" i="1"/>
  <c r="AK123" i="1"/>
  <c r="AK121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P81" i="35" l="1"/>
  <c r="P81" i="38"/>
  <c r="P81" i="37"/>
  <c r="BX93" i="35"/>
  <c r="BX92" i="37"/>
  <c r="BX94" i="38"/>
  <c r="BX91" i="38"/>
  <c r="BX94" i="37"/>
  <c r="BX93" i="37"/>
  <c r="BX91" i="37"/>
  <c r="BX93" i="38"/>
  <c r="BX94" i="35"/>
  <c r="BX92" i="38"/>
  <c r="BX92" i="35"/>
  <c r="BX91" i="35"/>
  <c r="BW53" i="35"/>
  <c r="BV53" i="35"/>
  <c r="BU53" i="35"/>
  <c r="Q89" i="35"/>
  <c r="T89" i="35" s="1"/>
  <c r="U89" i="35" s="1"/>
  <c r="BW89" i="35"/>
  <c r="BV89" i="35"/>
  <c r="BU89" i="35"/>
  <c r="R116" i="35"/>
  <c r="S116" i="35" s="1"/>
  <c r="BW116" i="35"/>
  <c r="BV116" i="35"/>
  <c r="BU116" i="35"/>
  <c r="BW88" i="35"/>
  <c r="BV88" i="35"/>
  <c r="BU88" i="35"/>
  <c r="BW19" i="37"/>
  <c r="BU19" i="37"/>
  <c r="BV19" i="37"/>
  <c r="BU25" i="38"/>
  <c r="BW25" i="38"/>
  <c r="BV25" i="38"/>
  <c r="BU118" i="38"/>
  <c r="BW118" i="38"/>
  <c r="BV118" i="38"/>
  <c r="BW50" i="37"/>
  <c r="BV50" i="37"/>
  <c r="BU50" i="37"/>
  <c r="BW86" i="37"/>
  <c r="BV86" i="37"/>
  <c r="BU86" i="37"/>
  <c r="BW113" i="37"/>
  <c r="BV113" i="37"/>
  <c r="BU113" i="37"/>
  <c r="BW126" i="37"/>
  <c r="BV126" i="37"/>
  <c r="BU126" i="37"/>
  <c r="BU14" i="38"/>
  <c r="BV14" i="38"/>
  <c r="BW14" i="38"/>
  <c r="BV28" i="38"/>
  <c r="BU28" i="38"/>
  <c r="BW28" i="38"/>
  <c r="BV56" i="38"/>
  <c r="BU56" i="38"/>
  <c r="BW56" i="38"/>
  <c r="BV107" i="38"/>
  <c r="BU107" i="38"/>
  <c r="BW107" i="38"/>
  <c r="O119" i="38"/>
  <c r="BV119" i="38"/>
  <c r="BU119" i="38"/>
  <c r="BW119" i="38"/>
  <c r="BV11" i="35"/>
  <c r="BU11" i="35"/>
  <c r="BW11" i="35"/>
  <c r="BW54" i="35"/>
  <c r="BV54" i="35"/>
  <c r="BU54" i="35"/>
  <c r="BW90" i="35"/>
  <c r="BV90" i="35"/>
  <c r="BU90" i="35"/>
  <c r="BV117" i="35"/>
  <c r="BU117" i="35"/>
  <c r="BW117" i="35"/>
  <c r="W20" i="37"/>
  <c r="BW20" i="37"/>
  <c r="BV20" i="37"/>
  <c r="BU20" i="37"/>
  <c r="BV51" i="37"/>
  <c r="BU51" i="37"/>
  <c r="BW51" i="37"/>
  <c r="BV87" i="37"/>
  <c r="BU87" i="37"/>
  <c r="BW87" i="37"/>
  <c r="BV114" i="37"/>
  <c r="BU114" i="37"/>
  <c r="BW114" i="37"/>
  <c r="BV15" i="38"/>
  <c r="BU15" i="38"/>
  <c r="BW15" i="38"/>
  <c r="BU31" i="38"/>
  <c r="BW31" i="38"/>
  <c r="BV31" i="38"/>
  <c r="BU73" i="38"/>
  <c r="BW73" i="38"/>
  <c r="BV73" i="38"/>
  <c r="BU108" i="38"/>
  <c r="BW108" i="38"/>
  <c r="BV108" i="38"/>
  <c r="BU121" i="38"/>
  <c r="BW121" i="38"/>
  <c r="BV121" i="38"/>
  <c r="BW12" i="35"/>
  <c r="BV12" i="35"/>
  <c r="BU12" i="35"/>
  <c r="BW24" i="37"/>
  <c r="BV24" i="37"/>
  <c r="BU24" i="37"/>
  <c r="BW52" i="37"/>
  <c r="BV52" i="37"/>
  <c r="BU52" i="37"/>
  <c r="BW88" i="37"/>
  <c r="BV88" i="37"/>
  <c r="BU88" i="37"/>
  <c r="BW115" i="37"/>
  <c r="BV115" i="37"/>
  <c r="BU115" i="37"/>
  <c r="BU16" i="38"/>
  <c r="BW16" i="38"/>
  <c r="BV16" i="38"/>
  <c r="BV46" i="38"/>
  <c r="BU46" i="38"/>
  <c r="BW46" i="38"/>
  <c r="BV74" i="38"/>
  <c r="BU74" i="38"/>
  <c r="BW74" i="38"/>
  <c r="BV109" i="38"/>
  <c r="BU109" i="38"/>
  <c r="BW109" i="38"/>
  <c r="BV122" i="38"/>
  <c r="BU122" i="38"/>
  <c r="BW122" i="38"/>
  <c r="BW13" i="35"/>
  <c r="BV13" i="35"/>
  <c r="BU13" i="35"/>
  <c r="BV28" i="35"/>
  <c r="BW28" i="35"/>
  <c r="BU28" i="35"/>
  <c r="BW56" i="35"/>
  <c r="BV56" i="35"/>
  <c r="BU56" i="35"/>
  <c r="BW107" i="35"/>
  <c r="BV107" i="35"/>
  <c r="BU107" i="35"/>
  <c r="BW119" i="35"/>
  <c r="BV119" i="35"/>
  <c r="BU119" i="35"/>
  <c r="BU11" i="37"/>
  <c r="BV11" i="37"/>
  <c r="BW11" i="37"/>
  <c r="BW53" i="37"/>
  <c r="BV53" i="37"/>
  <c r="BU53" i="37"/>
  <c r="P89" i="37"/>
  <c r="BW89" i="37"/>
  <c r="BV89" i="37"/>
  <c r="BU89" i="37"/>
  <c r="BW116" i="37"/>
  <c r="BV116" i="37"/>
  <c r="BU116" i="37"/>
  <c r="BV17" i="38"/>
  <c r="BU17" i="38"/>
  <c r="BW17" i="38"/>
  <c r="BU47" i="38"/>
  <c r="BW47" i="38"/>
  <c r="BV47" i="38"/>
  <c r="BU75" i="38"/>
  <c r="BW75" i="38"/>
  <c r="BV75" i="38"/>
  <c r="BU110" i="38"/>
  <c r="BW110" i="38"/>
  <c r="BV110" i="38"/>
  <c r="BU123" i="38"/>
  <c r="BV123" i="38"/>
  <c r="BW123" i="38"/>
  <c r="BW115" i="35"/>
  <c r="BV115" i="35"/>
  <c r="BU115" i="35"/>
  <c r="BW25" i="35"/>
  <c r="BV25" i="35"/>
  <c r="BU25" i="35"/>
  <c r="BW14" i="35"/>
  <c r="BV14" i="35"/>
  <c r="BU14" i="35"/>
  <c r="BW31" i="35"/>
  <c r="BV31" i="35"/>
  <c r="BU31" i="35"/>
  <c r="BW73" i="35"/>
  <c r="BV73" i="35"/>
  <c r="BU73" i="35"/>
  <c r="BW108" i="35"/>
  <c r="BV108" i="35"/>
  <c r="BU108" i="35"/>
  <c r="BW121" i="35"/>
  <c r="BV121" i="35"/>
  <c r="BU121" i="35"/>
  <c r="BV12" i="37"/>
  <c r="BU12" i="37"/>
  <c r="BW12" i="37"/>
  <c r="BW54" i="37"/>
  <c r="BV54" i="37"/>
  <c r="BU54" i="37"/>
  <c r="BW90" i="37"/>
  <c r="BV90" i="37"/>
  <c r="BU90" i="37"/>
  <c r="BW117" i="37"/>
  <c r="BV117" i="37"/>
  <c r="BU117" i="37"/>
  <c r="BU18" i="38"/>
  <c r="BW18" i="38"/>
  <c r="BV18" i="38"/>
  <c r="BV48" i="38"/>
  <c r="BU48" i="38"/>
  <c r="BW48" i="38"/>
  <c r="W76" i="38"/>
  <c r="BV76" i="38"/>
  <c r="BU76" i="38"/>
  <c r="BW76" i="38"/>
  <c r="BV111" i="38"/>
  <c r="BU111" i="38"/>
  <c r="BW111" i="38"/>
  <c r="BV124" i="38"/>
  <c r="BU124" i="38"/>
  <c r="BW124" i="38"/>
  <c r="BW15" i="35"/>
  <c r="BV15" i="35"/>
  <c r="BU15" i="35"/>
  <c r="BW46" i="35"/>
  <c r="BU46" i="35"/>
  <c r="BV46" i="35"/>
  <c r="BW74" i="35"/>
  <c r="BU74" i="35"/>
  <c r="BV74" i="35"/>
  <c r="BV109" i="35"/>
  <c r="BU109" i="35"/>
  <c r="BW109" i="35"/>
  <c r="BU122" i="35"/>
  <c r="BV122" i="35"/>
  <c r="BW122" i="35"/>
  <c r="BU13" i="37"/>
  <c r="BW13" i="37"/>
  <c r="BV13" i="37"/>
  <c r="BW25" i="37"/>
  <c r="BU25" i="37"/>
  <c r="BV25" i="37"/>
  <c r="BW55" i="37"/>
  <c r="BU55" i="37"/>
  <c r="BV55" i="37"/>
  <c r="BW95" i="37"/>
  <c r="BV95" i="37"/>
  <c r="BU95" i="37"/>
  <c r="BW118" i="37"/>
  <c r="BU118" i="37"/>
  <c r="BV118" i="37"/>
  <c r="BV19" i="38"/>
  <c r="BU19" i="38"/>
  <c r="BW19" i="38"/>
  <c r="BU49" i="38"/>
  <c r="BW49" i="38"/>
  <c r="BV49" i="38"/>
  <c r="W81" i="38"/>
  <c r="BU81" i="38"/>
  <c r="BW81" i="38"/>
  <c r="BV81" i="38"/>
  <c r="BU112" i="38"/>
  <c r="BW112" i="38"/>
  <c r="BV112" i="38"/>
  <c r="BU125" i="38"/>
  <c r="BW125" i="38"/>
  <c r="BV125" i="38"/>
  <c r="BV14" i="37"/>
  <c r="BU14" i="37"/>
  <c r="BW14" i="37"/>
  <c r="BW28" i="37"/>
  <c r="BV28" i="37"/>
  <c r="BU28" i="37"/>
  <c r="BW56" i="37"/>
  <c r="BV56" i="37"/>
  <c r="BU56" i="37"/>
  <c r="BW107" i="37"/>
  <c r="BV107" i="37"/>
  <c r="BU107" i="37"/>
  <c r="BW119" i="37"/>
  <c r="BV119" i="37"/>
  <c r="BU119" i="37"/>
  <c r="BV50" i="38"/>
  <c r="BU50" i="38"/>
  <c r="BW50" i="38"/>
  <c r="BV86" i="38"/>
  <c r="BU86" i="38"/>
  <c r="BW86" i="38"/>
  <c r="BV113" i="38"/>
  <c r="BU113" i="38"/>
  <c r="BW113" i="38"/>
  <c r="BV126" i="38"/>
  <c r="BU126" i="38"/>
  <c r="BW126" i="38"/>
  <c r="BV52" i="35"/>
  <c r="BW52" i="35"/>
  <c r="BU52" i="35"/>
  <c r="W81" i="37"/>
  <c r="BW81" i="37"/>
  <c r="BV81" i="37"/>
  <c r="BU81" i="37"/>
  <c r="BU95" i="38"/>
  <c r="BV95" i="38"/>
  <c r="BW95" i="38"/>
  <c r="BW95" i="35"/>
  <c r="BV95" i="35"/>
  <c r="BU95" i="35"/>
  <c r="BW16" i="35"/>
  <c r="BV16" i="35"/>
  <c r="BU16" i="35"/>
  <c r="BW110" i="35"/>
  <c r="BV110" i="35"/>
  <c r="BU110" i="35"/>
  <c r="BU17" i="35"/>
  <c r="BW17" i="35"/>
  <c r="BV17" i="35"/>
  <c r="BW48" i="35"/>
  <c r="BV48" i="35"/>
  <c r="BU48" i="35"/>
  <c r="BV76" i="35"/>
  <c r="BW76" i="35"/>
  <c r="BU76" i="35"/>
  <c r="BU111" i="35"/>
  <c r="BW111" i="35"/>
  <c r="BV111" i="35"/>
  <c r="BW124" i="35"/>
  <c r="BV124" i="35"/>
  <c r="BU124" i="35"/>
  <c r="BU15" i="37"/>
  <c r="BV15" i="37"/>
  <c r="BW15" i="37"/>
  <c r="BU31" i="37"/>
  <c r="BW31" i="37"/>
  <c r="BV31" i="37"/>
  <c r="BU73" i="37"/>
  <c r="BW73" i="37"/>
  <c r="BV73" i="37"/>
  <c r="BU108" i="37"/>
  <c r="BW108" i="37"/>
  <c r="BV108" i="37"/>
  <c r="BU121" i="37"/>
  <c r="BV121" i="37"/>
  <c r="BW121" i="37"/>
  <c r="BV20" i="38"/>
  <c r="BU20" i="38"/>
  <c r="BW20" i="38"/>
  <c r="BU51" i="38"/>
  <c r="BV51" i="38"/>
  <c r="BW51" i="38"/>
  <c r="BU87" i="38"/>
  <c r="BW87" i="38"/>
  <c r="BV87" i="38"/>
  <c r="BU114" i="38"/>
  <c r="BV114" i="38"/>
  <c r="BW114" i="38"/>
  <c r="W24" i="35"/>
  <c r="BW24" i="35"/>
  <c r="BV24" i="35"/>
  <c r="BU24" i="35"/>
  <c r="BW125" i="37"/>
  <c r="BV125" i="37"/>
  <c r="BU125" i="37"/>
  <c r="BW118" i="35"/>
  <c r="BV118" i="35"/>
  <c r="BU118" i="35"/>
  <c r="BW75" i="35"/>
  <c r="BV75" i="35"/>
  <c r="BU75" i="35"/>
  <c r="BW123" i="1"/>
  <c r="BV123" i="1"/>
  <c r="BU123" i="1"/>
  <c r="BW122" i="1"/>
  <c r="BV122" i="1"/>
  <c r="BU122" i="1"/>
  <c r="BW18" i="35"/>
  <c r="BV18" i="35"/>
  <c r="BU18" i="35"/>
  <c r="BW49" i="35"/>
  <c r="BV49" i="35"/>
  <c r="BU49" i="35"/>
  <c r="BW81" i="35"/>
  <c r="BV81" i="35"/>
  <c r="BU81" i="35"/>
  <c r="BW112" i="35"/>
  <c r="BV112" i="35"/>
  <c r="BU112" i="35"/>
  <c r="BW125" i="35"/>
  <c r="BV125" i="35"/>
  <c r="BU125" i="35"/>
  <c r="BV16" i="37"/>
  <c r="BU16" i="37"/>
  <c r="BW16" i="37"/>
  <c r="BW46" i="37"/>
  <c r="BV46" i="37"/>
  <c r="BU46" i="37"/>
  <c r="BW74" i="37"/>
  <c r="BV74" i="37"/>
  <c r="BU74" i="37"/>
  <c r="BW109" i="37"/>
  <c r="BV109" i="37"/>
  <c r="BU109" i="37"/>
  <c r="BW122" i="37"/>
  <c r="BV122" i="37"/>
  <c r="BU122" i="37"/>
  <c r="W24" i="38"/>
  <c r="BV24" i="38"/>
  <c r="BU24" i="38"/>
  <c r="BW24" i="38"/>
  <c r="BV52" i="38"/>
  <c r="BU52" i="38"/>
  <c r="BW52" i="38"/>
  <c r="BV88" i="38"/>
  <c r="BU88" i="38"/>
  <c r="BW88" i="38"/>
  <c r="BV115" i="38"/>
  <c r="BU115" i="38"/>
  <c r="BW115" i="38"/>
  <c r="BW124" i="1"/>
  <c r="BV124" i="1"/>
  <c r="BU124" i="1"/>
  <c r="BW19" i="35"/>
  <c r="BU19" i="35"/>
  <c r="BV19" i="35"/>
  <c r="BW50" i="35"/>
  <c r="BV50" i="35"/>
  <c r="BU50" i="35"/>
  <c r="BW86" i="35"/>
  <c r="BV86" i="35"/>
  <c r="BU86" i="35"/>
  <c r="BU113" i="35"/>
  <c r="BW113" i="35"/>
  <c r="BV113" i="35"/>
  <c r="BV126" i="35"/>
  <c r="BU126" i="35"/>
  <c r="BW126" i="35"/>
  <c r="BU17" i="37"/>
  <c r="BW17" i="37"/>
  <c r="BV17" i="37"/>
  <c r="BW47" i="37"/>
  <c r="BU47" i="37"/>
  <c r="BV47" i="37"/>
  <c r="BW75" i="37"/>
  <c r="BV75" i="37"/>
  <c r="BU75" i="37"/>
  <c r="BW110" i="37"/>
  <c r="BU110" i="37"/>
  <c r="BV110" i="37"/>
  <c r="BW123" i="37"/>
  <c r="BV123" i="37"/>
  <c r="BU123" i="37"/>
  <c r="BV11" i="38"/>
  <c r="BU11" i="38"/>
  <c r="BW11" i="38"/>
  <c r="BU53" i="38"/>
  <c r="BW53" i="38"/>
  <c r="BV53" i="38"/>
  <c r="BU89" i="38"/>
  <c r="BW89" i="38"/>
  <c r="BV89" i="38"/>
  <c r="BU116" i="38"/>
  <c r="BW116" i="38"/>
  <c r="BV116" i="38"/>
  <c r="BW125" i="1"/>
  <c r="BV125" i="1"/>
  <c r="BU125" i="1"/>
  <c r="O49" i="37"/>
  <c r="BW49" i="37"/>
  <c r="BV49" i="37"/>
  <c r="BU49" i="37"/>
  <c r="BV112" i="37"/>
  <c r="BW112" i="37"/>
  <c r="BU112" i="37"/>
  <c r="BV13" i="38"/>
  <c r="BU13" i="38"/>
  <c r="BW13" i="38"/>
  <c r="BU55" i="38"/>
  <c r="BW55" i="38"/>
  <c r="BV55" i="38"/>
  <c r="BW55" i="35"/>
  <c r="BV55" i="35"/>
  <c r="BU55" i="35"/>
  <c r="BU121" i="1"/>
  <c r="BW121" i="1"/>
  <c r="BV121" i="1"/>
  <c r="BW47" i="35"/>
  <c r="BV47" i="35"/>
  <c r="BU47" i="35"/>
  <c r="BW123" i="35"/>
  <c r="BV123" i="35"/>
  <c r="BU123" i="35"/>
  <c r="BW126" i="1"/>
  <c r="BV126" i="1"/>
  <c r="BU126" i="1"/>
  <c r="BV20" i="35"/>
  <c r="BU20" i="35"/>
  <c r="BW20" i="35"/>
  <c r="BW51" i="35"/>
  <c r="BV51" i="35"/>
  <c r="BU51" i="35"/>
  <c r="BW87" i="35"/>
  <c r="BV87" i="35"/>
  <c r="BU87" i="35"/>
  <c r="BW114" i="35"/>
  <c r="BV114" i="35"/>
  <c r="BU114" i="35"/>
  <c r="Q89" i="37"/>
  <c r="BV18" i="37"/>
  <c r="BU18" i="37"/>
  <c r="BW18" i="37"/>
  <c r="BW48" i="37"/>
  <c r="BV48" i="37"/>
  <c r="BU48" i="37"/>
  <c r="BW76" i="37"/>
  <c r="BV76" i="37"/>
  <c r="BU76" i="37"/>
  <c r="BW111" i="37"/>
  <c r="BV111" i="37"/>
  <c r="BU111" i="37"/>
  <c r="BW124" i="37"/>
  <c r="BV124" i="37"/>
  <c r="BU124" i="37"/>
  <c r="BU12" i="38"/>
  <c r="BW12" i="38"/>
  <c r="BV12" i="38"/>
  <c r="BV54" i="38"/>
  <c r="BU54" i="38"/>
  <c r="BW54" i="38"/>
  <c r="BV90" i="38"/>
  <c r="BU90" i="38"/>
  <c r="BW90" i="38"/>
  <c r="BV117" i="38"/>
  <c r="BU117" i="38"/>
  <c r="BW117" i="38"/>
  <c r="P48" i="35"/>
  <c r="R111" i="35"/>
  <c r="S111" i="35" s="1"/>
  <c r="O89" i="37"/>
  <c r="R88" i="35"/>
  <c r="S88" i="35" s="1"/>
  <c r="Q86" i="37"/>
  <c r="T86" i="37" s="1"/>
  <c r="U86" i="37" s="1"/>
  <c r="P74" i="38"/>
  <c r="O113" i="38"/>
  <c r="R86" i="38"/>
  <c r="S86" i="38" s="1"/>
  <c r="P109" i="38"/>
  <c r="R76" i="35"/>
  <c r="R115" i="35"/>
  <c r="S115" i="35" s="1"/>
  <c r="R112" i="37"/>
  <c r="S112" i="37" s="1"/>
  <c r="Q109" i="38"/>
  <c r="T109" i="38" s="1"/>
  <c r="U109" i="38" s="1"/>
  <c r="Q107" i="38"/>
  <c r="T107" i="38" s="1"/>
  <c r="U107" i="38" s="1"/>
  <c r="R115" i="38"/>
  <c r="S115" i="38" s="1"/>
  <c r="R109" i="38"/>
  <c r="S109" i="38" s="1"/>
  <c r="O87" i="38"/>
  <c r="Q90" i="35"/>
  <c r="T90" i="35" s="1"/>
  <c r="U90" i="35" s="1"/>
  <c r="P73" i="37"/>
  <c r="R116" i="38"/>
  <c r="S116" i="38" s="1"/>
  <c r="P86" i="37"/>
  <c r="Q76" i="37"/>
  <c r="AB76" i="37" s="1"/>
  <c r="R108" i="38"/>
  <c r="S108" i="38" s="1"/>
  <c r="R73" i="38"/>
  <c r="S73" i="38" s="1"/>
  <c r="O109" i="38"/>
  <c r="R54" i="37"/>
  <c r="S54" i="37" s="1"/>
  <c r="R56" i="38"/>
  <c r="S56" i="38" s="1"/>
  <c r="Q74" i="38"/>
  <c r="AB74" i="38" s="1"/>
  <c r="R54" i="35"/>
  <c r="S54" i="35" s="1"/>
  <c r="R117" i="35"/>
  <c r="S117" i="35" s="1"/>
  <c r="P116" i="38"/>
  <c r="Q88" i="38"/>
  <c r="T88" i="38" s="1"/>
  <c r="U88" i="38" s="1"/>
  <c r="O73" i="38"/>
  <c r="P76" i="37"/>
  <c r="R107" i="37"/>
  <c r="S107" i="37" s="1"/>
  <c r="O108" i="38"/>
  <c r="Q116" i="38"/>
  <c r="Q108" i="38"/>
  <c r="T108" i="38" s="1"/>
  <c r="U108" i="38" s="1"/>
  <c r="O116" i="38"/>
  <c r="R48" i="37"/>
  <c r="S48" i="37" s="1"/>
  <c r="O56" i="37"/>
  <c r="R86" i="37"/>
  <c r="O86" i="37"/>
  <c r="R89" i="38"/>
  <c r="S89" i="38" s="1"/>
  <c r="P122" i="38"/>
  <c r="Q126" i="38"/>
  <c r="T126" i="38" s="1"/>
  <c r="U126" i="38" s="1"/>
  <c r="R121" i="38"/>
  <c r="S121" i="38" s="1"/>
  <c r="Q46" i="38"/>
  <c r="T46" i="38" s="1"/>
  <c r="U46" i="38" s="1"/>
  <c r="R76" i="38"/>
  <c r="W76" i="37"/>
  <c r="Q48" i="35"/>
  <c r="T48" i="35" s="1"/>
  <c r="U48" i="35" s="1"/>
  <c r="R76" i="37"/>
  <c r="R119" i="35"/>
  <c r="R126" i="37"/>
  <c r="S126" i="37" s="1"/>
  <c r="P124" i="37"/>
  <c r="Q88" i="35"/>
  <c r="O50" i="37"/>
  <c r="R48" i="35"/>
  <c r="S48" i="35" s="1"/>
  <c r="R112" i="35"/>
  <c r="S112" i="35" s="1"/>
  <c r="R86" i="35"/>
  <c r="S86" i="35" s="1"/>
  <c r="O113" i="37"/>
  <c r="R115" i="37"/>
  <c r="S115" i="37" s="1"/>
  <c r="O81" i="37"/>
  <c r="O112" i="37"/>
  <c r="Q81" i="37"/>
  <c r="P112" i="37"/>
  <c r="Q76" i="38"/>
  <c r="AB76" i="38" s="1"/>
  <c r="R88" i="38"/>
  <c r="P108" i="38"/>
  <c r="Q49" i="35"/>
  <c r="T49" i="35" s="1"/>
  <c r="U49" i="35" s="1"/>
  <c r="R89" i="35"/>
  <c r="S89" i="35" s="1"/>
  <c r="O76" i="37"/>
  <c r="R81" i="37"/>
  <c r="R126" i="38"/>
  <c r="S126" i="38" s="1"/>
  <c r="O125" i="38"/>
  <c r="Q47" i="38"/>
  <c r="T47" i="38" s="1"/>
  <c r="U47" i="38" s="1"/>
  <c r="P16" i="38"/>
  <c r="O53" i="35"/>
  <c r="R19" i="37"/>
  <c r="S19" i="37" s="1"/>
  <c r="R124" i="37"/>
  <c r="S124" i="37" s="1"/>
  <c r="O46" i="38"/>
  <c r="Q53" i="37"/>
  <c r="T53" i="37" s="1"/>
  <c r="U53" i="37" s="1"/>
  <c r="O124" i="38"/>
  <c r="P20" i="37"/>
  <c r="P13" i="35"/>
  <c r="R20" i="37"/>
  <c r="P125" i="37"/>
  <c r="O126" i="37"/>
  <c r="Q31" i="38"/>
  <c r="AB31" i="38" s="1"/>
  <c r="P46" i="38"/>
  <c r="R118" i="38"/>
  <c r="S118" i="38" s="1"/>
  <c r="R55" i="38"/>
  <c r="S55" i="38" s="1"/>
  <c r="R49" i="38"/>
  <c r="S49" i="38" s="1"/>
  <c r="Q87" i="37"/>
  <c r="T87" i="37" s="1"/>
  <c r="U87" i="37" s="1"/>
  <c r="R117" i="38"/>
  <c r="S117" i="38" s="1"/>
  <c r="Q111" i="38"/>
  <c r="T111" i="38" s="1"/>
  <c r="U111" i="38" s="1"/>
  <c r="P90" i="38"/>
  <c r="P47" i="38"/>
  <c r="P17" i="35"/>
  <c r="Q123" i="38"/>
  <c r="T123" i="38" s="1"/>
  <c r="U123" i="38" s="1"/>
  <c r="Q121" i="38"/>
  <c r="O54" i="37"/>
  <c r="R90" i="37"/>
  <c r="S90" i="37" s="1"/>
  <c r="R117" i="37"/>
  <c r="S117" i="37" s="1"/>
  <c r="R89" i="37"/>
  <c r="S89" i="37" s="1"/>
  <c r="R48" i="38"/>
  <c r="S48" i="38" s="1"/>
  <c r="P76" i="38"/>
  <c r="R88" i="37"/>
  <c r="S88" i="37" s="1"/>
  <c r="R81" i="38"/>
  <c r="P74" i="37"/>
  <c r="R109" i="37"/>
  <c r="S109" i="37" s="1"/>
  <c r="O76" i="38"/>
  <c r="P125" i="38"/>
  <c r="R87" i="37"/>
  <c r="S87" i="37" s="1"/>
  <c r="Q117" i="38"/>
  <c r="R54" i="38"/>
  <c r="S54" i="38" s="1"/>
  <c r="R107" i="35"/>
  <c r="S107" i="35" s="1"/>
  <c r="P115" i="37"/>
  <c r="P113" i="38"/>
  <c r="P95" i="38"/>
  <c r="P107" i="37"/>
  <c r="R108" i="35"/>
  <c r="S108" i="35" s="1"/>
  <c r="R112" i="38"/>
  <c r="S112" i="38" s="1"/>
  <c r="R20" i="38"/>
  <c r="O86" i="38"/>
  <c r="P86" i="38"/>
  <c r="R111" i="38"/>
  <c r="S111" i="38" s="1"/>
  <c r="R119" i="38"/>
  <c r="R107" i="38"/>
  <c r="S107" i="38" s="1"/>
  <c r="R109" i="35"/>
  <c r="S109" i="35" s="1"/>
  <c r="Q16" i="37"/>
  <c r="Q86" i="38"/>
  <c r="R24" i="37"/>
  <c r="R46" i="38"/>
  <c r="O121" i="38"/>
  <c r="R121" i="35"/>
  <c r="S121" i="35" s="1"/>
  <c r="R31" i="38"/>
  <c r="S31" i="38" s="1"/>
  <c r="R47" i="38"/>
  <c r="S47" i="38" s="1"/>
  <c r="P121" i="38"/>
  <c r="Q17" i="37"/>
  <c r="T17" i="37" s="1"/>
  <c r="U17" i="37" s="1"/>
  <c r="R46" i="37"/>
  <c r="S46" i="37" s="1"/>
  <c r="P52" i="38"/>
  <c r="P124" i="38"/>
  <c r="Q28" i="35"/>
  <c r="AB28" i="35" s="1"/>
  <c r="Q25" i="38"/>
  <c r="T25" i="38" s="1"/>
  <c r="U25" i="38" s="1"/>
  <c r="O24" i="37"/>
  <c r="P18" i="38"/>
  <c r="O31" i="38"/>
  <c r="R53" i="38"/>
  <c r="S53" i="38" s="1"/>
  <c r="R13" i="38"/>
  <c r="S13" i="38" s="1"/>
  <c r="O124" i="37"/>
  <c r="P31" i="38"/>
  <c r="R53" i="35"/>
  <c r="S53" i="35" s="1"/>
  <c r="R17" i="35"/>
  <c r="S17" i="35" s="1"/>
  <c r="Q124" i="37"/>
  <c r="Q125" i="37"/>
  <c r="T125" i="37" s="1"/>
  <c r="U125" i="37" s="1"/>
  <c r="R14" i="38"/>
  <c r="S14" i="38" s="1"/>
  <c r="P31" i="35"/>
  <c r="O24" i="35"/>
  <c r="O53" i="38"/>
  <c r="R125" i="38"/>
  <c r="S125" i="38" s="1"/>
  <c r="R16" i="37"/>
  <c r="S16" i="37" s="1"/>
  <c r="Q20" i="38"/>
  <c r="O122" i="38"/>
  <c r="R11" i="38"/>
  <c r="S11" i="38" s="1"/>
  <c r="R52" i="38"/>
  <c r="S52" i="38" s="1"/>
  <c r="O126" i="38"/>
  <c r="O12" i="35"/>
  <c r="R11" i="37"/>
  <c r="S11" i="37" s="1"/>
  <c r="P53" i="37"/>
  <c r="O47" i="38"/>
  <c r="P126" i="38"/>
  <c r="Q19" i="38"/>
  <c r="T19" i="38" s="1"/>
  <c r="U19" i="38" s="1"/>
  <c r="R124" i="38"/>
  <c r="S124" i="38" s="1"/>
  <c r="R28" i="38"/>
  <c r="Q46" i="35"/>
  <c r="T46" i="35" s="1"/>
  <c r="U46" i="35" s="1"/>
  <c r="R15" i="37"/>
  <c r="S15" i="37" s="1"/>
  <c r="O121" i="37"/>
  <c r="Q11" i="35"/>
  <c r="T11" i="35" s="1"/>
  <c r="U11" i="35" s="1"/>
  <c r="R126" i="1"/>
  <c r="S126" i="1" s="1"/>
  <c r="R87" i="35"/>
  <c r="S87" i="35" s="1"/>
  <c r="P118" i="38"/>
  <c r="P122" i="37"/>
  <c r="Q125" i="38"/>
  <c r="R121" i="1"/>
  <c r="S121" i="1" s="1"/>
  <c r="P28" i="35"/>
  <c r="R81" i="35"/>
  <c r="P121" i="37"/>
  <c r="O12" i="38"/>
  <c r="P13" i="38"/>
  <c r="O24" i="38"/>
  <c r="O89" i="38"/>
  <c r="O95" i="38"/>
  <c r="O112" i="38"/>
  <c r="P119" i="38"/>
  <c r="Q124" i="38"/>
  <c r="T124" i="38" s="1"/>
  <c r="U124" i="38" s="1"/>
  <c r="R110" i="38"/>
  <c r="S110" i="38" s="1"/>
  <c r="R75" i="38"/>
  <c r="S75" i="38" s="1"/>
  <c r="R118" i="35"/>
  <c r="S118" i="35" s="1"/>
  <c r="R55" i="35"/>
  <c r="S55" i="35" s="1"/>
  <c r="O14" i="35"/>
  <c r="Q81" i="35"/>
  <c r="P13" i="37"/>
  <c r="R52" i="37"/>
  <c r="S52" i="37" s="1"/>
  <c r="R121" i="37"/>
  <c r="S121" i="37" s="1"/>
  <c r="P24" i="38"/>
  <c r="P28" i="38"/>
  <c r="O81" i="38"/>
  <c r="P89" i="38"/>
  <c r="P112" i="38"/>
  <c r="O115" i="38"/>
  <c r="Q119" i="38"/>
  <c r="T119" i="38" s="1"/>
  <c r="U119" i="38" s="1"/>
  <c r="P123" i="38"/>
  <c r="O109" i="37"/>
  <c r="O117" i="37"/>
  <c r="O25" i="38"/>
  <c r="Q28" i="38"/>
  <c r="T28" i="38" s="1"/>
  <c r="U28" i="38" s="1"/>
  <c r="Q89" i="38"/>
  <c r="Q112" i="38"/>
  <c r="P115" i="38"/>
  <c r="P118" i="37"/>
  <c r="R55" i="37"/>
  <c r="S55" i="37" s="1"/>
  <c r="O20" i="35"/>
  <c r="R46" i="35"/>
  <c r="R49" i="35"/>
  <c r="S49" i="35" s="1"/>
  <c r="P28" i="37"/>
  <c r="O73" i="37"/>
  <c r="O88" i="37"/>
  <c r="P109" i="37"/>
  <c r="P117" i="37"/>
  <c r="R24" i="38"/>
  <c r="P25" i="38"/>
  <c r="P53" i="38"/>
  <c r="Q81" i="38"/>
  <c r="Q115" i="38"/>
  <c r="T115" i="38" s="1"/>
  <c r="U115" i="38" s="1"/>
  <c r="O117" i="38"/>
  <c r="Q19" i="35"/>
  <c r="T19" i="35" s="1"/>
  <c r="U19" i="35" s="1"/>
  <c r="Q12" i="35"/>
  <c r="T12" i="35" s="1"/>
  <c r="U12" i="35" s="1"/>
  <c r="P24" i="35"/>
  <c r="P49" i="35"/>
  <c r="O17" i="37"/>
  <c r="P88" i="37"/>
  <c r="Q53" i="38"/>
  <c r="O107" i="38"/>
  <c r="O111" i="38"/>
  <c r="P117" i="38"/>
  <c r="R87" i="38"/>
  <c r="S87" i="38" s="1"/>
  <c r="R110" i="35"/>
  <c r="S110" i="35" s="1"/>
  <c r="R18" i="35"/>
  <c r="S18" i="35" s="1"/>
  <c r="Q86" i="35"/>
  <c r="R74" i="35"/>
  <c r="S74" i="35" s="1"/>
  <c r="P122" i="35"/>
  <c r="P46" i="37"/>
  <c r="P54" i="37"/>
  <c r="Q88" i="37"/>
  <c r="T88" i="37" s="1"/>
  <c r="U88" i="37" s="1"/>
  <c r="R21" i="38"/>
  <c r="O88" i="38"/>
  <c r="P107" i="38"/>
  <c r="P111" i="38"/>
  <c r="R25" i="38"/>
  <c r="S25" i="38" s="1"/>
  <c r="O52" i="38"/>
  <c r="P88" i="38"/>
  <c r="P110" i="37"/>
  <c r="R125" i="1"/>
  <c r="S125" i="1" s="1"/>
  <c r="R90" i="35"/>
  <c r="Q24" i="37"/>
  <c r="Q87" i="35"/>
  <c r="T87" i="35" s="1"/>
  <c r="U87" i="35" s="1"/>
  <c r="Q21" i="35"/>
  <c r="T21" i="35" s="1"/>
  <c r="U21" i="35" s="1"/>
  <c r="Q75" i="35"/>
  <c r="P123" i="35"/>
  <c r="R47" i="35"/>
  <c r="S47" i="35" s="1"/>
  <c r="P87" i="38"/>
  <c r="Q87" i="38"/>
  <c r="O110" i="38"/>
  <c r="O118" i="38"/>
  <c r="P110" i="38"/>
  <c r="Q75" i="38"/>
  <c r="O123" i="38"/>
  <c r="Q110" i="38"/>
  <c r="T110" i="38" s="1"/>
  <c r="U110" i="38" s="1"/>
  <c r="Q118" i="38"/>
  <c r="R74" i="38"/>
  <c r="S74" i="38" s="1"/>
  <c r="Q90" i="38"/>
  <c r="T90" i="38" s="1"/>
  <c r="U90" i="38" s="1"/>
  <c r="Q113" i="38"/>
  <c r="T113" i="38" s="1"/>
  <c r="U113" i="38" s="1"/>
  <c r="Q122" i="38"/>
  <c r="R90" i="38"/>
  <c r="S90" i="38" s="1"/>
  <c r="Q95" i="38"/>
  <c r="R113" i="38"/>
  <c r="S113" i="38" s="1"/>
  <c r="O114" i="38"/>
  <c r="R122" i="38"/>
  <c r="S122" i="38" s="1"/>
  <c r="R123" i="38"/>
  <c r="S123" i="38" s="1"/>
  <c r="P114" i="38"/>
  <c r="R51" i="38"/>
  <c r="S51" i="38" s="1"/>
  <c r="R95" i="38"/>
  <c r="S95" i="38" s="1"/>
  <c r="Q114" i="38"/>
  <c r="O75" i="38"/>
  <c r="R114" i="38"/>
  <c r="S114" i="38" s="1"/>
  <c r="R50" i="38"/>
  <c r="S50" i="38" s="1"/>
  <c r="O74" i="38"/>
  <c r="P75" i="38"/>
  <c r="O90" i="38"/>
  <c r="O55" i="37"/>
  <c r="O110" i="37"/>
  <c r="P55" i="37"/>
  <c r="O118" i="37"/>
  <c r="O87" i="37"/>
  <c r="R51" i="37"/>
  <c r="S51" i="37" s="1"/>
  <c r="O75" i="37"/>
  <c r="R95" i="37"/>
  <c r="S95" i="37" s="1"/>
  <c r="P114" i="37"/>
  <c r="P87" i="37"/>
  <c r="P47" i="37"/>
  <c r="Q75" i="37"/>
  <c r="T75" i="37" s="1"/>
  <c r="U75" i="37" s="1"/>
  <c r="R114" i="37"/>
  <c r="S114" i="37" s="1"/>
  <c r="P25" i="37"/>
  <c r="P95" i="37"/>
  <c r="O18" i="37"/>
  <c r="O51" i="37"/>
  <c r="O74" i="37"/>
  <c r="Q51" i="37"/>
  <c r="T51" i="37" s="1"/>
  <c r="U51" i="37" s="1"/>
  <c r="O90" i="37"/>
  <c r="Q74" i="37"/>
  <c r="P90" i="37"/>
  <c r="R74" i="37"/>
  <c r="S74" i="37" s="1"/>
  <c r="Q90" i="37"/>
  <c r="Q28" i="37"/>
  <c r="O28" i="37"/>
  <c r="R21" i="37"/>
  <c r="P21" i="37"/>
  <c r="R28" i="37"/>
  <c r="O31" i="37"/>
  <c r="Q48" i="37"/>
  <c r="P48" i="37"/>
  <c r="O48" i="37"/>
  <c r="Q20" i="37"/>
  <c r="O20" i="37"/>
  <c r="R25" i="37"/>
  <c r="S25" i="37" s="1"/>
  <c r="R47" i="37"/>
  <c r="S47" i="37" s="1"/>
  <c r="Q11" i="37"/>
  <c r="P11" i="37"/>
  <c r="O11" i="37"/>
  <c r="R13" i="37"/>
  <c r="S13" i="37" s="1"/>
  <c r="R31" i="37"/>
  <c r="S31" i="37" s="1"/>
  <c r="P31" i="37"/>
  <c r="Q56" i="37"/>
  <c r="T56" i="37" s="1"/>
  <c r="U56" i="37" s="1"/>
  <c r="P56" i="37"/>
  <c r="R56" i="37"/>
  <c r="S56" i="37" s="1"/>
  <c r="Q13" i="37"/>
  <c r="T13" i="37" s="1"/>
  <c r="U13" i="37" s="1"/>
  <c r="R18" i="37"/>
  <c r="S18" i="37" s="1"/>
  <c r="R14" i="37"/>
  <c r="S14" i="37" s="1"/>
  <c r="P14" i="37"/>
  <c r="Q19" i="37"/>
  <c r="O19" i="37"/>
  <c r="P19" i="37"/>
  <c r="O25" i="37"/>
  <c r="Q31" i="37"/>
  <c r="Q46" i="37"/>
  <c r="O46" i="37"/>
  <c r="O47" i="37"/>
  <c r="Q52" i="37"/>
  <c r="Q116" i="37"/>
  <c r="R123" i="37"/>
  <c r="S123" i="37" s="1"/>
  <c r="Q123" i="37"/>
  <c r="O123" i="37"/>
  <c r="R12" i="37"/>
  <c r="S12" i="37" s="1"/>
  <c r="P49" i="37"/>
  <c r="Q107" i="37"/>
  <c r="Q14" i="37"/>
  <c r="T14" i="37" s="1"/>
  <c r="U14" i="37" s="1"/>
  <c r="O16" i="37"/>
  <c r="R17" i="37"/>
  <c r="S17" i="37" s="1"/>
  <c r="Q21" i="37"/>
  <c r="Q49" i="37"/>
  <c r="T49" i="37" s="1"/>
  <c r="U49" i="37" s="1"/>
  <c r="R53" i="37"/>
  <c r="S53" i="37" s="1"/>
  <c r="Q54" i="37"/>
  <c r="R75" i="37"/>
  <c r="P75" i="37"/>
  <c r="Q110" i="37"/>
  <c r="Q118" i="37"/>
  <c r="Q122" i="37"/>
  <c r="O122" i="37"/>
  <c r="P15" i="38"/>
  <c r="O15" i="38"/>
  <c r="Q73" i="37"/>
  <c r="T73" i="37" s="1"/>
  <c r="U73" i="37" s="1"/>
  <c r="R111" i="37"/>
  <c r="S111" i="37" s="1"/>
  <c r="Q115" i="37"/>
  <c r="R119" i="37"/>
  <c r="P123" i="37"/>
  <c r="O13" i="37"/>
  <c r="P16" i="37"/>
  <c r="R49" i="37"/>
  <c r="S49" i="37" s="1"/>
  <c r="P51" i="37"/>
  <c r="R73" i="37"/>
  <c r="S73" i="37" s="1"/>
  <c r="O107" i="37"/>
  <c r="Q113" i="37"/>
  <c r="O115" i="37"/>
  <c r="R122" i="37"/>
  <c r="S122" i="37" s="1"/>
  <c r="Q13" i="38"/>
  <c r="Q108" i="37"/>
  <c r="T108" i="37" s="1"/>
  <c r="U108" i="37" s="1"/>
  <c r="Q119" i="37"/>
  <c r="O12" i="37"/>
  <c r="P15" i="37"/>
  <c r="Q18" i="37"/>
  <c r="P24" i="37"/>
  <c r="Q25" i="37"/>
  <c r="Q47" i="37"/>
  <c r="P50" i="37"/>
  <c r="P52" i="37"/>
  <c r="Q95" i="37"/>
  <c r="O108" i="37"/>
  <c r="R110" i="37"/>
  <c r="S110" i="37" s="1"/>
  <c r="P113" i="37"/>
  <c r="Q114" i="37"/>
  <c r="O116" i="37"/>
  <c r="R118" i="37"/>
  <c r="S118" i="37" s="1"/>
  <c r="P19" i="38"/>
  <c r="O19" i="38"/>
  <c r="R19" i="38"/>
  <c r="S19" i="38" s="1"/>
  <c r="O15" i="37"/>
  <c r="P18" i="37"/>
  <c r="O52" i="37"/>
  <c r="Q111" i="37"/>
  <c r="P12" i="37"/>
  <c r="Q15" i="37"/>
  <c r="Q50" i="37"/>
  <c r="Q55" i="37"/>
  <c r="T55" i="37" s="1"/>
  <c r="U55" i="37" s="1"/>
  <c r="P108" i="37"/>
  <c r="Q109" i="37"/>
  <c r="O111" i="37"/>
  <c r="R113" i="37"/>
  <c r="S113" i="37" s="1"/>
  <c r="P116" i="37"/>
  <c r="Q117" i="37"/>
  <c r="O119" i="37"/>
  <c r="Q11" i="38"/>
  <c r="T11" i="38" s="1"/>
  <c r="U11" i="38" s="1"/>
  <c r="Q18" i="38"/>
  <c r="O18" i="38"/>
  <c r="Q12" i="37"/>
  <c r="T12" i="37" s="1"/>
  <c r="U12" i="37" s="1"/>
  <c r="O14" i="37"/>
  <c r="P17" i="37"/>
  <c r="O21" i="37"/>
  <c r="R50" i="37"/>
  <c r="S50" i="37" s="1"/>
  <c r="O53" i="37"/>
  <c r="O95" i="37"/>
  <c r="R108" i="37"/>
  <c r="S108" i="37" s="1"/>
  <c r="P111" i="37"/>
  <c r="Q112" i="37"/>
  <c r="O114" i="37"/>
  <c r="R116" i="37"/>
  <c r="S116" i="37" s="1"/>
  <c r="P119" i="37"/>
  <c r="Q121" i="37"/>
  <c r="R16" i="38"/>
  <c r="S16" i="38" s="1"/>
  <c r="R17" i="38"/>
  <c r="S17" i="38" s="1"/>
  <c r="Q17" i="38"/>
  <c r="P17" i="38"/>
  <c r="O125" i="37"/>
  <c r="Q14" i="38"/>
  <c r="T14" i="38" s="1"/>
  <c r="U14" i="38" s="1"/>
  <c r="P14" i="38"/>
  <c r="O14" i="38"/>
  <c r="O16" i="38"/>
  <c r="R18" i="38"/>
  <c r="S18" i="38" s="1"/>
  <c r="R125" i="37"/>
  <c r="S125" i="37" s="1"/>
  <c r="Q126" i="37"/>
  <c r="P11" i="38"/>
  <c r="O11" i="38"/>
  <c r="P20" i="38"/>
  <c r="W20" i="38"/>
  <c r="O20" i="38"/>
  <c r="P126" i="37"/>
  <c r="R12" i="38"/>
  <c r="S12" i="38" s="1"/>
  <c r="O13" i="38"/>
  <c r="R15" i="38"/>
  <c r="S15" i="38" s="1"/>
  <c r="Q16" i="38"/>
  <c r="P12" i="38"/>
  <c r="Q15" i="38"/>
  <c r="T15" i="38" s="1"/>
  <c r="U15" i="38" s="1"/>
  <c r="O17" i="38"/>
  <c r="Q24" i="38"/>
  <c r="Q12" i="38"/>
  <c r="O21" i="38"/>
  <c r="W21" i="38"/>
  <c r="Q52" i="38"/>
  <c r="O54" i="38"/>
  <c r="O55" i="38"/>
  <c r="O56" i="38"/>
  <c r="P21" i="38"/>
  <c r="O28" i="38"/>
  <c r="O48" i="38"/>
  <c r="O49" i="38"/>
  <c r="O50" i="38"/>
  <c r="O51" i="38"/>
  <c r="P54" i="38"/>
  <c r="P55" i="38"/>
  <c r="P56" i="38"/>
  <c r="P73" i="38"/>
  <c r="Q21" i="38"/>
  <c r="T21" i="38" s="1"/>
  <c r="U21" i="38" s="1"/>
  <c r="P48" i="38"/>
  <c r="P49" i="38"/>
  <c r="P50" i="38"/>
  <c r="P51" i="38"/>
  <c r="Q54" i="38"/>
  <c r="Q55" i="38"/>
  <c r="Q56" i="38"/>
  <c r="Q73" i="38"/>
  <c r="Q48" i="38"/>
  <c r="T48" i="38" s="1"/>
  <c r="U48" i="38" s="1"/>
  <c r="Q49" i="38"/>
  <c r="T49" i="38" s="1"/>
  <c r="U49" i="38" s="1"/>
  <c r="Q50" i="38"/>
  <c r="T50" i="38" s="1"/>
  <c r="U50" i="38" s="1"/>
  <c r="Q51" i="38"/>
  <c r="T51" i="38" s="1"/>
  <c r="U51" i="38" s="1"/>
  <c r="Q50" i="35"/>
  <c r="T50" i="35" s="1"/>
  <c r="U50" i="35" s="1"/>
  <c r="Q25" i="35"/>
  <c r="R50" i="35"/>
  <c r="S50" i="35" s="1"/>
  <c r="R122" i="35"/>
  <c r="S122" i="35" s="1"/>
  <c r="P50" i="35"/>
  <c r="R16" i="35"/>
  <c r="S16" i="35" s="1"/>
  <c r="Q51" i="35"/>
  <c r="T51" i="35" s="1"/>
  <c r="U51" i="35" s="1"/>
  <c r="Q122" i="35"/>
  <c r="Q73" i="35"/>
  <c r="P73" i="35"/>
  <c r="O73" i="35"/>
  <c r="Q95" i="35"/>
  <c r="T95" i="35" s="1"/>
  <c r="U95" i="35" s="1"/>
  <c r="P95" i="35"/>
  <c r="O95" i="35"/>
  <c r="Q114" i="35"/>
  <c r="T114" i="35" s="1"/>
  <c r="U114" i="35" s="1"/>
  <c r="P114" i="35"/>
  <c r="O114" i="35"/>
  <c r="O11" i="35"/>
  <c r="R12" i="35"/>
  <c r="S12" i="35" s="1"/>
  <c r="P14" i="35"/>
  <c r="Q17" i="35"/>
  <c r="T17" i="35" s="1"/>
  <c r="U17" i="35" s="1"/>
  <c r="O19" i="35"/>
  <c r="W20" i="35"/>
  <c r="Q24" i="35"/>
  <c r="R24" i="35"/>
  <c r="O28" i="35"/>
  <c r="Q56" i="35"/>
  <c r="P56" i="35"/>
  <c r="O56" i="35"/>
  <c r="R75" i="35"/>
  <c r="S75" i="35" s="1"/>
  <c r="P75" i="35"/>
  <c r="O75" i="35"/>
  <c r="Q113" i="35"/>
  <c r="T113" i="35" s="1"/>
  <c r="U113" i="35" s="1"/>
  <c r="P113" i="35"/>
  <c r="O113" i="35"/>
  <c r="R124" i="35"/>
  <c r="S124" i="35" s="1"/>
  <c r="Q124" i="35"/>
  <c r="T124" i="35" s="1"/>
  <c r="U124" i="35" s="1"/>
  <c r="O124" i="35"/>
  <c r="R125" i="35"/>
  <c r="S125" i="35" s="1"/>
  <c r="Q14" i="35"/>
  <c r="T14" i="35" s="1"/>
  <c r="U14" i="35" s="1"/>
  <c r="O16" i="35"/>
  <c r="P19" i="35"/>
  <c r="Q55" i="35"/>
  <c r="P55" i="35"/>
  <c r="O55" i="35"/>
  <c r="Q112" i="35"/>
  <c r="P112" i="35"/>
  <c r="O112" i="35"/>
  <c r="Q121" i="35"/>
  <c r="P121" i="35"/>
  <c r="O121" i="35"/>
  <c r="Q125" i="35"/>
  <c r="O13" i="35"/>
  <c r="Q54" i="35"/>
  <c r="P54" i="35"/>
  <c r="O54" i="35"/>
  <c r="Q111" i="35"/>
  <c r="P111" i="35"/>
  <c r="O111" i="35"/>
  <c r="Q119" i="35"/>
  <c r="P119" i="35"/>
  <c r="O119" i="35"/>
  <c r="P16" i="35"/>
  <c r="Q16" i="35"/>
  <c r="O18" i="35"/>
  <c r="R19" i="35"/>
  <c r="S19" i="35" s="1"/>
  <c r="P20" i="35"/>
  <c r="R52" i="35"/>
  <c r="S52" i="35" s="1"/>
  <c r="P52" i="35"/>
  <c r="Q110" i="35"/>
  <c r="P110" i="35"/>
  <c r="O110" i="35"/>
  <c r="Q118" i="35"/>
  <c r="P118" i="35"/>
  <c r="O118" i="35"/>
  <c r="P126" i="35"/>
  <c r="O126" i="35"/>
  <c r="R126" i="35"/>
  <c r="S126" i="35" s="1"/>
  <c r="R15" i="35"/>
  <c r="S15" i="35" s="1"/>
  <c r="Q13" i="35"/>
  <c r="O15" i="35"/>
  <c r="P18" i="35"/>
  <c r="Q20" i="35"/>
  <c r="P21" i="35"/>
  <c r="W21" i="35"/>
  <c r="O21" i="35"/>
  <c r="R25" i="35"/>
  <c r="S25" i="35" s="1"/>
  <c r="Q47" i="35"/>
  <c r="Q109" i="35"/>
  <c r="P109" i="35"/>
  <c r="O109" i="35"/>
  <c r="Q117" i="35"/>
  <c r="P117" i="35"/>
  <c r="O117" i="35"/>
  <c r="O123" i="35"/>
  <c r="R123" i="35"/>
  <c r="S123" i="35" s="1"/>
  <c r="R11" i="35"/>
  <c r="S11" i="35" s="1"/>
  <c r="R13" i="35"/>
  <c r="S13" i="35" s="1"/>
  <c r="P15" i="35"/>
  <c r="Q18" i="35"/>
  <c r="R20" i="35"/>
  <c r="Q31" i="35"/>
  <c r="O51" i="35"/>
  <c r="R73" i="35"/>
  <c r="S73" i="35" s="1"/>
  <c r="R95" i="35"/>
  <c r="S95" i="35" s="1"/>
  <c r="Q108" i="35"/>
  <c r="P108" i="35"/>
  <c r="O108" i="35"/>
  <c r="R114" i="35"/>
  <c r="S114" i="35" s="1"/>
  <c r="Q116" i="35"/>
  <c r="P116" i="35"/>
  <c r="O116" i="35"/>
  <c r="P11" i="35"/>
  <c r="R14" i="35"/>
  <c r="S14" i="35" s="1"/>
  <c r="P12" i="35"/>
  <c r="Q15" i="35"/>
  <c r="O17" i="35"/>
  <c r="R21" i="35"/>
  <c r="O31" i="35"/>
  <c r="R31" i="35"/>
  <c r="O46" i="35"/>
  <c r="P51" i="35"/>
  <c r="R51" i="35"/>
  <c r="S51" i="35" s="1"/>
  <c r="O52" i="35"/>
  <c r="Q53" i="35"/>
  <c r="P53" i="35"/>
  <c r="R56" i="35"/>
  <c r="S56" i="35" s="1"/>
  <c r="Q107" i="35"/>
  <c r="P107" i="35"/>
  <c r="O107" i="35"/>
  <c r="R113" i="35"/>
  <c r="S113" i="35" s="1"/>
  <c r="Q115" i="35"/>
  <c r="P115" i="35"/>
  <c r="O115" i="35"/>
  <c r="Q126" i="35"/>
  <c r="O25" i="35"/>
  <c r="R28" i="35"/>
  <c r="P46" i="35"/>
  <c r="O47" i="35"/>
  <c r="O81" i="35"/>
  <c r="W81" i="35"/>
  <c r="O86" i="35"/>
  <c r="O87" i="35"/>
  <c r="O88" i="35"/>
  <c r="O89" i="35"/>
  <c r="O90" i="35"/>
  <c r="Q123" i="35"/>
  <c r="O125" i="35"/>
  <c r="P25" i="35"/>
  <c r="P47" i="35"/>
  <c r="P86" i="35"/>
  <c r="P87" i="35"/>
  <c r="P88" i="35"/>
  <c r="P89" i="35"/>
  <c r="P90" i="35"/>
  <c r="O122" i="35"/>
  <c r="P125" i="35"/>
  <c r="Q52" i="35"/>
  <c r="O74" i="35"/>
  <c r="O76" i="35"/>
  <c r="W76" i="35"/>
  <c r="P124" i="35"/>
  <c r="O48" i="35"/>
  <c r="O49" i="35"/>
  <c r="O50" i="35"/>
  <c r="P74" i="35"/>
  <c r="P76" i="35"/>
  <c r="Q74" i="35"/>
  <c r="T74" i="35" s="1"/>
  <c r="U74" i="35" s="1"/>
  <c r="Q76" i="35"/>
  <c r="R124" i="1"/>
  <c r="S124" i="1" s="1"/>
  <c r="R123" i="1"/>
  <c r="S123" i="1" s="1"/>
  <c r="O121" i="1"/>
  <c r="O122" i="1"/>
  <c r="O123" i="1"/>
  <c r="O124" i="1"/>
  <c r="O125" i="1"/>
  <c r="O126" i="1"/>
  <c r="P121" i="1"/>
  <c r="P122" i="1"/>
  <c r="P123" i="1"/>
  <c r="P124" i="1"/>
  <c r="P125" i="1"/>
  <c r="P126" i="1"/>
  <c r="Q121" i="1"/>
  <c r="Q122" i="1"/>
  <c r="T122" i="1" s="1"/>
  <c r="U122" i="1" s="1"/>
  <c r="Q123" i="1"/>
  <c r="T123" i="1" s="1"/>
  <c r="U123" i="1" s="1"/>
  <c r="Q124" i="1"/>
  <c r="Q125" i="1"/>
  <c r="T125" i="1" s="1"/>
  <c r="U125" i="1" s="1"/>
  <c r="Q126" i="1"/>
  <c r="T126" i="1" s="1"/>
  <c r="U126" i="1" s="1"/>
  <c r="R122" i="1"/>
  <c r="S122" i="1" s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AN24" i="1"/>
  <c r="AL24" i="1"/>
  <c r="AM24" i="1"/>
  <c r="BX46" i="37" l="1"/>
  <c r="BX115" i="37"/>
  <c r="BX13" i="37"/>
  <c r="BX118" i="38"/>
  <c r="BX122" i="37"/>
  <c r="BX109" i="35"/>
  <c r="BX54" i="35"/>
  <c r="BX75" i="35"/>
  <c r="BX13" i="38"/>
  <c r="BX49" i="35"/>
  <c r="BX119" i="35"/>
  <c r="BX89" i="37"/>
  <c r="BX81" i="37"/>
  <c r="BX86" i="35"/>
  <c r="BX107" i="35"/>
  <c r="BX55" i="38"/>
  <c r="BX117" i="37"/>
  <c r="BX86" i="37"/>
  <c r="BX117" i="38"/>
  <c r="BX107" i="38"/>
  <c r="BX109" i="38"/>
  <c r="BX88" i="37"/>
  <c r="BX86" i="38"/>
  <c r="BX123" i="35"/>
  <c r="W88" i="35"/>
  <c r="BX117" i="35"/>
  <c r="BX111" i="35"/>
  <c r="BX113" i="35"/>
  <c r="BX118" i="37"/>
  <c r="BX111" i="38"/>
  <c r="BX115" i="38"/>
  <c r="BX113" i="38"/>
  <c r="BX116" i="35"/>
  <c r="BX13" i="35"/>
  <c r="BX74" i="38"/>
  <c r="BX112" i="38"/>
  <c r="BX110" i="38"/>
  <c r="BX95" i="38"/>
  <c r="BX76" i="37"/>
  <c r="BX113" i="37"/>
  <c r="V56" i="38"/>
  <c r="BX87" i="35"/>
  <c r="BX31" i="35"/>
  <c r="BX108" i="35"/>
  <c r="BX118" i="35"/>
  <c r="BX114" i="35"/>
  <c r="BX50" i="38"/>
  <c r="BX20" i="38"/>
  <c r="BX31" i="38"/>
  <c r="BX108" i="38"/>
  <c r="BX12" i="37"/>
  <c r="BX47" i="35"/>
  <c r="BX20" i="35"/>
  <c r="BX126" i="1"/>
  <c r="BX73" i="37"/>
  <c r="BX89" i="38"/>
  <c r="BX54" i="37"/>
  <c r="BX48" i="35"/>
  <c r="BX75" i="37"/>
  <c r="BX49" i="38"/>
  <c r="BX123" i="1"/>
  <c r="BX48" i="38"/>
  <c r="BX75" i="38"/>
  <c r="BX76" i="38"/>
  <c r="BX116" i="37"/>
  <c r="BX124" i="1"/>
  <c r="BX81" i="35"/>
  <c r="BX110" i="35"/>
  <c r="BX112" i="35"/>
  <c r="BX95" i="35"/>
  <c r="BX28" i="38"/>
  <c r="BX11" i="38"/>
  <c r="BX95" i="37"/>
  <c r="BX119" i="37"/>
  <c r="BX108" i="37"/>
  <c r="BX74" i="35"/>
  <c r="BX15" i="35"/>
  <c r="BX55" i="35"/>
  <c r="BX73" i="35"/>
  <c r="BX56" i="38"/>
  <c r="W86" i="37"/>
  <c r="V89" i="37"/>
  <c r="BX54" i="38"/>
  <c r="BX48" i="37"/>
  <c r="BX46" i="35"/>
  <c r="BX124" i="38"/>
  <c r="BX121" i="1"/>
  <c r="BX122" i="1"/>
  <c r="BX122" i="38"/>
  <c r="BX125" i="35"/>
  <c r="BX15" i="38"/>
  <c r="BX47" i="37"/>
  <c r="BX20" i="37"/>
  <c r="BX123" i="38"/>
  <c r="BX14" i="37"/>
  <c r="BX25" i="37"/>
  <c r="BX47" i="38"/>
  <c r="BX125" i="1"/>
  <c r="BX121" i="35"/>
  <c r="BX25" i="38"/>
  <c r="BX124" i="35"/>
  <c r="BX28" i="35"/>
  <c r="BX125" i="37"/>
  <c r="BX122" i="35"/>
  <c r="BX11" i="37"/>
  <c r="BX121" i="38"/>
  <c r="T89" i="37"/>
  <c r="U89" i="37" s="1"/>
  <c r="BX25" i="35"/>
  <c r="BX28" i="37"/>
  <c r="BX110" i="37"/>
  <c r="BX125" i="38"/>
  <c r="BX24" i="38"/>
  <c r="V111" i="35"/>
  <c r="V115" i="37"/>
  <c r="BX111" i="37"/>
  <c r="BX90" i="35"/>
  <c r="BX115" i="35"/>
  <c r="BX16" i="38"/>
  <c r="BX55" i="37"/>
  <c r="BX112" i="37"/>
  <c r="BX56" i="37"/>
  <c r="BX87" i="38"/>
  <c r="BX89" i="35"/>
  <c r="W116" i="35"/>
  <c r="BX126" i="35"/>
  <c r="BX16" i="35"/>
  <c r="BX56" i="35"/>
  <c r="BX14" i="38"/>
  <c r="BX107" i="37"/>
  <c r="BX90" i="38"/>
  <c r="V90" i="35"/>
  <c r="BX81" i="38"/>
  <c r="BX119" i="38"/>
  <c r="BX24" i="35"/>
  <c r="BX88" i="38"/>
  <c r="BX15" i="37"/>
  <c r="BX50" i="35"/>
  <c r="BX88" i="35"/>
  <c r="BX11" i="35"/>
  <c r="BX114" i="37"/>
  <c r="BX16" i="37"/>
  <c r="BX114" i="38"/>
  <c r="BX124" i="37"/>
  <c r="BX116" i="38"/>
  <c r="BX90" i="37"/>
  <c r="BX46" i="38"/>
  <c r="BX49" i="37"/>
  <c r="BX123" i="37"/>
  <c r="BX31" i="37"/>
  <c r="BX74" i="37"/>
  <c r="BX109" i="37"/>
  <c r="BX121" i="37"/>
  <c r="BX12" i="35"/>
  <c r="BX24" i="37"/>
  <c r="BX76" i="35"/>
  <c r="BX87" i="37"/>
  <c r="BX14" i="35"/>
  <c r="BX12" i="38"/>
  <c r="BX126" i="38"/>
  <c r="BX126" i="37"/>
  <c r="BX50" i="37"/>
  <c r="BX73" i="38"/>
  <c r="S86" i="37"/>
  <c r="W88" i="38"/>
  <c r="AC75" i="35"/>
  <c r="S88" i="38"/>
  <c r="S90" i="35"/>
  <c r="T74" i="38"/>
  <c r="U74" i="38" s="1"/>
  <c r="AC75" i="38"/>
  <c r="W86" i="38"/>
  <c r="AC46" i="37"/>
  <c r="AC31" i="37"/>
  <c r="S28" i="37"/>
  <c r="AC28" i="37" s="1"/>
  <c r="AC74" i="35"/>
  <c r="S46" i="35"/>
  <c r="AC46" i="35" s="1"/>
  <c r="S46" i="38"/>
  <c r="AC46" i="38" s="1"/>
  <c r="S28" i="38"/>
  <c r="AC28" i="38" s="1"/>
  <c r="V89" i="35"/>
  <c r="S75" i="37"/>
  <c r="AC75" i="37" s="1"/>
  <c r="S31" i="35"/>
  <c r="AC31" i="35" s="1"/>
  <c r="S28" i="35"/>
  <c r="AC28" i="35" s="1"/>
  <c r="V108" i="38"/>
  <c r="Z76" i="37"/>
  <c r="AB46" i="38"/>
  <c r="AA76" i="37"/>
  <c r="V24" i="37"/>
  <c r="S24" i="37" s="1"/>
  <c r="W115" i="35"/>
  <c r="T76" i="37"/>
  <c r="U76" i="37" s="1"/>
  <c r="V107" i="35"/>
  <c r="W89" i="38"/>
  <c r="W89" i="35"/>
  <c r="V48" i="35"/>
  <c r="V76" i="35"/>
  <c r="V107" i="37"/>
  <c r="W112" i="37"/>
  <c r="W116" i="38"/>
  <c r="W48" i="37"/>
  <c r="V109" i="38"/>
  <c r="W109" i="38"/>
  <c r="V54" i="37"/>
  <c r="V121" i="38"/>
  <c r="V109" i="35"/>
  <c r="W54" i="35"/>
  <c r="V118" i="35"/>
  <c r="V117" i="35"/>
  <c r="Z74" i="38"/>
  <c r="V86" i="37"/>
  <c r="X86" i="37" s="1"/>
  <c r="V54" i="38"/>
  <c r="V86" i="38"/>
  <c r="X86" i="38" s="1"/>
  <c r="Y86" i="38" s="1"/>
  <c r="V116" i="38"/>
  <c r="T116" i="38"/>
  <c r="U116" i="38" s="1"/>
  <c r="V76" i="37"/>
  <c r="V19" i="37"/>
  <c r="W119" i="35"/>
  <c r="V81" i="38"/>
  <c r="S81" i="38" s="1"/>
  <c r="W108" i="38"/>
  <c r="V55" i="38"/>
  <c r="W75" i="35"/>
  <c r="V87" i="38"/>
  <c r="V126" i="37"/>
  <c r="T31" i="38"/>
  <c r="U31" i="38" s="1"/>
  <c r="W74" i="37"/>
  <c r="V88" i="35"/>
  <c r="X88" i="35" s="1"/>
  <c r="Y88" i="35" s="1"/>
  <c r="W110" i="38"/>
  <c r="V81" i="35"/>
  <c r="S81" i="35" s="1"/>
  <c r="W95" i="37"/>
  <c r="W89" i="37"/>
  <c r="Z75" i="38"/>
  <c r="W114" i="37"/>
  <c r="V76" i="38"/>
  <c r="W115" i="38"/>
  <c r="Z76" i="38"/>
  <c r="V115" i="38"/>
  <c r="W48" i="35"/>
  <c r="T76" i="38"/>
  <c r="U76" i="38" s="1"/>
  <c r="V86" i="35"/>
  <c r="T88" i="35"/>
  <c r="U88" i="35" s="1"/>
  <c r="V88" i="38"/>
  <c r="W90" i="35"/>
  <c r="W118" i="37"/>
  <c r="AA76" i="38"/>
  <c r="T28" i="35"/>
  <c r="U28" i="35" s="1"/>
  <c r="V112" i="35"/>
  <c r="T20" i="38"/>
  <c r="U20" i="38" s="1"/>
  <c r="V117" i="38"/>
  <c r="V126" i="38"/>
  <c r="W108" i="35"/>
  <c r="W109" i="37"/>
  <c r="AA74" i="37"/>
  <c r="V46" i="38"/>
  <c r="V56" i="37"/>
  <c r="V119" i="38"/>
  <c r="S119" i="38" s="1"/>
  <c r="V31" i="38"/>
  <c r="W53" i="35"/>
  <c r="V112" i="38"/>
  <c r="W46" i="38"/>
  <c r="V81" i="37"/>
  <c r="S81" i="37" s="1"/>
  <c r="T81" i="37"/>
  <c r="U81" i="37" s="1"/>
  <c r="W119" i="38"/>
  <c r="T89" i="38"/>
  <c r="U89" i="38" s="1"/>
  <c r="AA46" i="38"/>
  <c r="W16" i="37"/>
  <c r="T86" i="38"/>
  <c r="U86" i="38" s="1"/>
  <c r="W126" i="38"/>
  <c r="W117" i="37"/>
  <c r="Z46" i="38"/>
  <c r="T118" i="35"/>
  <c r="U118" i="35" s="1"/>
  <c r="V90" i="37"/>
  <c r="T16" i="37"/>
  <c r="U16" i="37" s="1"/>
  <c r="V16" i="37"/>
  <c r="W123" i="38"/>
  <c r="W121" i="38"/>
  <c r="V124" i="37"/>
  <c r="V11" i="37"/>
  <c r="V47" i="38"/>
  <c r="AB28" i="38"/>
  <c r="T121" i="38"/>
  <c r="U121" i="38" s="1"/>
  <c r="AA31" i="38"/>
  <c r="W47" i="38"/>
  <c r="T119" i="35"/>
  <c r="U119" i="35" s="1"/>
  <c r="W31" i="38"/>
  <c r="W49" i="37"/>
  <c r="AB75" i="38"/>
  <c r="AC31" i="38"/>
  <c r="V75" i="38"/>
  <c r="Z31" i="38"/>
  <c r="V49" i="35"/>
  <c r="W75" i="38"/>
  <c r="V111" i="38"/>
  <c r="W53" i="38"/>
  <c r="T81" i="38"/>
  <c r="U81" i="38" s="1"/>
  <c r="V107" i="38"/>
  <c r="X107" i="38" s="1"/>
  <c r="Y107" i="38" s="1"/>
  <c r="V20" i="38"/>
  <c r="S20" i="38" s="1"/>
  <c r="V52" i="37"/>
  <c r="V88" i="37"/>
  <c r="W88" i="37"/>
  <c r="W49" i="35"/>
  <c r="V122" i="35"/>
  <c r="W117" i="38"/>
  <c r="AA75" i="38"/>
  <c r="T117" i="38"/>
  <c r="U117" i="38" s="1"/>
  <c r="Z75" i="35"/>
  <c r="T75" i="38"/>
  <c r="U75" i="38" s="1"/>
  <c r="V53" i="37"/>
  <c r="W107" i="38"/>
  <c r="W111" i="38"/>
  <c r="W109" i="35"/>
  <c r="AB46" i="35"/>
  <c r="T124" i="37"/>
  <c r="U124" i="37" s="1"/>
  <c r="V87" i="37"/>
  <c r="W73" i="37"/>
  <c r="W119" i="37"/>
  <c r="V125" i="37"/>
  <c r="V28" i="38"/>
  <c r="W74" i="38"/>
  <c r="W113" i="38"/>
  <c r="W87" i="38"/>
  <c r="W118" i="35"/>
  <c r="W124" i="37"/>
  <c r="W28" i="38"/>
  <c r="W87" i="37"/>
  <c r="V110" i="38"/>
  <c r="X110" i="38" s="1"/>
  <c r="Y110" i="38" s="1"/>
  <c r="W107" i="35"/>
  <c r="W46" i="35"/>
  <c r="V74" i="38"/>
  <c r="Z28" i="38"/>
  <c r="W115" i="37"/>
  <c r="AA74" i="38"/>
  <c r="AA75" i="35"/>
  <c r="V125" i="38"/>
  <c r="W110" i="35"/>
  <c r="AC74" i="38"/>
  <c r="V121" i="35"/>
  <c r="W122" i="38"/>
  <c r="T81" i="35"/>
  <c r="U81" i="35" s="1"/>
  <c r="T125" i="38"/>
  <c r="U125" i="38" s="1"/>
  <c r="T122" i="35"/>
  <c r="U122" i="35" s="1"/>
  <c r="W125" i="38"/>
  <c r="W11" i="37"/>
  <c r="V46" i="35"/>
  <c r="V123" i="38"/>
  <c r="X123" i="38" s="1"/>
  <c r="V28" i="37"/>
  <c r="V51" i="35"/>
  <c r="W11" i="35"/>
  <c r="W13" i="38"/>
  <c r="T53" i="38"/>
  <c r="U53" i="38" s="1"/>
  <c r="T24" i="37"/>
  <c r="U24" i="37" s="1"/>
  <c r="V124" i="38"/>
  <c r="W25" i="35"/>
  <c r="V53" i="38"/>
  <c r="Z46" i="35"/>
  <c r="AA46" i="35"/>
  <c r="W121" i="1"/>
  <c r="W121" i="37"/>
  <c r="W124" i="38"/>
  <c r="AA28" i="38"/>
  <c r="T75" i="35"/>
  <c r="U75" i="35" s="1"/>
  <c r="T87" i="38"/>
  <c r="U87" i="38" s="1"/>
  <c r="W53" i="37"/>
  <c r="V87" i="35"/>
  <c r="T114" i="37"/>
  <c r="U114" i="37" s="1"/>
  <c r="V49" i="37"/>
  <c r="V89" i="38"/>
  <c r="W112" i="38"/>
  <c r="T112" i="38"/>
  <c r="U112" i="38" s="1"/>
  <c r="AB75" i="35"/>
  <c r="V25" i="38"/>
  <c r="W114" i="35"/>
  <c r="W87" i="35"/>
  <c r="V126" i="35"/>
  <c r="V75" i="35"/>
  <c r="W55" i="35"/>
  <c r="W111" i="37"/>
  <c r="V114" i="37"/>
  <c r="T122" i="38"/>
  <c r="U122" i="38" s="1"/>
  <c r="T25" i="35"/>
  <c r="U25" i="35" s="1"/>
  <c r="T86" i="35"/>
  <c r="U86" i="35" s="1"/>
  <c r="V50" i="35"/>
  <c r="T11" i="37"/>
  <c r="U11" i="37" s="1"/>
  <c r="W50" i="35"/>
  <c r="W122" i="35"/>
  <c r="V14" i="37"/>
  <c r="W25" i="38"/>
  <c r="W124" i="1"/>
  <c r="W86" i="35"/>
  <c r="V19" i="35"/>
  <c r="V121" i="37"/>
  <c r="W111" i="35"/>
  <c r="W121" i="35"/>
  <c r="T76" i="35"/>
  <c r="U76" i="35" s="1"/>
  <c r="V73" i="35"/>
  <c r="V47" i="35"/>
  <c r="T121" i="35"/>
  <c r="U121" i="35" s="1"/>
  <c r="V24" i="35"/>
  <c r="S24" i="35" s="1"/>
  <c r="W125" i="35"/>
  <c r="W15" i="35"/>
  <c r="W118" i="38"/>
  <c r="T118" i="38"/>
  <c r="U118" i="38" s="1"/>
  <c r="V118" i="38"/>
  <c r="W95" i="38"/>
  <c r="V90" i="38"/>
  <c r="T13" i="38"/>
  <c r="U13" i="38" s="1"/>
  <c r="V13" i="38"/>
  <c r="X13" i="38" s="1"/>
  <c r="Y13" i="38" s="1"/>
  <c r="V19" i="38"/>
  <c r="V14" i="38"/>
  <c r="W90" i="38"/>
  <c r="V113" i="38"/>
  <c r="X113" i="38" s="1"/>
  <c r="Y113" i="38" s="1"/>
  <c r="V95" i="38"/>
  <c r="T95" i="38"/>
  <c r="U95" i="38" s="1"/>
  <c r="W16" i="38"/>
  <c r="W19" i="38"/>
  <c r="V114" i="38"/>
  <c r="W114" i="38"/>
  <c r="T114" i="38"/>
  <c r="U114" i="38" s="1"/>
  <c r="V122" i="38"/>
  <c r="V21" i="38"/>
  <c r="S21" i="38" s="1"/>
  <c r="AB75" i="37"/>
  <c r="W75" i="37"/>
  <c r="V122" i="37"/>
  <c r="Z74" i="37"/>
  <c r="V51" i="37"/>
  <c r="V13" i="37"/>
  <c r="T117" i="37"/>
  <c r="U117" i="37" s="1"/>
  <c r="V110" i="37"/>
  <c r="V112" i="37"/>
  <c r="V117" i="37"/>
  <c r="V17" i="37"/>
  <c r="T110" i="37"/>
  <c r="U110" i="37" s="1"/>
  <c r="W116" i="37"/>
  <c r="T95" i="37"/>
  <c r="U95" i="37" s="1"/>
  <c r="W108" i="37"/>
  <c r="W51" i="37"/>
  <c r="W56" i="37"/>
  <c r="V12" i="37"/>
  <c r="V118" i="37"/>
  <c r="V21" i="37"/>
  <c r="S21" i="37" s="1"/>
  <c r="V74" i="37"/>
  <c r="X74" i="37" s="1"/>
  <c r="AB74" i="37"/>
  <c r="T119" i="37"/>
  <c r="U119" i="37" s="1"/>
  <c r="V113" i="37"/>
  <c r="T116" i="37"/>
  <c r="U116" i="37" s="1"/>
  <c r="T118" i="37"/>
  <c r="U118" i="37" s="1"/>
  <c r="AC74" i="37"/>
  <c r="V116" i="37"/>
  <c r="T48" i="37"/>
  <c r="U48" i="37" s="1"/>
  <c r="V108" i="37"/>
  <c r="T113" i="37"/>
  <c r="U113" i="37" s="1"/>
  <c r="T115" i="37"/>
  <c r="U115" i="37" s="1"/>
  <c r="W110" i="37"/>
  <c r="V95" i="37"/>
  <c r="W90" i="37"/>
  <c r="T90" i="37"/>
  <c r="U90" i="37" s="1"/>
  <c r="T112" i="37"/>
  <c r="U112" i="37" s="1"/>
  <c r="T74" i="37"/>
  <c r="U74" i="37" s="1"/>
  <c r="T50" i="37"/>
  <c r="U50" i="37" s="1"/>
  <c r="W50" i="37"/>
  <c r="AB31" i="37"/>
  <c r="T31" i="37"/>
  <c r="U31" i="37" s="1"/>
  <c r="Z31" i="37"/>
  <c r="AA31" i="37"/>
  <c r="V31" i="37"/>
  <c r="W31" i="37"/>
  <c r="V20" i="37"/>
  <c r="S20" i="37" s="1"/>
  <c r="V47" i="37"/>
  <c r="T47" i="37"/>
  <c r="U47" i="37" s="1"/>
  <c r="W47" i="37"/>
  <c r="V25" i="37"/>
  <c r="T25" i="37"/>
  <c r="U25" i="37" s="1"/>
  <c r="W25" i="37"/>
  <c r="V17" i="38"/>
  <c r="T17" i="38"/>
  <c r="U17" i="38" s="1"/>
  <c r="V18" i="37"/>
  <c r="T18" i="37"/>
  <c r="U18" i="37" s="1"/>
  <c r="W18" i="37"/>
  <c r="W73" i="38"/>
  <c r="T73" i="38"/>
  <c r="U73" i="38" s="1"/>
  <c r="T54" i="37"/>
  <c r="U54" i="37" s="1"/>
  <c r="W56" i="38"/>
  <c r="T56" i="38"/>
  <c r="U56" i="38" s="1"/>
  <c r="W51" i="38"/>
  <c r="V15" i="38"/>
  <c r="W15" i="38"/>
  <c r="V11" i="38"/>
  <c r="T126" i="37"/>
  <c r="U126" i="37" s="1"/>
  <c r="W14" i="38"/>
  <c r="T109" i="37"/>
  <c r="U109" i="37" s="1"/>
  <c r="V119" i="37"/>
  <c r="S119" i="37" s="1"/>
  <c r="T20" i="37"/>
  <c r="U20" i="37" s="1"/>
  <c r="T19" i="37"/>
  <c r="U19" i="37" s="1"/>
  <c r="V48" i="37"/>
  <c r="W126" i="37"/>
  <c r="W55" i="38"/>
  <c r="T55" i="38"/>
  <c r="U55" i="38" s="1"/>
  <c r="W125" i="37"/>
  <c r="T16" i="38"/>
  <c r="U16" i="38" s="1"/>
  <c r="V109" i="37"/>
  <c r="X109" i="37" s="1"/>
  <c r="Y109" i="37" s="1"/>
  <c r="W55" i="37"/>
  <c r="V55" i="37"/>
  <c r="T111" i="37"/>
  <c r="U111" i="37" s="1"/>
  <c r="W12" i="37"/>
  <c r="T123" i="37"/>
  <c r="U123" i="37" s="1"/>
  <c r="W123" i="37"/>
  <c r="V123" i="37"/>
  <c r="W52" i="37"/>
  <c r="T52" i="37"/>
  <c r="U52" i="37" s="1"/>
  <c r="W19" i="37"/>
  <c r="V50" i="37"/>
  <c r="T18" i="38"/>
  <c r="U18" i="38" s="1"/>
  <c r="V18" i="38"/>
  <c r="W18" i="38"/>
  <c r="W54" i="38"/>
  <c r="T54" i="38"/>
  <c r="U54" i="38" s="1"/>
  <c r="W50" i="38"/>
  <c r="T52" i="38"/>
  <c r="U52" i="38" s="1"/>
  <c r="V52" i="38"/>
  <c r="W52" i="38"/>
  <c r="W11" i="38"/>
  <c r="V16" i="38"/>
  <c r="W17" i="38"/>
  <c r="W15" i="37"/>
  <c r="T15" i="37"/>
  <c r="U15" i="37" s="1"/>
  <c r="V15" i="37"/>
  <c r="V111" i="37"/>
  <c r="X111" i="37" s="1"/>
  <c r="Y111" i="37" s="1"/>
  <c r="T107" i="37"/>
  <c r="U107" i="37" s="1"/>
  <c r="W17" i="37"/>
  <c r="V75" i="37"/>
  <c r="AA28" i="37"/>
  <c r="AB28" i="37"/>
  <c r="T28" i="37"/>
  <c r="U28" i="37" s="1"/>
  <c r="W28" i="37"/>
  <c r="Z28" i="37"/>
  <c r="W48" i="38"/>
  <c r="V51" i="38"/>
  <c r="X51" i="38" s="1"/>
  <c r="Y51" i="38" s="1"/>
  <c r="T12" i="38"/>
  <c r="U12" i="38" s="1"/>
  <c r="W12" i="38"/>
  <c r="V12" i="38"/>
  <c r="W107" i="37"/>
  <c r="W122" i="37"/>
  <c r="T122" i="37"/>
  <c r="U122" i="37" s="1"/>
  <c r="W14" i="37"/>
  <c r="AA75" i="37"/>
  <c r="V49" i="38"/>
  <c r="V48" i="38"/>
  <c r="W54" i="37"/>
  <c r="W49" i="38"/>
  <c r="V50" i="38"/>
  <c r="V73" i="38"/>
  <c r="V24" i="38"/>
  <c r="S24" i="38" s="1"/>
  <c r="T24" i="38"/>
  <c r="U24" i="38" s="1"/>
  <c r="T121" i="37"/>
  <c r="U121" i="37" s="1"/>
  <c r="V73" i="37"/>
  <c r="W113" i="37"/>
  <c r="T21" i="37"/>
  <c r="U21" i="37" s="1"/>
  <c r="AB46" i="37"/>
  <c r="T46" i="37"/>
  <c r="U46" i="37" s="1"/>
  <c r="AA46" i="37"/>
  <c r="Z46" i="37"/>
  <c r="W46" i="37"/>
  <c r="V46" i="37"/>
  <c r="W13" i="37"/>
  <c r="Z75" i="37"/>
  <c r="AA28" i="35"/>
  <c r="W56" i="35"/>
  <c r="T116" i="35"/>
  <c r="U116" i="35" s="1"/>
  <c r="T15" i="35"/>
  <c r="U15" i="35" s="1"/>
  <c r="V12" i="35"/>
  <c r="W47" i="35"/>
  <c r="T115" i="35"/>
  <c r="U115" i="35" s="1"/>
  <c r="V116" i="35"/>
  <c r="W117" i="35"/>
  <c r="T54" i="35"/>
  <c r="U54" i="35" s="1"/>
  <c r="V21" i="35"/>
  <c r="S21" i="35" s="1"/>
  <c r="W16" i="35"/>
  <c r="V54" i="35"/>
  <c r="T55" i="35"/>
  <c r="U55" i="35" s="1"/>
  <c r="W95" i="35"/>
  <c r="V25" i="35"/>
  <c r="V15" i="35"/>
  <c r="X15" i="35" s="1"/>
  <c r="Y15" i="35" s="1"/>
  <c r="W113" i="35"/>
  <c r="T56" i="35"/>
  <c r="U56" i="35" s="1"/>
  <c r="W73" i="35"/>
  <c r="W124" i="35"/>
  <c r="V124" i="35"/>
  <c r="AB76" i="35"/>
  <c r="AA76" i="35"/>
  <c r="Z76" i="35"/>
  <c r="W123" i="35"/>
  <c r="V123" i="35"/>
  <c r="T123" i="35"/>
  <c r="U123" i="35" s="1"/>
  <c r="W126" i="35"/>
  <c r="T126" i="35"/>
  <c r="U126" i="35" s="1"/>
  <c r="W31" i="35"/>
  <c r="AB31" i="35"/>
  <c r="T31" i="35"/>
  <c r="U31" i="35" s="1"/>
  <c r="Z31" i="35"/>
  <c r="AA31" i="35"/>
  <c r="W18" i="35"/>
  <c r="V18" i="35"/>
  <c r="T18" i="35"/>
  <c r="U18" i="35" s="1"/>
  <c r="W13" i="35"/>
  <c r="T13" i="35"/>
  <c r="U13" i="35" s="1"/>
  <c r="V13" i="35"/>
  <c r="W28" i="35"/>
  <c r="V16" i="35"/>
  <c r="AB74" i="35"/>
  <c r="AA74" i="35"/>
  <c r="Z74" i="35"/>
  <c r="T108" i="35"/>
  <c r="U108" i="35" s="1"/>
  <c r="V17" i="35"/>
  <c r="T110" i="35"/>
  <c r="U110" i="35" s="1"/>
  <c r="T112" i="35"/>
  <c r="U112" i="35" s="1"/>
  <c r="W14" i="35"/>
  <c r="T24" i="35"/>
  <c r="U24" i="35" s="1"/>
  <c r="V14" i="35"/>
  <c r="V108" i="35"/>
  <c r="X108" i="35" s="1"/>
  <c r="Y108" i="35" s="1"/>
  <c r="V110" i="35"/>
  <c r="V20" i="35"/>
  <c r="S20" i="35" s="1"/>
  <c r="V115" i="35"/>
  <c r="T125" i="35"/>
  <c r="U125" i="35" s="1"/>
  <c r="V125" i="35"/>
  <c r="V113" i="35"/>
  <c r="V114" i="35"/>
  <c r="T16" i="35"/>
  <c r="U16" i="35" s="1"/>
  <c r="W74" i="35"/>
  <c r="T107" i="35"/>
  <c r="U107" i="35" s="1"/>
  <c r="T53" i="35"/>
  <c r="U53" i="35" s="1"/>
  <c r="V31" i="35"/>
  <c r="T117" i="35"/>
  <c r="U117" i="35" s="1"/>
  <c r="V119" i="35"/>
  <c r="T111" i="35"/>
  <c r="U111" i="35" s="1"/>
  <c r="V74" i="35"/>
  <c r="W112" i="35"/>
  <c r="V55" i="35"/>
  <c r="X55" i="35" s="1"/>
  <c r="Y55" i="35" s="1"/>
  <c r="V56" i="35"/>
  <c r="W19" i="35"/>
  <c r="V95" i="35"/>
  <c r="T73" i="35"/>
  <c r="U73" i="35" s="1"/>
  <c r="T47" i="35"/>
  <c r="U47" i="35" s="1"/>
  <c r="V11" i="35"/>
  <c r="X11" i="35" s="1"/>
  <c r="V53" i="35"/>
  <c r="T109" i="35"/>
  <c r="U109" i="35" s="1"/>
  <c r="V28" i="35"/>
  <c r="T20" i="35"/>
  <c r="U20" i="35" s="1"/>
  <c r="V52" i="35"/>
  <c r="W52" i="35"/>
  <c r="T52" i="35"/>
  <c r="U52" i="35" s="1"/>
  <c r="W51" i="35"/>
  <c r="Z28" i="35"/>
  <c r="W12" i="35"/>
  <c r="W17" i="35"/>
  <c r="W122" i="1"/>
  <c r="V121" i="1"/>
  <c r="V126" i="1"/>
  <c r="W126" i="1"/>
  <c r="T121" i="1"/>
  <c r="U121" i="1" s="1"/>
  <c r="V124" i="1"/>
  <c r="V122" i="1"/>
  <c r="W125" i="1"/>
  <c r="T124" i="1"/>
  <c r="U124" i="1" s="1"/>
  <c r="V123" i="1"/>
  <c r="V125" i="1"/>
  <c r="W123" i="1"/>
  <c r="AK24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AN12" i="1"/>
  <c r="AN13" i="1"/>
  <c r="AN11" i="1"/>
  <c r="AL11" i="1"/>
  <c r="AM11" i="1"/>
  <c r="AL12" i="1"/>
  <c r="AM12" i="1"/>
  <c r="AL13" i="1"/>
  <c r="AM13" i="1"/>
  <c r="AK12" i="1"/>
  <c r="AK13" i="1"/>
  <c r="AK11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BM46" i="1"/>
  <c r="BN46" i="1"/>
  <c r="BO46" i="1"/>
  <c r="BP46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P52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BM53" i="1"/>
  <c r="BN53" i="1"/>
  <c r="BO53" i="1"/>
  <c r="BP53" i="1"/>
  <c r="AN52" i="1"/>
  <c r="AN53" i="1"/>
  <c r="AN51" i="1"/>
  <c r="AN47" i="1"/>
  <c r="AN46" i="1"/>
  <c r="AN31" i="1"/>
  <c r="AN28" i="1"/>
  <c r="AN25" i="1"/>
  <c r="AN20" i="1"/>
  <c r="AN18" i="1"/>
  <c r="AN19" i="1"/>
  <c r="AN17" i="1"/>
  <c r="AN15" i="1"/>
  <c r="AN16" i="1"/>
  <c r="AN14" i="1"/>
  <c r="AL14" i="1"/>
  <c r="AM14" i="1"/>
  <c r="AL15" i="1"/>
  <c r="AM15" i="1"/>
  <c r="AL16" i="1"/>
  <c r="AM16" i="1"/>
  <c r="AL17" i="1"/>
  <c r="AM17" i="1"/>
  <c r="AL18" i="1"/>
  <c r="AM18" i="1"/>
  <c r="AL19" i="1"/>
  <c r="AM19" i="1"/>
  <c r="AL20" i="1"/>
  <c r="AM20" i="1"/>
  <c r="AL25" i="1"/>
  <c r="AM25" i="1"/>
  <c r="AL28" i="1"/>
  <c r="AM28" i="1"/>
  <c r="AL31" i="1"/>
  <c r="AM31" i="1"/>
  <c r="AL46" i="1"/>
  <c r="AM46" i="1"/>
  <c r="AL47" i="1"/>
  <c r="AM47" i="1"/>
  <c r="AL48" i="1"/>
  <c r="AM48" i="1"/>
  <c r="AL49" i="1"/>
  <c r="AM49" i="1"/>
  <c r="AL50" i="1"/>
  <c r="AM50" i="1"/>
  <c r="AL51" i="1"/>
  <c r="AM51" i="1"/>
  <c r="AL52" i="1"/>
  <c r="AM52" i="1"/>
  <c r="AL53" i="1"/>
  <c r="AM53" i="1"/>
  <c r="AL54" i="1"/>
  <c r="AM54" i="1"/>
  <c r="AL55" i="1"/>
  <c r="AM55" i="1"/>
  <c r="AL56" i="1"/>
  <c r="AM56" i="1"/>
  <c r="AL73" i="1"/>
  <c r="AM73" i="1"/>
  <c r="AL74" i="1"/>
  <c r="AM74" i="1"/>
  <c r="AL75" i="1"/>
  <c r="AM75" i="1"/>
  <c r="AL76" i="1"/>
  <c r="AM76" i="1"/>
  <c r="AL81" i="1"/>
  <c r="AM81" i="1"/>
  <c r="AL86" i="1"/>
  <c r="AM86" i="1"/>
  <c r="AL87" i="1"/>
  <c r="AM87" i="1"/>
  <c r="AL88" i="1"/>
  <c r="AM88" i="1"/>
  <c r="AL89" i="1"/>
  <c r="AM89" i="1"/>
  <c r="AL90" i="1"/>
  <c r="AM90" i="1"/>
  <c r="AL95" i="1"/>
  <c r="AM95" i="1"/>
  <c r="AL107" i="1"/>
  <c r="AM107" i="1"/>
  <c r="AL108" i="1"/>
  <c r="AM108" i="1"/>
  <c r="AL109" i="1"/>
  <c r="AM109" i="1"/>
  <c r="AL110" i="1"/>
  <c r="AM110" i="1"/>
  <c r="AL111" i="1"/>
  <c r="AM111" i="1"/>
  <c r="AL112" i="1"/>
  <c r="AM112" i="1"/>
  <c r="AL113" i="1"/>
  <c r="AM113" i="1"/>
  <c r="AL114" i="1"/>
  <c r="AM114" i="1"/>
  <c r="AL115" i="1"/>
  <c r="AM115" i="1"/>
  <c r="AL116" i="1"/>
  <c r="AM116" i="1"/>
  <c r="AL117" i="1"/>
  <c r="AM117" i="1"/>
  <c r="AL118" i="1"/>
  <c r="AM118" i="1"/>
  <c r="AL119" i="1"/>
  <c r="AM119" i="1"/>
  <c r="AK118" i="1"/>
  <c r="AK119" i="1"/>
  <c r="AK117" i="1"/>
  <c r="AK116" i="1"/>
  <c r="AK111" i="1"/>
  <c r="AK112" i="1"/>
  <c r="AK113" i="1"/>
  <c r="AK114" i="1"/>
  <c r="AK115" i="1"/>
  <c r="AK110" i="1"/>
  <c r="AK108" i="1"/>
  <c r="AK109" i="1"/>
  <c r="AK107" i="1"/>
  <c r="AK95" i="1"/>
  <c r="AK90" i="1"/>
  <c r="AK87" i="1"/>
  <c r="AK88" i="1"/>
  <c r="AK89" i="1"/>
  <c r="AK86" i="1"/>
  <c r="AK81" i="1"/>
  <c r="AK55" i="1"/>
  <c r="AK56" i="1"/>
  <c r="AK73" i="1"/>
  <c r="AK74" i="1"/>
  <c r="AK75" i="1"/>
  <c r="AK76" i="1"/>
  <c r="AK54" i="1"/>
  <c r="AK18" i="1"/>
  <c r="AK19" i="1"/>
  <c r="AK52" i="1"/>
  <c r="AK53" i="1"/>
  <c r="AK51" i="1"/>
  <c r="AK50" i="1"/>
  <c r="AK49" i="1"/>
  <c r="AK48" i="1"/>
  <c r="AK47" i="1"/>
  <c r="AK46" i="1"/>
  <c r="AK31" i="1"/>
  <c r="AK28" i="1"/>
  <c r="AK25" i="1"/>
  <c r="AK20" i="1"/>
  <c r="AK17" i="1"/>
  <c r="AK15" i="1"/>
  <c r="AK16" i="1"/>
  <c r="AK14" i="1"/>
  <c r="X14" i="38" l="1"/>
  <c r="Y14" i="38" s="1"/>
  <c r="X16" i="38"/>
  <c r="Y16" i="38" s="1"/>
  <c r="X31" i="35"/>
  <c r="X51" i="37"/>
  <c r="Y51" i="37" s="1"/>
  <c r="X49" i="37"/>
  <c r="X48" i="38"/>
  <c r="Y48" i="38" s="1"/>
  <c r="X50" i="37"/>
  <c r="Y50" i="37" s="1"/>
  <c r="X50" i="35"/>
  <c r="Y50" i="35" s="1"/>
  <c r="X90" i="38"/>
  <c r="Y90" i="38" s="1"/>
  <c r="X115" i="35"/>
  <c r="Y115" i="35" s="1"/>
  <c r="X88" i="37"/>
  <c r="Y88" i="37" s="1"/>
  <c r="X118" i="37"/>
  <c r="Y118" i="37" s="1"/>
  <c r="X118" i="38"/>
  <c r="Y118" i="38" s="1"/>
  <c r="X123" i="37"/>
  <c r="Y123" i="37" s="1"/>
  <c r="X114" i="37"/>
  <c r="Y114" i="37" s="1"/>
  <c r="X75" i="35"/>
  <c r="Y75" i="35" s="1"/>
  <c r="X114" i="35"/>
  <c r="Y114" i="35" s="1"/>
  <c r="X117" i="37"/>
  <c r="Y117" i="37" s="1"/>
  <c r="X88" i="38"/>
  <c r="Y88" i="38" s="1"/>
  <c r="X112" i="37"/>
  <c r="Y112" i="37" s="1"/>
  <c r="X74" i="35"/>
  <c r="Y74" i="35" s="1"/>
  <c r="P81" i="1"/>
  <c r="X111" i="38"/>
  <c r="Y111" i="38" s="1"/>
  <c r="X112" i="35"/>
  <c r="Y112" i="35" s="1"/>
  <c r="X54" i="38"/>
  <c r="Y54" i="38" s="1"/>
  <c r="X95" i="37"/>
  <c r="Y95" i="37" s="1"/>
  <c r="X110" i="35"/>
  <c r="Y110" i="35" s="1"/>
  <c r="X75" i="37"/>
  <c r="Y75" i="37" s="1"/>
  <c r="X119" i="35"/>
  <c r="X116" i="35"/>
  <c r="Y116" i="35" s="1"/>
  <c r="X89" i="38"/>
  <c r="Y89" i="38" s="1"/>
  <c r="X56" i="38"/>
  <c r="Y56" i="38" s="1"/>
  <c r="X56" i="35"/>
  <c r="Y56" i="35" s="1"/>
  <c r="X95" i="38"/>
  <c r="Y95" i="38" s="1"/>
  <c r="X112" i="38"/>
  <c r="Y112" i="38" s="1"/>
  <c r="X115" i="38"/>
  <c r="Y115" i="38" s="1"/>
  <c r="S119" i="35"/>
  <c r="Y86" i="37"/>
  <c r="X24" i="35"/>
  <c r="Y24" i="35" s="1"/>
  <c r="X126" i="38"/>
  <c r="Y126" i="38" s="1"/>
  <c r="X125" i="35"/>
  <c r="Y125" i="35" s="1"/>
  <c r="X18" i="38"/>
  <c r="Y18" i="38" s="1"/>
  <c r="X53" i="35"/>
  <c r="Y53" i="35" s="1"/>
  <c r="X18" i="37"/>
  <c r="Y18" i="37" s="1"/>
  <c r="X122" i="38"/>
  <c r="Y122" i="38" s="1"/>
  <c r="X12" i="38"/>
  <c r="Y12" i="38" s="1"/>
  <c r="X11" i="38"/>
  <c r="Y11" i="38" s="1"/>
  <c r="X89" i="37"/>
  <c r="Y89" i="37" s="1"/>
  <c r="X126" i="1"/>
  <c r="Y126" i="1" s="1"/>
  <c r="X52" i="35"/>
  <c r="Y52" i="35" s="1"/>
  <c r="X25" i="35"/>
  <c r="Y25" i="35" s="1"/>
  <c r="X122" i="37"/>
  <c r="Y122" i="37" s="1"/>
  <c r="X124" i="38"/>
  <c r="Y124" i="38" s="1"/>
  <c r="X28" i="38"/>
  <c r="Y28" i="38" s="1"/>
  <c r="X121" i="1"/>
  <c r="Y121" i="1" s="1"/>
  <c r="X14" i="37"/>
  <c r="Y14" i="37" s="1"/>
  <c r="X126" i="35"/>
  <c r="Y126" i="35" s="1"/>
  <c r="X126" i="37"/>
  <c r="Y126" i="37" s="1"/>
  <c r="Y31" i="35"/>
  <c r="X46" i="38"/>
  <c r="Y46" i="38" s="1"/>
  <c r="X15" i="38"/>
  <c r="Y15" i="38" s="1"/>
  <c r="X28" i="37"/>
  <c r="Y28" i="37" s="1"/>
  <c r="X125" i="38"/>
  <c r="Y125" i="38" s="1"/>
  <c r="X14" i="35"/>
  <c r="Y14" i="35" s="1"/>
  <c r="X121" i="37"/>
  <c r="Y121" i="37" s="1"/>
  <c r="X53" i="37"/>
  <c r="Y53" i="37" s="1"/>
  <c r="X16" i="37"/>
  <c r="Y16" i="37" s="1"/>
  <c r="X13" i="35"/>
  <c r="Y13" i="35" s="1"/>
  <c r="X12" i="35"/>
  <c r="Y12" i="35" s="1"/>
  <c r="X49" i="38"/>
  <c r="Y49" i="38" s="1"/>
  <c r="X13" i="37"/>
  <c r="Y13" i="37" s="1"/>
  <c r="X52" i="37"/>
  <c r="Y52" i="37" s="1"/>
  <c r="X109" i="35"/>
  <c r="Y109" i="35" s="1"/>
  <c r="X89" i="35"/>
  <c r="Y89" i="35" s="1"/>
  <c r="X47" i="37"/>
  <c r="Y47" i="37" s="1"/>
  <c r="X19" i="35"/>
  <c r="Y19" i="35" s="1"/>
  <c r="X53" i="38"/>
  <c r="Y53" i="38" s="1"/>
  <c r="X46" i="35"/>
  <c r="Y46" i="35" s="1"/>
  <c r="X19" i="37"/>
  <c r="Y19" i="37" s="1"/>
  <c r="X121" i="38"/>
  <c r="Y121" i="38" s="1"/>
  <c r="X107" i="35"/>
  <c r="Y107" i="35" s="1"/>
  <c r="X113" i="35"/>
  <c r="Y113" i="35" s="1"/>
  <c r="X123" i="35"/>
  <c r="Y123" i="35" s="1"/>
  <c r="X55" i="37"/>
  <c r="Y55" i="37" s="1"/>
  <c r="X119" i="37"/>
  <c r="Y119" i="37" s="1"/>
  <c r="X86" i="35"/>
  <c r="Y86" i="35" s="1"/>
  <c r="X54" i="37"/>
  <c r="Y54" i="37" s="1"/>
  <c r="X115" i="37"/>
  <c r="Y115" i="37" s="1"/>
  <c r="X116" i="37"/>
  <c r="Y116" i="37" s="1"/>
  <c r="X17" i="35"/>
  <c r="Y17" i="35" s="1"/>
  <c r="X73" i="37"/>
  <c r="Y73" i="37" s="1"/>
  <c r="X87" i="35"/>
  <c r="Y87" i="35" s="1"/>
  <c r="X111" i="35"/>
  <c r="Y111" i="35" s="1"/>
  <c r="X28" i="35"/>
  <c r="Y28" i="35" s="1"/>
  <c r="X18" i="35"/>
  <c r="Y18" i="35" s="1"/>
  <c r="X54" i="35"/>
  <c r="Y54" i="35" s="1"/>
  <c r="X31" i="37"/>
  <c r="Y31" i="37" s="1"/>
  <c r="X113" i="37"/>
  <c r="Y113" i="37" s="1"/>
  <c r="X74" i="38"/>
  <c r="Y74" i="38" s="1"/>
  <c r="X125" i="37"/>
  <c r="Y125" i="37" s="1"/>
  <c r="X90" i="37"/>
  <c r="Y90" i="37" s="1"/>
  <c r="X117" i="38"/>
  <c r="Y117" i="38" s="1"/>
  <c r="X116" i="38"/>
  <c r="Y116" i="38" s="1"/>
  <c r="X109" i="38"/>
  <c r="Y109" i="38" s="1"/>
  <c r="X124" i="35"/>
  <c r="Y124" i="35" s="1"/>
  <c r="X46" i="37"/>
  <c r="Y46" i="37" s="1"/>
  <c r="X73" i="38"/>
  <c r="Y73" i="38" s="1"/>
  <c r="X17" i="38"/>
  <c r="Y17" i="38" s="1"/>
  <c r="X17" i="37"/>
  <c r="Y17" i="37" s="1"/>
  <c r="X73" i="35"/>
  <c r="Y73" i="35" s="1"/>
  <c r="X31" i="38"/>
  <c r="Y31" i="38" s="1"/>
  <c r="X87" i="38"/>
  <c r="Y87" i="38" s="1"/>
  <c r="X47" i="35"/>
  <c r="Y47" i="35" s="1"/>
  <c r="X50" i="38"/>
  <c r="Y50" i="38" s="1"/>
  <c r="X108" i="37"/>
  <c r="Y108" i="37" s="1"/>
  <c r="X25" i="38"/>
  <c r="Y25" i="38" s="1"/>
  <c r="X121" i="35"/>
  <c r="Y121" i="35" s="1"/>
  <c r="X87" i="37"/>
  <c r="Y87" i="37" s="1"/>
  <c r="X122" i="35"/>
  <c r="Y122" i="35" s="1"/>
  <c r="X49" i="35"/>
  <c r="Y49" i="35" s="1"/>
  <c r="X47" i="38"/>
  <c r="Y47" i="38" s="1"/>
  <c r="X107" i="37"/>
  <c r="Y107" i="37" s="1"/>
  <c r="X108" i="38"/>
  <c r="Y108" i="38" s="1"/>
  <c r="X52" i="38"/>
  <c r="Y52" i="38" s="1"/>
  <c r="X19" i="38"/>
  <c r="Y19" i="38" s="1"/>
  <c r="X122" i="1"/>
  <c r="Y122" i="1" s="1"/>
  <c r="X95" i="35"/>
  <c r="Y95" i="35" s="1"/>
  <c r="X15" i="37"/>
  <c r="Y15" i="37" s="1"/>
  <c r="X11" i="37"/>
  <c r="Y11" i="37" s="1"/>
  <c r="X119" i="38"/>
  <c r="Y119" i="38" s="1"/>
  <c r="X55" i="38"/>
  <c r="Y55" i="38" s="1"/>
  <c r="X117" i="35"/>
  <c r="Y117" i="35" s="1"/>
  <c r="X90" i="35"/>
  <c r="Y90" i="35" s="1"/>
  <c r="X16" i="35"/>
  <c r="Y16" i="35" s="1"/>
  <c r="X48" i="37"/>
  <c r="Y48" i="37" s="1"/>
  <c r="X25" i="37"/>
  <c r="Y25" i="37" s="1"/>
  <c r="X12" i="37"/>
  <c r="Y12" i="37" s="1"/>
  <c r="X110" i="37"/>
  <c r="Y110" i="37" s="1"/>
  <c r="X114" i="38"/>
  <c r="Y114" i="38" s="1"/>
  <c r="X51" i="35"/>
  <c r="Y51" i="35" s="1"/>
  <c r="X75" i="38"/>
  <c r="Y75" i="38" s="1"/>
  <c r="X124" i="37"/>
  <c r="Y124" i="37" s="1"/>
  <c r="X56" i="37"/>
  <c r="Y56" i="37" s="1"/>
  <c r="X118" i="35"/>
  <c r="Y118" i="35" s="1"/>
  <c r="X48" i="35"/>
  <c r="Y48" i="35" s="1"/>
  <c r="BW11" i="1"/>
  <c r="BV11" i="1"/>
  <c r="BU11" i="1"/>
  <c r="BW24" i="1"/>
  <c r="BV24" i="1"/>
  <c r="BU24" i="1"/>
  <c r="BW31" i="1"/>
  <c r="BV31" i="1"/>
  <c r="BU31" i="1"/>
  <c r="BW76" i="1"/>
  <c r="BV76" i="1"/>
  <c r="BU76" i="1"/>
  <c r="BW95" i="1"/>
  <c r="BV95" i="1"/>
  <c r="BU95" i="1"/>
  <c r="BW119" i="1"/>
  <c r="BV119" i="1"/>
  <c r="BU119" i="1"/>
  <c r="BW13" i="1"/>
  <c r="BV13" i="1"/>
  <c r="BU13" i="1"/>
  <c r="BW46" i="1"/>
  <c r="BV46" i="1"/>
  <c r="BU46" i="1"/>
  <c r="BV75" i="1"/>
  <c r="BU75" i="1"/>
  <c r="BW75" i="1"/>
  <c r="BW107" i="1"/>
  <c r="BV107" i="1"/>
  <c r="BU107" i="1"/>
  <c r="BW118" i="1"/>
  <c r="BV118" i="1"/>
  <c r="BU118" i="1"/>
  <c r="BW12" i="1"/>
  <c r="BV12" i="1"/>
  <c r="BU12" i="1"/>
  <c r="BW117" i="1"/>
  <c r="BV117" i="1"/>
  <c r="BU117" i="1"/>
  <c r="BU47" i="1"/>
  <c r="BW47" i="1"/>
  <c r="BV47" i="1"/>
  <c r="BW48" i="1"/>
  <c r="BV48" i="1"/>
  <c r="BU48" i="1"/>
  <c r="BW73" i="1"/>
  <c r="BV73" i="1"/>
  <c r="BU73" i="1"/>
  <c r="BW108" i="1"/>
  <c r="BV108" i="1"/>
  <c r="BU108" i="1"/>
  <c r="BW90" i="1"/>
  <c r="BV90" i="1"/>
  <c r="BU90" i="1"/>
  <c r="BW74" i="1"/>
  <c r="BV74" i="1"/>
  <c r="BU74" i="1"/>
  <c r="BW109" i="1"/>
  <c r="BV109" i="1"/>
  <c r="BU109" i="1"/>
  <c r="BW115" i="1"/>
  <c r="BV115" i="1"/>
  <c r="BU115" i="1"/>
  <c r="BW49" i="1"/>
  <c r="BV49" i="1"/>
  <c r="BU49" i="1"/>
  <c r="BW16" i="1"/>
  <c r="BV16" i="1"/>
  <c r="BU16" i="1"/>
  <c r="BW81" i="1"/>
  <c r="BV81" i="1"/>
  <c r="BU81" i="1"/>
  <c r="BW50" i="1"/>
  <c r="BV50" i="1"/>
  <c r="BU50" i="1"/>
  <c r="BV51" i="1"/>
  <c r="BU51" i="1"/>
  <c r="BW51" i="1"/>
  <c r="BW15" i="1"/>
  <c r="BV15" i="1"/>
  <c r="BU15" i="1"/>
  <c r="BU53" i="1"/>
  <c r="BW53" i="1"/>
  <c r="BV53" i="1"/>
  <c r="BW86" i="1"/>
  <c r="BV86" i="1"/>
  <c r="BU86" i="1"/>
  <c r="BW113" i="1"/>
  <c r="BV113" i="1"/>
  <c r="BU113" i="1"/>
  <c r="BW54" i="1"/>
  <c r="BV54" i="1"/>
  <c r="BU54" i="1"/>
  <c r="BW56" i="1"/>
  <c r="BV56" i="1"/>
  <c r="BU56" i="1"/>
  <c r="BU14" i="1"/>
  <c r="BW14" i="1"/>
  <c r="BV14" i="1"/>
  <c r="BU55" i="1"/>
  <c r="BW55" i="1"/>
  <c r="BV55" i="1"/>
  <c r="BW114" i="1"/>
  <c r="BV114" i="1"/>
  <c r="BU114" i="1"/>
  <c r="BW17" i="1"/>
  <c r="BV17" i="1"/>
  <c r="BU17" i="1"/>
  <c r="BW52" i="1"/>
  <c r="BV52" i="1"/>
  <c r="BU52" i="1"/>
  <c r="BW89" i="1"/>
  <c r="BV89" i="1"/>
  <c r="BU89" i="1"/>
  <c r="BU112" i="1"/>
  <c r="BV112" i="1"/>
  <c r="BW112" i="1"/>
  <c r="BW28" i="1"/>
  <c r="BV28" i="1"/>
  <c r="BU28" i="1"/>
  <c r="BW88" i="1"/>
  <c r="BV88" i="1"/>
  <c r="BU88" i="1"/>
  <c r="BW110" i="1"/>
  <c r="BV110" i="1"/>
  <c r="BU110" i="1"/>
  <c r="BW20" i="1"/>
  <c r="BV20" i="1"/>
  <c r="BU20" i="1"/>
  <c r="BW19" i="1"/>
  <c r="BV19" i="1"/>
  <c r="BU19" i="1"/>
  <c r="BW111" i="1"/>
  <c r="BV111" i="1"/>
  <c r="BU111" i="1"/>
  <c r="BV25" i="1"/>
  <c r="BU25" i="1"/>
  <c r="BW25" i="1"/>
  <c r="BV18" i="1"/>
  <c r="BU18" i="1"/>
  <c r="BW18" i="1"/>
  <c r="BU87" i="1"/>
  <c r="BW87" i="1"/>
  <c r="BV87" i="1"/>
  <c r="BW116" i="1"/>
  <c r="BV116" i="1"/>
  <c r="BU116" i="1"/>
  <c r="X21" i="35"/>
  <c r="Y21" i="35" s="1"/>
  <c r="X81" i="37"/>
  <c r="Y81" i="37" s="1"/>
  <c r="X21" i="37"/>
  <c r="Y21" i="37" s="1"/>
  <c r="X81" i="38"/>
  <c r="Y81" i="38" s="1"/>
  <c r="S76" i="35"/>
  <c r="AC76" i="35" s="1"/>
  <c r="S76" i="37"/>
  <c r="AC76" i="37" s="1"/>
  <c r="S76" i="38"/>
  <c r="AC76" i="38" s="1"/>
  <c r="X20" i="38"/>
  <c r="Y20" i="38" s="1"/>
  <c r="X24" i="38"/>
  <c r="Y24" i="38" s="1"/>
  <c r="X76" i="37"/>
  <c r="X76" i="38"/>
  <c r="X76" i="35"/>
  <c r="X21" i="38"/>
  <c r="Y21" i="38" s="1"/>
  <c r="X81" i="35"/>
  <c r="Y81" i="35" s="1"/>
  <c r="X20" i="35"/>
  <c r="Y20" i="35" s="1"/>
  <c r="X24" i="37"/>
  <c r="Y24" i="37" s="1"/>
  <c r="X20" i="37"/>
  <c r="Y20" i="37" s="1"/>
  <c r="Y11" i="35"/>
  <c r="Y123" i="38"/>
  <c r="Y49" i="37"/>
  <c r="Y74" i="37"/>
  <c r="X125" i="1"/>
  <c r="X123" i="1"/>
  <c r="X124" i="1"/>
  <c r="P21" i="1"/>
  <c r="R18" i="1"/>
  <c r="S18" i="1" s="1"/>
  <c r="M21" i="1"/>
  <c r="L21" i="1"/>
  <c r="R19" i="1"/>
  <c r="S19" i="1" s="1"/>
  <c r="Q19" i="1"/>
  <c r="P19" i="1"/>
  <c r="O19" i="1"/>
  <c r="M19" i="1"/>
  <c r="L19" i="1"/>
  <c r="P18" i="1"/>
  <c r="M18" i="1"/>
  <c r="L18" i="1"/>
  <c r="R17" i="1"/>
  <c r="S17" i="1" s="1"/>
  <c r="Q17" i="1"/>
  <c r="P17" i="1"/>
  <c r="O17" i="1"/>
  <c r="M17" i="1"/>
  <c r="L17" i="1"/>
  <c r="Y119" i="35" l="1"/>
  <c r="Y76" i="35"/>
  <c r="Y76" i="37"/>
  <c r="Y76" i="38"/>
  <c r="Y125" i="1"/>
  <c r="Y124" i="1"/>
  <c r="Y123" i="1"/>
  <c r="T19" i="1"/>
  <c r="U19" i="1" s="1"/>
  <c r="T17" i="1"/>
  <c r="U17" i="1" s="1"/>
  <c r="W17" i="1"/>
  <c r="W19" i="1"/>
  <c r="O21" i="1"/>
  <c r="W21" i="1"/>
  <c r="Q21" i="1"/>
  <c r="R21" i="1"/>
  <c r="O18" i="1"/>
  <c r="V17" i="1"/>
  <c r="Q18" i="1"/>
  <c r="T18" i="1" s="1"/>
  <c r="U18" i="1" s="1"/>
  <c r="V19" i="1"/>
  <c r="X19" i="1" s="1"/>
  <c r="Y19" i="1" s="1"/>
  <c r="X17" i="1" l="1"/>
  <c r="Y17" i="1" s="1"/>
  <c r="V21" i="1"/>
  <c r="S21" i="1" s="1"/>
  <c r="W18" i="1"/>
  <c r="T21" i="1"/>
  <c r="U21" i="1" s="1"/>
  <c r="V18" i="1"/>
  <c r="X18" i="1" l="1"/>
  <c r="Y18" i="1" s="1"/>
  <c r="X21" i="1"/>
  <c r="Y21" i="1" s="1"/>
  <c r="O91" i="1"/>
  <c r="P91" i="1"/>
  <c r="Q91" i="1"/>
  <c r="R91" i="1"/>
  <c r="T91" i="1"/>
  <c r="U91" i="1" s="1"/>
  <c r="V91" i="1"/>
  <c r="W91" i="1"/>
  <c r="X91" i="1"/>
  <c r="O92" i="1"/>
  <c r="P92" i="1"/>
  <c r="Q92" i="1"/>
  <c r="R92" i="1"/>
  <c r="W92" i="1" s="1"/>
  <c r="T92" i="1"/>
  <c r="U92" i="1" s="1"/>
  <c r="V92" i="1"/>
  <c r="X92" i="1" s="1"/>
  <c r="Y92" i="1" s="1"/>
  <c r="O93" i="1"/>
  <c r="P93" i="1"/>
  <c r="Q93" i="1"/>
  <c r="T93" i="1" s="1"/>
  <c r="U93" i="1" s="1"/>
  <c r="R93" i="1"/>
  <c r="O94" i="1"/>
  <c r="P94" i="1"/>
  <c r="Q94" i="1"/>
  <c r="W94" i="1" s="1"/>
  <c r="R94" i="1"/>
  <c r="M92" i="1"/>
  <c r="L92" i="1"/>
  <c r="M91" i="1"/>
  <c r="L91" i="1"/>
  <c r="M94" i="1"/>
  <c r="L94" i="1"/>
  <c r="BX92" i="1" l="1"/>
  <c r="BX94" i="1"/>
  <c r="BX91" i="1"/>
  <c r="Y91" i="1"/>
  <c r="V94" i="1"/>
  <c r="X94" i="1" s="1"/>
  <c r="Y94" i="1" s="1"/>
  <c r="T94" i="1"/>
  <c r="U94" i="1" s="1"/>
  <c r="W93" i="1"/>
  <c r="V93" i="1"/>
  <c r="X93" i="1" s="1"/>
  <c r="Y93" i="1" s="1"/>
  <c r="P119" i="1"/>
  <c r="Q119" i="1"/>
  <c r="M119" i="1"/>
  <c r="L119" i="1"/>
  <c r="P118" i="1"/>
  <c r="R118" i="1"/>
  <c r="S118" i="1" s="1"/>
  <c r="Q118" i="1"/>
  <c r="M118" i="1"/>
  <c r="L118" i="1"/>
  <c r="R117" i="1"/>
  <c r="S117" i="1" s="1"/>
  <c r="Q117" i="1"/>
  <c r="P117" i="1"/>
  <c r="O117" i="1"/>
  <c r="M117" i="1"/>
  <c r="L117" i="1"/>
  <c r="M116" i="1"/>
  <c r="L116" i="1"/>
  <c r="BX117" i="1" l="1"/>
  <c r="P13" i="1"/>
  <c r="O90" i="1"/>
  <c r="P90" i="1"/>
  <c r="Q90" i="1"/>
  <c r="R90" i="1"/>
  <c r="S90" i="1" s="1"/>
  <c r="Q50" i="1"/>
  <c r="O50" i="1"/>
  <c r="P50" i="1"/>
  <c r="R50" i="1"/>
  <c r="S50" i="1" s="1"/>
  <c r="O31" i="1"/>
  <c r="Q31" i="1"/>
  <c r="R31" i="1"/>
  <c r="S31" i="1" s="1"/>
  <c r="P31" i="1"/>
  <c r="O25" i="1"/>
  <c r="P25" i="1"/>
  <c r="Q25" i="1"/>
  <c r="R25" i="1"/>
  <c r="S25" i="1" s="1"/>
  <c r="R20" i="1"/>
  <c r="O20" i="1"/>
  <c r="Q20" i="1"/>
  <c r="W20" i="1"/>
  <c r="P20" i="1"/>
  <c r="Q15" i="1"/>
  <c r="R15" i="1"/>
  <c r="S15" i="1" s="1"/>
  <c r="O15" i="1"/>
  <c r="P15" i="1"/>
  <c r="P49" i="1"/>
  <c r="Q49" i="1"/>
  <c r="O49" i="1"/>
  <c r="R49" i="1"/>
  <c r="S49" i="1" s="1"/>
  <c r="P48" i="1"/>
  <c r="R48" i="1"/>
  <c r="S48" i="1" s="1"/>
  <c r="O48" i="1"/>
  <c r="Q48" i="1"/>
  <c r="R28" i="1"/>
  <c r="S28" i="1" s="1"/>
  <c r="O28" i="1"/>
  <c r="Q28" i="1"/>
  <c r="P28" i="1"/>
  <c r="P24" i="1"/>
  <c r="R24" i="1"/>
  <c r="W24" i="1"/>
  <c r="O24" i="1"/>
  <c r="Q24" i="1"/>
  <c r="T24" i="1" s="1"/>
  <c r="U24" i="1" s="1"/>
  <c r="O16" i="1"/>
  <c r="Q16" i="1"/>
  <c r="P16" i="1"/>
  <c r="R16" i="1"/>
  <c r="S16" i="1" s="1"/>
  <c r="O14" i="1"/>
  <c r="Q14" i="1"/>
  <c r="P14" i="1"/>
  <c r="R14" i="1"/>
  <c r="S14" i="1" s="1"/>
  <c r="P12" i="1"/>
  <c r="Q12" i="1"/>
  <c r="O12" i="1"/>
  <c r="R12" i="1"/>
  <c r="S12" i="1" s="1"/>
  <c r="R109" i="1"/>
  <c r="S109" i="1" s="1"/>
  <c r="O109" i="1"/>
  <c r="Q109" i="1"/>
  <c r="P109" i="1"/>
  <c r="R108" i="1"/>
  <c r="S108" i="1" s="1"/>
  <c r="O108" i="1"/>
  <c r="P108" i="1"/>
  <c r="Q108" i="1"/>
  <c r="Q89" i="1"/>
  <c r="O89" i="1"/>
  <c r="P89" i="1"/>
  <c r="R89" i="1"/>
  <c r="S89" i="1" s="1"/>
  <c r="O81" i="1"/>
  <c r="Q81" i="1"/>
  <c r="T81" i="1" s="1"/>
  <c r="U81" i="1" s="1"/>
  <c r="W81" i="1"/>
  <c r="R81" i="1"/>
  <c r="O86" i="1"/>
  <c r="P86" i="1"/>
  <c r="Q86" i="1"/>
  <c r="R86" i="1"/>
  <c r="S86" i="1" s="1"/>
  <c r="Q46" i="1"/>
  <c r="O46" i="1"/>
  <c r="P46" i="1"/>
  <c r="R46" i="1"/>
  <c r="S46" i="1" s="1"/>
  <c r="O87" i="1"/>
  <c r="P87" i="1"/>
  <c r="Q87" i="1"/>
  <c r="R87" i="1"/>
  <c r="S87" i="1" s="1"/>
  <c r="Q88" i="1"/>
  <c r="R88" i="1"/>
  <c r="S88" i="1" s="1"/>
  <c r="P88" i="1"/>
  <c r="O88" i="1"/>
  <c r="Q107" i="1"/>
  <c r="R107" i="1"/>
  <c r="S107" i="1" s="1"/>
  <c r="O107" i="1"/>
  <c r="P107" i="1"/>
  <c r="Q114" i="1"/>
  <c r="P114" i="1"/>
  <c r="R114" i="1"/>
  <c r="S114" i="1" s="1"/>
  <c r="O114" i="1"/>
  <c r="P110" i="1"/>
  <c r="Q110" i="1"/>
  <c r="R110" i="1"/>
  <c r="S110" i="1" s="1"/>
  <c r="O110" i="1"/>
  <c r="R95" i="1"/>
  <c r="S95" i="1" s="1"/>
  <c r="P95" i="1"/>
  <c r="Q95" i="1"/>
  <c r="O95" i="1"/>
  <c r="O75" i="1"/>
  <c r="P75" i="1"/>
  <c r="Q75" i="1"/>
  <c r="R75" i="1"/>
  <c r="S75" i="1" s="1"/>
  <c r="Q55" i="1"/>
  <c r="R55" i="1"/>
  <c r="S55" i="1" s="1"/>
  <c r="P55" i="1"/>
  <c r="O55" i="1"/>
  <c r="Q51" i="1"/>
  <c r="R51" i="1"/>
  <c r="S51" i="1" s="1"/>
  <c r="O51" i="1"/>
  <c r="P51" i="1"/>
  <c r="O113" i="1"/>
  <c r="P113" i="1"/>
  <c r="Q113" i="1"/>
  <c r="R113" i="1"/>
  <c r="S113" i="1" s="1"/>
  <c r="Q74" i="1"/>
  <c r="P74" i="1"/>
  <c r="O74" i="1"/>
  <c r="R74" i="1"/>
  <c r="S74" i="1" s="1"/>
  <c r="R54" i="1"/>
  <c r="S54" i="1" s="1"/>
  <c r="Q54" i="1"/>
  <c r="O54" i="1"/>
  <c r="P54" i="1"/>
  <c r="O47" i="1"/>
  <c r="P47" i="1"/>
  <c r="Q47" i="1"/>
  <c r="R47" i="1"/>
  <c r="S47" i="1" s="1"/>
  <c r="P116" i="1"/>
  <c r="Q116" i="1"/>
  <c r="R116" i="1"/>
  <c r="S116" i="1" s="1"/>
  <c r="O116" i="1"/>
  <c r="R112" i="1"/>
  <c r="S112" i="1" s="1"/>
  <c r="O112" i="1"/>
  <c r="P112" i="1"/>
  <c r="Q112" i="1"/>
  <c r="O73" i="1"/>
  <c r="P73" i="1"/>
  <c r="Q73" i="1"/>
  <c r="R73" i="1"/>
  <c r="S73" i="1" s="1"/>
  <c r="O53" i="1"/>
  <c r="P53" i="1"/>
  <c r="Q53" i="1"/>
  <c r="R53" i="1"/>
  <c r="S53" i="1" s="1"/>
  <c r="R115" i="1"/>
  <c r="S115" i="1" s="1"/>
  <c r="O115" i="1"/>
  <c r="P115" i="1"/>
  <c r="Q115" i="1"/>
  <c r="O111" i="1"/>
  <c r="P111" i="1"/>
  <c r="R111" i="1"/>
  <c r="S111" i="1" s="1"/>
  <c r="Q111" i="1"/>
  <c r="O76" i="1"/>
  <c r="P76" i="1"/>
  <c r="Q76" i="1"/>
  <c r="R76" i="1"/>
  <c r="W76" i="1"/>
  <c r="R56" i="1"/>
  <c r="S56" i="1" s="1"/>
  <c r="P56" i="1"/>
  <c r="Q56" i="1"/>
  <c r="O56" i="1"/>
  <c r="P52" i="1"/>
  <c r="Q52" i="1"/>
  <c r="R52" i="1"/>
  <c r="S52" i="1" s="1"/>
  <c r="O52" i="1"/>
  <c r="V117" i="1"/>
  <c r="W117" i="1"/>
  <c r="R119" i="1"/>
  <c r="T119" i="1"/>
  <c r="U119" i="1" s="1"/>
  <c r="O119" i="1"/>
  <c r="BX119" i="1" s="1"/>
  <c r="T118" i="1"/>
  <c r="U118" i="1" s="1"/>
  <c r="V118" i="1"/>
  <c r="W118" i="1"/>
  <c r="O118" i="1"/>
  <c r="BX118" i="1" s="1"/>
  <c r="T117" i="1"/>
  <c r="U117" i="1" s="1"/>
  <c r="X117" i="1" l="1"/>
  <c r="Y117" i="1" s="1"/>
  <c r="BX116" i="1"/>
  <c r="V119" i="1"/>
  <c r="S119" i="1"/>
  <c r="O13" i="1"/>
  <c r="R13" i="1"/>
  <c r="S13" i="1" s="1"/>
  <c r="Q13" i="1"/>
  <c r="W116" i="1"/>
  <c r="T20" i="1"/>
  <c r="U20" i="1" s="1"/>
  <c r="V116" i="1"/>
  <c r="X116" i="1" s="1"/>
  <c r="Y116" i="1" s="1"/>
  <c r="T116" i="1"/>
  <c r="U116" i="1" s="1"/>
  <c r="T76" i="1"/>
  <c r="U76" i="1" s="1"/>
  <c r="W119" i="1"/>
  <c r="X118" i="1"/>
  <c r="Y118" i="1" s="1"/>
  <c r="M53" i="1"/>
  <c r="W53" i="1" s="1"/>
  <c r="L53" i="1"/>
  <c r="M52" i="1"/>
  <c r="W52" i="1" s="1"/>
  <c r="L52" i="1"/>
  <c r="V52" i="1" s="1"/>
  <c r="M51" i="1"/>
  <c r="W51" i="1" s="1"/>
  <c r="L51" i="1"/>
  <c r="V51" i="1" s="1"/>
  <c r="X51" i="1" s="1"/>
  <c r="Y51" i="1" s="1"/>
  <c r="X119" i="1" l="1"/>
  <c r="Y119" i="1" s="1"/>
  <c r="X52" i="1"/>
  <c r="Y52" i="1" s="1"/>
  <c r="T53" i="1"/>
  <c r="U53" i="1" s="1"/>
  <c r="V53" i="1"/>
  <c r="X53" i="1" s="1"/>
  <c r="Y53" i="1" s="1"/>
  <c r="T52" i="1"/>
  <c r="U52" i="1" s="1"/>
  <c r="T51" i="1"/>
  <c r="U51" i="1" s="1"/>
  <c r="M115" i="1" l="1"/>
  <c r="W115" i="1" s="1"/>
  <c r="L115" i="1"/>
  <c r="M114" i="1"/>
  <c r="W114" i="1" s="1"/>
  <c r="L114" i="1"/>
  <c r="M113" i="1"/>
  <c r="W113" i="1" s="1"/>
  <c r="L113" i="1"/>
  <c r="M112" i="1"/>
  <c r="W112" i="1" s="1"/>
  <c r="L112" i="1"/>
  <c r="M111" i="1"/>
  <c r="W111" i="1" s="1"/>
  <c r="L111" i="1"/>
  <c r="BX111" i="1" s="1"/>
  <c r="M110" i="1"/>
  <c r="W110" i="1" s="1"/>
  <c r="L110" i="1"/>
  <c r="M109" i="1"/>
  <c r="W109" i="1" s="1"/>
  <c r="L109" i="1"/>
  <c r="M108" i="1"/>
  <c r="W108" i="1" s="1"/>
  <c r="L108" i="1"/>
  <c r="M107" i="1"/>
  <c r="W107" i="1" s="1"/>
  <c r="L107" i="1"/>
  <c r="BX110" i="1" l="1"/>
  <c r="BX109" i="1"/>
  <c r="BX115" i="1"/>
  <c r="BX108" i="1"/>
  <c r="BX114" i="1"/>
  <c r="BX107" i="1"/>
  <c r="BX113" i="1"/>
  <c r="BX112" i="1"/>
  <c r="V111" i="1"/>
  <c r="X111" i="1" s="1"/>
  <c r="Y111" i="1" s="1"/>
  <c r="T111" i="1"/>
  <c r="U111" i="1" s="1"/>
  <c r="T113" i="1"/>
  <c r="U113" i="1" s="1"/>
  <c r="V113" i="1"/>
  <c r="X113" i="1" s="1"/>
  <c r="Y113" i="1" s="1"/>
  <c r="T114" i="1"/>
  <c r="U114" i="1" s="1"/>
  <c r="V114" i="1"/>
  <c r="X114" i="1" s="1"/>
  <c r="Y114" i="1" s="1"/>
  <c r="V110" i="1"/>
  <c r="X110" i="1" s="1"/>
  <c r="Y110" i="1" s="1"/>
  <c r="T110" i="1"/>
  <c r="U110" i="1" s="1"/>
  <c r="T107" i="1"/>
  <c r="U107" i="1" s="1"/>
  <c r="V107" i="1"/>
  <c r="X107" i="1" s="1"/>
  <c r="Y107" i="1" s="1"/>
  <c r="T108" i="1"/>
  <c r="U108" i="1" s="1"/>
  <c r="V108" i="1"/>
  <c r="X108" i="1" s="1"/>
  <c r="Y108" i="1" s="1"/>
  <c r="V109" i="1"/>
  <c r="X109" i="1" s="1"/>
  <c r="Y109" i="1" s="1"/>
  <c r="T109" i="1"/>
  <c r="U109" i="1" s="1"/>
  <c r="V115" i="1"/>
  <c r="X115" i="1" s="1"/>
  <c r="Y115" i="1" s="1"/>
  <c r="T115" i="1"/>
  <c r="U115" i="1" s="1"/>
  <c r="T112" i="1"/>
  <c r="U112" i="1" s="1"/>
  <c r="V112" i="1"/>
  <c r="X112" i="1" s="1"/>
  <c r="Y112" i="1" s="1"/>
  <c r="M95" i="1" l="1"/>
  <c r="W95" i="1" s="1"/>
  <c r="L95" i="1"/>
  <c r="BX95" i="1" l="1"/>
  <c r="V95" i="1"/>
  <c r="X95" i="1" s="1"/>
  <c r="Y95" i="1" s="1"/>
  <c r="T95" i="1"/>
  <c r="U95" i="1" s="1"/>
  <c r="M48" i="1"/>
  <c r="W48" i="1" s="1"/>
  <c r="L48" i="1"/>
  <c r="M49" i="1"/>
  <c r="W49" i="1" s="1"/>
  <c r="L49" i="1"/>
  <c r="M81" i="1"/>
  <c r="L81" i="1"/>
  <c r="M76" i="1"/>
  <c r="L76" i="1"/>
  <c r="M75" i="1"/>
  <c r="W75" i="1" s="1"/>
  <c r="L75" i="1"/>
  <c r="M74" i="1"/>
  <c r="W74" i="1" s="1"/>
  <c r="L74" i="1"/>
  <c r="M73" i="1"/>
  <c r="W73" i="1" s="1"/>
  <c r="L73" i="1"/>
  <c r="M56" i="1"/>
  <c r="W56" i="1" s="1"/>
  <c r="L56" i="1"/>
  <c r="M55" i="1"/>
  <c r="W55" i="1" s="1"/>
  <c r="L55" i="1"/>
  <c r="M54" i="1"/>
  <c r="W54" i="1" s="1"/>
  <c r="L54" i="1"/>
  <c r="M50" i="1"/>
  <c r="W50" i="1" s="1"/>
  <c r="L50" i="1"/>
  <c r="M93" i="1"/>
  <c r="L93" i="1"/>
  <c r="M90" i="1"/>
  <c r="W90" i="1" s="1"/>
  <c r="L90" i="1"/>
  <c r="M89" i="1"/>
  <c r="W89" i="1" s="1"/>
  <c r="L89" i="1"/>
  <c r="M88" i="1"/>
  <c r="W88" i="1" s="1"/>
  <c r="L88" i="1"/>
  <c r="M87" i="1"/>
  <c r="W87" i="1" s="1"/>
  <c r="L87" i="1"/>
  <c r="M86" i="1"/>
  <c r="W86" i="1" s="1"/>
  <c r="L86" i="1"/>
  <c r="M47" i="1"/>
  <c r="W47" i="1" s="1"/>
  <c r="L47" i="1"/>
  <c r="M46" i="1"/>
  <c r="W46" i="1" s="1"/>
  <c r="L46" i="1"/>
  <c r="BX47" i="1" l="1"/>
  <c r="BX93" i="1"/>
  <c r="BX86" i="1"/>
  <c r="BX50" i="1"/>
  <c r="BX75" i="1"/>
  <c r="BX46" i="1"/>
  <c r="BX90" i="1"/>
  <c r="BX73" i="1"/>
  <c r="BX48" i="1"/>
  <c r="BX74" i="1"/>
  <c r="BX89" i="1"/>
  <c r="BX56" i="1"/>
  <c r="BX49" i="1"/>
  <c r="BX87" i="1"/>
  <c r="BX54" i="1"/>
  <c r="BX76" i="1"/>
  <c r="BX88" i="1"/>
  <c r="BX55" i="1"/>
  <c r="BX81" i="1"/>
  <c r="V76" i="1"/>
  <c r="S76" i="1" s="1"/>
  <c r="AC76" i="1" s="1"/>
  <c r="V81" i="1"/>
  <c r="S81" i="1" s="1"/>
  <c r="V86" i="1"/>
  <c r="X86" i="1" s="1"/>
  <c r="Y86" i="1" s="1"/>
  <c r="T86" i="1"/>
  <c r="U86" i="1" s="1"/>
  <c r="T75" i="1"/>
  <c r="U75" i="1" s="1"/>
  <c r="V75" i="1"/>
  <c r="X75" i="1" s="1"/>
  <c r="Y75" i="1" s="1"/>
  <c r="V88" i="1"/>
  <c r="X88" i="1" s="1"/>
  <c r="Y88" i="1" s="1"/>
  <c r="T88" i="1"/>
  <c r="U88" i="1" s="1"/>
  <c r="V87" i="1"/>
  <c r="X87" i="1" s="1"/>
  <c r="Y87" i="1" s="1"/>
  <c r="T87" i="1"/>
  <c r="U87" i="1" s="1"/>
  <c r="T56" i="1"/>
  <c r="U56" i="1" s="1"/>
  <c r="V56" i="1"/>
  <c r="X56" i="1" s="1"/>
  <c r="Y56" i="1" s="1"/>
  <c r="T49" i="1"/>
  <c r="U49" i="1" s="1"/>
  <c r="V49" i="1"/>
  <c r="X49" i="1" s="1"/>
  <c r="Y49" i="1" s="1"/>
  <c r="T50" i="1"/>
  <c r="U50" i="1" s="1"/>
  <c r="V50" i="1"/>
  <c r="X50" i="1" s="1"/>
  <c r="Y50" i="1" s="1"/>
  <c r="V54" i="1"/>
  <c r="X54" i="1" s="1"/>
  <c r="Y54" i="1" s="1"/>
  <c r="T54" i="1"/>
  <c r="U54" i="1" s="1"/>
  <c r="T55" i="1"/>
  <c r="U55" i="1" s="1"/>
  <c r="V55" i="1"/>
  <c r="X55" i="1" s="1"/>
  <c r="Y55" i="1" s="1"/>
  <c r="V46" i="1"/>
  <c r="X46" i="1" s="1"/>
  <c r="Y46" i="1" s="1"/>
  <c r="T46" i="1"/>
  <c r="U46" i="1" s="1"/>
  <c r="T90" i="1"/>
  <c r="U90" i="1" s="1"/>
  <c r="V90" i="1"/>
  <c r="X90" i="1" s="1"/>
  <c r="Y90" i="1" s="1"/>
  <c r="V73" i="1"/>
  <c r="X73" i="1" s="1"/>
  <c r="Y73" i="1" s="1"/>
  <c r="T73" i="1"/>
  <c r="U73" i="1" s="1"/>
  <c r="V48" i="1"/>
  <c r="X48" i="1" s="1"/>
  <c r="Y48" i="1" s="1"/>
  <c r="T48" i="1"/>
  <c r="U48" i="1" s="1"/>
  <c r="T89" i="1"/>
  <c r="U89" i="1" s="1"/>
  <c r="V89" i="1"/>
  <c r="X89" i="1" s="1"/>
  <c r="Y89" i="1" s="1"/>
  <c r="V47" i="1"/>
  <c r="X47" i="1" s="1"/>
  <c r="Y47" i="1" s="1"/>
  <c r="T47" i="1"/>
  <c r="U47" i="1" s="1"/>
  <c r="V74" i="1"/>
  <c r="X74" i="1" s="1"/>
  <c r="Y74" i="1" s="1"/>
  <c r="T74" i="1"/>
  <c r="U74" i="1" s="1"/>
  <c r="AB76" i="1"/>
  <c r="AA74" i="1"/>
  <c r="AB75" i="1"/>
  <c r="AC74" i="1"/>
  <c r="AC75" i="1"/>
  <c r="AB74" i="1"/>
  <c r="Z75" i="1"/>
  <c r="Z76" i="1"/>
  <c r="AA76" i="1"/>
  <c r="AA75" i="1"/>
  <c r="Z74" i="1"/>
  <c r="AC46" i="1"/>
  <c r="X76" i="1" l="1"/>
  <c r="Y76" i="1" s="1"/>
  <c r="X81" i="1"/>
  <c r="Y81" i="1" s="1"/>
  <c r="AB46" i="1"/>
  <c r="AA46" i="1"/>
  <c r="Z46" i="1"/>
  <c r="O11" i="1" l="1"/>
  <c r="P11" i="1"/>
  <c r="Q11" i="1"/>
  <c r="R11" i="1"/>
  <c r="S11" i="1" s="1"/>
  <c r="L13" i="1"/>
  <c r="M13" i="1"/>
  <c r="W13" i="1" s="1"/>
  <c r="L14" i="1"/>
  <c r="M14" i="1"/>
  <c r="W14" i="1" s="1"/>
  <c r="L15" i="1"/>
  <c r="M15" i="1"/>
  <c r="W15" i="1" s="1"/>
  <c r="L16" i="1"/>
  <c r="M16" i="1"/>
  <c r="W16" i="1" s="1"/>
  <c r="L20" i="1"/>
  <c r="M20" i="1"/>
  <c r="L24" i="1"/>
  <c r="M24" i="1"/>
  <c r="L25" i="1"/>
  <c r="M25" i="1"/>
  <c r="W25" i="1" s="1"/>
  <c r="L28" i="1"/>
  <c r="M28" i="1"/>
  <c r="W28" i="1" s="1"/>
  <c r="L31" i="1"/>
  <c r="M31" i="1"/>
  <c r="W31" i="1" s="1"/>
  <c r="BX16" i="1" l="1"/>
  <c r="BX15" i="1"/>
  <c r="BX14" i="1"/>
  <c r="BX28" i="1"/>
  <c r="BX31" i="1"/>
  <c r="BX13" i="1"/>
  <c r="BX25" i="1"/>
  <c r="BX24" i="1"/>
  <c r="BX20" i="1"/>
  <c r="V20" i="1"/>
  <c r="S20" i="1" s="1"/>
  <c r="V24" i="1"/>
  <c r="S24" i="1" s="1"/>
  <c r="T16" i="1"/>
  <c r="U16" i="1" s="1"/>
  <c r="V16" i="1"/>
  <c r="X16" i="1" s="1"/>
  <c r="Y16" i="1" s="1"/>
  <c r="T31" i="1"/>
  <c r="U31" i="1" s="1"/>
  <c r="V31" i="1"/>
  <c r="X31" i="1" s="1"/>
  <c r="Y31" i="1" s="1"/>
  <c r="T13" i="1"/>
  <c r="U13" i="1" s="1"/>
  <c r="V13" i="1"/>
  <c r="X13" i="1" s="1"/>
  <c r="Y13" i="1" s="1"/>
  <c r="T14" i="1"/>
  <c r="U14" i="1" s="1"/>
  <c r="V14" i="1"/>
  <c r="X14" i="1" s="1"/>
  <c r="Y14" i="1" s="1"/>
  <c r="V25" i="1"/>
  <c r="X25" i="1" s="1"/>
  <c r="Y25" i="1" s="1"/>
  <c r="T25" i="1"/>
  <c r="U25" i="1" s="1"/>
  <c r="V15" i="1"/>
  <c r="X15" i="1" s="1"/>
  <c r="Y15" i="1" s="1"/>
  <c r="T15" i="1"/>
  <c r="U15" i="1" s="1"/>
  <c r="T28" i="1"/>
  <c r="U28" i="1" s="1"/>
  <c r="V28" i="1"/>
  <c r="X28" i="1" s="1"/>
  <c r="Y28" i="1" s="1"/>
  <c r="M12" i="1"/>
  <c r="W12" i="1" s="1"/>
  <c r="L12" i="1"/>
  <c r="M11" i="1"/>
  <c r="W11" i="1" s="1"/>
  <c r="L11" i="1"/>
  <c r="BX11" i="1" l="1"/>
  <c r="BX12" i="1"/>
  <c r="X20" i="1"/>
  <c r="Y20" i="1" s="1"/>
  <c r="X24" i="1"/>
  <c r="Y24" i="1" s="1"/>
  <c r="T12" i="1"/>
  <c r="U12" i="1" s="1"/>
  <c r="V12" i="1"/>
  <c r="X12" i="1" s="1"/>
  <c r="Y12" i="1" s="1"/>
  <c r="V11" i="1"/>
  <c r="X11" i="1" s="1"/>
  <c r="Y11" i="1" s="1"/>
  <c r="T11" i="1"/>
  <c r="U11" i="1" s="1"/>
  <c r="Z31" i="1" l="1"/>
  <c r="AC31" i="1" l="1"/>
  <c r="AA31" i="1"/>
  <c r="AB31" i="1"/>
  <c r="AB28" i="1" l="1"/>
  <c r="AA28" i="1" l="1"/>
  <c r="AC28" i="1"/>
  <c r="Z2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V2" authorId="0" shapeId="0" xr:uid="{786C6A46-BD7A-984A-91A5-2EA38B8682B8}">
      <text>
        <r>
          <rPr>
            <sz val="9"/>
            <color rgb="FF000000"/>
            <rFont val="Calibri"/>
            <family val="2"/>
          </rPr>
          <t xml:space="preserve">- Fill in all light purple fields.
</t>
        </r>
        <r>
          <rPr>
            <sz val="9"/>
            <color rgb="FF000000"/>
            <rFont val="Calibri"/>
            <family val="2"/>
          </rPr>
          <t xml:space="preserve">- Enter comments for incomplete data or any dimensions with "Reject" status
</t>
        </r>
        <r>
          <rPr>
            <sz val="9"/>
            <color rgb="FF000000"/>
            <rFont val="Calibri"/>
            <family val="2"/>
          </rPr>
          <t>- One sided spec should only have USL or LSL values (leave nominal blank)</t>
        </r>
      </text>
    </comment>
    <comment ref="J10" authorId="0" shapeId="0" xr:uid="{FE5BEE8A-5700-5245-AD87-B3B238EA588D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U10" authorId="0" shapeId="0" xr:uid="{14306D1B-6FF9-714E-B457-DF0F1482B23E}">
      <text>
        <r>
          <rPr>
            <b/>
            <sz val="9"/>
            <color rgb="FF000000"/>
            <rFont val="Calibri"/>
            <family val="2"/>
          </rPr>
          <t>作者:</t>
        </r>
        <r>
          <rPr>
            <sz val="9"/>
            <color rgb="FF000000"/>
            <rFont val="Calibri"/>
            <family val="2"/>
          </rPr>
          <t xml:space="preserve">
General Process accuracy Index Level setting as below:
Level A: |Ca|&lt;=12.5%
Level B: 12.5%&lt;|Ca|&lt;=25%
Level C: 25%&lt;|Ca|&lt;=50%
Level D: |Ca|&gt;50%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  <author>Adam Xu</author>
  </authors>
  <commentList>
    <comment ref="V2" authorId="0" shapeId="0" xr:uid="{00000000-0006-0000-0000-000001000000}">
      <text>
        <r>
          <rPr>
            <sz val="9"/>
            <color indexed="81"/>
            <rFont val="Calibri"/>
            <family val="2"/>
          </rPr>
          <t>- Fill in all light purple fields.
- Enter comments for incomplete data or any dimensions with "Reject" status
- One sided spec should only have USL or LSL values (leave nominal blank)</t>
        </r>
      </text>
    </comment>
    <comment ref="J10" authorId="0" shapeId="0" xr:uid="{00000000-0006-0000-0000-000002000000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U10" authorId="1" shapeId="0" xr:uid="{00000000-0006-0000-0000-000003000000}">
      <text>
        <r>
          <rPr>
            <b/>
            <sz val="9"/>
            <color rgb="FF000000"/>
            <rFont val="Calibri"/>
            <family val="2"/>
          </rPr>
          <t>Adam Xu: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General Process accuracy Index Level setting as below:
</t>
        </r>
        <r>
          <rPr>
            <sz val="9"/>
            <color rgb="FF000000"/>
            <rFont val="Calibri"/>
            <family val="2"/>
          </rPr>
          <t xml:space="preserve">Level A: |Ca|&lt;=12.5%
</t>
        </r>
        <r>
          <rPr>
            <sz val="9"/>
            <color rgb="FF000000"/>
            <rFont val="Calibri"/>
            <family val="2"/>
          </rPr>
          <t xml:space="preserve">Level B: 12.5%&lt;|Ca|&lt;=25%
</t>
        </r>
        <r>
          <rPr>
            <sz val="9"/>
            <color rgb="FF000000"/>
            <rFont val="Calibri"/>
            <family val="2"/>
          </rPr>
          <t xml:space="preserve">Level C: 25%&lt;|Ca|&lt;=50%
</t>
        </r>
        <r>
          <rPr>
            <sz val="9"/>
            <color rgb="FF000000"/>
            <rFont val="Calibri"/>
            <family val="2"/>
          </rPr>
          <t>Level D: |Ca|&gt;50%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  <author>Adam Xu</author>
  </authors>
  <commentList>
    <comment ref="V2" authorId="0" shapeId="0" xr:uid="{EB322AB1-E44D-4DD6-AEFF-A9CCEFCFADEB}">
      <text>
        <r>
          <rPr>
            <sz val="9"/>
            <color indexed="81"/>
            <rFont val="Calibri"/>
            <family val="2"/>
          </rPr>
          <t>- Fill in all light purple fields.
- Enter comments for incomplete data or any dimensions with "Reject" status
- One sided spec should only have USL or LSL values (leave nominal blank)</t>
        </r>
      </text>
    </comment>
    <comment ref="J10" authorId="0" shapeId="0" xr:uid="{6622612B-0BF0-4919-832B-3D0DC9693514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U10" authorId="1" shapeId="0" xr:uid="{C8C110C6-325E-4E96-A3F2-524A1314FC5D}">
      <text>
        <r>
          <rPr>
            <b/>
            <sz val="9"/>
            <color rgb="FF000000"/>
            <rFont val="Calibri"/>
            <family val="2"/>
          </rPr>
          <t>Adam Xu: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General Process accuracy Index Level setting as below:
</t>
        </r>
        <r>
          <rPr>
            <sz val="9"/>
            <color rgb="FF000000"/>
            <rFont val="Calibri"/>
            <family val="2"/>
          </rPr>
          <t xml:space="preserve">Level A: |Ca|&lt;=12.5%
</t>
        </r>
        <r>
          <rPr>
            <sz val="9"/>
            <color rgb="FF000000"/>
            <rFont val="Calibri"/>
            <family val="2"/>
          </rPr>
          <t xml:space="preserve">Level B: 12.5%&lt;|Ca|&lt;=25%
</t>
        </r>
        <r>
          <rPr>
            <sz val="9"/>
            <color rgb="FF000000"/>
            <rFont val="Calibri"/>
            <family val="2"/>
          </rPr>
          <t xml:space="preserve">Level C: 25%&lt;|Ca|&lt;=50%
</t>
        </r>
        <r>
          <rPr>
            <sz val="9"/>
            <color rgb="FF000000"/>
            <rFont val="Calibri"/>
            <family val="2"/>
          </rPr>
          <t>Level D: |Ca|&gt;50%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  <author>Adam Xu</author>
  </authors>
  <commentList>
    <comment ref="V2" authorId="0" shapeId="0" xr:uid="{B9A46650-61E9-4D6A-8436-54F073D1922B}">
      <text>
        <r>
          <rPr>
            <sz val="9"/>
            <color indexed="81"/>
            <rFont val="Calibri"/>
            <family val="2"/>
          </rPr>
          <t>- Fill in all light purple fields.
- Enter comments for incomplete data or any dimensions with "Reject" status
- One sided spec should only have USL or LSL values (leave nominal blank)</t>
        </r>
      </text>
    </comment>
    <comment ref="J10" authorId="0" shapeId="0" xr:uid="{B2F49DD3-F672-4F15-8F52-596E8E3A44DC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U10" authorId="1" shapeId="0" xr:uid="{86E7C15E-605A-4F24-86C0-D0D5D402C214}">
      <text>
        <r>
          <rPr>
            <b/>
            <sz val="9"/>
            <color rgb="FF000000"/>
            <rFont val="Calibri"/>
            <family val="2"/>
          </rPr>
          <t>Adam Xu: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General Process accuracy Index Level setting as below:
</t>
        </r>
        <r>
          <rPr>
            <sz val="9"/>
            <color rgb="FF000000"/>
            <rFont val="Calibri"/>
            <family val="2"/>
          </rPr>
          <t xml:space="preserve">Level A: |Ca|&lt;=12.5%
</t>
        </r>
        <r>
          <rPr>
            <sz val="9"/>
            <color rgb="FF000000"/>
            <rFont val="Calibri"/>
            <family val="2"/>
          </rPr>
          <t xml:space="preserve">Level B: 12.5%&lt;|Ca|&lt;=25%
</t>
        </r>
        <r>
          <rPr>
            <sz val="9"/>
            <color rgb="FF000000"/>
            <rFont val="Calibri"/>
            <family val="2"/>
          </rPr>
          <t xml:space="preserve">Level C: 25%&lt;|Ca|&lt;=50%
</t>
        </r>
        <r>
          <rPr>
            <sz val="9"/>
            <color rgb="FF000000"/>
            <rFont val="Calibri"/>
            <family val="2"/>
          </rPr>
          <t>Level D: |Ca|&gt;50%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  <author>Adam Xu</author>
  </authors>
  <commentList>
    <comment ref="V2" authorId="0" shapeId="0" xr:uid="{859854CE-14A5-4BEF-B085-64FB460D252F}">
      <text>
        <r>
          <rPr>
            <sz val="9"/>
            <color indexed="81"/>
            <rFont val="Calibri"/>
            <family val="2"/>
          </rPr>
          <t>- Fill in all light purple fields.
- Enter comments for incomplete data or any dimensions with "Reject" status
- One sided spec should only have USL or LSL values (leave nominal blank)</t>
        </r>
      </text>
    </comment>
    <comment ref="J10" authorId="0" shapeId="0" xr:uid="{46F0A310-8FA2-4503-98D4-CBBE4BF5276F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U10" authorId="1" shapeId="0" xr:uid="{E77008DB-9027-4FE6-A4CB-966C30334ED4}">
      <text>
        <r>
          <rPr>
            <b/>
            <sz val="9"/>
            <color rgb="FF000000"/>
            <rFont val="Calibri"/>
            <family val="2"/>
          </rPr>
          <t>Adam Xu: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General Process accuracy Index Level setting as below:
</t>
        </r>
        <r>
          <rPr>
            <sz val="9"/>
            <color rgb="FF000000"/>
            <rFont val="Calibri"/>
            <family val="2"/>
          </rPr>
          <t xml:space="preserve">Level A: |Ca|&lt;=12.5%
</t>
        </r>
        <r>
          <rPr>
            <sz val="9"/>
            <color rgb="FF000000"/>
            <rFont val="Calibri"/>
            <family val="2"/>
          </rPr>
          <t xml:space="preserve">Level B: 12.5%&lt;|Ca|&lt;=25%
</t>
        </r>
        <r>
          <rPr>
            <sz val="9"/>
            <color rgb="FF000000"/>
            <rFont val="Calibri"/>
            <family val="2"/>
          </rPr>
          <t xml:space="preserve">Level C: 25%&lt;|Ca|&lt;=50%
</t>
        </r>
        <r>
          <rPr>
            <sz val="9"/>
            <color rgb="FF000000"/>
            <rFont val="Calibri"/>
            <family val="2"/>
          </rPr>
          <t>Level D: |Ca|&gt;50%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<sst xmlns="http://schemas.openxmlformats.org/spreadsheetml/2006/main" count="2082" uniqueCount="267">
  <si>
    <t>Mean</t>
  </si>
  <si>
    <t>SPC</t>
    <phoneticPr fontId="16" type="noConversion"/>
  </si>
  <si>
    <t>Description</t>
    <phoneticPr fontId="14"/>
  </si>
  <si>
    <t>USL</t>
  </si>
  <si>
    <t>LSL</t>
  </si>
  <si>
    <t>Maximum</t>
  </si>
  <si>
    <t>Minimum</t>
  </si>
  <si>
    <t>Std Dev</t>
  </si>
  <si>
    <t>Cp</t>
  </si>
  <si>
    <t>UCPK</t>
    <phoneticPr fontId="17" type="noConversion"/>
  </si>
  <si>
    <t>LCPK</t>
    <phoneticPr fontId="17" type="noConversion"/>
  </si>
  <si>
    <t>Cpk</t>
  </si>
  <si>
    <t>OMM</t>
  </si>
  <si>
    <t>Instructions</t>
  </si>
  <si>
    <t>Part Number :</t>
  </si>
  <si>
    <t>Supplier :</t>
  </si>
  <si>
    <t>Part Description :</t>
  </si>
  <si>
    <t>Inspector :</t>
  </si>
  <si>
    <t>Revision :</t>
  </si>
  <si>
    <t>DRAWING SPECIFICATIONS</t>
  </si>
  <si>
    <t>Inspection Method</t>
  </si>
  <si>
    <t>Nominal</t>
  </si>
  <si>
    <t>FAI#</t>
  </si>
  <si>
    <t>Normality Test</t>
  </si>
  <si>
    <t>Normality Result</t>
  </si>
  <si>
    <t>CALCULATED RESULTS</t>
  </si>
  <si>
    <t>Dimension Type</t>
  </si>
  <si>
    <t>record of positions of data blocks</t>
  </si>
  <si>
    <t>list of inspection methods</t>
  </si>
  <si>
    <t>HG</t>
  </si>
  <si>
    <t>MIC</t>
  </si>
  <si>
    <t>CMM</t>
  </si>
  <si>
    <t>TG</t>
  </si>
  <si>
    <t>HT</t>
  </si>
  <si>
    <t>PG</t>
  </si>
  <si>
    <t>FT</t>
  </si>
  <si>
    <t>DC</t>
  </si>
  <si>
    <t>P</t>
  </si>
  <si>
    <t>OC</t>
  </si>
  <si>
    <t>Other</t>
  </si>
  <si>
    <t>list of dimension types</t>
  </si>
  <si>
    <t>GD&amp;T</t>
  </si>
  <si>
    <t>MIN</t>
  </si>
  <si>
    <t>MAX</t>
  </si>
  <si>
    <t>Tolerance</t>
  </si>
  <si>
    <t>Date :</t>
  </si>
  <si>
    <t>left</t>
  </si>
  <si>
    <t>top</t>
  </si>
  <si>
    <t>Enhanced Cpk Data Sheet - Enclosures MD</t>
  </si>
  <si>
    <t>Revision</t>
  </si>
  <si>
    <t>Date</t>
  </si>
  <si>
    <t>Revised by</t>
  </si>
  <si>
    <t>Description of Changes</t>
  </si>
  <si>
    <t>Revision Control</t>
  </si>
  <si>
    <t>Paul Lucier</t>
  </si>
  <si>
    <t>Initial release</t>
  </si>
  <si>
    <t>CMM/OMM Program version :</t>
  </si>
  <si>
    <t>Notes/Comments :</t>
  </si>
  <si>
    <t>Yield</t>
  </si>
  <si>
    <t>+Tol =&gt; Cpk*</t>
  </si>
  <si>
    <t>-Tol =&gt; Cpk*</t>
  </si>
  <si>
    <t>(USL for one sided spec)</t>
  </si>
  <si>
    <t>(LSL for one sided spec)</t>
  </si>
  <si>
    <t>Mean Shift</t>
  </si>
  <si>
    <t>Cp* =</t>
  </si>
  <si>
    <t>Tol Range
=&gt; Cp*</t>
  </si>
  <si>
    <r>
      <t xml:space="preserve">- Added support for multiple sheets of data. All sheets must be set up identically to be supported
- Normality test no longer live formulas. Normality test values will be updated when any button is pushed. Also added a new button on the data sheet to run this separately.
- Export for JMP and sortable/filterable versions of data has been added.
- Macros can now handle empty data and non-numeric data.
- Changed formatting on several fields
- Added mean shift and Cp target range calculations
- Added notes field in header, and a field to record CMM/OMM program revision or number </t>
    </r>
    <r>
      <rPr>
        <sz val="12"/>
        <color indexed="206"/>
        <rFont val="Calibri"/>
        <family val="2"/>
      </rPr>
      <t>(</t>
    </r>
    <r>
      <rPr>
        <sz val="12"/>
        <color theme="1"/>
        <rFont val="맑은 고딕"/>
        <family val="2"/>
        <scheme val="minor"/>
      </rPr>
      <t>helpful for automated reporting from Hexagon systems</t>
    </r>
    <r>
      <rPr>
        <sz val="12"/>
        <color indexed="206"/>
        <rFont val="Calibri"/>
        <family val="2"/>
      </rPr>
      <t>)</t>
    </r>
    <r>
      <rPr>
        <sz val="12"/>
        <color theme="1"/>
        <rFont val="맑은 고딕"/>
        <family val="2"/>
        <scheme val="minor"/>
      </rPr>
      <t xml:space="preserve">
- Fixed problem with histogram plots related to one-sided dimensions </t>
    </r>
    <r>
      <rPr>
        <sz val="12"/>
        <color indexed="206"/>
        <rFont val="Calibri"/>
        <family val="2"/>
      </rPr>
      <t>(</t>
    </r>
    <r>
      <rPr>
        <sz val="12"/>
        <color theme="1"/>
        <rFont val="맑은 고딕"/>
        <family val="2"/>
        <scheme val="minor"/>
      </rPr>
      <t>clustering near 0</t>
    </r>
    <r>
      <rPr>
        <sz val="12"/>
        <color indexed="206"/>
        <rFont val="Calibri"/>
        <family val="2"/>
      </rPr>
      <t>)</t>
    </r>
  </si>
  <si>
    <t>Notes</t>
  </si>
  <si>
    <t>DO NOT DELETE COLUMNS</t>
  </si>
  <si>
    <t>- More bug fixes
- Adjusted JMP Export (save as .xls automatically + other fixes)</t>
  </si>
  <si>
    <t>- More bug fixes
- Rearranged code to organize it better</t>
  </si>
  <si>
    <t>TOL+</t>
  </si>
  <si>
    <t>TOL-</t>
  </si>
  <si>
    <t>- Fixed problem where Normality Update would delete the "Normal/Not Normal" data</t>
  </si>
  <si>
    <t xml:space="preserve">- First ~15 rows of data had lost conditional formatting in nominal/tolerance fields. Fixed this </t>
  </si>
  <si>
    <t>Target Cpk</t>
  </si>
  <si>
    <t>Tolerance needed to hit target Cpk</t>
  </si>
  <si>
    <t>100% Gauged</t>
  </si>
  <si>
    <t>list for 100% gauging</t>
  </si>
  <si>
    <t>Yes</t>
  </si>
  <si>
    <t>No</t>
  </si>
  <si>
    <t>Tool # / Build / DOE Name :</t>
  </si>
  <si>
    <t>- Changed Location column to Cpk Target column. Now each dimension can have a unique Cpk Target
- Rebuilt add tabs function - now much more flexible. Can add several tabs at once using different naming formats (numeric or alphabetic)
- Added a function to refresh the drawing setup section from the first tab to all other tabs. Rolled the last 2 functions into a new button called "Manage Data Tabs"
- Added a multi-cavity summary report in the Export button
- Rebuilt the micro-distributions to reduce overhead (removed shadows and borders). Cleaner look and faster.
- Circles will no longer drop one on top of another. They will now appear in a grid that is perfectly spaced for optimal organization. 
- Added a "100% Gauged" column to the dimension setup area</t>
  </si>
  <si>
    <t>- Added conditional formatting to Cp/Cpk/Yield related to 100% Gauged dimensions
- Added mean shift and target -tol &amp; +tol columns to the multi-cavity summary report
- Repaired formatting of summary values on multi cavity summary
- Added "Detect Outliers" button &amp; funciton. Will bold and italicize any potential outliers in the data sets, and addes to the Notes field to identify that they were detected.</t>
  </si>
  <si>
    <t>- Fixed several bugs related to import
- Renamed multi-cavity report to multi-tab report (more generic)
- Added nominal, +Tol, -Tol to multi-tab summary report</t>
  </si>
  <si>
    <t>- Fixed some additional bugs
- Improved speed of several functions on Excel 2016</t>
  </si>
  <si>
    <t>X CARRIER</t>
    <phoneticPr fontId="21" type="noConversion"/>
  </si>
  <si>
    <t>- Update Ca formula
-Unlimited data qty each SPC dimension rather than 100 data max</t>
  </si>
  <si>
    <t>Adam Xu</t>
  </si>
  <si>
    <t>7/8/2019</t>
  </si>
  <si>
    <t>- Add Ca calculation along with Ca Level for each FAI/SPC Dimension
-Update the format conditions</t>
  </si>
  <si>
    <t>4/17/2019</t>
  </si>
  <si>
    <r>
      <t xml:space="preserve">- Update distribution </t>
    </r>
    <r>
      <rPr>
        <sz val="12"/>
        <color indexed="205"/>
        <rFont val="Calibri"/>
        <family val="2"/>
      </rPr>
      <t>c</t>
    </r>
    <r>
      <rPr>
        <sz val="12"/>
        <color theme="1"/>
        <rFont val="맑은 고딕"/>
        <family val="2"/>
        <scheme val="minor"/>
      </rPr>
      <t>harts w/ Fit curve
-Address previous position issue</t>
    </r>
  </si>
  <si>
    <t>9/22/2017</t>
  </si>
  <si>
    <t>- Add multi-sheet selection for Bubble Navigator
- Add Non-Capable CpK for Bubble Navigator</t>
  </si>
  <si>
    <t>- Add data export for Bubble Navigator Apps</t>
  </si>
  <si>
    <t>Rev 4.3</t>
    <phoneticPr fontId="21" type="noConversion"/>
  </si>
  <si>
    <t>FAI4-1</t>
  </si>
  <si>
    <t>FAI4-2</t>
  </si>
  <si>
    <t>FAI4-3</t>
  </si>
  <si>
    <t>FAI6-1</t>
  </si>
  <si>
    <t>FAI6-2</t>
  </si>
  <si>
    <t>FAI6-3</t>
  </si>
  <si>
    <t>FAI8</t>
  </si>
  <si>
    <t>FAI9</t>
  </si>
  <si>
    <t>FAI10-1</t>
  </si>
  <si>
    <t>FAI10-2</t>
  </si>
  <si>
    <t>FAI10-3</t>
  </si>
  <si>
    <t>FAI23</t>
  </si>
  <si>
    <t>FAI24</t>
  </si>
  <si>
    <t>D</t>
    <phoneticPr fontId="21" type="noConversion"/>
  </si>
  <si>
    <t>F</t>
    <phoneticPr fontId="21" type="noConversion"/>
  </si>
  <si>
    <t>H</t>
    <phoneticPr fontId="21" type="noConversion"/>
  </si>
  <si>
    <t>I</t>
    <phoneticPr fontId="21" type="noConversion"/>
  </si>
  <si>
    <t>Height</t>
  </si>
  <si>
    <t>Parallelism</t>
  </si>
  <si>
    <t>Perpendicularity</t>
  </si>
  <si>
    <t>Distance</t>
  </si>
  <si>
    <t>FAI26</t>
  </si>
  <si>
    <t>FAI27</t>
  </si>
  <si>
    <t>FAI28</t>
  </si>
  <si>
    <t>FAI30</t>
  </si>
  <si>
    <t>FAI31</t>
  </si>
  <si>
    <t>FAI32</t>
  </si>
  <si>
    <t>FAI33</t>
  </si>
  <si>
    <t>FAI34</t>
  </si>
  <si>
    <t>FAI35</t>
  </si>
  <si>
    <t>FAI36</t>
  </si>
  <si>
    <t>FAI37</t>
  </si>
  <si>
    <t>FAI38</t>
  </si>
  <si>
    <t>FAI39</t>
  </si>
  <si>
    <t>FAI40</t>
  </si>
  <si>
    <t>FAI 54</t>
    <phoneticPr fontId="21" type="noConversion"/>
  </si>
  <si>
    <t>FAI 55</t>
  </si>
  <si>
    <t>FAI 56</t>
  </si>
  <si>
    <t>FAI 57</t>
  </si>
  <si>
    <t>FAI 58</t>
  </si>
  <si>
    <t>FAI 59</t>
  </si>
  <si>
    <t>FAI 60</t>
  </si>
  <si>
    <t>FAI 61</t>
  </si>
  <si>
    <t>FAI 62</t>
  </si>
  <si>
    <t>Dpamstech</t>
    <phoneticPr fontId="21" type="noConversion"/>
  </si>
  <si>
    <t>Ca</t>
  </si>
  <si>
    <t>Ca Level</t>
  </si>
  <si>
    <t>FAI25B-1</t>
    <phoneticPr fontId="21" type="noConversion"/>
  </si>
  <si>
    <t>FAI25B-2</t>
  </si>
  <si>
    <t>FAI25B-3</t>
  </si>
  <si>
    <t>FAI25A-1</t>
    <phoneticPr fontId="21" type="noConversion"/>
  </si>
  <si>
    <t>FAI25A-2</t>
  </si>
  <si>
    <t>FAI25A-3</t>
  </si>
  <si>
    <t>J</t>
    <phoneticPr fontId="21" type="noConversion"/>
  </si>
  <si>
    <t>W</t>
    <phoneticPr fontId="21" type="noConversion"/>
  </si>
  <si>
    <t>FAI41</t>
    <phoneticPr fontId="21" type="noConversion"/>
  </si>
  <si>
    <t>FAI 63</t>
    <phoneticPr fontId="21" type="noConversion"/>
  </si>
  <si>
    <t>@@@@@@@@</t>
    <phoneticPr fontId="21" type="noConversion"/>
  </si>
  <si>
    <t>FAI 64</t>
    <phoneticPr fontId="21" type="noConversion"/>
  </si>
  <si>
    <t>FAI 65</t>
    <phoneticPr fontId="21" type="noConversion"/>
  </si>
  <si>
    <t>FAI 66</t>
    <phoneticPr fontId="21" type="noConversion"/>
  </si>
  <si>
    <t>Distance</t>
    <phoneticPr fontId="21" type="noConversion"/>
  </si>
  <si>
    <t>2CAV</t>
  </si>
  <si>
    <t>3CAV</t>
  </si>
  <si>
    <t>4CAV</t>
  </si>
  <si>
    <t>(DC)</t>
    <phoneticPr fontId="21" type="noConversion"/>
  </si>
  <si>
    <t>(DC)</t>
    <phoneticPr fontId="21" type="noConversion"/>
  </si>
  <si>
    <t>FAI 68-1</t>
    <phoneticPr fontId="21" type="noConversion"/>
  </si>
  <si>
    <t>FAI 68-2</t>
  </si>
  <si>
    <t>FAI 69</t>
    <phoneticPr fontId="21" type="noConversion"/>
  </si>
  <si>
    <t>FAI 70-1</t>
    <phoneticPr fontId="21" type="noConversion"/>
  </si>
  <si>
    <t>FAI 70-2</t>
  </si>
  <si>
    <t>FAI 71</t>
    <phoneticPr fontId="21" type="noConversion"/>
  </si>
  <si>
    <t>AH</t>
    <phoneticPr fontId="21" type="noConversion"/>
  </si>
  <si>
    <t>AI</t>
    <phoneticPr fontId="21" type="noConversion"/>
  </si>
  <si>
    <t>AJ</t>
    <phoneticPr fontId="21" type="noConversion"/>
  </si>
  <si>
    <t>AK</t>
    <phoneticPr fontId="21" type="noConversion"/>
  </si>
  <si>
    <t>817-11233-05</t>
    <phoneticPr fontId="21" type="noConversion"/>
  </si>
  <si>
    <t xml:space="preserve">     MEASURED DATA 1CAV</t>
    <phoneticPr fontId="21" type="noConversion"/>
  </si>
  <si>
    <t xml:space="preserve">     MEASURED DATA 2CAV</t>
    <phoneticPr fontId="21" type="noConversion"/>
  </si>
  <si>
    <t xml:space="preserve">     MEASURED DATA 3CAV</t>
    <phoneticPr fontId="21" type="noConversion"/>
  </si>
  <si>
    <t xml:space="preserve">     MEASURED DATA 4CAV</t>
    <phoneticPr fontId="21" type="noConversion"/>
  </si>
  <si>
    <t>OMM PGM Rev.05</t>
    <phoneticPr fontId="21" type="noConversion"/>
  </si>
  <si>
    <t>OMM PGM Rev.09</t>
    <phoneticPr fontId="21" type="noConversion"/>
  </si>
  <si>
    <t>(DC)</t>
  </si>
  <si>
    <t>AJ</t>
  </si>
  <si>
    <t>AI</t>
  </si>
  <si>
    <t>AH</t>
  </si>
  <si>
    <t>AK</t>
  </si>
  <si>
    <t>X</t>
  </si>
  <si>
    <t>W</t>
  </si>
  <si>
    <t>F</t>
  </si>
  <si>
    <t>FAI</t>
    <phoneticPr fontId="21" type="noConversion"/>
  </si>
  <si>
    <t>1CAV</t>
    <phoneticPr fontId="63" type="noConversion"/>
  </si>
  <si>
    <t>240@@@ (Lot.240@@@)</t>
    <phoneticPr fontId="21" type="noConversion"/>
  </si>
  <si>
    <t>@@@@</t>
    <phoneticPr fontId="21" type="noConversion"/>
  </si>
  <si>
    <t>Dpamstech</t>
    <phoneticPr fontId="43" type="noConversion"/>
  </si>
  <si>
    <t>Rev 4.3</t>
  </si>
  <si>
    <t>D</t>
  </si>
  <si>
    <t>H</t>
  </si>
  <si>
    <t>I</t>
  </si>
  <si>
    <t>J</t>
  </si>
  <si>
    <t>FAI25A-1</t>
  </si>
  <si>
    <t>FAI25B-1</t>
  </si>
  <si>
    <t>FAI41</t>
  </si>
  <si>
    <t>FAI 54</t>
  </si>
  <si>
    <t>FAI 63</t>
  </si>
  <si>
    <t>FAI 64</t>
  </si>
  <si>
    <t>FAI 65</t>
  </si>
  <si>
    <t>FAI 66</t>
  </si>
  <si>
    <t>FAI 68-1</t>
  </si>
  <si>
    <t>FAI 69</t>
  </si>
  <si>
    <t>FAI 70-1</t>
  </si>
  <si>
    <t>FAI 71</t>
  </si>
  <si>
    <t>판정</t>
    <phoneticPr fontId="63" type="noConversion"/>
  </si>
  <si>
    <t>FAI</t>
    <phoneticPr fontId="63" type="noConversion"/>
  </si>
  <si>
    <t>25@@@@ (Lot.25@@@@)</t>
    <phoneticPr fontId="21" type="noConversion"/>
  </si>
  <si>
    <t>A3.1 / T@ / POR @</t>
    <phoneticPr fontId="21" type="noConversion"/>
  </si>
  <si>
    <t>MSOP Rev.02</t>
    <phoneticPr fontId="21" type="noConversion"/>
  </si>
  <si>
    <t>NO</t>
  </si>
  <si>
    <t xml:space="preserve">AJ </t>
    <phoneticPr fontId="43" type="noConversion"/>
  </si>
  <si>
    <t>70-2</t>
  </si>
  <si>
    <t>70-1</t>
  </si>
  <si>
    <t xml:space="preserve">AH </t>
    <phoneticPr fontId="43" type="noConversion"/>
  </si>
  <si>
    <t>68-2</t>
  </si>
  <si>
    <t>68-1</t>
  </si>
  <si>
    <t>40-4</t>
  </si>
  <si>
    <t>40-3</t>
  </si>
  <si>
    <t>40-2</t>
  </si>
  <si>
    <t>40-1</t>
  </si>
  <si>
    <t>25A-f</t>
  </si>
  <si>
    <t>25A-e</t>
  </si>
  <si>
    <t>25A-d</t>
  </si>
  <si>
    <t xml:space="preserve"> W</t>
  </si>
  <si>
    <t>J</t>
    <phoneticPr fontId="43" type="noConversion"/>
  </si>
  <si>
    <t>10-3-f</t>
  </si>
  <si>
    <t>10-2-e</t>
  </si>
  <si>
    <t>10-1-d</t>
  </si>
  <si>
    <t xml:space="preserve"> I</t>
  </si>
  <si>
    <t xml:space="preserve"> H</t>
  </si>
  <si>
    <t>F</t>
    <phoneticPr fontId="43" type="noConversion"/>
  </si>
  <si>
    <t>6-3-c</t>
  </si>
  <si>
    <t>6-2-b</t>
  </si>
  <si>
    <t>6-1-a</t>
  </si>
  <si>
    <t>D</t>
    <phoneticPr fontId="43" type="noConversion"/>
  </si>
  <si>
    <t>4-3-c</t>
  </si>
  <si>
    <t>4-2-b</t>
  </si>
  <si>
    <t>4-1-a</t>
  </si>
  <si>
    <t>LCPK</t>
    <phoneticPr fontId="91" type="noConversion"/>
  </si>
  <si>
    <t>UCPK</t>
    <phoneticPr fontId="91" type="noConversion"/>
  </si>
  <si>
    <t>Description</t>
    <phoneticPr fontId="91"/>
  </si>
  <si>
    <t>SPC</t>
    <phoneticPr fontId="91" type="noConversion"/>
  </si>
  <si>
    <t>FAI</t>
    <phoneticPr fontId="91" type="noConversion"/>
  </si>
  <si>
    <t>X Carrier</t>
    <phoneticPr fontId="91" type="noConversion"/>
  </si>
  <si>
    <t>817-11233</t>
    <phoneticPr fontId="43" type="noConversion"/>
  </si>
  <si>
    <t>OOC SPC</t>
  </si>
  <si>
    <t>Dpamstech</t>
    <phoneticPr fontId="63" type="noConversion"/>
  </si>
  <si>
    <t>@@@</t>
    <phoneticPr fontId="63" type="noConversion"/>
  </si>
  <si>
    <r>
      <rPr>
        <b/>
        <sz val="10"/>
        <rFont val="맑은 고딕"/>
        <family val="2"/>
        <charset val="129"/>
      </rPr>
      <t>측정일 : 25</t>
    </r>
    <r>
      <rPr>
        <b/>
        <sz val="10"/>
        <rFont val="Arial"/>
        <family val="2"/>
      </rPr>
      <t xml:space="preserve">@@@@ / </t>
    </r>
    <r>
      <rPr>
        <b/>
        <sz val="10"/>
        <rFont val="맑은 고딕"/>
        <family val="2"/>
        <charset val="129"/>
      </rPr>
      <t>사출일 :25</t>
    </r>
    <r>
      <rPr>
        <b/>
        <sz val="10"/>
        <rFont val="Arial"/>
        <family val="2"/>
      </rPr>
      <t>@@@@</t>
    </r>
    <phoneticPr fontId="63" type="noConversion"/>
  </si>
  <si>
    <t>h</t>
    <phoneticPr fontId="21" type="noConversion"/>
  </si>
  <si>
    <t>(DC)</t>
    <phoneticPr fontId="63" type="noConversion"/>
  </si>
  <si>
    <t>FAI 72</t>
    <phoneticPr fontId="63" type="noConversion"/>
  </si>
  <si>
    <t>FAI 73</t>
  </si>
  <si>
    <t>MP</t>
    <phoneticPr fontId="63" type="noConversion"/>
  </si>
  <si>
    <t>@ Tool / MP</t>
    <phoneticPr fontId="63" type="noConversion"/>
  </si>
  <si>
    <t>들어간 생산일</t>
    <phoneticPr fontId="43" type="noConversion"/>
  </si>
  <si>
    <t/>
  </si>
  <si>
    <t>없는 툴#캐비티</t>
    <phoneticPr fontId="43" type="noConversion"/>
  </si>
  <si>
    <t>들어간 툴#캐비티</t>
    <phoneticPr fontId="43" type="noConversion"/>
  </si>
  <si>
    <t>들어간 툴</t>
    <phoneticPr fontId="4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</si>
</sst>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 &quot;¥&quot;* #,##0.00_ ;_ &quot;¥&quot;* \-#,##0.00_ ;_ &quot;¥&quot;* &quot;-&quot;??_ ;_ @_ "/>
    <numFmt numFmtId="177" formatCode="0.000"/>
    <numFmt numFmtId="178" formatCode="0.000_ "/>
    <numFmt numFmtId="179" formatCode="0.0%"/>
    <numFmt numFmtId="180" formatCode="#,##0.0000"/>
    <numFmt numFmtId="181" formatCode="m/d/yyyy;@"/>
    <numFmt numFmtId="182" formatCode="0.0000"/>
    <numFmt numFmtId="183" formatCode="_-* #,##0.000_-;\-* #,##0.000_-;_-* &quot;-&quot;_-;_-@_-"/>
    <numFmt numFmtId="184" formatCode="0_);[Red]\(0\)"/>
  </numFmts>
  <fonts count="100">
    <font>
      <sz val="12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34"/>
      <scheme val="minor"/>
    </font>
    <font>
      <sz val="12"/>
      <color theme="1"/>
      <name val="맑은 고딕"/>
      <family val="2"/>
      <scheme val="minor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i/>
      <u/>
      <sz val="12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8"/>
      <name val="Calibri"/>
      <family val="2"/>
    </font>
    <font>
      <sz val="12"/>
      <color rgb="FF000000"/>
      <name val="Calibri"/>
      <family val="2"/>
    </font>
    <font>
      <u/>
      <sz val="12"/>
      <color theme="10"/>
      <name val="맑은 고딕"/>
      <family val="2"/>
      <scheme val="minor"/>
    </font>
    <font>
      <u/>
      <sz val="12"/>
      <color theme="11"/>
      <name val="맑은 고딕"/>
      <family val="2"/>
      <scheme val="minor"/>
    </font>
    <font>
      <sz val="12"/>
      <name val="Times New Roman"/>
      <family val="1"/>
    </font>
    <font>
      <sz val="10"/>
      <color theme="1"/>
      <name val="Arial"/>
      <family val="2"/>
    </font>
    <font>
      <b/>
      <sz val="16"/>
      <name val="Arial"/>
      <family val="2"/>
    </font>
    <font>
      <sz val="10"/>
      <color theme="4"/>
      <name val="Arial"/>
      <family val="2"/>
    </font>
    <font>
      <sz val="9"/>
      <color indexed="81"/>
      <name val="Calibri"/>
      <family val="2"/>
    </font>
    <font>
      <b/>
      <sz val="11"/>
      <name val="Arial"/>
      <family val="2"/>
    </font>
    <font>
      <sz val="8"/>
      <name val="Arial"/>
      <family val="2"/>
    </font>
    <font>
      <sz val="9"/>
      <color theme="1"/>
      <name val="Arial"/>
      <family val="2"/>
    </font>
    <font>
      <sz val="10"/>
      <color theme="1"/>
      <name val="맑은 고딕"/>
      <family val="2"/>
      <scheme val="minor"/>
    </font>
    <font>
      <sz val="12"/>
      <color theme="1"/>
      <name val="Arial"/>
      <family val="2"/>
    </font>
    <font>
      <sz val="12"/>
      <name val="宋体"/>
      <family val="3"/>
      <charset val="134"/>
    </font>
    <font>
      <sz val="12"/>
      <name val="____"/>
      <family val="2"/>
    </font>
    <font>
      <sz val="10"/>
      <color indexed="8"/>
      <name val="Arial"/>
      <family val="2"/>
    </font>
    <font>
      <b/>
      <sz val="12"/>
      <color theme="1"/>
      <name val="맑은 고딕"/>
      <family val="2"/>
      <charset val="204"/>
      <scheme val="minor"/>
    </font>
    <font>
      <b/>
      <u/>
      <sz val="16"/>
      <color theme="1"/>
      <name val="맑은 고딕"/>
      <family val="2"/>
      <scheme val="minor"/>
    </font>
    <font>
      <sz val="9"/>
      <color rgb="FFFF0000"/>
      <name val="Arial"/>
      <family val="2"/>
    </font>
    <font>
      <sz val="12"/>
      <color indexed="206"/>
      <name val="Calibri"/>
      <family val="2"/>
    </font>
    <font>
      <sz val="10"/>
      <color rgb="FF000000"/>
      <name val="맑은 고딕"/>
      <family val="2"/>
      <scheme val="minor"/>
    </font>
    <font>
      <sz val="9"/>
      <name val="맑은 고딕"/>
      <family val="3"/>
      <charset val="134"/>
      <scheme val="minor"/>
    </font>
    <font>
      <sz val="9"/>
      <name val="宋体"/>
      <family val="3"/>
      <charset val="134"/>
    </font>
    <font>
      <sz val="12"/>
      <color indexed="205"/>
      <name val="Calibri"/>
      <family val="2"/>
    </font>
    <font>
      <b/>
      <sz val="18"/>
      <color theme="3"/>
      <name val="맑은 고딕"/>
      <family val="2"/>
      <charset val="134"/>
      <scheme val="major"/>
    </font>
    <font>
      <b/>
      <sz val="15"/>
      <color theme="3"/>
      <name val="맑은 고딕"/>
      <family val="2"/>
      <charset val="134"/>
      <scheme val="minor"/>
    </font>
    <font>
      <b/>
      <sz val="13"/>
      <color theme="3"/>
      <name val="맑은 고딕"/>
      <family val="2"/>
      <charset val="134"/>
      <scheme val="minor"/>
    </font>
    <font>
      <b/>
      <sz val="11"/>
      <color theme="3"/>
      <name val="맑은 고딕"/>
      <family val="2"/>
      <charset val="134"/>
      <scheme val="minor"/>
    </font>
    <font>
      <sz val="11"/>
      <color rgb="FF006100"/>
      <name val="맑은 고딕"/>
      <family val="2"/>
      <charset val="134"/>
      <scheme val="minor"/>
    </font>
    <font>
      <sz val="11"/>
      <color rgb="FF9C0006"/>
      <name val="맑은 고딕"/>
      <family val="2"/>
      <charset val="134"/>
      <scheme val="minor"/>
    </font>
    <font>
      <sz val="11"/>
      <color rgb="FF9C6500"/>
      <name val="맑은 고딕"/>
      <family val="2"/>
      <charset val="134"/>
      <scheme val="minor"/>
    </font>
    <font>
      <sz val="11"/>
      <color rgb="FF3F3F76"/>
      <name val="맑은 고딕"/>
      <family val="2"/>
      <charset val="134"/>
      <scheme val="minor"/>
    </font>
    <font>
      <b/>
      <sz val="11"/>
      <color rgb="FF3F3F3F"/>
      <name val="맑은 고딕"/>
      <family val="2"/>
      <charset val="134"/>
      <scheme val="minor"/>
    </font>
    <font>
      <b/>
      <sz val="11"/>
      <color rgb="FFFA7D00"/>
      <name val="맑은 고딕"/>
      <family val="2"/>
      <charset val="134"/>
      <scheme val="minor"/>
    </font>
    <font>
      <sz val="11"/>
      <color rgb="FFFA7D00"/>
      <name val="맑은 고딕"/>
      <family val="2"/>
      <charset val="134"/>
      <scheme val="minor"/>
    </font>
    <font>
      <b/>
      <sz val="11"/>
      <color theme="0"/>
      <name val="맑은 고딕"/>
      <family val="2"/>
      <charset val="134"/>
      <scheme val="minor"/>
    </font>
    <font>
      <sz val="11"/>
      <color rgb="FFFF0000"/>
      <name val="맑은 고딕"/>
      <family val="2"/>
      <charset val="134"/>
      <scheme val="minor"/>
    </font>
    <font>
      <i/>
      <sz val="11"/>
      <color rgb="FF7F7F7F"/>
      <name val="맑은 고딕"/>
      <family val="2"/>
      <charset val="134"/>
      <scheme val="minor"/>
    </font>
    <font>
      <b/>
      <sz val="11"/>
      <color theme="1"/>
      <name val="맑은 고딕"/>
      <family val="2"/>
      <charset val="134"/>
      <scheme val="minor"/>
    </font>
    <font>
      <sz val="11"/>
      <color theme="0"/>
      <name val="맑은 고딕"/>
      <family val="2"/>
      <charset val="134"/>
      <scheme val="minor"/>
    </font>
    <font>
      <b/>
      <sz val="9"/>
      <color rgb="FF000000"/>
      <name val="Calibri"/>
      <family val="2"/>
    </font>
    <font>
      <sz val="8"/>
      <name val="맑은 고딕"/>
      <family val="3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rgb="FF000000"/>
      <name val="Calibri"/>
      <family val="2"/>
    </font>
    <font>
      <sz val="9"/>
      <color indexed="8"/>
      <name val="Arial"/>
      <family val="2"/>
    </font>
    <font>
      <sz val="9"/>
      <color theme="1"/>
      <name val="맑은 고딕"/>
      <family val="2"/>
      <scheme val="minor"/>
    </font>
    <font>
      <b/>
      <i/>
      <sz val="12"/>
      <color theme="1"/>
      <name val="맑은 고딕"/>
      <family val="2"/>
      <scheme val="minor"/>
    </font>
    <font>
      <sz val="11"/>
      <name val="Arial"/>
      <family val="2"/>
    </font>
    <font>
      <sz val="18"/>
      <name val="Arial"/>
      <family val="2"/>
    </font>
    <font>
      <b/>
      <sz val="16"/>
      <color theme="1"/>
      <name val="맑은 고딕"/>
      <family val="3"/>
      <charset val="129"/>
    </font>
    <font>
      <sz val="10"/>
      <color rgb="FF000000"/>
      <name val="Arial"/>
      <family val="2"/>
    </font>
    <font>
      <sz val="10"/>
      <name val="Arial"/>
      <family val="2"/>
      <charset val="134"/>
    </font>
    <font>
      <b/>
      <sz val="9"/>
      <color theme="1"/>
      <name val="맑은 고딕"/>
      <family val="2"/>
      <scheme val="minor"/>
    </font>
    <font>
      <b/>
      <i/>
      <sz val="10"/>
      <color theme="1"/>
      <name val="Arial"/>
      <family val="2"/>
    </font>
    <font>
      <sz val="11"/>
      <color theme="1"/>
      <name val="맑은 고딕"/>
      <family val="2"/>
      <scheme val="minor"/>
    </font>
    <font>
      <b/>
      <sz val="14"/>
      <color indexed="8"/>
      <name val="맑은 고딕"/>
      <family val="3"/>
      <charset val="129"/>
      <scheme val="minor"/>
    </font>
    <font>
      <b/>
      <sz val="10"/>
      <name val="Arial"/>
      <family val="2"/>
      <charset val="129"/>
    </font>
    <font>
      <b/>
      <sz val="10"/>
      <name val="맑은 고딕"/>
      <family val="2"/>
      <charset val="129"/>
    </font>
    <font>
      <sz val="8"/>
      <color rgb="FFC00000"/>
      <name val="맑은 고딕"/>
      <family val="2"/>
      <charset val="129"/>
    </font>
    <font>
      <sz val="8"/>
      <color rgb="FFC00000"/>
      <name val="Arial"/>
      <family val="2"/>
    </font>
    <font>
      <sz val="8"/>
      <color rgb="FFC00000"/>
      <name val="맑은 고딕"/>
      <family val="2"/>
      <scheme val="minor"/>
    </font>
    <font>
      <sz val="12"/>
      <color rgb="FF000000"/>
      <name val="Lucida Grande"/>
    </font>
    <font>
      <sz val="8"/>
      <color rgb="FF000000"/>
      <name val="Lucida Grande"/>
    </font>
  </fonts>
  <fills count="4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4DFEC"/>
        <bgColor rgb="FF0000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rgb="FF000000"/>
      </patternFill>
    </fill>
    <fill>
      <patternFill patternType="solid">
        <fgColor rgb="FFE4DFEC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127">
    <xf numFmtId="0" fontId="0" fillId="0" borderId="0"/>
    <xf numFmtId="0" fontId="20" fillId="0" borderId="0"/>
    <xf numFmtId="9" fontId="12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0" fillId="0" borderId="0"/>
    <xf numFmtId="9" fontId="35" fillId="0" borderId="0" applyFont="0" applyFill="0" applyBorder="0" applyAlignment="0" applyProtection="0"/>
    <xf numFmtId="0" fontId="36" fillId="0" borderId="0"/>
    <xf numFmtId="179" fontId="13" fillId="0" borderId="0" applyFill="0" applyBorder="0" applyAlignment="0"/>
    <xf numFmtId="180" fontId="13" fillId="0" borderId="0" applyFill="0" applyBorder="0" applyAlignment="0"/>
    <xf numFmtId="0" fontId="19" fillId="0" borderId="10" applyNumberFormat="0" applyAlignment="0" applyProtection="0">
      <alignment horizontal="left" vertical="center"/>
    </xf>
    <xf numFmtId="0" fontId="19" fillId="0" borderId="6">
      <alignment horizontal="left" vertical="center"/>
    </xf>
    <xf numFmtId="180" fontId="13" fillId="0" borderId="0" applyFill="0" applyBorder="0" applyAlignment="0"/>
    <xf numFmtId="0" fontId="20" fillId="0" borderId="0"/>
    <xf numFmtId="180" fontId="13" fillId="0" borderId="0" applyFill="0" applyBorder="0" applyAlignment="0"/>
    <xf numFmtId="49" fontId="37" fillId="0" borderId="0" applyFill="0" applyBorder="0" applyAlignment="0"/>
    <xf numFmtId="180" fontId="13" fillId="0" borderId="0" applyFill="0" applyBorder="0" applyAlignment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176" fontId="12" fillId="0" borderId="0" applyFon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15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0" fontId="52" fillId="10" borderId="0" applyNumberFormat="0" applyBorder="0" applyAlignment="0" applyProtection="0">
      <alignment vertical="center"/>
    </xf>
    <xf numFmtId="0" fontId="53" fillId="11" borderId="18" applyNumberFormat="0" applyAlignment="0" applyProtection="0">
      <alignment vertical="center"/>
    </xf>
    <xf numFmtId="0" fontId="54" fillId="12" borderId="19" applyNumberFormat="0" applyAlignment="0" applyProtection="0">
      <alignment vertical="center"/>
    </xf>
    <xf numFmtId="0" fontId="55" fillId="12" borderId="18" applyNumberFormat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7" fillId="13" borderId="21" applyNumberFormat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23" applyNumberFormat="0" applyFill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1" fillId="3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14" borderId="22" applyNumberFormat="0" applyFont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15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8" borderId="0" applyNumberFormat="0" applyBorder="0" applyAlignment="0" applyProtection="0">
      <alignment vertical="center"/>
    </xf>
    <xf numFmtId="0" fontId="69" fillId="9" borderId="0" applyNumberFormat="0" applyBorder="0" applyAlignment="0" applyProtection="0">
      <alignment vertical="center"/>
    </xf>
    <xf numFmtId="0" fontId="70" fillId="10" borderId="0" applyNumberFormat="0" applyBorder="0" applyAlignment="0" applyProtection="0">
      <alignment vertical="center"/>
    </xf>
    <xf numFmtId="0" fontId="71" fillId="11" borderId="18" applyNumberFormat="0" applyAlignment="0" applyProtection="0">
      <alignment vertical="center"/>
    </xf>
    <xf numFmtId="0" fontId="72" fillId="12" borderId="19" applyNumberFormat="0" applyAlignment="0" applyProtection="0">
      <alignment vertical="center"/>
    </xf>
    <xf numFmtId="0" fontId="73" fillId="12" borderId="18" applyNumberFormat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5" fillId="13" borderId="21" applyNumberFormat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9" fillId="14" borderId="22" applyNumberFormat="0" applyFont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23" applyNumberFormat="0" applyFill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7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22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14" borderId="22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4" borderId="22" applyNumberFormat="0" applyFon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4" borderId="22" applyNumberFormat="0" applyFon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22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22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/>
    <xf numFmtId="9" fontId="12" fillId="0" borderId="0" applyFont="0" applyFill="0" applyBorder="0" applyAlignment="0" applyProtection="0"/>
  </cellStyleXfs>
  <cellXfs count="258">
    <xf numFmtId="0" fontId="0" fillId="0" borderId="0" xfId="0"/>
    <xf numFmtId="0" fontId="13" fillId="2" borderId="0" xfId="0" applyFont="1" applyFill="1" applyProtection="1">
      <protection locked="0"/>
    </xf>
    <xf numFmtId="178" fontId="13" fillId="2" borderId="4" xfId="7" applyNumberFormat="1" applyFont="1" applyFill="1" applyBorder="1" applyAlignment="1">
      <alignment horizontal="center"/>
    </xf>
    <xf numFmtId="178" fontId="13" fillId="2" borderId="4" xfId="1" applyNumberFormat="1" applyFont="1" applyFill="1" applyBorder="1" applyAlignment="1">
      <alignment horizontal="center"/>
    </xf>
    <xf numFmtId="177" fontId="13" fillId="2" borderId="4" xfId="1" applyNumberFormat="1" applyFont="1" applyFill="1" applyBorder="1" applyAlignment="1">
      <alignment horizontal="center"/>
    </xf>
    <xf numFmtId="0" fontId="0" fillId="3" borderId="0" xfId="0" applyFill="1" applyAlignment="1">
      <alignment vertical="center"/>
    </xf>
    <xf numFmtId="0" fontId="0" fillId="3" borderId="0" xfId="0" applyFill="1"/>
    <xf numFmtId="0" fontId="13" fillId="2" borderId="0" xfId="0" applyFont="1" applyFill="1"/>
    <xf numFmtId="0" fontId="28" fillId="2" borderId="0" xfId="0" applyFont="1" applyFill="1"/>
    <xf numFmtId="0" fontId="13" fillId="2" borderId="0" xfId="0" applyFont="1" applyFill="1" applyAlignment="1">
      <alignment horizontal="center"/>
    </xf>
    <xf numFmtId="0" fontId="27" fillId="2" borderId="0" xfId="0" applyFont="1" applyFill="1"/>
    <xf numFmtId="14" fontId="15" fillId="4" borderId="4" xfId="0" applyNumberFormat="1" applyFont="1" applyFill="1" applyBorder="1" applyProtection="1">
      <protection locked="0"/>
    </xf>
    <xf numFmtId="0" fontId="13" fillId="2" borderId="0" xfId="0" applyFont="1" applyFill="1" applyAlignment="1" applyProtection="1">
      <alignment horizontal="center"/>
      <protection locked="0"/>
    </xf>
    <xf numFmtId="0" fontId="0" fillId="6" borderId="0" xfId="0" applyFill="1"/>
    <xf numFmtId="0" fontId="18" fillId="2" borderId="4" xfId="7" applyFont="1" applyFill="1" applyBorder="1" applyAlignment="1" applyProtection="1">
      <alignment horizontal="center"/>
      <protection locked="0"/>
    </xf>
    <xf numFmtId="0" fontId="33" fillId="6" borderId="0" xfId="0" applyFont="1" applyFill="1"/>
    <xf numFmtId="0" fontId="34" fillId="0" borderId="0" xfId="0" applyFont="1"/>
    <xf numFmtId="0" fontId="30" fillId="5" borderId="9" xfId="0" applyFont="1" applyFill="1" applyBorder="1"/>
    <xf numFmtId="0" fontId="32" fillId="6" borderId="5" xfId="0" applyFont="1" applyFill="1" applyBorder="1"/>
    <xf numFmtId="177" fontId="13" fillId="2" borderId="4" xfId="7" applyNumberFormat="1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30" fillId="5" borderId="5" xfId="0" applyFont="1" applyFill="1" applyBorder="1"/>
    <xf numFmtId="177" fontId="13" fillId="2" borderId="1" xfId="2" applyNumberFormat="1" applyFont="1" applyFill="1" applyBorder="1" applyAlignment="1" applyProtection="1">
      <alignment horizontal="center"/>
    </xf>
    <xf numFmtId="0" fontId="38" fillId="0" borderId="0" xfId="0" applyFont="1" applyAlignment="1">
      <alignment horizontal="center" wrapText="1"/>
    </xf>
    <xf numFmtId="0" fontId="38" fillId="0" borderId="0" xfId="0" applyFont="1" applyAlignment="1">
      <alignment horizontal="center"/>
    </xf>
    <xf numFmtId="14" fontId="15" fillId="3" borderId="5" xfId="0" applyNumberFormat="1" applyFont="1" applyFill="1" applyBorder="1" applyProtection="1">
      <protection locked="0"/>
    </xf>
    <xf numFmtId="0" fontId="13" fillId="2" borderId="13" xfId="0" applyFont="1" applyFill="1" applyBorder="1" applyProtection="1">
      <protection locked="0"/>
    </xf>
    <xf numFmtId="0" fontId="27" fillId="2" borderId="0" xfId="0" applyFont="1" applyFill="1" applyAlignment="1">
      <alignment horizontal="center"/>
    </xf>
    <xf numFmtId="177" fontId="18" fillId="2" borderId="9" xfId="1" applyNumberFormat="1" applyFont="1" applyFill="1" applyBorder="1"/>
    <xf numFmtId="0" fontId="18" fillId="2" borderId="9" xfId="1" applyFont="1" applyFill="1" applyBorder="1"/>
    <xf numFmtId="2" fontId="18" fillId="2" borderId="9" xfId="1" applyNumberFormat="1" applyFont="1" applyFill="1" applyBorder="1"/>
    <xf numFmtId="0" fontId="18" fillId="2" borderId="3" xfId="1" applyFont="1" applyFill="1" applyBorder="1" applyAlignment="1" applyProtection="1">
      <alignment horizontal="center" wrapText="1"/>
      <protection locked="0"/>
    </xf>
    <xf numFmtId="0" fontId="18" fillId="2" borderId="3" xfId="1" applyFont="1" applyFill="1" applyBorder="1" applyAlignment="1">
      <alignment horizontal="center" vertical="center"/>
    </xf>
    <xf numFmtId="2" fontId="18" fillId="2" borderId="3" xfId="1" applyNumberFormat="1" applyFont="1" applyFill="1" applyBorder="1" applyAlignment="1">
      <alignment horizontal="center" vertical="center"/>
    </xf>
    <xf numFmtId="177" fontId="18" fillId="2" borderId="3" xfId="1" applyNumberFormat="1" applyFont="1" applyFill="1" applyBorder="1" applyAlignment="1">
      <alignment horizontal="center" vertical="center"/>
    </xf>
    <xf numFmtId="0" fontId="40" fillId="0" borderId="9" xfId="1" applyFont="1" applyBorder="1" applyAlignment="1" applyProtection="1">
      <alignment wrapText="1"/>
      <protection locked="0"/>
    </xf>
    <xf numFmtId="0" fontId="18" fillId="3" borderId="1" xfId="0" applyFont="1" applyFill="1" applyBorder="1" applyAlignment="1">
      <alignment horizontal="center" vertical="center" wrapText="1"/>
    </xf>
    <xf numFmtId="0" fontId="18" fillId="3" borderId="9" xfId="0" applyFont="1" applyFill="1" applyBorder="1" applyAlignment="1">
      <alignment wrapText="1"/>
    </xf>
    <xf numFmtId="58" fontId="18" fillId="3" borderId="9" xfId="1" applyNumberFormat="1" applyFont="1" applyFill="1" applyBorder="1" applyAlignment="1" applyProtection="1">
      <alignment wrapText="1"/>
      <protection locked="0"/>
    </xf>
    <xf numFmtId="2" fontId="18" fillId="3" borderId="9" xfId="1" applyNumberFormat="1" applyFont="1" applyFill="1" applyBorder="1" applyAlignment="1" applyProtection="1">
      <alignment wrapText="1"/>
      <protection locked="0"/>
    </xf>
    <xf numFmtId="58" fontId="18" fillId="3" borderId="3" xfId="1" applyNumberFormat="1" applyFont="1" applyFill="1" applyBorder="1" applyAlignment="1" applyProtection="1">
      <alignment horizontal="center" vertical="center" wrapText="1"/>
      <protection locked="0"/>
    </xf>
    <xf numFmtId="2" fontId="18" fillId="3" borderId="3" xfId="1" applyNumberFormat="1" applyFont="1" applyFill="1" applyBorder="1" applyAlignment="1" applyProtection="1">
      <alignment horizontal="center" vertical="center" wrapText="1"/>
      <protection locked="0"/>
    </xf>
    <xf numFmtId="0" fontId="18" fillId="3" borderId="3" xfId="0" applyFont="1" applyFill="1" applyBorder="1" applyAlignment="1">
      <alignment horizontal="center" vertical="center" wrapText="1"/>
    </xf>
    <xf numFmtId="0" fontId="31" fillId="3" borderId="9" xfId="0" quotePrefix="1" applyFont="1" applyFill="1" applyBorder="1" applyAlignment="1">
      <alignment horizontal="center" vertical="center" wrapText="1"/>
    </xf>
    <xf numFmtId="0" fontId="18" fillId="2" borderId="3" xfId="1" applyFont="1" applyFill="1" applyBorder="1" applyAlignment="1">
      <alignment horizontal="center" wrapText="1"/>
    </xf>
    <xf numFmtId="177" fontId="18" fillId="2" borderId="3" xfId="1" quotePrefix="1" applyNumberFormat="1" applyFont="1" applyFill="1" applyBorder="1" applyAlignment="1">
      <alignment horizontal="center" vertical="center"/>
    </xf>
    <xf numFmtId="177" fontId="18" fillId="2" borderId="3" xfId="1" quotePrefix="1" applyNumberFormat="1" applyFont="1" applyFill="1" applyBorder="1" applyAlignment="1">
      <alignment horizontal="center" vertical="center" wrapText="1"/>
    </xf>
    <xf numFmtId="0" fontId="30" fillId="5" borderId="14" xfId="0" applyFont="1" applyFill="1" applyBorder="1"/>
    <xf numFmtId="0" fontId="32" fillId="6" borderId="14" xfId="0" applyFont="1" applyFill="1" applyBorder="1"/>
    <xf numFmtId="0" fontId="18" fillId="3" borderId="0" xfId="7" applyFont="1" applyFill="1" applyAlignment="1" applyProtection="1">
      <alignment horizontal="center"/>
      <protection locked="0"/>
    </xf>
    <xf numFmtId="0" fontId="18" fillId="3" borderId="14" xfId="7" applyFont="1" applyFill="1" applyBorder="1" applyAlignment="1" applyProtection="1">
      <alignment horizontal="center"/>
      <protection locked="0"/>
    </xf>
    <xf numFmtId="0" fontId="38" fillId="0" borderId="4" xfId="0" applyFont="1" applyBorder="1" applyAlignment="1">
      <alignment horizontal="center" vertical="center"/>
    </xf>
    <xf numFmtId="49" fontId="38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 wrapText="1"/>
    </xf>
    <xf numFmtId="0" fontId="18" fillId="2" borderId="9" xfId="1" applyFont="1" applyFill="1" applyBorder="1" applyAlignment="1">
      <alignment wrapText="1"/>
    </xf>
    <xf numFmtId="0" fontId="30" fillId="3" borderId="0" xfId="0" applyFont="1" applyFill="1" applyAlignment="1">
      <alignment vertical="center"/>
    </xf>
    <xf numFmtId="0" fontId="30" fillId="3" borderId="14" xfId="0" applyFont="1" applyFill="1" applyBorder="1" applyAlignment="1">
      <alignment vertical="center"/>
    </xf>
    <xf numFmtId="0" fontId="30" fillId="3" borderId="9" xfId="0" applyFont="1" applyFill="1" applyBorder="1" applyAlignment="1">
      <alignment vertical="center"/>
    </xf>
    <xf numFmtId="49" fontId="18" fillId="3" borderId="3" xfId="0" quotePrefix="1" applyNumberFormat="1" applyFont="1" applyFill="1" applyBorder="1" applyAlignment="1">
      <alignment horizontal="center" vertical="center" wrapText="1"/>
    </xf>
    <xf numFmtId="2" fontId="13" fillId="4" borderId="2" xfId="0" applyNumberFormat="1" applyFont="1" applyFill="1" applyBorder="1" applyAlignment="1">
      <alignment horizontal="center" vertical="center" wrapText="1"/>
    </xf>
    <xf numFmtId="9" fontId="13" fillId="2" borderId="1" xfId="2" applyFont="1" applyFill="1" applyBorder="1" applyAlignment="1" applyProtection="1">
      <alignment horizontal="center"/>
    </xf>
    <xf numFmtId="177" fontId="18" fillId="3" borderId="3" xfId="1" quotePrefix="1" applyNumberFormat="1" applyFont="1" applyFill="1" applyBorder="1" applyAlignment="1">
      <alignment horizontal="center" vertical="center"/>
    </xf>
    <xf numFmtId="0" fontId="42" fillId="7" borderId="8" xfId="0" applyFont="1" applyFill="1" applyBorder="1" applyAlignment="1">
      <alignment horizontal="center"/>
    </xf>
    <xf numFmtId="0" fontId="13" fillId="7" borderId="8" xfId="0" applyFont="1" applyFill="1" applyBorder="1" applyAlignment="1">
      <alignment horizontal="center" wrapText="1"/>
    </xf>
    <xf numFmtId="49" fontId="13" fillId="4" borderId="4" xfId="1" applyNumberFormat="1" applyFont="1" applyFill="1" applyBorder="1" applyAlignment="1">
      <alignment horizontal="center" wrapText="1"/>
    </xf>
    <xf numFmtId="177" fontId="15" fillId="4" borderId="4" xfId="0" applyNumberFormat="1" applyFont="1" applyFill="1" applyBorder="1" applyAlignment="1">
      <alignment horizontal="center"/>
    </xf>
    <xf numFmtId="49" fontId="13" fillId="4" borderId="4" xfId="7" applyNumberFormat="1" applyFont="1" applyFill="1" applyBorder="1" applyAlignment="1">
      <alignment horizontal="center" vertical="center" wrapText="1"/>
    </xf>
    <xf numFmtId="49" fontId="13" fillId="4" borderId="7" xfId="7" applyNumberFormat="1" applyFont="1" applyFill="1" applyBorder="1" applyAlignment="1">
      <alignment horizontal="center" vertical="center" wrapText="1"/>
    </xf>
    <xf numFmtId="177" fontId="13" fillId="3" borderId="7" xfId="0" applyNumberFormat="1" applyFont="1" applyFill="1" applyBorder="1" applyAlignment="1">
      <alignment horizontal="center"/>
    </xf>
    <xf numFmtId="0" fontId="33" fillId="6" borderId="5" xfId="0" applyFont="1" applyFill="1" applyBorder="1"/>
    <xf numFmtId="0" fontId="18" fillId="0" borderId="4" xfId="7" applyFont="1" applyBorder="1" applyAlignment="1" applyProtection="1">
      <alignment horizontal="center"/>
      <protection locked="0"/>
    </xf>
    <xf numFmtId="0" fontId="42" fillId="7" borderId="3" xfId="0" applyFont="1" applyFill="1" applyBorder="1" applyAlignment="1">
      <alignment horizontal="center" vertical="center"/>
    </xf>
    <xf numFmtId="0" fontId="44" fillId="0" borderId="4" xfId="7" applyFont="1" applyBorder="1" applyAlignment="1" applyProtection="1">
      <alignment horizontal="center"/>
      <protection locked="0"/>
    </xf>
    <xf numFmtId="0" fontId="15" fillId="4" borderId="4" xfId="1912" applyNumberFormat="1" applyFont="1" applyFill="1" applyBorder="1" applyAlignment="1" applyProtection="1">
      <alignment horizontal="left"/>
      <protection locked="0"/>
    </xf>
    <xf numFmtId="181" fontId="0" fillId="0" borderId="0" xfId="0" applyNumberFormat="1" applyAlignment="1">
      <alignment horizontal="center" vertical="center"/>
    </xf>
    <xf numFmtId="177" fontId="26" fillId="0" borderId="4" xfId="0" applyNumberFormat="1" applyFont="1" applyBorder="1" applyAlignment="1" applyProtection="1">
      <alignment horizontal="center"/>
      <protection locked="0"/>
    </xf>
    <xf numFmtId="49" fontId="42" fillId="39" borderId="8" xfId="0" applyNumberFormat="1" applyFont="1" applyFill="1" applyBorder="1" applyAlignment="1">
      <alignment horizontal="center"/>
    </xf>
    <xf numFmtId="177" fontId="26" fillId="0" borderId="9" xfId="0" applyNumberFormat="1" applyFont="1" applyBorder="1" applyAlignment="1" applyProtection="1">
      <alignment horizontal="center"/>
      <protection locked="0"/>
    </xf>
    <xf numFmtId="177" fontId="26" fillId="0" borderId="3" xfId="0" applyNumberFormat="1" applyFont="1" applyBorder="1" applyAlignment="1" applyProtection="1">
      <alignment horizontal="center"/>
      <protection locked="0"/>
    </xf>
    <xf numFmtId="0" fontId="12" fillId="3" borderId="0" xfId="2121" applyFill="1"/>
    <xf numFmtId="0" fontId="13" fillId="2" borderId="0" xfId="2121" applyFont="1" applyFill="1"/>
    <xf numFmtId="0" fontId="13" fillId="2" borderId="0" xfId="2121" applyFont="1" applyFill="1" applyAlignment="1">
      <alignment horizontal="center"/>
    </xf>
    <xf numFmtId="10" fontId="18" fillId="2" borderId="4" xfId="1" applyNumberFormat="1" applyFont="1" applyFill="1" applyBorder="1" applyAlignment="1">
      <alignment horizontal="center"/>
    </xf>
    <xf numFmtId="10" fontId="13" fillId="2" borderId="4" xfId="1" applyNumberFormat="1" applyFont="1" applyFill="1" applyBorder="1" applyAlignment="1">
      <alignment horizontal="center"/>
    </xf>
    <xf numFmtId="0" fontId="12" fillId="0" borderId="0" xfId="2121"/>
    <xf numFmtId="0" fontId="81" fillId="0" borderId="4" xfId="0" applyFont="1" applyBorder="1" applyAlignment="1">
      <alignment horizontal="center" vertical="center"/>
    </xf>
    <xf numFmtId="0" fontId="42" fillId="39" borderId="3" xfId="0" applyFont="1" applyFill="1" applyBorder="1" applyAlignment="1">
      <alignment horizontal="center" vertical="center"/>
    </xf>
    <xf numFmtId="0" fontId="42" fillId="39" borderId="8" xfId="0" applyFont="1" applyFill="1" applyBorder="1" applyAlignment="1">
      <alignment horizontal="center"/>
    </xf>
    <xf numFmtId="0" fontId="13" fillId="39" borderId="8" xfId="0" applyFont="1" applyFill="1" applyBorder="1" applyAlignment="1">
      <alignment horizontal="center" wrapText="1"/>
    </xf>
    <xf numFmtId="177" fontId="15" fillId="39" borderId="4" xfId="0" applyNumberFormat="1" applyFont="1" applyFill="1" applyBorder="1" applyAlignment="1">
      <alignment horizontal="center"/>
    </xf>
    <xf numFmtId="182" fontId="13" fillId="39" borderId="4" xfId="0" applyNumberFormat="1" applyFont="1" applyFill="1" applyBorder="1" applyAlignment="1" applyProtection="1">
      <alignment horizontal="center"/>
      <protection locked="0"/>
    </xf>
    <xf numFmtId="0" fontId="42" fillId="4" borderId="3" xfId="0" applyFont="1" applyFill="1" applyBorder="1" applyAlignment="1">
      <alignment horizontal="center" vertical="center"/>
    </xf>
    <xf numFmtId="49" fontId="42" fillId="4" borderId="8" xfId="0" applyNumberFormat="1" applyFont="1" applyFill="1" applyBorder="1" applyAlignment="1">
      <alignment horizontal="center"/>
    </xf>
    <xf numFmtId="0" fontId="13" fillId="0" borderId="2" xfId="0" applyFont="1" applyBorder="1" applyAlignment="1">
      <alignment horizontal="right"/>
    </xf>
    <xf numFmtId="0" fontId="13" fillId="2" borderId="2" xfId="0" applyFont="1" applyFill="1" applyBorder="1" applyAlignment="1">
      <alignment horizontal="right"/>
    </xf>
    <xf numFmtId="183" fontId="0" fillId="0" borderId="4" xfId="2124" applyNumberFormat="1" applyFont="1" applyBorder="1" applyAlignment="1">
      <alignment horizontal="center" vertical="center"/>
    </xf>
    <xf numFmtId="182" fontId="0" fillId="0" borderId="4" xfId="0" applyNumberFormat="1" applyBorder="1" applyAlignment="1">
      <alignment horizontal="center" vertical="center"/>
    </xf>
    <xf numFmtId="177" fontId="13" fillId="3" borderId="1" xfId="0" applyNumberFormat="1" applyFont="1" applyFill="1" applyBorder="1" applyAlignment="1" applyProtection="1">
      <alignment horizontal="center"/>
      <protection locked="0"/>
    </xf>
    <xf numFmtId="177" fontId="13" fillId="3" borderId="7" xfId="0" applyNumberFormat="1" applyFont="1" applyFill="1" applyBorder="1" applyAlignment="1" applyProtection="1">
      <alignment horizontal="center"/>
      <protection locked="0"/>
    </xf>
    <xf numFmtId="177" fontId="13" fillId="40" borderId="4" xfId="7" applyNumberFormat="1" applyFont="1" applyFill="1" applyBorder="1" applyAlignment="1" applyProtection="1">
      <alignment horizontal="center" wrapText="1"/>
      <protection locked="0"/>
    </xf>
    <xf numFmtId="177" fontId="15" fillId="40" borderId="4" xfId="0" applyNumberFormat="1" applyFont="1" applyFill="1" applyBorder="1" applyAlignment="1" applyProtection="1">
      <alignment horizontal="center"/>
      <protection locked="0"/>
    </xf>
    <xf numFmtId="0" fontId="13" fillId="7" borderId="8" xfId="0" applyFont="1" applyFill="1" applyBorder="1" applyAlignment="1" applyProtection="1">
      <alignment horizontal="center" wrapText="1"/>
      <protection locked="0"/>
    </xf>
    <xf numFmtId="2" fontId="42" fillId="40" borderId="8" xfId="0" quotePrefix="1" applyNumberFormat="1" applyFont="1" applyFill="1" applyBorder="1" applyAlignment="1" applyProtection="1">
      <alignment horizontal="center"/>
      <protection locked="0"/>
    </xf>
    <xf numFmtId="0" fontId="42" fillId="40" borderId="3" xfId="0" applyFont="1" applyFill="1" applyBorder="1" applyAlignment="1" applyProtection="1">
      <alignment horizontal="center"/>
      <protection locked="0"/>
    </xf>
    <xf numFmtId="0" fontId="82" fillId="6" borderId="5" xfId="0" applyFont="1" applyFill="1" applyBorder="1"/>
    <xf numFmtId="2" fontId="42" fillId="7" borderId="8" xfId="0" quotePrefix="1" applyNumberFormat="1" applyFont="1" applyFill="1" applyBorder="1" applyAlignment="1" applyProtection="1">
      <alignment horizontal="center"/>
      <protection locked="0"/>
    </xf>
    <xf numFmtId="0" fontId="42" fillId="7" borderId="3" xfId="0" applyFont="1" applyFill="1" applyBorder="1" applyAlignment="1" applyProtection="1">
      <alignment horizontal="center"/>
      <protection locked="0"/>
    </xf>
    <xf numFmtId="1" fontId="42" fillId="7" borderId="8" xfId="0" quotePrefix="1" applyNumberFormat="1" applyFont="1" applyFill="1" applyBorder="1" applyAlignment="1" applyProtection="1">
      <alignment horizontal="center"/>
      <protection locked="0"/>
    </xf>
    <xf numFmtId="1" fontId="42" fillId="40" borderId="8" xfId="0" quotePrefix="1" applyNumberFormat="1" applyFont="1" applyFill="1" applyBorder="1" applyAlignment="1" applyProtection="1">
      <alignment horizontal="center"/>
      <protection locked="0"/>
    </xf>
    <xf numFmtId="0" fontId="83" fillId="0" borderId="0" xfId="0" applyFont="1"/>
    <xf numFmtId="184" fontId="42" fillId="7" borderId="8" xfId="0" quotePrefix="1" applyNumberFormat="1" applyFont="1" applyFill="1" applyBorder="1" applyAlignment="1" applyProtection="1">
      <alignment horizontal="center"/>
      <protection locked="0"/>
    </xf>
    <xf numFmtId="0" fontId="42" fillId="7" borderId="8" xfId="0" applyFont="1" applyFill="1" applyBorder="1" applyAlignment="1" applyProtection="1">
      <alignment horizontal="center"/>
      <protection locked="0"/>
    </xf>
    <xf numFmtId="182" fontId="13" fillId="40" borderId="4" xfId="7" applyNumberFormat="1" applyFont="1" applyFill="1" applyBorder="1" applyAlignment="1" applyProtection="1">
      <alignment horizontal="center" wrapText="1"/>
      <protection locked="0"/>
    </xf>
    <xf numFmtId="0" fontId="84" fillId="2" borderId="4" xfId="0" applyFont="1" applyFill="1" applyBorder="1" applyAlignment="1" applyProtection="1">
      <alignment horizontal="center" vertical="center"/>
      <protection locked="0"/>
    </xf>
    <xf numFmtId="0" fontId="13" fillId="2" borderId="0" xfId="0" applyFont="1" applyFill="1" applyAlignment="1" applyProtection="1">
      <alignment horizontal="center" vertical="center"/>
      <protection locked="0"/>
    </xf>
    <xf numFmtId="9" fontId="13" fillId="2" borderId="0" xfId="0" applyNumberFormat="1" applyFont="1" applyFill="1" applyProtection="1">
      <protection locked="0"/>
    </xf>
    <xf numFmtId="0" fontId="86" fillId="6" borderId="3" xfId="0" applyFont="1" applyFill="1" applyBorder="1" applyAlignment="1">
      <alignment horizontal="center" vertical="center" wrapText="1"/>
    </xf>
    <xf numFmtId="0" fontId="42" fillId="4" borderId="4" xfId="0" applyFont="1" applyFill="1" applyBorder="1" applyAlignment="1" applyProtection="1">
      <alignment horizontal="center"/>
      <protection locked="0"/>
    </xf>
    <xf numFmtId="177" fontId="42" fillId="4" borderId="4" xfId="0" applyNumberFormat="1" applyFont="1" applyFill="1" applyBorder="1" applyAlignment="1" applyProtection="1">
      <alignment horizontal="center"/>
      <protection locked="0"/>
    </xf>
    <xf numFmtId="0" fontId="0" fillId="0" borderId="4" xfId="0" applyBorder="1" applyAlignment="1">
      <alignment horizontal="center" vertical="center"/>
    </xf>
    <xf numFmtId="0" fontId="42" fillId="39" borderId="4" xfId="0" applyFont="1" applyFill="1" applyBorder="1" applyAlignment="1" applyProtection="1">
      <alignment horizontal="center"/>
      <protection locked="0"/>
    </xf>
    <xf numFmtId="0" fontId="42" fillId="4" borderId="4" xfId="0" quotePrefix="1" applyFont="1" applyFill="1" applyBorder="1" applyAlignment="1" applyProtection="1">
      <alignment horizontal="center"/>
      <protection locked="0"/>
    </xf>
    <xf numFmtId="0" fontId="12" fillId="0" borderId="0" xfId="2125"/>
    <xf numFmtId="177" fontId="26" fillId="0" borderId="4" xfId="2125" applyNumberFormat="1" applyFont="1" applyBorder="1" applyAlignment="1">
      <alignment horizontal="center"/>
    </xf>
    <xf numFmtId="0" fontId="82" fillId="6" borderId="0" xfId="2125" applyFont="1" applyFill="1"/>
    <xf numFmtId="0" fontId="18" fillId="3" borderId="14" xfId="7" applyFont="1" applyFill="1" applyBorder="1" applyAlignment="1">
      <alignment horizontal="center"/>
    </xf>
    <xf numFmtId="0" fontId="18" fillId="3" borderId="0" xfId="7" applyFont="1" applyFill="1" applyAlignment="1">
      <alignment horizontal="center"/>
    </xf>
    <xf numFmtId="0" fontId="18" fillId="0" borderId="4" xfId="7" applyFont="1" applyBorder="1" applyAlignment="1">
      <alignment horizontal="left"/>
    </xf>
    <xf numFmtId="0" fontId="18" fillId="2" borderId="4" xfId="7" applyFont="1" applyFill="1" applyBorder="1" applyAlignment="1">
      <alignment horizontal="center"/>
    </xf>
    <xf numFmtId="177" fontId="13" fillId="2" borderId="4" xfId="7" applyNumberFormat="1" applyFont="1" applyFill="1" applyBorder="1" applyAlignment="1">
      <alignment horizontal="center"/>
    </xf>
    <xf numFmtId="177" fontId="13" fillId="2" borderId="1" xfId="2126" applyNumberFormat="1" applyFont="1" applyFill="1" applyBorder="1" applyAlignment="1" applyProtection="1">
      <alignment horizontal="center"/>
    </xf>
    <xf numFmtId="0" fontId="82" fillId="6" borderId="5" xfId="2125" applyFont="1" applyFill="1" applyBorder="1"/>
    <xf numFmtId="177" fontId="13" fillId="3" borderId="1" xfId="2125" applyNumberFormat="1" applyFont="1" applyFill="1" applyBorder="1" applyAlignment="1">
      <alignment horizontal="center"/>
    </xf>
    <xf numFmtId="177" fontId="13" fillId="3" borderId="7" xfId="2125" applyNumberFormat="1" applyFont="1" applyFill="1" applyBorder="1" applyAlignment="1">
      <alignment horizontal="center"/>
    </xf>
    <xf numFmtId="49" fontId="13" fillId="40" borderId="7" xfId="7" applyNumberFormat="1" applyFont="1" applyFill="1" applyBorder="1" applyAlignment="1" applyProtection="1">
      <alignment horizontal="center" vertical="center" wrapText="1"/>
      <protection locked="0"/>
    </xf>
    <xf numFmtId="0" fontId="13" fillId="40" borderId="4" xfId="2125" applyFont="1" applyFill="1" applyBorder="1" applyAlignment="1">
      <alignment horizontal="center" vertical="center" wrapText="1"/>
    </xf>
    <xf numFmtId="0" fontId="87" fillId="7" borderId="8" xfId="2125" applyFont="1" applyFill="1" applyBorder="1" applyAlignment="1" applyProtection="1">
      <alignment horizontal="center"/>
      <protection locked="0"/>
    </xf>
    <xf numFmtId="0" fontId="87" fillId="7" borderId="4" xfId="2125" applyFont="1" applyFill="1" applyBorder="1" applyAlignment="1" applyProtection="1">
      <alignment horizontal="center"/>
      <protection locked="0"/>
    </xf>
    <xf numFmtId="0" fontId="12" fillId="6" borderId="0" xfId="2125" applyFill="1"/>
    <xf numFmtId="0" fontId="13" fillId="7" borderId="8" xfId="2125" applyFont="1" applyFill="1" applyBorder="1" applyAlignment="1" applyProtection="1">
      <alignment horizontal="center" wrapText="1"/>
      <protection locked="0"/>
    </xf>
    <xf numFmtId="0" fontId="88" fillId="40" borderId="6" xfId="2125" applyFont="1" applyFill="1" applyBorder="1" applyAlignment="1">
      <alignment horizontal="center" vertical="center" wrapText="1"/>
    </xf>
    <xf numFmtId="177" fontId="13" fillId="40" borderId="4" xfId="2125" applyNumberFormat="1" applyFont="1" applyFill="1" applyBorder="1" applyAlignment="1" applyProtection="1">
      <alignment horizontal="center"/>
      <protection locked="0"/>
    </xf>
    <xf numFmtId="177" fontId="13" fillId="40" borderId="4" xfId="2125" applyNumberFormat="1" applyFont="1" applyFill="1" applyBorder="1" applyAlignment="1">
      <alignment horizontal="center" vertical="center" wrapText="1"/>
    </xf>
    <xf numFmtId="0" fontId="42" fillId="7" borderId="8" xfId="2125" applyFont="1" applyFill="1" applyBorder="1" applyAlignment="1" applyProtection="1">
      <alignment horizontal="center"/>
      <protection locked="0"/>
    </xf>
    <xf numFmtId="0" fontId="88" fillId="40" borderId="6" xfId="2125" quotePrefix="1" applyFont="1" applyFill="1" applyBorder="1" applyAlignment="1">
      <alignment horizontal="center" vertical="center" wrapText="1"/>
    </xf>
    <xf numFmtId="0" fontId="89" fillId="6" borderId="5" xfId="2125" applyFont="1" applyFill="1" applyBorder="1"/>
    <xf numFmtId="9" fontId="13" fillId="2" borderId="1" xfId="2126" applyFont="1" applyFill="1" applyBorder="1" applyAlignment="1" applyProtection="1">
      <alignment horizontal="center"/>
    </xf>
    <xf numFmtId="0" fontId="33" fillId="6" borderId="0" xfId="2125" applyFont="1" applyFill="1"/>
    <xf numFmtId="0" fontId="33" fillId="6" borderId="5" xfId="2125" applyFont="1" applyFill="1" applyBorder="1"/>
    <xf numFmtId="0" fontId="83" fillId="0" borderId="0" xfId="2125" applyFont="1"/>
    <xf numFmtId="177" fontId="90" fillId="0" borderId="4" xfId="2125" applyNumberFormat="1" applyFont="1" applyBorder="1" applyAlignment="1">
      <alignment horizontal="center"/>
    </xf>
    <xf numFmtId="177" fontId="26" fillId="0" borderId="1" xfId="2125" applyNumberFormat="1" applyFont="1" applyBorder="1" applyAlignment="1">
      <alignment horizontal="center"/>
    </xf>
    <xf numFmtId="0" fontId="34" fillId="0" borderId="0" xfId="2125" applyFont="1"/>
    <xf numFmtId="0" fontId="18" fillId="2" borderId="4" xfId="1" applyFont="1" applyFill="1" applyBorder="1" applyAlignment="1">
      <alignment horizontal="center" vertical="center"/>
    </xf>
    <xf numFmtId="0" fontId="18" fillId="2" borderId="1" xfId="1" applyFont="1" applyFill="1" applyBorder="1" applyAlignment="1">
      <alignment horizontal="center" vertical="center"/>
    </xf>
    <xf numFmtId="0" fontId="32" fillId="6" borderId="14" xfId="2125" applyFont="1" applyFill="1" applyBorder="1"/>
    <xf numFmtId="0" fontId="30" fillId="3" borderId="14" xfId="2125" applyFont="1" applyFill="1" applyBorder="1" applyAlignment="1">
      <alignment vertical="center"/>
    </xf>
    <xf numFmtId="0" fontId="30" fillId="3" borderId="0" xfId="2125" applyFont="1" applyFill="1" applyAlignment="1">
      <alignment vertical="center"/>
    </xf>
    <xf numFmtId="0" fontId="32" fillId="6" borderId="5" xfId="2125" applyFont="1" applyFill="1" applyBorder="1"/>
    <xf numFmtId="0" fontId="18" fillId="3" borderId="3" xfId="2125" applyFont="1" applyFill="1" applyBorder="1" applyAlignment="1">
      <alignment horizontal="center" vertical="center" wrapText="1"/>
    </xf>
    <xf numFmtId="49" fontId="18" fillId="3" borderId="3" xfId="2125" quotePrefix="1" applyNumberFormat="1" applyFont="1" applyFill="1" applyBorder="1" applyAlignment="1">
      <alignment horizontal="center" vertical="center" wrapText="1"/>
    </xf>
    <xf numFmtId="2" fontId="18" fillId="3" borderId="3" xfId="1" applyNumberFormat="1" applyFont="1" applyFill="1" applyBorder="1" applyAlignment="1">
      <alignment horizontal="center" vertical="center" wrapText="1"/>
    </xf>
    <xf numFmtId="58" fontId="18" fillId="3" borderId="3" xfId="1" applyNumberFormat="1" applyFont="1" applyFill="1" applyBorder="1" applyAlignment="1">
      <alignment horizontal="center" vertical="center" wrapText="1"/>
    </xf>
    <xf numFmtId="0" fontId="13" fillId="2" borderId="0" xfId="2125" applyFont="1" applyFill="1" applyAlignment="1">
      <alignment horizontal="center"/>
    </xf>
    <xf numFmtId="0" fontId="30" fillId="5" borderId="8" xfId="2125" applyFont="1" applyFill="1" applyBorder="1" applyAlignment="1">
      <alignment vertical="center"/>
    </xf>
    <xf numFmtId="0" fontId="30" fillId="5" borderId="24" xfId="2125" applyFont="1" applyFill="1" applyBorder="1" applyAlignment="1">
      <alignment vertical="center"/>
    </xf>
    <xf numFmtId="0" fontId="30" fillId="5" borderId="7" xfId="2125" applyFont="1" applyFill="1" applyBorder="1" applyAlignment="1">
      <alignment vertical="center"/>
    </xf>
    <xf numFmtId="0" fontId="30" fillId="5" borderId="14" xfId="2125" applyFont="1" applyFill="1" applyBorder="1"/>
    <xf numFmtId="0" fontId="30" fillId="3" borderId="9" xfId="2125" applyFont="1" applyFill="1" applyBorder="1" applyAlignment="1">
      <alignment vertical="center"/>
    </xf>
    <xf numFmtId="0" fontId="40" fillId="0" borderId="9" xfId="1" applyFont="1" applyBorder="1" applyAlignment="1">
      <alignment wrapText="1"/>
    </xf>
    <xf numFmtId="2" fontId="13" fillId="4" borderId="2" xfId="2125" applyNumberFormat="1" applyFont="1" applyFill="1" applyBorder="1" applyAlignment="1">
      <alignment horizontal="center" vertical="center" wrapText="1"/>
    </xf>
    <xf numFmtId="0" fontId="18" fillId="3" borderId="1" xfId="2125" applyFont="1" applyFill="1" applyBorder="1" applyAlignment="1">
      <alignment horizontal="center" vertical="center" wrapText="1"/>
    </xf>
    <xf numFmtId="0" fontId="30" fillId="5" borderId="5" xfId="2125" applyFont="1" applyFill="1" applyBorder="1"/>
    <xf numFmtId="0" fontId="18" fillId="3" borderId="9" xfId="2125" applyFont="1" applyFill="1" applyBorder="1" applyAlignment="1">
      <alignment wrapText="1"/>
    </xf>
    <xf numFmtId="0" fontId="31" fillId="3" borderId="9" xfId="2125" quotePrefix="1" applyFont="1" applyFill="1" applyBorder="1" applyAlignment="1">
      <alignment horizontal="center" vertical="center" wrapText="1"/>
    </xf>
    <xf numFmtId="2" fontId="18" fillId="3" borderId="9" xfId="1" applyNumberFormat="1" applyFont="1" applyFill="1" applyBorder="1" applyAlignment="1">
      <alignment wrapText="1"/>
    </xf>
    <xf numFmtId="58" fontId="18" fillId="3" borderId="9" xfId="1" applyNumberFormat="1" applyFont="1" applyFill="1" applyBorder="1" applyAlignment="1">
      <alignment wrapText="1"/>
    </xf>
    <xf numFmtId="0" fontId="30" fillId="5" borderId="9" xfId="2125" applyFont="1" applyFill="1" applyBorder="1"/>
    <xf numFmtId="0" fontId="13" fillId="2" borderId="0" xfId="2125" applyFont="1" applyFill="1"/>
    <xf numFmtId="0" fontId="12" fillId="3" borderId="0" xfId="2125" applyFill="1"/>
    <xf numFmtId="14" fontId="15" fillId="3" borderId="5" xfId="2125" applyNumberFormat="1" applyFont="1" applyFill="1" applyBorder="1"/>
    <xf numFmtId="0" fontId="15" fillId="40" borderId="4" xfId="2125" applyFont="1" applyFill="1" applyBorder="1" applyAlignment="1" applyProtection="1">
      <alignment horizontal="left"/>
      <protection locked="0"/>
    </xf>
    <xf numFmtId="14" fontId="15" fillId="40" borderId="4" xfId="2125" applyNumberFormat="1" applyFont="1" applyFill="1" applyBorder="1" applyProtection="1">
      <protection locked="0"/>
    </xf>
    <xf numFmtId="0" fontId="28" fillId="2" borderId="0" xfId="2125" applyFont="1" applyFill="1"/>
    <xf numFmtId="0" fontId="27" fillId="2" borderId="0" xfId="2125" applyFont="1" applyFill="1"/>
    <xf numFmtId="0" fontId="27" fillId="2" borderId="0" xfId="2125" applyFont="1" applyFill="1" applyAlignment="1">
      <alignment horizontal="center"/>
    </xf>
    <xf numFmtId="0" fontId="13" fillId="2" borderId="13" xfId="0" applyFont="1" applyFill="1" applyBorder="1"/>
    <xf numFmtId="0" fontId="92" fillId="3" borderId="0" xfId="0" applyFont="1" applyFill="1"/>
    <xf numFmtId="9" fontId="92" fillId="3" borderId="0" xfId="0" applyNumberFormat="1" applyFont="1" applyFill="1"/>
    <xf numFmtId="0" fontId="95" fillId="2" borderId="0" xfId="0" applyFont="1" applyFill="1" applyAlignment="1" applyProtection="1">
      <alignment horizontal="center"/>
      <protection locked="0"/>
    </xf>
    <xf numFmtId="0" fontId="96" fillId="2" borderId="0" xfId="0" applyFont="1" applyFill="1" applyAlignment="1">
      <alignment horizontal="center"/>
    </xf>
    <xf numFmtId="0" fontId="97" fillId="3" borderId="0" xfId="0" applyFont="1" applyFill="1" applyAlignment="1">
      <alignment horizontal="center"/>
    </xf>
    <xf numFmtId="0" fontId="13" fillId="0" borderId="0" xfId="0" applyFont="1" applyAlignment="1" applyProtection="1">
      <alignment horizontal="center" vertical="center"/>
      <protection locked="0"/>
    </xf>
    <xf numFmtId="0" fontId="13" fillId="2" borderId="0" xfId="2125" applyFont="1" applyFill="1" applyAlignment="1">
      <alignment horizontal="center" vertical="center"/>
    </xf>
    <xf numFmtId="0" fontId="13" fillId="3" borderId="0" xfId="2125" applyFont="1" applyFill="1" applyAlignment="1">
      <alignment horizontal="center" vertical="center"/>
    </xf>
    <xf numFmtId="0" fontId="27" fillId="2" borderId="0" xfId="2125" applyFont="1" applyFill="1" applyAlignment="1">
      <alignment horizontal="center"/>
    </xf>
    <xf numFmtId="0" fontId="28" fillId="2" borderId="0" xfId="2125" applyFont="1" applyFill="1" applyAlignment="1">
      <alignment horizontal="center"/>
    </xf>
    <xf numFmtId="0" fontId="13" fillId="2" borderId="1" xfId="2125" applyFont="1" applyFill="1" applyBorder="1" applyAlignment="1">
      <alignment horizontal="right"/>
    </xf>
    <xf numFmtId="0" fontId="13" fillId="2" borderId="2" xfId="2125" applyFont="1" applyFill="1" applyBorder="1" applyAlignment="1">
      <alignment horizontal="right"/>
    </xf>
    <xf numFmtId="0" fontId="13" fillId="0" borderId="1" xfId="2125" applyFont="1" applyBorder="1" applyAlignment="1">
      <alignment horizontal="right"/>
    </xf>
    <xf numFmtId="0" fontId="13" fillId="0" borderId="2" xfId="2125" applyFont="1" applyBorder="1" applyAlignment="1">
      <alignment horizontal="right"/>
    </xf>
    <xf numFmtId="14" fontId="15" fillId="40" borderId="1" xfId="0" applyNumberFormat="1" applyFont="1" applyFill="1" applyBorder="1" applyAlignment="1" applyProtection="1">
      <alignment horizontal="left"/>
      <protection locked="0"/>
    </xf>
    <xf numFmtId="14" fontId="15" fillId="40" borderId="6" xfId="0" applyNumberFormat="1" applyFont="1" applyFill="1" applyBorder="1" applyAlignment="1" applyProtection="1">
      <alignment horizontal="left"/>
      <protection locked="0"/>
    </xf>
    <xf numFmtId="14" fontId="15" fillId="40" borderId="2" xfId="0" applyNumberFormat="1" applyFont="1" applyFill="1" applyBorder="1" applyAlignment="1" applyProtection="1">
      <alignment horizontal="left"/>
      <protection locked="0"/>
    </xf>
    <xf numFmtId="0" fontId="13" fillId="2" borderId="1" xfId="0" applyFont="1" applyFill="1" applyBorder="1" applyAlignment="1">
      <alignment horizontal="right"/>
    </xf>
    <xf numFmtId="0" fontId="13" fillId="2" borderId="6" xfId="0" applyFont="1" applyFill="1" applyBorder="1" applyAlignment="1">
      <alignment horizontal="right"/>
    </xf>
    <xf numFmtId="0" fontId="13" fillId="2" borderId="2" xfId="0" applyFont="1" applyFill="1" applyBorder="1" applyAlignment="1">
      <alignment horizontal="right"/>
    </xf>
    <xf numFmtId="0" fontId="13" fillId="4" borderId="1" xfId="0" quotePrefix="1" applyFont="1" applyFill="1" applyBorder="1" applyAlignment="1">
      <alignment horizontal="left"/>
    </xf>
    <xf numFmtId="0" fontId="13" fillId="4" borderId="6" xfId="0" applyFont="1" applyFill="1" applyBorder="1" applyAlignment="1">
      <alignment horizontal="left"/>
    </xf>
    <xf numFmtId="14" fontId="15" fillId="40" borderId="1" xfId="0" quotePrefix="1" applyNumberFormat="1" applyFont="1" applyFill="1" applyBorder="1" applyAlignment="1" applyProtection="1">
      <alignment horizontal="left"/>
      <protection locked="0"/>
    </xf>
    <xf numFmtId="0" fontId="13" fillId="4" borderId="1" xfId="0" applyFont="1" applyFill="1" applyBorder="1" applyAlignment="1">
      <alignment horizontal="left"/>
    </xf>
    <xf numFmtId="14" fontId="93" fillId="40" borderId="1" xfId="0" applyNumberFormat="1" applyFont="1" applyFill="1" applyBorder="1" applyAlignment="1" applyProtection="1">
      <alignment horizontal="left"/>
      <protection locked="0"/>
    </xf>
    <xf numFmtId="0" fontId="13" fillId="4" borderId="2" xfId="0" applyFont="1" applyFill="1" applyBorder="1" applyAlignment="1">
      <alignment horizontal="left"/>
    </xf>
    <xf numFmtId="0" fontId="30" fillId="5" borderId="1" xfId="2125" applyFont="1" applyFill="1" applyBorder="1" applyAlignment="1">
      <alignment horizontal="center"/>
    </xf>
    <xf numFmtId="0" fontId="30" fillId="5" borderId="6" xfId="2125" applyFont="1" applyFill="1" applyBorder="1" applyAlignment="1">
      <alignment horizontal="center"/>
    </xf>
    <xf numFmtId="0" fontId="30" fillId="5" borderId="2" xfId="2125" applyFont="1" applyFill="1" applyBorder="1" applyAlignment="1">
      <alignment horizontal="center"/>
    </xf>
    <xf numFmtId="0" fontId="30" fillId="3" borderId="0" xfId="2125" applyFont="1" applyFill="1" applyAlignment="1">
      <alignment horizontal="center" vertical="center"/>
    </xf>
    <xf numFmtId="0" fontId="30" fillId="5" borderId="12" xfId="2125" applyFont="1" applyFill="1" applyBorder="1" applyAlignment="1">
      <alignment horizontal="left" vertical="center"/>
    </xf>
    <xf numFmtId="0" fontId="30" fillId="5" borderId="11" xfId="2125" applyFont="1" applyFill="1" applyBorder="1" applyAlignment="1">
      <alignment horizontal="left" vertical="center"/>
    </xf>
    <xf numFmtId="0" fontId="30" fillId="5" borderId="25" xfId="2125" applyFont="1" applyFill="1" applyBorder="1" applyAlignment="1">
      <alignment horizontal="left" vertical="center"/>
    </xf>
    <xf numFmtId="0" fontId="18" fillId="3" borderId="9" xfId="2125" applyFont="1" applyFill="1" applyBorder="1" applyAlignment="1">
      <alignment horizontal="center" vertical="center"/>
    </xf>
    <xf numFmtId="0" fontId="18" fillId="3" borderId="3" xfId="2125" applyFont="1" applyFill="1" applyBorder="1" applyAlignment="1">
      <alignment horizontal="center" vertical="center"/>
    </xf>
    <xf numFmtId="0" fontId="18" fillId="3" borderId="1" xfId="2125" applyFont="1" applyFill="1" applyBorder="1" applyAlignment="1">
      <alignment horizontal="center" vertical="center" wrapText="1"/>
    </xf>
    <xf numFmtId="0" fontId="18" fillId="3" borderId="2" xfId="2125" applyFont="1" applyFill="1" applyBorder="1" applyAlignment="1">
      <alignment horizontal="center" vertical="center" wrapText="1"/>
    </xf>
    <xf numFmtId="0" fontId="18" fillId="2" borderId="12" xfId="1" applyFont="1" applyFill="1" applyBorder="1" applyAlignment="1">
      <alignment horizontal="center" vertical="center"/>
    </xf>
    <xf numFmtId="0" fontId="18" fillId="2" borderId="25" xfId="1" applyFont="1" applyFill="1" applyBorder="1" applyAlignment="1">
      <alignment horizontal="center" vertical="center"/>
    </xf>
    <xf numFmtId="0" fontId="27" fillId="2" borderId="0" xfId="0" applyFont="1" applyFill="1" applyAlignment="1">
      <alignment horizontal="center"/>
    </xf>
    <xf numFmtId="14" fontId="15" fillId="4" borderId="1" xfId="0" applyNumberFormat="1" applyFont="1" applyFill="1" applyBorder="1" applyAlignment="1" applyProtection="1">
      <alignment horizontal="left"/>
      <protection locked="0"/>
    </xf>
    <xf numFmtId="14" fontId="15" fillId="4" borderId="6" xfId="0" applyNumberFormat="1" applyFont="1" applyFill="1" applyBorder="1" applyAlignment="1" applyProtection="1">
      <alignment horizontal="left"/>
      <protection locked="0"/>
    </xf>
    <xf numFmtId="14" fontId="15" fillId="4" borderId="2" xfId="0" applyNumberFormat="1" applyFont="1" applyFill="1" applyBorder="1" applyAlignment="1" applyProtection="1">
      <alignment horizontal="left"/>
      <protection locked="0"/>
    </xf>
    <xf numFmtId="14" fontId="15" fillId="4" borderId="1" xfId="0" quotePrefix="1" applyNumberFormat="1" applyFont="1" applyFill="1" applyBorder="1" applyAlignment="1" applyProtection="1">
      <alignment horizontal="left"/>
      <protection locked="0"/>
    </xf>
    <xf numFmtId="0" fontId="30" fillId="5" borderId="6" xfId="0" applyFont="1" applyFill="1" applyBorder="1" applyAlignment="1">
      <alignment horizontal="center"/>
    </xf>
    <xf numFmtId="0" fontId="30" fillId="5" borderId="2" xfId="0" applyFont="1" applyFill="1" applyBorder="1" applyAlignment="1">
      <alignment horizontal="center"/>
    </xf>
    <xf numFmtId="0" fontId="30" fillId="5" borderId="1" xfId="0" applyFont="1" applyFill="1" applyBorder="1" applyAlignment="1">
      <alignment horizontal="center"/>
    </xf>
    <xf numFmtId="0" fontId="85" fillId="2" borderId="4" xfId="0" applyFont="1" applyFill="1" applyBorder="1" applyAlignment="1" applyProtection="1">
      <alignment horizontal="center" vertical="center"/>
      <protection locked="0"/>
    </xf>
    <xf numFmtId="0" fontId="30" fillId="5" borderId="12" xfId="0" applyFont="1" applyFill="1" applyBorder="1" applyAlignment="1">
      <alignment horizontal="center" vertical="center"/>
    </xf>
    <xf numFmtId="0" fontId="30" fillId="5" borderId="11" xfId="0" applyFont="1" applyFill="1" applyBorder="1" applyAlignment="1">
      <alignment horizontal="center" vertical="center"/>
    </xf>
    <xf numFmtId="0" fontId="30" fillId="5" borderId="7" xfId="0" applyFont="1" applyFill="1" applyBorder="1" applyAlignment="1">
      <alignment horizontal="center" vertical="center"/>
    </xf>
    <xf numFmtId="0" fontId="30" fillId="5" borderId="24" xfId="0" applyFont="1" applyFill="1" applyBorder="1" applyAlignment="1">
      <alignment horizontal="center" vertical="center"/>
    </xf>
    <xf numFmtId="0" fontId="28" fillId="2" borderId="0" xfId="0" applyFont="1" applyFill="1" applyAlignment="1">
      <alignment horizontal="center"/>
    </xf>
    <xf numFmtId="0" fontId="13" fillId="0" borderId="1" xfId="0" applyFont="1" applyBorder="1" applyAlignment="1">
      <alignment horizontal="right"/>
    </xf>
    <xf numFmtId="0" fontId="13" fillId="0" borderId="2" xfId="0" applyFont="1" applyBorder="1" applyAlignment="1">
      <alignment horizontal="right"/>
    </xf>
    <xf numFmtId="0" fontId="30" fillId="3" borderId="0" xfId="0" applyFont="1" applyFill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5" fillId="4" borderId="1" xfId="0" quotePrefix="1" applyFont="1" applyFill="1" applyBorder="1" applyAlignment="1">
      <alignment horizontal="left"/>
    </xf>
    <xf numFmtId="0" fontId="15" fillId="4" borderId="6" xfId="0" applyFont="1" applyFill="1" applyBorder="1" applyAlignment="1">
      <alignment horizontal="left"/>
    </xf>
    <xf numFmtId="0" fontId="15" fillId="4" borderId="2" xfId="0" applyFont="1" applyFill="1" applyBorder="1" applyAlignment="1">
      <alignment horizontal="left"/>
    </xf>
    <xf numFmtId="0" fontId="15" fillId="4" borderId="1" xfId="0" applyFont="1" applyFill="1" applyBorder="1" applyAlignment="1">
      <alignment horizontal="left"/>
    </xf>
    <xf numFmtId="0" fontId="86" fillId="6" borderId="9" xfId="0" applyFont="1" applyFill="1" applyBorder="1" applyAlignment="1">
      <alignment horizontal="center" vertical="center" wrapText="1"/>
    </xf>
    <xf numFmtId="0" fontId="86" fillId="6" borderId="5" xfId="0" applyFont="1" applyFill="1" applyBorder="1" applyAlignment="1">
      <alignment horizontal="center" vertical="center" wrapText="1"/>
    </xf>
    <xf numFmtId="0" fontId="86" fillId="6" borderId="9" xfId="0" applyFont="1" applyFill="1" applyBorder="1" applyAlignment="1">
      <alignment horizontal="center" vertical="center"/>
    </xf>
    <xf numFmtId="0" fontId="86" fillId="6" borderId="5" xfId="0" applyFont="1" applyFill="1" applyBorder="1" applyAlignment="1">
      <alignment horizontal="center" vertical="center"/>
    </xf>
    <xf numFmtId="0" fontId="86" fillId="6" borderId="3" xfId="0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8" fillId="0" borderId="0" xfId="0" applyFont="1" applyAlignment="1">
      <alignment horizontal="center" wrapText="1"/>
    </xf>
  </cellXfs>
  <cellStyles count="2127">
    <cellStyle name="___CPK__" xfId="40" xr:uid="{00000000-0005-0000-0000-000000000000}"/>
    <cellStyle name="20% - アクセント 1" xfId="1930" builtinId="30" customBuiltin="1"/>
    <cellStyle name="20% - アクセント 2" xfId="1934" builtinId="34" customBuiltin="1"/>
    <cellStyle name="20% - アクセント 3" xfId="1938" builtinId="38" customBuiltin="1"/>
    <cellStyle name="20% - アクセント 4" xfId="1942" builtinId="42" customBuiltin="1"/>
    <cellStyle name="20% - アクセント 5" xfId="1946" builtinId="46" customBuiltin="1"/>
    <cellStyle name="20% - アクセント 6" xfId="1950" builtinId="50" customBuiltin="1"/>
    <cellStyle name="20% - 강조색1 2" xfId="1975" xr:uid="{00000000-0005-0000-0000-000002000000}"/>
    <cellStyle name="20% - 강조색1 3" xfId="2000" xr:uid="{00000000-0005-0000-0000-000003000000}"/>
    <cellStyle name="20% - 강조색1 4" xfId="2023" xr:uid="{00000000-0005-0000-0000-000004000000}"/>
    <cellStyle name="20% - 강조색1 5" xfId="2043" xr:uid="{00000000-0005-0000-0000-000005000000}"/>
    <cellStyle name="20% - 강조색1 6" xfId="2063" xr:uid="{00000000-0005-0000-0000-000006000000}"/>
    <cellStyle name="20% - 강조색1 7" xfId="2083" xr:uid="{00000000-0005-0000-0000-000007000000}"/>
    <cellStyle name="20% - 강조색1 8" xfId="2103" xr:uid="{00000000-0005-0000-0000-000008000000}"/>
    <cellStyle name="20% - 강조색2 2" xfId="1979" xr:uid="{00000000-0005-0000-0000-00000A000000}"/>
    <cellStyle name="20% - 강조색2 3" xfId="2003" xr:uid="{00000000-0005-0000-0000-00000B000000}"/>
    <cellStyle name="20% - 강조색2 4" xfId="2026" xr:uid="{00000000-0005-0000-0000-00000C000000}"/>
    <cellStyle name="20% - 강조색2 5" xfId="2046" xr:uid="{00000000-0005-0000-0000-00000D000000}"/>
    <cellStyle name="20% - 강조색2 6" xfId="2066" xr:uid="{00000000-0005-0000-0000-00000E000000}"/>
    <cellStyle name="20% - 강조색2 7" xfId="2086" xr:uid="{00000000-0005-0000-0000-00000F000000}"/>
    <cellStyle name="20% - 강조색2 8" xfId="2106" xr:uid="{00000000-0005-0000-0000-000010000000}"/>
    <cellStyle name="20% - 강조색3 2" xfId="1983" xr:uid="{00000000-0005-0000-0000-000012000000}"/>
    <cellStyle name="20% - 강조색3 3" xfId="2006" xr:uid="{00000000-0005-0000-0000-000013000000}"/>
    <cellStyle name="20% - 강조색3 4" xfId="2029" xr:uid="{00000000-0005-0000-0000-000014000000}"/>
    <cellStyle name="20% - 강조색3 5" xfId="2049" xr:uid="{00000000-0005-0000-0000-000015000000}"/>
    <cellStyle name="20% - 강조색3 6" xfId="2069" xr:uid="{00000000-0005-0000-0000-000016000000}"/>
    <cellStyle name="20% - 강조색3 7" xfId="2089" xr:uid="{00000000-0005-0000-0000-000017000000}"/>
    <cellStyle name="20% - 강조색3 8" xfId="2109" xr:uid="{00000000-0005-0000-0000-000018000000}"/>
    <cellStyle name="20% - 강조색4 2" xfId="1987" xr:uid="{00000000-0005-0000-0000-00001A000000}"/>
    <cellStyle name="20% - 강조색4 3" xfId="2009" xr:uid="{00000000-0005-0000-0000-00001B000000}"/>
    <cellStyle name="20% - 강조색4 4" xfId="2032" xr:uid="{00000000-0005-0000-0000-00001C000000}"/>
    <cellStyle name="20% - 강조색4 5" xfId="2052" xr:uid="{00000000-0005-0000-0000-00001D000000}"/>
    <cellStyle name="20% - 강조색4 6" xfId="2072" xr:uid="{00000000-0005-0000-0000-00001E000000}"/>
    <cellStyle name="20% - 강조색4 7" xfId="2092" xr:uid="{00000000-0005-0000-0000-00001F000000}"/>
    <cellStyle name="20% - 강조색4 8" xfId="2112" xr:uid="{00000000-0005-0000-0000-000020000000}"/>
    <cellStyle name="20% - 강조색5 2" xfId="1991" xr:uid="{00000000-0005-0000-0000-000022000000}"/>
    <cellStyle name="20% - 강조색5 3" xfId="2012" xr:uid="{00000000-0005-0000-0000-000023000000}"/>
    <cellStyle name="20% - 강조색5 4" xfId="2035" xr:uid="{00000000-0005-0000-0000-000024000000}"/>
    <cellStyle name="20% - 강조색5 5" xfId="2055" xr:uid="{00000000-0005-0000-0000-000025000000}"/>
    <cellStyle name="20% - 강조색5 6" xfId="2075" xr:uid="{00000000-0005-0000-0000-000026000000}"/>
    <cellStyle name="20% - 강조색5 7" xfId="2095" xr:uid="{00000000-0005-0000-0000-000027000000}"/>
    <cellStyle name="20% - 강조색5 8" xfId="2115" xr:uid="{00000000-0005-0000-0000-000028000000}"/>
    <cellStyle name="20% - 강조색6 2" xfId="1995" xr:uid="{00000000-0005-0000-0000-00002A000000}"/>
    <cellStyle name="20% - 강조색6 3" xfId="2015" xr:uid="{00000000-0005-0000-0000-00002B000000}"/>
    <cellStyle name="20% - 강조색6 4" xfId="2038" xr:uid="{00000000-0005-0000-0000-00002C000000}"/>
    <cellStyle name="20% - 강조색6 5" xfId="2058" xr:uid="{00000000-0005-0000-0000-00002D000000}"/>
    <cellStyle name="20% - 강조색6 6" xfId="2078" xr:uid="{00000000-0005-0000-0000-00002E000000}"/>
    <cellStyle name="20% - 강조색6 7" xfId="2098" xr:uid="{00000000-0005-0000-0000-00002F000000}"/>
    <cellStyle name="20% - 강조색6 8" xfId="2118" xr:uid="{00000000-0005-0000-0000-000030000000}"/>
    <cellStyle name="40% - アクセント 1" xfId="1931" builtinId="31" customBuiltin="1"/>
    <cellStyle name="40% - アクセント 2" xfId="1935" builtinId="35" customBuiltin="1"/>
    <cellStyle name="40% - アクセント 3" xfId="1939" builtinId="39" customBuiltin="1"/>
    <cellStyle name="40% - アクセント 4" xfId="1943" builtinId="43" customBuiltin="1"/>
    <cellStyle name="40% - アクセント 5" xfId="1947" builtinId="47" customBuiltin="1"/>
    <cellStyle name="40% - アクセント 6" xfId="1951" builtinId="51" customBuiltin="1"/>
    <cellStyle name="40% - 강조색1 2" xfId="1976" xr:uid="{00000000-0005-0000-0000-000032000000}"/>
    <cellStyle name="40% - 강조색1 3" xfId="2001" xr:uid="{00000000-0005-0000-0000-000033000000}"/>
    <cellStyle name="40% - 강조색1 4" xfId="2024" xr:uid="{00000000-0005-0000-0000-000034000000}"/>
    <cellStyle name="40% - 강조색1 5" xfId="2044" xr:uid="{00000000-0005-0000-0000-000035000000}"/>
    <cellStyle name="40% - 강조색1 6" xfId="2064" xr:uid="{00000000-0005-0000-0000-000036000000}"/>
    <cellStyle name="40% - 강조색1 7" xfId="2084" xr:uid="{00000000-0005-0000-0000-000037000000}"/>
    <cellStyle name="40% - 강조색1 8" xfId="2104" xr:uid="{00000000-0005-0000-0000-000038000000}"/>
    <cellStyle name="40% - 강조색2 2" xfId="1980" xr:uid="{00000000-0005-0000-0000-00003A000000}"/>
    <cellStyle name="40% - 강조색2 3" xfId="2004" xr:uid="{00000000-0005-0000-0000-00003B000000}"/>
    <cellStyle name="40% - 강조색2 4" xfId="2027" xr:uid="{00000000-0005-0000-0000-00003C000000}"/>
    <cellStyle name="40% - 강조색2 5" xfId="2047" xr:uid="{00000000-0005-0000-0000-00003D000000}"/>
    <cellStyle name="40% - 강조색2 6" xfId="2067" xr:uid="{00000000-0005-0000-0000-00003E000000}"/>
    <cellStyle name="40% - 강조색2 7" xfId="2087" xr:uid="{00000000-0005-0000-0000-00003F000000}"/>
    <cellStyle name="40% - 강조색2 8" xfId="2107" xr:uid="{00000000-0005-0000-0000-000040000000}"/>
    <cellStyle name="40% - 강조색3 2" xfId="1984" xr:uid="{00000000-0005-0000-0000-000042000000}"/>
    <cellStyle name="40% - 강조색3 3" xfId="2007" xr:uid="{00000000-0005-0000-0000-000043000000}"/>
    <cellStyle name="40% - 강조색3 4" xfId="2030" xr:uid="{00000000-0005-0000-0000-000044000000}"/>
    <cellStyle name="40% - 강조색3 5" xfId="2050" xr:uid="{00000000-0005-0000-0000-000045000000}"/>
    <cellStyle name="40% - 강조색3 6" xfId="2070" xr:uid="{00000000-0005-0000-0000-000046000000}"/>
    <cellStyle name="40% - 강조색3 7" xfId="2090" xr:uid="{00000000-0005-0000-0000-000047000000}"/>
    <cellStyle name="40% - 강조색3 8" xfId="2110" xr:uid="{00000000-0005-0000-0000-000048000000}"/>
    <cellStyle name="40% - 강조색4 2" xfId="1988" xr:uid="{00000000-0005-0000-0000-00004A000000}"/>
    <cellStyle name="40% - 강조색4 3" xfId="2010" xr:uid="{00000000-0005-0000-0000-00004B000000}"/>
    <cellStyle name="40% - 강조색4 4" xfId="2033" xr:uid="{00000000-0005-0000-0000-00004C000000}"/>
    <cellStyle name="40% - 강조색4 5" xfId="2053" xr:uid="{00000000-0005-0000-0000-00004D000000}"/>
    <cellStyle name="40% - 강조색4 6" xfId="2073" xr:uid="{00000000-0005-0000-0000-00004E000000}"/>
    <cellStyle name="40% - 강조색4 7" xfId="2093" xr:uid="{00000000-0005-0000-0000-00004F000000}"/>
    <cellStyle name="40% - 강조색4 8" xfId="2113" xr:uid="{00000000-0005-0000-0000-000050000000}"/>
    <cellStyle name="40% - 강조색5 2" xfId="1992" xr:uid="{00000000-0005-0000-0000-000052000000}"/>
    <cellStyle name="40% - 강조색5 3" xfId="2013" xr:uid="{00000000-0005-0000-0000-000053000000}"/>
    <cellStyle name="40% - 강조색5 4" xfId="2036" xr:uid="{00000000-0005-0000-0000-000054000000}"/>
    <cellStyle name="40% - 강조색5 5" xfId="2056" xr:uid="{00000000-0005-0000-0000-000055000000}"/>
    <cellStyle name="40% - 강조색5 6" xfId="2076" xr:uid="{00000000-0005-0000-0000-000056000000}"/>
    <cellStyle name="40% - 강조색5 7" xfId="2096" xr:uid="{00000000-0005-0000-0000-000057000000}"/>
    <cellStyle name="40% - 강조색5 8" xfId="2116" xr:uid="{00000000-0005-0000-0000-000058000000}"/>
    <cellStyle name="40% - 강조색6 2" xfId="1996" xr:uid="{00000000-0005-0000-0000-00005A000000}"/>
    <cellStyle name="40% - 강조색6 3" xfId="2016" xr:uid="{00000000-0005-0000-0000-00005B000000}"/>
    <cellStyle name="40% - 강조색6 4" xfId="2039" xr:uid="{00000000-0005-0000-0000-00005C000000}"/>
    <cellStyle name="40% - 강조색6 5" xfId="2059" xr:uid="{00000000-0005-0000-0000-00005D000000}"/>
    <cellStyle name="40% - 강조색6 6" xfId="2079" xr:uid="{00000000-0005-0000-0000-00005E000000}"/>
    <cellStyle name="40% - 강조색6 7" xfId="2099" xr:uid="{00000000-0005-0000-0000-00005F000000}"/>
    <cellStyle name="40% - 강조색6 8" xfId="2119" xr:uid="{00000000-0005-0000-0000-000060000000}"/>
    <cellStyle name="60% - アクセント 1" xfId="1932" builtinId="32" customBuiltin="1"/>
    <cellStyle name="60% - アクセント 2" xfId="1936" builtinId="36" customBuiltin="1"/>
    <cellStyle name="60% - アクセント 3" xfId="1940" builtinId="40" customBuiltin="1"/>
    <cellStyle name="60% - アクセント 4" xfId="1944" builtinId="44" customBuiltin="1"/>
    <cellStyle name="60% - アクセント 5" xfId="1948" builtinId="48" customBuiltin="1"/>
    <cellStyle name="60% - アクセント 6" xfId="1952" builtinId="52" customBuiltin="1"/>
    <cellStyle name="60% - 강조색1 2" xfId="1977" xr:uid="{00000000-0005-0000-0000-000062000000}"/>
    <cellStyle name="60% - 강조색1 3" xfId="2002" xr:uid="{00000000-0005-0000-0000-000063000000}"/>
    <cellStyle name="60% - 강조색1 4" xfId="2025" xr:uid="{00000000-0005-0000-0000-000064000000}"/>
    <cellStyle name="60% - 강조색1 5" xfId="2045" xr:uid="{00000000-0005-0000-0000-000065000000}"/>
    <cellStyle name="60% - 강조색1 6" xfId="2065" xr:uid="{00000000-0005-0000-0000-000066000000}"/>
    <cellStyle name="60% - 강조색1 7" xfId="2085" xr:uid="{00000000-0005-0000-0000-000067000000}"/>
    <cellStyle name="60% - 강조색1 8" xfId="2105" xr:uid="{00000000-0005-0000-0000-000068000000}"/>
    <cellStyle name="60% - 강조색2 2" xfId="1981" xr:uid="{00000000-0005-0000-0000-00006A000000}"/>
    <cellStyle name="60% - 강조색2 3" xfId="2005" xr:uid="{00000000-0005-0000-0000-00006B000000}"/>
    <cellStyle name="60% - 강조색2 4" xfId="2028" xr:uid="{00000000-0005-0000-0000-00006C000000}"/>
    <cellStyle name="60% - 강조색2 5" xfId="2048" xr:uid="{00000000-0005-0000-0000-00006D000000}"/>
    <cellStyle name="60% - 강조색2 6" xfId="2068" xr:uid="{00000000-0005-0000-0000-00006E000000}"/>
    <cellStyle name="60% - 강조색2 7" xfId="2088" xr:uid="{00000000-0005-0000-0000-00006F000000}"/>
    <cellStyle name="60% - 강조색2 8" xfId="2108" xr:uid="{00000000-0005-0000-0000-000070000000}"/>
    <cellStyle name="60% - 강조색3 2" xfId="1985" xr:uid="{00000000-0005-0000-0000-000072000000}"/>
    <cellStyle name="60% - 강조색3 3" xfId="2008" xr:uid="{00000000-0005-0000-0000-000073000000}"/>
    <cellStyle name="60% - 강조색3 4" xfId="2031" xr:uid="{00000000-0005-0000-0000-000074000000}"/>
    <cellStyle name="60% - 강조색3 5" xfId="2051" xr:uid="{00000000-0005-0000-0000-000075000000}"/>
    <cellStyle name="60% - 강조색3 6" xfId="2071" xr:uid="{00000000-0005-0000-0000-000076000000}"/>
    <cellStyle name="60% - 강조색3 7" xfId="2091" xr:uid="{00000000-0005-0000-0000-000077000000}"/>
    <cellStyle name="60% - 강조색3 8" xfId="2111" xr:uid="{00000000-0005-0000-0000-000078000000}"/>
    <cellStyle name="60% - 강조색4 2" xfId="1989" xr:uid="{00000000-0005-0000-0000-00007A000000}"/>
    <cellStyle name="60% - 강조색4 3" xfId="2011" xr:uid="{00000000-0005-0000-0000-00007B000000}"/>
    <cellStyle name="60% - 강조색4 4" xfId="2034" xr:uid="{00000000-0005-0000-0000-00007C000000}"/>
    <cellStyle name="60% - 강조색4 5" xfId="2054" xr:uid="{00000000-0005-0000-0000-00007D000000}"/>
    <cellStyle name="60% - 강조색4 6" xfId="2074" xr:uid="{00000000-0005-0000-0000-00007E000000}"/>
    <cellStyle name="60% - 강조색4 7" xfId="2094" xr:uid="{00000000-0005-0000-0000-00007F000000}"/>
    <cellStyle name="60% - 강조색4 8" xfId="2114" xr:uid="{00000000-0005-0000-0000-000080000000}"/>
    <cellStyle name="60% - 강조색5 2" xfId="1993" xr:uid="{00000000-0005-0000-0000-000082000000}"/>
    <cellStyle name="60% - 강조색5 3" xfId="2014" xr:uid="{00000000-0005-0000-0000-000083000000}"/>
    <cellStyle name="60% - 강조색5 4" xfId="2037" xr:uid="{00000000-0005-0000-0000-000084000000}"/>
    <cellStyle name="60% - 강조색5 5" xfId="2057" xr:uid="{00000000-0005-0000-0000-000085000000}"/>
    <cellStyle name="60% - 강조색5 6" xfId="2077" xr:uid="{00000000-0005-0000-0000-000086000000}"/>
    <cellStyle name="60% - 강조색5 7" xfId="2097" xr:uid="{00000000-0005-0000-0000-000087000000}"/>
    <cellStyle name="60% - 강조색5 8" xfId="2117" xr:uid="{00000000-0005-0000-0000-000088000000}"/>
    <cellStyle name="60% - 강조색6 2" xfId="1997" xr:uid="{00000000-0005-0000-0000-00008A000000}"/>
    <cellStyle name="60% - 강조색6 3" xfId="2017" xr:uid="{00000000-0005-0000-0000-00008B000000}"/>
    <cellStyle name="60% - 강조색6 4" xfId="2040" xr:uid="{00000000-0005-0000-0000-00008C000000}"/>
    <cellStyle name="60% - 강조색6 5" xfId="2060" xr:uid="{00000000-0005-0000-0000-00008D000000}"/>
    <cellStyle name="60% - 강조색6 6" xfId="2080" xr:uid="{00000000-0005-0000-0000-00008E000000}"/>
    <cellStyle name="60% - 강조색6 7" xfId="2100" xr:uid="{00000000-0005-0000-0000-00008F000000}"/>
    <cellStyle name="60% - 강조색6 8" xfId="2120" xr:uid="{00000000-0005-0000-0000-000090000000}"/>
    <cellStyle name="Calc Percent (0)" xfId="41" xr:uid="{00000000-0005-0000-0000-000091000000}"/>
    <cellStyle name="Enter Currency (0)" xfId="42" xr:uid="{00000000-0005-0000-0000-000092000000}"/>
    <cellStyle name="Header1" xfId="43" xr:uid="{00000000-0005-0000-0000-000093000000}"/>
    <cellStyle name="Header2" xfId="44" xr:uid="{00000000-0005-0000-0000-000094000000}"/>
    <cellStyle name="Link Currency (0)" xfId="45" xr:uid="{00000000-0005-0000-0000-000095000000}"/>
    <cellStyle name="Normal 2" xfId="38" xr:uid="{00000000-0005-0000-0000-000096000000}"/>
    <cellStyle name="Normal 2 2" xfId="46" xr:uid="{00000000-0005-0000-0000-000097000000}"/>
    <cellStyle name="Normal 2 3" xfId="2121" xr:uid="{00000000-0005-0000-0000-000098000000}"/>
    <cellStyle name="Normal_Capability Study - IPEG EVT1 0713a.xls" xfId="7" xr:uid="{00000000-0005-0000-0000-000099000000}"/>
    <cellStyle name="Percent 2" xfId="39" xr:uid="{00000000-0005-0000-0000-00009A000000}"/>
    <cellStyle name="PrePop Currency (0)" xfId="47" xr:uid="{00000000-0005-0000-0000-00009B000000}"/>
    <cellStyle name="Text Indent A" xfId="48" xr:uid="{00000000-0005-0000-0000-00009C000000}"/>
    <cellStyle name="Text Indent B" xfId="49" xr:uid="{00000000-0005-0000-0000-00009D000000}"/>
    <cellStyle name="アクセント 1" xfId="1929" builtinId="29" customBuiltin="1"/>
    <cellStyle name="アクセント 2" xfId="1933" builtinId="33" customBuiltin="1"/>
    <cellStyle name="アクセント 3" xfId="1937" builtinId="37" customBuiltin="1"/>
    <cellStyle name="アクセント 4" xfId="1941" builtinId="41" customBuiltin="1"/>
    <cellStyle name="アクセント 5" xfId="1945" builtinId="45" customBuiltin="1"/>
    <cellStyle name="アクセント 6" xfId="1949" builtinId="49" customBuiltin="1"/>
    <cellStyle name="タイトル" xfId="1913" builtinId="15" customBuiltin="1"/>
    <cellStyle name="チェック セル" xfId="1925" builtinId="23" customBuiltin="1"/>
    <cellStyle name="どちらでもない" xfId="1920" builtinId="28" customBuiltin="1"/>
    <cellStyle name="パーセント" xfId="2" builtinId="5"/>
    <cellStyle name="ハイパーリンク" xfId="3" builtinId="8" hidden="1"/>
    <cellStyle name="ハイパーリンク" xfId="5" builtinId="8" hidden="1"/>
    <cellStyle name="ハイパーリンク" xfId="8" builtinId="8" hidden="1"/>
    <cellStyle name="ハイパーリンク" xfId="10" builtinId="8" hidden="1"/>
    <cellStyle name="ハイパーリンク" xfId="12" builtinId="8" hidden="1"/>
    <cellStyle name="ハイパーリンク" xfId="14" builtinId="8" hidden="1"/>
    <cellStyle name="ハイパーリンク" xfId="16" builtinId="8" hidden="1"/>
    <cellStyle name="ハイパーリンク" xfId="18" builtinId="8" hidden="1"/>
    <cellStyle name="ハイパーリンク" xfId="20" builtinId="8" hidden="1"/>
    <cellStyle name="ハイパーリンク" xfId="22" builtinId="8" hidden="1"/>
    <cellStyle name="ハイパーリンク" xfId="24" builtinId="8" hidden="1"/>
    <cellStyle name="ハイパーリンク" xfId="26" builtinId="8" hidden="1"/>
    <cellStyle name="ハイパーリンク" xfId="28" builtinId="8" hidden="1"/>
    <cellStyle name="ハイパーリンク" xfId="30" builtinId="8" hidden="1"/>
    <cellStyle name="ハイパーリンク" xfId="32" builtinId="8" hidden="1"/>
    <cellStyle name="ハイパーリンク" xfId="34" builtinId="8" hidden="1"/>
    <cellStyle name="ハイパーリンク" xfId="36" builtinId="8" hidden="1"/>
    <cellStyle name="ハイパーリンク" xfId="50" builtinId="8" hidden="1"/>
    <cellStyle name="ハイパーリンク" xfId="52" builtinId="8" hidden="1"/>
    <cellStyle name="ハイパーリンク" xfId="54" builtinId="8" hidden="1"/>
    <cellStyle name="ハイパーリンク" xfId="56" builtinId="8" hidden="1"/>
    <cellStyle name="ハイパーリンク" xfId="58" builtinId="8" hidden="1"/>
    <cellStyle name="ハイパーリンク" xfId="60" builtinId="8" hidden="1"/>
    <cellStyle name="ハイパーリンク" xfId="62" builtinId="8" hidden="1"/>
    <cellStyle name="ハイパーリンク" xfId="64" builtinId="8" hidden="1"/>
    <cellStyle name="ハイパーリンク" xfId="66" builtinId="8" hidden="1"/>
    <cellStyle name="ハイパーリンク" xfId="68" builtinId="8" hidden="1"/>
    <cellStyle name="ハイパーリンク" xfId="70" builtinId="8" hidden="1"/>
    <cellStyle name="ハイパーリンク" xfId="72" builtinId="8" hidden="1"/>
    <cellStyle name="ハイパーリンク" xfId="74" builtinId="8" hidden="1"/>
    <cellStyle name="ハイパーリンク" xfId="76" builtinId="8" hidden="1"/>
    <cellStyle name="ハイパーリンク" xfId="78" builtinId="8" hidden="1"/>
    <cellStyle name="ハイパーリンク" xfId="80" builtinId="8" hidden="1"/>
    <cellStyle name="ハイパーリンク" xfId="82" builtinId="8" hidden="1"/>
    <cellStyle name="ハイパーリンク" xfId="84" builtinId="8" hidden="1"/>
    <cellStyle name="ハイパーリンク" xfId="86" builtinId="8" hidden="1"/>
    <cellStyle name="ハイパーリンク" xfId="88" builtinId="8" hidden="1"/>
    <cellStyle name="ハイパーリンク" xfId="90" builtinId="8" hidden="1"/>
    <cellStyle name="ハイパーリンク" xfId="92" builtinId="8" hidden="1"/>
    <cellStyle name="ハイパーリンク" xfId="94" builtinId="8" hidden="1"/>
    <cellStyle name="ハイパーリンク" xfId="96" builtinId="8" hidden="1"/>
    <cellStyle name="ハイパーリンク" xfId="98" builtinId="8" hidden="1"/>
    <cellStyle name="ハイパーリンク" xfId="100" builtinId="8" hidden="1"/>
    <cellStyle name="ハイパーリンク" xfId="102" builtinId="8" hidden="1"/>
    <cellStyle name="ハイパーリンク" xfId="104" builtinId="8" hidden="1"/>
    <cellStyle name="ハイパーリンク" xfId="106" builtinId="8" hidden="1"/>
    <cellStyle name="ハイパーリンク" xfId="108" builtinId="8" hidden="1"/>
    <cellStyle name="ハイパーリンク" xfId="110" builtinId="8" hidden="1"/>
    <cellStyle name="ハイパーリンク" xfId="112" builtinId="8" hidden="1"/>
    <cellStyle name="ハイパーリンク" xfId="114" builtinId="8" hidden="1"/>
    <cellStyle name="ハイパーリンク" xfId="116" builtinId="8" hidden="1"/>
    <cellStyle name="ハイパーリンク" xfId="118" builtinId="8" hidden="1"/>
    <cellStyle name="ハイパーリンク" xfId="120" builtinId="8" hidden="1"/>
    <cellStyle name="ハイパーリンク" xfId="122" builtinId="8" hidden="1"/>
    <cellStyle name="ハイパーリンク" xfId="124" builtinId="8" hidden="1"/>
    <cellStyle name="ハイパーリンク" xfId="126" builtinId="8" hidden="1"/>
    <cellStyle name="ハイパーリンク" xfId="128" builtinId="8" hidden="1"/>
    <cellStyle name="ハイパーリンク" xfId="130" builtinId="8" hidden="1"/>
    <cellStyle name="ハイパーリンク" xfId="132" builtinId="8" hidden="1"/>
    <cellStyle name="ハイパーリンク" xfId="134" builtinId="8" hidden="1"/>
    <cellStyle name="ハイパーリンク" xfId="136" builtinId="8" hidden="1"/>
    <cellStyle name="ハイパーリンク" xfId="138" builtinId="8" hidden="1"/>
    <cellStyle name="ハイパーリンク" xfId="140" builtinId="8" hidden="1"/>
    <cellStyle name="ハイパーリンク" xfId="142" builtinId="8" hidden="1"/>
    <cellStyle name="ハイパーリンク" xfId="144" builtinId="8" hidden="1"/>
    <cellStyle name="ハイパーリンク" xfId="146" builtinId="8" hidden="1"/>
    <cellStyle name="ハイパーリンク" xfId="148" builtinId="8" hidden="1"/>
    <cellStyle name="ハイパーリンク" xfId="150" builtinId="8" hidden="1"/>
    <cellStyle name="ハイパーリンク" xfId="152" builtinId="8" hidden="1"/>
    <cellStyle name="ハイパーリンク" xfId="154" builtinId="8" hidden="1"/>
    <cellStyle name="ハイパーリンク" xfId="156" builtinId="8" hidden="1"/>
    <cellStyle name="ハイパーリンク" xfId="158" builtinId="8" hidden="1"/>
    <cellStyle name="ハイパーリンク" xfId="160" builtinId="8" hidden="1"/>
    <cellStyle name="ハイパーリンク" xfId="162" builtinId="8" hidden="1"/>
    <cellStyle name="ハイパーリンク" xfId="164" builtinId="8" hidden="1"/>
    <cellStyle name="ハイパーリンク" xfId="166" builtinId="8" hidden="1"/>
    <cellStyle name="ハイパーリンク" xfId="168" builtinId="8" hidden="1"/>
    <cellStyle name="ハイパーリンク" xfId="170" builtinId="8" hidden="1"/>
    <cellStyle name="ハイパーリンク" xfId="172" builtinId="8" hidden="1"/>
    <cellStyle name="ハイパーリンク" xfId="174" builtinId="8" hidden="1"/>
    <cellStyle name="ハイパーリンク" xfId="176" builtinId="8" hidden="1"/>
    <cellStyle name="ハイパーリンク" xfId="178" builtinId="8" hidden="1"/>
    <cellStyle name="ハイパーリンク" xfId="180" builtinId="8" hidden="1"/>
    <cellStyle name="ハイパーリンク" xfId="182" builtinId="8" hidden="1"/>
    <cellStyle name="ハイパーリンク" xfId="184" builtinId="8" hidden="1"/>
    <cellStyle name="ハイパーリンク" xfId="186" builtinId="8" hidden="1"/>
    <cellStyle name="ハイパーリンク" xfId="188" builtinId="8" hidden="1"/>
    <cellStyle name="ハイパーリンク" xfId="190" builtinId="8" hidden="1"/>
    <cellStyle name="ハイパーリンク" xfId="192" builtinId="8" hidden="1"/>
    <cellStyle name="ハイパーリンク" xfId="194" builtinId="8" hidden="1"/>
    <cellStyle name="ハイパーリンク" xfId="196" builtinId="8" hidden="1"/>
    <cellStyle name="ハイパーリンク" xfId="198" builtinId="8" hidden="1"/>
    <cellStyle name="ハイパーリンク" xfId="200" builtinId="8" hidden="1"/>
    <cellStyle name="ハイパーリンク" xfId="202" builtinId="8" hidden="1"/>
    <cellStyle name="ハイパーリンク" xfId="204" builtinId="8" hidden="1"/>
    <cellStyle name="ハイパーリンク" xfId="206" builtinId="8" hidden="1"/>
    <cellStyle name="ハイパーリンク" xfId="208" builtinId="8" hidden="1"/>
    <cellStyle name="ハイパーリンク" xfId="210" builtinId="8" hidden="1"/>
    <cellStyle name="ハイパーリンク" xfId="212" builtinId="8" hidden="1"/>
    <cellStyle name="ハイパーリンク" xfId="214" builtinId="8" hidden="1"/>
    <cellStyle name="ハイパーリンク" xfId="216" builtinId="8" hidden="1"/>
    <cellStyle name="ハイパーリンク" xfId="218" builtinId="8" hidden="1"/>
    <cellStyle name="ハイパーリンク" xfId="220" builtinId="8" hidden="1"/>
    <cellStyle name="ハイパーリンク" xfId="222" builtinId="8" hidden="1"/>
    <cellStyle name="ハイパーリンク" xfId="224" builtinId="8" hidden="1"/>
    <cellStyle name="ハイパーリンク" xfId="226" builtinId="8" hidden="1"/>
    <cellStyle name="ハイパーリンク" xfId="228" builtinId="8" hidden="1"/>
    <cellStyle name="ハイパーリンク" xfId="230" builtinId="8" hidden="1"/>
    <cellStyle name="ハイパーリンク" xfId="232" builtinId="8" hidden="1"/>
    <cellStyle name="ハイパーリンク" xfId="234" builtinId="8" hidden="1"/>
    <cellStyle name="ハイパーリンク" xfId="236" builtinId="8" hidden="1"/>
    <cellStyle name="ハイパーリンク" xfId="238" builtinId="8" hidden="1"/>
    <cellStyle name="ハイパーリンク" xfId="240" builtinId="8" hidden="1"/>
    <cellStyle name="ハイパーリンク" xfId="242" builtinId="8" hidden="1"/>
    <cellStyle name="ハイパーリンク" xfId="244" builtinId="8" hidden="1"/>
    <cellStyle name="ハイパーリンク" xfId="246" builtinId="8" hidden="1"/>
    <cellStyle name="ハイパーリンク" xfId="248" builtinId="8" hidden="1"/>
    <cellStyle name="ハイパーリンク" xfId="250" builtinId="8" hidden="1"/>
    <cellStyle name="ハイパーリンク" xfId="252" builtinId="8" hidden="1"/>
    <cellStyle name="ハイパーリンク" xfId="254" builtinId="8" hidden="1"/>
    <cellStyle name="ハイパーリンク" xfId="256" builtinId="8" hidden="1"/>
    <cellStyle name="ハイパーリンク" xfId="258" builtinId="8" hidden="1"/>
    <cellStyle name="ハイパーリンク" xfId="260" builtinId="8" hidden="1"/>
    <cellStyle name="ハイパーリンク" xfId="262" builtinId="8" hidden="1"/>
    <cellStyle name="ハイパーリンク" xfId="264" builtinId="8" hidden="1"/>
    <cellStyle name="ハイパーリンク" xfId="266" builtinId="8" hidden="1"/>
    <cellStyle name="ハイパーリンク" xfId="268" builtinId="8" hidden="1"/>
    <cellStyle name="ハイパーリンク" xfId="270" builtinId="8" hidden="1"/>
    <cellStyle name="ハイパーリンク" xfId="272" builtinId="8" hidden="1"/>
    <cellStyle name="ハイパーリンク" xfId="274" builtinId="8" hidden="1"/>
    <cellStyle name="ハイパーリンク" xfId="276" builtinId="8" hidden="1"/>
    <cellStyle name="ハイパーリンク" xfId="278" builtinId="8" hidden="1"/>
    <cellStyle name="ハイパーリンク" xfId="280" builtinId="8" hidden="1"/>
    <cellStyle name="ハイパーリンク" xfId="282" builtinId="8" hidden="1"/>
    <cellStyle name="ハイパーリンク" xfId="284" builtinId="8" hidden="1"/>
    <cellStyle name="ハイパーリンク" xfId="286" builtinId="8" hidden="1"/>
    <cellStyle name="ハイパーリンク" xfId="288" builtinId="8" hidden="1"/>
    <cellStyle name="ハイパーリンク" xfId="290" builtinId="8" hidden="1"/>
    <cellStyle name="ハイパーリンク" xfId="292" builtinId="8" hidden="1"/>
    <cellStyle name="ハイパーリンク" xfId="294" builtinId="8" hidden="1"/>
    <cellStyle name="ハイパーリンク" xfId="296" builtinId="8" hidden="1"/>
    <cellStyle name="ハイパーリンク" xfId="298" builtinId="8" hidden="1"/>
    <cellStyle name="ハイパーリンク" xfId="300" builtinId="8" hidden="1"/>
    <cellStyle name="ハイパーリンク" xfId="302" builtinId="8" hidden="1"/>
    <cellStyle name="ハイパーリンク" xfId="304" builtinId="8" hidden="1"/>
    <cellStyle name="ハイパーリンク" xfId="306" builtinId="8" hidden="1"/>
    <cellStyle name="ハイパーリンク" xfId="308" builtinId="8" hidden="1"/>
    <cellStyle name="ハイパーリンク" xfId="310" builtinId="8" hidden="1"/>
    <cellStyle name="ハイパーリンク" xfId="312" builtinId="8" hidden="1"/>
    <cellStyle name="ハイパーリンク" xfId="314" builtinId="8" hidden="1"/>
    <cellStyle name="ハイパーリンク" xfId="316" builtinId="8" hidden="1"/>
    <cellStyle name="ハイパーリンク" xfId="318" builtinId="8" hidden="1"/>
    <cellStyle name="ハイパーリンク" xfId="320" builtinId="8" hidden="1"/>
    <cellStyle name="ハイパーリンク" xfId="322" builtinId="8" hidden="1"/>
    <cellStyle name="ハイパーリンク" xfId="324" builtinId="8" hidden="1"/>
    <cellStyle name="ハイパーリンク" xfId="326" builtinId="8" hidden="1"/>
    <cellStyle name="ハイパーリンク" xfId="328" builtinId="8" hidden="1"/>
    <cellStyle name="ハイパーリンク" xfId="330" builtinId="8" hidden="1"/>
    <cellStyle name="ハイパーリンク" xfId="332" builtinId="8" hidden="1"/>
    <cellStyle name="ハイパーリンク" xfId="334" builtinId="8" hidden="1"/>
    <cellStyle name="ハイパーリンク" xfId="336" builtinId="8" hidden="1"/>
    <cellStyle name="ハイパーリンク" xfId="338" builtinId="8" hidden="1"/>
    <cellStyle name="ハイパーリンク" xfId="340" builtinId="8" hidden="1"/>
    <cellStyle name="ハイパーリンク" xfId="342" builtinId="8" hidden="1"/>
    <cellStyle name="ハイパーリンク" xfId="344" builtinId="8" hidden="1"/>
    <cellStyle name="ハイパーリンク" xfId="346" builtinId="8" hidden="1"/>
    <cellStyle name="ハイパーリンク" xfId="348" builtinId="8" hidden="1"/>
    <cellStyle name="ハイパーリンク" xfId="350" builtinId="8" hidden="1"/>
    <cellStyle name="ハイパーリンク" xfId="352" builtinId="8" hidden="1"/>
    <cellStyle name="ハイパーリンク" xfId="354" builtinId="8" hidden="1"/>
    <cellStyle name="ハイパーリンク" xfId="356" builtinId="8" hidden="1"/>
    <cellStyle name="ハイパーリンク" xfId="358" builtinId="8" hidden="1"/>
    <cellStyle name="ハイパーリンク" xfId="360" builtinId="8" hidden="1"/>
    <cellStyle name="ハイパーリンク" xfId="362" builtinId="8" hidden="1"/>
    <cellStyle name="ハイパーリンク" xfId="364" builtinId="8" hidden="1"/>
    <cellStyle name="ハイパーリンク" xfId="366" builtinId="8" hidden="1"/>
    <cellStyle name="ハイパーリンク" xfId="368" builtinId="8" hidden="1"/>
    <cellStyle name="ハイパーリンク" xfId="370" builtinId="8" hidden="1"/>
    <cellStyle name="ハイパーリンク" xfId="372" builtinId="8" hidden="1"/>
    <cellStyle name="ハイパーリンク" xfId="374" builtinId="8" hidden="1"/>
    <cellStyle name="ハイパーリンク" xfId="376" builtinId="8" hidden="1"/>
    <cellStyle name="ハイパーリンク" xfId="378" builtinId="8" hidden="1"/>
    <cellStyle name="ハイパーリンク" xfId="380" builtinId="8" hidden="1"/>
    <cellStyle name="ハイパーリンク" xfId="382" builtinId="8" hidden="1"/>
    <cellStyle name="ハイパーリンク" xfId="384" builtinId="8" hidden="1"/>
    <cellStyle name="ハイパーリンク" xfId="386" builtinId="8" hidden="1"/>
    <cellStyle name="ハイパーリンク" xfId="388" builtinId="8" hidden="1"/>
    <cellStyle name="ハイパーリンク" xfId="390" builtinId="8" hidden="1"/>
    <cellStyle name="ハイパーリンク" xfId="392" builtinId="8" hidden="1"/>
    <cellStyle name="ハイパーリンク" xfId="394" builtinId="8" hidden="1"/>
    <cellStyle name="ハイパーリンク" xfId="396" builtinId="8" hidden="1"/>
    <cellStyle name="ハイパーリンク" xfId="398" builtinId="8" hidden="1"/>
    <cellStyle name="ハイパーリンク" xfId="400" builtinId="8" hidden="1"/>
    <cellStyle name="ハイパーリンク" xfId="402" builtinId="8" hidden="1"/>
    <cellStyle name="ハイパーリンク" xfId="404" builtinId="8" hidden="1"/>
    <cellStyle name="ハイパーリンク" xfId="406" builtinId="8" hidden="1"/>
    <cellStyle name="ハイパーリンク" xfId="408" builtinId="8" hidden="1"/>
    <cellStyle name="ハイパーリンク" xfId="410" builtinId="8" hidden="1"/>
    <cellStyle name="ハイパーリンク" xfId="412" builtinId="8" hidden="1"/>
    <cellStyle name="ハイパーリンク" xfId="414" builtinId="8" hidden="1"/>
    <cellStyle name="ハイパーリンク" xfId="416" builtinId="8" hidden="1"/>
    <cellStyle name="ハイパーリンク" xfId="418" builtinId="8" hidden="1"/>
    <cellStyle name="ハイパーリンク" xfId="420" builtinId="8" hidden="1"/>
    <cellStyle name="ハイパーリンク" xfId="422" builtinId="8" hidden="1"/>
    <cellStyle name="ハイパーリンク" xfId="424" builtinId="8" hidden="1"/>
    <cellStyle name="ハイパーリンク" xfId="426" builtinId="8" hidden="1"/>
    <cellStyle name="ハイパーリンク" xfId="428" builtinId="8" hidden="1"/>
    <cellStyle name="ハイパーリンク" xfId="430" builtinId="8" hidden="1"/>
    <cellStyle name="ハイパーリンク" xfId="432" builtinId="8" hidden="1"/>
    <cellStyle name="ハイパーリンク" xfId="434" builtinId="8" hidden="1"/>
    <cellStyle name="ハイパーリンク" xfId="436" builtinId="8" hidden="1"/>
    <cellStyle name="ハイパーリンク" xfId="438" builtinId="8" hidden="1"/>
    <cellStyle name="ハイパーリンク" xfId="440" builtinId="8" hidden="1"/>
    <cellStyle name="ハイパーリンク" xfId="442" builtinId="8" hidden="1"/>
    <cellStyle name="ハイパーリンク" xfId="444" builtinId="8" hidden="1"/>
    <cellStyle name="ハイパーリンク" xfId="446" builtinId="8" hidden="1"/>
    <cellStyle name="ハイパーリンク" xfId="448" builtinId="8" hidden="1"/>
    <cellStyle name="ハイパーリンク" xfId="450" builtinId="8" hidden="1"/>
    <cellStyle name="ハイパーリンク" xfId="452" builtinId="8" hidden="1"/>
    <cellStyle name="ハイパーリンク" xfId="454" builtinId="8" hidden="1"/>
    <cellStyle name="ハイパーリンク" xfId="456" builtinId="8" hidden="1"/>
    <cellStyle name="ハイパーリンク" xfId="458" builtinId="8" hidden="1"/>
    <cellStyle name="ハイパーリンク" xfId="460" builtinId="8" hidden="1"/>
    <cellStyle name="ハイパーリンク" xfId="462" builtinId="8" hidden="1"/>
    <cellStyle name="ハイパーリンク" xfId="464" builtinId="8" hidden="1"/>
    <cellStyle name="ハイパーリンク" xfId="466" builtinId="8" hidden="1"/>
    <cellStyle name="ハイパーリンク" xfId="468" builtinId="8" hidden="1"/>
    <cellStyle name="ハイパーリンク" xfId="470" builtinId="8" hidden="1"/>
    <cellStyle name="ハイパーリンク" xfId="472" builtinId="8" hidden="1"/>
    <cellStyle name="ハイパーリンク" xfId="474" builtinId="8" hidden="1"/>
    <cellStyle name="ハイパーリンク" xfId="476" builtinId="8" hidden="1"/>
    <cellStyle name="ハイパーリンク" xfId="478" builtinId="8" hidden="1"/>
    <cellStyle name="ハイパーリンク" xfId="480" builtinId="8" hidden="1"/>
    <cellStyle name="ハイパーリンク" xfId="482" builtinId="8" hidden="1"/>
    <cellStyle name="ハイパーリンク" xfId="484" builtinId="8" hidden="1"/>
    <cellStyle name="ハイパーリンク" xfId="486" builtinId="8" hidden="1"/>
    <cellStyle name="ハイパーリンク" xfId="488" builtinId="8" hidden="1"/>
    <cellStyle name="ハイパーリンク" xfId="490" builtinId="8" hidden="1"/>
    <cellStyle name="ハイパーリンク" xfId="492" builtinId="8" hidden="1"/>
    <cellStyle name="ハイパーリンク" xfId="494" builtinId="8" hidden="1"/>
    <cellStyle name="ハイパーリンク" xfId="496" builtinId="8" hidden="1"/>
    <cellStyle name="ハイパーリンク" xfId="498" builtinId="8" hidden="1"/>
    <cellStyle name="ハイパーリンク" xfId="500" builtinId="8" hidden="1"/>
    <cellStyle name="ハイパーリンク" xfId="502" builtinId="8" hidden="1"/>
    <cellStyle name="ハイパーリンク" xfId="504" builtinId="8" hidden="1"/>
    <cellStyle name="ハイパーリンク" xfId="506" builtinId="8" hidden="1"/>
    <cellStyle name="ハイパーリンク" xfId="508" builtinId="8" hidden="1"/>
    <cellStyle name="ハイパーリンク" xfId="510" builtinId="8" hidden="1"/>
    <cellStyle name="ハイパーリンク" xfId="512" builtinId="8" hidden="1"/>
    <cellStyle name="ハイパーリンク" xfId="514" builtinId="8" hidden="1"/>
    <cellStyle name="ハイパーリンク" xfId="516" builtinId="8" hidden="1"/>
    <cellStyle name="ハイパーリンク" xfId="518" builtinId="8" hidden="1"/>
    <cellStyle name="ハイパーリンク" xfId="520" builtinId="8" hidden="1"/>
    <cellStyle name="ハイパーリンク" xfId="522" builtinId="8" hidden="1"/>
    <cellStyle name="ハイパーリンク" xfId="524" builtinId="8" hidden="1"/>
    <cellStyle name="ハイパーリンク" xfId="526" builtinId="8" hidden="1"/>
    <cellStyle name="ハイパーリンク" xfId="528" builtinId="8" hidden="1"/>
    <cellStyle name="ハイパーリンク" xfId="530" builtinId="8" hidden="1"/>
    <cellStyle name="ハイパーリンク" xfId="532" builtinId="8" hidden="1"/>
    <cellStyle name="ハイパーリンク" xfId="534" builtinId="8" hidden="1"/>
    <cellStyle name="ハイパーリンク" xfId="536" builtinId="8" hidden="1"/>
    <cellStyle name="ハイパーリンク" xfId="538" builtinId="8" hidden="1"/>
    <cellStyle name="ハイパーリンク" xfId="540" builtinId="8" hidden="1"/>
    <cellStyle name="ハイパーリンク" xfId="542" builtinId="8" hidden="1"/>
    <cellStyle name="ハイパーリンク" xfId="544" builtinId="8" hidden="1"/>
    <cellStyle name="ハイパーリンク" xfId="546" builtinId="8" hidden="1"/>
    <cellStyle name="ハイパーリンク" xfId="548" builtinId="8" hidden="1"/>
    <cellStyle name="ハイパーリンク" xfId="550" builtinId="8" hidden="1"/>
    <cellStyle name="ハイパーリンク" xfId="552" builtinId="8" hidden="1"/>
    <cellStyle name="ハイパーリンク" xfId="554" builtinId="8" hidden="1"/>
    <cellStyle name="ハイパーリンク" xfId="556" builtinId="8" hidden="1"/>
    <cellStyle name="ハイパーリンク" xfId="558" builtinId="8" hidden="1"/>
    <cellStyle name="ハイパーリンク" xfId="560" builtinId="8" hidden="1"/>
    <cellStyle name="ハイパーリンク" xfId="562" builtinId="8" hidden="1"/>
    <cellStyle name="ハイパーリンク" xfId="564" builtinId="8" hidden="1"/>
    <cellStyle name="ハイパーリンク" xfId="566" builtinId="8" hidden="1"/>
    <cellStyle name="ハイパーリンク" xfId="568" builtinId="8" hidden="1"/>
    <cellStyle name="ハイパーリンク" xfId="570" builtinId="8" hidden="1"/>
    <cellStyle name="ハイパーリンク" xfId="572" builtinId="8" hidden="1"/>
    <cellStyle name="ハイパーリンク" xfId="574" builtinId="8" hidden="1"/>
    <cellStyle name="ハイパーリンク" xfId="576" builtinId="8" hidden="1"/>
    <cellStyle name="ハイパーリンク" xfId="578" builtinId="8" hidden="1"/>
    <cellStyle name="ハイパーリンク" xfId="580" builtinId="8" hidden="1"/>
    <cellStyle name="ハイパーリンク" xfId="582" builtinId="8" hidden="1"/>
    <cellStyle name="ハイパーリンク" xfId="584" builtinId="8" hidden="1"/>
    <cellStyle name="ハイパーリンク" xfId="586" builtinId="8" hidden="1"/>
    <cellStyle name="ハイパーリンク" xfId="588" builtinId="8" hidden="1"/>
    <cellStyle name="ハイパーリンク" xfId="590" builtinId="8" hidden="1"/>
    <cellStyle name="ハイパーリンク" xfId="592" builtinId="8" hidden="1"/>
    <cellStyle name="ハイパーリンク" xfId="594" builtinId="8" hidden="1"/>
    <cellStyle name="ハイパーリンク" xfId="596" builtinId="8" hidden="1"/>
    <cellStyle name="ハイパーリンク" xfId="598" builtinId="8" hidden="1"/>
    <cellStyle name="ハイパーリンク" xfId="600" builtinId="8" hidden="1"/>
    <cellStyle name="ハイパーリンク" xfId="602" builtinId="8" hidden="1"/>
    <cellStyle name="ハイパーリンク" xfId="604" builtinId="8" hidden="1"/>
    <cellStyle name="ハイパーリンク" xfId="606" builtinId="8" hidden="1"/>
    <cellStyle name="ハイパーリンク" xfId="608" builtinId="8" hidden="1"/>
    <cellStyle name="ハイパーリンク" xfId="610" builtinId="8" hidden="1"/>
    <cellStyle name="ハイパーリンク" xfId="612" builtinId="8" hidden="1"/>
    <cellStyle name="ハイパーリンク" xfId="614" builtinId="8" hidden="1"/>
    <cellStyle name="ハイパーリンク" xfId="616" builtinId="8" hidden="1"/>
    <cellStyle name="ハイパーリンク" xfId="618" builtinId="8" hidden="1"/>
    <cellStyle name="ハイパーリンク" xfId="620" builtinId="8" hidden="1"/>
    <cellStyle name="ハイパーリンク" xfId="622" builtinId="8" hidden="1"/>
    <cellStyle name="ハイパーリンク" xfId="624" builtinId="8" hidden="1"/>
    <cellStyle name="ハイパーリンク" xfId="626" builtinId="8" hidden="1"/>
    <cellStyle name="ハイパーリンク" xfId="628" builtinId="8" hidden="1"/>
    <cellStyle name="ハイパーリンク" xfId="630" builtinId="8" hidden="1"/>
    <cellStyle name="ハイパーリンク" xfId="632" builtinId="8" hidden="1"/>
    <cellStyle name="ハイパーリンク" xfId="634" builtinId="8" hidden="1"/>
    <cellStyle name="ハイパーリンク" xfId="636" builtinId="8" hidden="1"/>
    <cellStyle name="ハイパーリンク" xfId="638" builtinId="8" hidden="1"/>
    <cellStyle name="ハイパーリンク" xfId="640" builtinId="8" hidden="1"/>
    <cellStyle name="ハイパーリンク" xfId="642" builtinId="8" hidden="1"/>
    <cellStyle name="ハイパーリンク" xfId="644" builtinId="8" hidden="1"/>
    <cellStyle name="ハイパーリンク" xfId="646" builtinId="8" hidden="1"/>
    <cellStyle name="ハイパーリンク" xfId="648" builtinId="8" hidden="1"/>
    <cellStyle name="ハイパーリンク" xfId="650" builtinId="8" hidden="1"/>
    <cellStyle name="ハイパーリンク" xfId="652" builtinId="8" hidden="1"/>
    <cellStyle name="ハイパーリンク" xfId="654" builtinId="8" hidden="1"/>
    <cellStyle name="ハイパーリンク" xfId="656" builtinId="8" hidden="1"/>
    <cellStyle name="ハイパーリンク" xfId="658" builtinId="8" hidden="1"/>
    <cellStyle name="ハイパーリンク" xfId="660" builtinId="8" hidden="1"/>
    <cellStyle name="ハイパーリンク" xfId="662" builtinId="8" hidden="1"/>
    <cellStyle name="ハイパーリンク" xfId="664" builtinId="8" hidden="1"/>
    <cellStyle name="ハイパーリンク" xfId="666" builtinId="8" hidden="1"/>
    <cellStyle name="ハイパーリンク" xfId="668" builtinId="8" hidden="1"/>
    <cellStyle name="ハイパーリンク" xfId="670" builtinId="8" hidden="1"/>
    <cellStyle name="ハイパーリンク" xfId="672" builtinId="8" hidden="1"/>
    <cellStyle name="ハイパーリンク" xfId="674" builtinId="8" hidden="1"/>
    <cellStyle name="ハイパーリンク" xfId="676" builtinId="8" hidden="1"/>
    <cellStyle name="ハイパーリンク" xfId="678" builtinId="8" hidden="1"/>
    <cellStyle name="ハイパーリンク" xfId="680" builtinId="8" hidden="1"/>
    <cellStyle name="ハイパーリンク" xfId="682" builtinId="8" hidden="1"/>
    <cellStyle name="ハイパーリンク" xfId="684" builtinId="8" hidden="1"/>
    <cellStyle name="ハイパーリンク" xfId="686" builtinId="8" hidden="1"/>
    <cellStyle name="ハイパーリンク" xfId="688" builtinId="8" hidden="1"/>
    <cellStyle name="ハイパーリンク" xfId="690" builtinId="8" hidden="1"/>
    <cellStyle name="ハイパーリンク" xfId="692" builtinId="8" hidden="1"/>
    <cellStyle name="ハイパーリンク" xfId="694" builtinId="8" hidden="1"/>
    <cellStyle name="ハイパーリンク" xfId="696" builtinId="8" hidden="1"/>
    <cellStyle name="ハイパーリンク" xfId="698" builtinId="8" hidden="1"/>
    <cellStyle name="ハイパーリンク" xfId="700" builtinId="8" hidden="1"/>
    <cellStyle name="ハイパーリンク" xfId="702" builtinId="8" hidden="1"/>
    <cellStyle name="ハイパーリンク" xfId="704" builtinId="8" hidden="1"/>
    <cellStyle name="ハイパーリンク" xfId="706" builtinId="8" hidden="1"/>
    <cellStyle name="ハイパーリンク" xfId="708" builtinId="8" hidden="1"/>
    <cellStyle name="ハイパーリンク" xfId="710" builtinId="8" hidden="1"/>
    <cellStyle name="ハイパーリンク" xfId="712" builtinId="8" hidden="1"/>
    <cellStyle name="ハイパーリンク" xfId="714" builtinId="8" hidden="1"/>
    <cellStyle name="ハイパーリンク" xfId="716" builtinId="8" hidden="1"/>
    <cellStyle name="ハイパーリンク" xfId="718" builtinId="8" hidden="1"/>
    <cellStyle name="ハイパーリンク" xfId="720" builtinId="8" hidden="1"/>
    <cellStyle name="ハイパーリンク" xfId="722" builtinId="8" hidden="1"/>
    <cellStyle name="ハイパーリンク" xfId="724" builtinId="8" hidden="1"/>
    <cellStyle name="ハイパーリンク" xfId="726" builtinId="8" hidden="1"/>
    <cellStyle name="ハイパーリンク" xfId="728" builtinId="8" hidden="1"/>
    <cellStyle name="ハイパーリンク" xfId="730" builtinId="8" hidden="1"/>
    <cellStyle name="ハイパーリンク" xfId="732" builtinId="8" hidden="1"/>
    <cellStyle name="ハイパーリンク" xfId="734" builtinId="8" hidden="1"/>
    <cellStyle name="ハイパーリンク" xfId="736" builtinId="8" hidden="1"/>
    <cellStyle name="ハイパーリンク" xfId="738" builtinId="8" hidden="1"/>
    <cellStyle name="ハイパーリンク" xfId="740" builtinId="8" hidden="1"/>
    <cellStyle name="ハイパーリンク" xfId="742" builtinId="8" hidden="1"/>
    <cellStyle name="ハイパーリンク" xfId="744" builtinId="8" hidden="1"/>
    <cellStyle name="ハイパーリンク" xfId="746" builtinId="8" hidden="1"/>
    <cellStyle name="ハイパーリンク" xfId="748" builtinId="8" hidden="1"/>
    <cellStyle name="ハイパーリンク" xfId="750" builtinId="8" hidden="1"/>
    <cellStyle name="ハイパーリンク" xfId="752" builtinId="8" hidden="1"/>
    <cellStyle name="ハイパーリンク" xfId="754" builtinId="8" hidden="1"/>
    <cellStyle name="ハイパーリンク" xfId="756" builtinId="8" hidden="1"/>
    <cellStyle name="ハイパーリンク" xfId="758" builtinId="8" hidden="1"/>
    <cellStyle name="ハイパーリンク" xfId="760" builtinId="8" hidden="1"/>
    <cellStyle name="ハイパーリンク" xfId="762" builtinId="8" hidden="1"/>
    <cellStyle name="ハイパーリンク" xfId="764" builtinId="8" hidden="1"/>
    <cellStyle name="ハイパーリンク" xfId="766" builtinId="8" hidden="1"/>
    <cellStyle name="ハイパーリンク" xfId="768" builtinId="8" hidden="1"/>
    <cellStyle name="ハイパーリンク" xfId="770" builtinId="8" hidden="1"/>
    <cellStyle name="ハイパーリンク" xfId="772" builtinId="8" hidden="1"/>
    <cellStyle name="ハイパーリンク" xfId="774" builtinId="8" hidden="1"/>
    <cellStyle name="ハイパーリンク" xfId="776" builtinId="8" hidden="1"/>
    <cellStyle name="ハイパーリンク" xfId="778" builtinId="8" hidden="1"/>
    <cellStyle name="ハイパーリンク" xfId="780" builtinId="8" hidden="1"/>
    <cellStyle name="ハイパーリンク" xfId="782" builtinId="8" hidden="1"/>
    <cellStyle name="ハイパーリンク" xfId="784" builtinId="8" hidden="1"/>
    <cellStyle name="ハイパーリンク" xfId="786" builtinId="8" hidden="1"/>
    <cellStyle name="ハイパーリンク" xfId="788" builtinId="8" hidden="1"/>
    <cellStyle name="ハイパーリンク" xfId="790" builtinId="8" hidden="1"/>
    <cellStyle name="ハイパーリンク" xfId="792" builtinId="8" hidden="1"/>
    <cellStyle name="ハイパーリンク" xfId="794" builtinId="8" hidden="1"/>
    <cellStyle name="ハイパーリンク" xfId="796" builtinId="8" hidden="1"/>
    <cellStyle name="ハイパーリンク" xfId="798" builtinId="8" hidden="1"/>
    <cellStyle name="ハイパーリンク" xfId="800" builtinId="8" hidden="1"/>
    <cellStyle name="ハイパーリンク" xfId="802" builtinId="8" hidden="1"/>
    <cellStyle name="ハイパーリンク" xfId="804" builtinId="8" hidden="1"/>
    <cellStyle name="ハイパーリンク" xfId="806" builtinId="8" hidden="1"/>
    <cellStyle name="ハイパーリンク" xfId="808" builtinId="8" hidden="1"/>
    <cellStyle name="ハイパーリンク" xfId="810" builtinId="8" hidden="1"/>
    <cellStyle name="ハイパーリンク" xfId="812" builtinId="8" hidden="1"/>
    <cellStyle name="ハイパーリンク" xfId="814" builtinId="8" hidden="1"/>
    <cellStyle name="ハイパーリンク" xfId="816" builtinId="8" hidden="1"/>
    <cellStyle name="ハイパーリンク" xfId="818" builtinId="8" hidden="1"/>
    <cellStyle name="ハイパーリンク" xfId="820" builtinId="8" hidden="1"/>
    <cellStyle name="ハイパーリンク" xfId="822" builtinId="8" hidden="1"/>
    <cellStyle name="ハイパーリンク" xfId="824" builtinId="8" hidden="1"/>
    <cellStyle name="ハイパーリンク" xfId="826" builtinId="8" hidden="1"/>
    <cellStyle name="ハイパーリンク" xfId="828" builtinId="8" hidden="1"/>
    <cellStyle name="ハイパーリンク" xfId="830" builtinId="8" hidden="1"/>
    <cellStyle name="ハイパーリンク" xfId="832" builtinId="8" hidden="1"/>
    <cellStyle name="ハイパーリンク" xfId="834" builtinId="8" hidden="1"/>
    <cellStyle name="ハイパーリンク" xfId="836" builtinId="8" hidden="1"/>
    <cellStyle name="ハイパーリンク" xfId="838" builtinId="8" hidden="1"/>
    <cellStyle name="ハイパーリンク" xfId="840" builtinId="8" hidden="1"/>
    <cellStyle name="ハイパーリンク" xfId="842" builtinId="8" hidden="1"/>
    <cellStyle name="ハイパーリンク" xfId="844" builtinId="8" hidden="1"/>
    <cellStyle name="ハイパーリンク" xfId="846" builtinId="8" hidden="1"/>
    <cellStyle name="ハイパーリンク" xfId="848" builtinId="8" hidden="1"/>
    <cellStyle name="ハイパーリンク" xfId="850" builtinId="8" hidden="1"/>
    <cellStyle name="ハイパーリンク" xfId="852" builtinId="8" hidden="1"/>
    <cellStyle name="ハイパーリンク" xfId="854" builtinId="8" hidden="1"/>
    <cellStyle name="ハイパーリンク" xfId="856" builtinId="8" hidden="1"/>
    <cellStyle name="ハイパーリンク" xfId="858" builtinId="8" hidden="1"/>
    <cellStyle name="ハイパーリンク" xfId="860" builtinId="8" hidden="1"/>
    <cellStyle name="ハイパーリンク" xfId="862" builtinId="8" hidden="1"/>
    <cellStyle name="ハイパーリンク" xfId="864" builtinId="8" hidden="1"/>
    <cellStyle name="ハイパーリンク" xfId="866" builtinId="8" hidden="1"/>
    <cellStyle name="ハイパーリンク" xfId="868" builtinId="8" hidden="1"/>
    <cellStyle name="ハイパーリンク" xfId="870" builtinId="8" hidden="1"/>
    <cellStyle name="ハイパーリンク" xfId="872" builtinId="8" hidden="1"/>
    <cellStyle name="ハイパーリンク" xfId="874" builtinId="8" hidden="1"/>
    <cellStyle name="ハイパーリンク" xfId="876" builtinId="8" hidden="1"/>
    <cellStyle name="ハイパーリンク" xfId="878" builtinId="8" hidden="1"/>
    <cellStyle name="ハイパーリンク" xfId="880" builtinId="8" hidden="1"/>
    <cellStyle name="ハイパーリンク" xfId="882" builtinId="8" hidden="1"/>
    <cellStyle name="ハイパーリンク" xfId="884" builtinId="8" hidden="1"/>
    <cellStyle name="ハイパーリンク" xfId="886" builtinId="8" hidden="1"/>
    <cellStyle name="ハイパーリンク" xfId="888" builtinId="8" hidden="1"/>
    <cellStyle name="ハイパーリンク" xfId="890" builtinId="8" hidden="1"/>
    <cellStyle name="ハイパーリンク" xfId="892" builtinId="8" hidden="1"/>
    <cellStyle name="ハイパーリンク" xfId="894" builtinId="8" hidden="1"/>
    <cellStyle name="ハイパーリンク" xfId="896" builtinId="8" hidden="1"/>
    <cellStyle name="ハイパーリンク" xfId="898" builtinId="8" hidden="1"/>
    <cellStyle name="ハイパーリンク" xfId="900" builtinId="8" hidden="1"/>
    <cellStyle name="ハイパーリンク" xfId="902" builtinId="8" hidden="1"/>
    <cellStyle name="ハイパーリンク" xfId="904" builtinId="8" hidden="1"/>
    <cellStyle name="ハイパーリンク" xfId="906" builtinId="8" hidden="1"/>
    <cellStyle name="ハイパーリンク" xfId="908" builtinId="8" hidden="1"/>
    <cellStyle name="ハイパーリンク" xfId="910" builtinId="8" hidden="1"/>
    <cellStyle name="ハイパーリンク" xfId="912" builtinId="8" hidden="1"/>
    <cellStyle name="ハイパーリンク" xfId="914" builtinId="8" hidden="1"/>
    <cellStyle name="ハイパーリンク" xfId="916" builtinId="8" hidden="1"/>
    <cellStyle name="ハイパーリンク" xfId="918" builtinId="8" hidden="1"/>
    <cellStyle name="ハイパーリンク" xfId="920" builtinId="8" hidden="1"/>
    <cellStyle name="ハイパーリンク" xfId="922" builtinId="8" hidden="1"/>
    <cellStyle name="ハイパーリンク" xfId="924" builtinId="8" hidden="1"/>
    <cellStyle name="ハイパーリンク" xfId="926" builtinId="8" hidden="1"/>
    <cellStyle name="ハイパーリンク" xfId="928" builtinId="8" hidden="1"/>
    <cellStyle name="ハイパーリンク" xfId="930" builtinId="8" hidden="1"/>
    <cellStyle name="ハイパーリンク" xfId="932" builtinId="8" hidden="1"/>
    <cellStyle name="ハイパーリンク" xfId="934" builtinId="8" hidden="1"/>
    <cellStyle name="ハイパーリンク" xfId="936" builtinId="8" hidden="1"/>
    <cellStyle name="ハイパーリンク" xfId="938" builtinId="8" hidden="1"/>
    <cellStyle name="ハイパーリンク" xfId="940" builtinId="8" hidden="1"/>
    <cellStyle name="ハイパーリンク" xfId="942" builtinId="8" hidden="1"/>
    <cellStyle name="ハイパーリンク" xfId="944" builtinId="8" hidden="1"/>
    <cellStyle name="ハイパーリンク" xfId="946" builtinId="8" hidden="1"/>
    <cellStyle name="ハイパーリンク" xfId="948" builtinId="8" hidden="1"/>
    <cellStyle name="ハイパーリンク" xfId="950" builtinId="8" hidden="1"/>
    <cellStyle name="ハイパーリンク" xfId="952" builtinId="8" hidden="1"/>
    <cellStyle name="ハイパーリンク" xfId="954" builtinId="8" hidden="1"/>
    <cellStyle name="ハイパーリンク" xfId="956" builtinId="8" hidden="1"/>
    <cellStyle name="ハイパーリンク" xfId="958" builtinId="8" hidden="1"/>
    <cellStyle name="ハイパーリンク" xfId="960" builtinId="8" hidden="1"/>
    <cellStyle name="ハイパーリンク" xfId="962" builtinId="8" hidden="1"/>
    <cellStyle name="ハイパーリンク" xfId="964" builtinId="8" hidden="1"/>
    <cellStyle name="ハイパーリンク" xfId="966" builtinId="8" hidden="1"/>
    <cellStyle name="ハイパーリンク" xfId="968" builtinId="8" hidden="1"/>
    <cellStyle name="ハイパーリンク" xfId="970" builtinId="8" hidden="1"/>
    <cellStyle name="ハイパーリンク" xfId="972" builtinId="8" hidden="1"/>
    <cellStyle name="ハイパーリンク" xfId="974" builtinId="8" hidden="1"/>
    <cellStyle name="ハイパーリンク" xfId="976" builtinId="8" hidden="1"/>
    <cellStyle name="ハイパーリンク" xfId="978" builtinId="8" hidden="1"/>
    <cellStyle name="ハイパーリンク" xfId="980" builtinId="8" hidden="1"/>
    <cellStyle name="ハイパーリンク" xfId="982" builtinId="8" hidden="1"/>
    <cellStyle name="ハイパーリンク" xfId="984" builtinId="8" hidden="1"/>
    <cellStyle name="ハイパーリンク" xfId="986" builtinId="8" hidden="1"/>
    <cellStyle name="ハイパーリンク" xfId="988" builtinId="8" hidden="1"/>
    <cellStyle name="ハイパーリンク" xfId="990" builtinId="8" hidden="1"/>
    <cellStyle name="ハイパーリンク" xfId="992" builtinId="8" hidden="1"/>
    <cellStyle name="ハイパーリンク" xfId="994" builtinId="8" hidden="1"/>
    <cellStyle name="ハイパーリンク" xfId="996" builtinId="8" hidden="1"/>
    <cellStyle name="ハイパーリンク" xfId="998" builtinId="8" hidden="1"/>
    <cellStyle name="ハイパーリンク" xfId="1000" builtinId="8" hidden="1"/>
    <cellStyle name="ハイパーリンク" xfId="1002" builtinId="8" hidden="1"/>
    <cellStyle name="ハイパーリンク" xfId="1004" builtinId="8" hidden="1"/>
    <cellStyle name="ハイパーリンク" xfId="1006" builtinId="8" hidden="1"/>
    <cellStyle name="ハイパーリンク" xfId="1008" builtinId="8" hidden="1"/>
    <cellStyle name="ハイパーリンク" xfId="1010" builtinId="8" hidden="1"/>
    <cellStyle name="ハイパーリンク" xfId="1012" builtinId="8" hidden="1"/>
    <cellStyle name="ハイパーリンク" xfId="1014" builtinId="8" hidden="1"/>
    <cellStyle name="ハイパーリンク" xfId="1016" builtinId="8" hidden="1"/>
    <cellStyle name="ハイパーリンク" xfId="1018" builtinId="8" hidden="1"/>
    <cellStyle name="ハイパーリンク" xfId="1020" builtinId="8" hidden="1"/>
    <cellStyle name="ハイパーリンク" xfId="1022" builtinId="8" hidden="1"/>
    <cellStyle name="ハイパーリンク" xfId="1024" builtinId="8" hidden="1"/>
    <cellStyle name="ハイパーリンク" xfId="1026" builtinId="8" hidden="1"/>
    <cellStyle name="ハイパーリンク" xfId="1028" builtinId="8" hidden="1"/>
    <cellStyle name="ハイパーリンク" xfId="1030" builtinId="8" hidden="1"/>
    <cellStyle name="ハイパーリンク" xfId="1032" builtinId="8" hidden="1"/>
    <cellStyle name="ハイパーリンク" xfId="1034" builtinId="8" hidden="1"/>
    <cellStyle name="ハイパーリンク" xfId="1036" builtinId="8" hidden="1"/>
    <cellStyle name="ハイパーリンク" xfId="1038" builtinId="8" hidden="1"/>
    <cellStyle name="ハイパーリンク" xfId="1040" builtinId="8" hidden="1"/>
    <cellStyle name="ハイパーリンク" xfId="1042" builtinId="8" hidden="1"/>
    <cellStyle name="ハイパーリンク" xfId="1044" builtinId="8" hidden="1"/>
    <cellStyle name="ハイパーリンク" xfId="1046" builtinId="8" hidden="1"/>
    <cellStyle name="ハイパーリンク" xfId="1048" builtinId="8" hidden="1"/>
    <cellStyle name="ハイパーリンク" xfId="1050" builtinId="8" hidden="1"/>
    <cellStyle name="ハイパーリンク" xfId="1052" builtinId="8" hidden="1"/>
    <cellStyle name="ハイパーリンク" xfId="1054" builtinId="8" hidden="1"/>
    <cellStyle name="ハイパーリンク" xfId="1056" builtinId="8" hidden="1"/>
    <cellStyle name="ハイパーリンク" xfId="1058" builtinId="8" hidden="1"/>
    <cellStyle name="ハイパーリンク" xfId="1060" builtinId="8" hidden="1"/>
    <cellStyle name="ハイパーリンク" xfId="1062" builtinId="8" hidden="1"/>
    <cellStyle name="ハイパーリンク" xfId="1064" builtinId="8" hidden="1"/>
    <cellStyle name="ハイパーリンク" xfId="1066" builtinId="8" hidden="1"/>
    <cellStyle name="ハイパーリンク" xfId="1068" builtinId="8" hidden="1"/>
    <cellStyle name="ハイパーリンク" xfId="1070" builtinId="8" hidden="1"/>
    <cellStyle name="ハイパーリンク" xfId="1072" builtinId="8" hidden="1"/>
    <cellStyle name="ハイパーリンク" xfId="1074" builtinId="8" hidden="1"/>
    <cellStyle name="ハイパーリンク" xfId="1076" builtinId="8" hidden="1"/>
    <cellStyle name="ハイパーリンク" xfId="1078" builtinId="8" hidden="1"/>
    <cellStyle name="ハイパーリンク" xfId="1080" builtinId="8" hidden="1"/>
    <cellStyle name="ハイパーリンク" xfId="1082" builtinId="8" hidden="1"/>
    <cellStyle name="ハイパーリンク" xfId="1084" builtinId="8" hidden="1"/>
    <cellStyle name="ハイパーリンク" xfId="1086" builtinId="8" hidden="1"/>
    <cellStyle name="ハイパーリンク" xfId="1088" builtinId="8" hidden="1"/>
    <cellStyle name="ハイパーリンク" xfId="1090" builtinId="8" hidden="1"/>
    <cellStyle name="ハイパーリンク" xfId="1092" builtinId="8" hidden="1"/>
    <cellStyle name="ハイパーリンク" xfId="1094" builtinId="8" hidden="1"/>
    <cellStyle name="ハイパーリンク" xfId="1096" builtinId="8" hidden="1"/>
    <cellStyle name="ハイパーリンク" xfId="1098" builtinId="8" hidden="1"/>
    <cellStyle name="ハイパーリンク" xfId="1100" builtinId="8" hidden="1"/>
    <cellStyle name="ハイパーリンク" xfId="1102" builtinId="8" hidden="1"/>
    <cellStyle name="ハイパーリンク" xfId="1104" builtinId="8" hidden="1"/>
    <cellStyle name="ハイパーリンク" xfId="1106" builtinId="8" hidden="1"/>
    <cellStyle name="ハイパーリンク" xfId="1108" builtinId="8" hidden="1"/>
    <cellStyle name="ハイパーリンク" xfId="1110" builtinId="8" hidden="1"/>
    <cellStyle name="ハイパーリンク" xfId="1112" builtinId="8" hidden="1"/>
    <cellStyle name="ハイパーリンク" xfId="1114" builtinId="8" hidden="1"/>
    <cellStyle name="ハイパーリンク" xfId="1116" builtinId="8" hidden="1"/>
    <cellStyle name="ハイパーリンク" xfId="1118" builtinId="8" hidden="1"/>
    <cellStyle name="ハイパーリンク" xfId="1120" builtinId="8" hidden="1"/>
    <cellStyle name="ハイパーリンク" xfId="1122" builtinId="8" hidden="1"/>
    <cellStyle name="ハイパーリンク" xfId="1124" builtinId="8" hidden="1"/>
    <cellStyle name="ハイパーリンク" xfId="1126" builtinId="8" hidden="1"/>
    <cellStyle name="ハイパーリンク" xfId="1128" builtinId="8" hidden="1"/>
    <cellStyle name="ハイパーリンク" xfId="1130" builtinId="8" hidden="1"/>
    <cellStyle name="ハイパーリンク" xfId="1132" builtinId="8" hidden="1"/>
    <cellStyle name="ハイパーリンク" xfId="1134" builtinId="8" hidden="1"/>
    <cellStyle name="ハイパーリンク" xfId="1136" builtinId="8" hidden="1"/>
    <cellStyle name="ハイパーリンク" xfId="1138" builtinId="8" hidden="1"/>
    <cellStyle name="ハイパーリンク" xfId="1140" builtinId="8" hidden="1"/>
    <cellStyle name="ハイパーリンク" xfId="1142" builtinId="8" hidden="1"/>
    <cellStyle name="ハイパーリンク" xfId="1144" builtinId="8" hidden="1"/>
    <cellStyle name="ハイパーリンク" xfId="1146" builtinId="8" hidden="1"/>
    <cellStyle name="ハイパーリンク" xfId="1148" builtinId="8" hidden="1"/>
    <cellStyle name="ハイパーリンク" xfId="1150" builtinId="8" hidden="1"/>
    <cellStyle name="ハイパーリンク" xfId="1152" builtinId="8" hidden="1"/>
    <cellStyle name="ハイパーリンク" xfId="1154" builtinId="8" hidden="1"/>
    <cellStyle name="ハイパーリンク" xfId="1156" builtinId="8" hidden="1"/>
    <cellStyle name="ハイパーリンク" xfId="1158" builtinId="8" hidden="1"/>
    <cellStyle name="ハイパーリンク" xfId="1160" builtinId="8" hidden="1"/>
    <cellStyle name="ハイパーリンク" xfId="1162" builtinId="8" hidden="1"/>
    <cellStyle name="ハイパーリンク" xfId="1164" builtinId="8" hidden="1"/>
    <cellStyle name="ハイパーリンク" xfId="1166" builtinId="8" hidden="1"/>
    <cellStyle name="ハイパーリンク" xfId="1168" builtinId="8" hidden="1"/>
    <cellStyle name="ハイパーリンク" xfId="1170" builtinId="8" hidden="1"/>
    <cellStyle name="ハイパーリンク" xfId="1172" builtinId="8" hidden="1"/>
    <cellStyle name="ハイパーリンク" xfId="1174" builtinId="8" hidden="1"/>
    <cellStyle name="ハイパーリンク" xfId="1176" builtinId="8" hidden="1"/>
    <cellStyle name="ハイパーリンク" xfId="1178" builtinId="8" hidden="1"/>
    <cellStyle name="ハイパーリンク" xfId="1180" builtinId="8" hidden="1"/>
    <cellStyle name="ハイパーリンク" xfId="1182" builtinId="8" hidden="1"/>
    <cellStyle name="ハイパーリンク" xfId="1184" builtinId="8" hidden="1"/>
    <cellStyle name="ハイパーリンク" xfId="1186" builtinId="8" hidden="1"/>
    <cellStyle name="ハイパーリンク" xfId="1188" builtinId="8" hidden="1"/>
    <cellStyle name="ハイパーリンク" xfId="1190" builtinId="8" hidden="1"/>
    <cellStyle name="ハイパーリンク" xfId="1192" builtinId="8" hidden="1"/>
    <cellStyle name="ハイパーリンク" xfId="1194" builtinId="8" hidden="1"/>
    <cellStyle name="ハイパーリンク" xfId="1196" builtinId="8" hidden="1"/>
    <cellStyle name="ハイパーリンク" xfId="1198" builtinId="8" hidden="1"/>
    <cellStyle name="ハイパーリンク" xfId="1200" builtinId="8" hidden="1"/>
    <cellStyle name="ハイパーリンク" xfId="1202" builtinId="8" hidden="1"/>
    <cellStyle name="ハイパーリンク" xfId="1204" builtinId="8" hidden="1"/>
    <cellStyle name="ハイパーリンク" xfId="1206" builtinId="8" hidden="1"/>
    <cellStyle name="ハイパーリンク" xfId="1208" builtinId="8" hidden="1"/>
    <cellStyle name="ハイパーリンク" xfId="1210" builtinId="8" hidden="1"/>
    <cellStyle name="ハイパーリンク" xfId="1212" builtinId="8" hidden="1"/>
    <cellStyle name="ハイパーリンク" xfId="1214" builtinId="8" hidden="1"/>
    <cellStyle name="ハイパーリンク" xfId="1216" builtinId="8" hidden="1"/>
    <cellStyle name="ハイパーリンク" xfId="1218" builtinId="8" hidden="1"/>
    <cellStyle name="ハイパーリンク" xfId="1220" builtinId="8" hidden="1"/>
    <cellStyle name="ハイパーリンク" xfId="1222" builtinId="8" hidden="1"/>
    <cellStyle name="ハイパーリンク" xfId="1224" builtinId="8" hidden="1"/>
    <cellStyle name="ハイパーリンク" xfId="1226" builtinId="8" hidden="1"/>
    <cellStyle name="ハイパーリンク" xfId="1228" builtinId="8" hidden="1"/>
    <cellStyle name="ハイパーリンク" xfId="1230" builtinId="8" hidden="1"/>
    <cellStyle name="ハイパーリンク" xfId="1232" builtinId="8" hidden="1"/>
    <cellStyle name="ハイパーリンク" xfId="1234" builtinId="8" hidden="1"/>
    <cellStyle name="ハイパーリンク" xfId="1236" builtinId="8" hidden="1"/>
    <cellStyle name="ハイパーリンク" xfId="1238" builtinId="8" hidden="1"/>
    <cellStyle name="ハイパーリンク" xfId="1240" builtinId="8" hidden="1"/>
    <cellStyle name="ハイパーリンク" xfId="1242" builtinId="8" hidden="1"/>
    <cellStyle name="ハイパーリンク" xfId="1244" builtinId="8" hidden="1"/>
    <cellStyle name="ハイパーリンク" xfId="1246" builtinId="8" hidden="1"/>
    <cellStyle name="ハイパーリンク" xfId="1248" builtinId="8" hidden="1"/>
    <cellStyle name="ハイパーリンク" xfId="1250" builtinId="8" hidden="1"/>
    <cellStyle name="ハイパーリンク" xfId="1252" builtinId="8" hidden="1"/>
    <cellStyle name="ハイパーリンク" xfId="1254" builtinId="8" hidden="1"/>
    <cellStyle name="ハイパーリンク" xfId="1256" builtinId="8" hidden="1"/>
    <cellStyle name="ハイパーリンク" xfId="1258" builtinId="8" hidden="1"/>
    <cellStyle name="ハイパーリンク" xfId="1260" builtinId="8" hidden="1"/>
    <cellStyle name="ハイパーリンク" xfId="1262" builtinId="8" hidden="1"/>
    <cellStyle name="ハイパーリンク" xfId="1264" builtinId="8" hidden="1"/>
    <cellStyle name="ハイパーリンク" xfId="1266" builtinId="8" hidden="1"/>
    <cellStyle name="ハイパーリンク" xfId="1268" builtinId="8" hidden="1"/>
    <cellStyle name="ハイパーリンク" xfId="1270" builtinId="8" hidden="1"/>
    <cellStyle name="ハイパーリンク" xfId="1272" builtinId="8" hidden="1"/>
    <cellStyle name="ハイパーリンク" xfId="1274" builtinId="8" hidden="1"/>
    <cellStyle name="ハイパーリンク" xfId="1276" builtinId="8" hidden="1"/>
    <cellStyle name="ハイパーリンク" xfId="1278" builtinId="8" hidden="1"/>
    <cellStyle name="ハイパーリンク" xfId="1280" builtinId="8" hidden="1"/>
    <cellStyle name="ハイパーリンク" xfId="1282" builtinId="8" hidden="1"/>
    <cellStyle name="ハイパーリンク" xfId="1284" builtinId="8" hidden="1"/>
    <cellStyle name="ハイパーリンク" xfId="1286" builtinId="8" hidden="1"/>
    <cellStyle name="ハイパーリンク" xfId="1288" builtinId="8" hidden="1"/>
    <cellStyle name="ハイパーリンク" xfId="1290" builtinId="8" hidden="1"/>
    <cellStyle name="ハイパーリンク" xfId="1292" builtinId="8" hidden="1"/>
    <cellStyle name="ハイパーリンク" xfId="1294" builtinId="8" hidden="1"/>
    <cellStyle name="ハイパーリンク" xfId="1296" builtinId="8" hidden="1"/>
    <cellStyle name="ハイパーリンク" xfId="1298" builtinId="8" hidden="1"/>
    <cellStyle name="ハイパーリンク" xfId="1300" builtinId="8" hidden="1"/>
    <cellStyle name="ハイパーリンク" xfId="1302" builtinId="8" hidden="1"/>
    <cellStyle name="ハイパーリンク" xfId="1304" builtinId="8" hidden="1"/>
    <cellStyle name="ハイパーリンク" xfId="1306" builtinId="8" hidden="1"/>
    <cellStyle name="ハイパーリンク" xfId="1308" builtinId="8" hidden="1"/>
    <cellStyle name="ハイパーリンク" xfId="1310" builtinId="8" hidden="1"/>
    <cellStyle name="ハイパーリンク" xfId="1312" builtinId="8" hidden="1"/>
    <cellStyle name="ハイパーリンク" xfId="1314" builtinId="8" hidden="1"/>
    <cellStyle name="ハイパーリンク" xfId="1316" builtinId="8" hidden="1"/>
    <cellStyle name="ハイパーリンク" xfId="1318" builtinId="8" hidden="1"/>
    <cellStyle name="ハイパーリンク" xfId="1320" builtinId="8" hidden="1"/>
    <cellStyle name="ハイパーリンク" xfId="1322" builtinId="8" hidden="1"/>
    <cellStyle name="ハイパーリンク" xfId="1324" builtinId="8" hidden="1"/>
    <cellStyle name="ハイパーリンク" xfId="1326" builtinId="8" hidden="1"/>
    <cellStyle name="ハイパーリンク" xfId="1328" builtinId="8" hidden="1"/>
    <cellStyle name="ハイパーリンク" xfId="1330" builtinId="8" hidden="1"/>
    <cellStyle name="ハイパーリンク" xfId="1332" builtinId="8" hidden="1"/>
    <cellStyle name="ハイパーリンク" xfId="1334" builtinId="8" hidden="1"/>
    <cellStyle name="ハイパーリンク" xfId="1336" builtinId="8" hidden="1"/>
    <cellStyle name="ハイパーリンク" xfId="1338" builtinId="8" hidden="1"/>
    <cellStyle name="ハイパーリンク" xfId="1340" builtinId="8" hidden="1"/>
    <cellStyle name="ハイパーリンク" xfId="1342" builtinId="8" hidden="1"/>
    <cellStyle name="ハイパーリンク" xfId="1344" builtinId="8" hidden="1"/>
    <cellStyle name="ハイパーリンク" xfId="1346" builtinId="8" hidden="1"/>
    <cellStyle name="ハイパーリンク" xfId="1348" builtinId="8" hidden="1"/>
    <cellStyle name="ハイパーリンク" xfId="1350" builtinId="8" hidden="1"/>
    <cellStyle name="ハイパーリンク" xfId="1352" builtinId="8" hidden="1"/>
    <cellStyle name="ハイパーリンク" xfId="1354" builtinId="8" hidden="1"/>
    <cellStyle name="ハイパーリンク" xfId="1356" builtinId="8" hidden="1"/>
    <cellStyle name="ハイパーリンク" xfId="1358" builtinId="8" hidden="1"/>
    <cellStyle name="ハイパーリンク" xfId="1360" builtinId="8" hidden="1"/>
    <cellStyle name="ハイパーリンク" xfId="1362" builtinId="8" hidden="1"/>
    <cellStyle name="ハイパーリンク" xfId="1364" builtinId="8" hidden="1"/>
    <cellStyle name="ハイパーリンク" xfId="1366" builtinId="8" hidden="1"/>
    <cellStyle name="ハイパーリンク" xfId="1368" builtinId="8" hidden="1"/>
    <cellStyle name="ハイパーリンク" xfId="1370" builtinId="8" hidden="1"/>
    <cellStyle name="ハイパーリンク" xfId="1372" builtinId="8" hidden="1"/>
    <cellStyle name="ハイパーリンク" xfId="1374" builtinId="8" hidden="1"/>
    <cellStyle name="ハイパーリンク" xfId="1376" builtinId="8" hidden="1"/>
    <cellStyle name="ハイパーリンク" xfId="1378" builtinId="8" hidden="1"/>
    <cellStyle name="ハイパーリンク" xfId="1380" builtinId="8" hidden="1"/>
    <cellStyle name="ハイパーリンク" xfId="1382" builtinId="8" hidden="1"/>
    <cellStyle name="ハイパーリンク" xfId="1384" builtinId="8" hidden="1"/>
    <cellStyle name="ハイパーリンク" xfId="1386" builtinId="8" hidden="1"/>
    <cellStyle name="ハイパーリンク" xfId="1388" builtinId="8" hidden="1"/>
    <cellStyle name="ハイパーリンク" xfId="1390" builtinId="8" hidden="1"/>
    <cellStyle name="ハイパーリンク" xfId="1392" builtinId="8" hidden="1"/>
    <cellStyle name="ハイパーリンク" xfId="1394" builtinId="8" hidden="1"/>
    <cellStyle name="ハイパーリンク" xfId="1396" builtinId="8" hidden="1"/>
    <cellStyle name="ハイパーリンク" xfId="1398" builtinId="8" hidden="1"/>
    <cellStyle name="ハイパーリンク" xfId="1400" builtinId="8" hidden="1"/>
    <cellStyle name="ハイパーリンク" xfId="1402" builtinId="8" hidden="1"/>
    <cellStyle name="ハイパーリンク" xfId="1404" builtinId="8" hidden="1"/>
    <cellStyle name="ハイパーリンク" xfId="1406" builtinId="8" hidden="1"/>
    <cellStyle name="ハイパーリンク" xfId="1408" builtinId="8" hidden="1"/>
    <cellStyle name="ハイパーリンク" xfId="1410" builtinId="8" hidden="1"/>
    <cellStyle name="ハイパーリンク" xfId="1412" builtinId="8" hidden="1"/>
    <cellStyle name="ハイパーリンク" xfId="1414" builtinId="8" hidden="1"/>
    <cellStyle name="ハイパーリンク" xfId="1416" builtinId="8" hidden="1"/>
    <cellStyle name="ハイパーリンク" xfId="1418" builtinId="8" hidden="1"/>
    <cellStyle name="ハイパーリンク" xfId="1420" builtinId="8" hidden="1"/>
    <cellStyle name="ハイパーリンク" xfId="1422" builtinId="8" hidden="1"/>
    <cellStyle name="ハイパーリンク" xfId="1424" builtinId="8" hidden="1"/>
    <cellStyle name="ハイパーリンク" xfId="1426" builtinId="8" hidden="1"/>
    <cellStyle name="ハイパーリンク" xfId="1428" builtinId="8" hidden="1"/>
    <cellStyle name="ハイパーリンク" xfId="1430" builtinId="8" hidden="1"/>
    <cellStyle name="ハイパーリンク" xfId="1432" builtinId="8" hidden="1"/>
    <cellStyle name="ハイパーリンク" xfId="1434" builtinId="8" hidden="1"/>
    <cellStyle name="ハイパーリンク" xfId="1436" builtinId="8" hidden="1"/>
    <cellStyle name="ハイパーリンク" xfId="1438" builtinId="8" hidden="1"/>
    <cellStyle name="ハイパーリンク" xfId="1440" builtinId="8" hidden="1"/>
    <cellStyle name="ハイパーリンク" xfId="1442" builtinId="8" hidden="1"/>
    <cellStyle name="ハイパーリンク" xfId="1444" builtinId="8" hidden="1"/>
    <cellStyle name="ハイパーリンク" xfId="1446" builtinId="8" hidden="1"/>
    <cellStyle name="ハイパーリンク" xfId="1448" builtinId="8" hidden="1"/>
    <cellStyle name="ハイパーリンク" xfId="1450" builtinId="8" hidden="1"/>
    <cellStyle name="ハイパーリンク" xfId="1452" builtinId="8" hidden="1"/>
    <cellStyle name="ハイパーリンク" xfId="1454" builtinId="8" hidden="1"/>
    <cellStyle name="ハイパーリンク" xfId="1456" builtinId="8" hidden="1"/>
    <cellStyle name="ハイパーリンク" xfId="1458" builtinId="8" hidden="1"/>
    <cellStyle name="ハイパーリンク" xfId="1460" builtinId="8" hidden="1"/>
    <cellStyle name="ハイパーリンク" xfId="1462" builtinId="8" hidden="1"/>
    <cellStyle name="ハイパーリンク" xfId="1464" builtinId="8" hidden="1"/>
    <cellStyle name="ハイパーリンク" xfId="1466" builtinId="8" hidden="1"/>
    <cellStyle name="ハイパーリンク" xfId="1468" builtinId="8" hidden="1"/>
    <cellStyle name="ハイパーリンク" xfId="1470" builtinId="8" hidden="1"/>
    <cellStyle name="ハイパーリンク" xfId="1472" builtinId="8" hidden="1"/>
    <cellStyle name="ハイパーリンク" xfId="1474" builtinId="8" hidden="1"/>
    <cellStyle name="ハイパーリンク" xfId="1476" builtinId="8" hidden="1"/>
    <cellStyle name="ハイパーリンク" xfId="1478" builtinId="8" hidden="1"/>
    <cellStyle name="ハイパーリンク" xfId="1480" builtinId="8" hidden="1"/>
    <cellStyle name="ハイパーリンク" xfId="1482" builtinId="8" hidden="1"/>
    <cellStyle name="ハイパーリンク" xfId="1484" builtinId="8" hidden="1"/>
    <cellStyle name="ハイパーリンク" xfId="1486" builtinId="8" hidden="1"/>
    <cellStyle name="ハイパーリンク" xfId="1488" builtinId="8" hidden="1"/>
    <cellStyle name="ハイパーリンク" xfId="1490" builtinId="8" hidden="1"/>
    <cellStyle name="ハイパーリンク" xfId="1492" builtinId="8" hidden="1"/>
    <cellStyle name="ハイパーリンク" xfId="1494" builtinId="8" hidden="1"/>
    <cellStyle name="ハイパーリンク" xfId="1496" builtinId="8" hidden="1"/>
    <cellStyle name="ハイパーリンク" xfId="1498" builtinId="8" hidden="1"/>
    <cellStyle name="ハイパーリンク" xfId="1500" builtinId="8" hidden="1"/>
    <cellStyle name="ハイパーリンク" xfId="1502" builtinId="8" hidden="1"/>
    <cellStyle name="ハイパーリンク" xfId="1504" builtinId="8" hidden="1"/>
    <cellStyle name="ハイパーリンク" xfId="1506" builtinId="8" hidden="1"/>
    <cellStyle name="ハイパーリンク" xfId="1508" builtinId="8" hidden="1"/>
    <cellStyle name="ハイパーリンク" xfId="1510" builtinId="8" hidden="1"/>
    <cellStyle name="ハイパーリンク" xfId="1512" builtinId="8" hidden="1"/>
    <cellStyle name="ハイパーリンク" xfId="1514" builtinId="8" hidden="1"/>
    <cellStyle name="ハイパーリンク" xfId="1516" builtinId="8" hidden="1"/>
    <cellStyle name="ハイパーリンク" xfId="1518" builtinId="8" hidden="1"/>
    <cellStyle name="ハイパーリンク" xfId="1520" builtinId="8" hidden="1"/>
    <cellStyle name="ハイパーリンク" xfId="1522" builtinId="8" hidden="1"/>
    <cellStyle name="ハイパーリンク" xfId="1524" builtinId="8" hidden="1"/>
    <cellStyle name="ハイパーリンク" xfId="1526" builtinId="8" hidden="1"/>
    <cellStyle name="ハイパーリンク" xfId="1528" builtinId="8" hidden="1"/>
    <cellStyle name="ハイパーリンク" xfId="1530" builtinId="8" hidden="1"/>
    <cellStyle name="ハイパーリンク" xfId="1532" builtinId="8" hidden="1"/>
    <cellStyle name="ハイパーリンク" xfId="1534" builtinId="8" hidden="1"/>
    <cellStyle name="ハイパーリンク" xfId="1536" builtinId="8" hidden="1"/>
    <cellStyle name="ハイパーリンク" xfId="1538" builtinId="8" hidden="1"/>
    <cellStyle name="ハイパーリンク" xfId="1540" builtinId="8" hidden="1"/>
    <cellStyle name="ハイパーリンク" xfId="1542" builtinId="8" hidden="1"/>
    <cellStyle name="ハイパーリンク" xfId="1544" builtinId="8" hidden="1"/>
    <cellStyle name="ハイパーリンク" xfId="1546" builtinId="8" hidden="1"/>
    <cellStyle name="ハイパーリンク" xfId="1548" builtinId="8" hidden="1"/>
    <cellStyle name="ハイパーリンク" xfId="1550" builtinId="8" hidden="1"/>
    <cellStyle name="ハイパーリンク" xfId="1552" builtinId="8" hidden="1"/>
    <cellStyle name="ハイパーリンク" xfId="1554" builtinId="8" hidden="1"/>
    <cellStyle name="ハイパーリンク" xfId="1556" builtinId="8" hidden="1"/>
    <cellStyle name="ハイパーリンク" xfId="1558" builtinId="8" hidden="1"/>
    <cellStyle name="ハイパーリンク" xfId="1560" builtinId="8" hidden="1"/>
    <cellStyle name="ハイパーリンク" xfId="1562" builtinId="8" hidden="1"/>
    <cellStyle name="ハイパーリンク" xfId="1564" builtinId="8" hidden="1"/>
    <cellStyle name="ハイパーリンク" xfId="1566" builtinId="8" hidden="1"/>
    <cellStyle name="ハイパーリンク" xfId="1568" builtinId="8" hidden="1"/>
    <cellStyle name="ハイパーリンク" xfId="1570" builtinId="8" hidden="1"/>
    <cellStyle name="ハイパーリンク" xfId="1572" builtinId="8" hidden="1"/>
    <cellStyle name="ハイパーリンク" xfId="1574" builtinId="8" hidden="1"/>
    <cellStyle name="ハイパーリンク" xfId="1576" builtinId="8" hidden="1"/>
    <cellStyle name="ハイパーリンク" xfId="1578" builtinId="8" hidden="1"/>
    <cellStyle name="ハイパーリンク" xfId="1580" builtinId="8" hidden="1"/>
    <cellStyle name="ハイパーリンク" xfId="1582" builtinId="8" hidden="1"/>
    <cellStyle name="ハイパーリンク" xfId="1584" builtinId="8" hidden="1"/>
    <cellStyle name="ハイパーリンク" xfId="1586" builtinId="8" hidden="1"/>
    <cellStyle name="ハイパーリンク" xfId="1588" builtinId="8" hidden="1"/>
    <cellStyle name="ハイパーリンク" xfId="1590" builtinId="8" hidden="1"/>
    <cellStyle name="ハイパーリンク" xfId="1592" builtinId="8" hidden="1"/>
    <cellStyle name="ハイパーリンク" xfId="1594" builtinId="8" hidden="1"/>
    <cellStyle name="ハイパーリンク" xfId="1596" builtinId="8" hidden="1"/>
    <cellStyle name="ハイパーリンク" xfId="1598" builtinId="8" hidden="1"/>
    <cellStyle name="ハイパーリンク" xfId="1600" builtinId="8" hidden="1"/>
    <cellStyle name="ハイパーリンク" xfId="1602" builtinId="8" hidden="1"/>
    <cellStyle name="ハイパーリンク" xfId="1604" builtinId="8" hidden="1"/>
    <cellStyle name="ハイパーリンク" xfId="1606" builtinId="8" hidden="1"/>
    <cellStyle name="ハイパーリンク" xfId="1608" builtinId="8" hidden="1"/>
    <cellStyle name="ハイパーリンク" xfId="1610" builtinId="8" hidden="1"/>
    <cellStyle name="ハイパーリンク" xfId="1612" builtinId="8" hidden="1"/>
    <cellStyle name="ハイパーリンク" xfId="1614" builtinId="8" hidden="1"/>
    <cellStyle name="ハイパーリンク" xfId="1616" builtinId="8" hidden="1"/>
    <cellStyle name="ハイパーリンク" xfId="1618" builtinId="8" hidden="1"/>
    <cellStyle name="ハイパーリンク" xfId="1620" builtinId="8" hidden="1"/>
    <cellStyle name="ハイパーリンク" xfId="1622" builtinId="8" hidden="1"/>
    <cellStyle name="ハイパーリンク" xfId="1624" builtinId="8" hidden="1"/>
    <cellStyle name="ハイパーリンク" xfId="1626" builtinId="8" hidden="1"/>
    <cellStyle name="ハイパーリンク" xfId="1628" builtinId="8" hidden="1"/>
    <cellStyle name="ハイパーリンク" xfId="1630" builtinId="8" hidden="1"/>
    <cellStyle name="ハイパーリンク" xfId="1632" builtinId="8" hidden="1"/>
    <cellStyle name="ハイパーリンク" xfId="1634" builtinId="8" hidden="1"/>
    <cellStyle name="ハイパーリンク" xfId="1636" builtinId="8" hidden="1"/>
    <cellStyle name="ハイパーリンク" xfId="1638" builtinId="8" hidden="1"/>
    <cellStyle name="ハイパーリンク" xfId="1640" builtinId="8" hidden="1"/>
    <cellStyle name="ハイパーリンク" xfId="1642" builtinId="8" hidden="1"/>
    <cellStyle name="ハイパーリンク" xfId="1644" builtinId="8" hidden="1"/>
    <cellStyle name="ハイパーリンク" xfId="1646" builtinId="8" hidden="1"/>
    <cellStyle name="ハイパーリンク" xfId="1648" builtinId="8" hidden="1"/>
    <cellStyle name="ハイパーリンク" xfId="1650" builtinId="8" hidden="1"/>
    <cellStyle name="ハイパーリンク" xfId="1652" builtinId="8" hidden="1"/>
    <cellStyle name="ハイパーリンク" xfId="1654" builtinId="8" hidden="1"/>
    <cellStyle name="ハイパーリンク" xfId="1656" builtinId="8" hidden="1"/>
    <cellStyle name="ハイパーリンク" xfId="1658" builtinId="8" hidden="1"/>
    <cellStyle name="ハイパーリンク" xfId="1660" builtinId="8" hidden="1"/>
    <cellStyle name="ハイパーリンク" xfId="1662" builtinId="8" hidden="1"/>
    <cellStyle name="ハイパーリンク" xfId="1664" builtinId="8" hidden="1"/>
    <cellStyle name="ハイパーリンク" xfId="1666" builtinId="8" hidden="1"/>
    <cellStyle name="ハイパーリンク" xfId="1668" builtinId="8" hidden="1"/>
    <cellStyle name="ハイパーリンク" xfId="1670" builtinId="8" hidden="1"/>
    <cellStyle name="ハイパーリンク" xfId="1672" builtinId="8" hidden="1"/>
    <cellStyle name="ハイパーリンク" xfId="1674" builtinId="8" hidden="1"/>
    <cellStyle name="ハイパーリンク" xfId="1676" builtinId="8" hidden="1"/>
    <cellStyle name="ハイパーリンク" xfId="1678" builtinId="8" hidden="1"/>
    <cellStyle name="ハイパーリンク" xfId="1680" builtinId="8" hidden="1"/>
    <cellStyle name="ハイパーリンク" xfId="1682" builtinId="8" hidden="1"/>
    <cellStyle name="ハイパーリンク" xfId="1684" builtinId="8" hidden="1"/>
    <cellStyle name="ハイパーリンク" xfId="1686" builtinId="8" hidden="1"/>
    <cellStyle name="ハイパーリンク" xfId="1688" builtinId="8" hidden="1"/>
    <cellStyle name="ハイパーリンク" xfId="1690" builtinId="8" hidden="1"/>
    <cellStyle name="ハイパーリンク" xfId="1692" builtinId="8" hidden="1"/>
    <cellStyle name="ハイパーリンク" xfId="1694" builtinId="8" hidden="1"/>
    <cellStyle name="ハイパーリンク" xfId="1696" builtinId="8" hidden="1"/>
    <cellStyle name="ハイパーリンク" xfId="1698" builtinId="8" hidden="1"/>
    <cellStyle name="ハイパーリンク" xfId="1700" builtinId="8" hidden="1"/>
    <cellStyle name="ハイパーリンク" xfId="1702" builtinId="8" hidden="1"/>
    <cellStyle name="ハイパーリンク" xfId="1704" builtinId="8" hidden="1"/>
    <cellStyle name="ハイパーリンク" xfId="1706" builtinId="8" hidden="1"/>
    <cellStyle name="ハイパーリンク" xfId="1708" builtinId="8" hidden="1"/>
    <cellStyle name="ハイパーリンク" xfId="1710" builtinId="8" hidden="1"/>
    <cellStyle name="ハイパーリンク" xfId="1712" builtinId="8" hidden="1"/>
    <cellStyle name="ハイパーリンク" xfId="1714" builtinId="8" hidden="1"/>
    <cellStyle name="ハイパーリンク" xfId="1716" builtinId="8" hidden="1"/>
    <cellStyle name="ハイパーリンク" xfId="1718" builtinId="8" hidden="1"/>
    <cellStyle name="ハイパーリンク" xfId="1720" builtinId="8" hidden="1"/>
    <cellStyle name="ハイパーリンク" xfId="1722" builtinId="8" hidden="1"/>
    <cellStyle name="ハイパーリンク" xfId="1724" builtinId="8" hidden="1"/>
    <cellStyle name="ハイパーリンク" xfId="1726" builtinId="8" hidden="1"/>
    <cellStyle name="ハイパーリンク" xfId="1728" builtinId="8" hidden="1"/>
    <cellStyle name="ハイパーリンク" xfId="1730" builtinId="8" hidden="1"/>
    <cellStyle name="ハイパーリンク" xfId="1732" builtinId="8" hidden="1"/>
    <cellStyle name="ハイパーリンク" xfId="1734" builtinId="8" hidden="1"/>
    <cellStyle name="ハイパーリンク" xfId="1736" builtinId="8" hidden="1"/>
    <cellStyle name="ハイパーリンク" xfId="1738" builtinId="8" hidden="1"/>
    <cellStyle name="ハイパーリンク" xfId="1740" builtinId="8" hidden="1"/>
    <cellStyle name="ハイパーリンク" xfId="1742" builtinId="8" hidden="1"/>
    <cellStyle name="ハイパーリンク" xfId="1744" builtinId="8" hidden="1"/>
    <cellStyle name="ハイパーリンク" xfId="1746" builtinId="8" hidden="1"/>
    <cellStyle name="ハイパーリンク" xfId="1748" builtinId="8" hidden="1"/>
    <cellStyle name="ハイパーリンク" xfId="1750" builtinId="8" hidden="1"/>
    <cellStyle name="ハイパーリンク" xfId="1752" builtinId="8" hidden="1"/>
    <cellStyle name="ハイパーリンク" xfId="1754" builtinId="8" hidden="1"/>
    <cellStyle name="ハイパーリンク" xfId="1756" builtinId="8" hidden="1"/>
    <cellStyle name="ハイパーリンク" xfId="1758" builtinId="8" hidden="1"/>
    <cellStyle name="ハイパーリンク" xfId="1760" builtinId="8" hidden="1"/>
    <cellStyle name="ハイパーリンク" xfId="1762" builtinId="8" hidden="1"/>
    <cellStyle name="ハイパーリンク" xfId="1764" builtinId="8" hidden="1"/>
    <cellStyle name="ハイパーリンク" xfId="1766" builtinId="8" hidden="1"/>
    <cellStyle name="ハイパーリンク" xfId="1768" builtinId="8" hidden="1"/>
    <cellStyle name="ハイパーリンク" xfId="1770" builtinId="8" hidden="1"/>
    <cellStyle name="ハイパーリンク" xfId="1772" builtinId="8" hidden="1"/>
    <cellStyle name="ハイパーリンク" xfId="1774" builtinId="8" hidden="1"/>
    <cellStyle name="ハイパーリンク" xfId="1776" builtinId="8" hidden="1"/>
    <cellStyle name="ハイパーリンク" xfId="1778" builtinId="8" hidden="1"/>
    <cellStyle name="ハイパーリンク" xfId="1780" builtinId="8" hidden="1"/>
    <cellStyle name="ハイパーリンク" xfId="1782" builtinId="8" hidden="1"/>
    <cellStyle name="ハイパーリンク" xfId="1784" builtinId="8" hidden="1"/>
    <cellStyle name="ハイパーリンク" xfId="1786" builtinId="8" hidden="1"/>
    <cellStyle name="ハイパーリンク" xfId="1788" builtinId="8" hidden="1"/>
    <cellStyle name="ハイパーリンク" xfId="1790" builtinId="8" hidden="1"/>
    <cellStyle name="ハイパーリンク" xfId="1792" builtinId="8" hidden="1"/>
    <cellStyle name="ハイパーリンク" xfId="1794" builtinId="8" hidden="1"/>
    <cellStyle name="ハイパーリンク" xfId="1796" builtinId="8" hidden="1"/>
    <cellStyle name="ハイパーリンク" xfId="1798" builtinId="8" hidden="1"/>
    <cellStyle name="ハイパーリンク" xfId="1800" builtinId="8" hidden="1"/>
    <cellStyle name="ハイパーリンク" xfId="1802" builtinId="8" hidden="1"/>
    <cellStyle name="ハイパーリンク" xfId="1804" builtinId="8" hidden="1"/>
    <cellStyle name="ハイパーリンク" xfId="1806" builtinId="8" hidden="1"/>
    <cellStyle name="ハイパーリンク" xfId="1808" builtinId="8" hidden="1"/>
    <cellStyle name="ハイパーリンク" xfId="1810" builtinId="8" hidden="1"/>
    <cellStyle name="ハイパーリンク" xfId="1812" builtinId="8" hidden="1"/>
    <cellStyle name="ハイパーリンク" xfId="1814" builtinId="8" hidden="1"/>
    <cellStyle name="ハイパーリンク" xfId="1816" builtinId="8" hidden="1"/>
    <cellStyle name="ハイパーリンク" xfId="1818" builtinId="8" hidden="1"/>
    <cellStyle name="ハイパーリンク" xfId="1820" builtinId="8" hidden="1"/>
    <cellStyle name="ハイパーリンク" xfId="1822" builtinId="8" hidden="1"/>
    <cellStyle name="ハイパーリンク" xfId="1824" builtinId="8" hidden="1"/>
    <cellStyle name="ハイパーリンク" xfId="1826" builtinId="8" hidden="1"/>
    <cellStyle name="ハイパーリンク" xfId="1828" builtinId="8" hidden="1"/>
    <cellStyle name="ハイパーリンク" xfId="1830" builtinId="8" hidden="1"/>
    <cellStyle name="ハイパーリンク" xfId="1832" builtinId="8" hidden="1"/>
    <cellStyle name="ハイパーリンク" xfId="1834" builtinId="8" hidden="1"/>
    <cellStyle name="ハイパーリンク" xfId="1836" builtinId="8" hidden="1"/>
    <cellStyle name="ハイパーリンク" xfId="1838" builtinId="8" hidden="1"/>
    <cellStyle name="ハイパーリンク" xfId="1840" builtinId="8" hidden="1"/>
    <cellStyle name="ハイパーリンク" xfId="1842" builtinId="8" hidden="1"/>
    <cellStyle name="ハイパーリンク" xfId="1844" builtinId="8" hidden="1"/>
    <cellStyle name="ハイパーリンク" xfId="1846" builtinId="8" hidden="1"/>
    <cellStyle name="ハイパーリンク" xfId="1848" builtinId="8" hidden="1"/>
    <cellStyle name="ハイパーリンク" xfId="1850" builtinId="8" hidden="1"/>
    <cellStyle name="ハイパーリンク" xfId="1852" builtinId="8" hidden="1"/>
    <cellStyle name="ハイパーリンク" xfId="1854" builtinId="8" hidden="1"/>
    <cellStyle name="ハイパーリンク" xfId="1856" builtinId="8" hidden="1"/>
    <cellStyle name="ハイパーリンク" xfId="1858" builtinId="8" hidden="1"/>
    <cellStyle name="ハイパーリンク" xfId="1860" builtinId="8" hidden="1"/>
    <cellStyle name="ハイパーリンク" xfId="1862" builtinId="8" hidden="1"/>
    <cellStyle name="ハイパーリンク" xfId="1864" builtinId="8" hidden="1"/>
    <cellStyle name="ハイパーリンク" xfId="1866" builtinId="8" hidden="1"/>
    <cellStyle name="ハイパーリンク" xfId="1868" builtinId="8" hidden="1"/>
    <cellStyle name="ハイパーリンク" xfId="1870" builtinId="8" hidden="1"/>
    <cellStyle name="ハイパーリンク" xfId="1872" builtinId="8" hidden="1"/>
    <cellStyle name="ハイパーリンク" xfId="1874" builtinId="8" hidden="1"/>
    <cellStyle name="ハイパーリンク" xfId="1876" builtinId="8" hidden="1"/>
    <cellStyle name="ハイパーリンク" xfId="1878" builtinId="8" hidden="1"/>
    <cellStyle name="ハイパーリンク" xfId="1880" builtinId="8" hidden="1"/>
    <cellStyle name="ハイパーリンク" xfId="1882" builtinId="8" hidden="1"/>
    <cellStyle name="ハイパーリンク" xfId="1884" builtinId="8" hidden="1"/>
    <cellStyle name="ハイパーリンク" xfId="1886" builtinId="8" hidden="1"/>
    <cellStyle name="ハイパーリンク" xfId="1888" builtinId="8" hidden="1"/>
    <cellStyle name="ハイパーリンク" xfId="1890" builtinId="8" hidden="1"/>
    <cellStyle name="ハイパーリンク" xfId="1892" builtinId="8" hidden="1"/>
    <cellStyle name="ハイパーリンク" xfId="1894" builtinId="8" hidden="1"/>
    <cellStyle name="ハイパーリンク" xfId="1896" builtinId="8" hidden="1"/>
    <cellStyle name="ハイパーリンク" xfId="1898" builtinId="8" hidden="1"/>
    <cellStyle name="ハイパーリンク" xfId="1900" builtinId="8" hidden="1"/>
    <cellStyle name="ハイパーリンク" xfId="1902" builtinId="8" hidden="1"/>
    <cellStyle name="ハイパーリンク" xfId="1904" builtinId="8" hidden="1"/>
    <cellStyle name="ハイパーリンク" xfId="1906" builtinId="8" hidden="1"/>
    <cellStyle name="ハイパーリンク" xfId="1908" builtinId="8" hidden="1"/>
    <cellStyle name="ハイパーリンク" xfId="1910" builtinId="8" hidden="1"/>
    <cellStyle name="リンク セル" xfId="1924" builtinId="24" customBuiltin="1"/>
    <cellStyle name="강조색1 2" xfId="1974" xr:uid="{00000000-0005-0000-0000-00009F000000}"/>
    <cellStyle name="강조색2 2" xfId="1978" xr:uid="{00000000-0005-0000-0000-0000A1000000}"/>
    <cellStyle name="강조색3 2" xfId="1982" xr:uid="{00000000-0005-0000-0000-0000A3000000}"/>
    <cellStyle name="강조색4 2" xfId="1986" xr:uid="{00000000-0005-0000-0000-0000A5000000}"/>
    <cellStyle name="강조색5 2" xfId="1990" xr:uid="{00000000-0005-0000-0000-0000A7000000}"/>
    <cellStyle name="강조색6 2" xfId="1994" xr:uid="{00000000-0005-0000-0000-0000A9000000}"/>
    <cellStyle name="見出し 1" xfId="1914" builtinId="16" customBuiltin="1"/>
    <cellStyle name="見出し 2" xfId="1915" builtinId="17" customBuiltin="1"/>
    <cellStyle name="見出し 3" xfId="1916" builtinId="18" customBuiltin="1"/>
    <cellStyle name="見出し 4" xfId="1917" builtinId="19" customBuiltin="1"/>
    <cellStyle name="警告文" xfId="1926" builtinId="11" customBuiltin="1"/>
    <cellStyle name="경고문 2" xfId="1970" xr:uid="{00000000-0005-0000-0000-0000AB000000}"/>
    <cellStyle name="計算" xfId="1923" builtinId="22" customBuiltin="1"/>
    <cellStyle name="계산 2" xfId="1967" xr:uid="{00000000-0005-0000-0000-0000AD000000}"/>
    <cellStyle name="나쁨 2" xfId="1963" xr:uid="{00000000-0005-0000-0000-0000AF000000}"/>
    <cellStyle name="良い" xfId="1918" builtinId="26" customBuiltin="1"/>
    <cellStyle name="메모 2" xfId="1971" xr:uid="{00000000-0005-0000-0000-0000B0000000}"/>
    <cellStyle name="메모 3" xfId="1999" xr:uid="{00000000-0005-0000-0000-0000B1000000}"/>
    <cellStyle name="메모 4" xfId="2022" xr:uid="{00000000-0005-0000-0000-0000B2000000}"/>
    <cellStyle name="메모 5" xfId="2042" xr:uid="{00000000-0005-0000-0000-0000B3000000}"/>
    <cellStyle name="메모 6" xfId="2062" xr:uid="{00000000-0005-0000-0000-0000B4000000}"/>
    <cellStyle name="메모 7" xfId="2082" xr:uid="{00000000-0005-0000-0000-0000B5000000}"/>
    <cellStyle name="메모 8" xfId="2102" xr:uid="{00000000-0005-0000-0000-0000B6000000}"/>
    <cellStyle name="百分比 2" xfId="2126" xr:uid="{95AED050-BE61-4051-8971-5C769B98E2D9}"/>
    <cellStyle name="보통 2" xfId="1964" xr:uid="{00000000-0005-0000-0000-0000B9000000}"/>
    <cellStyle name="常规 2" xfId="1953" xr:uid="{00000000-0005-0000-0000-0000BA000000}"/>
    <cellStyle name="常规 2 2" xfId="2125" xr:uid="{285D005C-6EA2-4159-BAB2-CF0EB023BC5F}"/>
    <cellStyle name="常规_8364B 2009415" xfId="1" xr:uid="{00000000-0005-0000-0000-0000BB000000}"/>
    <cellStyle name="설명 텍스트 2" xfId="1972" xr:uid="{00000000-0005-0000-0000-0000BD000000}"/>
    <cellStyle name="説明文" xfId="1927" builtinId="53" customBuiltin="1"/>
    <cellStyle name="셀 확인 2" xfId="1969" xr:uid="{00000000-0005-0000-0000-0000BF000000}"/>
    <cellStyle name="悪い" xfId="1919" builtinId="27" customBuiltin="1"/>
    <cellStyle name="연결된 셀 2" xfId="1968" xr:uid="{00000000-0005-0000-0000-0000C1000000}"/>
    <cellStyle name="요약 2" xfId="1973" xr:uid="{00000000-0005-0000-0000-000077040000}"/>
    <cellStyle name="入力" xfId="1921" builtinId="20" customBuiltin="1"/>
    <cellStyle name="입력 2" xfId="1965" xr:uid="{00000000-0005-0000-0000-000079040000}"/>
    <cellStyle name="제목 1 2" xfId="1958" xr:uid="{00000000-0005-0000-0000-00007C040000}"/>
    <cellStyle name="제목 2 2" xfId="1959" xr:uid="{00000000-0005-0000-0000-00007E040000}"/>
    <cellStyle name="제목 3 2" xfId="1960" xr:uid="{00000000-0005-0000-0000-000080040000}"/>
    <cellStyle name="제목 4 2" xfId="1961" xr:uid="{00000000-0005-0000-0000-000082040000}"/>
    <cellStyle name="제목 5" xfId="1957" xr:uid="{00000000-0005-0000-0000-000083040000}"/>
    <cellStyle name="좋음 2" xfId="1962" xr:uid="{00000000-0005-0000-0000-000085040000}"/>
    <cellStyle name="注释 2" xfId="1954" xr:uid="{00000000-0005-0000-0000-000086040000}"/>
    <cellStyle name="集計" xfId="1928" builtinId="25" customBuiltin="1"/>
    <cellStyle name="出力" xfId="1922" builtinId="21" customBuiltin="1"/>
    <cellStyle name="출력 2" xfId="1966" xr:uid="{00000000-0005-0000-0000-000088040000}"/>
    <cellStyle name="通貨 [0.00]" xfId="1912" builtinId="4"/>
    <cellStyle name="表示済みのハイパーリンク" xfId="4" builtinId="9" hidden="1"/>
    <cellStyle name="表示済みのハイパーリンク" xfId="6" builtinId="9" hidden="1"/>
    <cellStyle name="表示済みのハイパーリンク" xfId="9" builtinId="9" hidden="1"/>
    <cellStyle name="表示済みのハイパーリンク" xfId="11" builtinId="9" hidden="1"/>
    <cellStyle name="表示済みのハイパーリンク" xfId="13" builtinId="9" hidden="1"/>
    <cellStyle name="表示済みのハイパーリンク" xfId="15" builtinId="9" hidden="1"/>
    <cellStyle name="表示済みのハイパーリンク" xfId="17" builtinId="9" hidden="1"/>
    <cellStyle name="表示済みのハイパーリンク" xfId="19" builtinId="9" hidden="1"/>
    <cellStyle name="表示済みのハイパーリンク" xfId="21" builtinId="9" hidden="1"/>
    <cellStyle name="表示済みのハイパーリンク" xfId="23" builtinId="9" hidden="1"/>
    <cellStyle name="表示済みのハイパーリンク" xfId="25" builtinId="9" hidden="1"/>
    <cellStyle name="表示済みのハイパーリンク" xfId="27" builtinId="9" hidden="1"/>
    <cellStyle name="表示済みのハイパーリンク" xfId="29" builtinId="9" hidden="1"/>
    <cellStyle name="表示済みのハイパーリンク" xfId="31" builtinId="9" hidden="1"/>
    <cellStyle name="表示済みのハイパーリンク" xfId="33" builtinId="9" hidden="1"/>
    <cellStyle name="表示済みのハイパーリンク" xfId="35" builtinId="9" hidden="1"/>
    <cellStyle name="表示済みのハイパーリンク" xfId="37" builtinId="9" hidden="1"/>
    <cellStyle name="表示済みのハイパーリンク" xfId="51" builtinId="9" hidden="1"/>
    <cellStyle name="表示済みのハイパーリンク" xfId="53" builtinId="9" hidden="1"/>
    <cellStyle name="表示済みのハイパーリンク" xfId="55" builtinId="9" hidden="1"/>
    <cellStyle name="表示済みのハイパーリンク" xfId="57" builtinId="9" hidden="1"/>
    <cellStyle name="表示済みのハイパーリンク" xfId="59" builtinId="9" hidden="1"/>
    <cellStyle name="表示済みのハイパーリンク" xfId="61" builtinId="9" hidden="1"/>
    <cellStyle name="表示済みのハイパーリンク" xfId="63" builtinId="9" hidden="1"/>
    <cellStyle name="表示済みのハイパーリンク" xfId="65" builtinId="9" hidden="1"/>
    <cellStyle name="表示済みのハイパーリンク" xfId="67" builtinId="9" hidden="1"/>
    <cellStyle name="表示済みのハイパーリンク" xfId="69" builtinId="9" hidden="1"/>
    <cellStyle name="表示済みのハイパーリンク" xfId="71" builtinId="9" hidden="1"/>
    <cellStyle name="表示済みのハイパーリンク" xfId="73" builtinId="9" hidden="1"/>
    <cellStyle name="表示済みのハイパーリンク" xfId="75" builtinId="9" hidden="1"/>
    <cellStyle name="表示済みのハイパーリンク" xfId="77" builtinId="9" hidden="1"/>
    <cellStyle name="表示済みのハイパーリンク" xfId="79" builtinId="9" hidden="1"/>
    <cellStyle name="表示済みのハイパーリンク" xfId="81" builtinId="9" hidden="1"/>
    <cellStyle name="表示済みのハイパーリンク" xfId="83" builtinId="9" hidden="1"/>
    <cellStyle name="表示済みのハイパーリンク" xfId="85" builtinId="9" hidden="1"/>
    <cellStyle name="表示済みのハイパーリンク" xfId="87" builtinId="9" hidden="1"/>
    <cellStyle name="表示済みのハイパーリンク" xfId="89" builtinId="9" hidden="1"/>
    <cellStyle name="表示済みのハイパーリンク" xfId="91" builtinId="9" hidden="1"/>
    <cellStyle name="表示済みのハイパーリンク" xfId="93" builtinId="9" hidden="1"/>
    <cellStyle name="表示済みのハイパーリンク" xfId="95" builtinId="9" hidden="1"/>
    <cellStyle name="表示済みのハイパーリンク" xfId="97" builtinId="9" hidden="1"/>
    <cellStyle name="表示済みのハイパーリンク" xfId="99" builtinId="9" hidden="1"/>
    <cellStyle name="表示済みのハイパーリンク" xfId="101" builtinId="9" hidden="1"/>
    <cellStyle name="表示済みのハイパーリンク" xfId="103" builtinId="9" hidden="1"/>
    <cellStyle name="表示済みのハイパーリンク" xfId="105" builtinId="9" hidden="1"/>
    <cellStyle name="表示済みのハイパーリンク" xfId="107" builtinId="9" hidden="1"/>
    <cellStyle name="表示済みのハイパーリンク" xfId="109" builtinId="9" hidden="1"/>
    <cellStyle name="表示済みのハイパーリンク" xfId="111" builtinId="9" hidden="1"/>
    <cellStyle name="表示済みのハイパーリンク" xfId="113" builtinId="9" hidden="1"/>
    <cellStyle name="表示済みのハイパーリンク" xfId="115" builtinId="9" hidden="1"/>
    <cellStyle name="表示済みのハイパーリンク" xfId="117" builtinId="9" hidden="1"/>
    <cellStyle name="表示済みのハイパーリンク" xfId="119" builtinId="9" hidden="1"/>
    <cellStyle name="表示済みのハイパーリンク" xfId="121" builtinId="9" hidden="1"/>
    <cellStyle name="表示済みのハイパーリンク" xfId="123" builtinId="9" hidden="1"/>
    <cellStyle name="表示済みのハイパーリンク" xfId="125" builtinId="9" hidden="1"/>
    <cellStyle name="表示済みのハイパーリンク" xfId="127" builtinId="9" hidden="1"/>
    <cellStyle name="表示済みのハイパーリンク" xfId="129" builtinId="9" hidden="1"/>
    <cellStyle name="表示済みのハイパーリンク" xfId="131" builtinId="9" hidden="1"/>
    <cellStyle name="表示済みのハイパーリンク" xfId="133" builtinId="9" hidden="1"/>
    <cellStyle name="表示済みのハイパーリンク" xfId="135" builtinId="9" hidden="1"/>
    <cellStyle name="表示済みのハイパーリンク" xfId="137" builtinId="9" hidden="1"/>
    <cellStyle name="表示済みのハイパーリンク" xfId="139" builtinId="9" hidden="1"/>
    <cellStyle name="表示済みのハイパーリンク" xfId="141" builtinId="9" hidden="1"/>
    <cellStyle name="表示済みのハイパーリンク" xfId="143" builtinId="9" hidden="1"/>
    <cellStyle name="表示済みのハイパーリンク" xfId="145" builtinId="9" hidden="1"/>
    <cellStyle name="表示済みのハイパーリンク" xfId="147" builtinId="9" hidden="1"/>
    <cellStyle name="表示済みのハイパーリンク" xfId="149" builtinId="9" hidden="1"/>
    <cellStyle name="表示済みのハイパーリンク" xfId="151" builtinId="9" hidden="1"/>
    <cellStyle name="表示済みのハイパーリンク" xfId="153" builtinId="9" hidden="1"/>
    <cellStyle name="表示済みのハイパーリンク" xfId="155" builtinId="9" hidden="1"/>
    <cellStyle name="表示済みのハイパーリンク" xfId="157" builtinId="9" hidden="1"/>
    <cellStyle name="表示済みのハイパーリンク" xfId="159" builtinId="9" hidden="1"/>
    <cellStyle name="表示済みのハイパーリンク" xfId="161" builtinId="9" hidden="1"/>
    <cellStyle name="表示済みのハイパーリンク" xfId="163" builtinId="9" hidden="1"/>
    <cellStyle name="表示済みのハイパーリンク" xfId="165" builtinId="9" hidden="1"/>
    <cellStyle name="表示済みのハイパーリンク" xfId="167" builtinId="9" hidden="1"/>
    <cellStyle name="表示済みのハイパーリンク" xfId="169" builtinId="9" hidden="1"/>
    <cellStyle name="表示済みのハイパーリンク" xfId="171" builtinId="9" hidden="1"/>
    <cellStyle name="表示済みのハイパーリンク" xfId="173" builtinId="9" hidden="1"/>
    <cellStyle name="表示済みのハイパーリンク" xfId="175" builtinId="9" hidden="1"/>
    <cellStyle name="表示済みのハイパーリンク" xfId="177" builtinId="9" hidden="1"/>
    <cellStyle name="表示済みのハイパーリンク" xfId="179" builtinId="9" hidden="1"/>
    <cellStyle name="表示済みのハイパーリンク" xfId="181" builtinId="9" hidden="1"/>
    <cellStyle name="表示済みのハイパーリンク" xfId="183" builtinId="9" hidden="1"/>
    <cellStyle name="表示済みのハイパーリンク" xfId="185" builtinId="9" hidden="1"/>
    <cellStyle name="表示済みのハイパーリンク" xfId="187" builtinId="9" hidden="1"/>
    <cellStyle name="表示済みのハイパーリンク" xfId="189" builtinId="9" hidden="1"/>
    <cellStyle name="表示済みのハイパーリンク" xfId="191" builtinId="9" hidden="1"/>
    <cellStyle name="表示済みのハイパーリンク" xfId="193" builtinId="9" hidden="1"/>
    <cellStyle name="表示済みのハイパーリンク" xfId="195" builtinId="9" hidden="1"/>
    <cellStyle name="表示済みのハイパーリンク" xfId="197" builtinId="9" hidden="1"/>
    <cellStyle name="表示済みのハイパーリンク" xfId="199" builtinId="9" hidden="1"/>
    <cellStyle name="表示済みのハイパーリンク" xfId="201" builtinId="9" hidden="1"/>
    <cellStyle name="表示済みのハイパーリンク" xfId="203" builtinId="9" hidden="1"/>
    <cellStyle name="表示済みのハイパーリンク" xfId="205" builtinId="9" hidden="1"/>
    <cellStyle name="表示済みのハイパーリンク" xfId="207" builtinId="9" hidden="1"/>
    <cellStyle name="表示済みのハイパーリンク" xfId="209" builtinId="9" hidden="1"/>
    <cellStyle name="表示済みのハイパーリンク" xfId="211" builtinId="9" hidden="1"/>
    <cellStyle name="表示済みのハイパーリンク" xfId="213" builtinId="9" hidden="1"/>
    <cellStyle name="表示済みのハイパーリンク" xfId="215" builtinId="9" hidden="1"/>
    <cellStyle name="表示済みのハイパーリンク" xfId="217" builtinId="9" hidden="1"/>
    <cellStyle name="表示済みのハイパーリンク" xfId="219" builtinId="9" hidden="1"/>
    <cellStyle name="表示済みのハイパーリンク" xfId="221" builtinId="9" hidden="1"/>
    <cellStyle name="表示済みのハイパーリンク" xfId="223" builtinId="9" hidden="1"/>
    <cellStyle name="表示済みのハイパーリンク" xfId="225" builtinId="9" hidden="1"/>
    <cellStyle name="表示済みのハイパーリンク" xfId="227" builtinId="9" hidden="1"/>
    <cellStyle name="表示済みのハイパーリンク" xfId="229" builtinId="9" hidden="1"/>
    <cellStyle name="表示済みのハイパーリンク" xfId="231" builtinId="9" hidden="1"/>
    <cellStyle name="表示済みのハイパーリンク" xfId="233" builtinId="9" hidden="1"/>
    <cellStyle name="表示済みのハイパーリンク" xfId="235" builtinId="9" hidden="1"/>
    <cellStyle name="表示済みのハイパーリンク" xfId="237" builtinId="9" hidden="1"/>
    <cellStyle name="表示済みのハイパーリンク" xfId="239" builtinId="9" hidden="1"/>
    <cellStyle name="表示済みのハイパーリンク" xfId="241" builtinId="9" hidden="1"/>
    <cellStyle name="表示済みのハイパーリンク" xfId="243" builtinId="9" hidden="1"/>
    <cellStyle name="表示済みのハイパーリンク" xfId="245" builtinId="9" hidden="1"/>
    <cellStyle name="表示済みのハイパーリンク" xfId="247" builtinId="9" hidden="1"/>
    <cellStyle name="表示済みのハイパーリンク" xfId="249" builtinId="9" hidden="1"/>
    <cellStyle name="表示済みのハイパーリンク" xfId="251" builtinId="9" hidden="1"/>
    <cellStyle name="表示済みのハイパーリンク" xfId="253" builtinId="9" hidden="1"/>
    <cellStyle name="表示済みのハイパーリンク" xfId="255" builtinId="9" hidden="1"/>
    <cellStyle name="表示済みのハイパーリンク" xfId="257" builtinId="9" hidden="1"/>
    <cellStyle name="表示済みのハイパーリンク" xfId="259" builtinId="9" hidden="1"/>
    <cellStyle name="表示済みのハイパーリンク" xfId="261" builtinId="9" hidden="1"/>
    <cellStyle name="表示済みのハイパーリンク" xfId="263" builtinId="9" hidden="1"/>
    <cellStyle name="表示済みのハイパーリンク" xfId="265" builtinId="9" hidden="1"/>
    <cellStyle name="表示済みのハイパーリンク" xfId="267" builtinId="9" hidden="1"/>
    <cellStyle name="表示済みのハイパーリンク" xfId="269" builtinId="9" hidden="1"/>
    <cellStyle name="表示済みのハイパーリンク" xfId="271" builtinId="9" hidden="1"/>
    <cellStyle name="表示済みのハイパーリンク" xfId="273" builtinId="9" hidden="1"/>
    <cellStyle name="表示済みのハイパーリンク" xfId="275" builtinId="9" hidden="1"/>
    <cellStyle name="表示済みのハイパーリンク" xfId="277" builtinId="9" hidden="1"/>
    <cellStyle name="表示済みのハイパーリンク" xfId="279" builtinId="9" hidden="1"/>
    <cellStyle name="表示済みのハイパーリンク" xfId="281" builtinId="9" hidden="1"/>
    <cellStyle name="表示済みのハイパーリンク" xfId="283" builtinId="9" hidden="1"/>
    <cellStyle name="表示済みのハイパーリンク" xfId="285" builtinId="9" hidden="1"/>
    <cellStyle name="表示済みのハイパーリンク" xfId="287" builtinId="9" hidden="1"/>
    <cellStyle name="表示済みのハイパーリンク" xfId="289" builtinId="9" hidden="1"/>
    <cellStyle name="表示済みのハイパーリンク" xfId="291" builtinId="9" hidden="1"/>
    <cellStyle name="表示済みのハイパーリンク" xfId="293" builtinId="9" hidden="1"/>
    <cellStyle name="表示済みのハイパーリンク" xfId="295" builtinId="9" hidden="1"/>
    <cellStyle name="表示済みのハイパーリンク" xfId="297" builtinId="9" hidden="1"/>
    <cellStyle name="表示済みのハイパーリンク" xfId="299" builtinId="9" hidden="1"/>
    <cellStyle name="表示済みのハイパーリンク" xfId="301" builtinId="9" hidden="1"/>
    <cellStyle name="表示済みのハイパーリンク" xfId="303" builtinId="9" hidden="1"/>
    <cellStyle name="表示済みのハイパーリンク" xfId="305" builtinId="9" hidden="1"/>
    <cellStyle name="表示済みのハイパーリンク" xfId="307" builtinId="9" hidden="1"/>
    <cellStyle name="表示済みのハイパーリンク" xfId="309" builtinId="9" hidden="1"/>
    <cellStyle name="表示済みのハイパーリンク" xfId="311" builtinId="9" hidden="1"/>
    <cellStyle name="表示済みのハイパーリンク" xfId="313" builtinId="9" hidden="1"/>
    <cellStyle name="表示済みのハイパーリンク" xfId="315" builtinId="9" hidden="1"/>
    <cellStyle name="表示済みのハイパーリンク" xfId="317" builtinId="9" hidden="1"/>
    <cellStyle name="表示済みのハイパーリンク" xfId="319" builtinId="9" hidden="1"/>
    <cellStyle name="表示済みのハイパーリンク" xfId="321" builtinId="9" hidden="1"/>
    <cellStyle name="表示済みのハイパーリンク" xfId="323" builtinId="9" hidden="1"/>
    <cellStyle name="表示済みのハイパーリンク" xfId="325" builtinId="9" hidden="1"/>
    <cellStyle name="表示済みのハイパーリンク" xfId="327" builtinId="9" hidden="1"/>
    <cellStyle name="表示済みのハイパーリンク" xfId="329" builtinId="9" hidden="1"/>
    <cellStyle name="表示済みのハイパーリンク" xfId="331" builtinId="9" hidden="1"/>
    <cellStyle name="表示済みのハイパーリンク" xfId="333" builtinId="9" hidden="1"/>
    <cellStyle name="表示済みのハイパーリンク" xfId="335" builtinId="9" hidden="1"/>
    <cellStyle name="表示済みのハイパーリンク" xfId="337" builtinId="9" hidden="1"/>
    <cellStyle name="表示済みのハイパーリンク" xfId="339" builtinId="9" hidden="1"/>
    <cellStyle name="表示済みのハイパーリンク" xfId="341" builtinId="9" hidden="1"/>
    <cellStyle name="表示済みのハイパーリンク" xfId="343" builtinId="9" hidden="1"/>
    <cellStyle name="表示済みのハイパーリンク" xfId="345" builtinId="9" hidden="1"/>
    <cellStyle name="表示済みのハイパーリンク" xfId="347" builtinId="9" hidden="1"/>
    <cellStyle name="表示済みのハイパーリンク" xfId="349" builtinId="9" hidden="1"/>
    <cellStyle name="表示済みのハイパーリンク" xfId="351" builtinId="9" hidden="1"/>
    <cellStyle name="表示済みのハイパーリンク" xfId="353" builtinId="9" hidden="1"/>
    <cellStyle name="表示済みのハイパーリンク" xfId="355" builtinId="9" hidden="1"/>
    <cellStyle name="表示済みのハイパーリンク" xfId="357" builtinId="9" hidden="1"/>
    <cellStyle name="表示済みのハイパーリンク" xfId="359" builtinId="9" hidden="1"/>
    <cellStyle name="表示済みのハイパーリンク" xfId="361" builtinId="9" hidden="1"/>
    <cellStyle name="表示済みのハイパーリンク" xfId="363" builtinId="9" hidden="1"/>
    <cellStyle name="表示済みのハイパーリンク" xfId="365" builtinId="9" hidden="1"/>
    <cellStyle name="表示済みのハイパーリンク" xfId="367" builtinId="9" hidden="1"/>
    <cellStyle name="表示済みのハイパーリンク" xfId="369" builtinId="9" hidden="1"/>
    <cellStyle name="表示済みのハイパーリンク" xfId="371" builtinId="9" hidden="1"/>
    <cellStyle name="表示済みのハイパーリンク" xfId="373" builtinId="9" hidden="1"/>
    <cellStyle name="表示済みのハイパーリンク" xfId="375" builtinId="9" hidden="1"/>
    <cellStyle name="表示済みのハイパーリンク" xfId="377" builtinId="9" hidden="1"/>
    <cellStyle name="表示済みのハイパーリンク" xfId="379" builtinId="9" hidden="1"/>
    <cellStyle name="表示済みのハイパーリンク" xfId="381" builtinId="9" hidden="1"/>
    <cellStyle name="表示済みのハイパーリンク" xfId="383" builtinId="9" hidden="1"/>
    <cellStyle name="表示済みのハイパーリンク" xfId="385" builtinId="9" hidden="1"/>
    <cellStyle name="表示済みのハイパーリンク" xfId="387" builtinId="9" hidden="1"/>
    <cellStyle name="表示済みのハイパーリンク" xfId="389" builtinId="9" hidden="1"/>
    <cellStyle name="表示済みのハイパーリンク" xfId="391" builtinId="9" hidden="1"/>
    <cellStyle name="表示済みのハイパーリンク" xfId="393" builtinId="9" hidden="1"/>
    <cellStyle name="表示済みのハイパーリンク" xfId="395" builtinId="9" hidden="1"/>
    <cellStyle name="表示済みのハイパーリンク" xfId="397" builtinId="9" hidden="1"/>
    <cellStyle name="表示済みのハイパーリンク" xfId="399" builtinId="9" hidden="1"/>
    <cellStyle name="表示済みのハイパーリンク" xfId="401" builtinId="9" hidden="1"/>
    <cellStyle name="表示済みのハイパーリンク" xfId="403" builtinId="9" hidden="1"/>
    <cellStyle name="表示済みのハイパーリンク" xfId="405" builtinId="9" hidden="1"/>
    <cellStyle name="表示済みのハイパーリンク" xfId="407" builtinId="9" hidden="1"/>
    <cellStyle name="表示済みのハイパーリンク" xfId="409" builtinId="9" hidden="1"/>
    <cellStyle name="表示済みのハイパーリンク" xfId="411" builtinId="9" hidden="1"/>
    <cellStyle name="表示済みのハイパーリンク" xfId="413" builtinId="9" hidden="1"/>
    <cellStyle name="表示済みのハイパーリンク" xfId="415" builtinId="9" hidden="1"/>
    <cellStyle name="表示済みのハイパーリンク" xfId="417" builtinId="9" hidden="1"/>
    <cellStyle name="表示済みのハイパーリンク" xfId="419" builtinId="9" hidden="1"/>
    <cellStyle name="表示済みのハイパーリンク" xfId="421" builtinId="9" hidden="1"/>
    <cellStyle name="表示済みのハイパーリンク" xfId="423" builtinId="9" hidden="1"/>
    <cellStyle name="表示済みのハイパーリンク" xfId="425" builtinId="9" hidden="1"/>
    <cellStyle name="表示済みのハイパーリンク" xfId="427" builtinId="9" hidden="1"/>
    <cellStyle name="表示済みのハイパーリンク" xfId="429" builtinId="9" hidden="1"/>
    <cellStyle name="表示済みのハイパーリンク" xfId="431" builtinId="9" hidden="1"/>
    <cellStyle name="表示済みのハイパーリンク" xfId="433" builtinId="9" hidden="1"/>
    <cellStyle name="表示済みのハイパーリンク" xfId="435" builtinId="9" hidden="1"/>
    <cellStyle name="表示済みのハイパーリンク" xfId="437" builtinId="9" hidden="1"/>
    <cellStyle name="表示済みのハイパーリンク" xfId="439" builtinId="9" hidden="1"/>
    <cellStyle name="表示済みのハイパーリンク" xfId="441" builtinId="9" hidden="1"/>
    <cellStyle name="表示済みのハイパーリンク" xfId="443" builtinId="9" hidden="1"/>
    <cellStyle name="表示済みのハイパーリンク" xfId="445" builtinId="9" hidden="1"/>
    <cellStyle name="表示済みのハイパーリンク" xfId="447" builtinId="9" hidden="1"/>
    <cellStyle name="表示済みのハイパーリンク" xfId="449" builtinId="9" hidden="1"/>
    <cellStyle name="表示済みのハイパーリンク" xfId="451" builtinId="9" hidden="1"/>
    <cellStyle name="表示済みのハイパーリンク" xfId="453" builtinId="9" hidden="1"/>
    <cellStyle name="表示済みのハイパーリンク" xfId="455" builtinId="9" hidden="1"/>
    <cellStyle name="表示済みのハイパーリンク" xfId="457" builtinId="9" hidden="1"/>
    <cellStyle name="表示済みのハイパーリンク" xfId="459" builtinId="9" hidden="1"/>
    <cellStyle name="表示済みのハイパーリンク" xfId="461" builtinId="9" hidden="1"/>
    <cellStyle name="表示済みのハイパーリンク" xfId="463" builtinId="9" hidden="1"/>
    <cellStyle name="表示済みのハイパーリンク" xfId="465" builtinId="9" hidden="1"/>
    <cellStyle name="表示済みのハイパーリンク" xfId="467" builtinId="9" hidden="1"/>
    <cellStyle name="表示済みのハイパーリンク" xfId="469" builtinId="9" hidden="1"/>
    <cellStyle name="表示済みのハイパーリンク" xfId="471" builtinId="9" hidden="1"/>
    <cellStyle name="表示済みのハイパーリンク" xfId="473" builtinId="9" hidden="1"/>
    <cellStyle name="表示済みのハイパーリンク" xfId="475" builtinId="9" hidden="1"/>
    <cellStyle name="表示済みのハイパーリンク" xfId="477" builtinId="9" hidden="1"/>
    <cellStyle name="表示済みのハイパーリンク" xfId="479" builtinId="9" hidden="1"/>
    <cellStyle name="表示済みのハイパーリンク" xfId="481" builtinId="9" hidden="1"/>
    <cellStyle name="表示済みのハイパーリンク" xfId="483" builtinId="9" hidden="1"/>
    <cellStyle name="表示済みのハイパーリンク" xfId="485" builtinId="9" hidden="1"/>
    <cellStyle name="表示済みのハイパーリンク" xfId="487" builtinId="9" hidden="1"/>
    <cellStyle name="表示済みのハイパーリンク" xfId="489" builtinId="9" hidden="1"/>
    <cellStyle name="表示済みのハイパーリンク" xfId="491" builtinId="9" hidden="1"/>
    <cellStyle name="表示済みのハイパーリンク" xfId="493" builtinId="9" hidden="1"/>
    <cellStyle name="表示済みのハイパーリンク" xfId="495" builtinId="9" hidden="1"/>
    <cellStyle name="表示済みのハイパーリンク" xfId="497" builtinId="9" hidden="1"/>
    <cellStyle name="表示済みのハイパーリンク" xfId="499" builtinId="9" hidden="1"/>
    <cellStyle name="表示済みのハイパーリンク" xfId="501" builtinId="9" hidden="1"/>
    <cellStyle name="表示済みのハイパーリンク" xfId="503" builtinId="9" hidden="1"/>
    <cellStyle name="表示済みのハイパーリンク" xfId="505" builtinId="9" hidden="1"/>
    <cellStyle name="表示済みのハイパーリンク" xfId="507" builtinId="9" hidden="1"/>
    <cellStyle name="表示済みのハイパーリンク" xfId="509" builtinId="9" hidden="1"/>
    <cellStyle name="表示済みのハイパーリンク" xfId="511" builtinId="9" hidden="1"/>
    <cellStyle name="表示済みのハイパーリンク" xfId="513" builtinId="9" hidden="1"/>
    <cellStyle name="表示済みのハイパーリンク" xfId="515" builtinId="9" hidden="1"/>
    <cellStyle name="表示済みのハイパーリンク" xfId="517" builtinId="9" hidden="1"/>
    <cellStyle name="表示済みのハイパーリンク" xfId="519" builtinId="9" hidden="1"/>
    <cellStyle name="表示済みのハイパーリンク" xfId="521" builtinId="9" hidden="1"/>
    <cellStyle name="表示済みのハイパーリンク" xfId="523" builtinId="9" hidden="1"/>
    <cellStyle name="表示済みのハイパーリンク" xfId="525" builtinId="9" hidden="1"/>
    <cellStyle name="表示済みのハイパーリンク" xfId="527" builtinId="9" hidden="1"/>
    <cellStyle name="表示済みのハイパーリンク" xfId="529" builtinId="9" hidden="1"/>
    <cellStyle name="表示済みのハイパーリンク" xfId="531" builtinId="9" hidden="1"/>
    <cellStyle name="表示済みのハイパーリンク" xfId="533" builtinId="9" hidden="1"/>
    <cellStyle name="表示済みのハイパーリンク" xfId="535" builtinId="9" hidden="1"/>
    <cellStyle name="表示済みのハイパーリンク" xfId="537" builtinId="9" hidden="1"/>
    <cellStyle name="表示済みのハイパーリンク" xfId="539" builtinId="9" hidden="1"/>
    <cellStyle name="表示済みのハイパーリンク" xfId="541" builtinId="9" hidden="1"/>
    <cellStyle name="表示済みのハイパーリンク" xfId="543" builtinId="9" hidden="1"/>
    <cellStyle name="表示済みのハイパーリンク" xfId="545" builtinId="9" hidden="1"/>
    <cellStyle name="表示済みのハイパーリンク" xfId="547" builtinId="9" hidden="1"/>
    <cellStyle name="表示済みのハイパーリンク" xfId="549" builtinId="9" hidden="1"/>
    <cellStyle name="表示済みのハイパーリンク" xfId="551" builtinId="9" hidden="1"/>
    <cellStyle name="表示済みのハイパーリンク" xfId="553" builtinId="9" hidden="1"/>
    <cellStyle name="表示済みのハイパーリンク" xfId="555" builtinId="9" hidden="1"/>
    <cellStyle name="表示済みのハイパーリンク" xfId="557" builtinId="9" hidden="1"/>
    <cellStyle name="表示済みのハイパーリンク" xfId="559" builtinId="9" hidden="1"/>
    <cellStyle name="表示済みのハイパーリンク" xfId="561" builtinId="9" hidden="1"/>
    <cellStyle name="表示済みのハイパーリンク" xfId="563" builtinId="9" hidden="1"/>
    <cellStyle name="表示済みのハイパーリンク" xfId="565" builtinId="9" hidden="1"/>
    <cellStyle name="表示済みのハイパーリンク" xfId="567" builtinId="9" hidden="1"/>
    <cellStyle name="表示済みのハイパーリンク" xfId="569" builtinId="9" hidden="1"/>
    <cellStyle name="表示済みのハイパーリンク" xfId="571" builtinId="9" hidden="1"/>
    <cellStyle name="表示済みのハイパーリンク" xfId="573" builtinId="9" hidden="1"/>
    <cellStyle name="表示済みのハイパーリンク" xfId="575" builtinId="9" hidden="1"/>
    <cellStyle name="表示済みのハイパーリンク" xfId="577" builtinId="9" hidden="1"/>
    <cellStyle name="表示済みのハイパーリンク" xfId="579" builtinId="9" hidden="1"/>
    <cellStyle name="表示済みのハイパーリンク" xfId="581" builtinId="9" hidden="1"/>
    <cellStyle name="表示済みのハイパーリンク" xfId="583" builtinId="9" hidden="1"/>
    <cellStyle name="表示済みのハイパーリンク" xfId="585" builtinId="9" hidden="1"/>
    <cellStyle name="表示済みのハイパーリンク" xfId="587" builtinId="9" hidden="1"/>
    <cellStyle name="表示済みのハイパーリンク" xfId="589" builtinId="9" hidden="1"/>
    <cellStyle name="表示済みのハイパーリンク" xfId="591" builtinId="9" hidden="1"/>
    <cellStyle name="表示済みのハイパーリンク" xfId="593" builtinId="9" hidden="1"/>
    <cellStyle name="表示済みのハイパーリンク" xfId="595" builtinId="9" hidden="1"/>
    <cellStyle name="表示済みのハイパーリンク" xfId="597" builtinId="9" hidden="1"/>
    <cellStyle name="表示済みのハイパーリンク" xfId="599" builtinId="9" hidden="1"/>
    <cellStyle name="表示済みのハイパーリンク" xfId="601" builtinId="9" hidden="1"/>
    <cellStyle name="表示済みのハイパーリンク" xfId="603" builtinId="9" hidden="1"/>
    <cellStyle name="表示済みのハイパーリンク" xfId="605" builtinId="9" hidden="1"/>
    <cellStyle name="表示済みのハイパーリンク" xfId="607" builtinId="9" hidden="1"/>
    <cellStyle name="表示済みのハイパーリンク" xfId="609" builtinId="9" hidden="1"/>
    <cellStyle name="表示済みのハイパーリンク" xfId="611" builtinId="9" hidden="1"/>
    <cellStyle name="表示済みのハイパーリンク" xfId="613" builtinId="9" hidden="1"/>
    <cellStyle name="表示済みのハイパーリンク" xfId="615" builtinId="9" hidden="1"/>
    <cellStyle name="表示済みのハイパーリンク" xfId="617" builtinId="9" hidden="1"/>
    <cellStyle name="表示済みのハイパーリンク" xfId="619" builtinId="9" hidden="1"/>
    <cellStyle name="表示済みのハイパーリンク" xfId="621" builtinId="9" hidden="1"/>
    <cellStyle name="表示済みのハイパーリンク" xfId="623" builtinId="9" hidden="1"/>
    <cellStyle name="表示済みのハイパーリンク" xfId="625" builtinId="9" hidden="1"/>
    <cellStyle name="表示済みのハイパーリンク" xfId="627" builtinId="9" hidden="1"/>
    <cellStyle name="表示済みのハイパーリンク" xfId="629" builtinId="9" hidden="1"/>
    <cellStyle name="表示済みのハイパーリンク" xfId="631" builtinId="9" hidden="1"/>
    <cellStyle name="表示済みのハイパーリンク" xfId="633" builtinId="9" hidden="1"/>
    <cellStyle name="表示済みのハイパーリンク" xfId="635" builtinId="9" hidden="1"/>
    <cellStyle name="表示済みのハイパーリンク" xfId="637" builtinId="9" hidden="1"/>
    <cellStyle name="表示済みのハイパーリンク" xfId="639" builtinId="9" hidden="1"/>
    <cellStyle name="表示済みのハイパーリンク" xfId="641" builtinId="9" hidden="1"/>
    <cellStyle name="表示済みのハイパーリンク" xfId="643" builtinId="9" hidden="1"/>
    <cellStyle name="表示済みのハイパーリンク" xfId="645" builtinId="9" hidden="1"/>
    <cellStyle name="表示済みのハイパーリンク" xfId="647" builtinId="9" hidden="1"/>
    <cellStyle name="表示済みのハイパーリンク" xfId="649" builtinId="9" hidden="1"/>
    <cellStyle name="表示済みのハイパーリンク" xfId="651" builtinId="9" hidden="1"/>
    <cellStyle name="表示済みのハイパーリンク" xfId="653" builtinId="9" hidden="1"/>
    <cellStyle name="表示済みのハイパーリンク" xfId="655" builtinId="9" hidden="1"/>
    <cellStyle name="表示済みのハイパーリンク" xfId="657" builtinId="9" hidden="1"/>
    <cellStyle name="表示済みのハイパーリンク" xfId="659" builtinId="9" hidden="1"/>
    <cellStyle name="表示済みのハイパーリンク" xfId="661" builtinId="9" hidden="1"/>
    <cellStyle name="表示済みのハイパーリンク" xfId="663" builtinId="9" hidden="1"/>
    <cellStyle name="表示済みのハイパーリンク" xfId="665" builtinId="9" hidden="1"/>
    <cellStyle name="表示済みのハイパーリンク" xfId="667" builtinId="9" hidden="1"/>
    <cellStyle name="表示済みのハイパーリンク" xfId="669" builtinId="9" hidden="1"/>
    <cellStyle name="表示済みのハイパーリンク" xfId="671" builtinId="9" hidden="1"/>
    <cellStyle name="表示済みのハイパーリンク" xfId="673" builtinId="9" hidden="1"/>
    <cellStyle name="表示済みのハイパーリンク" xfId="675" builtinId="9" hidden="1"/>
    <cellStyle name="表示済みのハイパーリンク" xfId="677" builtinId="9" hidden="1"/>
    <cellStyle name="表示済みのハイパーリンク" xfId="679" builtinId="9" hidden="1"/>
    <cellStyle name="表示済みのハイパーリンク" xfId="681" builtinId="9" hidden="1"/>
    <cellStyle name="表示済みのハイパーリンク" xfId="683" builtinId="9" hidden="1"/>
    <cellStyle name="表示済みのハイパーリンク" xfId="685" builtinId="9" hidden="1"/>
    <cellStyle name="表示済みのハイパーリンク" xfId="687" builtinId="9" hidden="1"/>
    <cellStyle name="表示済みのハイパーリンク" xfId="689" builtinId="9" hidden="1"/>
    <cellStyle name="表示済みのハイパーリンク" xfId="691" builtinId="9" hidden="1"/>
    <cellStyle name="表示済みのハイパーリンク" xfId="693" builtinId="9" hidden="1"/>
    <cellStyle name="表示済みのハイパーリンク" xfId="695" builtinId="9" hidden="1"/>
    <cellStyle name="表示済みのハイパーリンク" xfId="697" builtinId="9" hidden="1"/>
    <cellStyle name="表示済みのハイパーリンク" xfId="699" builtinId="9" hidden="1"/>
    <cellStyle name="表示済みのハイパーリンク" xfId="701" builtinId="9" hidden="1"/>
    <cellStyle name="表示済みのハイパーリンク" xfId="703" builtinId="9" hidden="1"/>
    <cellStyle name="表示済みのハイパーリンク" xfId="705" builtinId="9" hidden="1"/>
    <cellStyle name="表示済みのハイパーリンク" xfId="707" builtinId="9" hidden="1"/>
    <cellStyle name="表示済みのハイパーリンク" xfId="709" builtinId="9" hidden="1"/>
    <cellStyle name="表示済みのハイパーリンク" xfId="711" builtinId="9" hidden="1"/>
    <cellStyle name="表示済みのハイパーリンク" xfId="713" builtinId="9" hidden="1"/>
    <cellStyle name="表示済みのハイパーリンク" xfId="715" builtinId="9" hidden="1"/>
    <cellStyle name="表示済みのハイパーリンク" xfId="717" builtinId="9" hidden="1"/>
    <cellStyle name="表示済みのハイパーリンク" xfId="719" builtinId="9" hidden="1"/>
    <cellStyle name="表示済みのハイパーリンク" xfId="721" builtinId="9" hidden="1"/>
    <cellStyle name="表示済みのハイパーリンク" xfId="723" builtinId="9" hidden="1"/>
    <cellStyle name="表示済みのハイパーリンク" xfId="725" builtinId="9" hidden="1"/>
    <cellStyle name="表示済みのハイパーリンク" xfId="727" builtinId="9" hidden="1"/>
    <cellStyle name="表示済みのハイパーリンク" xfId="729" builtinId="9" hidden="1"/>
    <cellStyle name="表示済みのハイパーリンク" xfId="731" builtinId="9" hidden="1"/>
    <cellStyle name="表示済みのハイパーリンク" xfId="733" builtinId="9" hidden="1"/>
    <cellStyle name="表示済みのハイパーリンク" xfId="735" builtinId="9" hidden="1"/>
    <cellStyle name="表示済みのハイパーリンク" xfId="737" builtinId="9" hidden="1"/>
    <cellStyle name="表示済みのハイパーリンク" xfId="739" builtinId="9" hidden="1"/>
    <cellStyle name="表示済みのハイパーリンク" xfId="741" builtinId="9" hidden="1"/>
    <cellStyle name="表示済みのハイパーリンク" xfId="743" builtinId="9" hidden="1"/>
    <cellStyle name="表示済みのハイパーリンク" xfId="745" builtinId="9" hidden="1"/>
    <cellStyle name="表示済みのハイパーリンク" xfId="747" builtinId="9" hidden="1"/>
    <cellStyle name="表示済みのハイパーリンク" xfId="749" builtinId="9" hidden="1"/>
    <cellStyle name="表示済みのハイパーリンク" xfId="751" builtinId="9" hidden="1"/>
    <cellStyle name="表示済みのハイパーリンク" xfId="753" builtinId="9" hidden="1"/>
    <cellStyle name="表示済みのハイパーリンク" xfId="755" builtinId="9" hidden="1"/>
    <cellStyle name="表示済みのハイパーリンク" xfId="757" builtinId="9" hidden="1"/>
    <cellStyle name="表示済みのハイパーリンク" xfId="759" builtinId="9" hidden="1"/>
    <cellStyle name="表示済みのハイパーリンク" xfId="761" builtinId="9" hidden="1"/>
    <cellStyle name="表示済みのハイパーリンク" xfId="763" builtinId="9" hidden="1"/>
    <cellStyle name="表示済みのハイパーリンク" xfId="765" builtinId="9" hidden="1"/>
    <cellStyle name="表示済みのハイパーリンク" xfId="767" builtinId="9" hidden="1"/>
    <cellStyle name="表示済みのハイパーリンク" xfId="769" builtinId="9" hidden="1"/>
    <cellStyle name="表示済みのハイパーリンク" xfId="771" builtinId="9" hidden="1"/>
    <cellStyle name="表示済みのハイパーリンク" xfId="773" builtinId="9" hidden="1"/>
    <cellStyle name="表示済みのハイパーリンク" xfId="775" builtinId="9" hidden="1"/>
    <cellStyle name="表示済みのハイパーリンク" xfId="777" builtinId="9" hidden="1"/>
    <cellStyle name="表示済みのハイパーリンク" xfId="779" builtinId="9" hidden="1"/>
    <cellStyle name="表示済みのハイパーリンク" xfId="781" builtinId="9" hidden="1"/>
    <cellStyle name="表示済みのハイパーリンク" xfId="783" builtinId="9" hidden="1"/>
    <cellStyle name="表示済みのハイパーリンク" xfId="785" builtinId="9" hidden="1"/>
    <cellStyle name="表示済みのハイパーリンク" xfId="787" builtinId="9" hidden="1"/>
    <cellStyle name="表示済みのハイパーリンク" xfId="789" builtinId="9" hidden="1"/>
    <cellStyle name="表示済みのハイパーリンク" xfId="791" builtinId="9" hidden="1"/>
    <cellStyle name="表示済みのハイパーリンク" xfId="793" builtinId="9" hidden="1"/>
    <cellStyle name="表示済みのハイパーリンク" xfId="795" builtinId="9" hidden="1"/>
    <cellStyle name="表示済みのハイパーリンク" xfId="797" builtinId="9" hidden="1"/>
    <cellStyle name="表示済みのハイパーリンク" xfId="799" builtinId="9" hidden="1"/>
    <cellStyle name="表示済みのハイパーリンク" xfId="801" builtinId="9" hidden="1"/>
    <cellStyle name="表示済みのハイパーリンク" xfId="803" builtinId="9" hidden="1"/>
    <cellStyle name="表示済みのハイパーリンク" xfId="805" builtinId="9" hidden="1"/>
    <cellStyle name="表示済みのハイパーリンク" xfId="807" builtinId="9" hidden="1"/>
    <cellStyle name="表示済みのハイパーリンク" xfId="809" builtinId="9" hidden="1"/>
    <cellStyle name="表示済みのハイパーリンク" xfId="811" builtinId="9" hidden="1"/>
    <cellStyle name="表示済みのハイパーリンク" xfId="813" builtinId="9" hidden="1"/>
    <cellStyle name="表示済みのハイパーリンク" xfId="815" builtinId="9" hidden="1"/>
    <cellStyle name="表示済みのハイパーリンク" xfId="817" builtinId="9" hidden="1"/>
    <cellStyle name="表示済みのハイパーリンク" xfId="819" builtinId="9" hidden="1"/>
    <cellStyle name="表示済みのハイパーリンク" xfId="821" builtinId="9" hidden="1"/>
    <cellStyle name="表示済みのハイパーリンク" xfId="823" builtinId="9" hidden="1"/>
    <cellStyle name="表示済みのハイパーリンク" xfId="825" builtinId="9" hidden="1"/>
    <cellStyle name="表示済みのハイパーリンク" xfId="827" builtinId="9" hidden="1"/>
    <cellStyle name="表示済みのハイパーリンク" xfId="829" builtinId="9" hidden="1"/>
    <cellStyle name="表示済みのハイパーリンク" xfId="831" builtinId="9" hidden="1"/>
    <cellStyle name="表示済みのハイパーリンク" xfId="833" builtinId="9" hidden="1"/>
    <cellStyle name="表示済みのハイパーリンク" xfId="835" builtinId="9" hidden="1"/>
    <cellStyle name="表示済みのハイパーリンク" xfId="837" builtinId="9" hidden="1"/>
    <cellStyle name="表示済みのハイパーリンク" xfId="839" builtinId="9" hidden="1"/>
    <cellStyle name="表示済みのハイパーリンク" xfId="841" builtinId="9" hidden="1"/>
    <cellStyle name="表示済みのハイパーリンク" xfId="843" builtinId="9" hidden="1"/>
    <cellStyle name="表示済みのハイパーリンク" xfId="845" builtinId="9" hidden="1"/>
    <cellStyle name="表示済みのハイパーリンク" xfId="847" builtinId="9" hidden="1"/>
    <cellStyle name="表示済みのハイパーリンク" xfId="849" builtinId="9" hidden="1"/>
    <cellStyle name="表示済みのハイパーリンク" xfId="851" builtinId="9" hidden="1"/>
    <cellStyle name="表示済みのハイパーリンク" xfId="853" builtinId="9" hidden="1"/>
    <cellStyle name="表示済みのハイパーリンク" xfId="855" builtinId="9" hidden="1"/>
    <cellStyle name="表示済みのハイパーリンク" xfId="857" builtinId="9" hidden="1"/>
    <cellStyle name="表示済みのハイパーリンク" xfId="859" builtinId="9" hidden="1"/>
    <cellStyle name="表示済みのハイパーリンク" xfId="861" builtinId="9" hidden="1"/>
    <cellStyle name="表示済みのハイパーリンク" xfId="863" builtinId="9" hidden="1"/>
    <cellStyle name="表示済みのハイパーリンク" xfId="865" builtinId="9" hidden="1"/>
    <cellStyle name="表示済みのハイパーリンク" xfId="867" builtinId="9" hidden="1"/>
    <cellStyle name="表示済みのハイパーリンク" xfId="869" builtinId="9" hidden="1"/>
    <cellStyle name="表示済みのハイパーリンク" xfId="871" builtinId="9" hidden="1"/>
    <cellStyle name="表示済みのハイパーリンク" xfId="873" builtinId="9" hidden="1"/>
    <cellStyle name="表示済みのハイパーリンク" xfId="875" builtinId="9" hidden="1"/>
    <cellStyle name="表示済みのハイパーリンク" xfId="877" builtinId="9" hidden="1"/>
    <cellStyle name="表示済みのハイパーリンク" xfId="879" builtinId="9" hidden="1"/>
    <cellStyle name="表示済みのハイパーリンク" xfId="881" builtinId="9" hidden="1"/>
    <cellStyle name="表示済みのハイパーリンク" xfId="883" builtinId="9" hidden="1"/>
    <cellStyle name="表示済みのハイパーリンク" xfId="885" builtinId="9" hidden="1"/>
    <cellStyle name="表示済みのハイパーリンク" xfId="887" builtinId="9" hidden="1"/>
    <cellStyle name="表示済みのハイパーリンク" xfId="889" builtinId="9" hidden="1"/>
    <cellStyle name="表示済みのハイパーリンク" xfId="891" builtinId="9" hidden="1"/>
    <cellStyle name="表示済みのハイパーリンク" xfId="893" builtinId="9" hidden="1"/>
    <cellStyle name="表示済みのハイパーリンク" xfId="895" builtinId="9" hidden="1"/>
    <cellStyle name="表示済みのハイパーリンク" xfId="897" builtinId="9" hidden="1"/>
    <cellStyle name="表示済みのハイパーリンク" xfId="899" builtinId="9" hidden="1"/>
    <cellStyle name="表示済みのハイパーリンク" xfId="901" builtinId="9" hidden="1"/>
    <cellStyle name="表示済みのハイパーリンク" xfId="903" builtinId="9" hidden="1"/>
    <cellStyle name="表示済みのハイパーリンク" xfId="905" builtinId="9" hidden="1"/>
    <cellStyle name="表示済みのハイパーリンク" xfId="907" builtinId="9" hidden="1"/>
    <cellStyle name="表示済みのハイパーリンク" xfId="909" builtinId="9" hidden="1"/>
    <cellStyle name="表示済みのハイパーリンク" xfId="911" builtinId="9" hidden="1"/>
    <cellStyle name="表示済みのハイパーリンク" xfId="913" builtinId="9" hidden="1"/>
    <cellStyle name="表示済みのハイパーリンク" xfId="915" builtinId="9" hidden="1"/>
    <cellStyle name="表示済みのハイパーリンク" xfId="917" builtinId="9" hidden="1"/>
    <cellStyle name="表示済みのハイパーリンク" xfId="919" builtinId="9" hidden="1"/>
    <cellStyle name="表示済みのハイパーリンク" xfId="921" builtinId="9" hidden="1"/>
    <cellStyle name="表示済みのハイパーリンク" xfId="923" builtinId="9" hidden="1"/>
    <cellStyle name="表示済みのハイパーリンク" xfId="925" builtinId="9" hidden="1"/>
    <cellStyle name="表示済みのハイパーリンク" xfId="927" builtinId="9" hidden="1"/>
    <cellStyle name="表示済みのハイパーリンク" xfId="929" builtinId="9" hidden="1"/>
    <cellStyle name="表示済みのハイパーリンク" xfId="931" builtinId="9" hidden="1"/>
    <cellStyle name="表示済みのハイパーリンク" xfId="933" builtinId="9" hidden="1"/>
    <cellStyle name="表示済みのハイパーリンク" xfId="935" builtinId="9" hidden="1"/>
    <cellStyle name="表示済みのハイパーリンク" xfId="937" builtinId="9" hidden="1"/>
    <cellStyle name="表示済みのハイパーリンク" xfId="939" builtinId="9" hidden="1"/>
    <cellStyle name="表示済みのハイパーリンク" xfId="941" builtinId="9" hidden="1"/>
    <cellStyle name="表示済みのハイパーリンク" xfId="943" builtinId="9" hidden="1"/>
    <cellStyle name="表示済みのハイパーリンク" xfId="945" builtinId="9" hidden="1"/>
    <cellStyle name="表示済みのハイパーリンク" xfId="947" builtinId="9" hidden="1"/>
    <cellStyle name="表示済みのハイパーリンク" xfId="949" builtinId="9" hidden="1"/>
    <cellStyle name="表示済みのハイパーリンク" xfId="951" builtinId="9" hidden="1"/>
    <cellStyle name="表示済みのハイパーリンク" xfId="953" builtinId="9" hidden="1"/>
    <cellStyle name="表示済みのハイパーリンク" xfId="955" builtinId="9" hidden="1"/>
    <cellStyle name="表示済みのハイパーリンク" xfId="957" builtinId="9" hidden="1"/>
    <cellStyle name="表示済みのハイパーリンク" xfId="959" builtinId="9" hidden="1"/>
    <cellStyle name="表示済みのハイパーリンク" xfId="961" builtinId="9" hidden="1"/>
    <cellStyle name="表示済みのハイパーリンク" xfId="963" builtinId="9" hidden="1"/>
    <cellStyle name="表示済みのハイパーリンク" xfId="965" builtinId="9" hidden="1"/>
    <cellStyle name="表示済みのハイパーリンク" xfId="967" builtinId="9" hidden="1"/>
    <cellStyle name="表示済みのハイパーリンク" xfId="969" builtinId="9" hidden="1"/>
    <cellStyle name="表示済みのハイパーリンク" xfId="971" builtinId="9" hidden="1"/>
    <cellStyle name="表示済みのハイパーリンク" xfId="973" builtinId="9" hidden="1"/>
    <cellStyle name="表示済みのハイパーリンク" xfId="975" builtinId="9" hidden="1"/>
    <cellStyle name="表示済みのハイパーリンク" xfId="977" builtinId="9" hidden="1"/>
    <cellStyle name="表示済みのハイパーリンク" xfId="979" builtinId="9" hidden="1"/>
    <cellStyle name="表示済みのハイパーリンク" xfId="981" builtinId="9" hidden="1"/>
    <cellStyle name="表示済みのハイパーリンク" xfId="983" builtinId="9" hidden="1"/>
    <cellStyle name="表示済みのハイパーリンク" xfId="985" builtinId="9" hidden="1"/>
    <cellStyle name="表示済みのハイパーリンク" xfId="987" builtinId="9" hidden="1"/>
    <cellStyle name="表示済みのハイパーリンク" xfId="989" builtinId="9" hidden="1"/>
    <cellStyle name="表示済みのハイパーリンク" xfId="991" builtinId="9" hidden="1"/>
    <cellStyle name="表示済みのハイパーリンク" xfId="993" builtinId="9" hidden="1"/>
    <cellStyle name="表示済みのハイパーリンク" xfId="995" builtinId="9" hidden="1"/>
    <cellStyle name="表示済みのハイパーリンク" xfId="997" builtinId="9" hidden="1"/>
    <cellStyle name="表示済みのハイパーリンク" xfId="999" builtinId="9" hidden="1"/>
    <cellStyle name="表示済みのハイパーリンク" xfId="1001" builtinId="9" hidden="1"/>
    <cellStyle name="表示済みのハイパーリンク" xfId="1003" builtinId="9" hidden="1"/>
    <cellStyle name="表示済みのハイパーリンク" xfId="1005" builtinId="9" hidden="1"/>
    <cellStyle name="表示済みのハイパーリンク" xfId="1007" builtinId="9" hidden="1"/>
    <cellStyle name="表示済みのハイパーリンク" xfId="1009" builtinId="9" hidden="1"/>
    <cellStyle name="表示済みのハイパーリンク" xfId="1011" builtinId="9" hidden="1"/>
    <cellStyle name="表示済みのハイパーリンク" xfId="1013" builtinId="9" hidden="1"/>
    <cellStyle name="表示済みのハイパーリンク" xfId="1015" builtinId="9" hidden="1"/>
    <cellStyle name="表示済みのハイパーリンク" xfId="1017" builtinId="9" hidden="1"/>
    <cellStyle name="表示済みのハイパーリンク" xfId="1019" builtinId="9" hidden="1"/>
    <cellStyle name="表示済みのハイパーリンク" xfId="1021" builtinId="9" hidden="1"/>
    <cellStyle name="表示済みのハイパーリンク" xfId="1023" builtinId="9" hidden="1"/>
    <cellStyle name="表示済みのハイパーリンク" xfId="1025" builtinId="9" hidden="1"/>
    <cellStyle name="表示済みのハイパーリンク" xfId="1027" builtinId="9" hidden="1"/>
    <cellStyle name="表示済みのハイパーリンク" xfId="1029" builtinId="9" hidden="1"/>
    <cellStyle name="表示済みのハイパーリンク" xfId="1031" builtinId="9" hidden="1"/>
    <cellStyle name="表示済みのハイパーリンク" xfId="1033" builtinId="9" hidden="1"/>
    <cellStyle name="表示済みのハイパーリンク" xfId="1035" builtinId="9" hidden="1"/>
    <cellStyle name="表示済みのハイパーリンク" xfId="1037" builtinId="9" hidden="1"/>
    <cellStyle name="表示済みのハイパーリンク" xfId="1039" builtinId="9" hidden="1"/>
    <cellStyle name="表示済みのハイパーリンク" xfId="1041" builtinId="9" hidden="1"/>
    <cellStyle name="表示済みのハイパーリンク" xfId="1043" builtinId="9" hidden="1"/>
    <cellStyle name="表示済みのハイパーリンク" xfId="1045" builtinId="9" hidden="1"/>
    <cellStyle name="表示済みのハイパーリンク" xfId="1047" builtinId="9" hidden="1"/>
    <cellStyle name="表示済みのハイパーリンク" xfId="1049" builtinId="9" hidden="1"/>
    <cellStyle name="表示済みのハイパーリンク" xfId="1051" builtinId="9" hidden="1"/>
    <cellStyle name="表示済みのハイパーリンク" xfId="1053" builtinId="9" hidden="1"/>
    <cellStyle name="表示済みのハイパーリンク" xfId="1055" builtinId="9" hidden="1"/>
    <cellStyle name="表示済みのハイパーリンク" xfId="1057" builtinId="9" hidden="1"/>
    <cellStyle name="表示済みのハイパーリンク" xfId="1059" builtinId="9" hidden="1"/>
    <cellStyle name="表示済みのハイパーリンク" xfId="1061" builtinId="9" hidden="1"/>
    <cellStyle name="表示済みのハイパーリンク" xfId="1063" builtinId="9" hidden="1"/>
    <cellStyle name="表示済みのハイパーリンク" xfId="1065" builtinId="9" hidden="1"/>
    <cellStyle name="表示済みのハイパーリンク" xfId="1067" builtinId="9" hidden="1"/>
    <cellStyle name="表示済みのハイパーリンク" xfId="1069" builtinId="9" hidden="1"/>
    <cellStyle name="表示済みのハイパーリンク" xfId="1071" builtinId="9" hidden="1"/>
    <cellStyle name="表示済みのハイパーリンク" xfId="1073" builtinId="9" hidden="1"/>
    <cellStyle name="表示済みのハイパーリンク" xfId="1075" builtinId="9" hidden="1"/>
    <cellStyle name="表示済みのハイパーリンク" xfId="1077" builtinId="9" hidden="1"/>
    <cellStyle name="表示済みのハイパーリンク" xfId="1079" builtinId="9" hidden="1"/>
    <cellStyle name="表示済みのハイパーリンク" xfId="1081" builtinId="9" hidden="1"/>
    <cellStyle name="表示済みのハイパーリンク" xfId="1083" builtinId="9" hidden="1"/>
    <cellStyle name="表示済みのハイパーリンク" xfId="1085" builtinId="9" hidden="1"/>
    <cellStyle name="表示済みのハイパーリンク" xfId="1087" builtinId="9" hidden="1"/>
    <cellStyle name="表示済みのハイパーリンク" xfId="1089" builtinId="9" hidden="1"/>
    <cellStyle name="表示済みのハイパーリンク" xfId="1091" builtinId="9" hidden="1"/>
    <cellStyle name="表示済みのハイパーリンク" xfId="1093" builtinId="9" hidden="1"/>
    <cellStyle name="表示済みのハイパーリンク" xfId="1095" builtinId="9" hidden="1"/>
    <cellStyle name="表示済みのハイパーリンク" xfId="1097" builtinId="9" hidden="1"/>
    <cellStyle name="表示済みのハイパーリンク" xfId="1099" builtinId="9" hidden="1"/>
    <cellStyle name="表示済みのハイパーリンク" xfId="1101" builtinId="9" hidden="1"/>
    <cellStyle name="表示済みのハイパーリンク" xfId="1103" builtinId="9" hidden="1"/>
    <cellStyle name="表示済みのハイパーリンク" xfId="1105" builtinId="9" hidden="1"/>
    <cellStyle name="表示済みのハイパーリンク" xfId="1107" builtinId="9" hidden="1"/>
    <cellStyle name="表示済みのハイパーリンク" xfId="1109" builtinId="9" hidden="1"/>
    <cellStyle name="表示済みのハイパーリンク" xfId="1111" builtinId="9" hidden="1"/>
    <cellStyle name="表示済みのハイパーリンク" xfId="1113" builtinId="9" hidden="1"/>
    <cellStyle name="表示済みのハイパーリンク" xfId="1115" builtinId="9" hidden="1"/>
    <cellStyle name="表示済みのハイパーリンク" xfId="1117" builtinId="9" hidden="1"/>
    <cellStyle name="表示済みのハイパーリンク" xfId="1119" builtinId="9" hidden="1"/>
    <cellStyle name="表示済みのハイパーリンク" xfId="1121" builtinId="9" hidden="1"/>
    <cellStyle name="表示済みのハイパーリンク" xfId="1123" builtinId="9" hidden="1"/>
    <cellStyle name="表示済みのハイパーリンク" xfId="1125" builtinId="9" hidden="1"/>
    <cellStyle name="表示済みのハイパーリンク" xfId="1127" builtinId="9" hidden="1"/>
    <cellStyle name="表示済みのハイパーリンク" xfId="1129" builtinId="9" hidden="1"/>
    <cellStyle name="表示済みのハイパーリンク" xfId="1131" builtinId="9" hidden="1"/>
    <cellStyle name="表示済みのハイパーリンク" xfId="1133" builtinId="9" hidden="1"/>
    <cellStyle name="表示済みのハイパーリンク" xfId="1135" builtinId="9" hidden="1"/>
    <cellStyle name="表示済みのハイパーリンク" xfId="1137" builtinId="9" hidden="1"/>
    <cellStyle name="表示済みのハイパーリンク" xfId="1139" builtinId="9" hidden="1"/>
    <cellStyle name="表示済みのハイパーリンク" xfId="1141" builtinId="9" hidden="1"/>
    <cellStyle name="表示済みのハイパーリンク" xfId="1143" builtinId="9" hidden="1"/>
    <cellStyle name="表示済みのハイパーリンク" xfId="1145" builtinId="9" hidden="1"/>
    <cellStyle name="表示済みのハイパーリンク" xfId="1147" builtinId="9" hidden="1"/>
    <cellStyle name="表示済みのハイパーリンク" xfId="1149" builtinId="9" hidden="1"/>
    <cellStyle name="表示済みのハイパーリンク" xfId="1151" builtinId="9" hidden="1"/>
    <cellStyle name="表示済みのハイパーリンク" xfId="1153" builtinId="9" hidden="1"/>
    <cellStyle name="表示済みのハイパーリンク" xfId="1155" builtinId="9" hidden="1"/>
    <cellStyle name="表示済みのハイパーリンク" xfId="1157" builtinId="9" hidden="1"/>
    <cellStyle name="表示済みのハイパーリンク" xfId="1159" builtinId="9" hidden="1"/>
    <cellStyle name="表示済みのハイパーリンク" xfId="1161" builtinId="9" hidden="1"/>
    <cellStyle name="表示済みのハイパーリンク" xfId="1163" builtinId="9" hidden="1"/>
    <cellStyle name="表示済みのハイパーリンク" xfId="1165" builtinId="9" hidden="1"/>
    <cellStyle name="表示済みのハイパーリンク" xfId="1167" builtinId="9" hidden="1"/>
    <cellStyle name="表示済みのハイパーリンク" xfId="1169" builtinId="9" hidden="1"/>
    <cellStyle name="表示済みのハイパーリンク" xfId="1171" builtinId="9" hidden="1"/>
    <cellStyle name="表示済みのハイパーリンク" xfId="1173" builtinId="9" hidden="1"/>
    <cellStyle name="表示済みのハイパーリンク" xfId="1175" builtinId="9" hidden="1"/>
    <cellStyle name="表示済みのハイパーリンク" xfId="1177" builtinId="9" hidden="1"/>
    <cellStyle name="表示済みのハイパーリンク" xfId="1179" builtinId="9" hidden="1"/>
    <cellStyle name="表示済みのハイパーリンク" xfId="1181" builtinId="9" hidden="1"/>
    <cellStyle name="表示済みのハイパーリンク" xfId="1183" builtinId="9" hidden="1"/>
    <cellStyle name="表示済みのハイパーリンク" xfId="1185" builtinId="9" hidden="1"/>
    <cellStyle name="表示済みのハイパーリンク" xfId="1187" builtinId="9" hidden="1"/>
    <cellStyle name="表示済みのハイパーリンク" xfId="1189" builtinId="9" hidden="1"/>
    <cellStyle name="表示済みのハイパーリンク" xfId="1191" builtinId="9" hidden="1"/>
    <cellStyle name="表示済みのハイパーリンク" xfId="1193" builtinId="9" hidden="1"/>
    <cellStyle name="表示済みのハイパーリンク" xfId="1195" builtinId="9" hidden="1"/>
    <cellStyle name="表示済みのハイパーリンク" xfId="1197" builtinId="9" hidden="1"/>
    <cellStyle name="表示済みのハイパーリンク" xfId="1199" builtinId="9" hidden="1"/>
    <cellStyle name="表示済みのハイパーリンク" xfId="1201" builtinId="9" hidden="1"/>
    <cellStyle name="表示済みのハイパーリンク" xfId="1203" builtinId="9" hidden="1"/>
    <cellStyle name="表示済みのハイパーリンク" xfId="1205" builtinId="9" hidden="1"/>
    <cellStyle name="表示済みのハイパーリンク" xfId="1207" builtinId="9" hidden="1"/>
    <cellStyle name="表示済みのハイパーリンク" xfId="1209" builtinId="9" hidden="1"/>
    <cellStyle name="表示済みのハイパーリンク" xfId="1211" builtinId="9" hidden="1"/>
    <cellStyle name="表示済みのハイパーリンク" xfId="1213" builtinId="9" hidden="1"/>
    <cellStyle name="表示済みのハイパーリンク" xfId="1215" builtinId="9" hidden="1"/>
    <cellStyle name="表示済みのハイパーリンク" xfId="1217" builtinId="9" hidden="1"/>
    <cellStyle name="表示済みのハイパーリンク" xfId="1219" builtinId="9" hidden="1"/>
    <cellStyle name="表示済みのハイパーリンク" xfId="1221" builtinId="9" hidden="1"/>
    <cellStyle name="表示済みのハイパーリンク" xfId="1223" builtinId="9" hidden="1"/>
    <cellStyle name="表示済みのハイパーリンク" xfId="1225" builtinId="9" hidden="1"/>
    <cellStyle name="表示済みのハイパーリンク" xfId="1227" builtinId="9" hidden="1"/>
    <cellStyle name="表示済みのハイパーリンク" xfId="1229" builtinId="9" hidden="1"/>
    <cellStyle name="表示済みのハイパーリンク" xfId="1231" builtinId="9" hidden="1"/>
    <cellStyle name="表示済みのハイパーリンク" xfId="1233" builtinId="9" hidden="1"/>
    <cellStyle name="表示済みのハイパーリンク" xfId="1235" builtinId="9" hidden="1"/>
    <cellStyle name="表示済みのハイパーリンク" xfId="1237" builtinId="9" hidden="1"/>
    <cellStyle name="表示済みのハイパーリンク" xfId="1239" builtinId="9" hidden="1"/>
    <cellStyle name="表示済みのハイパーリンク" xfId="1241" builtinId="9" hidden="1"/>
    <cellStyle name="表示済みのハイパーリンク" xfId="1243" builtinId="9" hidden="1"/>
    <cellStyle name="表示済みのハイパーリンク" xfId="1245" builtinId="9" hidden="1"/>
    <cellStyle name="表示済みのハイパーリンク" xfId="1247" builtinId="9" hidden="1"/>
    <cellStyle name="表示済みのハイパーリンク" xfId="1249" builtinId="9" hidden="1"/>
    <cellStyle name="表示済みのハイパーリンク" xfId="1251" builtinId="9" hidden="1"/>
    <cellStyle name="表示済みのハイパーリンク" xfId="1253" builtinId="9" hidden="1"/>
    <cellStyle name="表示済みのハイパーリンク" xfId="1255" builtinId="9" hidden="1"/>
    <cellStyle name="表示済みのハイパーリンク" xfId="1257" builtinId="9" hidden="1"/>
    <cellStyle name="表示済みのハイパーリンク" xfId="1259" builtinId="9" hidden="1"/>
    <cellStyle name="表示済みのハイパーリンク" xfId="1261" builtinId="9" hidden="1"/>
    <cellStyle name="表示済みのハイパーリンク" xfId="1263" builtinId="9" hidden="1"/>
    <cellStyle name="表示済みのハイパーリンク" xfId="1265" builtinId="9" hidden="1"/>
    <cellStyle name="表示済みのハイパーリンク" xfId="1267" builtinId="9" hidden="1"/>
    <cellStyle name="表示済みのハイパーリンク" xfId="1269" builtinId="9" hidden="1"/>
    <cellStyle name="表示済みのハイパーリンク" xfId="1271" builtinId="9" hidden="1"/>
    <cellStyle name="表示済みのハイパーリンク" xfId="1273" builtinId="9" hidden="1"/>
    <cellStyle name="表示済みのハイパーリンク" xfId="1275" builtinId="9" hidden="1"/>
    <cellStyle name="表示済みのハイパーリンク" xfId="1277" builtinId="9" hidden="1"/>
    <cellStyle name="表示済みのハイパーリンク" xfId="1279" builtinId="9" hidden="1"/>
    <cellStyle name="表示済みのハイパーリンク" xfId="1281" builtinId="9" hidden="1"/>
    <cellStyle name="表示済みのハイパーリンク" xfId="1283" builtinId="9" hidden="1"/>
    <cellStyle name="表示済みのハイパーリンク" xfId="1285" builtinId="9" hidden="1"/>
    <cellStyle name="表示済みのハイパーリンク" xfId="1287" builtinId="9" hidden="1"/>
    <cellStyle name="表示済みのハイパーリンク" xfId="1289" builtinId="9" hidden="1"/>
    <cellStyle name="表示済みのハイパーリンク" xfId="1291" builtinId="9" hidden="1"/>
    <cellStyle name="表示済みのハイパーリンク" xfId="1293" builtinId="9" hidden="1"/>
    <cellStyle name="表示済みのハイパーリンク" xfId="1295" builtinId="9" hidden="1"/>
    <cellStyle name="表示済みのハイパーリンク" xfId="1297" builtinId="9" hidden="1"/>
    <cellStyle name="表示済みのハイパーリンク" xfId="1299" builtinId="9" hidden="1"/>
    <cellStyle name="表示済みのハイパーリンク" xfId="1301" builtinId="9" hidden="1"/>
    <cellStyle name="表示済みのハイパーリンク" xfId="1303" builtinId="9" hidden="1"/>
    <cellStyle name="表示済みのハイパーリンク" xfId="1305" builtinId="9" hidden="1"/>
    <cellStyle name="表示済みのハイパーリンク" xfId="1307" builtinId="9" hidden="1"/>
    <cellStyle name="表示済みのハイパーリンク" xfId="1309" builtinId="9" hidden="1"/>
    <cellStyle name="表示済みのハイパーリンク" xfId="1311" builtinId="9" hidden="1"/>
    <cellStyle name="表示済みのハイパーリンク" xfId="1313" builtinId="9" hidden="1"/>
    <cellStyle name="表示済みのハイパーリンク" xfId="1315" builtinId="9" hidden="1"/>
    <cellStyle name="表示済みのハイパーリンク" xfId="1317" builtinId="9" hidden="1"/>
    <cellStyle name="表示済みのハイパーリンク" xfId="1319" builtinId="9" hidden="1"/>
    <cellStyle name="表示済みのハイパーリンク" xfId="1321" builtinId="9" hidden="1"/>
    <cellStyle name="表示済みのハイパーリンク" xfId="1323" builtinId="9" hidden="1"/>
    <cellStyle name="表示済みのハイパーリンク" xfId="1325" builtinId="9" hidden="1"/>
    <cellStyle name="表示済みのハイパーリンク" xfId="1327" builtinId="9" hidden="1"/>
    <cellStyle name="表示済みのハイパーリンク" xfId="1329" builtinId="9" hidden="1"/>
    <cellStyle name="表示済みのハイパーリンク" xfId="1331" builtinId="9" hidden="1"/>
    <cellStyle name="表示済みのハイパーリンク" xfId="1333" builtinId="9" hidden="1"/>
    <cellStyle name="表示済みのハイパーリンク" xfId="1335" builtinId="9" hidden="1"/>
    <cellStyle name="表示済みのハイパーリンク" xfId="1337" builtinId="9" hidden="1"/>
    <cellStyle name="表示済みのハイパーリンク" xfId="1339" builtinId="9" hidden="1"/>
    <cellStyle name="表示済みのハイパーリンク" xfId="1341" builtinId="9" hidden="1"/>
    <cellStyle name="表示済みのハイパーリンク" xfId="1343" builtinId="9" hidden="1"/>
    <cellStyle name="表示済みのハイパーリンク" xfId="1345" builtinId="9" hidden="1"/>
    <cellStyle name="表示済みのハイパーリンク" xfId="1347" builtinId="9" hidden="1"/>
    <cellStyle name="表示済みのハイパーリンク" xfId="1349" builtinId="9" hidden="1"/>
    <cellStyle name="表示済みのハイパーリンク" xfId="1351" builtinId="9" hidden="1"/>
    <cellStyle name="表示済みのハイパーリンク" xfId="1353" builtinId="9" hidden="1"/>
    <cellStyle name="表示済みのハイパーリンク" xfId="1355" builtinId="9" hidden="1"/>
    <cellStyle name="表示済みのハイパーリンク" xfId="1357" builtinId="9" hidden="1"/>
    <cellStyle name="表示済みのハイパーリンク" xfId="1359" builtinId="9" hidden="1"/>
    <cellStyle name="表示済みのハイパーリンク" xfId="1361" builtinId="9" hidden="1"/>
    <cellStyle name="表示済みのハイパーリンク" xfId="1363" builtinId="9" hidden="1"/>
    <cellStyle name="表示済みのハイパーリンク" xfId="1365" builtinId="9" hidden="1"/>
    <cellStyle name="表示済みのハイパーリンク" xfId="1367" builtinId="9" hidden="1"/>
    <cellStyle name="表示済みのハイパーリンク" xfId="1369" builtinId="9" hidden="1"/>
    <cellStyle name="表示済みのハイパーリンク" xfId="1371" builtinId="9" hidden="1"/>
    <cellStyle name="表示済みのハイパーリンク" xfId="1373" builtinId="9" hidden="1"/>
    <cellStyle name="表示済みのハイパーリンク" xfId="1375" builtinId="9" hidden="1"/>
    <cellStyle name="表示済みのハイパーリンク" xfId="1377" builtinId="9" hidden="1"/>
    <cellStyle name="表示済みのハイパーリンク" xfId="1379" builtinId="9" hidden="1"/>
    <cellStyle name="表示済みのハイパーリンク" xfId="1381" builtinId="9" hidden="1"/>
    <cellStyle name="表示済みのハイパーリンク" xfId="1383" builtinId="9" hidden="1"/>
    <cellStyle name="表示済みのハイパーリンク" xfId="1385" builtinId="9" hidden="1"/>
    <cellStyle name="表示済みのハイパーリンク" xfId="1387" builtinId="9" hidden="1"/>
    <cellStyle name="表示済みのハイパーリンク" xfId="1389" builtinId="9" hidden="1"/>
    <cellStyle name="表示済みのハイパーリンク" xfId="1391" builtinId="9" hidden="1"/>
    <cellStyle name="表示済みのハイパーリンク" xfId="1393" builtinId="9" hidden="1"/>
    <cellStyle name="表示済みのハイパーリンク" xfId="1395" builtinId="9" hidden="1"/>
    <cellStyle name="表示済みのハイパーリンク" xfId="1397" builtinId="9" hidden="1"/>
    <cellStyle name="表示済みのハイパーリンク" xfId="1399" builtinId="9" hidden="1"/>
    <cellStyle name="表示済みのハイパーリンク" xfId="1401" builtinId="9" hidden="1"/>
    <cellStyle name="表示済みのハイパーリンク" xfId="1403" builtinId="9" hidden="1"/>
    <cellStyle name="表示済みのハイパーリンク" xfId="1405" builtinId="9" hidden="1"/>
    <cellStyle name="表示済みのハイパーリンク" xfId="1407" builtinId="9" hidden="1"/>
    <cellStyle name="表示済みのハイパーリンク" xfId="1409" builtinId="9" hidden="1"/>
    <cellStyle name="表示済みのハイパーリンク" xfId="1411" builtinId="9" hidden="1"/>
    <cellStyle name="表示済みのハイパーリンク" xfId="1413" builtinId="9" hidden="1"/>
    <cellStyle name="表示済みのハイパーリンク" xfId="1415" builtinId="9" hidden="1"/>
    <cellStyle name="表示済みのハイパーリンク" xfId="1417" builtinId="9" hidden="1"/>
    <cellStyle name="表示済みのハイパーリンク" xfId="1419" builtinId="9" hidden="1"/>
    <cellStyle name="表示済みのハイパーリンク" xfId="1421" builtinId="9" hidden="1"/>
    <cellStyle name="表示済みのハイパーリンク" xfId="1423" builtinId="9" hidden="1"/>
    <cellStyle name="表示済みのハイパーリンク" xfId="1425" builtinId="9" hidden="1"/>
    <cellStyle name="表示済みのハイパーリンク" xfId="1427" builtinId="9" hidden="1"/>
    <cellStyle name="表示済みのハイパーリンク" xfId="1429" builtinId="9" hidden="1"/>
    <cellStyle name="表示済みのハイパーリンク" xfId="1431" builtinId="9" hidden="1"/>
    <cellStyle name="表示済みのハイパーリンク" xfId="1433" builtinId="9" hidden="1"/>
    <cellStyle name="表示済みのハイパーリンク" xfId="1435" builtinId="9" hidden="1"/>
    <cellStyle name="表示済みのハイパーリンク" xfId="1437" builtinId="9" hidden="1"/>
    <cellStyle name="表示済みのハイパーリンク" xfId="1439" builtinId="9" hidden="1"/>
    <cellStyle name="表示済みのハイパーリンク" xfId="1441" builtinId="9" hidden="1"/>
    <cellStyle name="表示済みのハイパーリンク" xfId="1443" builtinId="9" hidden="1"/>
    <cellStyle name="表示済みのハイパーリンク" xfId="1445" builtinId="9" hidden="1"/>
    <cellStyle name="表示済みのハイパーリンク" xfId="1447" builtinId="9" hidden="1"/>
    <cellStyle name="表示済みのハイパーリンク" xfId="1449" builtinId="9" hidden="1"/>
    <cellStyle name="表示済みのハイパーリンク" xfId="1451" builtinId="9" hidden="1"/>
    <cellStyle name="表示済みのハイパーリンク" xfId="1453" builtinId="9" hidden="1"/>
    <cellStyle name="表示済みのハイパーリンク" xfId="1455" builtinId="9" hidden="1"/>
    <cellStyle name="表示済みのハイパーリンク" xfId="1457" builtinId="9" hidden="1"/>
    <cellStyle name="表示済みのハイパーリンク" xfId="1459" builtinId="9" hidden="1"/>
    <cellStyle name="表示済みのハイパーリンク" xfId="1461" builtinId="9" hidden="1"/>
    <cellStyle name="表示済みのハイパーリンク" xfId="1463" builtinId="9" hidden="1"/>
    <cellStyle name="表示済みのハイパーリンク" xfId="1465" builtinId="9" hidden="1"/>
    <cellStyle name="表示済みのハイパーリンク" xfId="1467" builtinId="9" hidden="1"/>
    <cellStyle name="表示済みのハイパーリンク" xfId="1469" builtinId="9" hidden="1"/>
    <cellStyle name="表示済みのハイパーリンク" xfId="1471" builtinId="9" hidden="1"/>
    <cellStyle name="表示済みのハイパーリンク" xfId="1473" builtinId="9" hidden="1"/>
    <cellStyle name="表示済みのハイパーリンク" xfId="1475" builtinId="9" hidden="1"/>
    <cellStyle name="表示済みのハイパーリンク" xfId="1477" builtinId="9" hidden="1"/>
    <cellStyle name="表示済みのハイパーリンク" xfId="1479" builtinId="9" hidden="1"/>
    <cellStyle name="表示済みのハイパーリンク" xfId="1481" builtinId="9" hidden="1"/>
    <cellStyle name="表示済みのハイパーリンク" xfId="1483" builtinId="9" hidden="1"/>
    <cellStyle name="表示済みのハイパーリンク" xfId="1485" builtinId="9" hidden="1"/>
    <cellStyle name="表示済みのハイパーリンク" xfId="1487" builtinId="9" hidden="1"/>
    <cellStyle name="表示済みのハイパーリンク" xfId="1489" builtinId="9" hidden="1"/>
    <cellStyle name="表示済みのハイパーリンク" xfId="1491" builtinId="9" hidden="1"/>
    <cellStyle name="表示済みのハイパーリンク" xfId="1493" builtinId="9" hidden="1"/>
    <cellStyle name="表示済みのハイパーリンク" xfId="1495" builtinId="9" hidden="1"/>
    <cellStyle name="表示済みのハイパーリンク" xfId="1497" builtinId="9" hidden="1"/>
    <cellStyle name="表示済みのハイパーリンク" xfId="1499" builtinId="9" hidden="1"/>
    <cellStyle name="表示済みのハイパーリンク" xfId="1501" builtinId="9" hidden="1"/>
    <cellStyle name="表示済みのハイパーリンク" xfId="1503" builtinId="9" hidden="1"/>
    <cellStyle name="表示済みのハイパーリンク" xfId="1505" builtinId="9" hidden="1"/>
    <cellStyle name="表示済みのハイパーリンク" xfId="1507" builtinId="9" hidden="1"/>
    <cellStyle name="表示済みのハイパーリンク" xfId="1509" builtinId="9" hidden="1"/>
    <cellStyle name="表示済みのハイパーリンク" xfId="1511" builtinId="9" hidden="1"/>
    <cellStyle name="表示済みのハイパーリンク" xfId="1513" builtinId="9" hidden="1"/>
    <cellStyle name="表示済みのハイパーリンク" xfId="1515" builtinId="9" hidden="1"/>
    <cellStyle name="表示済みのハイパーリンク" xfId="1517" builtinId="9" hidden="1"/>
    <cellStyle name="表示済みのハイパーリンク" xfId="1519" builtinId="9" hidden="1"/>
    <cellStyle name="表示済みのハイパーリンク" xfId="1521" builtinId="9" hidden="1"/>
    <cellStyle name="表示済みのハイパーリンク" xfId="1523" builtinId="9" hidden="1"/>
    <cellStyle name="表示済みのハイパーリンク" xfId="1525" builtinId="9" hidden="1"/>
    <cellStyle name="表示済みのハイパーリンク" xfId="1527" builtinId="9" hidden="1"/>
    <cellStyle name="表示済みのハイパーリンク" xfId="1529" builtinId="9" hidden="1"/>
    <cellStyle name="表示済みのハイパーリンク" xfId="1531" builtinId="9" hidden="1"/>
    <cellStyle name="表示済みのハイパーリンク" xfId="1533" builtinId="9" hidden="1"/>
    <cellStyle name="表示済みのハイパーリンク" xfId="1535" builtinId="9" hidden="1"/>
    <cellStyle name="表示済みのハイパーリンク" xfId="1537" builtinId="9" hidden="1"/>
    <cellStyle name="表示済みのハイパーリンク" xfId="1539" builtinId="9" hidden="1"/>
    <cellStyle name="表示済みのハイパーリンク" xfId="1541" builtinId="9" hidden="1"/>
    <cellStyle name="表示済みのハイパーリンク" xfId="1543" builtinId="9" hidden="1"/>
    <cellStyle name="表示済みのハイパーリンク" xfId="1545" builtinId="9" hidden="1"/>
    <cellStyle name="表示済みのハイパーリンク" xfId="1547" builtinId="9" hidden="1"/>
    <cellStyle name="表示済みのハイパーリンク" xfId="1549" builtinId="9" hidden="1"/>
    <cellStyle name="表示済みのハイパーリンク" xfId="1551" builtinId="9" hidden="1"/>
    <cellStyle name="表示済みのハイパーリンク" xfId="1553" builtinId="9" hidden="1"/>
    <cellStyle name="表示済みのハイパーリンク" xfId="1555" builtinId="9" hidden="1"/>
    <cellStyle name="表示済みのハイパーリンク" xfId="1557" builtinId="9" hidden="1"/>
    <cellStyle name="表示済みのハイパーリンク" xfId="1559" builtinId="9" hidden="1"/>
    <cellStyle name="表示済みのハイパーリンク" xfId="1561" builtinId="9" hidden="1"/>
    <cellStyle name="表示済みのハイパーリンク" xfId="1563" builtinId="9" hidden="1"/>
    <cellStyle name="表示済みのハイパーリンク" xfId="1565" builtinId="9" hidden="1"/>
    <cellStyle name="表示済みのハイパーリンク" xfId="1567" builtinId="9" hidden="1"/>
    <cellStyle name="表示済みのハイパーリンク" xfId="1569" builtinId="9" hidden="1"/>
    <cellStyle name="表示済みのハイパーリンク" xfId="1571" builtinId="9" hidden="1"/>
    <cellStyle name="表示済みのハイパーリンク" xfId="1573" builtinId="9" hidden="1"/>
    <cellStyle name="表示済みのハイパーリンク" xfId="1575" builtinId="9" hidden="1"/>
    <cellStyle name="表示済みのハイパーリンク" xfId="1577" builtinId="9" hidden="1"/>
    <cellStyle name="表示済みのハイパーリンク" xfId="1579" builtinId="9" hidden="1"/>
    <cellStyle name="表示済みのハイパーリンク" xfId="1581" builtinId="9" hidden="1"/>
    <cellStyle name="表示済みのハイパーリンク" xfId="1583" builtinId="9" hidden="1"/>
    <cellStyle name="表示済みのハイパーリンク" xfId="1585" builtinId="9" hidden="1"/>
    <cellStyle name="表示済みのハイパーリンク" xfId="1587" builtinId="9" hidden="1"/>
    <cellStyle name="表示済みのハイパーリンク" xfId="1589" builtinId="9" hidden="1"/>
    <cellStyle name="表示済みのハイパーリンク" xfId="1591" builtinId="9" hidden="1"/>
    <cellStyle name="表示済みのハイパーリンク" xfId="1593" builtinId="9" hidden="1"/>
    <cellStyle name="表示済みのハイパーリンク" xfId="1595" builtinId="9" hidden="1"/>
    <cellStyle name="表示済みのハイパーリンク" xfId="1597" builtinId="9" hidden="1"/>
    <cellStyle name="表示済みのハイパーリンク" xfId="1599" builtinId="9" hidden="1"/>
    <cellStyle name="表示済みのハイパーリンク" xfId="1601" builtinId="9" hidden="1"/>
    <cellStyle name="表示済みのハイパーリンク" xfId="1603" builtinId="9" hidden="1"/>
    <cellStyle name="表示済みのハイパーリンク" xfId="1605" builtinId="9" hidden="1"/>
    <cellStyle name="表示済みのハイパーリンク" xfId="1607" builtinId="9" hidden="1"/>
    <cellStyle name="表示済みのハイパーリンク" xfId="1609" builtinId="9" hidden="1"/>
    <cellStyle name="表示済みのハイパーリンク" xfId="1611" builtinId="9" hidden="1"/>
    <cellStyle name="表示済みのハイパーリンク" xfId="1613" builtinId="9" hidden="1"/>
    <cellStyle name="表示済みのハイパーリンク" xfId="1615" builtinId="9" hidden="1"/>
    <cellStyle name="表示済みのハイパーリンク" xfId="1617" builtinId="9" hidden="1"/>
    <cellStyle name="表示済みのハイパーリンク" xfId="1619" builtinId="9" hidden="1"/>
    <cellStyle name="表示済みのハイパーリンク" xfId="1621" builtinId="9" hidden="1"/>
    <cellStyle name="表示済みのハイパーリンク" xfId="1623" builtinId="9" hidden="1"/>
    <cellStyle name="表示済みのハイパーリンク" xfId="1625" builtinId="9" hidden="1"/>
    <cellStyle name="表示済みのハイパーリンク" xfId="1627" builtinId="9" hidden="1"/>
    <cellStyle name="表示済みのハイパーリンク" xfId="1629" builtinId="9" hidden="1"/>
    <cellStyle name="表示済みのハイパーリンク" xfId="1631" builtinId="9" hidden="1"/>
    <cellStyle name="表示済みのハイパーリンク" xfId="1633" builtinId="9" hidden="1"/>
    <cellStyle name="表示済みのハイパーリンク" xfId="1635" builtinId="9" hidden="1"/>
    <cellStyle name="表示済みのハイパーリンク" xfId="1637" builtinId="9" hidden="1"/>
    <cellStyle name="表示済みのハイパーリンク" xfId="1639" builtinId="9" hidden="1"/>
    <cellStyle name="表示済みのハイパーリンク" xfId="1641" builtinId="9" hidden="1"/>
    <cellStyle name="表示済みのハイパーリンク" xfId="1643" builtinId="9" hidden="1"/>
    <cellStyle name="表示済みのハイパーリンク" xfId="1645" builtinId="9" hidden="1"/>
    <cellStyle name="表示済みのハイパーリンク" xfId="1647" builtinId="9" hidden="1"/>
    <cellStyle name="表示済みのハイパーリンク" xfId="1649" builtinId="9" hidden="1"/>
    <cellStyle name="表示済みのハイパーリンク" xfId="1651" builtinId="9" hidden="1"/>
    <cellStyle name="表示済みのハイパーリンク" xfId="1653" builtinId="9" hidden="1"/>
    <cellStyle name="表示済みのハイパーリンク" xfId="1655" builtinId="9" hidden="1"/>
    <cellStyle name="表示済みのハイパーリンク" xfId="1657" builtinId="9" hidden="1"/>
    <cellStyle name="表示済みのハイパーリンク" xfId="1659" builtinId="9" hidden="1"/>
    <cellStyle name="表示済みのハイパーリンク" xfId="1661" builtinId="9" hidden="1"/>
    <cellStyle name="表示済みのハイパーリンク" xfId="1663" builtinId="9" hidden="1"/>
    <cellStyle name="表示済みのハイパーリンク" xfId="1665" builtinId="9" hidden="1"/>
    <cellStyle name="表示済みのハイパーリンク" xfId="1667" builtinId="9" hidden="1"/>
    <cellStyle name="表示済みのハイパーリンク" xfId="1669" builtinId="9" hidden="1"/>
    <cellStyle name="表示済みのハイパーリンク" xfId="1671" builtinId="9" hidden="1"/>
    <cellStyle name="表示済みのハイパーリンク" xfId="1673" builtinId="9" hidden="1"/>
    <cellStyle name="表示済みのハイパーリンク" xfId="1675" builtinId="9" hidden="1"/>
    <cellStyle name="表示済みのハイパーリンク" xfId="1677" builtinId="9" hidden="1"/>
    <cellStyle name="表示済みのハイパーリンク" xfId="1679" builtinId="9" hidden="1"/>
    <cellStyle name="表示済みのハイパーリンク" xfId="1681" builtinId="9" hidden="1"/>
    <cellStyle name="表示済みのハイパーリンク" xfId="1683" builtinId="9" hidden="1"/>
    <cellStyle name="表示済みのハイパーリンク" xfId="1685" builtinId="9" hidden="1"/>
    <cellStyle name="表示済みのハイパーリンク" xfId="1687" builtinId="9" hidden="1"/>
    <cellStyle name="表示済みのハイパーリンク" xfId="1689" builtinId="9" hidden="1"/>
    <cellStyle name="表示済みのハイパーリンク" xfId="1691" builtinId="9" hidden="1"/>
    <cellStyle name="表示済みのハイパーリンク" xfId="1693" builtinId="9" hidden="1"/>
    <cellStyle name="表示済みのハイパーリンク" xfId="1695" builtinId="9" hidden="1"/>
    <cellStyle name="表示済みのハイパーリンク" xfId="1697" builtinId="9" hidden="1"/>
    <cellStyle name="表示済みのハイパーリンク" xfId="1699" builtinId="9" hidden="1"/>
    <cellStyle name="表示済みのハイパーリンク" xfId="1701" builtinId="9" hidden="1"/>
    <cellStyle name="表示済みのハイパーリンク" xfId="1703" builtinId="9" hidden="1"/>
    <cellStyle name="表示済みのハイパーリンク" xfId="1705" builtinId="9" hidden="1"/>
    <cellStyle name="表示済みのハイパーリンク" xfId="1707" builtinId="9" hidden="1"/>
    <cellStyle name="表示済みのハイパーリンク" xfId="1709" builtinId="9" hidden="1"/>
    <cellStyle name="表示済みのハイパーリンク" xfId="1711" builtinId="9" hidden="1"/>
    <cellStyle name="表示済みのハイパーリンク" xfId="1713" builtinId="9" hidden="1"/>
    <cellStyle name="表示済みのハイパーリンク" xfId="1715" builtinId="9" hidden="1"/>
    <cellStyle name="表示済みのハイパーリンク" xfId="1717" builtinId="9" hidden="1"/>
    <cellStyle name="表示済みのハイパーリンク" xfId="1719" builtinId="9" hidden="1"/>
    <cellStyle name="表示済みのハイパーリンク" xfId="1721" builtinId="9" hidden="1"/>
    <cellStyle name="表示済みのハイパーリンク" xfId="1723" builtinId="9" hidden="1"/>
    <cellStyle name="表示済みのハイパーリンク" xfId="1725" builtinId="9" hidden="1"/>
    <cellStyle name="表示済みのハイパーリンク" xfId="1727" builtinId="9" hidden="1"/>
    <cellStyle name="表示済みのハイパーリンク" xfId="1729" builtinId="9" hidden="1"/>
    <cellStyle name="表示済みのハイパーリンク" xfId="1731" builtinId="9" hidden="1"/>
    <cellStyle name="表示済みのハイパーリンク" xfId="1733" builtinId="9" hidden="1"/>
    <cellStyle name="表示済みのハイパーリンク" xfId="1735" builtinId="9" hidden="1"/>
    <cellStyle name="表示済みのハイパーリンク" xfId="1737" builtinId="9" hidden="1"/>
    <cellStyle name="表示済みのハイパーリンク" xfId="1739" builtinId="9" hidden="1"/>
    <cellStyle name="表示済みのハイパーリンク" xfId="1741" builtinId="9" hidden="1"/>
    <cellStyle name="表示済みのハイパーリンク" xfId="1743" builtinId="9" hidden="1"/>
    <cellStyle name="表示済みのハイパーリンク" xfId="1745" builtinId="9" hidden="1"/>
    <cellStyle name="表示済みのハイパーリンク" xfId="1747" builtinId="9" hidden="1"/>
    <cellStyle name="表示済みのハイパーリンク" xfId="1749" builtinId="9" hidden="1"/>
    <cellStyle name="表示済みのハイパーリンク" xfId="1751" builtinId="9" hidden="1"/>
    <cellStyle name="表示済みのハイパーリンク" xfId="1753" builtinId="9" hidden="1"/>
    <cellStyle name="表示済みのハイパーリンク" xfId="1755" builtinId="9" hidden="1"/>
    <cellStyle name="表示済みのハイパーリンク" xfId="1757" builtinId="9" hidden="1"/>
    <cellStyle name="表示済みのハイパーリンク" xfId="1759" builtinId="9" hidden="1"/>
    <cellStyle name="表示済みのハイパーリンク" xfId="1761" builtinId="9" hidden="1"/>
    <cellStyle name="表示済みのハイパーリンク" xfId="1763" builtinId="9" hidden="1"/>
    <cellStyle name="表示済みのハイパーリンク" xfId="1765" builtinId="9" hidden="1"/>
    <cellStyle name="表示済みのハイパーリンク" xfId="1767" builtinId="9" hidden="1"/>
    <cellStyle name="表示済みのハイパーリンク" xfId="1769" builtinId="9" hidden="1"/>
    <cellStyle name="表示済みのハイパーリンク" xfId="1771" builtinId="9" hidden="1"/>
    <cellStyle name="表示済みのハイパーリンク" xfId="1773" builtinId="9" hidden="1"/>
    <cellStyle name="表示済みのハイパーリンク" xfId="1775" builtinId="9" hidden="1"/>
    <cellStyle name="表示済みのハイパーリンク" xfId="1777" builtinId="9" hidden="1"/>
    <cellStyle name="表示済みのハイパーリンク" xfId="1779" builtinId="9" hidden="1"/>
    <cellStyle name="表示済みのハイパーリンク" xfId="1781" builtinId="9" hidden="1"/>
    <cellStyle name="表示済みのハイパーリンク" xfId="1783" builtinId="9" hidden="1"/>
    <cellStyle name="表示済みのハイパーリンク" xfId="1785" builtinId="9" hidden="1"/>
    <cellStyle name="表示済みのハイパーリンク" xfId="1787" builtinId="9" hidden="1"/>
    <cellStyle name="表示済みのハイパーリンク" xfId="1789" builtinId="9" hidden="1"/>
    <cellStyle name="表示済みのハイパーリンク" xfId="1791" builtinId="9" hidden="1"/>
    <cellStyle name="表示済みのハイパーリンク" xfId="1793" builtinId="9" hidden="1"/>
    <cellStyle name="表示済みのハイパーリンク" xfId="1795" builtinId="9" hidden="1"/>
    <cellStyle name="表示済みのハイパーリンク" xfId="1797" builtinId="9" hidden="1"/>
    <cellStyle name="表示済みのハイパーリンク" xfId="1799" builtinId="9" hidden="1"/>
    <cellStyle name="表示済みのハイパーリンク" xfId="1801" builtinId="9" hidden="1"/>
    <cellStyle name="表示済みのハイパーリンク" xfId="1803" builtinId="9" hidden="1"/>
    <cellStyle name="表示済みのハイパーリンク" xfId="1805" builtinId="9" hidden="1"/>
    <cellStyle name="表示済みのハイパーリンク" xfId="1807" builtinId="9" hidden="1"/>
    <cellStyle name="表示済みのハイパーリンク" xfId="1809" builtinId="9" hidden="1"/>
    <cellStyle name="表示済みのハイパーリンク" xfId="1811" builtinId="9" hidden="1"/>
    <cellStyle name="表示済みのハイパーリンク" xfId="1813" builtinId="9" hidden="1"/>
    <cellStyle name="表示済みのハイパーリンク" xfId="1815" builtinId="9" hidden="1"/>
    <cellStyle name="表示済みのハイパーリンク" xfId="1817" builtinId="9" hidden="1"/>
    <cellStyle name="表示済みのハイパーリンク" xfId="1819" builtinId="9" hidden="1"/>
    <cellStyle name="表示済みのハイパーリンク" xfId="1821" builtinId="9" hidden="1"/>
    <cellStyle name="表示済みのハイパーリンク" xfId="1823" builtinId="9" hidden="1"/>
    <cellStyle name="表示済みのハイパーリンク" xfId="1825" builtinId="9" hidden="1"/>
    <cellStyle name="表示済みのハイパーリンク" xfId="1827" builtinId="9" hidden="1"/>
    <cellStyle name="表示済みのハイパーリンク" xfId="1829" builtinId="9" hidden="1"/>
    <cellStyle name="表示済みのハイパーリンク" xfId="1831" builtinId="9" hidden="1"/>
    <cellStyle name="表示済みのハイパーリンク" xfId="1833" builtinId="9" hidden="1"/>
    <cellStyle name="表示済みのハイパーリンク" xfId="1835" builtinId="9" hidden="1"/>
    <cellStyle name="表示済みのハイパーリンク" xfId="1837" builtinId="9" hidden="1"/>
    <cellStyle name="表示済みのハイパーリンク" xfId="1839" builtinId="9" hidden="1"/>
    <cellStyle name="表示済みのハイパーリンク" xfId="1841" builtinId="9" hidden="1"/>
    <cellStyle name="表示済みのハイパーリンク" xfId="1843" builtinId="9" hidden="1"/>
    <cellStyle name="表示済みのハイパーリンク" xfId="1845" builtinId="9" hidden="1"/>
    <cellStyle name="表示済みのハイパーリンク" xfId="1847" builtinId="9" hidden="1"/>
    <cellStyle name="表示済みのハイパーリンク" xfId="1849" builtinId="9" hidden="1"/>
    <cellStyle name="表示済みのハイパーリンク" xfId="1851" builtinId="9" hidden="1"/>
    <cellStyle name="表示済みのハイパーリンク" xfId="1853" builtinId="9" hidden="1"/>
    <cellStyle name="表示済みのハイパーリンク" xfId="1855" builtinId="9" hidden="1"/>
    <cellStyle name="表示済みのハイパーリンク" xfId="1857" builtinId="9" hidden="1"/>
    <cellStyle name="表示済みのハイパーリンク" xfId="1859" builtinId="9" hidden="1"/>
    <cellStyle name="表示済みのハイパーリンク" xfId="1861" builtinId="9" hidden="1"/>
    <cellStyle name="表示済みのハイパーリンク" xfId="1863" builtinId="9" hidden="1"/>
    <cellStyle name="表示済みのハイパーリンク" xfId="1865" builtinId="9" hidden="1"/>
    <cellStyle name="表示済みのハイパーリンク" xfId="1867" builtinId="9" hidden="1"/>
    <cellStyle name="表示済みのハイパーリンク" xfId="1869" builtinId="9" hidden="1"/>
    <cellStyle name="表示済みのハイパーリンク" xfId="1871" builtinId="9" hidden="1"/>
    <cellStyle name="表示済みのハイパーリンク" xfId="1873" builtinId="9" hidden="1"/>
    <cellStyle name="表示済みのハイパーリンク" xfId="1875" builtinId="9" hidden="1"/>
    <cellStyle name="表示済みのハイパーリンク" xfId="1877" builtinId="9" hidden="1"/>
    <cellStyle name="表示済みのハイパーリンク" xfId="1879" builtinId="9" hidden="1"/>
    <cellStyle name="表示済みのハイパーリンク" xfId="1881" builtinId="9" hidden="1"/>
    <cellStyle name="表示済みのハイパーリンク" xfId="1883" builtinId="9" hidden="1"/>
    <cellStyle name="表示済みのハイパーリンク" xfId="1885" builtinId="9" hidden="1"/>
    <cellStyle name="表示済みのハイパーリンク" xfId="1887" builtinId="9" hidden="1"/>
    <cellStyle name="表示済みのハイパーリンク" xfId="1889" builtinId="9" hidden="1"/>
    <cellStyle name="表示済みのハイパーリンク" xfId="1891" builtinId="9" hidden="1"/>
    <cellStyle name="表示済みのハイパーリンク" xfId="1893" builtinId="9" hidden="1"/>
    <cellStyle name="表示済みのハイパーリンク" xfId="1895" builtinId="9" hidden="1"/>
    <cellStyle name="表示済みのハイパーリンク" xfId="1897" builtinId="9" hidden="1"/>
    <cellStyle name="表示済みのハイパーリンク" xfId="1899" builtinId="9" hidden="1"/>
    <cellStyle name="表示済みのハイパーリンク" xfId="1901" builtinId="9" hidden="1"/>
    <cellStyle name="表示済みのハイパーリンク" xfId="1903" builtinId="9" hidden="1"/>
    <cellStyle name="表示済みのハイパーリンク" xfId="1905" builtinId="9" hidden="1"/>
    <cellStyle name="表示済みのハイパーリンク" xfId="1907" builtinId="9" hidden="1"/>
    <cellStyle name="表示済みのハイパーリンク" xfId="1909" builtinId="9" hidden="1"/>
    <cellStyle name="表示済みのハイパーリンク" xfId="1911" builtinId="9" hidden="1"/>
    <cellStyle name="標準" xfId="0" builtinId="0"/>
    <cellStyle name="표준 2" xfId="1955" xr:uid="{00000000-0005-0000-0000-00008B040000}"/>
    <cellStyle name="표준 2 2" xfId="2018" xr:uid="{00000000-0005-0000-0000-00008C040000}"/>
    <cellStyle name="표준 2 2 2" xfId="2123" xr:uid="{00000000-0005-0000-0000-00008D040000}"/>
    <cellStyle name="표준 2 3" xfId="2122" xr:uid="{00000000-0005-0000-0000-00008E040000}"/>
    <cellStyle name="표준 3" xfId="1956" xr:uid="{00000000-0005-0000-0000-00008F040000}"/>
    <cellStyle name="표준 3 2" xfId="2019" xr:uid="{00000000-0005-0000-0000-000090040000}"/>
    <cellStyle name="표준 4" xfId="1998" xr:uid="{00000000-0005-0000-0000-000091040000}"/>
    <cellStyle name="표준 4 2" xfId="2020" xr:uid="{00000000-0005-0000-0000-000092040000}"/>
    <cellStyle name="표준 5" xfId="2021" xr:uid="{00000000-0005-0000-0000-000093040000}"/>
    <cellStyle name="표준 6" xfId="2041" xr:uid="{00000000-0005-0000-0000-000094040000}"/>
    <cellStyle name="표준 7" xfId="2061" xr:uid="{00000000-0005-0000-0000-000095040000}"/>
    <cellStyle name="표준 8" xfId="2081" xr:uid="{00000000-0005-0000-0000-000096040000}"/>
    <cellStyle name="표준 9" xfId="2101" xr:uid="{00000000-0005-0000-0000-000097040000}"/>
    <cellStyle name="桁区切り" xfId="2124" builtinId="6"/>
  </cellStyles>
  <dxfs count="303">
    <dxf>
      <fill>
        <patternFill>
          <bgColor rgb="FF92D050"/>
        </patternFill>
      </fill>
    </dxf>
    <dxf>
      <font>
        <b/>
        <i val="0"/>
      </font>
      <fill>
        <patternFill>
          <bgColor rgb="FFFF7F7F"/>
        </patternFill>
      </fill>
    </dxf>
    <dxf>
      <font>
        <b/>
        <i val="0"/>
      </font>
      <fill>
        <patternFill>
          <bgColor rgb="FFFFDAB9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theme="0" tint="-0.249977111117893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b/>
        <i val="0"/>
      </font>
      <fill>
        <patternFill>
          <bgColor rgb="FFFF7F7F"/>
        </patternFill>
      </fill>
    </dxf>
    <dxf>
      <font>
        <b/>
        <i val="0"/>
      </font>
      <fill>
        <patternFill>
          <bgColor rgb="FFFFDAB9"/>
        </patternFill>
      </fill>
    </dxf>
    <dxf>
      <fill>
        <patternFill>
          <bgColor rgb="FF92D050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theme="0" tint="-0.249977111117893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b/>
        <i val="0"/>
      </font>
      <fill>
        <patternFill>
          <bgColor rgb="FFFF7F7F"/>
        </patternFill>
      </fill>
    </dxf>
    <dxf>
      <font>
        <b/>
        <i val="0"/>
      </font>
      <fill>
        <patternFill>
          <bgColor rgb="FFFFDAB9"/>
        </patternFill>
      </fill>
    </dxf>
    <dxf>
      <fill>
        <patternFill>
          <bgColor rgb="FF92D050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theme="0" tint="-0.249977111117893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b/>
        <i val="0"/>
      </font>
      <fill>
        <patternFill>
          <bgColor rgb="FFFF7F7F"/>
        </patternFill>
      </fill>
    </dxf>
    <dxf>
      <font>
        <b/>
        <i val="0"/>
      </font>
      <fill>
        <patternFill>
          <bgColor rgb="FFFFDAB9"/>
        </patternFill>
      </fill>
    </dxf>
    <dxf>
      <fill>
        <patternFill>
          <bgColor rgb="FF92D050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theme="0" tint="-0.249977111117893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rgb="FF9C5700"/>
      </font>
      <fill>
        <patternFill>
          <fgColor auto="1"/>
          <bgColor rgb="FFFFEB9C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theme="0" tint="-0.249977111117893"/>
      </font>
      <fill>
        <patternFill patternType="none">
          <fgColor indexed="64"/>
          <bgColor auto="1"/>
        </patternFill>
      </fill>
    </dxf>
    <dxf>
      <font>
        <color rgb="FFFF6600"/>
      </font>
      <fill>
        <patternFill patternType="solid">
          <fgColor indexed="64"/>
          <bgColor rgb="FFFBEBA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13.239999999999998</c:v>
              </c:pt>
              <c:pt idx="1">
                <c:v>13.264000000000001</c:v>
              </c:pt>
              <c:pt idx="2">
                <c:v>13.287999999999998</c:v>
              </c:pt>
              <c:pt idx="3">
                <c:v>13.312000000000006</c:v>
              </c:pt>
              <c:pt idx="4">
                <c:v>13.336</c:v>
              </c:pt>
              <c:pt idx="5">
                <c:v>13.360000000000024</c:v>
              </c:pt>
              <c:pt idx="6">
                <c:v>13.384</c:v>
              </c:pt>
              <c:pt idx="7">
                <c:v>13.408000000000001</c:v>
              </c:pt>
              <c:pt idx="8">
                <c:v>13.432</c:v>
              </c:pt>
              <c:pt idx="9">
                <c:v>13.456000000000024</c:v>
              </c:pt>
              <c:pt idx="10">
                <c:v>13.48</c:v>
              </c:pt>
              <c:pt idx="11">
                <c:v>13.504</c:v>
              </c:pt>
              <c:pt idx="12">
                <c:v>13.527999999999999</c:v>
              </c:pt>
              <c:pt idx="13">
                <c:v>13.552000000000024</c:v>
              </c:pt>
              <c:pt idx="14">
                <c:v>13.576000000000002</c:v>
              </c:pt>
              <c:pt idx="15">
                <c:v>13.6</c:v>
              </c:pt>
              <c:pt idx="16">
                <c:v>13.624000000000001</c:v>
              </c:pt>
              <c:pt idx="17">
                <c:v>13.647999999999998</c:v>
              </c:pt>
              <c:pt idx="18">
                <c:v>13.672000000000002</c:v>
              </c:pt>
              <c:pt idx="19">
                <c:v>13.696</c:v>
              </c:pt>
              <c:pt idx="20">
                <c:v>13.719999999999999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1</c:v>
              </c:pt>
              <c:pt idx="2">
                <c:v>1</c:v>
              </c:pt>
              <c:pt idx="3">
                <c:v>0</c:v>
              </c:pt>
              <c:pt idx="4">
                <c:v>3</c:v>
              </c:pt>
              <c:pt idx="5">
                <c:v>20</c:v>
              </c:pt>
              <c:pt idx="6">
                <c:v>53</c:v>
              </c:pt>
              <c:pt idx="7">
                <c:v>122</c:v>
              </c:pt>
              <c:pt idx="8">
                <c:v>216</c:v>
              </c:pt>
              <c:pt idx="9">
                <c:v>311</c:v>
              </c:pt>
              <c:pt idx="10">
                <c:v>472</c:v>
              </c:pt>
              <c:pt idx="11">
                <c:v>567</c:v>
              </c:pt>
              <c:pt idx="12">
                <c:v>560</c:v>
              </c:pt>
              <c:pt idx="13">
                <c:v>511</c:v>
              </c:pt>
              <c:pt idx="14">
                <c:v>340</c:v>
              </c:pt>
              <c:pt idx="15">
                <c:v>220</c:v>
              </c:pt>
              <c:pt idx="16">
                <c:v>96</c:v>
              </c:pt>
              <c:pt idx="17">
                <c:v>31</c:v>
              </c:pt>
              <c:pt idx="18">
                <c:v>9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F40-4A4B-A6FE-48C8D9B29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74394624"/>
        <c:axId val="239545152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2.8142376410883592E-5</c:v>
              </c:pt>
              <c:pt idx="1">
                <c:v>2.0763958838149112E-4</c:v>
              </c:pt>
              <c:pt idx="2">
                <c:v>1.2857591283259901E-3</c:v>
              </c:pt>
              <c:pt idx="3">
                <c:v>6.6820402298915834E-3</c:v>
              </c:pt>
              <c:pt idx="4">
                <c:v>2.9144642081586711E-2</c:v>
              </c:pt>
              <c:pt idx="5">
                <c:v>0.10668624259553741</c:v>
              </c:pt>
              <c:pt idx="6">
                <c:v>0.32776156718957028</c:v>
              </c:pt>
              <c:pt idx="7">
                <c:v>0.84509928813959256</c:v>
              </c:pt>
              <c:pt idx="8">
                <c:v>1.828763499318514</c:v>
              </c:pt>
              <c:pt idx="9">
                <c:v>3.3212950235443737</c:v>
              </c:pt>
              <c:pt idx="10">
                <c:v>5.0624117476171646</c:v>
              </c:pt>
              <c:pt idx="11">
                <c:v>6.4760109816773523</c:v>
              </c:pt>
              <c:pt idx="12">
                <c:v>6.9527688071787805</c:v>
              </c:pt>
              <c:pt idx="13">
                <c:v>6.2648128419323887</c:v>
              </c:pt>
              <c:pt idx="14">
                <c:v>4.7376013589016424</c:v>
              </c:pt>
              <c:pt idx="15">
                <c:v>3.0068310667615452</c:v>
              </c:pt>
              <c:pt idx="16">
                <c:v>1.6016205910059238</c:v>
              </c:pt>
              <c:pt idx="17">
                <c:v>0.71599560947915475</c:v>
              </c:pt>
              <c:pt idx="18">
                <c:v>0.26863412165033379</c:v>
              </c:pt>
              <c:pt idx="19">
                <c:v>8.4588649743720296E-2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BF40-4A4B-A6FE-48C8D9B29ACC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3</c:v>
              </c:pt>
              <c:pt idx="1">
                <c:v>3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BF40-4A4B-A6FE-48C8D9B29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9546304"/>
        <c:axId val="239545728"/>
      </c:scatterChart>
      <c:catAx>
        <c:axId val="274394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239545152"/>
        <c:crosses val="autoZero"/>
        <c:auto val="1"/>
        <c:lblAlgn val="ctr"/>
        <c:lblOffset val="100"/>
        <c:noMultiLvlLbl val="0"/>
      </c:catAx>
      <c:valAx>
        <c:axId val="23954515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274394624"/>
        <c:crosses val="autoZero"/>
        <c:crossBetween val="between"/>
      </c:valAx>
      <c:valAx>
        <c:axId val="239545728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239546304"/>
        <c:crosses val="max"/>
        <c:crossBetween val="midCat"/>
      </c:valAx>
      <c:valAx>
        <c:axId val="239546304"/>
        <c:scaling>
          <c:orientation val="minMax"/>
        </c:scaling>
        <c:delete val="1"/>
        <c:axPos val="b"/>
        <c:majorTickMark val="out"/>
        <c:minorTickMark val="none"/>
        <c:tickLblPos val="none"/>
        <c:crossAx val="239545728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222" r="0.750000000000002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19.32</c:v>
              </c:pt>
              <c:pt idx="1">
                <c:v>19.347000000000001</c:v>
              </c:pt>
              <c:pt idx="2">
                <c:v>19.373000000000001</c:v>
              </c:pt>
              <c:pt idx="3">
                <c:v>19.399000000000001</c:v>
              </c:pt>
              <c:pt idx="4">
                <c:v>19.424999999999986</c:v>
              </c:pt>
              <c:pt idx="5">
                <c:v>19.451000000000001</c:v>
              </c:pt>
              <c:pt idx="6">
                <c:v>19.477</c:v>
              </c:pt>
              <c:pt idx="7">
                <c:v>19.504000000000001</c:v>
              </c:pt>
              <c:pt idx="8">
                <c:v>19.53</c:v>
              </c:pt>
              <c:pt idx="9">
                <c:v>19.556000000000001</c:v>
              </c:pt>
              <c:pt idx="10">
                <c:v>19.581999999999987</c:v>
              </c:pt>
              <c:pt idx="11">
                <c:v>19.608000000000001</c:v>
              </c:pt>
              <c:pt idx="12">
                <c:v>19.634000000000075</c:v>
              </c:pt>
              <c:pt idx="13">
                <c:v>19.66</c:v>
              </c:pt>
              <c:pt idx="14">
                <c:v>19.687000000000001</c:v>
              </c:pt>
              <c:pt idx="15">
                <c:v>19.713000000000001</c:v>
              </c:pt>
              <c:pt idx="16">
                <c:v>19.739000000000001</c:v>
              </c:pt>
              <c:pt idx="17">
                <c:v>19.764999999999986</c:v>
              </c:pt>
              <c:pt idx="18">
                <c:v>19.791</c:v>
              </c:pt>
              <c:pt idx="19">
                <c:v>19.817000000000071</c:v>
              </c:pt>
              <c:pt idx="20">
                <c:v>19.844000000000001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3</c:v>
              </c:pt>
              <c:pt idx="2">
                <c:v>8</c:v>
              </c:pt>
              <c:pt idx="3">
                <c:v>29</c:v>
              </c:pt>
              <c:pt idx="4">
                <c:v>72</c:v>
              </c:pt>
              <c:pt idx="5">
                <c:v>147</c:v>
              </c:pt>
              <c:pt idx="6">
                <c:v>381</c:v>
              </c:pt>
              <c:pt idx="7">
                <c:v>638</c:v>
              </c:pt>
              <c:pt idx="8">
                <c:v>732</c:v>
              </c:pt>
              <c:pt idx="9">
                <c:v>648</c:v>
              </c:pt>
              <c:pt idx="10">
                <c:v>484</c:v>
              </c:pt>
              <c:pt idx="11">
                <c:v>252</c:v>
              </c:pt>
              <c:pt idx="12">
                <c:v>107</c:v>
              </c:pt>
              <c:pt idx="13">
                <c:v>29</c:v>
              </c:pt>
              <c:pt idx="14">
                <c:v>3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45B-3A4B-94C6-33326CBCB0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91205120"/>
        <c:axId val="239549760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2.99344877469068E-4</c:v>
              </c:pt>
              <c:pt idx="1">
                <c:v>2.745261668612897E-3</c:v>
              </c:pt>
              <c:pt idx="2">
                <c:v>1.9190866094742701E-2</c:v>
              </c:pt>
              <c:pt idx="3">
                <c:v>0.102259631295386</c:v>
              </c:pt>
              <c:pt idx="4">
                <c:v>0.41534881287974246</c:v>
              </c:pt>
              <c:pt idx="5">
                <c:v>1.2859397007084163</c:v>
              </c:pt>
              <c:pt idx="6">
                <c:v>3.0347793153163982</c:v>
              </c:pt>
              <c:pt idx="7">
                <c:v>5.4592440074750037</c:v>
              </c:pt>
              <c:pt idx="8">
                <c:v>7.4857751263659456</c:v>
              </c:pt>
              <c:pt idx="9">
                <c:v>7.8241997125922866</c:v>
              </c:pt>
              <c:pt idx="10">
                <c:v>6.2336447353414046</c:v>
              </c:pt>
              <c:pt idx="11">
                <c:v>3.7856737360063635</c:v>
              </c:pt>
              <c:pt idx="12">
                <c:v>1.7524406991510959</c:v>
              </c:pt>
              <c:pt idx="13">
                <c:v>0.61836157367618783</c:v>
              </c:pt>
              <c:pt idx="14">
                <c:v>0.16631854267234741</c:v>
              </c:pt>
              <c:pt idx="15">
                <c:v>3.4098703168086102E-2</c:v>
              </c:pt>
              <c:pt idx="16">
                <c:v>5.3288570231629596E-3</c:v>
              </c:pt>
              <c:pt idx="17">
                <c:v>6.3478884712573995E-4</c:v>
              </c:pt>
              <c:pt idx="18">
                <c:v>5.7639940248245028E-5</c:v>
              </c:pt>
              <c:pt idx="19">
                <c:v>3.9894843913005988E-6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C45B-3A4B-94C6-33326CBCB0B9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C45B-3A4B-94C6-33326CBCB0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4793536"/>
        <c:axId val="714792960"/>
      </c:scatterChart>
      <c:catAx>
        <c:axId val="291205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239549760"/>
        <c:crosses val="autoZero"/>
        <c:auto val="1"/>
        <c:lblAlgn val="ctr"/>
        <c:lblOffset val="100"/>
        <c:noMultiLvlLbl val="0"/>
      </c:catAx>
      <c:valAx>
        <c:axId val="23954976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291205120"/>
        <c:crosses val="autoZero"/>
        <c:crossBetween val="between"/>
      </c:valAx>
      <c:valAx>
        <c:axId val="714792960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714793536"/>
        <c:crosses val="max"/>
        <c:crossBetween val="midCat"/>
      </c:valAx>
      <c:valAx>
        <c:axId val="714793536"/>
        <c:scaling>
          <c:orientation val="minMax"/>
        </c:scaling>
        <c:delete val="1"/>
        <c:axPos val="b"/>
        <c:majorTickMark val="out"/>
        <c:minorTickMark val="none"/>
        <c:tickLblPos val="none"/>
        <c:crossAx val="714792960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222" r="0.75000000000000222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15.629999999999999</c:v>
              </c:pt>
              <c:pt idx="1">
                <c:v>15.654</c:v>
              </c:pt>
              <c:pt idx="2">
                <c:v>15.678000000000001</c:v>
              </c:pt>
              <c:pt idx="3">
                <c:v>15.702</c:v>
              </c:pt>
              <c:pt idx="4">
                <c:v>15.726000000000001</c:v>
              </c:pt>
              <c:pt idx="5">
                <c:v>15.75</c:v>
              </c:pt>
              <c:pt idx="6">
                <c:v>15.774000000000001</c:v>
              </c:pt>
              <c:pt idx="7">
                <c:v>15.797999999999998</c:v>
              </c:pt>
              <c:pt idx="8">
                <c:v>15.822000000000006</c:v>
              </c:pt>
              <c:pt idx="9">
                <c:v>15.846</c:v>
              </c:pt>
              <c:pt idx="10">
                <c:v>15.870000000000006</c:v>
              </c:pt>
              <c:pt idx="11">
                <c:v>15.894</c:v>
              </c:pt>
              <c:pt idx="12">
                <c:v>15.918000000000001</c:v>
              </c:pt>
              <c:pt idx="13">
                <c:v>15.942</c:v>
              </c:pt>
              <c:pt idx="14">
                <c:v>15.966000000000006</c:v>
              </c:pt>
              <c:pt idx="15">
                <c:v>15.99</c:v>
              </c:pt>
              <c:pt idx="16">
                <c:v>16.013999999999999</c:v>
              </c:pt>
              <c:pt idx="17">
                <c:v>16.038</c:v>
              </c:pt>
              <c:pt idx="18">
                <c:v>16.061999999999987</c:v>
              </c:pt>
              <c:pt idx="19">
                <c:v>16.085999999999903</c:v>
              </c:pt>
              <c:pt idx="20">
                <c:v>16.110000000000031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2</c:v>
              </c:pt>
              <c:pt idx="5">
                <c:v>12</c:v>
              </c:pt>
              <c:pt idx="6">
                <c:v>22</c:v>
              </c:pt>
              <c:pt idx="7">
                <c:v>64</c:v>
              </c:pt>
              <c:pt idx="8">
                <c:v>303</c:v>
              </c:pt>
              <c:pt idx="9">
                <c:v>568</c:v>
              </c:pt>
              <c:pt idx="10">
                <c:v>715</c:v>
              </c:pt>
              <c:pt idx="11">
                <c:v>715</c:v>
              </c:pt>
              <c:pt idx="12">
                <c:v>638</c:v>
              </c:pt>
              <c:pt idx="13">
                <c:v>375</c:v>
              </c:pt>
              <c:pt idx="14">
                <c:v>101</c:v>
              </c:pt>
              <c:pt idx="15">
                <c:v>15</c:v>
              </c:pt>
              <c:pt idx="16">
                <c:v>3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C18-D14E-9B95-1AFDA131A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91268608"/>
        <c:axId val="714796992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5.9511175684109552E-9</c:v>
              </c:pt>
              <c:pt idx="1">
                <c:v>2.3093059067448406E-7</c:v>
              </c:pt>
              <c:pt idx="2">
                <c:v>6.3406810130307089E-6</c:v>
              </c:pt>
              <c:pt idx="3">
                <c:v>1.23186113215509E-4</c:v>
              </c:pt>
              <c:pt idx="4">
                <c:v>1.6933989677791921E-3</c:v>
              </c:pt>
              <c:pt idx="5">
                <c:v>1.6471316341792601E-2</c:v>
              </c:pt>
              <c:pt idx="6">
                <c:v>0.11336227897061753</c:v>
              </c:pt>
              <c:pt idx="7">
                <c:v>0.55205252504448199</c:v>
              </c:pt>
              <c:pt idx="8">
                <c:v>1.902233412359849</c:v>
              </c:pt>
              <c:pt idx="9">
                <c:v>4.6378722655523639</c:v>
              </c:pt>
              <c:pt idx="10">
                <c:v>8.0010195841539922</c:v>
              </c:pt>
              <c:pt idx="11">
                <c:v>9.7666012359235221</c:v>
              </c:pt>
              <c:pt idx="12">
                <c:v>8.4355450931440412</c:v>
              </c:pt>
              <c:pt idx="13">
                <c:v>5.1553056508691055</c:v>
              </c:pt>
              <c:pt idx="14">
                <c:v>2.2292935495513766</c:v>
              </c:pt>
              <c:pt idx="15">
                <c:v>0.68210568982902997</c:v>
              </c:pt>
              <c:pt idx="16">
                <c:v>0.1476752305764292</c:v>
              </c:pt>
              <c:pt idx="17">
                <c:v>2.2622219686908824E-2</c:v>
              </c:pt>
              <c:pt idx="18">
                <c:v>2.4520783678655899E-3</c:v>
              </c:pt>
              <c:pt idx="19">
                <c:v>1.8806373151751267E-4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8C18-D14E-9B95-1AFDA131A1F3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2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8C18-D14E-9B95-1AFDA131A1F3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</c:v>
              </c:pt>
              <c:pt idx="1">
                <c:v>10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8C18-D14E-9B95-1AFDA131A1F3}"/>
            </c:ext>
          </c:extLst>
        </c:ser>
        <c:ser>
          <c:idx val="4"/>
          <c:order val="4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8C18-D14E-9B95-1AFDA131A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4798144"/>
        <c:axId val="714797568"/>
      </c:scatterChart>
      <c:catAx>
        <c:axId val="291268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714796992"/>
        <c:crosses val="autoZero"/>
        <c:auto val="1"/>
        <c:lblAlgn val="ctr"/>
        <c:lblOffset val="100"/>
        <c:noMultiLvlLbl val="0"/>
      </c:catAx>
      <c:valAx>
        <c:axId val="71479699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291268608"/>
        <c:crosses val="autoZero"/>
        <c:crossBetween val="between"/>
      </c:valAx>
      <c:valAx>
        <c:axId val="714797568"/>
        <c:scaling>
          <c:orientation val="minMax"/>
          <c:max val="15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714798144"/>
        <c:crosses val="max"/>
        <c:crossBetween val="midCat"/>
      </c:valAx>
      <c:valAx>
        <c:axId val="714798144"/>
        <c:scaling>
          <c:orientation val="minMax"/>
        </c:scaling>
        <c:delete val="1"/>
        <c:axPos val="b"/>
        <c:majorTickMark val="out"/>
        <c:minorTickMark val="none"/>
        <c:tickLblPos val="none"/>
        <c:crossAx val="714797568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222" r="0.75000000000000222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37.913000000000004</c:v>
              </c:pt>
              <c:pt idx="1">
                <c:v>38.325000000000003</c:v>
              </c:pt>
              <c:pt idx="2">
                <c:v>38.737000000000002</c:v>
              </c:pt>
              <c:pt idx="3">
                <c:v>39.15</c:v>
              </c:pt>
              <c:pt idx="4">
                <c:v>39.562000000000012</c:v>
              </c:pt>
              <c:pt idx="5">
                <c:v>39.974000000000004</c:v>
              </c:pt>
              <c:pt idx="6">
                <c:v>40.385999999999996</c:v>
              </c:pt>
              <c:pt idx="7">
                <c:v>40.798000000000158</c:v>
              </c:pt>
              <c:pt idx="8">
                <c:v>41.211000000000006</c:v>
              </c:pt>
              <c:pt idx="9">
                <c:v>41.623000000000012</c:v>
              </c:pt>
              <c:pt idx="10">
                <c:v>42.035000000000011</c:v>
              </c:pt>
              <c:pt idx="11">
                <c:v>42.446999999999996</c:v>
              </c:pt>
              <c:pt idx="12">
                <c:v>42.858999999999995</c:v>
              </c:pt>
              <c:pt idx="13">
                <c:v>43.272000000000013</c:v>
              </c:pt>
              <c:pt idx="14">
                <c:v>43.684000000000005</c:v>
              </c:pt>
              <c:pt idx="15">
                <c:v>44.096000000000011</c:v>
              </c:pt>
              <c:pt idx="16">
                <c:v>44.508000000000003</c:v>
              </c:pt>
              <c:pt idx="17">
                <c:v>44.92</c:v>
              </c:pt>
              <c:pt idx="18">
                <c:v>45.333000000000006</c:v>
              </c:pt>
              <c:pt idx="19">
                <c:v>45.745000000000012</c:v>
              </c:pt>
              <c:pt idx="20">
                <c:v>46.157000000000004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0</c:v>
              </c:pt>
              <c:pt idx="2">
                <c:v>3</c:v>
              </c:pt>
              <c:pt idx="3">
                <c:v>3</c:v>
              </c:pt>
              <c:pt idx="4">
                <c:v>5</c:v>
              </c:pt>
              <c:pt idx="5">
                <c:v>8</c:v>
              </c:pt>
              <c:pt idx="6">
                <c:v>26</c:v>
              </c:pt>
              <c:pt idx="7">
                <c:v>76</c:v>
              </c:pt>
              <c:pt idx="8">
                <c:v>334</c:v>
              </c:pt>
              <c:pt idx="9">
                <c:v>640</c:v>
              </c:pt>
              <c:pt idx="10">
                <c:v>759</c:v>
              </c:pt>
              <c:pt idx="11">
                <c:v>708</c:v>
              </c:pt>
              <c:pt idx="12">
                <c:v>477</c:v>
              </c:pt>
              <c:pt idx="13">
                <c:v>270</c:v>
              </c:pt>
              <c:pt idx="14">
                <c:v>140</c:v>
              </c:pt>
              <c:pt idx="15">
                <c:v>75</c:v>
              </c:pt>
              <c:pt idx="16">
                <c:v>5</c:v>
              </c:pt>
              <c:pt idx="17">
                <c:v>3</c:v>
              </c:pt>
              <c:pt idx="18">
                <c:v>1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640-D947-93A2-8A3CF4D85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61830400"/>
        <c:axId val="227656256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1.3652459682148254E-8</c:v>
              </c:pt>
              <c:pt idx="1">
                <c:v>2.8436493403535864E-7</c:v>
              </c:pt>
              <c:pt idx="2">
                <c:v>4.4325768772231834E-6</c:v>
              </c:pt>
              <c:pt idx="3">
                <c:v>5.1707252759169014E-5</c:v>
              </c:pt>
              <c:pt idx="4">
                <c:v>4.5140050321243902E-4</c:v>
              </c:pt>
              <c:pt idx="5">
                <c:v>2.9490876091607188E-3</c:v>
              </c:pt>
              <c:pt idx="6">
                <c:v>1.4418775191486301E-2</c:v>
              </c:pt>
              <c:pt idx="7">
                <c:v>5.2757490271826087E-2</c:v>
              </c:pt>
              <c:pt idx="8">
                <c:v>0.14446243973244735</c:v>
              </c:pt>
              <c:pt idx="9">
                <c:v>0.29603347512608802</c:v>
              </c:pt>
              <c:pt idx="10">
                <c:v>0.45398519611008598</c:v>
              </c:pt>
              <c:pt idx="11">
                <c:v>0.52102404414335501</c:v>
              </c:pt>
              <c:pt idx="12">
                <c:v>0.44749588499515108</c:v>
              </c:pt>
              <c:pt idx="13">
                <c:v>0.28763089517442153</c:v>
              </c:pt>
              <c:pt idx="14">
                <c:v>0.13835575418132862</c:v>
              </c:pt>
              <c:pt idx="15">
                <c:v>4.9805135445556412E-2</c:v>
              </c:pt>
              <c:pt idx="16">
                <c:v>1.3417334011876199E-2</c:v>
              </c:pt>
              <c:pt idx="17">
                <c:v>2.7050390770999287E-3</c:v>
              </c:pt>
              <c:pt idx="18">
                <c:v>4.0812769055748505E-4</c:v>
              </c:pt>
              <c:pt idx="19">
                <c:v>4.6082261743762017E-5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D640-D947-93A2-8A3CF4D856FC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2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0.60000000000000064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D640-D947-93A2-8A3CF4D856FC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9</c:v>
              </c:pt>
              <c:pt idx="1">
                <c:v>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0.60000000000000064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D640-D947-93A2-8A3CF4D856FC}"/>
            </c:ext>
          </c:extLst>
        </c:ser>
        <c:ser>
          <c:idx val="4"/>
          <c:order val="4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17</c:v>
              </c:pt>
              <c:pt idx="1">
                <c:v>17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0.60000000000000064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D640-D947-93A2-8A3CF4D85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657408"/>
        <c:axId val="227656832"/>
      </c:scatterChart>
      <c:catAx>
        <c:axId val="361830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227656256"/>
        <c:crosses val="autoZero"/>
        <c:auto val="1"/>
        <c:lblAlgn val="ctr"/>
        <c:lblOffset val="100"/>
        <c:noMultiLvlLbl val="0"/>
      </c:catAx>
      <c:valAx>
        <c:axId val="22765625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61830400"/>
        <c:crosses val="autoZero"/>
        <c:crossBetween val="between"/>
      </c:valAx>
      <c:valAx>
        <c:axId val="227656832"/>
        <c:scaling>
          <c:orientation val="minMax"/>
          <c:max val="0.60000000000000064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227657408"/>
        <c:crosses val="max"/>
        <c:crossBetween val="midCat"/>
      </c:valAx>
      <c:valAx>
        <c:axId val="227657408"/>
        <c:scaling>
          <c:orientation val="minMax"/>
        </c:scaling>
        <c:delete val="1"/>
        <c:axPos val="b"/>
        <c:majorTickMark val="out"/>
        <c:minorTickMark val="none"/>
        <c:tickLblPos val="none"/>
        <c:crossAx val="227656832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222" r="0.75000000000000222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38</c:v>
              </c:pt>
              <c:pt idx="1">
                <c:v>38.36</c:v>
              </c:pt>
              <c:pt idx="2">
                <c:v>38.720000000000013</c:v>
              </c:pt>
              <c:pt idx="3">
                <c:v>39.08</c:v>
              </c:pt>
              <c:pt idx="4">
                <c:v>39.44</c:v>
              </c:pt>
              <c:pt idx="5">
                <c:v>39.800000000000004</c:v>
              </c:pt>
              <c:pt idx="6">
                <c:v>40.160000000000011</c:v>
              </c:pt>
              <c:pt idx="7">
                <c:v>40.520000000000003</c:v>
              </c:pt>
              <c:pt idx="8">
                <c:v>40.879999999999995</c:v>
              </c:pt>
              <c:pt idx="9">
                <c:v>41.24</c:v>
              </c:pt>
              <c:pt idx="10">
                <c:v>41.6</c:v>
              </c:pt>
              <c:pt idx="11">
                <c:v>41.96</c:v>
              </c:pt>
              <c:pt idx="12">
                <c:v>42.32</c:v>
              </c:pt>
              <c:pt idx="13">
                <c:v>42.68</c:v>
              </c:pt>
              <c:pt idx="14">
                <c:v>43.04</c:v>
              </c:pt>
              <c:pt idx="15">
                <c:v>43.4</c:v>
              </c:pt>
              <c:pt idx="16">
                <c:v>43.760000000000012</c:v>
              </c:pt>
              <c:pt idx="17">
                <c:v>44.120000000000012</c:v>
              </c:pt>
              <c:pt idx="18">
                <c:v>44.48</c:v>
              </c:pt>
              <c:pt idx="19">
                <c:v>44.839999999999996</c:v>
              </c:pt>
              <c:pt idx="20">
                <c:v>45.2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0</c:v>
              </c:pt>
              <c:pt idx="2">
                <c:v>7</c:v>
              </c:pt>
              <c:pt idx="3">
                <c:v>10</c:v>
              </c:pt>
              <c:pt idx="4">
                <c:v>24</c:v>
              </c:pt>
              <c:pt idx="5">
                <c:v>88</c:v>
              </c:pt>
              <c:pt idx="6">
                <c:v>229</c:v>
              </c:pt>
              <c:pt idx="7">
                <c:v>384</c:v>
              </c:pt>
              <c:pt idx="8">
                <c:v>502</c:v>
              </c:pt>
              <c:pt idx="9">
                <c:v>574</c:v>
              </c:pt>
              <c:pt idx="10">
                <c:v>732</c:v>
              </c:pt>
              <c:pt idx="11">
                <c:v>573</c:v>
              </c:pt>
              <c:pt idx="12">
                <c:v>273</c:v>
              </c:pt>
              <c:pt idx="13">
                <c:v>87</c:v>
              </c:pt>
              <c:pt idx="14">
                <c:v>28</c:v>
              </c:pt>
              <c:pt idx="15">
                <c:v>11</c:v>
              </c:pt>
              <c:pt idx="16">
                <c:v>9</c:v>
              </c:pt>
              <c:pt idx="17">
                <c:v>1</c:v>
              </c:pt>
              <c:pt idx="18">
                <c:v>1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8D2-7543-AD71-2AB0EF615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61908224"/>
        <c:axId val="227660864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8.0768876409805768E-6</c:v>
              </c:pt>
              <c:pt idx="1">
                <c:v>7.0770194712176397E-5</c:v>
              </c:pt>
              <c:pt idx="2">
                <c:v>4.8987094107929262E-4</c:v>
              </c:pt>
              <c:pt idx="3">
                <c:v>2.6787845805394173E-3</c:v>
              </c:pt>
              <c:pt idx="4">
                <c:v>1.1572283608069021E-2</c:v>
              </c:pt>
              <c:pt idx="5">
                <c:v>3.9493466149709298E-2</c:v>
              </c:pt>
              <c:pt idx="6">
                <c:v>0.106477130497961</c:v>
              </c:pt>
              <c:pt idx="7">
                <c:v>0.226783957904445</c:v>
              </c:pt>
              <c:pt idx="8">
                <c:v>0.38158669796050992</c:v>
              </c:pt>
              <c:pt idx="9">
                <c:v>0.50722310447607899</c:v>
              </c:pt>
              <c:pt idx="10">
                <c:v>0.53263503970012205</c:v>
              </c:pt>
              <c:pt idx="11">
                <c:v>0.4418606666212434</c:v>
              </c:pt>
              <c:pt idx="12">
                <c:v>0.28957829952449288</c:v>
              </c:pt>
              <c:pt idx="13">
                <c:v>0.14992419434547688</c:v>
              </c:pt>
              <c:pt idx="14">
                <c:v>6.1320046302124176E-2</c:v>
              </c:pt>
              <c:pt idx="15">
                <c:v>1.9813366118330705E-2</c:v>
              </c:pt>
              <c:pt idx="16">
                <c:v>5.0575373107524897E-3</c:v>
              </c:pt>
              <c:pt idx="17">
                <c:v>1.0198703504589999E-3</c:v>
              </c:pt>
              <c:pt idx="18">
                <c:v>1.6247100886302311E-4</c:v>
              </c:pt>
              <c:pt idx="19">
                <c:v>2.0447105057280759E-5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B8D2-7543-AD71-2AB0EF61583F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2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0.60000000000000064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B8D2-7543-AD71-2AB0EF61583F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11</c:v>
              </c:pt>
              <c:pt idx="1">
                <c:v>11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0.60000000000000064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B8D2-7543-AD71-2AB0EF61583F}"/>
            </c:ext>
          </c:extLst>
        </c:ser>
        <c:ser>
          <c:idx val="4"/>
          <c:order val="4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0.60000000000000064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B8D2-7543-AD71-2AB0EF615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662016"/>
        <c:axId val="227661440"/>
      </c:scatterChart>
      <c:catAx>
        <c:axId val="361908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227660864"/>
        <c:crosses val="autoZero"/>
        <c:auto val="1"/>
        <c:lblAlgn val="ctr"/>
        <c:lblOffset val="100"/>
        <c:noMultiLvlLbl val="0"/>
      </c:catAx>
      <c:valAx>
        <c:axId val="22766086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61908224"/>
        <c:crosses val="autoZero"/>
        <c:crossBetween val="between"/>
      </c:valAx>
      <c:valAx>
        <c:axId val="227661440"/>
        <c:scaling>
          <c:orientation val="minMax"/>
          <c:max val="0.60000000000000064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227662016"/>
        <c:crosses val="max"/>
        <c:crossBetween val="midCat"/>
      </c:valAx>
      <c:valAx>
        <c:axId val="227662016"/>
        <c:scaling>
          <c:orientation val="minMax"/>
        </c:scaling>
        <c:delete val="1"/>
        <c:axPos val="b"/>
        <c:majorTickMark val="out"/>
        <c:minorTickMark val="none"/>
        <c:tickLblPos val="none"/>
        <c:crossAx val="227661440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222" r="0.75000000000000222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8.9</c:v>
              </c:pt>
              <c:pt idx="1">
                <c:v>8.918000000000001</c:v>
              </c:pt>
              <c:pt idx="2">
                <c:v>8.9360000000000035</c:v>
              </c:pt>
              <c:pt idx="3">
                <c:v>8.9540000000000006</c:v>
              </c:pt>
              <c:pt idx="4">
                <c:v>8.9720000000000066</c:v>
              </c:pt>
              <c:pt idx="5">
                <c:v>8.99</c:v>
              </c:pt>
              <c:pt idx="6">
                <c:v>9.0080000000000009</c:v>
              </c:pt>
              <c:pt idx="7">
                <c:v>9.0260000000000016</c:v>
              </c:pt>
              <c:pt idx="8">
                <c:v>9.0439999999999987</c:v>
              </c:pt>
              <c:pt idx="9">
                <c:v>9.0620000000000047</c:v>
              </c:pt>
              <c:pt idx="10">
                <c:v>9.08</c:v>
              </c:pt>
              <c:pt idx="11">
                <c:v>9.097999999999999</c:v>
              </c:pt>
              <c:pt idx="12">
                <c:v>9.1160000000000014</c:v>
              </c:pt>
              <c:pt idx="13">
                <c:v>9.1339999999999986</c:v>
              </c:pt>
              <c:pt idx="14">
                <c:v>9.1520000000000028</c:v>
              </c:pt>
              <c:pt idx="15">
                <c:v>9.17</c:v>
              </c:pt>
              <c:pt idx="16">
                <c:v>9.1879999999999988</c:v>
              </c:pt>
              <c:pt idx="17">
                <c:v>9.2060000000000013</c:v>
              </c:pt>
              <c:pt idx="18">
                <c:v>9.2239999999999984</c:v>
              </c:pt>
              <c:pt idx="19">
                <c:v>9.2420000000000009</c:v>
              </c:pt>
              <c:pt idx="20">
                <c:v>9.26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0</c:v>
              </c:pt>
              <c:pt idx="2">
                <c:v>3</c:v>
              </c:pt>
              <c:pt idx="3">
                <c:v>22</c:v>
              </c:pt>
              <c:pt idx="4">
                <c:v>67</c:v>
              </c:pt>
              <c:pt idx="5">
                <c:v>220</c:v>
              </c:pt>
              <c:pt idx="6">
                <c:v>647</c:v>
              </c:pt>
              <c:pt idx="7">
                <c:v>965</c:v>
              </c:pt>
              <c:pt idx="8">
                <c:v>781</c:v>
              </c:pt>
              <c:pt idx="9">
                <c:v>559</c:v>
              </c:pt>
              <c:pt idx="10">
                <c:v>213</c:v>
              </c:pt>
              <c:pt idx="11">
                <c:v>55</c:v>
              </c:pt>
              <c:pt idx="12">
                <c:v>1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45D-9B44-AE4C-D1E619ED0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62006528"/>
        <c:axId val="714754304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9.6039722067314079E-6</c:v>
              </c:pt>
              <c:pt idx="1">
                <c:v>2.8495546929274191E-4</c:v>
              </c:pt>
              <c:pt idx="2">
                <c:v>5.3408577551331922E-3</c:v>
              </c:pt>
              <c:pt idx="3">
                <c:v>6.3234317717591804E-2</c:v>
              </c:pt>
              <c:pt idx="4">
                <c:v>0.47293643791148898</c:v>
              </c:pt>
              <c:pt idx="5">
                <c:v>2.2343982660319832</c:v>
              </c:pt>
              <c:pt idx="6">
                <c:v>6.668470986728626</c:v>
              </c:pt>
              <c:pt idx="7">
                <c:v>12.571868130354368</c:v>
              </c:pt>
              <c:pt idx="8">
                <c:v>14.972049297894973</c:v>
              </c:pt>
              <c:pt idx="9">
                <c:v>11.263431332539406</c:v>
              </c:pt>
              <c:pt idx="10">
                <c:v>5.3526422625766763</c:v>
              </c:pt>
              <c:pt idx="11">
                <c:v>1.6068441562630209</c:v>
              </c:pt>
              <c:pt idx="12">
                <c:v>0.30471043865065417</c:v>
              </c:pt>
              <c:pt idx="13">
                <c:v>3.6501351322967356E-2</c:v>
              </c:pt>
              <c:pt idx="14">
                <c:v>2.7620884287451299E-3</c:v>
              </c:pt>
              <c:pt idx="15">
                <c:v>1.3203075155317326E-4</c:v>
              </c:pt>
              <c:pt idx="16">
                <c:v>3.986765102973519E-6</c:v>
              </c:pt>
              <c:pt idx="17">
                <c:v>7.6045625534283721E-8</c:v>
              </c:pt>
              <c:pt idx="18">
                <c:v>9.162961482700433E-10</c:v>
              </c:pt>
              <c:pt idx="19">
                <c:v>6.9743786320419328E-12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C45D-9B44-AE4C-D1E619ED0C85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2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C45D-9B44-AE4C-D1E619ED0C85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9</c:v>
              </c:pt>
              <c:pt idx="1">
                <c:v>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C45D-9B44-AE4C-D1E619ED0C85}"/>
            </c:ext>
          </c:extLst>
        </c:ser>
        <c:ser>
          <c:idx val="4"/>
          <c:order val="4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C45D-9B44-AE4C-D1E619ED0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4755456"/>
        <c:axId val="714754880"/>
      </c:scatterChart>
      <c:catAx>
        <c:axId val="362006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714754304"/>
        <c:crosses val="autoZero"/>
        <c:auto val="1"/>
        <c:lblAlgn val="ctr"/>
        <c:lblOffset val="100"/>
        <c:noMultiLvlLbl val="0"/>
      </c:catAx>
      <c:valAx>
        <c:axId val="71475430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62006528"/>
        <c:crosses val="autoZero"/>
        <c:crossBetween val="between"/>
      </c:valAx>
      <c:valAx>
        <c:axId val="714754880"/>
        <c:scaling>
          <c:orientation val="minMax"/>
          <c:max val="2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714755456"/>
        <c:crosses val="max"/>
        <c:crossBetween val="midCat"/>
      </c:valAx>
      <c:valAx>
        <c:axId val="714755456"/>
        <c:scaling>
          <c:orientation val="minMax"/>
        </c:scaling>
        <c:delete val="1"/>
        <c:axPos val="b"/>
        <c:majorTickMark val="out"/>
        <c:minorTickMark val="none"/>
        <c:tickLblPos val="none"/>
        <c:crossAx val="714754880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222" r="0.75000000000000222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2.19</c:v>
              </c:pt>
              <c:pt idx="1">
                <c:v>2.2349999999999999</c:v>
              </c:pt>
              <c:pt idx="2">
                <c:v>2.2789999999999999</c:v>
              </c:pt>
              <c:pt idx="3">
                <c:v>2.323</c:v>
              </c:pt>
              <c:pt idx="4">
                <c:v>2.367</c:v>
              </c:pt>
              <c:pt idx="5">
                <c:v>2.4109999999999987</c:v>
              </c:pt>
              <c:pt idx="6">
                <c:v>2.4549999999999987</c:v>
              </c:pt>
              <c:pt idx="7">
                <c:v>2.5</c:v>
              </c:pt>
              <c:pt idx="8">
                <c:v>2.544</c:v>
              </c:pt>
              <c:pt idx="9">
                <c:v>2.5880000000000001</c:v>
              </c:pt>
              <c:pt idx="10">
                <c:v>2.6319999999999997</c:v>
              </c:pt>
              <c:pt idx="11">
                <c:v>2.6759999999999997</c:v>
              </c:pt>
              <c:pt idx="12">
                <c:v>2.72</c:v>
              </c:pt>
              <c:pt idx="13">
                <c:v>2.7640000000000002</c:v>
              </c:pt>
              <c:pt idx="14">
                <c:v>2.8089999999999997</c:v>
              </c:pt>
              <c:pt idx="15">
                <c:v>2.8529999999999927</c:v>
              </c:pt>
              <c:pt idx="16">
                <c:v>2.8969999999999967</c:v>
              </c:pt>
              <c:pt idx="17">
                <c:v>2.9409999999999998</c:v>
              </c:pt>
              <c:pt idx="18">
                <c:v>2.9849999999999999</c:v>
              </c:pt>
              <c:pt idx="19">
                <c:v>3.0289999999999999</c:v>
              </c:pt>
              <c:pt idx="20">
                <c:v>3.0739999999999998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12</c:v>
              </c:pt>
              <c:pt idx="6">
                <c:v>44</c:v>
              </c:pt>
              <c:pt idx="7">
                <c:v>151</c:v>
              </c:pt>
              <c:pt idx="8">
                <c:v>384</c:v>
              </c:pt>
              <c:pt idx="9">
                <c:v>595</c:v>
              </c:pt>
              <c:pt idx="10">
                <c:v>725</c:v>
              </c:pt>
              <c:pt idx="11">
                <c:v>618</c:v>
              </c:pt>
              <c:pt idx="12">
                <c:v>479</c:v>
              </c:pt>
              <c:pt idx="13">
                <c:v>291</c:v>
              </c:pt>
              <c:pt idx="14">
                <c:v>127</c:v>
              </c:pt>
              <c:pt idx="15">
                <c:v>61</c:v>
              </c:pt>
              <c:pt idx="16">
                <c:v>25</c:v>
              </c:pt>
              <c:pt idx="17">
                <c:v>15</c:v>
              </c:pt>
              <c:pt idx="18">
                <c:v>2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A48-8248-9AD2-55B1D67E7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62067968"/>
        <c:axId val="714758912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1.9802562521666546E-6</c:v>
              </c:pt>
              <c:pt idx="1">
                <c:v>2.555504884377225E-5</c:v>
              </c:pt>
              <c:pt idx="2">
                <c:v>2.5799141259331E-4</c:v>
              </c:pt>
              <c:pt idx="3">
                <c:v>2.0375440113440612E-3</c:v>
              </c:pt>
              <c:pt idx="4">
                <c:v>1.2588731163001101E-2</c:v>
              </c:pt>
              <c:pt idx="5">
                <c:v>6.0845733754143837E-2</c:v>
              </c:pt>
              <c:pt idx="6">
                <c:v>0.23006551127008887</c:v>
              </c:pt>
              <c:pt idx="7">
                <c:v>0.680528187664314</c:v>
              </c:pt>
              <c:pt idx="8">
                <c:v>1.574758389279848</c:v>
              </c:pt>
              <c:pt idx="9">
                <c:v>2.850722579758417</c:v>
              </c:pt>
              <c:pt idx="10">
                <c:v>4.0370970847394529</c:v>
              </c:pt>
              <c:pt idx="11">
                <c:v>4.472564828086889</c:v>
              </c:pt>
              <c:pt idx="12">
                <c:v>3.8762993444854197</c:v>
              </c:pt>
              <c:pt idx="13">
                <c:v>2.6281562662109703</c:v>
              </c:pt>
              <c:pt idx="14">
                <c:v>1.3939855547640481</c:v>
              </c:pt>
              <c:pt idx="15">
                <c:v>0.57841370612526288</c:v>
              </c:pt>
              <c:pt idx="16">
                <c:v>0.18775525036730614</c:v>
              </c:pt>
              <c:pt idx="17">
                <c:v>4.7678086606557847E-2</c:v>
              </c:pt>
              <c:pt idx="18">
                <c:v>9.471499895697004E-3</c:v>
              </c:pt>
              <c:pt idx="19">
                <c:v>1.4719461172094453E-3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7A48-8248-9AD2-55B1D67E7679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3</c:v>
              </c:pt>
              <c:pt idx="1">
                <c:v>3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7A48-8248-9AD2-55B1D67E7679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11</c:v>
              </c:pt>
              <c:pt idx="1">
                <c:v>11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7A48-8248-9AD2-55B1D67E7679}"/>
            </c:ext>
          </c:extLst>
        </c:ser>
        <c:ser>
          <c:idx val="4"/>
          <c:order val="4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7A48-8248-9AD2-55B1D67E7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114944"/>
        <c:axId val="714759488"/>
      </c:scatterChart>
      <c:catAx>
        <c:axId val="362067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714758912"/>
        <c:crosses val="autoZero"/>
        <c:auto val="1"/>
        <c:lblAlgn val="ctr"/>
        <c:lblOffset val="100"/>
        <c:noMultiLvlLbl val="0"/>
      </c:catAx>
      <c:valAx>
        <c:axId val="71475891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62067968"/>
        <c:crosses val="autoZero"/>
        <c:crossBetween val="between"/>
      </c:valAx>
      <c:valAx>
        <c:axId val="714759488"/>
        <c:scaling>
          <c:orientation val="minMax"/>
          <c:max val="6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40114944"/>
        <c:crosses val="max"/>
        <c:crossBetween val="midCat"/>
      </c:valAx>
      <c:valAx>
        <c:axId val="540114944"/>
        <c:scaling>
          <c:orientation val="minMax"/>
        </c:scaling>
        <c:delete val="1"/>
        <c:axPos val="b"/>
        <c:majorTickMark val="out"/>
        <c:minorTickMark val="none"/>
        <c:tickLblPos val="none"/>
        <c:crossAx val="714759488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222" r="0.75000000000000222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2.347</c:v>
              </c:pt>
              <c:pt idx="1">
                <c:v>2.3959999999999977</c:v>
              </c:pt>
              <c:pt idx="2">
                <c:v>2.444</c:v>
              </c:pt>
              <c:pt idx="3">
                <c:v>2.4919999999999987</c:v>
              </c:pt>
              <c:pt idx="4">
                <c:v>2.5409999999999999</c:v>
              </c:pt>
              <c:pt idx="5">
                <c:v>2.589</c:v>
              </c:pt>
              <c:pt idx="6">
                <c:v>2.637</c:v>
              </c:pt>
              <c:pt idx="7">
                <c:v>2.6859999999999999</c:v>
              </c:pt>
              <c:pt idx="8">
                <c:v>2.734</c:v>
              </c:pt>
              <c:pt idx="9">
                <c:v>2.782</c:v>
              </c:pt>
              <c:pt idx="10">
                <c:v>2.8299999999999987</c:v>
              </c:pt>
              <c:pt idx="11">
                <c:v>2.8789999999999987</c:v>
              </c:pt>
              <c:pt idx="12">
                <c:v>2.927</c:v>
              </c:pt>
              <c:pt idx="13">
                <c:v>2.9749999999999988</c:v>
              </c:pt>
              <c:pt idx="14">
                <c:v>3.024</c:v>
              </c:pt>
              <c:pt idx="15">
                <c:v>3.0719999999999987</c:v>
              </c:pt>
              <c:pt idx="16">
                <c:v>3.12</c:v>
              </c:pt>
              <c:pt idx="17">
                <c:v>3.169</c:v>
              </c:pt>
              <c:pt idx="18">
                <c:v>3.2170000000000001</c:v>
              </c:pt>
              <c:pt idx="19">
                <c:v>3.2650000000000001</c:v>
              </c:pt>
              <c:pt idx="20">
                <c:v>3.3139999999999987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3</c:v>
              </c:pt>
              <c:pt idx="2">
                <c:v>12</c:v>
              </c:pt>
              <c:pt idx="3">
                <c:v>25</c:v>
              </c:pt>
              <c:pt idx="4">
                <c:v>75</c:v>
              </c:pt>
              <c:pt idx="5">
                <c:v>138</c:v>
              </c:pt>
              <c:pt idx="6">
                <c:v>269</c:v>
              </c:pt>
              <c:pt idx="7">
                <c:v>438</c:v>
              </c:pt>
              <c:pt idx="8">
                <c:v>603</c:v>
              </c:pt>
              <c:pt idx="9">
                <c:v>579</c:v>
              </c:pt>
              <c:pt idx="10">
                <c:v>578</c:v>
              </c:pt>
              <c:pt idx="11">
                <c:v>384</c:v>
              </c:pt>
              <c:pt idx="12">
                <c:v>243</c:v>
              </c:pt>
              <c:pt idx="13">
                <c:v>103</c:v>
              </c:pt>
              <c:pt idx="14">
                <c:v>64</c:v>
              </c:pt>
              <c:pt idx="15">
                <c:v>14</c:v>
              </c:pt>
              <c:pt idx="16">
                <c:v>4</c:v>
              </c:pt>
              <c:pt idx="17">
                <c:v>0</c:v>
              </c:pt>
              <c:pt idx="18">
                <c:v>1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2E1-FD49-B4C5-2D8770957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65881344"/>
        <c:axId val="540118400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8.7113163357960201E-4</c:v>
              </c:pt>
              <c:pt idx="1">
                <c:v>4.7039417549654414E-3</c:v>
              </c:pt>
              <c:pt idx="2">
                <c:v>2.0993039416009818E-2</c:v>
              </c:pt>
              <c:pt idx="3">
                <c:v>7.7432632173205951E-2</c:v>
              </c:pt>
              <c:pt idx="4">
                <c:v>0.23605206085311101</c:v>
              </c:pt>
              <c:pt idx="5">
                <c:v>0.59473956445118203</c:v>
              </c:pt>
              <c:pt idx="6">
                <c:v>1.2384575490101761</c:v>
              </c:pt>
              <c:pt idx="7">
                <c:v>2.1314280613813001</c:v>
              </c:pt>
              <c:pt idx="8">
                <c:v>3.0317647130141228</c:v>
              </c:pt>
              <c:pt idx="9">
                <c:v>3.564146679132445</c:v>
              </c:pt>
              <c:pt idx="10">
                <c:v>3.4629873393258777</c:v>
              </c:pt>
              <c:pt idx="11">
                <c:v>2.7808751998292567</c:v>
              </c:pt>
              <c:pt idx="12">
                <c:v>1.8456409567911729</c:v>
              </c:pt>
              <c:pt idx="13">
                <c:v>1.0123905839476599</c:v>
              </c:pt>
              <c:pt idx="14">
                <c:v>0.45896982462269797</c:v>
              </c:pt>
              <c:pt idx="15">
                <c:v>0.17197104394711599</c:v>
              </c:pt>
              <c:pt idx="16">
                <c:v>5.3255158300107922E-2</c:v>
              </c:pt>
              <c:pt idx="17">
                <c:v>1.36302301893315E-2</c:v>
              </c:pt>
              <c:pt idx="18">
                <c:v>2.8832337881537157E-3</c:v>
              </c:pt>
              <c:pt idx="19">
                <c:v>5.0407096835732273E-4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72E1-FD49-B4C5-2D87709575D2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3</c:v>
              </c:pt>
              <c:pt idx="1">
                <c:v>3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72E1-FD49-B4C5-2D87709575D2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</c:v>
              </c:pt>
              <c:pt idx="1">
                <c:v>10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72E1-FD49-B4C5-2D87709575D2}"/>
            </c:ext>
          </c:extLst>
        </c:ser>
        <c:ser>
          <c:idx val="4"/>
          <c:order val="4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17</c:v>
              </c:pt>
              <c:pt idx="1">
                <c:v>17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72E1-FD49-B4C5-2D8770957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119552"/>
        <c:axId val="540118976"/>
      </c:scatterChart>
      <c:catAx>
        <c:axId val="365881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40118400"/>
        <c:crosses val="autoZero"/>
        <c:auto val="1"/>
        <c:lblAlgn val="ctr"/>
        <c:lblOffset val="100"/>
        <c:noMultiLvlLbl val="0"/>
      </c:catAx>
      <c:valAx>
        <c:axId val="54011840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65881344"/>
        <c:crosses val="autoZero"/>
        <c:crossBetween val="between"/>
      </c:valAx>
      <c:valAx>
        <c:axId val="540118976"/>
        <c:scaling>
          <c:orientation val="minMax"/>
          <c:max val="4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540119552"/>
        <c:crosses val="max"/>
        <c:crossBetween val="midCat"/>
      </c:valAx>
      <c:valAx>
        <c:axId val="540119552"/>
        <c:scaling>
          <c:orientation val="minMax"/>
        </c:scaling>
        <c:delete val="1"/>
        <c:axPos val="b"/>
        <c:majorTickMark val="out"/>
        <c:minorTickMark val="none"/>
        <c:tickLblPos val="none"/>
        <c:crossAx val="540118976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222" r="0.75000000000000222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8.613999999999999</c:v>
              </c:pt>
              <c:pt idx="1">
                <c:v>8.6399999999999988</c:v>
              </c:pt>
              <c:pt idx="2">
                <c:v>8.6670000000000016</c:v>
              </c:pt>
              <c:pt idx="3">
                <c:v>8.6930000000000014</c:v>
              </c:pt>
              <c:pt idx="4">
                <c:v>8.7200000000000006</c:v>
              </c:pt>
              <c:pt idx="5">
                <c:v>8.7459999999999987</c:v>
              </c:pt>
              <c:pt idx="6">
                <c:v>8.7730000000000015</c:v>
              </c:pt>
              <c:pt idx="7">
                <c:v>8.7989999999999995</c:v>
              </c:pt>
              <c:pt idx="8">
                <c:v>8.8260000000000005</c:v>
              </c:pt>
              <c:pt idx="9">
                <c:v>8.8520000000000394</c:v>
              </c:pt>
              <c:pt idx="10">
                <c:v>8.8790000000000067</c:v>
              </c:pt>
              <c:pt idx="11">
                <c:v>8.9060000000000006</c:v>
              </c:pt>
              <c:pt idx="12">
                <c:v>8.9320000000000004</c:v>
              </c:pt>
              <c:pt idx="13">
                <c:v>8.9590000000000067</c:v>
              </c:pt>
              <c:pt idx="14">
                <c:v>8.9850000000000048</c:v>
              </c:pt>
              <c:pt idx="15">
                <c:v>9.0120000000000005</c:v>
              </c:pt>
              <c:pt idx="16">
                <c:v>9.0379999999999985</c:v>
              </c:pt>
              <c:pt idx="17">
                <c:v>9.0650000000000048</c:v>
              </c:pt>
              <c:pt idx="18">
                <c:v>9.0910000000000011</c:v>
              </c:pt>
              <c:pt idx="19">
                <c:v>9.1179999999999986</c:v>
              </c:pt>
              <c:pt idx="20">
                <c:v>9.1439999999999984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4</c:v>
              </c:pt>
              <c:pt idx="2">
                <c:v>12</c:v>
              </c:pt>
              <c:pt idx="3">
                <c:v>20</c:v>
              </c:pt>
              <c:pt idx="4">
                <c:v>78</c:v>
              </c:pt>
              <c:pt idx="5">
                <c:v>158</c:v>
              </c:pt>
              <c:pt idx="6">
                <c:v>371</c:v>
              </c:pt>
              <c:pt idx="7">
                <c:v>561</c:v>
              </c:pt>
              <c:pt idx="8">
                <c:v>776</c:v>
              </c:pt>
              <c:pt idx="9">
                <c:v>695</c:v>
              </c:pt>
              <c:pt idx="10">
                <c:v>474</c:v>
              </c:pt>
              <c:pt idx="11">
                <c:v>250</c:v>
              </c:pt>
              <c:pt idx="12">
                <c:v>107</c:v>
              </c:pt>
              <c:pt idx="13">
                <c:v>23</c:v>
              </c:pt>
              <c:pt idx="14">
                <c:v>4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9B00-2A48-936A-64F9C48B1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66129152"/>
        <c:axId val="785268736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2.2064331701114918E-4</c:v>
              </c:pt>
              <c:pt idx="1">
                <c:v>2.1488114725023801E-3</c:v>
              </c:pt>
              <c:pt idx="2">
                <c:v>1.5847519408698701E-2</c:v>
              </c:pt>
              <c:pt idx="3">
                <c:v>8.8507426417505947E-2</c:v>
              </c:pt>
              <c:pt idx="4">
                <c:v>0.37432908710701246</c:v>
              </c:pt>
              <c:pt idx="5">
                <c:v>1.1988997775339678</c:v>
              </c:pt>
              <c:pt idx="6">
                <c:v>2.9078207154572682</c:v>
              </c:pt>
              <c:pt idx="7">
                <c:v>5.3408184436935784</c:v>
              </c:pt>
              <c:pt idx="8">
                <c:v>7.4285396446791783</c:v>
              </c:pt>
              <c:pt idx="9">
                <c:v>7.8244625849339853</c:v>
              </c:pt>
              <c:pt idx="10">
                <c:v>6.2410984439088484</c:v>
              </c:pt>
              <c:pt idx="11">
                <c:v>3.769840621640232</c:v>
              </c:pt>
              <c:pt idx="12">
                <c:v>1.7244094284444909</c:v>
              </c:pt>
              <c:pt idx="13">
                <c:v>0.59732849070737759</c:v>
              </c:pt>
              <c:pt idx="14">
                <c:v>0.15669008378349208</c:v>
              </c:pt>
              <c:pt idx="15">
                <c:v>3.1126137948828299E-2</c:v>
              </c:pt>
              <c:pt idx="16">
                <c:v>4.6823557302450702E-3</c:v>
              </c:pt>
              <c:pt idx="17">
                <c:v>5.3340737283509012E-4</c:v>
              </c:pt>
              <c:pt idx="18">
                <c:v>4.6016021318384247E-5</c:v>
              </c:pt>
              <c:pt idx="19">
                <c:v>3.0061770774657231E-6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9B00-2A48-936A-64F9C48B135D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9B00-2A48-936A-64F9C48B1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5269888"/>
        <c:axId val="785269312"/>
      </c:scatterChart>
      <c:catAx>
        <c:axId val="366129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785268736"/>
        <c:crosses val="autoZero"/>
        <c:auto val="1"/>
        <c:lblAlgn val="ctr"/>
        <c:lblOffset val="100"/>
        <c:noMultiLvlLbl val="0"/>
      </c:catAx>
      <c:valAx>
        <c:axId val="78526873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66129152"/>
        <c:crosses val="autoZero"/>
        <c:crossBetween val="between"/>
      </c:valAx>
      <c:valAx>
        <c:axId val="785269312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785269888"/>
        <c:crosses val="max"/>
        <c:crossBetween val="midCat"/>
      </c:valAx>
      <c:valAx>
        <c:axId val="785269888"/>
        <c:scaling>
          <c:orientation val="minMax"/>
        </c:scaling>
        <c:delete val="1"/>
        <c:axPos val="b"/>
        <c:majorTickMark val="out"/>
        <c:minorTickMark val="none"/>
        <c:tickLblPos val="none"/>
        <c:crossAx val="785269312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222" r="0.75000000000000222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8.57</c:v>
              </c:pt>
              <c:pt idx="1">
                <c:v>8.5990000000000002</c:v>
              </c:pt>
              <c:pt idx="2">
                <c:v>8.6279999999999983</c:v>
              </c:pt>
              <c:pt idx="3">
                <c:v>8.657</c:v>
              </c:pt>
              <c:pt idx="4">
                <c:v>8.6850000000000005</c:v>
              </c:pt>
              <c:pt idx="5">
                <c:v>8.7139999999999986</c:v>
              </c:pt>
              <c:pt idx="6">
                <c:v>8.7429999999999986</c:v>
              </c:pt>
              <c:pt idx="7">
                <c:v>8.7720000000000002</c:v>
              </c:pt>
              <c:pt idx="8">
                <c:v>8.8010000000000002</c:v>
              </c:pt>
              <c:pt idx="9">
                <c:v>8.83</c:v>
              </c:pt>
              <c:pt idx="10">
                <c:v>8.8590000000000266</c:v>
              </c:pt>
              <c:pt idx="11">
                <c:v>8.8880000000000035</c:v>
              </c:pt>
              <c:pt idx="12">
                <c:v>8.9170000000000016</c:v>
              </c:pt>
              <c:pt idx="13">
                <c:v>8.9460000000000015</c:v>
              </c:pt>
              <c:pt idx="14">
                <c:v>8.9750000000000068</c:v>
              </c:pt>
              <c:pt idx="15">
                <c:v>9.0040000000000013</c:v>
              </c:pt>
              <c:pt idx="16">
                <c:v>9.0330000000000013</c:v>
              </c:pt>
              <c:pt idx="17">
                <c:v>9.0610000000000035</c:v>
              </c:pt>
              <c:pt idx="18">
                <c:v>9.09</c:v>
              </c:pt>
              <c:pt idx="19">
                <c:v>9.1189999999999998</c:v>
              </c:pt>
              <c:pt idx="20">
                <c:v>9.1479999999999961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1</c:v>
              </c:pt>
              <c:pt idx="2">
                <c:v>1</c:v>
              </c:pt>
              <c:pt idx="3">
                <c:v>9</c:v>
              </c:pt>
              <c:pt idx="4">
                <c:v>13</c:v>
              </c:pt>
              <c:pt idx="5">
                <c:v>66</c:v>
              </c:pt>
              <c:pt idx="6">
                <c:v>152</c:v>
              </c:pt>
              <c:pt idx="7">
                <c:v>383</c:v>
              </c:pt>
              <c:pt idx="8">
                <c:v>627</c:v>
              </c:pt>
              <c:pt idx="9">
                <c:v>792</c:v>
              </c:pt>
              <c:pt idx="10">
                <c:v>756</c:v>
              </c:pt>
              <c:pt idx="11">
                <c:v>438</c:v>
              </c:pt>
              <c:pt idx="12">
                <c:v>216</c:v>
              </c:pt>
              <c:pt idx="13">
                <c:v>66</c:v>
              </c:pt>
              <c:pt idx="14">
                <c:v>11</c:v>
              </c:pt>
              <c:pt idx="15">
                <c:v>2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F89-AA43-B057-5751CFC80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66395392"/>
        <c:axId val="785273344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2.40220783330371E-6</c:v>
              </c:pt>
              <c:pt idx="1">
                <c:v>4.6465033077484501E-5</c:v>
              </c:pt>
              <c:pt idx="2">
                <c:v>6.4906131418725123E-4</c:v>
              </c:pt>
              <c:pt idx="3">
                <c:v>6.5477052546463596E-3</c:v>
              </c:pt>
              <c:pt idx="4">
                <c:v>4.7701944182579899E-2</c:v>
              </c:pt>
              <c:pt idx="5">
                <c:v>0.25097292780376618</c:v>
              </c:pt>
              <c:pt idx="6">
                <c:v>0.95358961554548782</c:v>
              </c:pt>
              <c:pt idx="7">
                <c:v>2.6166159696663587</c:v>
              </c:pt>
              <c:pt idx="8">
                <c:v>5.1851616582097666</c:v>
              </c:pt>
              <c:pt idx="9">
                <c:v>7.4204194142502731</c:v>
              </c:pt>
              <c:pt idx="10">
                <c:v>7.6689942951997256</c:v>
              </c:pt>
              <c:pt idx="11">
                <c:v>5.7239004175158277</c:v>
              </c:pt>
              <c:pt idx="12">
                <c:v>3.0852432954499189</c:v>
              </c:pt>
              <c:pt idx="13">
                <c:v>1.2009652964156714</c:v>
              </c:pt>
              <c:pt idx="14">
                <c:v>0.33760991444825705</c:v>
              </c:pt>
              <c:pt idx="15">
                <c:v>6.8539924038347924E-2</c:v>
              </c:pt>
              <c:pt idx="16">
                <c:v>1.0048835542595103E-2</c:v>
              </c:pt>
              <c:pt idx="17">
                <c:v>1.06397531386069E-3</c:v>
              </c:pt>
              <c:pt idx="18">
                <c:v>8.1356275378038039E-5</c:v>
              </c:pt>
              <c:pt idx="19">
                <c:v>4.492563834738051E-6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BF89-AA43-B057-5751CFC80942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BF89-AA43-B057-5751CFC80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5274496"/>
        <c:axId val="785273920"/>
      </c:scatterChart>
      <c:catAx>
        <c:axId val="366395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785273344"/>
        <c:crosses val="autoZero"/>
        <c:auto val="1"/>
        <c:lblAlgn val="ctr"/>
        <c:lblOffset val="100"/>
        <c:noMultiLvlLbl val="0"/>
      </c:catAx>
      <c:valAx>
        <c:axId val="78527334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66395392"/>
        <c:crosses val="autoZero"/>
        <c:crossBetween val="between"/>
      </c:valAx>
      <c:valAx>
        <c:axId val="785273920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785274496"/>
        <c:crosses val="max"/>
        <c:crossBetween val="midCat"/>
      </c:valAx>
      <c:valAx>
        <c:axId val="785274496"/>
        <c:scaling>
          <c:orientation val="minMax"/>
        </c:scaling>
        <c:delete val="1"/>
        <c:axPos val="b"/>
        <c:majorTickMark val="out"/>
        <c:minorTickMark val="none"/>
        <c:tickLblPos val="none"/>
        <c:crossAx val="785273920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222" r="0.75000000000000222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8.5710000000000015</c:v>
              </c:pt>
              <c:pt idx="1">
                <c:v>8.6</c:v>
              </c:pt>
              <c:pt idx="2">
                <c:v>8.6289999999999996</c:v>
              </c:pt>
              <c:pt idx="3">
                <c:v>8.657</c:v>
              </c:pt>
              <c:pt idx="4">
                <c:v>8.6860000000000035</c:v>
              </c:pt>
              <c:pt idx="5">
                <c:v>8.7150000000000016</c:v>
              </c:pt>
              <c:pt idx="6">
                <c:v>8.7439999999999962</c:v>
              </c:pt>
              <c:pt idx="7">
                <c:v>8.7730000000000015</c:v>
              </c:pt>
              <c:pt idx="8">
                <c:v>8.8020000000000067</c:v>
              </c:pt>
              <c:pt idx="9">
                <c:v>8.8310000000000013</c:v>
              </c:pt>
              <c:pt idx="10">
                <c:v>8.8590000000000266</c:v>
              </c:pt>
              <c:pt idx="11">
                <c:v>8.8880000000000035</c:v>
              </c:pt>
              <c:pt idx="12">
                <c:v>8.9170000000000016</c:v>
              </c:pt>
              <c:pt idx="13">
                <c:v>8.9460000000000015</c:v>
              </c:pt>
              <c:pt idx="14">
                <c:v>8.9750000000000068</c:v>
              </c:pt>
              <c:pt idx="15">
                <c:v>9.0040000000000013</c:v>
              </c:pt>
              <c:pt idx="16">
                <c:v>9.0330000000000013</c:v>
              </c:pt>
              <c:pt idx="17">
                <c:v>9.0620000000000047</c:v>
              </c:pt>
              <c:pt idx="18">
                <c:v>9.09</c:v>
              </c:pt>
              <c:pt idx="19">
                <c:v>9.1189999999999998</c:v>
              </c:pt>
              <c:pt idx="20">
                <c:v>9.1479999999999961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1</c:v>
              </c:pt>
              <c:pt idx="2">
                <c:v>0</c:v>
              </c:pt>
              <c:pt idx="3">
                <c:v>10</c:v>
              </c:pt>
              <c:pt idx="4">
                <c:v>15</c:v>
              </c:pt>
              <c:pt idx="5">
                <c:v>65</c:v>
              </c:pt>
              <c:pt idx="6">
                <c:v>145</c:v>
              </c:pt>
              <c:pt idx="7">
                <c:v>346</c:v>
              </c:pt>
              <c:pt idx="8">
                <c:v>607</c:v>
              </c:pt>
              <c:pt idx="9">
                <c:v>810</c:v>
              </c:pt>
              <c:pt idx="10">
                <c:v>736</c:v>
              </c:pt>
              <c:pt idx="11">
                <c:v>473</c:v>
              </c:pt>
              <c:pt idx="12">
                <c:v>220</c:v>
              </c:pt>
              <c:pt idx="13">
                <c:v>84</c:v>
              </c:pt>
              <c:pt idx="14">
                <c:v>19</c:v>
              </c:pt>
              <c:pt idx="15">
                <c:v>2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A44-D54C-A9CE-A20973AC6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66477312"/>
        <c:axId val="785720448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3.6811462560390409E-6</c:v>
              </c:pt>
              <c:pt idx="1">
                <c:v>6.3638627684345773E-5</c:v>
              </c:pt>
              <c:pt idx="2">
                <c:v>8.0670234965826704E-4</c:v>
              </c:pt>
              <c:pt idx="3">
                <c:v>7.4982631709935863E-3</c:v>
              </c:pt>
              <c:pt idx="4">
                <c:v>5.1104918833580003E-2</c:v>
              </c:pt>
              <c:pt idx="5">
                <c:v>0.25539919675017175</c:v>
              </c:pt>
              <c:pt idx="6">
                <c:v>0.93590394904989904</c:v>
              </c:pt>
              <c:pt idx="7">
                <c:v>2.5147670615324977</c:v>
              </c:pt>
              <c:pt idx="8">
                <c:v>4.9547184126911734</c:v>
              </c:pt>
              <c:pt idx="9">
                <c:v>7.1580532149529805</c:v>
              </c:pt>
              <c:pt idx="10">
                <c:v>7.5827301113172387</c:v>
              </c:pt>
              <c:pt idx="11">
                <c:v>5.8899418250443434</c:v>
              </c:pt>
              <c:pt idx="12">
                <c:v>3.354680333881173</c:v>
              </c:pt>
              <c:pt idx="13">
                <c:v>1.4010254065647858</c:v>
              </c:pt>
              <c:pt idx="14">
                <c:v>0.42903785234029801</c:v>
              </c:pt>
              <c:pt idx="15">
                <c:v>9.6338513258151681E-2</c:v>
              </c:pt>
              <c:pt idx="16">
                <c:v>1.5862038526479799E-2</c:v>
              </c:pt>
              <c:pt idx="17">
                <c:v>1.9150176971689946E-3</c:v>
              </c:pt>
              <c:pt idx="18">
                <c:v>1.6952840296674491E-4</c:v>
              </c:pt>
              <c:pt idx="19">
                <c:v>1.1004420034845491E-5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BA44-D54C-A9CE-A20973AC62B1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BA44-D54C-A9CE-A20973AC6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5721600"/>
        <c:axId val="785721024"/>
      </c:scatterChart>
      <c:catAx>
        <c:axId val="366477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785720448"/>
        <c:crosses val="autoZero"/>
        <c:auto val="1"/>
        <c:lblAlgn val="ctr"/>
        <c:lblOffset val="100"/>
        <c:noMultiLvlLbl val="0"/>
      </c:catAx>
      <c:valAx>
        <c:axId val="78572044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66477312"/>
        <c:crosses val="autoZero"/>
        <c:crossBetween val="between"/>
      </c:valAx>
      <c:valAx>
        <c:axId val="785721024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785721600"/>
        <c:crosses val="max"/>
        <c:crossBetween val="midCat"/>
      </c:valAx>
      <c:valAx>
        <c:axId val="785721600"/>
        <c:scaling>
          <c:orientation val="minMax"/>
        </c:scaling>
        <c:delete val="1"/>
        <c:axPos val="b"/>
        <c:majorTickMark val="out"/>
        <c:minorTickMark val="none"/>
        <c:tickLblPos val="none"/>
        <c:crossAx val="785721024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222" r="0.75000000000000222" t="1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8.4850000000000048</c:v>
              </c:pt>
              <c:pt idx="1">
                <c:v>8.5190000000000001</c:v>
              </c:pt>
              <c:pt idx="2">
                <c:v>8.5520000000000067</c:v>
              </c:pt>
              <c:pt idx="3">
                <c:v>8.5860000000000003</c:v>
              </c:pt>
              <c:pt idx="4">
                <c:v>8.6189999999999998</c:v>
              </c:pt>
              <c:pt idx="5">
                <c:v>8.6530000000000005</c:v>
              </c:pt>
              <c:pt idx="6">
                <c:v>8.6860000000000035</c:v>
              </c:pt>
              <c:pt idx="7">
                <c:v>8.7200000000000006</c:v>
              </c:pt>
              <c:pt idx="8">
                <c:v>8.7530000000000001</c:v>
              </c:pt>
              <c:pt idx="9">
                <c:v>8.786999999999999</c:v>
              </c:pt>
              <c:pt idx="10">
                <c:v>8.8210000000000015</c:v>
              </c:pt>
              <c:pt idx="11">
                <c:v>8.8540000000000028</c:v>
              </c:pt>
              <c:pt idx="12">
                <c:v>8.8880000000000035</c:v>
              </c:pt>
              <c:pt idx="13">
                <c:v>8.9210000000000012</c:v>
              </c:pt>
              <c:pt idx="14">
                <c:v>8.9550000000000267</c:v>
              </c:pt>
              <c:pt idx="15">
                <c:v>8.9880000000000013</c:v>
              </c:pt>
              <c:pt idx="16">
                <c:v>9.0220000000000002</c:v>
              </c:pt>
              <c:pt idx="17">
                <c:v>9.0550000000000068</c:v>
              </c:pt>
              <c:pt idx="18">
                <c:v>9.0890000000000004</c:v>
              </c:pt>
              <c:pt idx="19">
                <c:v>9.1220000000000017</c:v>
              </c:pt>
              <c:pt idx="20">
                <c:v>9.1560000000000006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1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12</c:v>
              </c:pt>
              <c:pt idx="6">
                <c:v>15</c:v>
              </c:pt>
              <c:pt idx="7">
                <c:v>95</c:v>
              </c:pt>
              <c:pt idx="8">
                <c:v>249</c:v>
              </c:pt>
              <c:pt idx="9">
                <c:v>554</c:v>
              </c:pt>
              <c:pt idx="10">
                <c:v>929</c:v>
              </c:pt>
              <c:pt idx="11">
                <c:v>873</c:v>
              </c:pt>
              <c:pt idx="12">
                <c:v>512</c:v>
              </c:pt>
              <c:pt idx="13">
                <c:v>222</c:v>
              </c:pt>
              <c:pt idx="14">
                <c:v>62</c:v>
              </c:pt>
              <c:pt idx="15">
                <c:v>8</c:v>
              </c:pt>
              <c:pt idx="16">
                <c:v>1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70A-9A4A-A9E6-88E4A5171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68705536"/>
        <c:axId val="785725056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9.3908700262754814E-11</c:v>
              </c:pt>
              <c:pt idx="1">
                <c:v>7.6355790266216494E-9</c:v>
              </c:pt>
              <c:pt idx="2">
                <c:v>4.0682007791253819E-7</c:v>
              </c:pt>
              <c:pt idx="3">
                <c:v>1.4203222005798003E-5</c:v>
              </c:pt>
              <c:pt idx="4">
                <c:v>3.2493459360408801E-4</c:v>
              </c:pt>
              <c:pt idx="5">
                <c:v>4.8711246141692824E-3</c:v>
              </c:pt>
              <c:pt idx="6">
                <c:v>4.785052912711333E-2</c:v>
              </c:pt>
              <c:pt idx="7">
                <c:v>0.30801258673608806</c:v>
              </c:pt>
              <c:pt idx="8">
                <c:v>1.2991944644424718</c:v>
              </c:pt>
              <c:pt idx="9">
                <c:v>3.5909076560935449</c:v>
              </c:pt>
              <c:pt idx="10">
                <c:v>6.5036728995443625</c:v>
              </c:pt>
              <c:pt idx="11">
                <c:v>7.7185819922282777</c:v>
              </c:pt>
              <c:pt idx="12">
                <c:v>6.0026183481668456</c:v>
              </c:pt>
              <c:pt idx="13">
                <c:v>3.0589214079631</c:v>
              </c:pt>
              <c:pt idx="14">
                <c:v>1.0214574597455761</c:v>
              </c:pt>
              <c:pt idx="15">
                <c:v>0.22350948611765656</c:v>
              </c:pt>
              <c:pt idx="16">
                <c:v>3.2047674317589606E-2</c:v>
              </c:pt>
              <c:pt idx="17">
                <c:v>3.0110741808865812E-3</c:v>
              </c:pt>
              <c:pt idx="18">
                <c:v>1.8538336857408207E-4</c:v>
              </c:pt>
              <c:pt idx="19">
                <c:v>7.479015992316473E-6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570A-9A4A-A9E6-88E4A5171A4A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570A-9A4A-A9E6-88E4A5171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5726208"/>
        <c:axId val="785725632"/>
      </c:scatterChart>
      <c:catAx>
        <c:axId val="368705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785725056"/>
        <c:crosses val="autoZero"/>
        <c:auto val="1"/>
        <c:lblAlgn val="ctr"/>
        <c:lblOffset val="100"/>
        <c:noMultiLvlLbl val="0"/>
      </c:catAx>
      <c:valAx>
        <c:axId val="78572505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68705536"/>
        <c:crosses val="autoZero"/>
        <c:crossBetween val="between"/>
      </c:valAx>
      <c:valAx>
        <c:axId val="785725632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785726208"/>
        <c:crosses val="max"/>
        <c:crossBetween val="midCat"/>
      </c:valAx>
      <c:valAx>
        <c:axId val="785726208"/>
        <c:scaling>
          <c:orientation val="minMax"/>
        </c:scaling>
        <c:delete val="1"/>
        <c:axPos val="b"/>
        <c:majorTickMark val="out"/>
        <c:minorTickMark val="none"/>
        <c:tickLblPos val="none"/>
        <c:crossAx val="785725632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222" r="0.75000000000000222" t="1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8.6070000000000011</c:v>
              </c:pt>
              <c:pt idx="1">
                <c:v>8.6339999999999986</c:v>
              </c:pt>
              <c:pt idx="2">
                <c:v>8.6610000000000014</c:v>
              </c:pt>
              <c:pt idx="3">
                <c:v>8.6879999999999988</c:v>
              </c:pt>
              <c:pt idx="4">
                <c:v>8.7150000000000016</c:v>
              </c:pt>
              <c:pt idx="5">
                <c:v>8.7420000000000009</c:v>
              </c:pt>
              <c:pt idx="6">
                <c:v>8.7679999999999989</c:v>
              </c:pt>
              <c:pt idx="7">
                <c:v>8.7950000000000017</c:v>
              </c:pt>
              <c:pt idx="8">
                <c:v>8.8220000000000027</c:v>
              </c:pt>
              <c:pt idx="9">
                <c:v>8.8490000000000002</c:v>
              </c:pt>
              <c:pt idx="10">
                <c:v>8.8760000000000048</c:v>
              </c:pt>
              <c:pt idx="11">
                <c:v>8.9030000000000005</c:v>
              </c:pt>
              <c:pt idx="12">
                <c:v>8.93</c:v>
              </c:pt>
              <c:pt idx="13">
                <c:v>8.9570000000000007</c:v>
              </c:pt>
              <c:pt idx="14">
                <c:v>8.984</c:v>
              </c:pt>
              <c:pt idx="15">
                <c:v>9.01</c:v>
              </c:pt>
              <c:pt idx="16">
                <c:v>9.036999999999999</c:v>
              </c:pt>
              <c:pt idx="17">
                <c:v>9.0640000000000001</c:v>
              </c:pt>
              <c:pt idx="18">
                <c:v>9.0910000000000011</c:v>
              </c:pt>
              <c:pt idx="19">
                <c:v>9.1179999999999986</c:v>
              </c:pt>
              <c:pt idx="20">
                <c:v>9.1449999999999996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1</c:v>
              </c:pt>
              <c:pt idx="2">
                <c:v>9</c:v>
              </c:pt>
              <c:pt idx="3">
                <c:v>12</c:v>
              </c:pt>
              <c:pt idx="4">
                <c:v>47</c:v>
              </c:pt>
              <c:pt idx="5">
                <c:v>118</c:v>
              </c:pt>
              <c:pt idx="6">
                <c:v>278</c:v>
              </c:pt>
              <c:pt idx="7">
                <c:v>465</c:v>
              </c:pt>
              <c:pt idx="8">
                <c:v>696</c:v>
              </c:pt>
              <c:pt idx="9">
                <c:v>713</c:v>
              </c:pt>
              <c:pt idx="10">
                <c:v>610</c:v>
              </c:pt>
              <c:pt idx="11">
                <c:v>330</c:v>
              </c:pt>
              <c:pt idx="12">
                <c:v>177</c:v>
              </c:pt>
              <c:pt idx="13">
                <c:v>60</c:v>
              </c:pt>
              <c:pt idx="14">
                <c:v>14</c:v>
              </c:pt>
              <c:pt idx="15">
                <c:v>2</c:v>
              </c:pt>
              <c:pt idx="16">
                <c:v>1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424-E74F-B1BA-73290BF65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69766400"/>
        <c:axId val="785762560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9.8304397356819079E-5</c:v>
              </c:pt>
              <c:pt idx="1">
                <c:v>1.0041830672377554E-3</c:v>
              </c:pt>
              <c:pt idx="2">
                <c:v>7.8454121560897708E-3</c:v>
              </c:pt>
              <c:pt idx="3">
                <c:v>4.6879336458655975E-2</c:v>
              </c:pt>
              <c:pt idx="4">
                <c:v>0.21424478934766408</c:v>
              </c:pt>
              <c:pt idx="5">
                <c:v>0.74886230370539397</c:v>
              </c:pt>
              <c:pt idx="6">
                <c:v>2.0019653663232067</c:v>
              </c:pt>
              <c:pt idx="7">
                <c:v>4.0933043729700875</c:v>
              </c:pt>
              <c:pt idx="8">
                <c:v>6.4010969934036783</c:v>
              </c:pt>
              <c:pt idx="9">
                <c:v>7.6559249155911067</c:v>
              </c:pt>
              <c:pt idx="10">
                <c:v>7.0033183067281284</c:v>
              </c:pt>
              <c:pt idx="11">
                <c:v>4.8997405541397496</c:v>
              </c:pt>
              <c:pt idx="12">
                <c:v>2.6218347840357681</c:v>
              </c:pt>
              <c:pt idx="13">
                <c:v>1.073002109462426</c:v>
              </c:pt>
              <c:pt idx="14">
                <c:v>0.33586043698612605</c:v>
              </c:pt>
              <c:pt idx="15">
                <c:v>8.04044600468342E-2</c:v>
              </c:pt>
              <c:pt idx="16">
                <c:v>1.4721919851459599E-2</c:v>
              </c:pt>
              <c:pt idx="17">
                <c:v>2.0616349899210402E-3</c:v>
              </c:pt>
              <c:pt idx="18">
                <c:v>2.20811720654704E-4</c:v>
              </c:pt>
              <c:pt idx="19">
                <c:v>1.8088205594281675E-5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2424-E74F-B1BA-73290BF650E2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2424-E74F-B1BA-73290BF65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5763712"/>
        <c:axId val="785763136"/>
      </c:scatterChart>
      <c:catAx>
        <c:axId val="369766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785762560"/>
        <c:crosses val="autoZero"/>
        <c:auto val="1"/>
        <c:lblAlgn val="ctr"/>
        <c:lblOffset val="100"/>
        <c:noMultiLvlLbl val="0"/>
      </c:catAx>
      <c:valAx>
        <c:axId val="78576256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69766400"/>
        <c:crosses val="autoZero"/>
        <c:crossBetween val="between"/>
      </c:valAx>
      <c:valAx>
        <c:axId val="785763136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785763712"/>
        <c:crosses val="max"/>
        <c:crossBetween val="midCat"/>
      </c:valAx>
      <c:valAx>
        <c:axId val="785763712"/>
        <c:scaling>
          <c:orientation val="minMax"/>
        </c:scaling>
        <c:delete val="1"/>
        <c:axPos val="b"/>
        <c:majorTickMark val="out"/>
        <c:minorTickMark val="none"/>
        <c:tickLblPos val="none"/>
        <c:crossAx val="785763136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222" r="0.75000000000000222" t="1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8.577</c:v>
              </c:pt>
              <c:pt idx="1">
                <c:v>8.613999999999999</c:v>
              </c:pt>
              <c:pt idx="2">
                <c:v>8.65</c:v>
              </c:pt>
              <c:pt idx="3">
                <c:v>8.6870000000000012</c:v>
              </c:pt>
              <c:pt idx="4">
                <c:v>8.7239999999999984</c:v>
              </c:pt>
              <c:pt idx="5">
                <c:v>8.76</c:v>
              </c:pt>
              <c:pt idx="6">
                <c:v>8.7969999999999988</c:v>
              </c:pt>
              <c:pt idx="7">
                <c:v>8.8340000000000014</c:v>
              </c:pt>
              <c:pt idx="8">
                <c:v>8.8710000000000004</c:v>
              </c:pt>
              <c:pt idx="9">
                <c:v>8.907</c:v>
              </c:pt>
              <c:pt idx="10">
                <c:v>8.9439999999999991</c:v>
              </c:pt>
              <c:pt idx="11">
                <c:v>8.9810000000000034</c:v>
              </c:pt>
              <c:pt idx="12">
                <c:v>9.0170000000000012</c:v>
              </c:pt>
              <c:pt idx="13">
                <c:v>9.0540000000000003</c:v>
              </c:pt>
              <c:pt idx="14">
                <c:v>9.0910000000000011</c:v>
              </c:pt>
              <c:pt idx="15">
                <c:v>9.1279999999999983</c:v>
              </c:pt>
              <c:pt idx="16">
                <c:v>9.1640000000000015</c:v>
              </c:pt>
              <c:pt idx="17">
                <c:v>9.2009999999999987</c:v>
              </c:pt>
              <c:pt idx="18">
                <c:v>9.2379999999999978</c:v>
              </c:pt>
              <c:pt idx="19">
                <c:v>9.2740000000000009</c:v>
              </c:pt>
              <c:pt idx="20">
                <c:v>9.3110000000000035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3</c:v>
              </c:pt>
              <c:pt idx="2">
                <c:v>3</c:v>
              </c:pt>
              <c:pt idx="3">
                <c:v>6</c:v>
              </c:pt>
              <c:pt idx="4">
                <c:v>73</c:v>
              </c:pt>
              <c:pt idx="5">
                <c:v>448</c:v>
              </c:pt>
              <c:pt idx="6">
                <c:v>1144</c:v>
              </c:pt>
              <c:pt idx="7">
                <c:v>1305</c:v>
              </c:pt>
              <c:pt idx="8">
                <c:v>483</c:v>
              </c:pt>
              <c:pt idx="9">
                <c:v>66</c:v>
              </c:pt>
              <c:pt idx="10">
                <c:v>0</c:v>
              </c:pt>
              <c:pt idx="11">
                <c:v>1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1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63C-FE4A-9095-55152BCC1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69922048"/>
        <c:axId val="785767168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3.9941116466272914E-10</c:v>
              </c:pt>
              <c:pt idx="1">
                <c:v>2.2906064031605412E-7</c:v>
              </c:pt>
              <c:pt idx="2">
                <c:v>4.9610739109619842E-5</c:v>
              </c:pt>
              <c:pt idx="3">
                <c:v>4.0578489902669997E-3</c:v>
              </c:pt>
              <c:pt idx="4">
                <c:v>0.12534615651932676</c:v>
              </c:pt>
              <c:pt idx="5">
                <c:v>1.4622482805867101</c:v>
              </c:pt>
              <c:pt idx="6">
                <c:v>6.4420808921130632</c:v>
              </c:pt>
              <c:pt idx="7">
                <c:v>10.71830682990822</c:v>
              </c:pt>
              <c:pt idx="8">
                <c:v>6.7347449554123733</c:v>
              </c:pt>
              <c:pt idx="9">
                <c:v>1.5981262273490529</c:v>
              </c:pt>
              <c:pt idx="10">
                <c:v>0.14321745800214697</c:v>
              </c:pt>
              <c:pt idx="11">
                <c:v>4.8470310314132096E-3</c:v>
              </c:pt>
              <c:pt idx="12">
                <c:v>6.1951324535324724E-5</c:v>
              </c:pt>
              <c:pt idx="13">
                <c:v>2.9903384773938361E-7</c:v>
              </c:pt>
              <c:pt idx="14">
                <c:v>5.4511114176830619E-10</c:v>
              </c:pt>
              <c:pt idx="15">
                <c:v>3.7527075896874614E-13</c:v>
              </c:pt>
              <c:pt idx="16">
                <c:v>9.7566190736443806E-17</c:v>
              </c:pt>
              <c:pt idx="17">
                <c:v>9.5796342879216872E-21</c:v>
              </c:pt>
              <c:pt idx="18">
                <c:v>3.552167751819532E-25</c:v>
              </c:pt>
              <c:pt idx="19">
                <c:v>4.9743113115792425E-30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763C-FE4A-9095-55152BCC1B3A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763C-FE4A-9095-55152BCC1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8832256"/>
        <c:axId val="785767744"/>
      </c:scatterChart>
      <c:catAx>
        <c:axId val="369922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785767168"/>
        <c:crosses val="autoZero"/>
        <c:auto val="1"/>
        <c:lblAlgn val="ctr"/>
        <c:lblOffset val="100"/>
        <c:noMultiLvlLbl val="0"/>
      </c:catAx>
      <c:valAx>
        <c:axId val="78576716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69922048"/>
        <c:crosses val="autoZero"/>
        <c:crossBetween val="between"/>
      </c:valAx>
      <c:valAx>
        <c:axId val="785767744"/>
        <c:scaling>
          <c:orientation val="minMax"/>
          <c:max val="15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788832256"/>
        <c:crosses val="max"/>
        <c:crossBetween val="midCat"/>
      </c:valAx>
      <c:valAx>
        <c:axId val="788832256"/>
        <c:scaling>
          <c:orientation val="minMax"/>
        </c:scaling>
        <c:delete val="1"/>
        <c:axPos val="b"/>
        <c:majorTickMark val="out"/>
        <c:minorTickMark val="none"/>
        <c:tickLblPos val="none"/>
        <c:crossAx val="785767744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222" r="0.75000000000000222" t="1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8.2779999999999987</c:v>
              </c:pt>
              <c:pt idx="1">
                <c:v>8.3310000000000013</c:v>
              </c:pt>
              <c:pt idx="2">
                <c:v>8.3840000000000003</c:v>
              </c:pt>
              <c:pt idx="3">
                <c:v>8.4370000000000012</c:v>
              </c:pt>
              <c:pt idx="4">
                <c:v>8.49</c:v>
              </c:pt>
              <c:pt idx="5">
                <c:v>8.543000000000001</c:v>
              </c:pt>
              <c:pt idx="6">
                <c:v>8.5960000000000001</c:v>
              </c:pt>
              <c:pt idx="7">
                <c:v>8.6489999999999991</c:v>
              </c:pt>
              <c:pt idx="8">
                <c:v>8.702</c:v>
              </c:pt>
              <c:pt idx="9">
                <c:v>8.7550000000000008</c:v>
              </c:pt>
              <c:pt idx="10">
                <c:v>8.8080000000000016</c:v>
              </c:pt>
              <c:pt idx="11">
                <c:v>8.8610000000000007</c:v>
              </c:pt>
              <c:pt idx="12">
                <c:v>8.9140000000000015</c:v>
              </c:pt>
              <c:pt idx="13">
                <c:v>8.9670000000000005</c:v>
              </c:pt>
              <c:pt idx="14">
                <c:v>9.02</c:v>
              </c:pt>
              <c:pt idx="15">
                <c:v>9.0730000000000004</c:v>
              </c:pt>
              <c:pt idx="16">
                <c:v>9.1260000000000012</c:v>
              </c:pt>
              <c:pt idx="17">
                <c:v>9.1790000000000003</c:v>
              </c:pt>
              <c:pt idx="18">
                <c:v>9.2319999999999993</c:v>
              </c:pt>
              <c:pt idx="19">
                <c:v>9.2850000000000001</c:v>
              </c:pt>
              <c:pt idx="20">
                <c:v>9.338000000000001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1</c:v>
              </c:pt>
              <c:pt idx="2">
                <c:v>1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2</c:v>
              </c:pt>
              <c:pt idx="7">
                <c:v>4</c:v>
              </c:pt>
              <c:pt idx="8">
                <c:v>57</c:v>
              </c:pt>
              <c:pt idx="9">
                <c:v>691</c:v>
              </c:pt>
              <c:pt idx="10">
                <c:v>1900</c:v>
              </c:pt>
              <c:pt idx="11">
                <c:v>814</c:v>
              </c:pt>
              <c:pt idx="12">
                <c:v>59</c:v>
              </c:pt>
              <c:pt idx="13">
                <c:v>0</c:v>
              </c:pt>
              <c:pt idx="14">
                <c:v>3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1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113-394D-8D8E-3A3E5105C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70614272"/>
        <c:axId val="788835136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5.844433992574085E-42</c:v>
              </c:pt>
              <c:pt idx="1">
                <c:v>2.5134026102722556E-34</c:v>
              </c:pt>
              <c:pt idx="2">
                <c:v>1.8769519703939762E-27</c:v>
              </c:pt>
              <c:pt idx="3">
                <c:v>2.4339707155282215E-21</c:v>
              </c:pt>
              <c:pt idx="4">
                <c:v>5.480874239286672E-16</c:v>
              </c:pt>
              <c:pt idx="5">
                <c:v>2.143165516243786E-11</c:v>
              </c:pt>
              <c:pt idx="6">
                <c:v>1.4552312288130471E-7</c:v>
              </c:pt>
              <c:pt idx="7">
                <c:v>1.7158531391425085E-4</c:v>
              </c:pt>
              <c:pt idx="8">
                <c:v>3.513177038648841E-2</c:v>
              </c:pt>
              <c:pt idx="9">
                <c:v>1.2490843646235221</c:v>
              </c:pt>
              <c:pt idx="10">
                <c:v>7.7117922779075476</c:v>
              </c:pt>
              <c:pt idx="11">
                <c:v>8.2678138214719699</c:v>
              </c:pt>
              <c:pt idx="12">
                <c:v>1.539209971575104</c:v>
              </c:pt>
              <c:pt idx="13">
                <c:v>4.9759597927897817E-2</c:v>
              </c:pt>
              <c:pt idx="14">
                <c:v>2.793364896367124E-4</c:v>
              </c:pt>
              <c:pt idx="15">
                <c:v>2.723016633839618E-7</c:v>
              </c:pt>
              <c:pt idx="16">
                <c:v>4.6094035487945961E-11</c:v>
              </c:pt>
              <c:pt idx="17">
                <c:v>1.3549116713666529E-15</c:v>
              </c:pt>
              <c:pt idx="18">
                <c:v>6.9159054987777744E-21</c:v>
              </c:pt>
              <c:pt idx="19">
                <c:v>6.1299782161075636E-27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8113-394D-8D8E-3A3E5105C1E8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8113-394D-8D8E-3A3E5105C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8836288"/>
        <c:axId val="788835712"/>
      </c:scatterChart>
      <c:catAx>
        <c:axId val="370614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788835136"/>
        <c:crosses val="autoZero"/>
        <c:auto val="1"/>
        <c:lblAlgn val="ctr"/>
        <c:lblOffset val="100"/>
        <c:noMultiLvlLbl val="0"/>
      </c:catAx>
      <c:valAx>
        <c:axId val="78883513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70614272"/>
        <c:crosses val="autoZero"/>
        <c:crossBetween val="between"/>
      </c:valAx>
      <c:valAx>
        <c:axId val="788835712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788836288"/>
        <c:crosses val="max"/>
        <c:crossBetween val="midCat"/>
      </c:valAx>
      <c:valAx>
        <c:axId val="788836288"/>
        <c:scaling>
          <c:orientation val="minMax"/>
        </c:scaling>
        <c:delete val="1"/>
        <c:axPos val="b"/>
        <c:majorTickMark val="out"/>
        <c:minorTickMark val="none"/>
        <c:tickLblPos val="none"/>
        <c:crossAx val="788835712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222" r="0.75000000000000222" t="1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8.5309999999999988</c:v>
              </c:pt>
              <c:pt idx="1">
                <c:v>8.57</c:v>
              </c:pt>
              <c:pt idx="2">
                <c:v>8.609</c:v>
              </c:pt>
              <c:pt idx="3">
                <c:v>8.6479999999999961</c:v>
              </c:pt>
              <c:pt idx="4">
                <c:v>8.6879999999999988</c:v>
              </c:pt>
              <c:pt idx="5">
                <c:v>8.7269999999999985</c:v>
              </c:pt>
              <c:pt idx="6">
                <c:v>8.766</c:v>
              </c:pt>
              <c:pt idx="7">
                <c:v>8.8050000000000068</c:v>
              </c:pt>
              <c:pt idx="8">
                <c:v>8.8450000000000006</c:v>
              </c:pt>
              <c:pt idx="9">
                <c:v>8.8840000000000003</c:v>
              </c:pt>
              <c:pt idx="10">
                <c:v>8.923</c:v>
              </c:pt>
              <c:pt idx="11">
                <c:v>8.9620000000000068</c:v>
              </c:pt>
              <c:pt idx="12">
                <c:v>9.0010000000000012</c:v>
              </c:pt>
              <c:pt idx="13">
                <c:v>9.0409999999999986</c:v>
              </c:pt>
              <c:pt idx="14">
                <c:v>9.08</c:v>
              </c:pt>
              <c:pt idx="15">
                <c:v>9.1189999999999998</c:v>
              </c:pt>
              <c:pt idx="16">
                <c:v>9.1580000000000013</c:v>
              </c:pt>
              <c:pt idx="17">
                <c:v>9.1979999999999986</c:v>
              </c:pt>
              <c:pt idx="18">
                <c:v>9.2369999999999983</c:v>
              </c:pt>
              <c:pt idx="19">
                <c:v>9.2760000000000016</c:v>
              </c:pt>
              <c:pt idx="20">
                <c:v>9.3150000000000048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1</c:v>
              </c:pt>
              <c:pt idx="2">
                <c:v>1</c:v>
              </c:pt>
              <c:pt idx="3">
                <c:v>3</c:v>
              </c:pt>
              <c:pt idx="4">
                <c:v>12</c:v>
              </c:pt>
              <c:pt idx="5">
                <c:v>103</c:v>
              </c:pt>
              <c:pt idx="6">
                <c:v>576</c:v>
              </c:pt>
              <c:pt idx="7">
                <c:v>1326</c:v>
              </c:pt>
              <c:pt idx="8">
                <c:v>1134</c:v>
              </c:pt>
              <c:pt idx="9">
                <c:v>337</c:v>
              </c:pt>
              <c:pt idx="10">
                <c:v>38</c:v>
              </c:pt>
              <c:pt idx="11">
                <c:v>1</c:v>
              </c:pt>
              <c:pt idx="12">
                <c:v>0</c:v>
              </c:pt>
              <c:pt idx="13">
                <c:v>0</c:v>
              </c:pt>
              <c:pt idx="14">
                <c:v>1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899-AD40-8DD5-BB4D9EE3D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71286016"/>
        <c:axId val="788839744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1.8490291601409933E-13</c:v>
              </c:pt>
              <c:pt idx="1">
                <c:v>3.6774699899858684E-10</c:v>
              </c:pt>
              <c:pt idx="2">
                <c:v>2.584684403075212E-7</c:v>
              </c:pt>
              <c:pt idx="3">
                <c:v>6.4197618059693806E-5</c:v>
              </c:pt>
              <c:pt idx="4">
                <c:v>5.6348623937902027E-3</c:v>
              </c:pt>
              <c:pt idx="5">
                <c:v>0.17478371381940799</c:v>
              </c:pt>
              <c:pt idx="6">
                <c:v>1.9158938679015021</c:v>
              </c:pt>
              <c:pt idx="7">
                <c:v>7.4215525671483746</c:v>
              </c:pt>
              <c:pt idx="8">
                <c:v>10.159467014120782</c:v>
              </c:pt>
              <c:pt idx="9">
                <c:v>4.9147328673814608</c:v>
              </c:pt>
              <c:pt idx="10">
                <c:v>0.84019819921121797</c:v>
              </c:pt>
              <c:pt idx="11">
                <c:v>5.0759392007697801E-2</c:v>
              </c:pt>
              <c:pt idx="12">
                <c:v>1.0836871228013787E-3</c:v>
              </c:pt>
              <c:pt idx="13">
                <c:v>8.1760633949478768E-6</c:v>
              </c:pt>
              <c:pt idx="14">
                <c:v>2.1799149525937011E-8</c:v>
              </c:pt>
              <c:pt idx="15">
                <c:v>2.0539429323404592E-11</c:v>
              </c:pt>
              <c:pt idx="16">
                <c:v>6.838970298594503E-15</c:v>
              </c:pt>
              <c:pt idx="17">
                <c:v>8.0472331607252534E-19</c:v>
              </c:pt>
              <c:pt idx="18">
                <c:v>3.3462314315009811E-23</c:v>
              </c:pt>
              <c:pt idx="19">
                <c:v>4.9172114713042368E-28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C899-AD40-8DD5-BB4D9EE3D4E6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C899-AD40-8DD5-BB4D9EE3D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0184512"/>
        <c:axId val="790183936"/>
      </c:scatterChart>
      <c:catAx>
        <c:axId val="371286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788839744"/>
        <c:crosses val="autoZero"/>
        <c:auto val="1"/>
        <c:lblAlgn val="ctr"/>
        <c:lblOffset val="100"/>
        <c:noMultiLvlLbl val="0"/>
      </c:catAx>
      <c:valAx>
        <c:axId val="78883974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71286016"/>
        <c:crosses val="autoZero"/>
        <c:crossBetween val="between"/>
      </c:valAx>
      <c:valAx>
        <c:axId val="790183936"/>
        <c:scaling>
          <c:orientation val="minMax"/>
          <c:max val="15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790184512"/>
        <c:crosses val="max"/>
        <c:crossBetween val="midCat"/>
      </c:valAx>
      <c:valAx>
        <c:axId val="790184512"/>
        <c:scaling>
          <c:orientation val="minMax"/>
        </c:scaling>
        <c:delete val="1"/>
        <c:axPos val="b"/>
        <c:majorTickMark val="out"/>
        <c:minorTickMark val="none"/>
        <c:tickLblPos val="none"/>
        <c:crossAx val="790183936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222" r="0.75000000000000222" t="1" header="0.5" footer="0.5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8.4620000000000068</c:v>
              </c:pt>
              <c:pt idx="1">
                <c:v>8.5050000000000008</c:v>
              </c:pt>
              <c:pt idx="2">
                <c:v>8.5479999999999983</c:v>
              </c:pt>
              <c:pt idx="3">
                <c:v>8.5910000000000011</c:v>
              </c:pt>
              <c:pt idx="4">
                <c:v>8.6339999999999986</c:v>
              </c:pt>
              <c:pt idx="5">
                <c:v>8.6770000000000014</c:v>
              </c:pt>
              <c:pt idx="6">
                <c:v>8.7200000000000006</c:v>
              </c:pt>
              <c:pt idx="7">
                <c:v>8.7630000000000035</c:v>
              </c:pt>
              <c:pt idx="8">
                <c:v>8.8060000000000027</c:v>
              </c:pt>
              <c:pt idx="9">
                <c:v>8.8490000000000002</c:v>
              </c:pt>
              <c:pt idx="10">
                <c:v>8.8920000000000048</c:v>
              </c:pt>
              <c:pt idx="11">
                <c:v>8.9350000000000005</c:v>
              </c:pt>
              <c:pt idx="12">
                <c:v>8.9780000000000015</c:v>
              </c:pt>
              <c:pt idx="13">
                <c:v>9.020999999999999</c:v>
              </c:pt>
              <c:pt idx="14">
                <c:v>9.0640000000000001</c:v>
              </c:pt>
              <c:pt idx="15">
                <c:v>9.1070000000000011</c:v>
              </c:pt>
              <c:pt idx="16">
                <c:v>9.15</c:v>
              </c:pt>
              <c:pt idx="17">
                <c:v>9.1930000000000014</c:v>
              </c:pt>
              <c:pt idx="18">
                <c:v>9.2360000000000007</c:v>
              </c:pt>
              <c:pt idx="19">
                <c:v>9.2790000000000017</c:v>
              </c:pt>
              <c:pt idx="20">
                <c:v>9.3220000000000027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1</c:v>
              </c:pt>
              <c:pt idx="2">
                <c:v>0</c:v>
              </c:pt>
              <c:pt idx="3">
                <c:v>0</c:v>
              </c:pt>
              <c:pt idx="4">
                <c:v>3</c:v>
              </c:pt>
              <c:pt idx="5">
                <c:v>11</c:v>
              </c:pt>
              <c:pt idx="6">
                <c:v>102</c:v>
              </c:pt>
              <c:pt idx="7">
                <c:v>645</c:v>
              </c:pt>
              <c:pt idx="8">
                <c:v>1450</c:v>
              </c:pt>
              <c:pt idx="9">
                <c:v>1069</c:v>
              </c:pt>
              <c:pt idx="10">
                <c:v>240</c:v>
              </c:pt>
              <c:pt idx="11">
                <c:v>12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BF8-0342-8B33-3D2E03020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71347456"/>
        <c:axId val="790187968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6.139817972993398E-20</c:v>
              </c:pt>
              <c:pt idx="1">
                <c:v>1.4824100651700551E-15</c:v>
              </c:pt>
              <c:pt idx="2">
                <c:v>1.0452107151691166E-11</c:v>
              </c:pt>
              <c:pt idx="3">
                <c:v>2.1520990449734692E-8</c:v>
              </c:pt>
              <c:pt idx="4">
                <c:v>1.29402529825897E-5</c:v>
              </c:pt>
              <c:pt idx="5">
                <c:v>2.2721971498494051E-3</c:v>
              </c:pt>
              <c:pt idx="6">
                <c:v>0.116512490806469</c:v>
              </c:pt>
              <c:pt idx="7">
                <c:v>1.7447022597184318</c:v>
              </c:pt>
              <c:pt idx="8">
                <c:v>7.6294375287323941</c:v>
              </c:pt>
              <c:pt idx="9">
                <c:v>9.7428514278126919</c:v>
              </c:pt>
              <c:pt idx="10">
                <c:v>3.6333061951869752</c:v>
              </c:pt>
              <c:pt idx="11">
                <c:v>0.39567652031061046</c:v>
              </c:pt>
              <c:pt idx="12">
                <c:v>1.2583484571335601E-2</c:v>
              </c:pt>
              <c:pt idx="13">
                <c:v>1.1686485460173482E-4</c:v>
              </c:pt>
              <c:pt idx="14">
                <c:v>3.1694892715714061E-7</c:v>
              </c:pt>
              <c:pt idx="15">
                <c:v>2.5102501975687255E-10</c:v>
              </c:pt>
              <c:pt idx="16">
                <c:v>5.8058671580575449E-14</c:v>
              </c:pt>
              <c:pt idx="17">
                <c:v>3.9213855150811138E-18</c:v>
              </c:pt>
              <c:pt idx="18">
                <c:v>7.7345374531660855E-23</c:v>
              </c:pt>
              <c:pt idx="19">
                <c:v>4.4550390401137425E-28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CBF8-0342-8B33-3D2E030206A1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CBF8-0342-8B33-3D2E03020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0189120"/>
        <c:axId val="790188544"/>
      </c:scatterChart>
      <c:catAx>
        <c:axId val="371347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790187968"/>
        <c:crosses val="autoZero"/>
        <c:auto val="1"/>
        <c:lblAlgn val="ctr"/>
        <c:lblOffset val="100"/>
        <c:noMultiLvlLbl val="0"/>
      </c:catAx>
      <c:valAx>
        <c:axId val="79018796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71347456"/>
        <c:crosses val="autoZero"/>
        <c:crossBetween val="between"/>
      </c:valAx>
      <c:valAx>
        <c:axId val="790188544"/>
        <c:scaling>
          <c:orientation val="minMax"/>
          <c:max val="15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790189120"/>
        <c:crosses val="max"/>
        <c:crossBetween val="midCat"/>
      </c:valAx>
      <c:valAx>
        <c:axId val="790189120"/>
        <c:scaling>
          <c:orientation val="minMax"/>
        </c:scaling>
        <c:delete val="1"/>
        <c:axPos val="b"/>
        <c:majorTickMark val="out"/>
        <c:minorTickMark val="none"/>
        <c:tickLblPos val="none"/>
        <c:crossAx val="790188544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222" r="0.75000000000000222" t="1" header="0.5" footer="0.5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8.3070000000000004</c:v>
              </c:pt>
              <c:pt idx="1">
                <c:v>8.3590000000000266</c:v>
              </c:pt>
              <c:pt idx="2">
                <c:v>8.41</c:v>
              </c:pt>
              <c:pt idx="3">
                <c:v>8.4620000000000068</c:v>
              </c:pt>
              <c:pt idx="4">
                <c:v>8.5130000000000035</c:v>
              </c:pt>
              <c:pt idx="5">
                <c:v>8.5640000000000001</c:v>
              </c:pt>
              <c:pt idx="6">
                <c:v>8.6160000000000014</c:v>
              </c:pt>
              <c:pt idx="7">
                <c:v>8.6670000000000016</c:v>
              </c:pt>
              <c:pt idx="8">
                <c:v>8.7189999999999994</c:v>
              </c:pt>
              <c:pt idx="9">
                <c:v>8.77</c:v>
              </c:pt>
              <c:pt idx="10">
                <c:v>8.8210000000000015</c:v>
              </c:pt>
              <c:pt idx="11">
                <c:v>8.8730000000000047</c:v>
              </c:pt>
              <c:pt idx="12">
                <c:v>8.9240000000000013</c:v>
              </c:pt>
              <c:pt idx="13">
                <c:v>8.9760000000000026</c:v>
              </c:pt>
              <c:pt idx="14">
                <c:v>9.027000000000001</c:v>
              </c:pt>
              <c:pt idx="15">
                <c:v>9.0790000000000006</c:v>
              </c:pt>
              <c:pt idx="16">
                <c:v>9.129999999999999</c:v>
              </c:pt>
              <c:pt idx="17">
                <c:v>9.1810000000000009</c:v>
              </c:pt>
              <c:pt idx="18">
                <c:v>9.2329999999999988</c:v>
              </c:pt>
              <c:pt idx="19">
                <c:v>9.2839999999999989</c:v>
              </c:pt>
              <c:pt idx="20">
                <c:v>9.3360000000000003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1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3</c:v>
              </c:pt>
              <c:pt idx="7">
                <c:v>11</c:v>
              </c:pt>
              <c:pt idx="8">
                <c:v>169</c:v>
              </c:pt>
              <c:pt idx="9">
                <c:v>1057</c:v>
              </c:pt>
              <c:pt idx="10">
                <c:v>1713</c:v>
              </c:pt>
              <c:pt idx="11">
                <c:v>546</c:v>
              </c:pt>
              <c:pt idx="12">
                <c:v>31</c:v>
              </c:pt>
              <c:pt idx="13">
                <c:v>2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9DD-B342-9EA8-4BF1D256A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71421184"/>
        <c:axId val="790225472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5.8109380979646015E-37</c:v>
              </c:pt>
              <c:pt idx="1">
                <c:v>4.6395129147343641E-30</c:v>
              </c:pt>
              <c:pt idx="2">
                <c:v>7.2726403026165329E-24</c:v>
              </c:pt>
              <c:pt idx="3">
                <c:v>2.2382355127228078E-18</c:v>
              </c:pt>
              <c:pt idx="4">
                <c:v>1.3524222071667389E-13</c:v>
              </c:pt>
              <c:pt idx="5">
                <c:v>1.6043993912638444E-9</c:v>
              </c:pt>
              <c:pt idx="6">
                <c:v>3.7368635572541408E-6</c:v>
              </c:pt>
              <c:pt idx="7">
                <c:v>1.7088158647745588E-3</c:v>
              </c:pt>
              <c:pt idx="8">
                <c:v>0.15341808871432255</c:v>
              </c:pt>
              <c:pt idx="9">
                <c:v>2.7042768022228612</c:v>
              </c:pt>
              <c:pt idx="10">
                <c:v>9.3587746829932037</c:v>
              </c:pt>
              <c:pt idx="11">
                <c:v>6.3588724612883416</c:v>
              </c:pt>
              <c:pt idx="12">
                <c:v>0.84827078833206349</c:v>
              </c:pt>
              <c:pt idx="13">
                <c:v>2.22168346494056E-2</c:v>
              </c:pt>
              <c:pt idx="14">
                <c:v>1.1424129778829585E-4</c:v>
              </c:pt>
              <c:pt idx="15">
                <c:v>1.1533399815583496E-7</c:v>
              </c:pt>
              <c:pt idx="16">
                <c:v>2.2860453471677287E-11</c:v>
              </c:pt>
              <c:pt idx="17">
                <c:v>8.8962219334414215E-16</c:v>
              </c:pt>
              <c:pt idx="18">
                <c:v>6.7970372571123914E-21</c:v>
              </c:pt>
              <c:pt idx="19">
                <c:v>1.0195932845015952E-26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29DD-B342-9EA8-4BF1D256A343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29DD-B342-9EA8-4BF1D256A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0226624"/>
        <c:axId val="790226048"/>
      </c:scatterChart>
      <c:catAx>
        <c:axId val="371421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790225472"/>
        <c:crosses val="autoZero"/>
        <c:auto val="1"/>
        <c:lblAlgn val="ctr"/>
        <c:lblOffset val="100"/>
        <c:noMultiLvlLbl val="0"/>
      </c:catAx>
      <c:valAx>
        <c:axId val="79022547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71421184"/>
        <c:crosses val="autoZero"/>
        <c:crossBetween val="between"/>
      </c:valAx>
      <c:valAx>
        <c:axId val="790226048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790226624"/>
        <c:crosses val="max"/>
        <c:crossBetween val="midCat"/>
      </c:valAx>
      <c:valAx>
        <c:axId val="790226624"/>
        <c:scaling>
          <c:orientation val="minMax"/>
        </c:scaling>
        <c:delete val="1"/>
        <c:axPos val="b"/>
        <c:majorTickMark val="out"/>
        <c:minorTickMark val="none"/>
        <c:tickLblPos val="none"/>
        <c:crossAx val="790226048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222" r="0.75000000000000222" t="1" header="0.5" footer="0.5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24.459999999999987</c:v>
              </c:pt>
              <c:pt idx="1">
                <c:v>25.12</c:v>
              </c:pt>
              <c:pt idx="2">
                <c:v>25.779999999999987</c:v>
              </c:pt>
              <c:pt idx="3">
                <c:v>26.439999999999987</c:v>
              </c:pt>
              <c:pt idx="4">
                <c:v>27.1</c:v>
              </c:pt>
              <c:pt idx="5">
                <c:v>27.759999999999987</c:v>
              </c:pt>
              <c:pt idx="6">
                <c:v>28.419999999999987</c:v>
              </c:pt>
              <c:pt idx="7">
                <c:v>29.08</c:v>
              </c:pt>
              <c:pt idx="8">
                <c:v>29.74</c:v>
              </c:pt>
              <c:pt idx="9">
                <c:v>30.4</c:v>
              </c:pt>
              <c:pt idx="10">
                <c:v>31.06</c:v>
              </c:pt>
              <c:pt idx="11">
                <c:v>31.72</c:v>
              </c:pt>
              <c:pt idx="12">
                <c:v>32.379999999999995</c:v>
              </c:pt>
              <c:pt idx="13">
                <c:v>33.04</c:v>
              </c:pt>
              <c:pt idx="14">
                <c:v>33.700000000000003</c:v>
              </c:pt>
              <c:pt idx="15">
                <c:v>34.36</c:v>
              </c:pt>
              <c:pt idx="16">
                <c:v>35.020000000000003</c:v>
              </c:pt>
              <c:pt idx="17">
                <c:v>35.68</c:v>
              </c:pt>
              <c:pt idx="18">
                <c:v>36.339999999999996</c:v>
              </c:pt>
              <c:pt idx="19">
                <c:v>37</c:v>
              </c:pt>
              <c:pt idx="20">
                <c:v>37.660000000000011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8</c:v>
              </c:pt>
              <c:pt idx="4">
                <c:v>34</c:v>
              </c:pt>
              <c:pt idx="5">
                <c:v>96</c:v>
              </c:pt>
              <c:pt idx="6">
                <c:v>321</c:v>
              </c:pt>
              <c:pt idx="7">
                <c:v>513</c:v>
              </c:pt>
              <c:pt idx="8">
                <c:v>661</c:v>
              </c:pt>
              <c:pt idx="9">
                <c:v>670</c:v>
              </c:pt>
              <c:pt idx="10">
                <c:v>532</c:v>
              </c:pt>
              <c:pt idx="11">
                <c:v>347</c:v>
              </c:pt>
              <c:pt idx="12">
                <c:v>220</c:v>
              </c:pt>
              <c:pt idx="13">
                <c:v>82</c:v>
              </c:pt>
              <c:pt idx="14">
                <c:v>29</c:v>
              </c:pt>
              <c:pt idx="15">
                <c:v>15</c:v>
              </c:pt>
              <c:pt idx="16">
                <c:v>4</c:v>
              </c:pt>
              <c:pt idx="17">
                <c:v>1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335-A741-97EB-DDBB10CF1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81007872"/>
        <c:axId val="790230080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8.7014015735969582E-6</c:v>
              </c:pt>
              <c:pt idx="1">
                <c:v>7.3045582405351732E-5</c:v>
              </c:pt>
              <c:pt idx="2">
                <c:v>4.81303626284081E-4</c:v>
              </c:pt>
              <c:pt idx="3">
                <c:v>2.4892283868120212E-3</c:v>
              </c:pt>
              <c:pt idx="4">
                <c:v>1.0104871373412582E-2</c:v>
              </c:pt>
              <c:pt idx="5">
                <c:v>3.2197137917453371E-2</c:v>
              </c:pt>
              <c:pt idx="6">
                <c:v>8.0523784826997083E-2</c:v>
              </c:pt>
              <c:pt idx="7">
                <c:v>0.15807075402006701</c:v>
              </c:pt>
              <c:pt idx="8">
                <c:v>0.24355626406654199</c:v>
              </c:pt>
              <c:pt idx="9">
                <c:v>0.29455575752332203</c:v>
              </c:pt>
              <c:pt idx="10">
                <c:v>0.27961222920832601</c:v>
              </c:pt>
              <c:pt idx="11">
                <c:v>0.20833644121408401</c:v>
              </c:pt>
              <c:pt idx="12">
                <c:v>0.12184136455447098</c:v>
              </c:pt>
              <c:pt idx="13">
                <c:v>5.5929984714197099E-2</c:v>
              </c:pt>
              <c:pt idx="14">
                <c:v>2.01518573661187E-2</c:v>
              </c:pt>
              <c:pt idx="15">
                <c:v>5.6990949689760201E-3</c:v>
              </c:pt>
              <c:pt idx="16">
                <c:v>1.2650775273516767E-3</c:v>
              </c:pt>
              <c:pt idx="17">
                <c:v>2.2041889536670767E-4</c:v>
              </c:pt>
              <c:pt idx="18">
                <c:v>3.0144003784276693E-5</c:v>
              </c:pt>
              <c:pt idx="19">
                <c:v>3.2357389981955033E-6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7335-A741-97EB-DDBB10CF1F84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2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7335-A741-97EB-DDBB10CF1F84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11</c:v>
              </c:pt>
              <c:pt idx="1">
                <c:v>11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7335-A741-97EB-DDBB10CF1F84}"/>
            </c:ext>
          </c:extLst>
        </c:ser>
        <c:ser>
          <c:idx val="4"/>
          <c:order val="4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7335-A741-97EB-DDBB10CF1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0231232"/>
        <c:axId val="790230656"/>
      </c:scatterChart>
      <c:catAx>
        <c:axId val="381007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790230080"/>
        <c:crosses val="autoZero"/>
        <c:auto val="1"/>
        <c:lblAlgn val="ctr"/>
        <c:lblOffset val="100"/>
        <c:noMultiLvlLbl val="0"/>
      </c:catAx>
      <c:valAx>
        <c:axId val="79023008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81007872"/>
        <c:crosses val="autoZero"/>
        <c:crossBetween val="between"/>
      </c:valAx>
      <c:valAx>
        <c:axId val="790230656"/>
        <c:scaling>
          <c:orientation val="minMax"/>
          <c:max val="0.4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790231232"/>
        <c:crosses val="max"/>
        <c:crossBetween val="midCat"/>
      </c:valAx>
      <c:valAx>
        <c:axId val="790231232"/>
        <c:scaling>
          <c:orientation val="minMax"/>
        </c:scaling>
        <c:delete val="1"/>
        <c:axPos val="b"/>
        <c:majorTickMark val="out"/>
        <c:minorTickMark val="none"/>
        <c:tickLblPos val="none"/>
        <c:crossAx val="790230656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222" r="0.75000000000000222" t="1" header="0.5" footer="0.5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34.83</c:v>
              </c:pt>
              <c:pt idx="1">
                <c:v>35.49</c:v>
              </c:pt>
              <c:pt idx="2">
                <c:v>36.15</c:v>
              </c:pt>
              <c:pt idx="3">
                <c:v>36.809999999999995</c:v>
              </c:pt>
              <c:pt idx="4">
                <c:v>37.47</c:v>
              </c:pt>
              <c:pt idx="5">
                <c:v>38.130000000000003</c:v>
              </c:pt>
              <c:pt idx="6">
                <c:v>38.790000000000013</c:v>
              </c:pt>
              <c:pt idx="7">
                <c:v>39.449999999999996</c:v>
              </c:pt>
              <c:pt idx="8">
                <c:v>40.11</c:v>
              </c:pt>
              <c:pt idx="9">
                <c:v>40.770000000000003</c:v>
              </c:pt>
              <c:pt idx="10">
                <c:v>41.43</c:v>
              </c:pt>
              <c:pt idx="11">
                <c:v>42.09</c:v>
              </c:pt>
              <c:pt idx="12">
                <c:v>42.75</c:v>
              </c:pt>
              <c:pt idx="13">
                <c:v>43.41</c:v>
              </c:pt>
              <c:pt idx="14">
                <c:v>44.07</c:v>
              </c:pt>
              <c:pt idx="15">
                <c:v>44.730000000000011</c:v>
              </c:pt>
              <c:pt idx="16">
                <c:v>45.39</c:v>
              </c:pt>
              <c:pt idx="17">
                <c:v>46.05</c:v>
              </c:pt>
              <c:pt idx="18">
                <c:v>46.71</c:v>
              </c:pt>
              <c:pt idx="19">
                <c:v>47.37</c:v>
              </c:pt>
              <c:pt idx="20">
                <c:v>48.03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3</c:v>
              </c:pt>
              <c:pt idx="4">
                <c:v>6</c:v>
              </c:pt>
              <c:pt idx="5">
                <c:v>10</c:v>
              </c:pt>
              <c:pt idx="6">
                <c:v>26</c:v>
              </c:pt>
              <c:pt idx="7">
                <c:v>99</c:v>
              </c:pt>
              <c:pt idx="8">
                <c:v>269</c:v>
              </c:pt>
              <c:pt idx="9">
                <c:v>553</c:v>
              </c:pt>
              <c:pt idx="10">
                <c:v>727</c:v>
              </c:pt>
              <c:pt idx="11">
                <c:v>735</c:v>
              </c:pt>
              <c:pt idx="12">
                <c:v>538</c:v>
              </c:pt>
              <c:pt idx="13">
                <c:v>350</c:v>
              </c:pt>
              <c:pt idx="14">
                <c:v>151</c:v>
              </c:pt>
              <c:pt idx="15">
                <c:v>52</c:v>
              </c:pt>
              <c:pt idx="16">
                <c:v>8</c:v>
              </c:pt>
              <c:pt idx="17">
                <c:v>5</c:v>
              </c:pt>
              <c:pt idx="18">
                <c:v>1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0F74-4A46-B57A-F66F7ADB0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81097984"/>
        <c:axId val="233948864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5.273426458347478E-9</c:v>
              </c:pt>
              <c:pt idx="1">
                <c:v>1.1469583996028798E-7</c:v>
              </c:pt>
              <c:pt idx="2">
                <c:v>1.8669634206925243E-6</c:v>
              </c:pt>
              <c:pt idx="3">
                <c:v>2.2743501192106499E-5</c:v>
              </c:pt>
              <c:pt idx="4">
                <c:v>2.0735389855074257E-4</c:v>
              </c:pt>
              <c:pt idx="5">
                <c:v>1.41481761618217E-3</c:v>
              </c:pt>
              <c:pt idx="6">
                <c:v>7.2247376696953965E-3</c:v>
              </c:pt>
              <c:pt idx="7">
                <c:v>2.7610678342643611E-2</c:v>
              </c:pt>
              <c:pt idx="8">
                <c:v>7.8970600592236512E-2</c:v>
              </c:pt>
              <c:pt idx="9">
                <c:v>0.16903910149279894</c:v>
              </c:pt>
              <c:pt idx="10">
                <c:v>0.27079602218019777</c:v>
              </c:pt>
              <c:pt idx="11">
                <c:v>0.32466147378415794</c:v>
              </c:pt>
              <c:pt idx="12">
                <c:v>0.29130812727798311</c:v>
              </c:pt>
              <c:pt idx="13">
                <c:v>0.19561755079630799</c:v>
              </c:pt>
              <c:pt idx="14">
                <c:v>9.8309707318874784E-2</c:v>
              </c:pt>
              <c:pt idx="15">
                <c:v>3.6975866446705946E-2</c:v>
              </c:pt>
              <c:pt idx="16">
                <c:v>1.0408153441237073E-2</c:v>
              </c:pt>
              <c:pt idx="17">
                <c:v>2.1926150111772598E-3</c:v>
              </c:pt>
              <c:pt idx="18">
                <c:v>3.4568811645125611E-4</c:v>
              </c:pt>
              <c:pt idx="19">
                <c:v>4.0788702241932109E-5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0F74-4A46-B57A-F66F7ADB0D40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2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0F74-4A46-B57A-F66F7ADB0D40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11</c:v>
              </c:pt>
              <c:pt idx="1">
                <c:v>11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0F74-4A46-B57A-F66F7ADB0D40}"/>
            </c:ext>
          </c:extLst>
        </c:ser>
        <c:ser>
          <c:idx val="4"/>
          <c:order val="4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0F74-4A46-B57A-F66F7ADB0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950016"/>
        <c:axId val="233949440"/>
      </c:scatterChart>
      <c:catAx>
        <c:axId val="381097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233948864"/>
        <c:crosses val="autoZero"/>
        <c:auto val="1"/>
        <c:lblAlgn val="ctr"/>
        <c:lblOffset val="100"/>
        <c:noMultiLvlLbl val="0"/>
      </c:catAx>
      <c:valAx>
        <c:axId val="23394886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81097984"/>
        <c:crosses val="autoZero"/>
        <c:crossBetween val="between"/>
      </c:valAx>
      <c:valAx>
        <c:axId val="233949440"/>
        <c:scaling>
          <c:orientation val="minMax"/>
          <c:max val="0.4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233950016"/>
        <c:crosses val="max"/>
        <c:crossBetween val="midCat"/>
      </c:valAx>
      <c:valAx>
        <c:axId val="233950016"/>
        <c:scaling>
          <c:orientation val="minMax"/>
        </c:scaling>
        <c:delete val="1"/>
        <c:axPos val="b"/>
        <c:majorTickMark val="out"/>
        <c:minorTickMark val="none"/>
        <c:tickLblPos val="none"/>
        <c:crossAx val="233949440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222" r="0.75000000000000222" t="1" header="0.5" footer="0.5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1.9500000000000042</c:v>
              </c:pt>
              <c:pt idx="1">
                <c:v>1.9800000000000046</c:v>
              </c:pt>
              <c:pt idx="2">
                <c:v>2.0099999999999998</c:v>
              </c:pt>
              <c:pt idx="3">
                <c:v>2.04</c:v>
              </c:pt>
              <c:pt idx="4">
                <c:v>2.0699999999999998</c:v>
              </c:pt>
              <c:pt idx="5">
                <c:v>2.1</c:v>
              </c:pt>
              <c:pt idx="6">
                <c:v>2.13</c:v>
              </c:pt>
              <c:pt idx="7">
                <c:v>2.16</c:v>
              </c:pt>
              <c:pt idx="8">
                <c:v>2.19</c:v>
              </c:pt>
              <c:pt idx="9">
                <c:v>2.2200000000000002</c:v>
              </c:pt>
              <c:pt idx="10">
                <c:v>2.25</c:v>
              </c:pt>
              <c:pt idx="11">
                <c:v>2.2799999999999998</c:v>
              </c:pt>
              <c:pt idx="12">
                <c:v>2.3099999999999987</c:v>
              </c:pt>
              <c:pt idx="13">
                <c:v>2.34</c:v>
              </c:pt>
              <c:pt idx="14">
                <c:v>2.3699999999999997</c:v>
              </c:pt>
              <c:pt idx="15">
                <c:v>2.4</c:v>
              </c:pt>
              <c:pt idx="16">
                <c:v>2.4299999999999997</c:v>
              </c:pt>
              <c:pt idx="17">
                <c:v>2.46</c:v>
              </c:pt>
              <c:pt idx="18">
                <c:v>2.4899999999999998</c:v>
              </c:pt>
              <c:pt idx="19">
                <c:v>2.52</c:v>
              </c:pt>
              <c:pt idx="20">
                <c:v>2.5499999999999998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7</c:v>
              </c:pt>
              <c:pt idx="4">
                <c:v>11</c:v>
              </c:pt>
              <c:pt idx="5">
                <c:v>19</c:v>
              </c:pt>
              <c:pt idx="6">
                <c:v>55</c:v>
              </c:pt>
              <c:pt idx="7">
                <c:v>156</c:v>
              </c:pt>
              <c:pt idx="8">
                <c:v>324</c:v>
              </c:pt>
              <c:pt idx="9">
                <c:v>497</c:v>
              </c:pt>
              <c:pt idx="10">
                <c:v>613</c:v>
              </c:pt>
              <c:pt idx="11">
                <c:v>597</c:v>
              </c:pt>
              <c:pt idx="12">
                <c:v>517</c:v>
              </c:pt>
              <c:pt idx="13">
                <c:v>334</c:v>
              </c:pt>
              <c:pt idx="14">
                <c:v>199</c:v>
              </c:pt>
              <c:pt idx="15">
                <c:v>119</c:v>
              </c:pt>
              <c:pt idx="16">
                <c:v>59</c:v>
              </c:pt>
              <c:pt idx="17">
                <c:v>21</c:v>
              </c:pt>
              <c:pt idx="18">
                <c:v>5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AAE-DC40-BBC1-40230854C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81310976"/>
        <c:axId val="233953472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3.8273797129157011E-5</c:v>
              </c:pt>
              <c:pt idx="1">
                <c:v>2.9270877965624969E-4</c:v>
              </c:pt>
              <c:pt idx="2">
                <c:v>1.8510595376074255E-3</c:v>
              </c:pt>
              <c:pt idx="3">
                <c:v>9.6795575957228461E-3</c:v>
              </c:pt>
              <c:pt idx="4">
                <c:v>4.1854386936316906E-2</c:v>
              </c:pt>
              <c:pt idx="5">
                <c:v>0.14965006572310888</c:v>
              </c:pt>
              <c:pt idx="6">
                <c:v>0.44244918129688798</c:v>
              </c:pt>
              <c:pt idx="7">
                <c:v>1.0816837092466109</c:v>
              </c:pt>
              <c:pt idx="8">
                <c:v>2.1866918765054812</c:v>
              </c:pt>
              <c:pt idx="9">
                <c:v>3.6553191642506468</c:v>
              </c:pt>
              <c:pt idx="10">
                <c:v>5.0525826276238206</c:v>
              </c:pt>
              <c:pt idx="11">
                <c:v>5.7749995526055287</c:v>
              </c:pt>
              <c:pt idx="12">
                <c:v>5.4580925392063664</c:v>
              </c:pt>
              <c:pt idx="13">
                <c:v>4.2656011386390906</c:v>
              </c:pt>
              <c:pt idx="14">
                <c:v>2.7565761987763602</c:v>
              </c:pt>
              <c:pt idx="15">
                <c:v>1.473025176069561</c:v>
              </c:pt>
              <c:pt idx="16">
                <c:v>0.65087972967350383</c:v>
              </c:pt>
              <c:pt idx="17">
                <c:v>0.23781636285421462</c:v>
              </c:pt>
              <c:pt idx="18">
                <c:v>7.1851143734174366E-2</c:v>
              </c:pt>
              <c:pt idx="19">
                <c:v>1.7950486021768002E-2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4AAE-DC40-BBC1-40230854CB0A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2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4AAE-DC40-BBC1-40230854CB0A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11</c:v>
              </c:pt>
              <c:pt idx="1">
                <c:v>11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4AAE-DC40-BBC1-40230854CB0A}"/>
            </c:ext>
          </c:extLst>
        </c:ser>
        <c:ser>
          <c:idx val="4"/>
          <c:order val="4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4AAE-DC40-BBC1-40230854C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954624"/>
        <c:axId val="233954048"/>
      </c:scatterChart>
      <c:catAx>
        <c:axId val="381310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233953472"/>
        <c:crosses val="autoZero"/>
        <c:auto val="1"/>
        <c:lblAlgn val="ctr"/>
        <c:lblOffset val="100"/>
        <c:noMultiLvlLbl val="0"/>
      </c:catAx>
      <c:valAx>
        <c:axId val="23395347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81310976"/>
        <c:crosses val="autoZero"/>
        <c:crossBetween val="between"/>
      </c:valAx>
      <c:valAx>
        <c:axId val="233954048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233954624"/>
        <c:crosses val="max"/>
        <c:crossBetween val="midCat"/>
      </c:valAx>
      <c:valAx>
        <c:axId val="233954624"/>
        <c:scaling>
          <c:orientation val="minMax"/>
        </c:scaling>
        <c:delete val="1"/>
        <c:axPos val="b"/>
        <c:majorTickMark val="out"/>
        <c:minorTickMark val="none"/>
        <c:tickLblPos val="none"/>
        <c:crossAx val="233954048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222" r="0.75000000000000222" t="1" header="0.5" footer="0.5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6350">
              <a:solidFill>
                <a:srgbClr val="4F81BD"/>
              </a:solidFill>
              <a:prstDash val="solid"/>
            </a:ln>
          </c:spPr>
          <c:invertIfNegative val="0"/>
          <c:cat>
            <c:numLit>
              <c:formatCode>General</c:formatCode>
              <c:ptCount val="21"/>
              <c:pt idx="0">
                <c:v>1.9500000000000042</c:v>
              </c:pt>
              <c:pt idx="1">
                <c:v>1.9800000000000046</c:v>
              </c:pt>
              <c:pt idx="2">
                <c:v>2.0099999999999998</c:v>
              </c:pt>
              <c:pt idx="3">
                <c:v>2.04</c:v>
              </c:pt>
              <c:pt idx="4">
                <c:v>2.0699999999999998</c:v>
              </c:pt>
              <c:pt idx="5">
                <c:v>2.1</c:v>
              </c:pt>
              <c:pt idx="6">
                <c:v>2.13</c:v>
              </c:pt>
              <c:pt idx="7">
                <c:v>2.16</c:v>
              </c:pt>
              <c:pt idx="8">
                <c:v>2.19</c:v>
              </c:pt>
              <c:pt idx="9">
                <c:v>2.2200000000000002</c:v>
              </c:pt>
              <c:pt idx="10">
                <c:v>2.25</c:v>
              </c:pt>
              <c:pt idx="11">
                <c:v>2.2799999999999998</c:v>
              </c:pt>
              <c:pt idx="12">
                <c:v>2.3099999999999987</c:v>
              </c:pt>
              <c:pt idx="13">
                <c:v>2.34</c:v>
              </c:pt>
              <c:pt idx="14">
                <c:v>2.3699999999999997</c:v>
              </c:pt>
              <c:pt idx="15">
                <c:v>2.4</c:v>
              </c:pt>
              <c:pt idx="16">
                <c:v>2.4299999999999997</c:v>
              </c:pt>
              <c:pt idx="17">
                <c:v>2.46</c:v>
              </c:pt>
              <c:pt idx="18">
                <c:v>2.4899999999999998</c:v>
              </c:pt>
              <c:pt idx="19">
                <c:v>2.52</c:v>
              </c:pt>
              <c:pt idx="20">
                <c:v>2.5499999999999998</c:v>
              </c:pt>
            </c:num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0</c:v>
              </c:pt>
              <c:pt idx="2">
                <c:v>3</c:v>
              </c:pt>
              <c:pt idx="3">
                <c:v>4</c:v>
              </c:pt>
              <c:pt idx="4">
                <c:v>18</c:v>
              </c:pt>
              <c:pt idx="5">
                <c:v>34</c:v>
              </c:pt>
              <c:pt idx="6">
                <c:v>108</c:v>
              </c:pt>
              <c:pt idx="7">
                <c:v>218</c:v>
              </c:pt>
              <c:pt idx="8">
                <c:v>409</c:v>
              </c:pt>
              <c:pt idx="9">
                <c:v>550</c:v>
              </c:pt>
              <c:pt idx="10">
                <c:v>584</c:v>
              </c:pt>
              <c:pt idx="11">
                <c:v>600</c:v>
              </c:pt>
              <c:pt idx="12">
                <c:v>447</c:v>
              </c:pt>
              <c:pt idx="13">
                <c:v>270</c:v>
              </c:pt>
              <c:pt idx="14">
                <c:v>156</c:v>
              </c:pt>
              <c:pt idx="15">
                <c:v>76</c:v>
              </c:pt>
              <c:pt idx="16">
                <c:v>40</c:v>
              </c:pt>
              <c:pt idx="17">
                <c:v>14</c:v>
              </c:pt>
              <c:pt idx="18">
                <c:v>2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6547-1B45-BC30-168152D7E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81589504"/>
        <c:axId val="235390656"/>
      </c:barChart>
      <c:scatterChart>
        <c:scatterStyle val="smoothMarker"/>
        <c:varyColors val="0"/>
        <c:ser>
          <c:idx val="1"/>
          <c:order val="1"/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21"/>
              <c:pt idx="0">
                <c:v>1.0977409155336048E-4</c:v>
              </c:pt>
              <c:pt idx="1">
                <c:v>7.5596862944514378E-4</c:v>
              </c:pt>
              <c:pt idx="2">
                <c:v>4.3121179181176365E-3</c:v>
              </c:pt>
              <c:pt idx="3">
                <c:v>2.0373256582944702E-2</c:v>
              </c:pt>
              <c:pt idx="4">
                <c:v>7.9728415815945516E-2</c:v>
              </c:pt>
              <c:pt idx="5">
                <c:v>0.25843346916930532</c:v>
              </c:pt>
              <c:pt idx="6">
                <c:v>0.69385291812439664</c:v>
              </c:pt>
              <c:pt idx="7">
                <c:v>1.5430108598991659</c:v>
              </c:pt>
              <c:pt idx="8">
                <c:v>2.8421922323368021</c:v>
              </c:pt>
              <c:pt idx="9">
                <c:v>4.3363149281461277</c:v>
              </c:pt>
              <c:pt idx="10">
                <c:v>5.4798804637008516</c:v>
              </c:pt>
              <c:pt idx="11">
                <c:v>5.7359354640284357</c:v>
              </c:pt>
              <c:pt idx="12">
                <c:v>4.9730214177124328</c:v>
              </c:pt>
              <c:pt idx="13">
                <c:v>3.5712422002363389</c:v>
              </c:pt>
              <c:pt idx="14">
                <c:v>2.1242282589991612</c:v>
              </c:pt>
              <c:pt idx="15">
                <c:v>1.0465644084051957</c:v>
              </c:pt>
              <c:pt idx="16">
                <c:v>0.42708433495499953</c:v>
              </c:pt>
              <c:pt idx="17">
                <c:v>0.14435911974708801</c:v>
              </c:pt>
              <c:pt idx="18">
                <c:v>4.0416462626025468E-2</c:v>
              </c:pt>
              <c:pt idx="19">
                <c:v>9.3724997902485951E-3</c:v>
              </c:pt>
              <c:pt idx="2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6547-1B45-BC30-168152D7EA41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2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6547-1B45-BC30-168152D7EA41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11</c:v>
              </c:pt>
              <c:pt idx="1">
                <c:v>11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6547-1B45-BC30-168152D7EA41}"/>
            </c:ext>
          </c:extLst>
        </c:ser>
        <c:ser>
          <c:idx val="4"/>
          <c:order val="4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</c:v>
              </c:pt>
              <c:pt idx="1">
                <c:v>19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6547-1B45-BC30-168152D7E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5391808"/>
        <c:axId val="235391232"/>
      </c:scatterChart>
      <c:catAx>
        <c:axId val="381589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600000" vert="horz"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235390656"/>
        <c:crosses val="autoZero"/>
        <c:auto val="1"/>
        <c:lblAlgn val="ctr"/>
        <c:lblOffset val="100"/>
        <c:noMultiLvlLbl val="0"/>
      </c:catAx>
      <c:valAx>
        <c:axId val="23539065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ysClr val="windowText" lastClr="000000">
                      <a:tint val="75000"/>
                      <a:shade val="95000"/>
                      <a:satMod val="105000"/>
                    </a:sysClr>
                  </a:solidFill>
                  <a:prstDash val="solid"/>
                  <a:round/>
                </a14:hiddenLine>
              </a:ext>
            </a:extLst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381589504"/>
        <c:crosses val="autoZero"/>
        <c:crossBetween val="between"/>
      </c:valAx>
      <c:valAx>
        <c:axId val="235391232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500">
                <a:latin typeface="Helvetica Light"/>
                <a:ea typeface="Helvetica Light"/>
                <a:cs typeface="Helvetica Light"/>
              </a:defRPr>
            </a:pPr>
            <a:endParaRPr lang="ko-KR"/>
          </a:p>
        </c:txPr>
        <c:crossAx val="235391808"/>
        <c:crosses val="max"/>
        <c:crossBetween val="midCat"/>
      </c:valAx>
      <c:valAx>
        <c:axId val="235391808"/>
        <c:scaling>
          <c:orientation val="minMax"/>
        </c:scaling>
        <c:delete val="1"/>
        <c:axPos val="b"/>
        <c:majorTickMark val="out"/>
        <c:minorTickMark val="none"/>
        <c:tickLblPos val="none"/>
        <c:crossAx val="235391232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1" l="0.75000000000000222" r="0.75000000000000222" t="1" header="0.5" footer="0.5"/>
    <c:pageSetup/>
  </c:printSettings>
</c:chartSpac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ctrlProps/ctrlProp30.xml><?xml version="1.0" encoding="utf-8"?>
<formControlPr xmlns="http://schemas.microsoft.com/office/spreadsheetml/2009/9/main" objectType="Button" lockText="1"/>
</file>

<file path=xl/ctrlProps/ctrlProp31.xml><?xml version="1.0" encoding="utf-8"?>
<formControlPr xmlns="http://schemas.microsoft.com/office/spreadsheetml/2009/9/main" objectType="Button" lockText="1"/>
</file>

<file path=xl/ctrlProps/ctrlProp32.xml><?xml version="1.0" encoding="utf-8"?>
<formControlPr xmlns="http://schemas.microsoft.com/office/spreadsheetml/2009/9/main" objectType="Button" lockText="1"/>
</file>

<file path=xl/ctrlProps/ctrlProp33.xml><?xml version="1.0" encoding="utf-8"?>
<formControlPr xmlns="http://schemas.microsoft.com/office/spreadsheetml/2009/9/main" objectType="Button" lockText="1"/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1</xdr:row>
          <xdr:rowOff>9525</xdr:rowOff>
        </xdr:from>
        <xdr:to>
          <xdr:col>3</xdr:col>
          <xdr:colOff>1076325</xdr:colOff>
          <xdr:row>2</xdr:row>
          <xdr:rowOff>76200</xdr:rowOff>
        </xdr:to>
        <xdr:sp macro="" textlink="">
          <xdr:nvSpPr>
            <xdr:cNvPr id="31748" name="Button 29" hidden="1">
              <a:extLst>
                <a:ext uri="{63B3BB69-23CF-44E3-9099-C40C66FF867C}">
                  <a14:compatExt spid="_x0000_s31748"/>
                </a:ext>
                <a:ext uri="{FF2B5EF4-FFF2-40B4-BE49-F238E27FC236}">
                  <a16:creationId xmlns:a16="http://schemas.microsoft.com/office/drawing/2014/main" id="{00000000-0008-0000-0000-000004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Update Normality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1133475</xdr:colOff>
          <xdr:row>1</xdr:row>
          <xdr:rowOff>9525</xdr:rowOff>
        </xdr:from>
        <xdr:to>
          <xdr:col>5</xdr:col>
          <xdr:colOff>409575</xdr:colOff>
          <xdr:row>2</xdr:row>
          <xdr:rowOff>76200</xdr:rowOff>
        </xdr:to>
        <xdr:sp macro="" textlink="">
          <xdr:nvSpPr>
            <xdr:cNvPr id="31749" name="Button 30" hidden="1">
              <a:extLst>
                <a:ext uri="{63B3BB69-23CF-44E3-9099-C40C66FF867C}">
                  <a14:compatExt spid="_x0000_s31749"/>
                </a:ext>
                <a:ext uri="{FF2B5EF4-FFF2-40B4-BE49-F238E27FC236}">
                  <a16:creationId xmlns:a16="http://schemas.microsoft.com/office/drawing/2014/main" id="{00000000-0008-0000-0000-000005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Manage Data Tabs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447675</xdr:colOff>
          <xdr:row>1</xdr:row>
          <xdr:rowOff>9525</xdr:rowOff>
        </xdr:from>
        <xdr:to>
          <xdr:col>7</xdr:col>
          <xdr:colOff>333375</xdr:colOff>
          <xdr:row>2</xdr:row>
          <xdr:rowOff>76200</xdr:rowOff>
        </xdr:to>
        <xdr:sp macro="" textlink="">
          <xdr:nvSpPr>
            <xdr:cNvPr id="31750" name="Button 31" hidden="1">
              <a:extLst>
                <a:ext uri="{63B3BB69-23CF-44E3-9099-C40C66FF867C}">
                  <a14:compatExt spid="_x0000_s31750"/>
                </a:ext>
                <a:ext uri="{FF2B5EF4-FFF2-40B4-BE49-F238E27FC236}">
                  <a16:creationId xmlns:a16="http://schemas.microsoft.com/office/drawing/2014/main" id="{00000000-0008-0000-0000-000006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Export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371475</xdr:colOff>
          <xdr:row>1</xdr:row>
          <xdr:rowOff>9525</xdr:rowOff>
        </xdr:from>
        <xdr:to>
          <xdr:col>9</xdr:col>
          <xdr:colOff>571500</xdr:colOff>
          <xdr:row>2</xdr:row>
          <xdr:rowOff>76200</xdr:rowOff>
        </xdr:to>
        <xdr:sp macro="" textlink="">
          <xdr:nvSpPr>
            <xdr:cNvPr id="31751" name="Button 39" hidden="1">
              <a:extLst>
                <a:ext uri="{63B3BB69-23CF-44E3-9099-C40C66FF867C}">
                  <a14:compatExt spid="_x0000_s31751"/>
                </a:ext>
                <a:ext uri="{FF2B5EF4-FFF2-40B4-BE49-F238E27FC236}">
                  <a16:creationId xmlns:a16="http://schemas.microsoft.com/office/drawing/2014/main" id="{00000000-0008-0000-0000-000007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Import Report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28575</xdr:colOff>
          <xdr:row>1</xdr:row>
          <xdr:rowOff>9525</xdr:rowOff>
        </xdr:from>
        <xdr:to>
          <xdr:col>12</xdr:col>
          <xdr:colOff>295275</xdr:colOff>
          <xdr:row>2</xdr:row>
          <xdr:rowOff>66675</xdr:rowOff>
        </xdr:to>
        <xdr:sp macro="" textlink="">
          <xdr:nvSpPr>
            <xdr:cNvPr id="31752" name="Button 41" hidden="1">
              <a:extLst>
                <a:ext uri="{63B3BB69-23CF-44E3-9099-C40C66FF867C}">
                  <a14:compatExt spid="_x0000_s31752"/>
                </a:ext>
                <a:ext uri="{FF2B5EF4-FFF2-40B4-BE49-F238E27FC236}">
                  <a16:creationId xmlns:a16="http://schemas.microsoft.com/office/drawing/2014/main" id="{00000000-0008-0000-0000-000008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Detect Outliers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9525</xdr:colOff>
          <xdr:row>1</xdr:row>
          <xdr:rowOff>9525</xdr:rowOff>
        </xdr:from>
        <xdr:to>
          <xdr:col>2</xdr:col>
          <xdr:colOff>0</xdr:colOff>
          <xdr:row>2</xdr:row>
          <xdr:rowOff>76200</xdr:rowOff>
        </xdr:to>
        <xdr:sp macro="" textlink="">
          <xdr:nvSpPr>
            <xdr:cNvPr id="29697" name="Button 1" hidden="1">
              <a:extLst>
                <a:ext uri="{63B3BB69-23CF-44E3-9099-C40C66FF867C}">
                  <a14:compatExt spid="_x0000_s29697"/>
                </a:ext>
                <a:ext uri="{FF2B5EF4-FFF2-40B4-BE49-F238E27FC236}">
                  <a16:creationId xmlns:a16="http://schemas.microsoft.com/office/drawing/2014/main" id="{00000000-0008-0000-0100-000001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Update Normality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1</xdr:row>
          <xdr:rowOff>9525</xdr:rowOff>
        </xdr:from>
        <xdr:to>
          <xdr:col>3</xdr:col>
          <xdr:colOff>0</xdr:colOff>
          <xdr:row>2</xdr:row>
          <xdr:rowOff>76200</xdr:rowOff>
        </xdr:to>
        <xdr:sp macro="" textlink="">
          <xdr:nvSpPr>
            <xdr:cNvPr id="29698" name="Button 2" hidden="1">
              <a:extLst>
                <a:ext uri="{63B3BB69-23CF-44E3-9099-C40C66FF867C}">
                  <a14:compatExt spid="_x0000_s29698"/>
                </a:ext>
                <a:ext uri="{FF2B5EF4-FFF2-40B4-BE49-F238E27FC236}">
                  <a16:creationId xmlns:a16="http://schemas.microsoft.com/office/drawing/2014/main" id="{00000000-0008-0000-0100-000002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Manage Data Tabs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1</xdr:row>
          <xdr:rowOff>9525</xdr:rowOff>
        </xdr:from>
        <xdr:to>
          <xdr:col>4</xdr:col>
          <xdr:colOff>333375</xdr:colOff>
          <xdr:row>2</xdr:row>
          <xdr:rowOff>76200</xdr:rowOff>
        </xdr:to>
        <xdr:sp macro="" textlink="">
          <xdr:nvSpPr>
            <xdr:cNvPr id="29699" name="Button 3" hidden="1">
              <a:extLst>
                <a:ext uri="{63B3BB69-23CF-44E3-9099-C40C66FF867C}">
                  <a14:compatExt spid="_x0000_s29699"/>
                </a:ext>
                <a:ext uri="{FF2B5EF4-FFF2-40B4-BE49-F238E27FC236}">
                  <a16:creationId xmlns:a16="http://schemas.microsoft.com/office/drawing/2014/main" id="{00000000-0008-0000-0100-000003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Export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371475</xdr:colOff>
          <xdr:row>1</xdr:row>
          <xdr:rowOff>9525</xdr:rowOff>
        </xdr:from>
        <xdr:to>
          <xdr:col>6</xdr:col>
          <xdr:colOff>0</xdr:colOff>
          <xdr:row>2</xdr:row>
          <xdr:rowOff>76200</xdr:rowOff>
        </xdr:to>
        <xdr:sp macro="" textlink="">
          <xdr:nvSpPr>
            <xdr:cNvPr id="29700" name="Button 4" hidden="1">
              <a:extLst>
                <a:ext uri="{63B3BB69-23CF-44E3-9099-C40C66FF867C}">
                  <a14:compatExt spid="_x0000_s29700"/>
                </a:ext>
                <a:ext uri="{FF2B5EF4-FFF2-40B4-BE49-F238E27FC236}">
                  <a16:creationId xmlns:a16="http://schemas.microsoft.com/office/drawing/2014/main" id="{00000000-0008-0000-0100-000004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Import Report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</xdr:row>
          <xdr:rowOff>9525</xdr:rowOff>
        </xdr:from>
        <xdr:to>
          <xdr:col>7</xdr:col>
          <xdr:colOff>295275</xdr:colOff>
          <xdr:row>2</xdr:row>
          <xdr:rowOff>66675</xdr:rowOff>
        </xdr:to>
        <xdr:sp macro="" textlink="">
          <xdr:nvSpPr>
            <xdr:cNvPr id="29701" name="Button 5" hidden="1">
              <a:extLst>
                <a:ext uri="{63B3BB69-23CF-44E3-9099-C40C66FF867C}">
                  <a14:compatExt spid="_x0000_s29701"/>
                </a:ext>
                <a:ext uri="{FF2B5EF4-FFF2-40B4-BE49-F238E27FC236}">
                  <a16:creationId xmlns:a16="http://schemas.microsoft.com/office/drawing/2014/main" id="{00000000-0008-0000-0100-000005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Detect Outliers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28575</xdr:colOff>
          <xdr:row>1</xdr:row>
          <xdr:rowOff>28575</xdr:rowOff>
        </xdr:from>
        <xdr:to>
          <xdr:col>3</xdr:col>
          <xdr:colOff>828675</xdr:colOff>
          <xdr:row>3</xdr:row>
          <xdr:rowOff>9525</xdr:rowOff>
        </xdr:to>
        <xdr:sp macro="" textlink="">
          <xdr:nvSpPr>
            <xdr:cNvPr id="2077" name="Button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2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Update Normality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866775</xdr:colOff>
          <xdr:row>1</xdr:row>
          <xdr:rowOff>28575</xdr:rowOff>
        </xdr:from>
        <xdr:to>
          <xdr:col>5</xdr:col>
          <xdr:colOff>314325</xdr:colOff>
          <xdr:row>3</xdr:row>
          <xdr:rowOff>9525</xdr:rowOff>
        </xdr:to>
        <xdr:sp macro="" textlink="">
          <xdr:nvSpPr>
            <xdr:cNvPr id="2078" name="Button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2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Manage Data Tabs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342900</xdr:colOff>
          <xdr:row>1</xdr:row>
          <xdr:rowOff>28575</xdr:rowOff>
        </xdr:from>
        <xdr:to>
          <xdr:col>7</xdr:col>
          <xdr:colOff>257175</xdr:colOff>
          <xdr:row>3</xdr:row>
          <xdr:rowOff>9525</xdr:rowOff>
        </xdr:to>
        <xdr:sp macro="" textlink="">
          <xdr:nvSpPr>
            <xdr:cNvPr id="2079" name="Button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2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Export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295275</xdr:colOff>
          <xdr:row>1</xdr:row>
          <xdr:rowOff>28575</xdr:rowOff>
        </xdr:from>
        <xdr:to>
          <xdr:col>9</xdr:col>
          <xdr:colOff>295275</xdr:colOff>
          <xdr:row>3</xdr:row>
          <xdr:rowOff>9525</xdr:rowOff>
        </xdr:to>
        <xdr:sp macro="" textlink="">
          <xdr:nvSpPr>
            <xdr:cNvPr id="2087" name="Button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2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Import Report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28575</xdr:colOff>
          <xdr:row>1</xdr:row>
          <xdr:rowOff>28575</xdr:rowOff>
        </xdr:from>
        <xdr:to>
          <xdr:col>12</xdr:col>
          <xdr:colOff>228600</xdr:colOff>
          <xdr:row>3</xdr:row>
          <xdr:rowOff>9525</xdr:rowOff>
        </xdr:to>
        <xdr:sp macro="" textlink="">
          <xdr:nvSpPr>
            <xdr:cNvPr id="2089" name="Button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2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Detect Outliers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28575</xdr:colOff>
          <xdr:row>1</xdr:row>
          <xdr:rowOff>28575</xdr:rowOff>
        </xdr:from>
        <xdr:to>
          <xdr:col>3</xdr:col>
          <xdr:colOff>828675</xdr:colOff>
          <xdr:row>3</xdr:row>
          <xdr:rowOff>9525</xdr:rowOff>
        </xdr:to>
        <xdr:sp macro="" textlink="">
          <xdr:nvSpPr>
            <xdr:cNvPr id="24577" name="Button 1" hidden="1">
              <a:extLst>
                <a:ext uri="{63B3BB69-23CF-44E3-9099-C40C66FF867C}">
                  <a14:compatExt spid="_x0000_s24577"/>
                </a:ext>
                <a:ext uri="{FF2B5EF4-FFF2-40B4-BE49-F238E27FC236}">
                  <a16:creationId xmlns:a16="http://schemas.microsoft.com/office/drawing/2014/main" id="{00000000-0008-0000-0300-000001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Update Normality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866775</xdr:colOff>
          <xdr:row>1</xdr:row>
          <xdr:rowOff>28575</xdr:rowOff>
        </xdr:from>
        <xdr:to>
          <xdr:col>5</xdr:col>
          <xdr:colOff>314325</xdr:colOff>
          <xdr:row>3</xdr:row>
          <xdr:rowOff>9525</xdr:rowOff>
        </xdr:to>
        <xdr:sp macro="" textlink="">
          <xdr:nvSpPr>
            <xdr:cNvPr id="24578" name="Button 2" hidden="1">
              <a:extLst>
                <a:ext uri="{63B3BB69-23CF-44E3-9099-C40C66FF867C}">
                  <a14:compatExt spid="_x0000_s24578"/>
                </a:ext>
                <a:ext uri="{FF2B5EF4-FFF2-40B4-BE49-F238E27FC236}">
                  <a16:creationId xmlns:a16="http://schemas.microsoft.com/office/drawing/2014/main" id="{00000000-0008-0000-0300-000002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Manage Data Tabs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342900</xdr:colOff>
          <xdr:row>1</xdr:row>
          <xdr:rowOff>28575</xdr:rowOff>
        </xdr:from>
        <xdr:to>
          <xdr:col>7</xdr:col>
          <xdr:colOff>257175</xdr:colOff>
          <xdr:row>3</xdr:row>
          <xdr:rowOff>9525</xdr:rowOff>
        </xdr:to>
        <xdr:sp macro="" textlink="">
          <xdr:nvSpPr>
            <xdr:cNvPr id="24579" name="Button 3" hidden="1">
              <a:extLst>
                <a:ext uri="{63B3BB69-23CF-44E3-9099-C40C66FF867C}">
                  <a14:compatExt spid="_x0000_s24579"/>
                </a:ext>
                <a:ext uri="{FF2B5EF4-FFF2-40B4-BE49-F238E27FC236}">
                  <a16:creationId xmlns:a16="http://schemas.microsoft.com/office/drawing/2014/main" id="{00000000-0008-0000-0300-000003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Export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295275</xdr:colOff>
          <xdr:row>1</xdr:row>
          <xdr:rowOff>28575</xdr:rowOff>
        </xdr:from>
        <xdr:to>
          <xdr:col>9</xdr:col>
          <xdr:colOff>295275</xdr:colOff>
          <xdr:row>3</xdr:row>
          <xdr:rowOff>9525</xdr:rowOff>
        </xdr:to>
        <xdr:sp macro="" textlink="">
          <xdr:nvSpPr>
            <xdr:cNvPr id="24580" name="Button 4" hidden="1">
              <a:extLst>
                <a:ext uri="{63B3BB69-23CF-44E3-9099-C40C66FF867C}">
                  <a14:compatExt spid="_x0000_s24580"/>
                </a:ext>
                <a:ext uri="{FF2B5EF4-FFF2-40B4-BE49-F238E27FC236}">
                  <a16:creationId xmlns:a16="http://schemas.microsoft.com/office/drawing/2014/main" id="{00000000-0008-0000-0300-000004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Import Report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28575</xdr:colOff>
          <xdr:row>1</xdr:row>
          <xdr:rowOff>28575</xdr:rowOff>
        </xdr:from>
        <xdr:to>
          <xdr:col>12</xdr:col>
          <xdr:colOff>228600</xdr:colOff>
          <xdr:row>3</xdr:row>
          <xdr:rowOff>9525</xdr:rowOff>
        </xdr:to>
        <xdr:sp macro="" textlink="">
          <xdr:nvSpPr>
            <xdr:cNvPr id="24581" name="Button 5" hidden="1">
              <a:extLst>
                <a:ext uri="{63B3BB69-23CF-44E3-9099-C40C66FF867C}">
                  <a14:compatExt spid="_x0000_s24581"/>
                </a:ext>
                <a:ext uri="{FF2B5EF4-FFF2-40B4-BE49-F238E27FC236}">
                  <a16:creationId xmlns:a16="http://schemas.microsoft.com/office/drawing/2014/main" id="{00000000-0008-0000-0300-000005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Detect Outliers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28575</xdr:colOff>
          <xdr:row>1</xdr:row>
          <xdr:rowOff>28575</xdr:rowOff>
        </xdr:from>
        <xdr:to>
          <xdr:col>3</xdr:col>
          <xdr:colOff>828675</xdr:colOff>
          <xdr:row>3</xdr:row>
          <xdr:rowOff>9525</xdr:rowOff>
        </xdr:to>
        <xdr:sp macro="" textlink="">
          <xdr:nvSpPr>
            <xdr:cNvPr id="26625" name="Button 1" hidden="1">
              <a:extLst>
                <a:ext uri="{63B3BB69-23CF-44E3-9099-C40C66FF867C}">
                  <a14:compatExt spid="_x0000_s26625"/>
                </a:ext>
                <a:ext uri="{FF2B5EF4-FFF2-40B4-BE49-F238E27FC236}">
                  <a16:creationId xmlns:a16="http://schemas.microsoft.com/office/drawing/2014/main" id="{00000000-0008-0000-0400-000001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Update Normality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866775</xdr:colOff>
          <xdr:row>1</xdr:row>
          <xdr:rowOff>28575</xdr:rowOff>
        </xdr:from>
        <xdr:to>
          <xdr:col>5</xdr:col>
          <xdr:colOff>314325</xdr:colOff>
          <xdr:row>3</xdr:row>
          <xdr:rowOff>9525</xdr:rowOff>
        </xdr:to>
        <xdr:sp macro="" textlink="">
          <xdr:nvSpPr>
            <xdr:cNvPr id="26626" name="Button 2" hidden="1">
              <a:extLst>
                <a:ext uri="{63B3BB69-23CF-44E3-9099-C40C66FF867C}">
                  <a14:compatExt spid="_x0000_s26626"/>
                </a:ext>
                <a:ext uri="{FF2B5EF4-FFF2-40B4-BE49-F238E27FC236}">
                  <a16:creationId xmlns:a16="http://schemas.microsoft.com/office/drawing/2014/main" id="{00000000-0008-0000-0400-000002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Manage Data Tabs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342900</xdr:colOff>
          <xdr:row>1</xdr:row>
          <xdr:rowOff>28575</xdr:rowOff>
        </xdr:from>
        <xdr:to>
          <xdr:col>7</xdr:col>
          <xdr:colOff>257175</xdr:colOff>
          <xdr:row>3</xdr:row>
          <xdr:rowOff>9525</xdr:rowOff>
        </xdr:to>
        <xdr:sp macro="" textlink="">
          <xdr:nvSpPr>
            <xdr:cNvPr id="26627" name="Button 3" hidden="1">
              <a:extLst>
                <a:ext uri="{63B3BB69-23CF-44E3-9099-C40C66FF867C}">
                  <a14:compatExt spid="_x0000_s26627"/>
                </a:ext>
                <a:ext uri="{FF2B5EF4-FFF2-40B4-BE49-F238E27FC236}">
                  <a16:creationId xmlns:a16="http://schemas.microsoft.com/office/drawing/2014/main" id="{00000000-0008-0000-0400-000003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Export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295275</xdr:colOff>
          <xdr:row>1</xdr:row>
          <xdr:rowOff>28575</xdr:rowOff>
        </xdr:from>
        <xdr:to>
          <xdr:col>9</xdr:col>
          <xdr:colOff>295275</xdr:colOff>
          <xdr:row>3</xdr:row>
          <xdr:rowOff>9525</xdr:rowOff>
        </xdr:to>
        <xdr:sp macro="" textlink="">
          <xdr:nvSpPr>
            <xdr:cNvPr id="26628" name="Button 4" hidden="1">
              <a:extLst>
                <a:ext uri="{63B3BB69-23CF-44E3-9099-C40C66FF867C}">
                  <a14:compatExt spid="_x0000_s26628"/>
                </a:ext>
                <a:ext uri="{FF2B5EF4-FFF2-40B4-BE49-F238E27FC236}">
                  <a16:creationId xmlns:a16="http://schemas.microsoft.com/office/drawing/2014/main" id="{00000000-0008-0000-0400-000004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Import Report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28575</xdr:colOff>
          <xdr:row>1</xdr:row>
          <xdr:rowOff>28575</xdr:rowOff>
        </xdr:from>
        <xdr:to>
          <xdr:col>12</xdr:col>
          <xdr:colOff>228600</xdr:colOff>
          <xdr:row>3</xdr:row>
          <xdr:rowOff>9525</xdr:rowOff>
        </xdr:to>
        <xdr:sp macro="" textlink="">
          <xdr:nvSpPr>
            <xdr:cNvPr id="26629" name="Button 5" hidden="1">
              <a:extLst>
                <a:ext uri="{63B3BB69-23CF-44E3-9099-C40C66FF867C}">
                  <a14:compatExt spid="_x0000_s26629"/>
                </a:ext>
                <a:ext uri="{FF2B5EF4-FFF2-40B4-BE49-F238E27FC236}">
                  <a16:creationId xmlns:a16="http://schemas.microsoft.com/office/drawing/2014/main" id="{00000000-0008-0000-0400-000005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Detect Outliers</a:t>
              </a:r>
            </a:p>
          </xdr:txBody>
        </xdr:sp>
        <xdr:clientData fPrint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28575</xdr:colOff>
          <xdr:row>1</xdr:row>
          <xdr:rowOff>28575</xdr:rowOff>
        </xdr:from>
        <xdr:to>
          <xdr:col>3</xdr:col>
          <xdr:colOff>828675</xdr:colOff>
          <xdr:row>3</xdr:row>
          <xdr:rowOff>9525</xdr:rowOff>
        </xdr:to>
        <xdr:sp macro="" textlink="">
          <xdr:nvSpPr>
            <xdr:cNvPr id="27649" name="Button 1" hidden="1">
              <a:extLst>
                <a:ext uri="{63B3BB69-23CF-44E3-9099-C40C66FF867C}">
                  <a14:compatExt spid="_x0000_s27649"/>
                </a:ext>
                <a:ext uri="{FF2B5EF4-FFF2-40B4-BE49-F238E27FC236}">
                  <a16:creationId xmlns:a16="http://schemas.microsoft.com/office/drawing/2014/main" id="{00000000-0008-0000-0500-000001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Update Normality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866775</xdr:colOff>
          <xdr:row>1</xdr:row>
          <xdr:rowOff>28575</xdr:rowOff>
        </xdr:from>
        <xdr:to>
          <xdr:col>5</xdr:col>
          <xdr:colOff>314325</xdr:colOff>
          <xdr:row>3</xdr:row>
          <xdr:rowOff>9525</xdr:rowOff>
        </xdr:to>
        <xdr:sp macro="" textlink="">
          <xdr:nvSpPr>
            <xdr:cNvPr id="27650" name="Button 2" hidden="1">
              <a:extLst>
                <a:ext uri="{63B3BB69-23CF-44E3-9099-C40C66FF867C}">
                  <a14:compatExt spid="_x0000_s27650"/>
                </a:ext>
                <a:ext uri="{FF2B5EF4-FFF2-40B4-BE49-F238E27FC236}">
                  <a16:creationId xmlns:a16="http://schemas.microsoft.com/office/drawing/2014/main" id="{00000000-0008-0000-0500-000002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Manage Data Tabs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342900</xdr:colOff>
          <xdr:row>1</xdr:row>
          <xdr:rowOff>28575</xdr:rowOff>
        </xdr:from>
        <xdr:to>
          <xdr:col>7</xdr:col>
          <xdr:colOff>257175</xdr:colOff>
          <xdr:row>3</xdr:row>
          <xdr:rowOff>9525</xdr:rowOff>
        </xdr:to>
        <xdr:sp macro="" textlink="">
          <xdr:nvSpPr>
            <xdr:cNvPr id="27651" name="Button 3" hidden="1">
              <a:extLst>
                <a:ext uri="{63B3BB69-23CF-44E3-9099-C40C66FF867C}">
                  <a14:compatExt spid="_x0000_s27651"/>
                </a:ext>
                <a:ext uri="{FF2B5EF4-FFF2-40B4-BE49-F238E27FC236}">
                  <a16:creationId xmlns:a16="http://schemas.microsoft.com/office/drawing/2014/main" id="{00000000-0008-0000-0500-000003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Export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295275</xdr:colOff>
          <xdr:row>1</xdr:row>
          <xdr:rowOff>28575</xdr:rowOff>
        </xdr:from>
        <xdr:to>
          <xdr:col>9</xdr:col>
          <xdr:colOff>295275</xdr:colOff>
          <xdr:row>3</xdr:row>
          <xdr:rowOff>9525</xdr:rowOff>
        </xdr:to>
        <xdr:sp macro="" textlink="">
          <xdr:nvSpPr>
            <xdr:cNvPr id="27652" name="Button 4" hidden="1">
              <a:extLst>
                <a:ext uri="{63B3BB69-23CF-44E3-9099-C40C66FF867C}">
                  <a14:compatExt spid="_x0000_s27652"/>
                </a:ext>
                <a:ext uri="{FF2B5EF4-FFF2-40B4-BE49-F238E27FC236}">
                  <a16:creationId xmlns:a16="http://schemas.microsoft.com/office/drawing/2014/main" id="{00000000-0008-0000-0500-000004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Import Report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28575</xdr:colOff>
          <xdr:row>1</xdr:row>
          <xdr:rowOff>28575</xdr:rowOff>
        </xdr:from>
        <xdr:to>
          <xdr:col>12</xdr:col>
          <xdr:colOff>228600</xdr:colOff>
          <xdr:row>3</xdr:row>
          <xdr:rowOff>9525</xdr:rowOff>
        </xdr:to>
        <xdr:sp macro="" textlink="">
          <xdr:nvSpPr>
            <xdr:cNvPr id="27653" name="Button 5" hidden="1">
              <a:extLst>
                <a:ext uri="{63B3BB69-23CF-44E3-9099-C40C66FF867C}">
                  <a14:compatExt spid="_x0000_s27653"/>
                </a:ext>
                <a:ext uri="{FF2B5EF4-FFF2-40B4-BE49-F238E27FC236}">
                  <a16:creationId xmlns:a16="http://schemas.microsoft.com/office/drawing/2014/main" id="{00000000-0008-0000-0500-000005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Detect Outliers</a:t>
              </a:r>
            </a:p>
          </xdr:txBody>
        </xdr:sp>
        <xdr:clientData fPrintsWithSheet="0"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635000</xdr:colOff>
      <xdr:row>2</xdr:row>
      <xdr:rowOff>127000</xdr:rowOff>
    </xdr:from>
    <xdr:to>
      <xdr:col>1</xdr:col>
      <xdr:colOff>215900</xdr:colOff>
      <xdr:row>3</xdr:row>
      <xdr:rowOff>127000</xdr:rowOff>
    </xdr:to>
    <xdr:grpSp>
      <xdr:nvGrpSpPr>
        <xdr:cNvPr id="2" name="11CircleGroup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pSpPr/>
      </xdr:nvGrpSpPr>
      <xdr:grpSpPr>
        <a:xfrm>
          <a:off x="635000" y="647700"/>
          <a:ext cx="304800" cy="260350"/>
          <a:chOff x="635000" y="635000"/>
          <a:chExt cx="254000" cy="254000"/>
        </a:xfrm>
      </xdr:grpSpPr>
      <xdr:sp macro="" textlink="">
        <xdr:nvSpPr>
          <xdr:cNvPr id="3" name="11Circle">
            <a:extLst>
              <a:ext uri="{FF2B5EF4-FFF2-40B4-BE49-F238E27FC236}">
                <a16:creationId xmlns:a16="http://schemas.microsoft.com/office/drawing/2014/main" id="{00000000-0008-0000-0E00-000003000000}"/>
              </a:ext>
            </a:extLst>
          </xdr:cNvPr>
          <xdr:cNvSpPr/>
        </xdr:nvSpPr>
        <xdr:spPr>
          <a:xfrm>
            <a:off x="635000" y="635000"/>
            <a:ext cx="254000" cy="254000"/>
          </a:xfrm>
          <a:prstGeom prst="ellipse">
            <a:avLst/>
          </a:prstGeom>
          <a:solidFill>
            <a:srgbClr val="99CCFF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C</a:t>
            </a:r>
          </a:p>
        </xdr:txBody>
      </xdr:sp>
      <xdr:sp macro="" textlink="">
        <xdr:nvSpPr>
          <xdr:cNvPr id="4" name="11CircleCover">
            <a:extLst>
              <a:ext uri="{FF2B5EF4-FFF2-40B4-BE49-F238E27FC236}">
                <a16:creationId xmlns:a16="http://schemas.microsoft.com/office/drawing/2014/main" id="{00000000-0008-0000-0E00-000004000000}"/>
              </a:ext>
            </a:extLst>
          </xdr:cNvPr>
          <xdr:cNvSpPr/>
        </xdr:nvSpPr>
        <xdr:spPr>
          <a:xfrm>
            <a:off x="635000" y="635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635000</xdr:colOff>
      <xdr:row>10</xdr:row>
      <xdr:rowOff>63500</xdr:rowOff>
    </xdr:from>
    <xdr:to>
      <xdr:col>1</xdr:col>
      <xdr:colOff>215900</xdr:colOff>
      <xdr:row>11</xdr:row>
      <xdr:rowOff>127000</xdr:rowOff>
    </xdr:to>
    <xdr:grpSp>
      <xdr:nvGrpSpPr>
        <xdr:cNvPr id="5" name="12CircleGroup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GrpSpPr/>
      </xdr:nvGrpSpPr>
      <xdr:grpSpPr>
        <a:xfrm>
          <a:off x="635000" y="2400300"/>
          <a:ext cx="304800" cy="285750"/>
          <a:chOff x="635000" y="2159000"/>
          <a:chExt cx="254000" cy="254000"/>
        </a:xfrm>
      </xdr:grpSpPr>
      <xdr:sp macro="" textlink="">
        <xdr:nvSpPr>
          <xdr:cNvPr id="6" name="12Circle">
            <a:extLst>
              <a:ext uri="{FF2B5EF4-FFF2-40B4-BE49-F238E27FC236}">
                <a16:creationId xmlns:a16="http://schemas.microsoft.com/office/drawing/2014/main" id="{00000000-0008-0000-0E00-000006000000}"/>
              </a:ext>
            </a:extLst>
          </xdr:cNvPr>
          <xdr:cNvSpPr/>
        </xdr:nvSpPr>
        <xdr:spPr>
          <a:xfrm>
            <a:off x="635000" y="2159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D</a:t>
            </a:r>
          </a:p>
        </xdr:txBody>
      </xdr:sp>
      <xdr:sp macro="" textlink="">
        <xdr:nvSpPr>
          <xdr:cNvPr id="7" name="12CircleCover">
            <a:extLst>
              <a:ext uri="{FF2B5EF4-FFF2-40B4-BE49-F238E27FC236}">
                <a16:creationId xmlns:a16="http://schemas.microsoft.com/office/drawing/2014/main" id="{00000000-0008-0000-0E00-000007000000}"/>
              </a:ext>
            </a:extLst>
          </xdr:cNvPr>
          <xdr:cNvSpPr/>
        </xdr:nvSpPr>
        <xdr:spPr>
          <a:xfrm>
            <a:off x="635000" y="2159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635000</xdr:colOff>
      <xdr:row>18</xdr:row>
      <xdr:rowOff>63500</xdr:rowOff>
    </xdr:from>
    <xdr:to>
      <xdr:col>1</xdr:col>
      <xdr:colOff>215900</xdr:colOff>
      <xdr:row>19</xdr:row>
      <xdr:rowOff>127000</xdr:rowOff>
    </xdr:to>
    <xdr:grpSp>
      <xdr:nvGrpSpPr>
        <xdr:cNvPr id="8" name="13CircleGroup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GrpSpPr/>
      </xdr:nvGrpSpPr>
      <xdr:grpSpPr>
        <a:xfrm>
          <a:off x="635000" y="4178300"/>
          <a:ext cx="304800" cy="285750"/>
          <a:chOff x="635000" y="3683000"/>
          <a:chExt cx="254000" cy="254000"/>
        </a:xfrm>
      </xdr:grpSpPr>
      <xdr:sp macro="" textlink="">
        <xdr:nvSpPr>
          <xdr:cNvPr id="9" name="13Circle">
            <a:extLst>
              <a:ext uri="{FF2B5EF4-FFF2-40B4-BE49-F238E27FC236}">
                <a16:creationId xmlns:a16="http://schemas.microsoft.com/office/drawing/2014/main" id="{00000000-0008-0000-0E00-000009000000}"/>
              </a:ext>
            </a:extLst>
          </xdr:cNvPr>
          <xdr:cNvSpPr/>
        </xdr:nvSpPr>
        <xdr:spPr>
          <a:xfrm>
            <a:off x="635000" y="3683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E</a:t>
            </a:r>
          </a:p>
        </xdr:txBody>
      </xdr:sp>
      <xdr:sp macro="" textlink="">
        <xdr:nvSpPr>
          <xdr:cNvPr id="10" name="13CircleCover">
            <a:extLst>
              <a:ext uri="{FF2B5EF4-FFF2-40B4-BE49-F238E27FC236}">
                <a16:creationId xmlns:a16="http://schemas.microsoft.com/office/drawing/2014/main" id="{00000000-0008-0000-0E00-00000A000000}"/>
              </a:ext>
            </a:extLst>
          </xdr:cNvPr>
          <xdr:cNvSpPr/>
        </xdr:nvSpPr>
        <xdr:spPr>
          <a:xfrm>
            <a:off x="635000" y="3683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635000</xdr:colOff>
      <xdr:row>26</xdr:row>
      <xdr:rowOff>63500</xdr:rowOff>
    </xdr:from>
    <xdr:to>
      <xdr:col>1</xdr:col>
      <xdr:colOff>215900</xdr:colOff>
      <xdr:row>27</xdr:row>
      <xdr:rowOff>127000</xdr:rowOff>
    </xdr:to>
    <xdr:grpSp>
      <xdr:nvGrpSpPr>
        <xdr:cNvPr id="11" name="14CircleGroup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GrpSpPr/>
      </xdr:nvGrpSpPr>
      <xdr:grpSpPr>
        <a:xfrm>
          <a:off x="635000" y="5956300"/>
          <a:ext cx="304800" cy="285750"/>
          <a:chOff x="635000" y="5207000"/>
          <a:chExt cx="254000" cy="254000"/>
        </a:xfrm>
      </xdr:grpSpPr>
      <xdr:sp macro="" textlink="">
        <xdr:nvSpPr>
          <xdr:cNvPr id="12" name="14Circle">
            <a:extLst>
              <a:ext uri="{FF2B5EF4-FFF2-40B4-BE49-F238E27FC236}">
                <a16:creationId xmlns:a16="http://schemas.microsoft.com/office/drawing/2014/main" id="{00000000-0008-0000-0E00-00000C000000}"/>
              </a:ext>
            </a:extLst>
          </xdr:cNvPr>
          <xdr:cNvSpPr/>
        </xdr:nvSpPr>
        <xdr:spPr>
          <a:xfrm>
            <a:off x="635000" y="5207000"/>
            <a:ext cx="254000" cy="254000"/>
          </a:xfrm>
          <a:prstGeom prst="ellipse">
            <a:avLst/>
          </a:prstGeom>
          <a:solidFill>
            <a:srgbClr val="FFFF99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F-1</a:t>
            </a:r>
          </a:p>
        </xdr:txBody>
      </xdr:sp>
      <xdr:sp macro="" textlink="">
        <xdr:nvSpPr>
          <xdr:cNvPr id="13" name="14CircleCover">
            <a:extLst>
              <a:ext uri="{FF2B5EF4-FFF2-40B4-BE49-F238E27FC236}">
                <a16:creationId xmlns:a16="http://schemas.microsoft.com/office/drawing/2014/main" id="{00000000-0008-0000-0E00-00000D000000}"/>
              </a:ext>
            </a:extLst>
          </xdr:cNvPr>
          <xdr:cNvSpPr/>
        </xdr:nvSpPr>
        <xdr:spPr>
          <a:xfrm>
            <a:off x="635000" y="5207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635000</xdr:colOff>
      <xdr:row>34</xdr:row>
      <xdr:rowOff>63500</xdr:rowOff>
    </xdr:from>
    <xdr:to>
      <xdr:col>1</xdr:col>
      <xdr:colOff>215900</xdr:colOff>
      <xdr:row>35</xdr:row>
      <xdr:rowOff>127000</xdr:rowOff>
    </xdr:to>
    <xdr:grpSp>
      <xdr:nvGrpSpPr>
        <xdr:cNvPr id="14" name="15CircleGroup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GrpSpPr/>
      </xdr:nvGrpSpPr>
      <xdr:grpSpPr>
        <a:xfrm>
          <a:off x="635000" y="7734300"/>
          <a:ext cx="304800" cy="285750"/>
          <a:chOff x="635000" y="6731000"/>
          <a:chExt cx="254000" cy="254000"/>
        </a:xfrm>
      </xdr:grpSpPr>
      <xdr:sp macro="" textlink="">
        <xdr:nvSpPr>
          <xdr:cNvPr id="15" name="15Circle">
            <a:extLst>
              <a:ext uri="{FF2B5EF4-FFF2-40B4-BE49-F238E27FC236}">
                <a16:creationId xmlns:a16="http://schemas.microsoft.com/office/drawing/2014/main" id="{00000000-0008-0000-0E00-00000F000000}"/>
              </a:ext>
            </a:extLst>
          </xdr:cNvPr>
          <xdr:cNvSpPr/>
        </xdr:nvSpPr>
        <xdr:spPr>
          <a:xfrm>
            <a:off x="635000" y="6731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F-2</a:t>
            </a:r>
          </a:p>
        </xdr:txBody>
      </xdr:sp>
      <xdr:sp macro="" textlink="">
        <xdr:nvSpPr>
          <xdr:cNvPr id="16" name="15CircleCover">
            <a:extLst>
              <a:ext uri="{FF2B5EF4-FFF2-40B4-BE49-F238E27FC236}">
                <a16:creationId xmlns:a16="http://schemas.microsoft.com/office/drawing/2014/main" id="{00000000-0008-0000-0E00-000010000000}"/>
              </a:ext>
            </a:extLst>
          </xdr:cNvPr>
          <xdr:cNvSpPr/>
        </xdr:nvSpPr>
        <xdr:spPr>
          <a:xfrm>
            <a:off x="635000" y="6731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635000</xdr:colOff>
      <xdr:row>42</xdr:row>
      <xdr:rowOff>63500</xdr:rowOff>
    </xdr:from>
    <xdr:to>
      <xdr:col>1</xdr:col>
      <xdr:colOff>215900</xdr:colOff>
      <xdr:row>43</xdr:row>
      <xdr:rowOff>127000</xdr:rowOff>
    </xdr:to>
    <xdr:grpSp>
      <xdr:nvGrpSpPr>
        <xdr:cNvPr id="17" name="16CircleGroup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GrpSpPr/>
      </xdr:nvGrpSpPr>
      <xdr:grpSpPr>
        <a:xfrm>
          <a:off x="635000" y="9512300"/>
          <a:ext cx="304800" cy="285750"/>
          <a:chOff x="635000" y="8255000"/>
          <a:chExt cx="254000" cy="254000"/>
        </a:xfrm>
      </xdr:grpSpPr>
      <xdr:sp macro="" textlink="">
        <xdr:nvSpPr>
          <xdr:cNvPr id="18" name="16Circle">
            <a:extLst>
              <a:ext uri="{FF2B5EF4-FFF2-40B4-BE49-F238E27FC236}">
                <a16:creationId xmlns:a16="http://schemas.microsoft.com/office/drawing/2014/main" id="{00000000-0008-0000-0E00-000012000000}"/>
              </a:ext>
            </a:extLst>
          </xdr:cNvPr>
          <xdr:cNvSpPr/>
        </xdr:nvSpPr>
        <xdr:spPr>
          <a:xfrm>
            <a:off x="635000" y="8255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G</a:t>
            </a:r>
          </a:p>
        </xdr:txBody>
      </xdr:sp>
      <xdr:sp macro="" textlink="">
        <xdr:nvSpPr>
          <xdr:cNvPr id="19" name="16CircleCover">
            <a:extLst>
              <a:ext uri="{FF2B5EF4-FFF2-40B4-BE49-F238E27FC236}">
                <a16:creationId xmlns:a16="http://schemas.microsoft.com/office/drawing/2014/main" id="{00000000-0008-0000-0E00-000013000000}"/>
              </a:ext>
            </a:extLst>
          </xdr:cNvPr>
          <xdr:cNvSpPr/>
        </xdr:nvSpPr>
        <xdr:spPr>
          <a:xfrm>
            <a:off x="635000" y="8255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635000</xdr:colOff>
      <xdr:row>50</xdr:row>
      <xdr:rowOff>63500</xdr:rowOff>
    </xdr:from>
    <xdr:to>
      <xdr:col>1</xdr:col>
      <xdr:colOff>215900</xdr:colOff>
      <xdr:row>51</xdr:row>
      <xdr:rowOff>127000</xdr:rowOff>
    </xdr:to>
    <xdr:grpSp>
      <xdr:nvGrpSpPr>
        <xdr:cNvPr id="20" name="17CircleGroup">
          <a:extLst>
            <a:ext uri="{FF2B5EF4-FFF2-40B4-BE49-F238E27FC236}">
              <a16:creationId xmlns:a16="http://schemas.microsoft.com/office/drawing/2014/main" id="{00000000-0008-0000-0E00-000014000000}"/>
            </a:ext>
          </a:extLst>
        </xdr:cNvPr>
        <xdr:cNvGrpSpPr/>
      </xdr:nvGrpSpPr>
      <xdr:grpSpPr>
        <a:xfrm>
          <a:off x="635000" y="11290300"/>
          <a:ext cx="304800" cy="285750"/>
          <a:chOff x="635000" y="9779000"/>
          <a:chExt cx="254000" cy="254000"/>
        </a:xfrm>
      </xdr:grpSpPr>
      <xdr:sp macro="" textlink="">
        <xdr:nvSpPr>
          <xdr:cNvPr id="21" name="17Circle">
            <a:extLst>
              <a:ext uri="{FF2B5EF4-FFF2-40B4-BE49-F238E27FC236}">
                <a16:creationId xmlns:a16="http://schemas.microsoft.com/office/drawing/2014/main" id="{00000000-0008-0000-0E00-000015000000}"/>
              </a:ext>
            </a:extLst>
          </xdr:cNvPr>
          <xdr:cNvSpPr/>
        </xdr:nvSpPr>
        <xdr:spPr>
          <a:xfrm>
            <a:off x="635000" y="9779000"/>
            <a:ext cx="254000" cy="254000"/>
          </a:xfrm>
          <a:prstGeom prst="ellipse">
            <a:avLst/>
          </a:prstGeom>
          <a:solidFill>
            <a:srgbClr val="99CCFF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L</a:t>
            </a:r>
          </a:p>
        </xdr:txBody>
      </xdr:sp>
      <xdr:sp macro="" textlink="">
        <xdr:nvSpPr>
          <xdr:cNvPr id="22" name="17CircleCover">
            <a:extLst>
              <a:ext uri="{FF2B5EF4-FFF2-40B4-BE49-F238E27FC236}">
                <a16:creationId xmlns:a16="http://schemas.microsoft.com/office/drawing/2014/main" id="{00000000-0008-0000-0E00-000016000000}"/>
              </a:ext>
            </a:extLst>
          </xdr:cNvPr>
          <xdr:cNvSpPr/>
        </xdr:nvSpPr>
        <xdr:spPr>
          <a:xfrm>
            <a:off x="635000" y="9779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635000</xdr:colOff>
      <xdr:row>58</xdr:row>
      <xdr:rowOff>63500</xdr:rowOff>
    </xdr:from>
    <xdr:to>
      <xdr:col>1</xdr:col>
      <xdr:colOff>215900</xdr:colOff>
      <xdr:row>59</xdr:row>
      <xdr:rowOff>127000</xdr:rowOff>
    </xdr:to>
    <xdr:grpSp>
      <xdr:nvGrpSpPr>
        <xdr:cNvPr id="23" name="18CircleGroup">
          <a:extLst>
            <a:ext uri="{FF2B5EF4-FFF2-40B4-BE49-F238E27FC236}">
              <a16:creationId xmlns:a16="http://schemas.microsoft.com/office/drawing/2014/main" id="{00000000-0008-0000-0E00-000017000000}"/>
            </a:ext>
          </a:extLst>
        </xdr:cNvPr>
        <xdr:cNvGrpSpPr/>
      </xdr:nvGrpSpPr>
      <xdr:grpSpPr>
        <a:xfrm>
          <a:off x="635000" y="13068300"/>
          <a:ext cx="304800" cy="285750"/>
          <a:chOff x="635000" y="11303000"/>
          <a:chExt cx="254000" cy="254000"/>
        </a:xfrm>
      </xdr:grpSpPr>
      <xdr:sp macro="" textlink="">
        <xdr:nvSpPr>
          <xdr:cNvPr id="24" name="18Circle">
            <a:extLst>
              <a:ext uri="{FF2B5EF4-FFF2-40B4-BE49-F238E27FC236}">
                <a16:creationId xmlns:a16="http://schemas.microsoft.com/office/drawing/2014/main" id="{00000000-0008-0000-0E00-000018000000}"/>
              </a:ext>
            </a:extLst>
          </xdr:cNvPr>
          <xdr:cNvSpPr/>
        </xdr:nvSpPr>
        <xdr:spPr>
          <a:xfrm>
            <a:off x="635000" y="11303000"/>
            <a:ext cx="254000" cy="254000"/>
          </a:xfrm>
          <a:prstGeom prst="ellipse">
            <a:avLst/>
          </a:prstGeom>
          <a:solidFill>
            <a:srgbClr val="99CCFF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M</a:t>
            </a:r>
          </a:p>
        </xdr:txBody>
      </xdr:sp>
      <xdr:sp macro="" textlink="">
        <xdr:nvSpPr>
          <xdr:cNvPr id="25" name="18CircleCover">
            <a:extLst>
              <a:ext uri="{FF2B5EF4-FFF2-40B4-BE49-F238E27FC236}">
                <a16:creationId xmlns:a16="http://schemas.microsoft.com/office/drawing/2014/main" id="{00000000-0008-0000-0E00-000019000000}"/>
              </a:ext>
            </a:extLst>
          </xdr:cNvPr>
          <xdr:cNvSpPr/>
        </xdr:nvSpPr>
        <xdr:spPr>
          <a:xfrm>
            <a:off x="635000" y="11303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635000</xdr:colOff>
      <xdr:row>66</xdr:row>
      <xdr:rowOff>63500</xdr:rowOff>
    </xdr:from>
    <xdr:to>
      <xdr:col>1</xdr:col>
      <xdr:colOff>215900</xdr:colOff>
      <xdr:row>67</xdr:row>
      <xdr:rowOff>127000</xdr:rowOff>
    </xdr:to>
    <xdr:grpSp>
      <xdr:nvGrpSpPr>
        <xdr:cNvPr id="26" name="19CircleGroup">
          <a:extLst>
            <a:ext uri="{FF2B5EF4-FFF2-40B4-BE49-F238E27FC236}">
              <a16:creationId xmlns:a16="http://schemas.microsoft.com/office/drawing/2014/main" id="{00000000-0008-0000-0E00-00001A000000}"/>
            </a:ext>
          </a:extLst>
        </xdr:cNvPr>
        <xdr:cNvGrpSpPr/>
      </xdr:nvGrpSpPr>
      <xdr:grpSpPr>
        <a:xfrm>
          <a:off x="635000" y="14846300"/>
          <a:ext cx="304800" cy="285750"/>
          <a:chOff x="635000" y="12827000"/>
          <a:chExt cx="254000" cy="254000"/>
        </a:xfrm>
      </xdr:grpSpPr>
      <xdr:sp macro="" textlink="">
        <xdr:nvSpPr>
          <xdr:cNvPr id="27" name="19Circle">
            <a:extLst>
              <a:ext uri="{FF2B5EF4-FFF2-40B4-BE49-F238E27FC236}">
                <a16:creationId xmlns:a16="http://schemas.microsoft.com/office/drawing/2014/main" id="{00000000-0008-0000-0E00-00001B000000}"/>
              </a:ext>
            </a:extLst>
          </xdr:cNvPr>
          <xdr:cNvSpPr/>
        </xdr:nvSpPr>
        <xdr:spPr>
          <a:xfrm>
            <a:off x="635000" y="12827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N-1</a:t>
            </a:r>
          </a:p>
        </xdr:txBody>
      </xdr:sp>
      <xdr:sp macro="" textlink="">
        <xdr:nvSpPr>
          <xdr:cNvPr id="28" name="19CircleCover">
            <a:extLst>
              <a:ext uri="{FF2B5EF4-FFF2-40B4-BE49-F238E27FC236}">
                <a16:creationId xmlns:a16="http://schemas.microsoft.com/office/drawing/2014/main" id="{00000000-0008-0000-0E00-00001C000000}"/>
              </a:ext>
            </a:extLst>
          </xdr:cNvPr>
          <xdr:cNvSpPr/>
        </xdr:nvSpPr>
        <xdr:spPr>
          <a:xfrm>
            <a:off x="635000" y="12827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635000</xdr:colOff>
      <xdr:row>74</xdr:row>
      <xdr:rowOff>63500</xdr:rowOff>
    </xdr:from>
    <xdr:to>
      <xdr:col>1</xdr:col>
      <xdr:colOff>215900</xdr:colOff>
      <xdr:row>75</xdr:row>
      <xdr:rowOff>127000</xdr:rowOff>
    </xdr:to>
    <xdr:grpSp>
      <xdr:nvGrpSpPr>
        <xdr:cNvPr id="29" name="20CircleGroup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GrpSpPr/>
      </xdr:nvGrpSpPr>
      <xdr:grpSpPr>
        <a:xfrm>
          <a:off x="635000" y="16624300"/>
          <a:ext cx="304800" cy="285750"/>
          <a:chOff x="635000" y="14351000"/>
          <a:chExt cx="254000" cy="254000"/>
        </a:xfrm>
      </xdr:grpSpPr>
      <xdr:sp macro="" textlink="">
        <xdr:nvSpPr>
          <xdr:cNvPr id="30" name="20Circle">
            <a:extLst>
              <a:ext uri="{FF2B5EF4-FFF2-40B4-BE49-F238E27FC236}">
                <a16:creationId xmlns:a16="http://schemas.microsoft.com/office/drawing/2014/main" id="{00000000-0008-0000-0E00-00001E000000}"/>
              </a:ext>
            </a:extLst>
          </xdr:cNvPr>
          <xdr:cNvSpPr/>
        </xdr:nvSpPr>
        <xdr:spPr>
          <a:xfrm>
            <a:off x="635000" y="14351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N-2</a:t>
            </a:r>
          </a:p>
        </xdr:txBody>
      </xdr:sp>
      <xdr:sp macro="" textlink="">
        <xdr:nvSpPr>
          <xdr:cNvPr id="31" name="20CircleCover">
            <a:extLst>
              <a:ext uri="{FF2B5EF4-FFF2-40B4-BE49-F238E27FC236}">
                <a16:creationId xmlns:a16="http://schemas.microsoft.com/office/drawing/2014/main" id="{00000000-0008-0000-0E00-00001F000000}"/>
              </a:ext>
            </a:extLst>
          </xdr:cNvPr>
          <xdr:cNvSpPr/>
        </xdr:nvSpPr>
        <xdr:spPr>
          <a:xfrm>
            <a:off x="635000" y="14351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482600</xdr:colOff>
      <xdr:row>2</xdr:row>
      <xdr:rowOff>127000</xdr:rowOff>
    </xdr:from>
    <xdr:to>
      <xdr:col>5</xdr:col>
      <xdr:colOff>63500</xdr:colOff>
      <xdr:row>3</xdr:row>
      <xdr:rowOff>127000</xdr:rowOff>
    </xdr:to>
    <xdr:grpSp>
      <xdr:nvGrpSpPr>
        <xdr:cNvPr id="32" name="21CircleGroup">
          <a:extLst>
            <a:ext uri="{FF2B5EF4-FFF2-40B4-BE49-F238E27FC236}">
              <a16:creationId xmlns:a16="http://schemas.microsoft.com/office/drawing/2014/main" id="{00000000-0008-0000-0E00-000020000000}"/>
            </a:ext>
          </a:extLst>
        </xdr:cNvPr>
        <xdr:cNvGrpSpPr/>
      </xdr:nvGrpSpPr>
      <xdr:grpSpPr>
        <a:xfrm>
          <a:off x="3378200" y="647700"/>
          <a:ext cx="304800" cy="260350"/>
          <a:chOff x="3175000" y="635000"/>
          <a:chExt cx="254000" cy="254000"/>
        </a:xfrm>
      </xdr:grpSpPr>
      <xdr:sp macro="" textlink="">
        <xdr:nvSpPr>
          <xdr:cNvPr id="33" name="21Circle">
            <a:extLst>
              <a:ext uri="{FF2B5EF4-FFF2-40B4-BE49-F238E27FC236}">
                <a16:creationId xmlns:a16="http://schemas.microsoft.com/office/drawing/2014/main" id="{00000000-0008-0000-0E00-000021000000}"/>
              </a:ext>
            </a:extLst>
          </xdr:cNvPr>
          <xdr:cNvSpPr/>
        </xdr:nvSpPr>
        <xdr:spPr>
          <a:xfrm>
            <a:off x="3175000" y="635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N-3</a:t>
            </a:r>
          </a:p>
        </xdr:txBody>
      </xdr:sp>
      <xdr:sp macro="" textlink="">
        <xdr:nvSpPr>
          <xdr:cNvPr id="34" name="21CircleCover">
            <a:extLst>
              <a:ext uri="{FF2B5EF4-FFF2-40B4-BE49-F238E27FC236}">
                <a16:creationId xmlns:a16="http://schemas.microsoft.com/office/drawing/2014/main" id="{00000000-0008-0000-0E00-000022000000}"/>
              </a:ext>
            </a:extLst>
          </xdr:cNvPr>
          <xdr:cNvSpPr/>
        </xdr:nvSpPr>
        <xdr:spPr>
          <a:xfrm>
            <a:off x="3175000" y="635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482600</xdr:colOff>
      <xdr:row>10</xdr:row>
      <xdr:rowOff>63500</xdr:rowOff>
    </xdr:from>
    <xdr:to>
      <xdr:col>5</xdr:col>
      <xdr:colOff>63500</xdr:colOff>
      <xdr:row>11</xdr:row>
      <xdr:rowOff>127000</xdr:rowOff>
    </xdr:to>
    <xdr:grpSp>
      <xdr:nvGrpSpPr>
        <xdr:cNvPr id="35" name="22CircleGroup">
          <a:extLst>
            <a:ext uri="{FF2B5EF4-FFF2-40B4-BE49-F238E27FC236}">
              <a16:creationId xmlns:a16="http://schemas.microsoft.com/office/drawing/2014/main" id="{00000000-0008-0000-0E00-000023000000}"/>
            </a:ext>
          </a:extLst>
        </xdr:cNvPr>
        <xdr:cNvGrpSpPr/>
      </xdr:nvGrpSpPr>
      <xdr:grpSpPr>
        <a:xfrm>
          <a:off x="3378200" y="2400300"/>
          <a:ext cx="304800" cy="285750"/>
          <a:chOff x="3175000" y="2159000"/>
          <a:chExt cx="254000" cy="254000"/>
        </a:xfrm>
      </xdr:grpSpPr>
      <xdr:sp macro="" textlink="">
        <xdr:nvSpPr>
          <xdr:cNvPr id="36" name="22Circle">
            <a:extLst>
              <a:ext uri="{FF2B5EF4-FFF2-40B4-BE49-F238E27FC236}">
                <a16:creationId xmlns:a16="http://schemas.microsoft.com/office/drawing/2014/main" id="{00000000-0008-0000-0E00-000024000000}"/>
              </a:ext>
            </a:extLst>
          </xdr:cNvPr>
          <xdr:cNvSpPr/>
        </xdr:nvSpPr>
        <xdr:spPr>
          <a:xfrm>
            <a:off x="3175000" y="2159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N-4</a:t>
            </a:r>
          </a:p>
        </xdr:txBody>
      </xdr:sp>
      <xdr:sp macro="" textlink="">
        <xdr:nvSpPr>
          <xdr:cNvPr id="37" name="22CircleCover">
            <a:extLst>
              <a:ext uri="{FF2B5EF4-FFF2-40B4-BE49-F238E27FC236}">
                <a16:creationId xmlns:a16="http://schemas.microsoft.com/office/drawing/2014/main" id="{00000000-0008-0000-0E00-000025000000}"/>
              </a:ext>
            </a:extLst>
          </xdr:cNvPr>
          <xdr:cNvSpPr/>
        </xdr:nvSpPr>
        <xdr:spPr>
          <a:xfrm>
            <a:off x="3175000" y="2159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482600</xdr:colOff>
      <xdr:row>18</xdr:row>
      <xdr:rowOff>63500</xdr:rowOff>
    </xdr:from>
    <xdr:to>
      <xdr:col>5</xdr:col>
      <xdr:colOff>63500</xdr:colOff>
      <xdr:row>19</xdr:row>
      <xdr:rowOff>127000</xdr:rowOff>
    </xdr:to>
    <xdr:grpSp>
      <xdr:nvGrpSpPr>
        <xdr:cNvPr id="38" name="23CircleGroup">
          <a:extLst>
            <a:ext uri="{FF2B5EF4-FFF2-40B4-BE49-F238E27FC236}">
              <a16:creationId xmlns:a16="http://schemas.microsoft.com/office/drawing/2014/main" id="{00000000-0008-0000-0E00-000026000000}"/>
            </a:ext>
          </a:extLst>
        </xdr:cNvPr>
        <xdr:cNvGrpSpPr/>
      </xdr:nvGrpSpPr>
      <xdr:grpSpPr>
        <a:xfrm>
          <a:off x="3378200" y="4178300"/>
          <a:ext cx="304800" cy="285750"/>
          <a:chOff x="3175000" y="3683000"/>
          <a:chExt cx="254000" cy="254000"/>
        </a:xfrm>
      </xdr:grpSpPr>
      <xdr:sp macro="" textlink="">
        <xdr:nvSpPr>
          <xdr:cNvPr id="39" name="23Circle">
            <a:extLst>
              <a:ext uri="{FF2B5EF4-FFF2-40B4-BE49-F238E27FC236}">
                <a16:creationId xmlns:a16="http://schemas.microsoft.com/office/drawing/2014/main" id="{00000000-0008-0000-0E00-000027000000}"/>
              </a:ext>
            </a:extLst>
          </xdr:cNvPr>
          <xdr:cNvSpPr/>
        </xdr:nvSpPr>
        <xdr:spPr>
          <a:xfrm>
            <a:off x="3175000" y="3683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N-5</a:t>
            </a:r>
          </a:p>
        </xdr:txBody>
      </xdr:sp>
      <xdr:sp macro="" textlink="">
        <xdr:nvSpPr>
          <xdr:cNvPr id="40" name="23CircleCover">
            <a:extLst>
              <a:ext uri="{FF2B5EF4-FFF2-40B4-BE49-F238E27FC236}">
                <a16:creationId xmlns:a16="http://schemas.microsoft.com/office/drawing/2014/main" id="{00000000-0008-0000-0E00-000028000000}"/>
              </a:ext>
            </a:extLst>
          </xdr:cNvPr>
          <xdr:cNvSpPr/>
        </xdr:nvSpPr>
        <xdr:spPr>
          <a:xfrm>
            <a:off x="3175000" y="3683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482600</xdr:colOff>
      <xdr:row>26</xdr:row>
      <xdr:rowOff>63500</xdr:rowOff>
    </xdr:from>
    <xdr:to>
      <xdr:col>5</xdr:col>
      <xdr:colOff>63500</xdr:colOff>
      <xdr:row>27</xdr:row>
      <xdr:rowOff>127000</xdr:rowOff>
    </xdr:to>
    <xdr:grpSp>
      <xdr:nvGrpSpPr>
        <xdr:cNvPr id="41" name="24CircleGroup">
          <a:extLst>
            <a:ext uri="{FF2B5EF4-FFF2-40B4-BE49-F238E27FC236}">
              <a16:creationId xmlns:a16="http://schemas.microsoft.com/office/drawing/2014/main" id="{00000000-0008-0000-0E00-000029000000}"/>
            </a:ext>
          </a:extLst>
        </xdr:cNvPr>
        <xdr:cNvGrpSpPr/>
      </xdr:nvGrpSpPr>
      <xdr:grpSpPr>
        <a:xfrm>
          <a:off x="3378200" y="5956300"/>
          <a:ext cx="304800" cy="285750"/>
          <a:chOff x="3175000" y="5207000"/>
          <a:chExt cx="254000" cy="254000"/>
        </a:xfrm>
      </xdr:grpSpPr>
      <xdr:sp macro="" textlink="">
        <xdr:nvSpPr>
          <xdr:cNvPr id="42" name="24Circle">
            <a:extLst>
              <a:ext uri="{FF2B5EF4-FFF2-40B4-BE49-F238E27FC236}">
                <a16:creationId xmlns:a16="http://schemas.microsoft.com/office/drawing/2014/main" id="{00000000-0008-0000-0E00-00002A000000}"/>
              </a:ext>
            </a:extLst>
          </xdr:cNvPr>
          <xdr:cNvSpPr/>
        </xdr:nvSpPr>
        <xdr:spPr>
          <a:xfrm>
            <a:off x="3175000" y="5207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O-1</a:t>
            </a:r>
          </a:p>
        </xdr:txBody>
      </xdr:sp>
      <xdr:sp macro="" textlink="">
        <xdr:nvSpPr>
          <xdr:cNvPr id="43" name="24CircleCover">
            <a:extLst>
              <a:ext uri="{FF2B5EF4-FFF2-40B4-BE49-F238E27FC236}">
                <a16:creationId xmlns:a16="http://schemas.microsoft.com/office/drawing/2014/main" id="{00000000-0008-0000-0E00-00002B000000}"/>
              </a:ext>
            </a:extLst>
          </xdr:cNvPr>
          <xdr:cNvSpPr/>
        </xdr:nvSpPr>
        <xdr:spPr>
          <a:xfrm>
            <a:off x="3175000" y="5207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482600</xdr:colOff>
      <xdr:row>34</xdr:row>
      <xdr:rowOff>63500</xdr:rowOff>
    </xdr:from>
    <xdr:to>
      <xdr:col>5</xdr:col>
      <xdr:colOff>63500</xdr:colOff>
      <xdr:row>35</xdr:row>
      <xdr:rowOff>127000</xdr:rowOff>
    </xdr:to>
    <xdr:grpSp>
      <xdr:nvGrpSpPr>
        <xdr:cNvPr id="44" name="25CircleGroup">
          <a:extLst>
            <a:ext uri="{FF2B5EF4-FFF2-40B4-BE49-F238E27FC236}">
              <a16:creationId xmlns:a16="http://schemas.microsoft.com/office/drawing/2014/main" id="{00000000-0008-0000-0E00-00002C000000}"/>
            </a:ext>
          </a:extLst>
        </xdr:cNvPr>
        <xdr:cNvGrpSpPr/>
      </xdr:nvGrpSpPr>
      <xdr:grpSpPr>
        <a:xfrm>
          <a:off x="3378200" y="7734300"/>
          <a:ext cx="304800" cy="285750"/>
          <a:chOff x="3175000" y="6731000"/>
          <a:chExt cx="254000" cy="254000"/>
        </a:xfrm>
      </xdr:grpSpPr>
      <xdr:sp macro="" textlink="">
        <xdr:nvSpPr>
          <xdr:cNvPr id="45" name="25Circle">
            <a:extLst>
              <a:ext uri="{FF2B5EF4-FFF2-40B4-BE49-F238E27FC236}">
                <a16:creationId xmlns:a16="http://schemas.microsoft.com/office/drawing/2014/main" id="{00000000-0008-0000-0E00-00002D000000}"/>
              </a:ext>
            </a:extLst>
          </xdr:cNvPr>
          <xdr:cNvSpPr/>
        </xdr:nvSpPr>
        <xdr:spPr>
          <a:xfrm>
            <a:off x="3175000" y="6731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O-2</a:t>
            </a:r>
          </a:p>
        </xdr:txBody>
      </xdr:sp>
      <xdr:sp macro="" textlink="">
        <xdr:nvSpPr>
          <xdr:cNvPr id="46" name="25CircleCover">
            <a:extLst>
              <a:ext uri="{FF2B5EF4-FFF2-40B4-BE49-F238E27FC236}">
                <a16:creationId xmlns:a16="http://schemas.microsoft.com/office/drawing/2014/main" id="{00000000-0008-0000-0E00-00002E000000}"/>
              </a:ext>
            </a:extLst>
          </xdr:cNvPr>
          <xdr:cNvSpPr/>
        </xdr:nvSpPr>
        <xdr:spPr>
          <a:xfrm>
            <a:off x="3175000" y="6731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482600</xdr:colOff>
      <xdr:row>42</xdr:row>
      <xdr:rowOff>63500</xdr:rowOff>
    </xdr:from>
    <xdr:to>
      <xdr:col>5</xdr:col>
      <xdr:colOff>63500</xdr:colOff>
      <xdr:row>43</xdr:row>
      <xdr:rowOff>127000</xdr:rowOff>
    </xdr:to>
    <xdr:grpSp>
      <xdr:nvGrpSpPr>
        <xdr:cNvPr id="47" name="26CircleGroup">
          <a:extLst>
            <a:ext uri="{FF2B5EF4-FFF2-40B4-BE49-F238E27FC236}">
              <a16:creationId xmlns:a16="http://schemas.microsoft.com/office/drawing/2014/main" id="{00000000-0008-0000-0E00-00002F000000}"/>
            </a:ext>
          </a:extLst>
        </xdr:cNvPr>
        <xdr:cNvGrpSpPr/>
      </xdr:nvGrpSpPr>
      <xdr:grpSpPr>
        <a:xfrm>
          <a:off x="3378200" y="9512300"/>
          <a:ext cx="304800" cy="285750"/>
          <a:chOff x="3175000" y="8255000"/>
          <a:chExt cx="254000" cy="254000"/>
        </a:xfrm>
      </xdr:grpSpPr>
      <xdr:sp macro="" textlink="">
        <xdr:nvSpPr>
          <xdr:cNvPr id="48" name="26Circle">
            <a:extLst>
              <a:ext uri="{FF2B5EF4-FFF2-40B4-BE49-F238E27FC236}">
                <a16:creationId xmlns:a16="http://schemas.microsoft.com/office/drawing/2014/main" id="{00000000-0008-0000-0E00-000030000000}"/>
              </a:ext>
            </a:extLst>
          </xdr:cNvPr>
          <xdr:cNvSpPr/>
        </xdr:nvSpPr>
        <xdr:spPr>
          <a:xfrm>
            <a:off x="3175000" y="8255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O-3</a:t>
            </a:r>
          </a:p>
        </xdr:txBody>
      </xdr:sp>
      <xdr:sp macro="" textlink="">
        <xdr:nvSpPr>
          <xdr:cNvPr id="49" name="26CircleCover">
            <a:extLst>
              <a:ext uri="{FF2B5EF4-FFF2-40B4-BE49-F238E27FC236}">
                <a16:creationId xmlns:a16="http://schemas.microsoft.com/office/drawing/2014/main" id="{00000000-0008-0000-0E00-000031000000}"/>
              </a:ext>
            </a:extLst>
          </xdr:cNvPr>
          <xdr:cNvSpPr/>
        </xdr:nvSpPr>
        <xdr:spPr>
          <a:xfrm>
            <a:off x="3175000" y="8255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482600</xdr:colOff>
      <xdr:row>50</xdr:row>
      <xdr:rowOff>63500</xdr:rowOff>
    </xdr:from>
    <xdr:to>
      <xdr:col>5</xdr:col>
      <xdr:colOff>63500</xdr:colOff>
      <xdr:row>51</xdr:row>
      <xdr:rowOff>127000</xdr:rowOff>
    </xdr:to>
    <xdr:grpSp>
      <xdr:nvGrpSpPr>
        <xdr:cNvPr id="50" name="27CircleGroup">
          <a:extLst>
            <a:ext uri="{FF2B5EF4-FFF2-40B4-BE49-F238E27FC236}">
              <a16:creationId xmlns:a16="http://schemas.microsoft.com/office/drawing/2014/main" id="{00000000-0008-0000-0E00-000032000000}"/>
            </a:ext>
          </a:extLst>
        </xdr:cNvPr>
        <xdr:cNvGrpSpPr/>
      </xdr:nvGrpSpPr>
      <xdr:grpSpPr>
        <a:xfrm>
          <a:off x="3378200" y="11290300"/>
          <a:ext cx="304800" cy="285750"/>
          <a:chOff x="3175000" y="9779000"/>
          <a:chExt cx="254000" cy="254000"/>
        </a:xfrm>
      </xdr:grpSpPr>
      <xdr:sp macro="" textlink="">
        <xdr:nvSpPr>
          <xdr:cNvPr id="51" name="27Circle">
            <a:extLst>
              <a:ext uri="{FF2B5EF4-FFF2-40B4-BE49-F238E27FC236}">
                <a16:creationId xmlns:a16="http://schemas.microsoft.com/office/drawing/2014/main" id="{00000000-0008-0000-0E00-000033000000}"/>
              </a:ext>
            </a:extLst>
          </xdr:cNvPr>
          <xdr:cNvSpPr/>
        </xdr:nvSpPr>
        <xdr:spPr>
          <a:xfrm>
            <a:off x="3175000" y="9779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O-4</a:t>
            </a:r>
          </a:p>
        </xdr:txBody>
      </xdr:sp>
      <xdr:sp macro="" textlink="">
        <xdr:nvSpPr>
          <xdr:cNvPr id="52" name="27CircleCover">
            <a:extLst>
              <a:ext uri="{FF2B5EF4-FFF2-40B4-BE49-F238E27FC236}">
                <a16:creationId xmlns:a16="http://schemas.microsoft.com/office/drawing/2014/main" id="{00000000-0008-0000-0E00-000034000000}"/>
              </a:ext>
            </a:extLst>
          </xdr:cNvPr>
          <xdr:cNvSpPr/>
        </xdr:nvSpPr>
        <xdr:spPr>
          <a:xfrm>
            <a:off x="3175000" y="9779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482600</xdr:colOff>
      <xdr:row>58</xdr:row>
      <xdr:rowOff>63500</xdr:rowOff>
    </xdr:from>
    <xdr:to>
      <xdr:col>5</xdr:col>
      <xdr:colOff>63500</xdr:colOff>
      <xdr:row>59</xdr:row>
      <xdr:rowOff>127000</xdr:rowOff>
    </xdr:to>
    <xdr:grpSp>
      <xdr:nvGrpSpPr>
        <xdr:cNvPr id="53" name="28CircleGroup">
          <a:extLst>
            <a:ext uri="{FF2B5EF4-FFF2-40B4-BE49-F238E27FC236}">
              <a16:creationId xmlns:a16="http://schemas.microsoft.com/office/drawing/2014/main" id="{00000000-0008-0000-0E00-000035000000}"/>
            </a:ext>
          </a:extLst>
        </xdr:cNvPr>
        <xdr:cNvGrpSpPr/>
      </xdr:nvGrpSpPr>
      <xdr:grpSpPr>
        <a:xfrm>
          <a:off x="3378200" y="13068300"/>
          <a:ext cx="304800" cy="285750"/>
          <a:chOff x="3175000" y="11303000"/>
          <a:chExt cx="254000" cy="254000"/>
        </a:xfrm>
      </xdr:grpSpPr>
      <xdr:sp macro="" textlink="">
        <xdr:nvSpPr>
          <xdr:cNvPr id="54" name="28Circle">
            <a:extLst>
              <a:ext uri="{FF2B5EF4-FFF2-40B4-BE49-F238E27FC236}">
                <a16:creationId xmlns:a16="http://schemas.microsoft.com/office/drawing/2014/main" id="{00000000-0008-0000-0E00-000036000000}"/>
              </a:ext>
            </a:extLst>
          </xdr:cNvPr>
          <xdr:cNvSpPr/>
        </xdr:nvSpPr>
        <xdr:spPr>
          <a:xfrm>
            <a:off x="3175000" y="11303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O-5</a:t>
            </a:r>
          </a:p>
        </xdr:txBody>
      </xdr:sp>
      <xdr:sp macro="" textlink="">
        <xdr:nvSpPr>
          <xdr:cNvPr id="55" name="28CircleCover">
            <a:extLst>
              <a:ext uri="{FF2B5EF4-FFF2-40B4-BE49-F238E27FC236}">
                <a16:creationId xmlns:a16="http://schemas.microsoft.com/office/drawing/2014/main" id="{00000000-0008-0000-0E00-000037000000}"/>
              </a:ext>
            </a:extLst>
          </xdr:cNvPr>
          <xdr:cNvSpPr/>
        </xdr:nvSpPr>
        <xdr:spPr>
          <a:xfrm>
            <a:off x="3175000" y="11303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482600</xdr:colOff>
      <xdr:row>66</xdr:row>
      <xdr:rowOff>63500</xdr:rowOff>
    </xdr:from>
    <xdr:to>
      <xdr:col>5</xdr:col>
      <xdr:colOff>63500</xdr:colOff>
      <xdr:row>67</xdr:row>
      <xdr:rowOff>127000</xdr:rowOff>
    </xdr:to>
    <xdr:grpSp>
      <xdr:nvGrpSpPr>
        <xdr:cNvPr id="56" name="29CircleGroup">
          <a:extLst>
            <a:ext uri="{FF2B5EF4-FFF2-40B4-BE49-F238E27FC236}">
              <a16:creationId xmlns:a16="http://schemas.microsoft.com/office/drawing/2014/main" id="{00000000-0008-0000-0E00-000038000000}"/>
            </a:ext>
          </a:extLst>
        </xdr:cNvPr>
        <xdr:cNvGrpSpPr/>
      </xdr:nvGrpSpPr>
      <xdr:grpSpPr>
        <a:xfrm>
          <a:off x="3378200" y="14846300"/>
          <a:ext cx="304800" cy="285750"/>
          <a:chOff x="3175000" y="12827000"/>
          <a:chExt cx="254000" cy="254000"/>
        </a:xfrm>
      </xdr:grpSpPr>
      <xdr:sp macro="" textlink="">
        <xdr:nvSpPr>
          <xdr:cNvPr id="57" name="29Circle">
            <a:extLst>
              <a:ext uri="{FF2B5EF4-FFF2-40B4-BE49-F238E27FC236}">
                <a16:creationId xmlns:a16="http://schemas.microsoft.com/office/drawing/2014/main" id="{00000000-0008-0000-0E00-000039000000}"/>
              </a:ext>
            </a:extLst>
          </xdr:cNvPr>
          <xdr:cNvSpPr/>
        </xdr:nvSpPr>
        <xdr:spPr>
          <a:xfrm>
            <a:off x="3175000" y="12827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P</a:t>
            </a:r>
          </a:p>
        </xdr:txBody>
      </xdr:sp>
      <xdr:sp macro="" textlink="">
        <xdr:nvSpPr>
          <xdr:cNvPr id="58" name="29CircleCover">
            <a:extLst>
              <a:ext uri="{FF2B5EF4-FFF2-40B4-BE49-F238E27FC236}">
                <a16:creationId xmlns:a16="http://schemas.microsoft.com/office/drawing/2014/main" id="{00000000-0008-0000-0E00-00003A000000}"/>
              </a:ext>
            </a:extLst>
          </xdr:cNvPr>
          <xdr:cNvSpPr/>
        </xdr:nvSpPr>
        <xdr:spPr>
          <a:xfrm>
            <a:off x="3175000" y="12827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482600</xdr:colOff>
      <xdr:row>74</xdr:row>
      <xdr:rowOff>63500</xdr:rowOff>
    </xdr:from>
    <xdr:to>
      <xdr:col>5</xdr:col>
      <xdr:colOff>63500</xdr:colOff>
      <xdr:row>75</xdr:row>
      <xdr:rowOff>127000</xdr:rowOff>
    </xdr:to>
    <xdr:grpSp>
      <xdr:nvGrpSpPr>
        <xdr:cNvPr id="59" name="30CircleGroup">
          <a:extLst>
            <a:ext uri="{FF2B5EF4-FFF2-40B4-BE49-F238E27FC236}">
              <a16:creationId xmlns:a16="http://schemas.microsoft.com/office/drawing/2014/main" id="{00000000-0008-0000-0E00-00003B000000}"/>
            </a:ext>
          </a:extLst>
        </xdr:cNvPr>
        <xdr:cNvGrpSpPr/>
      </xdr:nvGrpSpPr>
      <xdr:grpSpPr>
        <a:xfrm>
          <a:off x="3378200" y="16624300"/>
          <a:ext cx="304800" cy="285750"/>
          <a:chOff x="3175000" y="14351000"/>
          <a:chExt cx="254000" cy="254000"/>
        </a:xfrm>
      </xdr:grpSpPr>
      <xdr:sp macro="" textlink="">
        <xdr:nvSpPr>
          <xdr:cNvPr id="60" name="30Circle">
            <a:extLst>
              <a:ext uri="{FF2B5EF4-FFF2-40B4-BE49-F238E27FC236}">
                <a16:creationId xmlns:a16="http://schemas.microsoft.com/office/drawing/2014/main" id="{00000000-0008-0000-0E00-00003C000000}"/>
              </a:ext>
            </a:extLst>
          </xdr:cNvPr>
          <xdr:cNvSpPr/>
        </xdr:nvSpPr>
        <xdr:spPr>
          <a:xfrm>
            <a:off x="3175000" y="14351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Q</a:t>
            </a:r>
          </a:p>
        </xdr:txBody>
      </xdr:sp>
      <xdr:sp macro="" textlink="">
        <xdr:nvSpPr>
          <xdr:cNvPr id="61" name="30CircleCover">
            <a:extLst>
              <a:ext uri="{FF2B5EF4-FFF2-40B4-BE49-F238E27FC236}">
                <a16:creationId xmlns:a16="http://schemas.microsoft.com/office/drawing/2014/main" id="{00000000-0008-0000-0E00-00003D000000}"/>
              </a:ext>
            </a:extLst>
          </xdr:cNvPr>
          <xdr:cNvSpPr/>
        </xdr:nvSpPr>
        <xdr:spPr>
          <a:xfrm>
            <a:off x="3175000" y="14351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330200</xdr:colOff>
      <xdr:row>2</xdr:row>
      <xdr:rowOff>127000</xdr:rowOff>
    </xdr:from>
    <xdr:to>
      <xdr:col>8</xdr:col>
      <xdr:colOff>584200</xdr:colOff>
      <xdr:row>3</xdr:row>
      <xdr:rowOff>127000</xdr:rowOff>
    </xdr:to>
    <xdr:grpSp>
      <xdr:nvGrpSpPr>
        <xdr:cNvPr id="62" name="31CircleGroup">
          <a:extLst>
            <a:ext uri="{FF2B5EF4-FFF2-40B4-BE49-F238E27FC236}">
              <a16:creationId xmlns:a16="http://schemas.microsoft.com/office/drawing/2014/main" id="{00000000-0008-0000-0E00-00003E000000}"/>
            </a:ext>
          </a:extLst>
        </xdr:cNvPr>
        <xdr:cNvGrpSpPr/>
      </xdr:nvGrpSpPr>
      <xdr:grpSpPr>
        <a:xfrm>
          <a:off x="6121400" y="647700"/>
          <a:ext cx="254000" cy="260350"/>
          <a:chOff x="5715000" y="635000"/>
          <a:chExt cx="254000" cy="254000"/>
        </a:xfrm>
      </xdr:grpSpPr>
      <xdr:sp macro="" textlink="">
        <xdr:nvSpPr>
          <xdr:cNvPr id="63" name="31Circle">
            <a:extLst>
              <a:ext uri="{FF2B5EF4-FFF2-40B4-BE49-F238E27FC236}">
                <a16:creationId xmlns:a16="http://schemas.microsoft.com/office/drawing/2014/main" id="{00000000-0008-0000-0E00-00003F000000}"/>
              </a:ext>
            </a:extLst>
          </xdr:cNvPr>
          <xdr:cNvSpPr/>
        </xdr:nvSpPr>
        <xdr:spPr>
          <a:xfrm>
            <a:off x="5715000" y="635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R</a:t>
            </a:r>
          </a:p>
        </xdr:txBody>
      </xdr:sp>
      <xdr:sp macro="" textlink="">
        <xdr:nvSpPr>
          <xdr:cNvPr id="64" name="31CircleCover">
            <a:extLst>
              <a:ext uri="{FF2B5EF4-FFF2-40B4-BE49-F238E27FC236}">
                <a16:creationId xmlns:a16="http://schemas.microsoft.com/office/drawing/2014/main" id="{00000000-0008-0000-0E00-000040000000}"/>
              </a:ext>
            </a:extLst>
          </xdr:cNvPr>
          <xdr:cNvSpPr/>
        </xdr:nvSpPr>
        <xdr:spPr>
          <a:xfrm>
            <a:off x="5715000" y="635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330200</xdr:colOff>
      <xdr:row>10</xdr:row>
      <xdr:rowOff>63500</xdr:rowOff>
    </xdr:from>
    <xdr:to>
      <xdr:col>8</xdr:col>
      <xdr:colOff>584200</xdr:colOff>
      <xdr:row>11</xdr:row>
      <xdr:rowOff>127000</xdr:rowOff>
    </xdr:to>
    <xdr:grpSp>
      <xdr:nvGrpSpPr>
        <xdr:cNvPr id="65" name="32CircleGroup">
          <a:extLst>
            <a:ext uri="{FF2B5EF4-FFF2-40B4-BE49-F238E27FC236}">
              <a16:creationId xmlns:a16="http://schemas.microsoft.com/office/drawing/2014/main" id="{00000000-0008-0000-0E00-000041000000}"/>
            </a:ext>
          </a:extLst>
        </xdr:cNvPr>
        <xdr:cNvGrpSpPr/>
      </xdr:nvGrpSpPr>
      <xdr:grpSpPr>
        <a:xfrm>
          <a:off x="6121400" y="2400300"/>
          <a:ext cx="254000" cy="285750"/>
          <a:chOff x="5715000" y="2159000"/>
          <a:chExt cx="254000" cy="254000"/>
        </a:xfrm>
      </xdr:grpSpPr>
      <xdr:sp macro="" textlink="">
        <xdr:nvSpPr>
          <xdr:cNvPr id="66" name="32Circle">
            <a:extLst>
              <a:ext uri="{FF2B5EF4-FFF2-40B4-BE49-F238E27FC236}">
                <a16:creationId xmlns:a16="http://schemas.microsoft.com/office/drawing/2014/main" id="{00000000-0008-0000-0E00-000042000000}"/>
              </a:ext>
            </a:extLst>
          </xdr:cNvPr>
          <xdr:cNvSpPr/>
        </xdr:nvSpPr>
        <xdr:spPr>
          <a:xfrm>
            <a:off x="5715000" y="2159000"/>
            <a:ext cx="254000" cy="254000"/>
          </a:xfrm>
          <a:prstGeom prst="ellipse">
            <a:avLst/>
          </a:prstGeom>
          <a:solidFill>
            <a:srgbClr val="CCFFCC"/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sz="600" b="0" i="0">
                <a:solidFill>
                  <a:srgbClr val="000000"/>
                </a:solidFill>
                <a:latin typeface="Arial"/>
              </a:rPr>
              <a:t>S</a:t>
            </a:r>
          </a:p>
        </xdr:txBody>
      </xdr:sp>
      <xdr:sp macro="" textlink="">
        <xdr:nvSpPr>
          <xdr:cNvPr id="67" name="32CircleCover">
            <a:extLst>
              <a:ext uri="{FF2B5EF4-FFF2-40B4-BE49-F238E27FC236}">
                <a16:creationId xmlns:a16="http://schemas.microsoft.com/office/drawing/2014/main" id="{00000000-0008-0000-0E00-000043000000}"/>
              </a:ext>
            </a:extLst>
          </xdr:cNvPr>
          <xdr:cNvSpPr/>
        </xdr:nvSpPr>
        <xdr:spPr>
          <a:xfrm>
            <a:off x="5715000" y="2159000"/>
            <a:ext cx="254000" cy="254000"/>
          </a:xfrm>
          <a:prstGeom prst="ellipse">
            <a:avLst/>
          </a:prstGeom>
          <a:solidFill>
            <a:srgbClr val="FFFFFF">
              <a:alpha val="5000"/>
            </a:srgbClr>
          </a:solidFill>
          <a:ln w="127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215900</xdr:colOff>
      <xdr:row>2</xdr:row>
      <xdr:rowOff>63500</xdr:rowOff>
    </xdr:from>
    <xdr:to>
      <xdr:col>4</xdr:col>
      <xdr:colOff>228600</xdr:colOff>
      <xdr:row>9</xdr:row>
      <xdr:rowOff>63500</xdr:rowOff>
    </xdr:to>
    <xdr:grpSp>
      <xdr:nvGrpSpPr>
        <xdr:cNvPr id="68" name="11BlockGroup">
          <a:extLst>
            <a:ext uri="{FF2B5EF4-FFF2-40B4-BE49-F238E27FC236}">
              <a16:creationId xmlns:a16="http://schemas.microsoft.com/office/drawing/2014/main" id="{00000000-0008-0000-0E00-000044000000}"/>
            </a:ext>
          </a:extLst>
        </xdr:cNvPr>
        <xdr:cNvGrpSpPr/>
      </xdr:nvGrpSpPr>
      <xdr:grpSpPr>
        <a:xfrm>
          <a:off x="939800" y="584200"/>
          <a:ext cx="2184400" cy="1593850"/>
          <a:chOff x="889000" y="571500"/>
          <a:chExt cx="2032000" cy="1397000"/>
        </a:xfrm>
      </xdr:grpSpPr>
      <xdr:sp macro="" textlink="">
        <xdr:nvSpPr>
          <xdr:cNvPr id="69" name="11TITLE">
            <a:extLst>
              <a:ext uri="{FF2B5EF4-FFF2-40B4-BE49-F238E27FC236}">
                <a16:creationId xmlns:a16="http://schemas.microsoft.com/office/drawing/2014/main" id="{00000000-0008-0000-0E00-000045000000}"/>
              </a:ext>
            </a:extLst>
          </xdr:cNvPr>
          <xdr:cNvSpPr txBox="1"/>
        </xdr:nvSpPr>
        <xdr:spPr>
          <a:xfrm>
            <a:off x="889000" y="571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C</a:t>
            </a:r>
          </a:p>
          <a:p>
            <a:pPr algn="ctr"/>
            <a:r>
              <a:rPr lang="en-US" sz="500">
                <a:latin typeface="Arial"/>
              </a:rPr>
              <a:t>Min 13.3</a:t>
            </a:r>
          </a:p>
        </xdr:txBody>
      </xdr:sp>
      <xdr:sp macro="" textlink="">
        <xdr:nvSpPr>
          <xdr:cNvPr id="70" name="11CP">
            <a:extLst>
              <a:ext uri="{FF2B5EF4-FFF2-40B4-BE49-F238E27FC236}">
                <a16:creationId xmlns:a16="http://schemas.microsoft.com/office/drawing/2014/main" id="{00000000-0008-0000-0E00-000046000000}"/>
              </a:ext>
            </a:extLst>
          </xdr:cNvPr>
          <xdr:cNvSpPr txBox="1"/>
        </xdr:nvSpPr>
        <xdr:spPr>
          <a:xfrm>
            <a:off x="1397000" y="571500"/>
            <a:ext cx="762000" cy="254000"/>
          </a:xfrm>
          <a:prstGeom prst="rect">
            <a:avLst/>
          </a:prstGeom>
          <a:solidFill>
            <a:srgbClr val="FF9900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1.312</a:t>
            </a:r>
          </a:p>
        </xdr:txBody>
      </xdr:sp>
      <xdr:sp macro="" textlink="">
        <xdr:nvSpPr>
          <xdr:cNvPr id="71" name="11CPK">
            <a:extLst>
              <a:ext uri="{FF2B5EF4-FFF2-40B4-BE49-F238E27FC236}">
                <a16:creationId xmlns:a16="http://schemas.microsoft.com/office/drawing/2014/main" id="{00000000-0008-0000-0E00-000047000000}"/>
              </a:ext>
            </a:extLst>
          </xdr:cNvPr>
          <xdr:cNvSpPr txBox="1"/>
        </xdr:nvSpPr>
        <xdr:spPr>
          <a:xfrm>
            <a:off x="2159000" y="571500"/>
            <a:ext cx="762000" cy="254000"/>
          </a:xfrm>
          <a:prstGeom prst="rect">
            <a:avLst/>
          </a:prstGeom>
          <a:solidFill>
            <a:srgbClr val="FF9900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1.312</a:t>
            </a:r>
          </a:p>
        </xdr:txBody>
      </xdr:sp>
      <xdr:graphicFrame macro="">
        <xdr:nvGraphicFramePr>
          <xdr:cNvPr id="72" name="Chart 1571">
            <a:extLst>
              <a:ext uri="{FF2B5EF4-FFF2-40B4-BE49-F238E27FC236}">
                <a16:creationId xmlns:a16="http://schemas.microsoft.com/office/drawing/2014/main" id="{00000000-0008-0000-0E00-000048000000}"/>
              </a:ext>
            </a:extLst>
          </xdr:cNvPr>
          <xdr:cNvGraphicFramePr/>
        </xdr:nvGraphicFramePr>
        <xdr:xfrm>
          <a:off x="1397000" y="825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73" name="11BlockCover">
            <a:extLst>
              <a:ext uri="{FF2B5EF4-FFF2-40B4-BE49-F238E27FC236}">
                <a16:creationId xmlns:a16="http://schemas.microsoft.com/office/drawing/2014/main" id="{00000000-0008-0000-0E00-000049000000}"/>
              </a:ext>
            </a:extLst>
          </xdr:cNvPr>
          <xdr:cNvSpPr/>
        </xdr:nvSpPr>
        <xdr:spPr>
          <a:xfrm>
            <a:off x="889000" y="571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215900</xdr:colOff>
      <xdr:row>10</xdr:row>
      <xdr:rowOff>0</xdr:rowOff>
    </xdr:from>
    <xdr:to>
      <xdr:col>4</xdr:col>
      <xdr:colOff>228600</xdr:colOff>
      <xdr:row>17</xdr:row>
      <xdr:rowOff>63500</xdr:rowOff>
    </xdr:to>
    <xdr:grpSp>
      <xdr:nvGrpSpPr>
        <xdr:cNvPr id="74" name="12BlockGroup">
          <a:extLst>
            <a:ext uri="{FF2B5EF4-FFF2-40B4-BE49-F238E27FC236}">
              <a16:creationId xmlns:a16="http://schemas.microsoft.com/office/drawing/2014/main" id="{00000000-0008-0000-0E00-00004A000000}"/>
            </a:ext>
          </a:extLst>
        </xdr:cNvPr>
        <xdr:cNvGrpSpPr/>
      </xdr:nvGrpSpPr>
      <xdr:grpSpPr>
        <a:xfrm>
          <a:off x="939800" y="2336800"/>
          <a:ext cx="2184400" cy="1619250"/>
          <a:chOff x="889000" y="2095500"/>
          <a:chExt cx="2032000" cy="1397000"/>
        </a:xfrm>
      </xdr:grpSpPr>
      <xdr:sp macro="" textlink="">
        <xdr:nvSpPr>
          <xdr:cNvPr id="75" name="12TITLE">
            <a:extLst>
              <a:ext uri="{FF2B5EF4-FFF2-40B4-BE49-F238E27FC236}">
                <a16:creationId xmlns:a16="http://schemas.microsoft.com/office/drawing/2014/main" id="{00000000-0008-0000-0E00-00004B000000}"/>
              </a:ext>
            </a:extLst>
          </xdr:cNvPr>
          <xdr:cNvSpPr txBox="1"/>
        </xdr:nvSpPr>
        <xdr:spPr>
          <a:xfrm>
            <a:off x="889000" y="2095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D</a:t>
            </a:r>
          </a:p>
          <a:p>
            <a:pPr algn="ctr"/>
            <a:r>
              <a:rPr lang="en-US" sz="500">
                <a:latin typeface="Arial"/>
              </a:rPr>
              <a:t>Max 19.8</a:t>
            </a:r>
          </a:p>
        </xdr:txBody>
      </xdr:sp>
      <xdr:sp macro="" textlink="">
        <xdr:nvSpPr>
          <xdr:cNvPr id="76" name="12CP">
            <a:extLst>
              <a:ext uri="{FF2B5EF4-FFF2-40B4-BE49-F238E27FC236}">
                <a16:creationId xmlns:a16="http://schemas.microsoft.com/office/drawing/2014/main" id="{00000000-0008-0000-0E00-00004C000000}"/>
              </a:ext>
            </a:extLst>
          </xdr:cNvPr>
          <xdr:cNvSpPr txBox="1"/>
        </xdr:nvSpPr>
        <xdr:spPr>
          <a:xfrm>
            <a:off x="1397000" y="2095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1.68</a:t>
            </a:r>
          </a:p>
        </xdr:txBody>
      </xdr:sp>
      <xdr:sp macro="" textlink="">
        <xdr:nvSpPr>
          <xdr:cNvPr id="77" name="12CPK">
            <a:extLst>
              <a:ext uri="{FF2B5EF4-FFF2-40B4-BE49-F238E27FC236}">
                <a16:creationId xmlns:a16="http://schemas.microsoft.com/office/drawing/2014/main" id="{00000000-0008-0000-0E00-00004D000000}"/>
              </a:ext>
            </a:extLst>
          </xdr:cNvPr>
          <xdr:cNvSpPr txBox="1"/>
        </xdr:nvSpPr>
        <xdr:spPr>
          <a:xfrm>
            <a:off x="2159000" y="2095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1.68</a:t>
            </a:r>
          </a:p>
        </xdr:txBody>
      </xdr:sp>
      <xdr:graphicFrame macro="">
        <xdr:nvGraphicFramePr>
          <xdr:cNvPr id="78" name="Chart 1578">
            <a:extLst>
              <a:ext uri="{FF2B5EF4-FFF2-40B4-BE49-F238E27FC236}">
                <a16:creationId xmlns:a16="http://schemas.microsoft.com/office/drawing/2014/main" id="{00000000-0008-0000-0E00-00004E000000}"/>
              </a:ext>
            </a:extLst>
          </xdr:cNvPr>
          <xdr:cNvGraphicFramePr/>
        </xdr:nvGraphicFramePr>
        <xdr:xfrm>
          <a:off x="1397000" y="2349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79" name="12BlockCover">
            <a:extLst>
              <a:ext uri="{FF2B5EF4-FFF2-40B4-BE49-F238E27FC236}">
                <a16:creationId xmlns:a16="http://schemas.microsoft.com/office/drawing/2014/main" id="{00000000-0008-0000-0E00-00004F000000}"/>
              </a:ext>
            </a:extLst>
          </xdr:cNvPr>
          <xdr:cNvSpPr/>
        </xdr:nvSpPr>
        <xdr:spPr>
          <a:xfrm>
            <a:off x="889000" y="2095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215900</xdr:colOff>
      <xdr:row>18</xdr:row>
      <xdr:rowOff>0</xdr:rowOff>
    </xdr:from>
    <xdr:to>
      <xdr:col>4</xdr:col>
      <xdr:colOff>228600</xdr:colOff>
      <xdr:row>25</xdr:row>
      <xdr:rowOff>63500</xdr:rowOff>
    </xdr:to>
    <xdr:grpSp>
      <xdr:nvGrpSpPr>
        <xdr:cNvPr id="80" name="13BlockGroup">
          <a:extLst>
            <a:ext uri="{FF2B5EF4-FFF2-40B4-BE49-F238E27FC236}">
              <a16:creationId xmlns:a16="http://schemas.microsoft.com/office/drawing/2014/main" id="{00000000-0008-0000-0E00-000050000000}"/>
            </a:ext>
          </a:extLst>
        </xdr:cNvPr>
        <xdr:cNvGrpSpPr/>
      </xdr:nvGrpSpPr>
      <xdr:grpSpPr>
        <a:xfrm>
          <a:off x="939800" y="4114800"/>
          <a:ext cx="2184400" cy="1619250"/>
          <a:chOff x="889000" y="3619500"/>
          <a:chExt cx="2032000" cy="1397000"/>
        </a:xfrm>
      </xdr:grpSpPr>
      <xdr:sp macro="" textlink="">
        <xdr:nvSpPr>
          <xdr:cNvPr id="81" name="13TITLE">
            <a:extLst>
              <a:ext uri="{FF2B5EF4-FFF2-40B4-BE49-F238E27FC236}">
                <a16:creationId xmlns:a16="http://schemas.microsoft.com/office/drawing/2014/main" id="{00000000-0008-0000-0E00-000051000000}"/>
              </a:ext>
            </a:extLst>
          </xdr:cNvPr>
          <xdr:cNvSpPr txBox="1"/>
        </xdr:nvSpPr>
        <xdr:spPr>
          <a:xfrm>
            <a:off x="889000" y="3619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E</a:t>
            </a:r>
          </a:p>
          <a:p>
            <a:pPr algn="ctr"/>
            <a:r>
              <a:rPr lang="en-US" sz="500">
                <a:latin typeface="Arial"/>
              </a:rPr>
              <a:t>15.67 /</a:t>
            </a:r>
          </a:p>
          <a:p>
            <a:pPr algn="ctr"/>
            <a:r>
              <a:rPr lang="en-US" sz="500">
                <a:latin typeface="Arial"/>
              </a:rPr>
              <a:t>16.07</a:t>
            </a:r>
          </a:p>
        </xdr:txBody>
      </xdr:sp>
      <xdr:sp macro="" textlink="">
        <xdr:nvSpPr>
          <xdr:cNvPr id="82" name="13CP">
            <a:extLst>
              <a:ext uri="{FF2B5EF4-FFF2-40B4-BE49-F238E27FC236}">
                <a16:creationId xmlns:a16="http://schemas.microsoft.com/office/drawing/2014/main" id="{00000000-0008-0000-0E00-000052000000}"/>
              </a:ext>
            </a:extLst>
          </xdr:cNvPr>
          <xdr:cNvSpPr txBox="1"/>
        </xdr:nvSpPr>
        <xdr:spPr>
          <a:xfrm>
            <a:off x="1397000" y="3619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1.634</a:t>
            </a:r>
          </a:p>
        </xdr:txBody>
      </xdr:sp>
      <xdr:sp macro="" textlink="">
        <xdr:nvSpPr>
          <xdr:cNvPr id="83" name="13CPK">
            <a:extLst>
              <a:ext uri="{FF2B5EF4-FFF2-40B4-BE49-F238E27FC236}">
                <a16:creationId xmlns:a16="http://schemas.microsoft.com/office/drawing/2014/main" id="{00000000-0008-0000-0E00-000053000000}"/>
              </a:ext>
            </a:extLst>
          </xdr:cNvPr>
          <xdr:cNvSpPr txBox="1"/>
        </xdr:nvSpPr>
        <xdr:spPr>
          <a:xfrm>
            <a:off x="2159000" y="3619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1.423</a:t>
            </a:r>
          </a:p>
        </xdr:txBody>
      </xdr:sp>
      <xdr:graphicFrame macro="">
        <xdr:nvGraphicFramePr>
          <xdr:cNvPr id="84" name="Chart 1585">
            <a:extLst>
              <a:ext uri="{FF2B5EF4-FFF2-40B4-BE49-F238E27FC236}">
                <a16:creationId xmlns:a16="http://schemas.microsoft.com/office/drawing/2014/main" id="{00000000-0008-0000-0E00-000054000000}"/>
              </a:ext>
            </a:extLst>
          </xdr:cNvPr>
          <xdr:cNvGraphicFramePr/>
        </xdr:nvGraphicFramePr>
        <xdr:xfrm>
          <a:off x="1397000" y="3873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85" name="13BlockCover">
            <a:extLst>
              <a:ext uri="{FF2B5EF4-FFF2-40B4-BE49-F238E27FC236}">
                <a16:creationId xmlns:a16="http://schemas.microsoft.com/office/drawing/2014/main" id="{00000000-0008-0000-0E00-000055000000}"/>
              </a:ext>
            </a:extLst>
          </xdr:cNvPr>
          <xdr:cNvSpPr/>
        </xdr:nvSpPr>
        <xdr:spPr>
          <a:xfrm>
            <a:off x="889000" y="3619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215900</xdr:colOff>
      <xdr:row>26</xdr:row>
      <xdr:rowOff>0</xdr:rowOff>
    </xdr:from>
    <xdr:to>
      <xdr:col>4</xdr:col>
      <xdr:colOff>228600</xdr:colOff>
      <xdr:row>33</xdr:row>
      <xdr:rowOff>63500</xdr:rowOff>
    </xdr:to>
    <xdr:grpSp>
      <xdr:nvGrpSpPr>
        <xdr:cNvPr id="86" name="14BlockGroup">
          <a:extLst>
            <a:ext uri="{FF2B5EF4-FFF2-40B4-BE49-F238E27FC236}">
              <a16:creationId xmlns:a16="http://schemas.microsoft.com/office/drawing/2014/main" id="{00000000-0008-0000-0E00-000056000000}"/>
            </a:ext>
          </a:extLst>
        </xdr:cNvPr>
        <xdr:cNvGrpSpPr/>
      </xdr:nvGrpSpPr>
      <xdr:grpSpPr>
        <a:xfrm>
          <a:off x="939800" y="5892800"/>
          <a:ext cx="2184400" cy="1619250"/>
          <a:chOff x="889000" y="5143500"/>
          <a:chExt cx="2032000" cy="1397000"/>
        </a:xfrm>
      </xdr:grpSpPr>
      <xdr:sp macro="" textlink="">
        <xdr:nvSpPr>
          <xdr:cNvPr id="87" name="14TITLE">
            <a:extLst>
              <a:ext uri="{FF2B5EF4-FFF2-40B4-BE49-F238E27FC236}">
                <a16:creationId xmlns:a16="http://schemas.microsoft.com/office/drawing/2014/main" id="{00000000-0008-0000-0E00-000057000000}"/>
              </a:ext>
            </a:extLst>
          </xdr:cNvPr>
          <xdr:cNvSpPr txBox="1"/>
        </xdr:nvSpPr>
        <xdr:spPr>
          <a:xfrm>
            <a:off x="889000" y="5143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F-1</a:t>
            </a:r>
          </a:p>
          <a:p>
            <a:pPr algn="ctr"/>
            <a:r>
              <a:rPr lang="en-US" sz="500">
                <a:latin typeface="Arial"/>
              </a:rPr>
              <a:t>38.6 /</a:t>
            </a:r>
          </a:p>
          <a:p>
            <a:pPr algn="ctr"/>
            <a:r>
              <a:rPr lang="en-US" sz="500">
                <a:latin typeface="Arial"/>
              </a:rPr>
              <a:t>44.6</a:t>
            </a:r>
          </a:p>
        </xdr:txBody>
      </xdr:sp>
      <xdr:sp macro="" textlink="">
        <xdr:nvSpPr>
          <xdr:cNvPr id="88" name="14CP">
            <a:extLst>
              <a:ext uri="{FF2B5EF4-FFF2-40B4-BE49-F238E27FC236}">
                <a16:creationId xmlns:a16="http://schemas.microsoft.com/office/drawing/2014/main" id="{00000000-0008-0000-0E00-000058000000}"/>
              </a:ext>
            </a:extLst>
          </xdr:cNvPr>
          <xdr:cNvSpPr txBox="1"/>
        </xdr:nvSpPr>
        <xdr:spPr>
          <a:xfrm>
            <a:off x="1397000" y="5143500"/>
            <a:ext cx="762000" cy="254000"/>
          </a:xfrm>
          <a:prstGeom prst="rect">
            <a:avLst/>
          </a:prstGeom>
          <a:solidFill>
            <a:srgbClr val="FF9900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1.306</a:t>
            </a:r>
          </a:p>
        </xdr:txBody>
      </xdr:sp>
      <xdr:sp macro="" textlink="">
        <xdr:nvSpPr>
          <xdr:cNvPr id="89" name="14CPK">
            <a:extLst>
              <a:ext uri="{FF2B5EF4-FFF2-40B4-BE49-F238E27FC236}">
                <a16:creationId xmlns:a16="http://schemas.microsoft.com/office/drawing/2014/main" id="{00000000-0008-0000-0E00-000059000000}"/>
              </a:ext>
            </a:extLst>
          </xdr:cNvPr>
          <xdr:cNvSpPr txBox="1"/>
        </xdr:nvSpPr>
        <xdr:spPr>
          <a:xfrm>
            <a:off x="2159000" y="5143500"/>
            <a:ext cx="762000" cy="254000"/>
          </a:xfrm>
          <a:prstGeom prst="rect">
            <a:avLst/>
          </a:prstGeom>
          <a:solidFill>
            <a:srgbClr val="FF6600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0.942</a:t>
            </a:r>
          </a:p>
        </xdr:txBody>
      </xdr:sp>
      <xdr:graphicFrame macro="">
        <xdr:nvGraphicFramePr>
          <xdr:cNvPr id="90" name="Chart 1592">
            <a:extLst>
              <a:ext uri="{FF2B5EF4-FFF2-40B4-BE49-F238E27FC236}">
                <a16:creationId xmlns:a16="http://schemas.microsoft.com/office/drawing/2014/main" id="{00000000-0008-0000-0E00-00005A000000}"/>
              </a:ext>
            </a:extLst>
          </xdr:cNvPr>
          <xdr:cNvGraphicFramePr/>
        </xdr:nvGraphicFramePr>
        <xdr:xfrm>
          <a:off x="1397000" y="5397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91" name="14BlockCover">
            <a:extLst>
              <a:ext uri="{FF2B5EF4-FFF2-40B4-BE49-F238E27FC236}">
                <a16:creationId xmlns:a16="http://schemas.microsoft.com/office/drawing/2014/main" id="{00000000-0008-0000-0E00-00005B000000}"/>
              </a:ext>
            </a:extLst>
          </xdr:cNvPr>
          <xdr:cNvSpPr/>
        </xdr:nvSpPr>
        <xdr:spPr>
          <a:xfrm>
            <a:off x="889000" y="5143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215900</xdr:colOff>
      <xdr:row>34</xdr:row>
      <xdr:rowOff>0</xdr:rowOff>
    </xdr:from>
    <xdr:to>
      <xdr:col>4</xdr:col>
      <xdr:colOff>228600</xdr:colOff>
      <xdr:row>41</xdr:row>
      <xdr:rowOff>63500</xdr:rowOff>
    </xdr:to>
    <xdr:grpSp>
      <xdr:nvGrpSpPr>
        <xdr:cNvPr id="92" name="15BlockGroup">
          <a:extLst>
            <a:ext uri="{FF2B5EF4-FFF2-40B4-BE49-F238E27FC236}">
              <a16:creationId xmlns:a16="http://schemas.microsoft.com/office/drawing/2014/main" id="{00000000-0008-0000-0E00-00005C000000}"/>
            </a:ext>
          </a:extLst>
        </xdr:cNvPr>
        <xdr:cNvGrpSpPr/>
      </xdr:nvGrpSpPr>
      <xdr:grpSpPr>
        <a:xfrm>
          <a:off x="939800" y="7670800"/>
          <a:ext cx="2184400" cy="1619250"/>
          <a:chOff x="889000" y="6667500"/>
          <a:chExt cx="2032000" cy="1397000"/>
        </a:xfrm>
      </xdr:grpSpPr>
      <xdr:sp macro="" textlink="">
        <xdr:nvSpPr>
          <xdr:cNvPr id="93" name="15TITLE">
            <a:extLst>
              <a:ext uri="{FF2B5EF4-FFF2-40B4-BE49-F238E27FC236}">
                <a16:creationId xmlns:a16="http://schemas.microsoft.com/office/drawing/2014/main" id="{00000000-0008-0000-0E00-00005D000000}"/>
              </a:ext>
            </a:extLst>
          </xdr:cNvPr>
          <xdr:cNvSpPr txBox="1"/>
        </xdr:nvSpPr>
        <xdr:spPr>
          <a:xfrm>
            <a:off x="889000" y="6667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F-2</a:t>
            </a:r>
          </a:p>
          <a:p>
            <a:pPr algn="ctr"/>
            <a:r>
              <a:rPr lang="en-US" sz="500">
                <a:latin typeface="Arial"/>
              </a:rPr>
              <a:t>38.6 /</a:t>
            </a:r>
          </a:p>
          <a:p>
            <a:pPr algn="ctr"/>
            <a:r>
              <a:rPr lang="en-US" sz="500">
                <a:latin typeface="Arial"/>
              </a:rPr>
              <a:t>44.6</a:t>
            </a:r>
          </a:p>
        </xdr:txBody>
      </xdr:sp>
      <xdr:sp macro="" textlink="">
        <xdr:nvSpPr>
          <xdr:cNvPr id="94" name="15CP">
            <a:extLst>
              <a:ext uri="{FF2B5EF4-FFF2-40B4-BE49-F238E27FC236}">
                <a16:creationId xmlns:a16="http://schemas.microsoft.com/office/drawing/2014/main" id="{00000000-0008-0000-0E00-00005E000000}"/>
              </a:ext>
            </a:extLst>
          </xdr:cNvPr>
          <xdr:cNvSpPr txBox="1"/>
        </xdr:nvSpPr>
        <xdr:spPr>
          <a:xfrm>
            <a:off x="1397000" y="6667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1.349</a:t>
            </a:r>
          </a:p>
        </xdr:txBody>
      </xdr:sp>
      <xdr:sp macro="" textlink="">
        <xdr:nvSpPr>
          <xdr:cNvPr id="95" name="15CPK">
            <a:extLst>
              <a:ext uri="{FF2B5EF4-FFF2-40B4-BE49-F238E27FC236}">
                <a16:creationId xmlns:a16="http://schemas.microsoft.com/office/drawing/2014/main" id="{00000000-0008-0000-0E00-00005F000000}"/>
              </a:ext>
            </a:extLst>
          </xdr:cNvPr>
          <xdr:cNvSpPr txBox="1"/>
        </xdr:nvSpPr>
        <xdr:spPr>
          <a:xfrm>
            <a:off x="2159000" y="6667500"/>
            <a:ext cx="762000" cy="254000"/>
          </a:xfrm>
          <a:prstGeom prst="rect">
            <a:avLst/>
          </a:prstGeom>
          <a:solidFill>
            <a:srgbClr val="FF9900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1.301</a:t>
            </a:r>
          </a:p>
        </xdr:txBody>
      </xdr:sp>
      <xdr:graphicFrame macro="">
        <xdr:nvGraphicFramePr>
          <xdr:cNvPr id="96" name="Chart 1599">
            <a:extLst>
              <a:ext uri="{FF2B5EF4-FFF2-40B4-BE49-F238E27FC236}">
                <a16:creationId xmlns:a16="http://schemas.microsoft.com/office/drawing/2014/main" id="{00000000-0008-0000-0E00-000060000000}"/>
              </a:ext>
            </a:extLst>
          </xdr:cNvPr>
          <xdr:cNvGraphicFramePr/>
        </xdr:nvGraphicFramePr>
        <xdr:xfrm>
          <a:off x="1397000" y="6921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97" name="15BlockCover">
            <a:extLst>
              <a:ext uri="{FF2B5EF4-FFF2-40B4-BE49-F238E27FC236}">
                <a16:creationId xmlns:a16="http://schemas.microsoft.com/office/drawing/2014/main" id="{00000000-0008-0000-0E00-000061000000}"/>
              </a:ext>
            </a:extLst>
          </xdr:cNvPr>
          <xdr:cNvSpPr/>
        </xdr:nvSpPr>
        <xdr:spPr>
          <a:xfrm>
            <a:off x="889000" y="6667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215900</xdr:colOff>
      <xdr:row>42</xdr:row>
      <xdr:rowOff>0</xdr:rowOff>
    </xdr:from>
    <xdr:to>
      <xdr:col>4</xdr:col>
      <xdr:colOff>228600</xdr:colOff>
      <xdr:row>49</xdr:row>
      <xdr:rowOff>63500</xdr:rowOff>
    </xdr:to>
    <xdr:grpSp>
      <xdr:nvGrpSpPr>
        <xdr:cNvPr id="98" name="16BlockGroup">
          <a:extLst>
            <a:ext uri="{FF2B5EF4-FFF2-40B4-BE49-F238E27FC236}">
              <a16:creationId xmlns:a16="http://schemas.microsoft.com/office/drawing/2014/main" id="{00000000-0008-0000-0E00-000062000000}"/>
            </a:ext>
          </a:extLst>
        </xdr:cNvPr>
        <xdr:cNvGrpSpPr/>
      </xdr:nvGrpSpPr>
      <xdr:grpSpPr>
        <a:xfrm>
          <a:off x="939800" y="9448800"/>
          <a:ext cx="2184400" cy="1619250"/>
          <a:chOff x="889000" y="8191500"/>
          <a:chExt cx="2032000" cy="1397000"/>
        </a:xfrm>
      </xdr:grpSpPr>
      <xdr:sp macro="" textlink="">
        <xdr:nvSpPr>
          <xdr:cNvPr id="99" name="16TITLE">
            <a:extLst>
              <a:ext uri="{FF2B5EF4-FFF2-40B4-BE49-F238E27FC236}">
                <a16:creationId xmlns:a16="http://schemas.microsoft.com/office/drawing/2014/main" id="{00000000-0008-0000-0E00-000063000000}"/>
              </a:ext>
            </a:extLst>
          </xdr:cNvPr>
          <xdr:cNvSpPr txBox="1"/>
        </xdr:nvSpPr>
        <xdr:spPr>
          <a:xfrm>
            <a:off x="889000" y="8191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G</a:t>
            </a:r>
          </a:p>
          <a:p>
            <a:pPr algn="ctr"/>
            <a:r>
              <a:rPr lang="en-US" sz="500">
                <a:latin typeface="Arial"/>
              </a:rPr>
              <a:t>8.93 /</a:t>
            </a:r>
          </a:p>
          <a:p>
            <a:pPr algn="ctr"/>
            <a:r>
              <a:rPr lang="en-US" sz="500">
                <a:latin typeface="Arial"/>
              </a:rPr>
              <a:t>9.23</a:t>
            </a:r>
          </a:p>
        </xdr:txBody>
      </xdr:sp>
      <xdr:sp macro="" textlink="">
        <xdr:nvSpPr>
          <xdr:cNvPr id="100" name="16CP">
            <a:extLst>
              <a:ext uri="{FF2B5EF4-FFF2-40B4-BE49-F238E27FC236}">
                <a16:creationId xmlns:a16="http://schemas.microsoft.com/office/drawing/2014/main" id="{00000000-0008-0000-0E00-000064000000}"/>
              </a:ext>
            </a:extLst>
          </xdr:cNvPr>
          <xdr:cNvSpPr txBox="1"/>
        </xdr:nvSpPr>
        <xdr:spPr>
          <a:xfrm>
            <a:off x="1397000" y="8191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1.883</a:t>
            </a:r>
          </a:p>
        </xdr:txBody>
      </xdr:sp>
      <xdr:sp macro="" textlink="">
        <xdr:nvSpPr>
          <xdr:cNvPr id="101" name="16CPK">
            <a:extLst>
              <a:ext uri="{FF2B5EF4-FFF2-40B4-BE49-F238E27FC236}">
                <a16:creationId xmlns:a16="http://schemas.microsoft.com/office/drawing/2014/main" id="{00000000-0008-0000-0E00-000065000000}"/>
              </a:ext>
            </a:extLst>
          </xdr:cNvPr>
          <xdr:cNvSpPr txBox="1"/>
        </xdr:nvSpPr>
        <xdr:spPr>
          <a:xfrm>
            <a:off x="2159000" y="8191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1.404</a:t>
            </a:r>
          </a:p>
        </xdr:txBody>
      </xdr:sp>
      <xdr:graphicFrame macro="">
        <xdr:nvGraphicFramePr>
          <xdr:cNvPr id="102" name="Chart 1606">
            <a:extLst>
              <a:ext uri="{FF2B5EF4-FFF2-40B4-BE49-F238E27FC236}">
                <a16:creationId xmlns:a16="http://schemas.microsoft.com/office/drawing/2014/main" id="{00000000-0008-0000-0E00-000066000000}"/>
              </a:ext>
            </a:extLst>
          </xdr:cNvPr>
          <xdr:cNvGraphicFramePr/>
        </xdr:nvGraphicFramePr>
        <xdr:xfrm>
          <a:off x="1397000" y="8445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103" name="16BlockCover">
            <a:extLst>
              <a:ext uri="{FF2B5EF4-FFF2-40B4-BE49-F238E27FC236}">
                <a16:creationId xmlns:a16="http://schemas.microsoft.com/office/drawing/2014/main" id="{00000000-0008-0000-0E00-000067000000}"/>
              </a:ext>
            </a:extLst>
          </xdr:cNvPr>
          <xdr:cNvSpPr/>
        </xdr:nvSpPr>
        <xdr:spPr>
          <a:xfrm>
            <a:off x="889000" y="8191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215900</xdr:colOff>
      <xdr:row>50</xdr:row>
      <xdr:rowOff>0</xdr:rowOff>
    </xdr:from>
    <xdr:to>
      <xdr:col>4</xdr:col>
      <xdr:colOff>228600</xdr:colOff>
      <xdr:row>57</xdr:row>
      <xdr:rowOff>63500</xdr:rowOff>
    </xdr:to>
    <xdr:grpSp>
      <xdr:nvGrpSpPr>
        <xdr:cNvPr id="104" name="17BlockGroup">
          <a:extLst>
            <a:ext uri="{FF2B5EF4-FFF2-40B4-BE49-F238E27FC236}">
              <a16:creationId xmlns:a16="http://schemas.microsoft.com/office/drawing/2014/main" id="{00000000-0008-0000-0E00-000068000000}"/>
            </a:ext>
          </a:extLst>
        </xdr:cNvPr>
        <xdr:cNvGrpSpPr/>
      </xdr:nvGrpSpPr>
      <xdr:grpSpPr>
        <a:xfrm>
          <a:off x="939800" y="11226800"/>
          <a:ext cx="2184400" cy="1619250"/>
          <a:chOff x="889000" y="9715500"/>
          <a:chExt cx="2032000" cy="1397000"/>
        </a:xfrm>
      </xdr:grpSpPr>
      <xdr:sp macro="" textlink="">
        <xdr:nvSpPr>
          <xdr:cNvPr id="105" name="17TITLE">
            <a:extLst>
              <a:ext uri="{FF2B5EF4-FFF2-40B4-BE49-F238E27FC236}">
                <a16:creationId xmlns:a16="http://schemas.microsoft.com/office/drawing/2014/main" id="{00000000-0008-0000-0E00-000069000000}"/>
              </a:ext>
            </a:extLst>
          </xdr:cNvPr>
          <xdr:cNvSpPr txBox="1"/>
        </xdr:nvSpPr>
        <xdr:spPr>
          <a:xfrm>
            <a:off x="889000" y="9715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L</a:t>
            </a:r>
          </a:p>
          <a:p>
            <a:pPr algn="ctr"/>
            <a:r>
              <a:rPr lang="en-US" sz="500">
                <a:latin typeface="Arial"/>
              </a:rPr>
              <a:t>2.3 /</a:t>
            </a:r>
          </a:p>
          <a:p>
            <a:pPr algn="ctr"/>
            <a:r>
              <a:rPr lang="en-US" sz="500">
                <a:latin typeface="Arial"/>
              </a:rPr>
              <a:t>3</a:t>
            </a:r>
          </a:p>
        </xdr:txBody>
      </xdr:sp>
      <xdr:sp macro="" textlink="">
        <xdr:nvSpPr>
          <xdr:cNvPr id="106" name="17CP">
            <a:extLst>
              <a:ext uri="{FF2B5EF4-FFF2-40B4-BE49-F238E27FC236}">
                <a16:creationId xmlns:a16="http://schemas.microsoft.com/office/drawing/2014/main" id="{00000000-0008-0000-0E00-00006A000000}"/>
              </a:ext>
            </a:extLst>
          </xdr:cNvPr>
          <xdr:cNvSpPr txBox="1"/>
        </xdr:nvSpPr>
        <xdr:spPr>
          <a:xfrm>
            <a:off x="1397000" y="9715500"/>
            <a:ext cx="762000" cy="254000"/>
          </a:xfrm>
          <a:prstGeom prst="rect">
            <a:avLst/>
          </a:prstGeom>
          <a:solidFill>
            <a:srgbClr val="FF9900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1.309</a:t>
            </a:r>
          </a:p>
        </xdr:txBody>
      </xdr:sp>
      <xdr:sp macro="" textlink="">
        <xdr:nvSpPr>
          <xdr:cNvPr id="107" name="17CPK">
            <a:extLst>
              <a:ext uri="{FF2B5EF4-FFF2-40B4-BE49-F238E27FC236}">
                <a16:creationId xmlns:a16="http://schemas.microsoft.com/office/drawing/2014/main" id="{00000000-0008-0000-0E00-00006B000000}"/>
              </a:ext>
            </a:extLst>
          </xdr:cNvPr>
          <xdr:cNvSpPr txBox="1"/>
        </xdr:nvSpPr>
        <xdr:spPr>
          <a:xfrm>
            <a:off x="2159000" y="9715500"/>
            <a:ext cx="762000" cy="254000"/>
          </a:xfrm>
          <a:prstGeom prst="rect">
            <a:avLst/>
          </a:prstGeom>
          <a:solidFill>
            <a:srgbClr val="FF9900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1.225</a:t>
            </a:r>
          </a:p>
        </xdr:txBody>
      </xdr:sp>
      <xdr:graphicFrame macro="">
        <xdr:nvGraphicFramePr>
          <xdr:cNvPr id="108" name="Chart 1613">
            <a:extLst>
              <a:ext uri="{FF2B5EF4-FFF2-40B4-BE49-F238E27FC236}">
                <a16:creationId xmlns:a16="http://schemas.microsoft.com/office/drawing/2014/main" id="{00000000-0008-0000-0E00-00006C000000}"/>
              </a:ext>
            </a:extLst>
          </xdr:cNvPr>
          <xdr:cNvGraphicFramePr/>
        </xdr:nvGraphicFramePr>
        <xdr:xfrm>
          <a:off x="1397000" y="9969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sp macro="" textlink="">
        <xdr:nvSpPr>
          <xdr:cNvPr id="109" name="17BlockCover">
            <a:extLst>
              <a:ext uri="{FF2B5EF4-FFF2-40B4-BE49-F238E27FC236}">
                <a16:creationId xmlns:a16="http://schemas.microsoft.com/office/drawing/2014/main" id="{00000000-0008-0000-0E00-00006D000000}"/>
              </a:ext>
            </a:extLst>
          </xdr:cNvPr>
          <xdr:cNvSpPr/>
        </xdr:nvSpPr>
        <xdr:spPr>
          <a:xfrm>
            <a:off x="889000" y="9715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215900</xdr:colOff>
      <xdr:row>58</xdr:row>
      <xdr:rowOff>0</xdr:rowOff>
    </xdr:from>
    <xdr:to>
      <xdr:col>4</xdr:col>
      <xdr:colOff>228600</xdr:colOff>
      <xdr:row>65</xdr:row>
      <xdr:rowOff>63500</xdr:rowOff>
    </xdr:to>
    <xdr:grpSp>
      <xdr:nvGrpSpPr>
        <xdr:cNvPr id="110" name="18BlockGroup">
          <a:extLst>
            <a:ext uri="{FF2B5EF4-FFF2-40B4-BE49-F238E27FC236}">
              <a16:creationId xmlns:a16="http://schemas.microsoft.com/office/drawing/2014/main" id="{00000000-0008-0000-0E00-00006E000000}"/>
            </a:ext>
          </a:extLst>
        </xdr:cNvPr>
        <xdr:cNvGrpSpPr/>
      </xdr:nvGrpSpPr>
      <xdr:grpSpPr>
        <a:xfrm>
          <a:off x="939800" y="13004800"/>
          <a:ext cx="2184400" cy="1619250"/>
          <a:chOff x="889000" y="11239500"/>
          <a:chExt cx="2032000" cy="1397000"/>
        </a:xfrm>
      </xdr:grpSpPr>
      <xdr:sp macro="" textlink="">
        <xdr:nvSpPr>
          <xdr:cNvPr id="111" name="18TITLE">
            <a:extLst>
              <a:ext uri="{FF2B5EF4-FFF2-40B4-BE49-F238E27FC236}">
                <a16:creationId xmlns:a16="http://schemas.microsoft.com/office/drawing/2014/main" id="{00000000-0008-0000-0E00-00006F000000}"/>
              </a:ext>
            </a:extLst>
          </xdr:cNvPr>
          <xdr:cNvSpPr txBox="1"/>
        </xdr:nvSpPr>
        <xdr:spPr>
          <a:xfrm>
            <a:off x="889000" y="11239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M</a:t>
            </a:r>
          </a:p>
          <a:p>
            <a:pPr algn="ctr"/>
            <a:r>
              <a:rPr lang="en-US" sz="500">
                <a:latin typeface="Arial"/>
              </a:rPr>
              <a:t>2.45 /</a:t>
            </a:r>
          </a:p>
          <a:p>
            <a:pPr algn="ctr"/>
            <a:r>
              <a:rPr lang="en-US" sz="500">
                <a:latin typeface="Arial"/>
              </a:rPr>
              <a:t>3.15</a:t>
            </a:r>
          </a:p>
        </xdr:txBody>
      </xdr:sp>
      <xdr:sp macro="" textlink="">
        <xdr:nvSpPr>
          <xdr:cNvPr id="112" name="18CP">
            <a:extLst>
              <a:ext uri="{FF2B5EF4-FFF2-40B4-BE49-F238E27FC236}">
                <a16:creationId xmlns:a16="http://schemas.microsoft.com/office/drawing/2014/main" id="{00000000-0008-0000-0E00-000070000000}"/>
              </a:ext>
            </a:extLst>
          </xdr:cNvPr>
          <xdr:cNvSpPr txBox="1"/>
        </xdr:nvSpPr>
        <xdr:spPr>
          <a:xfrm>
            <a:off x="1397000" y="11239500"/>
            <a:ext cx="762000" cy="254000"/>
          </a:xfrm>
          <a:prstGeom prst="rect">
            <a:avLst/>
          </a:prstGeom>
          <a:solidFill>
            <a:srgbClr val="FF9900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1.054</a:t>
            </a:r>
          </a:p>
        </xdr:txBody>
      </xdr:sp>
      <xdr:sp macro="" textlink="">
        <xdr:nvSpPr>
          <xdr:cNvPr id="113" name="18CPK">
            <a:extLst>
              <a:ext uri="{FF2B5EF4-FFF2-40B4-BE49-F238E27FC236}">
                <a16:creationId xmlns:a16="http://schemas.microsoft.com/office/drawing/2014/main" id="{00000000-0008-0000-0E00-000071000000}"/>
              </a:ext>
            </a:extLst>
          </xdr:cNvPr>
          <xdr:cNvSpPr txBox="1"/>
        </xdr:nvSpPr>
        <xdr:spPr>
          <a:xfrm>
            <a:off x="2159000" y="11239500"/>
            <a:ext cx="762000" cy="254000"/>
          </a:xfrm>
          <a:prstGeom prst="rect">
            <a:avLst/>
          </a:prstGeom>
          <a:solidFill>
            <a:srgbClr val="FF9900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1.052</a:t>
            </a:r>
          </a:p>
        </xdr:txBody>
      </xdr:sp>
      <xdr:graphicFrame macro="">
        <xdr:nvGraphicFramePr>
          <xdr:cNvPr id="114" name="Chart 1620">
            <a:extLst>
              <a:ext uri="{FF2B5EF4-FFF2-40B4-BE49-F238E27FC236}">
                <a16:creationId xmlns:a16="http://schemas.microsoft.com/office/drawing/2014/main" id="{00000000-0008-0000-0E00-000072000000}"/>
              </a:ext>
            </a:extLst>
          </xdr:cNvPr>
          <xdr:cNvGraphicFramePr/>
        </xdr:nvGraphicFramePr>
        <xdr:xfrm>
          <a:off x="1397000" y="11493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sp macro="" textlink="">
        <xdr:nvSpPr>
          <xdr:cNvPr id="115" name="18BlockCover">
            <a:extLst>
              <a:ext uri="{FF2B5EF4-FFF2-40B4-BE49-F238E27FC236}">
                <a16:creationId xmlns:a16="http://schemas.microsoft.com/office/drawing/2014/main" id="{00000000-0008-0000-0E00-000073000000}"/>
              </a:ext>
            </a:extLst>
          </xdr:cNvPr>
          <xdr:cNvSpPr/>
        </xdr:nvSpPr>
        <xdr:spPr>
          <a:xfrm>
            <a:off x="889000" y="11239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215900</xdr:colOff>
      <xdr:row>66</xdr:row>
      <xdr:rowOff>0</xdr:rowOff>
    </xdr:from>
    <xdr:to>
      <xdr:col>4</xdr:col>
      <xdr:colOff>228600</xdr:colOff>
      <xdr:row>73</xdr:row>
      <xdr:rowOff>63500</xdr:rowOff>
    </xdr:to>
    <xdr:grpSp>
      <xdr:nvGrpSpPr>
        <xdr:cNvPr id="116" name="19BlockGroup">
          <a:extLst>
            <a:ext uri="{FF2B5EF4-FFF2-40B4-BE49-F238E27FC236}">
              <a16:creationId xmlns:a16="http://schemas.microsoft.com/office/drawing/2014/main" id="{00000000-0008-0000-0E00-000074000000}"/>
            </a:ext>
          </a:extLst>
        </xdr:cNvPr>
        <xdr:cNvGrpSpPr/>
      </xdr:nvGrpSpPr>
      <xdr:grpSpPr>
        <a:xfrm>
          <a:off x="939800" y="14782800"/>
          <a:ext cx="2184400" cy="1619250"/>
          <a:chOff x="889000" y="12763500"/>
          <a:chExt cx="2032000" cy="1397000"/>
        </a:xfrm>
      </xdr:grpSpPr>
      <xdr:sp macro="" textlink="">
        <xdr:nvSpPr>
          <xdr:cNvPr id="117" name="19TITLE">
            <a:extLst>
              <a:ext uri="{FF2B5EF4-FFF2-40B4-BE49-F238E27FC236}">
                <a16:creationId xmlns:a16="http://schemas.microsoft.com/office/drawing/2014/main" id="{00000000-0008-0000-0E00-000075000000}"/>
              </a:ext>
            </a:extLst>
          </xdr:cNvPr>
          <xdr:cNvSpPr txBox="1"/>
        </xdr:nvSpPr>
        <xdr:spPr>
          <a:xfrm>
            <a:off x="889000" y="12763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N-1</a:t>
            </a:r>
          </a:p>
          <a:p>
            <a:pPr algn="ctr"/>
            <a:r>
              <a:rPr lang="en-US" sz="500">
                <a:latin typeface="Arial"/>
              </a:rPr>
              <a:t>Max 9.1</a:t>
            </a:r>
          </a:p>
        </xdr:txBody>
      </xdr:sp>
      <xdr:sp macro="" textlink="">
        <xdr:nvSpPr>
          <xdr:cNvPr id="118" name="19CP">
            <a:extLst>
              <a:ext uri="{FF2B5EF4-FFF2-40B4-BE49-F238E27FC236}">
                <a16:creationId xmlns:a16="http://schemas.microsoft.com/office/drawing/2014/main" id="{00000000-0008-0000-0E00-000076000000}"/>
              </a:ext>
            </a:extLst>
          </xdr:cNvPr>
          <xdr:cNvSpPr txBox="1"/>
        </xdr:nvSpPr>
        <xdr:spPr>
          <a:xfrm>
            <a:off x="1397000" y="12763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1.695</a:t>
            </a:r>
          </a:p>
        </xdr:txBody>
      </xdr:sp>
      <xdr:sp macro="" textlink="">
        <xdr:nvSpPr>
          <xdr:cNvPr id="119" name="19CPK">
            <a:extLst>
              <a:ext uri="{FF2B5EF4-FFF2-40B4-BE49-F238E27FC236}">
                <a16:creationId xmlns:a16="http://schemas.microsoft.com/office/drawing/2014/main" id="{00000000-0008-0000-0E00-000077000000}"/>
              </a:ext>
            </a:extLst>
          </xdr:cNvPr>
          <xdr:cNvSpPr txBox="1"/>
        </xdr:nvSpPr>
        <xdr:spPr>
          <a:xfrm>
            <a:off x="2159000" y="12763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1.695</a:t>
            </a:r>
          </a:p>
        </xdr:txBody>
      </xdr:sp>
      <xdr:graphicFrame macro="">
        <xdr:nvGraphicFramePr>
          <xdr:cNvPr id="120" name="Chart 1627">
            <a:extLst>
              <a:ext uri="{FF2B5EF4-FFF2-40B4-BE49-F238E27FC236}">
                <a16:creationId xmlns:a16="http://schemas.microsoft.com/office/drawing/2014/main" id="{00000000-0008-0000-0E00-000078000000}"/>
              </a:ext>
            </a:extLst>
          </xdr:cNvPr>
          <xdr:cNvGraphicFramePr/>
        </xdr:nvGraphicFramePr>
        <xdr:xfrm>
          <a:off x="1397000" y="13017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sp macro="" textlink="">
        <xdr:nvSpPr>
          <xdr:cNvPr id="121" name="19BlockCover">
            <a:extLst>
              <a:ext uri="{FF2B5EF4-FFF2-40B4-BE49-F238E27FC236}">
                <a16:creationId xmlns:a16="http://schemas.microsoft.com/office/drawing/2014/main" id="{00000000-0008-0000-0E00-000079000000}"/>
              </a:ext>
            </a:extLst>
          </xdr:cNvPr>
          <xdr:cNvSpPr/>
        </xdr:nvSpPr>
        <xdr:spPr>
          <a:xfrm>
            <a:off x="889000" y="12763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215900</xdr:colOff>
      <xdr:row>74</xdr:row>
      <xdr:rowOff>0</xdr:rowOff>
    </xdr:from>
    <xdr:to>
      <xdr:col>4</xdr:col>
      <xdr:colOff>228600</xdr:colOff>
      <xdr:row>81</xdr:row>
      <xdr:rowOff>63500</xdr:rowOff>
    </xdr:to>
    <xdr:grpSp>
      <xdr:nvGrpSpPr>
        <xdr:cNvPr id="122" name="20BlockGroup">
          <a:extLst>
            <a:ext uri="{FF2B5EF4-FFF2-40B4-BE49-F238E27FC236}">
              <a16:creationId xmlns:a16="http://schemas.microsoft.com/office/drawing/2014/main" id="{00000000-0008-0000-0E00-00007A000000}"/>
            </a:ext>
          </a:extLst>
        </xdr:cNvPr>
        <xdr:cNvGrpSpPr/>
      </xdr:nvGrpSpPr>
      <xdr:grpSpPr>
        <a:xfrm>
          <a:off x="939800" y="16560800"/>
          <a:ext cx="2184400" cy="1619250"/>
          <a:chOff x="889000" y="14287500"/>
          <a:chExt cx="2032000" cy="1397000"/>
        </a:xfrm>
      </xdr:grpSpPr>
      <xdr:sp macro="" textlink="">
        <xdr:nvSpPr>
          <xdr:cNvPr id="123" name="20TITLE">
            <a:extLst>
              <a:ext uri="{FF2B5EF4-FFF2-40B4-BE49-F238E27FC236}">
                <a16:creationId xmlns:a16="http://schemas.microsoft.com/office/drawing/2014/main" id="{00000000-0008-0000-0E00-00007B000000}"/>
              </a:ext>
            </a:extLst>
          </xdr:cNvPr>
          <xdr:cNvSpPr txBox="1"/>
        </xdr:nvSpPr>
        <xdr:spPr>
          <a:xfrm>
            <a:off x="889000" y="14287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N-2</a:t>
            </a:r>
          </a:p>
          <a:p>
            <a:pPr algn="ctr"/>
            <a:r>
              <a:rPr lang="en-US" sz="500">
                <a:latin typeface="Arial"/>
              </a:rPr>
              <a:t>Max 9.1</a:t>
            </a:r>
          </a:p>
        </xdr:txBody>
      </xdr:sp>
      <xdr:sp macro="" textlink="">
        <xdr:nvSpPr>
          <xdr:cNvPr id="124" name="20CP">
            <a:extLst>
              <a:ext uri="{FF2B5EF4-FFF2-40B4-BE49-F238E27FC236}">
                <a16:creationId xmlns:a16="http://schemas.microsoft.com/office/drawing/2014/main" id="{00000000-0008-0000-0E00-00007C000000}"/>
              </a:ext>
            </a:extLst>
          </xdr:cNvPr>
          <xdr:cNvSpPr txBox="1"/>
        </xdr:nvSpPr>
        <xdr:spPr>
          <a:xfrm>
            <a:off x="1397000" y="14287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1.661</a:t>
            </a:r>
          </a:p>
        </xdr:txBody>
      </xdr:sp>
      <xdr:sp macro="" textlink="">
        <xdr:nvSpPr>
          <xdr:cNvPr id="125" name="20CPK">
            <a:extLst>
              <a:ext uri="{FF2B5EF4-FFF2-40B4-BE49-F238E27FC236}">
                <a16:creationId xmlns:a16="http://schemas.microsoft.com/office/drawing/2014/main" id="{00000000-0008-0000-0E00-00007D000000}"/>
              </a:ext>
            </a:extLst>
          </xdr:cNvPr>
          <xdr:cNvSpPr txBox="1"/>
        </xdr:nvSpPr>
        <xdr:spPr>
          <a:xfrm>
            <a:off x="2159000" y="14287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1.661</a:t>
            </a:r>
          </a:p>
        </xdr:txBody>
      </xdr:sp>
      <xdr:graphicFrame macro="">
        <xdr:nvGraphicFramePr>
          <xdr:cNvPr id="126" name="Chart 1634">
            <a:extLst>
              <a:ext uri="{FF2B5EF4-FFF2-40B4-BE49-F238E27FC236}">
                <a16:creationId xmlns:a16="http://schemas.microsoft.com/office/drawing/2014/main" id="{00000000-0008-0000-0E00-00007E000000}"/>
              </a:ext>
            </a:extLst>
          </xdr:cNvPr>
          <xdr:cNvGraphicFramePr/>
        </xdr:nvGraphicFramePr>
        <xdr:xfrm>
          <a:off x="1397000" y="14541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  <xdr:sp macro="" textlink="">
        <xdr:nvSpPr>
          <xdr:cNvPr id="127" name="20BlockCover">
            <a:extLst>
              <a:ext uri="{FF2B5EF4-FFF2-40B4-BE49-F238E27FC236}">
                <a16:creationId xmlns:a16="http://schemas.microsoft.com/office/drawing/2014/main" id="{00000000-0008-0000-0E00-00007F000000}"/>
              </a:ext>
            </a:extLst>
          </xdr:cNvPr>
          <xdr:cNvSpPr/>
        </xdr:nvSpPr>
        <xdr:spPr>
          <a:xfrm>
            <a:off x="889000" y="14287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63500</xdr:colOff>
      <xdr:row>2</xdr:row>
      <xdr:rowOff>63500</xdr:rowOff>
    </xdr:from>
    <xdr:to>
      <xdr:col>8</xdr:col>
      <xdr:colOff>76200</xdr:colOff>
      <xdr:row>9</xdr:row>
      <xdr:rowOff>63500</xdr:rowOff>
    </xdr:to>
    <xdr:grpSp>
      <xdr:nvGrpSpPr>
        <xdr:cNvPr id="128" name="21BlockGroup">
          <a:extLst>
            <a:ext uri="{FF2B5EF4-FFF2-40B4-BE49-F238E27FC236}">
              <a16:creationId xmlns:a16="http://schemas.microsoft.com/office/drawing/2014/main" id="{00000000-0008-0000-0E00-000080000000}"/>
            </a:ext>
          </a:extLst>
        </xdr:cNvPr>
        <xdr:cNvGrpSpPr/>
      </xdr:nvGrpSpPr>
      <xdr:grpSpPr>
        <a:xfrm>
          <a:off x="3683000" y="584200"/>
          <a:ext cx="2184400" cy="1593850"/>
          <a:chOff x="3429000" y="571500"/>
          <a:chExt cx="2032000" cy="1397000"/>
        </a:xfrm>
      </xdr:grpSpPr>
      <xdr:sp macro="" textlink="">
        <xdr:nvSpPr>
          <xdr:cNvPr id="129" name="21TITLE">
            <a:extLst>
              <a:ext uri="{FF2B5EF4-FFF2-40B4-BE49-F238E27FC236}">
                <a16:creationId xmlns:a16="http://schemas.microsoft.com/office/drawing/2014/main" id="{00000000-0008-0000-0E00-000081000000}"/>
              </a:ext>
            </a:extLst>
          </xdr:cNvPr>
          <xdr:cNvSpPr txBox="1"/>
        </xdr:nvSpPr>
        <xdr:spPr>
          <a:xfrm>
            <a:off x="3429000" y="571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N-3</a:t>
            </a:r>
          </a:p>
          <a:p>
            <a:pPr algn="ctr"/>
            <a:r>
              <a:rPr lang="en-US" sz="500">
                <a:latin typeface="Arial"/>
              </a:rPr>
              <a:t>Max 9.1</a:t>
            </a:r>
          </a:p>
        </xdr:txBody>
      </xdr:sp>
      <xdr:sp macro="" textlink="">
        <xdr:nvSpPr>
          <xdr:cNvPr id="130" name="21CP">
            <a:extLst>
              <a:ext uri="{FF2B5EF4-FFF2-40B4-BE49-F238E27FC236}">
                <a16:creationId xmlns:a16="http://schemas.microsoft.com/office/drawing/2014/main" id="{00000000-0008-0000-0E00-000082000000}"/>
              </a:ext>
            </a:extLst>
          </xdr:cNvPr>
          <xdr:cNvSpPr txBox="1"/>
        </xdr:nvSpPr>
        <xdr:spPr>
          <a:xfrm>
            <a:off x="3937000" y="571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1.606</a:t>
            </a:r>
          </a:p>
        </xdr:txBody>
      </xdr:sp>
      <xdr:sp macro="" textlink="">
        <xdr:nvSpPr>
          <xdr:cNvPr id="131" name="21CPK">
            <a:extLst>
              <a:ext uri="{FF2B5EF4-FFF2-40B4-BE49-F238E27FC236}">
                <a16:creationId xmlns:a16="http://schemas.microsoft.com/office/drawing/2014/main" id="{00000000-0008-0000-0E00-000083000000}"/>
              </a:ext>
            </a:extLst>
          </xdr:cNvPr>
          <xdr:cNvSpPr txBox="1"/>
        </xdr:nvSpPr>
        <xdr:spPr>
          <a:xfrm>
            <a:off x="4699000" y="571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1.606</a:t>
            </a:r>
          </a:p>
        </xdr:txBody>
      </xdr:sp>
      <xdr:graphicFrame macro="">
        <xdr:nvGraphicFramePr>
          <xdr:cNvPr id="132" name="Chart 1641">
            <a:extLst>
              <a:ext uri="{FF2B5EF4-FFF2-40B4-BE49-F238E27FC236}">
                <a16:creationId xmlns:a16="http://schemas.microsoft.com/office/drawing/2014/main" id="{00000000-0008-0000-0E00-000084000000}"/>
              </a:ext>
            </a:extLst>
          </xdr:cNvPr>
          <xdr:cNvGraphicFramePr/>
        </xdr:nvGraphicFramePr>
        <xdr:xfrm>
          <a:off x="3937000" y="825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sp macro="" textlink="">
        <xdr:nvSpPr>
          <xdr:cNvPr id="133" name="21BlockCover">
            <a:extLst>
              <a:ext uri="{FF2B5EF4-FFF2-40B4-BE49-F238E27FC236}">
                <a16:creationId xmlns:a16="http://schemas.microsoft.com/office/drawing/2014/main" id="{00000000-0008-0000-0E00-000085000000}"/>
              </a:ext>
            </a:extLst>
          </xdr:cNvPr>
          <xdr:cNvSpPr/>
        </xdr:nvSpPr>
        <xdr:spPr>
          <a:xfrm>
            <a:off x="3429000" y="571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63500</xdr:colOff>
      <xdr:row>10</xdr:row>
      <xdr:rowOff>0</xdr:rowOff>
    </xdr:from>
    <xdr:to>
      <xdr:col>8</xdr:col>
      <xdr:colOff>76200</xdr:colOff>
      <xdr:row>17</xdr:row>
      <xdr:rowOff>63500</xdr:rowOff>
    </xdr:to>
    <xdr:grpSp>
      <xdr:nvGrpSpPr>
        <xdr:cNvPr id="134" name="22BlockGroup">
          <a:extLst>
            <a:ext uri="{FF2B5EF4-FFF2-40B4-BE49-F238E27FC236}">
              <a16:creationId xmlns:a16="http://schemas.microsoft.com/office/drawing/2014/main" id="{00000000-0008-0000-0E00-000086000000}"/>
            </a:ext>
          </a:extLst>
        </xdr:cNvPr>
        <xdr:cNvGrpSpPr/>
      </xdr:nvGrpSpPr>
      <xdr:grpSpPr>
        <a:xfrm>
          <a:off x="3683000" y="2336800"/>
          <a:ext cx="2184400" cy="1619250"/>
          <a:chOff x="3429000" y="2095500"/>
          <a:chExt cx="2032000" cy="1397000"/>
        </a:xfrm>
      </xdr:grpSpPr>
      <xdr:sp macro="" textlink="">
        <xdr:nvSpPr>
          <xdr:cNvPr id="135" name="22TITLE">
            <a:extLst>
              <a:ext uri="{FF2B5EF4-FFF2-40B4-BE49-F238E27FC236}">
                <a16:creationId xmlns:a16="http://schemas.microsoft.com/office/drawing/2014/main" id="{00000000-0008-0000-0E00-000087000000}"/>
              </a:ext>
            </a:extLst>
          </xdr:cNvPr>
          <xdr:cNvSpPr txBox="1"/>
        </xdr:nvSpPr>
        <xdr:spPr>
          <a:xfrm>
            <a:off x="3429000" y="2095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N-4</a:t>
            </a:r>
          </a:p>
          <a:p>
            <a:pPr algn="ctr"/>
            <a:r>
              <a:rPr lang="en-US" sz="500">
                <a:latin typeface="Arial"/>
              </a:rPr>
              <a:t>Max 9.1</a:t>
            </a:r>
          </a:p>
        </xdr:txBody>
      </xdr:sp>
      <xdr:sp macro="" textlink="">
        <xdr:nvSpPr>
          <xdr:cNvPr id="136" name="22CP">
            <a:extLst>
              <a:ext uri="{FF2B5EF4-FFF2-40B4-BE49-F238E27FC236}">
                <a16:creationId xmlns:a16="http://schemas.microsoft.com/office/drawing/2014/main" id="{00000000-0008-0000-0E00-000088000000}"/>
              </a:ext>
            </a:extLst>
          </xdr:cNvPr>
          <xdr:cNvSpPr txBox="1"/>
        </xdr:nvSpPr>
        <xdr:spPr>
          <a:xfrm>
            <a:off x="3937000" y="2095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1.61</a:t>
            </a:r>
          </a:p>
        </xdr:txBody>
      </xdr:sp>
      <xdr:sp macro="" textlink="">
        <xdr:nvSpPr>
          <xdr:cNvPr id="137" name="22CPK">
            <a:extLst>
              <a:ext uri="{FF2B5EF4-FFF2-40B4-BE49-F238E27FC236}">
                <a16:creationId xmlns:a16="http://schemas.microsoft.com/office/drawing/2014/main" id="{00000000-0008-0000-0E00-000089000000}"/>
              </a:ext>
            </a:extLst>
          </xdr:cNvPr>
          <xdr:cNvSpPr txBox="1"/>
        </xdr:nvSpPr>
        <xdr:spPr>
          <a:xfrm>
            <a:off x="4699000" y="2095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1.61</a:t>
            </a:r>
          </a:p>
        </xdr:txBody>
      </xdr:sp>
      <xdr:graphicFrame macro="">
        <xdr:nvGraphicFramePr>
          <xdr:cNvPr id="138" name="Chart 1648">
            <a:extLst>
              <a:ext uri="{FF2B5EF4-FFF2-40B4-BE49-F238E27FC236}">
                <a16:creationId xmlns:a16="http://schemas.microsoft.com/office/drawing/2014/main" id="{00000000-0008-0000-0E00-00008A000000}"/>
              </a:ext>
            </a:extLst>
          </xdr:cNvPr>
          <xdr:cNvGraphicFramePr/>
        </xdr:nvGraphicFramePr>
        <xdr:xfrm>
          <a:off x="3937000" y="2349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  <xdr:sp macro="" textlink="">
        <xdr:nvSpPr>
          <xdr:cNvPr id="139" name="22BlockCover">
            <a:extLst>
              <a:ext uri="{FF2B5EF4-FFF2-40B4-BE49-F238E27FC236}">
                <a16:creationId xmlns:a16="http://schemas.microsoft.com/office/drawing/2014/main" id="{00000000-0008-0000-0E00-00008B000000}"/>
              </a:ext>
            </a:extLst>
          </xdr:cNvPr>
          <xdr:cNvSpPr/>
        </xdr:nvSpPr>
        <xdr:spPr>
          <a:xfrm>
            <a:off x="3429000" y="2095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63500</xdr:colOff>
      <xdr:row>18</xdr:row>
      <xdr:rowOff>0</xdr:rowOff>
    </xdr:from>
    <xdr:to>
      <xdr:col>8</xdr:col>
      <xdr:colOff>76200</xdr:colOff>
      <xdr:row>25</xdr:row>
      <xdr:rowOff>63500</xdr:rowOff>
    </xdr:to>
    <xdr:grpSp>
      <xdr:nvGrpSpPr>
        <xdr:cNvPr id="140" name="23BlockGroup">
          <a:extLst>
            <a:ext uri="{FF2B5EF4-FFF2-40B4-BE49-F238E27FC236}">
              <a16:creationId xmlns:a16="http://schemas.microsoft.com/office/drawing/2014/main" id="{00000000-0008-0000-0E00-00008C000000}"/>
            </a:ext>
          </a:extLst>
        </xdr:cNvPr>
        <xdr:cNvGrpSpPr/>
      </xdr:nvGrpSpPr>
      <xdr:grpSpPr>
        <a:xfrm>
          <a:off x="3683000" y="4114800"/>
          <a:ext cx="2184400" cy="1619250"/>
          <a:chOff x="3429000" y="3619500"/>
          <a:chExt cx="2032000" cy="1397000"/>
        </a:xfrm>
      </xdr:grpSpPr>
      <xdr:sp macro="" textlink="">
        <xdr:nvSpPr>
          <xdr:cNvPr id="141" name="23TITLE">
            <a:extLst>
              <a:ext uri="{FF2B5EF4-FFF2-40B4-BE49-F238E27FC236}">
                <a16:creationId xmlns:a16="http://schemas.microsoft.com/office/drawing/2014/main" id="{00000000-0008-0000-0E00-00008D000000}"/>
              </a:ext>
            </a:extLst>
          </xdr:cNvPr>
          <xdr:cNvSpPr txBox="1"/>
        </xdr:nvSpPr>
        <xdr:spPr>
          <a:xfrm>
            <a:off x="3429000" y="3619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N-5</a:t>
            </a:r>
          </a:p>
          <a:p>
            <a:pPr algn="ctr"/>
            <a:r>
              <a:rPr lang="en-US" sz="500">
                <a:latin typeface="Arial"/>
              </a:rPr>
              <a:t>Max 9.1</a:t>
            </a:r>
          </a:p>
        </xdr:txBody>
      </xdr:sp>
      <xdr:sp macro="" textlink="">
        <xdr:nvSpPr>
          <xdr:cNvPr id="142" name="23CP">
            <a:extLst>
              <a:ext uri="{FF2B5EF4-FFF2-40B4-BE49-F238E27FC236}">
                <a16:creationId xmlns:a16="http://schemas.microsoft.com/office/drawing/2014/main" id="{00000000-0008-0000-0E00-00008E000000}"/>
              </a:ext>
            </a:extLst>
          </xdr:cNvPr>
          <xdr:cNvSpPr txBox="1"/>
        </xdr:nvSpPr>
        <xdr:spPr>
          <a:xfrm>
            <a:off x="3937000" y="3619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1.582</a:t>
            </a:r>
          </a:p>
        </xdr:txBody>
      </xdr:sp>
      <xdr:sp macro="" textlink="">
        <xdr:nvSpPr>
          <xdr:cNvPr id="143" name="23CPK">
            <a:extLst>
              <a:ext uri="{FF2B5EF4-FFF2-40B4-BE49-F238E27FC236}">
                <a16:creationId xmlns:a16="http://schemas.microsoft.com/office/drawing/2014/main" id="{00000000-0008-0000-0E00-00008F000000}"/>
              </a:ext>
            </a:extLst>
          </xdr:cNvPr>
          <xdr:cNvSpPr txBox="1"/>
        </xdr:nvSpPr>
        <xdr:spPr>
          <a:xfrm>
            <a:off x="4699000" y="3619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1.582</a:t>
            </a:r>
          </a:p>
        </xdr:txBody>
      </xdr:sp>
      <xdr:graphicFrame macro="">
        <xdr:nvGraphicFramePr>
          <xdr:cNvPr id="144" name="Chart 1655">
            <a:extLst>
              <a:ext uri="{FF2B5EF4-FFF2-40B4-BE49-F238E27FC236}">
                <a16:creationId xmlns:a16="http://schemas.microsoft.com/office/drawing/2014/main" id="{00000000-0008-0000-0E00-000090000000}"/>
              </a:ext>
            </a:extLst>
          </xdr:cNvPr>
          <xdr:cNvGraphicFramePr/>
        </xdr:nvGraphicFramePr>
        <xdr:xfrm>
          <a:off x="3937000" y="3873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3"/>
          </a:graphicData>
        </a:graphic>
      </xdr:graphicFrame>
      <xdr:sp macro="" textlink="">
        <xdr:nvSpPr>
          <xdr:cNvPr id="145" name="23BlockCover">
            <a:extLst>
              <a:ext uri="{FF2B5EF4-FFF2-40B4-BE49-F238E27FC236}">
                <a16:creationId xmlns:a16="http://schemas.microsoft.com/office/drawing/2014/main" id="{00000000-0008-0000-0E00-000091000000}"/>
              </a:ext>
            </a:extLst>
          </xdr:cNvPr>
          <xdr:cNvSpPr/>
        </xdr:nvSpPr>
        <xdr:spPr>
          <a:xfrm>
            <a:off x="3429000" y="3619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63500</xdr:colOff>
      <xdr:row>26</xdr:row>
      <xdr:rowOff>0</xdr:rowOff>
    </xdr:from>
    <xdr:to>
      <xdr:col>8</xdr:col>
      <xdr:colOff>76200</xdr:colOff>
      <xdr:row>33</xdr:row>
      <xdr:rowOff>63500</xdr:rowOff>
    </xdr:to>
    <xdr:grpSp>
      <xdr:nvGrpSpPr>
        <xdr:cNvPr id="146" name="24BlockGroup">
          <a:extLst>
            <a:ext uri="{FF2B5EF4-FFF2-40B4-BE49-F238E27FC236}">
              <a16:creationId xmlns:a16="http://schemas.microsoft.com/office/drawing/2014/main" id="{00000000-0008-0000-0E00-000092000000}"/>
            </a:ext>
          </a:extLst>
        </xdr:cNvPr>
        <xdr:cNvGrpSpPr/>
      </xdr:nvGrpSpPr>
      <xdr:grpSpPr>
        <a:xfrm>
          <a:off x="3683000" y="5892800"/>
          <a:ext cx="2184400" cy="1619250"/>
          <a:chOff x="3429000" y="5143500"/>
          <a:chExt cx="2032000" cy="1397000"/>
        </a:xfrm>
      </xdr:grpSpPr>
      <xdr:sp macro="" textlink="">
        <xdr:nvSpPr>
          <xdr:cNvPr id="147" name="24TITLE">
            <a:extLst>
              <a:ext uri="{FF2B5EF4-FFF2-40B4-BE49-F238E27FC236}">
                <a16:creationId xmlns:a16="http://schemas.microsoft.com/office/drawing/2014/main" id="{00000000-0008-0000-0E00-000093000000}"/>
              </a:ext>
            </a:extLst>
          </xdr:cNvPr>
          <xdr:cNvSpPr txBox="1"/>
        </xdr:nvSpPr>
        <xdr:spPr>
          <a:xfrm>
            <a:off x="3429000" y="5143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O-1</a:t>
            </a:r>
          </a:p>
          <a:p>
            <a:pPr algn="ctr"/>
            <a:r>
              <a:rPr lang="en-US" sz="500">
                <a:latin typeface="Arial"/>
              </a:rPr>
              <a:t>Max 9.25</a:t>
            </a:r>
          </a:p>
        </xdr:txBody>
      </xdr:sp>
      <xdr:sp macro="" textlink="">
        <xdr:nvSpPr>
          <xdr:cNvPr id="148" name="24CP">
            <a:extLst>
              <a:ext uri="{FF2B5EF4-FFF2-40B4-BE49-F238E27FC236}">
                <a16:creationId xmlns:a16="http://schemas.microsoft.com/office/drawing/2014/main" id="{00000000-0008-0000-0E00-000094000000}"/>
              </a:ext>
            </a:extLst>
          </xdr:cNvPr>
          <xdr:cNvSpPr txBox="1"/>
        </xdr:nvSpPr>
        <xdr:spPr>
          <a:xfrm>
            <a:off x="3937000" y="5143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3.72</a:t>
            </a:r>
          </a:p>
        </xdr:txBody>
      </xdr:sp>
      <xdr:sp macro="" textlink="">
        <xdr:nvSpPr>
          <xdr:cNvPr id="149" name="24CPK">
            <a:extLst>
              <a:ext uri="{FF2B5EF4-FFF2-40B4-BE49-F238E27FC236}">
                <a16:creationId xmlns:a16="http://schemas.microsoft.com/office/drawing/2014/main" id="{00000000-0008-0000-0E00-000095000000}"/>
              </a:ext>
            </a:extLst>
          </xdr:cNvPr>
          <xdr:cNvSpPr txBox="1"/>
        </xdr:nvSpPr>
        <xdr:spPr>
          <a:xfrm>
            <a:off x="4699000" y="5143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3.72</a:t>
            </a:r>
          </a:p>
        </xdr:txBody>
      </xdr:sp>
      <xdr:graphicFrame macro="">
        <xdr:nvGraphicFramePr>
          <xdr:cNvPr id="150" name="Chart 1662">
            <a:extLst>
              <a:ext uri="{FF2B5EF4-FFF2-40B4-BE49-F238E27FC236}">
                <a16:creationId xmlns:a16="http://schemas.microsoft.com/office/drawing/2014/main" id="{00000000-0008-0000-0E00-000096000000}"/>
              </a:ext>
            </a:extLst>
          </xdr:cNvPr>
          <xdr:cNvGraphicFramePr/>
        </xdr:nvGraphicFramePr>
        <xdr:xfrm>
          <a:off x="3937000" y="5397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4"/>
          </a:graphicData>
        </a:graphic>
      </xdr:graphicFrame>
      <xdr:sp macro="" textlink="">
        <xdr:nvSpPr>
          <xdr:cNvPr id="151" name="24BlockCover">
            <a:extLst>
              <a:ext uri="{FF2B5EF4-FFF2-40B4-BE49-F238E27FC236}">
                <a16:creationId xmlns:a16="http://schemas.microsoft.com/office/drawing/2014/main" id="{00000000-0008-0000-0E00-000097000000}"/>
              </a:ext>
            </a:extLst>
          </xdr:cNvPr>
          <xdr:cNvSpPr/>
        </xdr:nvSpPr>
        <xdr:spPr>
          <a:xfrm>
            <a:off x="3429000" y="5143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63500</xdr:colOff>
      <xdr:row>34</xdr:row>
      <xdr:rowOff>0</xdr:rowOff>
    </xdr:from>
    <xdr:to>
      <xdr:col>8</xdr:col>
      <xdr:colOff>76200</xdr:colOff>
      <xdr:row>41</xdr:row>
      <xdr:rowOff>63500</xdr:rowOff>
    </xdr:to>
    <xdr:grpSp>
      <xdr:nvGrpSpPr>
        <xdr:cNvPr id="152" name="25BlockGroup">
          <a:extLst>
            <a:ext uri="{FF2B5EF4-FFF2-40B4-BE49-F238E27FC236}">
              <a16:creationId xmlns:a16="http://schemas.microsoft.com/office/drawing/2014/main" id="{00000000-0008-0000-0E00-000098000000}"/>
            </a:ext>
          </a:extLst>
        </xdr:cNvPr>
        <xdr:cNvGrpSpPr/>
      </xdr:nvGrpSpPr>
      <xdr:grpSpPr>
        <a:xfrm>
          <a:off x="3683000" y="7670800"/>
          <a:ext cx="2184400" cy="1619250"/>
          <a:chOff x="3429000" y="6667500"/>
          <a:chExt cx="2032000" cy="1397000"/>
        </a:xfrm>
      </xdr:grpSpPr>
      <xdr:sp macro="" textlink="">
        <xdr:nvSpPr>
          <xdr:cNvPr id="153" name="25TITLE">
            <a:extLst>
              <a:ext uri="{FF2B5EF4-FFF2-40B4-BE49-F238E27FC236}">
                <a16:creationId xmlns:a16="http://schemas.microsoft.com/office/drawing/2014/main" id="{00000000-0008-0000-0E00-000099000000}"/>
              </a:ext>
            </a:extLst>
          </xdr:cNvPr>
          <xdr:cNvSpPr txBox="1"/>
        </xdr:nvSpPr>
        <xdr:spPr>
          <a:xfrm>
            <a:off x="3429000" y="6667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O-2</a:t>
            </a:r>
          </a:p>
          <a:p>
            <a:pPr algn="ctr"/>
            <a:r>
              <a:rPr lang="en-US" sz="500">
                <a:latin typeface="Arial"/>
              </a:rPr>
              <a:t>Max 9.25</a:t>
            </a:r>
          </a:p>
        </xdr:txBody>
      </xdr:sp>
      <xdr:sp macro="" textlink="">
        <xdr:nvSpPr>
          <xdr:cNvPr id="154" name="25CP">
            <a:extLst>
              <a:ext uri="{FF2B5EF4-FFF2-40B4-BE49-F238E27FC236}">
                <a16:creationId xmlns:a16="http://schemas.microsoft.com/office/drawing/2014/main" id="{00000000-0008-0000-0E00-00009A000000}"/>
              </a:ext>
            </a:extLst>
          </xdr:cNvPr>
          <xdr:cNvSpPr txBox="1"/>
        </xdr:nvSpPr>
        <xdr:spPr>
          <a:xfrm>
            <a:off x="3937000" y="6667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3.437</a:t>
            </a:r>
          </a:p>
        </xdr:txBody>
      </xdr:sp>
      <xdr:sp macro="" textlink="">
        <xdr:nvSpPr>
          <xdr:cNvPr id="155" name="25CPK">
            <a:extLst>
              <a:ext uri="{FF2B5EF4-FFF2-40B4-BE49-F238E27FC236}">
                <a16:creationId xmlns:a16="http://schemas.microsoft.com/office/drawing/2014/main" id="{00000000-0008-0000-0E00-00009B000000}"/>
              </a:ext>
            </a:extLst>
          </xdr:cNvPr>
          <xdr:cNvSpPr txBox="1"/>
        </xdr:nvSpPr>
        <xdr:spPr>
          <a:xfrm>
            <a:off x="4699000" y="6667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3.437</a:t>
            </a:r>
          </a:p>
        </xdr:txBody>
      </xdr:sp>
      <xdr:graphicFrame macro="">
        <xdr:nvGraphicFramePr>
          <xdr:cNvPr id="156" name="Chart 1669">
            <a:extLst>
              <a:ext uri="{FF2B5EF4-FFF2-40B4-BE49-F238E27FC236}">
                <a16:creationId xmlns:a16="http://schemas.microsoft.com/office/drawing/2014/main" id="{00000000-0008-0000-0E00-00009C000000}"/>
              </a:ext>
            </a:extLst>
          </xdr:cNvPr>
          <xdr:cNvGraphicFramePr/>
        </xdr:nvGraphicFramePr>
        <xdr:xfrm>
          <a:off x="3937000" y="6921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5"/>
          </a:graphicData>
        </a:graphic>
      </xdr:graphicFrame>
      <xdr:sp macro="" textlink="">
        <xdr:nvSpPr>
          <xdr:cNvPr id="157" name="25BlockCover">
            <a:extLst>
              <a:ext uri="{FF2B5EF4-FFF2-40B4-BE49-F238E27FC236}">
                <a16:creationId xmlns:a16="http://schemas.microsoft.com/office/drawing/2014/main" id="{00000000-0008-0000-0E00-00009D000000}"/>
              </a:ext>
            </a:extLst>
          </xdr:cNvPr>
          <xdr:cNvSpPr/>
        </xdr:nvSpPr>
        <xdr:spPr>
          <a:xfrm>
            <a:off x="3429000" y="6667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63500</xdr:colOff>
      <xdr:row>42</xdr:row>
      <xdr:rowOff>0</xdr:rowOff>
    </xdr:from>
    <xdr:to>
      <xdr:col>8</xdr:col>
      <xdr:colOff>76200</xdr:colOff>
      <xdr:row>49</xdr:row>
      <xdr:rowOff>63500</xdr:rowOff>
    </xdr:to>
    <xdr:grpSp>
      <xdr:nvGrpSpPr>
        <xdr:cNvPr id="158" name="26BlockGroup">
          <a:extLst>
            <a:ext uri="{FF2B5EF4-FFF2-40B4-BE49-F238E27FC236}">
              <a16:creationId xmlns:a16="http://schemas.microsoft.com/office/drawing/2014/main" id="{00000000-0008-0000-0E00-00009E000000}"/>
            </a:ext>
          </a:extLst>
        </xdr:cNvPr>
        <xdr:cNvGrpSpPr/>
      </xdr:nvGrpSpPr>
      <xdr:grpSpPr>
        <a:xfrm>
          <a:off x="3683000" y="9448800"/>
          <a:ext cx="2184400" cy="1619250"/>
          <a:chOff x="3429000" y="8191500"/>
          <a:chExt cx="2032000" cy="1397000"/>
        </a:xfrm>
      </xdr:grpSpPr>
      <xdr:sp macro="" textlink="">
        <xdr:nvSpPr>
          <xdr:cNvPr id="159" name="26TITLE">
            <a:extLst>
              <a:ext uri="{FF2B5EF4-FFF2-40B4-BE49-F238E27FC236}">
                <a16:creationId xmlns:a16="http://schemas.microsoft.com/office/drawing/2014/main" id="{00000000-0008-0000-0E00-00009F000000}"/>
              </a:ext>
            </a:extLst>
          </xdr:cNvPr>
          <xdr:cNvSpPr txBox="1"/>
        </xdr:nvSpPr>
        <xdr:spPr>
          <a:xfrm>
            <a:off x="3429000" y="8191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O-3</a:t>
            </a:r>
          </a:p>
          <a:p>
            <a:pPr algn="ctr"/>
            <a:r>
              <a:rPr lang="en-US" sz="500">
                <a:latin typeface="Arial"/>
              </a:rPr>
              <a:t>Max 9.25</a:t>
            </a:r>
          </a:p>
        </xdr:txBody>
      </xdr:sp>
      <xdr:sp macro="" textlink="">
        <xdr:nvSpPr>
          <xdr:cNvPr id="160" name="26CP">
            <a:extLst>
              <a:ext uri="{FF2B5EF4-FFF2-40B4-BE49-F238E27FC236}">
                <a16:creationId xmlns:a16="http://schemas.microsoft.com/office/drawing/2014/main" id="{00000000-0008-0000-0E00-0000A0000000}"/>
              </a:ext>
            </a:extLst>
          </xdr:cNvPr>
          <xdr:cNvSpPr txBox="1"/>
        </xdr:nvSpPr>
        <xdr:spPr>
          <a:xfrm>
            <a:off x="3937000" y="8191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3.58</a:t>
            </a:r>
          </a:p>
        </xdr:txBody>
      </xdr:sp>
      <xdr:sp macro="" textlink="">
        <xdr:nvSpPr>
          <xdr:cNvPr id="161" name="26CPK">
            <a:extLst>
              <a:ext uri="{FF2B5EF4-FFF2-40B4-BE49-F238E27FC236}">
                <a16:creationId xmlns:a16="http://schemas.microsoft.com/office/drawing/2014/main" id="{00000000-0008-0000-0E00-0000A1000000}"/>
              </a:ext>
            </a:extLst>
          </xdr:cNvPr>
          <xdr:cNvSpPr txBox="1"/>
        </xdr:nvSpPr>
        <xdr:spPr>
          <a:xfrm>
            <a:off x="4699000" y="8191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3.58</a:t>
            </a:r>
          </a:p>
        </xdr:txBody>
      </xdr:sp>
      <xdr:graphicFrame macro="">
        <xdr:nvGraphicFramePr>
          <xdr:cNvPr id="162" name="Chart 1676">
            <a:extLst>
              <a:ext uri="{FF2B5EF4-FFF2-40B4-BE49-F238E27FC236}">
                <a16:creationId xmlns:a16="http://schemas.microsoft.com/office/drawing/2014/main" id="{00000000-0008-0000-0E00-0000A2000000}"/>
              </a:ext>
            </a:extLst>
          </xdr:cNvPr>
          <xdr:cNvGraphicFramePr/>
        </xdr:nvGraphicFramePr>
        <xdr:xfrm>
          <a:off x="3937000" y="8445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6"/>
          </a:graphicData>
        </a:graphic>
      </xdr:graphicFrame>
      <xdr:sp macro="" textlink="">
        <xdr:nvSpPr>
          <xdr:cNvPr id="163" name="26BlockCover">
            <a:extLst>
              <a:ext uri="{FF2B5EF4-FFF2-40B4-BE49-F238E27FC236}">
                <a16:creationId xmlns:a16="http://schemas.microsoft.com/office/drawing/2014/main" id="{00000000-0008-0000-0E00-0000A3000000}"/>
              </a:ext>
            </a:extLst>
          </xdr:cNvPr>
          <xdr:cNvSpPr/>
        </xdr:nvSpPr>
        <xdr:spPr>
          <a:xfrm>
            <a:off x="3429000" y="8191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63500</xdr:colOff>
      <xdr:row>50</xdr:row>
      <xdr:rowOff>0</xdr:rowOff>
    </xdr:from>
    <xdr:to>
      <xdr:col>8</xdr:col>
      <xdr:colOff>76200</xdr:colOff>
      <xdr:row>57</xdr:row>
      <xdr:rowOff>63500</xdr:rowOff>
    </xdr:to>
    <xdr:grpSp>
      <xdr:nvGrpSpPr>
        <xdr:cNvPr id="164" name="27BlockGroup">
          <a:extLst>
            <a:ext uri="{FF2B5EF4-FFF2-40B4-BE49-F238E27FC236}">
              <a16:creationId xmlns:a16="http://schemas.microsoft.com/office/drawing/2014/main" id="{00000000-0008-0000-0E00-0000A4000000}"/>
            </a:ext>
          </a:extLst>
        </xdr:cNvPr>
        <xdr:cNvGrpSpPr/>
      </xdr:nvGrpSpPr>
      <xdr:grpSpPr>
        <a:xfrm>
          <a:off x="3683000" y="11226800"/>
          <a:ext cx="2184400" cy="1619250"/>
          <a:chOff x="3429000" y="9715500"/>
          <a:chExt cx="2032000" cy="1397000"/>
        </a:xfrm>
      </xdr:grpSpPr>
      <xdr:sp macro="" textlink="">
        <xdr:nvSpPr>
          <xdr:cNvPr id="165" name="27TITLE">
            <a:extLst>
              <a:ext uri="{FF2B5EF4-FFF2-40B4-BE49-F238E27FC236}">
                <a16:creationId xmlns:a16="http://schemas.microsoft.com/office/drawing/2014/main" id="{00000000-0008-0000-0E00-0000A5000000}"/>
              </a:ext>
            </a:extLst>
          </xdr:cNvPr>
          <xdr:cNvSpPr txBox="1"/>
        </xdr:nvSpPr>
        <xdr:spPr>
          <a:xfrm>
            <a:off x="3429000" y="9715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O-4</a:t>
            </a:r>
          </a:p>
          <a:p>
            <a:pPr algn="ctr"/>
            <a:r>
              <a:rPr lang="en-US" sz="500">
                <a:latin typeface="Arial"/>
              </a:rPr>
              <a:t>Max 9.25</a:t>
            </a:r>
          </a:p>
        </xdr:txBody>
      </xdr:sp>
      <xdr:sp macro="" textlink="">
        <xdr:nvSpPr>
          <xdr:cNvPr id="166" name="27CP">
            <a:extLst>
              <a:ext uri="{FF2B5EF4-FFF2-40B4-BE49-F238E27FC236}">
                <a16:creationId xmlns:a16="http://schemas.microsoft.com/office/drawing/2014/main" id="{00000000-0008-0000-0E00-0000A6000000}"/>
              </a:ext>
            </a:extLst>
          </xdr:cNvPr>
          <xdr:cNvSpPr txBox="1"/>
        </xdr:nvSpPr>
        <xdr:spPr>
          <a:xfrm>
            <a:off x="3937000" y="9715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3.563</a:t>
            </a:r>
          </a:p>
        </xdr:txBody>
      </xdr:sp>
      <xdr:sp macro="" textlink="">
        <xdr:nvSpPr>
          <xdr:cNvPr id="167" name="27CPK">
            <a:extLst>
              <a:ext uri="{FF2B5EF4-FFF2-40B4-BE49-F238E27FC236}">
                <a16:creationId xmlns:a16="http://schemas.microsoft.com/office/drawing/2014/main" id="{00000000-0008-0000-0E00-0000A7000000}"/>
              </a:ext>
            </a:extLst>
          </xdr:cNvPr>
          <xdr:cNvSpPr txBox="1"/>
        </xdr:nvSpPr>
        <xdr:spPr>
          <a:xfrm>
            <a:off x="4699000" y="9715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3.563</a:t>
            </a:r>
          </a:p>
        </xdr:txBody>
      </xdr:sp>
      <xdr:graphicFrame macro="">
        <xdr:nvGraphicFramePr>
          <xdr:cNvPr id="168" name="Chart 1683">
            <a:extLst>
              <a:ext uri="{FF2B5EF4-FFF2-40B4-BE49-F238E27FC236}">
                <a16:creationId xmlns:a16="http://schemas.microsoft.com/office/drawing/2014/main" id="{00000000-0008-0000-0E00-0000A8000000}"/>
              </a:ext>
            </a:extLst>
          </xdr:cNvPr>
          <xdr:cNvGraphicFramePr/>
        </xdr:nvGraphicFramePr>
        <xdr:xfrm>
          <a:off x="3937000" y="9969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7"/>
          </a:graphicData>
        </a:graphic>
      </xdr:graphicFrame>
      <xdr:sp macro="" textlink="">
        <xdr:nvSpPr>
          <xdr:cNvPr id="169" name="27BlockCover">
            <a:extLst>
              <a:ext uri="{FF2B5EF4-FFF2-40B4-BE49-F238E27FC236}">
                <a16:creationId xmlns:a16="http://schemas.microsoft.com/office/drawing/2014/main" id="{00000000-0008-0000-0E00-0000A9000000}"/>
              </a:ext>
            </a:extLst>
          </xdr:cNvPr>
          <xdr:cNvSpPr/>
        </xdr:nvSpPr>
        <xdr:spPr>
          <a:xfrm>
            <a:off x="3429000" y="9715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63500</xdr:colOff>
      <xdr:row>58</xdr:row>
      <xdr:rowOff>0</xdr:rowOff>
    </xdr:from>
    <xdr:to>
      <xdr:col>8</xdr:col>
      <xdr:colOff>76200</xdr:colOff>
      <xdr:row>65</xdr:row>
      <xdr:rowOff>63500</xdr:rowOff>
    </xdr:to>
    <xdr:grpSp>
      <xdr:nvGrpSpPr>
        <xdr:cNvPr id="170" name="28BlockGroup">
          <a:extLst>
            <a:ext uri="{FF2B5EF4-FFF2-40B4-BE49-F238E27FC236}">
              <a16:creationId xmlns:a16="http://schemas.microsoft.com/office/drawing/2014/main" id="{00000000-0008-0000-0E00-0000AA000000}"/>
            </a:ext>
          </a:extLst>
        </xdr:cNvPr>
        <xdr:cNvGrpSpPr/>
      </xdr:nvGrpSpPr>
      <xdr:grpSpPr>
        <a:xfrm>
          <a:off x="3683000" y="13004800"/>
          <a:ext cx="2184400" cy="1619250"/>
          <a:chOff x="3429000" y="11239500"/>
          <a:chExt cx="2032000" cy="1397000"/>
        </a:xfrm>
      </xdr:grpSpPr>
      <xdr:sp macro="" textlink="">
        <xdr:nvSpPr>
          <xdr:cNvPr id="171" name="28TITLE">
            <a:extLst>
              <a:ext uri="{FF2B5EF4-FFF2-40B4-BE49-F238E27FC236}">
                <a16:creationId xmlns:a16="http://schemas.microsoft.com/office/drawing/2014/main" id="{00000000-0008-0000-0E00-0000AB000000}"/>
              </a:ext>
            </a:extLst>
          </xdr:cNvPr>
          <xdr:cNvSpPr txBox="1"/>
        </xdr:nvSpPr>
        <xdr:spPr>
          <a:xfrm>
            <a:off x="3429000" y="11239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O-5</a:t>
            </a:r>
          </a:p>
          <a:p>
            <a:pPr algn="ctr"/>
            <a:r>
              <a:rPr lang="en-US" sz="500">
                <a:latin typeface="Arial"/>
              </a:rPr>
              <a:t>Max 9.25</a:t>
            </a:r>
          </a:p>
        </xdr:txBody>
      </xdr:sp>
      <xdr:sp macro="" textlink="">
        <xdr:nvSpPr>
          <xdr:cNvPr id="172" name="28CP">
            <a:extLst>
              <a:ext uri="{FF2B5EF4-FFF2-40B4-BE49-F238E27FC236}">
                <a16:creationId xmlns:a16="http://schemas.microsoft.com/office/drawing/2014/main" id="{00000000-0008-0000-0E00-0000AC000000}"/>
              </a:ext>
            </a:extLst>
          </xdr:cNvPr>
          <xdr:cNvSpPr txBox="1"/>
        </xdr:nvSpPr>
        <xdr:spPr>
          <a:xfrm>
            <a:off x="3937000" y="11239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3.433</a:t>
            </a:r>
          </a:p>
        </xdr:txBody>
      </xdr:sp>
      <xdr:sp macro="" textlink="">
        <xdr:nvSpPr>
          <xdr:cNvPr id="173" name="28CPK">
            <a:extLst>
              <a:ext uri="{FF2B5EF4-FFF2-40B4-BE49-F238E27FC236}">
                <a16:creationId xmlns:a16="http://schemas.microsoft.com/office/drawing/2014/main" id="{00000000-0008-0000-0E00-0000AD000000}"/>
              </a:ext>
            </a:extLst>
          </xdr:cNvPr>
          <xdr:cNvSpPr txBox="1"/>
        </xdr:nvSpPr>
        <xdr:spPr>
          <a:xfrm>
            <a:off x="4699000" y="11239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3.433</a:t>
            </a:r>
          </a:p>
        </xdr:txBody>
      </xdr:sp>
      <xdr:graphicFrame macro="">
        <xdr:nvGraphicFramePr>
          <xdr:cNvPr id="174" name="Chart 1690">
            <a:extLst>
              <a:ext uri="{FF2B5EF4-FFF2-40B4-BE49-F238E27FC236}">
                <a16:creationId xmlns:a16="http://schemas.microsoft.com/office/drawing/2014/main" id="{00000000-0008-0000-0E00-0000AE000000}"/>
              </a:ext>
            </a:extLst>
          </xdr:cNvPr>
          <xdr:cNvGraphicFramePr/>
        </xdr:nvGraphicFramePr>
        <xdr:xfrm>
          <a:off x="3937000" y="11493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8"/>
          </a:graphicData>
        </a:graphic>
      </xdr:graphicFrame>
      <xdr:sp macro="" textlink="">
        <xdr:nvSpPr>
          <xdr:cNvPr id="175" name="28BlockCover">
            <a:extLst>
              <a:ext uri="{FF2B5EF4-FFF2-40B4-BE49-F238E27FC236}">
                <a16:creationId xmlns:a16="http://schemas.microsoft.com/office/drawing/2014/main" id="{00000000-0008-0000-0E00-0000AF000000}"/>
              </a:ext>
            </a:extLst>
          </xdr:cNvPr>
          <xdr:cNvSpPr/>
        </xdr:nvSpPr>
        <xdr:spPr>
          <a:xfrm>
            <a:off x="3429000" y="11239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63500</xdr:colOff>
      <xdr:row>66</xdr:row>
      <xdr:rowOff>0</xdr:rowOff>
    </xdr:from>
    <xdr:to>
      <xdr:col>8</xdr:col>
      <xdr:colOff>76200</xdr:colOff>
      <xdr:row>73</xdr:row>
      <xdr:rowOff>63500</xdr:rowOff>
    </xdr:to>
    <xdr:grpSp>
      <xdr:nvGrpSpPr>
        <xdr:cNvPr id="176" name="29BlockGroup">
          <a:extLst>
            <a:ext uri="{FF2B5EF4-FFF2-40B4-BE49-F238E27FC236}">
              <a16:creationId xmlns:a16="http://schemas.microsoft.com/office/drawing/2014/main" id="{00000000-0008-0000-0E00-0000B0000000}"/>
            </a:ext>
          </a:extLst>
        </xdr:cNvPr>
        <xdr:cNvGrpSpPr/>
      </xdr:nvGrpSpPr>
      <xdr:grpSpPr>
        <a:xfrm>
          <a:off x="3683000" y="14782800"/>
          <a:ext cx="2184400" cy="1619250"/>
          <a:chOff x="3429000" y="12763500"/>
          <a:chExt cx="2032000" cy="1397000"/>
        </a:xfrm>
      </xdr:grpSpPr>
      <xdr:sp macro="" textlink="">
        <xdr:nvSpPr>
          <xdr:cNvPr id="177" name="29TITLE">
            <a:extLst>
              <a:ext uri="{FF2B5EF4-FFF2-40B4-BE49-F238E27FC236}">
                <a16:creationId xmlns:a16="http://schemas.microsoft.com/office/drawing/2014/main" id="{00000000-0008-0000-0E00-0000B1000000}"/>
              </a:ext>
            </a:extLst>
          </xdr:cNvPr>
          <xdr:cNvSpPr txBox="1"/>
        </xdr:nvSpPr>
        <xdr:spPr>
          <a:xfrm>
            <a:off x="3429000" y="12763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P</a:t>
            </a:r>
          </a:p>
          <a:p>
            <a:pPr algn="ctr"/>
            <a:r>
              <a:rPr lang="en-US" sz="500">
                <a:latin typeface="Arial"/>
              </a:rPr>
              <a:t>25.56 /</a:t>
            </a:r>
          </a:p>
          <a:p>
            <a:pPr algn="ctr"/>
            <a:r>
              <a:rPr lang="en-US" sz="500">
                <a:latin typeface="Arial"/>
              </a:rPr>
              <a:t>36.56</a:t>
            </a:r>
          </a:p>
        </xdr:txBody>
      </xdr:sp>
      <xdr:sp macro="" textlink="">
        <xdr:nvSpPr>
          <xdr:cNvPr id="178" name="29CP">
            <a:extLst>
              <a:ext uri="{FF2B5EF4-FFF2-40B4-BE49-F238E27FC236}">
                <a16:creationId xmlns:a16="http://schemas.microsoft.com/office/drawing/2014/main" id="{00000000-0008-0000-0E00-0000B2000000}"/>
              </a:ext>
            </a:extLst>
          </xdr:cNvPr>
          <xdr:cNvSpPr txBox="1"/>
        </xdr:nvSpPr>
        <xdr:spPr>
          <a:xfrm>
            <a:off x="3937000" y="12763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1.367</a:t>
            </a:r>
          </a:p>
        </xdr:txBody>
      </xdr:sp>
      <xdr:sp macro="" textlink="">
        <xdr:nvSpPr>
          <xdr:cNvPr id="179" name="29CPK">
            <a:extLst>
              <a:ext uri="{FF2B5EF4-FFF2-40B4-BE49-F238E27FC236}">
                <a16:creationId xmlns:a16="http://schemas.microsoft.com/office/drawing/2014/main" id="{00000000-0008-0000-0E00-0000B3000000}"/>
              </a:ext>
            </a:extLst>
          </xdr:cNvPr>
          <xdr:cNvSpPr txBox="1"/>
        </xdr:nvSpPr>
        <xdr:spPr>
          <a:xfrm>
            <a:off x="4699000" y="12763500"/>
            <a:ext cx="762000" cy="254000"/>
          </a:xfrm>
          <a:prstGeom prst="rect">
            <a:avLst/>
          </a:prstGeom>
          <a:solidFill>
            <a:srgbClr val="FF9900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1.25</a:t>
            </a:r>
          </a:p>
        </xdr:txBody>
      </xdr:sp>
      <xdr:graphicFrame macro="">
        <xdr:nvGraphicFramePr>
          <xdr:cNvPr id="180" name="Chart 1697">
            <a:extLst>
              <a:ext uri="{FF2B5EF4-FFF2-40B4-BE49-F238E27FC236}">
                <a16:creationId xmlns:a16="http://schemas.microsoft.com/office/drawing/2014/main" id="{00000000-0008-0000-0E00-0000B4000000}"/>
              </a:ext>
            </a:extLst>
          </xdr:cNvPr>
          <xdr:cNvGraphicFramePr/>
        </xdr:nvGraphicFramePr>
        <xdr:xfrm>
          <a:off x="3937000" y="13017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9"/>
          </a:graphicData>
        </a:graphic>
      </xdr:graphicFrame>
      <xdr:sp macro="" textlink="">
        <xdr:nvSpPr>
          <xdr:cNvPr id="181" name="29BlockCover">
            <a:extLst>
              <a:ext uri="{FF2B5EF4-FFF2-40B4-BE49-F238E27FC236}">
                <a16:creationId xmlns:a16="http://schemas.microsoft.com/office/drawing/2014/main" id="{00000000-0008-0000-0E00-0000B5000000}"/>
              </a:ext>
            </a:extLst>
          </xdr:cNvPr>
          <xdr:cNvSpPr/>
        </xdr:nvSpPr>
        <xdr:spPr>
          <a:xfrm>
            <a:off x="3429000" y="12763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63500</xdr:colOff>
      <xdr:row>74</xdr:row>
      <xdr:rowOff>0</xdr:rowOff>
    </xdr:from>
    <xdr:to>
      <xdr:col>8</xdr:col>
      <xdr:colOff>76200</xdr:colOff>
      <xdr:row>81</xdr:row>
      <xdr:rowOff>63500</xdr:rowOff>
    </xdr:to>
    <xdr:grpSp>
      <xdr:nvGrpSpPr>
        <xdr:cNvPr id="182" name="30BlockGroup">
          <a:extLst>
            <a:ext uri="{FF2B5EF4-FFF2-40B4-BE49-F238E27FC236}">
              <a16:creationId xmlns:a16="http://schemas.microsoft.com/office/drawing/2014/main" id="{00000000-0008-0000-0E00-0000B6000000}"/>
            </a:ext>
          </a:extLst>
        </xdr:cNvPr>
        <xdr:cNvGrpSpPr/>
      </xdr:nvGrpSpPr>
      <xdr:grpSpPr>
        <a:xfrm>
          <a:off x="3683000" y="16560800"/>
          <a:ext cx="2184400" cy="1619250"/>
          <a:chOff x="3429000" y="14287500"/>
          <a:chExt cx="2032000" cy="1397000"/>
        </a:xfrm>
      </xdr:grpSpPr>
      <xdr:sp macro="" textlink="">
        <xdr:nvSpPr>
          <xdr:cNvPr id="183" name="30TITLE">
            <a:extLst>
              <a:ext uri="{FF2B5EF4-FFF2-40B4-BE49-F238E27FC236}">
                <a16:creationId xmlns:a16="http://schemas.microsoft.com/office/drawing/2014/main" id="{00000000-0008-0000-0E00-0000B7000000}"/>
              </a:ext>
            </a:extLst>
          </xdr:cNvPr>
          <xdr:cNvSpPr txBox="1"/>
        </xdr:nvSpPr>
        <xdr:spPr>
          <a:xfrm>
            <a:off x="3429000" y="14287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Q</a:t>
            </a:r>
          </a:p>
          <a:p>
            <a:pPr algn="ctr"/>
            <a:r>
              <a:rPr lang="en-US" sz="500">
                <a:latin typeface="Arial"/>
              </a:rPr>
              <a:t>35.93 /</a:t>
            </a:r>
          </a:p>
          <a:p>
            <a:pPr algn="ctr"/>
            <a:r>
              <a:rPr lang="en-US" sz="500">
                <a:latin typeface="Arial"/>
              </a:rPr>
              <a:t>46.93</a:t>
            </a:r>
          </a:p>
        </xdr:txBody>
      </xdr:sp>
      <xdr:sp macro="" textlink="">
        <xdr:nvSpPr>
          <xdr:cNvPr id="184" name="30CP">
            <a:extLst>
              <a:ext uri="{FF2B5EF4-FFF2-40B4-BE49-F238E27FC236}">
                <a16:creationId xmlns:a16="http://schemas.microsoft.com/office/drawing/2014/main" id="{00000000-0008-0000-0E00-0000B8000000}"/>
              </a:ext>
            </a:extLst>
          </xdr:cNvPr>
          <xdr:cNvSpPr txBox="1"/>
        </xdr:nvSpPr>
        <xdr:spPr>
          <a:xfrm>
            <a:off x="3937000" y="14287500"/>
            <a:ext cx="762000" cy="254000"/>
          </a:xfrm>
          <a:prstGeom prst="rect">
            <a:avLst/>
          </a:prstGeom>
          <a:solidFill>
            <a:srgbClr val="CCFFCC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1.495</a:t>
            </a:r>
          </a:p>
        </xdr:txBody>
      </xdr:sp>
      <xdr:sp macro="" textlink="">
        <xdr:nvSpPr>
          <xdr:cNvPr id="185" name="30CPK">
            <a:extLst>
              <a:ext uri="{FF2B5EF4-FFF2-40B4-BE49-F238E27FC236}">
                <a16:creationId xmlns:a16="http://schemas.microsoft.com/office/drawing/2014/main" id="{00000000-0008-0000-0E00-0000B9000000}"/>
              </a:ext>
            </a:extLst>
          </xdr:cNvPr>
          <xdr:cNvSpPr txBox="1"/>
        </xdr:nvSpPr>
        <xdr:spPr>
          <a:xfrm>
            <a:off x="4699000" y="14287500"/>
            <a:ext cx="762000" cy="254000"/>
          </a:xfrm>
          <a:prstGeom prst="rect">
            <a:avLst/>
          </a:prstGeom>
          <a:solidFill>
            <a:srgbClr val="FF9900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1.293</a:t>
            </a:r>
          </a:p>
        </xdr:txBody>
      </xdr:sp>
      <xdr:graphicFrame macro="">
        <xdr:nvGraphicFramePr>
          <xdr:cNvPr id="186" name="Chart 1704">
            <a:extLst>
              <a:ext uri="{FF2B5EF4-FFF2-40B4-BE49-F238E27FC236}">
                <a16:creationId xmlns:a16="http://schemas.microsoft.com/office/drawing/2014/main" id="{00000000-0008-0000-0E00-0000BA000000}"/>
              </a:ext>
            </a:extLst>
          </xdr:cNvPr>
          <xdr:cNvGraphicFramePr/>
        </xdr:nvGraphicFramePr>
        <xdr:xfrm>
          <a:off x="3937000" y="14541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0"/>
          </a:graphicData>
        </a:graphic>
      </xdr:graphicFrame>
      <xdr:sp macro="" textlink="">
        <xdr:nvSpPr>
          <xdr:cNvPr id="187" name="30BlockCover">
            <a:extLst>
              <a:ext uri="{FF2B5EF4-FFF2-40B4-BE49-F238E27FC236}">
                <a16:creationId xmlns:a16="http://schemas.microsoft.com/office/drawing/2014/main" id="{00000000-0008-0000-0E00-0000BB000000}"/>
              </a:ext>
            </a:extLst>
          </xdr:cNvPr>
          <xdr:cNvSpPr/>
        </xdr:nvSpPr>
        <xdr:spPr>
          <a:xfrm>
            <a:off x="3429000" y="14287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584200</xdr:colOff>
      <xdr:row>2</xdr:row>
      <xdr:rowOff>63500</xdr:rowOff>
    </xdr:from>
    <xdr:to>
      <xdr:col>11</xdr:col>
      <xdr:colOff>596900</xdr:colOff>
      <xdr:row>9</xdr:row>
      <xdr:rowOff>63500</xdr:rowOff>
    </xdr:to>
    <xdr:grpSp>
      <xdr:nvGrpSpPr>
        <xdr:cNvPr id="188" name="31BlockGroup">
          <a:extLst>
            <a:ext uri="{FF2B5EF4-FFF2-40B4-BE49-F238E27FC236}">
              <a16:creationId xmlns:a16="http://schemas.microsoft.com/office/drawing/2014/main" id="{00000000-0008-0000-0E00-0000BC000000}"/>
            </a:ext>
          </a:extLst>
        </xdr:cNvPr>
        <xdr:cNvGrpSpPr/>
      </xdr:nvGrpSpPr>
      <xdr:grpSpPr>
        <a:xfrm>
          <a:off x="6375400" y="584200"/>
          <a:ext cx="2184400" cy="1593850"/>
          <a:chOff x="5969000" y="571500"/>
          <a:chExt cx="2032000" cy="1397000"/>
        </a:xfrm>
      </xdr:grpSpPr>
      <xdr:sp macro="" textlink="">
        <xdr:nvSpPr>
          <xdr:cNvPr id="189" name="31TITLE">
            <a:extLst>
              <a:ext uri="{FF2B5EF4-FFF2-40B4-BE49-F238E27FC236}">
                <a16:creationId xmlns:a16="http://schemas.microsoft.com/office/drawing/2014/main" id="{00000000-0008-0000-0E00-0000BD000000}"/>
              </a:ext>
            </a:extLst>
          </xdr:cNvPr>
          <xdr:cNvSpPr txBox="1"/>
        </xdr:nvSpPr>
        <xdr:spPr>
          <a:xfrm>
            <a:off x="5969000" y="571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R</a:t>
            </a:r>
          </a:p>
          <a:p>
            <a:pPr algn="ctr"/>
            <a:r>
              <a:rPr lang="en-US" sz="500">
                <a:latin typeface="Arial"/>
              </a:rPr>
              <a:t>2 /</a:t>
            </a:r>
          </a:p>
          <a:p>
            <a:pPr algn="ctr"/>
            <a:r>
              <a:rPr lang="en-US" sz="500">
                <a:latin typeface="Arial"/>
              </a:rPr>
              <a:t>2.5</a:t>
            </a:r>
          </a:p>
        </xdr:txBody>
      </xdr:sp>
      <xdr:sp macro="" textlink="">
        <xdr:nvSpPr>
          <xdr:cNvPr id="190" name="31CP">
            <a:extLst>
              <a:ext uri="{FF2B5EF4-FFF2-40B4-BE49-F238E27FC236}">
                <a16:creationId xmlns:a16="http://schemas.microsoft.com/office/drawing/2014/main" id="{00000000-0008-0000-0E00-0000BE000000}"/>
              </a:ext>
            </a:extLst>
          </xdr:cNvPr>
          <xdr:cNvSpPr txBox="1"/>
        </xdr:nvSpPr>
        <xdr:spPr>
          <a:xfrm>
            <a:off x="6477000" y="571500"/>
            <a:ext cx="762000" cy="254000"/>
          </a:xfrm>
          <a:prstGeom prst="rect">
            <a:avLst/>
          </a:prstGeom>
          <a:solidFill>
            <a:srgbClr val="FF9900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1.211</a:t>
            </a:r>
          </a:p>
        </xdr:txBody>
      </xdr:sp>
      <xdr:sp macro="" textlink="">
        <xdr:nvSpPr>
          <xdr:cNvPr id="191" name="31CPK">
            <a:extLst>
              <a:ext uri="{FF2B5EF4-FFF2-40B4-BE49-F238E27FC236}">
                <a16:creationId xmlns:a16="http://schemas.microsoft.com/office/drawing/2014/main" id="{00000000-0008-0000-0E00-0000BF000000}"/>
              </a:ext>
            </a:extLst>
          </xdr:cNvPr>
          <xdr:cNvSpPr txBox="1"/>
        </xdr:nvSpPr>
        <xdr:spPr>
          <a:xfrm>
            <a:off x="7239000" y="571500"/>
            <a:ext cx="762000" cy="254000"/>
          </a:xfrm>
          <a:prstGeom prst="rect">
            <a:avLst/>
          </a:prstGeom>
          <a:solidFill>
            <a:srgbClr val="FF9900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1.036</a:t>
            </a:r>
          </a:p>
        </xdr:txBody>
      </xdr:sp>
      <xdr:graphicFrame macro="">
        <xdr:nvGraphicFramePr>
          <xdr:cNvPr id="192" name="Chart 1711">
            <a:extLst>
              <a:ext uri="{FF2B5EF4-FFF2-40B4-BE49-F238E27FC236}">
                <a16:creationId xmlns:a16="http://schemas.microsoft.com/office/drawing/2014/main" id="{00000000-0008-0000-0E00-0000C0000000}"/>
              </a:ext>
            </a:extLst>
          </xdr:cNvPr>
          <xdr:cNvGraphicFramePr/>
        </xdr:nvGraphicFramePr>
        <xdr:xfrm>
          <a:off x="6477000" y="825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1"/>
          </a:graphicData>
        </a:graphic>
      </xdr:graphicFrame>
      <xdr:sp macro="" textlink="">
        <xdr:nvSpPr>
          <xdr:cNvPr id="193" name="31BlockCover">
            <a:extLst>
              <a:ext uri="{FF2B5EF4-FFF2-40B4-BE49-F238E27FC236}">
                <a16:creationId xmlns:a16="http://schemas.microsoft.com/office/drawing/2014/main" id="{00000000-0008-0000-0E00-0000C1000000}"/>
              </a:ext>
            </a:extLst>
          </xdr:cNvPr>
          <xdr:cNvSpPr/>
        </xdr:nvSpPr>
        <xdr:spPr>
          <a:xfrm>
            <a:off x="5969000" y="571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584200</xdr:colOff>
      <xdr:row>10</xdr:row>
      <xdr:rowOff>0</xdr:rowOff>
    </xdr:from>
    <xdr:to>
      <xdr:col>11</xdr:col>
      <xdr:colOff>596900</xdr:colOff>
      <xdr:row>17</xdr:row>
      <xdr:rowOff>63500</xdr:rowOff>
    </xdr:to>
    <xdr:grpSp>
      <xdr:nvGrpSpPr>
        <xdr:cNvPr id="194" name="32BlockGroup">
          <a:extLst>
            <a:ext uri="{FF2B5EF4-FFF2-40B4-BE49-F238E27FC236}">
              <a16:creationId xmlns:a16="http://schemas.microsoft.com/office/drawing/2014/main" id="{00000000-0008-0000-0E00-0000C2000000}"/>
            </a:ext>
          </a:extLst>
        </xdr:cNvPr>
        <xdr:cNvGrpSpPr/>
      </xdr:nvGrpSpPr>
      <xdr:grpSpPr>
        <a:xfrm>
          <a:off x="6375400" y="2336800"/>
          <a:ext cx="2184400" cy="1619250"/>
          <a:chOff x="5969000" y="2095500"/>
          <a:chExt cx="2032000" cy="1397000"/>
        </a:xfrm>
      </xdr:grpSpPr>
      <xdr:sp macro="" textlink="">
        <xdr:nvSpPr>
          <xdr:cNvPr id="195" name="32TITLE">
            <a:extLst>
              <a:ext uri="{FF2B5EF4-FFF2-40B4-BE49-F238E27FC236}">
                <a16:creationId xmlns:a16="http://schemas.microsoft.com/office/drawing/2014/main" id="{00000000-0008-0000-0E00-0000C3000000}"/>
              </a:ext>
            </a:extLst>
          </xdr:cNvPr>
          <xdr:cNvSpPr txBox="1"/>
        </xdr:nvSpPr>
        <xdr:spPr>
          <a:xfrm>
            <a:off x="5969000" y="2095500"/>
            <a:ext cx="508000" cy="1397000"/>
          </a:xfrm>
          <a:prstGeom prst="rect">
            <a:avLst/>
          </a:prstGeom>
          <a:solidFill>
            <a:srgbClr val="FFFFFF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SPC S</a:t>
            </a:r>
          </a:p>
          <a:p>
            <a:pPr algn="ctr"/>
            <a:r>
              <a:rPr lang="en-US" sz="500">
                <a:latin typeface="Arial"/>
              </a:rPr>
              <a:t>2 /</a:t>
            </a:r>
          </a:p>
          <a:p>
            <a:pPr algn="ctr"/>
            <a:r>
              <a:rPr lang="en-US" sz="500">
                <a:latin typeface="Arial"/>
              </a:rPr>
              <a:t>2.5</a:t>
            </a:r>
          </a:p>
        </xdr:txBody>
      </xdr:sp>
      <xdr:sp macro="" textlink="">
        <xdr:nvSpPr>
          <xdr:cNvPr id="196" name="32CP">
            <a:extLst>
              <a:ext uri="{FF2B5EF4-FFF2-40B4-BE49-F238E27FC236}">
                <a16:creationId xmlns:a16="http://schemas.microsoft.com/office/drawing/2014/main" id="{00000000-0008-0000-0E00-0000C4000000}"/>
              </a:ext>
            </a:extLst>
          </xdr:cNvPr>
          <xdr:cNvSpPr txBox="1"/>
        </xdr:nvSpPr>
        <xdr:spPr>
          <a:xfrm>
            <a:off x="6477000" y="2095500"/>
            <a:ext cx="762000" cy="254000"/>
          </a:xfrm>
          <a:prstGeom prst="rect">
            <a:avLst/>
          </a:prstGeom>
          <a:solidFill>
            <a:srgbClr val="FF9900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</a:t>
            </a:r>
          </a:p>
          <a:p>
            <a:pPr algn="ctr"/>
            <a:r>
              <a:rPr lang="en-US" sz="500">
                <a:latin typeface="Arial"/>
              </a:rPr>
              <a:t>1.206</a:t>
            </a:r>
          </a:p>
        </xdr:txBody>
      </xdr:sp>
      <xdr:sp macro="" textlink="">
        <xdr:nvSpPr>
          <xdr:cNvPr id="197" name="32CPK">
            <a:extLst>
              <a:ext uri="{FF2B5EF4-FFF2-40B4-BE49-F238E27FC236}">
                <a16:creationId xmlns:a16="http://schemas.microsoft.com/office/drawing/2014/main" id="{00000000-0008-0000-0E00-0000C5000000}"/>
              </a:ext>
            </a:extLst>
          </xdr:cNvPr>
          <xdr:cNvSpPr txBox="1"/>
        </xdr:nvSpPr>
        <xdr:spPr>
          <a:xfrm>
            <a:off x="7239000" y="2095500"/>
            <a:ext cx="762000" cy="254000"/>
          </a:xfrm>
          <a:prstGeom prst="rect">
            <a:avLst/>
          </a:prstGeom>
          <a:solidFill>
            <a:srgbClr val="FF9900"/>
          </a:solidFill>
          <a:ln w="1270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lang="en-US" sz="500">
                <a:latin typeface="Arial"/>
              </a:rPr>
              <a:t>Cpk</a:t>
            </a:r>
          </a:p>
          <a:p>
            <a:pPr algn="ctr"/>
            <a:r>
              <a:rPr lang="en-US" sz="500">
                <a:latin typeface="Arial"/>
              </a:rPr>
              <a:t>1.098</a:t>
            </a:r>
          </a:p>
        </xdr:txBody>
      </xdr:sp>
      <xdr:graphicFrame macro="">
        <xdr:nvGraphicFramePr>
          <xdr:cNvPr id="198" name="Chart 1718">
            <a:extLst>
              <a:ext uri="{FF2B5EF4-FFF2-40B4-BE49-F238E27FC236}">
                <a16:creationId xmlns:a16="http://schemas.microsoft.com/office/drawing/2014/main" id="{00000000-0008-0000-0E00-0000C6000000}"/>
              </a:ext>
            </a:extLst>
          </xdr:cNvPr>
          <xdr:cNvGraphicFramePr/>
        </xdr:nvGraphicFramePr>
        <xdr:xfrm>
          <a:off x="6477000" y="2349500"/>
          <a:ext cx="1524000" cy="1143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2"/>
          </a:graphicData>
        </a:graphic>
      </xdr:graphicFrame>
      <xdr:sp macro="" textlink="">
        <xdr:nvSpPr>
          <xdr:cNvPr id="199" name="32BlockCover">
            <a:extLst>
              <a:ext uri="{FF2B5EF4-FFF2-40B4-BE49-F238E27FC236}">
                <a16:creationId xmlns:a16="http://schemas.microsoft.com/office/drawing/2014/main" id="{00000000-0008-0000-0E00-0000C7000000}"/>
              </a:ext>
            </a:extLst>
          </xdr:cNvPr>
          <xdr:cNvSpPr/>
        </xdr:nvSpPr>
        <xdr:spPr>
          <a:xfrm>
            <a:off x="5969000" y="2095500"/>
            <a:ext cx="2032000" cy="1397000"/>
          </a:xfrm>
          <a:prstGeom prst="rect">
            <a:avLst/>
          </a:prstGeom>
          <a:solidFill>
            <a:srgbClr val="FFFFFF">
              <a:alpha val="5000"/>
            </a:srgbClr>
          </a:solidFill>
          <a:ln w="1270"/>
          <a:effectLst/>
          <a:extLst>
            <a:ext uri="{AF507438-7753-43E0-B8FC-AC1667EBCBE1}">
              <a14:hiddenEffects xmlns:a14="http://schemas.microsoft.com/office/drawing/2010/main"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a14:hiddenEffects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0</xdr:colOff>
          <xdr:row>0</xdr:row>
          <xdr:rowOff>0</xdr:rowOff>
        </xdr:from>
        <xdr:to>
          <xdr:col>4</xdr:col>
          <xdr:colOff>0</xdr:colOff>
          <xdr:row>1</xdr:row>
          <xdr:rowOff>0</xdr:rowOff>
        </xdr:to>
        <xdr:sp macro="" textlink="">
          <xdr:nvSpPr>
            <xdr:cNvPr id="4097" name="Butto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6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Add Dim Blocks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2</xdr:col>
          <xdr:colOff>0</xdr:colOff>
          <xdr:row>1</xdr:row>
          <xdr:rowOff>0</xdr:rowOff>
        </xdr:to>
        <xdr:sp macro="" textlink="">
          <xdr:nvSpPr>
            <xdr:cNvPr id="4098" name="Button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6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Create Circles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85725</xdr:colOff>
          <xdr:row>0</xdr:row>
          <xdr:rowOff>0</xdr:rowOff>
        </xdr:from>
        <xdr:to>
          <xdr:col>7</xdr:col>
          <xdr:colOff>333375</xdr:colOff>
          <xdr:row>1</xdr:row>
          <xdr:rowOff>0</xdr:rowOff>
        </xdr:to>
        <xdr:sp macro="" textlink="">
          <xdr:nvSpPr>
            <xdr:cNvPr id="4099" name="Button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6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ko-KR" altLang="en-US" sz="800" b="0" i="0" u="none" strike="noStrike" baseline="0">
                  <a:solidFill>
                    <a:srgbClr val="000000"/>
                  </a:solidFill>
                  <a:latin typeface="Lucida Grande"/>
                </a:rPr>
                <a:t>Drawing Tab Clean-up Options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.xml"/><Relationship Id="rId7" Type="http://schemas.openxmlformats.org/officeDocument/2006/relationships/ctrlProp" Target="../ctrlProps/ctrlProp10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9.xml"/><Relationship Id="rId5" Type="http://schemas.openxmlformats.org/officeDocument/2006/relationships/ctrlProp" Target="../ctrlProps/ctrlProp8.xml"/><Relationship Id="rId4" Type="http://schemas.openxmlformats.org/officeDocument/2006/relationships/ctrlProp" Target="../ctrlProps/ctrlProp7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5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1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13.xml"/><Relationship Id="rId5" Type="http://schemas.openxmlformats.org/officeDocument/2006/relationships/ctrlProp" Target="../ctrlProps/ctrlProp12.xml"/><Relationship Id="rId4" Type="http://schemas.openxmlformats.org/officeDocument/2006/relationships/ctrlProp" Target="../ctrlProps/ctrlProp11.xml"/><Relationship Id="rId9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0.xml"/><Relationship Id="rId3" Type="http://schemas.openxmlformats.org/officeDocument/2006/relationships/vmlDrawing" Target="../drawings/vmlDrawing4.vml"/><Relationship Id="rId7" Type="http://schemas.openxmlformats.org/officeDocument/2006/relationships/ctrlProp" Target="../ctrlProps/ctrlProp19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8.xml"/><Relationship Id="rId5" Type="http://schemas.openxmlformats.org/officeDocument/2006/relationships/ctrlProp" Target="../ctrlProps/ctrlProp17.xml"/><Relationship Id="rId4" Type="http://schemas.openxmlformats.org/officeDocument/2006/relationships/ctrlProp" Target="../ctrlProps/ctrlProp16.xml"/><Relationship Id="rId9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5.xml"/><Relationship Id="rId3" Type="http://schemas.openxmlformats.org/officeDocument/2006/relationships/vmlDrawing" Target="../drawings/vmlDrawing5.vml"/><Relationship Id="rId7" Type="http://schemas.openxmlformats.org/officeDocument/2006/relationships/ctrlProp" Target="../ctrlProps/ctrlProp24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23.xml"/><Relationship Id="rId5" Type="http://schemas.openxmlformats.org/officeDocument/2006/relationships/ctrlProp" Target="../ctrlProps/ctrlProp22.xml"/><Relationship Id="rId4" Type="http://schemas.openxmlformats.org/officeDocument/2006/relationships/ctrlProp" Target="../ctrlProps/ctrlProp21.xml"/><Relationship Id="rId9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0.xml"/><Relationship Id="rId3" Type="http://schemas.openxmlformats.org/officeDocument/2006/relationships/vmlDrawing" Target="../drawings/vmlDrawing6.vml"/><Relationship Id="rId7" Type="http://schemas.openxmlformats.org/officeDocument/2006/relationships/ctrlProp" Target="../ctrlProps/ctrlProp29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28.xml"/><Relationship Id="rId5" Type="http://schemas.openxmlformats.org/officeDocument/2006/relationships/ctrlProp" Target="../ctrlProps/ctrlProp27.xml"/><Relationship Id="rId4" Type="http://schemas.openxmlformats.org/officeDocument/2006/relationships/ctrlProp" Target="../ctrlProps/ctrlProp26.xml"/><Relationship Id="rId9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1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Relationship Id="rId5" Type="http://schemas.openxmlformats.org/officeDocument/2006/relationships/ctrlProp" Target="../ctrlProps/ctrlProp33.xml"/><Relationship Id="rId4" Type="http://schemas.openxmlformats.org/officeDocument/2006/relationships/ctrlProp" Target="../ctrlProps/ctrlProp3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F63FA-2EE2-4305-BD52-25E88DBA7E0E}">
  <sheetPr codeName="Sheet5"/>
  <dimension ref="A1:ECB63"/>
  <sheetViews>
    <sheetView tabSelected="1" topLeftCell="K1" zoomScaleNormal="100" workbookViewId="0">
      <selection activeCell="AK10" sqref="AK10"/>
    </sheetView>
  </sheetViews>
  <sheetFormatPr defaultColWidth="8.88671875" defaultRowHeight="17.25"/>
  <cols>
    <col min="1" max="1" width="0.88671875" style="124" customWidth="1"/>
    <col min="2" max="2" width="8" style="124" customWidth="1"/>
    <col min="3" max="3" width="9.33203125" style="124" customWidth="1"/>
    <col min="4" max="4" width="28.33203125" style="124" customWidth="1"/>
    <col min="5" max="5" width="7.6640625" style="124" customWidth="1"/>
    <col min="6" max="6" width="9" style="124" customWidth="1"/>
    <col min="7" max="7" width="9.44140625" style="124" customWidth="1"/>
    <col min="8" max="9" width="8.33203125" style="124" customWidth="1"/>
    <col min="10" max="10" width="8.5546875" style="124" customWidth="1"/>
    <col min="11" max="11" width="8.44140625" style="124" customWidth="1"/>
    <col min="12" max="13" width="7.88671875" style="124" customWidth="1"/>
    <col min="14" max="14" width="0.88671875" style="124" customWidth="1"/>
    <col min="15" max="25" width="7.88671875" style="124" customWidth="1"/>
    <col min="26" max="26" width="10" style="124" hidden="1" customWidth="1"/>
    <col min="27" max="29" width="9.6640625" style="124" hidden="1" customWidth="1"/>
    <col min="30" max="30" width="7.88671875" style="124" hidden="1" customWidth="1"/>
    <col min="31" max="31" width="9" style="124" hidden="1" customWidth="1"/>
    <col min="32" max="32" width="22" style="124" hidden="1" customWidth="1"/>
    <col min="33" max="35" width="9" style="124" hidden="1" customWidth="1"/>
    <col min="36" max="36" width="0.88671875" style="124" customWidth="1"/>
    <col min="37" max="68" width="7.88671875" style="124" customWidth="1"/>
    <col min="69" max="16384" width="8.88671875" style="124"/>
  </cols>
  <sheetData>
    <row r="1" spans="1:1014 1050:2026 2098:3031 3091:3451" s="180" customFormat="1" ht="21.95" customHeight="1">
      <c r="A1" s="197" t="s">
        <v>48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197"/>
      <c r="AD1" s="197"/>
      <c r="AE1" s="197"/>
      <c r="AF1" s="187"/>
      <c r="AG1" s="187"/>
      <c r="AH1" s="187"/>
      <c r="AI1" s="187"/>
      <c r="AJ1" s="186"/>
    </row>
    <row r="2" spans="1:1014 1050:2026 2098:3031 3091:3451" s="180" customFormat="1" ht="14.1" customHeight="1">
      <c r="B2" s="185" t="s">
        <v>194</v>
      </c>
      <c r="C2" s="185"/>
      <c r="S2" s="181"/>
      <c r="T2" s="181"/>
      <c r="U2" s="181"/>
      <c r="V2" s="198" t="s">
        <v>13</v>
      </c>
      <c r="W2" s="198"/>
      <c r="X2" s="181"/>
      <c r="Y2" s="191" t="s">
        <v>264</v>
      </c>
      <c r="AK2" s="195" t="str" cm="1">
        <f t="array" aca="1" ref="AK2" ca="1">_xlfn.LET(_xlpm.src,TOCOL(LEFT(AK10:BP10,3),1),
     _xlpm.obs,_xlfn._xlws.FILTER(_xlpm.src,_xlpm.src&lt;&gt;""),
     _xlpm.tools,_xlfn._xlws.SORT(_xlfn.UNIQUE(LEFT(_xlpm.obs,1))),
     _xlpm.all,TOCOL(_xlpm.tools&amp;"#"&amp;_xlfn.SEQUENCE(1,4),1),
     _xlpm.miss,_xlfn._xlws.FILTER(_xlpm.all,ISNA(MATCH(_xlpm.all,_xlpm.obs,0))),
     IFERROR(TRANSPOSE(_xlpm.miss),""))</f>
        <v/>
      </c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</row>
    <row r="3" spans="1:1014 1050:2026 2098:3031 3091:3451" s="180" customFormat="1" ht="9" customHeight="1">
      <c r="Y3" s="192"/>
      <c r="AK3" s="195"/>
      <c r="AL3" s="195"/>
      <c r="AM3" s="195"/>
      <c r="AN3" s="195"/>
      <c r="AO3" s="195"/>
      <c r="AP3" s="195"/>
      <c r="AQ3" s="195"/>
      <c r="AR3" s="195"/>
      <c r="AS3" s="195"/>
      <c r="AT3" s="195"/>
      <c r="AU3" s="195"/>
      <c r="AV3" s="195"/>
      <c r="AW3" s="195"/>
      <c r="AX3" s="195"/>
      <c r="AY3" s="195"/>
      <c r="AZ3" s="195"/>
      <c r="BA3" s="195"/>
      <c r="BB3" s="195"/>
      <c r="BC3" s="195"/>
      <c r="BD3" s="195"/>
      <c r="BE3" s="195"/>
      <c r="BF3" s="195"/>
      <c r="BG3" s="195"/>
      <c r="BH3" s="195"/>
      <c r="BI3" s="195"/>
      <c r="BJ3" s="195"/>
      <c r="BK3" s="195"/>
      <c r="BL3" s="195"/>
      <c r="BM3" s="195"/>
      <c r="BN3" s="195"/>
      <c r="BO3" s="195"/>
      <c r="BP3" s="195"/>
    </row>
    <row r="4" spans="1:1014 1050:2026 2098:3031 3091:3451" s="180" customFormat="1" ht="18.75" customHeight="1">
      <c r="B4" s="199" t="s">
        <v>14</v>
      </c>
      <c r="C4" s="200"/>
      <c r="D4" s="184" t="s">
        <v>251</v>
      </c>
      <c r="E4" s="182"/>
      <c r="F4" s="201" t="s">
        <v>15</v>
      </c>
      <c r="G4" s="202"/>
      <c r="H4" s="203" t="s">
        <v>253</v>
      </c>
      <c r="I4" s="204"/>
      <c r="J4" s="204"/>
      <c r="K4" s="204"/>
      <c r="L4" s="204"/>
      <c r="M4" s="205"/>
      <c r="N4" s="188"/>
      <c r="O4" s="206" t="s">
        <v>81</v>
      </c>
      <c r="P4" s="207"/>
      <c r="Q4" s="208"/>
      <c r="R4" s="209" t="s">
        <v>261</v>
      </c>
      <c r="S4" s="210"/>
      <c r="T4" s="210"/>
      <c r="U4" s="210"/>
      <c r="V4" s="210"/>
      <c r="W4" s="210"/>
      <c r="X4" s="189"/>
      <c r="Y4" s="193" t="s">
        <v>265</v>
      </c>
      <c r="Z4" s="181"/>
      <c r="AA4" s="181"/>
      <c r="AB4" s="181"/>
      <c r="AC4" s="181"/>
      <c r="AD4" s="181"/>
      <c r="AE4" s="181"/>
      <c r="AF4" s="181"/>
      <c r="AG4" s="181"/>
      <c r="AH4" s="181"/>
      <c r="AI4" s="181"/>
      <c r="AJ4" s="181"/>
      <c r="AK4" s="195" t="str" cm="1">
        <f t="array" ref="AK4">IFERROR(TRANSPOSE(_xlfn._xlws.SORT(_xlfn.UNIQUE(TRANSPOSE(LEFT(_xlfn._xlws.FILTER(AK10:BP10,AK10:BP10&lt;&gt;""),3))))),"")</f>
        <v/>
      </c>
      <c r="AL4" s="195"/>
      <c r="AM4" s="195"/>
      <c r="AN4" s="195"/>
      <c r="AO4" s="195"/>
      <c r="AP4" s="195"/>
      <c r="AQ4" s="195"/>
      <c r="AR4" s="195"/>
      <c r="AS4" s="195"/>
      <c r="AT4" s="195"/>
      <c r="AU4" s="195"/>
      <c r="AV4" s="195"/>
      <c r="AW4" s="195"/>
      <c r="AX4" s="195"/>
      <c r="AY4" s="195"/>
      <c r="AZ4" s="195"/>
      <c r="BA4" s="195"/>
      <c r="BB4" s="195"/>
      <c r="BC4" s="195"/>
      <c r="BD4" s="195"/>
      <c r="BE4" s="195"/>
      <c r="BF4" s="195"/>
      <c r="BG4" s="195"/>
      <c r="BH4" s="195"/>
      <c r="BI4" s="195"/>
      <c r="BJ4" s="195"/>
      <c r="BK4" s="195"/>
      <c r="BL4" s="195"/>
      <c r="BM4" s="195"/>
      <c r="BN4" s="195"/>
      <c r="BO4" s="195"/>
      <c r="BP4" s="195"/>
    </row>
    <row r="5" spans="1:1014 1050:2026 2098:3031 3091:3451" s="180" customFormat="1" ht="18.75" customHeight="1">
      <c r="B5" s="199" t="s">
        <v>16</v>
      </c>
      <c r="C5" s="200"/>
      <c r="D5" s="184" t="s">
        <v>250</v>
      </c>
      <c r="E5" s="182"/>
      <c r="F5" s="201" t="s">
        <v>17</v>
      </c>
      <c r="G5" s="202"/>
      <c r="H5" s="211" t="s">
        <v>254</v>
      </c>
      <c r="I5" s="204"/>
      <c r="J5" s="204"/>
      <c r="K5" s="204"/>
      <c r="L5" s="204"/>
      <c r="M5" s="205"/>
      <c r="N5" s="188"/>
      <c r="O5" s="206" t="s">
        <v>57</v>
      </c>
      <c r="P5" s="207"/>
      <c r="Q5" s="208"/>
      <c r="R5" s="212"/>
      <c r="S5" s="210"/>
      <c r="T5" s="210"/>
      <c r="U5" s="210"/>
      <c r="V5" s="210"/>
      <c r="W5" s="210"/>
      <c r="X5" s="190"/>
      <c r="Y5" s="193" t="s">
        <v>266</v>
      </c>
      <c r="Z5" s="181"/>
      <c r="AA5" s="181"/>
      <c r="AB5" s="181"/>
      <c r="AC5" s="181"/>
      <c r="AD5" s="181"/>
      <c r="AE5" s="181"/>
      <c r="AF5" s="181"/>
      <c r="AG5" s="181"/>
      <c r="AH5" s="181"/>
      <c r="AI5" s="181"/>
      <c r="AJ5" s="181"/>
      <c r="AK5" s="194" t="str" cm="1">
        <f t="array" ref="AK5">IFERROR(TRANSPOSE(_xlfn._xlws.SORT(_xlfn.UNIQUE(TRANSPOSE(LEFT(_xlfn._xlws.FILTER(AK10:BP10,AK10:BP10&lt;&gt;""),1))))),"")</f>
        <v/>
      </c>
      <c r="AL5" s="116"/>
      <c r="AM5" s="116"/>
      <c r="AN5" s="116"/>
      <c r="AO5" s="116"/>
      <c r="AP5" s="116"/>
      <c r="AQ5" s="116"/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6"/>
      <c r="BF5" s="116"/>
      <c r="BG5" s="116"/>
      <c r="BH5" s="116"/>
      <c r="BI5" s="116"/>
      <c r="BJ5" s="116"/>
      <c r="BK5" s="116"/>
      <c r="BL5" s="116"/>
      <c r="BM5" s="116"/>
      <c r="BN5" s="116"/>
      <c r="BO5" s="116"/>
      <c r="BP5" s="116"/>
    </row>
    <row r="6" spans="1:1014 1050:2026 2098:3031 3091:3451" s="180" customFormat="1" ht="18.75" customHeight="1">
      <c r="B6" s="199" t="s">
        <v>18</v>
      </c>
      <c r="C6" s="200"/>
      <c r="D6" s="183">
        <v>7</v>
      </c>
      <c r="E6" s="182"/>
      <c r="F6" s="201" t="s">
        <v>45</v>
      </c>
      <c r="G6" s="202"/>
      <c r="H6" s="213" t="s">
        <v>255</v>
      </c>
      <c r="I6" s="204"/>
      <c r="J6" s="204"/>
      <c r="K6" s="204"/>
      <c r="L6" s="204"/>
      <c r="M6" s="205"/>
      <c r="N6" s="188"/>
      <c r="O6" s="206" t="s">
        <v>56</v>
      </c>
      <c r="P6" s="207"/>
      <c r="Q6" s="208"/>
      <c r="R6" s="212" t="s">
        <v>260</v>
      </c>
      <c r="S6" s="210"/>
      <c r="T6" s="210"/>
      <c r="U6" s="210"/>
      <c r="V6" s="210"/>
      <c r="W6" s="214"/>
      <c r="X6" s="181"/>
      <c r="Y6" s="193" t="s">
        <v>262</v>
      </c>
      <c r="Z6" s="181"/>
      <c r="AA6" s="181"/>
      <c r="AB6" s="181"/>
      <c r="AC6" s="181"/>
      <c r="AD6" s="181"/>
      <c r="AE6" s="181"/>
      <c r="AF6" s="181"/>
      <c r="AG6" s="181"/>
      <c r="AH6" s="181"/>
      <c r="AI6" s="181"/>
      <c r="AJ6" s="181"/>
      <c r="AK6" s="195"/>
      <c r="AL6" s="195"/>
      <c r="AM6" s="195"/>
      <c r="AN6" s="195"/>
      <c r="AO6" s="195"/>
      <c r="AP6" s="195"/>
      <c r="AQ6" s="195"/>
      <c r="AR6" s="195"/>
      <c r="AS6" s="195"/>
      <c r="AT6" s="195"/>
      <c r="AU6" s="195"/>
      <c r="AV6" s="195"/>
      <c r="AW6" s="195"/>
      <c r="AX6" s="195"/>
      <c r="AY6" s="195"/>
      <c r="AZ6" s="195"/>
      <c r="BA6" s="195"/>
      <c r="BB6" s="195"/>
      <c r="BC6" s="195"/>
      <c r="BD6" s="195"/>
      <c r="BE6" s="195"/>
      <c r="BF6" s="195"/>
      <c r="BG6" s="195"/>
      <c r="BH6" s="196"/>
      <c r="BI6" s="196"/>
      <c r="BJ6" s="196"/>
      <c r="BK6" s="196"/>
      <c r="BL6" s="195"/>
      <c r="BM6" s="195"/>
      <c r="BN6" s="195"/>
      <c r="BO6" s="195"/>
      <c r="BP6" s="195"/>
    </row>
    <row r="7" spans="1:1014 1050:2026 2098:3031 3091:3451" s="180" customFormat="1" ht="9" customHeight="1">
      <c r="B7" s="165"/>
      <c r="C7" s="165"/>
      <c r="D7" s="165"/>
      <c r="E7" s="165"/>
      <c r="F7" s="165"/>
      <c r="G7" s="165"/>
      <c r="H7" s="165"/>
      <c r="I7" s="165"/>
      <c r="J7" s="165"/>
      <c r="K7" s="165"/>
      <c r="L7" s="165"/>
      <c r="M7" s="165"/>
      <c r="O7" s="165"/>
      <c r="P7" s="165"/>
      <c r="Q7" s="165"/>
      <c r="R7" s="165"/>
      <c r="S7" s="165"/>
      <c r="T7" s="165"/>
      <c r="U7" s="165"/>
      <c r="V7" s="165"/>
      <c r="W7" s="165"/>
      <c r="X7" s="165"/>
      <c r="Y7" s="165"/>
      <c r="Z7" s="165"/>
      <c r="AA7" s="165"/>
      <c r="AB7" s="165"/>
      <c r="AC7" s="165"/>
      <c r="AD7" s="165"/>
      <c r="AE7" s="165"/>
      <c r="AF7" s="165"/>
      <c r="AG7" s="165"/>
      <c r="AH7" s="165"/>
      <c r="AI7" s="165"/>
      <c r="AJ7" s="165"/>
    </row>
    <row r="8" spans="1:1014 1050:2026 2098:3031 3091:3451" s="165" customFormat="1" ht="15" customHeight="1">
      <c r="A8" s="179"/>
      <c r="B8" s="215" t="s">
        <v>19</v>
      </c>
      <c r="C8" s="216"/>
      <c r="D8" s="216"/>
      <c r="E8" s="216"/>
      <c r="F8" s="216"/>
      <c r="G8" s="216"/>
      <c r="H8" s="216"/>
      <c r="I8" s="216"/>
      <c r="J8" s="216"/>
      <c r="K8" s="216"/>
      <c r="L8" s="216"/>
      <c r="M8" s="217"/>
      <c r="N8" s="179"/>
      <c r="O8" s="215" t="s">
        <v>25</v>
      </c>
      <c r="P8" s="216"/>
      <c r="Q8" s="216"/>
      <c r="R8" s="216"/>
      <c r="S8" s="216"/>
      <c r="T8" s="216"/>
      <c r="U8" s="216"/>
      <c r="V8" s="216"/>
      <c r="W8" s="216"/>
      <c r="X8" s="216"/>
      <c r="Y8" s="216"/>
      <c r="Z8" s="216"/>
      <c r="AA8" s="216"/>
      <c r="AB8" s="216"/>
      <c r="AC8" s="216"/>
      <c r="AD8" s="216"/>
      <c r="AE8" s="217"/>
      <c r="AG8" s="218" t="s">
        <v>68</v>
      </c>
      <c r="AH8" s="218"/>
      <c r="AI8" s="218"/>
      <c r="AJ8" s="179"/>
      <c r="AK8" s="219"/>
      <c r="AL8" s="220"/>
      <c r="AM8" s="220"/>
      <c r="AN8" s="220"/>
      <c r="AO8" s="220"/>
      <c r="AP8" s="220"/>
      <c r="AQ8" s="220"/>
      <c r="AR8" s="220"/>
      <c r="AS8" s="220"/>
      <c r="AT8" s="220"/>
      <c r="AU8" s="220"/>
      <c r="AV8" s="220"/>
      <c r="AW8" s="220"/>
      <c r="AX8" s="220"/>
      <c r="AY8" s="220"/>
      <c r="AZ8" s="220"/>
      <c r="BA8" s="220"/>
      <c r="BB8" s="220"/>
      <c r="BC8" s="220"/>
      <c r="BD8" s="220"/>
      <c r="BE8" s="220"/>
      <c r="BF8" s="220"/>
      <c r="BG8" s="220"/>
      <c r="BH8" s="220"/>
      <c r="BI8" s="220"/>
      <c r="BJ8" s="220"/>
      <c r="BK8" s="220"/>
      <c r="BL8" s="220"/>
      <c r="BM8" s="220"/>
      <c r="BN8" s="220"/>
      <c r="BO8" s="220"/>
      <c r="BP8" s="221"/>
    </row>
    <row r="9" spans="1:1014 1050:2026 2098:3031 3091:3451" s="165" customFormat="1" ht="24.95" customHeight="1">
      <c r="A9" s="174"/>
      <c r="B9" s="222" t="s">
        <v>249</v>
      </c>
      <c r="C9" s="222" t="s">
        <v>248</v>
      </c>
      <c r="D9" s="178"/>
      <c r="E9" s="178"/>
      <c r="F9" s="178"/>
      <c r="G9" s="177"/>
      <c r="H9" s="176" t="s">
        <v>61</v>
      </c>
      <c r="I9" s="176" t="s">
        <v>62</v>
      </c>
      <c r="J9" s="175"/>
      <c r="K9" s="175"/>
      <c r="L9" s="56"/>
      <c r="M9" s="56"/>
      <c r="N9" s="174"/>
      <c r="O9" s="29"/>
      <c r="P9" s="29"/>
      <c r="Q9" s="30"/>
      <c r="R9" s="29"/>
      <c r="S9" s="28"/>
      <c r="T9" s="28"/>
      <c r="U9" s="28"/>
      <c r="V9" s="28"/>
      <c r="W9" s="28"/>
      <c r="X9" s="28"/>
      <c r="Y9" s="28"/>
      <c r="Z9" s="224" t="s">
        <v>76</v>
      </c>
      <c r="AA9" s="225"/>
      <c r="AB9" s="173" t="s">
        <v>64</v>
      </c>
      <c r="AC9" s="172">
        <v>1.5</v>
      </c>
      <c r="AD9" s="171"/>
      <c r="AE9" s="171"/>
      <c r="AF9" s="170"/>
      <c r="AG9" s="159"/>
      <c r="AH9" s="159"/>
      <c r="AI9" s="158"/>
      <c r="AJ9" s="169"/>
      <c r="AK9" s="168"/>
      <c r="AL9" s="167"/>
      <c r="AM9" s="167"/>
      <c r="AN9" s="167"/>
      <c r="AO9" s="167"/>
      <c r="AP9" s="167"/>
      <c r="AQ9" s="167"/>
      <c r="AR9" s="167"/>
      <c r="AS9" s="167"/>
      <c r="AT9" s="167"/>
      <c r="AU9" s="167"/>
      <c r="AV9" s="167"/>
      <c r="AW9" s="167"/>
      <c r="AX9" s="167"/>
      <c r="AY9" s="167"/>
      <c r="AZ9" s="167"/>
      <c r="BA9" s="167"/>
      <c r="BB9" s="167"/>
      <c r="BC9" s="167"/>
      <c r="BD9" s="167"/>
      <c r="BE9" s="167"/>
      <c r="BF9" s="167"/>
      <c r="BG9" s="167"/>
      <c r="BH9" s="167"/>
      <c r="BI9" s="167"/>
      <c r="BJ9" s="167"/>
      <c r="BK9" s="167"/>
      <c r="BL9" s="167"/>
      <c r="BM9" s="167"/>
      <c r="BN9" s="167"/>
      <c r="BO9" s="167"/>
      <c r="BP9" s="166"/>
    </row>
    <row r="10" spans="1:1014 1050:2026 2098:3031 3091:3451" s="154" customFormat="1" ht="24">
      <c r="A10" s="160"/>
      <c r="B10" s="223"/>
      <c r="C10" s="223"/>
      <c r="D10" s="164" t="s">
        <v>247</v>
      </c>
      <c r="E10" s="164" t="s">
        <v>75</v>
      </c>
      <c r="F10" s="164" t="s">
        <v>26</v>
      </c>
      <c r="G10" s="163" t="s">
        <v>21</v>
      </c>
      <c r="H10" s="162" t="s">
        <v>71</v>
      </c>
      <c r="I10" s="162" t="s">
        <v>72</v>
      </c>
      <c r="J10" s="161" t="s">
        <v>20</v>
      </c>
      <c r="K10" s="161" t="s">
        <v>77</v>
      </c>
      <c r="L10" s="44" t="s">
        <v>3</v>
      </c>
      <c r="M10" s="44" t="s">
        <v>4</v>
      </c>
      <c r="N10" s="160"/>
      <c r="O10" s="32" t="s">
        <v>5</v>
      </c>
      <c r="P10" s="32" t="s">
        <v>6</v>
      </c>
      <c r="Q10" s="33" t="s">
        <v>0</v>
      </c>
      <c r="R10" s="32" t="s">
        <v>7</v>
      </c>
      <c r="S10" s="34" t="s">
        <v>8</v>
      </c>
      <c r="T10" s="34" t="s">
        <v>142</v>
      </c>
      <c r="U10" s="34" t="s">
        <v>143</v>
      </c>
      <c r="V10" s="34" t="s">
        <v>246</v>
      </c>
      <c r="W10" s="34" t="s">
        <v>245</v>
      </c>
      <c r="X10" s="34" t="s">
        <v>11</v>
      </c>
      <c r="Y10" s="34" t="s">
        <v>58</v>
      </c>
      <c r="Z10" s="63" t="s">
        <v>59</v>
      </c>
      <c r="AA10" s="63" t="s">
        <v>60</v>
      </c>
      <c r="AB10" s="45" t="s">
        <v>63</v>
      </c>
      <c r="AC10" s="46" t="s">
        <v>65</v>
      </c>
      <c r="AD10" s="44" t="s">
        <v>23</v>
      </c>
      <c r="AE10" s="44" t="s">
        <v>24</v>
      </c>
      <c r="AF10" s="44" t="s">
        <v>67</v>
      </c>
      <c r="AG10" s="159"/>
      <c r="AH10" s="159"/>
      <c r="AI10" s="158"/>
      <c r="AJ10" s="157"/>
      <c r="AK10" s="155"/>
      <c r="AL10" s="155"/>
      <c r="AM10" s="155"/>
      <c r="AN10" s="155"/>
      <c r="AO10" s="155"/>
      <c r="AP10" s="155"/>
      <c r="AQ10" s="155"/>
      <c r="AR10" s="155"/>
      <c r="AS10" s="155"/>
      <c r="AT10" s="155"/>
      <c r="AU10" s="155"/>
      <c r="AV10" s="155"/>
      <c r="AW10" s="155"/>
      <c r="AX10" s="155"/>
      <c r="AY10" s="155"/>
      <c r="AZ10" s="155"/>
      <c r="BA10" s="155"/>
      <c r="BB10" s="155"/>
      <c r="BC10" s="155"/>
      <c r="BD10" s="155"/>
      <c r="BE10" s="155"/>
      <c r="BF10" s="155"/>
      <c r="BG10" s="155"/>
      <c r="BH10" s="155"/>
      <c r="BI10" s="155"/>
      <c r="BJ10" s="155"/>
      <c r="BK10" s="155"/>
      <c r="BL10" s="155"/>
      <c r="BM10" s="155"/>
      <c r="BN10" s="155"/>
      <c r="BO10" s="155"/>
      <c r="BP10" s="156"/>
    </row>
    <row r="11" spans="1:1014 1050:2026 2098:3031 3091:3451" ht="15" customHeight="1">
      <c r="A11" s="140">
        <v>1</v>
      </c>
      <c r="B11" s="142" t="s">
        <v>244</v>
      </c>
      <c r="C11" s="137" t="s">
        <v>241</v>
      </c>
      <c r="D11" s="145" t="s">
        <v>114</v>
      </c>
      <c r="E11" s="141">
        <v>1.5</v>
      </c>
      <c r="F11" s="137" t="s">
        <v>44</v>
      </c>
      <c r="G11" s="143">
        <v>0.5</v>
      </c>
      <c r="H11" s="144">
        <v>0.01</v>
      </c>
      <c r="I11" s="143">
        <v>-0.01</v>
      </c>
      <c r="J11" s="137" t="s">
        <v>12</v>
      </c>
      <c r="K11" s="136" t="s">
        <v>216</v>
      </c>
      <c r="L11" s="135">
        <f t="shared" ref="L11:L17" si="0">IF(AND(G11="",H11=""),"",IF(G11="",H11,G11+H11))</f>
        <v>0.51</v>
      </c>
      <c r="M11" s="135">
        <f t="shared" ref="M11:M17" si="1">IF(AND(G11="",I11=""),"",IF(G11="",I11,G11+I11))</f>
        <v>0.49</v>
      </c>
      <c r="N11" s="150"/>
      <c r="O11" s="2" t="str">
        <f>IF(OR($AK11="",ISNUMBER($AK11)=FALSE),"",MAX(AK11:BP11))</f>
        <v/>
      </c>
      <c r="P11" s="2" t="str">
        <f>IF(OR($AK11="",ISNUMBER($AK11)=FALSE),"",MIN(AK11:BP11))</f>
        <v/>
      </c>
      <c r="Q11" s="2" t="str">
        <f>IF(OR($AK11="",ISNUMBER($AK11)=FALSE),"",AVERAGE(AK11:BP11))</f>
        <v/>
      </c>
      <c r="R11" s="3" t="str">
        <f>IF(OR($AK11="",ISNUMBER($AK11)=FALSE),"",STDEV(AK11:BP11))</f>
        <v/>
      </c>
      <c r="S11" s="4" t="str">
        <f t="shared" ref="S11:S21" si="2">IF(OR($AK11="",ISNUMBER($AK11)=FALSE),"",IF(AND(G11="",I11=""),V11,IF(AND(G11="",H11=""),W11,(H11+ABS(I11))/(6*R11))))</f>
        <v/>
      </c>
      <c r="T11" s="85" t="str">
        <f t="shared" ref="T11:T31" si="3">IF(OR($AK11="",ISNUMBER($AK11)=FALSE),"",IF(AND($F11="Tolerance",$G11&lt;&gt;""),($Q11-$G11)/(($L11-$M11)/2),IF(AND($F11="GD&amp;T",$H11&lt;&gt;""),$Q11/$H11,"")))</f>
        <v/>
      </c>
      <c r="U11" s="85" t="str">
        <f t="shared" ref="U11:U31" si="4">IF($T11="","",IF(ABS($T11)&lt;=0.125, "Level A",IF(AND(ABS($T11)&gt;0.125,ABS($T11)&lt;=0.25), "Level B",IF(AND(ABS($T11)&gt;0.25,ABS($T11)&lt;=0.5), "Level C", IF(ABS($T11)&gt;0.5, "Level D")))))</f>
        <v/>
      </c>
      <c r="V11" s="4" t="str">
        <f>IF(OR($AK11="",ISNUMBER($AK11)=FALSE),"",IF(H11="","",(L11-Q11)/(3*R11)))</f>
        <v/>
      </c>
      <c r="W11" s="4" t="str">
        <f>IF(OR($AK11="",ISNUMBER($AK11)=FALSE),"",IF(I11="","",(Q11-M11)/(3*R11)))</f>
        <v/>
      </c>
      <c r="X11" s="4" t="str">
        <f>IF(OR($AK11="",ISNUMBER($AK11)=FALSE),"",IF(AND(G11=0,I11=0),((H11)-(Q11))/(3*R11),MIN(V11:W11)))</f>
        <v/>
      </c>
      <c r="Y11" s="148" t="str">
        <f>IF(OR($AK11="",ISNUMBER($AK11)=FALSE),"",IF(AND(G11=0,I11=0),NORMSDIST(3*X11),NORMSDIST(3*X11)+NORMSDIST(6*S11-3*X11)-1))</f>
        <v/>
      </c>
      <c r="Z11" s="132" t="str">
        <f t="shared" ref="Z11:Z16" si="5">IF($Q11="","",IF(F11="Tolerance",IF(($E11*3*R11+Q11)-G11&lt;H11,"",($E11*3*R11+Q11)-G11),IF(OR(F11="GD&amp;T",F11="MAX"),IF(($E11*3*R11+Q11)&lt;H11,"",($E11*3*R11+Q11)),"")))</f>
        <v/>
      </c>
      <c r="AA11" s="132" t="str">
        <f t="shared" ref="AA11:AA16" si="6">IF(Q11="","",IF(F11="Tolerance",IF(-(($E11*3*R11)-Q11)-G11&gt;I11,"",-(($E11*3*R11)-Q11)-G11),IF(F11="MIN",IF(-(($E11*3*R11)-Q11)&gt;I11,"",-(($E11*3*R11)-Q11)),"")))</f>
        <v/>
      </c>
      <c r="AB11" s="132" t="str">
        <f t="shared" ref="AB11:AB16" si="7">IF(OR(G11="",Q11=""),"",(L11+M11)/2-Q11)</f>
        <v/>
      </c>
      <c r="AC11" s="132" t="str">
        <f t="shared" ref="AC11:AC16" si="8">IF(OR($S11&gt;$AC$9,$R11=""),"",$AC$9*6*$R11)</f>
        <v/>
      </c>
      <c r="AD11" s="131"/>
      <c r="AE11" s="130" t="str">
        <f t="shared" ref="AE11:AE16" si="9">IF(AD11="","",IF(AD11&gt;=0.966,"Normal","Not Normal"))</f>
        <v/>
      </c>
      <c r="AF11" s="129"/>
      <c r="AG11" s="128"/>
      <c r="AH11" s="128"/>
      <c r="AI11" s="127"/>
      <c r="AJ11" s="149"/>
      <c r="AK11" s="125"/>
      <c r="AL11" s="125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LT11" s="151"/>
      <c r="RM11" s="151"/>
      <c r="SI11" s="151"/>
      <c r="AIG11" s="151"/>
      <c r="AJM11" s="151"/>
      <c r="AVZ11" s="151"/>
      <c r="AWR11" s="151"/>
      <c r="BAV11" s="151"/>
      <c r="BCR11" s="151"/>
      <c r="CIT11" s="151"/>
      <c r="COU11" s="151"/>
      <c r="DIM11" s="151"/>
      <c r="DNW11" s="151"/>
      <c r="EAO11" s="151"/>
      <c r="EBS11" s="151"/>
    </row>
    <row r="12" spans="1:1014 1050:2026 2098:3031 3091:3451" ht="15" customHeight="1">
      <c r="A12" s="140">
        <v>2</v>
      </c>
      <c r="B12" s="142" t="s">
        <v>243</v>
      </c>
      <c r="C12" s="137" t="s">
        <v>241</v>
      </c>
      <c r="D12" s="145" t="s">
        <v>114</v>
      </c>
      <c r="E12" s="141">
        <v>1.5</v>
      </c>
      <c r="F12" s="137" t="s">
        <v>44</v>
      </c>
      <c r="G12" s="143">
        <v>0.5</v>
      </c>
      <c r="H12" s="144">
        <v>0.01</v>
      </c>
      <c r="I12" s="144">
        <v>-0.01</v>
      </c>
      <c r="J12" s="137" t="s">
        <v>12</v>
      </c>
      <c r="K12" s="136" t="s">
        <v>216</v>
      </c>
      <c r="L12" s="135">
        <f t="shared" si="0"/>
        <v>0.51</v>
      </c>
      <c r="M12" s="134">
        <f t="shared" si="1"/>
        <v>0.49</v>
      </c>
      <c r="N12" s="150"/>
      <c r="O12" s="2" t="str">
        <f t="shared" ref="O12:O32" si="10">IF(OR($AK12="",ISNUMBER($AK12)=FALSE),"",MAX(AK12:BP12))</f>
        <v/>
      </c>
      <c r="P12" s="2" t="str">
        <f t="shared" ref="P12:P32" si="11">IF(OR($AK12="",ISNUMBER($AK12)=FALSE),"",MIN(AK12:BP12))</f>
        <v/>
      </c>
      <c r="Q12" s="2" t="str">
        <f t="shared" ref="Q12:Q32" si="12">IF(OR($AK12="",ISNUMBER($AK12)=FALSE),"",AVERAGE(AK12:BP12))</f>
        <v/>
      </c>
      <c r="R12" s="3" t="str">
        <f t="shared" ref="R12:R32" si="13">IF(OR($AK12="",ISNUMBER($AK12)=FALSE),"",STDEV(AK12:BP12))</f>
        <v/>
      </c>
      <c r="S12" s="4" t="str">
        <f t="shared" si="2"/>
        <v/>
      </c>
      <c r="T12" s="85" t="str">
        <f t="shared" si="3"/>
        <v/>
      </c>
      <c r="U12" s="85" t="str">
        <f t="shared" si="4"/>
        <v/>
      </c>
      <c r="V12" s="4" t="str">
        <f t="shared" ref="V12:V32" si="14">IF(OR($AK12="",ISNUMBER($AK12)=FALSE),"",IF(H12="","",(L12-Q12)/(3*R12)))</f>
        <v/>
      </c>
      <c r="W12" s="4" t="str">
        <f t="shared" ref="W12:W32" si="15">IF(OR($AK12="",ISNUMBER($AK12)=FALSE),"",IF(I12="","",(Q12-M12)/(3*R12)))</f>
        <v/>
      </c>
      <c r="X12" s="4" t="str">
        <f t="shared" ref="X12:X32" si="16">IF(OR($AK12="",ISNUMBER($AK12)=FALSE),"",IF(AND(G12=0,I12=0),((H12)-(Q12))/(3*R12),MIN(V12:W12)))</f>
        <v/>
      </c>
      <c r="Y12" s="148" t="str">
        <f t="shared" ref="Y12:Y32" si="17">IF(OR($AK12="",ISNUMBER($AK12)=FALSE),"",IF(AND(G12=0,I12=0),NORMSDIST(3*X12),NORMSDIST(3*X12)+NORMSDIST(6*S12-3*X12)-1))</f>
        <v/>
      </c>
      <c r="Z12" s="132" t="str">
        <f t="shared" si="5"/>
        <v/>
      </c>
      <c r="AA12" s="132" t="str">
        <f t="shared" si="6"/>
        <v/>
      </c>
      <c r="AB12" s="132" t="str">
        <f t="shared" si="7"/>
        <v/>
      </c>
      <c r="AC12" s="132" t="str">
        <f t="shared" si="8"/>
        <v/>
      </c>
      <c r="AD12" s="131"/>
      <c r="AE12" s="130" t="str">
        <f t="shared" si="9"/>
        <v/>
      </c>
      <c r="AF12" s="129"/>
      <c r="AG12" s="128"/>
      <c r="AH12" s="128"/>
      <c r="AI12" s="127"/>
      <c r="AJ12" s="149"/>
      <c r="AK12" s="125"/>
      <c r="AL12" s="125"/>
      <c r="AM12" s="125"/>
      <c r="AN12" s="125"/>
      <c r="AO12" s="125"/>
      <c r="AP12" s="125"/>
      <c r="AQ12" s="125"/>
      <c r="AR12" s="125"/>
      <c r="AS12" s="125"/>
      <c r="AT12" s="125"/>
      <c r="AU12" s="125"/>
      <c r="AV12" s="125"/>
      <c r="AW12" s="125"/>
      <c r="AX12" s="125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53"/>
      <c r="EL12" s="151"/>
      <c r="FT12" s="151"/>
      <c r="IN12" s="151"/>
      <c r="MH12" s="151"/>
      <c r="RM12" s="151"/>
      <c r="AJM12" s="151"/>
      <c r="ANJ12" s="151"/>
      <c r="ARK12" s="151"/>
      <c r="AWH12" s="151"/>
      <c r="BHW12" s="151"/>
      <c r="BKV12" s="151"/>
      <c r="BNN12" s="151"/>
      <c r="BOV12" s="151"/>
      <c r="BOX12" s="151"/>
      <c r="BSL12" s="151"/>
      <c r="BSS12" s="151"/>
      <c r="BTM12" s="151"/>
      <c r="BYX12" s="151"/>
      <c r="CNE12" s="151"/>
      <c r="CNH12" s="151"/>
      <c r="CNK12" s="151"/>
      <c r="CUD12" s="151"/>
      <c r="CYF12" s="151"/>
      <c r="CYN12" s="151"/>
      <c r="DGO12" s="151"/>
      <c r="DHV12" s="151"/>
      <c r="DKW12" s="151"/>
      <c r="DRS12" s="151"/>
      <c r="DRW12" s="151"/>
      <c r="DSY12" s="151"/>
      <c r="DXI12" s="151"/>
      <c r="DZW12" s="151"/>
    </row>
    <row r="13" spans="1:1014 1050:2026 2098:3031 3091:3451" ht="15" customHeight="1">
      <c r="A13" s="140">
        <v>3</v>
      </c>
      <c r="B13" s="142" t="s">
        <v>242</v>
      </c>
      <c r="C13" s="137" t="s">
        <v>241</v>
      </c>
      <c r="D13" s="145" t="s">
        <v>114</v>
      </c>
      <c r="E13" s="141">
        <v>1.5</v>
      </c>
      <c r="F13" s="137" t="s">
        <v>44</v>
      </c>
      <c r="G13" s="143">
        <v>0.5</v>
      </c>
      <c r="H13" s="144">
        <v>0.01</v>
      </c>
      <c r="I13" s="144">
        <v>-0.01</v>
      </c>
      <c r="J13" s="137" t="s">
        <v>12</v>
      </c>
      <c r="K13" s="136" t="s">
        <v>216</v>
      </c>
      <c r="L13" s="135">
        <f t="shared" si="0"/>
        <v>0.51</v>
      </c>
      <c r="M13" s="134">
        <f t="shared" si="1"/>
        <v>0.49</v>
      </c>
      <c r="N13" s="150"/>
      <c r="O13" s="2" t="str">
        <f t="shared" si="10"/>
        <v/>
      </c>
      <c r="P13" s="2" t="str">
        <f t="shared" si="11"/>
        <v/>
      </c>
      <c r="Q13" s="2" t="str">
        <f t="shared" si="12"/>
        <v/>
      </c>
      <c r="R13" s="3" t="str">
        <f t="shared" si="13"/>
        <v/>
      </c>
      <c r="S13" s="4" t="str">
        <f t="shared" si="2"/>
        <v/>
      </c>
      <c r="T13" s="85" t="str">
        <f t="shared" si="3"/>
        <v/>
      </c>
      <c r="U13" s="85" t="str">
        <f t="shared" si="4"/>
        <v/>
      </c>
      <c r="V13" s="4" t="str">
        <f t="shared" si="14"/>
        <v/>
      </c>
      <c r="W13" s="4" t="str">
        <f t="shared" si="15"/>
        <v/>
      </c>
      <c r="X13" s="4" t="str">
        <f t="shared" si="16"/>
        <v/>
      </c>
      <c r="Y13" s="148" t="str">
        <f t="shared" si="17"/>
        <v/>
      </c>
      <c r="Z13" s="132" t="str">
        <f t="shared" si="5"/>
        <v/>
      </c>
      <c r="AA13" s="132" t="str">
        <f t="shared" si="6"/>
        <v/>
      </c>
      <c r="AB13" s="132" t="str">
        <f t="shared" si="7"/>
        <v/>
      </c>
      <c r="AC13" s="132" t="str">
        <f t="shared" si="8"/>
        <v/>
      </c>
      <c r="AD13" s="131"/>
      <c r="AE13" s="130" t="str">
        <f t="shared" si="9"/>
        <v/>
      </c>
      <c r="AF13" s="129"/>
      <c r="AG13" s="128"/>
      <c r="AH13" s="128"/>
      <c r="AI13" s="127"/>
      <c r="AJ13" s="149"/>
      <c r="AK13" s="125"/>
      <c r="AL13" s="125"/>
      <c r="AM13" s="125"/>
      <c r="AN13" s="125"/>
      <c r="AO13" s="125"/>
      <c r="AP13" s="125"/>
      <c r="AQ13" s="125"/>
      <c r="AR13" s="125"/>
      <c r="AS13" s="125"/>
      <c r="AT13" s="125"/>
      <c r="AU13" s="125"/>
      <c r="AV13" s="125"/>
      <c r="AW13" s="125"/>
      <c r="AX13" s="125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53"/>
      <c r="EM13" s="151"/>
      <c r="IN13" s="151"/>
      <c r="AEX13" s="151"/>
      <c r="BEH13" s="151"/>
      <c r="BIX13" s="151"/>
      <c r="BOA13" s="151"/>
      <c r="BOV13" s="151"/>
      <c r="BQV13" s="151"/>
      <c r="BRB13" s="151"/>
      <c r="BTM13" s="151"/>
      <c r="BVA13" s="151"/>
      <c r="BVI13" s="151"/>
      <c r="BYC13" s="151"/>
      <c r="BYX13" s="151"/>
      <c r="DGR13" s="151"/>
      <c r="DHV13" s="151"/>
      <c r="DNX13" s="151"/>
      <c r="EAV13" s="151"/>
    </row>
    <row r="14" spans="1:1014 1050:2026 2098:3031 3091:3451" ht="15" customHeight="1">
      <c r="A14" s="140">
        <v>4</v>
      </c>
      <c r="B14" s="142" t="s">
        <v>240</v>
      </c>
      <c r="C14" s="137" t="s">
        <v>237</v>
      </c>
      <c r="D14" s="145" t="s">
        <v>114</v>
      </c>
      <c r="E14" s="141">
        <v>1.5</v>
      </c>
      <c r="F14" s="137" t="s">
        <v>44</v>
      </c>
      <c r="G14" s="143">
        <v>0.5</v>
      </c>
      <c r="H14" s="144">
        <v>0.01</v>
      </c>
      <c r="I14" s="143">
        <v>-0.01</v>
      </c>
      <c r="J14" s="137" t="s">
        <v>12</v>
      </c>
      <c r="K14" s="136" t="s">
        <v>216</v>
      </c>
      <c r="L14" s="135">
        <f t="shared" si="0"/>
        <v>0.51</v>
      </c>
      <c r="M14" s="134">
        <f t="shared" si="1"/>
        <v>0.49</v>
      </c>
      <c r="N14" s="150"/>
      <c r="O14" s="2" t="str">
        <f t="shared" si="10"/>
        <v/>
      </c>
      <c r="P14" s="2" t="str">
        <f t="shared" si="11"/>
        <v/>
      </c>
      <c r="Q14" s="2" t="str">
        <f t="shared" si="12"/>
        <v/>
      </c>
      <c r="R14" s="3" t="str">
        <f t="shared" si="13"/>
        <v/>
      </c>
      <c r="S14" s="4" t="str">
        <f t="shared" si="2"/>
        <v/>
      </c>
      <c r="T14" s="85" t="str">
        <f t="shared" si="3"/>
        <v/>
      </c>
      <c r="U14" s="85" t="str">
        <f t="shared" si="4"/>
        <v/>
      </c>
      <c r="V14" s="4" t="str">
        <f t="shared" si="14"/>
        <v/>
      </c>
      <c r="W14" s="4" t="str">
        <f t="shared" si="15"/>
        <v/>
      </c>
      <c r="X14" s="4" t="str">
        <f t="shared" si="16"/>
        <v/>
      </c>
      <c r="Y14" s="148" t="str">
        <f t="shared" si="17"/>
        <v/>
      </c>
      <c r="Z14" s="132" t="str">
        <f t="shared" si="5"/>
        <v/>
      </c>
      <c r="AA14" s="132" t="str">
        <f t="shared" si="6"/>
        <v/>
      </c>
      <c r="AB14" s="132" t="str">
        <f t="shared" si="7"/>
        <v/>
      </c>
      <c r="AC14" s="132" t="str">
        <f t="shared" si="8"/>
        <v/>
      </c>
      <c r="AD14" s="131"/>
      <c r="AE14" s="130" t="str">
        <f t="shared" si="9"/>
        <v/>
      </c>
      <c r="AF14" s="129"/>
      <c r="AG14" s="128"/>
      <c r="AH14" s="128"/>
      <c r="AI14" s="127"/>
      <c r="AJ14" s="149"/>
      <c r="AK14" s="125"/>
      <c r="AL14" s="125"/>
      <c r="AM14" s="125"/>
      <c r="AN14" s="125"/>
      <c r="AO14" s="125"/>
      <c r="AP14" s="125"/>
      <c r="AQ14" s="125"/>
      <c r="AR14" s="125"/>
      <c r="AS14" s="125"/>
      <c r="AT14" s="125"/>
      <c r="AU14" s="125"/>
      <c r="AV14" s="125"/>
      <c r="AW14" s="125"/>
      <c r="AX14" s="125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53"/>
      <c r="DR14" s="151"/>
      <c r="JV14" s="151"/>
      <c r="PK14" s="151"/>
      <c r="SJ14" s="151"/>
      <c r="AAC14" s="151"/>
      <c r="AAQ14" s="151"/>
      <c r="AKZ14" s="151"/>
      <c r="ALZ14" s="151"/>
      <c r="API14" s="151"/>
      <c r="AQN14" s="151"/>
      <c r="AUC14" s="151"/>
      <c r="AZI14" s="151"/>
      <c r="AZS14" s="151"/>
      <c r="BFU14" s="151"/>
      <c r="BII14" s="151"/>
      <c r="BNT14" s="151"/>
      <c r="BRM14" s="151"/>
      <c r="BSB14" s="151"/>
      <c r="BUQ14" s="151"/>
      <c r="BUV14" s="151"/>
      <c r="BVF14" s="151"/>
      <c r="BWV14" s="151"/>
      <c r="CBV14" s="151"/>
      <c r="CDS14" s="151"/>
      <c r="CEK14" s="151"/>
      <c r="CEL14" s="151"/>
      <c r="CJH14" s="151"/>
      <c r="CLI14" s="151"/>
      <c r="CNF14" s="151"/>
      <c r="COV14" s="151"/>
      <c r="CPY14" s="151"/>
      <c r="CQT14" s="151"/>
      <c r="CSM14" s="151"/>
      <c r="CYJ14" s="151"/>
      <c r="DCC14" s="151"/>
      <c r="DDN14" s="151"/>
      <c r="DGX14" s="151"/>
      <c r="DHG14" s="151"/>
      <c r="DLO14" s="151"/>
      <c r="DRO14" s="151"/>
      <c r="DRP14" s="151"/>
      <c r="DUF14" s="151"/>
      <c r="EAP14" s="151"/>
    </row>
    <row r="15" spans="1:1014 1050:2026 2098:3031 3091:3451" ht="15" customHeight="1">
      <c r="A15" s="140">
        <v>5</v>
      </c>
      <c r="B15" s="142" t="s">
        <v>239</v>
      </c>
      <c r="C15" s="137" t="s">
        <v>237</v>
      </c>
      <c r="D15" s="145" t="s">
        <v>114</v>
      </c>
      <c r="E15" s="141">
        <v>1.5</v>
      </c>
      <c r="F15" s="137" t="s">
        <v>44</v>
      </c>
      <c r="G15" s="143">
        <v>0.5</v>
      </c>
      <c r="H15" s="144">
        <v>0.01</v>
      </c>
      <c r="I15" s="143">
        <v>-0.01</v>
      </c>
      <c r="J15" s="137" t="s">
        <v>12</v>
      </c>
      <c r="K15" s="136" t="s">
        <v>216</v>
      </c>
      <c r="L15" s="135">
        <f t="shared" si="0"/>
        <v>0.51</v>
      </c>
      <c r="M15" s="134">
        <f t="shared" si="1"/>
        <v>0.49</v>
      </c>
      <c r="N15" s="150"/>
      <c r="O15" s="2" t="str">
        <f t="shared" si="10"/>
        <v/>
      </c>
      <c r="P15" s="2" t="str">
        <f t="shared" si="11"/>
        <v/>
      </c>
      <c r="Q15" s="2" t="str">
        <f t="shared" si="12"/>
        <v/>
      </c>
      <c r="R15" s="3" t="str">
        <f t="shared" si="13"/>
        <v/>
      </c>
      <c r="S15" s="4" t="str">
        <f t="shared" si="2"/>
        <v/>
      </c>
      <c r="T15" s="85" t="str">
        <f t="shared" si="3"/>
        <v/>
      </c>
      <c r="U15" s="85" t="str">
        <f t="shared" si="4"/>
        <v/>
      </c>
      <c r="V15" s="4" t="str">
        <f t="shared" si="14"/>
        <v/>
      </c>
      <c r="W15" s="4" t="str">
        <f t="shared" si="15"/>
        <v/>
      </c>
      <c r="X15" s="4" t="str">
        <f t="shared" si="16"/>
        <v/>
      </c>
      <c r="Y15" s="148" t="str">
        <f t="shared" si="17"/>
        <v/>
      </c>
      <c r="Z15" s="132" t="str">
        <f t="shared" si="5"/>
        <v/>
      </c>
      <c r="AA15" s="132" t="str">
        <f t="shared" si="6"/>
        <v/>
      </c>
      <c r="AB15" s="132" t="str">
        <f t="shared" si="7"/>
        <v/>
      </c>
      <c r="AC15" s="132" t="str">
        <f t="shared" si="8"/>
        <v/>
      </c>
      <c r="AD15" s="131"/>
      <c r="AE15" s="130" t="str">
        <f t="shared" si="9"/>
        <v/>
      </c>
      <c r="AF15" s="129"/>
      <c r="AG15" s="128"/>
      <c r="AH15" s="128"/>
      <c r="AI15" s="127"/>
      <c r="AJ15" s="149"/>
      <c r="AK15" s="125"/>
      <c r="AL15" s="125"/>
      <c r="AM15" s="125"/>
      <c r="AN15" s="125"/>
      <c r="AO15" s="125"/>
      <c r="AP15" s="125"/>
      <c r="AQ15" s="125"/>
      <c r="AR15" s="125"/>
      <c r="AS15" s="125"/>
      <c r="AT15" s="125"/>
      <c r="AU15" s="125"/>
      <c r="AV15" s="125"/>
      <c r="AW15" s="125"/>
      <c r="AX15" s="125"/>
      <c r="AY15" s="125"/>
      <c r="AZ15" s="125"/>
      <c r="BA15" s="125"/>
      <c r="BB15" s="125"/>
      <c r="BC15" s="125"/>
      <c r="BD15" s="125"/>
      <c r="BE15" s="125"/>
      <c r="BF15" s="125"/>
      <c r="BG15" s="125"/>
      <c r="BH15" s="125"/>
      <c r="BI15" s="125"/>
      <c r="BJ15" s="125"/>
      <c r="BK15" s="125"/>
      <c r="BL15" s="125"/>
      <c r="BM15" s="125"/>
      <c r="BN15" s="125"/>
      <c r="BO15" s="125"/>
      <c r="BP15" s="153"/>
      <c r="CI15" s="151"/>
      <c r="CO15" s="151"/>
      <c r="DR15" s="151"/>
      <c r="DY15" s="151"/>
      <c r="EJ15" s="151"/>
      <c r="EV15" s="151"/>
      <c r="TG15" s="151"/>
      <c r="WL15" s="151"/>
      <c r="XM15" s="151"/>
      <c r="AAC15" s="151"/>
      <c r="AJU15" s="151"/>
      <c r="BII15" s="151"/>
      <c r="BJI15" s="151"/>
      <c r="BLW15" s="151"/>
      <c r="BNV15" s="151"/>
      <c r="BNY15" s="151"/>
      <c r="BOF15" s="151"/>
      <c r="BSB15" s="151"/>
      <c r="BUV15" s="151"/>
      <c r="BXC15" s="151"/>
      <c r="CEL15" s="151"/>
      <c r="CJL15" s="151"/>
      <c r="CNB15" s="151"/>
      <c r="CNF15" s="151"/>
      <c r="COS15" s="151"/>
      <c r="CPC15" s="151"/>
      <c r="CPN15" s="151"/>
      <c r="CWP15" s="151"/>
      <c r="CYJ15" s="151"/>
      <c r="DCC15" s="151"/>
      <c r="DFG15" s="151"/>
      <c r="DFT15" s="151"/>
      <c r="DFU15" s="151"/>
      <c r="DGR15" s="151"/>
      <c r="DHI15" s="151"/>
      <c r="DRP15" s="151"/>
      <c r="DSZ15" s="151"/>
    </row>
    <row r="16" spans="1:1014 1050:2026 2098:3031 3091:3451" ht="15" customHeight="1">
      <c r="A16" s="140">
        <v>6</v>
      </c>
      <c r="B16" s="142" t="s">
        <v>238</v>
      </c>
      <c r="C16" s="137" t="s">
        <v>237</v>
      </c>
      <c r="D16" s="145" t="s">
        <v>114</v>
      </c>
      <c r="E16" s="141">
        <v>1.5</v>
      </c>
      <c r="F16" s="137" t="s">
        <v>44</v>
      </c>
      <c r="G16" s="143">
        <v>0.5</v>
      </c>
      <c r="H16" s="144">
        <v>0.01</v>
      </c>
      <c r="I16" s="144">
        <v>-0.01</v>
      </c>
      <c r="J16" s="137" t="s">
        <v>12</v>
      </c>
      <c r="K16" s="136" t="s">
        <v>216</v>
      </c>
      <c r="L16" s="135">
        <f t="shared" si="0"/>
        <v>0.51</v>
      </c>
      <c r="M16" s="134">
        <f t="shared" si="1"/>
        <v>0.49</v>
      </c>
      <c r="N16" s="150"/>
      <c r="O16" s="2" t="str">
        <f t="shared" si="10"/>
        <v/>
      </c>
      <c r="P16" s="2" t="str">
        <f t="shared" si="11"/>
        <v/>
      </c>
      <c r="Q16" s="2" t="str">
        <f t="shared" si="12"/>
        <v/>
      </c>
      <c r="R16" s="3" t="str">
        <f t="shared" si="13"/>
        <v/>
      </c>
      <c r="S16" s="4" t="str">
        <f t="shared" si="2"/>
        <v/>
      </c>
      <c r="T16" s="85" t="str">
        <f t="shared" si="3"/>
        <v/>
      </c>
      <c r="U16" s="85" t="str">
        <f t="shared" si="4"/>
        <v/>
      </c>
      <c r="V16" s="4" t="str">
        <f t="shared" si="14"/>
        <v/>
      </c>
      <c r="W16" s="4" t="str">
        <f t="shared" si="15"/>
        <v/>
      </c>
      <c r="X16" s="4" t="str">
        <f t="shared" si="16"/>
        <v/>
      </c>
      <c r="Y16" s="148" t="str">
        <f t="shared" si="17"/>
        <v/>
      </c>
      <c r="Z16" s="132" t="str">
        <f t="shared" si="5"/>
        <v/>
      </c>
      <c r="AA16" s="132" t="str">
        <f t="shared" si="6"/>
        <v/>
      </c>
      <c r="AB16" s="132" t="str">
        <f t="shared" si="7"/>
        <v/>
      </c>
      <c r="AC16" s="132" t="str">
        <f t="shared" si="8"/>
        <v/>
      </c>
      <c r="AD16" s="131"/>
      <c r="AE16" s="130" t="str">
        <f t="shared" si="9"/>
        <v/>
      </c>
      <c r="AF16" s="129"/>
      <c r="AG16" s="128"/>
      <c r="AH16" s="128"/>
      <c r="AI16" s="127"/>
      <c r="AJ16" s="149"/>
      <c r="AK16" s="125"/>
      <c r="AL16" s="125"/>
      <c r="AM16" s="125"/>
      <c r="AN16" s="125"/>
      <c r="AO16" s="125"/>
      <c r="AP16" s="125"/>
      <c r="AQ16" s="125"/>
      <c r="AR16" s="125"/>
      <c r="AS16" s="125"/>
      <c r="AT16" s="125"/>
      <c r="AU16" s="125"/>
      <c r="AV16" s="125"/>
      <c r="AW16" s="125"/>
      <c r="AX16" s="125"/>
      <c r="AY16" s="125"/>
      <c r="AZ16" s="125"/>
      <c r="BA16" s="125"/>
      <c r="BB16" s="125"/>
      <c r="BC16" s="125"/>
      <c r="BD16" s="125"/>
      <c r="BE16" s="125"/>
      <c r="BF16" s="125"/>
      <c r="BG16" s="125"/>
      <c r="BH16" s="125"/>
      <c r="BI16" s="125"/>
      <c r="BJ16" s="125"/>
      <c r="BK16" s="125"/>
      <c r="BL16" s="125"/>
      <c r="BM16" s="125"/>
      <c r="BN16" s="125"/>
      <c r="BO16" s="125"/>
      <c r="BP16" s="153"/>
      <c r="CH16" s="151"/>
      <c r="EL16" s="151"/>
      <c r="FT16" s="151"/>
      <c r="IN16" s="151"/>
      <c r="MH16" s="151"/>
      <c r="OK16" s="151"/>
      <c r="RM16" s="151"/>
      <c r="AJM16" s="151"/>
      <c r="ANJ16" s="151"/>
      <c r="AWH16" s="151"/>
      <c r="BKV16" s="151"/>
      <c r="BNN16" s="151"/>
      <c r="BOX16" s="151"/>
      <c r="BRM16" s="151"/>
      <c r="BTM16" s="151"/>
      <c r="CBR16" s="151"/>
      <c r="CGE16" s="151"/>
      <c r="CIT16" s="151"/>
      <c r="CNK16" s="151"/>
      <c r="CYN16" s="151"/>
      <c r="DRW16" s="151"/>
    </row>
    <row r="17" spans="1:1010 1031:2023 2062:3072 3077:3460" ht="15" customHeight="1">
      <c r="A17" s="140">
        <v>7</v>
      </c>
      <c r="B17" s="142">
        <v>8</v>
      </c>
      <c r="C17" s="137" t="s">
        <v>236</v>
      </c>
      <c r="D17" s="145" t="s">
        <v>115</v>
      </c>
      <c r="E17" s="141">
        <v>1.5</v>
      </c>
      <c r="F17" s="137" t="s">
        <v>41</v>
      </c>
      <c r="G17" s="143"/>
      <c r="H17" s="144">
        <v>0.03</v>
      </c>
      <c r="I17" s="144" t="s">
        <v>263</v>
      </c>
      <c r="J17" s="137" t="s">
        <v>12</v>
      </c>
      <c r="K17" s="136" t="s">
        <v>216</v>
      </c>
      <c r="L17" s="135">
        <f t="shared" si="0"/>
        <v>0.03</v>
      </c>
      <c r="M17" s="134" t="str">
        <f t="shared" si="1"/>
        <v/>
      </c>
      <c r="N17" s="150"/>
      <c r="O17" s="2" t="str">
        <f t="shared" si="10"/>
        <v/>
      </c>
      <c r="P17" s="2" t="str">
        <f t="shared" si="11"/>
        <v/>
      </c>
      <c r="Q17" s="2" t="str">
        <f t="shared" si="12"/>
        <v/>
      </c>
      <c r="R17" s="3" t="str">
        <f t="shared" si="13"/>
        <v/>
      </c>
      <c r="S17" s="4" t="str">
        <f t="shared" si="2"/>
        <v/>
      </c>
      <c r="T17" s="85" t="str">
        <f t="shared" si="3"/>
        <v/>
      </c>
      <c r="U17" s="85" t="str">
        <f t="shared" si="4"/>
        <v/>
      </c>
      <c r="V17" s="4" t="str">
        <f t="shared" si="14"/>
        <v/>
      </c>
      <c r="W17" s="4" t="str">
        <f t="shared" si="15"/>
        <v/>
      </c>
      <c r="X17" s="4" t="str">
        <f t="shared" si="16"/>
        <v/>
      </c>
      <c r="Y17" s="148" t="str">
        <f t="shared" si="17"/>
        <v/>
      </c>
      <c r="Z17" s="132" t="str">
        <f t="shared" ref="Z17:Z26" si="18">IF($Q17="","",IF(F17="Tolerance",IF(($E17*3*R17+Q17)-G17&lt;H17,"",($E17*3*R17+Q17)-G17),IF(OR(F17="GD&amp;T",F17="MAX"),IF(($E17*3*R17+Q17)&lt;H17,"",($E17*3*R17+Q17)),"")))</f>
        <v/>
      </c>
      <c r="AA17" s="132" t="str">
        <f t="shared" ref="AA17:AA26" si="19">IF(Q17="","",IF(F17="Tolerance",IF(-(($E17*3*R17)-Q17)-G17&gt;I17,"",-(($E17*3*R17)-Q17)-G17),IF(F17="MIN",IF(-(($E17*3*R17)-Q17)&gt;I17,"",-(($E17*3*R17)-Q17)),"")))</f>
        <v/>
      </c>
      <c r="AB17" s="132" t="str">
        <f t="shared" ref="AB17:AB26" si="20">IF(OR(G17="",Q17=""),"",(L17+M17)/2-Q17)</f>
        <v/>
      </c>
      <c r="AC17" s="132" t="str">
        <f t="shared" ref="AC17:AC26" si="21">IF(OR($S17&gt;$AC$9,$R17=""),"",$AC$9*6*$R17)</f>
        <v/>
      </c>
      <c r="AD17" s="131"/>
      <c r="AE17" s="130" t="str">
        <f t="shared" ref="AE17:AE26" si="22">IF(AD17="","",IF(AD17&gt;=0.966,"Normal","Not Normal"))</f>
        <v/>
      </c>
      <c r="AF17" s="129"/>
      <c r="AG17" s="128"/>
      <c r="AH17" s="128"/>
      <c r="AI17" s="127"/>
      <c r="AJ17" s="149"/>
      <c r="AK17" s="125"/>
      <c r="AL17" s="125"/>
      <c r="AM17" s="125"/>
      <c r="AN17" s="125"/>
      <c r="AO17" s="125"/>
      <c r="AP17" s="125"/>
      <c r="AQ17" s="125"/>
      <c r="AR17" s="125"/>
      <c r="AS17" s="125"/>
      <c r="AT17" s="125"/>
      <c r="AU17" s="125"/>
      <c r="AV17" s="125"/>
      <c r="AW17" s="125"/>
      <c r="AX17" s="125"/>
      <c r="AY17" s="125"/>
      <c r="AZ17" s="125"/>
      <c r="BA17" s="125"/>
      <c r="BB17" s="125"/>
      <c r="BC17" s="125"/>
      <c r="BD17" s="125"/>
      <c r="BE17" s="125"/>
      <c r="BF17" s="125"/>
      <c r="BG17" s="125"/>
      <c r="BH17" s="125"/>
      <c r="BI17" s="125"/>
      <c r="BJ17" s="125"/>
      <c r="BK17" s="125"/>
      <c r="BL17" s="125"/>
      <c r="BM17" s="125"/>
      <c r="BN17" s="125"/>
      <c r="BO17" s="125"/>
      <c r="BP17" s="153"/>
      <c r="BS17" s="151"/>
      <c r="EU17" s="151"/>
      <c r="GI17" s="151"/>
      <c r="MC17" s="151"/>
      <c r="MP17" s="151"/>
      <c r="PF17" s="151"/>
      <c r="VW17" s="151"/>
      <c r="WW17" s="151"/>
      <c r="ZG17" s="151"/>
      <c r="AAQ17" s="151"/>
      <c r="ABE17" s="151"/>
      <c r="ACL17" s="151"/>
      <c r="AGO17" s="151"/>
      <c r="AIE17" s="151"/>
      <c r="AKB17" s="151"/>
      <c r="ALB17" s="151"/>
      <c r="AMQ17" s="151"/>
      <c r="ANO17" s="151"/>
      <c r="ANS17" s="151"/>
      <c r="AOI17" s="151"/>
      <c r="AOP17" s="151"/>
      <c r="AOQ17" s="151"/>
      <c r="APS17" s="151"/>
      <c r="ASD17" s="151"/>
      <c r="AYC17" s="151"/>
      <c r="BAE17" s="151"/>
      <c r="BBE17" s="151"/>
      <c r="BCW17" s="151"/>
      <c r="BDR17" s="151"/>
      <c r="BPY17" s="151"/>
      <c r="BRX17" s="151"/>
      <c r="CDN17" s="151"/>
      <c r="CEK17" s="151"/>
      <c r="CJX17" s="151"/>
      <c r="CVI17" s="151"/>
      <c r="DKW17" s="151"/>
      <c r="DRE17" s="151"/>
      <c r="DRP17" s="151"/>
      <c r="DSO17" s="151"/>
      <c r="DTR17" s="151"/>
    </row>
    <row r="18" spans="1:1010 1031:2023 2062:3072 3077:3460" ht="15" customHeight="1">
      <c r="A18" s="140">
        <v>11</v>
      </c>
      <c r="B18" s="142">
        <v>9</v>
      </c>
      <c r="C18" s="137" t="s">
        <v>235</v>
      </c>
      <c r="D18" s="145" t="s">
        <v>116</v>
      </c>
      <c r="E18" s="141">
        <v>1.5</v>
      </c>
      <c r="F18" s="137" t="s">
        <v>41</v>
      </c>
      <c r="G18" s="143"/>
      <c r="H18" s="144">
        <v>0.03</v>
      </c>
      <c r="I18" s="144" t="s">
        <v>263</v>
      </c>
      <c r="J18" s="137" t="s">
        <v>12</v>
      </c>
      <c r="K18" s="136" t="s">
        <v>216</v>
      </c>
      <c r="L18" s="135">
        <f>IF(AND(G18="",H18=""),"",IF(G18="",H18,G18+H18))</f>
        <v>0.03</v>
      </c>
      <c r="M18" s="134" t="str">
        <f>IF(AND(G18="",I18=""),"",IF(G18="",I18,G18+I18))</f>
        <v/>
      </c>
      <c r="N18" s="150"/>
      <c r="O18" s="2" t="str">
        <f t="shared" si="10"/>
        <v/>
      </c>
      <c r="P18" s="2" t="str">
        <f t="shared" si="11"/>
        <v/>
      </c>
      <c r="Q18" s="2" t="str">
        <f t="shared" si="12"/>
        <v/>
      </c>
      <c r="R18" s="3" t="str">
        <f t="shared" si="13"/>
        <v/>
      </c>
      <c r="S18" s="4" t="str">
        <f t="shared" si="2"/>
        <v/>
      </c>
      <c r="T18" s="85" t="str">
        <f t="shared" si="3"/>
        <v/>
      </c>
      <c r="U18" s="85" t="str">
        <f t="shared" si="4"/>
        <v/>
      </c>
      <c r="V18" s="4" t="str">
        <f t="shared" si="14"/>
        <v/>
      </c>
      <c r="W18" s="4" t="str">
        <f t="shared" si="15"/>
        <v/>
      </c>
      <c r="X18" s="4" t="str">
        <f t="shared" si="16"/>
        <v/>
      </c>
      <c r="Y18" s="148" t="str">
        <f t="shared" si="17"/>
        <v/>
      </c>
      <c r="Z18" s="132" t="str">
        <f t="shared" si="18"/>
        <v/>
      </c>
      <c r="AA18" s="132" t="str">
        <f t="shared" si="19"/>
        <v/>
      </c>
      <c r="AB18" s="132" t="str">
        <f t="shared" si="20"/>
        <v/>
      </c>
      <c r="AC18" s="132" t="str">
        <f t="shared" si="21"/>
        <v/>
      </c>
      <c r="AD18" s="131"/>
      <c r="AE18" s="130" t="str">
        <f t="shared" si="22"/>
        <v/>
      </c>
      <c r="AF18" s="129"/>
      <c r="AG18" s="128"/>
      <c r="AH18" s="128"/>
      <c r="AI18" s="127"/>
      <c r="AJ18" s="149"/>
      <c r="AK18" s="125"/>
      <c r="AL18" s="125"/>
      <c r="AM18" s="125"/>
      <c r="AN18" s="125"/>
      <c r="AO18" s="125"/>
      <c r="AP18" s="125"/>
      <c r="AQ18" s="125"/>
      <c r="AR18" s="125"/>
      <c r="AS18" s="125"/>
      <c r="AT18" s="125"/>
      <c r="AU18" s="125"/>
      <c r="AV18" s="125"/>
      <c r="AW18" s="125"/>
      <c r="AX18" s="125"/>
      <c r="AY18" s="125"/>
      <c r="AZ18" s="125"/>
      <c r="BA18" s="125"/>
      <c r="BB18" s="125"/>
      <c r="BC18" s="125"/>
      <c r="BD18" s="125"/>
      <c r="BE18" s="125"/>
      <c r="BF18" s="125"/>
      <c r="BG18" s="125"/>
      <c r="BH18" s="125"/>
      <c r="BI18" s="125"/>
      <c r="BJ18" s="125"/>
      <c r="BK18" s="125"/>
      <c r="BL18" s="125"/>
      <c r="BM18" s="125"/>
      <c r="BN18" s="125"/>
      <c r="BO18" s="125"/>
      <c r="BP18" s="125"/>
      <c r="DE18" s="151"/>
      <c r="FT18" s="151"/>
      <c r="JV18" s="151"/>
      <c r="OJ18" s="151"/>
      <c r="UT18" s="151"/>
      <c r="WH18" s="151"/>
      <c r="XM18" s="151"/>
      <c r="AHQ18" s="151"/>
      <c r="AJX18" s="151"/>
      <c r="ALD18" s="151"/>
      <c r="ALV18" s="151"/>
      <c r="AOV18" s="151"/>
      <c r="AQT18" s="151"/>
      <c r="AUY18" s="151"/>
      <c r="BBA18" s="151"/>
      <c r="BCR18" s="151"/>
      <c r="BEG18" s="151"/>
      <c r="BJK18" s="151"/>
      <c r="BNH18" s="151"/>
      <c r="BQL18" s="151"/>
      <c r="BRG18" s="151"/>
      <c r="BRV18" s="151"/>
      <c r="BWP18" s="151"/>
      <c r="BXC18" s="151"/>
      <c r="CFI18" s="151"/>
      <c r="CFL18" s="151"/>
      <c r="CSM18" s="151"/>
      <c r="DGQ18" s="151"/>
      <c r="DGT18" s="151"/>
      <c r="DHJ18" s="151"/>
      <c r="DIJ18" s="151"/>
      <c r="DOH18" s="151"/>
      <c r="DOL18" s="151"/>
      <c r="DPO18" s="151"/>
      <c r="DYC18" s="151"/>
      <c r="DYW18" s="151"/>
      <c r="EBK18" s="151"/>
    </row>
    <row r="19" spans="1:1010 1031:2023 2062:3072 3077:3460" ht="15" customHeight="1">
      <c r="A19" s="140">
        <v>12</v>
      </c>
      <c r="B19" s="142" t="s">
        <v>234</v>
      </c>
      <c r="C19" s="137" t="s">
        <v>231</v>
      </c>
      <c r="D19" s="145" t="s">
        <v>117</v>
      </c>
      <c r="E19" s="141">
        <v>1.33</v>
      </c>
      <c r="F19" s="137" t="s">
        <v>44</v>
      </c>
      <c r="G19" s="143">
        <v>1.0900000000000001</v>
      </c>
      <c r="H19" s="144">
        <v>1.4999999999999999E-2</v>
      </c>
      <c r="I19" s="144">
        <v>-0.01</v>
      </c>
      <c r="J19" s="137" t="s">
        <v>12</v>
      </c>
      <c r="K19" s="136" t="s">
        <v>216</v>
      </c>
      <c r="L19" s="135">
        <f>IF(AND(G19="",H19=""),"",IF(G19="",H19,G19+H19))</f>
        <v>1.105</v>
      </c>
      <c r="M19" s="134">
        <f>IF(AND(G19="",I19=""),"",IF(G19="",I19,G19+I19))</f>
        <v>1.08</v>
      </c>
      <c r="N19" s="133"/>
      <c r="O19" s="2" t="str">
        <f t="shared" si="10"/>
        <v/>
      </c>
      <c r="P19" s="2" t="str">
        <f t="shared" si="11"/>
        <v/>
      </c>
      <c r="Q19" s="2" t="str">
        <f t="shared" si="12"/>
        <v/>
      </c>
      <c r="R19" s="3" t="str">
        <f t="shared" si="13"/>
        <v/>
      </c>
      <c r="S19" s="4" t="str">
        <f t="shared" si="2"/>
        <v/>
      </c>
      <c r="T19" s="85" t="str">
        <f t="shared" si="3"/>
        <v/>
      </c>
      <c r="U19" s="85" t="str">
        <f t="shared" si="4"/>
        <v/>
      </c>
      <c r="V19" s="4" t="str">
        <f t="shared" si="14"/>
        <v/>
      </c>
      <c r="W19" s="4" t="str">
        <f t="shared" si="15"/>
        <v/>
      </c>
      <c r="X19" s="4" t="str">
        <f t="shared" si="16"/>
        <v/>
      </c>
      <c r="Y19" s="148" t="str">
        <f t="shared" si="17"/>
        <v/>
      </c>
      <c r="Z19" s="132" t="str">
        <f t="shared" si="18"/>
        <v/>
      </c>
      <c r="AA19" s="132" t="str">
        <f t="shared" si="19"/>
        <v/>
      </c>
      <c r="AB19" s="132" t="str">
        <f t="shared" si="20"/>
        <v/>
      </c>
      <c r="AC19" s="132" t="str">
        <f t="shared" si="21"/>
        <v/>
      </c>
      <c r="AD19" s="131"/>
      <c r="AE19" s="130" t="str">
        <f t="shared" si="22"/>
        <v/>
      </c>
      <c r="AF19" s="129"/>
      <c r="AG19" s="128"/>
      <c r="AH19" s="128"/>
      <c r="AI19" s="127"/>
      <c r="AJ19" s="126"/>
      <c r="AK19" s="125"/>
      <c r="AL19" s="125"/>
      <c r="AM19" s="125"/>
      <c r="AN19" s="125"/>
      <c r="AO19" s="125"/>
      <c r="AP19" s="125"/>
      <c r="AQ19" s="125"/>
      <c r="AR19" s="125"/>
      <c r="AS19" s="125"/>
      <c r="AT19" s="125"/>
      <c r="AU19" s="125"/>
      <c r="AV19" s="125"/>
      <c r="AW19" s="125"/>
      <c r="AX19" s="125"/>
      <c r="AY19" s="125"/>
      <c r="AZ19" s="125"/>
      <c r="BA19" s="125"/>
      <c r="BB19" s="125"/>
      <c r="BC19" s="125"/>
      <c r="BD19" s="125"/>
      <c r="BE19" s="125"/>
      <c r="BF19" s="125"/>
      <c r="BG19" s="125"/>
      <c r="BH19" s="125"/>
      <c r="BI19" s="125"/>
      <c r="BJ19" s="125"/>
      <c r="BK19" s="125"/>
      <c r="BL19" s="125"/>
      <c r="BM19" s="125"/>
      <c r="BN19" s="125"/>
      <c r="BO19" s="125"/>
      <c r="BP19" s="125"/>
      <c r="FT19" s="151"/>
      <c r="JV19" s="151"/>
      <c r="WH19" s="151"/>
      <c r="XM19" s="151"/>
      <c r="AHQ19" s="151"/>
      <c r="AJM19" s="151"/>
      <c r="AJX19" s="151"/>
      <c r="ALD19" s="151"/>
      <c r="ALV19" s="151"/>
      <c r="AOV19" s="151"/>
      <c r="API19" s="151"/>
      <c r="AQT19" s="151"/>
      <c r="AUY19" s="151"/>
      <c r="AXP19" s="151"/>
      <c r="BBA19" s="151"/>
      <c r="BCR19" s="151"/>
      <c r="BEG19" s="151"/>
      <c r="BIN19" s="151"/>
      <c r="BNH19" s="151"/>
      <c r="BQL19" s="151"/>
      <c r="BRG19" s="151"/>
      <c r="BWP19" s="151"/>
      <c r="BXC19" s="151"/>
      <c r="CFI19" s="151"/>
      <c r="DGQ19" s="151"/>
      <c r="DGT19" s="151"/>
      <c r="DHJ19" s="151"/>
      <c r="DIJ19" s="151"/>
      <c r="DOH19" s="151"/>
      <c r="DOL19" s="151"/>
      <c r="DPO19" s="151"/>
      <c r="DRE19" s="151"/>
      <c r="DYC19" s="151"/>
      <c r="DYW19" s="151"/>
    </row>
    <row r="20" spans="1:1010 1031:2023 2062:3072 3077:3460" ht="15" customHeight="1">
      <c r="A20" s="140">
        <v>13</v>
      </c>
      <c r="B20" s="142" t="s">
        <v>233</v>
      </c>
      <c r="C20" s="137" t="s">
        <v>231</v>
      </c>
      <c r="D20" s="145" t="s">
        <v>117</v>
      </c>
      <c r="E20" s="141">
        <v>1.33</v>
      </c>
      <c r="F20" s="137" t="s">
        <v>44</v>
      </c>
      <c r="G20" s="143">
        <v>1.0900000000000001</v>
      </c>
      <c r="H20" s="144">
        <v>1.4999999999999999E-2</v>
      </c>
      <c r="I20" s="144">
        <v>-0.01</v>
      </c>
      <c r="J20" s="137" t="s">
        <v>12</v>
      </c>
      <c r="K20" s="136" t="s">
        <v>216</v>
      </c>
      <c r="L20" s="135">
        <f>IF(AND(G20="",H20=""),"",IF(G20="",H20,G20+H20))</f>
        <v>1.105</v>
      </c>
      <c r="M20" s="134">
        <f>IF(AND(G20="",I20=""),"",IF(G20="",I20,G20+I20))</f>
        <v>1.08</v>
      </c>
      <c r="N20" s="133"/>
      <c r="O20" s="2" t="str">
        <f t="shared" si="10"/>
        <v/>
      </c>
      <c r="P20" s="2" t="str">
        <f t="shared" si="11"/>
        <v/>
      </c>
      <c r="Q20" s="2" t="str">
        <f t="shared" si="12"/>
        <v/>
      </c>
      <c r="R20" s="3" t="str">
        <f t="shared" si="13"/>
        <v/>
      </c>
      <c r="S20" s="4" t="str">
        <f t="shared" si="2"/>
        <v/>
      </c>
      <c r="T20" s="85" t="str">
        <f t="shared" si="3"/>
        <v/>
      </c>
      <c r="U20" s="85" t="str">
        <f t="shared" si="4"/>
        <v/>
      </c>
      <c r="V20" s="4" t="str">
        <f t="shared" si="14"/>
        <v/>
      </c>
      <c r="W20" s="4" t="str">
        <f t="shared" si="15"/>
        <v/>
      </c>
      <c r="X20" s="4" t="str">
        <f t="shared" si="16"/>
        <v/>
      </c>
      <c r="Y20" s="148" t="str">
        <f t="shared" si="17"/>
        <v/>
      </c>
      <c r="Z20" s="132" t="str">
        <f t="shared" si="18"/>
        <v/>
      </c>
      <c r="AA20" s="132" t="str">
        <f t="shared" si="19"/>
        <v/>
      </c>
      <c r="AB20" s="132" t="str">
        <f t="shared" si="20"/>
        <v/>
      </c>
      <c r="AC20" s="132" t="str">
        <f t="shared" si="21"/>
        <v/>
      </c>
      <c r="AD20" s="131"/>
      <c r="AE20" s="130" t="str">
        <f t="shared" si="22"/>
        <v/>
      </c>
      <c r="AF20" s="129"/>
      <c r="AG20" s="128"/>
      <c r="AH20" s="128"/>
      <c r="AI20" s="127"/>
      <c r="AJ20" s="126"/>
      <c r="AK20" s="125"/>
      <c r="AL20" s="125"/>
      <c r="AM20" s="125"/>
      <c r="AN20" s="125"/>
      <c r="AO20" s="125"/>
      <c r="AP20" s="125"/>
      <c r="AQ20" s="125"/>
      <c r="AR20" s="125"/>
      <c r="AS20" s="125"/>
      <c r="AT20" s="125"/>
      <c r="AU20" s="125"/>
      <c r="AV20" s="125"/>
      <c r="AW20" s="125"/>
      <c r="AX20" s="125"/>
      <c r="AY20" s="125"/>
      <c r="AZ20" s="125"/>
      <c r="BA20" s="125"/>
      <c r="BB20" s="125"/>
      <c r="BC20" s="125"/>
      <c r="BD20" s="125"/>
      <c r="BE20" s="125"/>
      <c r="BF20" s="125"/>
      <c r="BG20" s="125"/>
      <c r="BH20" s="125"/>
      <c r="BI20" s="125"/>
      <c r="BJ20" s="125"/>
      <c r="BK20" s="125"/>
      <c r="BL20" s="125"/>
      <c r="BM20" s="125"/>
      <c r="BN20" s="125"/>
      <c r="BO20" s="125"/>
      <c r="BP20" s="125"/>
      <c r="FT20" s="151"/>
      <c r="JV20" s="151"/>
      <c r="OJ20" s="151"/>
      <c r="OT20" s="151"/>
      <c r="WH20" s="151"/>
      <c r="XM20" s="151"/>
      <c r="AHQ20" s="151"/>
      <c r="AJX20" s="151"/>
      <c r="ALD20" s="151"/>
      <c r="ALV20" s="151"/>
      <c r="AOV20" s="151"/>
      <c r="API20" s="151"/>
      <c r="AQT20" s="151"/>
      <c r="AUY20" s="151"/>
      <c r="AXP20" s="151"/>
      <c r="BBA20" s="151"/>
      <c r="BCR20" s="151"/>
      <c r="BEG20" s="151"/>
      <c r="BNH20" s="151"/>
      <c r="BQL20" s="151"/>
      <c r="BRG20" s="151"/>
      <c r="BRV20" s="151"/>
      <c r="BWP20" s="151"/>
      <c r="BXC20" s="151"/>
      <c r="CFI20" s="151"/>
      <c r="DGQ20" s="151"/>
      <c r="DGT20" s="151"/>
      <c r="DHJ20" s="151"/>
      <c r="DIJ20" s="151"/>
      <c r="DOH20" s="151"/>
      <c r="DOL20" s="151"/>
      <c r="DYC20" s="151"/>
      <c r="DYW20" s="151"/>
    </row>
    <row r="21" spans="1:1010 1031:2023 2062:3072 3077:3460" ht="15" customHeight="1">
      <c r="A21" s="140">
        <v>14</v>
      </c>
      <c r="B21" s="142" t="s">
        <v>232</v>
      </c>
      <c r="C21" s="137" t="s">
        <v>231</v>
      </c>
      <c r="D21" s="145" t="s">
        <v>117</v>
      </c>
      <c r="E21" s="141">
        <v>1.33</v>
      </c>
      <c r="F21" s="137" t="s">
        <v>44</v>
      </c>
      <c r="G21" s="143">
        <v>1.0900000000000001</v>
      </c>
      <c r="H21" s="144">
        <v>1.4999999999999999E-2</v>
      </c>
      <c r="I21" s="144">
        <v>-0.01</v>
      </c>
      <c r="J21" s="137" t="s">
        <v>12</v>
      </c>
      <c r="K21" s="136" t="s">
        <v>216</v>
      </c>
      <c r="L21" s="135">
        <f>IF(AND(G21="",H21=""),"",IF(G21="",H21,G21+H21))</f>
        <v>1.105</v>
      </c>
      <c r="M21" s="134">
        <f>IF(AND(G21="",I21=""),"",IF(G21="",I21,G21+I21))</f>
        <v>1.08</v>
      </c>
      <c r="N21" s="150"/>
      <c r="O21" s="2" t="str">
        <f t="shared" si="10"/>
        <v/>
      </c>
      <c r="P21" s="2" t="str">
        <f t="shared" si="11"/>
        <v/>
      </c>
      <c r="Q21" s="2" t="str">
        <f t="shared" si="12"/>
        <v/>
      </c>
      <c r="R21" s="3" t="str">
        <f t="shared" si="13"/>
        <v/>
      </c>
      <c r="S21" s="4" t="str">
        <f t="shared" si="2"/>
        <v/>
      </c>
      <c r="T21" s="85" t="str">
        <f t="shared" si="3"/>
        <v/>
      </c>
      <c r="U21" s="85" t="str">
        <f t="shared" si="4"/>
        <v/>
      </c>
      <c r="V21" s="4" t="str">
        <f t="shared" si="14"/>
        <v/>
      </c>
      <c r="W21" s="4" t="str">
        <f t="shared" si="15"/>
        <v/>
      </c>
      <c r="X21" s="4" t="str">
        <f t="shared" si="16"/>
        <v/>
      </c>
      <c r="Y21" s="148" t="str">
        <f t="shared" si="17"/>
        <v/>
      </c>
      <c r="Z21" s="132" t="str">
        <f t="shared" si="18"/>
        <v/>
      </c>
      <c r="AA21" s="132" t="str">
        <f t="shared" si="19"/>
        <v/>
      </c>
      <c r="AB21" s="132" t="str">
        <f t="shared" si="20"/>
        <v/>
      </c>
      <c r="AC21" s="132" t="str">
        <f t="shared" si="21"/>
        <v/>
      </c>
      <c r="AD21" s="131"/>
      <c r="AE21" s="130" t="str">
        <f t="shared" si="22"/>
        <v/>
      </c>
      <c r="AF21" s="129"/>
      <c r="AG21" s="128"/>
      <c r="AH21" s="128"/>
      <c r="AI21" s="127"/>
      <c r="AJ21" s="149"/>
      <c r="AK21" s="125"/>
      <c r="AL21" s="125"/>
      <c r="AM21" s="125"/>
      <c r="AN21" s="125"/>
      <c r="AO21" s="125"/>
      <c r="AP21" s="125"/>
      <c r="AQ21" s="125"/>
      <c r="AR21" s="125"/>
      <c r="AS21" s="125"/>
      <c r="AT21" s="125"/>
      <c r="AU21" s="125"/>
      <c r="AV21" s="125"/>
      <c r="AW21" s="125"/>
      <c r="AX21" s="125"/>
      <c r="AY21" s="125"/>
      <c r="AZ21" s="125"/>
      <c r="BA21" s="125"/>
      <c r="BB21" s="125"/>
      <c r="BC21" s="125"/>
      <c r="BD21" s="125"/>
      <c r="BE21" s="125"/>
      <c r="BF21" s="125"/>
      <c r="BG21" s="125"/>
      <c r="BH21" s="125"/>
      <c r="BI21" s="125"/>
      <c r="BJ21" s="125"/>
      <c r="BK21" s="125"/>
      <c r="BL21" s="125"/>
      <c r="BM21" s="125"/>
      <c r="BN21" s="125"/>
      <c r="BO21" s="125"/>
      <c r="BP21" s="125"/>
      <c r="FT21" s="151"/>
      <c r="HF21" s="151"/>
      <c r="IW21" s="151"/>
      <c r="PB21" s="151"/>
      <c r="UT21" s="151"/>
      <c r="VX21" s="151"/>
      <c r="WA21" s="151"/>
      <c r="YT21" s="151"/>
      <c r="AHQ21" s="151"/>
      <c r="AJM21" s="151"/>
      <c r="ASV21" s="151"/>
      <c r="BBA21" s="151"/>
      <c r="BEG21" s="151"/>
      <c r="BTL21" s="151"/>
      <c r="BWO21" s="151"/>
      <c r="BYU21" s="151"/>
      <c r="CFL21" s="151"/>
      <c r="CFY21" s="151"/>
      <c r="CGR21" s="151"/>
      <c r="CJN21" s="151"/>
      <c r="CKO21" s="151"/>
      <c r="CKY21" s="151"/>
      <c r="CMI21" s="151"/>
      <c r="CPZ21" s="151"/>
      <c r="DDB21" s="151"/>
      <c r="DGQ21" s="151"/>
      <c r="DGT21" s="151"/>
      <c r="DHJ21" s="151"/>
      <c r="DOA21" s="151"/>
      <c r="DYW21" s="151"/>
    </row>
    <row r="22" spans="1:1010 1031:2023 2062:3072 3077:3460" ht="15" customHeight="1">
      <c r="A22" s="140">
        <v>15</v>
      </c>
      <c r="B22" s="142">
        <v>23</v>
      </c>
      <c r="C22" s="137" t="s">
        <v>230</v>
      </c>
      <c r="D22" s="145" t="s">
        <v>117</v>
      </c>
      <c r="E22" s="141">
        <v>1.33</v>
      </c>
      <c r="F22" s="137" t="s">
        <v>44</v>
      </c>
      <c r="G22" s="143">
        <v>1.8520000000000001</v>
      </c>
      <c r="H22" s="144">
        <v>0.02</v>
      </c>
      <c r="I22" s="144">
        <v>-0.02</v>
      </c>
      <c r="J22" s="137" t="s">
        <v>12</v>
      </c>
      <c r="K22" s="136" t="s">
        <v>216</v>
      </c>
      <c r="L22" s="135">
        <f t="shared" ref="L22:L33" si="23">IF(AND(G22="",H22=""),"",IF(G22="",H22,G22+H22))</f>
        <v>1.8720000000000001</v>
      </c>
      <c r="M22" s="134">
        <f t="shared" ref="M22:M33" si="24">IF(AND(G22="",I22=""),"",IF(G22="",I22,G22+I22))</f>
        <v>1.8320000000000001</v>
      </c>
      <c r="N22" s="150"/>
      <c r="O22" s="2" t="str">
        <f t="shared" si="10"/>
        <v/>
      </c>
      <c r="P22" s="2" t="str">
        <f t="shared" si="11"/>
        <v/>
      </c>
      <c r="Q22" s="2" t="str">
        <f t="shared" si="12"/>
        <v/>
      </c>
      <c r="R22" s="3" t="str">
        <f t="shared" si="13"/>
        <v/>
      </c>
      <c r="S22" s="4" t="str">
        <f t="shared" ref="S22:S31" si="25">IF(OR($AK22="",ISNUMBER($AK22)=FALSE),"",IF(AND(G22="",I22=""),V22,IF(AND(G22="",H22=""),W22,(H22+ABS(I22))/(6*R22))))</f>
        <v/>
      </c>
      <c r="T22" s="85" t="str">
        <f t="shared" si="3"/>
        <v/>
      </c>
      <c r="U22" s="85" t="str">
        <f t="shared" si="4"/>
        <v/>
      </c>
      <c r="V22" s="4" t="str">
        <f t="shared" si="14"/>
        <v/>
      </c>
      <c r="W22" s="4" t="str">
        <f t="shared" si="15"/>
        <v/>
      </c>
      <c r="X22" s="4" t="str">
        <f t="shared" si="16"/>
        <v/>
      </c>
      <c r="Y22" s="148" t="str">
        <f t="shared" si="17"/>
        <v/>
      </c>
      <c r="Z22" s="132" t="str">
        <f t="shared" si="18"/>
        <v/>
      </c>
      <c r="AA22" s="132" t="str">
        <f t="shared" si="19"/>
        <v/>
      </c>
      <c r="AB22" s="132" t="str">
        <f t="shared" si="20"/>
        <v/>
      </c>
      <c r="AC22" s="132" t="str">
        <f t="shared" si="21"/>
        <v/>
      </c>
      <c r="AD22" s="131"/>
      <c r="AE22" s="130" t="str">
        <f t="shared" si="22"/>
        <v/>
      </c>
      <c r="AF22" s="129"/>
      <c r="AG22" s="128"/>
      <c r="AH22" s="128"/>
      <c r="AI22" s="127"/>
      <c r="AJ22" s="149"/>
      <c r="AK22" s="125"/>
      <c r="AL22" s="125"/>
      <c r="AM22" s="125"/>
      <c r="AN22" s="125"/>
      <c r="AO22" s="125"/>
      <c r="AP22" s="125"/>
      <c r="AQ22" s="125"/>
      <c r="AR22" s="125"/>
      <c r="AS22" s="125"/>
      <c r="AT22" s="125"/>
      <c r="AU22" s="125"/>
      <c r="AV22" s="125"/>
      <c r="AW22" s="125"/>
      <c r="AX22" s="125"/>
      <c r="AY22" s="125"/>
      <c r="AZ22" s="125"/>
      <c r="BA22" s="125"/>
      <c r="BB22" s="125"/>
      <c r="BC22" s="125"/>
      <c r="BD22" s="125"/>
      <c r="BE22" s="125"/>
      <c r="BF22" s="125"/>
      <c r="BG22" s="125"/>
      <c r="BH22" s="125"/>
      <c r="BI22" s="125"/>
      <c r="BJ22" s="125"/>
      <c r="BK22" s="125"/>
      <c r="BL22" s="125"/>
      <c r="BM22" s="125"/>
      <c r="BN22" s="125"/>
      <c r="BO22" s="125"/>
      <c r="BP22" s="125"/>
      <c r="FC22" s="151"/>
      <c r="FT22" s="151"/>
      <c r="HF22" s="151"/>
      <c r="IW22" s="151"/>
      <c r="PB22" s="151"/>
      <c r="UM22" s="151"/>
      <c r="UT22" s="151"/>
      <c r="VX22" s="151"/>
      <c r="WA22" s="151"/>
      <c r="YT22" s="151"/>
      <c r="AHQ22" s="151"/>
      <c r="AJM22" s="151"/>
      <c r="ASV22" s="151"/>
      <c r="AYH22" s="151"/>
      <c r="BBA22" s="151"/>
      <c r="BEG22" s="151"/>
      <c r="BPO22" s="151"/>
      <c r="BRG22" s="151"/>
      <c r="BTL22" s="151"/>
      <c r="BWO22" s="151"/>
      <c r="BYU22" s="151"/>
      <c r="CFL22" s="151"/>
      <c r="CFY22" s="151"/>
      <c r="CGR22" s="151"/>
      <c r="CJO22" s="151"/>
      <c r="CKO22" s="151"/>
      <c r="CKY22" s="151"/>
      <c r="CMI22" s="151"/>
      <c r="CPZ22" s="151"/>
      <c r="CXK22" s="151"/>
      <c r="CZY22" s="151"/>
      <c r="DDB22" s="151"/>
      <c r="DDL22" s="151"/>
      <c r="DGQ22" s="151"/>
      <c r="DGT22" s="151"/>
      <c r="DGW22" s="151"/>
      <c r="DHD22" s="151"/>
      <c r="DHJ22" s="151"/>
      <c r="DIP22" s="151"/>
      <c r="DNB22" s="151"/>
      <c r="DOA22" s="151"/>
      <c r="DYW22" s="151"/>
    </row>
    <row r="23" spans="1:1010 1031:2023 2062:3072 3077:3460" ht="15" customHeight="1">
      <c r="A23" s="140">
        <v>15</v>
      </c>
      <c r="B23" s="142">
        <v>24</v>
      </c>
      <c r="C23" s="137" t="s">
        <v>186</v>
      </c>
      <c r="D23" s="145" t="s">
        <v>117</v>
      </c>
      <c r="E23" s="141">
        <v>1.33</v>
      </c>
      <c r="F23" s="137" t="s">
        <v>44</v>
      </c>
      <c r="G23" s="143">
        <v>0.214</v>
      </c>
      <c r="H23" s="144">
        <v>0.02</v>
      </c>
      <c r="I23" s="144">
        <v>-0.02</v>
      </c>
      <c r="J23" s="137" t="s">
        <v>12</v>
      </c>
      <c r="K23" s="136" t="s">
        <v>216</v>
      </c>
      <c r="L23" s="135">
        <f t="shared" si="23"/>
        <v>0.23399999999999999</v>
      </c>
      <c r="M23" s="134">
        <f t="shared" si="24"/>
        <v>0.19400000000000001</v>
      </c>
      <c r="N23" s="150"/>
      <c r="O23" s="2" t="str">
        <f t="shared" si="10"/>
        <v/>
      </c>
      <c r="P23" s="2" t="str">
        <f t="shared" si="11"/>
        <v/>
      </c>
      <c r="Q23" s="2" t="str">
        <f t="shared" si="12"/>
        <v/>
      </c>
      <c r="R23" s="3" t="str">
        <f t="shared" si="13"/>
        <v/>
      </c>
      <c r="S23" s="4" t="str">
        <f t="shared" si="25"/>
        <v/>
      </c>
      <c r="T23" s="85" t="str">
        <f t="shared" si="3"/>
        <v/>
      </c>
      <c r="U23" s="85" t="str">
        <f t="shared" si="4"/>
        <v/>
      </c>
      <c r="V23" s="4" t="str">
        <f t="shared" si="14"/>
        <v/>
      </c>
      <c r="W23" s="4" t="str">
        <f t="shared" si="15"/>
        <v/>
      </c>
      <c r="X23" s="4" t="str">
        <f t="shared" si="16"/>
        <v/>
      </c>
      <c r="Y23" s="148" t="str">
        <f t="shared" si="17"/>
        <v/>
      </c>
      <c r="Z23" s="132" t="str">
        <f t="shared" si="18"/>
        <v/>
      </c>
      <c r="AA23" s="132" t="str">
        <f t="shared" si="19"/>
        <v/>
      </c>
      <c r="AB23" s="132" t="str">
        <f t="shared" si="20"/>
        <v/>
      </c>
      <c r="AC23" s="132" t="str">
        <f t="shared" si="21"/>
        <v/>
      </c>
      <c r="AD23" s="131"/>
      <c r="AE23" s="130" t="str">
        <f t="shared" si="22"/>
        <v/>
      </c>
      <c r="AF23" s="129"/>
      <c r="AG23" s="128"/>
      <c r="AH23" s="128"/>
      <c r="AI23" s="127"/>
      <c r="AJ23" s="149"/>
      <c r="AK23" s="125"/>
      <c r="AL23" s="125"/>
      <c r="AM23" s="125"/>
      <c r="AN23" s="125"/>
      <c r="AO23" s="125"/>
      <c r="AP23" s="125"/>
      <c r="AQ23" s="125"/>
      <c r="AR23" s="125"/>
      <c r="AS23" s="125"/>
      <c r="AT23" s="125"/>
      <c r="AU23" s="125"/>
      <c r="AV23" s="125"/>
      <c r="AW23" s="125"/>
      <c r="AX23" s="125"/>
      <c r="AY23" s="125"/>
      <c r="AZ23" s="125"/>
      <c r="BA23" s="125"/>
      <c r="BB23" s="125"/>
      <c r="BC23" s="125"/>
      <c r="BD23" s="125"/>
      <c r="BE23" s="125"/>
      <c r="BF23" s="125"/>
      <c r="BG23" s="125"/>
      <c r="BH23" s="125"/>
      <c r="BI23" s="125"/>
      <c r="BJ23" s="125"/>
      <c r="BK23" s="125"/>
      <c r="BL23" s="125"/>
      <c r="BM23" s="125"/>
      <c r="BN23" s="125"/>
      <c r="BO23" s="125"/>
      <c r="BP23" s="125"/>
      <c r="HE23" s="151"/>
      <c r="HF23" s="151"/>
      <c r="IW23" s="151"/>
      <c r="NU23" s="151"/>
      <c r="UT23" s="151"/>
      <c r="VX23" s="151"/>
      <c r="YT23" s="151"/>
      <c r="ZQ23" s="151"/>
      <c r="AHQ23" s="151"/>
      <c r="AJM23" s="151"/>
      <c r="AJX23" s="151"/>
      <c r="ASV23" s="151"/>
      <c r="BBA23" s="151"/>
      <c r="BEG23" s="151"/>
      <c r="BRG23" s="151"/>
      <c r="BTL23" s="151"/>
      <c r="BYU23" s="151"/>
      <c r="CFL23" s="151"/>
      <c r="CGR23" s="151"/>
      <c r="CJO23" s="151"/>
      <c r="CKO23" s="151"/>
      <c r="CMI23" s="151"/>
      <c r="CPZ23" s="151"/>
      <c r="CXK23" s="151"/>
      <c r="CZY23" s="151"/>
      <c r="DDB23" s="151"/>
      <c r="DGQ23" s="151"/>
      <c r="DGR23" s="151"/>
      <c r="DGT23" s="151"/>
      <c r="DGW23" s="151"/>
      <c r="DHD23" s="151"/>
      <c r="DHJ23" s="151"/>
      <c r="DKW23" s="151"/>
      <c r="DNB23" s="151"/>
      <c r="DOA23" s="151"/>
      <c r="DYW23" s="151"/>
    </row>
    <row r="24" spans="1:1010 1031:2023 2062:3072 3077:3460" ht="15" customHeight="1">
      <c r="A24" s="140">
        <v>17</v>
      </c>
      <c r="B24" s="142" t="s">
        <v>229</v>
      </c>
      <c r="C24" s="137"/>
      <c r="D24" s="145" t="s">
        <v>117</v>
      </c>
      <c r="E24" s="141"/>
      <c r="F24" s="137" t="s">
        <v>44</v>
      </c>
      <c r="G24" s="143">
        <v>1.29</v>
      </c>
      <c r="H24" s="144">
        <v>0.03</v>
      </c>
      <c r="I24" s="144">
        <v>-0.03</v>
      </c>
      <c r="J24" s="137" t="s">
        <v>12</v>
      </c>
      <c r="K24" s="136" t="s">
        <v>216</v>
      </c>
      <c r="L24" s="135">
        <f t="shared" si="23"/>
        <v>1.32</v>
      </c>
      <c r="M24" s="134">
        <f t="shared" si="24"/>
        <v>1.26</v>
      </c>
      <c r="N24" s="133"/>
      <c r="O24" s="2" t="str">
        <f t="shared" si="10"/>
        <v/>
      </c>
      <c r="P24" s="2" t="str">
        <f t="shared" si="11"/>
        <v/>
      </c>
      <c r="Q24" s="2" t="str">
        <f t="shared" si="12"/>
        <v/>
      </c>
      <c r="R24" s="3" t="str">
        <f t="shared" si="13"/>
        <v/>
      </c>
      <c r="S24" s="4" t="str">
        <f t="shared" si="25"/>
        <v/>
      </c>
      <c r="T24" s="85" t="str">
        <f t="shared" si="3"/>
        <v/>
      </c>
      <c r="U24" s="85" t="str">
        <f t="shared" si="4"/>
        <v/>
      </c>
      <c r="V24" s="4" t="str">
        <f t="shared" si="14"/>
        <v/>
      </c>
      <c r="W24" s="4" t="str">
        <f t="shared" si="15"/>
        <v/>
      </c>
      <c r="X24" s="4" t="str">
        <f t="shared" si="16"/>
        <v/>
      </c>
      <c r="Y24" s="148" t="str">
        <f t="shared" si="17"/>
        <v/>
      </c>
      <c r="Z24" s="132" t="str">
        <f t="shared" si="18"/>
        <v/>
      </c>
      <c r="AA24" s="132" t="str">
        <f t="shared" si="19"/>
        <v/>
      </c>
      <c r="AB24" s="132" t="str">
        <f t="shared" si="20"/>
        <v/>
      </c>
      <c r="AC24" s="132" t="str">
        <f t="shared" si="21"/>
        <v/>
      </c>
      <c r="AD24" s="131"/>
      <c r="AE24" s="130" t="str">
        <f t="shared" si="22"/>
        <v/>
      </c>
      <c r="AF24" s="129"/>
      <c r="AG24" s="128"/>
      <c r="AH24" s="128"/>
      <c r="AI24" s="127"/>
      <c r="AJ24" s="126"/>
      <c r="AK24" s="125"/>
      <c r="AL24" s="125"/>
      <c r="AM24" s="125"/>
      <c r="AN24" s="125"/>
      <c r="AO24" s="125"/>
      <c r="AP24" s="125"/>
      <c r="AQ24" s="125"/>
      <c r="AR24" s="125"/>
      <c r="AS24" s="125"/>
      <c r="AT24" s="125"/>
      <c r="AU24" s="125"/>
      <c r="AV24" s="125"/>
      <c r="AW24" s="125"/>
      <c r="AX24" s="125"/>
      <c r="AY24" s="125"/>
      <c r="AZ24" s="125"/>
      <c r="BA24" s="125"/>
      <c r="BB24" s="125"/>
      <c r="BC24" s="125"/>
      <c r="BD24" s="125"/>
      <c r="BE24" s="125"/>
      <c r="BF24" s="125"/>
      <c r="BG24" s="125"/>
      <c r="BH24" s="125"/>
      <c r="BI24" s="125"/>
      <c r="BJ24" s="125"/>
      <c r="BK24" s="125"/>
      <c r="BL24" s="125"/>
      <c r="BM24" s="125"/>
      <c r="BN24" s="125"/>
      <c r="BO24" s="125"/>
      <c r="BP24" s="125"/>
      <c r="FT24" s="151"/>
      <c r="HF24" s="151"/>
      <c r="IW24" s="151"/>
      <c r="PB24" s="151"/>
      <c r="UT24" s="151"/>
      <c r="WA24" s="151"/>
      <c r="YT24" s="151"/>
      <c r="ZQ24" s="151"/>
      <c r="AHQ24" s="151"/>
      <c r="AJM24" s="151"/>
      <c r="AJX24" s="151"/>
      <c r="BBA24" s="151"/>
      <c r="BEG24" s="151"/>
      <c r="BQL24" s="151"/>
      <c r="BRG24" s="151"/>
      <c r="BTL24" s="151"/>
      <c r="BWO24" s="151"/>
      <c r="BYU24" s="151"/>
      <c r="CFL24" s="151"/>
      <c r="CFX24" s="151"/>
      <c r="CGR24" s="151"/>
      <c r="CKO24" s="151"/>
      <c r="CMI24" s="151"/>
      <c r="CPZ24" s="151"/>
      <c r="CXK24" s="151"/>
      <c r="CZY24" s="151"/>
      <c r="DDB24" s="151"/>
      <c r="DGQ24" s="151"/>
      <c r="DGT24" s="151"/>
      <c r="DHJ24" s="151"/>
      <c r="DNB24" s="151"/>
      <c r="DOA24" s="151"/>
      <c r="DYW24" s="151"/>
    </row>
    <row r="25" spans="1:1010 1031:2023 2062:3072 3077:3460" ht="15" customHeight="1">
      <c r="A25" s="140">
        <v>18</v>
      </c>
      <c r="B25" s="142" t="s">
        <v>228</v>
      </c>
      <c r="C25" s="137"/>
      <c r="D25" s="145" t="s">
        <v>117</v>
      </c>
      <c r="E25" s="141"/>
      <c r="F25" s="137" t="s">
        <v>44</v>
      </c>
      <c r="G25" s="143">
        <v>1.29</v>
      </c>
      <c r="H25" s="144">
        <v>0.03</v>
      </c>
      <c r="I25" s="144">
        <v>-0.03</v>
      </c>
      <c r="J25" s="137" t="s">
        <v>12</v>
      </c>
      <c r="K25" s="136" t="s">
        <v>216</v>
      </c>
      <c r="L25" s="135">
        <f t="shared" si="23"/>
        <v>1.32</v>
      </c>
      <c r="M25" s="134">
        <f t="shared" si="24"/>
        <v>1.26</v>
      </c>
      <c r="N25" s="133"/>
      <c r="O25" s="2" t="str">
        <f t="shared" si="10"/>
        <v/>
      </c>
      <c r="P25" s="2" t="str">
        <f t="shared" si="11"/>
        <v/>
      </c>
      <c r="Q25" s="2" t="str">
        <f t="shared" si="12"/>
        <v/>
      </c>
      <c r="R25" s="3" t="str">
        <f t="shared" si="13"/>
        <v/>
      </c>
      <c r="S25" s="4" t="str">
        <f t="shared" si="25"/>
        <v/>
      </c>
      <c r="T25" s="85" t="str">
        <f t="shared" si="3"/>
        <v/>
      </c>
      <c r="U25" s="85" t="str">
        <f t="shared" si="4"/>
        <v/>
      </c>
      <c r="V25" s="4" t="str">
        <f t="shared" si="14"/>
        <v/>
      </c>
      <c r="W25" s="4" t="str">
        <f t="shared" si="15"/>
        <v/>
      </c>
      <c r="X25" s="4" t="str">
        <f t="shared" si="16"/>
        <v/>
      </c>
      <c r="Y25" s="148" t="str">
        <f t="shared" si="17"/>
        <v/>
      </c>
      <c r="Z25" s="132" t="str">
        <f t="shared" si="18"/>
        <v/>
      </c>
      <c r="AA25" s="132" t="str">
        <f t="shared" si="19"/>
        <v/>
      </c>
      <c r="AB25" s="132" t="str">
        <f t="shared" si="20"/>
        <v/>
      </c>
      <c r="AC25" s="132" t="str">
        <f t="shared" si="21"/>
        <v/>
      </c>
      <c r="AD25" s="131"/>
      <c r="AE25" s="130" t="str">
        <f t="shared" si="22"/>
        <v/>
      </c>
      <c r="AF25" s="129"/>
      <c r="AG25" s="128"/>
      <c r="AH25" s="128"/>
      <c r="AI25" s="127"/>
      <c r="AJ25" s="126"/>
      <c r="AK25" s="125"/>
      <c r="AL25" s="125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FT25" s="151"/>
      <c r="HF25" s="151"/>
      <c r="IW25" s="151"/>
      <c r="UT25" s="151"/>
      <c r="WA25" s="151"/>
      <c r="YT25" s="151"/>
      <c r="ZQ25" s="151"/>
      <c r="AHJ25" s="151"/>
      <c r="AHQ25" s="151"/>
      <c r="AJM25" s="151"/>
      <c r="AJX25" s="151"/>
      <c r="AOA25" s="151"/>
      <c r="BBA25" s="151"/>
      <c r="BEG25" s="151"/>
      <c r="BRG25" s="151"/>
      <c r="BTL25" s="151"/>
      <c r="BXC25" s="151"/>
      <c r="BYU25" s="151"/>
      <c r="CFL25" s="151"/>
      <c r="CKO25" s="151"/>
      <c r="CMI25" s="151"/>
      <c r="CPZ25" s="151"/>
      <c r="CXK25" s="151"/>
      <c r="DDB25" s="151"/>
      <c r="DGQ25" s="151"/>
      <c r="DGT25" s="151"/>
      <c r="DHJ25" s="151"/>
      <c r="DNB25" s="151"/>
      <c r="DOA25" s="151"/>
      <c r="DPR25" s="151"/>
      <c r="DYW25" s="151"/>
    </row>
    <row r="26" spans="1:1010 1031:2023 2062:3072 3077:3460" ht="15" customHeight="1">
      <c r="A26" s="140">
        <v>19</v>
      </c>
      <c r="B26" s="142" t="s">
        <v>227</v>
      </c>
      <c r="C26" s="137"/>
      <c r="D26" s="145" t="s">
        <v>117</v>
      </c>
      <c r="E26" s="141"/>
      <c r="F26" s="137" t="s">
        <v>44</v>
      </c>
      <c r="G26" s="143">
        <v>1.29</v>
      </c>
      <c r="H26" s="144">
        <v>0.03</v>
      </c>
      <c r="I26" s="144">
        <v>-0.03</v>
      </c>
      <c r="J26" s="137" t="s">
        <v>12</v>
      </c>
      <c r="K26" s="136" t="s">
        <v>216</v>
      </c>
      <c r="L26" s="135">
        <f t="shared" si="23"/>
        <v>1.32</v>
      </c>
      <c r="M26" s="134">
        <f t="shared" si="24"/>
        <v>1.26</v>
      </c>
      <c r="N26" s="133"/>
      <c r="O26" s="2" t="str">
        <f t="shared" si="10"/>
        <v/>
      </c>
      <c r="P26" s="2" t="str">
        <f t="shared" si="11"/>
        <v/>
      </c>
      <c r="Q26" s="2" t="str">
        <f t="shared" si="12"/>
        <v/>
      </c>
      <c r="R26" s="3" t="str">
        <f t="shared" si="13"/>
        <v/>
      </c>
      <c r="S26" s="4" t="str">
        <f t="shared" si="25"/>
        <v/>
      </c>
      <c r="T26" s="85" t="str">
        <f t="shared" si="3"/>
        <v/>
      </c>
      <c r="U26" s="85" t="str">
        <f t="shared" si="4"/>
        <v/>
      </c>
      <c r="V26" s="4" t="str">
        <f t="shared" si="14"/>
        <v/>
      </c>
      <c r="W26" s="4" t="str">
        <f t="shared" si="15"/>
        <v/>
      </c>
      <c r="X26" s="4" t="str">
        <f t="shared" si="16"/>
        <v/>
      </c>
      <c r="Y26" s="148" t="str">
        <f t="shared" si="17"/>
        <v/>
      </c>
      <c r="Z26" s="132" t="str">
        <f t="shared" si="18"/>
        <v/>
      </c>
      <c r="AA26" s="132" t="str">
        <f t="shared" si="19"/>
        <v/>
      </c>
      <c r="AB26" s="132" t="str">
        <f t="shared" si="20"/>
        <v/>
      </c>
      <c r="AC26" s="132" t="str">
        <f t="shared" si="21"/>
        <v/>
      </c>
      <c r="AD26" s="131"/>
      <c r="AE26" s="130" t="str">
        <f t="shared" si="22"/>
        <v/>
      </c>
      <c r="AF26" s="129"/>
      <c r="AG26" s="128"/>
      <c r="AH26" s="128"/>
      <c r="AI26" s="127"/>
      <c r="AJ26" s="126"/>
      <c r="AK26" s="125"/>
      <c r="AL26" s="125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DD26" s="151"/>
      <c r="EX26" s="151"/>
      <c r="OF26" s="151"/>
      <c r="OL26" s="151"/>
      <c r="TQ26" s="151"/>
      <c r="VH26" s="151"/>
      <c r="VM26" s="151"/>
      <c r="XX26" s="151"/>
      <c r="ABY26" s="151"/>
      <c r="ACB26" s="151"/>
      <c r="AEM26" s="151"/>
      <c r="AEW26" s="151"/>
      <c r="AFF26" s="151"/>
      <c r="AFM26" s="151"/>
      <c r="AFZ26" s="151"/>
      <c r="AGK26" s="151"/>
      <c r="AGT26" s="151"/>
      <c r="AHM26" s="151"/>
      <c r="AMY26" s="151"/>
      <c r="ANM26" s="151"/>
      <c r="AOY26" s="151"/>
      <c r="BTE26" s="151"/>
      <c r="DLS26" s="151"/>
      <c r="DRH26" s="151"/>
    </row>
    <row r="27" spans="1:1010 1031:2023 2062:3072 3077:3460" ht="15" customHeight="1">
      <c r="A27" s="140">
        <v>20</v>
      </c>
      <c r="B27" s="142">
        <v>26</v>
      </c>
      <c r="C27" s="137"/>
      <c r="D27" s="145" t="s">
        <v>117</v>
      </c>
      <c r="E27" s="141"/>
      <c r="F27" s="137" t="s">
        <v>44</v>
      </c>
      <c r="G27" s="143">
        <v>15.262</v>
      </c>
      <c r="H27" s="144">
        <v>0.03</v>
      </c>
      <c r="I27" s="144">
        <v>-0.03</v>
      </c>
      <c r="J27" s="137" t="s">
        <v>12</v>
      </c>
      <c r="K27" s="136" t="s">
        <v>216</v>
      </c>
      <c r="L27" s="135">
        <f t="shared" si="23"/>
        <v>15.292</v>
      </c>
      <c r="M27" s="134">
        <f t="shared" si="24"/>
        <v>15.232000000000001</v>
      </c>
      <c r="N27" s="133"/>
      <c r="O27" s="2" t="str">
        <f t="shared" si="10"/>
        <v/>
      </c>
      <c r="P27" s="2" t="str">
        <f t="shared" si="11"/>
        <v/>
      </c>
      <c r="Q27" s="2" t="str">
        <f t="shared" si="12"/>
        <v/>
      </c>
      <c r="R27" s="3" t="str">
        <f t="shared" si="13"/>
        <v/>
      </c>
      <c r="S27" s="4" t="str">
        <f t="shared" si="25"/>
        <v/>
      </c>
      <c r="T27" s="85" t="str">
        <f t="shared" si="3"/>
        <v/>
      </c>
      <c r="U27" s="85" t="str">
        <f t="shared" si="4"/>
        <v/>
      </c>
      <c r="V27" s="4" t="str">
        <f t="shared" si="14"/>
        <v/>
      </c>
      <c r="W27" s="4" t="str">
        <f t="shared" si="15"/>
        <v/>
      </c>
      <c r="X27" s="4" t="str">
        <f t="shared" si="16"/>
        <v/>
      </c>
      <c r="Y27" s="148" t="str">
        <f t="shared" si="17"/>
        <v/>
      </c>
      <c r="Z27" s="132" t="str">
        <f t="shared" ref="Z27:Z33" si="26">IF($Q27="","",IF(F27="Tolerance",IF(($E27*3*R27+Q27)-G27&lt;H27,"",($E27*3*R27+Q27)-G27),IF(OR(F27="GD&amp;T",F27="MAX"),IF(($E27*3*R27+Q27)&lt;H27,"",($E27*3*R27+Q27)),"")))</f>
        <v/>
      </c>
      <c r="AA27" s="132" t="str">
        <f t="shared" ref="AA27:AA33" si="27">IF(Q27="","",IF(F27="Tolerance",IF(-(($E27*3*R27)-Q27)-G27&gt;I27,"",-(($E27*3*R27)-Q27)-G27),IF(F27="MIN",IF(-(($E27*3*R27)-Q27)&gt;I27,"",-(($E27*3*R27)-Q27)),"")))</f>
        <v/>
      </c>
      <c r="AB27" s="132" t="str">
        <f t="shared" ref="AB27:AB33" si="28">IF(OR(G27="",Q27=""),"",(L27+M27)/2-Q27)</f>
        <v/>
      </c>
      <c r="AC27" s="132" t="str">
        <f t="shared" ref="AC27:AC33" si="29">IF(OR($S27&gt;$AC$9,$R27=""),"",$AC$9*6*$R27)</f>
        <v/>
      </c>
      <c r="AD27" s="131"/>
      <c r="AE27" s="130" t="str">
        <f t="shared" ref="AE27:AE33" si="30">IF(AD27="","",IF(AD27&gt;=0.966,"Normal","Not Normal"))</f>
        <v/>
      </c>
      <c r="AF27" s="129"/>
      <c r="AG27" s="128"/>
      <c r="AH27" s="128"/>
      <c r="AI27" s="127"/>
      <c r="AJ27" s="126"/>
      <c r="AK27" s="125"/>
      <c r="AL27" s="125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52"/>
      <c r="BO27" s="125"/>
      <c r="BP27" s="125"/>
      <c r="GS27" s="151"/>
      <c r="SG27" s="151"/>
      <c r="TA27" s="151"/>
      <c r="WA27" s="151"/>
      <c r="WH27" s="151"/>
      <c r="WQ27" s="151"/>
      <c r="WZ27" s="151"/>
      <c r="ZQ27" s="151"/>
      <c r="AAE27" s="151"/>
      <c r="ABG27" s="151"/>
      <c r="ACB27" s="151"/>
      <c r="ACH27" s="151"/>
      <c r="AFF27" s="151"/>
      <c r="AFP27" s="151"/>
      <c r="AGB27" s="151"/>
      <c r="AJX27" s="151"/>
      <c r="ATA27" s="151"/>
      <c r="ATO27" s="151"/>
      <c r="BBV27" s="151"/>
      <c r="BHB27" s="151"/>
      <c r="BKC27" s="151"/>
      <c r="BON27" s="151"/>
      <c r="BXB27" s="151"/>
      <c r="BXE27" s="151"/>
      <c r="BYH27" s="151"/>
      <c r="CCN27" s="151"/>
      <c r="CCY27" s="151"/>
      <c r="CZE27" s="151"/>
      <c r="DBQ27" s="151"/>
      <c r="DHD27" s="151"/>
      <c r="DKQ27" s="151"/>
      <c r="DTP27" s="151"/>
    </row>
    <row r="28" spans="1:1010 1031:2023 2062:3072 3077:3460" ht="15" customHeight="1">
      <c r="A28" s="140">
        <v>21</v>
      </c>
      <c r="B28" s="142">
        <v>27</v>
      </c>
      <c r="C28" s="137"/>
      <c r="D28" s="145" t="s">
        <v>117</v>
      </c>
      <c r="E28" s="141"/>
      <c r="F28" s="137" t="s">
        <v>44</v>
      </c>
      <c r="G28" s="143">
        <v>12.839</v>
      </c>
      <c r="H28" s="144">
        <v>0.03</v>
      </c>
      <c r="I28" s="144">
        <v>-0.03</v>
      </c>
      <c r="J28" s="137" t="s">
        <v>12</v>
      </c>
      <c r="K28" s="136" t="s">
        <v>216</v>
      </c>
      <c r="L28" s="135">
        <f t="shared" si="23"/>
        <v>12.869</v>
      </c>
      <c r="M28" s="134">
        <f t="shared" si="24"/>
        <v>12.809000000000001</v>
      </c>
      <c r="N28" s="133"/>
      <c r="O28" s="2" t="str">
        <f t="shared" si="10"/>
        <v/>
      </c>
      <c r="P28" s="2" t="str">
        <f t="shared" si="11"/>
        <v/>
      </c>
      <c r="Q28" s="2" t="str">
        <f t="shared" si="12"/>
        <v/>
      </c>
      <c r="R28" s="3" t="str">
        <f t="shared" si="13"/>
        <v/>
      </c>
      <c r="S28" s="4" t="str">
        <f t="shared" si="25"/>
        <v/>
      </c>
      <c r="T28" s="85" t="str">
        <f t="shared" si="3"/>
        <v/>
      </c>
      <c r="U28" s="85" t="str">
        <f t="shared" si="4"/>
        <v/>
      </c>
      <c r="V28" s="4" t="str">
        <f t="shared" si="14"/>
        <v/>
      </c>
      <c r="W28" s="4" t="str">
        <f t="shared" si="15"/>
        <v/>
      </c>
      <c r="X28" s="4" t="str">
        <f t="shared" si="16"/>
        <v/>
      </c>
      <c r="Y28" s="148" t="str">
        <f t="shared" si="17"/>
        <v/>
      </c>
      <c r="Z28" s="132" t="str">
        <f t="shared" si="26"/>
        <v/>
      </c>
      <c r="AA28" s="132" t="str">
        <f t="shared" si="27"/>
        <v/>
      </c>
      <c r="AB28" s="132" t="str">
        <f t="shared" si="28"/>
        <v/>
      </c>
      <c r="AC28" s="132" t="str">
        <f t="shared" si="29"/>
        <v/>
      </c>
      <c r="AD28" s="131"/>
      <c r="AE28" s="130" t="str">
        <f t="shared" si="30"/>
        <v/>
      </c>
      <c r="AF28" s="129"/>
      <c r="AG28" s="128"/>
      <c r="AH28" s="128"/>
      <c r="AI28" s="127"/>
      <c r="AJ28" s="126"/>
      <c r="AK28" s="125"/>
      <c r="AL28" s="125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W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CM28" s="151"/>
      <c r="ER28" s="151"/>
      <c r="JW28" s="151"/>
      <c r="KB28" s="151"/>
      <c r="PQ28" s="151"/>
      <c r="SP28" s="151"/>
      <c r="UT28" s="151"/>
      <c r="XH28" s="151"/>
      <c r="YF28" s="151"/>
      <c r="ANQ28" s="151"/>
      <c r="ASF28" s="151"/>
      <c r="AYK28" s="151"/>
      <c r="BFJ28" s="151"/>
      <c r="BHO28" s="151"/>
      <c r="BOE28" s="151"/>
      <c r="BOX28" s="151"/>
      <c r="BSD28" s="151"/>
      <c r="BYT28" s="151"/>
      <c r="CAH28" s="151"/>
      <c r="CLR28" s="151"/>
      <c r="CNA28" s="151"/>
      <c r="CUF28" s="151"/>
      <c r="CYW28" s="151"/>
      <c r="DAR28" s="151"/>
      <c r="DCS28" s="151"/>
      <c r="DFL28" s="151"/>
      <c r="DGB28" s="151"/>
      <c r="DGT28" s="151"/>
      <c r="DJC28" s="151"/>
      <c r="DKS28" s="151"/>
      <c r="DRW28" s="151"/>
      <c r="DUI28" s="151"/>
      <c r="DXC28" s="151"/>
      <c r="DZS28" s="151"/>
    </row>
    <row r="29" spans="1:1010 1031:2023 2062:3072 3077:3460" ht="15" customHeight="1">
      <c r="A29" s="140">
        <v>22</v>
      </c>
      <c r="B29" s="142">
        <v>28</v>
      </c>
      <c r="C29" s="137"/>
      <c r="D29" s="145" t="s">
        <v>117</v>
      </c>
      <c r="E29" s="141"/>
      <c r="F29" s="137" t="s">
        <v>44</v>
      </c>
      <c r="G29" s="143">
        <v>2.6269999999999998</v>
      </c>
      <c r="H29" s="144">
        <v>0.03</v>
      </c>
      <c r="I29" s="144">
        <v>-0.03</v>
      </c>
      <c r="J29" s="137" t="s">
        <v>12</v>
      </c>
      <c r="K29" s="136" t="s">
        <v>216</v>
      </c>
      <c r="L29" s="135">
        <f t="shared" si="23"/>
        <v>2.6569999999999996</v>
      </c>
      <c r="M29" s="134">
        <f t="shared" si="24"/>
        <v>2.597</v>
      </c>
      <c r="N29" s="133"/>
      <c r="O29" s="2" t="str">
        <f t="shared" si="10"/>
        <v/>
      </c>
      <c r="P29" s="2" t="str">
        <f t="shared" si="11"/>
        <v/>
      </c>
      <c r="Q29" s="2" t="str">
        <f t="shared" si="12"/>
        <v/>
      </c>
      <c r="R29" s="3" t="str">
        <f t="shared" si="13"/>
        <v/>
      </c>
      <c r="S29" s="4" t="str">
        <f t="shared" si="25"/>
        <v/>
      </c>
      <c r="T29" s="85" t="str">
        <f t="shared" si="3"/>
        <v/>
      </c>
      <c r="U29" s="85" t="str">
        <f t="shared" si="4"/>
        <v/>
      </c>
      <c r="V29" s="4" t="str">
        <f t="shared" si="14"/>
        <v/>
      </c>
      <c r="W29" s="4" t="str">
        <f t="shared" si="15"/>
        <v/>
      </c>
      <c r="X29" s="4" t="str">
        <f t="shared" si="16"/>
        <v/>
      </c>
      <c r="Y29" s="148" t="str">
        <f t="shared" si="17"/>
        <v/>
      </c>
      <c r="Z29" s="132" t="str">
        <f t="shared" si="26"/>
        <v/>
      </c>
      <c r="AA29" s="132" t="str">
        <f t="shared" si="27"/>
        <v/>
      </c>
      <c r="AB29" s="132" t="str">
        <f t="shared" si="28"/>
        <v/>
      </c>
      <c r="AC29" s="132" t="str">
        <f t="shared" si="29"/>
        <v/>
      </c>
      <c r="AD29" s="131"/>
      <c r="AE29" s="130" t="str">
        <f t="shared" si="30"/>
        <v/>
      </c>
      <c r="AF29" s="129"/>
      <c r="AG29" s="128"/>
      <c r="AH29" s="128"/>
      <c r="AI29" s="127"/>
      <c r="AJ29" s="126"/>
      <c r="AK29" s="125"/>
      <c r="AL29" s="125"/>
      <c r="AM29" s="125"/>
      <c r="AN29" s="125"/>
      <c r="AO29" s="125"/>
      <c r="AP29" s="152"/>
      <c r="AQ29" s="125"/>
      <c r="AR29" s="125"/>
      <c r="AS29" s="125"/>
      <c r="AT29" s="152"/>
      <c r="AU29" s="125"/>
      <c r="AV29" s="125"/>
      <c r="AW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DH29" s="151"/>
      <c r="OG29" s="151"/>
      <c r="UO29" s="151"/>
      <c r="UY29" s="151"/>
      <c r="VF29" s="151"/>
      <c r="XU29" s="151"/>
      <c r="ZI29" s="151"/>
      <c r="AGA29" s="151"/>
      <c r="AKZ29" s="151"/>
      <c r="ANE29" s="151"/>
      <c r="ATX29" s="151"/>
      <c r="BFJ29" s="151"/>
      <c r="BKN29" s="151"/>
      <c r="BMD29" s="151"/>
      <c r="BMV29" s="151"/>
      <c r="BSD29" s="151"/>
      <c r="BYJ29" s="151"/>
      <c r="CCQ29" s="151"/>
      <c r="CND29" s="151"/>
      <c r="CQD29" s="151"/>
      <c r="CVS29" s="151"/>
      <c r="CXJ29" s="151"/>
      <c r="CXO29" s="151"/>
      <c r="CYQ29" s="151"/>
      <c r="DHG29" s="151"/>
      <c r="DJM29" s="151"/>
      <c r="DME29" s="151"/>
      <c r="DND29" s="151"/>
      <c r="DNI29" s="151"/>
      <c r="DRH29" s="151"/>
      <c r="ECB29" s="151"/>
    </row>
    <row r="30" spans="1:1010 1031:2023 2062:3072 3077:3460" ht="15" customHeight="1">
      <c r="A30" s="140">
        <v>39</v>
      </c>
      <c r="B30" s="142">
        <v>30</v>
      </c>
      <c r="C30" s="137"/>
      <c r="D30" s="145" t="s">
        <v>117</v>
      </c>
      <c r="E30" s="141"/>
      <c r="F30" s="137" t="s">
        <v>44</v>
      </c>
      <c r="G30" s="143">
        <v>12.481999999999999</v>
      </c>
      <c r="H30" s="144">
        <v>0.03</v>
      </c>
      <c r="I30" s="144">
        <v>-0.03</v>
      </c>
      <c r="J30" s="137" t="s">
        <v>12</v>
      </c>
      <c r="K30" s="136" t="s">
        <v>216</v>
      </c>
      <c r="L30" s="135">
        <f t="shared" si="23"/>
        <v>12.511999999999999</v>
      </c>
      <c r="M30" s="134">
        <f t="shared" si="24"/>
        <v>12.452</v>
      </c>
      <c r="N30" s="133"/>
      <c r="O30" s="2" t="str">
        <f t="shared" si="10"/>
        <v/>
      </c>
      <c r="P30" s="2" t="str">
        <f t="shared" si="11"/>
        <v/>
      </c>
      <c r="Q30" s="2" t="str">
        <f t="shared" si="12"/>
        <v/>
      </c>
      <c r="R30" s="3" t="str">
        <f t="shared" si="13"/>
        <v/>
      </c>
      <c r="S30" s="4" t="str">
        <f t="shared" si="25"/>
        <v/>
      </c>
      <c r="T30" s="85" t="str">
        <f t="shared" si="3"/>
        <v/>
      </c>
      <c r="U30" s="85" t="str">
        <f t="shared" si="4"/>
        <v/>
      </c>
      <c r="V30" s="4" t="str">
        <f t="shared" si="14"/>
        <v/>
      </c>
      <c r="W30" s="4" t="str">
        <f t="shared" si="15"/>
        <v/>
      </c>
      <c r="X30" s="4" t="str">
        <f t="shared" si="16"/>
        <v/>
      </c>
      <c r="Y30" s="148" t="str">
        <f t="shared" si="17"/>
        <v/>
      </c>
      <c r="Z30" s="132" t="str">
        <f t="shared" si="26"/>
        <v/>
      </c>
      <c r="AA30" s="132" t="str">
        <f t="shared" si="27"/>
        <v/>
      </c>
      <c r="AB30" s="132" t="str">
        <f t="shared" si="28"/>
        <v/>
      </c>
      <c r="AC30" s="132" t="str">
        <f t="shared" si="29"/>
        <v/>
      </c>
      <c r="AD30" s="131"/>
      <c r="AE30" s="130" t="str">
        <f t="shared" si="30"/>
        <v/>
      </c>
      <c r="AF30" s="129"/>
      <c r="AG30" s="128"/>
      <c r="AH30" s="128"/>
      <c r="AI30" s="127"/>
      <c r="AJ30" s="126"/>
      <c r="AK30" s="125"/>
      <c r="AL30" s="125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</row>
    <row r="31" spans="1:1010 1031:2023 2062:3072 3077:3460" ht="15" customHeight="1">
      <c r="A31" s="140">
        <v>40</v>
      </c>
      <c r="B31" s="142">
        <v>31</v>
      </c>
      <c r="C31" s="137"/>
      <c r="D31" s="145" t="s">
        <v>117</v>
      </c>
      <c r="E31" s="141"/>
      <c r="F31" s="137" t="s">
        <v>44</v>
      </c>
      <c r="G31" s="143">
        <v>11.089</v>
      </c>
      <c r="H31" s="144">
        <v>0.03</v>
      </c>
      <c r="I31" s="144">
        <v>-0.03</v>
      </c>
      <c r="J31" s="137" t="s">
        <v>12</v>
      </c>
      <c r="K31" s="136" t="s">
        <v>216</v>
      </c>
      <c r="L31" s="135">
        <f t="shared" si="23"/>
        <v>11.119</v>
      </c>
      <c r="M31" s="134">
        <f t="shared" si="24"/>
        <v>11.059000000000001</v>
      </c>
      <c r="N31" s="133"/>
      <c r="O31" s="2" t="str">
        <f t="shared" si="10"/>
        <v/>
      </c>
      <c r="P31" s="2" t="str">
        <f t="shared" si="11"/>
        <v/>
      </c>
      <c r="Q31" s="2" t="str">
        <f t="shared" si="12"/>
        <v/>
      </c>
      <c r="R31" s="3" t="str">
        <f t="shared" si="13"/>
        <v/>
      </c>
      <c r="S31" s="4" t="str">
        <f t="shared" si="25"/>
        <v/>
      </c>
      <c r="T31" s="85" t="str">
        <f t="shared" si="3"/>
        <v/>
      </c>
      <c r="U31" s="85" t="str">
        <f t="shared" si="4"/>
        <v/>
      </c>
      <c r="V31" s="4" t="str">
        <f t="shared" si="14"/>
        <v/>
      </c>
      <c r="W31" s="4" t="str">
        <f t="shared" si="15"/>
        <v/>
      </c>
      <c r="X31" s="4" t="str">
        <f t="shared" si="16"/>
        <v/>
      </c>
      <c r="Y31" s="148" t="str">
        <f t="shared" si="17"/>
        <v/>
      </c>
      <c r="Z31" s="132" t="str">
        <f t="shared" si="26"/>
        <v/>
      </c>
      <c r="AA31" s="132" t="str">
        <f t="shared" si="27"/>
        <v/>
      </c>
      <c r="AB31" s="132" t="str">
        <f t="shared" si="28"/>
        <v/>
      </c>
      <c r="AC31" s="132" t="str">
        <f t="shared" si="29"/>
        <v/>
      </c>
      <c r="AD31" s="131"/>
      <c r="AE31" s="130" t="str">
        <f t="shared" si="30"/>
        <v/>
      </c>
      <c r="AF31" s="129"/>
      <c r="AG31" s="128"/>
      <c r="AH31" s="128"/>
      <c r="AI31" s="127"/>
      <c r="AJ31" s="126"/>
      <c r="AK31" s="125"/>
      <c r="AL31" s="125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</row>
    <row r="32" spans="1:1010 1031:2023 2062:3072 3077:3460" ht="15" customHeight="1">
      <c r="A32" s="140">
        <v>41</v>
      </c>
      <c r="B32" s="142">
        <v>32</v>
      </c>
      <c r="C32" s="137"/>
      <c r="D32" s="145" t="s">
        <v>117</v>
      </c>
      <c r="E32" s="141"/>
      <c r="F32" s="137" t="s">
        <v>44</v>
      </c>
      <c r="G32" s="143">
        <v>2.0920000000000001</v>
      </c>
      <c r="H32" s="144">
        <v>0.03</v>
      </c>
      <c r="I32" s="144">
        <v>-0.03</v>
      </c>
      <c r="J32" s="137" t="s">
        <v>12</v>
      </c>
      <c r="K32" s="136" t="s">
        <v>216</v>
      </c>
      <c r="L32" s="135">
        <f t="shared" si="23"/>
        <v>2.1219999999999999</v>
      </c>
      <c r="M32" s="134">
        <f t="shared" si="24"/>
        <v>2.0620000000000003</v>
      </c>
      <c r="N32" s="133"/>
      <c r="O32" s="2" t="str">
        <f t="shared" si="10"/>
        <v/>
      </c>
      <c r="P32" s="2" t="str">
        <f t="shared" si="11"/>
        <v/>
      </c>
      <c r="Q32" s="2" t="str">
        <f t="shared" si="12"/>
        <v/>
      </c>
      <c r="R32" s="3" t="str">
        <f t="shared" si="13"/>
        <v/>
      </c>
      <c r="S32" s="4" t="str">
        <f t="shared" ref="S32:S44" si="31">IF(OR($AK32="",ISNUMBER($AK32)=FALSE),"",IF(AND(G32="",I32=""),V32,IF(AND(G32="",H32=""),W32,(H32+ABS(I32))/(6*R32))))</f>
        <v/>
      </c>
      <c r="T32" s="85" t="str">
        <f t="shared" ref="T32:T63" si="32">IF(OR($AK32="",ISNUMBER($AK32)=FALSE),"",IF(AND($F32="Tolerance",$G32&lt;&gt;""),($Q32-$G32)/(($L32-$M32)/2),IF(AND($F32="GD&amp;T",$H32&lt;&gt;""),$Q32/$H32,"")))</f>
        <v/>
      </c>
      <c r="U32" s="85" t="str">
        <f t="shared" ref="U32:U63" si="33">IF($T32="","",IF(ABS($T32)&lt;=0.125, "Level A",IF(AND(ABS($T32)&gt;0.125,ABS($T32)&lt;=0.25), "Level B",IF(AND(ABS($T32)&gt;0.25,ABS($T32)&lt;=0.5), "Level C", IF(ABS($T32)&gt;0.5, "Level D")))))</f>
        <v/>
      </c>
      <c r="V32" s="4" t="str">
        <f t="shared" si="14"/>
        <v/>
      </c>
      <c r="W32" s="4" t="str">
        <f t="shared" si="15"/>
        <v/>
      </c>
      <c r="X32" s="4" t="str">
        <f t="shared" si="16"/>
        <v/>
      </c>
      <c r="Y32" s="148" t="str">
        <f t="shared" si="17"/>
        <v/>
      </c>
      <c r="Z32" s="132" t="str">
        <f t="shared" si="26"/>
        <v/>
      </c>
      <c r="AA32" s="132" t="str">
        <f t="shared" si="27"/>
        <v/>
      </c>
      <c r="AB32" s="132" t="str">
        <f t="shared" si="28"/>
        <v/>
      </c>
      <c r="AC32" s="132" t="str">
        <f t="shared" si="29"/>
        <v/>
      </c>
      <c r="AD32" s="131"/>
      <c r="AE32" s="130" t="str">
        <f t="shared" si="30"/>
        <v/>
      </c>
      <c r="AF32" s="129"/>
      <c r="AG32" s="128"/>
      <c r="AH32" s="128"/>
      <c r="AI32" s="127"/>
      <c r="AJ32" s="126"/>
      <c r="AK32" s="125"/>
      <c r="AL32" s="125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</row>
    <row r="33" spans="1:68" ht="15" customHeight="1">
      <c r="A33" s="140">
        <v>42</v>
      </c>
      <c r="B33" s="142">
        <v>33</v>
      </c>
      <c r="C33" s="137"/>
      <c r="D33" s="145" t="s">
        <v>117</v>
      </c>
      <c r="E33" s="141"/>
      <c r="F33" s="137" t="s">
        <v>41</v>
      </c>
      <c r="G33" s="143"/>
      <c r="H33" s="144">
        <v>0.03</v>
      </c>
      <c r="I33" s="144" t="s">
        <v>263</v>
      </c>
      <c r="J33" s="137" t="s">
        <v>12</v>
      </c>
      <c r="K33" s="136" t="s">
        <v>216</v>
      </c>
      <c r="L33" s="135">
        <f t="shared" si="23"/>
        <v>0.03</v>
      </c>
      <c r="M33" s="134" t="str">
        <f t="shared" si="24"/>
        <v/>
      </c>
      <c r="N33" s="133"/>
      <c r="O33" s="2" t="str">
        <f t="shared" ref="O33:O63" si="34">IF(OR($AK33="",ISNUMBER($AK33)=FALSE),"",MAX(AK33:BP33))</f>
        <v/>
      </c>
      <c r="P33" s="2" t="str">
        <f t="shared" ref="P33:P63" si="35">IF(OR($AK33="",ISNUMBER($AK33)=FALSE),"",MIN(AK33:BP33))</f>
        <v/>
      </c>
      <c r="Q33" s="2" t="str">
        <f t="shared" ref="Q33:Q63" si="36">IF(OR($AK33="",ISNUMBER($AK33)=FALSE),"",AVERAGE(AK33:BP33))</f>
        <v/>
      </c>
      <c r="R33" s="3" t="str">
        <f t="shared" ref="R33:R63" si="37">IF(OR($AK33="",ISNUMBER($AK33)=FALSE),"",STDEV(AK33:BP33))</f>
        <v/>
      </c>
      <c r="S33" s="4" t="str">
        <f t="shared" si="31"/>
        <v/>
      </c>
      <c r="T33" s="85" t="str">
        <f t="shared" si="32"/>
        <v/>
      </c>
      <c r="U33" s="85" t="str">
        <f t="shared" si="33"/>
        <v/>
      </c>
      <c r="V33" s="4" t="str">
        <f t="shared" ref="V33:V63" si="38">IF(OR($AK33="",ISNUMBER($AK33)=FALSE),"",IF(H33="","",(L33-Q33)/(3*R33)))</f>
        <v/>
      </c>
      <c r="W33" s="4" t="str">
        <f t="shared" ref="W33:W63" si="39">IF(OR($AK33="",ISNUMBER($AK33)=FALSE),"",IF(I33="","",(Q33-M33)/(3*R33)))</f>
        <v/>
      </c>
      <c r="X33" s="4" t="str">
        <f t="shared" ref="X33:X63" si="40">IF(OR($AK33="",ISNUMBER($AK33)=FALSE),"",IF(AND(G33=0,I33=0),((H33)-(Q33))/(3*R33),MIN(V33:W33)))</f>
        <v/>
      </c>
      <c r="Y33" s="148" t="str">
        <f t="shared" ref="Y33:Y63" si="41">IF(OR($AK33="",ISNUMBER($AK33)=FALSE),"",IF(AND(G33=0,I33=0),NORMSDIST(3*X33),NORMSDIST(3*X33)+NORMSDIST(6*S33-3*X33)-1))</f>
        <v/>
      </c>
      <c r="Z33" s="132" t="str">
        <f t="shared" si="26"/>
        <v/>
      </c>
      <c r="AA33" s="132" t="str">
        <f t="shared" si="27"/>
        <v/>
      </c>
      <c r="AB33" s="132" t="str">
        <f t="shared" si="28"/>
        <v/>
      </c>
      <c r="AC33" s="132" t="str">
        <f t="shared" si="29"/>
        <v/>
      </c>
      <c r="AD33" s="131"/>
      <c r="AE33" s="130" t="str">
        <f t="shared" si="30"/>
        <v/>
      </c>
      <c r="AF33" s="129"/>
      <c r="AG33" s="128"/>
      <c r="AH33" s="128"/>
      <c r="AI33" s="127"/>
      <c r="AJ33" s="126"/>
      <c r="AK33" s="125"/>
      <c r="AL33" s="125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</row>
    <row r="34" spans="1:68" ht="15" customHeight="1">
      <c r="A34" s="140">
        <v>43</v>
      </c>
      <c r="B34" s="142">
        <v>34</v>
      </c>
      <c r="C34" s="137"/>
      <c r="D34" s="145" t="s">
        <v>117</v>
      </c>
      <c r="E34" s="141"/>
      <c r="F34" s="137" t="s">
        <v>41</v>
      </c>
      <c r="G34" s="143"/>
      <c r="H34" s="144">
        <v>0.02</v>
      </c>
      <c r="I34" s="144" t="s">
        <v>263</v>
      </c>
      <c r="J34" s="137" t="s">
        <v>12</v>
      </c>
      <c r="K34" s="136" t="s">
        <v>216</v>
      </c>
      <c r="L34" s="135">
        <f>IF(AND(G34="",H34=""),"",IF(G34="",H34,G34+H34))</f>
        <v>0.02</v>
      </c>
      <c r="M34" s="134" t="str">
        <f>IF(AND(G34="",I34=""),"",IF(G34="",I34,G34+I34))</f>
        <v/>
      </c>
      <c r="N34" s="133"/>
      <c r="O34" s="2" t="str">
        <f t="shared" si="34"/>
        <v/>
      </c>
      <c r="P34" s="2" t="str">
        <f t="shared" si="35"/>
        <v/>
      </c>
      <c r="Q34" s="2" t="str">
        <f t="shared" si="36"/>
        <v/>
      </c>
      <c r="R34" s="3" t="str">
        <f t="shared" si="37"/>
        <v/>
      </c>
      <c r="S34" s="4" t="str">
        <f t="shared" si="31"/>
        <v/>
      </c>
      <c r="T34" s="85" t="str">
        <f t="shared" si="32"/>
        <v/>
      </c>
      <c r="U34" s="85" t="str">
        <f t="shared" si="33"/>
        <v/>
      </c>
      <c r="V34" s="4" t="str">
        <f t="shared" si="38"/>
        <v/>
      </c>
      <c r="W34" s="4" t="str">
        <f t="shared" si="39"/>
        <v/>
      </c>
      <c r="X34" s="4" t="str">
        <f t="shared" si="40"/>
        <v/>
      </c>
      <c r="Y34" s="148" t="str">
        <f t="shared" si="41"/>
        <v/>
      </c>
      <c r="Z34" s="132" t="str">
        <f>IF($Q34="","",IF(F34="Tolerance",IF(($E34*3*R34+Q34)-G34&lt;H34,"",($E34*3*R34+Q34)-G34),IF(OR(F34="GD&amp;T",F34="MAX"),IF(($E34*3*R34+Q34)&lt;H34,"",($E34*3*R34+Q34)),"")))</f>
        <v/>
      </c>
      <c r="AA34" s="132" t="str">
        <f>IF(Q34="","",IF(F34="Tolerance",IF(-(($E34*3*R34)-Q34)-G34&gt;I34,"",-(($E34*3*R34)-Q34)-G34),IF(F34="MIN",IF(-(($E34*3*R34)-Q34)&gt;I34,"",-(($E34*3*R34)-Q34)),"")))</f>
        <v/>
      </c>
      <c r="AB34" s="132" t="str">
        <f>IF(OR(G34="",Q34=""),"",(L34+M34)/2-Q34)</f>
        <v/>
      </c>
      <c r="AC34" s="132" t="str">
        <f>IF(OR($S34&gt;$AC$9,$R34=""),"",$AC$9*6*$R34)</f>
        <v/>
      </c>
      <c r="AD34" s="131"/>
      <c r="AE34" s="130" t="str">
        <f>IF(AD34="","",IF(AD34&gt;=0.966,"Normal","Not Normal"))</f>
        <v/>
      </c>
      <c r="AF34" s="129"/>
      <c r="AG34" s="128"/>
      <c r="AH34" s="128"/>
      <c r="AI34" s="127"/>
      <c r="AJ34" s="126"/>
      <c r="AK34" s="125"/>
      <c r="AL34" s="125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</row>
    <row r="35" spans="1:68" ht="15" customHeight="1">
      <c r="A35" s="140">
        <v>44</v>
      </c>
      <c r="B35" s="142">
        <v>35</v>
      </c>
      <c r="C35" s="137"/>
      <c r="D35" s="145" t="s">
        <v>117</v>
      </c>
      <c r="E35" s="141"/>
      <c r="F35" s="137" t="s">
        <v>44</v>
      </c>
      <c r="G35" s="143">
        <v>13.614000000000001</v>
      </c>
      <c r="H35" s="144">
        <v>0.03</v>
      </c>
      <c r="I35" s="144">
        <v>-0.03</v>
      </c>
      <c r="J35" s="137" t="s">
        <v>12</v>
      </c>
      <c r="K35" s="136" t="s">
        <v>216</v>
      </c>
      <c r="L35" s="135">
        <f t="shared" ref="L35:L63" si="42">IF(AND(G35="",H35=""),"",IF(G35="",H35,G35+H35))</f>
        <v>13.644</v>
      </c>
      <c r="M35" s="134">
        <f t="shared" ref="M35:M63" si="43">IF(AND(G35="",I35=""),"",IF(G35="",I35,G35+I35))</f>
        <v>13.584000000000001</v>
      </c>
      <c r="N35" s="133"/>
      <c r="O35" s="2" t="str">
        <f t="shared" si="34"/>
        <v/>
      </c>
      <c r="P35" s="2" t="str">
        <f t="shared" si="35"/>
        <v/>
      </c>
      <c r="Q35" s="2" t="str">
        <f t="shared" si="36"/>
        <v/>
      </c>
      <c r="R35" s="3" t="str">
        <f t="shared" si="37"/>
        <v/>
      </c>
      <c r="S35" s="4" t="str">
        <f t="shared" si="31"/>
        <v/>
      </c>
      <c r="T35" s="85" t="str">
        <f t="shared" si="32"/>
        <v/>
      </c>
      <c r="U35" s="85" t="str">
        <f t="shared" si="33"/>
        <v/>
      </c>
      <c r="V35" s="4" t="str">
        <f t="shared" si="38"/>
        <v/>
      </c>
      <c r="W35" s="4" t="str">
        <f t="shared" si="39"/>
        <v/>
      </c>
      <c r="X35" s="4" t="str">
        <f t="shared" si="40"/>
        <v/>
      </c>
      <c r="Y35" s="148" t="str">
        <f t="shared" si="41"/>
        <v/>
      </c>
      <c r="Z35" s="132" t="str">
        <f t="shared" ref="Z35:Z63" si="44">IF($Q35="","",IF(F35="Tolerance",IF(($E35*3*R35+Q35)-G35&lt;H35,"",($E35*3*R35+Q35)-G35),IF(OR(F35="GD&amp;T",F35="MAX"),IF(($E35*3*R35+Q35)&lt;H35,"",($E35*3*R35+Q35)),"")))</f>
        <v/>
      </c>
      <c r="AA35" s="132" t="str">
        <f t="shared" ref="AA35:AA63" si="45">IF(Q35="","",IF(F35="Tolerance",IF(-(($E35*3*R35)-Q35)-G35&gt;I35,"",-(($E35*3*R35)-Q35)-G35),IF(F35="MIN",IF(-(($E35*3*R35)-Q35)&gt;I35,"",-(($E35*3*R35)-Q35)),"")))</f>
        <v/>
      </c>
      <c r="AB35" s="132" t="str">
        <f t="shared" ref="AB35:AB63" si="46">IF(OR(G35="",Q35=""),"",(L35+M35)/2-Q35)</f>
        <v/>
      </c>
      <c r="AC35" s="132" t="str">
        <f t="shared" ref="AC35:AC63" si="47">IF(OR($S35&gt;$AC$9,$R35=""),"",$AC$9*6*$R35)</f>
        <v/>
      </c>
      <c r="AD35" s="131"/>
      <c r="AE35" s="130" t="str">
        <f t="shared" ref="AE35:AE63" si="48">IF(AD35="","",IF(AD35&gt;=0.966,"Normal","Not Normal"))</f>
        <v/>
      </c>
      <c r="AF35" s="129"/>
      <c r="AG35" s="128"/>
      <c r="AH35" s="128"/>
      <c r="AI35" s="127"/>
      <c r="AJ35" s="126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</row>
    <row r="36" spans="1:68" ht="15" customHeight="1">
      <c r="A36" s="140">
        <v>45</v>
      </c>
      <c r="B36" s="142">
        <v>36</v>
      </c>
      <c r="C36" s="137"/>
      <c r="D36" s="145" t="s">
        <v>117</v>
      </c>
      <c r="E36" s="141"/>
      <c r="F36" s="137" t="s">
        <v>44</v>
      </c>
      <c r="G36" s="143">
        <v>1.9510000000000001</v>
      </c>
      <c r="H36" s="144">
        <v>0.03</v>
      </c>
      <c r="I36" s="144">
        <v>-0.03</v>
      </c>
      <c r="J36" s="137" t="s">
        <v>12</v>
      </c>
      <c r="K36" s="136" t="s">
        <v>216</v>
      </c>
      <c r="L36" s="135">
        <f t="shared" si="42"/>
        <v>1.9810000000000001</v>
      </c>
      <c r="M36" s="134">
        <f t="shared" si="43"/>
        <v>1.921</v>
      </c>
      <c r="N36" s="133"/>
      <c r="O36" s="2" t="str">
        <f t="shared" si="34"/>
        <v/>
      </c>
      <c r="P36" s="2" t="str">
        <f t="shared" si="35"/>
        <v/>
      </c>
      <c r="Q36" s="2" t="str">
        <f t="shared" si="36"/>
        <v/>
      </c>
      <c r="R36" s="3" t="str">
        <f t="shared" si="37"/>
        <v/>
      </c>
      <c r="S36" s="4" t="str">
        <f t="shared" si="31"/>
        <v/>
      </c>
      <c r="T36" s="85" t="str">
        <f t="shared" si="32"/>
        <v/>
      </c>
      <c r="U36" s="85" t="str">
        <f t="shared" si="33"/>
        <v/>
      </c>
      <c r="V36" s="4" t="str">
        <f t="shared" si="38"/>
        <v/>
      </c>
      <c r="W36" s="4" t="str">
        <f t="shared" si="39"/>
        <v/>
      </c>
      <c r="X36" s="4" t="str">
        <f t="shared" si="40"/>
        <v/>
      </c>
      <c r="Y36" s="148" t="str">
        <f t="shared" si="41"/>
        <v/>
      </c>
      <c r="Z36" s="132" t="str">
        <f t="shared" si="44"/>
        <v/>
      </c>
      <c r="AA36" s="132" t="str">
        <f t="shared" si="45"/>
        <v/>
      </c>
      <c r="AB36" s="132" t="str">
        <f t="shared" si="46"/>
        <v/>
      </c>
      <c r="AC36" s="132" t="str">
        <f t="shared" si="47"/>
        <v/>
      </c>
      <c r="AD36" s="131"/>
      <c r="AE36" s="130" t="str">
        <f t="shared" si="48"/>
        <v/>
      </c>
      <c r="AF36" s="129"/>
      <c r="AG36" s="128"/>
      <c r="AH36" s="128"/>
      <c r="AI36" s="127"/>
      <c r="AJ36" s="126"/>
      <c r="AK36" s="125"/>
      <c r="AL36" s="125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</row>
    <row r="37" spans="1:68" ht="15" customHeight="1">
      <c r="A37" s="140">
        <v>46</v>
      </c>
      <c r="B37" s="142">
        <v>37</v>
      </c>
      <c r="C37" s="137"/>
      <c r="D37" s="145" t="s">
        <v>117</v>
      </c>
      <c r="E37" s="141"/>
      <c r="F37" s="137" t="s">
        <v>44</v>
      </c>
      <c r="G37" s="143">
        <v>2.355</v>
      </c>
      <c r="H37" s="144">
        <v>0.03</v>
      </c>
      <c r="I37" s="144">
        <v>-0.03</v>
      </c>
      <c r="J37" s="137" t="s">
        <v>12</v>
      </c>
      <c r="K37" s="136" t="s">
        <v>216</v>
      </c>
      <c r="L37" s="135">
        <f t="shared" si="42"/>
        <v>2.3849999999999998</v>
      </c>
      <c r="M37" s="134">
        <f t="shared" si="43"/>
        <v>2.3250000000000002</v>
      </c>
      <c r="N37" s="133"/>
      <c r="O37" s="2" t="str">
        <f t="shared" si="34"/>
        <v/>
      </c>
      <c r="P37" s="2" t="str">
        <f t="shared" si="35"/>
        <v/>
      </c>
      <c r="Q37" s="2" t="str">
        <f t="shared" si="36"/>
        <v/>
      </c>
      <c r="R37" s="3" t="str">
        <f t="shared" si="37"/>
        <v/>
      </c>
      <c r="S37" s="4" t="str">
        <f t="shared" si="31"/>
        <v/>
      </c>
      <c r="T37" s="85" t="str">
        <f t="shared" si="32"/>
        <v/>
      </c>
      <c r="U37" s="85" t="str">
        <f t="shared" si="33"/>
        <v/>
      </c>
      <c r="V37" s="4" t="str">
        <f t="shared" si="38"/>
        <v/>
      </c>
      <c r="W37" s="4" t="str">
        <f t="shared" si="39"/>
        <v/>
      </c>
      <c r="X37" s="4" t="str">
        <f t="shared" si="40"/>
        <v/>
      </c>
      <c r="Y37" s="148" t="str">
        <f t="shared" si="41"/>
        <v/>
      </c>
      <c r="Z37" s="132" t="str">
        <f t="shared" si="44"/>
        <v/>
      </c>
      <c r="AA37" s="132" t="str">
        <f t="shared" si="45"/>
        <v/>
      </c>
      <c r="AB37" s="132" t="str">
        <f t="shared" si="46"/>
        <v/>
      </c>
      <c r="AC37" s="132" t="str">
        <f t="shared" si="47"/>
        <v/>
      </c>
      <c r="AD37" s="131"/>
      <c r="AE37" s="130" t="str">
        <f t="shared" si="48"/>
        <v/>
      </c>
      <c r="AF37" s="129"/>
      <c r="AG37" s="128"/>
      <c r="AH37" s="128"/>
      <c r="AI37" s="127"/>
      <c r="AJ37" s="126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</row>
    <row r="38" spans="1:68" ht="15" customHeight="1">
      <c r="A38" s="140">
        <v>47</v>
      </c>
      <c r="B38" s="142">
        <v>38</v>
      </c>
      <c r="C38" s="137"/>
      <c r="D38" s="145" t="s">
        <v>117</v>
      </c>
      <c r="E38" s="141"/>
      <c r="F38" s="137" t="s">
        <v>44</v>
      </c>
      <c r="G38" s="143">
        <v>10.182</v>
      </c>
      <c r="H38" s="144">
        <v>0.03</v>
      </c>
      <c r="I38" s="144">
        <v>-0.03</v>
      </c>
      <c r="J38" s="137" t="s">
        <v>12</v>
      </c>
      <c r="K38" s="136" t="s">
        <v>216</v>
      </c>
      <c r="L38" s="135">
        <f t="shared" si="42"/>
        <v>10.212</v>
      </c>
      <c r="M38" s="134">
        <f t="shared" si="43"/>
        <v>10.152000000000001</v>
      </c>
      <c r="N38" s="133"/>
      <c r="O38" s="2" t="str">
        <f t="shared" si="34"/>
        <v/>
      </c>
      <c r="P38" s="2" t="str">
        <f t="shared" si="35"/>
        <v/>
      </c>
      <c r="Q38" s="2" t="str">
        <f t="shared" si="36"/>
        <v/>
      </c>
      <c r="R38" s="3" t="str">
        <f t="shared" si="37"/>
        <v/>
      </c>
      <c r="S38" s="4" t="str">
        <f t="shared" si="31"/>
        <v/>
      </c>
      <c r="T38" s="85" t="str">
        <f t="shared" si="32"/>
        <v/>
      </c>
      <c r="U38" s="85" t="str">
        <f t="shared" si="33"/>
        <v/>
      </c>
      <c r="V38" s="4" t="str">
        <f t="shared" si="38"/>
        <v/>
      </c>
      <c r="W38" s="4" t="str">
        <f t="shared" si="39"/>
        <v/>
      </c>
      <c r="X38" s="4" t="str">
        <f t="shared" si="40"/>
        <v/>
      </c>
      <c r="Y38" s="148" t="str">
        <f t="shared" si="41"/>
        <v/>
      </c>
      <c r="Z38" s="132" t="str">
        <f t="shared" si="44"/>
        <v/>
      </c>
      <c r="AA38" s="132" t="str">
        <f t="shared" si="45"/>
        <v/>
      </c>
      <c r="AB38" s="132" t="str">
        <f t="shared" si="46"/>
        <v/>
      </c>
      <c r="AC38" s="132" t="str">
        <f t="shared" si="47"/>
        <v/>
      </c>
      <c r="AD38" s="131"/>
      <c r="AE38" s="130" t="str">
        <f t="shared" si="48"/>
        <v/>
      </c>
      <c r="AF38" s="129"/>
      <c r="AG38" s="128"/>
      <c r="AH38" s="128"/>
      <c r="AI38" s="127"/>
      <c r="AJ38" s="126"/>
      <c r="AK38" s="125"/>
      <c r="AL38" s="125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</row>
    <row r="39" spans="1:68" ht="15" customHeight="1">
      <c r="A39" s="140">
        <v>48</v>
      </c>
      <c r="B39" s="142">
        <v>39</v>
      </c>
      <c r="C39" s="137"/>
      <c r="D39" s="145" t="s">
        <v>117</v>
      </c>
      <c r="E39" s="141"/>
      <c r="F39" s="137" t="s">
        <v>44</v>
      </c>
      <c r="G39" s="143">
        <v>0.2</v>
      </c>
      <c r="H39" s="144">
        <v>0.03</v>
      </c>
      <c r="I39" s="144">
        <v>-0.03</v>
      </c>
      <c r="J39" s="137" t="s">
        <v>12</v>
      </c>
      <c r="K39" s="136" t="s">
        <v>216</v>
      </c>
      <c r="L39" s="135">
        <f t="shared" si="42"/>
        <v>0.23</v>
      </c>
      <c r="M39" s="134">
        <f t="shared" si="43"/>
        <v>0.17</v>
      </c>
      <c r="N39" s="133"/>
      <c r="O39" s="2" t="str">
        <f t="shared" si="34"/>
        <v/>
      </c>
      <c r="P39" s="2" t="str">
        <f t="shared" si="35"/>
        <v/>
      </c>
      <c r="Q39" s="2" t="str">
        <f t="shared" si="36"/>
        <v/>
      </c>
      <c r="R39" s="3" t="str">
        <f t="shared" si="37"/>
        <v/>
      </c>
      <c r="S39" s="4" t="str">
        <f t="shared" si="31"/>
        <v/>
      </c>
      <c r="T39" s="85" t="str">
        <f t="shared" si="32"/>
        <v/>
      </c>
      <c r="U39" s="85" t="str">
        <f t="shared" si="33"/>
        <v/>
      </c>
      <c r="V39" s="4" t="str">
        <f t="shared" si="38"/>
        <v/>
      </c>
      <c r="W39" s="4" t="str">
        <f t="shared" si="39"/>
        <v/>
      </c>
      <c r="X39" s="4" t="str">
        <f t="shared" si="40"/>
        <v/>
      </c>
      <c r="Y39" s="148" t="str">
        <f t="shared" si="41"/>
        <v/>
      </c>
      <c r="Z39" s="132" t="str">
        <f t="shared" si="44"/>
        <v/>
      </c>
      <c r="AA39" s="132" t="str">
        <f t="shared" si="45"/>
        <v/>
      </c>
      <c r="AB39" s="132" t="str">
        <f t="shared" si="46"/>
        <v/>
      </c>
      <c r="AC39" s="132" t="str">
        <f t="shared" si="47"/>
        <v/>
      </c>
      <c r="AD39" s="131"/>
      <c r="AE39" s="130" t="str">
        <f t="shared" si="48"/>
        <v/>
      </c>
      <c r="AF39" s="129"/>
      <c r="AG39" s="128"/>
      <c r="AH39" s="128"/>
      <c r="AI39" s="127"/>
      <c r="AJ39" s="126"/>
      <c r="AK39" s="125"/>
      <c r="AL39" s="125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</row>
    <row r="40" spans="1:68" ht="15" customHeight="1">
      <c r="A40" s="140">
        <v>49</v>
      </c>
      <c r="B40" s="142" t="s">
        <v>226</v>
      </c>
      <c r="C40" s="137"/>
      <c r="D40" s="145" t="s">
        <v>117</v>
      </c>
      <c r="E40" s="141"/>
      <c r="F40" s="137" t="s">
        <v>44</v>
      </c>
      <c r="G40" s="143">
        <v>0.35</v>
      </c>
      <c r="H40" s="144">
        <v>0.03</v>
      </c>
      <c r="I40" s="144">
        <v>-0.03</v>
      </c>
      <c r="J40" s="137" t="s">
        <v>30</v>
      </c>
      <c r="K40" s="136" t="s">
        <v>216</v>
      </c>
      <c r="L40" s="135">
        <f t="shared" si="42"/>
        <v>0.38</v>
      </c>
      <c r="M40" s="134">
        <f t="shared" si="43"/>
        <v>0.31999999999999995</v>
      </c>
      <c r="N40" s="150"/>
      <c r="O40" s="2" t="str">
        <f t="shared" si="34"/>
        <v/>
      </c>
      <c r="P40" s="2" t="str">
        <f t="shared" si="35"/>
        <v/>
      </c>
      <c r="Q40" s="2" t="str">
        <f t="shared" si="36"/>
        <v/>
      </c>
      <c r="R40" s="3" t="str">
        <f t="shared" si="37"/>
        <v/>
      </c>
      <c r="S40" s="4" t="str">
        <f t="shared" si="31"/>
        <v/>
      </c>
      <c r="T40" s="85" t="str">
        <f t="shared" si="32"/>
        <v/>
      </c>
      <c r="U40" s="85" t="str">
        <f t="shared" si="33"/>
        <v/>
      </c>
      <c r="V40" s="4" t="str">
        <f t="shared" si="38"/>
        <v/>
      </c>
      <c r="W40" s="4" t="str">
        <f t="shared" si="39"/>
        <v/>
      </c>
      <c r="X40" s="4" t="str">
        <f t="shared" si="40"/>
        <v/>
      </c>
      <c r="Y40" s="148" t="str">
        <f t="shared" si="41"/>
        <v/>
      </c>
      <c r="Z40" s="132" t="str">
        <f t="shared" si="44"/>
        <v/>
      </c>
      <c r="AA40" s="132" t="str">
        <f t="shared" si="45"/>
        <v/>
      </c>
      <c r="AB40" s="132" t="str">
        <f t="shared" si="46"/>
        <v/>
      </c>
      <c r="AC40" s="132" t="str">
        <f t="shared" si="47"/>
        <v/>
      </c>
      <c r="AD40" s="131"/>
      <c r="AE40" s="130" t="str">
        <f t="shared" si="48"/>
        <v/>
      </c>
      <c r="AF40" s="129"/>
      <c r="AG40" s="128"/>
      <c r="AH40" s="128"/>
      <c r="AI40" s="127"/>
      <c r="AJ40" s="149"/>
      <c r="AK40" s="125"/>
      <c r="AL40" s="125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</row>
    <row r="41" spans="1:68" ht="15" customHeight="1">
      <c r="A41" s="140">
        <v>50</v>
      </c>
      <c r="B41" s="142" t="s">
        <v>225</v>
      </c>
      <c r="C41" s="137"/>
      <c r="D41" s="145" t="s">
        <v>117</v>
      </c>
      <c r="E41" s="141"/>
      <c r="F41" s="137" t="s">
        <v>44</v>
      </c>
      <c r="G41" s="143">
        <v>0.35</v>
      </c>
      <c r="H41" s="144">
        <v>0.03</v>
      </c>
      <c r="I41" s="144">
        <v>-0.03</v>
      </c>
      <c r="J41" s="137" t="s">
        <v>30</v>
      </c>
      <c r="K41" s="136" t="s">
        <v>216</v>
      </c>
      <c r="L41" s="135">
        <f t="shared" si="42"/>
        <v>0.38</v>
      </c>
      <c r="M41" s="134">
        <f t="shared" si="43"/>
        <v>0.31999999999999995</v>
      </c>
      <c r="N41" s="150"/>
      <c r="O41" s="2" t="str">
        <f t="shared" si="34"/>
        <v/>
      </c>
      <c r="P41" s="2" t="str">
        <f t="shared" si="35"/>
        <v/>
      </c>
      <c r="Q41" s="2" t="str">
        <f t="shared" si="36"/>
        <v/>
      </c>
      <c r="R41" s="3" t="str">
        <f t="shared" si="37"/>
        <v/>
      </c>
      <c r="S41" s="4" t="str">
        <f t="shared" si="31"/>
        <v/>
      </c>
      <c r="T41" s="85" t="str">
        <f t="shared" si="32"/>
        <v/>
      </c>
      <c r="U41" s="85" t="str">
        <f t="shared" si="33"/>
        <v/>
      </c>
      <c r="V41" s="4" t="str">
        <f t="shared" si="38"/>
        <v/>
      </c>
      <c r="W41" s="4" t="str">
        <f t="shared" si="39"/>
        <v/>
      </c>
      <c r="X41" s="4" t="str">
        <f t="shared" si="40"/>
        <v/>
      </c>
      <c r="Y41" s="148" t="str">
        <f t="shared" si="41"/>
        <v/>
      </c>
      <c r="Z41" s="132" t="str">
        <f t="shared" si="44"/>
        <v/>
      </c>
      <c r="AA41" s="132" t="str">
        <f t="shared" si="45"/>
        <v/>
      </c>
      <c r="AB41" s="132" t="str">
        <f t="shared" si="46"/>
        <v/>
      </c>
      <c r="AC41" s="132" t="str">
        <f t="shared" si="47"/>
        <v/>
      </c>
      <c r="AD41" s="131"/>
      <c r="AE41" s="130" t="str">
        <f t="shared" si="48"/>
        <v/>
      </c>
      <c r="AF41" s="129"/>
      <c r="AG41" s="128"/>
      <c r="AH41" s="128"/>
      <c r="AI41" s="127"/>
      <c r="AJ41" s="149"/>
      <c r="AK41" s="125"/>
      <c r="AL41" s="125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</row>
    <row r="42" spans="1:68" ht="15" customHeight="1">
      <c r="A42" s="140">
        <v>51</v>
      </c>
      <c r="B42" s="142" t="s">
        <v>224</v>
      </c>
      <c r="C42" s="137"/>
      <c r="D42" s="145" t="s">
        <v>117</v>
      </c>
      <c r="E42" s="141"/>
      <c r="F42" s="137" t="s">
        <v>44</v>
      </c>
      <c r="G42" s="143">
        <v>0.35</v>
      </c>
      <c r="H42" s="144">
        <v>0.03</v>
      </c>
      <c r="I42" s="144">
        <v>-0.03</v>
      </c>
      <c r="J42" s="137" t="s">
        <v>30</v>
      </c>
      <c r="K42" s="136" t="s">
        <v>216</v>
      </c>
      <c r="L42" s="135">
        <f t="shared" si="42"/>
        <v>0.38</v>
      </c>
      <c r="M42" s="134">
        <f t="shared" si="43"/>
        <v>0.31999999999999995</v>
      </c>
      <c r="N42" s="133"/>
      <c r="O42" s="2" t="str">
        <f t="shared" si="34"/>
        <v/>
      </c>
      <c r="P42" s="2" t="str">
        <f t="shared" si="35"/>
        <v/>
      </c>
      <c r="Q42" s="2" t="str">
        <f t="shared" si="36"/>
        <v/>
      </c>
      <c r="R42" s="3" t="str">
        <f t="shared" si="37"/>
        <v/>
      </c>
      <c r="S42" s="4" t="str">
        <f t="shared" si="31"/>
        <v/>
      </c>
      <c r="T42" s="85" t="str">
        <f t="shared" si="32"/>
        <v/>
      </c>
      <c r="U42" s="85" t="str">
        <f t="shared" si="33"/>
        <v/>
      </c>
      <c r="V42" s="4" t="str">
        <f t="shared" si="38"/>
        <v/>
      </c>
      <c r="W42" s="4" t="str">
        <f t="shared" si="39"/>
        <v/>
      </c>
      <c r="X42" s="4" t="str">
        <f t="shared" si="40"/>
        <v/>
      </c>
      <c r="Y42" s="148" t="str">
        <f t="shared" si="41"/>
        <v/>
      </c>
      <c r="Z42" s="132" t="str">
        <f t="shared" si="44"/>
        <v/>
      </c>
      <c r="AA42" s="132" t="str">
        <f t="shared" si="45"/>
        <v/>
      </c>
      <c r="AB42" s="132" t="str">
        <f t="shared" si="46"/>
        <v/>
      </c>
      <c r="AC42" s="132" t="str">
        <f t="shared" si="47"/>
        <v/>
      </c>
      <c r="AD42" s="131"/>
      <c r="AE42" s="130" t="str">
        <f t="shared" si="48"/>
        <v/>
      </c>
      <c r="AF42" s="129"/>
      <c r="AG42" s="128"/>
      <c r="AH42" s="128"/>
      <c r="AI42" s="127"/>
      <c r="AJ42" s="126"/>
      <c r="AK42" s="125"/>
      <c r="AL42" s="125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</row>
    <row r="43" spans="1:68" ht="15" customHeight="1">
      <c r="A43" s="140">
        <v>52</v>
      </c>
      <c r="B43" s="142" t="s">
        <v>223</v>
      </c>
      <c r="C43" s="137"/>
      <c r="D43" s="145" t="s">
        <v>117</v>
      </c>
      <c r="E43" s="141"/>
      <c r="F43" s="137" t="s">
        <v>44</v>
      </c>
      <c r="G43" s="143">
        <v>0.35</v>
      </c>
      <c r="H43" s="144">
        <v>0.03</v>
      </c>
      <c r="I43" s="144">
        <v>-0.03</v>
      </c>
      <c r="J43" s="137" t="s">
        <v>30</v>
      </c>
      <c r="K43" s="136" t="s">
        <v>216</v>
      </c>
      <c r="L43" s="135">
        <f t="shared" si="42"/>
        <v>0.38</v>
      </c>
      <c r="M43" s="134">
        <f t="shared" si="43"/>
        <v>0.31999999999999995</v>
      </c>
      <c r="N43" s="133"/>
      <c r="O43" s="2" t="str">
        <f t="shared" si="34"/>
        <v/>
      </c>
      <c r="P43" s="2" t="str">
        <f t="shared" si="35"/>
        <v/>
      </c>
      <c r="Q43" s="2" t="str">
        <f t="shared" si="36"/>
        <v/>
      </c>
      <c r="R43" s="3" t="str">
        <f t="shared" si="37"/>
        <v/>
      </c>
      <c r="S43" s="4" t="str">
        <f t="shared" si="31"/>
        <v/>
      </c>
      <c r="T43" s="85" t="str">
        <f t="shared" si="32"/>
        <v/>
      </c>
      <c r="U43" s="85" t="str">
        <f t="shared" si="33"/>
        <v/>
      </c>
      <c r="V43" s="4" t="str">
        <f t="shared" si="38"/>
        <v/>
      </c>
      <c r="W43" s="4" t="str">
        <f t="shared" si="39"/>
        <v/>
      </c>
      <c r="X43" s="4" t="str">
        <f t="shared" si="40"/>
        <v/>
      </c>
      <c r="Y43" s="148" t="str">
        <f t="shared" si="41"/>
        <v/>
      </c>
      <c r="Z43" s="132" t="str">
        <f t="shared" si="44"/>
        <v/>
      </c>
      <c r="AA43" s="132" t="str">
        <f t="shared" si="45"/>
        <v/>
      </c>
      <c r="AB43" s="132" t="str">
        <f t="shared" si="46"/>
        <v/>
      </c>
      <c r="AC43" s="132" t="str">
        <f t="shared" si="47"/>
        <v/>
      </c>
      <c r="AD43" s="131"/>
      <c r="AE43" s="130" t="str">
        <f t="shared" si="48"/>
        <v/>
      </c>
      <c r="AF43" s="129"/>
      <c r="AG43" s="128"/>
      <c r="AH43" s="128"/>
      <c r="AI43" s="127"/>
      <c r="AJ43" s="126"/>
      <c r="AK43" s="125"/>
      <c r="AL43" s="125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</row>
    <row r="44" spans="1:68" ht="15" customHeight="1">
      <c r="A44" s="140">
        <v>53</v>
      </c>
      <c r="B44" s="142">
        <v>41</v>
      </c>
      <c r="C44" s="137"/>
      <c r="D44" s="145" t="s">
        <v>117</v>
      </c>
      <c r="E44" s="141"/>
      <c r="F44" s="137" t="s">
        <v>44</v>
      </c>
      <c r="G44" s="143">
        <v>1.9019999999999999</v>
      </c>
      <c r="H44" s="144">
        <v>0.02</v>
      </c>
      <c r="I44" s="144">
        <v>-0.02</v>
      </c>
      <c r="J44" s="137" t="s">
        <v>12</v>
      </c>
      <c r="K44" s="136" t="s">
        <v>216</v>
      </c>
      <c r="L44" s="135">
        <f t="shared" si="42"/>
        <v>1.9219999999999999</v>
      </c>
      <c r="M44" s="134">
        <f t="shared" si="43"/>
        <v>1.8819999999999999</v>
      </c>
      <c r="N44" s="150"/>
      <c r="O44" s="2" t="str">
        <f t="shared" si="34"/>
        <v/>
      </c>
      <c r="P44" s="2" t="str">
        <f t="shared" si="35"/>
        <v/>
      </c>
      <c r="Q44" s="2" t="str">
        <f t="shared" si="36"/>
        <v/>
      </c>
      <c r="R44" s="3" t="str">
        <f t="shared" si="37"/>
        <v/>
      </c>
      <c r="S44" s="4" t="str">
        <f t="shared" si="31"/>
        <v/>
      </c>
      <c r="T44" s="85" t="str">
        <f t="shared" si="32"/>
        <v/>
      </c>
      <c r="U44" s="85" t="str">
        <f t="shared" si="33"/>
        <v/>
      </c>
      <c r="V44" s="4" t="str">
        <f t="shared" si="38"/>
        <v/>
      </c>
      <c r="W44" s="4" t="str">
        <f t="shared" si="39"/>
        <v/>
      </c>
      <c r="X44" s="4" t="str">
        <f t="shared" si="40"/>
        <v/>
      </c>
      <c r="Y44" s="148" t="str">
        <f t="shared" si="41"/>
        <v/>
      </c>
      <c r="Z44" s="132" t="str">
        <f t="shared" si="44"/>
        <v/>
      </c>
      <c r="AA44" s="132" t="str">
        <f t="shared" si="45"/>
        <v/>
      </c>
      <c r="AB44" s="132" t="str">
        <f t="shared" si="46"/>
        <v/>
      </c>
      <c r="AC44" s="132" t="str">
        <f t="shared" si="47"/>
        <v/>
      </c>
      <c r="AD44" s="131"/>
      <c r="AE44" s="130" t="str">
        <f t="shared" si="48"/>
        <v/>
      </c>
      <c r="AF44" s="129"/>
      <c r="AG44" s="128"/>
      <c r="AH44" s="128"/>
      <c r="AI44" s="127"/>
      <c r="AJ44" s="149"/>
      <c r="AK44" s="125"/>
      <c r="AL44" s="125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</row>
    <row r="45" spans="1:68" ht="15" customHeight="1">
      <c r="A45" s="140">
        <v>65</v>
      </c>
      <c r="B45" s="142">
        <v>54</v>
      </c>
      <c r="C45" s="137"/>
      <c r="D45" s="145" t="s">
        <v>117</v>
      </c>
      <c r="E45" s="141"/>
      <c r="F45" s="137" t="s">
        <v>44</v>
      </c>
      <c r="G45" s="143">
        <v>1.74</v>
      </c>
      <c r="H45" s="144">
        <v>0.03</v>
      </c>
      <c r="I45" s="144">
        <v>-0.03</v>
      </c>
      <c r="J45" s="137" t="s">
        <v>12</v>
      </c>
      <c r="K45" s="136" t="s">
        <v>216</v>
      </c>
      <c r="L45" s="135">
        <f t="shared" si="42"/>
        <v>1.77</v>
      </c>
      <c r="M45" s="134">
        <f t="shared" si="43"/>
        <v>1.71</v>
      </c>
      <c r="N45" s="133"/>
      <c r="O45" s="2" t="str">
        <f t="shared" si="34"/>
        <v/>
      </c>
      <c r="P45" s="2" t="str">
        <f t="shared" si="35"/>
        <v/>
      </c>
      <c r="Q45" s="2" t="str">
        <f t="shared" si="36"/>
        <v/>
      </c>
      <c r="R45" s="3" t="str">
        <f t="shared" si="37"/>
        <v/>
      </c>
      <c r="S45" s="4" t="str">
        <f t="shared" ref="S45:S63" si="49">IF(OR($AK45="",ISNUMBER($AK45)=FALSE),"",IF(AND(G45="",I45=""),V45,IF(AND(G45="",H45=""),W45,(H45+ABS(I45))/(6*R45))))</f>
        <v/>
      </c>
      <c r="T45" s="85" t="str">
        <f t="shared" si="32"/>
        <v/>
      </c>
      <c r="U45" s="85" t="str">
        <f t="shared" si="33"/>
        <v/>
      </c>
      <c r="V45" s="4" t="str">
        <f t="shared" si="38"/>
        <v/>
      </c>
      <c r="W45" s="4" t="str">
        <f t="shared" si="39"/>
        <v/>
      </c>
      <c r="X45" s="4" t="str">
        <f t="shared" si="40"/>
        <v/>
      </c>
      <c r="Y45" s="148" t="str">
        <f t="shared" si="41"/>
        <v/>
      </c>
      <c r="Z45" s="132" t="str">
        <f t="shared" si="44"/>
        <v/>
      </c>
      <c r="AA45" s="132" t="str">
        <f t="shared" si="45"/>
        <v/>
      </c>
      <c r="AB45" s="132" t="str">
        <f t="shared" si="46"/>
        <v/>
      </c>
      <c r="AC45" s="132" t="str">
        <f t="shared" si="47"/>
        <v/>
      </c>
      <c r="AD45" s="131"/>
      <c r="AE45" s="130" t="str">
        <f t="shared" si="48"/>
        <v/>
      </c>
      <c r="AF45" s="129"/>
      <c r="AG45" s="128"/>
      <c r="AH45" s="128"/>
      <c r="AI45" s="127"/>
      <c r="AJ45" s="126"/>
      <c r="AK45" s="125"/>
      <c r="AL45" s="125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</row>
    <row r="46" spans="1:68" ht="15" customHeight="1">
      <c r="A46" s="140">
        <v>66</v>
      </c>
      <c r="B46" s="142">
        <v>55</v>
      </c>
      <c r="C46" s="137"/>
      <c r="D46" s="145" t="s">
        <v>117</v>
      </c>
      <c r="E46" s="141"/>
      <c r="F46" s="137" t="s">
        <v>44</v>
      </c>
      <c r="G46" s="143">
        <v>1.74</v>
      </c>
      <c r="H46" s="144">
        <v>0.03</v>
      </c>
      <c r="I46" s="144">
        <v>-0.03</v>
      </c>
      <c r="J46" s="137" t="s">
        <v>12</v>
      </c>
      <c r="K46" s="136" t="s">
        <v>216</v>
      </c>
      <c r="L46" s="135">
        <f t="shared" si="42"/>
        <v>1.77</v>
      </c>
      <c r="M46" s="134">
        <f t="shared" si="43"/>
        <v>1.71</v>
      </c>
      <c r="N46" s="133"/>
      <c r="O46" s="2" t="str">
        <f t="shared" si="34"/>
        <v/>
      </c>
      <c r="P46" s="2" t="str">
        <f t="shared" si="35"/>
        <v/>
      </c>
      <c r="Q46" s="2" t="str">
        <f t="shared" si="36"/>
        <v/>
      </c>
      <c r="R46" s="3" t="str">
        <f t="shared" si="37"/>
        <v/>
      </c>
      <c r="S46" s="4" t="str">
        <f t="shared" si="49"/>
        <v/>
      </c>
      <c r="T46" s="85" t="str">
        <f t="shared" si="32"/>
        <v/>
      </c>
      <c r="U46" s="85" t="str">
        <f t="shared" si="33"/>
        <v/>
      </c>
      <c r="V46" s="4" t="str">
        <f t="shared" si="38"/>
        <v/>
      </c>
      <c r="W46" s="4" t="str">
        <f t="shared" si="39"/>
        <v/>
      </c>
      <c r="X46" s="4" t="str">
        <f t="shared" si="40"/>
        <v/>
      </c>
      <c r="Y46" s="148" t="str">
        <f t="shared" si="41"/>
        <v/>
      </c>
      <c r="Z46" s="132" t="str">
        <f t="shared" si="44"/>
        <v/>
      </c>
      <c r="AA46" s="132" t="str">
        <f t="shared" si="45"/>
        <v/>
      </c>
      <c r="AB46" s="132" t="str">
        <f t="shared" si="46"/>
        <v/>
      </c>
      <c r="AC46" s="132" t="str">
        <f t="shared" si="47"/>
        <v/>
      </c>
      <c r="AD46" s="131"/>
      <c r="AE46" s="130" t="str">
        <f t="shared" si="48"/>
        <v/>
      </c>
      <c r="AF46" s="129"/>
      <c r="AG46" s="128"/>
      <c r="AH46" s="128"/>
      <c r="AI46" s="127"/>
      <c r="AJ46" s="126"/>
      <c r="AK46" s="125"/>
      <c r="AL46" s="125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</row>
    <row r="47" spans="1:68" ht="15" customHeight="1">
      <c r="A47" s="140">
        <v>67</v>
      </c>
      <c r="B47" s="142">
        <v>56</v>
      </c>
      <c r="C47" s="137"/>
      <c r="D47" s="145" t="s">
        <v>117</v>
      </c>
      <c r="E47" s="141"/>
      <c r="F47" s="137" t="s">
        <v>44</v>
      </c>
      <c r="G47" s="143">
        <v>10.772</v>
      </c>
      <c r="H47" s="144">
        <v>0.03</v>
      </c>
      <c r="I47" s="144">
        <v>-0.03</v>
      </c>
      <c r="J47" s="137" t="s">
        <v>12</v>
      </c>
      <c r="K47" s="136" t="s">
        <v>216</v>
      </c>
      <c r="L47" s="135">
        <f t="shared" si="42"/>
        <v>10.802</v>
      </c>
      <c r="M47" s="134">
        <f t="shared" si="43"/>
        <v>10.742000000000001</v>
      </c>
      <c r="N47" s="133"/>
      <c r="O47" s="2" t="str">
        <f t="shared" si="34"/>
        <v/>
      </c>
      <c r="P47" s="2" t="str">
        <f t="shared" si="35"/>
        <v/>
      </c>
      <c r="Q47" s="2" t="str">
        <f t="shared" si="36"/>
        <v/>
      </c>
      <c r="R47" s="3" t="str">
        <f t="shared" si="37"/>
        <v/>
      </c>
      <c r="S47" s="4" t="str">
        <f t="shared" si="49"/>
        <v/>
      </c>
      <c r="T47" s="85" t="str">
        <f t="shared" si="32"/>
        <v/>
      </c>
      <c r="U47" s="85" t="str">
        <f t="shared" si="33"/>
        <v/>
      </c>
      <c r="V47" s="4" t="str">
        <f t="shared" si="38"/>
        <v/>
      </c>
      <c r="W47" s="4" t="str">
        <f t="shared" si="39"/>
        <v/>
      </c>
      <c r="X47" s="4" t="str">
        <f t="shared" si="40"/>
        <v/>
      </c>
      <c r="Y47" s="148" t="str">
        <f t="shared" si="41"/>
        <v/>
      </c>
      <c r="Z47" s="132" t="str">
        <f t="shared" si="44"/>
        <v/>
      </c>
      <c r="AA47" s="132" t="str">
        <f t="shared" si="45"/>
        <v/>
      </c>
      <c r="AB47" s="132" t="str">
        <f t="shared" si="46"/>
        <v/>
      </c>
      <c r="AC47" s="132" t="str">
        <f t="shared" si="47"/>
        <v/>
      </c>
      <c r="AD47" s="131"/>
      <c r="AE47" s="130" t="str">
        <f t="shared" si="48"/>
        <v/>
      </c>
      <c r="AF47" s="129"/>
      <c r="AG47" s="128"/>
      <c r="AH47" s="128"/>
      <c r="AI47" s="127"/>
      <c r="AJ47" s="126"/>
      <c r="AK47" s="125"/>
      <c r="AL47" s="125"/>
      <c r="AM47" s="125"/>
      <c r="AN47" s="125"/>
      <c r="AO47" s="125"/>
      <c r="AP47" s="125"/>
      <c r="AQ47" s="125"/>
      <c r="AR47" s="125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</row>
    <row r="48" spans="1:68" ht="15" customHeight="1">
      <c r="A48" s="140">
        <v>68</v>
      </c>
      <c r="B48" s="142">
        <v>57</v>
      </c>
      <c r="C48" s="137"/>
      <c r="D48" s="145" t="s">
        <v>117</v>
      </c>
      <c r="E48" s="141"/>
      <c r="F48" s="137" t="s">
        <v>44</v>
      </c>
      <c r="G48" s="143">
        <v>14.853999999999999</v>
      </c>
      <c r="H48" s="144">
        <v>0.03</v>
      </c>
      <c r="I48" s="144">
        <v>-0.03</v>
      </c>
      <c r="J48" s="137" t="s">
        <v>12</v>
      </c>
      <c r="K48" s="136" t="s">
        <v>216</v>
      </c>
      <c r="L48" s="135">
        <f t="shared" si="42"/>
        <v>14.883999999999999</v>
      </c>
      <c r="M48" s="134">
        <f t="shared" si="43"/>
        <v>14.824</v>
      </c>
      <c r="N48" s="133"/>
      <c r="O48" s="2" t="str">
        <f t="shared" si="34"/>
        <v/>
      </c>
      <c r="P48" s="2" t="str">
        <f t="shared" si="35"/>
        <v/>
      </c>
      <c r="Q48" s="2" t="str">
        <f t="shared" si="36"/>
        <v/>
      </c>
      <c r="R48" s="3" t="str">
        <f t="shared" si="37"/>
        <v/>
      </c>
      <c r="S48" s="4" t="str">
        <f t="shared" si="49"/>
        <v/>
      </c>
      <c r="T48" s="85" t="str">
        <f t="shared" si="32"/>
        <v/>
      </c>
      <c r="U48" s="85" t="str">
        <f t="shared" si="33"/>
        <v/>
      </c>
      <c r="V48" s="4" t="str">
        <f t="shared" si="38"/>
        <v/>
      </c>
      <c r="W48" s="4" t="str">
        <f t="shared" si="39"/>
        <v/>
      </c>
      <c r="X48" s="4" t="str">
        <f t="shared" si="40"/>
        <v/>
      </c>
      <c r="Y48" s="148" t="str">
        <f t="shared" si="41"/>
        <v/>
      </c>
      <c r="Z48" s="132" t="str">
        <f t="shared" si="44"/>
        <v/>
      </c>
      <c r="AA48" s="132" t="str">
        <f t="shared" si="45"/>
        <v/>
      </c>
      <c r="AB48" s="132" t="str">
        <f t="shared" si="46"/>
        <v/>
      </c>
      <c r="AC48" s="132" t="str">
        <f t="shared" si="47"/>
        <v/>
      </c>
      <c r="AD48" s="131"/>
      <c r="AE48" s="130" t="str">
        <f t="shared" si="48"/>
        <v/>
      </c>
      <c r="AF48" s="129"/>
      <c r="AG48" s="128"/>
      <c r="AH48" s="128"/>
      <c r="AI48" s="127"/>
      <c r="AJ48" s="126"/>
      <c r="AK48" s="125"/>
      <c r="AL48" s="125"/>
      <c r="AM48" s="125"/>
      <c r="AN48" s="125"/>
      <c r="AO48" s="125"/>
      <c r="AP48" s="125"/>
      <c r="AQ48" s="125"/>
      <c r="AR48" s="125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</row>
    <row r="49" spans="1:68" ht="15" customHeight="1">
      <c r="A49" s="140">
        <v>69</v>
      </c>
      <c r="B49" s="142">
        <v>58</v>
      </c>
      <c r="C49" s="137"/>
      <c r="D49" s="145" t="s">
        <v>117</v>
      </c>
      <c r="E49" s="141"/>
      <c r="F49" s="137" t="s">
        <v>44</v>
      </c>
      <c r="G49" s="143">
        <v>13.27</v>
      </c>
      <c r="H49" s="144">
        <v>0.03</v>
      </c>
      <c r="I49" s="144">
        <v>-0.03</v>
      </c>
      <c r="J49" s="137" t="s">
        <v>12</v>
      </c>
      <c r="K49" s="136" t="s">
        <v>216</v>
      </c>
      <c r="L49" s="135">
        <f t="shared" si="42"/>
        <v>13.299999999999999</v>
      </c>
      <c r="M49" s="134">
        <f t="shared" si="43"/>
        <v>13.24</v>
      </c>
      <c r="N49" s="133"/>
      <c r="O49" s="2" t="str">
        <f t="shared" si="34"/>
        <v/>
      </c>
      <c r="P49" s="2" t="str">
        <f t="shared" si="35"/>
        <v/>
      </c>
      <c r="Q49" s="2" t="str">
        <f t="shared" si="36"/>
        <v/>
      </c>
      <c r="R49" s="3" t="str">
        <f t="shared" si="37"/>
        <v/>
      </c>
      <c r="S49" s="4" t="str">
        <f t="shared" si="49"/>
        <v/>
      </c>
      <c r="T49" s="85" t="str">
        <f t="shared" si="32"/>
        <v/>
      </c>
      <c r="U49" s="85" t="str">
        <f t="shared" si="33"/>
        <v/>
      </c>
      <c r="V49" s="4" t="str">
        <f t="shared" si="38"/>
        <v/>
      </c>
      <c r="W49" s="4" t="str">
        <f t="shared" si="39"/>
        <v/>
      </c>
      <c r="X49" s="4" t="str">
        <f t="shared" si="40"/>
        <v/>
      </c>
      <c r="Y49" s="148" t="str">
        <f t="shared" si="41"/>
        <v/>
      </c>
      <c r="Z49" s="132" t="str">
        <f t="shared" si="44"/>
        <v/>
      </c>
      <c r="AA49" s="132" t="str">
        <f t="shared" si="45"/>
        <v/>
      </c>
      <c r="AB49" s="132" t="str">
        <f t="shared" si="46"/>
        <v/>
      </c>
      <c r="AC49" s="132" t="str">
        <f t="shared" si="47"/>
        <v/>
      </c>
      <c r="AD49" s="131"/>
      <c r="AE49" s="130" t="str">
        <f t="shared" si="48"/>
        <v/>
      </c>
      <c r="AF49" s="129"/>
      <c r="AG49" s="128"/>
      <c r="AH49" s="128"/>
      <c r="AI49" s="127"/>
      <c r="AJ49" s="126"/>
      <c r="AK49" s="125"/>
      <c r="AL49" s="125"/>
      <c r="AM49" s="125"/>
      <c r="AN49" s="125"/>
      <c r="AO49" s="125"/>
      <c r="AP49" s="125"/>
      <c r="AQ49" s="125"/>
      <c r="AR49" s="125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</row>
    <row r="50" spans="1:68" ht="15" customHeight="1">
      <c r="A50" s="140">
        <v>70</v>
      </c>
      <c r="B50" s="142">
        <v>59</v>
      </c>
      <c r="C50" s="137"/>
      <c r="D50" s="145" t="s">
        <v>117</v>
      </c>
      <c r="E50" s="141"/>
      <c r="F50" s="137" t="s">
        <v>44</v>
      </c>
      <c r="G50" s="143">
        <v>0.64200000000000002</v>
      </c>
      <c r="H50" s="144">
        <v>0.03</v>
      </c>
      <c r="I50" s="144">
        <v>-0.03</v>
      </c>
      <c r="J50" s="137" t="s">
        <v>12</v>
      </c>
      <c r="K50" s="136" t="s">
        <v>216</v>
      </c>
      <c r="L50" s="135">
        <f t="shared" si="42"/>
        <v>0.67200000000000004</v>
      </c>
      <c r="M50" s="134">
        <f t="shared" si="43"/>
        <v>0.61199999999999999</v>
      </c>
      <c r="N50" s="133"/>
      <c r="O50" s="2" t="str">
        <f t="shared" si="34"/>
        <v/>
      </c>
      <c r="P50" s="2" t="str">
        <f t="shared" si="35"/>
        <v/>
      </c>
      <c r="Q50" s="2" t="str">
        <f t="shared" si="36"/>
        <v/>
      </c>
      <c r="R50" s="3" t="str">
        <f t="shared" si="37"/>
        <v/>
      </c>
      <c r="S50" s="4" t="str">
        <f t="shared" si="49"/>
        <v/>
      </c>
      <c r="T50" s="85" t="str">
        <f t="shared" si="32"/>
        <v/>
      </c>
      <c r="U50" s="85" t="str">
        <f t="shared" si="33"/>
        <v/>
      </c>
      <c r="V50" s="4" t="str">
        <f t="shared" si="38"/>
        <v/>
      </c>
      <c r="W50" s="4" t="str">
        <f t="shared" si="39"/>
        <v/>
      </c>
      <c r="X50" s="4" t="str">
        <f t="shared" si="40"/>
        <v/>
      </c>
      <c r="Y50" s="148" t="str">
        <f t="shared" si="41"/>
        <v/>
      </c>
      <c r="Z50" s="132" t="str">
        <f t="shared" si="44"/>
        <v/>
      </c>
      <c r="AA50" s="132" t="str">
        <f t="shared" si="45"/>
        <v/>
      </c>
      <c r="AB50" s="132" t="str">
        <f t="shared" si="46"/>
        <v/>
      </c>
      <c r="AC50" s="132" t="str">
        <f t="shared" si="47"/>
        <v/>
      </c>
      <c r="AD50" s="131"/>
      <c r="AE50" s="130" t="str">
        <f t="shared" si="48"/>
        <v/>
      </c>
      <c r="AF50" s="129"/>
      <c r="AG50" s="128"/>
      <c r="AH50" s="128"/>
      <c r="AI50" s="127"/>
      <c r="AJ50" s="126"/>
      <c r="AK50" s="125"/>
      <c r="AL50" s="125"/>
      <c r="AM50" s="125"/>
      <c r="AN50" s="125"/>
      <c r="AO50" s="125"/>
      <c r="AP50" s="125"/>
      <c r="AQ50" s="125"/>
      <c r="AR50" s="125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</row>
    <row r="51" spans="1:68" ht="15" customHeight="1">
      <c r="A51" s="140">
        <v>71</v>
      </c>
      <c r="B51" s="142">
        <v>60</v>
      </c>
      <c r="C51" s="137"/>
      <c r="D51" s="145" t="s">
        <v>117</v>
      </c>
      <c r="E51" s="141"/>
      <c r="F51" s="137" t="s">
        <v>44</v>
      </c>
      <c r="G51" s="143">
        <v>0.40300000000000002</v>
      </c>
      <c r="H51" s="144">
        <v>0.03</v>
      </c>
      <c r="I51" s="144">
        <v>-0.03</v>
      </c>
      <c r="J51" s="137" t="s">
        <v>12</v>
      </c>
      <c r="K51" s="136" t="s">
        <v>216</v>
      </c>
      <c r="L51" s="135">
        <f t="shared" si="42"/>
        <v>0.43300000000000005</v>
      </c>
      <c r="M51" s="134">
        <f t="shared" si="43"/>
        <v>0.373</v>
      </c>
      <c r="N51" s="133"/>
      <c r="O51" s="2" t="str">
        <f t="shared" si="34"/>
        <v/>
      </c>
      <c r="P51" s="2" t="str">
        <f t="shared" si="35"/>
        <v/>
      </c>
      <c r="Q51" s="2" t="str">
        <f t="shared" si="36"/>
        <v/>
      </c>
      <c r="R51" s="3" t="str">
        <f t="shared" si="37"/>
        <v/>
      </c>
      <c r="S51" s="4" t="str">
        <f t="shared" si="49"/>
        <v/>
      </c>
      <c r="T51" s="85" t="str">
        <f t="shared" si="32"/>
        <v/>
      </c>
      <c r="U51" s="85" t="str">
        <f t="shared" si="33"/>
        <v/>
      </c>
      <c r="V51" s="4" t="str">
        <f t="shared" si="38"/>
        <v/>
      </c>
      <c r="W51" s="4" t="str">
        <f t="shared" si="39"/>
        <v/>
      </c>
      <c r="X51" s="4" t="str">
        <f t="shared" si="40"/>
        <v/>
      </c>
      <c r="Y51" s="148" t="str">
        <f t="shared" si="41"/>
        <v/>
      </c>
      <c r="Z51" s="132" t="str">
        <f t="shared" si="44"/>
        <v/>
      </c>
      <c r="AA51" s="132" t="str">
        <f t="shared" si="45"/>
        <v/>
      </c>
      <c r="AB51" s="132" t="str">
        <f t="shared" si="46"/>
        <v/>
      </c>
      <c r="AC51" s="132" t="str">
        <f t="shared" si="47"/>
        <v/>
      </c>
      <c r="AD51" s="131"/>
      <c r="AE51" s="130" t="str">
        <f t="shared" si="48"/>
        <v/>
      </c>
      <c r="AF51" s="129"/>
      <c r="AG51" s="128"/>
      <c r="AH51" s="128"/>
      <c r="AI51" s="127"/>
      <c r="AJ51" s="126"/>
      <c r="AK51" s="125"/>
      <c r="AL51" s="125"/>
      <c r="AM51" s="125"/>
      <c r="AN51" s="125"/>
      <c r="AO51" s="125"/>
      <c r="AP51" s="125"/>
      <c r="AQ51" s="125"/>
      <c r="AR51" s="125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</row>
    <row r="52" spans="1:68" ht="15" customHeight="1">
      <c r="A52" s="140">
        <v>72</v>
      </c>
      <c r="B52" s="142">
        <v>61</v>
      </c>
      <c r="C52" s="137"/>
      <c r="D52" s="145" t="s">
        <v>117</v>
      </c>
      <c r="E52" s="141"/>
      <c r="F52" s="137" t="s">
        <v>44</v>
      </c>
      <c r="G52" s="143">
        <v>1.986</v>
      </c>
      <c r="H52" s="144">
        <v>0.03</v>
      </c>
      <c r="I52" s="144">
        <v>-0.03</v>
      </c>
      <c r="J52" s="137" t="s">
        <v>12</v>
      </c>
      <c r="K52" s="136" t="s">
        <v>216</v>
      </c>
      <c r="L52" s="135">
        <f t="shared" si="42"/>
        <v>2.016</v>
      </c>
      <c r="M52" s="134">
        <f t="shared" si="43"/>
        <v>1.956</v>
      </c>
      <c r="N52" s="133"/>
      <c r="O52" s="2" t="str">
        <f t="shared" si="34"/>
        <v/>
      </c>
      <c r="P52" s="2" t="str">
        <f t="shared" si="35"/>
        <v/>
      </c>
      <c r="Q52" s="2" t="str">
        <f t="shared" si="36"/>
        <v/>
      </c>
      <c r="R52" s="3" t="str">
        <f t="shared" si="37"/>
        <v/>
      </c>
      <c r="S52" s="4" t="str">
        <f t="shared" si="49"/>
        <v/>
      </c>
      <c r="T52" s="85" t="str">
        <f t="shared" si="32"/>
        <v/>
      </c>
      <c r="U52" s="85" t="str">
        <f t="shared" si="33"/>
        <v/>
      </c>
      <c r="V52" s="4" t="str">
        <f t="shared" si="38"/>
        <v/>
      </c>
      <c r="W52" s="4" t="str">
        <f t="shared" si="39"/>
        <v/>
      </c>
      <c r="X52" s="4" t="str">
        <f t="shared" si="40"/>
        <v/>
      </c>
      <c r="Y52" s="148" t="str">
        <f t="shared" si="41"/>
        <v/>
      </c>
      <c r="Z52" s="132" t="str">
        <f t="shared" si="44"/>
        <v/>
      </c>
      <c r="AA52" s="132" t="str">
        <f t="shared" si="45"/>
        <v/>
      </c>
      <c r="AB52" s="132" t="str">
        <f t="shared" si="46"/>
        <v/>
      </c>
      <c r="AC52" s="132" t="str">
        <f t="shared" si="47"/>
        <v/>
      </c>
      <c r="AD52" s="131"/>
      <c r="AE52" s="130" t="str">
        <f t="shared" si="48"/>
        <v/>
      </c>
      <c r="AF52" s="129"/>
      <c r="AG52" s="128"/>
      <c r="AH52" s="128"/>
      <c r="AI52" s="127"/>
      <c r="AJ52" s="126"/>
      <c r="AK52" s="125"/>
      <c r="AL52" s="125"/>
      <c r="AM52" s="125"/>
      <c r="AN52" s="125"/>
      <c r="AO52" s="125"/>
      <c r="AP52" s="125"/>
      <c r="AQ52" s="125"/>
      <c r="AR52" s="125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</row>
    <row r="53" spans="1:68" ht="15" customHeight="1">
      <c r="A53" s="140">
        <v>73</v>
      </c>
      <c r="B53" s="142">
        <v>62</v>
      </c>
      <c r="C53" s="137"/>
      <c r="D53" s="145" t="s">
        <v>117</v>
      </c>
      <c r="E53" s="141"/>
      <c r="F53" s="137" t="s">
        <v>44</v>
      </c>
      <c r="G53" s="143">
        <v>2.226</v>
      </c>
      <c r="H53" s="144">
        <v>0.03</v>
      </c>
      <c r="I53" s="144">
        <v>-0.03</v>
      </c>
      <c r="J53" s="137" t="s">
        <v>12</v>
      </c>
      <c r="K53" s="136" t="s">
        <v>216</v>
      </c>
      <c r="L53" s="135">
        <f t="shared" si="42"/>
        <v>2.2559999999999998</v>
      </c>
      <c r="M53" s="134">
        <f t="shared" si="43"/>
        <v>2.1960000000000002</v>
      </c>
      <c r="N53" s="133"/>
      <c r="O53" s="2" t="str">
        <f t="shared" si="34"/>
        <v/>
      </c>
      <c r="P53" s="2" t="str">
        <f t="shared" si="35"/>
        <v/>
      </c>
      <c r="Q53" s="2" t="str">
        <f t="shared" si="36"/>
        <v/>
      </c>
      <c r="R53" s="3" t="str">
        <f t="shared" si="37"/>
        <v/>
      </c>
      <c r="S53" s="4" t="str">
        <f t="shared" si="49"/>
        <v/>
      </c>
      <c r="T53" s="85" t="str">
        <f t="shared" si="32"/>
        <v/>
      </c>
      <c r="U53" s="85" t="str">
        <f t="shared" si="33"/>
        <v/>
      </c>
      <c r="V53" s="4" t="str">
        <f t="shared" si="38"/>
        <v/>
      </c>
      <c r="W53" s="4" t="str">
        <f t="shared" si="39"/>
        <v/>
      </c>
      <c r="X53" s="4" t="str">
        <f t="shared" si="40"/>
        <v/>
      </c>
      <c r="Y53" s="148" t="str">
        <f t="shared" si="41"/>
        <v/>
      </c>
      <c r="Z53" s="132" t="str">
        <f t="shared" si="44"/>
        <v/>
      </c>
      <c r="AA53" s="132" t="str">
        <f t="shared" si="45"/>
        <v/>
      </c>
      <c r="AB53" s="132" t="str">
        <f t="shared" si="46"/>
        <v/>
      </c>
      <c r="AC53" s="132" t="str">
        <f t="shared" si="47"/>
        <v/>
      </c>
      <c r="AD53" s="131"/>
      <c r="AE53" s="130" t="str">
        <f t="shared" si="48"/>
        <v/>
      </c>
      <c r="AF53" s="129"/>
      <c r="AG53" s="128"/>
      <c r="AH53" s="128"/>
      <c r="AI53" s="127"/>
      <c r="AJ53" s="126"/>
      <c r="AK53" s="125"/>
      <c r="AL53" s="125"/>
      <c r="AM53" s="125"/>
      <c r="AN53" s="125"/>
      <c r="AO53" s="125"/>
      <c r="AP53" s="125"/>
      <c r="AQ53" s="125"/>
      <c r="AR53" s="125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</row>
    <row r="54" spans="1:68" ht="15" customHeight="1">
      <c r="A54" s="140">
        <v>74</v>
      </c>
      <c r="B54" s="146">
        <v>63</v>
      </c>
      <c r="C54" s="137"/>
      <c r="D54" s="145" t="s">
        <v>117</v>
      </c>
      <c r="E54" s="141"/>
      <c r="F54" s="137" t="s">
        <v>44</v>
      </c>
      <c r="G54" s="143">
        <v>1.718</v>
      </c>
      <c r="H54" s="144">
        <v>0.02</v>
      </c>
      <c r="I54" s="144">
        <v>-0.02</v>
      </c>
      <c r="J54" s="137" t="s">
        <v>12</v>
      </c>
      <c r="K54" s="136" t="s">
        <v>216</v>
      </c>
      <c r="L54" s="135">
        <f t="shared" si="42"/>
        <v>1.738</v>
      </c>
      <c r="M54" s="134">
        <f t="shared" si="43"/>
        <v>1.698</v>
      </c>
      <c r="N54" s="133"/>
      <c r="O54" s="2" t="str">
        <f t="shared" si="34"/>
        <v/>
      </c>
      <c r="P54" s="2" t="str">
        <f t="shared" si="35"/>
        <v/>
      </c>
      <c r="Q54" s="2" t="str">
        <f t="shared" si="36"/>
        <v/>
      </c>
      <c r="R54" s="3" t="str">
        <f t="shared" si="37"/>
        <v/>
      </c>
      <c r="S54" s="4" t="str">
        <f t="shared" si="49"/>
        <v/>
      </c>
      <c r="T54" s="85" t="str">
        <f t="shared" si="32"/>
        <v/>
      </c>
      <c r="U54" s="85" t="str">
        <f t="shared" si="33"/>
        <v/>
      </c>
      <c r="V54" s="4" t="str">
        <f t="shared" si="38"/>
        <v/>
      </c>
      <c r="W54" s="4" t="str">
        <f t="shared" si="39"/>
        <v/>
      </c>
      <c r="X54" s="4" t="str">
        <f t="shared" si="40"/>
        <v/>
      </c>
      <c r="Y54" s="148" t="str">
        <f t="shared" si="41"/>
        <v/>
      </c>
      <c r="Z54" s="132" t="str">
        <f t="shared" si="44"/>
        <v/>
      </c>
      <c r="AA54" s="132" t="str">
        <f t="shared" si="45"/>
        <v/>
      </c>
      <c r="AB54" s="132" t="str">
        <f t="shared" si="46"/>
        <v/>
      </c>
      <c r="AC54" s="132" t="str">
        <f t="shared" si="47"/>
        <v/>
      </c>
      <c r="AD54" s="131"/>
      <c r="AE54" s="130" t="str">
        <f t="shared" si="48"/>
        <v/>
      </c>
      <c r="AF54" s="129"/>
      <c r="AG54" s="128"/>
      <c r="AH54" s="128"/>
      <c r="AI54" s="127"/>
      <c r="AJ54" s="126"/>
      <c r="AK54" s="125"/>
      <c r="AL54" s="125"/>
      <c r="AM54" s="125"/>
      <c r="AN54" s="125"/>
      <c r="AO54" s="125"/>
      <c r="AP54" s="125"/>
      <c r="AQ54" s="125"/>
      <c r="AR54" s="125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</row>
    <row r="55" spans="1:68" ht="15" customHeight="1">
      <c r="A55" s="140">
        <v>75</v>
      </c>
      <c r="B55" s="146">
        <v>64</v>
      </c>
      <c r="C55" s="137"/>
      <c r="D55" s="145" t="s">
        <v>117</v>
      </c>
      <c r="E55" s="141"/>
      <c r="F55" s="137" t="s">
        <v>44</v>
      </c>
      <c r="G55" s="143">
        <v>0.38500000000000001</v>
      </c>
      <c r="H55" s="144">
        <v>0.22</v>
      </c>
      <c r="I55" s="144">
        <v>-0.22</v>
      </c>
      <c r="J55" s="137" t="s">
        <v>12</v>
      </c>
      <c r="K55" s="136" t="s">
        <v>216</v>
      </c>
      <c r="L55" s="135">
        <f t="shared" si="42"/>
        <v>0.60499999999999998</v>
      </c>
      <c r="M55" s="134">
        <f t="shared" si="43"/>
        <v>0.16500000000000001</v>
      </c>
      <c r="N55" s="147"/>
      <c r="O55" s="2" t="str">
        <f t="shared" si="34"/>
        <v/>
      </c>
      <c r="P55" s="2" t="str">
        <f t="shared" si="35"/>
        <v/>
      </c>
      <c r="Q55" s="2" t="str">
        <f t="shared" si="36"/>
        <v/>
      </c>
      <c r="R55" s="3" t="str">
        <f t="shared" si="37"/>
        <v/>
      </c>
      <c r="S55" s="4" t="str">
        <f t="shared" si="49"/>
        <v/>
      </c>
      <c r="T55" s="85" t="str">
        <f t="shared" si="32"/>
        <v/>
      </c>
      <c r="U55" s="85" t="str">
        <f t="shared" si="33"/>
        <v/>
      </c>
      <c r="V55" s="4" t="str">
        <f t="shared" si="38"/>
        <v/>
      </c>
      <c r="W55" s="4" t="str">
        <f t="shared" si="39"/>
        <v/>
      </c>
      <c r="X55" s="4" t="str">
        <f t="shared" si="40"/>
        <v/>
      </c>
      <c r="Y55" s="148" t="str">
        <f t="shared" si="41"/>
        <v/>
      </c>
      <c r="Z55" s="132" t="str">
        <f t="shared" si="44"/>
        <v/>
      </c>
      <c r="AA55" s="132" t="str">
        <f t="shared" si="45"/>
        <v/>
      </c>
      <c r="AB55" s="132" t="str">
        <f t="shared" si="46"/>
        <v/>
      </c>
      <c r="AC55" s="132" t="str">
        <f t="shared" si="47"/>
        <v/>
      </c>
      <c r="AD55" s="131"/>
      <c r="AE55" s="130" t="str">
        <f t="shared" si="48"/>
        <v/>
      </c>
      <c r="AF55" s="129"/>
      <c r="AG55" s="128"/>
      <c r="AH55" s="128"/>
      <c r="AI55" s="127"/>
      <c r="AJ55" s="126"/>
      <c r="AK55" s="125"/>
      <c r="AL55" s="125"/>
      <c r="AM55" s="125"/>
      <c r="AN55" s="125"/>
      <c r="AO55" s="125"/>
      <c r="AP55" s="125"/>
      <c r="AQ55" s="125"/>
      <c r="AR55" s="125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</row>
    <row r="56" spans="1:68" ht="15" customHeight="1">
      <c r="A56" s="140">
        <v>76</v>
      </c>
      <c r="B56" s="146">
        <v>65</v>
      </c>
      <c r="C56" s="137"/>
      <c r="D56" s="145" t="s">
        <v>117</v>
      </c>
      <c r="E56" s="141"/>
      <c r="F56" s="137" t="s">
        <v>44</v>
      </c>
      <c r="G56" s="143">
        <v>5.2779999999999996</v>
      </c>
      <c r="H56" s="144">
        <v>0.3</v>
      </c>
      <c r="I56" s="144">
        <v>-0.3</v>
      </c>
      <c r="J56" s="137" t="s">
        <v>12</v>
      </c>
      <c r="K56" s="136" t="s">
        <v>216</v>
      </c>
      <c r="L56" s="135">
        <f t="shared" si="42"/>
        <v>5.5779999999999994</v>
      </c>
      <c r="M56" s="134">
        <f t="shared" si="43"/>
        <v>4.9779999999999998</v>
      </c>
      <c r="N56" s="133"/>
      <c r="O56" s="2" t="str">
        <f t="shared" si="34"/>
        <v/>
      </c>
      <c r="P56" s="2" t="str">
        <f t="shared" si="35"/>
        <v/>
      </c>
      <c r="Q56" s="2" t="str">
        <f t="shared" si="36"/>
        <v/>
      </c>
      <c r="R56" s="3" t="str">
        <f t="shared" si="37"/>
        <v/>
      </c>
      <c r="S56" s="4" t="str">
        <f t="shared" si="49"/>
        <v/>
      </c>
      <c r="T56" s="85" t="str">
        <f t="shared" si="32"/>
        <v/>
      </c>
      <c r="U56" s="85" t="str">
        <f t="shared" si="33"/>
        <v/>
      </c>
      <c r="V56" s="4" t="str">
        <f t="shared" si="38"/>
        <v/>
      </c>
      <c r="W56" s="4" t="str">
        <f t="shared" si="39"/>
        <v/>
      </c>
      <c r="X56" s="4" t="str">
        <f t="shared" si="40"/>
        <v/>
      </c>
      <c r="Y56" s="148" t="str">
        <f t="shared" si="41"/>
        <v/>
      </c>
      <c r="Z56" s="132" t="str">
        <f t="shared" si="44"/>
        <v/>
      </c>
      <c r="AA56" s="132" t="str">
        <f t="shared" si="45"/>
        <v/>
      </c>
      <c r="AB56" s="132" t="str">
        <f t="shared" si="46"/>
        <v/>
      </c>
      <c r="AC56" s="132" t="str">
        <f t="shared" si="47"/>
        <v/>
      </c>
      <c r="AD56" s="131"/>
      <c r="AE56" s="130" t="str">
        <f t="shared" si="48"/>
        <v/>
      </c>
      <c r="AF56" s="129"/>
      <c r="AG56" s="128"/>
      <c r="AH56" s="128"/>
      <c r="AI56" s="127"/>
      <c r="AJ56" s="126"/>
      <c r="AK56" s="125"/>
      <c r="AL56" s="125"/>
      <c r="AM56" s="125"/>
      <c r="AN56" s="125"/>
      <c r="AO56" s="125"/>
      <c r="AP56" s="125"/>
      <c r="AQ56" s="125"/>
      <c r="AR56" s="125"/>
      <c r="AS56" s="125"/>
      <c r="AT56" s="125"/>
      <c r="AU56" s="125"/>
      <c r="AV56" s="125"/>
      <c r="AW56" s="125"/>
      <c r="AX56" s="125"/>
      <c r="AY56" s="125"/>
      <c r="AZ56" s="125"/>
      <c r="BA56" s="125"/>
      <c r="BB56" s="125"/>
      <c r="BC56" s="125"/>
      <c r="BD56" s="125"/>
      <c r="BE56" s="125"/>
      <c r="BF56" s="125"/>
      <c r="BG56" s="125"/>
      <c r="BH56" s="125"/>
      <c r="BI56" s="125"/>
      <c r="BJ56" s="125"/>
      <c r="BK56" s="125"/>
      <c r="BL56" s="125"/>
      <c r="BM56" s="125"/>
      <c r="BN56" s="125"/>
      <c r="BO56" s="125"/>
      <c r="BP56" s="125"/>
    </row>
    <row r="57" spans="1:68" ht="15" customHeight="1">
      <c r="A57" s="140">
        <v>77</v>
      </c>
      <c r="B57" s="146">
        <v>66</v>
      </c>
      <c r="C57" s="137"/>
      <c r="D57" s="145" t="s">
        <v>117</v>
      </c>
      <c r="E57" s="141"/>
      <c r="F57" s="137" t="s">
        <v>44</v>
      </c>
      <c r="G57" s="143">
        <v>0</v>
      </c>
      <c r="H57" s="144">
        <v>3</v>
      </c>
      <c r="I57" s="144">
        <v>-3</v>
      </c>
      <c r="J57" s="137" t="s">
        <v>12</v>
      </c>
      <c r="K57" s="136" t="s">
        <v>216</v>
      </c>
      <c r="L57" s="135">
        <f t="shared" si="42"/>
        <v>3</v>
      </c>
      <c r="M57" s="134">
        <f t="shared" si="43"/>
        <v>-3</v>
      </c>
      <c r="N57" s="133"/>
      <c r="O57" s="2" t="str">
        <f t="shared" si="34"/>
        <v/>
      </c>
      <c r="P57" s="2" t="str">
        <f t="shared" si="35"/>
        <v/>
      </c>
      <c r="Q57" s="2" t="str">
        <f t="shared" si="36"/>
        <v/>
      </c>
      <c r="R57" s="3" t="str">
        <f t="shared" si="37"/>
        <v/>
      </c>
      <c r="S57" s="4" t="str">
        <f t="shared" si="49"/>
        <v/>
      </c>
      <c r="T57" s="85" t="str">
        <f t="shared" si="32"/>
        <v/>
      </c>
      <c r="U57" s="85" t="str">
        <f t="shared" si="33"/>
        <v/>
      </c>
      <c r="V57" s="4" t="str">
        <f t="shared" si="38"/>
        <v/>
      </c>
      <c r="W57" s="4" t="str">
        <f t="shared" si="39"/>
        <v/>
      </c>
      <c r="X57" s="4" t="str">
        <f t="shared" si="40"/>
        <v/>
      </c>
      <c r="Y57" s="148" t="str">
        <f t="shared" si="41"/>
        <v/>
      </c>
      <c r="Z57" s="132" t="str">
        <f t="shared" si="44"/>
        <v/>
      </c>
      <c r="AA57" s="132" t="str">
        <f t="shared" si="45"/>
        <v/>
      </c>
      <c r="AB57" s="132" t="str">
        <f t="shared" si="46"/>
        <v/>
      </c>
      <c r="AC57" s="132" t="str">
        <f t="shared" si="47"/>
        <v/>
      </c>
      <c r="AD57" s="131"/>
      <c r="AE57" s="130" t="str">
        <f t="shared" si="48"/>
        <v/>
      </c>
      <c r="AF57" s="129"/>
      <c r="AG57" s="128"/>
      <c r="AH57" s="128"/>
      <c r="AI57" s="127"/>
      <c r="AJ57" s="126"/>
      <c r="AK57" s="125"/>
      <c r="AL57" s="125"/>
      <c r="AM57" s="125"/>
      <c r="AN57" s="125"/>
      <c r="AO57" s="125"/>
      <c r="AP57" s="125"/>
      <c r="AQ57" s="125"/>
      <c r="AR57" s="125"/>
      <c r="AS57" s="125"/>
      <c r="AT57" s="125"/>
      <c r="AU57" s="125"/>
      <c r="AV57" s="125"/>
      <c r="AW57" s="125"/>
      <c r="AX57" s="125"/>
      <c r="AY57" s="125"/>
      <c r="AZ57" s="125"/>
      <c r="BA57" s="125"/>
      <c r="BB57" s="125"/>
      <c r="BC57" s="125"/>
      <c r="BD57" s="125"/>
      <c r="BE57" s="125"/>
      <c r="BF57" s="125"/>
      <c r="BG57" s="125"/>
      <c r="BH57" s="125"/>
      <c r="BI57" s="125"/>
      <c r="BJ57" s="125"/>
      <c r="BK57" s="125"/>
      <c r="BL57" s="125"/>
      <c r="BM57" s="125"/>
      <c r="BN57" s="125"/>
      <c r="BO57" s="125"/>
      <c r="BP57" s="125"/>
    </row>
    <row r="58" spans="1:68" ht="15" customHeight="1">
      <c r="A58" s="140">
        <v>79</v>
      </c>
      <c r="B58" s="142" t="s">
        <v>222</v>
      </c>
      <c r="C58" s="137" t="s">
        <v>220</v>
      </c>
      <c r="D58" s="145" t="s">
        <v>117</v>
      </c>
      <c r="E58" s="141">
        <v>1.33</v>
      </c>
      <c r="F58" s="137" t="s">
        <v>44</v>
      </c>
      <c r="G58" s="143">
        <v>1.03</v>
      </c>
      <c r="H58" s="144">
        <v>0.02</v>
      </c>
      <c r="I58" s="144">
        <v>-0.02</v>
      </c>
      <c r="J58" s="137" t="s">
        <v>12</v>
      </c>
      <c r="K58" s="136" t="s">
        <v>216</v>
      </c>
      <c r="L58" s="135">
        <f t="shared" si="42"/>
        <v>1.05</v>
      </c>
      <c r="M58" s="134">
        <f t="shared" si="43"/>
        <v>1.01</v>
      </c>
      <c r="N58" s="133"/>
      <c r="O58" s="2" t="str">
        <f t="shared" si="34"/>
        <v/>
      </c>
      <c r="P58" s="2" t="str">
        <f t="shared" si="35"/>
        <v/>
      </c>
      <c r="Q58" s="2" t="str">
        <f t="shared" si="36"/>
        <v/>
      </c>
      <c r="R58" s="3" t="str">
        <f t="shared" si="37"/>
        <v/>
      </c>
      <c r="S58" s="4" t="str">
        <f t="shared" si="49"/>
        <v/>
      </c>
      <c r="T58" s="85" t="str">
        <f t="shared" si="32"/>
        <v/>
      </c>
      <c r="U58" s="85" t="str">
        <f t="shared" si="33"/>
        <v/>
      </c>
      <c r="V58" s="4" t="str">
        <f t="shared" si="38"/>
        <v/>
      </c>
      <c r="W58" s="4" t="str">
        <f t="shared" si="39"/>
        <v/>
      </c>
      <c r="X58" s="4" t="str">
        <f t="shared" si="40"/>
        <v/>
      </c>
      <c r="Y58" s="148" t="str">
        <f t="shared" si="41"/>
        <v/>
      </c>
      <c r="Z58" s="132" t="str">
        <f t="shared" si="44"/>
        <v/>
      </c>
      <c r="AA58" s="132" t="str">
        <f t="shared" si="45"/>
        <v/>
      </c>
      <c r="AB58" s="132" t="str">
        <f t="shared" si="46"/>
        <v/>
      </c>
      <c r="AC58" s="132" t="str">
        <f t="shared" si="47"/>
        <v/>
      </c>
      <c r="AD58" s="131"/>
      <c r="AE58" s="130" t="str">
        <f t="shared" si="48"/>
        <v/>
      </c>
      <c r="AF58" s="129"/>
      <c r="AG58" s="128"/>
      <c r="AH58" s="128"/>
      <c r="AI58" s="127"/>
      <c r="AJ58" s="126"/>
      <c r="AK58" s="125"/>
      <c r="AL58" s="125"/>
      <c r="AM58" s="125"/>
      <c r="AN58" s="125"/>
      <c r="AO58" s="125"/>
      <c r="AP58" s="125"/>
      <c r="AQ58" s="125"/>
      <c r="AR58" s="125"/>
      <c r="AS58" s="125"/>
      <c r="AT58" s="125"/>
      <c r="AU58" s="125"/>
      <c r="AV58" s="125"/>
      <c r="AW58" s="125"/>
      <c r="AX58" s="125"/>
      <c r="AY58" s="125"/>
      <c r="AZ58" s="125"/>
      <c r="BA58" s="125"/>
      <c r="BB58" s="125"/>
      <c r="BC58" s="125"/>
      <c r="BD58" s="125"/>
      <c r="BE58" s="125"/>
      <c r="BF58" s="125"/>
      <c r="BG58" s="125"/>
      <c r="BH58" s="125"/>
      <c r="BI58" s="125"/>
      <c r="BJ58" s="125"/>
      <c r="BK58" s="125"/>
      <c r="BL58" s="125"/>
      <c r="BM58" s="125"/>
      <c r="BN58" s="125"/>
      <c r="BO58" s="125"/>
      <c r="BP58" s="125"/>
    </row>
    <row r="59" spans="1:68" ht="15" customHeight="1">
      <c r="A59" s="140">
        <v>80</v>
      </c>
      <c r="B59" s="146" t="s">
        <v>221</v>
      </c>
      <c r="C59" s="137" t="s">
        <v>220</v>
      </c>
      <c r="D59" s="145" t="s">
        <v>117</v>
      </c>
      <c r="E59" s="141">
        <v>1.33</v>
      </c>
      <c r="F59" s="137" t="s">
        <v>44</v>
      </c>
      <c r="G59" s="143">
        <v>1.03</v>
      </c>
      <c r="H59" s="144">
        <v>0.02</v>
      </c>
      <c r="I59" s="144">
        <v>-0.02</v>
      </c>
      <c r="J59" s="137" t="s">
        <v>12</v>
      </c>
      <c r="K59" s="136" t="s">
        <v>216</v>
      </c>
      <c r="L59" s="135">
        <f t="shared" si="42"/>
        <v>1.05</v>
      </c>
      <c r="M59" s="134">
        <f t="shared" si="43"/>
        <v>1.01</v>
      </c>
      <c r="N59" s="133"/>
      <c r="O59" s="2" t="str">
        <f t="shared" si="34"/>
        <v/>
      </c>
      <c r="P59" s="2" t="str">
        <f t="shared" si="35"/>
        <v/>
      </c>
      <c r="Q59" s="2" t="str">
        <f t="shared" si="36"/>
        <v/>
      </c>
      <c r="R59" s="3" t="str">
        <f t="shared" si="37"/>
        <v/>
      </c>
      <c r="S59" s="4" t="str">
        <f t="shared" si="49"/>
        <v/>
      </c>
      <c r="T59" s="85" t="str">
        <f t="shared" si="32"/>
        <v/>
      </c>
      <c r="U59" s="85" t="str">
        <f t="shared" si="33"/>
        <v/>
      </c>
      <c r="V59" s="4" t="str">
        <f t="shared" si="38"/>
        <v/>
      </c>
      <c r="W59" s="4" t="str">
        <f t="shared" si="39"/>
        <v/>
      </c>
      <c r="X59" s="4" t="str">
        <f t="shared" si="40"/>
        <v/>
      </c>
      <c r="Y59" s="148" t="str">
        <f t="shared" si="41"/>
        <v/>
      </c>
      <c r="Z59" s="132" t="str">
        <f t="shared" si="44"/>
        <v/>
      </c>
      <c r="AA59" s="132" t="str">
        <f t="shared" si="45"/>
        <v/>
      </c>
      <c r="AB59" s="132" t="str">
        <f t="shared" si="46"/>
        <v/>
      </c>
      <c r="AC59" s="132" t="str">
        <f t="shared" si="47"/>
        <v/>
      </c>
      <c r="AD59" s="131"/>
      <c r="AE59" s="130" t="str">
        <f t="shared" si="48"/>
        <v/>
      </c>
      <c r="AF59" s="129"/>
      <c r="AG59" s="128"/>
      <c r="AH59" s="128"/>
      <c r="AI59" s="127"/>
      <c r="AJ59" s="126"/>
      <c r="AK59" s="125"/>
      <c r="AL59" s="125"/>
      <c r="AM59" s="125"/>
      <c r="AN59" s="125"/>
      <c r="AO59" s="125"/>
      <c r="AP59" s="125"/>
      <c r="AQ59" s="125"/>
      <c r="AR59" s="125"/>
      <c r="AS59" s="125"/>
      <c r="AT59" s="125"/>
      <c r="AU59" s="125"/>
      <c r="AV59" s="125"/>
      <c r="AW59" s="125"/>
      <c r="AX59" s="125"/>
      <c r="AY59" s="125"/>
      <c r="AZ59" s="125"/>
      <c r="BA59" s="125"/>
      <c r="BB59" s="125"/>
      <c r="BC59" s="125"/>
      <c r="BD59" s="125"/>
      <c r="BE59" s="125"/>
      <c r="BF59" s="125"/>
      <c r="BG59" s="125"/>
      <c r="BH59" s="125"/>
      <c r="BI59" s="125"/>
      <c r="BJ59" s="125"/>
      <c r="BK59" s="125"/>
      <c r="BL59" s="125"/>
      <c r="BM59" s="125"/>
      <c r="BN59" s="125"/>
      <c r="BO59" s="125"/>
      <c r="BP59" s="125"/>
    </row>
    <row r="60" spans="1:68" ht="15" customHeight="1">
      <c r="A60" s="140">
        <v>81</v>
      </c>
      <c r="B60" s="146">
        <v>69</v>
      </c>
      <c r="C60" s="137" t="s">
        <v>183</v>
      </c>
      <c r="D60" s="145" t="s">
        <v>117</v>
      </c>
      <c r="E60" s="141">
        <v>1.33</v>
      </c>
      <c r="F60" s="137" t="s">
        <v>44</v>
      </c>
      <c r="G60" s="143">
        <v>14.496</v>
      </c>
      <c r="H60" s="144">
        <v>0.02</v>
      </c>
      <c r="I60" s="144">
        <v>-0.02</v>
      </c>
      <c r="J60" s="137" t="s">
        <v>12</v>
      </c>
      <c r="K60" s="136" t="s">
        <v>216</v>
      </c>
      <c r="L60" s="135">
        <f t="shared" si="42"/>
        <v>14.516</v>
      </c>
      <c r="M60" s="134">
        <f t="shared" si="43"/>
        <v>14.476000000000001</v>
      </c>
      <c r="N60" s="133"/>
      <c r="O60" s="2" t="str">
        <f t="shared" si="34"/>
        <v/>
      </c>
      <c r="P60" s="2" t="str">
        <f t="shared" si="35"/>
        <v/>
      </c>
      <c r="Q60" s="2" t="str">
        <f t="shared" si="36"/>
        <v/>
      </c>
      <c r="R60" s="3" t="str">
        <f t="shared" si="37"/>
        <v/>
      </c>
      <c r="S60" s="4" t="str">
        <f t="shared" si="49"/>
        <v/>
      </c>
      <c r="T60" s="85" t="str">
        <f t="shared" si="32"/>
        <v/>
      </c>
      <c r="U60" s="85" t="str">
        <f t="shared" si="33"/>
        <v/>
      </c>
      <c r="V60" s="4" t="str">
        <f t="shared" si="38"/>
        <v/>
      </c>
      <c r="W60" s="4" t="str">
        <f t="shared" si="39"/>
        <v/>
      </c>
      <c r="X60" s="4" t="str">
        <f t="shared" si="40"/>
        <v/>
      </c>
      <c r="Y60" s="148" t="str">
        <f t="shared" si="41"/>
        <v/>
      </c>
      <c r="Z60" s="132" t="str">
        <f t="shared" si="44"/>
        <v/>
      </c>
      <c r="AA60" s="132" t="str">
        <f t="shared" si="45"/>
        <v/>
      </c>
      <c r="AB60" s="132" t="str">
        <f t="shared" si="46"/>
        <v/>
      </c>
      <c r="AC60" s="132" t="str">
        <f t="shared" si="47"/>
        <v/>
      </c>
      <c r="AD60" s="131"/>
      <c r="AE60" s="130" t="str">
        <f t="shared" si="48"/>
        <v/>
      </c>
      <c r="AF60" s="129"/>
      <c r="AG60" s="128"/>
      <c r="AH60" s="128"/>
      <c r="AI60" s="127"/>
      <c r="AJ60" s="126"/>
      <c r="AK60" s="125"/>
      <c r="AL60" s="125"/>
      <c r="AM60" s="125"/>
      <c r="AN60" s="125"/>
      <c r="AO60" s="125"/>
      <c r="AP60" s="125"/>
      <c r="AQ60" s="125"/>
      <c r="AR60" s="125"/>
      <c r="AS60" s="125"/>
      <c r="AT60" s="125"/>
      <c r="AU60" s="125"/>
      <c r="AV60" s="125"/>
      <c r="AW60" s="125"/>
      <c r="AX60" s="125"/>
      <c r="AY60" s="125"/>
      <c r="AZ60" s="125"/>
      <c r="BA60" s="125"/>
      <c r="BB60" s="125"/>
      <c r="BC60" s="125"/>
      <c r="BD60" s="125"/>
      <c r="BE60" s="125"/>
      <c r="BF60" s="125"/>
      <c r="BG60" s="125"/>
      <c r="BH60" s="125"/>
      <c r="BI60" s="125"/>
      <c r="BJ60" s="125"/>
      <c r="BK60" s="125"/>
      <c r="BL60" s="125"/>
      <c r="BM60" s="125"/>
      <c r="BN60" s="125"/>
      <c r="BO60" s="125"/>
      <c r="BP60" s="125"/>
    </row>
    <row r="61" spans="1:68" ht="15" customHeight="1">
      <c r="A61" s="140">
        <v>82</v>
      </c>
      <c r="B61" s="146" t="s">
        <v>219</v>
      </c>
      <c r="C61" s="137" t="s">
        <v>217</v>
      </c>
      <c r="D61" s="145" t="s">
        <v>117</v>
      </c>
      <c r="E61" s="141">
        <v>1.33</v>
      </c>
      <c r="F61" s="137" t="s">
        <v>44</v>
      </c>
      <c r="G61" s="143">
        <v>0.77</v>
      </c>
      <c r="H61" s="144">
        <v>0.02</v>
      </c>
      <c r="I61" s="144">
        <v>-0.02</v>
      </c>
      <c r="J61" s="137" t="s">
        <v>12</v>
      </c>
      <c r="K61" s="136" t="s">
        <v>216</v>
      </c>
      <c r="L61" s="135">
        <f t="shared" si="42"/>
        <v>0.79</v>
      </c>
      <c r="M61" s="134">
        <f t="shared" si="43"/>
        <v>0.75</v>
      </c>
      <c r="N61" s="133"/>
      <c r="O61" s="2" t="str">
        <f t="shared" si="34"/>
        <v/>
      </c>
      <c r="P61" s="2" t="str">
        <f t="shared" si="35"/>
        <v/>
      </c>
      <c r="Q61" s="2" t="str">
        <f t="shared" si="36"/>
        <v/>
      </c>
      <c r="R61" s="3" t="str">
        <f t="shared" si="37"/>
        <v/>
      </c>
      <c r="S61" s="4" t="str">
        <f t="shared" si="49"/>
        <v/>
      </c>
      <c r="T61" s="85" t="str">
        <f t="shared" si="32"/>
        <v/>
      </c>
      <c r="U61" s="85" t="str">
        <f t="shared" si="33"/>
        <v/>
      </c>
      <c r="V61" s="4" t="str">
        <f t="shared" si="38"/>
        <v/>
      </c>
      <c r="W61" s="4" t="str">
        <f t="shared" si="39"/>
        <v/>
      </c>
      <c r="X61" s="4" t="str">
        <f t="shared" si="40"/>
        <v/>
      </c>
      <c r="Y61" s="148" t="str">
        <f t="shared" si="41"/>
        <v/>
      </c>
      <c r="Z61" s="132" t="str">
        <f t="shared" si="44"/>
        <v/>
      </c>
      <c r="AA61" s="132" t="str">
        <f t="shared" si="45"/>
        <v/>
      </c>
      <c r="AB61" s="132" t="str">
        <f t="shared" si="46"/>
        <v/>
      </c>
      <c r="AC61" s="132" t="str">
        <f t="shared" si="47"/>
        <v/>
      </c>
      <c r="AD61" s="131"/>
      <c r="AE61" s="130" t="str">
        <f t="shared" si="48"/>
        <v/>
      </c>
      <c r="AF61" s="129"/>
      <c r="AG61" s="128"/>
      <c r="AH61" s="128"/>
      <c r="AI61" s="127"/>
      <c r="AJ61" s="126"/>
      <c r="AK61" s="125"/>
      <c r="AL61" s="125"/>
      <c r="AM61" s="125"/>
      <c r="AN61" s="125"/>
      <c r="AO61" s="125"/>
      <c r="AP61" s="125"/>
      <c r="AQ61" s="125"/>
      <c r="AR61" s="125"/>
      <c r="AS61" s="125"/>
      <c r="AT61" s="125"/>
      <c r="AU61" s="125"/>
      <c r="AV61" s="125"/>
      <c r="AW61" s="125"/>
      <c r="AX61" s="125"/>
      <c r="AY61" s="125"/>
      <c r="AZ61" s="125"/>
      <c r="BA61" s="125"/>
      <c r="BB61" s="125"/>
      <c r="BC61" s="125"/>
      <c r="BD61" s="125"/>
      <c r="BE61" s="125"/>
      <c r="BF61" s="125"/>
      <c r="BG61" s="125"/>
      <c r="BH61" s="125"/>
      <c r="BI61" s="125"/>
      <c r="BJ61" s="125"/>
      <c r="BK61" s="125"/>
      <c r="BL61" s="125"/>
      <c r="BM61" s="125"/>
      <c r="BN61" s="125"/>
      <c r="BO61" s="125"/>
      <c r="BP61" s="125"/>
    </row>
    <row r="62" spans="1:68" ht="15" customHeight="1">
      <c r="A62" s="140">
        <v>83</v>
      </c>
      <c r="B62" s="146" t="s">
        <v>218</v>
      </c>
      <c r="C62" s="137" t="s">
        <v>217</v>
      </c>
      <c r="D62" s="145" t="s">
        <v>117</v>
      </c>
      <c r="E62" s="141">
        <v>1.33</v>
      </c>
      <c r="F62" s="137" t="s">
        <v>44</v>
      </c>
      <c r="G62" s="143">
        <v>0.77</v>
      </c>
      <c r="H62" s="144">
        <v>0.02</v>
      </c>
      <c r="I62" s="144">
        <v>-0.02</v>
      </c>
      <c r="J62" s="137" t="s">
        <v>12</v>
      </c>
      <c r="K62" s="136" t="s">
        <v>216</v>
      </c>
      <c r="L62" s="135">
        <f t="shared" si="42"/>
        <v>0.79</v>
      </c>
      <c r="M62" s="134">
        <f t="shared" si="43"/>
        <v>0.75</v>
      </c>
      <c r="N62" s="133"/>
      <c r="O62" s="2" t="str">
        <f t="shared" si="34"/>
        <v/>
      </c>
      <c r="P62" s="2" t="str">
        <f t="shared" si="35"/>
        <v/>
      </c>
      <c r="Q62" s="2" t="str">
        <f t="shared" si="36"/>
        <v/>
      </c>
      <c r="R62" s="3" t="str">
        <f t="shared" si="37"/>
        <v/>
      </c>
      <c r="S62" s="4" t="str">
        <f t="shared" si="49"/>
        <v/>
      </c>
      <c r="T62" s="85" t="str">
        <f t="shared" si="32"/>
        <v/>
      </c>
      <c r="U62" s="85" t="str">
        <f t="shared" si="33"/>
        <v/>
      </c>
      <c r="V62" s="4" t="str">
        <f t="shared" si="38"/>
        <v/>
      </c>
      <c r="W62" s="4" t="str">
        <f t="shared" si="39"/>
        <v/>
      </c>
      <c r="X62" s="4" t="str">
        <f t="shared" si="40"/>
        <v/>
      </c>
      <c r="Y62" s="148" t="str">
        <f t="shared" si="41"/>
        <v/>
      </c>
      <c r="Z62" s="132" t="str">
        <f t="shared" si="44"/>
        <v/>
      </c>
      <c r="AA62" s="132" t="str">
        <f t="shared" si="45"/>
        <v/>
      </c>
      <c r="AB62" s="132" t="str">
        <f t="shared" si="46"/>
        <v/>
      </c>
      <c r="AC62" s="132" t="str">
        <f t="shared" si="47"/>
        <v/>
      </c>
      <c r="AD62" s="131"/>
      <c r="AE62" s="130" t="str">
        <f t="shared" si="48"/>
        <v/>
      </c>
      <c r="AF62" s="129"/>
      <c r="AG62" s="128"/>
      <c r="AH62" s="128"/>
      <c r="AI62" s="127"/>
      <c r="AJ62" s="126"/>
      <c r="AK62" s="125"/>
      <c r="AL62" s="125"/>
      <c r="AM62" s="125"/>
      <c r="AN62" s="125"/>
      <c r="AO62" s="125"/>
      <c r="AP62" s="125"/>
      <c r="AQ62" s="125"/>
      <c r="AR62" s="125"/>
      <c r="AS62" s="125"/>
      <c r="AT62" s="125"/>
      <c r="AU62" s="125"/>
      <c r="AV62" s="125"/>
      <c r="AW62" s="125"/>
      <c r="AX62" s="125"/>
      <c r="AY62" s="125"/>
      <c r="AZ62" s="125"/>
      <c r="BA62" s="125"/>
      <c r="BB62" s="125"/>
      <c r="BC62" s="125"/>
      <c r="BD62" s="125"/>
      <c r="BE62" s="125"/>
      <c r="BF62" s="125"/>
      <c r="BG62" s="125"/>
      <c r="BH62" s="125"/>
      <c r="BI62" s="125"/>
      <c r="BJ62" s="125"/>
      <c r="BK62" s="125"/>
      <c r="BL62" s="125"/>
      <c r="BM62" s="125"/>
      <c r="BN62" s="125"/>
      <c r="BO62" s="125"/>
      <c r="BP62" s="125"/>
    </row>
    <row r="63" spans="1:68" ht="15" customHeight="1">
      <c r="A63" s="140">
        <v>84</v>
      </c>
      <c r="B63" s="142">
        <v>71</v>
      </c>
      <c r="C63" s="139" t="s">
        <v>185</v>
      </c>
      <c r="D63" s="138" t="s">
        <v>117</v>
      </c>
      <c r="E63" s="141">
        <v>1.33</v>
      </c>
      <c r="F63" s="137" t="s">
        <v>44</v>
      </c>
      <c r="G63" s="143">
        <v>11.776999999999999</v>
      </c>
      <c r="H63" s="144">
        <v>0.02</v>
      </c>
      <c r="I63" s="144">
        <v>-0.02</v>
      </c>
      <c r="J63" s="137" t="s">
        <v>12</v>
      </c>
      <c r="K63" s="136" t="s">
        <v>216</v>
      </c>
      <c r="L63" s="135">
        <f t="shared" si="42"/>
        <v>11.796999999999999</v>
      </c>
      <c r="M63" s="134">
        <f t="shared" si="43"/>
        <v>11.757</v>
      </c>
      <c r="N63" s="133"/>
      <c r="O63" s="2" t="str">
        <f t="shared" si="34"/>
        <v/>
      </c>
      <c r="P63" s="2" t="str">
        <f t="shared" si="35"/>
        <v/>
      </c>
      <c r="Q63" s="2" t="str">
        <f t="shared" si="36"/>
        <v/>
      </c>
      <c r="R63" s="3" t="str">
        <f t="shared" si="37"/>
        <v/>
      </c>
      <c r="S63" s="4" t="str">
        <f t="shared" si="49"/>
        <v/>
      </c>
      <c r="T63" s="85" t="str">
        <f t="shared" si="32"/>
        <v/>
      </c>
      <c r="U63" s="85" t="str">
        <f t="shared" si="33"/>
        <v/>
      </c>
      <c r="V63" s="4" t="str">
        <f t="shared" si="38"/>
        <v/>
      </c>
      <c r="W63" s="4" t="str">
        <f t="shared" si="39"/>
        <v/>
      </c>
      <c r="X63" s="4" t="str">
        <f t="shared" si="40"/>
        <v/>
      </c>
      <c r="Y63" s="148" t="str">
        <f t="shared" si="41"/>
        <v/>
      </c>
      <c r="Z63" s="132" t="str">
        <f t="shared" si="44"/>
        <v/>
      </c>
      <c r="AA63" s="132" t="str">
        <f t="shared" si="45"/>
        <v/>
      </c>
      <c r="AB63" s="132" t="str">
        <f t="shared" si="46"/>
        <v/>
      </c>
      <c r="AC63" s="132" t="str">
        <f t="shared" si="47"/>
        <v/>
      </c>
      <c r="AD63" s="131"/>
      <c r="AE63" s="130" t="str">
        <f t="shared" si="48"/>
        <v/>
      </c>
      <c r="AF63" s="129"/>
      <c r="AG63" s="128"/>
      <c r="AH63" s="128"/>
      <c r="AI63" s="127"/>
      <c r="AJ63" s="126"/>
      <c r="AK63" s="125"/>
      <c r="AL63" s="125"/>
      <c r="AM63" s="125"/>
      <c r="AN63" s="125"/>
      <c r="AO63" s="125"/>
      <c r="AP63" s="125"/>
      <c r="AQ63" s="125"/>
      <c r="AR63" s="125"/>
      <c r="AS63" s="125"/>
      <c r="AT63" s="125"/>
      <c r="AU63" s="125"/>
      <c r="AV63" s="125"/>
      <c r="AW63" s="125"/>
      <c r="AX63" s="125"/>
      <c r="AY63" s="125"/>
      <c r="AZ63" s="125"/>
      <c r="BA63" s="125"/>
      <c r="BB63" s="125"/>
      <c r="BC63" s="125"/>
      <c r="BD63" s="125"/>
      <c r="BE63" s="125"/>
      <c r="BF63" s="125"/>
      <c r="BG63" s="125"/>
      <c r="BH63" s="125"/>
      <c r="BI63" s="125"/>
      <c r="BJ63" s="125"/>
      <c r="BK63" s="125"/>
      <c r="BL63" s="125"/>
      <c r="BM63" s="125"/>
      <c r="BN63" s="125"/>
      <c r="BO63" s="125"/>
      <c r="BP63" s="125"/>
    </row>
  </sheetData>
  <mergeCells count="24">
    <mergeCell ref="B8:M8"/>
    <mergeCell ref="O8:AE8"/>
    <mergeCell ref="AG8:AI8"/>
    <mergeCell ref="AK8:BP8"/>
    <mergeCell ref="B9:B10"/>
    <mergeCell ref="C9:C10"/>
    <mergeCell ref="Z9:AA9"/>
    <mergeCell ref="B6:C6"/>
    <mergeCell ref="F6:G6"/>
    <mergeCell ref="H6:M6"/>
    <mergeCell ref="O6:Q6"/>
    <mergeCell ref="R6:W6"/>
    <mergeCell ref="B5:C5"/>
    <mergeCell ref="F5:G5"/>
    <mergeCell ref="H5:M5"/>
    <mergeCell ref="O5:Q5"/>
    <mergeCell ref="R5:W5"/>
    <mergeCell ref="A1:AE1"/>
    <mergeCell ref="V2:W2"/>
    <mergeCell ref="B4:C4"/>
    <mergeCell ref="F4:G4"/>
    <mergeCell ref="H4:M4"/>
    <mergeCell ref="O4:Q4"/>
    <mergeCell ref="R4:W4"/>
  </mergeCells>
  <phoneticPr fontId="63" type="noConversion"/>
  <conditionalFormatting sqref="G11:G63">
    <cfRule type="expression" dxfId="302" priority="52">
      <formula>AND($F11&lt;&gt;"Tolerance",$G11&lt;&gt;"")</formula>
    </cfRule>
    <cfRule type="expression" dxfId="301" priority="53">
      <formula>AND(OR($F11="GD&amp;T",$F11="MAX",$F11="MIN"),$G11="")</formula>
    </cfRule>
    <cfRule type="containsBlanks" dxfId="300" priority="54">
      <formula>LEN(TRIM(G11))=0</formula>
    </cfRule>
  </conditionalFormatting>
  <conditionalFormatting sqref="I11">
    <cfRule type="expression" dxfId="299" priority="69">
      <formula>AND(OR($F11="GD&amp;T",$F11="MAX"),$I11&lt;&gt;"")</formula>
    </cfRule>
    <cfRule type="expression" dxfId="298" priority="70">
      <formula>AND(OR($F11="GD&amp;T",$F11="MAX"),$I11="")</formula>
    </cfRule>
    <cfRule type="containsBlanks" dxfId="297" priority="71">
      <formula>LEN(TRIM(I11))=0</formula>
    </cfRule>
  </conditionalFormatting>
  <conditionalFormatting sqref="I14:I15">
    <cfRule type="expression" dxfId="296" priority="66">
      <formula>AND(OR($F14="GD&amp;T",$F14="MAX"),$I14&lt;&gt;"")</formula>
    </cfRule>
    <cfRule type="expression" dxfId="295" priority="67">
      <formula>AND(OR($F14="GD&amp;T",$F14="MAX"),$I14="")</formula>
    </cfRule>
    <cfRule type="containsBlanks" dxfId="294" priority="68">
      <formula>LEN(TRIM(I14))=0</formula>
    </cfRule>
  </conditionalFormatting>
  <conditionalFormatting sqref="O11:Q63">
    <cfRule type="notContainsBlanks" dxfId="293" priority="33">
      <formula>LEN(TRIM(O11))&gt;0</formula>
    </cfRule>
    <cfRule type="expression" dxfId="292" priority="31">
      <formula>AND($M11&lt;&gt;"",$AK11&lt;&gt;"",O11&lt;$M11)</formula>
    </cfRule>
    <cfRule type="expression" dxfId="291" priority="32">
      <formula>AND($L11&lt;&gt;"",$AK11&lt;&gt;"",O11&gt;$L11)</formula>
    </cfRule>
  </conditionalFormatting>
  <conditionalFormatting sqref="R11:R63">
    <cfRule type="notContainsBlanks" dxfId="290" priority="22">
      <formula>LEN(TRIM(R11))&gt;0</formula>
    </cfRule>
    <cfRule type="expression" dxfId="289" priority="21">
      <formula>AND($R11&lt;&gt;"",$S11&lt;1.67)</formula>
    </cfRule>
  </conditionalFormatting>
  <conditionalFormatting sqref="S11:S63 V11:X63">
    <cfRule type="expression" dxfId="288" priority="23">
      <formula>$K11="Yes"</formula>
    </cfRule>
    <cfRule type="expression" dxfId="287" priority="24">
      <formula>AND($AD11&lt;0.966,$AD11&lt;&gt;"")</formula>
    </cfRule>
    <cfRule type="cellIs" dxfId="286" priority="28" operator="lessThan">
      <formula>$E11</formula>
    </cfRule>
    <cfRule type="notContainsBlanks" dxfId="285" priority="30">
      <formula>LEN(TRIM(S11))&gt;0</formula>
    </cfRule>
  </conditionalFormatting>
  <conditionalFormatting sqref="Y11:Y44 Y45:AC63">
    <cfRule type="containsBlanks" dxfId="284" priority="25">
      <formula>LEN(TRIM(Y11))=0</formula>
    </cfRule>
    <cfRule type="cellIs" dxfId="283" priority="26" operator="between">
      <formula>0.9</formula>
      <formula>0.998</formula>
    </cfRule>
    <cfRule type="cellIs" dxfId="282" priority="27" operator="greaterThanOrEqual">
      <formula>0.998</formula>
    </cfRule>
  </conditionalFormatting>
  <conditionalFormatting sqref="Y11:Y63">
    <cfRule type="notContainsBlanks" dxfId="281" priority="29">
      <formula>LEN(TRIM(Y11))&gt;0</formula>
    </cfRule>
  </conditionalFormatting>
  <conditionalFormatting sqref="Z40:AC44">
    <cfRule type="cellIs" dxfId="280" priority="209" operator="between">
      <formula>0.9</formula>
      <formula>0.998</formula>
    </cfRule>
    <cfRule type="containsBlanks" dxfId="279" priority="208">
      <formula>LEN(TRIM(Z40))=0</formula>
    </cfRule>
    <cfRule type="cellIs" dxfId="278" priority="210" operator="greaterThanOrEqual">
      <formula>0.998</formula>
    </cfRule>
  </conditionalFormatting>
  <conditionalFormatting sqref="AB23:AC23">
    <cfRule type="containsBlanks" dxfId="277" priority="228">
      <formula>LEN(TRIM(AB23))=0</formula>
    </cfRule>
    <cfRule type="cellIs" dxfId="276" priority="229" operator="between">
      <formula>0.9</formula>
      <formula>0.998</formula>
    </cfRule>
    <cfRule type="cellIs" dxfId="275" priority="230" operator="greaterThanOrEqual">
      <formula>0.998</formula>
    </cfRule>
  </conditionalFormatting>
  <conditionalFormatting sqref="AD11:AE63">
    <cfRule type="expression" dxfId="274" priority="212">
      <formula>AND($AD11&lt;0.966,$AD11&lt;&gt;"")</formula>
    </cfRule>
  </conditionalFormatting>
  <conditionalFormatting sqref="AK5 AM5:BA5">
    <cfRule type="expression" dxfId="273" priority="8033">
      <formula>#REF!="TRUE"</formula>
    </cfRule>
  </conditionalFormatting>
  <conditionalFormatting sqref="AK11:BP63">
    <cfRule type="expression" dxfId="272" priority="76">
      <formula>AND($M11&lt;&gt;"",$AK11&lt;&gt;"",AK11&lt;$M11)</formula>
    </cfRule>
    <cfRule type="containsBlanks" dxfId="271" priority="65">
      <formula>LEN(TRIM(AK11))=0</formula>
    </cfRule>
    <cfRule type="notContainsBlanks" dxfId="270" priority="133">
      <formula>LEN(TRIM(AK11))&gt;0</formula>
    </cfRule>
    <cfRule type="expression" dxfId="269" priority="77">
      <formula>AND($L11&lt;&gt;"",$AK11&lt;&gt;"",AK11&gt;$L11)</formula>
    </cfRule>
  </conditionalFormatting>
  <conditionalFormatting sqref="AK19:BP19 AK31:BP33">
    <cfRule type="expression" dxfId="268" priority="102">
      <formula>AND($M19&lt;&gt;"",$AK19&lt;&gt;"",AK19&lt;$M19)</formula>
    </cfRule>
    <cfRule type="expression" dxfId="267" priority="103">
      <formula>AND($L19&lt;&gt;"",$AK19&lt;&gt;"",AK19&gt;$L19)</formula>
    </cfRule>
  </conditionalFormatting>
  <conditionalFormatting sqref="AK21:BP21 AK26:BP26 AK63:BP63">
    <cfRule type="expression" dxfId="266" priority="128">
      <formula>AND($M21&lt;&gt;"",AK21&lt;$M21)</formula>
    </cfRule>
    <cfRule type="expression" dxfId="265" priority="132">
      <formula>AND($L21&lt;&gt;"",AK21&gt;$L21)</formula>
    </cfRule>
  </conditionalFormatting>
  <conditionalFormatting sqref="AK22:BP24">
    <cfRule type="expression" dxfId="264" priority="101">
      <formula>AND($L22&lt;&gt;"",$AK22&lt;&gt;"",AK22&gt;$L22)</formula>
    </cfRule>
    <cfRule type="expression" dxfId="263" priority="100">
      <formula>AND($M22&lt;&gt;"",$AK22&lt;&gt;"",AK22&lt;$M22)</formula>
    </cfRule>
  </conditionalFormatting>
  <conditionalFormatting sqref="AK27:BP29">
    <cfRule type="expression" dxfId="262" priority="98">
      <formula>AND($M27&lt;&gt;"",$AK27&lt;&gt;"",AK27&lt;$M27)</formula>
    </cfRule>
    <cfRule type="expression" dxfId="261" priority="99">
      <formula>AND($L27&lt;&gt;"",$AK27&lt;&gt;"",AK27&gt;$L27)</formula>
    </cfRule>
  </conditionalFormatting>
  <conditionalFormatting sqref="AK30:BP30">
    <cfRule type="expression" dxfId="260" priority="126">
      <formula>AND($M30&lt;&gt;"",AK30&lt;$M30)</formula>
    </cfRule>
    <cfRule type="expression" dxfId="259" priority="127">
      <formula>AND($L30&lt;&gt;"",AK30&gt;$L30)</formula>
    </cfRule>
  </conditionalFormatting>
  <conditionalFormatting sqref="AK35:BP35">
    <cfRule type="expression" dxfId="258" priority="121">
      <formula>AND($M35&lt;&gt;"",AK35&lt;$M35)</formula>
    </cfRule>
    <cfRule type="expression" dxfId="257" priority="122">
      <formula>AND($L35&lt;&gt;"",AK35&gt;$L35)</formula>
    </cfRule>
  </conditionalFormatting>
  <conditionalFormatting sqref="AK36:BP38">
    <cfRule type="expression" dxfId="256" priority="89">
      <formula>AND($L36&lt;&gt;"",$AK36&lt;&gt;"",AK36&gt;$L36)</formula>
    </cfRule>
    <cfRule type="expression" dxfId="255" priority="88">
      <formula>AND($M36&lt;&gt;"",$AK36&lt;&gt;"",AK36&lt;$M36)</formula>
    </cfRule>
  </conditionalFormatting>
  <conditionalFormatting sqref="AK40:BP40">
    <cfRule type="expression" dxfId="254" priority="119">
      <formula>AND($M40&lt;&gt;"",AK40&lt;$M40)</formula>
    </cfRule>
    <cfRule type="expression" dxfId="253" priority="120">
      <formula>AND($L40&lt;&gt;"",AK40&gt;$L40)</formula>
    </cfRule>
  </conditionalFormatting>
  <conditionalFormatting sqref="AK41:BP43">
    <cfRule type="expression" dxfId="252" priority="86">
      <formula>AND($M41&lt;&gt;"",$AK41&lt;&gt;"",AK41&lt;$M41)</formula>
    </cfRule>
    <cfRule type="expression" dxfId="251" priority="87">
      <formula>AND($L41&lt;&gt;"",$AK41&lt;&gt;"",AK41&gt;$L41)</formula>
    </cfRule>
  </conditionalFormatting>
  <conditionalFormatting sqref="AK45:BP47">
    <cfRule type="expression" dxfId="250" priority="85">
      <formula>AND($L45&lt;&gt;"",$AK45&lt;&gt;"",AK45&gt;$L45)</formula>
    </cfRule>
    <cfRule type="expression" dxfId="249" priority="84">
      <formula>AND($M45&lt;&gt;"",$AK45&lt;&gt;"",AK45&lt;$M45)</formula>
    </cfRule>
  </conditionalFormatting>
  <conditionalFormatting sqref="AK49:BP49">
    <cfRule type="expression" dxfId="248" priority="117">
      <formula>AND($M49&lt;&gt;"",AK49&lt;$M49)</formula>
    </cfRule>
    <cfRule type="expression" dxfId="247" priority="118">
      <formula>AND($L49&lt;&gt;"",AK49&gt;$L49)</formula>
    </cfRule>
  </conditionalFormatting>
  <conditionalFormatting sqref="AK50:BP52">
    <cfRule type="expression" dxfId="246" priority="83">
      <formula>AND($L50&lt;&gt;"",$AK50&lt;&gt;"",AK50&gt;$L50)</formula>
    </cfRule>
    <cfRule type="expression" dxfId="245" priority="82">
      <formula>AND($M50&lt;&gt;"",$AK50&lt;&gt;"",AK50&lt;$M50)</formula>
    </cfRule>
  </conditionalFormatting>
  <conditionalFormatting sqref="AK54:BP54">
    <cfRule type="expression" dxfId="244" priority="115">
      <formula>AND($M54&lt;&gt;"",AK54&lt;$M54)</formula>
    </cfRule>
    <cfRule type="expression" dxfId="243" priority="116">
      <formula>AND($L54&lt;&gt;"",AK54&gt;$L54)</formula>
    </cfRule>
  </conditionalFormatting>
  <conditionalFormatting sqref="AK55:BP57">
    <cfRule type="expression" dxfId="242" priority="81">
      <formula>AND($L55&lt;&gt;"",$AK55&lt;&gt;"",AK55&gt;$L55)</formula>
    </cfRule>
    <cfRule type="expression" dxfId="241" priority="80">
      <formula>AND($M55&lt;&gt;"",$AK55&lt;&gt;"",AK55&lt;$M55)</formula>
    </cfRule>
  </conditionalFormatting>
  <conditionalFormatting sqref="AK58:BP58">
    <cfRule type="expression" dxfId="240" priority="104">
      <formula>AND($M58&lt;&gt;"",AK58&lt;$M58)</formula>
    </cfRule>
    <cfRule type="expression" dxfId="239" priority="114">
      <formula>AND($L58&lt;&gt;"",AK58&gt;$L58)</formula>
    </cfRule>
  </conditionalFormatting>
  <conditionalFormatting sqref="AK59:BP61">
    <cfRule type="expression" dxfId="238" priority="78">
      <formula>AND($M59&lt;&gt;"",$AK59&lt;&gt;"",AK59&lt;$M59)</formula>
    </cfRule>
    <cfRule type="expression" dxfId="237" priority="79">
      <formula>AND($L59&lt;&gt;"",$AK59&lt;&gt;"",AK59&gt;$L59)</formula>
    </cfRule>
  </conditionalFormatting>
  <conditionalFormatting sqref="AL5">
    <cfRule type="expression" dxfId="236" priority="8034">
      <formula>#REF!="TRUE"</formula>
    </cfRule>
  </conditionalFormatting>
  <dataValidations disablePrompts="1" count="3">
    <dataValidation type="list" allowBlank="1" showInputMessage="1" showErrorMessage="1" sqref="F11:F63" xr:uid="{AFDC0728-E377-404A-892E-4B40499A8845}">
      <formula1>dim_type</formula1>
    </dataValidation>
    <dataValidation type="list" allowBlank="1" showInputMessage="1" showErrorMessage="1" sqref="K11:K63" xr:uid="{30CF0A8C-8394-D842-AD8A-83DDE377ED7A}">
      <formula1>gauging</formula1>
    </dataValidation>
    <dataValidation type="list" allowBlank="1" showInputMessage="1" showErrorMessage="1" sqref="J11:J63" xr:uid="{F2256F76-D94F-5F49-9387-19364810F6A4}">
      <formula1>insp_meth</formula1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1748" r:id="rId4" name="Button 29">
              <controlPr defaultSize="0" print="0" autoFill="0" autoPict="0">
                <anchor moveWithCells="1" sizeWithCells="1">
                  <from>
                    <xdr:col>2</xdr:col>
                    <xdr:colOff>9525</xdr:colOff>
                    <xdr:row>1</xdr:row>
                    <xdr:rowOff>9525</xdr:rowOff>
                  </from>
                  <to>
                    <xdr:col>3</xdr:col>
                    <xdr:colOff>1076325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9" r:id="rId5" name="Button 30">
              <controlPr defaultSize="0" print="0" autoFill="0" autoPict="0">
                <anchor moveWithCells="1" sizeWithCells="1">
                  <from>
                    <xdr:col>3</xdr:col>
                    <xdr:colOff>1133475</xdr:colOff>
                    <xdr:row>1</xdr:row>
                    <xdr:rowOff>9525</xdr:rowOff>
                  </from>
                  <to>
                    <xdr:col>5</xdr:col>
                    <xdr:colOff>409575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0" r:id="rId6" name="Button 31">
              <controlPr defaultSize="0" print="0" autoFill="0" autoPict="0">
                <anchor moveWithCells="1" sizeWithCells="1">
                  <from>
                    <xdr:col>5</xdr:col>
                    <xdr:colOff>447675</xdr:colOff>
                    <xdr:row>1</xdr:row>
                    <xdr:rowOff>9525</xdr:rowOff>
                  </from>
                  <to>
                    <xdr:col>7</xdr:col>
                    <xdr:colOff>333375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1" r:id="rId7" name="Button 39">
              <controlPr defaultSize="0" print="0" autoFill="0" autoPict="0">
                <anchor moveWithCells="1" sizeWithCells="1">
                  <from>
                    <xdr:col>7</xdr:col>
                    <xdr:colOff>371475</xdr:colOff>
                    <xdr:row>1</xdr:row>
                    <xdr:rowOff>9525</xdr:rowOff>
                  </from>
                  <to>
                    <xdr:col>9</xdr:col>
                    <xdr:colOff>571500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2" r:id="rId8" name="Button 41">
              <controlPr defaultSize="0" print="0" autoFill="0" autoPict="0">
                <anchor moveWithCells="1" sizeWithCells="1">
                  <from>
                    <xdr:col>10</xdr:col>
                    <xdr:colOff>28575</xdr:colOff>
                    <xdr:row>1</xdr:row>
                    <xdr:rowOff>9525</xdr:rowOff>
                  </from>
                  <to>
                    <xdr:col>12</xdr:col>
                    <xdr:colOff>295275</xdr:colOff>
                    <xdr:row>2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9EBCB-79FC-408D-837E-D128B13D1B83}">
  <sheetPr codeName="Sheet6"/>
  <dimension ref="A1:DZR579"/>
  <sheetViews>
    <sheetView showGridLines="0" zoomScale="85" zoomScaleNormal="85" zoomScalePageLayoutView="125" workbookViewId="0">
      <selection activeCell="V20" sqref="V20"/>
    </sheetView>
  </sheetViews>
  <sheetFormatPr defaultColWidth="8.6640625" defaultRowHeight="17.25"/>
  <cols>
    <col min="1" max="1" width="7.6640625" customWidth="1"/>
    <col min="2" max="2" width="9.109375" bestFit="1" customWidth="1"/>
    <col min="3" max="4" width="7.6640625" customWidth="1"/>
    <col min="5" max="6" width="8.33203125" customWidth="1"/>
    <col min="7" max="8" width="7.6640625" customWidth="1"/>
    <col min="9" max="9" width="8.6640625" customWidth="1"/>
    <col min="10" max="17" width="7.6640625" customWidth="1"/>
    <col min="19" max="22" width="8.6640625" style="53"/>
    <col min="24" max="27" width="8.6640625" style="53"/>
    <col min="29" max="32" width="8.6640625" style="53"/>
    <col min="34" max="37" width="8.6640625" style="53"/>
  </cols>
  <sheetData>
    <row r="1" spans="1:988 1039:2040 2089:3030 3125:3389" s="1" customFormat="1" ht="21.95" customHeight="1">
      <c r="A1" s="228" t="s">
        <v>48</v>
      </c>
      <c r="B1" s="228"/>
      <c r="C1" s="228"/>
      <c r="D1" s="228"/>
      <c r="E1" s="228"/>
      <c r="F1" s="228"/>
      <c r="G1" s="228"/>
      <c r="H1" s="228"/>
      <c r="I1" s="228"/>
      <c r="J1" s="228"/>
      <c r="K1" s="228"/>
      <c r="S1" s="116"/>
      <c r="T1" s="116"/>
      <c r="U1" s="116"/>
      <c r="V1" s="116"/>
      <c r="X1" s="116"/>
      <c r="Y1" s="116"/>
      <c r="Z1" s="116"/>
      <c r="AA1" s="116"/>
      <c r="AC1" s="116"/>
      <c r="AD1" s="116"/>
      <c r="AE1" s="116"/>
      <c r="AF1" s="116"/>
      <c r="AH1" s="116"/>
      <c r="AI1" s="116"/>
      <c r="AJ1" s="116"/>
      <c r="AK1" s="116"/>
    </row>
    <row r="2" spans="1:988 1039:2040 2089:3030 3125:3389" s="1" customFormat="1" ht="14.1" customHeight="1">
      <c r="A2" s="8" t="s">
        <v>194</v>
      </c>
      <c r="B2" s="8"/>
      <c r="C2" s="7"/>
      <c r="F2" s="7"/>
      <c r="G2" s="7"/>
      <c r="H2" s="7"/>
      <c r="J2" s="7"/>
      <c r="K2" s="7"/>
      <c r="L2" s="7"/>
      <c r="M2" s="7"/>
      <c r="N2" s="7"/>
      <c r="O2" s="7"/>
      <c r="P2" s="7"/>
      <c r="Q2" s="7"/>
      <c r="S2" s="116"/>
      <c r="T2" s="116"/>
      <c r="U2" s="116"/>
      <c r="V2" s="116"/>
      <c r="X2" s="116"/>
      <c r="Y2" s="116"/>
      <c r="Z2" s="116"/>
      <c r="AA2" s="116"/>
      <c r="AC2" s="116"/>
      <c r="AD2" s="116"/>
      <c r="AE2" s="116"/>
      <c r="AF2" s="116"/>
      <c r="AH2" s="116"/>
      <c r="AI2" s="116"/>
      <c r="AJ2" s="116"/>
      <c r="AK2" s="116"/>
    </row>
    <row r="3" spans="1:988 1039:2040 2089:3030 3125:3389" s="1" customFormat="1" ht="9" customHeight="1">
      <c r="A3" s="7"/>
      <c r="B3" s="7"/>
      <c r="C3" s="7"/>
      <c r="D3" s="7"/>
      <c r="E3" s="7"/>
      <c r="F3" s="7"/>
      <c r="G3" s="7"/>
      <c r="H3" s="7"/>
      <c r="S3" s="116"/>
      <c r="T3" s="116"/>
      <c r="U3" s="116"/>
      <c r="V3" s="116"/>
      <c r="X3" s="116"/>
      <c r="Y3" s="116"/>
      <c r="Z3" s="116"/>
      <c r="AA3" s="116"/>
      <c r="AC3" s="116"/>
      <c r="AD3" s="116"/>
      <c r="AE3" s="116"/>
      <c r="AF3" s="116"/>
      <c r="AH3" s="116"/>
      <c r="AI3" s="116"/>
      <c r="AJ3" s="116"/>
      <c r="AK3" s="116"/>
    </row>
    <row r="4" spans="1:988 1039:2040 2089:3030 3125:3389" s="1" customFormat="1" ht="18.75" customHeight="1">
      <c r="B4" s="96"/>
      <c r="C4" s="25"/>
      <c r="D4" s="95"/>
      <c r="E4" s="229" t="s">
        <v>193</v>
      </c>
      <c r="F4" s="230"/>
      <c r="G4" s="230"/>
      <c r="H4" s="231"/>
      <c r="I4" s="26"/>
      <c r="S4" s="116"/>
      <c r="T4" s="116"/>
      <c r="U4" s="116"/>
      <c r="V4" s="116"/>
      <c r="X4" s="116"/>
      <c r="Y4" s="116"/>
      <c r="Z4" s="116"/>
      <c r="AA4" s="116"/>
      <c r="AC4" s="116"/>
      <c r="AD4" s="116"/>
      <c r="AE4" s="116"/>
      <c r="AF4" s="116"/>
      <c r="AH4" s="116"/>
      <c r="AI4" s="116"/>
      <c r="AJ4" s="116"/>
      <c r="AK4" s="116"/>
    </row>
    <row r="5" spans="1:988 1039:2040 2089:3030 3125:3389" s="1" customFormat="1" ht="18.75" customHeight="1">
      <c r="B5" s="96"/>
      <c r="C5" s="25"/>
      <c r="D5" s="95"/>
      <c r="E5" s="232" t="s">
        <v>192</v>
      </c>
      <c r="F5" s="230"/>
      <c r="G5" s="230"/>
      <c r="H5" s="231"/>
      <c r="I5" s="26"/>
      <c r="S5" s="116"/>
      <c r="T5" s="116"/>
      <c r="U5" s="116"/>
      <c r="V5" s="116"/>
      <c r="X5" s="116"/>
      <c r="Y5" s="116"/>
      <c r="Z5" s="116"/>
      <c r="AA5" s="116"/>
      <c r="AC5" s="116"/>
      <c r="AD5" s="116"/>
      <c r="AE5" s="116"/>
      <c r="AF5" s="116"/>
      <c r="AH5" s="116"/>
      <c r="AI5" s="116"/>
      <c r="AJ5" s="116"/>
      <c r="AK5" s="116"/>
    </row>
    <row r="6" spans="1:988 1039:2040 2089:3030 3125:3389" s="1" customFormat="1" ht="18.75" customHeight="1">
      <c r="B6" s="96"/>
      <c r="C6" s="25"/>
      <c r="D6" s="95"/>
      <c r="E6" s="232" t="s">
        <v>191</v>
      </c>
      <c r="F6" s="230"/>
      <c r="G6" s="230"/>
      <c r="H6" s="231"/>
      <c r="I6" s="26"/>
      <c r="S6" s="116"/>
      <c r="T6" s="116"/>
      <c r="U6" s="116"/>
      <c r="V6" s="116"/>
      <c r="X6" s="116"/>
      <c r="Y6" s="116"/>
      <c r="Z6" s="116"/>
      <c r="AA6" s="116"/>
      <c r="AC6" s="116"/>
      <c r="AD6" s="116"/>
      <c r="AE6" s="116"/>
      <c r="AF6" s="116"/>
      <c r="AH6" s="116"/>
      <c r="AI6" s="116"/>
      <c r="AJ6" s="116"/>
      <c r="AK6" s="116"/>
    </row>
    <row r="7" spans="1:988 1039:2040 2089:3030 3125:3389" s="1" customFormat="1" ht="9" customHeight="1">
      <c r="A7" s="9"/>
      <c r="B7" s="9"/>
      <c r="C7" s="9"/>
      <c r="D7" s="9"/>
      <c r="E7" s="9"/>
      <c r="F7" s="9"/>
      <c r="G7" s="9"/>
      <c r="H7" s="9"/>
      <c r="R7" s="117">
        <f>OQC!X5</f>
        <v>0</v>
      </c>
      <c r="S7" s="116"/>
      <c r="T7" s="116"/>
      <c r="U7" s="116"/>
      <c r="V7" s="116"/>
      <c r="W7" s="117" t="e">
        <f>#REF!</f>
        <v>#REF!</v>
      </c>
      <c r="X7" s="116"/>
      <c r="Y7" s="116"/>
      <c r="Z7" s="116"/>
      <c r="AA7" s="116"/>
      <c r="AB7" s="117" t="e">
        <f>#REF!</f>
        <v>#REF!</v>
      </c>
      <c r="AC7" s="116"/>
      <c r="AD7" s="116"/>
      <c r="AE7" s="116"/>
      <c r="AF7" s="116"/>
      <c r="AG7" s="117" t="e">
        <f>#REF!</f>
        <v>#REF!</v>
      </c>
      <c r="AH7" s="116"/>
      <c r="AI7" s="116"/>
      <c r="AJ7" s="116"/>
      <c r="AK7" s="116"/>
    </row>
    <row r="8" spans="1:988 1039:2040 2089:3030 3125:3389" s="12" customFormat="1" ht="15" customHeight="1">
      <c r="A8" s="17"/>
      <c r="B8" s="233"/>
      <c r="C8" s="233"/>
      <c r="D8" s="233"/>
      <c r="E8" s="233"/>
      <c r="F8" s="233"/>
      <c r="G8" s="233"/>
      <c r="H8" s="234"/>
      <c r="I8" s="17"/>
      <c r="J8" s="235" t="s">
        <v>25</v>
      </c>
      <c r="K8" s="233"/>
      <c r="L8" s="235" t="s">
        <v>25</v>
      </c>
      <c r="M8" s="233"/>
      <c r="N8" s="235" t="s">
        <v>25</v>
      </c>
      <c r="O8" s="233"/>
      <c r="P8" s="235" t="s">
        <v>25</v>
      </c>
      <c r="Q8" s="233"/>
      <c r="S8" s="116"/>
      <c r="T8" s="116"/>
      <c r="U8" s="116"/>
      <c r="V8" s="116"/>
      <c r="X8" s="116"/>
      <c r="Y8" s="116"/>
      <c r="Z8" s="116"/>
      <c r="AA8" s="116"/>
      <c r="AC8" s="116"/>
      <c r="AD8" s="116"/>
      <c r="AE8" s="116"/>
      <c r="AF8" s="116"/>
      <c r="AH8" s="116"/>
      <c r="AI8" s="116"/>
      <c r="AJ8" s="116"/>
      <c r="AK8" s="116"/>
    </row>
    <row r="9" spans="1:988 1039:2040 2089:3030 3125:3389" s="12" customFormat="1" ht="24.95" customHeight="1">
      <c r="A9" s="38"/>
      <c r="B9" s="38"/>
      <c r="C9" s="38"/>
      <c r="D9" s="39"/>
      <c r="E9" s="43" t="s">
        <v>61</v>
      </c>
      <c r="F9" s="43" t="s">
        <v>62</v>
      </c>
      <c r="G9" s="56"/>
      <c r="H9" s="56"/>
      <c r="I9" s="21"/>
      <c r="J9" s="226" t="s">
        <v>190</v>
      </c>
      <c r="K9" s="227"/>
      <c r="L9" s="226" t="s">
        <v>159</v>
      </c>
      <c r="M9" s="227"/>
      <c r="N9" s="226" t="s">
        <v>160</v>
      </c>
      <c r="O9" s="227"/>
      <c r="P9" s="226" t="s">
        <v>161</v>
      </c>
      <c r="Q9" s="227"/>
      <c r="S9" s="236" t="s">
        <v>252</v>
      </c>
      <c r="T9" s="236"/>
      <c r="U9" s="236"/>
      <c r="V9" s="236"/>
      <c r="X9" s="236" t="s">
        <v>252</v>
      </c>
      <c r="Y9" s="236"/>
      <c r="Z9" s="236"/>
      <c r="AA9" s="236"/>
      <c r="AC9" s="236" t="s">
        <v>252</v>
      </c>
      <c r="AD9" s="236"/>
      <c r="AE9" s="236"/>
      <c r="AF9" s="236"/>
      <c r="AH9" s="236" t="s">
        <v>252</v>
      </c>
      <c r="AI9" s="236"/>
      <c r="AJ9" s="236"/>
      <c r="AK9" s="236"/>
    </row>
    <row r="10" spans="1:988 1039:2040 2089:3030 3125:3389" s="16" customFormat="1" ht="15" customHeight="1">
      <c r="A10" s="40" t="s">
        <v>1</v>
      </c>
      <c r="B10" s="40" t="s">
        <v>189</v>
      </c>
      <c r="C10" s="40" t="s">
        <v>75</v>
      </c>
      <c r="D10" s="41" t="s">
        <v>21</v>
      </c>
      <c r="E10" s="60" t="s">
        <v>71</v>
      </c>
      <c r="F10" s="60" t="s">
        <v>72</v>
      </c>
      <c r="G10" s="44" t="s">
        <v>3</v>
      </c>
      <c r="H10" s="44" t="s">
        <v>4</v>
      </c>
      <c r="I10" s="18"/>
      <c r="J10" s="32" t="s">
        <v>5</v>
      </c>
      <c r="K10" s="32" t="s">
        <v>6</v>
      </c>
      <c r="L10" s="32" t="s">
        <v>5</v>
      </c>
      <c r="M10" s="32" t="s">
        <v>6</v>
      </c>
      <c r="N10" s="32" t="s">
        <v>5</v>
      </c>
      <c r="O10" s="32" t="s">
        <v>6</v>
      </c>
      <c r="P10" s="32" t="s">
        <v>5</v>
      </c>
      <c r="Q10" s="32" t="s">
        <v>6</v>
      </c>
      <c r="S10" s="115" t="s">
        <v>71</v>
      </c>
      <c r="T10" s="115" t="s">
        <v>72</v>
      </c>
      <c r="U10" s="115" t="s">
        <v>3</v>
      </c>
      <c r="V10" s="115" t="s">
        <v>4</v>
      </c>
      <c r="X10" s="115" t="s">
        <v>71</v>
      </c>
      <c r="Y10" s="115" t="s">
        <v>72</v>
      </c>
      <c r="Z10" s="115" t="s">
        <v>3</v>
      </c>
      <c r="AA10" s="115" t="s">
        <v>4</v>
      </c>
      <c r="AC10" s="115" t="s">
        <v>71</v>
      </c>
      <c r="AD10" s="115" t="s">
        <v>72</v>
      </c>
      <c r="AE10" s="115" t="s">
        <v>3</v>
      </c>
      <c r="AF10" s="115" t="s">
        <v>4</v>
      </c>
      <c r="AH10" s="115" t="s">
        <v>71</v>
      </c>
      <c r="AI10" s="115" t="s">
        <v>72</v>
      </c>
      <c r="AJ10" s="115" t="s">
        <v>3</v>
      </c>
      <c r="AK10" s="115" t="s">
        <v>4</v>
      </c>
    </row>
    <row r="11" spans="1:988 1039:2040 2089:3030 3125:3389" ht="15" customHeight="1">
      <c r="A11" s="108" t="s">
        <v>195</v>
      </c>
      <c r="B11" s="113" t="s">
        <v>97</v>
      </c>
      <c r="C11" s="103">
        <v>1.5</v>
      </c>
      <c r="D11" s="102">
        <v>0.5</v>
      </c>
      <c r="E11" s="114">
        <v>0.01</v>
      </c>
      <c r="F11" s="101">
        <v>-0.01</v>
      </c>
      <c r="G11" s="100">
        <f t="shared" ref="G11:G127" si="0">IF(AND(D11="",E11=""),"",IF(D11="",E11,D11+E11))</f>
        <v>0.51</v>
      </c>
      <c r="H11" s="100">
        <f t="shared" ref="H11:H127" si="1">IF(AND(D11="",F11=""),"",IF(D11="",F11,D11+F11))</f>
        <v>0.49</v>
      </c>
      <c r="I11" s="71"/>
      <c r="J11" s="2"/>
      <c r="K11" s="2"/>
      <c r="L11" s="2"/>
      <c r="M11" s="2"/>
      <c r="N11" s="2"/>
      <c r="O11" s="2"/>
      <c r="P11" s="2"/>
      <c r="Q11" s="2"/>
      <c r="S11" s="98">
        <f>IF($A11&lt;&gt;"(DC)", $E11*$R$7, $E11)</f>
        <v>0</v>
      </c>
      <c r="T11" s="98">
        <f>IF($A11&lt;&gt;"(DC)", $F11*$R$7, $F11)</f>
        <v>0</v>
      </c>
      <c r="U11" s="97">
        <f>IF(AND($D11="",S11=""),"",IF($D11="",S11,$D11+S11))</f>
        <v>0.5</v>
      </c>
      <c r="V11" s="97">
        <f>IF(AND($D11="",T11=""),"",IF($D11="",T11,$D11+T11))</f>
        <v>0.5</v>
      </c>
      <c r="X11" s="98" t="e">
        <f>IF($A11&lt;&gt;"(DC)", $E11*$W$7, $E11)</f>
        <v>#REF!</v>
      </c>
      <c r="Y11" s="98" t="e">
        <f>IF($A11&lt;&gt;"(DC)", $F11*$W$7, $F11)</f>
        <v>#REF!</v>
      </c>
      <c r="Z11" s="97" t="e">
        <f>IF(AND($D11="",X11=""),"",IF($D11="",X11,$D11+X11))</f>
        <v>#REF!</v>
      </c>
      <c r="AA11" s="97" t="e">
        <f>IF(AND($D11="",Y11=""),"",IF($D11="",Y11,$D11+Y11))</f>
        <v>#REF!</v>
      </c>
      <c r="AC11" s="98" t="e">
        <f>IF($A11&lt;&gt;"(DC)", $E11*$AB$7, $E11)</f>
        <v>#REF!</v>
      </c>
      <c r="AD11" s="98" t="e">
        <f>IF($A11&lt;&gt;"(DC)", $F11*$AB$7, $F11)</f>
        <v>#REF!</v>
      </c>
      <c r="AE11" s="97" t="e">
        <f>IF(AND($D11="",AC11=""),"",IF($D11="",AC11,$D11+AC11))</f>
        <v>#REF!</v>
      </c>
      <c r="AF11" s="97" t="e">
        <f>IF(AND($D11="",AD11=""),"",IF($D11="",AD11,$D11+AD11))</f>
        <v>#REF!</v>
      </c>
      <c r="AH11" s="98" t="e">
        <f>IF($A11&lt;&gt;"(DC)", $E11*$AG$7, $E11)</f>
        <v>#REF!</v>
      </c>
      <c r="AI11" s="98" t="e">
        <f>IF($A11&lt;&gt;"(DC)", $F11*$AG$7, $F11)</f>
        <v>#REF!</v>
      </c>
      <c r="AJ11" s="97" t="e">
        <f>IF(AND($D11="",AH11=""),"",IF($D11="",AH11,$D11+AH11))</f>
        <v>#REF!</v>
      </c>
      <c r="AK11" s="97" t="e">
        <f>IF(AND($D11="",AI11=""),"",IF($D11="",AI11,$D11+AI11))</f>
        <v>#REF!</v>
      </c>
      <c r="JJ11" s="111"/>
      <c r="PC11" s="111"/>
      <c r="PY11" s="111"/>
      <c r="AFW11" s="111"/>
      <c r="AHC11" s="111"/>
      <c r="ATP11" s="111"/>
      <c r="AUH11" s="111"/>
      <c r="AYL11" s="111"/>
      <c r="BAH11" s="111"/>
      <c r="CGJ11" s="111"/>
      <c r="CMK11" s="111"/>
      <c r="DGC11" s="111"/>
      <c r="DLM11" s="111"/>
      <c r="DYE11" s="111"/>
      <c r="DZI11" s="111"/>
    </row>
    <row r="12" spans="1:988 1039:2040 2089:3030 3125:3389" ht="15" customHeight="1">
      <c r="A12" s="108" t="s">
        <v>195</v>
      </c>
      <c r="B12" s="113" t="s">
        <v>98</v>
      </c>
      <c r="C12" s="103">
        <v>1.5</v>
      </c>
      <c r="D12" s="102">
        <v>0.5</v>
      </c>
      <c r="E12" s="114">
        <v>0.01</v>
      </c>
      <c r="F12" s="101">
        <v>-0.01</v>
      </c>
      <c r="G12" s="100">
        <f t="shared" si="0"/>
        <v>0.51</v>
      </c>
      <c r="H12" s="99">
        <f t="shared" si="1"/>
        <v>0.49</v>
      </c>
      <c r="I12" s="71"/>
      <c r="J12" s="2"/>
      <c r="K12" s="2"/>
      <c r="L12" s="2"/>
      <c r="M12" s="2"/>
      <c r="N12" s="2"/>
      <c r="O12" s="2"/>
      <c r="P12" s="2"/>
      <c r="Q12" s="2"/>
      <c r="S12" s="98">
        <f t="shared" ref="S12:S75" si="2">IF($A12&lt;&gt;"(DC)", $E12*$R$7, $E12)</f>
        <v>0</v>
      </c>
      <c r="T12" s="98">
        <f t="shared" ref="T12:T75" si="3">IF($A12&lt;&gt;"(DC)", $F12*$R$7, $F12)</f>
        <v>0</v>
      </c>
      <c r="U12" s="97">
        <f t="shared" ref="U12:U75" si="4">IF(AND($D12="",S12=""),"",IF($D12="",S12,$D12+S12))</f>
        <v>0.5</v>
      </c>
      <c r="V12" s="97">
        <f t="shared" ref="V12:V75" si="5">IF(AND($D12="",T12=""),"",IF($D12="",T12,$D12+T12))</f>
        <v>0.5</v>
      </c>
      <c r="X12" s="98" t="e">
        <f t="shared" ref="X12:X75" si="6">IF($A12&lt;&gt;"(DC)", $E12*$W$7, $E12)</f>
        <v>#REF!</v>
      </c>
      <c r="Y12" s="98" t="e">
        <f t="shared" ref="Y12:Y75" si="7">IF($A12&lt;&gt;"(DC)", $F12*$W$7, $F12)</f>
        <v>#REF!</v>
      </c>
      <c r="Z12" s="97" t="e">
        <f t="shared" ref="Z12:Z75" si="8">IF(AND($D12="",X12=""),"",IF($D12="",X12,$D12+X12))</f>
        <v>#REF!</v>
      </c>
      <c r="AA12" s="97" t="e">
        <f t="shared" ref="AA12:AA75" si="9">IF(AND($D12="",Y12=""),"",IF($D12="",Y12,$D12+Y12))</f>
        <v>#REF!</v>
      </c>
      <c r="AC12" s="98" t="e">
        <f t="shared" ref="AC12:AC75" si="10">IF($A12&lt;&gt;"(DC)", $E12*$AB$7, $E12)</f>
        <v>#REF!</v>
      </c>
      <c r="AD12" s="98" t="e">
        <f t="shared" ref="AD12:AD75" si="11">IF($A12&lt;&gt;"(DC)", $F12*$AB$7, $F12)</f>
        <v>#REF!</v>
      </c>
      <c r="AE12" s="97" t="e">
        <f t="shared" ref="AE12:AE75" si="12">IF(AND($D12="",AC12=""),"",IF($D12="",AC12,$D12+AC12))</f>
        <v>#REF!</v>
      </c>
      <c r="AF12" s="97" t="e">
        <f t="shared" ref="AF12:AF75" si="13">IF(AND($D12="",AD12=""),"",IF($D12="",AD12,$D12+AD12))</f>
        <v>#REF!</v>
      </c>
      <c r="AH12" s="98" t="e">
        <f t="shared" ref="AH12:AH75" si="14">IF($A12&lt;&gt;"(DC)", $E12*$AG$7, $E12)</f>
        <v>#REF!</v>
      </c>
      <c r="AI12" s="98" t="e">
        <f t="shared" ref="AI12:AI75" si="15">IF($A12&lt;&gt;"(DC)", $F12*$AG$7, $F12)</f>
        <v>#REF!</v>
      </c>
      <c r="AJ12" s="97" t="e">
        <f t="shared" ref="AJ12:AJ75" si="16">IF(AND($D12="",AH12=""),"",IF($D12="",AH12,$D12+AH12))</f>
        <v>#REF!</v>
      </c>
      <c r="AK12" s="97" t="e">
        <f t="shared" ref="AK12:AK75" si="17">IF(AND($D12="",AI12=""),"",IF($D12="",AI12,$D12+AI12))</f>
        <v>#REF!</v>
      </c>
      <c r="CB12" s="111"/>
      <c r="DJ12" s="111"/>
      <c r="GD12" s="111"/>
      <c r="JX12" s="111"/>
      <c r="PC12" s="111"/>
      <c r="AHC12" s="111"/>
      <c r="AKZ12" s="111"/>
      <c r="APA12" s="111"/>
      <c r="ATX12" s="111"/>
      <c r="BFM12" s="111"/>
      <c r="BIL12" s="111"/>
      <c r="BLD12" s="111"/>
      <c r="BML12" s="111"/>
      <c r="BMN12" s="111"/>
      <c r="BQB12" s="111"/>
      <c r="BQI12" s="111"/>
      <c r="BRC12" s="111"/>
      <c r="BWN12" s="111"/>
      <c r="CKU12" s="111"/>
      <c r="CKX12" s="111"/>
      <c r="CLA12" s="111"/>
      <c r="CRT12" s="111"/>
      <c r="CVV12" s="111"/>
      <c r="CWD12" s="111"/>
      <c r="DEE12" s="111"/>
      <c r="DFL12" s="111"/>
      <c r="DIM12" s="111"/>
      <c r="DPI12" s="111"/>
      <c r="DPM12" s="111"/>
      <c r="DQO12" s="111"/>
      <c r="DUY12" s="111"/>
      <c r="DXM12" s="111"/>
    </row>
    <row r="13" spans="1:988 1039:2040 2089:3030 3125:3389" ht="15" customHeight="1">
      <c r="A13" s="108" t="s">
        <v>195</v>
      </c>
      <c r="B13" s="113" t="s">
        <v>99</v>
      </c>
      <c r="C13" s="103">
        <v>1.5</v>
      </c>
      <c r="D13" s="102">
        <v>0.5</v>
      </c>
      <c r="E13" s="114">
        <v>0.01</v>
      </c>
      <c r="F13" s="101">
        <v>-0.01</v>
      </c>
      <c r="G13" s="100">
        <f t="shared" si="0"/>
        <v>0.51</v>
      </c>
      <c r="H13" s="99">
        <f t="shared" si="1"/>
        <v>0.49</v>
      </c>
      <c r="I13" s="71"/>
      <c r="J13" s="2"/>
      <c r="K13" s="2"/>
      <c r="L13" s="2"/>
      <c r="M13" s="2"/>
      <c r="N13" s="2"/>
      <c r="O13" s="2"/>
      <c r="P13" s="2"/>
      <c r="Q13" s="2"/>
      <c r="S13" s="98">
        <f t="shared" si="2"/>
        <v>0</v>
      </c>
      <c r="T13" s="98">
        <f t="shared" si="3"/>
        <v>0</v>
      </c>
      <c r="U13" s="97">
        <f t="shared" si="4"/>
        <v>0.5</v>
      </c>
      <c r="V13" s="97">
        <f t="shared" si="5"/>
        <v>0.5</v>
      </c>
      <c r="X13" s="98" t="e">
        <f t="shared" si="6"/>
        <v>#REF!</v>
      </c>
      <c r="Y13" s="98" t="e">
        <f t="shared" si="7"/>
        <v>#REF!</v>
      </c>
      <c r="Z13" s="97" t="e">
        <f t="shared" si="8"/>
        <v>#REF!</v>
      </c>
      <c r="AA13" s="97" t="e">
        <f t="shared" si="9"/>
        <v>#REF!</v>
      </c>
      <c r="AC13" s="98" t="e">
        <f t="shared" si="10"/>
        <v>#REF!</v>
      </c>
      <c r="AD13" s="98" t="e">
        <f t="shared" si="11"/>
        <v>#REF!</v>
      </c>
      <c r="AE13" s="97" t="e">
        <f t="shared" si="12"/>
        <v>#REF!</v>
      </c>
      <c r="AF13" s="97" t="e">
        <f t="shared" si="13"/>
        <v>#REF!</v>
      </c>
      <c r="AH13" s="98" t="e">
        <f t="shared" si="14"/>
        <v>#REF!</v>
      </c>
      <c r="AI13" s="98" t="e">
        <f t="shared" si="15"/>
        <v>#REF!</v>
      </c>
      <c r="AJ13" s="97" t="e">
        <f t="shared" si="16"/>
        <v>#REF!</v>
      </c>
      <c r="AK13" s="97" t="e">
        <f t="shared" si="17"/>
        <v>#REF!</v>
      </c>
      <c r="CC13" s="111"/>
      <c r="GD13" s="111"/>
      <c r="ACN13" s="111"/>
      <c r="BBX13" s="111"/>
      <c r="BGN13" s="111"/>
      <c r="BLQ13" s="111"/>
      <c r="BML13" s="111"/>
      <c r="BOL13" s="111"/>
      <c r="BOR13" s="111"/>
      <c r="BRC13" s="111"/>
      <c r="BSQ13" s="111"/>
      <c r="BSY13" s="111"/>
      <c r="BVS13" s="111"/>
      <c r="BWN13" s="111"/>
      <c r="DEH13" s="111"/>
      <c r="DFL13" s="111"/>
      <c r="DLN13" s="111"/>
      <c r="DYL13" s="111"/>
    </row>
    <row r="14" spans="1:988 1039:2040 2089:3030 3125:3389" ht="15" customHeight="1">
      <c r="A14" s="108" t="s">
        <v>188</v>
      </c>
      <c r="B14" s="113" t="s">
        <v>100</v>
      </c>
      <c r="C14" s="103">
        <v>1.5</v>
      </c>
      <c r="D14" s="102">
        <v>0.5</v>
      </c>
      <c r="E14" s="114">
        <v>0.01</v>
      </c>
      <c r="F14" s="101">
        <v>-0.01</v>
      </c>
      <c r="G14" s="100">
        <f t="shared" si="0"/>
        <v>0.51</v>
      </c>
      <c r="H14" s="99">
        <f t="shared" si="1"/>
        <v>0.49</v>
      </c>
      <c r="I14" s="71"/>
      <c r="J14" s="2"/>
      <c r="K14" s="2"/>
      <c r="L14" s="2"/>
      <c r="M14" s="2"/>
      <c r="N14" s="2"/>
      <c r="O14" s="2"/>
      <c r="P14" s="2"/>
      <c r="Q14" s="2"/>
      <c r="S14" s="98">
        <f t="shared" si="2"/>
        <v>0</v>
      </c>
      <c r="T14" s="98">
        <f t="shared" si="3"/>
        <v>0</v>
      </c>
      <c r="U14" s="97">
        <f t="shared" si="4"/>
        <v>0.5</v>
      </c>
      <c r="V14" s="97">
        <f t="shared" si="5"/>
        <v>0.5</v>
      </c>
      <c r="X14" s="98" t="e">
        <f t="shared" si="6"/>
        <v>#REF!</v>
      </c>
      <c r="Y14" s="98" t="e">
        <f t="shared" si="7"/>
        <v>#REF!</v>
      </c>
      <c r="Z14" s="97" t="e">
        <f t="shared" si="8"/>
        <v>#REF!</v>
      </c>
      <c r="AA14" s="97" t="e">
        <f t="shared" si="9"/>
        <v>#REF!</v>
      </c>
      <c r="AC14" s="98" t="e">
        <f t="shared" si="10"/>
        <v>#REF!</v>
      </c>
      <c r="AD14" s="98" t="e">
        <f t="shared" si="11"/>
        <v>#REF!</v>
      </c>
      <c r="AE14" s="97" t="e">
        <f t="shared" si="12"/>
        <v>#REF!</v>
      </c>
      <c r="AF14" s="97" t="e">
        <f t="shared" si="13"/>
        <v>#REF!</v>
      </c>
      <c r="AH14" s="98" t="e">
        <f t="shared" si="14"/>
        <v>#REF!</v>
      </c>
      <c r="AI14" s="98" t="e">
        <f t="shared" si="15"/>
        <v>#REF!</v>
      </c>
      <c r="AJ14" s="97" t="e">
        <f t="shared" si="16"/>
        <v>#REF!</v>
      </c>
      <c r="AK14" s="97" t="e">
        <f t="shared" si="17"/>
        <v>#REF!</v>
      </c>
      <c r="BH14" s="111"/>
      <c r="HL14" s="111"/>
      <c r="NA14" s="111"/>
      <c r="PZ14" s="111"/>
      <c r="XS14" s="111"/>
      <c r="YG14" s="111"/>
      <c r="AIP14" s="111"/>
      <c r="AJP14" s="111"/>
      <c r="AMY14" s="111"/>
      <c r="AOD14" s="111"/>
      <c r="ARS14" s="111"/>
      <c r="AWY14" s="111"/>
      <c r="AXI14" s="111"/>
      <c r="BDK14" s="111"/>
      <c r="BFY14" s="111"/>
      <c r="BLJ14" s="111"/>
      <c r="BPC14" s="111"/>
      <c r="BPR14" s="111"/>
      <c r="BSG14" s="111"/>
      <c r="BSL14" s="111"/>
      <c r="BSV14" s="111"/>
      <c r="BUL14" s="111"/>
      <c r="BZL14" s="111"/>
      <c r="CBI14" s="111"/>
      <c r="CCA14" s="111"/>
      <c r="CCB14" s="111"/>
      <c r="CGX14" s="111"/>
      <c r="CIY14" s="111"/>
      <c r="CKV14" s="111"/>
      <c r="CML14" s="111"/>
      <c r="CNO14" s="111"/>
      <c r="COJ14" s="111"/>
      <c r="CQC14" s="111"/>
      <c r="CVZ14" s="111"/>
      <c r="CZS14" s="111"/>
      <c r="DBD14" s="111"/>
      <c r="DEN14" s="111"/>
      <c r="DEW14" s="111"/>
      <c r="DJE14" s="111"/>
      <c r="DPE14" s="111"/>
      <c r="DPF14" s="111"/>
      <c r="DRV14" s="111"/>
      <c r="DYF14" s="111"/>
    </row>
    <row r="15" spans="1:988 1039:2040 2089:3030 3125:3389" ht="15" customHeight="1">
      <c r="A15" s="108" t="s">
        <v>188</v>
      </c>
      <c r="B15" s="113" t="s">
        <v>101</v>
      </c>
      <c r="C15" s="103">
        <v>1.5</v>
      </c>
      <c r="D15" s="102">
        <v>0.5</v>
      </c>
      <c r="E15" s="114">
        <v>0.01</v>
      </c>
      <c r="F15" s="101">
        <v>-0.01</v>
      </c>
      <c r="G15" s="100">
        <f t="shared" si="0"/>
        <v>0.51</v>
      </c>
      <c r="H15" s="99">
        <f t="shared" si="1"/>
        <v>0.49</v>
      </c>
      <c r="I15" s="71"/>
      <c r="J15" s="2"/>
      <c r="K15" s="2"/>
      <c r="L15" s="2"/>
      <c r="M15" s="2"/>
      <c r="N15" s="2"/>
      <c r="O15" s="2"/>
      <c r="P15" s="2"/>
      <c r="Q15" s="2"/>
      <c r="S15" s="98">
        <f t="shared" si="2"/>
        <v>0</v>
      </c>
      <c r="T15" s="98">
        <f t="shared" si="3"/>
        <v>0</v>
      </c>
      <c r="U15" s="97">
        <f t="shared" si="4"/>
        <v>0.5</v>
      </c>
      <c r="V15" s="97">
        <f t="shared" si="5"/>
        <v>0.5</v>
      </c>
      <c r="X15" s="98" t="e">
        <f t="shared" si="6"/>
        <v>#REF!</v>
      </c>
      <c r="Y15" s="98" t="e">
        <f t="shared" si="7"/>
        <v>#REF!</v>
      </c>
      <c r="Z15" s="97" t="e">
        <f t="shared" si="8"/>
        <v>#REF!</v>
      </c>
      <c r="AA15" s="97" t="e">
        <f t="shared" si="9"/>
        <v>#REF!</v>
      </c>
      <c r="AC15" s="98" t="e">
        <f t="shared" si="10"/>
        <v>#REF!</v>
      </c>
      <c r="AD15" s="98" t="e">
        <f t="shared" si="11"/>
        <v>#REF!</v>
      </c>
      <c r="AE15" s="97" t="e">
        <f t="shared" si="12"/>
        <v>#REF!</v>
      </c>
      <c r="AF15" s="97" t="e">
        <f t="shared" si="13"/>
        <v>#REF!</v>
      </c>
      <c r="AH15" s="98" t="e">
        <f t="shared" si="14"/>
        <v>#REF!</v>
      </c>
      <c r="AI15" s="98" t="e">
        <f t="shared" si="15"/>
        <v>#REF!</v>
      </c>
      <c r="AJ15" s="97" t="e">
        <f t="shared" si="16"/>
        <v>#REF!</v>
      </c>
      <c r="AK15" s="97" t="e">
        <f t="shared" si="17"/>
        <v>#REF!</v>
      </c>
      <c r="BH15" s="111"/>
      <c r="BO15" s="111"/>
      <c r="BZ15" s="111"/>
      <c r="CL15" s="111"/>
      <c r="QW15" s="111"/>
      <c r="UB15" s="111"/>
      <c r="VC15" s="111"/>
      <c r="XS15" s="111"/>
      <c r="AHK15" s="111"/>
      <c r="BFY15" s="111"/>
      <c r="BGY15" s="111"/>
      <c r="BJM15" s="111"/>
      <c r="BLL15" s="111"/>
      <c r="BLO15" s="111"/>
      <c r="BLV15" s="111"/>
      <c r="BPR15" s="111"/>
      <c r="BSL15" s="111"/>
      <c r="BUS15" s="111"/>
      <c r="CCB15" s="111"/>
      <c r="CHB15" s="111"/>
      <c r="CKR15" s="111"/>
      <c r="CKV15" s="111"/>
      <c r="CMI15" s="111"/>
      <c r="CMS15" s="111"/>
      <c r="CND15" s="111"/>
      <c r="CUF15" s="111"/>
      <c r="CVZ15" s="111"/>
      <c r="CZS15" s="111"/>
      <c r="DCW15" s="111"/>
      <c r="DDJ15" s="111"/>
      <c r="DDK15" s="111"/>
      <c r="DEH15" s="111"/>
      <c r="DEY15" s="111"/>
      <c r="DPF15" s="111"/>
      <c r="DQP15" s="111"/>
    </row>
    <row r="16" spans="1:988 1039:2040 2089:3030 3125:3389" ht="15" customHeight="1">
      <c r="A16" s="108" t="s">
        <v>188</v>
      </c>
      <c r="B16" s="113" t="s">
        <v>102</v>
      </c>
      <c r="C16" s="103">
        <v>1.5</v>
      </c>
      <c r="D16" s="102">
        <v>0.5</v>
      </c>
      <c r="E16" s="114">
        <v>0.01</v>
      </c>
      <c r="F16" s="101">
        <v>-0.01</v>
      </c>
      <c r="G16" s="100">
        <f t="shared" si="0"/>
        <v>0.51</v>
      </c>
      <c r="H16" s="99">
        <f t="shared" si="1"/>
        <v>0.49</v>
      </c>
      <c r="I16" s="71"/>
      <c r="J16" s="2"/>
      <c r="K16" s="2"/>
      <c r="L16" s="2"/>
      <c r="M16" s="2"/>
      <c r="N16" s="2"/>
      <c r="O16" s="2"/>
      <c r="P16" s="2"/>
      <c r="Q16" s="2"/>
      <c r="S16" s="98">
        <f t="shared" si="2"/>
        <v>0</v>
      </c>
      <c r="T16" s="98">
        <f t="shared" si="3"/>
        <v>0</v>
      </c>
      <c r="U16" s="97">
        <f t="shared" si="4"/>
        <v>0.5</v>
      </c>
      <c r="V16" s="97">
        <f t="shared" si="5"/>
        <v>0.5</v>
      </c>
      <c r="X16" s="98" t="e">
        <f t="shared" si="6"/>
        <v>#REF!</v>
      </c>
      <c r="Y16" s="98" t="e">
        <f t="shared" si="7"/>
        <v>#REF!</v>
      </c>
      <c r="Z16" s="97" t="e">
        <f t="shared" si="8"/>
        <v>#REF!</v>
      </c>
      <c r="AA16" s="97" t="e">
        <f t="shared" si="9"/>
        <v>#REF!</v>
      </c>
      <c r="AC16" s="98" t="e">
        <f t="shared" si="10"/>
        <v>#REF!</v>
      </c>
      <c r="AD16" s="98" t="e">
        <f t="shared" si="11"/>
        <v>#REF!</v>
      </c>
      <c r="AE16" s="97" t="e">
        <f t="shared" si="12"/>
        <v>#REF!</v>
      </c>
      <c r="AF16" s="97" t="e">
        <f t="shared" si="13"/>
        <v>#REF!</v>
      </c>
      <c r="AH16" s="98" t="e">
        <f t="shared" si="14"/>
        <v>#REF!</v>
      </c>
      <c r="AI16" s="98" t="e">
        <f t="shared" si="15"/>
        <v>#REF!</v>
      </c>
      <c r="AJ16" s="97" t="e">
        <f t="shared" si="16"/>
        <v>#REF!</v>
      </c>
      <c r="AK16" s="97" t="e">
        <f t="shared" si="17"/>
        <v>#REF!</v>
      </c>
      <c r="CB16" s="111"/>
      <c r="DJ16" s="111"/>
      <c r="GD16" s="111"/>
      <c r="JX16" s="111"/>
      <c r="MA16" s="111"/>
      <c r="PC16" s="111"/>
      <c r="AHC16" s="111"/>
      <c r="AKZ16" s="111"/>
      <c r="ATX16" s="111"/>
      <c r="BIL16" s="111"/>
      <c r="BLD16" s="111"/>
      <c r="BMN16" s="111"/>
      <c r="BPC16" s="111"/>
      <c r="BRC16" s="111"/>
      <c r="BZH16" s="111"/>
      <c r="CDU16" s="111"/>
      <c r="CGJ16" s="111"/>
      <c r="CLA16" s="111"/>
      <c r="CWD16" s="111"/>
      <c r="DPM16" s="111"/>
    </row>
    <row r="17" spans="1:1021 1026:2020 2084:3062 3073:3397" ht="15" customHeight="1">
      <c r="A17" s="108" t="s">
        <v>181</v>
      </c>
      <c r="B17" s="113" t="s">
        <v>100</v>
      </c>
      <c r="C17" s="103"/>
      <c r="D17" s="102">
        <v>0.5</v>
      </c>
      <c r="E17" s="114">
        <v>0.01</v>
      </c>
      <c r="F17" s="101">
        <v>-0.01</v>
      </c>
      <c r="G17" s="100">
        <f t="shared" si="0"/>
        <v>0.51</v>
      </c>
      <c r="H17" s="99">
        <f t="shared" si="1"/>
        <v>0.49</v>
      </c>
      <c r="I17" s="71"/>
      <c r="J17" s="2"/>
      <c r="K17" s="2"/>
      <c r="L17" s="2"/>
      <c r="M17" s="2"/>
      <c r="N17" s="2"/>
      <c r="O17" s="2"/>
      <c r="P17" s="2"/>
      <c r="Q17" s="2"/>
      <c r="S17" s="98">
        <f t="shared" si="2"/>
        <v>0.01</v>
      </c>
      <c r="T17" s="98">
        <f t="shared" si="3"/>
        <v>-0.01</v>
      </c>
      <c r="U17" s="97">
        <f t="shared" si="4"/>
        <v>0.51</v>
      </c>
      <c r="V17" s="97">
        <f t="shared" si="5"/>
        <v>0.49</v>
      </c>
      <c r="X17" s="98">
        <f t="shared" si="6"/>
        <v>0.01</v>
      </c>
      <c r="Y17" s="98">
        <f t="shared" si="7"/>
        <v>-0.01</v>
      </c>
      <c r="Z17" s="97">
        <f t="shared" si="8"/>
        <v>0.51</v>
      </c>
      <c r="AA17" s="97">
        <f t="shared" si="9"/>
        <v>0.49</v>
      </c>
      <c r="AC17" s="98">
        <f t="shared" si="10"/>
        <v>0.01</v>
      </c>
      <c r="AD17" s="98">
        <f t="shared" si="11"/>
        <v>-0.01</v>
      </c>
      <c r="AE17" s="97">
        <f t="shared" si="12"/>
        <v>0.51</v>
      </c>
      <c r="AF17" s="97">
        <f t="shared" si="13"/>
        <v>0.49</v>
      </c>
      <c r="AH17" s="98">
        <f t="shared" si="14"/>
        <v>0.01</v>
      </c>
      <c r="AI17" s="98">
        <f t="shared" si="15"/>
        <v>-0.01</v>
      </c>
      <c r="AJ17" s="97">
        <f t="shared" si="16"/>
        <v>0.51</v>
      </c>
      <c r="AK17" s="97">
        <f t="shared" si="17"/>
        <v>0.49</v>
      </c>
      <c r="CK17" s="111"/>
      <c r="DY17" s="111"/>
      <c r="JS17" s="111"/>
      <c r="KF17" s="111"/>
      <c r="MV17" s="111"/>
      <c r="TM17" s="111"/>
      <c r="UM17" s="111"/>
      <c r="WW17" s="111"/>
      <c r="YG17" s="111"/>
      <c r="YU17" s="111"/>
      <c r="AAB17" s="111"/>
      <c r="AEE17" s="111"/>
      <c r="AFU17" s="111"/>
      <c r="AHR17" s="111"/>
      <c r="AIR17" s="111"/>
      <c r="AKG17" s="111"/>
      <c r="ALE17" s="111"/>
      <c r="ALI17" s="111"/>
      <c r="ALY17" s="111"/>
      <c r="AMF17" s="111"/>
      <c r="AMG17" s="111"/>
      <c r="ANI17" s="111"/>
      <c r="APT17" s="111"/>
      <c r="AVS17" s="111"/>
      <c r="AXU17" s="111"/>
      <c r="AYU17" s="111"/>
      <c r="BAM17" s="111"/>
      <c r="BBH17" s="111"/>
      <c r="BNO17" s="111"/>
      <c r="BPN17" s="111"/>
      <c r="CBD17" s="111"/>
      <c r="CCA17" s="111"/>
      <c r="CHN17" s="111"/>
      <c r="CSY17" s="111"/>
      <c r="DIM17" s="111"/>
      <c r="DOU17" s="111"/>
      <c r="DPF17" s="111"/>
      <c r="DQE17" s="111"/>
      <c r="DRH17" s="111"/>
    </row>
    <row r="18" spans="1:1021 1026:2020 2084:3062 3073:3397" ht="15" customHeight="1">
      <c r="A18" s="108" t="s">
        <v>181</v>
      </c>
      <c r="B18" s="113" t="s">
        <v>101</v>
      </c>
      <c r="C18" s="103"/>
      <c r="D18" s="102">
        <v>0.5</v>
      </c>
      <c r="E18" s="114">
        <v>0.01</v>
      </c>
      <c r="F18" s="101">
        <v>-0.01</v>
      </c>
      <c r="G18" s="100">
        <f t="shared" si="0"/>
        <v>0.51</v>
      </c>
      <c r="H18" s="99">
        <f t="shared" si="1"/>
        <v>0.49</v>
      </c>
      <c r="I18" s="71"/>
      <c r="J18" s="2"/>
      <c r="K18" s="2"/>
      <c r="L18" s="2"/>
      <c r="M18" s="2"/>
      <c r="N18" s="2"/>
      <c r="O18" s="2"/>
      <c r="P18" s="2"/>
      <c r="Q18" s="2"/>
      <c r="S18" s="98">
        <f t="shared" si="2"/>
        <v>0.01</v>
      </c>
      <c r="T18" s="98">
        <f t="shared" si="3"/>
        <v>-0.01</v>
      </c>
      <c r="U18" s="97">
        <f t="shared" si="4"/>
        <v>0.51</v>
      </c>
      <c r="V18" s="97">
        <f t="shared" si="5"/>
        <v>0.49</v>
      </c>
      <c r="X18" s="98">
        <f t="shared" si="6"/>
        <v>0.01</v>
      </c>
      <c r="Y18" s="98">
        <f t="shared" si="7"/>
        <v>-0.01</v>
      </c>
      <c r="Z18" s="97">
        <f t="shared" si="8"/>
        <v>0.51</v>
      </c>
      <c r="AA18" s="97">
        <f t="shared" si="9"/>
        <v>0.49</v>
      </c>
      <c r="AC18" s="98">
        <f t="shared" si="10"/>
        <v>0.01</v>
      </c>
      <c r="AD18" s="98">
        <f t="shared" si="11"/>
        <v>-0.01</v>
      </c>
      <c r="AE18" s="97">
        <f t="shared" si="12"/>
        <v>0.51</v>
      </c>
      <c r="AF18" s="97">
        <f t="shared" si="13"/>
        <v>0.49</v>
      </c>
      <c r="AH18" s="98">
        <f t="shared" si="14"/>
        <v>0.01</v>
      </c>
      <c r="AI18" s="98">
        <f t="shared" si="15"/>
        <v>-0.01</v>
      </c>
      <c r="AJ18" s="97">
        <f t="shared" si="16"/>
        <v>0.51</v>
      </c>
      <c r="AK18" s="97">
        <f t="shared" si="17"/>
        <v>0.49</v>
      </c>
      <c r="FH18" s="111"/>
      <c r="FZ18" s="111"/>
      <c r="AEF18" s="111"/>
      <c r="ALI18" s="111"/>
      <c r="ALX18" s="111"/>
      <c r="AME18" s="111"/>
      <c r="ANS18" s="111"/>
      <c r="APG18" s="111"/>
      <c r="AQN18" s="111"/>
      <c r="ATB18" s="111"/>
      <c r="AUS18" s="111"/>
      <c r="AZD18" s="111"/>
      <c r="BYM18" s="111"/>
      <c r="BYR18" s="111"/>
      <c r="CDT18" s="111"/>
      <c r="CGN18" s="111"/>
      <c r="CHR18" s="111"/>
      <c r="CXK18" s="111"/>
      <c r="CYK18" s="111"/>
      <c r="DBT18" s="111"/>
      <c r="DMT18" s="111"/>
      <c r="DNI18" s="111"/>
      <c r="DSJ18" s="111"/>
      <c r="DZQ18" s="111"/>
    </row>
    <row r="19" spans="1:1021 1026:2020 2084:3062 3073:3397" ht="15" customHeight="1">
      <c r="A19" s="108" t="s">
        <v>181</v>
      </c>
      <c r="B19" s="113" t="s">
        <v>102</v>
      </c>
      <c r="C19" s="103"/>
      <c r="D19" s="102">
        <v>0.5</v>
      </c>
      <c r="E19" s="101">
        <v>0.01</v>
      </c>
      <c r="F19" s="101">
        <v>-0.01</v>
      </c>
      <c r="G19" s="100">
        <f t="shared" si="0"/>
        <v>0.51</v>
      </c>
      <c r="H19" s="99">
        <f t="shared" si="1"/>
        <v>0.49</v>
      </c>
      <c r="I19" s="106"/>
      <c r="J19" s="2"/>
      <c r="K19" s="2"/>
      <c r="L19" s="2"/>
      <c r="M19" s="2"/>
      <c r="N19" s="2"/>
      <c r="O19" s="2"/>
      <c r="P19" s="2"/>
      <c r="Q19" s="2"/>
      <c r="S19" s="98">
        <f t="shared" si="2"/>
        <v>0.01</v>
      </c>
      <c r="T19" s="98">
        <f t="shared" si="3"/>
        <v>-0.01</v>
      </c>
      <c r="U19" s="97">
        <f t="shared" si="4"/>
        <v>0.51</v>
      </c>
      <c r="V19" s="97">
        <f t="shared" si="5"/>
        <v>0.49</v>
      </c>
      <c r="X19" s="98">
        <f t="shared" si="6"/>
        <v>0.01</v>
      </c>
      <c r="Y19" s="98">
        <f t="shared" si="7"/>
        <v>-0.01</v>
      </c>
      <c r="Z19" s="97">
        <f t="shared" si="8"/>
        <v>0.51</v>
      </c>
      <c r="AA19" s="97">
        <f t="shared" si="9"/>
        <v>0.49</v>
      </c>
      <c r="AC19" s="98">
        <f t="shared" si="10"/>
        <v>0.01</v>
      </c>
      <c r="AD19" s="98">
        <f t="shared" si="11"/>
        <v>-0.01</v>
      </c>
      <c r="AE19" s="97">
        <f t="shared" si="12"/>
        <v>0.51</v>
      </c>
      <c r="AF19" s="97">
        <f t="shared" si="13"/>
        <v>0.49</v>
      </c>
      <c r="AH19" s="98">
        <f t="shared" si="14"/>
        <v>0.01</v>
      </c>
      <c r="AI19" s="98">
        <f t="shared" si="15"/>
        <v>-0.01</v>
      </c>
      <c r="AJ19" s="97">
        <f t="shared" si="16"/>
        <v>0.51</v>
      </c>
      <c r="AK19" s="97">
        <f t="shared" si="17"/>
        <v>0.49</v>
      </c>
      <c r="AU19" s="111"/>
      <c r="DJ19" s="111"/>
      <c r="GM19" s="111"/>
      <c r="HL19" s="111"/>
      <c r="LZ19" s="111"/>
      <c r="SJ19" s="111"/>
      <c r="TX19" s="111"/>
      <c r="VC19" s="111"/>
      <c r="AFG19" s="111"/>
      <c r="AHC19" s="111"/>
      <c r="AHN19" s="111"/>
      <c r="AIT19" s="111"/>
      <c r="AJL19" s="111"/>
      <c r="AMY19" s="111"/>
      <c r="AOJ19" s="111"/>
      <c r="ASO19" s="111"/>
      <c r="AVF19" s="111"/>
      <c r="AYQ19" s="111"/>
      <c r="BAH19" s="111"/>
      <c r="BBW19" s="111"/>
      <c r="BKX19" s="111"/>
      <c r="BOB19" s="111"/>
      <c r="BOW19" s="111"/>
      <c r="BPL19" s="111"/>
      <c r="BUF19" s="111"/>
      <c r="BUS19" s="111"/>
      <c r="CCY19" s="111"/>
      <c r="CDB19" s="111"/>
      <c r="CIE19" s="111"/>
      <c r="CJP19" s="111"/>
      <c r="CUS19" s="111"/>
      <c r="CVA19" s="111"/>
      <c r="DAR19" s="111"/>
      <c r="DEG19" s="111"/>
      <c r="DEJ19" s="111"/>
      <c r="DEZ19" s="111"/>
      <c r="DFZ19" s="111"/>
      <c r="DKJ19" s="111"/>
      <c r="DLX19" s="111"/>
      <c r="DMB19" s="111"/>
      <c r="DNE19" s="111"/>
      <c r="DWM19" s="111"/>
      <c r="DZA19" s="111"/>
    </row>
    <row r="20" spans="1:1021 1026:2020 2084:3062 3073:3397" ht="15" customHeight="1">
      <c r="A20" s="108" t="s">
        <v>196</v>
      </c>
      <c r="B20" s="109" t="s">
        <v>103</v>
      </c>
      <c r="C20" s="103">
        <v>1.5</v>
      </c>
      <c r="D20" s="102"/>
      <c r="E20" s="101">
        <v>0.03</v>
      </c>
      <c r="F20" s="101"/>
      <c r="G20" s="100">
        <f t="shared" si="0"/>
        <v>0.03</v>
      </c>
      <c r="H20" s="99" t="str">
        <f t="shared" si="1"/>
        <v/>
      </c>
      <c r="I20" s="71"/>
      <c r="J20" s="2"/>
      <c r="K20" s="2"/>
      <c r="L20" s="2"/>
      <c r="M20" s="2"/>
      <c r="N20" s="2"/>
      <c r="O20" s="2"/>
      <c r="P20" s="2"/>
      <c r="Q20" s="2"/>
      <c r="S20" s="98">
        <f t="shared" si="2"/>
        <v>0</v>
      </c>
      <c r="T20" s="98">
        <f t="shared" si="3"/>
        <v>0</v>
      </c>
      <c r="U20" s="97">
        <f t="shared" si="4"/>
        <v>0</v>
      </c>
      <c r="V20" s="97">
        <f t="shared" si="5"/>
        <v>0</v>
      </c>
      <c r="X20" s="98" t="e">
        <f t="shared" si="6"/>
        <v>#REF!</v>
      </c>
      <c r="Y20" s="98" t="e">
        <f t="shared" si="7"/>
        <v>#REF!</v>
      </c>
      <c r="Z20" s="97" t="e">
        <f t="shared" si="8"/>
        <v>#REF!</v>
      </c>
      <c r="AA20" s="97" t="e">
        <f t="shared" si="9"/>
        <v>#REF!</v>
      </c>
      <c r="AC20" s="98" t="e">
        <f t="shared" si="10"/>
        <v>#REF!</v>
      </c>
      <c r="AD20" s="98" t="e">
        <f t="shared" si="11"/>
        <v>#REF!</v>
      </c>
      <c r="AE20" s="97" t="e">
        <f t="shared" si="12"/>
        <v>#REF!</v>
      </c>
      <c r="AF20" s="97" t="e">
        <f t="shared" si="13"/>
        <v>#REF!</v>
      </c>
      <c r="AH20" s="98" t="e">
        <f t="shared" si="14"/>
        <v>#REF!</v>
      </c>
      <c r="AI20" s="98" t="e">
        <f t="shared" si="15"/>
        <v>#REF!</v>
      </c>
      <c r="AJ20" s="97" t="e">
        <f t="shared" si="16"/>
        <v>#REF!</v>
      </c>
      <c r="AK20" s="97" t="e">
        <f t="shared" si="17"/>
        <v>#REF!</v>
      </c>
      <c r="AU20" s="111"/>
      <c r="DJ20" s="111"/>
      <c r="HL20" s="111"/>
      <c r="LZ20" s="111"/>
      <c r="SJ20" s="111"/>
      <c r="TX20" s="111"/>
      <c r="VC20" s="111"/>
      <c r="AFG20" s="111"/>
      <c r="AHN20" s="111"/>
      <c r="AIT20" s="111"/>
      <c r="AJL20" s="111"/>
      <c r="AML20" s="111"/>
      <c r="AOJ20" s="111"/>
      <c r="ASO20" s="111"/>
      <c r="AYQ20" s="111"/>
      <c r="BAH20" s="111"/>
      <c r="BBW20" s="111"/>
      <c r="BHA20" s="111"/>
      <c r="BKX20" s="111"/>
      <c r="BOB20" s="111"/>
      <c r="BOW20" s="111"/>
      <c r="BPL20" s="111"/>
      <c r="BUF20" s="111"/>
      <c r="BUS20" s="111"/>
      <c r="CCY20" s="111"/>
      <c r="CDB20" s="111"/>
      <c r="CQC20" s="111"/>
      <c r="DEG20" s="111"/>
      <c r="DEJ20" s="111"/>
      <c r="DEZ20" s="111"/>
      <c r="DFZ20" s="111"/>
      <c r="DLX20" s="111"/>
      <c r="DMB20" s="111"/>
      <c r="DNE20" s="111"/>
      <c r="DVS20" s="111"/>
      <c r="DWM20" s="111"/>
      <c r="DZA20" s="111"/>
    </row>
    <row r="21" spans="1:1021 1026:2020 2084:3062 3073:3397" ht="15" customHeight="1">
      <c r="A21" s="108" t="s">
        <v>181</v>
      </c>
      <c r="B21" s="109" t="s">
        <v>103</v>
      </c>
      <c r="C21" s="103"/>
      <c r="D21" s="102"/>
      <c r="E21" s="101">
        <v>0.03</v>
      </c>
      <c r="F21" s="101"/>
      <c r="G21" s="100">
        <f t="shared" si="0"/>
        <v>0.03</v>
      </c>
      <c r="H21" s="99" t="str">
        <f t="shared" si="1"/>
        <v/>
      </c>
      <c r="I21" s="106"/>
      <c r="J21" s="2"/>
      <c r="K21" s="2"/>
      <c r="L21" s="2"/>
      <c r="M21" s="2"/>
      <c r="N21" s="2"/>
      <c r="O21" s="2"/>
      <c r="P21" s="2"/>
      <c r="Q21" s="2"/>
      <c r="S21" s="98">
        <f t="shared" si="2"/>
        <v>0.03</v>
      </c>
      <c r="T21" s="98">
        <f t="shared" si="3"/>
        <v>0</v>
      </c>
      <c r="U21" s="97">
        <f t="shared" si="4"/>
        <v>0.03</v>
      </c>
      <c r="V21" s="97">
        <f t="shared" si="5"/>
        <v>0</v>
      </c>
      <c r="X21" s="98">
        <f t="shared" si="6"/>
        <v>0.03</v>
      </c>
      <c r="Y21" s="98">
        <f t="shared" si="7"/>
        <v>0</v>
      </c>
      <c r="Z21" s="97">
        <f t="shared" si="8"/>
        <v>0.03</v>
      </c>
      <c r="AA21" s="97">
        <f t="shared" si="9"/>
        <v>0</v>
      </c>
      <c r="AC21" s="98">
        <f t="shared" si="10"/>
        <v>0.03</v>
      </c>
      <c r="AD21" s="98">
        <f t="shared" si="11"/>
        <v>0</v>
      </c>
      <c r="AE21" s="97">
        <f t="shared" si="12"/>
        <v>0.03</v>
      </c>
      <c r="AF21" s="97">
        <f t="shared" si="13"/>
        <v>0</v>
      </c>
      <c r="AH21" s="98">
        <f t="shared" si="14"/>
        <v>0.03</v>
      </c>
      <c r="AI21" s="98">
        <f t="shared" si="15"/>
        <v>0</v>
      </c>
      <c r="AJ21" s="97">
        <f t="shared" si="16"/>
        <v>0.03</v>
      </c>
      <c r="AK21" s="97">
        <f t="shared" si="17"/>
        <v>0</v>
      </c>
      <c r="DJ21" s="111"/>
      <c r="HL21" s="111"/>
      <c r="TX21" s="111"/>
      <c r="VC21" s="111"/>
      <c r="AFG21" s="111"/>
      <c r="AHC21" s="111"/>
      <c r="AHN21" s="111"/>
      <c r="AIT21" s="111"/>
      <c r="AJL21" s="111"/>
      <c r="AML21" s="111"/>
      <c r="AMY21" s="111"/>
      <c r="AOJ21" s="111"/>
      <c r="ASO21" s="111"/>
      <c r="AVF21" s="111"/>
      <c r="AYQ21" s="111"/>
      <c r="BAH21" s="111"/>
      <c r="BBW21" s="111"/>
      <c r="BGD21" s="111"/>
      <c r="BKX21" s="111"/>
      <c r="BOB21" s="111"/>
      <c r="BOW21" s="111"/>
      <c r="BUF21" s="111"/>
      <c r="BUS21" s="111"/>
      <c r="CCY21" s="111"/>
      <c r="DEG21" s="111"/>
      <c r="DEJ21" s="111"/>
      <c r="DEZ21" s="111"/>
      <c r="DFZ21" s="111"/>
      <c r="DLX21" s="111"/>
      <c r="DMB21" s="111"/>
      <c r="DNE21" s="111"/>
      <c r="DOU21" s="111"/>
      <c r="DVS21" s="111"/>
      <c r="DWM21" s="111"/>
    </row>
    <row r="22" spans="1:1021 1026:2020 2084:3062 3073:3397" ht="15" customHeight="1">
      <c r="A22" s="108"/>
      <c r="B22" s="109"/>
      <c r="C22" s="103"/>
      <c r="D22" s="102"/>
      <c r="E22" s="101"/>
      <c r="F22" s="101"/>
      <c r="G22" s="100"/>
      <c r="H22" s="99"/>
      <c r="I22" s="106"/>
      <c r="J22" s="2"/>
      <c r="K22" s="2"/>
      <c r="L22" s="2"/>
      <c r="M22" s="2"/>
      <c r="N22" s="2"/>
      <c r="O22" s="2"/>
      <c r="P22" s="2"/>
      <c r="Q22" s="2"/>
      <c r="S22" s="98">
        <f t="shared" si="2"/>
        <v>0</v>
      </c>
      <c r="T22" s="98">
        <f t="shared" si="3"/>
        <v>0</v>
      </c>
      <c r="U22" s="97">
        <f t="shared" si="4"/>
        <v>0</v>
      </c>
      <c r="V22" s="97">
        <f t="shared" si="5"/>
        <v>0</v>
      </c>
      <c r="X22" s="98" t="e">
        <f t="shared" si="6"/>
        <v>#REF!</v>
      </c>
      <c r="Y22" s="98" t="e">
        <f t="shared" si="7"/>
        <v>#REF!</v>
      </c>
      <c r="Z22" s="97" t="e">
        <f t="shared" si="8"/>
        <v>#REF!</v>
      </c>
      <c r="AA22" s="97" t="e">
        <f t="shared" si="9"/>
        <v>#REF!</v>
      </c>
      <c r="AC22" s="98" t="e">
        <f t="shared" si="10"/>
        <v>#REF!</v>
      </c>
      <c r="AD22" s="98" t="e">
        <f t="shared" si="11"/>
        <v>#REF!</v>
      </c>
      <c r="AE22" s="97" t="e">
        <f t="shared" si="12"/>
        <v>#REF!</v>
      </c>
      <c r="AF22" s="97" t="e">
        <f t="shared" si="13"/>
        <v>#REF!</v>
      </c>
      <c r="AH22" s="98" t="e">
        <f t="shared" si="14"/>
        <v>#REF!</v>
      </c>
      <c r="AI22" s="98" t="e">
        <f t="shared" si="15"/>
        <v>#REF!</v>
      </c>
      <c r="AJ22" s="97" t="e">
        <f t="shared" si="16"/>
        <v>#REF!</v>
      </c>
      <c r="AK22" s="97" t="e">
        <f t="shared" si="17"/>
        <v>#REF!</v>
      </c>
      <c r="DJ22" s="111"/>
      <c r="HL22" s="111"/>
      <c r="TX22" s="111"/>
      <c r="VC22" s="111"/>
      <c r="AFG22" s="111"/>
      <c r="AHC22" s="111"/>
      <c r="AHN22" s="111"/>
      <c r="AIT22" s="111"/>
      <c r="AJL22" s="111"/>
      <c r="AML22" s="111"/>
      <c r="AMY22" s="111"/>
      <c r="AOJ22" s="111"/>
      <c r="ASO22" s="111"/>
      <c r="AVF22" s="111"/>
      <c r="AYQ22" s="111"/>
      <c r="BAH22" s="111"/>
      <c r="BBW22" s="111"/>
      <c r="BGD22" s="111"/>
      <c r="BKX22" s="111"/>
      <c r="BOB22" s="111"/>
      <c r="BOW22" s="111"/>
      <c r="BUF22" s="111"/>
      <c r="BUS22" s="111"/>
      <c r="CCY22" s="111"/>
      <c r="DEG22" s="111"/>
      <c r="DEJ22" s="111"/>
      <c r="DEZ22" s="111"/>
      <c r="DFZ22" s="111"/>
      <c r="DLX22" s="111"/>
      <c r="DMB22" s="111"/>
      <c r="DNE22" s="111"/>
      <c r="DOU22" s="111"/>
      <c r="DVS22" s="111"/>
      <c r="DWM22" s="111"/>
    </row>
    <row r="23" spans="1:1021 1026:2020 2084:3062 3073:3397" ht="15" customHeight="1">
      <c r="A23" s="108"/>
      <c r="B23" s="109"/>
      <c r="C23" s="103"/>
      <c r="D23" s="102"/>
      <c r="E23" s="101"/>
      <c r="F23" s="101"/>
      <c r="G23" s="100"/>
      <c r="H23" s="99"/>
      <c r="I23" s="106"/>
      <c r="J23" s="2"/>
      <c r="K23" s="2"/>
      <c r="L23" s="2"/>
      <c r="M23" s="2"/>
      <c r="N23" s="2"/>
      <c r="O23" s="2"/>
      <c r="P23" s="2"/>
      <c r="Q23" s="2"/>
      <c r="S23" s="98">
        <f t="shared" si="2"/>
        <v>0</v>
      </c>
      <c r="T23" s="98">
        <f t="shared" si="3"/>
        <v>0</v>
      </c>
      <c r="U23" s="97">
        <f t="shared" si="4"/>
        <v>0</v>
      </c>
      <c r="V23" s="97">
        <f t="shared" si="5"/>
        <v>0</v>
      </c>
      <c r="X23" s="98" t="e">
        <f t="shared" si="6"/>
        <v>#REF!</v>
      </c>
      <c r="Y23" s="98" t="e">
        <f t="shared" si="7"/>
        <v>#REF!</v>
      </c>
      <c r="Z23" s="97" t="e">
        <f t="shared" si="8"/>
        <v>#REF!</v>
      </c>
      <c r="AA23" s="97" t="e">
        <f t="shared" si="9"/>
        <v>#REF!</v>
      </c>
      <c r="AC23" s="98" t="e">
        <f t="shared" si="10"/>
        <v>#REF!</v>
      </c>
      <c r="AD23" s="98" t="e">
        <f t="shared" si="11"/>
        <v>#REF!</v>
      </c>
      <c r="AE23" s="97" t="e">
        <f t="shared" si="12"/>
        <v>#REF!</v>
      </c>
      <c r="AF23" s="97" t="e">
        <f t="shared" si="13"/>
        <v>#REF!</v>
      </c>
      <c r="AH23" s="98" t="e">
        <f t="shared" si="14"/>
        <v>#REF!</v>
      </c>
      <c r="AI23" s="98" t="e">
        <f t="shared" si="15"/>
        <v>#REF!</v>
      </c>
      <c r="AJ23" s="97" t="e">
        <f t="shared" si="16"/>
        <v>#REF!</v>
      </c>
      <c r="AK23" s="97" t="e">
        <f t="shared" si="17"/>
        <v>#REF!</v>
      </c>
      <c r="DJ23" s="111"/>
      <c r="HL23" s="111"/>
      <c r="TX23" s="111"/>
      <c r="VC23" s="111"/>
      <c r="AFG23" s="111"/>
      <c r="AHC23" s="111"/>
      <c r="AHN23" s="111"/>
      <c r="AIT23" s="111"/>
      <c r="AJL23" s="111"/>
      <c r="AML23" s="111"/>
      <c r="AMY23" s="111"/>
      <c r="AOJ23" s="111"/>
      <c r="ASO23" s="111"/>
      <c r="AVF23" s="111"/>
      <c r="AYQ23" s="111"/>
      <c r="BAH23" s="111"/>
      <c r="BBW23" s="111"/>
      <c r="BGD23" s="111"/>
      <c r="BKX23" s="111"/>
      <c r="BOB23" s="111"/>
      <c r="BOW23" s="111"/>
      <c r="BUF23" s="111"/>
      <c r="BUS23" s="111"/>
      <c r="CCY23" s="111"/>
      <c r="DEG23" s="111"/>
      <c r="DEJ23" s="111"/>
      <c r="DEZ23" s="111"/>
      <c r="DFZ23" s="111"/>
      <c r="DLX23" s="111"/>
      <c r="DMB23" s="111"/>
      <c r="DNE23" s="111"/>
      <c r="DOU23" s="111"/>
      <c r="DVS23" s="111"/>
      <c r="DWM23" s="111"/>
    </row>
    <row r="24" spans="1:1021 1026:2020 2084:3062 3073:3397" ht="15" customHeight="1">
      <c r="A24" s="108" t="s">
        <v>197</v>
      </c>
      <c r="B24" s="107" t="s">
        <v>104</v>
      </c>
      <c r="C24" s="103">
        <v>1.5</v>
      </c>
      <c r="D24" s="102"/>
      <c r="E24" s="101">
        <v>0.03</v>
      </c>
      <c r="F24" s="101"/>
      <c r="G24" s="100">
        <f t="shared" si="0"/>
        <v>0.03</v>
      </c>
      <c r="H24" s="99" t="str">
        <f t="shared" si="1"/>
        <v/>
      </c>
      <c r="I24" s="71"/>
      <c r="J24" s="2"/>
      <c r="K24" s="2"/>
      <c r="L24" s="2"/>
      <c r="M24" s="2"/>
      <c r="N24" s="2"/>
      <c r="O24" s="2"/>
      <c r="P24" s="2"/>
      <c r="Q24" s="2"/>
      <c r="S24" s="98">
        <f t="shared" si="2"/>
        <v>0</v>
      </c>
      <c r="T24" s="98">
        <f t="shared" si="3"/>
        <v>0</v>
      </c>
      <c r="U24" s="97">
        <f t="shared" si="4"/>
        <v>0</v>
      </c>
      <c r="V24" s="97">
        <f t="shared" si="5"/>
        <v>0</v>
      </c>
      <c r="X24" s="98" t="e">
        <f t="shared" si="6"/>
        <v>#REF!</v>
      </c>
      <c r="Y24" s="98" t="e">
        <f t="shared" si="7"/>
        <v>#REF!</v>
      </c>
      <c r="Z24" s="97" t="e">
        <f t="shared" si="8"/>
        <v>#REF!</v>
      </c>
      <c r="AA24" s="97" t="e">
        <f t="shared" si="9"/>
        <v>#REF!</v>
      </c>
      <c r="AC24" s="98" t="e">
        <f t="shared" si="10"/>
        <v>#REF!</v>
      </c>
      <c r="AD24" s="98" t="e">
        <f t="shared" si="11"/>
        <v>#REF!</v>
      </c>
      <c r="AE24" s="97" t="e">
        <f t="shared" si="12"/>
        <v>#REF!</v>
      </c>
      <c r="AF24" s="97" t="e">
        <f t="shared" si="13"/>
        <v>#REF!</v>
      </c>
      <c r="AH24" s="98" t="e">
        <f t="shared" si="14"/>
        <v>#REF!</v>
      </c>
      <c r="AI24" s="98" t="e">
        <f t="shared" si="15"/>
        <v>#REF!</v>
      </c>
      <c r="AJ24" s="97" t="e">
        <f t="shared" si="16"/>
        <v>#REF!</v>
      </c>
      <c r="AK24" s="97" t="e">
        <f t="shared" si="17"/>
        <v>#REF!</v>
      </c>
      <c r="DJ24" s="111"/>
      <c r="EV24" s="111"/>
      <c r="GM24" s="111"/>
      <c r="MR24" s="111"/>
      <c r="SJ24" s="111"/>
      <c r="TN24" s="111"/>
      <c r="TQ24" s="111"/>
      <c r="WJ24" s="111"/>
      <c r="AFG24" s="111"/>
      <c r="AHC24" s="111"/>
      <c r="AQL24" s="111"/>
      <c r="AYQ24" s="111"/>
      <c r="BBW24" s="111"/>
      <c r="BRB24" s="111"/>
      <c r="BUE24" s="111"/>
      <c r="BWK24" s="111"/>
      <c r="CDB24" s="111"/>
      <c r="CDO24" s="111"/>
      <c r="CEH24" s="111"/>
      <c r="CHD24" s="111"/>
      <c r="CIE24" s="111"/>
      <c r="CIO24" s="111"/>
      <c r="CJY24" s="111"/>
      <c r="CNP24" s="111"/>
      <c r="DAR24" s="111"/>
      <c r="DEG24" s="111"/>
      <c r="DEJ24" s="111"/>
      <c r="DEZ24" s="111"/>
      <c r="DLQ24" s="111"/>
      <c r="DWM24" s="111"/>
    </row>
    <row r="25" spans="1:1021 1026:2020 2084:3062 3073:3397" ht="15" customHeight="1">
      <c r="A25" s="108" t="s">
        <v>198</v>
      </c>
      <c r="B25" s="109" t="s">
        <v>105</v>
      </c>
      <c r="C25" s="103">
        <v>1.33</v>
      </c>
      <c r="D25" s="102">
        <v>1.0900000000000001</v>
      </c>
      <c r="E25" s="101">
        <v>1.4999999999999999E-2</v>
      </c>
      <c r="F25" s="101">
        <v>-0.01</v>
      </c>
      <c r="G25" s="100">
        <f t="shared" si="0"/>
        <v>1.105</v>
      </c>
      <c r="H25" s="99">
        <f t="shared" si="1"/>
        <v>1.08</v>
      </c>
      <c r="I25" s="106"/>
      <c r="J25" s="2"/>
      <c r="K25" s="2"/>
      <c r="L25" s="2"/>
      <c r="M25" s="2"/>
      <c r="N25" s="2"/>
      <c r="O25" s="2"/>
      <c r="P25" s="2"/>
      <c r="Q25" s="2"/>
      <c r="S25" s="98">
        <f t="shared" si="2"/>
        <v>0</v>
      </c>
      <c r="T25" s="98">
        <f t="shared" si="3"/>
        <v>0</v>
      </c>
      <c r="U25" s="97">
        <f t="shared" si="4"/>
        <v>1.0900000000000001</v>
      </c>
      <c r="V25" s="97">
        <f t="shared" si="5"/>
        <v>1.0900000000000001</v>
      </c>
      <c r="X25" s="98" t="e">
        <f t="shared" si="6"/>
        <v>#REF!</v>
      </c>
      <c r="Y25" s="98" t="e">
        <f t="shared" si="7"/>
        <v>#REF!</v>
      </c>
      <c r="Z25" s="97" t="e">
        <f t="shared" si="8"/>
        <v>#REF!</v>
      </c>
      <c r="AA25" s="97" t="e">
        <f t="shared" si="9"/>
        <v>#REF!</v>
      </c>
      <c r="AC25" s="98" t="e">
        <f t="shared" si="10"/>
        <v>#REF!</v>
      </c>
      <c r="AD25" s="98" t="e">
        <f t="shared" si="11"/>
        <v>#REF!</v>
      </c>
      <c r="AE25" s="97" t="e">
        <f t="shared" si="12"/>
        <v>#REF!</v>
      </c>
      <c r="AF25" s="97" t="e">
        <f t="shared" si="13"/>
        <v>#REF!</v>
      </c>
      <c r="AH25" s="98" t="e">
        <f t="shared" si="14"/>
        <v>#REF!</v>
      </c>
      <c r="AI25" s="98" t="e">
        <f t="shared" si="15"/>
        <v>#REF!</v>
      </c>
      <c r="AJ25" s="97" t="e">
        <f t="shared" si="16"/>
        <v>#REF!</v>
      </c>
      <c r="AK25" s="97" t="e">
        <f t="shared" si="17"/>
        <v>#REF!</v>
      </c>
      <c r="DJ25" s="111"/>
      <c r="EV25" s="111"/>
      <c r="GM25" s="111"/>
      <c r="MR25" s="111"/>
      <c r="SJ25" s="111"/>
      <c r="TQ25" s="111"/>
      <c r="WJ25" s="111"/>
      <c r="XG25" s="111"/>
      <c r="AFG25" s="111"/>
      <c r="AHC25" s="111"/>
      <c r="AHN25" s="111"/>
      <c r="AYQ25" s="111"/>
      <c r="BBW25" s="111"/>
      <c r="BOB25" s="111"/>
      <c r="BOW25" s="111"/>
      <c r="BRB25" s="111"/>
      <c r="BUE25" s="111"/>
      <c r="BWK25" s="111"/>
      <c r="CDB25" s="111"/>
      <c r="CDN25" s="111"/>
      <c r="CEH25" s="111"/>
      <c r="CIE25" s="111"/>
      <c r="CJY25" s="111"/>
      <c r="CNP25" s="111"/>
      <c r="CVA25" s="111"/>
      <c r="CXO25" s="111"/>
      <c r="DAR25" s="111"/>
      <c r="DEG25" s="111"/>
      <c r="DEJ25" s="111"/>
      <c r="DEZ25" s="111"/>
      <c r="DKR25" s="111"/>
      <c r="DLQ25" s="111"/>
      <c r="DWM25" s="111"/>
    </row>
    <row r="26" spans="1:1021 1026:2020 2084:3062 3073:3397" ht="15" customHeight="1">
      <c r="A26" s="108"/>
      <c r="B26" s="109"/>
      <c r="C26" s="103"/>
      <c r="D26" s="102"/>
      <c r="E26" s="101"/>
      <c r="F26" s="101"/>
      <c r="G26" s="100"/>
      <c r="H26" s="99"/>
      <c r="I26" s="106"/>
      <c r="J26" s="2"/>
      <c r="K26" s="2"/>
      <c r="L26" s="2"/>
      <c r="M26" s="2"/>
      <c r="N26" s="2"/>
      <c r="O26" s="2"/>
      <c r="P26" s="2"/>
      <c r="Q26" s="2"/>
      <c r="S26" s="98">
        <f t="shared" si="2"/>
        <v>0</v>
      </c>
      <c r="T26" s="98">
        <f t="shared" si="3"/>
        <v>0</v>
      </c>
      <c r="U26" s="97">
        <f t="shared" si="4"/>
        <v>0</v>
      </c>
      <c r="V26" s="97">
        <f t="shared" si="5"/>
        <v>0</v>
      </c>
      <c r="X26" s="98" t="e">
        <f t="shared" si="6"/>
        <v>#REF!</v>
      </c>
      <c r="Y26" s="98" t="e">
        <f t="shared" si="7"/>
        <v>#REF!</v>
      </c>
      <c r="Z26" s="97" t="e">
        <f t="shared" si="8"/>
        <v>#REF!</v>
      </c>
      <c r="AA26" s="97" t="e">
        <f t="shared" si="9"/>
        <v>#REF!</v>
      </c>
      <c r="AC26" s="98" t="e">
        <f t="shared" si="10"/>
        <v>#REF!</v>
      </c>
      <c r="AD26" s="98" t="e">
        <f t="shared" si="11"/>
        <v>#REF!</v>
      </c>
      <c r="AE26" s="97" t="e">
        <f t="shared" si="12"/>
        <v>#REF!</v>
      </c>
      <c r="AF26" s="97" t="e">
        <f t="shared" si="13"/>
        <v>#REF!</v>
      </c>
      <c r="AH26" s="98" t="e">
        <f t="shared" si="14"/>
        <v>#REF!</v>
      </c>
      <c r="AI26" s="98" t="e">
        <f t="shared" si="15"/>
        <v>#REF!</v>
      </c>
      <c r="AJ26" s="97" t="e">
        <f t="shared" si="16"/>
        <v>#REF!</v>
      </c>
      <c r="AK26" s="97" t="e">
        <f t="shared" si="17"/>
        <v>#REF!</v>
      </c>
      <c r="DJ26" s="111"/>
      <c r="EV26" s="111"/>
      <c r="GM26" s="111"/>
      <c r="MR26" s="111"/>
      <c r="SJ26" s="111"/>
      <c r="TQ26" s="111"/>
      <c r="WJ26" s="111"/>
      <c r="XG26" s="111"/>
      <c r="AFG26" s="111"/>
      <c r="AHC26" s="111"/>
      <c r="AHN26" s="111"/>
      <c r="AYQ26" s="111"/>
      <c r="BBW26" s="111"/>
      <c r="BOB26" s="111"/>
      <c r="BOW26" s="111"/>
      <c r="BRB26" s="111"/>
      <c r="BUE26" s="111"/>
      <c r="BWK26" s="111"/>
      <c r="CDB26" s="111"/>
      <c r="CDN26" s="111"/>
      <c r="CEH26" s="111"/>
      <c r="CIE26" s="111"/>
      <c r="CJY26" s="111"/>
      <c r="CNP26" s="111"/>
      <c r="CVA26" s="111"/>
      <c r="CXO26" s="111"/>
      <c r="DAR26" s="111"/>
      <c r="DEG26" s="111"/>
      <c r="DEJ26" s="111"/>
      <c r="DEZ26" s="111"/>
      <c r="DKR26" s="111"/>
      <c r="DLQ26" s="111"/>
      <c r="DWM26" s="111"/>
    </row>
    <row r="27" spans="1:1021 1026:2020 2084:3062 3073:3397" ht="15" customHeight="1">
      <c r="A27" s="108"/>
      <c r="B27" s="109"/>
      <c r="C27" s="103"/>
      <c r="D27" s="102"/>
      <c r="E27" s="101"/>
      <c r="F27" s="101"/>
      <c r="G27" s="100"/>
      <c r="H27" s="99"/>
      <c r="I27" s="106"/>
      <c r="J27" s="2"/>
      <c r="K27" s="2"/>
      <c r="L27" s="2"/>
      <c r="M27" s="2"/>
      <c r="N27" s="2"/>
      <c r="O27" s="2"/>
      <c r="P27" s="2"/>
      <c r="Q27" s="2"/>
      <c r="S27" s="98">
        <f t="shared" si="2"/>
        <v>0</v>
      </c>
      <c r="T27" s="98">
        <f t="shared" si="3"/>
        <v>0</v>
      </c>
      <c r="U27" s="97">
        <f t="shared" si="4"/>
        <v>0</v>
      </c>
      <c r="V27" s="97">
        <f t="shared" si="5"/>
        <v>0</v>
      </c>
      <c r="X27" s="98" t="e">
        <f t="shared" si="6"/>
        <v>#REF!</v>
      </c>
      <c r="Y27" s="98" t="e">
        <f t="shared" si="7"/>
        <v>#REF!</v>
      </c>
      <c r="Z27" s="97" t="e">
        <f t="shared" si="8"/>
        <v>#REF!</v>
      </c>
      <c r="AA27" s="97" t="e">
        <f t="shared" si="9"/>
        <v>#REF!</v>
      </c>
      <c r="AC27" s="98" t="e">
        <f t="shared" si="10"/>
        <v>#REF!</v>
      </c>
      <c r="AD27" s="98" t="e">
        <f t="shared" si="11"/>
        <v>#REF!</v>
      </c>
      <c r="AE27" s="97" t="e">
        <f t="shared" si="12"/>
        <v>#REF!</v>
      </c>
      <c r="AF27" s="97" t="e">
        <f t="shared" si="13"/>
        <v>#REF!</v>
      </c>
      <c r="AH27" s="98" t="e">
        <f t="shared" si="14"/>
        <v>#REF!</v>
      </c>
      <c r="AI27" s="98" t="e">
        <f t="shared" si="15"/>
        <v>#REF!</v>
      </c>
      <c r="AJ27" s="97" t="e">
        <f t="shared" si="16"/>
        <v>#REF!</v>
      </c>
      <c r="AK27" s="97" t="e">
        <f t="shared" si="17"/>
        <v>#REF!</v>
      </c>
      <c r="DJ27" s="111"/>
      <c r="EV27" s="111"/>
      <c r="GM27" s="111"/>
      <c r="MR27" s="111"/>
      <c r="SJ27" s="111"/>
      <c r="TQ27" s="111"/>
      <c r="WJ27" s="111"/>
      <c r="XG27" s="111"/>
      <c r="AFG27" s="111"/>
      <c r="AHC27" s="111"/>
      <c r="AHN27" s="111"/>
      <c r="AYQ27" s="111"/>
      <c r="BBW27" s="111"/>
      <c r="BOB27" s="111"/>
      <c r="BOW27" s="111"/>
      <c r="BRB27" s="111"/>
      <c r="BUE27" s="111"/>
      <c r="BWK27" s="111"/>
      <c r="CDB27" s="111"/>
      <c r="CDN27" s="111"/>
      <c r="CEH27" s="111"/>
      <c r="CIE27" s="111"/>
      <c r="CJY27" s="111"/>
      <c r="CNP27" s="111"/>
      <c r="CVA27" s="111"/>
      <c r="CXO27" s="111"/>
      <c r="DAR27" s="111"/>
      <c r="DEG27" s="111"/>
      <c r="DEJ27" s="111"/>
      <c r="DEZ27" s="111"/>
      <c r="DKR27" s="111"/>
      <c r="DLQ27" s="111"/>
      <c r="DWM27" s="111"/>
    </row>
    <row r="28" spans="1:1021 1026:2020 2084:3062 3073:3397" ht="15" customHeight="1">
      <c r="A28" s="108" t="s">
        <v>198</v>
      </c>
      <c r="B28" s="109" t="s">
        <v>106</v>
      </c>
      <c r="C28" s="103">
        <v>1.33</v>
      </c>
      <c r="D28" s="102">
        <v>1.0900000000000001</v>
      </c>
      <c r="E28" s="101">
        <v>1.4999999999999999E-2</v>
      </c>
      <c r="F28" s="101">
        <v>-0.01</v>
      </c>
      <c r="G28" s="100">
        <f t="shared" si="0"/>
        <v>1.105</v>
      </c>
      <c r="H28" s="99">
        <f t="shared" si="1"/>
        <v>1.08</v>
      </c>
      <c r="I28" s="106"/>
      <c r="J28" s="2"/>
      <c r="K28" s="2"/>
      <c r="L28" s="2"/>
      <c r="M28" s="2"/>
      <c r="N28" s="2"/>
      <c r="O28" s="2"/>
      <c r="P28" s="2"/>
      <c r="Q28" s="2"/>
      <c r="S28" s="98">
        <f t="shared" si="2"/>
        <v>0</v>
      </c>
      <c r="T28" s="98">
        <f t="shared" si="3"/>
        <v>0</v>
      </c>
      <c r="U28" s="97">
        <f t="shared" si="4"/>
        <v>1.0900000000000001</v>
      </c>
      <c r="V28" s="97">
        <f t="shared" si="5"/>
        <v>1.0900000000000001</v>
      </c>
      <c r="X28" s="98" t="e">
        <f t="shared" si="6"/>
        <v>#REF!</v>
      </c>
      <c r="Y28" s="98" t="e">
        <f t="shared" si="7"/>
        <v>#REF!</v>
      </c>
      <c r="Z28" s="97" t="e">
        <f t="shared" si="8"/>
        <v>#REF!</v>
      </c>
      <c r="AA28" s="97" t="e">
        <f t="shared" si="9"/>
        <v>#REF!</v>
      </c>
      <c r="AC28" s="98" t="e">
        <f t="shared" si="10"/>
        <v>#REF!</v>
      </c>
      <c r="AD28" s="98" t="e">
        <f t="shared" si="11"/>
        <v>#REF!</v>
      </c>
      <c r="AE28" s="97" t="e">
        <f t="shared" si="12"/>
        <v>#REF!</v>
      </c>
      <c r="AF28" s="97" t="e">
        <f t="shared" si="13"/>
        <v>#REF!</v>
      </c>
      <c r="AH28" s="98" t="e">
        <f t="shared" si="14"/>
        <v>#REF!</v>
      </c>
      <c r="AI28" s="98" t="e">
        <f t="shared" si="15"/>
        <v>#REF!</v>
      </c>
      <c r="AJ28" s="97" t="e">
        <f t="shared" si="16"/>
        <v>#REF!</v>
      </c>
      <c r="AK28" s="97" t="e">
        <f t="shared" si="17"/>
        <v>#REF!</v>
      </c>
      <c r="DJ28" s="111"/>
      <c r="EV28" s="111"/>
      <c r="GM28" s="111"/>
      <c r="MR28" s="111"/>
      <c r="SJ28" s="111"/>
      <c r="TQ28" s="111"/>
      <c r="WJ28" s="111"/>
      <c r="XG28" s="111"/>
      <c r="AFG28" s="111"/>
      <c r="AHC28" s="111"/>
      <c r="AHN28" s="111"/>
      <c r="AYQ28" s="111"/>
      <c r="BBW28" s="111"/>
      <c r="BOB28" s="111"/>
      <c r="BOW28" s="111"/>
      <c r="BRB28" s="111"/>
      <c r="BUE28" s="111"/>
      <c r="BWK28" s="111"/>
      <c r="CDB28" s="111"/>
      <c r="CDN28" s="111"/>
      <c r="CEH28" s="111"/>
      <c r="CIE28" s="111"/>
      <c r="CJY28" s="111"/>
      <c r="CNP28" s="111"/>
      <c r="CVA28" s="111"/>
      <c r="CXO28" s="111"/>
      <c r="DAR28" s="111"/>
      <c r="DEG28" s="111"/>
      <c r="DEJ28" s="111"/>
      <c r="DEZ28" s="111"/>
      <c r="DKR28" s="111"/>
      <c r="DLQ28" s="111"/>
      <c r="DWM28" s="111"/>
    </row>
    <row r="29" spans="1:1021 1026:2020 2084:3062 3073:3397" ht="15" customHeight="1">
      <c r="A29" s="108"/>
      <c r="B29" s="109"/>
      <c r="C29" s="103"/>
      <c r="D29" s="102"/>
      <c r="E29" s="101"/>
      <c r="F29" s="101"/>
      <c r="G29" s="100"/>
      <c r="H29" s="99"/>
      <c r="I29" s="106"/>
      <c r="J29" s="2"/>
      <c r="K29" s="2"/>
      <c r="L29" s="2"/>
      <c r="M29" s="2"/>
      <c r="N29" s="2"/>
      <c r="O29" s="2"/>
      <c r="P29" s="2"/>
      <c r="Q29" s="2"/>
      <c r="S29" s="98">
        <f t="shared" si="2"/>
        <v>0</v>
      </c>
      <c r="T29" s="98">
        <f t="shared" si="3"/>
        <v>0</v>
      </c>
      <c r="U29" s="97">
        <f t="shared" si="4"/>
        <v>0</v>
      </c>
      <c r="V29" s="97">
        <f t="shared" si="5"/>
        <v>0</v>
      </c>
      <c r="X29" s="98" t="e">
        <f t="shared" si="6"/>
        <v>#REF!</v>
      </c>
      <c r="Y29" s="98" t="e">
        <f t="shared" si="7"/>
        <v>#REF!</v>
      </c>
      <c r="Z29" s="97" t="e">
        <f t="shared" si="8"/>
        <v>#REF!</v>
      </c>
      <c r="AA29" s="97" t="e">
        <f t="shared" si="9"/>
        <v>#REF!</v>
      </c>
      <c r="AC29" s="98" t="e">
        <f t="shared" si="10"/>
        <v>#REF!</v>
      </c>
      <c r="AD29" s="98" t="e">
        <f t="shared" si="11"/>
        <v>#REF!</v>
      </c>
      <c r="AE29" s="97" t="e">
        <f t="shared" si="12"/>
        <v>#REF!</v>
      </c>
      <c r="AF29" s="97" t="e">
        <f t="shared" si="13"/>
        <v>#REF!</v>
      </c>
      <c r="AH29" s="98" t="e">
        <f t="shared" si="14"/>
        <v>#REF!</v>
      </c>
      <c r="AI29" s="98" t="e">
        <f t="shared" si="15"/>
        <v>#REF!</v>
      </c>
      <c r="AJ29" s="97" t="e">
        <f t="shared" si="16"/>
        <v>#REF!</v>
      </c>
      <c r="AK29" s="97" t="e">
        <f t="shared" si="17"/>
        <v>#REF!</v>
      </c>
      <c r="DJ29" s="111"/>
      <c r="EV29" s="111"/>
      <c r="GM29" s="111"/>
      <c r="MR29" s="111"/>
      <c r="SJ29" s="111"/>
      <c r="TQ29" s="111"/>
      <c r="WJ29" s="111"/>
      <c r="XG29" s="111"/>
      <c r="AFG29" s="111"/>
      <c r="AHC29" s="111"/>
      <c r="AHN29" s="111"/>
      <c r="AYQ29" s="111"/>
      <c r="BBW29" s="111"/>
      <c r="BOB29" s="111"/>
      <c r="BOW29" s="111"/>
      <c r="BRB29" s="111"/>
      <c r="BUE29" s="111"/>
      <c r="BWK29" s="111"/>
      <c r="CDB29" s="111"/>
      <c r="CDN29" s="111"/>
      <c r="CEH29" s="111"/>
      <c r="CIE29" s="111"/>
      <c r="CJY29" s="111"/>
      <c r="CNP29" s="111"/>
      <c r="CVA29" s="111"/>
      <c r="CXO29" s="111"/>
      <c r="DAR29" s="111"/>
      <c r="DEG29" s="111"/>
      <c r="DEJ29" s="111"/>
      <c r="DEZ29" s="111"/>
      <c r="DKR29" s="111"/>
      <c r="DLQ29" s="111"/>
      <c r="DWM29" s="111"/>
    </row>
    <row r="30" spans="1:1021 1026:2020 2084:3062 3073:3397" ht="15" customHeight="1">
      <c r="A30" s="108"/>
      <c r="B30" s="109"/>
      <c r="C30" s="103"/>
      <c r="D30" s="102"/>
      <c r="E30" s="101"/>
      <c r="F30" s="101"/>
      <c r="G30" s="100"/>
      <c r="H30" s="99"/>
      <c r="I30" s="106"/>
      <c r="J30" s="2"/>
      <c r="K30" s="2"/>
      <c r="L30" s="2"/>
      <c r="M30" s="2"/>
      <c r="N30" s="2"/>
      <c r="O30" s="2"/>
      <c r="P30" s="2"/>
      <c r="Q30" s="2"/>
      <c r="S30" s="98">
        <f t="shared" si="2"/>
        <v>0</v>
      </c>
      <c r="T30" s="98">
        <f t="shared" si="3"/>
        <v>0</v>
      </c>
      <c r="U30" s="97">
        <f t="shared" si="4"/>
        <v>0</v>
      </c>
      <c r="V30" s="97">
        <f t="shared" si="5"/>
        <v>0</v>
      </c>
      <c r="X30" s="98" t="e">
        <f t="shared" si="6"/>
        <v>#REF!</v>
      </c>
      <c r="Y30" s="98" t="e">
        <f t="shared" si="7"/>
        <v>#REF!</v>
      </c>
      <c r="Z30" s="97" t="e">
        <f t="shared" si="8"/>
        <v>#REF!</v>
      </c>
      <c r="AA30" s="97" t="e">
        <f t="shared" si="9"/>
        <v>#REF!</v>
      </c>
      <c r="AC30" s="98" t="e">
        <f t="shared" si="10"/>
        <v>#REF!</v>
      </c>
      <c r="AD30" s="98" t="e">
        <f t="shared" si="11"/>
        <v>#REF!</v>
      </c>
      <c r="AE30" s="97" t="e">
        <f t="shared" si="12"/>
        <v>#REF!</v>
      </c>
      <c r="AF30" s="97" t="e">
        <f t="shared" si="13"/>
        <v>#REF!</v>
      </c>
      <c r="AH30" s="98" t="e">
        <f t="shared" si="14"/>
        <v>#REF!</v>
      </c>
      <c r="AI30" s="98" t="e">
        <f t="shared" si="15"/>
        <v>#REF!</v>
      </c>
      <c r="AJ30" s="97" t="e">
        <f t="shared" si="16"/>
        <v>#REF!</v>
      </c>
      <c r="AK30" s="97" t="e">
        <f t="shared" si="17"/>
        <v>#REF!</v>
      </c>
      <c r="DJ30" s="111"/>
      <c r="EV30" s="111"/>
      <c r="GM30" s="111"/>
      <c r="MR30" s="111"/>
      <c r="SJ30" s="111"/>
      <c r="TQ30" s="111"/>
      <c r="WJ30" s="111"/>
      <c r="XG30" s="111"/>
      <c r="AFG30" s="111"/>
      <c r="AHC30" s="111"/>
      <c r="AHN30" s="111"/>
      <c r="AYQ30" s="111"/>
      <c r="BBW30" s="111"/>
      <c r="BOB30" s="111"/>
      <c r="BOW30" s="111"/>
      <c r="BRB30" s="111"/>
      <c r="BUE30" s="111"/>
      <c r="BWK30" s="111"/>
      <c r="CDB30" s="111"/>
      <c r="CDN30" s="111"/>
      <c r="CEH30" s="111"/>
      <c r="CIE30" s="111"/>
      <c r="CJY30" s="111"/>
      <c r="CNP30" s="111"/>
      <c r="CVA30" s="111"/>
      <c r="CXO30" s="111"/>
      <c r="DAR30" s="111"/>
      <c r="DEG30" s="111"/>
      <c r="DEJ30" s="111"/>
      <c r="DEZ30" s="111"/>
      <c r="DKR30" s="111"/>
      <c r="DLQ30" s="111"/>
      <c r="DWM30" s="111"/>
    </row>
    <row r="31" spans="1:1021 1026:2020 2084:3062 3073:3397" ht="15" customHeight="1">
      <c r="A31" s="108" t="s">
        <v>198</v>
      </c>
      <c r="B31" s="109" t="s">
        <v>107</v>
      </c>
      <c r="C31" s="103">
        <v>1.33</v>
      </c>
      <c r="D31" s="102">
        <v>1.0900000000000001</v>
      </c>
      <c r="E31" s="101">
        <v>1.4999999999999999E-2</v>
      </c>
      <c r="F31" s="101">
        <v>-0.01</v>
      </c>
      <c r="G31" s="100">
        <f t="shared" si="0"/>
        <v>1.105</v>
      </c>
      <c r="H31" s="99">
        <f t="shared" si="1"/>
        <v>1.08</v>
      </c>
      <c r="I31" s="106"/>
      <c r="J31" s="2"/>
      <c r="K31" s="2"/>
      <c r="L31" s="2"/>
      <c r="M31" s="2"/>
      <c r="N31" s="2"/>
      <c r="O31" s="2"/>
      <c r="P31" s="2"/>
      <c r="Q31" s="2"/>
      <c r="S31" s="98">
        <f t="shared" si="2"/>
        <v>0</v>
      </c>
      <c r="T31" s="98">
        <f t="shared" si="3"/>
        <v>0</v>
      </c>
      <c r="U31" s="97">
        <f t="shared" si="4"/>
        <v>1.0900000000000001</v>
      </c>
      <c r="V31" s="97">
        <f t="shared" si="5"/>
        <v>1.0900000000000001</v>
      </c>
      <c r="X31" s="98" t="e">
        <f t="shared" si="6"/>
        <v>#REF!</v>
      </c>
      <c r="Y31" s="98" t="e">
        <f t="shared" si="7"/>
        <v>#REF!</v>
      </c>
      <c r="Z31" s="97" t="e">
        <f t="shared" si="8"/>
        <v>#REF!</v>
      </c>
      <c r="AA31" s="97" t="e">
        <f t="shared" si="9"/>
        <v>#REF!</v>
      </c>
      <c r="AC31" s="98" t="e">
        <f t="shared" si="10"/>
        <v>#REF!</v>
      </c>
      <c r="AD31" s="98" t="e">
        <f t="shared" si="11"/>
        <v>#REF!</v>
      </c>
      <c r="AE31" s="97" t="e">
        <f t="shared" si="12"/>
        <v>#REF!</v>
      </c>
      <c r="AF31" s="97" t="e">
        <f t="shared" si="13"/>
        <v>#REF!</v>
      </c>
      <c r="AH31" s="98" t="e">
        <f t="shared" si="14"/>
        <v>#REF!</v>
      </c>
      <c r="AI31" s="98" t="e">
        <f t="shared" si="15"/>
        <v>#REF!</v>
      </c>
      <c r="AJ31" s="97" t="e">
        <f t="shared" si="16"/>
        <v>#REF!</v>
      </c>
      <c r="AK31" s="97" t="e">
        <f t="shared" si="17"/>
        <v>#REF!</v>
      </c>
      <c r="DJ31" s="111"/>
      <c r="EV31" s="111"/>
      <c r="GM31" s="111"/>
      <c r="MR31" s="111"/>
      <c r="SJ31" s="111"/>
      <c r="TQ31" s="111"/>
      <c r="WJ31" s="111"/>
      <c r="XG31" s="111"/>
      <c r="AFG31" s="111"/>
      <c r="AHC31" s="111"/>
      <c r="AHN31" s="111"/>
      <c r="AYQ31" s="111"/>
      <c r="BBW31" s="111"/>
      <c r="BOB31" s="111"/>
      <c r="BOW31" s="111"/>
      <c r="BRB31" s="111"/>
      <c r="BUE31" s="111"/>
      <c r="BWK31" s="111"/>
      <c r="CDB31" s="111"/>
      <c r="CDN31" s="111"/>
      <c r="CEH31" s="111"/>
      <c r="CIE31" s="111"/>
      <c r="CJY31" s="111"/>
      <c r="CNP31" s="111"/>
      <c r="CVA31" s="111"/>
      <c r="CXO31" s="111"/>
      <c r="DAR31" s="111"/>
      <c r="DEG31" s="111"/>
      <c r="DEJ31" s="111"/>
      <c r="DEZ31" s="111"/>
      <c r="DKR31" s="111"/>
      <c r="DLQ31" s="111"/>
      <c r="DWM31" s="111"/>
    </row>
    <row r="32" spans="1:1021 1026:2020 2084:3062 3073:3397" ht="15" customHeight="1">
      <c r="A32" s="108"/>
      <c r="B32" s="109"/>
      <c r="C32" s="103"/>
      <c r="D32" s="102"/>
      <c r="E32" s="101"/>
      <c r="F32" s="101"/>
      <c r="G32" s="100"/>
      <c r="H32" s="99"/>
      <c r="I32" s="106"/>
      <c r="J32" s="2"/>
      <c r="K32" s="2"/>
      <c r="L32" s="2"/>
      <c r="M32" s="2"/>
      <c r="N32" s="2"/>
      <c r="O32" s="2"/>
      <c r="P32" s="2"/>
      <c r="Q32" s="2"/>
      <c r="S32" s="98">
        <f t="shared" si="2"/>
        <v>0</v>
      </c>
      <c r="T32" s="98">
        <f t="shared" si="3"/>
        <v>0</v>
      </c>
      <c r="U32" s="97">
        <f t="shared" si="4"/>
        <v>0</v>
      </c>
      <c r="V32" s="97">
        <f t="shared" si="5"/>
        <v>0</v>
      </c>
      <c r="X32" s="98" t="e">
        <f t="shared" si="6"/>
        <v>#REF!</v>
      </c>
      <c r="Y32" s="98" t="e">
        <f t="shared" si="7"/>
        <v>#REF!</v>
      </c>
      <c r="Z32" s="97" t="e">
        <f t="shared" si="8"/>
        <v>#REF!</v>
      </c>
      <c r="AA32" s="97" t="e">
        <f t="shared" si="9"/>
        <v>#REF!</v>
      </c>
      <c r="AC32" s="98" t="e">
        <f t="shared" si="10"/>
        <v>#REF!</v>
      </c>
      <c r="AD32" s="98" t="e">
        <f t="shared" si="11"/>
        <v>#REF!</v>
      </c>
      <c r="AE32" s="97" t="e">
        <f t="shared" si="12"/>
        <v>#REF!</v>
      </c>
      <c r="AF32" s="97" t="e">
        <f t="shared" si="13"/>
        <v>#REF!</v>
      </c>
      <c r="AH32" s="98" t="e">
        <f t="shared" si="14"/>
        <v>#REF!</v>
      </c>
      <c r="AI32" s="98" t="e">
        <f t="shared" si="15"/>
        <v>#REF!</v>
      </c>
      <c r="AJ32" s="97" t="e">
        <f t="shared" si="16"/>
        <v>#REF!</v>
      </c>
      <c r="AK32" s="97" t="e">
        <f t="shared" si="17"/>
        <v>#REF!</v>
      </c>
      <c r="DJ32" s="111"/>
      <c r="EV32" s="111"/>
      <c r="GM32" s="111"/>
      <c r="MR32" s="111"/>
      <c r="SJ32" s="111"/>
      <c r="TQ32" s="111"/>
      <c r="WJ32" s="111"/>
      <c r="XG32" s="111"/>
      <c r="AFG32" s="111"/>
      <c r="AHC32" s="111"/>
      <c r="AHN32" s="111"/>
      <c r="AYQ32" s="111"/>
      <c r="BBW32" s="111"/>
      <c r="BOB32" s="111"/>
      <c r="BOW32" s="111"/>
      <c r="BRB32" s="111"/>
      <c r="BUE32" s="111"/>
      <c r="BWK32" s="111"/>
      <c r="CDB32" s="111"/>
      <c r="CDN32" s="111"/>
      <c r="CEH32" s="111"/>
      <c r="CIE32" s="111"/>
      <c r="CJY32" s="111"/>
      <c r="CNP32" s="111"/>
      <c r="CVA32" s="111"/>
      <c r="CXO32" s="111"/>
      <c r="DAR32" s="111"/>
      <c r="DEG32" s="111"/>
      <c r="DEJ32" s="111"/>
      <c r="DEZ32" s="111"/>
      <c r="DKR32" s="111"/>
      <c r="DLQ32" s="111"/>
      <c r="DWM32" s="111"/>
    </row>
    <row r="33" spans="1:898 1343:1961 2134:3033 3315:3315" ht="15" customHeight="1">
      <c r="A33" s="108"/>
      <c r="B33" s="109"/>
      <c r="C33" s="103"/>
      <c r="D33" s="102"/>
      <c r="E33" s="101"/>
      <c r="F33" s="101"/>
      <c r="G33" s="100"/>
      <c r="H33" s="99"/>
      <c r="I33" s="106"/>
      <c r="J33" s="2"/>
      <c r="K33" s="2"/>
      <c r="L33" s="2"/>
      <c r="M33" s="2"/>
      <c r="N33" s="2"/>
      <c r="O33" s="2"/>
      <c r="P33" s="2"/>
      <c r="Q33" s="2"/>
      <c r="S33" s="98">
        <f t="shared" si="2"/>
        <v>0</v>
      </c>
      <c r="T33" s="98">
        <f t="shared" si="3"/>
        <v>0</v>
      </c>
      <c r="U33" s="97">
        <f t="shared" si="4"/>
        <v>0</v>
      </c>
      <c r="V33" s="97">
        <f t="shared" si="5"/>
        <v>0</v>
      </c>
      <c r="X33" s="98" t="e">
        <f t="shared" si="6"/>
        <v>#REF!</v>
      </c>
      <c r="Y33" s="98" t="e">
        <f t="shared" si="7"/>
        <v>#REF!</v>
      </c>
      <c r="Z33" s="97" t="e">
        <f t="shared" si="8"/>
        <v>#REF!</v>
      </c>
      <c r="AA33" s="97" t="e">
        <f t="shared" si="9"/>
        <v>#REF!</v>
      </c>
      <c r="AC33" s="98" t="e">
        <f t="shared" si="10"/>
        <v>#REF!</v>
      </c>
      <c r="AD33" s="98" t="e">
        <f t="shared" si="11"/>
        <v>#REF!</v>
      </c>
      <c r="AE33" s="97" t="e">
        <f t="shared" si="12"/>
        <v>#REF!</v>
      </c>
      <c r="AF33" s="97" t="e">
        <f t="shared" si="13"/>
        <v>#REF!</v>
      </c>
      <c r="AH33" s="98" t="e">
        <f t="shared" si="14"/>
        <v>#REF!</v>
      </c>
      <c r="AI33" s="98" t="e">
        <f t="shared" si="15"/>
        <v>#REF!</v>
      </c>
      <c r="AJ33" s="97" t="e">
        <f t="shared" si="16"/>
        <v>#REF!</v>
      </c>
      <c r="AK33" s="97" t="e">
        <f t="shared" si="17"/>
        <v>#REF!</v>
      </c>
      <c r="DJ33" s="111"/>
      <c r="EV33" s="111"/>
      <c r="GM33" s="111"/>
      <c r="MR33" s="111"/>
      <c r="SJ33" s="111"/>
      <c r="TQ33" s="111"/>
      <c r="WJ33" s="111"/>
      <c r="XG33" s="111"/>
      <c r="AFG33" s="111"/>
      <c r="AHC33" s="111"/>
      <c r="AHN33" s="111"/>
      <c r="AYQ33" s="111"/>
      <c r="BBW33" s="111"/>
      <c r="BOB33" s="111"/>
      <c r="BOW33" s="111"/>
      <c r="BRB33" s="111"/>
      <c r="BUE33" s="111"/>
      <c r="BWK33" s="111"/>
      <c r="CDB33" s="111"/>
      <c r="CDN33" s="111"/>
      <c r="CEH33" s="111"/>
      <c r="CIE33" s="111"/>
      <c r="CJY33" s="111"/>
      <c r="CNP33" s="111"/>
      <c r="CVA33" s="111"/>
      <c r="CXO33" s="111"/>
      <c r="DAR33" s="111"/>
      <c r="DEG33" s="111"/>
      <c r="DEJ33" s="111"/>
      <c r="DEZ33" s="111"/>
      <c r="DKR33" s="111"/>
      <c r="DLQ33" s="111"/>
      <c r="DWM33" s="111"/>
    </row>
    <row r="34" spans="1:898 1343:1961 2134:3033 3315:3315" ht="15" customHeight="1">
      <c r="A34" s="108"/>
      <c r="B34" s="109"/>
      <c r="C34" s="103"/>
      <c r="D34" s="102"/>
      <c r="E34" s="101"/>
      <c r="F34" s="101"/>
      <c r="G34" s="100"/>
      <c r="H34" s="99"/>
      <c r="I34" s="106"/>
      <c r="J34" s="2"/>
      <c r="K34" s="2"/>
      <c r="L34" s="2"/>
      <c r="M34" s="2"/>
      <c r="N34" s="2"/>
      <c r="O34" s="2"/>
      <c r="P34" s="2"/>
      <c r="Q34" s="2"/>
      <c r="S34" s="98">
        <f t="shared" si="2"/>
        <v>0</v>
      </c>
      <c r="T34" s="98">
        <f t="shared" si="3"/>
        <v>0</v>
      </c>
      <c r="U34" s="97">
        <f t="shared" si="4"/>
        <v>0</v>
      </c>
      <c r="V34" s="97">
        <f t="shared" si="5"/>
        <v>0</v>
      </c>
      <c r="X34" s="98" t="e">
        <f t="shared" si="6"/>
        <v>#REF!</v>
      </c>
      <c r="Y34" s="98" t="e">
        <f t="shared" si="7"/>
        <v>#REF!</v>
      </c>
      <c r="Z34" s="97" t="e">
        <f t="shared" si="8"/>
        <v>#REF!</v>
      </c>
      <c r="AA34" s="97" t="e">
        <f t="shared" si="9"/>
        <v>#REF!</v>
      </c>
      <c r="AC34" s="98" t="e">
        <f t="shared" si="10"/>
        <v>#REF!</v>
      </c>
      <c r="AD34" s="98" t="e">
        <f t="shared" si="11"/>
        <v>#REF!</v>
      </c>
      <c r="AE34" s="97" t="e">
        <f t="shared" si="12"/>
        <v>#REF!</v>
      </c>
      <c r="AF34" s="97" t="e">
        <f t="shared" si="13"/>
        <v>#REF!</v>
      </c>
      <c r="AH34" s="98" t="e">
        <f t="shared" si="14"/>
        <v>#REF!</v>
      </c>
      <c r="AI34" s="98" t="e">
        <f t="shared" si="15"/>
        <v>#REF!</v>
      </c>
      <c r="AJ34" s="97" t="e">
        <f t="shared" si="16"/>
        <v>#REF!</v>
      </c>
      <c r="AK34" s="97" t="e">
        <f t="shared" si="17"/>
        <v>#REF!</v>
      </c>
      <c r="DJ34" s="111"/>
      <c r="EV34" s="111"/>
      <c r="GM34" s="111"/>
      <c r="MR34" s="111"/>
      <c r="SJ34" s="111"/>
      <c r="TQ34" s="111"/>
      <c r="WJ34" s="111"/>
      <c r="XG34" s="111"/>
      <c r="AFG34" s="111"/>
      <c r="AHC34" s="111"/>
      <c r="AHN34" s="111"/>
      <c r="AYQ34" s="111"/>
      <c r="BBW34" s="111"/>
      <c r="BOB34" s="111"/>
      <c r="BOW34" s="111"/>
      <c r="BRB34" s="111"/>
      <c r="BUE34" s="111"/>
      <c r="BWK34" s="111"/>
      <c r="CDB34" s="111"/>
      <c r="CDN34" s="111"/>
      <c r="CEH34" s="111"/>
      <c r="CIE34" s="111"/>
      <c r="CJY34" s="111"/>
      <c r="CNP34" s="111"/>
      <c r="CVA34" s="111"/>
      <c r="CXO34" s="111"/>
      <c r="DAR34" s="111"/>
      <c r="DEG34" s="111"/>
      <c r="DEJ34" s="111"/>
      <c r="DEZ34" s="111"/>
      <c r="DKR34" s="111"/>
      <c r="DLQ34" s="111"/>
      <c r="DWM34" s="111"/>
    </row>
    <row r="35" spans="1:898 1343:1961 2134:3033 3315:3315" ht="15" customHeight="1">
      <c r="A35" s="108"/>
      <c r="B35" s="109"/>
      <c r="C35" s="103"/>
      <c r="D35" s="102"/>
      <c r="E35" s="101"/>
      <c r="F35" s="101"/>
      <c r="G35" s="100"/>
      <c r="H35" s="99"/>
      <c r="I35" s="106"/>
      <c r="J35" s="2"/>
      <c r="K35" s="2"/>
      <c r="L35" s="2"/>
      <c r="M35" s="2"/>
      <c r="N35" s="2"/>
      <c r="O35" s="2"/>
      <c r="P35" s="2"/>
      <c r="Q35" s="2"/>
      <c r="S35" s="98">
        <f t="shared" si="2"/>
        <v>0</v>
      </c>
      <c r="T35" s="98">
        <f t="shared" si="3"/>
        <v>0</v>
      </c>
      <c r="U35" s="97">
        <f t="shared" si="4"/>
        <v>0</v>
      </c>
      <c r="V35" s="97">
        <f t="shared" si="5"/>
        <v>0</v>
      </c>
      <c r="X35" s="98" t="e">
        <f t="shared" si="6"/>
        <v>#REF!</v>
      </c>
      <c r="Y35" s="98" t="e">
        <f t="shared" si="7"/>
        <v>#REF!</v>
      </c>
      <c r="Z35" s="97" t="e">
        <f t="shared" si="8"/>
        <v>#REF!</v>
      </c>
      <c r="AA35" s="97" t="e">
        <f t="shared" si="9"/>
        <v>#REF!</v>
      </c>
      <c r="AC35" s="98" t="e">
        <f t="shared" si="10"/>
        <v>#REF!</v>
      </c>
      <c r="AD35" s="98" t="e">
        <f t="shared" si="11"/>
        <v>#REF!</v>
      </c>
      <c r="AE35" s="97" t="e">
        <f t="shared" si="12"/>
        <v>#REF!</v>
      </c>
      <c r="AF35" s="97" t="e">
        <f t="shared" si="13"/>
        <v>#REF!</v>
      </c>
      <c r="AH35" s="98" t="e">
        <f t="shared" si="14"/>
        <v>#REF!</v>
      </c>
      <c r="AI35" s="98" t="e">
        <f t="shared" si="15"/>
        <v>#REF!</v>
      </c>
      <c r="AJ35" s="97" t="e">
        <f t="shared" si="16"/>
        <v>#REF!</v>
      </c>
      <c r="AK35" s="97" t="e">
        <f t="shared" si="17"/>
        <v>#REF!</v>
      </c>
      <c r="DJ35" s="111"/>
      <c r="EV35" s="111"/>
      <c r="GM35" s="111"/>
      <c r="MR35" s="111"/>
      <c r="SJ35" s="111"/>
      <c r="TQ35" s="111"/>
      <c r="WJ35" s="111"/>
      <c r="XG35" s="111"/>
      <c r="AFG35" s="111"/>
      <c r="AHC35" s="111"/>
      <c r="AHN35" s="111"/>
      <c r="AYQ35" s="111"/>
      <c r="BBW35" s="111"/>
      <c r="BOB35" s="111"/>
      <c r="BOW35" s="111"/>
      <c r="BRB35" s="111"/>
      <c r="BUE35" s="111"/>
      <c r="BWK35" s="111"/>
      <c r="CDB35" s="111"/>
      <c r="CDN35" s="111"/>
      <c r="CEH35" s="111"/>
      <c r="CIE35" s="111"/>
      <c r="CJY35" s="111"/>
      <c r="CNP35" s="111"/>
      <c r="CVA35" s="111"/>
      <c r="CXO35" s="111"/>
      <c r="DAR35" s="111"/>
      <c r="DEG35" s="111"/>
      <c r="DEJ35" s="111"/>
      <c r="DEZ35" s="111"/>
      <c r="DKR35" s="111"/>
      <c r="DLQ35" s="111"/>
      <c r="DWM35" s="111"/>
    </row>
    <row r="36" spans="1:898 1343:1961 2134:3033 3315:3315" ht="15" customHeight="1">
      <c r="A36" s="108"/>
      <c r="B36" s="109"/>
      <c r="C36" s="103"/>
      <c r="D36" s="102"/>
      <c r="E36" s="101"/>
      <c r="F36" s="101"/>
      <c r="G36" s="100"/>
      <c r="H36" s="99"/>
      <c r="I36" s="106"/>
      <c r="J36" s="2"/>
      <c r="K36" s="2"/>
      <c r="L36" s="2"/>
      <c r="M36" s="2"/>
      <c r="N36" s="2"/>
      <c r="O36" s="2"/>
      <c r="P36" s="2"/>
      <c r="Q36" s="2"/>
      <c r="S36" s="98">
        <f t="shared" si="2"/>
        <v>0</v>
      </c>
      <c r="T36" s="98">
        <f t="shared" si="3"/>
        <v>0</v>
      </c>
      <c r="U36" s="97">
        <f t="shared" si="4"/>
        <v>0</v>
      </c>
      <c r="V36" s="97">
        <f t="shared" si="5"/>
        <v>0</v>
      </c>
      <c r="X36" s="98" t="e">
        <f t="shared" si="6"/>
        <v>#REF!</v>
      </c>
      <c r="Y36" s="98" t="e">
        <f t="shared" si="7"/>
        <v>#REF!</v>
      </c>
      <c r="Z36" s="97" t="e">
        <f t="shared" si="8"/>
        <v>#REF!</v>
      </c>
      <c r="AA36" s="97" t="e">
        <f t="shared" si="9"/>
        <v>#REF!</v>
      </c>
      <c r="AC36" s="98" t="e">
        <f t="shared" si="10"/>
        <v>#REF!</v>
      </c>
      <c r="AD36" s="98" t="e">
        <f t="shared" si="11"/>
        <v>#REF!</v>
      </c>
      <c r="AE36" s="97" t="e">
        <f t="shared" si="12"/>
        <v>#REF!</v>
      </c>
      <c r="AF36" s="97" t="e">
        <f t="shared" si="13"/>
        <v>#REF!</v>
      </c>
      <c r="AH36" s="98" t="e">
        <f t="shared" si="14"/>
        <v>#REF!</v>
      </c>
      <c r="AI36" s="98" t="e">
        <f t="shared" si="15"/>
        <v>#REF!</v>
      </c>
      <c r="AJ36" s="97" t="e">
        <f t="shared" si="16"/>
        <v>#REF!</v>
      </c>
      <c r="AK36" s="97" t="e">
        <f t="shared" si="17"/>
        <v>#REF!</v>
      </c>
      <c r="DJ36" s="111"/>
      <c r="EV36" s="111"/>
      <c r="GM36" s="111"/>
      <c r="MR36" s="111"/>
      <c r="SJ36" s="111"/>
      <c r="TQ36" s="111"/>
      <c r="WJ36" s="111"/>
      <c r="XG36" s="111"/>
      <c r="AFG36" s="111"/>
      <c r="AHC36" s="111"/>
      <c r="AHN36" s="111"/>
      <c r="AYQ36" s="111"/>
      <c r="BBW36" s="111"/>
      <c r="BOB36" s="111"/>
      <c r="BOW36" s="111"/>
      <c r="BRB36" s="111"/>
      <c r="BUE36" s="111"/>
      <c r="BWK36" s="111"/>
      <c r="CDB36" s="111"/>
      <c r="CDN36" s="111"/>
      <c r="CEH36" s="111"/>
      <c r="CIE36" s="111"/>
      <c r="CJY36" s="111"/>
      <c r="CNP36" s="111"/>
      <c r="CVA36" s="111"/>
      <c r="CXO36" s="111"/>
      <c r="DAR36" s="111"/>
      <c r="DEG36" s="111"/>
      <c r="DEJ36" s="111"/>
      <c r="DEZ36" s="111"/>
      <c r="DKR36" s="111"/>
      <c r="DLQ36" s="111"/>
      <c r="DWM36" s="111"/>
    </row>
    <row r="37" spans="1:898 1343:1961 2134:3033 3315:3315" ht="15" customHeight="1">
      <c r="A37" s="108"/>
      <c r="B37" s="109"/>
      <c r="C37" s="103"/>
      <c r="D37" s="102"/>
      <c r="E37" s="101"/>
      <c r="F37" s="101"/>
      <c r="G37" s="100"/>
      <c r="H37" s="99"/>
      <c r="I37" s="106"/>
      <c r="J37" s="2"/>
      <c r="K37" s="2"/>
      <c r="L37" s="2"/>
      <c r="M37" s="2"/>
      <c r="N37" s="2"/>
      <c r="O37" s="2"/>
      <c r="P37" s="2"/>
      <c r="Q37" s="2"/>
      <c r="S37" s="98">
        <f t="shared" si="2"/>
        <v>0</v>
      </c>
      <c r="T37" s="98">
        <f t="shared" si="3"/>
        <v>0</v>
      </c>
      <c r="U37" s="97">
        <f t="shared" si="4"/>
        <v>0</v>
      </c>
      <c r="V37" s="97">
        <f t="shared" si="5"/>
        <v>0</v>
      </c>
      <c r="X37" s="98" t="e">
        <f t="shared" si="6"/>
        <v>#REF!</v>
      </c>
      <c r="Y37" s="98" t="e">
        <f t="shared" si="7"/>
        <v>#REF!</v>
      </c>
      <c r="Z37" s="97" t="e">
        <f t="shared" si="8"/>
        <v>#REF!</v>
      </c>
      <c r="AA37" s="97" t="e">
        <f t="shared" si="9"/>
        <v>#REF!</v>
      </c>
      <c r="AC37" s="98" t="e">
        <f t="shared" si="10"/>
        <v>#REF!</v>
      </c>
      <c r="AD37" s="98" t="e">
        <f t="shared" si="11"/>
        <v>#REF!</v>
      </c>
      <c r="AE37" s="97" t="e">
        <f t="shared" si="12"/>
        <v>#REF!</v>
      </c>
      <c r="AF37" s="97" t="e">
        <f t="shared" si="13"/>
        <v>#REF!</v>
      </c>
      <c r="AH37" s="98" t="e">
        <f t="shared" si="14"/>
        <v>#REF!</v>
      </c>
      <c r="AI37" s="98" t="e">
        <f t="shared" si="15"/>
        <v>#REF!</v>
      </c>
      <c r="AJ37" s="97" t="e">
        <f t="shared" si="16"/>
        <v>#REF!</v>
      </c>
      <c r="AK37" s="97" t="e">
        <f t="shared" si="17"/>
        <v>#REF!</v>
      </c>
      <c r="DJ37" s="111"/>
      <c r="EV37" s="111"/>
      <c r="GM37" s="111"/>
      <c r="MR37" s="111"/>
      <c r="SJ37" s="111"/>
      <c r="TQ37" s="111"/>
      <c r="WJ37" s="111"/>
      <c r="XG37" s="111"/>
      <c r="AFG37" s="111"/>
      <c r="AHC37" s="111"/>
      <c r="AHN37" s="111"/>
      <c r="AYQ37" s="111"/>
      <c r="BBW37" s="111"/>
      <c r="BOB37" s="111"/>
      <c r="BOW37" s="111"/>
      <c r="BRB37" s="111"/>
      <c r="BUE37" s="111"/>
      <c r="BWK37" s="111"/>
      <c r="CDB37" s="111"/>
      <c r="CDN37" s="111"/>
      <c r="CEH37" s="111"/>
      <c r="CIE37" s="111"/>
      <c r="CJY37" s="111"/>
      <c r="CNP37" s="111"/>
      <c r="CVA37" s="111"/>
      <c r="CXO37" s="111"/>
      <c r="DAR37" s="111"/>
      <c r="DEG37" s="111"/>
      <c r="DEJ37" s="111"/>
      <c r="DEZ37" s="111"/>
      <c r="DKR37" s="111"/>
      <c r="DLQ37" s="111"/>
      <c r="DWM37" s="111"/>
    </row>
    <row r="38" spans="1:898 1343:1961 2134:3033 3315:3315" ht="15" customHeight="1">
      <c r="A38" s="108"/>
      <c r="B38" s="109"/>
      <c r="C38" s="103"/>
      <c r="D38" s="102"/>
      <c r="E38" s="101"/>
      <c r="F38" s="101"/>
      <c r="G38" s="100"/>
      <c r="H38" s="99"/>
      <c r="I38" s="106"/>
      <c r="J38" s="2"/>
      <c r="K38" s="2"/>
      <c r="L38" s="2"/>
      <c r="M38" s="2"/>
      <c r="N38" s="2"/>
      <c r="O38" s="2"/>
      <c r="P38" s="2"/>
      <c r="Q38" s="2"/>
      <c r="S38" s="98">
        <f t="shared" si="2"/>
        <v>0</v>
      </c>
      <c r="T38" s="98">
        <f t="shared" si="3"/>
        <v>0</v>
      </c>
      <c r="U38" s="97">
        <f t="shared" si="4"/>
        <v>0</v>
      </c>
      <c r="V38" s="97">
        <f t="shared" si="5"/>
        <v>0</v>
      </c>
      <c r="X38" s="98" t="e">
        <f t="shared" si="6"/>
        <v>#REF!</v>
      </c>
      <c r="Y38" s="98" t="e">
        <f t="shared" si="7"/>
        <v>#REF!</v>
      </c>
      <c r="Z38" s="97" t="e">
        <f t="shared" si="8"/>
        <v>#REF!</v>
      </c>
      <c r="AA38" s="97" t="e">
        <f t="shared" si="9"/>
        <v>#REF!</v>
      </c>
      <c r="AC38" s="98" t="e">
        <f t="shared" si="10"/>
        <v>#REF!</v>
      </c>
      <c r="AD38" s="98" t="e">
        <f t="shared" si="11"/>
        <v>#REF!</v>
      </c>
      <c r="AE38" s="97" t="e">
        <f t="shared" si="12"/>
        <v>#REF!</v>
      </c>
      <c r="AF38" s="97" t="e">
        <f t="shared" si="13"/>
        <v>#REF!</v>
      </c>
      <c r="AH38" s="98" t="e">
        <f t="shared" si="14"/>
        <v>#REF!</v>
      </c>
      <c r="AI38" s="98" t="e">
        <f t="shared" si="15"/>
        <v>#REF!</v>
      </c>
      <c r="AJ38" s="97" t="e">
        <f t="shared" si="16"/>
        <v>#REF!</v>
      </c>
      <c r="AK38" s="97" t="e">
        <f t="shared" si="17"/>
        <v>#REF!</v>
      </c>
      <c r="DJ38" s="111"/>
      <c r="EV38" s="111"/>
      <c r="GM38" s="111"/>
      <c r="MR38" s="111"/>
      <c r="SJ38" s="111"/>
      <c r="TQ38" s="111"/>
      <c r="WJ38" s="111"/>
      <c r="XG38" s="111"/>
      <c r="AFG38" s="111"/>
      <c r="AHC38" s="111"/>
      <c r="AHN38" s="111"/>
      <c r="AYQ38" s="111"/>
      <c r="BBW38" s="111"/>
      <c r="BOB38" s="111"/>
      <c r="BOW38" s="111"/>
      <c r="BRB38" s="111"/>
      <c r="BUE38" s="111"/>
      <c r="BWK38" s="111"/>
      <c r="CDB38" s="111"/>
      <c r="CDN38" s="111"/>
      <c r="CEH38" s="111"/>
      <c r="CIE38" s="111"/>
      <c r="CJY38" s="111"/>
      <c r="CNP38" s="111"/>
      <c r="CVA38" s="111"/>
      <c r="CXO38" s="111"/>
      <c r="DAR38" s="111"/>
      <c r="DEG38" s="111"/>
      <c r="DEJ38" s="111"/>
      <c r="DEZ38" s="111"/>
      <c r="DKR38" s="111"/>
      <c r="DLQ38" s="111"/>
      <c r="DWM38" s="111"/>
    </row>
    <row r="39" spans="1:898 1343:1961 2134:3033 3315:3315" ht="15" customHeight="1">
      <c r="A39" s="108"/>
      <c r="B39" s="109"/>
      <c r="C39" s="103"/>
      <c r="D39" s="102"/>
      <c r="E39" s="101"/>
      <c r="F39" s="101"/>
      <c r="G39" s="100"/>
      <c r="H39" s="99"/>
      <c r="I39" s="106"/>
      <c r="J39" s="2"/>
      <c r="K39" s="2"/>
      <c r="L39" s="2"/>
      <c r="M39" s="2"/>
      <c r="N39" s="2"/>
      <c r="O39" s="2"/>
      <c r="P39" s="2"/>
      <c r="Q39" s="2"/>
      <c r="S39" s="98">
        <f t="shared" si="2"/>
        <v>0</v>
      </c>
      <c r="T39" s="98">
        <f t="shared" si="3"/>
        <v>0</v>
      </c>
      <c r="U39" s="97">
        <f t="shared" si="4"/>
        <v>0</v>
      </c>
      <c r="V39" s="97">
        <f t="shared" si="5"/>
        <v>0</v>
      </c>
      <c r="X39" s="98" t="e">
        <f t="shared" si="6"/>
        <v>#REF!</v>
      </c>
      <c r="Y39" s="98" t="e">
        <f t="shared" si="7"/>
        <v>#REF!</v>
      </c>
      <c r="Z39" s="97" t="e">
        <f t="shared" si="8"/>
        <v>#REF!</v>
      </c>
      <c r="AA39" s="97" t="e">
        <f t="shared" si="9"/>
        <v>#REF!</v>
      </c>
      <c r="AC39" s="98" t="e">
        <f t="shared" si="10"/>
        <v>#REF!</v>
      </c>
      <c r="AD39" s="98" t="e">
        <f t="shared" si="11"/>
        <v>#REF!</v>
      </c>
      <c r="AE39" s="97" t="e">
        <f t="shared" si="12"/>
        <v>#REF!</v>
      </c>
      <c r="AF39" s="97" t="e">
        <f t="shared" si="13"/>
        <v>#REF!</v>
      </c>
      <c r="AH39" s="98" t="e">
        <f t="shared" si="14"/>
        <v>#REF!</v>
      </c>
      <c r="AI39" s="98" t="e">
        <f t="shared" si="15"/>
        <v>#REF!</v>
      </c>
      <c r="AJ39" s="97" t="e">
        <f t="shared" si="16"/>
        <v>#REF!</v>
      </c>
      <c r="AK39" s="97" t="e">
        <f t="shared" si="17"/>
        <v>#REF!</v>
      </c>
      <c r="DJ39" s="111"/>
      <c r="EV39" s="111"/>
      <c r="GM39" s="111"/>
      <c r="MR39" s="111"/>
      <c r="SJ39" s="111"/>
      <c r="TQ39" s="111"/>
      <c r="WJ39" s="111"/>
      <c r="XG39" s="111"/>
      <c r="AFG39" s="111"/>
      <c r="AHC39" s="111"/>
      <c r="AHN39" s="111"/>
      <c r="AYQ39" s="111"/>
      <c r="BBW39" s="111"/>
      <c r="BOB39" s="111"/>
      <c r="BOW39" s="111"/>
      <c r="BRB39" s="111"/>
      <c r="BUE39" s="111"/>
      <c r="BWK39" s="111"/>
      <c r="CDB39" s="111"/>
      <c r="CDN39" s="111"/>
      <c r="CEH39" s="111"/>
      <c r="CIE39" s="111"/>
      <c r="CJY39" s="111"/>
      <c r="CNP39" s="111"/>
      <c r="CVA39" s="111"/>
      <c r="CXO39" s="111"/>
      <c r="DAR39" s="111"/>
      <c r="DEG39" s="111"/>
      <c r="DEJ39" s="111"/>
      <c r="DEZ39" s="111"/>
      <c r="DKR39" s="111"/>
      <c r="DLQ39" s="111"/>
      <c r="DWM39" s="111"/>
    </row>
    <row r="40" spans="1:898 1343:1961 2134:3033 3315:3315" ht="15" customHeight="1">
      <c r="A40" s="108"/>
      <c r="B40" s="109"/>
      <c r="C40" s="103"/>
      <c r="D40" s="102"/>
      <c r="E40" s="101"/>
      <c r="F40" s="101"/>
      <c r="G40" s="100"/>
      <c r="H40" s="99"/>
      <c r="I40" s="106"/>
      <c r="J40" s="2"/>
      <c r="K40" s="2"/>
      <c r="L40" s="2"/>
      <c r="M40" s="2"/>
      <c r="N40" s="2"/>
      <c r="O40" s="2"/>
      <c r="P40" s="2"/>
      <c r="Q40" s="2"/>
      <c r="S40" s="98">
        <f t="shared" si="2"/>
        <v>0</v>
      </c>
      <c r="T40" s="98">
        <f t="shared" si="3"/>
        <v>0</v>
      </c>
      <c r="U40" s="97">
        <f>IF(AND($D40="",S40=""),"",IF($D40="",S40,$D40+S40))</f>
        <v>0</v>
      </c>
      <c r="V40" s="97">
        <f>IF(AND($D40="",T40=""),"",IF($D40="",T40,$D40+T40))</f>
        <v>0</v>
      </c>
      <c r="X40" s="98" t="e">
        <f t="shared" si="6"/>
        <v>#REF!</v>
      </c>
      <c r="Y40" s="98" t="e">
        <f t="shared" si="7"/>
        <v>#REF!</v>
      </c>
      <c r="Z40" s="97" t="e">
        <f>IF(AND($D40="",X40=""),"",IF($D40="",X40,$D40+X40))</f>
        <v>#REF!</v>
      </c>
      <c r="AA40" s="97" t="e">
        <f>IF(AND($D40="",Y40=""),"",IF($D40="",Y40,$D40+Y40))</f>
        <v>#REF!</v>
      </c>
      <c r="AC40" s="98" t="e">
        <f t="shared" si="10"/>
        <v>#REF!</v>
      </c>
      <c r="AD40" s="98" t="e">
        <f t="shared" si="11"/>
        <v>#REF!</v>
      </c>
      <c r="AE40" s="97" t="e">
        <f>IF(AND($D40="",AC40=""),"",IF($D40="",AC40,$D40+AC40))</f>
        <v>#REF!</v>
      </c>
      <c r="AF40" s="97" t="e">
        <f>IF(AND($D40="",AD40=""),"",IF($D40="",AD40,$D40+AD40))</f>
        <v>#REF!</v>
      </c>
      <c r="AH40" s="98" t="e">
        <f t="shared" si="14"/>
        <v>#REF!</v>
      </c>
      <c r="AI40" s="98" t="e">
        <f t="shared" si="15"/>
        <v>#REF!</v>
      </c>
      <c r="AJ40" s="97" t="e">
        <f>IF(AND($D40="",AH40=""),"",IF($D40="",AH40,$D40+AH40))</f>
        <v>#REF!</v>
      </c>
      <c r="AK40" s="97" t="e">
        <f>IF(AND($D40="",AI40=""),"",IF($D40="",AI40,$D40+AI40))</f>
        <v>#REF!</v>
      </c>
      <c r="DJ40" s="111"/>
      <c r="EV40" s="111"/>
      <c r="GM40" s="111"/>
      <c r="MR40" s="111"/>
      <c r="SJ40" s="111"/>
      <c r="TQ40" s="111"/>
      <c r="WJ40" s="111"/>
      <c r="XG40" s="111"/>
      <c r="AFG40" s="111"/>
      <c r="AHC40" s="111"/>
      <c r="AHN40" s="111"/>
      <c r="AYQ40" s="111"/>
      <c r="BBW40" s="111"/>
      <c r="BOB40" s="111"/>
      <c r="BOW40" s="111"/>
      <c r="BRB40" s="111"/>
      <c r="BUE40" s="111"/>
      <c r="BWK40" s="111"/>
      <c r="CDB40" s="111"/>
      <c r="CDN40" s="111"/>
      <c r="CEH40" s="111"/>
      <c r="CIE40" s="111"/>
      <c r="CJY40" s="111"/>
      <c r="CNP40" s="111"/>
      <c r="CVA40" s="111"/>
      <c r="CXO40" s="111"/>
      <c r="DAR40" s="111"/>
      <c r="DEG40" s="111"/>
      <c r="DEJ40" s="111"/>
      <c r="DEZ40" s="111"/>
      <c r="DKR40" s="111"/>
      <c r="DLQ40" s="111"/>
      <c r="DWM40" s="111"/>
    </row>
    <row r="41" spans="1:898 1343:1961 2134:3033 3315:3315" ht="15" customHeight="1">
      <c r="A41" s="108"/>
      <c r="B41" s="109"/>
      <c r="C41" s="103"/>
      <c r="D41" s="102"/>
      <c r="E41" s="101"/>
      <c r="F41" s="101"/>
      <c r="G41" s="100"/>
      <c r="H41" s="99"/>
      <c r="I41" s="106"/>
      <c r="J41" s="2"/>
      <c r="K41" s="2"/>
      <c r="L41" s="2"/>
      <c r="M41" s="2"/>
      <c r="N41" s="2"/>
      <c r="O41" s="2"/>
      <c r="P41" s="2"/>
      <c r="Q41" s="2"/>
      <c r="S41" s="98">
        <f t="shared" si="2"/>
        <v>0</v>
      </c>
      <c r="T41" s="98">
        <f t="shared" si="3"/>
        <v>0</v>
      </c>
      <c r="U41" s="97">
        <f>IF(AND($D41="",S41=""),"",IF($D41="",S41,$D41+S41))</f>
        <v>0</v>
      </c>
      <c r="V41" s="97">
        <f>IF(AND($D41="",T41=""),"",IF($D41="",T41,$D41+T41))</f>
        <v>0</v>
      </c>
      <c r="X41" s="98" t="e">
        <f t="shared" si="6"/>
        <v>#REF!</v>
      </c>
      <c r="Y41" s="98" t="e">
        <f t="shared" si="7"/>
        <v>#REF!</v>
      </c>
      <c r="Z41" s="97" t="e">
        <f>IF(AND($D41="",X41=""),"",IF($D41="",X41,$D41+X41))</f>
        <v>#REF!</v>
      </c>
      <c r="AA41" s="97" t="e">
        <f>IF(AND($D41="",Y41=""),"",IF($D41="",Y41,$D41+Y41))</f>
        <v>#REF!</v>
      </c>
      <c r="AC41" s="98" t="e">
        <f t="shared" si="10"/>
        <v>#REF!</v>
      </c>
      <c r="AD41" s="98" t="e">
        <f t="shared" si="11"/>
        <v>#REF!</v>
      </c>
      <c r="AE41" s="97" t="e">
        <f>IF(AND($D41="",AC41=""),"",IF($D41="",AC41,$D41+AC41))</f>
        <v>#REF!</v>
      </c>
      <c r="AF41" s="97" t="e">
        <f>IF(AND($D41="",AD41=""),"",IF($D41="",AD41,$D41+AD41))</f>
        <v>#REF!</v>
      </c>
      <c r="AH41" s="98" t="e">
        <f t="shared" si="14"/>
        <v>#REF!</v>
      </c>
      <c r="AI41" s="98" t="e">
        <f t="shared" si="15"/>
        <v>#REF!</v>
      </c>
      <c r="AJ41" s="97" t="e">
        <f>IF(AND($D41="",AH41=""),"",IF($D41="",AH41,$D41+AH41))</f>
        <v>#REF!</v>
      </c>
      <c r="AK41" s="97" t="e">
        <f>IF(AND($D41="",AI41=""),"",IF($D41="",AI41,$D41+AI41))</f>
        <v>#REF!</v>
      </c>
      <c r="DJ41" s="111"/>
      <c r="EV41" s="111"/>
      <c r="GM41" s="111"/>
      <c r="MR41" s="111"/>
      <c r="SJ41" s="111"/>
      <c r="TQ41" s="111"/>
      <c r="WJ41" s="111"/>
      <c r="XG41" s="111"/>
      <c r="AFG41" s="111"/>
      <c r="AHC41" s="111"/>
      <c r="AHN41" s="111"/>
      <c r="AYQ41" s="111"/>
      <c r="BBW41" s="111"/>
      <c r="BOB41" s="111"/>
      <c r="BOW41" s="111"/>
      <c r="BRB41" s="111"/>
      <c r="BUE41" s="111"/>
      <c r="BWK41" s="111"/>
      <c r="CDB41" s="111"/>
      <c r="CDN41" s="111"/>
      <c r="CEH41" s="111"/>
      <c r="CIE41" s="111"/>
      <c r="CJY41" s="111"/>
      <c r="CNP41" s="111"/>
      <c r="CVA41" s="111"/>
      <c r="CXO41" s="111"/>
      <c r="DAR41" s="111"/>
      <c r="DEG41" s="111"/>
      <c r="DEJ41" s="111"/>
      <c r="DEZ41" s="111"/>
      <c r="DKR41" s="111"/>
      <c r="DLQ41" s="111"/>
      <c r="DWM41" s="111"/>
    </row>
    <row r="42" spans="1:898 1343:1961 2134:3033 3315:3315" ht="15" customHeight="1">
      <c r="A42" s="108"/>
      <c r="B42" s="109"/>
      <c r="C42" s="103"/>
      <c r="D42" s="102"/>
      <c r="E42" s="101"/>
      <c r="F42" s="101"/>
      <c r="G42" s="100"/>
      <c r="H42" s="99"/>
      <c r="I42" s="106"/>
      <c r="J42" s="2"/>
      <c r="K42" s="2"/>
      <c r="L42" s="2"/>
      <c r="M42" s="2"/>
      <c r="N42" s="2"/>
      <c r="O42" s="2"/>
      <c r="P42" s="2"/>
      <c r="Q42" s="2"/>
      <c r="S42" s="98">
        <f t="shared" si="2"/>
        <v>0</v>
      </c>
      <c r="T42" s="98">
        <f t="shared" si="3"/>
        <v>0</v>
      </c>
      <c r="U42" s="97">
        <f t="shared" si="4"/>
        <v>0</v>
      </c>
      <c r="V42" s="97">
        <f t="shared" si="5"/>
        <v>0</v>
      </c>
      <c r="X42" s="98" t="e">
        <f t="shared" si="6"/>
        <v>#REF!</v>
      </c>
      <c r="Y42" s="98" t="e">
        <f t="shared" si="7"/>
        <v>#REF!</v>
      </c>
      <c r="Z42" s="97" t="e">
        <f t="shared" si="8"/>
        <v>#REF!</v>
      </c>
      <c r="AA42" s="97" t="e">
        <f t="shared" si="9"/>
        <v>#REF!</v>
      </c>
      <c r="AC42" s="98" t="e">
        <f t="shared" si="10"/>
        <v>#REF!</v>
      </c>
      <c r="AD42" s="98" t="e">
        <f t="shared" si="11"/>
        <v>#REF!</v>
      </c>
      <c r="AE42" s="97" t="e">
        <f t="shared" si="12"/>
        <v>#REF!</v>
      </c>
      <c r="AF42" s="97" t="e">
        <f t="shared" si="13"/>
        <v>#REF!</v>
      </c>
      <c r="AH42" s="98" t="e">
        <f t="shared" si="14"/>
        <v>#REF!</v>
      </c>
      <c r="AI42" s="98" t="e">
        <f t="shared" si="15"/>
        <v>#REF!</v>
      </c>
      <c r="AJ42" s="97" t="e">
        <f t="shared" si="16"/>
        <v>#REF!</v>
      </c>
      <c r="AK42" s="97" t="e">
        <f t="shared" si="17"/>
        <v>#REF!</v>
      </c>
      <c r="DJ42" s="111"/>
      <c r="EV42" s="111"/>
      <c r="GM42" s="111"/>
      <c r="MR42" s="111"/>
      <c r="SJ42" s="111"/>
      <c r="TQ42" s="111"/>
      <c r="WJ42" s="111"/>
      <c r="XG42" s="111"/>
      <c r="AFG42" s="111"/>
      <c r="AHC42" s="111"/>
      <c r="AHN42" s="111"/>
      <c r="AYQ42" s="111"/>
      <c r="BBW42" s="111"/>
      <c r="BOB42" s="111"/>
      <c r="BOW42" s="111"/>
      <c r="BRB42" s="111"/>
      <c r="BUE42" s="111"/>
      <c r="BWK42" s="111"/>
      <c r="CDB42" s="111"/>
      <c r="CDN42" s="111"/>
      <c r="CEH42" s="111"/>
      <c r="CIE42" s="111"/>
      <c r="CJY42" s="111"/>
      <c r="CNP42" s="111"/>
      <c r="CVA42" s="111"/>
      <c r="CXO42" s="111"/>
      <c r="DAR42" s="111"/>
      <c r="DEG42" s="111"/>
      <c r="DEJ42" s="111"/>
      <c r="DEZ42" s="111"/>
      <c r="DKR42" s="111"/>
      <c r="DLQ42" s="111"/>
      <c r="DWM42" s="111"/>
    </row>
    <row r="43" spans="1:898 1343:1961 2134:3033 3315:3315" ht="15" customHeight="1">
      <c r="A43" s="108"/>
      <c r="B43" s="109"/>
      <c r="C43" s="103"/>
      <c r="D43" s="102"/>
      <c r="E43" s="101"/>
      <c r="F43" s="101"/>
      <c r="G43" s="100"/>
      <c r="H43" s="99"/>
      <c r="I43" s="106"/>
      <c r="J43" s="2"/>
      <c r="K43" s="2"/>
      <c r="L43" s="2"/>
      <c r="M43" s="2"/>
      <c r="N43" s="2"/>
      <c r="O43" s="2"/>
      <c r="P43" s="2"/>
      <c r="Q43" s="2"/>
      <c r="S43" s="98">
        <f t="shared" si="2"/>
        <v>0</v>
      </c>
      <c r="T43" s="98">
        <f t="shared" si="3"/>
        <v>0</v>
      </c>
      <c r="U43" s="97">
        <f t="shared" si="4"/>
        <v>0</v>
      </c>
      <c r="V43" s="97">
        <f t="shared" si="5"/>
        <v>0</v>
      </c>
      <c r="X43" s="98" t="e">
        <f t="shared" si="6"/>
        <v>#REF!</v>
      </c>
      <c r="Y43" s="98" t="e">
        <f t="shared" si="7"/>
        <v>#REF!</v>
      </c>
      <c r="Z43" s="97" t="e">
        <f t="shared" si="8"/>
        <v>#REF!</v>
      </c>
      <c r="AA43" s="97" t="e">
        <f t="shared" si="9"/>
        <v>#REF!</v>
      </c>
      <c r="AC43" s="98" t="e">
        <f t="shared" si="10"/>
        <v>#REF!</v>
      </c>
      <c r="AD43" s="98" t="e">
        <f t="shared" si="11"/>
        <v>#REF!</v>
      </c>
      <c r="AE43" s="97" t="e">
        <f t="shared" si="12"/>
        <v>#REF!</v>
      </c>
      <c r="AF43" s="97" t="e">
        <f t="shared" si="13"/>
        <v>#REF!</v>
      </c>
      <c r="AH43" s="98" t="e">
        <f t="shared" si="14"/>
        <v>#REF!</v>
      </c>
      <c r="AI43" s="98" t="e">
        <f t="shared" si="15"/>
        <v>#REF!</v>
      </c>
      <c r="AJ43" s="97" t="e">
        <f t="shared" si="16"/>
        <v>#REF!</v>
      </c>
      <c r="AK43" s="97" t="e">
        <f t="shared" si="17"/>
        <v>#REF!</v>
      </c>
      <c r="DJ43" s="111"/>
      <c r="EV43" s="111"/>
      <c r="GM43" s="111"/>
      <c r="MR43" s="111"/>
      <c r="SJ43" s="111"/>
      <c r="TQ43" s="111"/>
      <c r="WJ43" s="111"/>
      <c r="XG43" s="111"/>
      <c r="AFG43" s="111"/>
      <c r="AHC43" s="111"/>
      <c r="AHN43" s="111"/>
      <c r="AYQ43" s="111"/>
      <c r="BBW43" s="111"/>
      <c r="BOB43" s="111"/>
      <c r="BOW43" s="111"/>
      <c r="BRB43" s="111"/>
      <c r="BUE43" s="111"/>
      <c r="BWK43" s="111"/>
      <c r="CDB43" s="111"/>
      <c r="CDN43" s="111"/>
      <c r="CEH43" s="111"/>
      <c r="CIE43" s="111"/>
      <c r="CJY43" s="111"/>
      <c r="CNP43" s="111"/>
      <c r="CVA43" s="111"/>
      <c r="CXO43" s="111"/>
      <c r="DAR43" s="111"/>
      <c r="DEG43" s="111"/>
      <c r="DEJ43" s="111"/>
      <c r="DEZ43" s="111"/>
      <c r="DKR43" s="111"/>
      <c r="DLQ43" s="111"/>
      <c r="DWM43" s="111"/>
    </row>
    <row r="44" spans="1:898 1343:1961 2134:3033 3315:3315" ht="15" customHeight="1">
      <c r="A44" s="108"/>
      <c r="B44" s="109"/>
      <c r="C44" s="103"/>
      <c r="D44" s="102"/>
      <c r="E44" s="101"/>
      <c r="F44" s="101"/>
      <c r="G44" s="100"/>
      <c r="H44" s="99"/>
      <c r="I44" s="106"/>
      <c r="J44" s="2"/>
      <c r="K44" s="2"/>
      <c r="L44" s="2"/>
      <c r="M44" s="2"/>
      <c r="N44" s="2"/>
      <c r="O44" s="2"/>
      <c r="P44" s="2"/>
      <c r="Q44" s="2"/>
      <c r="S44" s="98">
        <f t="shared" si="2"/>
        <v>0</v>
      </c>
      <c r="T44" s="98">
        <f t="shared" si="3"/>
        <v>0</v>
      </c>
      <c r="U44" s="97">
        <f t="shared" si="4"/>
        <v>0</v>
      </c>
      <c r="V44" s="97">
        <f t="shared" si="5"/>
        <v>0</v>
      </c>
      <c r="X44" s="98" t="e">
        <f t="shared" si="6"/>
        <v>#REF!</v>
      </c>
      <c r="Y44" s="98" t="e">
        <f t="shared" si="7"/>
        <v>#REF!</v>
      </c>
      <c r="Z44" s="97" t="e">
        <f t="shared" si="8"/>
        <v>#REF!</v>
      </c>
      <c r="AA44" s="97" t="e">
        <f t="shared" si="9"/>
        <v>#REF!</v>
      </c>
      <c r="AC44" s="98" t="e">
        <f t="shared" si="10"/>
        <v>#REF!</v>
      </c>
      <c r="AD44" s="98" t="e">
        <f t="shared" si="11"/>
        <v>#REF!</v>
      </c>
      <c r="AE44" s="97" t="e">
        <f t="shared" si="12"/>
        <v>#REF!</v>
      </c>
      <c r="AF44" s="97" t="e">
        <f t="shared" si="13"/>
        <v>#REF!</v>
      </c>
      <c r="AH44" s="98" t="e">
        <f t="shared" si="14"/>
        <v>#REF!</v>
      </c>
      <c r="AI44" s="98" t="e">
        <f t="shared" si="15"/>
        <v>#REF!</v>
      </c>
      <c r="AJ44" s="97" t="e">
        <f t="shared" si="16"/>
        <v>#REF!</v>
      </c>
      <c r="AK44" s="97" t="e">
        <f t="shared" si="17"/>
        <v>#REF!</v>
      </c>
      <c r="DJ44" s="111"/>
      <c r="EV44" s="111"/>
      <c r="GM44" s="111"/>
      <c r="MR44" s="111"/>
      <c r="SJ44" s="111"/>
      <c r="TQ44" s="111"/>
      <c r="WJ44" s="111"/>
      <c r="XG44" s="111"/>
      <c r="AFG44" s="111"/>
      <c r="AHC44" s="111"/>
      <c r="AHN44" s="111"/>
      <c r="AYQ44" s="111"/>
      <c r="BBW44" s="111"/>
      <c r="BOB44" s="111"/>
      <c r="BOW44" s="111"/>
      <c r="BRB44" s="111"/>
      <c r="BUE44" s="111"/>
      <c r="BWK44" s="111"/>
      <c r="CDB44" s="111"/>
      <c r="CDN44" s="111"/>
      <c r="CEH44" s="111"/>
      <c r="CIE44" s="111"/>
      <c r="CJY44" s="111"/>
      <c r="CNP44" s="111"/>
      <c r="CVA44" s="111"/>
      <c r="CXO44" s="111"/>
      <c r="DAR44" s="111"/>
      <c r="DEG44" s="111"/>
      <c r="DEJ44" s="111"/>
      <c r="DEZ44" s="111"/>
      <c r="DKR44" s="111"/>
      <c r="DLQ44" s="111"/>
      <c r="DWM44" s="111"/>
    </row>
    <row r="45" spans="1:898 1343:1961 2134:3033 3315:3315" ht="15" customHeight="1">
      <c r="A45" s="108"/>
      <c r="B45" s="109"/>
      <c r="C45" s="103"/>
      <c r="D45" s="102"/>
      <c r="E45" s="101"/>
      <c r="F45" s="101"/>
      <c r="G45" s="100"/>
      <c r="H45" s="99"/>
      <c r="I45" s="106"/>
      <c r="J45" s="2"/>
      <c r="K45" s="2"/>
      <c r="L45" s="2"/>
      <c r="M45" s="2"/>
      <c r="N45" s="2"/>
      <c r="O45" s="2"/>
      <c r="P45" s="2"/>
      <c r="Q45" s="2"/>
      <c r="S45" s="98">
        <f t="shared" si="2"/>
        <v>0</v>
      </c>
      <c r="T45" s="98">
        <f t="shared" si="3"/>
        <v>0</v>
      </c>
      <c r="U45" s="97">
        <f t="shared" si="4"/>
        <v>0</v>
      </c>
      <c r="V45" s="97">
        <f t="shared" si="5"/>
        <v>0</v>
      </c>
      <c r="X45" s="98" t="e">
        <f t="shared" si="6"/>
        <v>#REF!</v>
      </c>
      <c r="Y45" s="98" t="e">
        <f t="shared" si="7"/>
        <v>#REF!</v>
      </c>
      <c r="Z45" s="97" t="e">
        <f t="shared" si="8"/>
        <v>#REF!</v>
      </c>
      <c r="AA45" s="97" t="e">
        <f t="shared" si="9"/>
        <v>#REF!</v>
      </c>
      <c r="AC45" s="98" t="e">
        <f t="shared" si="10"/>
        <v>#REF!</v>
      </c>
      <c r="AD45" s="98" t="e">
        <f t="shared" si="11"/>
        <v>#REF!</v>
      </c>
      <c r="AE45" s="97" t="e">
        <f t="shared" si="12"/>
        <v>#REF!</v>
      </c>
      <c r="AF45" s="97" t="e">
        <f t="shared" si="13"/>
        <v>#REF!</v>
      </c>
      <c r="AH45" s="98" t="e">
        <f t="shared" si="14"/>
        <v>#REF!</v>
      </c>
      <c r="AI45" s="98" t="e">
        <f t="shared" si="15"/>
        <v>#REF!</v>
      </c>
      <c r="AJ45" s="97" t="e">
        <f t="shared" si="16"/>
        <v>#REF!</v>
      </c>
      <c r="AK45" s="97" t="e">
        <f t="shared" si="17"/>
        <v>#REF!</v>
      </c>
      <c r="DJ45" s="111"/>
      <c r="EV45" s="111"/>
      <c r="GM45" s="111"/>
      <c r="MR45" s="111"/>
      <c r="SJ45" s="111"/>
      <c r="TQ45" s="111"/>
      <c r="WJ45" s="111"/>
      <c r="XG45" s="111"/>
      <c r="AFG45" s="111"/>
      <c r="AHC45" s="111"/>
      <c r="AHN45" s="111"/>
      <c r="AYQ45" s="111"/>
      <c r="BBW45" s="111"/>
      <c r="BOB45" s="111"/>
      <c r="BOW45" s="111"/>
      <c r="BRB45" s="111"/>
      <c r="BUE45" s="111"/>
      <c r="BWK45" s="111"/>
      <c r="CDB45" s="111"/>
      <c r="CDN45" s="111"/>
      <c r="CEH45" s="111"/>
      <c r="CIE45" s="111"/>
      <c r="CJY45" s="111"/>
      <c r="CNP45" s="111"/>
      <c r="CVA45" s="111"/>
      <c r="CXO45" s="111"/>
      <c r="DAR45" s="111"/>
      <c r="DEG45" s="111"/>
      <c r="DEJ45" s="111"/>
      <c r="DEZ45" s="111"/>
      <c r="DKR45" s="111"/>
      <c r="DLQ45" s="111"/>
      <c r="DWM45" s="111"/>
    </row>
    <row r="46" spans="1:898 1343:1961 2134:3033 3315:3315" ht="15" customHeight="1">
      <c r="A46" s="108" t="s">
        <v>187</v>
      </c>
      <c r="B46" s="109" t="s">
        <v>108</v>
      </c>
      <c r="C46" s="103">
        <v>1.33</v>
      </c>
      <c r="D46" s="102">
        <v>1.8520000000000001</v>
      </c>
      <c r="E46" s="101">
        <v>0.02</v>
      </c>
      <c r="F46" s="101">
        <v>-0.02</v>
      </c>
      <c r="G46" s="100">
        <f t="shared" si="0"/>
        <v>1.8720000000000001</v>
      </c>
      <c r="H46" s="99">
        <f t="shared" si="1"/>
        <v>1.8320000000000001</v>
      </c>
      <c r="I46" s="106"/>
      <c r="J46" s="2"/>
      <c r="K46" s="2"/>
      <c r="L46" s="2"/>
      <c r="M46" s="2"/>
      <c r="N46" s="2"/>
      <c r="O46" s="2"/>
      <c r="P46" s="2"/>
      <c r="Q46" s="2"/>
      <c r="S46" s="98">
        <f t="shared" si="2"/>
        <v>0</v>
      </c>
      <c r="T46" s="98">
        <f t="shared" si="3"/>
        <v>0</v>
      </c>
      <c r="U46" s="97">
        <f t="shared" si="4"/>
        <v>1.8520000000000001</v>
      </c>
      <c r="V46" s="97">
        <f t="shared" si="5"/>
        <v>1.8520000000000001</v>
      </c>
      <c r="X46" s="98" t="e">
        <f t="shared" si="6"/>
        <v>#REF!</v>
      </c>
      <c r="Y46" s="98" t="e">
        <f t="shared" si="7"/>
        <v>#REF!</v>
      </c>
      <c r="Z46" s="97" t="e">
        <f t="shared" si="8"/>
        <v>#REF!</v>
      </c>
      <c r="AA46" s="97" t="e">
        <f t="shared" si="9"/>
        <v>#REF!</v>
      </c>
      <c r="AC46" s="98" t="e">
        <f t="shared" si="10"/>
        <v>#REF!</v>
      </c>
      <c r="AD46" s="98" t="e">
        <f t="shared" si="11"/>
        <v>#REF!</v>
      </c>
      <c r="AE46" s="97" t="e">
        <f t="shared" si="12"/>
        <v>#REF!</v>
      </c>
      <c r="AF46" s="97" t="e">
        <f t="shared" si="13"/>
        <v>#REF!</v>
      </c>
      <c r="AH46" s="98" t="e">
        <f t="shared" si="14"/>
        <v>#REF!</v>
      </c>
      <c r="AI46" s="98" t="e">
        <f t="shared" si="15"/>
        <v>#REF!</v>
      </c>
      <c r="AJ46" s="97" t="e">
        <f t="shared" si="16"/>
        <v>#REF!</v>
      </c>
      <c r="AK46" s="97" t="e">
        <f t="shared" si="17"/>
        <v>#REF!</v>
      </c>
      <c r="DJ46" s="111"/>
      <c r="EV46" s="111"/>
      <c r="GM46" s="111"/>
      <c r="MR46" s="111"/>
      <c r="SJ46" s="111"/>
      <c r="TQ46" s="111"/>
      <c r="WJ46" s="111"/>
      <c r="XG46" s="111"/>
      <c r="AFG46" s="111"/>
      <c r="AHC46" s="111"/>
      <c r="AHN46" s="111"/>
      <c r="AYQ46" s="111"/>
      <c r="BBW46" s="111"/>
      <c r="BOB46" s="111"/>
      <c r="BOW46" s="111"/>
      <c r="BRB46" s="111"/>
      <c r="BUE46" s="111"/>
      <c r="BWK46" s="111"/>
      <c r="CDB46" s="111"/>
      <c r="CDN46" s="111"/>
      <c r="CEH46" s="111"/>
      <c r="CIE46" s="111"/>
      <c r="CJY46" s="111"/>
      <c r="CNP46" s="111"/>
      <c r="CVA46" s="111"/>
      <c r="CXO46" s="111"/>
      <c r="DAR46" s="111"/>
      <c r="DEG46" s="111"/>
      <c r="DEJ46" s="111"/>
      <c r="DEZ46" s="111"/>
      <c r="DKR46" s="111"/>
      <c r="DLQ46" s="111"/>
      <c r="DWM46" s="111"/>
    </row>
    <row r="47" spans="1:898 1343:1961 2134:3033 3315:3315" ht="15" customHeight="1">
      <c r="A47" s="108" t="s">
        <v>186</v>
      </c>
      <c r="B47" s="109" t="s">
        <v>256</v>
      </c>
      <c r="C47" s="103">
        <v>1.33</v>
      </c>
      <c r="D47" s="102">
        <v>0.214</v>
      </c>
      <c r="E47" s="101">
        <v>0.02</v>
      </c>
      <c r="F47" s="101">
        <v>-0.02</v>
      </c>
      <c r="G47" s="100">
        <f t="shared" si="0"/>
        <v>0.23399999999999999</v>
      </c>
      <c r="H47" s="99">
        <f t="shared" si="1"/>
        <v>0.19400000000000001</v>
      </c>
      <c r="I47" s="106"/>
      <c r="J47" s="2"/>
      <c r="K47" s="2"/>
      <c r="L47" s="2"/>
      <c r="M47" s="2"/>
      <c r="N47" s="2"/>
      <c r="O47" s="2"/>
      <c r="P47" s="2"/>
      <c r="Q47" s="2"/>
      <c r="S47" s="98">
        <f t="shared" si="2"/>
        <v>0</v>
      </c>
      <c r="T47" s="98">
        <f t="shared" si="3"/>
        <v>0</v>
      </c>
      <c r="U47" s="97">
        <f t="shared" si="4"/>
        <v>0.214</v>
      </c>
      <c r="V47" s="97">
        <f t="shared" si="5"/>
        <v>0.214</v>
      </c>
      <c r="X47" s="98" t="e">
        <f t="shared" si="6"/>
        <v>#REF!</v>
      </c>
      <c r="Y47" s="98" t="e">
        <f t="shared" si="7"/>
        <v>#REF!</v>
      </c>
      <c r="Z47" s="97" t="e">
        <f t="shared" si="8"/>
        <v>#REF!</v>
      </c>
      <c r="AA47" s="97" t="e">
        <f t="shared" si="9"/>
        <v>#REF!</v>
      </c>
      <c r="AC47" s="98" t="e">
        <f t="shared" si="10"/>
        <v>#REF!</v>
      </c>
      <c r="AD47" s="98" t="e">
        <f t="shared" si="11"/>
        <v>#REF!</v>
      </c>
      <c r="AE47" s="97" t="e">
        <f t="shared" si="12"/>
        <v>#REF!</v>
      </c>
      <c r="AF47" s="97" t="e">
        <f t="shared" si="13"/>
        <v>#REF!</v>
      </c>
      <c r="AH47" s="98" t="e">
        <f t="shared" si="14"/>
        <v>#REF!</v>
      </c>
      <c r="AI47" s="98" t="e">
        <f t="shared" si="15"/>
        <v>#REF!</v>
      </c>
      <c r="AJ47" s="97" t="e">
        <f t="shared" si="16"/>
        <v>#REF!</v>
      </c>
      <c r="AK47" s="97" t="e">
        <f t="shared" si="17"/>
        <v>#REF!</v>
      </c>
      <c r="DJ47" s="111"/>
      <c r="EV47" s="111"/>
      <c r="GM47" s="111"/>
      <c r="MR47" s="111"/>
      <c r="SJ47" s="111"/>
      <c r="TQ47" s="111"/>
      <c r="WJ47" s="111"/>
      <c r="XG47" s="111"/>
      <c r="AFG47" s="111"/>
      <c r="AHC47" s="111"/>
      <c r="AHN47" s="111"/>
      <c r="AYQ47" s="111"/>
      <c r="BBW47" s="111"/>
      <c r="BOB47" s="111"/>
      <c r="BOW47" s="111"/>
      <c r="BRB47" s="111"/>
      <c r="BUE47" s="111"/>
      <c r="BWK47" s="111"/>
      <c r="CDB47" s="111"/>
      <c r="CDN47" s="111"/>
      <c r="CEH47" s="111"/>
      <c r="CIE47" s="111"/>
      <c r="CJY47" s="111"/>
      <c r="CNP47" s="111"/>
      <c r="CVA47" s="111"/>
      <c r="CXO47" s="111"/>
      <c r="DAR47" s="111"/>
      <c r="DEG47" s="111"/>
      <c r="DEJ47" s="111"/>
      <c r="DEZ47" s="111"/>
      <c r="DKR47" s="111"/>
      <c r="DLQ47" s="111"/>
      <c r="DWM47" s="111"/>
    </row>
    <row r="48" spans="1:898 1343:1961 2134:3033 3315:3315" ht="15" customHeight="1">
      <c r="A48" s="108"/>
      <c r="B48" s="109" t="s">
        <v>199</v>
      </c>
      <c r="C48" s="103"/>
      <c r="D48" s="102">
        <v>1.29</v>
      </c>
      <c r="E48" s="101">
        <v>0.03</v>
      </c>
      <c r="F48" s="101">
        <v>-0.03</v>
      </c>
      <c r="G48" s="100">
        <f t="shared" si="0"/>
        <v>1.32</v>
      </c>
      <c r="H48" s="99">
        <f t="shared" si="1"/>
        <v>1.26</v>
      </c>
      <c r="I48" s="106"/>
      <c r="J48" s="2"/>
      <c r="K48" s="2"/>
      <c r="L48" s="2"/>
      <c r="M48" s="2"/>
      <c r="N48" s="2"/>
      <c r="O48" s="2"/>
      <c r="P48" s="2"/>
      <c r="Q48" s="2"/>
      <c r="S48" s="98">
        <f t="shared" si="2"/>
        <v>0</v>
      </c>
      <c r="T48" s="98">
        <f t="shared" si="3"/>
        <v>0</v>
      </c>
      <c r="U48" s="97">
        <f t="shared" si="4"/>
        <v>1.29</v>
      </c>
      <c r="V48" s="97">
        <f t="shared" si="5"/>
        <v>1.29</v>
      </c>
      <c r="X48" s="98" t="e">
        <f t="shared" si="6"/>
        <v>#REF!</v>
      </c>
      <c r="Y48" s="98" t="e">
        <f t="shared" si="7"/>
        <v>#REF!</v>
      </c>
      <c r="Z48" s="97" t="e">
        <f t="shared" si="8"/>
        <v>#REF!</v>
      </c>
      <c r="AA48" s="97" t="e">
        <f t="shared" si="9"/>
        <v>#REF!</v>
      </c>
      <c r="AC48" s="98" t="e">
        <f t="shared" si="10"/>
        <v>#REF!</v>
      </c>
      <c r="AD48" s="98" t="e">
        <f t="shared" si="11"/>
        <v>#REF!</v>
      </c>
      <c r="AE48" s="97" t="e">
        <f t="shared" si="12"/>
        <v>#REF!</v>
      </c>
      <c r="AF48" s="97" t="e">
        <f t="shared" si="13"/>
        <v>#REF!</v>
      </c>
      <c r="AH48" s="98" t="e">
        <f t="shared" si="14"/>
        <v>#REF!</v>
      </c>
      <c r="AI48" s="98" t="e">
        <f t="shared" si="15"/>
        <v>#REF!</v>
      </c>
      <c r="AJ48" s="97" t="e">
        <f t="shared" si="16"/>
        <v>#REF!</v>
      </c>
      <c r="AK48" s="97" t="e">
        <f t="shared" si="17"/>
        <v>#REF!</v>
      </c>
      <c r="DJ48" s="111"/>
      <c r="EV48" s="111"/>
      <c r="GM48" s="111"/>
      <c r="MR48" s="111"/>
      <c r="SJ48" s="111"/>
      <c r="TQ48" s="111"/>
      <c r="WJ48" s="111"/>
      <c r="XG48" s="111"/>
      <c r="AFG48" s="111"/>
      <c r="AHC48" s="111"/>
      <c r="AHN48" s="111"/>
      <c r="AYQ48" s="111"/>
      <c r="BBW48" s="111"/>
      <c r="BOB48" s="111"/>
      <c r="BOW48" s="111"/>
      <c r="BRB48" s="111"/>
      <c r="BUE48" s="111"/>
      <c r="BWK48" s="111"/>
      <c r="CDB48" s="111"/>
      <c r="CDN48" s="111"/>
      <c r="CEH48" s="111"/>
      <c r="CIE48" s="111"/>
      <c r="CJY48" s="111"/>
      <c r="CNP48" s="111"/>
      <c r="CVA48" s="111"/>
      <c r="CXO48" s="111"/>
      <c r="DAR48" s="111"/>
      <c r="DEG48" s="111"/>
      <c r="DEJ48" s="111"/>
      <c r="DEZ48" s="111"/>
      <c r="DKR48" s="111"/>
      <c r="DLQ48" s="111"/>
      <c r="DWM48" s="111"/>
    </row>
    <row r="49" spans="1:1005 1343:1961 2134:3033 3076:3315" ht="15" customHeight="1">
      <c r="A49" s="108"/>
      <c r="B49" s="109" t="s">
        <v>148</v>
      </c>
      <c r="C49" s="103"/>
      <c r="D49" s="102">
        <v>1.29</v>
      </c>
      <c r="E49" s="101">
        <v>0.03</v>
      </c>
      <c r="F49" s="101">
        <v>-0.03</v>
      </c>
      <c r="G49" s="100">
        <f t="shared" si="0"/>
        <v>1.32</v>
      </c>
      <c r="H49" s="99">
        <f t="shared" si="1"/>
        <v>1.26</v>
      </c>
      <c r="I49" s="106"/>
      <c r="J49" s="2"/>
      <c r="K49" s="2"/>
      <c r="L49" s="2"/>
      <c r="M49" s="2"/>
      <c r="N49" s="2"/>
      <c r="O49" s="2"/>
      <c r="P49" s="2"/>
      <c r="Q49" s="2"/>
      <c r="S49" s="98">
        <f t="shared" si="2"/>
        <v>0</v>
      </c>
      <c r="T49" s="98">
        <f t="shared" si="3"/>
        <v>0</v>
      </c>
      <c r="U49" s="97">
        <f t="shared" si="4"/>
        <v>1.29</v>
      </c>
      <c r="V49" s="97">
        <f t="shared" si="5"/>
        <v>1.29</v>
      </c>
      <c r="X49" s="98" t="e">
        <f t="shared" si="6"/>
        <v>#REF!</v>
      </c>
      <c r="Y49" s="98" t="e">
        <f t="shared" si="7"/>
        <v>#REF!</v>
      </c>
      <c r="Z49" s="97" t="e">
        <f t="shared" si="8"/>
        <v>#REF!</v>
      </c>
      <c r="AA49" s="97" t="e">
        <f t="shared" si="9"/>
        <v>#REF!</v>
      </c>
      <c r="AC49" s="98" t="e">
        <f t="shared" si="10"/>
        <v>#REF!</v>
      </c>
      <c r="AD49" s="98" t="e">
        <f t="shared" si="11"/>
        <v>#REF!</v>
      </c>
      <c r="AE49" s="97" t="e">
        <f t="shared" si="12"/>
        <v>#REF!</v>
      </c>
      <c r="AF49" s="97" t="e">
        <f t="shared" si="13"/>
        <v>#REF!</v>
      </c>
      <c r="AH49" s="98" t="e">
        <f t="shared" si="14"/>
        <v>#REF!</v>
      </c>
      <c r="AI49" s="98" t="e">
        <f t="shared" si="15"/>
        <v>#REF!</v>
      </c>
      <c r="AJ49" s="97" t="e">
        <f t="shared" si="16"/>
        <v>#REF!</v>
      </c>
      <c r="AK49" s="97" t="e">
        <f t="shared" si="17"/>
        <v>#REF!</v>
      </c>
      <c r="DJ49" s="111"/>
      <c r="EV49" s="111"/>
      <c r="GM49" s="111"/>
      <c r="MR49" s="111"/>
      <c r="SJ49" s="111"/>
      <c r="TQ49" s="111"/>
      <c r="WJ49" s="111"/>
      <c r="XG49" s="111"/>
      <c r="AFG49" s="111"/>
      <c r="AHC49" s="111"/>
      <c r="AHN49" s="111"/>
      <c r="AYQ49" s="111"/>
      <c r="BBW49" s="111"/>
      <c r="BOB49" s="111"/>
      <c r="BOW49" s="111"/>
      <c r="BRB49" s="111"/>
      <c r="BUE49" s="111"/>
      <c r="BWK49" s="111"/>
      <c r="CDB49" s="111"/>
      <c r="CDN49" s="111"/>
      <c r="CEH49" s="111"/>
      <c r="CIE49" s="111"/>
      <c r="CJY49" s="111"/>
      <c r="CNP49" s="111"/>
      <c r="CVA49" s="111"/>
      <c r="CXO49" s="111"/>
      <c r="DAR49" s="111"/>
      <c r="DEG49" s="111"/>
      <c r="DEJ49" s="111"/>
      <c r="DEZ49" s="111"/>
      <c r="DKR49" s="111"/>
      <c r="DLQ49" s="111"/>
      <c r="DWM49" s="111"/>
    </row>
    <row r="50" spans="1:1005 1343:1961 2134:3033 3076:3315" ht="15" customHeight="1">
      <c r="A50" s="108"/>
      <c r="B50" s="109" t="s">
        <v>149</v>
      </c>
      <c r="C50" s="103"/>
      <c r="D50" s="102">
        <v>1.29</v>
      </c>
      <c r="E50" s="101">
        <v>0.03</v>
      </c>
      <c r="F50" s="101">
        <v>-0.03</v>
      </c>
      <c r="G50" s="100">
        <f t="shared" si="0"/>
        <v>1.32</v>
      </c>
      <c r="H50" s="99">
        <f t="shared" si="1"/>
        <v>1.26</v>
      </c>
      <c r="I50" s="106"/>
      <c r="J50" s="2"/>
      <c r="K50" s="2"/>
      <c r="L50" s="2"/>
      <c r="M50" s="2"/>
      <c r="N50" s="2"/>
      <c r="O50" s="2"/>
      <c r="P50" s="2"/>
      <c r="Q50" s="2"/>
      <c r="S50" s="98">
        <f t="shared" si="2"/>
        <v>0</v>
      </c>
      <c r="T50" s="98">
        <f t="shared" si="3"/>
        <v>0</v>
      </c>
      <c r="U50" s="97">
        <f t="shared" si="4"/>
        <v>1.29</v>
      </c>
      <c r="V50" s="97">
        <f t="shared" si="5"/>
        <v>1.29</v>
      </c>
      <c r="X50" s="98" t="e">
        <f t="shared" si="6"/>
        <v>#REF!</v>
      </c>
      <c r="Y50" s="98" t="e">
        <f t="shared" si="7"/>
        <v>#REF!</v>
      </c>
      <c r="Z50" s="97" t="e">
        <f t="shared" si="8"/>
        <v>#REF!</v>
      </c>
      <c r="AA50" s="97" t="e">
        <f t="shared" si="9"/>
        <v>#REF!</v>
      </c>
      <c r="AC50" s="98" t="e">
        <f t="shared" si="10"/>
        <v>#REF!</v>
      </c>
      <c r="AD50" s="98" t="e">
        <f t="shared" si="11"/>
        <v>#REF!</v>
      </c>
      <c r="AE50" s="97" t="e">
        <f t="shared" si="12"/>
        <v>#REF!</v>
      </c>
      <c r="AF50" s="97" t="e">
        <f t="shared" si="13"/>
        <v>#REF!</v>
      </c>
      <c r="AH50" s="98" t="e">
        <f t="shared" si="14"/>
        <v>#REF!</v>
      </c>
      <c r="AI50" s="98" t="e">
        <f t="shared" si="15"/>
        <v>#REF!</v>
      </c>
      <c r="AJ50" s="97" t="e">
        <f t="shared" si="16"/>
        <v>#REF!</v>
      </c>
      <c r="AK50" s="97" t="e">
        <f t="shared" si="17"/>
        <v>#REF!</v>
      </c>
      <c r="DJ50" s="111"/>
      <c r="EV50" s="111"/>
      <c r="GM50" s="111"/>
      <c r="SJ50" s="111"/>
      <c r="TQ50" s="111"/>
      <c r="WJ50" s="111"/>
      <c r="XG50" s="111"/>
      <c r="AEZ50" s="111"/>
      <c r="AFG50" s="111"/>
      <c r="AHC50" s="111"/>
      <c r="AHN50" s="111"/>
      <c r="ALQ50" s="111"/>
      <c r="AYQ50" s="111"/>
      <c r="BBW50" s="111"/>
      <c r="BOW50" s="111"/>
      <c r="BRB50" s="111"/>
      <c r="BUS50" s="111"/>
      <c r="BWK50" s="111"/>
      <c r="CDB50" s="111"/>
      <c r="CIE50" s="111"/>
      <c r="CJY50" s="111"/>
      <c r="CNP50" s="111"/>
      <c r="CVA50" s="111"/>
      <c r="DAR50" s="111"/>
      <c r="DEG50" s="111"/>
      <c r="DEJ50" s="111"/>
      <c r="DEZ50" s="111"/>
      <c r="DKR50" s="111"/>
      <c r="DLQ50" s="111"/>
      <c r="DNH50" s="111"/>
      <c r="DWM50" s="111"/>
    </row>
    <row r="51" spans="1:1005 1343:1961 2134:3033 3076:3315" ht="15" customHeight="1">
      <c r="A51" s="108" t="s">
        <v>181</v>
      </c>
      <c r="B51" s="109" t="s">
        <v>200</v>
      </c>
      <c r="C51" s="103"/>
      <c r="D51" s="102">
        <v>1.29</v>
      </c>
      <c r="E51" s="101">
        <v>0.03</v>
      </c>
      <c r="F51" s="101">
        <v>-0.03</v>
      </c>
      <c r="G51" s="100">
        <f t="shared" si="0"/>
        <v>1.32</v>
      </c>
      <c r="H51" s="99">
        <f t="shared" si="1"/>
        <v>1.26</v>
      </c>
      <c r="I51" s="106"/>
      <c r="J51" s="2"/>
      <c r="K51" s="2"/>
      <c r="L51" s="2"/>
      <c r="M51" s="2"/>
      <c r="N51" s="2"/>
      <c r="O51" s="2"/>
      <c r="P51" s="2"/>
      <c r="Q51" s="2"/>
      <c r="S51" s="98">
        <f t="shared" si="2"/>
        <v>0.03</v>
      </c>
      <c r="T51" s="98">
        <f t="shared" si="3"/>
        <v>-0.03</v>
      </c>
      <c r="U51" s="97">
        <f t="shared" si="4"/>
        <v>1.32</v>
      </c>
      <c r="V51" s="97">
        <f t="shared" si="5"/>
        <v>1.26</v>
      </c>
      <c r="X51" s="98">
        <f t="shared" si="6"/>
        <v>0.03</v>
      </c>
      <c r="Y51" s="98">
        <f t="shared" si="7"/>
        <v>-0.03</v>
      </c>
      <c r="Z51" s="97">
        <f t="shared" si="8"/>
        <v>1.32</v>
      </c>
      <c r="AA51" s="97">
        <f t="shared" si="9"/>
        <v>1.26</v>
      </c>
      <c r="AC51" s="98">
        <f t="shared" si="10"/>
        <v>0.03</v>
      </c>
      <c r="AD51" s="98">
        <f t="shared" si="11"/>
        <v>-0.03</v>
      </c>
      <c r="AE51" s="97">
        <f t="shared" si="12"/>
        <v>1.32</v>
      </c>
      <c r="AF51" s="97">
        <f t="shared" si="13"/>
        <v>1.26</v>
      </c>
      <c r="AH51" s="98">
        <f t="shared" si="14"/>
        <v>0.03</v>
      </c>
      <c r="AI51" s="98">
        <f t="shared" si="15"/>
        <v>-0.03</v>
      </c>
      <c r="AJ51" s="97">
        <f t="shared" si="16"/>
        <v>1.32</v>
      </c>
      <c r="AK51" s="97">
        <f t="shared" si="17"/>
        <v>1.26</v>
      </c>
      <c r="DJ51" s="111"/>
      <c r="EV51" s="111"/>
      <c r="GM51" s="111"/>
      <c r="SJ51" s="111"/>
      <c r="TQ51" s="111"/>
      <c r="WJ51" s="111"/>
      <c r="XG51" s="111"/>
      <c r="AEZ51" s="111"/>
      <c r="AFG51" s="111"/>
      <c r="AHC51" s="111"/>
      <c r="AHN51" s="111"/>
      <c r="ALQ51" s="111"/>
      <c r="AYQ51" s="111"/>
      <c r="BBW51" s="111"/>
      <c r="BOW51" s="111"/>
      <c r="BRB51" s="111"/>
      <c r="BUS51" s="111"/>
      <c r="BWK51" s="111"/>
      <c r="CDB51" s="111"/>
      <c r="CIE51" s="111"/>
      <c r="CJY51" s="111"/>
      <c r="CNP51" s="111"/>
      <c r="CVA51" s="111"/>
      <c r="DAR51" s="111"/>
      <c r="DEG51" s="111"/>
      <c r="DEJ51" s="111"/>
      <c r="DEZ51" s="111"/>
      <c r="DKR51" s="111"/>
      <c r="DLQ51" s="111"/>
      <c r="DNH51" s="111"/>
      <c r="DWM51" s="111"/>
    </row>
    <row r="52" spans="1:1005 1343:1961 2134:3033 3076:3315" ht="15" customHeight="1">
      <c r="A52" s="108" t="s">
        <v>181</v>
      </c>
      <c r="B52" s="109" t="s">
        <v>145</v>
      </c>
      <c r="C52" s="103"/>
      <c r="D52" s="102">
        <v>1.29</v>
      </c>
      <c r="E52" s="101">
        <v>0.03</v>
      </c>
      <c r="F52" s="101">
        <v>-0.03</v>
      </c>
      <c r="G52" s="100">
        <f t="shared" si="0"/>
        <v>1.32</v>
      </c>
      <c r="H52" s="99">
        <f t="shared" si="1"/>
        <v>1.26</v>
      </c>
      <c r="I52" s="106"/>
      <c r="J52" s="2"/>
      <c r="K52" s="2"/>
      <c r="L52" s="2"/>
      <c r="M52" s="2"/>
      <c r="N52" s="2"/>
      <c r="O52" s="2"/>
      <c r="P52" s="2"/>
      <c r="Q52" s="2"/>
      <c r="S52" s="98">
        <f t="shared" si="2"/>
        <v>0.03</v>
      </c>
      <c r="T52" s="98">
        <f t="shared" si="3"/>
        <v>-0.03</v>
      </c>
      <c r="U52" s="97">
        <f t="shared" si="4"/>
        <v>1.32</v>
      </c>
      <c r="V52" s="97">
        <f t="shared" si="5"/>
        <v>1.26</v>
      </c>
      <c r="X52" s="98">
        <f t="shared" si="6"/>
        <v>0.03</v>
      </c>
      <c r="Y52" s="98">
        <f t="shared" si="7"/>
        <v>-0.03</v>
      </c>
      <c r="Z52" s="97">
        <f t="shared" si="8"/>
        <v>1.32</v>
      </c>
      <c r="AA52" s="97">
        <f t="shared" si="9"/>
        <v>1.26</v>
      </c>
      <c r="AC52" s="98">
        <f t="shared" si="10"/>
        <v>0.03</v>
      </c>
      <c r="AD52" s="98">
        <f t="shared" si="11"/>
        <v>-0.03</v>
      </c>
      <c r="AE52" s="97">
        <f t="shared" si="12"/>
        <v>1.32</v>
      </c>
      <c r="AF52" s="97">
        <f t="shared" si="13"/>
        <v>1.26</v>
      </c>
      <c r="AH52" s="98">
        <f t="shared" si="14"/>
        <v>0.03</v>
      </c>
      <c r="AI52" s="98">
        <f t="shared" si="15"/>
        <v>-0.03</v>
      </c>
      <c r="AJ52" s="97">
        <f t="shared" si="16"/>
        <v>1.32</v>
      </c>
      <c r="AK52" s="97">
        <f t="shared" si="17"/>
        <v>1.26</v>
      </c>
      <c r="DJ52" s="111"/>
      <c r="EV52" s="111"/>
      <c r="GM52" s="111"/>
      <c r="SJ52" s="111"/>
      <c r="TQ52" s="111"/>
      <c r="WJ52" s="111"/>
      <c r="XG52" s="111"/>
      <c r="AEZ52" s="111"/>
      <c r="AFG52" s="111"/>
      <c r="AHC52" s="111"/>
      <c r="AHN52" s="111"/>
      <c r="ALQ52" s="111"/>
      <c r="AYQ52" s="111"/>
      <c r="BBW52" s="111"/>
      <c r="BOW52" s="111"/>
      <c r="BRB52" s="111"/>
      <c r="BUS52" s="111"/>
      <c r="BWK52" s="111"/>
      <c r="CDB52" s="111"/>
      <c r="CIE52" s="111"/>
      <c r="CJY52" s="111"/>
      <c r="CNP52" s="111"/>
      <c r="CVA52" s="111"/>
      <c r="DAR52" s="111"/>
      <c r="DEG52" s="111"/>
      <c r="DEJ52" s="111"/>
      <c r="DEZ52" s="111"/>
      <c r="DKR52" s="111"/>
      <c r="DLQ52" s="111"/>
      <c r="DNH52" s="111"/>
      <c r="DWM52" s="111"/>
    </row>
    <row r="53" spans="1:1005 1343:1961 2134:3033 3076:3315" ht="15" customHeight="1">
      <c r="A53" s="108" t="s">
        <v>181</v>
      </c>
      <c r="B53" s="109" t="s">
        <v>146</v>
      </c>
      <c r="C53" s="103"/>
      <c r="D53" s="102">
        <v>1.29</v>
      </c>
      <c r="E53" s="101">
        <v>0.03</v>
      </c>
      <c r="F53" s="101">
        <v>-0.03</v>
      </c>
      <c r="G53" s="100">
        <f t="shared" si="0"/>
        <v>1.32</v>
      </c>
      <c r="H53" s="99">
        <f t="shared" si="1"/>
        <v>1.26</v>
      </c>
      <c r="I53" s="106"/>
      <c r="J53" s="2"/>
      <c r="K53" s="2"/>
      <c r="L53" s="2"/>
      <c r="M53" s="2"/>
      <c r="N53" s="2"/>
      <c r="O53" s="2"/>
      <c r="P53" s="2"/>
      <c r="Q53" s="2"/>
      <c r="S53" s="98">
        <f t="shared" si="2"/>
        <v>0.03</v>
      </c>
      <c r="T53" s="98">
        <f t="shared" si="3"/>
        <v>-0.03</v>
      </c>
      <c r="U53" s="97">
        <f t="shared" si="4"/>
        <v>1.32</v>
      </c>
      <c r="V53" s="97">
        <f t="shared" si="5"/>
        <v>1.26</v>
      </c>
      <c r="X53" s="98">
        <f t="shared" si="6"/>
        <v>0.03</v>
      </c>
      <c r="Y53" s="98">
        <f t="shared" si="7"/>
        <v>-0.03</v>
      </c>
      <c r="Z53" s="97">
        <f t="shared" si="8"/>
        <v>1.32</v>
      </c>
      <c r="AA53" s="97">
        <f t="shared" si="9"/>
        <v>1.26</v>
      </c>
      <c r="AC53" s="98">
        <f t="shared" si="10"/>
        <v>0.03</v>
      </c>
      <c r="AD53" s="98">
        <f t="shared" si="11"/>
        <v>-0.03</v>
      </c>
      <c r="AE53" s="97">
        <f t="shared" si="12"/>
        <v>1.32</v>
      </c>
      <c r="AF53" s="97">
        <f t="shared" si="13"/>
        <v>1.26</v>
      </c>
      <c r="AH53" s="98">
        <f t="shared" si="14"/>
        <v>0.03</v>
      </c>
      <c r="AI53" s="98">
        <f t="shared" si="15"/>
        <v>-0.03</v>
      </c>
      <c r="AJ53" s="97">
        <f t="shared" si="16"/>
        <v>1.32</v>
      </c>
      <c r="AK53" s="97">
        <f t="shared" si="17"/>
        <v>1.26</v>
      </c>
      <c r="DJ53" s="111"/>
      <c r="EV53" s="111"/>
      <c r="GM53" s="111"/>
      <c r="SJ53" s="111"/>
      <c r="TQ53" s="111"/>
      <c r="WJ53" s="111"/>
      <c r="XG53" s="111"/>
      <c r="AEZ53" s="111"/>
      <c r="AFG53" s="111"/>
      <c r="AHC53" s="111"/>
      <c r="AHN53" s="111"/>
      <c r="ALQ53" s="111"/>
      <c r="AYQ53" s="111"/>
      <c r="BBW53" s="111"/>
      <c r="BOW53" s="111"/>
      <c r="BRB53" s="111"/>
      <c r="BUS53" s="111"/>
      <c r="BWK53" s="111"/>
      <c r="CDB53" s="111"/>
      <c r="CIE53" s="111"/>
      <c r="CJY53" s="111"/>
      <c r="CNP53" s="111"/>
      <c r="CVA53" s="111"/>
      <c r="DAR53" s="111"/>
      <c r="DEG53" s="111"/>
      <c r="DEJ53" s="111"/>
      <c r="DEZ53" s="111"/>
      <c r="DKR53" s="111"/>
      <c r="DLQ53" s="111"/>
      <c r="DNH53" s="111"/>
      <c r="DWM53" s="111"/>
    </row>
    <row r="54" spans="1:1005 1343:1961 2134:3033 3076:3315" ht="15" customHeight="1">
      <c r="A54" s="108"/>
      <c r="B54" s="109" t="s">
        <v>118</v>
      </c>
      <c r="C54" s="103"/>
      <c r="D54" s="102">
        <v>15.262</v>
      </c>
      <c r="E54" s="101">
        <v>0.03</v>
      </c>
      <c r="F54" s="101">
        <v>-0.03</v>
      </c>
      <c r="G54" s="100">
        <f t="shared" si="0"/>
        <v>15.292</v>
      </c>
      <c r="H54" s="99">
        <f t="shared" si="1"/>
        <v>15.232000000000001</v>
      </c>
      <c r="I54" s="106"/>
      <c r="J54" s="2"/>
      <c r="K54" s="2"/>
      <c r="L54" s="2"/>
      <c r="M54" s="2"/>
      <c r="N54" s="2"/>
      <c r="O54" s="2"/>
      <c r="P54" s="2"/>
      <c r="Q54" s="2"/>
      <c r="S54" s="98">
        <f t="shared" si="2"/>
        <v>0</v>
      </c>
      <c r="T54" s="98">
        <f t="shared" si="3"/>
        <v>0</v>
      </c>
      <c r="U54" s="97">
        <f t="shared" si="4"/>
        <v>15.262</v>
      </c>
      <c r="V54" s="97">
        <f t="shared" si="5"/>
        <v>15.262</v>
      </c>
      <c r="X54" s="98" t="e">
        <f t="shared" si="6"/>
        <v>#REF!</v>
      </c>
      <c r="Y54" s="98" t="e">
        <f t="shared" si="7"/>
        <v>#REF!</v>
      </c>
      <c r="Z54" s="97" t="e">
        <f t="shared" si="8"/>
        <v>#REF!</v>
      </c>
      <c r="AA54" s="97" t="e">
        <f t="shared" si="9"/>
        <v>#REF!</v>
      </c>
      <c r="AC54" s="98" t="e">
        <f t="shared" si="10"/>
        <v>#REF!</v>
      </c>
      <c r="AD54" s="98" t="e">
        <f t="shared" si="11"/>
        <v>#REF!</v>
      </c>
      <c r="AE54" s="97" t="e">
        <f t="shared" si="12"/>
        <v>#REF!</v>
      </c>
      <c r="AF54" s="97" t="e">
        <f t="shared" si="13"/>
        <v>#REF!</v>
      </c>
      <c r="AH54" s="98" t="e">
        <f t="shared" si="14"/>
        <v>#REF!</v>
      </c>
      <c r="AI54" s="98" t="e">
        <f t="shared" si="15"/>
        <v>#REF!</v>
      </c>
      <c r="AJ54" s="97" t="e">
        <f t="shared" si="16"/>
        <v>#REF!</v>
      </c>
      <c r="AK54" s="97" t="e">
        <f t="shared" si="17"/>
        <v>#REF!</v>
      </c>
      <c r="DJ54" s="111"/>
      <c r="EV54" s="111"/>
      <c r="GM54" s="111"/>
      <c r="SJ54" s="111"/>
      <c r="TQ54" s="111"/>
      <c r="WJ54" s="111"/>
      <c r="XG54" s="111"/>
      <c r="AEZ54" s="111"/>
      <c r="AFG54" s="111"/>
      <c r="AHC54" s="111"/>
      <c r="AHN54" s="111"/>
      <c r="ALQ54" s="111"/>
      <c r="AYQ54" s="111"/>
      <c r="BBW54" s="111"/>
      <c r="BOW54" s="111"/>
      <c r="BRB54" s="111"/>
      <c r="BUS54" s="111"/>
      <c r="BWK54" s="111"/>
      <c r="CDB54" s="111"/>
      <c r="CIE54" s="111"/>
      <c r="CJY54" s="111"/>
      <c r="CNP54" s="111"/>
      <c r="CVA54" s="111"/>
      <c r="DAR54" s="111"/>
      <c r="DEG54" s="111"/>
      <c r="DEJ54" s="111"/>
      <c r="DEZ54" s="111"/>
      <c r="DKR54" s="111"/>
      <c r="DLQ54" s="111"/>
      <c r="DNH54" s="111"/>
      <c r="DWM54" s="111"/>
    </row>
    <row r="55" spans="1:1005 1343:1961 2134:3033 3076:3315" ht="15" customHeight="1">
      <c r="A55" s="108"/>
      <c r="B55" s="109" t="s">
        <v>119</v>
      </c>
      <c r="C55" s="103"/>
      <c r="D55" s="102">
        <v>12.839</v>
      </c>
      <c r="E55" s="101">
        <v>0.03</v>
      </c>
      <c r="F55" s="101">
        <v>-0.03</v>
      </c>
      <c r="G55" s="100">
        <f t="shared" si="0"/>
        <v>12.869</v>
      </c>
      <c r="H55" s="99">
        <f t="shared" si="1"/>
        <v>12.809000000000001</v>
      </c>
      <c r="I55" s="106"/>
      <c r="J55" s="2"/>
      <c r="K55" s="2"/>
      <c r="L55" s="2"/>
      <c r="M55" s="2"/>
      <c r="N55" s="2"/>
      <c r="O55" s="2"/>
      <c r="P55" s="2"/>
      <c r="Q55" s="2"/>
      <c r="S55" s="98">
        <f t="shared" si="2"/>
        <v>0</v>
      </c>
      <c r="T55" s="98">
        <f t="shared" si="3"/>
        <v>0</v>
      </c>
      <c r="U55" s="97">
        <f t="shared" si="4"/>
        <v>12.839</v>
      </c>
      <c r="V55" s="97">
        <f t="shared" si="5"/>
        <v>12.839</v>
      </c>
      <c r="X55" s="98" t="e">
        <f t="shared" si="6"/>
        <v>#REF!</v>
      </c>
      <c r="Y55" s="98" t="e">
        <f t="shared" si="7"/>
        <v>#REF!</v>
      </c>
      <c r="Z55" s="97" t="e">
        <f t="shared" si="8"/>
        <v>#REF!</v>
      </c>
      <c r="AA55" s="97" t="e">
        <f t="shared" si="9"/>
        <v>#REF!</v>
      </c>
      <c r="AC55" s="98" t="e">
        <f t="shared" si="10"/>
        <v>#REF!</v>
      </c>
      <c r="AD55" s="98" t="e">
        <f t="shared" si="11"/>
        <v>#REF!</v>
      </c>
      <c r="AE55" s="97" t="e">
        <f t="shared" si="12"/>
        <v>#REF!</v>
      </c>
      <c r="AF55" s="97" t="e">
        <f t="shared" si="13"/>
        <v>#REF!</v>
      </c>
      <c r="AH55" s="98" t="e">
        <f t="shared" si="14"/>
        <v>#REF!</v>
      </c>
      <c r="AI55" s="98" t="e">
        <f t="shared" si="15"/>
        <v>#REF!</v>
      </c>
      <c r="AJ55" s="97" t="e">
        <f t="shared" si="16"/>
        <v>#REF!</v>
      </c>
      <c r="AK55" s="97" t="e">
        <f t="shared" si="17"/>
        <v>#REF!</v>
      </c>
      <c r="DJ55" s="111"/>
      <c r="EV55" s="111"/>
      <c r="GM55" s="111"/>
      <c r="SJ55" s="111"/>
      <c r="TQ55" s="111"/>
      <c r="WJ55" s="111"/>
      <c r="XG55" s="111"/>
      <c r="AEZ55" s="111"/>
      <c r="AFG55" s="111"/>
      <c r="AHC55" s="111"/>
      <c r="AHN55" s="111"/>
      <c r="ALQ55" s="111"/>
      <c r="AYQ55" s="111"/>
      <c r="BBW55" s="111"/>
      <c r="BOW55" s="111"/>
      <c r="BRB55" s="111"/>
      <c r="BUS55" s="111"/>
      <c r="BWK55" s="111"/>
      <c r="CDB55" s="111"/>
      <c r="CIE55" s="111"/>
      <c r="CJY55" s="111"/>
      <c r="CNP55" s="111"/>
      <c r="CVA55" s="111"/>
      <c r="DAR55" s="111"/>
      <c r="DEG55" s="111"/>
      <c r="DEJ55" s="111"/>
      <c r="DEZ55" s="111"/>
      <c r="DKR55" s="111"/>
      <c r="DLQ55" s="111"/>
      <c r="DNH55" s="111"/>
      <c r="DWM55" s="111"/>
    </row>
    <row r="56" spans="1:1005 1343:1961 2134:3033 3076:3315" ht="15" customHeight="1">
      <c r="A56" s="108"/>
      <c r="B56" s="109" t="s">
        <v>120</v>
      </c>
      <c r="C56" s="103"/>
      <c r="D56" s="102">
        <v>2.6269999999999998</v>
      </c>
      <c r="E56" s="101">
        <v>0.03</v>
      </c>
      <c r="F56" s="101">
        <v>-0.03</v>
      </c>
      <c r="G56" s="100">
        <f t="shared" si="0"/>
        <v>2.6569999999999996</v>
      </c>
      <c r="H56" s="99">
        <f t="shared" si="1"/>
        <v>2.597</v>
      </c>
      <c r="I56" s="106"/>
      <c r="J56" s="2"/>
      <c r="K56" s="2"/>
      <c r="L56" s="2"/>
      <c r="M56" s="2"/>
      <c r="N56" s="2"/>
      <c r="O56" s="2"/>
      <c r="P56" s="2"/>
      <c r="Q56" s="2"/>
      <c r="S56" s="98">
        <f t="shared" si="2"/>
        <v>0</v>
      </c>
      <c r="T56" s="98">
        <f t="shared" si="3"/>
        <v>0</v>
      </c>
      <c r="U56" s="97">
        <f t="shared" si="4"/>
        <v>2.6269999999999998</v>
      </c>
      <c r="V56" s="97">
        <f t="shared" si="5"/>
        <v>2.6269999999999998</v>
      </c>
      <c r="X56" s="98" t="e">
        <f t="shared" si="6"/>
        <v>#REF!</v>
      </c>
      <c r="Y56" s="98" t="e">
        <f t="shared" si="7"/>
        <v>#REF!</v>
      </c>
      <c r="Z56" s="97" t="e">
        <f t="shared" si="8"/>
        <v>#REF!</v>
      </c>
      <c r="AA56" s="97" t="e">
        <f t="shared" si="9"/>
        <v>#REF!</v>
      </c>
      <c r="AC56" s="98" t="e">
        <f t="shared" si="10"/>
        <v>#REF!</v>
      </c>
      <c r="AD56" s="98" t="e">
        <f t="shared" si="11"/>
        <v>#REF!</v>
      </c>
      <c r="AE56" s="97" t="e">
        <f t="shared" si="12"/>
        <v>#REF!</v>
      </c>
      <c r="AF56" s="97" t="e">
        <f t="shared" si="13"/>
        <v>#REF!</v>
      </c>
      <c r="AH56" s="98" t="e">
        <f t="shared" si="14"/>
        <v>#REF!</v>
      </c>
      <c r="AI56" s="98" t="e">
        <f t="shared" si="15"/>
        <v>#REF!</v>
      </c>
      <c r="AJ56" s="97" t="e">
        <f t="shared" si="16"/>
        <v>#REF!</v>
      </c>
      <c r="AK56" s="97" t="e">
        <f t="shared" si="17"/>
        <v>#REF!</v>
      </c>
      <c r="DJ56" s="111"/>
      <c r="EV56" s="111"/>
      <c r="GM56" s="111"/>
      <c r="SJ56" s="111"/>
      <c r="TQ56" s="111"/>
      <c r="WJ56" s="111"/>
      <c r="XG56" s="111"/>
      <c r="AEZ56" s="111"/>
      <c r="AFG56" s="111"/>
      <c r="AHC56" s="111"/>
      <c r="AHN56" s="111"/>
      <c r="ALQ56" s="111"/>
      <c r="AYQ56" s="111"/>
      <c r="BBW56" s="111"/>
      <c r="BOW56" s="111"/>
      <c r="BRB56" s="111"/>
      <c r="BUS56" s="111"/>
      <c r="BWK56" s="111"/>
      <c r="CDB56" s="111"/>
      <c r="CIE56" s="111"/>
      <c r="CJY56" s="111"/>
      <c r="CNP56" s="111"/>
      <c r="CVA56" s="111"/>
      <c r="DAR56" s="111"/>
      <c r="DEG56" s="111"/>
      <c r="DEJ56" s="111"/>
      <c r="DEZ56" s="111"/>
      <c r="DKR56" s="111"/>
      <c r="DLQ56" s="111"/>
      <c r="DNH56" s="111"/>
      <c r="DWM56" s="111"/>
    </row>
    <row r="57" spans="1:1005 1343:1961 2134:3033 3076:3315" ht="15" customHeight="1">
      <c r="A57" s="108"/>
      <c r="B57" s="109"/>
      <c r="C57" s="103"/>
      <c r="D57" s="102"/>
      <c r="E57" s="101"/>
      <c r="F57" s="101"/>
      <c r="G57" s="100"/>
      <c r="H57" s="99"/>
      <c r="I57" s="106"/>
      <c r="J57" s="2"/>
      <c r="K57" s="2"/>
      <c r="L57" s="2"/>
      <c r="M57" s="2"/>
      <c r="N57" s="2"/>
      <c r="O57" s="2"/>
      <c r="P57" s="2"/>
      <c r="Q57" s="2"/>
      <c r="S57" s="98">
        <f t="shared" si="2"/>
        <v>0</v>
      </c>
      <c r="T57" s="98">
        <f t="shared" si="3"/>
        <v>0</v>
      </c>
      <c r="U57" s="97">
        <f t="shared" si="4"/>
        <v>0</v>
      </c>
      <c r="V57" s="97">
        <f t="shared" si="5"/>
        <v>0</v>
      </c>
      <c r="X57" s="98" t="e">
        <f t="shared" si="6"/>
        <v>#REF!</v>
      </c>
      <c r="Y57" s="98" t="e">
        <f t="shared" si="7"/>
        <v>#REF!</v>
      </c>
      <c r="Z57" s="97" t="e">
        <f t="shared" si="8"/>
        <v>#REF!</v>
      </c>
      <c r="AA57" s="97" t="e">
        <f t="shared" si="9"/>
        <v>#REF!</v>
      </c>
      <c r="AC57" s="98" t="e">
        <f t="shared" si="10"/>
        <v>#REF!</v>
      </c>
      <c r="AD57" s="98" t="e">
        <f t="shared" si="11"/>
        <v>#REF!</v>
      </c>
      <c r="AE57" s="97" t="e">
        <f t="shared" si="12"/>
        <v>#REF!</v>
      </c>
      <c r="AF57" s="97" t="e">
        <f t="shared" si="13"/>
        <v>#REF!</v>
      </c>
      <c r="AH57" s="98" t="e">
        <f t="shared" si="14"/>
        <v>#REF!</v>
      </c>
      <c r="AI57" s="98" t="e">
        <f t="shared" si="15"/>
        <v>#REF!</v>
      </c>
      <c r="AJ57" s="97" t="e">
        <f t="shared" si="16"/>
        <v>#REF!</v>
      </c>
      <c r="AK57" s="97" t="e">
        <f t="shared" si="17"/>
        <v>#REF!</v>
      </c>
      <c r="DJ57" s="111"/>
      <c r="EV57" s="111"/>
      <c r="GM57" s="111"/>
      <c r="MR57" s="111"/>
      <c r="SJ57" s="111"/>
      <c r="TQ57" s="111"/>
      <c r="WJ57" s="111"/>
      <c r="XG57" s="111"/>
      <c r="AFG57" s="111"/>
      <c r="AHC57" s="111"/>
      <c r="AHN57" s="111"/>
      <c r="AYQ57" s="111"/>
      <c r="BBW57" s="111"/>
      <c r="BOB57" s="111"/>
      <c r="BOW57" s="111"/>
      <c r="BRB57" s="111"/>
      <c r="BUE57" s="111"/>
      <c r="BWK57" s="111"/>
      <c r="CDB57" s="111"/>
      <c r="CDN57" s="111"/>
      <c r="CEH57" s="111"/>
      <c r="CIE57" s="111"/>
      <c r="CJY57" s="111"/>
      <c r="CNP57" s="111"/>
      <c r="CVA57" s="111"/>
      <c r="CXO57" s="111"/>
      <c r="DAR57" s="111"/>
      <c r="DEG57" s="111"/>
      <c r="DEJ57" s="111"/>
      <c r="DEZ57" s="111"/>
      <c r="DKR57" s="111"/>
      <c r="DLQ57" s="111"/>
      <c r="DWM57" s="111"/>
    </row>
    <row r="58" spans="1:1005 1343:1961 2134:3033 3076:3315" ht="15" customHeight="1">
      <c r="A58" s="108"/>
      <c r="B58" s="109"/>
      <c r="C58" s="103"/>
      <c r="D58" s="102"/>
      <c r="E58" s="101"/>
      <c r="F58" s="101"/>
      <c r="G58" s="100"/>
      <c r="H58" s="99"/>
      <c r="I58" s="106"/>
      <c r="J58" s="2"/>
      <c r="K58" s="2"/>
      <c r="L58" s="2"/>
      <c r="M58" s="2"/>
      <c r="N58" s="2"/>
      <c r="O58" s="2"/>
      <c r="P58" s="2"/>
      <c r="Q58" s="2"/>
      <c r="S58" s="98">
        <f t="shared" si="2"/>
        <v>0</v>
      </c>
      <c r="T58" s="98">
        <f t="shared" si="3"/>
        <v>0</v>
      </c>
      <c r="U58" s="97">
        <f t="shared" si="4"/>
        <v>0</v>
      </c>
      <c r="V58" s="97">
        <f t="shared" si="5"/>
        <v>0</v>
      </c>
      <c r="X58" s="98" t="e">
        <f t="shared" si="6"/>
        <v>#REF!</v>
      </c>
      <c r="Y58" s="98" t="e">
        <f t="shared" si="7"/>
        <v>#REF!</v>
      </c>
      <c r="Z58" s="97" t="e">
        <f t="shared" si="8"/>
        <v>#REF!</v>
      </c>
      <c r="AA58" s="97" t="e">
        <f t="shared" si="9"/>
        <v>#REF!</v>
      </c>
      <c r="AC58" s="98" t="e">
        <f t="shared" si="10"/>
        <v>#REF!</v>
      </c>
      <c r="AD58" s="98" t="e">
        <f t="shared" si="11"/>
        <v>#REF!</v>
      </c>
      <c r="AE58" s="97" t="e">
        <f t="shared" si="12"/>
        <v>#REF!</v>
      </c>
      <c r="AF58" s="97" t="e">
        <f t="shared" si="13"/>
        <v>#REF!</v>
      </c>
      <c r="AH58" s="98" t="e">
        <f t="shared" si="14"/>
        <v>#REF!</v>
      </c>
      <c r="AI58" s="98" t="e">
        <f t="shared" si="15"/>
        <v>#REF!</v>
      </c>
      <c r="AJ58" s="97" t="e">
        <f t="shared" si="16"/>
        <v>#REF!</v>
      </c>
      <c r="AK58" s="97" t="e">
        <f t="shared" si="17"/>
        <v>#REF!</v>
      </c>
      <c r="DJ58" s="111"/>
      <c r="EV58" s="111"/>
      <c r="GM58" s="111"/>
      <c r="MR58" s="111"/>
      <c r="SJ58" s="111"/>
      <c r="TQ58" s="111"/>
      <c r="WJ58" s="111"/>
      <c r="XG58" s="111"/>
      <c r="AFG58" s="111"/>
      <c r="AHC58" s="111"/>
      <c r="AHN58" s="111"/>
      <c r="AYQ58" s="111"/>
      <c r="BBW58" s="111"/>
      <c r="BOB58" s="111"/>
      <c r="BOW58" s="111"/>
      <c r="BRB58" s="111"/>
      <c r="BUE58" s="111"/>
      <c r="BWK58" s="111"/>
      <c r="CDB58" s="111"/>
      <c r="CDN58" s="111"/>
      <c r="CEH58" s="111"/>
      <c r="CIE58" s="111"/>
      <c r="CJY58" s="111"/>
      <c r="CNP58" s="111"/>
      <c r="CVA58" s="111"/>
      <c r="CXO58" s="111"/>
      <c r="DAR58" s="111"/>
      <c r="DEG58" s="111"/>
      <c r="DEJ58" s="111"/>
      <c r="DEZ58" s="111"/>
      <c r="DKR58" s="111"/>
      <c r="DLQ58" s="111"/>
      <c r="DWM58" s="111"/>
    </row>
    <row r="59" spans="1:1005 1343:1961 2134:3033 3076:3315" ht="15" customHeight="1">
      <c r="A59" s="108"/>
      <c r="B59" s="109"/>
      <c r="C59" s="103"/>
      <c r="D59" s="102"/>
      <c r="E59" s="101"/>
      <c r="F59" s="101"/>
      <c r="G59" s="100"/>
      <c r="H59" s="99"/>
      <c r="I59" s="106"/>
      <c r="J59" s="2"/>
      <c r="K59" s="2"/>
      <c r="L59" s="2"/>
      <c r="M59" s="2"/>
      <c r="N59" s="2"/>
      <c r="O59" s="2"/>
      <c r="P59" s="2"/>
      <c r="Q59" s="2"/>
      <c r="S59" s="98">
        <f t="shared" si="2"/>
        <v>0</v>
      </c>
      <c r="T59" s="98">
        <f t="shared" si="3"/>
        <v>0</v>
      </c>
      <c r="U59" s="97">
        <f t="shared" si="4"/>
        <v>0</v>
      </c>
      <c r="V59" s="97">
        <f t="shared" si="5"/>
        <v>0</v>
      </c>
      <c r="X59" s="98" t="e">
        <f t="shared" si="6"/>
        <v>#REF!</v>
      </c>
      <c r="Y59" s="98" t="e">
        <f t="shared" si="7"/>
        <v>#REF!</v>
      </c>
      <c r="Z59" s="97" t="e">
        <f t="shared" si="8"/>
        <v>#REF!</v>
      </c>
      <c r="AA59" s="97" t="e">
        <f t="shared" si="9"/>
        <v>#REF!</v>
      </c>
      <c r="AC59" s="98" t="e">
        <f t="shared" si="10"/>
        <v>#REF!</v>
      </c>
      <c r="AD59" s="98" t="e">
        <f t="shared" si="11"/>
        <v>#REF!</v>
      </c>
      <c r="AE59" s="97" t="e">
        <f t="shared" si="12"/>
        <v>#REF!</v>
      </c>
      <c r="AF59" s="97" t="e">
        <f t="shared" si="13"/>
        <v>#REF!</v>
      </c>
      <c r="AH59" s="98" t="e">
        <f t="shared" si="14"/>
        <v>#REF!</v>
      </c>
      <c r="AI59" s="98" t="e">
        <f t="shared" si="15"/>
        <v>#REF!</v>
      </c>
      <c r="AJ59" s="97" t="e">
        <f t="shared" si="16"/>
        <v>#REF!</v>
      </c>
      <c r="AK59" s="97" t="e">
        <f t="shared" si="17"/>
        <v>#REF!</v>
      </c>
      <c r="DJ59" s="111"/>
      <c r="EV59" s="111"/>
      <c r="GM59" s="111"/>
      <c r="MR59" s="111"/>
      <c r="SJ59" s="111"/>
      <c r="TQ59" s="111"/>
      <c r="WJ59" s="111"/>
      <c r="XG59" s="111"/>
      <c r="AFG59" s="111"/>
      <c r="AHC59" s="111"/>
      <c r="AHN59" s="111"/>
      <c r="AYQ59" s="111"/>
      <c r="BBW59" s="111"/>
      <c r="BOB59" s="111"/>
      <c r="BOW59" s="111"/>
      <c r="BRB59" s="111"/>
      <c r="BUE59" s="111"/>
      <c r="BWK59" s="111"/>
      <c r="CDB59" s="111"/>
      <c r="CDN59" s="111"/>
      <c r="CEH59" s="111"/>
      <c r="CIE59" s="111"/>
      <c r="CJY59" s="111"/>
      <c r="CNP59" s="111"/>
      <c r="CVA59" s="111"/>
      <c r="CXO59" s="111"/>
      <c r="DAR59" s="111"/>
      <c r="DEG59" s="111"/>
      <c r="DEJ59" s="111"/>
      <c r="DEZ59" s="111"/>
      <c r="DKR59" s="111"/>
      <c r="DLQ59" s="111"/>
      <c r="DWM59" s="111"/>
    </row>
    <row r="60" spans="1:1005 1343:1961 2134:3033 3076:3315" ht="15" customHeight="1">
      <c r="A60" s="108"/>
      <c r="B60" s="109"/>
      <c r="C60" s="103"/>
      <c r="D60" s="102"/>
      <c r="E60" s="101"/>
      <c r="F60" s="101"/>
      <c r="G60" s="100"/>
      <c r="H60" s="99"/>
      <c r="I60" s="106"/>
      <c r="J60" s="2"/>
      <c r="K60" s="2"/>
      <c r="L60" s="2"/>
      <c r="M60" s="2"/>
      <c r="N60" s="2"/>
      <c r="O60" s="2"/>
      <c r="P60" s="2"/>
      <c r="Q60" s="2"/>
      <c r="S60" s="98">
        <f t="shared" si="2"/>
        <v>0</v>
      </c>
      <c r="T60" s="98">
        <f t="shared" si="3"/>
        <v>0</v>
      </c>
      <c r="U60" s="97">
        <f t="shared" si="4"/>
        <v>0</v>
      </c>
      <c r="V60" s="97">
        <f t="shared" si="5"/>
        <v>0</v>
      </c>
      <c r="X60" s="98" t="e">
        <f t="shared" si="6"/>
        <v>#REF!</v>
      </c>
      <c r="Y60" s="98" t="e">
        <f t="shared" si="7"/>
        <v>#REF!</v>
      </c>
      <c r="Z60" s="97" t="e">
        <f t="shared" si="8"/>
        <v>#REF!</v>
      </c>
      <c r="AA60" s="97" t="e">
        <f t="shared" si="9"/>
        <v>#REF!</v>
      </c>
      <c r="AC60" s="98" t="e">
        <f t="shared" si="10"/>
        <v>#REF!</v>
      </c>
      <c r="AD60" s="98" t="e">
        <f t="shared" si="11"/>
        <v>#REF!</v>
      </c>
      <c r="AE60" s="97" t="e">
        <f t="shared" si="12"/>
        <v>#REF!</v>
      </c>
      <c r="AF60" s="97" t="e">
        <f t="shared" si="13"/>
        <v>#REF!</v>
      </c>
      <c r="AH60" s="98" t="e">
        <f t="shared" si="14"/>
        <v>#REF!</v>
      </c>
      <c r="AI60" s="98" t="e">
        <f t="shared" si="15"/>
        <v>#REF!</v>
      </c>
      <c r="AJ60" s="97" t="e">
        <f t="shared" si="16"/>
        <v>#REF!</v>
      </c>
      <c r="AK60" s="97" t="e">
        <f t="shared" si="17"/>
        <v>#REF!</v>
      </c>
      <c r="DJ60" s="111"/>
      <c r="EV60" s="111"/>
      <c r="GM60" s="111"/>
      <c r="MR60" s="111"/>
      <c r="SJ60" s="111"/>
      <c r="TQ60" s="111"/>
      <c r="WJ60" s="111"/>
      <c r="XG60" s="111"/>
      <c r="AFG60" s="111"/>
      <c r="AHC60" s="111"/>
      <c r="AHN60" s="111"/>
      <c r="AYQ60" s="111"/>
      <c r="BBW60" s="111"/>
      <c r="BOB60" s="111"/>
      <c r="BOW60" s="111"/>
      <c r="BRB60" s="111"/>
      <c r="BUE60" s="111"/>
      <c r="BWK60" s="111"/>
      <c r="CDB60" s="111"/>
      <c r="CDN60" s="111"/>
      <c r="CEH60" s="111"/>
      <c r="CIE60" s="111"/>
      <c r="CJY60" s="111"/>
      <c r="CNP60" s="111"/>
      <c r="CVA60" s="111"/>
      <c r="CXO60" s="111"/>
      <c r="DAR60" s="111"/>
      <c r="DEG60" s="111"/>
      <c r="DEJ60" s="111"/>
      <c r="DEZ60" s="111"/>
      <c r="DKR60" s="111"/>
      <c r="DLQ60" s="111"/>
      <c r="DWM60" s="111"/>
    </row>
    <row r="61" spans="1:1005 1343:1961 2134:3033 3076:3315" ht="15" customHeight="1">
      <c r="A61" s="108"/>
      <c r="B61" s="109"/>
      <c r="C61" s="103"/>
      <c r="D61" s="102"/>
      <c r="E61" s="101"/>
      <c r="F61" s="101"/>
      <c r="G61" s="100"/>
      <c r="H61" s="99"/>
      <c r="I61" s="106"/>
      <c r="J61" s="2"/>
      <c r="K61" s="2"/>
      <c r="L61" s="2"/>
      <c r="M61" s="2"/>
      <c r="N61" s="2"/>
      <c r="O61" s="2"/>
      <c r="P61" s="2"/>
      <c r="Q61" s="2"/>
      <c r="S61" s="98">
        <f t="shared" si="2"/>
        <v>0</v>
      </c>
      <c r="T61" s="98">
        <f t="shared" si="3"/>
        <v>0</v>
      </c>
      <c r="U61" s="97">
        <f t="shared" si="4"/>
        <v>0</v>
      </c>
      <c r="V61" s="97">
        <f t="shared" si="5"/>
        <v>0</v>
      </c>
      <c r="X61" s="98" t="e">
        <f t="shared" si="6"/>
        <v>#REF!</v>
      </c>
      <c r="Y61" s="98" t="e">
        <f t="shared" si="7"/>
        <v>#REF!</v>
      </c>
      <c r="Z61" s="97" t="e">
        <f t="shared" si="8"/>
        <v>#REF!</v>
      </c>
      <c r="AA61" s="97" t="e">
        <f t="shared" si="9"/>
        <v>#REF!</v>
      </c>
      <c r="AC61" s="98" t="e">
        <f t="shared" si="10"/>
        <v>#REF!</v>
      </c>
      <c r="AD61" s="98" t="e">
        <f t="shared" si="11"/>
        <v>#REF!</v>
      </c>
      <c r="AE61" s="97" t="e">
        <f t="shared" si="12"/>
        <v>#REF!</v>
      </c>
      <c r="AF61" s="97" t="e">
        <f t="shared" si="13"/>
        <v>#REF!</v>
      </c>
      <c r="AH61" s="98" t="e">
        <f t="shared" si="14"/>
        <v>#REF!</v>
      </c>
      <c r="AI61" s="98" t="e">
        <f t="shared" si="15"/>
        <v>#REF!</v>
      </c>
      <c r="AJ61" s="97" t="e">
        <f t="shared" si="16"/>
        <v>#REF!</v>
      </c>
      <c r="AK61" s="97" t="e">
        <f t="shared" si="17"/>
        <v>#REF!</v>
      </c>
      <c r="DJ61" s="111"/>
      <c r="EV61" s="111"/>
      <c r="GM61" s="111"/>
      <c r="MR61" s="111"/>
      <c r="SJ61" s="111"/>
      <c r="TQ61" s="111"/>
      <c r="WJ61" s="111"/>
      <c r="XG61" s="111"/>
      <c r="AFG61" s="111"/>
      <c r="AHC61" s="111"/>
      <c r="AHN61" s="111"/>
      <c r="AYQ61" s="111"/>
      <c r="BBW61" s="111"/>
      <c r="BOB61" s="111"/>
      <c r="BOW61" s="111"/>
      <c r="BRB61" s="111"/>
      <c r="BUE61" s="111"/>
      <c r="BWK61" s="111"/>
      <c r="CDB61" s="111"/>
      <c r="CDN61" s="111"/>
      <c r="CEH61" s="111"/>
      <c r="CIE61" s="111"/>
      <c r="CJY61" s="111"/>
      <c r="CNP61" s="111"/>
      <c r="CVA61" s="111"/>
      <c r="CXO61" s="111"/>
      <c r="DAR61" s="111"/>
      <c r="DEG61" s="111"/>
      <c r="DEJ61" s="111"/>
      <c r="DEZ61" s="111"/>
      <c r="DKR61" s="111"/>
      <c r="DLQ61" s="111"/>
      <c r="DWM61" s="111"/>
    </row>
    <row r="62" spans="1:1005 1343:1961 2134:3033 3076:3315" ht="15" customHeight="1">
      <c r="A62" s="108"/>
      <c r="B62" s="109"/>
      <c r="C62" s="103"/>
      <c r="D62" s="102"/>
      <c r="E62" s="101"/>
      <c r="F62" s="101"/>
      <c r="G62" s="100"/>
      <c r="H62" s="99"/>
      <c r="I62" s="106"/>
      <c r="J62" s="2"/>
      <c r="K62" s="2"/>
      <c r="L62" s="2"/>
      <c r="M62" s="2"/>
      <c r="N62" s="2"/>
      <c r="O62" s="2"/>
      <c r="P62" s="2"/>
      <c r="Q62" s="2"/>
      <c r="S62" s="98">
        <f t="shared" si="2"/>
        <v>0</v>
      </c>
      <c r="T62" s="98">
        <f t="shared" si="3"/>
        <v>0</v>
      </c>
      <c r="U62" s="97">
        <f t="shared" si="4"/>
        <v>0</v>
      </c>
      <c r="V62" s="97">
        <f t="shared" si="5"/>
        <v>0</v>
      </c>
      <c r="X62" s="98" t="e">
        <f t="shared" si="6"/>
        <v>#REF!</v>
      </c>
      <c r="Y62" s="98" t="e">
        <f t="shared" si="7"/>
        <v>#REF!</v>
      </c>
      <c r="Z62" s="97" t="e">
        <f t="shared" si="8"/>
        <v>#REF!</v>
      </c>
      <c r="AA62" s="97" t="e">
        <f t="shared" si="9"/>
        <v>#REF!</v>
      </c>
      <c r="AC62" s="98" t="e">
        <f t="shared" si="10"/>
        <v>#REF!</v>
      </c>
      <c r="AD62" s="98" t="e">
        <f t="shared" si="11"/>
        <v>#REF!</v>
      </c>
      <c r="AE62" s="97" t="e">
        <f t="shared" si="12"/>
        <v>#REF!</v>
      </c>
      <c r="AF62" s="97" t="e">
        <f t="shared" si="13"/>
        <v>#REF!</v>
      </c>
      <c r="AH62" s="98" t="e">
        <f t="shared" si="14"/>
        <v>#REF!</v>
      </c>
      <c r="AI62" s="98" t="e">
        <f t="shared" si="15"/>
        <v>#REF!</v>
      </c>
      <c r="AJ62" s="97" t="e">
        <f t="shared" si="16"/>
        <v>#REF!</v>
      </c>
      <c r="AK62" s="97" t="e">
        <f t="shared" si="17"/>
        <v>#REF!</v>
      </c>
      <c r="DJ62" s="111"/>
      <c r="EV62" s="111"/>
      <c r="GM62" s="111"/>
      <c r="MR62" s="111"/>
      <c r="SJ62" s="111"/>
      <c r="TQ62" s="111"/>
      <c r="WJ62" s="111"/>
      <c r="XG62" s="111"/>
      <c r="AFG62" s="111"/>
      <c r="AHC62" s="111"/>
      <c r="AHN62" s="111"/>
      <c r="AYQ62" s="111"/>
      <c r="BBW62" s="111"/>
      <c r="BOB62" s="111"/>
      <c r="BOW62" s="111"/>
      <c r="BRB62" s="111"/>
      <c r="BUE62" s="111"/>
      <c r="BWK62" s="111"/>
      <c r="CDB62" s="111"/>
      <c r="CDN62" s="111"/>
      <c r="CEH62" s="111"/>
      <c r="CIE62" s="111"/>
      <c r="CJY62" s="111"/>
      <c r="CNP62" s="111"/>
      <c r="CVA62" s="111"/>
      <c r="CXO62" s="111"/>
      <c r="DAR62" s="111"/>
      <c r="DEG62" s="111"/>
      <c r="DEJ62" s="111"/>
      <c r="DEZ62" s="111"/>
      <c r="DKR62" s="111"/>
      <c r="DLQ62" s="111"/>
      <c r="DWM62" s="111"/>
    </row>
    <row r="63" spans="1:1005 1343:1961 2134:3033 3076:3315" ht="15" customHeight="1">
      <c r="A63" s="108"/>
      <c r="B63" s="109"/>
      <c r="C63" s="103"/>
      <c r="D63" s="102"/>
      <c r="E63" s="101"/>
      <c r="F63" s="101"/>
      <c r="G63" s="100"/>
      <c r="H63" s="99"/>
      <c r="I63" s="106"/>
      <c r="J63" s="2"/>
      <c r="K63" s="2"/>
      <c r="L63" s="2"/>
      <c r="M63" s="2"/>
      <c r="N63" s="2"/>
      <c r="O63" s="2"/>
      <c r="P63" s="2"/>
      <c r="Q63" s="2"/>
      <c r="S63" s="98">
        <f t="shared" si="2"/>
        <v>0</v>
      </c>
      <c r="T63" s="98">
        <f t="shared" si="3"/>
        <v>0</v>
      </c>
      <c r="U63" s="97">
        <f t="shared" si="4"/>
        <v>0</v>
      </c>
      <c r="V63" s="97">
        <f t="shared" si="5"/>
        <v>0</v>
      </c>
      <c r="X63" s="98" t="e">
        <f t="shared" si="6"/>
        <v>#REF!</v>
      </c>
      <c r="Y63" s="98" t="e">
        <f t="shared" si="7"/>
        <v>#REF!</v>
      </c>
      <c r="Z63" s="97" t="e">
        <f t="shared" si="8"/>
        <v>#REF!</v>
      </c>
      <c r="AA63" s="97" t="e">
        <f t="shared" si="9"/>
        <v>#REF!</v>
      </c>
      <c r="AC63" s="98" t="e">
        <f t="shared" si="10"/>
        <v>#REF!</v>
      </c>
      <c r="AD63" s="98" t="e">
        <f t="shared" si="11"/>
        <v>#REF!</v>
      </c>
      <c r="AE63" s="97" t="e">
        <f t="shared" si="12"/>
        <v>#REF!</v>
      </c>
      <c r="AF63" s="97" t="e">
        <f t="shared" si="13"/>
        <v>#REF!</v>
      </c>
      <c r="AH63" s="98" t="e">
        <f t="shared" si="14"/>
        <v>#REF!</v>
      </c>
      <c r="AI63" s="98" t="e">
        <f t="shared" si="15"/>
        <v>#REF!</v>
      </c>
      <c r="AJ63" s="97" t="e">
        <f t="shared" si="16"/>
        <v>#REF!</v>
      </c>
      <c r="AK63" s="97" t="e">
        <f t="shared" si="17"/>
        <v>#REF!</v>
      </c>
      <c r="DJ63" s="111"/>
      <c r="EV63" s="111"/>
      <c r="GM63" s="111"/>
      <c r="MR63" s="111"/>
      <c r="SJ63" s="111"/>
      <c r="TQ63" s="111"/>
      <c r="WJ63" s="111"/>
      <c r="XG63" s="111"/>
      <c r="AFG63" s="111"/>
      <c r="AHC63" s="111"/>
      <c r="AHN63" s="111"/>
      <c r="AYQ63" s="111"/>
      <c r="BBW63" s="111"/>
      <c r="BOB63" s="111"/>
      <c r="BOW63" s="111"/>
      <c r="BRB63" s="111"/>
      <c r="BUE63" s="111"/>
      <c r="BWK63" s="111"/>
      <c r="CDB63" s="111"/>
      <c r="CDN63" s="111"/>
      <c r="CEH63" s="111"/>
      <c r="CIE63" s="111"/>
      <c r="CJY63" s="111"/>
      <c r="CNP63" s="111"/>
      <c r="CVA63" s="111"/>
      <c r="CXO63" s="111"/>
      <c r="DAR63" s="111"/>
      <c r="DEG63" s="111"/>
      <c r="DEJ63" s="111"/>
      <c r="DEZ63" s="111"/>
      <c r="DKR63" s="111"/>
      <c r="DLQ63" s="111"/>
      <c r="DWM63" s="111"/>
    </row>
    <row r="64" spans="1:1005 1343:1961 2134:3033 3076:3315" ht="15" customHeight="1">
      <c r="A64" s="108"/>
      <c r="B64" s="109"/>
      <c r="C64" s="103"/>
      <c r="D64" s="102"/>
      <c r="E64" s="101"/>
      <c r="F64" s="101"/>
      <c r="G64" s="100"/>
      <c r="H64" s="99"/>
      <c r="I64" s="106"/>
      <c r="J64" s="2"/>
      <c r="K64" s="2"/>
      <c r="L64" s="2"/>
      <c r="M64" s="2"/>
      <c r="N64" s="2"/>
      <c r="O64" s="2"/>
      <c r="P64" s="2"/>
      <c r="Q64" s="2"/>
      <c r="S64" s="98">
        <f t="shared" si="2"/>
        <v>0</v>
      </c>
      <c r="T64" s="98">
        <f t="shared" si="3"/>
        <v>0</v>
      </c>
      <c r="U64" s="97">
        <f t="shared" si="4"/>
        <v>0</v>
      </c>
      <c r="V64" s="97">
        <f t="shared" si="5"/>
        <v>0</v>
      </c>
      <c r="X64" s="98" t="e">
        <f t="shared" si="6"/>
        <v>#REF!</v>
      </c>
      <c r="Y64" s="98" t="e">
        <f t="shared" si="7"/>
        <v>#REF!</v>
      </c>
      <c r="Z64" s="97" t="e">
        <f t="shared" si="8"/>
        <v>#REF!</v>
      </c>
      <c r="AA64" s="97" t="e">
        <f t="shared" si="9"/>
        <v>#REF!</v>
      </c>
      <c r="AC64" s="98" t="e">
        <f t="shared" si="10"/>
        <v>#REF!</v>
      </c>
      <c r="AD64" s="98" t="e">
        <f t="shared" si="11"/>
        <v>#REF!</v>
      </c>
      <c r="AE64" s="97" t="e">
        <f t="shared" si="12"/>
        <v>#REF!</v>
      </c>
      <c r="AF64" s="97" t="e">
        <f t="shared" si="13"/>
        <v>#REF!</v>
      </c>
      <c r="AH64" s="98" t="e">
        <f t="shared" si="14"/>
        <v>#REF!</v>
      </c>
      <c r="AI64" s="98" t="e">
        <f t="shared" si="15"/>
        <v>#REF!</v>
      </c>
      <c r="AJ64" s="97" t="e">
        <f t="shared" si="16"/>
        <v>#REF!</v>
      </c>
      <c r="AK64" s="97" t="e">
        <f t="shared" si="17"/>
        <v>#REF!</v>
      </c>
      <c r="DJ64" s="111"/>
      <c r="EV64" s="111"/>
      <c r="GM64" s="111"/>
      <c r="MR64" s="111"/>
      <c r="SJ64" s="111"/>
      <c r="TQ64" s="111"/>
      <c r="WJ64" s="111"/>
      <c r="XG64" s="111"/>
      <c r="AFG64" s="111"/>
      <c r="AHC64" s="111"/>
      <c r="AHN64" s="111"/>
      <c r="AYQ64" s="111"/>
      <c r="BBW64" s="111"/>
      <c r="BOB64" s="111"/>
      <c r="BOW64" s="111"/>
      <c r="BRB64" s="111"/>
      <c r="BUE64" s="111"/>
      <c r="BWK64" s="111"/>
      <c r="CDB64" s="111"/>
      <c r="CDN64" s="111"/>
      <c r="CEH64" s="111"/>
      <c r="CIE64" s="111"/>
      <c r="CJY64" s="111"/>
      <c r="CNP64" s="111"/>
      <c r="CVA64" s="111"/>
      <c r="CXO64" s="111"/>
      <c r="DAR64" s="111"/>
      <c r="DEG64" s="111"/>
      <c r="DEJ64" s="111"/>
      <c r="DEZ64" s="111"/>
      <c r="DKR64" s="111"/>
      <c r="DLQ64" s="111"/>
      <c r="DWM64" s="111"/>
    </row>
    <row r="65" spans="1:995 1029:2000 2058:3033 3118:3337" ht="15" customHeight="1">
      <c r="A65" s="108"/>
      <c r="B65" s="109"/>
      <c r="C65" s="103"/>
      <c r="D65" s="102"/>
      <c r="E65" s="101"/>
      <c r="F65" s="101"/>
      <c r="G65" s="100"/>
      <c r="H65" s="99"/>
      <c r="I65" s="106"/>
      <c r="J65" s="2"/>
      <c r="K65" s="2"/>
      <c r="L65" s="2"/>
      <c r="M65" s="2"/>
      <c r="N65" s="2"/>
      <c r="O65" s="2"/>
      <c r="P65" s="2"/>
      <c r="Q65" s="2"/>
      <c r="S65" s="98">
        <f t="shared" si="2"/>
        <v>0</v>
      </c>
      <c r="T65" s="98">
        <f t="shared" si="3"/>
        <v>0</v>
      </c>
      <c r="U65" s="97">
        <f t="shared" si="4"/>
        <v>0</v>
      </c>
      <c r="V65" s="97">
        <f t="shared" si="5"/>
        <v>0</v>
      </c>
      <c r="X65" s="98" t="e">
        <f t="shared" si="6"/>
        <v>#REF!</v>
      </c>
      <c r="Y65" s="98" t="e">
        <f t="shared" si="7"/>
        <v>#REF!</v>
      </c>
      <c r="Z65" s="97" t="e">
        <f t="shared" si="8"/>
        <v>#REF!</v>
      </c>
      <c r="AA65" s="97" t="e">
        <f t="shared" si="9"/>
        <v>#REF!</v>
      </c>
      <c r="AC65" s="98" t="e">
        <f t="shared" si="10"/>
        <v>#REF!</v>
      </c>
      <c r="AD65" s="98" t="e">
        <f t="shared" si="11"/>
        <v>#REF!</v>
      </c>
      <c r="AE65" s="97" t="e">
        <f t="shared" si="12"/>
        <v>#REF!</v>
      </c>
      <c r="AF65" s="97" t="e">
        <f t="shared" si="13"/>
        <v>#REF!</v>
      </c>
      <c r="AH65" s="98" t="e">
        <f t="shared" si="14"/>
        <v>#REF!</v>
      </c>
      <c r="AI65" s="98" t="e">
        <f t="shared" si="15"/>
        <v>#REF!</v>
      </c>
      <c r="AJ65" s="97" t="e">
        <f t="shared" si="16"/>
        <v>#REF!</v>
      </c>
      <c r="AK65" s="97" t="e">
        <f t="shared" si="17"/>
        <v>#REF!</v>
      </c>
      <c r="DJ65" s="111"/>
      <c r="EV65" s="111"/>
      <c r="GM65" s="111"/>
      <c r="MR65" s="111"/>
      <c r="SJ65" s="111"/>
      <c r="TQ65" s="111"/>
      <c r="WJ65" s="111"/>
      <c r="XG65" s="111"/>
      <c r="AFG65" s="111"/>
      <c r="AHC65" s="111"/>
      <c r="AHN65" s="111"/>
      <c r="AYQ65" s="111"/>
      <c r="BBW65" s="111"/>
      <c r="BOB65" s="111"/>
      <c r="BOW65" s="111"/>
      <c r="BRB65" s="111"/>
      <c r="BUE65" s="111"/>
      <c r="BWK65" s="111"/>
      <c r="CDB65" s="111"/>
      <c r="CDN65" s="111"/>
      <c r="CEH65" s="111"/>
      <c r="CIE65" s="111"/>
      <c r="CJY65" s="111"/>
      <c r="CNP65" s="111"/>
      <c r="CVA65" s="111"/>
      <c r="CXO65" s="111"/>
      <c r="DAR65" s="111"/>
      <c r="DEG65" s="111"/>
      <c r="DEJ65" s="111"/>
      <c r="DEZ65" s="111"/>
      <c r="DKR65" s="111"/>
      <c r="DLQ65" s="111"/>
      <c r="DWM65" s="111"/>
    </row>
    <row r="66" spans="1:995 1029:2000 2058:3033 3118:3337" ht="15" customHeight="1">
      <c r="A66" s="108"/>
      <c r="B66" s="109"/>
      <c r="C66" s="103"/>
      <c r="D66" s="102"/>
      <c r="E66" s="101"/>
      <c r="F66" s="101"/>
      <c r="G66" s="100"/>
      <c r="H66" s="99"/>
      <c r="I66" s="106"/>
      <c r="J66" s="2"/>
      <c r="K66" s="2"/>
      <c r="L66" s="2"/>
      <c r="M66" s="2"/>
      <c r="N66" s="2"/>
      <c r="O66" s="2"/>
      <c r="P66" s="2"/>
      <c r="Q66" s="2"/>
      <c r="S66" s="98">
        <f t="shared" si="2"/>
        <v>0</v>
      </c>
      <c r="T66" s="98">
        <f t="shared" si="3"/>
        <v>0</v>
      </c>
      <c r="U66" s="97">
        <f t="shared" si="4"/>
        <v>0</v>
      </c>
      <c r="V66" s="97">
        <f t="shared" si="5"/>
        <v>0</v>
      </c>
      <c r="X66" s="98" t="e">
        <f t="shared" si="6"/>
        <v>#REF!</v>
      </c>
      <c r="Y66" s="98" t="e">
        <f t="shared" si="7"/>
        <v>#REF!</v>
      </c>
      <c r="Z66" s="97" t="e">
        <f t="shared" si="8"/>
        <v>#REF!</v>
      </c>
      <c r="AA66" s="97" t="e">
        <f t="shared" si="9"/>
        <v>#REF!</v>
      </c>
      <c r="AC66" s="98" t="e">
        <f t="shared" si="10"/>
        <v>#REF!</v>
      </c>
      <c r="AD66" s="98" t="e">
        <f t="shared" si="11"/>
        <v>#REF!</v>
      </c>
      <c r="AE66" s="97" t="e">
        <f t="shared" si="12"/>
        <v>#REF!</v>
      </c>
      <c r="AF66" s="97" t="e">
        <f t="shared" si="13"/>
        <v>#REF!</v>
      </c>
      <c r="AH66" s="98" t="e">
        <f t="shared" si="14"/>
        <v>#REF!</v>
      </c>
      <c r="AI66" s="98" t="e">
        <f t="shared" si="15"/>
        <v>#REF!</v>
      </c>
      <c r="AJ66" s="97" t="e">
        <f t="shared" si="16"/>
        <v>#REF!</v>
      </c>
      <c r="AK66" s="97" t="e">
        <f t="shared" si="17"/>
        <v>#REF!</v>
      </c>
      <c r="DJ66" s="111"/>
      <c r="EV66" s="111"/>
      <c r="GM66" s="111"/>
      <c r="MR66" s="111"/>
      <c r="SJ66" s="111"/>
      <c r="TQ66" s="111"/>
      <c r="WJ66" s="111"/>
      <c r="XG66" s="111"/>
      <c r="AFG66" s="111"/>
      <c r="AHC66" s="111"/>
      <c r="AHN66" s="111"/>
      <c r="AYQ66" s="111"/>
      <c r="BBW66" s="111"/>
      <c r="BOB66" s="111"/>
      <c r="BOW66" s="111"/>
      <c r="BRB66" s="111"/>
      <c r="BUE66" s="111"/>
      <c r="BWK66" s="111"/>
      <c r="CDB66" s="111"/>
      <c r="CDN66" s="111"/>
      <c r="CEH66" s="111"/>
      <c r="CIE66" s="111"/>
      <c r="CJY66" s="111"/>
      <c r="CNP66" s="111"/>
      <c r="CVA66" s="111"/>
      <c r="CXO66" s="111"/>
      <c r="DAR66" s="111"/>
      <c r="DEG66" s="111"/>
      <c r="DEJ66" s="111"/>
      <c r="DEZ66" s="111"/>
      <c r="DKR66" s="111"/>
      <c r="DLQ66" s="111"/>
      <c r="DWM66" s="111"/>
    </row>
    <row r="67" spans="1:995 1029:2000 2058:3033 3118:3337" ht="15" customHeight="1">
      <c r="A67" s="108"/>
      <c r="B67" s="109"/>
      <c r="C67" s="103"/>
      <c r="D67" s="102"/>
      <c r="E67" s="101"/>
      <c r="F67" s="101"/>
      <c r="G67" s="100"/>
      <c r="H67" s="99"/>
      <c r="I67" s="106"/>
      <c r="J67" s="2"/>
      <c r="K67" s="2"/>
      <c r="L67" s="2"/>
      <c r="M67" s="2"/>
      <c r="N67" s="2"/>
      <c r="O67" s="2"/>
      <c r="P67" s="2"/>
      <c r="Q67" s="2"/>
      <c r="S67" s="98">
        <f t="shared" si="2"/>
        <v>0</v>
      </c>
      <c r="T67" s="98">
        <f t="shared" si="3"/>
        <v>0</v>
      </c>
      <c r="U67" s="97">
        <f t="shared" si="4"/>
        <v>0</v>
      </c>
      <c r="V67" s="97">
        <f t="shared" si="5"/>
        <v>0</v>
      </c>
      <c r="X67" s="98" t="e">
        <f t="shared" si="6"/>
        <v>#REF!</v>
      </c>
      <c r="Y67" s="98" t="e">
        <f t="shared" si="7"/>
        <v>#REF!</v>
      </c>
      <c r="Z67" s="97" t="e">
        <f t="shared" si="8"/>
        <v>#REF!</v>
      </c>
      <c r="AA67" s="97" t="e">
        <f t="shared" si="9"/>
        <v>#REF!</v>
      </c>
      <c r="AC67" s="98" t="e">
        <f t="shared" si="10"/>
        <v>#REF!</v>
      </c>
      <c r="AD67" s="98" t="e">
        <f t="shared" si="11"/>
        <v>#REF!</v>
      </c>
      <c r="AE67" s="97" t="e">
        <f t="shared" si="12"/>
        <v>#REF!</v>
      </c>
      <c r="AF67" s="97" t="e">
        <f t="shared" si="13"/>
        <v>#REF!</v>
      </c>
      <c r="AH67" s="98" t="e">
        <f t="shared" si="14"/>
        <v>#REF!</v>
      </c>
      <c r="AI67" s="98" t="e">
        <f t="shared" si="15"/>
        <v>#REF!</v>
      </c>
      <c r="AJ67" s="97" t="e">
        <f t="shared" si="16"/>
        <v>#REF!</v>
      </c>
      <c r="AK67" s="97" t="e">
        <f t="shared" si="17"/>
        <v>#REF!</v>
      </c>
      <c r="DJ67" s="111"/>
      <c r="EV67" s="111"/>
      <c r="GM67" s="111"/>
      <c r="MR67" s="111"/>
      <c r="SJ67" s="111"/>
      <c r="TQ67" s="111"/>
      <c r="WJ67" s="111"/>
      <c r="XG67" s="111"/>
      <c r="AFG67" s="111"/>
      <c r="AHC67" s="111"/>
      <c r="AHN67" s="111"/>
      <c r="AYQ67" s="111"/>
      <c r="BBW67" s="111"/>
      <c r="BOB67" s="111"/>
      <c r="BOW67" s="111"/>
      <c r="BRB67" s="111"/>
      <c r="BUE67" s="111"/>
      <c r="BWK67" s="111"/>
      <c r="CDB67" s="111"/>
      <c r="CDN67" s="111"/>
      <c r="CEH67" s="111"/>
      <c r="CIE67" s="111"/>
      <c r="CJY67" s="111"/>
      <c r="CNP67" s="111"/>
      <c r="CVA67" s="111"/>
      <c r="CXO67" s="111"/>
      <c r="DAR67" s="111"/>
      <c r="DEG67" s="111"/>
      <c r="DEJ67" s="111"/>
      <c r="DEZ67" s="111"/>
      <c r="DKR67" s="111"/>
      <c r="DLQ67" s="111"/>
      <c r="DWM67" s="111"/>
    </row>
    <row r="68" spans="1:995 1029:2000 2058:3033 3118:3337" ht="15" customHeight="1">
      <c r="A68" s="108"/>
      <c r="B68" s="109"/>
      <c r="C68" s="103"/>
      <c r="D68" s="102"/>
      <c r="E68" s="101"/>
      <c r="F68" s="101"/>
      <c r="G68" s="100"/>
      <c r="H68" s="99"/>
      <c r="I68" s="106"/>
      <c r="J68" s="2"/>
      <c r="K68" s="2"/>
      <c r="L68" s="2"/>
      <c r="M68" s="2"/>
      <c r="N68" s="2"/>
      <c r="O68" s="2"/>
      <c r="P68" s="2"/>
      <c r="Q68" s="2"/>
      <c r="S68" s="98">
        <f t="shared" si="2"/>
        <v>0</v>
      </c>
      <c r="T68" s="98">
        <f t="shared" si="3"/>
        <v>0</v>
      </c>
      <c r="U68" s="97">
        <f t="shared" si="4"/>
        <v>0</v>
      </c>
      <c r="V68" s="97">
        <f t="shared" si="5"/>
        <v>0</v>
      </c>
      <c r="X68" s="98" t="e">
        <f t="shared" si="6"/>
        <v>#REF!</v>
      </c>
      <c r="Y68" s="98" t="e">
        <f t="shared" si="7"/>
        <v>#REF!</v>
      </c>
      <c r="Z68" s="97" t="e">
        <f t="shared" si="8"/>
        <v>#REF!</v>
      </c>
      <c r="AA68" s="97" t="e">
        <f t="shared" si="9"/>
        <v>#REF!</v>
      </c>
      <c r="AC68" s="98" t="e">
        <f t="shared" si="10"/>
        <v>#REF!</v>
      </c>
      <c r="AD68" s="98" t="e">
        <f t="shared" si="11"/>
        <v>#REF!</v>
      </c>
      <c r="AE68" s="97" t="e">
        <f t="shared" si="12"/>
        <v>#REF!</v>
      </c>
      <c r="AF68" s="97" t="e">
        <f t="shared" si="13"/>
        <v>#REF!</v>
      </c>
      <c r="AH68" s="98" t="e">
        <f t="shared" si="14"/>
        <v>#REF!</v>
      </c>
      <c r="AI68" s="98" t="e">
        <f t="shared" si="15"/>
        <v>#REF!</v>
      </c>
      <c r="AJ68" s="97" t="e">
        <f t="shared" si="16"/>
        <v>#REF!</v>
      </c>
      <c r="AK68" s="97" t="e">
        <f t="shared" si="17"/>
        <v>#REF!</v>
      </c>
      <c r="DJ68" s="111"/>
      <c r="EV68" s="111"/>
      <c r="GM68" s="111"/>
      <c r="MR68" s="111"/>
      <c r="SJ68" s="111"/>
      <c r="TQ68" s="111"/>
      <c r="WJ68" s="111"/>
      <c r="XG68" s="111"/>
      <c r="AFG68" s="111"/>
      <c r="AHC68" s="111"/>
      <c r="AHN68" s="111"/>
      <c r="AYQ68" s="111"/>
      <c r="BBW68" s="111"/>
      <c r="BOB68" s="111"/>
      <c r="BOW68" s="111"/>
      <c r="BRB68" s="111"/>
      <c r="BUE68" s="111"/>
      <c r="BWK68" s="111"/>
      <c r="CDB68" s="111"/>
      <c r="CDN68" s="111"/>
      <c r="CEH68" s="111"/>
      <c r="CIE68" s="111"/>
      <c r="CJY68" s="111"/>
      <c r="CNP68" s="111"/>
      <c r="CVA68" s="111"/>
      <c r="CXO68" s="111"/>
      <c r="DAR68" s="111"/>
      <c r="DEG68" s="111"/>
      <c r="DEJ68" s="111"/>
      <c r="DEZ68" s="111"/>
      <c r="DKR68" s="111"/>
      <c r="DLQ68" s="111"/>
      <c r="DWM68" s="111"/>
    </row>
    <row r="69" spans="1:995 1029:2000 2058:3033 3118:3337" ht="15" customHeight="1">
      <c r="A69" s="108"/>
      <c r="B69" s="109"/>
      <c r="C69" s="103"/>
      <c r="D69" s="102"/>
      <c r="E69" s="101"/>
      <c r="F69" s="101"/>
      <c r="G69" s="100"/>
      <c r="H69" s="99"/>
      <c r="I69" s="106"/>
      <c r="J69" s="2"/>
      <c r="K69" s="2"/>
      <c r="L69" s="2"/>
      <c r="M69" s="2"/>
      <c r="N69" s="2"/>
      <c r="O69" s="2"/>
      <c r="P69" s="2"/>
      <c r="Q69" s="2"/>
      <c r="S69" s="98">
        <f t="shared" si="2"/>
        <v>0</v>
      </c>
      <c r="T69" s="98">
        <f t="shared" si="3"/>
        <v>0</v>
      </c>
      <c r="U69" s="97">
        <f t="shared" si="4"/>
        <v>0</v>
      </c>
      <c r="V69" s="97">
        <f t="shared" si="5"/>
        <v>0</v>
      </c>
      <c r="X69" s="98" t="e">
        <f t="shared" si="6"/>
        <v>#REF!</v>
      </c>
      <c r="Y69" s="98" t="e">
        <f t="shared" si="7"/>
        <v>#REF!</v>
      </c>
      <c r="Z69" s="97" t="e">
        <f t="shared" si="8"/>
        <v>#REF!</v>
      </c>
      <c r="AA69" s="97" t="e">
        <f t="shared" si="9"/>
        <v>#REF!</v>
      </c>
      <c r="AC69" s="98" t="e">
        <f t="shared" si="10"/>
        <v>#REF!</v>
      </c>
      <c r="AD69" s="98" t="e">
        <f t="shared" si="11"/>
        <v>#REF!</v>
      </c>
      <c r="AE69" s="97" t="e">
        <f t="shared" si="12"/>
        <v>#REF!</v>
      </c>
      <c r="AF69" s="97" t="e">
        <f t="shared" si="13"/>
        <v>#REF!</v>
      </c>
      <c r="AH69" s="98" t="e">
        <f t="shared" si="14"/>
        <v>#REF!</v>
      </c>
      <c r="AI69" s="98" t="e">
        <f t="shared" si="15"/>
        <v>#REF!</v>
      </c>
      <c r="AJ69" s="97" t="e">
        <f t="shared" si="16"/>
        <v>#REF!</v>
      </c>
      <c r="AK69" s="97" t="e">
        <f t="shared" si="17"/>
        <v>#REF!</v>
      </c>
      <c r="DJ69" s="111"/>
      <c r="EV69" s="111"/>
      <c r="GM69" s="111"/>
      <c r="MR69" s="111"/>
      <c r="SJ69" s="111"/>
      <c r="TQ69" s="111"/>
      <c r="WJ69" s="111"/>
      <c r="XG69" s="111"/>
      <c r="AFG69" s="111"/>
      <c r="AHC69" s="111"/>
      <c r="AHN69" s="111"/>
      <c r="AYQ69" s="111"/>
      <c r="BBW69" s="111"/>
      <c r="BOB69" s="111"/>
      <c r="BOW69" s="111"/>
      <c r="BRB69" s="111"/>
      <c r="BUE69" s="111"/>
      <c r="BWK69" s="111"/>
      <c r="CDB69" s="111"/>
      <c r="CDN69" s="111"/>
      <c r="CEH69" s="111"/>
      <c r="CIE69" s="111"/>
      <c r="CJY69" s="111"/>
      <c r="CNP69" s="111"/>
      <c r="CVA69" s="111"/>
      <c r="CXO69" s="111"/>
      <c r="DAR69" s="111"/>
      <c r="DEG69" s="111"/>
      <c r="DEJ69" s="111"/>
      <c r="DEZ69" s="111"/>
      <c r="DKR69" s="111"/>
      <c r="DLQ69" s="111"/>
      <c r="DWM69" s="111"/>
    </row>
    <row r="70" spans="1:995 1029:2000 2058:3033 3118:3337" ht="15" customHeight="1">
      <c r="A70" s="108"/>
      <c r="B70" s="109"/>
      <c r="C70" s="103"/>
      <c r="D70" s="102"/>
      <c r="E70" s="101"/>
      <c r="F70" s="101"/>
      <c r="G70" s="100"/>
      <c r="H70" s="99"/>
      <c r="I70" s="106"/>
      <c r="J70" s="2"/>
      <c r="K70" s="2"/>
      <c r="L70" s="2"/>
      <c r="M70" s="2"/>
      <c r="N70" s="2"/>
      <c r="O70" s="2"/>
      <c r="P70" s="2"/>
      <c r="Q70" s="2"/>
      <c r="S70" s="98">
        <f t="shared" si="2"/>
        <v>0</v>
      </c>
      <c r="T70" s="98">
        <f t="shared" si="3"/>
        <v>0</v>
      </c>
      <c r="U70" s="97">
        <f t="shared" si="4"/>
        <v>0</v>
      </c>
      <c r="V70" s="97">
        <f t="shared" si="5"/>
        <v>0</v>
      </c>
      <c r="X70" s="98" t="e">
        <f t="shared" si="6"/>
        <v>#REF!</v>
      </c>
      <c r="Y70" s="98" t="e">
        <f t="shared" si="7"/>
        <v>#REF!</v>
      </c>
      <c r="Z70" s="97" t="e">
        <f t="shared" si="8"/>
        <v>#REF!</v>
      </c>
      <c r="AA70" s="97" t="e">
        <f t="shared" si="9"/>
        <v>#REF!</v>
      </c>
      <c r="AC70" s="98" t="e">
        <f t="shared" si="10"/>
        <v>#REF!</v>
      </c>
      <c r="AD70" s="98" t="e">
        <f t="shared" si="11"/>
        <v>#REF!</v>
      </c>
      <c r="AE70" s="97" t="e">
        <f t="shared" si="12"/>
        <v>#REF!</v>
      </c>
      <c r="AF70" s="97" t="e">
        <f t="shared" si="13"/>
        <v>#REF!</v>
      </c>
      <c r="AH70" s="98" t="e">
        <f t="shared" si="14"/>
        <v>#REF!</v>
      </c>
      <c r="AI70" s="98" t="e">
        <f t="shared" si="15"/>
        <v>#REF!</v>
      </c>
      <c r="AJ70" s="97" t="e">
        <f t="shared" si="16"/>
        <v>#REF!</v>
      </c>
      <c r="AK70" s="97" t="e">
        <f t="shared" si="17"/>
        <v>#REF!</v>
      </c>
      <c r="DJ70" s="111"/>
      <c r="EV70" s="111"/>
      <c r="GM70" s="111"/>
      <c r="MR70" s="111"/>
      <c r="SJ70" s="111"/>
      <c r="TQ70" s="111"/>
      <c r="WJ70" s="111"/>
      <c r="XG70" s="111"/>
      <c r="AFG70" s="111"/>
      <c r="AHC70" s="111"/>
      <c r="AHN70" s="111"/>
      <c r="AYQ70" s="111"/>
      <c r="BBW70" s="111"/>
      <c r="BOB70" s="111"/>
      <c r="BOW70" s="111"/>
      <c r="BRB70" s="111"/>
      <c r="BUE70" s="111"/>
      <c r="BWK70" s="111"/>
      <c r="CDB70" s="111"/>
      <c r="CDN70" s="111"/>
      <c r="CEH70" s="111"/>
      <c r="CIE70" s="111"/>
      <c r="CJY70" s="111"/>
      <c r="CNP70" s="111"/>
      <c r="CVA70" s="111"/>
      <c r="CXO70" s="111"/>
      <c r="DAR70" s="111"/>
      <c r="DEG70" s="111"/>
      <c r="DEJ70" s="111"/>
      <c r="DEZ70" s="111"/>
      <c r="DKR70" s="111"/>
      <c r="DLQ70" s="111"/>
      <c r="DWM70" s="111"/>
    </row>
    <row r="71" spans="1:995 1029:2000 2058:3033 3118:3337" ht="15" customHeight="1">
      <c r="A71" s="108"/>
      <c r="B71" s="109"/>
      <c r="C71" s="103"/>
      <c r="D71" s="102"/>
      <c r="E71" s="101"/>
      <c r="F71" s="101"/>
      <c r="G71" s="100"/>
      <c r="H71" s="99"/>
      <c r="I71" s="106"/>
      <c r="J71" s="2"/>
      <c r="K71" s="2"/>
      <c r="L71" s="2"/>
      <c r="M71" s="2"/>
      <c r="N71" s="2"/>
      <c r="O71" s="2"/>
      <c r="P71" s="2"/>
      <c r="Q71" s="2"/>
      <c r="S71" s="98">
        <f t="shared" si="2"/>
        <v>0</v>
      </c>
      <c r="T71" s="98">
        <f t="shared" si="3"/>
        <v>0</v>
      </c>
      <c r="U71" s="97">
        <f t="shared" si="4"/>
        <v>0</v>
      </c>
      <c r="V71" s="97">
        <f t="shared" si="5"/>
        <v>0</v>
      </c>
      <c r="X71" s="98" t="e">
        <f t="shared" si="6"/>
        <v>#REF!</v>
      </c>
      <c r="Y71" s="98" t="e">
        <f t="shared" si="7"/>
        <v>#REF!</v>
      </c>
      <c r="Z71" s="97" t="e">
        <f t="shared" si="8"/>
        <v>#REF!</v>
      </c>
      <c r="AA71" s="97" t="e">
        <f t="shared" si="9"/>
        <v>#REF!</v>
      </c>
      <c r="AC71" s="98" t="e">
        <f t="shared" si="10"/>
        <v>#REF!</v>
      </c>
      <c r="AD71" s="98" t="e">
        <f t="shared" si="11"/>
        <v>#REF!</v>
      </c>
      <c r="AE71" s="97" t="e">
        <f t="shared" si="12"/>
        <v>#REF!</v>
      </c>
      <c r="AF71" s="97" t="e">
        <f t="shared" si="13"/>
        <v>#REF!</v>
      </c>
      <c r="AH71" s="98" t="e">
        <f t="shared" si="14"/>
        <v>#REF!</v>
      </c>
      <c r="AI71" s="98" t="e">
        <f t="shared" si="15"/>
        <v>#REF!</v>
      </c>
      <c r="AJ71" s="97" t="e">
        <f t="shared" si="16"/>
        <v>#REF!</v>
      </c>
      <c r="AK71" s="97" t="e">
        <f t="shared" si="17"/>
        <v>#REF!</v>
      </c>
      <c r="DJ71" s="111"/>
      <c r="EV71" s="111"/>
      <c r="GM71" s="111"/>
      <c r="MR71" s="111"/>
      <c r="SJ71" s="111"/>
      <c r="TQ71" s="111"/>
      <c r="WJ71" s="111"/>
      <c r="XG71" s="111"/>
      <c r="AFG71" s="111"/>
      <c r="AHC71" s="111"/>
      <c r="AHN71" s="111"/>
      <c r="AYQ71" s="111"/>
      <c r="BBW71" s="111"/>
      <c r="BOB71" s="111"/>
      <c r="BOW71" s="111"/>
      <c r="BRB71" s="111"/>
      <c r="BUE71" s="111"/>
      <c r="BWK71" s="111"/>
      <c r="CDB71" s="111"/>
      <c r="CDN71" s="111"/>
      <c r="CEH71" s="111"/>
      <c r="CIE71" s="111"/>
      <c r="CJY71" s="111"/>
      <c r="CNP71" s="111"/>
      <c r="CVA71" s="111"/>
      <c r="CXO71" s="111"/>
      <c r="DAR71" s="111"/>
      <c r="DEG71" s="111"/>
      <c r="DEJ71" s="111"/>
      <c r="DEZ71" s="111"/>
      <c r="DKR71" s="111"/>
      <c r="DLQ71" s="111"/>
      <c r="DWM71" s="111"/>
    </row>
    <row r="72" spans="1:995 1029:2000 2058:3033 3118:3337" ht="15" customHeight="1">
      <c r="A72" s="108"/>
      <c r="B72" s="109"/>
      <c r="C72" s="103"/>
      <c r="D72" s="102"/>
      <c r="E72" s="101"/>
      <c r="F72" s="101"/>
      <c r="G72" s="100"/>
      <c r="H72" s="99"/>
      <c r="I72" s="106"/>
      <c r="J72" s="2"/>
      <c r="K72" s="2"/>
      <c r="L72" s="2"/>
      <c r="M72" s="2"/>
      <c r="N72" s="2"/>
      <c r="O72" s="2"/>
      <c r="P72" s="2"/>
      <c r="Q72" s="2"/>
      <c r="S72" s="98">
        <f t="shared" si="2"/>
        <v>0</v>
      </c>
      <c r="T72" s="98">
        <f t="shared" si="3"/>
        <v>0</v>
      </c>
      <c r="U72" s="97">
        <f t="shared" si="4"/>
        <v>0</v>
      </c>
      <c r="V72" s="97">
        <f t="shared" si="5"/>
        <v>0</v>
      </c>
      <c r="X72" s="98" t="e">
        <f t="shared" si="6"/>
        <v>#REF!</v>
      </c>
      <c r="Y72" s="98" t="e">
        <f t="shared" si="7"/>
        <v>#REF!</v>
      </c>
      <c r="Z72" s="97" t="e">
        <f t="shared" si="8"/>
        <v>#REF!</v>
      </c>
      <c r="AA72" s="97" t="e">
        <f t="shared" si="9"/>
        <v>#REF!</v>
      </c>
      <c r="AC72" s="98" t="e">
        <f t="shared" si="10"/>
        <v>#REF!</v>
      </c>
      <c r="AD72" s="98" t="e">
        <f t="shared" si="11"/>
        <v>#REF!</v>
      </c>
      <c r="AE72" s="97" t="e">
        <f t="shared" si="12"/>
        <v>#REF!</v>
      </c>
      <c r="AF72" s="97" t="e">
        <f t="shared" si="13"/>
        <v>#REF!</v>
      </c>
      <c r="AH72" s="98" t="e">
        <f t="shared" si="14"/>
        <v>#REF!</v>
      </c>
      <c r="AI72" s="98" t="e">
        <f t="shared" si="15"/>
        <v>#REF!</v>
      </c>
      <c r="AJ72" s="97" t="e">
        <f t="shared" si="16"/>
        <v>#REF!</v>
      </c>
      <c r="AK72" s="97" t="e">
        <f t="shared" si="17"/>
        <v>#REF!</v>
      </c>
      <c r="DJ72" s="111"/>
      <c r="EV72" s="111"/>
      <c r="GM72" s="111"/>
      <c r="MR72" s="111"/>
      <c r="SJ72" s="111"/>
      <c r="TQ72" s="111"/>
      <c r="WJ72" s="111"/>
      <c r="XG72" s="111"/>
      <c r="AFG72" s="111"/>
      <c r="AHC72" s="111"/>
      <c r="AHN72" s="111"/>
      <c r="AYQ72" s="111"/>
      <c r="BBW72" s="111"/>
      <c r="BOB72" s="111"/>
      <c r="BOW72" s="111"/>
      <c r="BRB72" s="111"/>
      <c r="BUE72" s="111"/>
      <c r="BWK72" s="111"/>
      <c r="CDB72" s="111"/>
      <c r="CDN72" s="111"/>
      <c r="CEH72" s="111"/>
      <c r="CIE72" s="111"/>
      <c r="CJY72" s="111"/>
      <c r="CNP72" s="111"/>
      <c r="CVA72" s="111"/>
      <c r="CXO72" s="111"/>
      <c r="DAR72" s="111"/>
      <c r="DEG72" s="111"/>
      <c r="DEJ72" s="111"/>
      <c r="DEZ72" s="111"/>
      <c r="DKR72" s="111"/>
      <c r="DLQ72" s="111"/>
      <c r="DWM72" s="111"/>
    </row>
    <row r="73" spans="1:995 1029:2000 2058:3033 3118:3337" ht="15" customHeight="1">
      <c r="A73" s="108"/>
      <c r="B73" s="109" t="s">
        <v>121</v>
      </c>
      <c r="C73" s="103"/>
      <c r="D73" s="102">
        <v>12.481999999999999</v>
      </c>
      <c r="E73" s="101">
        <v>0.03</v>
      </c>
      <c r="F73" s="101">
        <v>-0.03</v>
      </c>
      <c r="G73" s="100">
        <f t="shared" si="0"/>
        <v>12.511999999999999</v>
      </c>
      <c r="H73" s="99">
        <f t="shared" si="1"/>
        <v>12.452</v>
      </c>
      <c r="I73" s="106"/>
      <c r="J73" s="2"/>
      <c r="K73" s="2"/>
      <c r="L73" s="2"/>
      <c r="M73" s="2"/>
      <c r="N73" s="2"/>
      <c r="O73" s="2"/>
      <c r="P73" s="2"/>
      <c r="Q73" s="2"/>
      <c r="S73" s="98">
        <f t="shared" si="2"/>
        <v>0</v>
      </c>
      <c r="T73" s="98">
        <f t="shared" si="3"/>
        <v>0</v>
      </c>
      <c r="U73" s="97">
        <f t="shared" si="4"/>
        <v>12.481999999999999</v>
      </c>
      <c r="V73" s="97">
        <f t="shared" si="5"/>
        <v>12.481999999999999</v>
      </c>
      <c r="X73" s="98" t="e">
        <f t="shared" si="6"/>
        <v>#REF!</v>
      </c>
      <c r="Y73" s="98" t="e">
        <f t="shared" si="7"/>
        <v>#REF!</v>
      </c>
      <c r="Z73" s="97" t="e">
        <f t="shared" si="8"/>
        <v>#REF!</v>
      </c>
      <c r="AA73" s="97" t="e">
        <f t="shared" si="9"/>
        <v>#REF!</v>
      </c>
      <c r="AC73" s="98" t="e">
        <f t="shared" si="10"/>
        <v>#REF!</v>
      </c>
      <c r="AD73" s="98" t="e">
        <f t="shared" si="11"/>
        <v>#REF!</v>
      </c>
      <c r="AE73" s="97" t="e">
        <f t="shared" si="12"/>
        <v>#REF!</v>
      </c>
      <c r="AF73" s="97" t="e">
        <f t="shared" si="13"/>
        <v>#REF!</v>
      </c>
      <c r="AH73" s="98" t="e">
        <f t="shared" si="14"/>
        <v>#REF!</v>
      </c>
      <c r="AI73" s="98" t="e">
        <f t="shared" si="15"/>
        <v>#REF!</v>
      </c>
      <c r="AJ73" s="97" t="e">
        <f t="shared" si="16"/>
        <v>#REF!</v>
      </c>
      <c r="AK73" s="97" t="e">
        <f t="shared" si="17"/>
        <v>#REF!</v>
      </c>
      <c r="AT73" s="111"/>
      <c r="CN73" s="111"/>
      <c r="LV73" s="111"/>
      <c r="MB73" s="111"/>
      <c r="RG73" s="111"/>
      <c r="SX73" s="111"/>
      <c r="TC73" s="111"/>
      <c r="VN73" s="111"/>
      <c r="ZO73" s="111"/>
      <c r="ZR73" s="111"/>
      <c r="ACC73" s="111"/>
      <c r="ACM73" s="111"/>
      <c r="ACV73" s="111"/>
      <c r="ADC73" s="111"/>
      <c r="ADP73" s="111"/>
      <c r="AEA73" s="111"/>
      <c r="AEJ73" s="111"/>
      <c r="AFC73" s="111"/>
      <c r="AKO73" s="111"/>
      <c r="ALC73" s="111"/>
      <c r="AMO73" s="111"/>
      <c r="BQU73" s="111"/>
      <c r="DJI73" s="111"/>
      <c r="DOX73" s="111"/>
    </row>
    <row r="74" spans="1:995 1029:2000 2058:3033 3118:3337" ht="15" customHeight="1">
      <c r="A74" s="108"/>
      <c r="B74" s="109" t="s">
        <v>122</v>
      </c>
      <c r="C74" s="103"/>
      <c r="D74" s="102">
        <v>11.089</v>
      </c>
      <c r="E74" s="101">
        <v>0.03</v>
      </c>
      <c r="F74" s="101">
        <v>-0.03</v>
      </c>
      <c r="G74" s="100">
        <f t="shared" si="0"/>
        <v>11.119</v>
      </c>
      <c r="H74" s="99">
        <f t="shared" si="1"/>
        <v>11.059000000000001</v>
      </c>
      <c r="I74" s="106"/>
      <c r="J74" s="2"/>
      <c r="K74" s="2"/>
      <c r="L74" s="2"/>
      <c r="M74" s="2"/>
      <c r="N74" s="2"/>
      <c r="O74" s="2"/>
      <c r="P74" s="2"/>
      <c r="Q74" s="2"/>
      <c r="S74" s="98">
        <f t="shared" si="2"/>
        <v>0</v>
      </c>
      <c r="T74" s="98">
        <f t="shared" si="3"/>
        <v>0</v>
      </c>
      <c r="U74" s="97">
        <f t="shared" si="4"/>
        <v>11.089</v>
      </c>
      <c r="V74" s="97">
        <f t="shared" si="5"/>
        <v>11.089</v>
      </c>
      <c r="X74" s="98" t="e">
        <f t="shared" si="6"/>
        <v>#REF!</v>
      </c>
      <c r="Y74" s="98" t="e">
        <f t="shared" si="7"/>
        <v>#REF!</v>
      </c>
      <c r="Z74" s="97" t="e">
        <f t="shared" si="8"/>
        <v>#REF!</v>
      </c>
      <c r="AA74" s="97" t="e">
        <f t="shared" si="9"/>
        <v>#REF!</v>
      </c>
      <c r="AC74" s="98" t="e">
        <f t="shared" si="10"/>
        <v>#REF!</v>
      </c>
      <c r="AD74" s="98" t="e">
        <f t="shared" si="11"/>
        <v>#REF!</v>
      </c>
      <c r="AE74" s="97" t="e">
        <f t="shared" si="12"/>
        <v>#REF!</v>
      </c>
      <c r="AF74" s="97" t="e">
        <f t="shared" si="13"/>
        <v>#REF!</v>
      </c>
      <c r="AH74" s="98" t="e">
        <f t="shared" si="14"/>
        <v>#REF!</v>
      </c>
      <c r="AI74" s="98" t="e">
        <f t="shared" si="15"/>
        <v>#REF!</v>
      </c>
      <c r="AJ74" s="97" t="e">
        <f t="shared" si="16"/>
        <v>#REF!</v>
      </c>
      <c r="AK74" s="97" t="e">
        <f t="shared" si="17"/>
        <v>#REF!</v>
      </c>
      <c r="EI74" s="111"/>
      <c r="PW74" s="111"/>
      <c r="QQ74" s="111"/>
      <c r="TQ74" s="111"/>
      <c r="TX74" s="111"/>
      <c r="UG74" s="111"/>
      <c r="UP74" s="111"/>
      <c r="XG74" s="111"/>
      <c r="XU74" s="111"/>
      <c r="YW74" s="111"/>
      <c r="ZR74" s="111"/>
      <c r="ZX74" s="111"/>
      <c r="ACV74" s="111"/>
      <c r="ADF74" s="111"/>
      <c r="ADR74" s="111"/>
      <c r="AHN74" s="111"/>
      <c r="AQQ74" s="111"/>
      <c r="ARE74" s="111"/>
      <c r="AZL74" s="111"/>
      <c r="BER74" s="111"/>
      <c r="BHS74" s="111"/>
      <c r="BMD74" s="111"/>
      <c r="BUR74" s="111"/>
      <c r="BUU74" s="111"/>
      <c r="BVX74" s="111"/>
      <c r="CAD74" s="111"/>
      <c r="CAO74" s="111"/>
      <c r="CWU74" s="111"/>
      <c r="CZG74" s="111"/>
      <c r="DET74" s="111"/>
      <c r="DIG74" s="111"/>
      <c r="DRF74" s="111"/>
    </row>
    <row r="75" spans="1:995 1029:2000 2058:3033 3118:3337" ht="15" customHeight="1">
      <c r="A75" s="108"/>
      <c r="B75" s="109" t="s">
        <v>123</v>
      </c>
      <c r="C75" s="103"/>
      <c r="D75" s="102">
        <v>2.0920000000000001</v>
      </c>
      <c r="E75" s="101">
        <v>0.03</v>
      </c>
      <c r="F75" s="101">
        <v>-0.03</v>
      </c>
      <c r="G75" s="100">
        <f t="shared" si="0"/>
        <v>2.1219999999999999</v>
      </c>
      <c r="H75" s="99">
        <f t="shared" si="1"/>
        <v>2.0620000000000003</v>
      </c>
      <c r="I75" s="106"/>
      <c r="J75" s="2"/>
      <c r="K75" s="2"/>
      <c r="L75" s="2"/>
      <c r="M75" s="2"/>
      <c r="N75" s="2"/>
      <c r="O75" s="2"/>
      <c r="P75" s="2"/>
      <c r="Q75" s="2"/>
      <c r="S75" s="98">
        <f t="shared" si="2"/>
        <v>0</v>
      </c>
      <c r="T75" s="98">
        <f t="shared" si="3"/>
        <v>0</v>
      </c>
      <c r="U75" s="97">
        <f t="shared" si="4"/>
        <v>2.0920000000000001</v>
      </c>
      <c r="V75" s="97">
        <f t="shared" si="5"/>
        <v>2.0920000000000001</v>
      </c>
      <c r="X75" s="98" t="e">
        <f t="shared" si="6"/>
        <v>#REF!</v>
      </c>
      <c r="Y75" s="98" t="e">
        <f t="shared" si="7"/>
        <v>#REF!</v>
      </c>
      <c r="Z75" s="97" t="e">
        <f t="shared" si="8"/>
        <v>#REF!</v>
      </c>
      <c r="AA75" s="97" t="e">
        <f t="shared" si="9"/>
        <v>#REF!</v>
      </c>
      <c r="AC75" s="98" t="e">
        <f t="shared" si="10"/>
        <v>#REF!</v>
      </c>
      <c r="AD75" s="98" t="e">
        <f t="shared" si="11"/>
        <v>#REF!</v>
      </c>
      <c r="AE75" s="97" t="e">
        <f t="shared" si="12"/>
        <v>#REF!</v>
      </c>
      <c r="AF75" s="97" t="e">
        <f t="shared" si="13"/>
        <v>#REF!</v>
      </c>
      <c r="AH75" s="98" t="e">
        <f t="shared" si="14"/>
        <v>#REF!</v>
      </c>
      <c r="AI75" s="98" t="e">
        <f t="shared" si="15"/>
        <v>#REF!</v>
      </c>
      <c r="AJ75" s="97" t="e">
        <f t="shared" si="16"/>
        <v>#REF!</v>
      </c>
      <c r="AK75" s="97" t="e">
        <f t="shared" si="17"/>
        <v>#REF!</v>
      </c>
      <c r="CH75" s="111"/>
      <c r="HM75" s="111"/>
      <c r="HR75" s="111"/>
      <c r="NG75" s="111"/>
      <c r="QF75" s="111"/>
      <c r="SJ75" s="111"/>
      <c r="UX75" s="111"/>
      <c r="VV75" s="111"/>
      <c r="ALG75" s="111"/>
      <c r="APV75" s="111"/>
      <c r="AWA75" s="111"/>
      <c r="BCZ75" s="111"/>
      <c r="BFE75" s="111"/>
      <c r="BLU75" s="111"/>
      <c r="BMN75" s="111"/>
      <c r="BPT75" s="111"/>
      <c r="BWJ75" s="111"/>
      <c r="BXX75" s="111"/>
      <c r="CJH75" s="111"/>
      <c r="CKQ75" s="111"/>
      <c r="CRV75" s="111"/>
      <c r="CWM75" s="111"/>
      <c r="CYH75" s="111"/>
      <c r="DAI75" s="111"/>
      <c r="DDB75" s="111"/>
      <c r="DDR75" s="111"/>
      <c r="DEJ75" s="111"/>
      <c r="DGS75" s="111"/>
      <c r="DII75" s="111"/>
      <c r="DPM75" s="111"/>
      <c r="DRY75" s="111"/>
      <c r="DUS75" s="111"/>
      <c r="DXI75" s="111"/>
    </row>
    <row r="76" spans="1:995 1029:2000 2058:3033 3118:3337" ht="15" customHeight="1">
      <c r="A76" s="108"/>
      <c r="B76" s="109" t="s">
        <v>124</v>
      </c>
      <c r="C76" s="103"/>
      <c r="D76" s="102"/>
      <c r="E76" s="101">
        <v>0.03</v>
      </c>
      <c r="F76" s="101"/>
      <c r="G76" s="100">
        <f t="shared" si="0"/>
        <v>0.03</v>
      </c>
      <c r="H76" s="99" t="str">
        <f t="shared" si="1"/>
        <v/>
      </c>
      <c r="I76" s="106"/>
      <c r="J76" s="2"/>
      <c r="K76" s="2"/>
      <c r="L76" s="2"/>
      <c r="M76" s="2"/>
      <c r="N76" s="2"/>
      <c r="O76" s="2"/>
      <c r="P76" s="2"/>
      <c r="Q76" s="2"/>
      <c r="S76" s="98">
        <f t="shared" ref="S76:S139" si="18">IF($A76&lt;&gt;"(DC)", $E76*$R$7, $E76)</f>
        <v>0</v>
      </c>
      <c r="T76" s="98">
        <f t="shared" ref="T76:T139" si="19">IF($A76&lt;&gt;"(DC)", $F76*$R$7, $F76)</f>
        <v>0</v>
      </c>
      <c r="U76" s="97">
        <f t="shared" ref="U76:U139" si="20">IF(AND($D76="",S76=""),"",IF($D76="",S76,$D76+S76))</f>
        <v>0</v>
      </c>
      <c r="V76" s="97">
        <f t="shared" ref="V76:V139" si="21">IF(AND($D76="",T76=""),"",IF($D76="",T76,$D76+T76))</f>
        <v>0</v>
      </c>
      <c r="X76" s="98" t="e">
        <f t="shared" ref="X76:X139" si="22">IF($A76&lt;&gt;"(DC)", $E76*$W$7, $E76)</f>
        <v>#REF!</v>
      </c>
      <c r="Y76" s="98" t="e">
        <f t="shared" ref="Y76:Y139" si="23">IF($A76&lt;&gt;"(DC)", $F76*$W$7, $F76)</f>
        <v>#REF!</v>
      </c>
      <c r="Z76" s="97" t="e">
        <f t="shared" ref="Z76:Z139" si="24">IF(AND($D76="",X76=""),"",IF($D76="",X76,$D76+X76))</f>
        <v>#REF!</v>
      </c>
      <c r="AA76" s="97" t="e">
        <f t="shared" ref="AA76:AA139" si="25">IF(AND($D76="",Y76=""),"",IF($D76="",Y76,$D76+Y76))</f>
        <v>#REF!</v>
      </c>
      <c r="AC76" s="98" t="e">
        <f t="shared" ref="AC76:AC139" si="26">IF($A76&lt;&gt;"(DC)", $E76*$AB$7, $E76)</f>
        <v>#REF!</v>
      </c>
      <c r="AD76" s="98" t="e">
        <f t="shared" ref="AD76:AD139" si="27">IF($A76&lt;&gt;"(DC)", $F76*$AB$7, $F76)</f>
        <v>#REF!</v>
      </c>
      <c r="AE76" s="97" t="e">
        <f t="shared" ref="AE76:AE139" si="28">IF(AND($D76="",AC76=""),"",IF($D76="",AC76,$D76+AC76))</f>
        <v>#REF!</v>
      </c>
      <c r="AF76" s="97" t="e">
        <f t="shared" ref="AF76:AF139" si="29">IF(AND($D76="",AD76=""),"",IF($D76="",AD76,$D76+AD76))</f>
        <v>#REF!</v>
      </c>
      <c r="AH76" s="98" t="e">
        <f t="shared" ref="AH76:AH139" si="30">IF($A76&lt;&gt;"(DC)", $E76*$AG$7, $E76)</f>
        <v>#REF!</v>
      </c>
      <c r="AI76" s="98" t="e">
        <f t="shared" ref="AI76:AI139" si="31">IF($A76&lt;&gt;"(DC)", $F76*$AG$7, $F76)</f>
        <v>#REF!</v>
      </c>
      <c r="AJ76" s="97" t="e">
        <f t="shared" ref="AJ76:AJ139" si="32">IF(AND($D76="",AH76=""),"",IF($D76="",AH76,$D76+AH76))</f>
        <v>#REF!</v>
      </c>
      <c r="AK76" s="97" t="e">
        <f t="shared" ref="AK76:AK139" si="33">IF(AND($D76="",AI76=""),"",IF($D76="",AI76,$D76+AI76))</f>
        <v>#REF!</v>
      </c>
      <c r="EI76" s="111"/>
      <c r="PW76" s="111"/>
      <c r="QQ76" s="111"/>
      <c r="TQ76" s="111"/>
      <c r="TX76" s="111"/>
      <c r="UG76" s="111"/>
      <c r="UP76" s="111"/>
      <c r="XG76" s="111"/>
      <c r="XU76" s="111"/>
      <c r="YW76" s="111"/>
      <c r="ZR76" s="111"/>
      <c r="ZX76" s="111"/>
      <c r="ACV76" s="111"/>
      <c r="ADF76" s="111"/>
      <c r="ADR76" s="111"/>
      <c r="AHN76" s="111"/>
      <c r="AQQ76" s="111"/>
      <c r="ARE76" s="111"/>
      <c r="AZL76" s="111"/>
      <c r="BER76" s="111"/>
      <c r="BHS76" s="111"/>
      <c r="BMD76" s="111"/>
      <c r="BUR76" s="111"/>
      <c r="BUU76" s="111"/>
      <c r="BVX76" s="111"/>
      <c r="CAD76" s="111"/>
      <c r="CAO76" s="111"/>
      <c r="CWU76" s="111"/>
      <c r="CZG76" s="111"/>
      <c r="DET76" s="111"/>
      <c r="DIG76" s="111"/>
      <c r="DRF76" s="111"/>
    </row>
    <row r="77" spans="1:995 1029:2000 2058:3033 3118:3337" ht="15" customHeight="1">
      <c r="A77" s="108"/>
      <c r="B77" s="109"/>
      <c r="C77" s="103"/>
      <c r="D77" s="102"/>
      <c r="E77" s="101"/>
      <c r="F77" s="101"/>
      <c r="G77" s="100"/>
      <c r="H77" s="99"/>
      <c r="I77" s="106"/>
      <c r="J77" s="2"/>
      <c r="K77" s="2"/>
      <c r="L77" s="2"/>
      <c r="M77" s="2"/>
      <c r="N77" s="2"/>
      <c r="O77" s="2"/>
      <c r="P77" s="2"/>
      <c r="Q77" s="2"/>
      <c r="S77" s="98">
        <f t="shared" si="18"/>
        <v>0</v>
      </c>
      <c r="T77" s="98">
        <f t="shared" si="19"/>
        <v>0</v>
      </c>
      <c r="U77" s="97">
        <f t="shared" si="20"/>
        <v>0</v>
      </c>
      <c r="V77" s="97">
        <f t="shared" si="21"/>
        <v>0</v>
      </c>
      <c r="X77" s="98" t="e">
        <f t="shared" si="22"/>
        <v>#REF!</v>
      </c>
      <c r="Y77" s="98" t="e">
        <f t="shared" si="23"/>
        <v>#REF!</v>
      </c>
      <c r="Z77" s="97" t="e">
        <f t="shared" si="24"/>
        <v>#REF!</v>
      </c>
      <c r="AA77" s="97" t="e">
        <f t="shared" si="25"/>
        <v>#REF!</v>
      </c>
      <c r="AC77" s="98" t="e">
        <f t="shared" si="26"/>
        <v>#REF!</v>
      </c>
      <c r="AD77" s="98" t="e">
        <f t="shared" si="27"/>
        <v>#REF!</v>
      </c>
      <c r="AE77" s="97" t="e">
        <f t="shared" si="28"/>
        <v>#REF!</v>
      </c>
      <c r="AF77" s="97" t="e">
        <f t="shared" si="29"/>
        <v>#REF!</v>
      </c>
      <c r="AH77" s="98" t="e">
        <f t="shared" si="30"/>
        <v>#REF!</v>
      </c>
      <c r="AI77" s="98" t="e">
        <f t="shared" si="31"/>
        <v>#REF!</v>
      </c>
      <c r="AJ77" s="97" t="e">
        <f t="shared" si="32"/>
        <v>#REF!</v>
      </c>
      <c r="AK77" s="97" t="e">
        <f t="shared" si="33"/>
        <v>#REF!</v>
      </c>
      <c r="EI77" s="111"/>
      <c r="PW77" s="111"/>
      <c r="QQ77" s="111"/>
      <c r="TQ77" s="111"/>
      <c r="TX77" s="111"/>
      <c r="UG77" s="111"/>
      <c r="UP77" s="111"/>
      <c r="XG77" s="111"/>
      <c r="XU77" s="111"/>
      <c r="YW77" s="111"/>
      <c r="ZR77" s="111"/>
      <c r="ZX77" s="111"/>
      <c r="ACV77" s="111"/>
      <c r="ADF77" s="111"/>
      <c r="ADR77" s="111"/>
      <c r="AHN77" s="111"/>
      <c r="AQQ77" s="111"/>
      <c r="ARE77" s="111"/>
      <c r="AZL77" s="111"/>
      <c r="BER77" s="111"/>
      <c r="BHS77" s="111"/>
      <c r="BMD77" s="111"/>
      <c r="BUR77" s="111"/>
      <c r="BUU77" s="111"/>
      <c r="BVX77" s="111"/>
      <c r="CAD77" s="111"/>
      <c r="CAO77" s="111"/>
      <c r="CWU77" s="111"/>
      <c r="CZG77" s="111"/>
      <c r="DET77" s="111"/>
      <c r="DIG77" s="111"/>
      <c r="DRF77" s="111"/>
    </row>
    <row r="78" spans="1:995 1029:2000 2058:3033 3118:3337" ht="15" customHeight="1">
      <c r="A78" s="108"/>
      <c r="B78" s="109"/>
      <c r="C78" s="103"/>
      <c r="D78" s="102"/>
      <c r="E78" s="101"/>
      <c r="F78" s="101"/>
      <c r="G78" s="100"/>
      <c r="H78" s="99"/>
      <c r="I78" s="106"/>
      <c r="J78" s="2"/>
      <c r="K78" s="2"/>
      <c r="L78" s="2"/>
      <c r="M78" s="2"/>
      <c r="N78" s="2"/>
      <c r="O78" s="2"/>
      <c r="P78" s="2"/>
      <c r="Q78" s="2"/>
      <c r="S78" s="98">
        <f t="shared" si="18"/>
        <v>0</v>
      </c>
      <c r="T78" s="98">
        <f t="shared" si="19"/>
        <v>0</v>
      </c>
      <c r="U78" s="97">
        <f t="shared" si="20"/>
        <v>0</v>
      </c>
      <c r="V78" s="97">
        <f t="shared" si="21"/>
        <v>0</v>
      </c>
      <c r="X78" s="98" t="e">
        <f t="shared" si="22"/>
        <v>#REF!</v>
      </c>
      <c r="Y78" s="98" t="e">
        <f t="shared" si="23"/>
        <v>#REF!</v>
      </c>
      <c r="Z78" s="97" t="e">
        <f t="shared" si="24"/>
        <v>#REF!</v>
      </c>
      <c r="AA78" s="97" t="e">
        <f t="shared" si="25"/>
        <v>#REF!</v>
      </c>
      <c r="AC78" s="98" t="e">
        <f t="shared" si="26"/>
        <v>#REF!</v>
      </c>
      <c r="AD78" s="98" t="e">
        <f t="shared" si="27"/>
        <v>#REF!</v>
      </c>
      <c r="AE78" s="97" t="e">
        <f t="shared" si="28"/>
        <v>#REF!</v>
      </c>
      <c r="AF78" s="97" t="e">
        <f t="shared" si="29"/>
        <v>#REF!</v>
      </c>
      <c r="AH78" s="98" t="e">
        <f t="shared" si="30"/>
        <v>#REF!</v>
      </c>
      <c r="AI78" s="98" t="e">
        <f t="shared" si="31"/>
        <v>#REF!</v>
      </c>
      <c r="AJ78" s="97" t="e">
        <f t="shared" si="32"/>
        <v>#REF!</v>
      </c>
      <c r="AK78" s="97" t="e">
        <f t="shared" si="33"/>
        <v>#REF!</v>
      </c>
      <c r="EI78" s="111"/>
      <c r="PW78" s="111"/>
      <c r="QQ78" s="111"/>
      <c r="TQ78" s="111"/>
      <c r="TX78" s="111"/>
      <c r="UG78" s="111"/>
      <c r="UP78" s="111"/>
      <c r="XG78" s="111"/>
      <c r="XU78" s="111"/>
      <c r="YW78" s="111"/>
      <c r="ZR78" s="111"/>
      <c r="ZX78" s="111"/>
      <c r="ACV78" s="111"/>
      <c r="ADF78" s="111"/>
      <c r="ADR78" s="111"/>
      <c r="AHN78" s="111"/>
      <c r="AQQ78" s="111"/>
      <c r="ARE78" s="111"/>
      <c r="AZL78" s="111"/>
      <c r="BER78" s="111"/>
      <c r="BHS78" s="111"/>
      <c r="BMD78" s="111"/>
      <c r="BUR78" s="111"/>
      <c r="BUU78" s="111"/>
      <c r="BVX78" s="111"/>
      <c r="CAD78" s="111"/>
      <c r="CAO78" s="111"/>
      <c r="CWU78" s="111"/>
      <c r="CZG78" s="111"/>
      <c r="DET78" s="111"/>
      <c r="DIG78" s="111"/>
      <c r="DRF78" s="111"/>
    </row>
    <row r="79" spans="1:995 1029:2000 2058:3033 3118:3337" ht="15" customHeight="1">
      <c r="A79" s="108"/>
      <c r="B79" s="109"/>
      <c r="C79" s="103"/>
      <c r="D79" s="102"/>
      <c r="E79" s="101"/>
      <c r="F79" s="101"/>
      <c r="G79" s="100"/>
      <c r="H79" s="99"/>
      <c r="I79" s="106"/>
      <c r="J79" s="2"/>
      <c r="K79" s="2"/>
      <c r="L79" s="2"/>
      <c r="M79" s="2"/>
      <c r="N79" s="2"/>
      <c r="O79" s="2"/>
      <c r="P79" s="2"/>
      <c r="Q79" s="2"/>
      <c r="S79" s="98">
        <f t="shared" si="18"/>
        <v>0</v>
      </c>
      <c r="T79" s="98">
        <f t="shared" si="19"/>
        <v>0</v>
      </c>
      <c r="U79" s="97">
        <f t="shared" si="20"/>
        <v>0</v>
      </c>
      <c r="V79" s="97">
        <f t="shared" si="21"/>
        <v>0</v>
      </c>
      <c r="X79" s="98" t="e">
        <f t="shared" si="22"/>
        <v>#REF!</v>
      </c>
      <c r="Y79" s="98" t="e">
        <f t="shared" si="23"/>
        <v>#REF!</v>
      </c>
      <c r="Z79" s="97" t="e">
        <f t="shared" si="24"/>
        <v>#REF!</v>
      </c>
      <c r="AA79" s="97" t="e">
        <f t="shared" si="25"/>
        <v>#REF!</v>
      </c>
      <c r="AC79" s="98" t="e">
        <f t="shared" si="26"/>
        <v>#REF!</v>
      </c>
      <c r="AD79" s="98" t="e">
        <f t="shared" si="27"/>
        <v>#REF!</v>
      </c>
      <c r="AE79" s="97" t="e">
        <f t="shared" si="28"/>
        <v>#REF!</v>
      </c>
      <c r="AF79" s="97" t="e">
        <f t="shared" si="29"/>
        <v>#REF!</v>
      </c>
      <c r="AH79" s="98" t="e">
        <f t="shared" si="30"/>
        <v>#REF!</v>
      </c>
      <c r="AI79" s="98" t="e">
        <f t="shared" si="31"/>
        <v>#REF!</v>
      </c>
      <c r="AJ79" s="97" t="e">
        <f t="shared" si="32"/>
        <v>#REF!</v>
      </c>
      <c r="AK79" s="97" t="e">
        <f t="shared" si="33"/>
        <v>#REF!</v>
      </c>
      <c r="EI79" s="111"/>
      <c r="PW79" s="111"/>
      <c r="QQ79" s="111"/>
      <c r="TQ79" s="111"/>
      <c r="TX79" s="111"/>
      <c r="UG79" s="111"/>
      <c r="UP79" s="111"/>
      <c r="XG79" s="111"/>
      <c r="XU79" s="111"/>
      <c r="YW79" s="111"/>
      <c r="ZR79" s="111"/>
      <c r="ZX79" s="111"/>
      <c r="ACV79" s="111"/>
      <c r="ADF79" s="111"/>
      <c r="ADR79" s="111"/>
      <c r="AHN79" s="111"/>
      <c r="AQQ79" s="111"/>
      <c r="ARE79" s="111"/>
      <c r="AZL79" s="111"/>
      <c r="BER79" s="111"/>
      <c r="BHS79" s="111"/>
      <c r="BMD79" s="111"/>
      <c r="BUR79" s="111"/>
      <c r="BUU79" s="111"/>
      <c r="BVX79" s="111"/>
      <c r="CAD79" s="111"/>
      <c r="CAO79" s="111"/>
      <c r="CWU79" s="111"/>
      <c r="CZG79" s="111"/>
      <c r="DET79" s="111"/>
      <c r="DIG79" s="111"/>
      <c r="DRF79" s="111"/>
    </row>
    <row r="80" spans="1:995 1029:2000 2058:3033 3118:3337" ht="15" customHeight="1">
      <c r="A80" s="108"/>
      <c r="B80" s="109"/>
      <c r="C80" s="103"/>
      <c r="D80" s="102"/>
      <c r="E80" s="101"/>
      <c r="F80" s="101"/>
      <c r="G80" s="100"/>
      <c r="H80" s="99"/>
      <c r="I80" s="106"/>
      <c r="J80" s="2"/>
      <c r="K80" s="2"/>
      <c r="L80" s="2"/>
      <c r="M80" s="2"/>
      <c r="N80" s="2"/>
      <c r="O80" s="2"/>
      <c r="P80" s="2"/>
      <c r="Q80" s="2"/>
      <c r="S80" s="98">
        <f t="shared" si="18"/>
        <v>0</v>
      </c>
      <c r="T80" s="98">
        <f t="shared" si="19"/>
        <v>0</v>
      </c>
      <c r="U80" s="97">
        <f t="shared" si="20"/>
        <v>0</v>
      </c>
      <c r="V80" s="97">
        <f t="shared" si="21"/>
        <v>0</v>
      </c>
      <c r="X80" s="98" t="e">
        <f t="shared" si="22"/>
        <v>#REF!</v>
      </c>
      <c r="Y80" s="98" t="e">
        <f t="shared" si="23"/>
        <v>#REF!</v>
      </c>
      <c r="Z80" s="97" t="e">
        <f t="shared" si="24"/>
        <v>#REF!</v>
      </c>
      <c r="AA80" s="97" t="e">
        <f t="shared" si="25"/>
        <v>#REF!</v>
      </c>
      <c r="AC80" s="98" t="e">
        <f t="shared" si="26"/>
        <v>#REF!</v>
      </c>
      <c r="AD80" s="98" t="e">
        <f t="shared" si="27"/>
        <v>#REF!</v>
      </c>
      <c r="AE80" s="97" t="e">
        <f t="shared" si="28"/>
        <v>#REF!</v>
      </c>
      <c r="AF80" s="97" t="e">
        <f t="shared" si="29"/>
        <v>#REF!</v>
      </c>
      <c r="AH80" s="98" t="e">
        <f t="shared" si="30"/>
        <v>#REF!</v>
      </c>
      <c r="AI80" s="98" t="e">
        <f t="shared" si="31"/>
        <v>#REF!</v>
      </c>
      <c r="AJ80" s="97" t="e">
        <f t="shared" si="32"/>
        <v>#REF!</v>
      </c>
      <c r="AK80" s="97" t="e">
        <f t="shared" si="33"/>
        <v>#REF!</v>
      </c>
      <c r="EI80" s="111"/>
      <c r="PW80" s="111"/>
      <c r="QQ80" s="111"/>
      <c r="TQ80" s="111"/>
      <c r="TX80" s="111"/>
      <c r="UG80" s="111"/>
      <c r="UP80" s="111"/>
      <c r="XG80" s="111"/>
      <c r="XU80" s="111"/>
      <c r="YW80" s="111"/>
      <c r="ZR80" s="111"/>
      <c r="ZX80" s="111"/>
      <c r="ACV80" s="111"/>
      <c r="ADF80" s="111"/>
      <c r="ADR80" s="111"/>
      <c r="AHN80" s="111"/>
      <c r="AQQ80" s="111"/>
      <c r="ARE80" s="111"/>
      <c r="AZL80" s="111"/>
      <c r="BER80" s="111"/>
      <c r="BHS80" s="111"/>
      <c r="BMD80" s="111"/>
      <c r="BUR80" s="111"/>
      <c r="BUU80" s="111"/>
      <c r="BVX80" s="111"/>
      <c r="CAD80" s="111"/>
      <c r="CAO80" s="111"/>
      <c r="CWU80" s="111"/>
      <c r="CZG80" s="111"/>
      <c r="DET80" s="111"/>
      <c r="DIG80" s="111"/>
      <c r="DRF80" s="111"/>
    </row>
    <row r="81" spans="1:995 1114:2000 2061:3033 3118:3398" ht="15" customHeight="1">
      <c r="A81" s="108"/>
      <c r="B81" s="109" t="s">
        <v>125</v>
      </c>
      <c r="C81" s="103"/>
      <c r="D81" s="102"/>
      <c r="E81" s="101">
        <v>0.02</v>
      </c>
      <c r="F81" s="101"/>
      <c r="G81" s="100">
        <f t="shared" si="0"/>
        <v>0.02</v>
      </c>
      <c r="H81" s="99" t="str">
        <f t="shared" si="1"/>
        <v/>
      </c>
      <c r="I81" s="106"/>
      <c r="J81" s="2"/>
      <c r="K81" s="2"/>
      <c r="L81" s="2"/>
      <c r="M81" s="2"/>
      <c r="N81" s="2"/>
      <c r="O81" s="2"/>
      <c r="P81" s="2"/>
      <c r="Q81" s="2"/>
      <c r="S81" s="98">
        <f t="shared" si="18"/>
        <v>0</v>
      </c>
      <c r="T81" s="98">
        <f t="shared" si="19"/>
        <v>0</v>
      </c>
      <c r="U81" s="97">
        <f t="shared" si="20"/>
        <v>0</v>
      </c>
      <c r="V81" s="97">
        <f t="shared" si="21"/>
        <v>0</v>
      </c>
      <c r="X81" s="98" t="e">
        <f t="shared" si="22"/>
        <v>#REF!</v>
      </c>
      <c r="Y81" s="98" t="e">
        <f t="shared" si="23"/>
        <v>#REF!</v>
      </c>
      <c r="Z81" s="97" t="e">
        <f t="shared" si="24"/>
        <v>#REF!</v>
      </c>
      <c r="AA81" s="97" t="e">
        <f t="shared" si="25"/>
        <v>#REF!</v>
      </c>
      <c r="AC81" s="98" t="e">
        <f t="shared" si="26"/>
        <v>#REF!</v>
      </c>
      <c r="AD81" s="98" t="e">
        <f t="shared" si="27"/>
        <v>#REF!</v>
      </c>
      <c r="AE81" s="97" t="e">
        <f t="shared" si="28"/>
        <v>#REF!</v>
      </c>
      <c r="AF81" s="97" t="e">
        <f t="shared" si="29"/>
        <v>#REF!</v>
      </c>
      <c r="AH81" s="98" t="e">
        <f t="shared" si="30"/>
        <v>#REF!</v>
      </c>
      <c r="AI81" s="98" t="e">
        <f t="shared" si="31"/>
        <v>#REF!</v>
      </c>
      <c r="AJ81" s="97" t="e">
        <f t="shared" si="32"/>
        <v>#REF!</v>
      </c>
      <c r="AK81" s="97" t="e">
        <f t="shared" si="33"/>
        <v>#REF!</v>
      </c>
      <c r="CH81" s="111"/>
      <c r="HM81" s="111"/>
      <c r="HR81" s="111"/>
      <c r="NG81" s="111"/>
      <c r="QF81" s="111"/>
      <c r="SJ81" s="111"/>
      <c r="UX81" s="111"/>
      <c r="VV81" s="111"/>
      <c r="ALG81" s="111"/>
      <c r="APV81" s="111"/>
      <c r="AWA81" s="111"/>
      <c r="BCZ81" s="111"/>
      <c r="BFE81" s="111"/>
      <c r="BLU81" s="111"/>
      <c r="BMN81" s="111"/>
      <c r="BPT81" s="111"/>
      <c r="BWJ81" s="111"/>
      <c r="BXX81" s="111"/>
      <c r="CJH81" s="111"/>
      <c r="CKQ81" s="111"/>
      <c r="CRV81" s="111"/>
      <c r="CWM81" s="111"/>
      <c r="CYH81" s="111"/>
      <c r="DAI81" s="111"/>
      <c r="DDB81" s="111"/>
      <c r="DDR81" s="111"/>
      <c r="DEJ81" s="111"/>
      <c r="DGS81" s="111"/>
      <c r="DII81" s="111"/>
      <c r="DPM81" s="111"/>
      <c r="DRY81" s="111"/>
      <c r="DUS81" s="111"/>
      <c r="DXI81" s="111"/>
    </row>
    <row r="82" spans="1:995 1114:2000 2061:3033 3118:3398" ht="15" customHeight="1">
      <c r="A82" s="108"/>
      <c r="B82" s="109"/>
      <c r="C82" s="103"/>
      <c r="D82" s="102"/>
      <c r="E82" s="101"/>
      <c r="F82" s="101"/>
      <c r="G82" s="100"/>
      <c r="H82" s="99"/>
      <c r="I82" s="106"/>
      <c r="J82" s="2"/>
      <c r="K82" s="2"/>
      <c r="L82" s="2"/>
      <c r="M82" s="2"/>
      <c r="N82" s="2"/>
      <c r="O82" s="2"/>
      <c r="P82" s="2"/>
      <c r="Q82" s="2"/>
      <c r="S82" s="98">
        <f t="shared" si="18"/>
        <v>0</v>
      </c>
      <c r="T82" s="98">
        <f t="shared" si="19"/>
        <v>0</v>
      </c>
      <c r="U82" s="97">
        <f t="shared" si="20"/>
        <v>0</v>
      </c>
      <c r="V82" s="97">
        <f t="shared" si="21"/>
        <v>0</v>
      </c>
      <c r="X82" s="98" t="e">
        <f t="shared" si="22"/>
        <v>#REF!</v>
      </c>
      <c r="Y82" s="98" t="e">
        <f t="shared" si="23"/>
        <v>#REF!</v>
      </c>
      <c r="Z82" s="97" t="e">
        <f t="shared" si="24"/>
        <v>#REF!</v>
      </c>
      <c r="AA82" s="97" t="e">
        <f t="shared" si="25"/>
        <v>#REF!</v>
      </c>
      <c r="AC82" s="98" t="e">
        <f t="shared" si="26"/>
        <v>#REF!</v>
      </c>
      <c r="AD82" s="98" t="e">
        <f t="shared" si="27"/>
        <v>#REF!</v>
      </c>
      <c r="AE82" s="97" t="e">
        <f t="shared" si="28"/>
        <v>#REF!</v>
      </c>
      <c r="AF82" s="97" t="e">
        <f t="shared" si="29"/>
        <v>#REF!</v>
      </c>
      <c r="AH82" s="98" t="e">
        <f t="shared" si="30"/>
        <v>#REF!</v>
      </c>
      <c r="AI82" s="98" t="e">
        <f t="shared" si="31"/>
        <v>#REF!</v>
      </c>
      <c r="AJ82" s="97" t="e">
        <f t="shared" si="32"/>
        <v>#REF!</v>
      </c>
      <c r="AK82" s="97" t="e">
        <f t="shared" si="33"/>
        <v>#REF!</v>
      </c>
      <c r="CH82" s="111"/>
      <c r="HM82" s="111"/>
      <c r="HR82" s="111"/>
      <c r="NG82" s="111"/>
      <c r="QF82" s="111"/>
      <c r="SJ82" s="111"/>
      <c r="UX82" s="111"/>
      <c r="VV82" s="111"/>
      <c r="ALG82" s="111"/>
      <c r="APV82" s="111"/>
      <c r="AWA82" s="111"/>
      <c r="BCZ82" s="111"/>
      <c r="BFE82" s="111"/>
      <c r="BLU82" s="111"/>
      <c r="BMN82" s="111"/>
      <c r="BPT82" s="111"/>
      <c r="BWJ82" s="111"/>
      <c r="BXX82" s="111"/>
      <c r="CJH82" s="111"/>
      <c r="CKQ82" s="111"/>
      <c r="CRV82" s="111"/>
      <c r="CWM82" s="111"/>
      <c r="CYH82" s="111"/>
      <c r="DAI82" s="111"/>
      <c r="DDB82" s="111"/>
      <c r="DDR82" s="111"/>
      <c r="DEJ82" s="111"/>
      <c r="DGS82" s="111"/>
      <c r="DII82" s="111"/>
      <c r="DPM82" s="111"/>
      <c r="DRY82" s="111"/>
      <c r="DUS82" s="111"/>
      <c r="DXI82" s="111"/>
    </row>
    <row r="83" spans="1:995 1114:2000 2061:3033 3118:3398" ht="15" customHeight="1">
      <c r="A83" s="108"/>
      <c r="B83" s="109"/>
      <c r="C83" s="103"/>
      <c r="D83" s="102"/>
      <c r="E83" s="101"/>
      <c r="F83" s="101"/>
      <c r="G83" s="100"/>
      <c r="H83" s="99"/>
      <c r="I83" s="106"/>
      <c r="J83" s="2"/>
      <c r="K83" s="2"/>
      <c r="L83" s="2"/>
      <c r="M83" s="2"/>
      <c r="N83" s="2"/>
      <c r="O83" s="2"/>
      <c r="P83" s="2"/>
      <c r="Q83" s="2"/>
      <c r="S83" s="98">
        <f t="shared" si="18"/>
        <v>0</v>
      </c>
      <c r="T83" s="98">
        <f t="shared" si="19"/>
        <v>0</v>
      </c>
      <c r="U83" s="97">
        <f t="shared" si="20"/>
        <v>0</v>
      </c>
      <c r="V83" s="97">
        <f t="shared" si="21"/>
        <v>0</v>
      </c>
      <c r="X83" s="98" t="e">
        <f t="shared" si="22"/>
        <v>#REF!</v>
      </c>
      <c r="Y83" s="98" t="e">
        <f t="shared" si="23"/>
        <v>#REF!</v>
      </c>
      <c r="Z83" s="97" t="e">
        <f t="shared" si="24"/>
        <v>#REF!</v>
      </c>
      <c r="AA83" s="97" t="e">
        <f t="shared" si="25"/>
        <v>#REF!</v>
      </c>
      <c r="AC83" s="98" t="e">
        <f t="shared" si="26"/>
        <v>#REF!</v>
      </c>
      <c r="AD83" s="98" t="e">
        <f t="shared" si="27"/>
        <v>#REF!</v>
      </c>
      <c r="AE83" s="97" t="e">
        <f t="shared" si="28"/>
        <v>#REF!</v>
      </c>
      <c r="AF83" s="97" t="e">
        <f t="shared" si="29"/>
        <v>#REF!</v>
      </c>
      <c r="AH83" s="98" t="e">
        <f t="shared" si="30"/>
        <v>#REF!</v>
      </c>
      <c r="AI83" s="98" t="e">
        <f t="shared" si="31"/>
        <v>#REF!</v>
      </c>
      <c r="AJ83" s="97" t="e">
        <f t="shared" si="32"/>
        <v>#REF!</v>
      </c>
      <c r="AK83" s="97" t="e">
        <f t="shared" si="33"/>
        <v>#REF!</v>
      </c>
      <c r="CH83" s="111"/>
      <c r="HM83" s="111"/>
      <c r="HR83" s="111"/>
      <c r="NG83" s="111"/>
      <c r="QF83" s="111"/>
      <c r="SJ83" s="111"/>
      <c r="UX83" s="111"/>
      <c r="VV83" s="111"/>
      <c r="ALG83" s="111"/>
      <c r="APV83" s="111"/>
      <c r="AWA83" s="111"/>
      <c r="BCZ83" s="111"/>
      <c r="BFE83" s="111"/>
      <c r="BLU83" s="111"/>
      <c r="BMN83" s="111"/>
      <c r="BPT83" s="111"/>
      <c r="BWJ83" s="111"/>
      <c r="BXX83" s="111"/>
      <c r="CJH83" s="111"/>
      <c r="CKQ83" s="111"/>
      <c r="CRV83" s="111"/>
      <c r="CWM83" s="111"/>
      <c r="CYH83" s="111"/>
      <c r="DAI83" s="111"/>
      <c r="DDB83" s="111"/>
      <c r="DDR83" s="111"/>
      <c r="DEJ83" s="111"/>
      <c r="DGS83" s="111"/>
      <c r="DII83" s="111"/>
      <c r="DPM83" s="111"/>
      <c r="DRY83" s="111"/>
      <c r="DUS83" s="111"/>
      <c r="DXI83" s="111"/>
    </row>
    <row r="84" spans="1:995 1114:2000 2061:3033 3118:3398" ht="15" customHeight="1">
      <c r="A84" s="108"/>
      <c r="B84" s="109"/>
      <c r="C84" s="103"/>
      <c r="D84" s="102"/>
      <c r="E84" s="101"/>
      <c r="F84" s="101"/>
      <c r="G84" s="100"/>
      <c r="H84" s="99"/>
      <c r="I84" s="106"/>
      <c r="J84" s="2"/>
      <c r="K84" s="2"/>
      <c r="L84" s="2"/>
      <c r="M84" s="2"/>
      <c r="N84" s="2"/>
      <c r="O84" s="2"/>
      <c r="P84" s="2"/>
      <c r="Q84" s="2"/>
      <c r="S84" s="98">
        <f t="shared" si="18"/>
        <v>0</v>
      </c>
      <c r="T84" s="98">
        <f t="shared" si="19"/>
        <v>0</v>
      </c>
      <c r="U84" s="97">
        <f t="shared" si="20"/>
        <v>0</v>
      </c>
      <c r="V84" s="97">
        <f t="shared" si="21"/>
        <v>0</v>
      </c>
      <c r="X84" s="98" t="e">
        <f t="shared" si="22"/>
        <v>#REF!</v>
      </c>
      <c r="Y84" s="98" t="e">
        <f t="shared" si="23"/>
        <v>#REF!</v>
      </c>
      <c r="Z84" s="97" t="e">
        <f t="shared" si="24"/>
        <v>#REF!</v>
      </c>
      <c r="AA84" s="97" t="e">
        <f t="shared" si="25"/>
        <v>#REF!</v>
      </c>
      <c r="AC84" s="98" t="e">
        <f t="shared" si="26"/>
        <v>#REF!</v>
      </c>
      <c r="AD84" s="98" t="e">
        <f t="shared" si="27"/>
        <v>#REF!</v>
      </c>
      <c r="AE84" s="97" t="e">
        <f t="shared" si="28"/>
        <v>#REF!</v>
      </c>
      <c r="AF84" s="97" t="e">
        <f t="shared" si="29"/>
        <v>#REF!</v>
      </c>
      <c r="AH84" s="98" t="e">
        <f t="shared" si="30"/>
        <v>#REF!</v>
      </c>
      <c r="AI84" s="98" t="e">
        <f t="shared" si="31"/>
        <v>#REF!</v>
      </c>
      <c r="AJ84" s="97" t="e">
        <f t="shared" si="32"/>
        <v>#REF!</v>
      </c>
      <c r="AK84" s="97" t="e">
        <f t="shared" si="33"/>
        <v>#REF!</v>
      </c>
      <c r="CH84" s="111"/>
      <c r="HM84" s="111"/>
      <c r="HR84" s="111"/>
      <c r="NG84" s="111"/>
      <c r="QF84" s="111"/>
      <c r="SJ84" s="111"/>
      <c r="UX84" s="111"/>
      <c r="VV84" s="111"/>
      <c r="ALG84" s="111"/>
      <c r="APV84" s="111"/>
      <c r="AWA84" s="111"/>
      <c r="BCZ84" s="111"/>
      <c r="BFE84" s="111"/>
      <c r="BLU84" s="111"/>
      <c r="BMN84" s="111"/>
      <c r="BPT84" s="111"/>
      <c r="BWJ84" s="111"/>
      <c r="BXX84" s="111"/>
      <c r="CJH84" s="111"/>
      <c r="CKQ84" s="111"/>
      <c r="CRV84" s="111"/>
      <c r="CWM84" s="111"/>
      <c r="CYH84" s="111"/>
      <c r="DAI84" s="111"/>
      <c r="DDB84" s="111"/>
      <c r="DDR84" s="111"/>
      <c r="DEJ84" s="111"/>
      <c r="DGS84" s="111"/>
      <c r="DII84" s="111"/>
      <c r="DPM84" s="111"/>
      <c r="DRY84" s="111"/>
      <c r="DUS84" s="111"/>
      <c r="DXI84" s="111"/>
    </row>
    <row r="85" spans="1:995 1114:2000 2061:3033 3118:3398" ht="15" customHeight="1">
      <c r="A85" s="108"/>
      <c r="B85" s="109"/>
      <c r="C85" s="103"/>
      <c r="D85" s="102"/>
      <c r="E85" s="101"/>
      <c r="F85" s="101"/>
      <c r="G85" s="100"/>
      <c r="H85" s="99"/>
      <c r="I85" s="106"/>
      <c r="J85" s="2"/>
      <c r="K85" s="2"/>
      <c r="L85" s="2"/>
      <c r="M85" s="2"/>
      <c r="N85" s="2"/>
      <c r="O85" s="2"/>
      <c r="P85" s="2"/>
      <c r="Q85" s="2"/>
      <c r="S85" s="98">
        <f t="shared" si="18"/>
        <v>0</v>
      </c>
      <c r="T85" s="98">
        <f t="shared" si="19"/>
        <v>0</v>
      </c>
      <c r="U85" s="97">
        <f t="shared" si="20"/>
        <v>0</v>
      </c>
      <c r="V85" s="97">
        <f t="shared" si="21"/>
        <v>0</v>
      </c>
      <c r="X85" s="98" t="e">
        <f t="shared" si="22"/>
        <v>#REF!</v>
      </c>
      <c r="Y85" s="98" t="e">
        <f t="shared" si="23"/>
        <v>#REF!</v>
      </c>
      <c r="Z85" s="97" t="e">
        <f t="shared" si="24"/>
        <v>#REF!</v>
      </c>
      <c r="AA85" s="97" t="e">
        <f t="shared" si="25"/>
        <v>#REF!</v>
      </c>
      <c r="AC85" s="98" t="e">
        <f t="shared" si="26"/>
        <v>#REF!</v>
      </c>
      <c r="AD85" s="98" t="e">
        <f t="shared" si="27"/>
        <v>#REF!</v>
      </c>
      <c r="AE85" s="97" t="e">
        <f t="shared" si="28"/>
        <v>#REF!</v>
      </c>
      <c r="AF85" s="97" t="e">
        <f t="shared" si="29"/>
        <v>#REF!</v>
      </c>
      <c r="AH85" s="98" t="e">
        <f t="shared" si="30"/>
        <v>#REF!</v>
      </c>
      <c r="AI85" s="98" t="e">
        <f t="shared" si="31"/>
        <v>#REF!</v>
      </c>
      <c r="AJ85" s="97" t="e">
        <f t="shared" si="32"/>
        <v>#REF!</v>
      </c>
      <c r="AK85" s="97" t="e">
        <f t="shared" si="33"/>
        <v>#REF!</v>
      </c>
      <c r="CH85" s="111"/>
      <c r="HM85" s="111"/>
      <c r="HR85" s="111"/>
      <c r="NG85" s="111"/>
      <c r="QF85" s="111"/>
      <c r="SJ85" s="111"/>
      <c r="UX85" s="111"/>
      <c r="VV85" s="111"/>
      <c r="ALG85" s="111"/>
      <c r="APV85" s="111"/>
      <c r="AWA85" s="111"/>
      <c r="BCZ85" s="111"/>
      <c r="BFE85" s="111"/>
      <c r="BLU85" s="111"/>
      <c r="BMN85" s="111"/>
      <c r="BPT85" s="111"/>
      <c r="BWJ85" s="111"/>
      <c r="BXX85" s="111"/>
      <c r="CJH85" s="111"/>
      <c r="CKQ85" s="111"/>
      <c r="CRV85" s="111"/>
      <c r="CWM85" s="111"/>
      <c r="CYH85" s="111"/>
      <c r="DAI85" s="111"/>
      <c r="DDB85" s="111"/>
      <c r="DDR85" s="111"/>
      <c r="DEJ85" s="111"/>
      <c r="DGS85" s="111"/>
      <c r="DII85" s="111"/>
      <c r="DPM85" s="111"/>
      <c r="DRY85" s="111"/>
      <c r="DUS85" s="111"/>
      <c r="DXI85" s="111"/>
    </row>
    <row r="86" spans="1:995 1114:2000 2061:3033 3118:3398" ht="15" customHeight="1">
      <c r="A86" s="108"/>
      <c r="B86" s="109" t="s">
        <v>126</v>
      </c>
      <c r="C86" s="103"/>
      <c r="D86" s="102">
        <v>13.614000000000001</v>
      </c>
      <c r="E86" s="101">
        <v>0.03</v>
      </c>
      <c r="F86" s="101">
        <v>-0.03</v>
      </c>
      <c r="G86" s="100">
        <f t="shared" si="0"/>
        <v>13.644</v>
      </c>
      <c r="H86" s="99">
        <f t="shared" si="1"/>
        <v>13.584000000000001</v>
      </c>
      <c r="I86" s="106"/>
      <c r="J86" s="2"/>
      <c r="K86" s="2"/>
      <c r="L86" s="2"/>
      <c r="M86" s="2"/>
      <c r="N86" s="2"/>
      <c r="O86" s="2"/>
      <c r="P86" s="2"/>
      <c r="Q86" s="2"/>
      <c r="S86" s="98">
        <f t="shared" si="18"/>
        <v>0</v>
      </c>
      <c r="T86" s="98">
        <f t="shared" si="19"/>
        <v>0</v>
      </c>
      <c r="U86" s="97">
        <f t="shared" si="20"/>
        <v>13.614000000000001</v>
      </c>
      <c r="V86" s="97">
        <f t="shared" si="21"/>
        <v>13.614000000000001</v>
      </c>
      <c r="X86" s="98" t="e">
        <f t="shared" si="22"/>
        <v>#REF!</v>
      </c>
      <c r="Y86" s="98" t="e">
        <f t="shared" si="23"/>
        <v>#REF!</v>
      </c>
      <c r="Z86" s="97" t="e">
        <f t="shared" si="24"/>
        <v>#REF!</v>
      </c>
      <c r="AA86" s="97" t="e">
        <f t="shared" si="25"/>
        <v>#REF!</v>
      </c>
      <c r="AC86" s="98" t="e">
        <f t="shared" si="26"/>
        <v>#REF!</v>
      </c>
      <c r="AD86" s="98" t="e">
        <f t="shared" si="27"/>
        <v>#REF!</v>
      </c>
      <c r="AE86" s="97" t="e">
        <f t="shared" si="28"/>
        <v>#REF!</v>
      </c>
      <c r="AF86" s="97" t="e">
        <f t="shared" si="29"/>
        <v>#REF!</v>
      </c>
      <c r="AH86" s="98" t="e">
        <f t="shared" si="30"/>
        <v>#REF!</v>
      </c>
      <c r="AI86" s="98" t="e">
        <f t="shared" si="31"/>
        <v>#REF!</v>
      </c>
      <c r="AJ86" s="97" t="e">
        <f t="shared" si="32"/>
        <v>#REF!</v>
      </c>
      <c r="AK86" s="97" t="e">
        <f t="shared" si="33"/>
        <v>#REF!</v>
      </c>
      <c r="AX86" s="111"/>
      <c r="LW86" s="111"/>
      <c r="SE86" s="111"/>
      <c r="SO86" s="111"/>
      <c r="SV86" s="111"/>
      <c r="VK86" s="111"/>
      <c r="WY86" s="111"/>
      <c r="ADQ86" s="111"/>
      <c r="AIP86" s="111"/>
      <c r="AKU86" s="111"/>
      <c r="ARN86" s="111"/>
      <c r="BCZ86" s="111"/>
      <c r="BID86" s="111"/>
      <c r="BJT86" s="111"/>
      <c r="BKL86" s="111"/>
      <c r="BPT86" s="111"/>
      <c r="BVZ86" s="111"/>
      <c r="CAG86" s="111"/>
      <c r="CKT86" s="111"/>
      <c r="CNT86" s="111"/>
      <c r="CTI86" s="111"/>
      <c r="CUZ86" s="111"/>
      <c r="CVE86" s="111"/>
      <c r="CWG86" s="111"/>
      <c r="DEW86" s="111"/>
      <c r="DHC86" s="111"/>
      <c r="DJU86" s="111"/>
      <c r="DKT86" s="111"/>
      <c r="DKY86" s="111"/>
      <c r="DOX86" s="111"/>
      <c r="DZR86" s="111"/>
    </row>
    <row r="87" spans="1:995 1114:2000 2061:3033 3118:3398" ht="15" customHeight="1">
      <c r="A87" s="108"/>
      <c r="B87" s="109" t="s">
        <v>127</v>
      </c>
      <c r="C87" s="103"/>
      <c r="D87" s="102">
        <v>1.9510000000000001</v>
      </c>
      <c r="E87" s="101">
        <v>0.03</v>
      </c>
      <c r="F87" s="101">
        <v>-0.03</v>
      </c>
      <c r="G87" s="100">
        <f t="shared" si="0"/>
        <v>1.9810000000000001</v>
      </c>
      <c r="H87" s="99">
        <f t="shared" si="1"/>
        <v>1.921</v>
      </c>
      <c r="I87" s="106"/>
      <c r="J87" s="2"/>
      <c r="K87" s="2"/>
      <c r="L87" s="2"/>
      <c r="M87" s="2"/>
      <c r="N87" s="2"/>
      <c r="O87" s="2"/>
      <c r="P87" s="2"/>
      <c r="Q87" s="2"/>
      <c r="S87" s="98">
        <f t="shared" si="18"/>
        <v>0</v>
      </c>
      <c r="T87" s="98">
        <f t="shared" si="19"/>
        <v>0</v>
      </c>
      <c r="U87" s="97">
        <f t="shared" si="20"/>
        <v>1.9510000000000001</v>
      </c>
      <c r="V87" s="97">
        <f t="shared" si="21"/>
        <v>1.9510000000000001</v>
      </c>
      <c r="X87" s="98" t="e">
        <f t="shared" si="22"/>
        <v>#REF!</v>
      </c>
      <c r="Y87" s="98" t="e">
        <f t="shared" si="23"/>
        <v>#REF!</v>
      </c>
      <c r="Z87" s="97" t="e">
        <f t="shared" si="24"/>
        <v>#REF!</v>
      </c>
      <c r="AA87" s="97" t="e">
        <f t="shared" si="25"/>
        <v>#REF!</v>
      </c>
      <c r="AC87" s="98" t="e">
        <f t="shared" si="26"/>
        <v>#REF!</v>
      </c>
      <c r="AD87" s="98" t="e">
        <f t="shared" si="27"/>
        <v>#REF!</v>
      </c>
      <c r="AE87" s="97" t="e">
        <f t="shared" si="28"/>
        <v>#REF!</v>
      </c>
      <c r="AF87" s="97" t="e">
        <f t="shared" si="29"/>
        <v>#REF!</v>
      </c>
      <c r="AH87" s="98" t="e">
        <f t="shared" si="30"/>
        <v>#REF!</v>
      </c>
      <c r="AI87" s="98" t="e">
        <f t="shared" si="31"/>
        <v>#REF!</v>
      </c>
      <c r="AJ87" s="97" t="e">
        <f t="shared" si="32"/>
        <v>#REF!</v>
      </c>
      <c r="AK87" s="97" t="e">
        <f t="shared" si="33"/>
        <v>#REF!</v>
      </c>
    </row>
    <row r="88" spans="1:995 1114:2000 2061:3033 3118:3398" ht="15" customHeight="1">
      <c r="A88" s="108"/>
      <c r="B88" s="109" t="s">
        <v>128</v>
      </c>
      <c r="C88" s="103"/>
      <c r="D88" s="102">
        <v>2.355</v>
      </c>
      <c r="E88" s="101">
        <v>0.03</v>
      </c>
      <c r="F88" s="101">
        <v>-0.03</v>
      </c>
      <c r="G88" s="100">
        <f t="shared" si="0"/>
        <v>2.3849999999999998</v>
      </c>
      <c r="H88" s="99">
        <f t="shared" si="1"/>
        <v>2.3250000000000002</v>
      </c>
      <c r="I88" s="106"/>
      <c r="J88" s="2"/>
      <c r="K88" s="2"/>
      <c r="L88" s="2"/>
      <c r="M88" s="2"/>
      <c r="N88" s="2"/>
      <c r="O88" s="2"/>
      <c r="P88" s="2"/>
      <c r="Q88" s="2"/>
      <c r="S88" s="98">
        <f t="shared" si="18"/>
        <v>0</v>
      </c>
      <c r="T88" s="98">
        <f t="shared" si="19"/>
        <v>0</v>
      </c>
      <c r="U88" s="97">
        <f t="shared" si="20"/>
        <v>2.355</v>
      </c>
      <c r="V88" s="97">
        <f t="shared" si="21"/>
        <v>2.355</v>
      </c>
      <c r="X88" s="98" t="e">
        <f t="shared" si="22"/>
        <v>#REF!</v>
      </c>
      <c r="Y88" s="98" t="e">
        <f t="shared" si="23"/>
        <v>#REF!</v>
      </c>
      <c r="Z88" s="97" t="e">
        <f t="shared" si="24"/>
        <v>#REF!</v>
      </c>
      <c r="AA88" s="97" t="e">
        <f t="shared" si="25"/>
        <v>#REF!</v>
      </c>
      <c r="AC88" s="98" t="e">
        <f t="shared" si="26"/>
        <v>#REF!</v>
      </c>
      <c r="AD88" s="98" t="e">
        <f t="shared" si="27"/>
        <v>#REF!</v>
      </c>
      <c r="AE88" s="97" t="e">
        <f t="shared" si="28"/>
        <v>#REF!</v>
      </c>
      <c r="AF88" s="97" t="e">
        <f t="shared" si="29"/>
        <v>#REF!</v>
      </c>
      <c r="AH88" s="98" t="e">
        <f t="shared" si="30"/>
        <v>#REF!</v>
      </c>
      <c r="AI88" s="98" t="e">
        <f t="shared" si="31"/>
        <v>#REF!</v>
      </c>
      <c r="AJ88" s="97" t="e">
        <f t="shared" si="32"/>
        <v>#REF!</v>
      </c>
      <c r="AK88" s="97" t="e">
        <f t="shared" si="33"/>
        <v>#REF!</v>
      </c>
    </row>
    <row r="89" spans="1:995 1114:2000 2061:3033 3118:3398" ht="15" customHeight="1">
      <c r="A89" s="105"/>
      <c r="B89" s="104" t="s">
        <v>129</v>
      </c>
      <c r="C89" s="103"/>
      <c r="D89" s="102">
        <v>10.182</v>
      </c>
      <c r="E89" s="101">
        <v>0.03</v>
      </c>
      <c r="F89" s="101">
        <v>-0.03</v>
      </c>
      <c r="G89" s="100">
        <f t="shared" si="0"/>
        <v>10.212</v>
      </c>
      <c r="H89" s="99">
        <f t="shared" si="1"/>
        <v>10.152000000000001</v>
      </c>
      <c r="I89" s="106"/>
      <c r="J89" s="2"/>
      <c r="K89" s="2"/>
      <c r="L89" s="2"/>
      <c r="M89" s="2"/>
      <c r="N89" s="2"/>
      <c r="O89" s="2"/>
      <c r="P89" s="2"/>
      <c r="Q89" s="2"/>
      <c r="S89" s="98">
        <f t="shared" si="18"/>
        <v>0</v>
      </c>
      <c r="T89" s="98">
        <f t="shared" si="19"/>
        <v>0</v>
      </c>
      <c r="U89" s="97">
        <f t="shared" si="20"/>
        <v>10.182</v>
      </c>
      <c r="V89" s="97">
        <f t="shared" si="21"/>
        <v>10.182</v>
      </c>
      <c r="X89" s="98" t="e">
        <f t="shared" si="22"/>
        <v>#REF!</v>
      </c>
      <c r="Y89" s="98" t="e">
        <f t="shared" si="23"/>
        <v>#REF!</v>
      </c>
      <c r="Z89" s="97" t="e">
        <f t="shared" si="24"/>
        <v>#REF!</v>
      </c>
      <c r="AA89" s="97" t="e">
        <f t="shared" si="25"/>
        <v>#REF!</v>
      </c>
      <c r="AC89" s="98" t="e">
        <f t="shared" si="26"/>
        <v>#REF!</v>
      </c>
      <c r="AD89" s="98" t="e">
        <f t="shared" si="27"/>
        <v>#REF!</v>
      </c>
      <c r="AE89" s="97" t="e">
        <f t="shared" si="28"/>
        <v>#REF!</v>
      </c>
      <c r="AF89" s="97" t="e">
        <f t="shared" si="29"/>
        <v>#REF!</v>
      </c>
      <c r="AH89" s="98" t="e">
        <f t="shared" si="30"/>
        <v>#REF!</v>
      </c>
      <c r="AI89" s="98" t="e">
        <f t="shared" si="31"/>
        <v>#REF!</v>
      </c>
      <c r="AJ89" s="97" t="e">
        <f t="shared" si="32"/>
        <v>#REF!</v>
      </c>
      <c r="AK89" s="97" t="e">
        <f t="shared" si="33"/>
        <v>#REF!</v>
      </c>
    </row>
    <row r="90" spans="1:995 1114:2000 2061:3033 3118:3398" ht="15" customHeight="1">
      <c r="A90" s="108"/>
      <c r="B90" s="107" t="s">
        <v>130</v>
      </c>
      <c r="C90" s="103"/>
      <c r="D90" s="102">
        <v>0.2</v>
      </c>
      <c r="E90" s="101">
        <v>0.03</v>
      </c>
      <c r="F90" s="101">
        <v>-0.03</v>
      </c>
      <c r="G90" s="100">
        <f t="shared" si="0"/>
        <v>0.23</v>
      </c>
      <c r="H90" s="99">
        <f t="shared" si="1"/>
        <v>0.17</v>
      </c>
      <c r="I90" s="106"/>
      <c r="J90" s="2"/>
      <c r="K90" s="2"/>
      <c r="L90" s="2"/>
      <c r="M90" s="2"/>
      <c r="N90" s="2"/>
      <c r="O90" s="2"/>
      <c r="P90" s="2"/>
      <c r="Q90" s="2"/>
      <c r="S90" s="98">
        <f t="shared" si="18"/>
        <v>0</v>
      </c>
      <c r="T90" s="98">
        <f t="shared" si="19"/>
        <v>0</v>
      </c>
      <c r="U90" s="97">
        <f t="shared" si="20"/>
        <v>0.2</v>
      </c>
      <c r="V90" s="97">
        <f t="shared" si="21"/>
        <v>0.2</v>
      </c>
      <c r="X90" s="98" t="e">
        <f t="shared" si="22"/>
        <v>#REF!</v>
      </c>
      <c r="Y90" s="98" t="e">
        <f t="shared" si="23"/>
        <v>#REF!</v>
      </c>
      <c r="Z90" s="97" t="e">
        <f t="shared" si="24"/>
        <v>#REF!</v>
      </c>
      <c r="AA90" s="97" t="e">
        <f t="shared" si="25"/>
        <v>#REF!</v>
      </c>
      <c r="AC90" s="98" t="e">
        <f t="shared" si="26"/>
        <v>#REF!</v>
      </c>
      <c r="AD90" s="98" t="e">
        <f t="shared" si="27"/>
        <v>#REF!</v>
      </c>
      <c r="AE90" s="97" t="e">
        <f t="shared" si="28"/>
        <v>#REF!</v>
      </c>
      <c r="AF90" s="97" t="e">
        <f t="shared" si="29"/>
        <v>#REF!</v>
      </c>
      <c r="AH90" s="98" t="e">
        <f t="shared" si="30"/>
        <v>#REF!</v>
      </c>
      <c r="AI90" s="98" t="e">
        <f t="shared" si="31"/>
        <v>#REF!</v>
      </c>
      <c r="AJ90" s="97" t="e">
        <f t="shared" si="32"/>
        <v>#REF!</v>
      </c>
      <c r="AK90" s="97" t="e">
        <f t="shared" si="33"/>
        <v>#REF!</v>
      </c>
    </row>
    <row r="91" spans="1:995 1114:2000 2061:3033 3118:3398" ht="15" customHeight="1">
      <c r="A91" s="108"/>
      <c r="B91" s="107" t="s">
        <v>131</v>
      </c>
      <c r="C91" s="103"/>
      <c r="D91" s="102">
        <v>0.35</v>
      </c>
      <c r="E91" s="101">
        <v>0.03</v>
      </c>
      <c r="F91" s="101">
        <v>-0.03</v>
      </c>
      <c r="G91" s="100">
        <f t="shared" si="0"/>
        <v>0.38</v>
      </c>
      <c r="H91" s="99">
        <f t="shared" si="1"/>
        <v>0.31999999999999995</v>
      </c>
      <c r="I91" s="106"/>
      <c r="J91" s="2"/>
      <c r="K91" s="2"/>
      <c r="L91" s="2"/>
      <c r="M91" s="2"/>
      <c r="N91" s="2"/>
      <c r="O91" s="2"/>
      <c r="P91" s="2"/>
      <c r="Q91" s="2"/>
      <c r="S91" s="98">
        <f t="shared" si="18"/>
        <v>0</v>
      </c>
      <c r="T91" s="98">
        <f t="shared" si="19"/>
        <v>0</v>
      </c>
      <c r="U91" s="97">
        <f t="shared" si="20"/>
        <v>0.35</v>
      </c>
      <c r="V91" s="97">
        <f t="shared" si="21"/>
        <v>0.35</v>
      </c>
      <c r="X91" s="98" t="e">
        <f t="shared" si="22"/>
        <v>#REF!</v>
      </c>
      <c r="Y91" s="98" t="e">
        <f t="shared" si="23"/>
        <v>#REF!</v>
      </c>
      <c r="Z91" s="97" t="e">
        <f t="shared" si="24"/>
        <v>#REF!</v>
      </c>
      <c r="AA91" s="97" t="e">
        <f t="shared" si="25"/>
        <v>#REF!</v>
      </c>
      <c r="AC91" s="98" t="e">
        <f t="shared" si="26"/>
        <v>#REF!</v>
      </c>
      <c r="AD91" s="98" t="e">
        <f t="shared" si="27"/>
        <v>#REF!</v>
      </c>
      <c r="AE91" s="97" t="e">
        <f t="shared" si="28"/>
        <v>#REF!</v>
      </c>
      <c r="AF91" s="97" t="e">
        <f t="shared" si="29"/>
        <v>#REF!</v>
      </c>
      <c r="AH91" s="98" t="e">
        <f t="shared" si="30"/>
        <v>#REF!</v>
      </c>
      <c r="AI91" s="98" t="e">
        <f t="shared" si="31"/>
        <v>#REF!</v>
      </c>
      <c r="AJ91" s="97" t="e">
        <f t="shared" si="32"/>
        <v>#REF!</v>
      </c>
      <c r="AK91" s="97" t="e">
        <f t="shared" si="33"/>
        <v>#REF!</v>
      </c>
    </row>
    <row r="92" spans="1:995 1114:2000 2061:3033 3118:3398" ht="15" customHeight="1">
      <c r="A92" s="108"/>
      <c r="B92" s="107" t="s">
        <v>131</v>
      </c>
      <c r="C92" s="103"/>
      <c r="D92" s="102">
        <v>0.35</v>
      </c>
      <c r="E92" s="101">
        <v>0.03</v>
      </c>
      <c r="F92" s="101">
        <v>-0.03</v>
      </c>
      <c r="G92" s="100">
        <f t="shared" si="0"/>
        <v>0.38</v>
      </c>
      <c r="H92" s="99">
        <f t="shared" si="1"/>
        <v>0.31999999999999995</v>
      </c>
      <c r="I92" s="106"/>
      <c r="J92" s="2"/>
      <c r="K92" s="2"/>
      <c r="L92" s="2"/>
      <c r="M92" s="2"/>
      <c r="N92" s="2"/>
      <c r="O92" s="2"/>
      <c r="P92" s="2"/>
      <c r="Q92" s="2"/>
      <c r="S92" s="98">
        <f t="shared" si="18"/>
        <v>0</v>
      </c>
      <c r="T92" s="98">
        <f t="shared" si="19"/>
        <v>0</v>
      </c>
      <c r="U92" s="97">
        <f t="shared" si="20"/>
        <v>0.35</v>
      </c>
      <c r="V92" s="97">
        <f t="shared" si="21"/>
        <v>0.35</v>
      </c>
      <c r="X92" s="98" t="e">
        <f t="shared" si="22"/>
        <v>#REF!</v>
      </c>
      <c r="Y92" s="98" t="e">
        <f t="shared" si="23"/>
        <v>#REF!</v>
      </c>
      <c r="Z92" s="97" t="e">
        <f t="shared" si="24"/>
        <v>#REF!</v>
      </c>
      <c r="AA92" s="97" t="e">
        <f t="shared" si="25"/>
        <v>#REF!</v>
      </c>
      <c r="AC92" s="98" t="e">
        <f t="shared" si="26"/>
        <v>#REF!</v>
      </c>
      <c r="AD92" s="98" t="e">
        <f t="shared" si="27"/>
        <v>#REF!</v>
      </c>
      <c r="AE92" s="97" t="e">
        <f t="shared" si="28"/>
        <v>#REF!</v>
      </c>
      <c r="AF92" s="97" t="e">
        <f t="shared" si="29"/>
        <v>#REF!</v>
      </c>
      <c r="AH92" s="98" t="e">
        <f t="shared" si="30"/>
        <v>#REF!</v>
      </c>
      <c r="AI92" s="98" t="e">
        <f t="shared" si="31"/>
        <v>#REF!</v>
      </c>
      <c r="AJ92" s="97" t="e">
        <f t="shared" si="32"/>
        <v>#REF!</v>
      </c>
      <c r="AK92" s="97" t="e">
        <f t="shared" si="33"/>
        <v>#REF!</v>
      </c>
    </row>
    <row r="93" spans="1:995 1114:2000 2061:3033 3118:3398" ht="15" customHeight="1">
      <c r="A93" s="108"/>
      <c r="B93" s="107" t="s">
        <v>131</v>
      </c>
      <c r="C93" s="103"/>
      <c r="D93" s="102">
        <v>0.35</v>
      </c>
      <c r="E93" s="101">
        <v>0.03</v>
      </c>
      <c r="F93" s="101">
        <v>-0.03</v>
      </c>
      <c r="G93" s="100">
        <f t="shared" si="0"/>
        <v>0.38</v>
      </c>
      <c r="H93" s="99">
        <f t="shared" si="1"/>
        <v>0.31999999999999995</v>
      </c>
      <c r="I93" s="106"/>
      <c r="J93" s="2"/>
      <c r="K93" s="2"/>
      <c r="L93" s="2"/>
      <c r="M93" s="2"/>
      <c r="N93" s="2"/>
      <c r="O93" s="2"/>
      <c r="P93" s="2"/>
      <c r="Q93" s="2"/>
      <c r="S93" s="98">
        <f t="shared" si="18"/>
        <v>0</v>
      </c>
      <c r="T93" s="98">
        <f t="shared" si="19"/>
        <v>0</v>
      </c>
      <c r="U93" s="97">
        <f t="shared" si="20"/>
        <v>0.35</v>
      </c>
      <c r="V93" s="97">
        <f t="shared" si="21"/>
        <v>0.35</v>
      </c>
      <c r="X93" s="98" t="e">
        <f t="shared" si="22"/>
        <v>#REF!</v>
      </c>
      <c r="Y93" s="98" t="e">
        <f t="shared" si="23"/>
        <v>#REF!</v>
      </c>
      <c r="Z93" s="97" t="e">
        <f t="shared" si="24"/>
        <v>#REF!</v>
      </c>
      <c r="AA93" s="97" t="e">
        <f t="shared" si="25"/>
        <v>#REF!</v>
      </c>
      <c r="AC93" s="98" t="e">
        <f t="shared" si="26"/>
        <v>#REF!</v>
      </c>
      <c r="AD93" s="98" t="e">
        <f t="shared" si="27"/>
        <v>#REF!</v>
      </c>
      <c r="AE93" s="97" t="e">
        <f t="shared" si="28"/>
        <v>#REF!</v>
      </c>
      <c r="AF93" s="97" t="e">
        <f t="shared" si="29"/>
        <v>#REF!</v>
      </c>
      <c r="AH93" s="98" t="e">
        <f t="shared" si="30"/>
        <v>#REF!</v>
      </c>
      <c r="AI93" s="98" t="e">
        <f t="shared" si="31"/>
        <v>#REF!</v>
      </c>
      <c r="AJ93" s="97" t="e">
        <f t="shared" si="32"/>
        <v>#REF!</v>
      </c>
      <c r="AK93" s="97" t="e">
        <f t="shared" si="33"/>
        <v>#REF!</v>
      </c>
    </row>
    <row r="94" spans="1:995 1114:2000 2061:3033 3118:3398" ht="15" customHeight="1">
      <c r="A94" s="108"/>
      <c r="B94" s="112" t="s">
        <v>131</v>
      </c>
      <c r="C94" s="103"/>
      <c r="D94" s="102">
        <v>0.35</v>
      </c>
      <c r="E94" s="101">
        <v>0.03</v>
      </c>
      <c r="F94" s="101">
        <v>-0.03</v>
      </c>
      <c r="G94" s="100">
        <f t="shared" si="0"/>
        <v>0.38</v>
      </c>
      <c r="H94" s="99">
        <f t="shared" si="1"/>
        <v>0.31999999999999995</v>
      </c>
      <c r="I94" s="106"/>
      <c r="J94" s="2"/>
      <c r="K94" s="2"/>
      <c r="L94" s="2"/>
      <c r="M94" s="2"/>
      <c r="N94" s="2"/>
      <c r="O94" s="2"/>
      <c r="P94" s="2"/>
      <c r="Q94" s="2"/>
      <c r="S94" s="98">
        <f t="shared" si="18"/>
        <v>0</v>
      </c>
      <c r="T94" s="98">
        <f t="shared" si="19"/>
        <v>0</v>
      </c>
      <c r="U94" s="97">
        <f t="shared" si="20"/>
        <v>0.35</v>
      </c>
      <c r="V94" s="97">
        <f t="shared" si="21"/>
        <v>0.35</v>
      </c>
      <c r="X94" s="98" t="e">
        <f t="shared" si="22"/>
        <v>#REF!</v>
      </c>
      <c r="Y94" s="98" t="e">
        <f t="shared" si="23"/>
        <v>#REF!</v>
      </c>
      <c r="Z94" s="97" t="e">
        <f t="shared" si="24"/>
        <v>#REF!</v>
      </c>
      <c r="AA94" s="97" t="e">
        <f t="shared" si="25"/>
        <v>#REF!</v>
      </c>
      <c r="AC94" s="98" t="e">
        <f t="shared" si="26"/>
        <v>#REF!</v>
      </c>
      <c r="AD94" s="98" t="e">
        <f t="shared" si="27"/>
        <v>#REF!</v>
      </c>
      <c r="AE94" s="97" t="e">
        <f t="shared" si="28"/>
        <v>#REF!</v>
      </c>
      <c r="AF94" s="97" t="e">
        <f t="shared" si="29"/>
        <v>#REF!</v>
      </c>
      <c r="AH94" s="98" t="e">
        <f t="shared" si="30"/>
        <v>#REF!</v>
      </c>
      <c r="AI94" s="98" t="e">
        <f t="shared" si="31"/>
        <v>#REF!</v>
      </c>
      <c r="AJ94" s="97" t="e">
        <f t="shared" si="32"/>
        <v>#REF!</v>
      </c>
      <c r="AK94" s="97" t="e">
        <f t="shared" si="33"/>
        <v>#REF!</v>
      </c>
    </row>
    <row r="95" spans="1:995 1114:2000 2061:3033 3118:3398" ht="15" customHeight="1">
      <c r="A95" s="108"/>
      <c r="B95" s="112" t="s">
        <v>201</v>
      </c>
      <c r="C95" s="103"/>
      <c r="D95" s="102">
        <v>1.9019999999999999</v>
      </c>
      <c r="E95" s="101">
        <v>0.02</v>
      </c>
      <c r="F95" s="101">
        <v>-0.02</v>
      </c>
      <c r="G95" s="100">
        <f t="shared" si="0"/>
        <v>1.9219999999999999</v>
      </c>
      <c r="H95" s="99">
        <f t="shared" si="1"/>
        <v>1.8819999999999999</v>
      </c>
      <c r="I95" s="106"/>
      <c r="J95" s="2"/>
      <c r="K95" s="2"/>
      <c r="L95" s="2"/>
      <c r="M95" s="2"/>
      <c r="N95" s="2"/>
      <c r="O95" s="2"/>
      <c r="P95" s="2"/>
      <c r="Q95" s="2"/>
      <c r="S95" s="98">
        <f t="shared" si="18"/>
        <v>0</v>
      </c>
      <c r="T95" s="98">
        <f t="shared" si="19"/>
        <v>0</v>
      </c>
      <c r="U95" s="97">
        <f t="shared" si="20"/>
        <v>1.9019999999999999</v>
      </c>
      <c r="V95" s="97">
        <f t="shared" si="21"/>
        <v>1.9019999999999999</v>
      </c>
      <c r="X95" s="98" t="e">
        <f t="shared" si="22"/>
        <v>#REF!</v>
      </c>
      <c r="Y95" s="98" t="e">
        <f t="shared" si="23"/>
        <v>#REF!</v>
      </c>
      <c r="Z95" s="97" t="e">
        <f t="shared" si="24"/>
        <v>#REF!</v>
      </c>
      <c r="AA95" s="97" t="e">
        <f t="shared" si="25"/>
        <v>#REF!</v>
      </c>
      <c r="AC95" s="98" t="e">
        <f t="shared" si="26"/>
        <v>#REF!</v>
      </c>
      <c r="AD95" s="98" t="e">
        <f t="shared" si="27"/>
        <v>#REF!</v>
      </c>
      <c r="AE95" s="97" t="e">
        <f t="shared" si="28"/>
        <v>#REF!</v>
      </c>
      <c r="AF95" s="97" t="e">
        <f t="shared" si="29"/>
        <v>#REF!</v>
      </c>
      <c r="AH95" s="98" t="e">
        <f t="shared" si="30"/>
        <v>#REF!</v>
      </c>
      <c r="AI95" s="98" t="e">
        <f t="shared" si="31"/>
        <v>#REF!</v>
      </c>
      <c r="AJ95" s="97" t="e">
        <f t="shared" si="32"/>
        <v>#REF!</v>
      </c>
      <c r="AK95" s="97" t="e">
        <f t="shared" si="33"/>
        <v>#REF!</v>
      </c>
    </row>
    <row r="96" spans="1:995 1114:2000 2061:3033 3118:3398" ht="15" customHeight="1">
      <c r="A96" s="108"/>
      <c r="B96" s="109"/>
      <c r="C96" s="103"/>
      <c r="D96" s="102"/>
      <c r="E96" s="101"/>
      <c r="F96" s="101"/>
      <c r="G96" s="100"/>
      <c r="H96" s="99"/>
      <c r="I96" s="106"/>
      <c r="J96" s="2"/>
      <c r="K96" s="2"/>
      <c r="L96" s="2"/>
      <c r="M96" s="2"/>
      <c r="N96" s="2"/>
      <c r="O96" s="2"/>
      <c r="P96" s="2"/>
      <c r="Q96" s="2"/>
      <c r="S96" s="98">
        <f t="shared" si="18"/>
        <v>0</v>
      </c>
      <c r="T96" s="98">
        <f t="shared" si="19"/>
        <v>0</v>
      </c>
      <c r="U96" s="97">
        <f t="shared" si="20"/>
        <v>0</v>
      </c>
      <c r="V96" s="97">
        <f t="shared" si="21"/>
        <v>0</v>
      </c>
      <c r="X96" s="98" t="e">
        <f t="shared" si="22"/>
        <v>#REF!</v>
      </c>
      <c r="Y96" s="98" t="e">
        <f t="shared" si="23"/>
        <v>#REF!</v>
      </c>
      <c r="Z96" s="97" t="e">
        <f t="shared" si="24"/>
        <v>#REF!</v>
      </c>
      <c r="AA96" s="97" t="e">
        <f t="shared" si="25"/>
        <v>#REF!</v>
      </c>
      <c r="AC96" s="98" t="e">
        <f t="shared" si="26"/>
        <v>#REF!</v>
      </c>
      <c r="AD96" s="98" t="e">
        <f t="shared" si="27"/>
        <v>#REF!</v>
      </c>
      <c r="AE96" s="97" t="e">
        <f t="shared" si="28"/>
        <v>#REF!</v>
      </c>
      <c r="AF96" s="97" t="e">
        <f t="shared" si="29"/>
        <v>#REF!</v>
      </c>
      <c r="AH96" s="98" t="e">
        <f t="shared" si="30"/>
        <v>#REF!</v>
      </c>
      <c r="AI96" s="98" t="e">
        <f t="shared" si="31"/>
        <v>#REF!</v>
      </c>
      <c r="AJ96" s="97" t="e">
        <f t="shared" si="32"/>
        <v>#REF!</v>
      </c>
      <c r="AK96" s="97" t="e">
        <f t="shared" si="33"/>
        <v>#REF!</v>
      </c>
      <c r="DJ96" s="111"/>
      <c r="EV96" s="111"/>
      <c r="GM96" s="111"/>
      <c r="MR96" s="111"/>
      <c r="SJ96" s="111"/>
      <c r="TQ96" s="111"/>
      <c r="WJ96" s="111"/>
      <c r="XG96" s="111"/>
      <c r="AFG96" s="111"/>
      <c r="AHC96" s="111"/>
      <c r="AHN96" s="111"/>
      <c r="AYQ96" s="111"/>
      <c r="BBW96" s="111"/>
      <c r="BOB96" s="111"/>
      <c r="BOW96" s="111"/>
      <c r="BRB96" s="111"/>
      <c r="BUE96" s="111"/>
      <c r="BWK96" s="111"/>
      <c r="CDB96" s="111"/>
      <c r="CDN96" s="111"/>
      <c r="CEH96" s="111"/>
      <c r="CIE96" s="111"/>
      <c r="CJY96" s="111"/>
      <c r="CNP96" s="111"/>
      <c r="CVA96" s="111"/>
      <c r="CXO96" s="111"/>
      <c r="DAR96" s="111"/>
      <c r="DEG96" s="111"/>
      <c r="DEJ96" s="111"/>
      <c r="DEZ96" s="111"/>
      <c r="DKR96" s="111"/>
      <c r="DLQ96" s="111"/>
      <c r="DWM96" s="111"/>
    </row>
    <row r="97" spans="1:898 1343:1961 2134:3033 3315:3315" ht="15" customHeight="1">
      <c r="A97" s="108"/>
      <c r="B97" s="109"/>
      <c r="C97" s="103"/>
      <c r="D97" s="102"/>
      <c r="E97" s="101"/>
      <c r="F97" s="101"/>
      <c r="G97" s="100"/>
      <c r="H97" s="99"/>
      <c r="I97" s="106"/>
      <c r="J97" s="2"/>
      <c r="K97" s="2"/>
      <c r="L97" s="2"/>
      <c r="M97" s="2"/>
      <c r="N97" s="2"/>
      <c r="O97" s="2"/>
      <c r="P97" s="2"/>
      <c r="Q97" s="2"/>
      <c r="S97" s="98">
        <f t="shared" si="18"/>
        <v>0</v>
      </c>
      <c r="T97" s="98">
        <f t="shared" si="19"/>
        <v>0</v>
      </c>
      <c r="U97" s="97">
        <f t="shared" si="20"/>
        <v>0</v>
      </c>
      <c r="V97" s="97">
        <f t="shared" si="21"/>
        <v>0</v>
      </c>
      <c r="X97" s="98" t="e">
        <f t="shared" si="22"/>
        <v>#REF!</v>
      </c>
      <c r="Y97" s="98" t="e">
        <f t="shared" si="23"/>
        <v>#REF!</v>
      </c>
      <c r="Z97" s="97" t="e">
        <f t="shared" si="24"/>
        <v>#REF!</v>
      </c>
      <c r="AA97" s="97" t="e">
        <f t="shared" si="25"/>
        <v>#REF!</v>
      </c>
      <c r="AC97" s="98" t="e">
        <f t="shared" si="26"/>
        <v>#REF!</v>
      </c>
      <c r="AD97" s="98" t="e">
        <f t="shared" si="27"/>
        <v>#REF!</v>
      </c>
      <c r="AE97" s="97" t="e">
        <f t="shared" si="28"/>
        <v>#REF!</v>
      </c>
      <c r="AF97" s="97" t="e">
        <f t="shared" si="29"/>
        <v>#REF!</v>
      </c>
      <c r="AH97" s="98" t="e">
        <f t="shared" si="30"/>
        <v>#REF!</v>
      </c>
      <c r="AI97" s="98" t="e">
        <f t="shared" si="31"/>
        <v>#REF!</v>
      </c>
      <c r="AJ97" s="97" t="e">
        <f t="shared" si="32"/>
        <v>#REF!</v>
      </c>
      <c r="AK97" s="97" t="e">
        <f t="shared" si="33"/>
        <v>#REF!</v>
      </c>
      <c r="DJ97" s="111"/>
      <c r="EV97" s="111"/>
      <c r="GM97" s="111"/>
      <c r="MR97" s="111"/>
      <c r="SJ97" s="111"/>
      <c r="TQ97" s="111"/>
      <c r="WJ97" s="111"/>
      <c r="XG97" s="111"/>
      <c r="AFG97" s="111"/>
      <c r="AHC97" s="111"/>
      <c r="AHN97" s="111"/>
      <c r="AYQ97" s="111"/>
      <c r="BBW97" s="111"/>
      <c r="BOB97" s="111"/>
      <c r="BOW97" s="111"/>
      <c r="BRB97" s="111"/>
      <c r="BUE97" s="111"/>
      <c r="BWK97" s="111"/>
      <c r="CDB97" s="111"/>
      <c r="CDN97" s="111"/>
      <c r="CEH97" s="111"/>
      <c r="CIE97" s="111"/>
      <c r="CJY97" s="111"/>
      <c r="CNP97" s="111"/>
      <c r="CVA97" s="111"/>
      <c r="CXO97" s="111"/>
      <c r="DAR97" s="111"/>
      <c r="DEG97" s="111"/>
      <c r="DEJ97" s="111"/>
      <c r="DEZ97" s="111"/>
      <c r="DKR97" s="111"/>
      <c r="DLQ97" s="111"/>
      <c r="DWM97" s="111"/>
    </row>
    <row r="98" spans="1:898 1343:1961 2134:3033 3315:3315" ht="15" customHeight="1">
      <c r="A98" s="108"/>
      <c r="B98" s="109"/>
      <c r="C98" s="103"/>
      <c r="D98" s="102"/>
      <c r="E98" s="101"/>
      <c r="F98" s="101"/>
      <c r="G98" s="100"/>
      <c r="H98" s="99"/>
      <c r="I98" s="106"/>
      <c r="J98" s="2"/>
      <c r="K98" s="2"/>
      <c r="L98" s="2"/>
      <c r="M98" s="2"/>
      <c r="N98" s="2"/>
      <c r="O98" s="2"/>
      <c r="P98" s="2"/>
      <c r="Q98" s="2"/>
      <c r="S98" s="98">
        <f t="shared" si="18"/>
        <v>0</v>
      </c>
      <c r="T98" s="98">
        <f t="shared" si="19"/>
        <v>0</v>
      </c>
      <c r="U98" s="97">
        <f t="shared" si="20"/>
        <v>0</v>
      </c>
      <c r="V98" s="97">
        <f t="shared" si="21"/>
        <v>0</v>
      </c>
      <c r="X98" s="98" t="e">
        <f t="shared" si="22"/>
        <v>#REF!</v>
      </c>
      <c r="Y98" s="98" t="e">
        <f t="shared" si="23"/>
        <v>#REF!</v>
      </c>
      <c r="Z98" s="97" t="e">
        <f t="shared" si="24"/>
        <v>#REF!</v>
      </c>
      <c r="AA98" s="97" t="e">
        <f t="shared" si="25"/>
        <v>#REF!</v>
      </c>
      <c r="AC98" s="98" t="e">
        <f t="shared" si="26"/>
        <v>#REF!</v>
      </c>
      <c r="AD98" s="98" t="e">
        <f t="shared" si="27"/>
        <v>#REF!</v>
      </c>
      <c r="AE98" s="97" t="e">
        <f t="shared" si="28"/>
        <v>#REF!</v>
      </c>
      <c r="AF98" s="97" t="e">
        <f t="shared" si="29"/>
        <v>#REF!</v>
      </c>
      <c r="AH98" s="98" t="e">
        <f t="shared" si="30"/>
        <v>#REF!</v>
      </c>
      <c r="AI98" s="98" t="e">
        <f t="shared" si="31"/>
        <v>#REF!</v>
      </c>
      <c r="AJ98" s="97" t="e">
        <f t="shared" si="32"/>
        <v>#REF!</v>
      </c>
      <c r="AK98" s="97" t="e">
        <f t="shared" si="33"/>
        <v>#REF!</v>
      </c>
      <c r="DJ98" s="111"/>
      <c r="EV98" s="111"/>
      <c r="GM98" s="111"/>
      <c r="MR98" s="111"/>
      <c r="SJ98" s="111"/>
      <c r="TQ98" s="111"/>
      <c r="WJ98" s="111"/>
      <c r="XG98" s="111"/>
      <c r="AFG98" s="111"/>
      <c r="AHC98" s="111"/>
      <c r="AHN98" s="111"/>
      <c r="AYQ98" s="111"/>
      <c r="BBW98" s="111"/>
      <c r="BOB98" s="111"/>
      <c r="BOW98" s="111"/>
      <c r="BRB98" s="111"/>
      <c r="BUE98" s="111"/>
      <c r="BWK98" s="111"/>
      <c r="CDB98" s="111"/>
      <c r="CDN98" s="111"/>
      <c r="CEH98" s="111"/>
      <c r="CIE98" s="111"/>
      <c r="CJY98" s="111"/>
      <c r="CNP98" s="111"/>
      <c r="CVA98" s="111"/>
      <c r="CXO98" s="111"/>
      <c r="DAR98" s="111"/>
      <c r="DEG98" s="111"/>
      <c r="DEJ98" s="111"/>
      <c r="DEZ98" s="111"/>
      <c r="DKR98" s="111"/>
      <c r="DLQ98" s="111"/>
      <c r="DWM98" s="111"/>
    </row>
    <row r="99" spans="1:898 1343:1961 2134:3033 3315:3315" ht="15" customHeight="1">
      <c r="A99" s="108"/>
      <c r="B99" s="109"/>
      <c r="C99" s="103"/>
      <c r="D99" s="102"/>
      <c r="E99" s="101"/>
      <c r="F99" s="101"/>
      <c r="G99" s="100"/>
      <c r="H99" s="99"/>
      <c r="I99" s="106"/>
      <c r="J99" s="2"/>
      <c r="K99" s="2"/>
      <c r="L99" s="2"/>
      <c r="M99" s="2"/>
      <c r="N99" s="2"/>
      <c r="O99" s="2"/>
      <c r="P99" s="2"/>
      <c r="Q99" s="2"/>
      <c r="S99" s="98">
        <f t="shared" si="18"/>
        <v>0</v>
      </c>
      <c r="T99" s="98">
        <f t="shared" si="19"/>
        <v>0</v>
      </c>
      <c r="U99" s="97">
        <f t="shared" si="20"/>
        <v>0</v>
      </c>
      <c r="V99" s="97">
        <f t="shared" si="21"/>
        <v>0</v>
      </c>
      <c r="X99" s="98" t="e">
        <f t="shared" si="22"/>
        <v>#REF!</v>
      </c>
      <c r="Y99" s="98" t="e">
        <f t="shared" si="23"/>
        <v>#REF!</v>
      </c>
      <c r="Z99" s="97" t="e">
        <f t="shared" si="24"/>
        <v>#REF!</v>
      </c>
      <c r="AA99" s="97" t="e">
        <f t="shared" si="25"/>
        <v>#REF!</v>
      </c>
      <c r="AC99" s="98" t="e">
        <f t="shared" si="26"/>
        <v>#REF!</v>
      </c>
      <c r="AD99" s="98" t="e">
        <f t="shared" si="27"/>
        <v>#REF!</v>
      </c>
      <c r="AE99" s="97" t="e">
        <f t="shared" si="28"/>
        <v>#REF!</v>
      </c>
      <c r="AF99" s="97" t="e">
        <f t="shared" si="29"/>
        <v>#REF!</v>
      </c>
      <c r="AH99" s="98" t="e">
        <f t="shared" si="30"/>
        <v>#REF!</v>
      </c>
      <c r="AI99" s="98" t="e">
        <f t="shared" si="31"/>
        <v>#REF!</v>
      </c>
      <c r="AJ99" s="97" t="e">
        <f t="shared" si="32"/>
        <v>#REF!</v>
      </c>
      <c r="AK99" s="97" t="e">
        <f t="shared" si="33"/>
        <v>#REF!</v>
      </c>
      <c r="DJ99" s="111"/>
      <c r="EV99" s="111"/>
      <c r="GM99" s="111"/>
      <c r="MR99" s="111"/>
      <c r="SJ99" s="111"/>
      <c r="TQ99" s="111"/>
      <c r="WJ99" s="111"/>
      <c r="XG99" s="111"/>
      <c r="AFG99" s="111"/>
      <c r="AHC99" s="111"/>
      <c r="AHN99" s="111"/>
      <c r="AYQ99" s="111"/>
      <c r="BBW99" s="111"/>
      <c r="BOB99" s="111"/>
      <c r="BOW99" s="111"/>
      <c r="BRB99" s="111"/>
      <c r="BUE99" s="111"/>
      <c r="BWK99" s="111"/>
      <c r="CDB99" s="111"/>
      <c r="CDN99" s="111"/>
      <c r="CEH99" s="111"/>
      <c r="CIE99" s="111"/>
      <c r="CJY99" s="111"/>
      <c r="CNP99" s="111"/>
      <c r="CVA99" s="111"/>
      <c r="CXO99" s="111"/>
      <c r="DAR99" s="111"/>
      <c r="DEG99" s="111"/>
      <c r="DEJ99" s="111"/>
      <c r="DEZ99" s="111"/>
      <c r="DKR99" s="111"/>
      <c r="DLQ99" s="111"/>
      <c r="DWM99" s="111"/>
    </row>
    <row r="100" spans="1:898 1343:1961 2134:3033 3315:3315" ht="15" customHeight="1">
      <c r="A100" s="108"/>
      <c r="B100" s="109"/>
      <c r="C100" s="103"/>
      <c r="D100" s="102"/>
      <c r="E100" s="101"/>
      <c r="F100" s="101"/>
      <c r="G100" s="100"/>
      <c r="H100" s="99"/>
      <c r="I100" s="106"/>
      <c r="J100" s="2"/>
      <c r="K100" s="2"/>
      <c r="L100" s="2"/>
      <c r="M100" s="2"/>
      <c r="N100" s="2"/>
      <c r="O100" s="2"/>
      <c r="P100" s="2"/>
      <c r="Q100" s="2"/>
      <c r="S100" s="98">
        <f t="shared" si="18"/>
        <v>0</v>
      </c>
      <c r="T100" s="98">
        <f t="shared" si="19"/>
        <v>0</v>
      </c>
      <c r="U100" s="97">
        <f t="shared" si="20"/>
        <v>0</v>
      </c>
      <c r="V100" s="97">
        <f t="shared" si="21"/>
        <v>0</v>
      </c>
      <c r="X100" s="98" t="e">
        <f t="shared" si="22"/>
        <v>#REF!</v>
      </c>
      <c r="Y100" s="98" t="e">
        <f t="shared" si="23"/>
        <v>#REF!</v>
      </c>
      <c r="Z100" s="97" t="e">
        <f t="shared" si="24"/>
        <v>#REF!</v>
      </c>
      <c r="AA100" s="97" t="e">
        <f t="shared" si="25"/>
        <v>#REF!</v>
      </c>
      <c r="AC100" s="98" t="e">
        <f t="shared" si="26"/>
        <v>#REF!</v>
      </c>
      <c r="AD100" s="98" t="e">
        <f t="shared" si="27"/>
        <v>#REF!</v>
      </c>
      <c r="AE100" s="97" t="e">
        <f t="shared" si="28"/>
        <v>#REF!</v>
      </c>
      <c r="AF100" s="97" t="e">
        <f t="shared" si="29"/>
        <v>#REF!</v>
      </c>
      <c r="AH100" s="98" t="e">
        <f t="shared" si="30"/>
        <v>#REF!</v>
      </c>
      <c r="AI100" s="98" t="e">
        <f t="shared" si="31"/>
        <v>#REF!</v>
      </c>
      <c r="AJ100" s="97" t="e">
        <f t="shared" si="32"/>
        <v>#REF!</v>
      </c>
      <c r="AK100" s="97" t="e">
        <f t="shared" si="33"/>
        <v>#REF!</v>
      </c>
      <c r="DJ100" s="111"/>
      <c r="EV100" s="111"/>
      <c r="GM100" s="111"/>
      <c r="MR100" s="111"/>
      <c r="SJ100" s="111"/>
      <c r="TQ100" s="111"/>
      <c r="WJ100" s="111"/>
      <c r="XG100" s="111"/>
      <c r="AFG100" s="111"/>
      <c r="AHC100" s="111"/>
      <c r="AHN100" s="111"/>
      <c r="AYQ100" s="111"/>
      <c r="BBW100" s="111"/>
      <c r="BOB100" s="111"/>
      <c r="BOW100" s="111"/>
      <c r="BRB100" s="111"/>
      <c r="BUE100" s="111"/>
      <c r="BWK100" s="111"/>
      <c r="CDB100" s="111"/>
      <c r="CDN100" s="111"/>
      <c r="CEH100" s="111"/>
      <c r="CIE100" s="111"/>
      <c r="CJY100" s="111"/>
      <c r="CNP100" s="111"/>
      <c r="CVA100" s="111"/>
      <c r="CXO100" s="111"/>
      <c r="DAR100" s="111"/>
      <c r="DEG100" s="111"/>
      <c r="DEJ100" s="111"/>
      <c r="DEZ100" s="111"/>
      <c r="DKR100" s="111"/>
      <c r="DLQ100" s="111"/>
      <c r="DWM100" s="111"/>
    </row>
    <row r="101" spans="1:898 1343:1961 2134:3033 3315:3315" ht="15" customHeight="1">
      <c r="A101" s="108"/>
      <c r="B101" s="109"/>
      <c r="C101" s="103"/>
      <c r="D101" s="102"/>
      <c r="E101" s="101"/>
      <c r="F101" s="101"/>
      <c r="G101" s="100"/>
      <c r="H101" s="99"/>
      <c r="I101" s="106"/>
      <c r="J101" s="2"/>
      <c r="K101" s="2"/>
      <c r="L101" s="2"/>
      <c r="M101" s="2"/>
      <c r="N101" s="2"/>
      <c r="O101" s="2"/>
      <c r="P101" s="2"/>
      <c r="Q101" s="2"/>
      <c r="S101" s="98">
        <f t="shared" si="18"/>
        <v>0</v>
      </c>
      <c r="T101" s="98">
        <f t="shared" si="19"/>
        <v>0</v>
      </c>
      <c r="U101" s="97">
        <f t="shared" si="20"/>
        <v>0</v>
      </c>
      <c r="V101" s="97">
        <f t="shared" si="21"/>
        <v>0</v>
      </c>
      <c r="X101" s="98" t="e">
        <f t="shared" si="22"/>
        <v>#REF!</v>
      </c>
      <c r="Y101" s="98" t="e">
        <f t="shared" si="23"/>
        <v>#REF!</v>
      </c>
      <c r="Z101" s="97" t="e">
        <f t="shared" si="24"/>
        <v>#REF!</v>
      </c>
      <c r="AA101" s="97" t="e">
        <f t="shared" si="25"/>
        <v>#REF!</v>
      </c>
      <c r="AC101" s="98" t="e">
        <f t="shared" si="26"/>
        <v>#REF!</v>
      </c>
      <c r="AD101" s="98" t="e">
        <f t="shared" si="27"/>
        <v>#REF!</v>
      </c>
      <c r="AE101" s="97" t="e">
        <f t="shared" si="28"/>
        <v>#REF!</v>
      </c>
      <c r="AF101" s="97" t="e">
        <f t="shared" si="29"/>
        <v>#REF!</v>
      </c>
      <c r="AH101" s="98" t="e">
        <f t="shared" si="30"/>
        <v>#REF!</v>
      </c>
      <c r="AI101" s="98" t="e">
        <f t="shared" si="31"/>
        <v>#REF!</v>
      </c>
      <c r="AJ101" s="97" t="e">
        <f t="shared" si="32"/>
        <v>#REF!</v>
      </c>
      <c r="AK101" s="97" t="e">
        <f t="shared" si="33"/>
        <v>#REF!</v>
      </c>
      <c r="DJ101" s="111"/>
      <c r="EV101" s="111"/>
      <c r="GM101" s="111"/>
      <c r="MR101" s="111"/>
      <c r="SJ101" s="111"/>
      <c r="TQ101" s="111"/>
      <c r="WJ101" s="111"/>
      <c r="XG101" s="111"/>
      <c r="AFG101" s="111"/>
      <c r="AHC101" s="111"/>
      <c r="AHN101" s="111"/>
      <c r="AYQ101" s="111"/>
      <c r="BBW101" s="111"/>
      <c r="BOB101" s="111"/>
      <c r="BOW101" s="111"/>
      <c r="BRB101" s="111"/>
      <c r="BUE101" s="111"/>
      <c r="BWK101" s="111"/>
      <c r="CDB101" s="111"/>
      <c r="CDN101" s="111"/>
      <c r="CEH101" s="111"/>
      <c r="CIE101" s="111"/>
      <c r="CJY101" s="111"/>
      <c r="CNP101" s="111"/>
      <c r="CVA101" s="111"/>
      <c r="CXO101" s="111"/>
      <c r="DAR101" s="111"/>
      <c r="DEG101" s="111"/>
      <c r="DEJ101" s="111"/>
      <c r="DEZ101" s="111"/>
      <c r="DKR101" s="111"/>
      <c r="DLQ101" s="111"/>
      <c r="DWM101" s="111"/>
    </row>
    <row r="102" spans="1:898 1343:1961 2134:3033 3315:3315" ht="15" customHeight="1">
      <c r="A102" s="108"/>
      <c r="B102" s="109"/>
      <c r="C102" s="103"/>
      <c r="D102" s="102"/>
      <c r="E102" s="101"/>
      <c r="F102" s="101"/>
      <c r="G102" s="100"/>
      <c r="H102" s="99"/>
      <c r="I102" s="106"/>
      <c r="J102" s="2"/>
      <c r="K102" s="2"/>
      <c r="L102" s="2"/>
      <c r="M102" s="2"/>
      <c r="N102" s="2"/>
      <c r="O102" s="2"/>
      <c r="P102" s="2"/>
      <c r="Q102" s="2"/>
      <c r="S102" s="98">
        <f t="shared" si="18"/>
        <v>0</v>
      </c>
      <c r="T102" s="98">
        <f t="shared" si="19"/>
        <v>0</v>
      </c>
      <c r="U102" s="97">
        <f t="shared" si="20"/>
        <v>0</v>
      </c>
      <c r="V102" s="97">
        <f t="shared" si="21"/>
        <v>0</v>
      </c>
      <c r="X102" s="98" t="e">
        <f t="shared" si="22"/>
        <v>#REF!</v>
      </c>
      <c r="Y102" s="98" t="e">
        <f t="shared" si="23"/>
        <v>#REF!</v>
      </c>
      <c r="Z102" s="97" t="e">
        <f t="shared" si="24"/>
        <v>#REF!</v>
      </c>
      <c r="AA102" s="97" t="e">
        <f t="shared" si="25"/>
        <v>#REF!</v>
      </c>
      <c r="AC102" s="98" t="e">
        <f t="shared" si="26"/>
        <v>#REF!</v>
      </c>
      <c r="AD102" s="98" t="e">
        <f t="shared" si="27"/>
        <v>#REF!</v>
      </c>
      <c r="AE102" s="97" t="e">
        <f t="shared" si="28"/>
        <v>#REF!</v>
      </c>
      <c r="AF102" s="97" t="e">
        <f t="shared" si="29"/>
        <v>#REF!</v>
      </c>
      <c r="AH102" s="98" t="e">
        <f t="shared" si="30"/>
        <v>#REF!</v>
      </c>
      <c r="AI102" s="98" t="e">
        <f t="shared" si="31"/>
        <v>#REF!</v>
      </c>
      <c r="AJ102" s="97" t="e">
        <f t="shared" si="32"/>
        <v>#REF!</v>
      </c>
      <c r="AK102" s="97" t="e">
        <f t="shared" si="33"/>
        <v>#REF!</v>
      </c>
      <c r="DJ102" s="111"/>
      <c r="EV102" s="111"/>
      <c r="GM102" s="111"/>
      <c r="MR102" s="111"/>
      <c r="SJ102" s="111"/>
      <c r="TQ102" s="111"/>
      <c r="WJ102" s="111"/>
      <c r="XG102" s="111"/>
      <c r="AFG102" s="111"/>
      <c r="AHC102" s="111"/>
      <c r="AHN102" s="111"/>
      <c r="AYQ102" s="111"/>
      <c r="BBW102" s="111"/>
      <c r="BOB102" s="111"/>
      <c r="BOW102" s="111"/>
      <c r="BRB102" s="111"/>
      <c r="BUE102" s="111"/>
      <c r="BWK102" s="111"/>
      <c r="CDB102" s="111"/>
      <c r="CDN102" s="111"/>
      <c r="CEH102" s="111"/>
      <c r="CIE102" s="111"/>
      <c r="CJY102" s="111"/>
      <c r="CNP102" s="111"/>
      <c r="CVA102" s="111"/>
      <c r="CXO102" s="111"/>
      <c r="DAR102" s="111"/>
      <c r="DEG102" s="111"/>
      <c r="DEJ102" s="111"/>
      <c r="DEZ102" s="111"/>
      <c r="DKR102" s="111"/>
      <c r="DLQ102" s="111"/>
      <c r="DWM102" s="111"/>
    </row>
    <row r="103" spans="1:898 1343:1961 2134:3033 3315:3315" ht="15" customHeight="1">
      <c r="A103" s="108"/>
      <c r="B103" s="109"/>
      <c r="C103" s="103"/>
      <c r="D103" s="102"/>
      <c r="E103" s="101"/>
      <c r="F103" s="101"/>
      <c r="G103" s="100"/>
      <c r="H103" s="99"/>
      <c r="I103" s="106"/>
      <c r="J103" s="2"/>
      <c r="K103" s="2"/>
      <c r="L103" s="2"/>
      <c r="M103" s="2"/>
      <c r="N103" s="2"/>
      <c r="O103" s="2"/>
      <c r="P103" s="2"/>
      <c r="Q103" s="2"/>
      <c r="S103" s="98">
        <f t="shared" si="18"/>
        <v>0</v>
      </c>
      <c r="T103" s="98">
        <f t="shared" si="19"/>
        <v>0</v>
      </c>
      <c r="U103" s="97">
        <f t="shared" si="20"/>
        <v>0</v>
      </c>
      <c r="V103" s="97">
        <f t="shared" si="21"/>
        <v>0</v>
      </c>
      <c r="X103" s="98" t="e">
        <f t="shared" si="22"/>
        <v>#REF!</v>
      </c>
      <c r="Y103" s="98" t="e">
        <f t="shared" si="23"/>
        <v>#REF!</v>
      </c>
      <c r="Z103" s="97" t="e">
        <f t="shared" si="24"/>
        <v>#REF!</v>
      </c>
      <c r="AA103" s="97" t="e">
        <f t="shared" si="25"/>
        <v>#REF!</v>
      </c>
      <c r="AC103" s="98" t="e">
        <f t="shared" si="26"/>
        <v>#REF!</v>
      </c>
      <c r="AD103" s="98" t="e">
        <f t="shared" si="27"/>
        <v>#REF!</v>
      </c>
      <c r="AE103" s="97" t="e">
        <f t="shared" si="28"/>
        <v>#REF!</v>
      </c>
      <c r="AF103" s="97" t="e">
        <f t="shared" si="29"/>
        <v>#REF!</v>
      </c>
      <c r="AH103" s="98" t="e">
        <f t="shared" si="30"/>
        <v>#REF!</v>
      </c>
      <c r="AI103" s="98" t="e">
        <f t="shared" si="31"/>
        <v>#REF!</v>
      </c>
      <c r="AJ103" s="97" t="e">
        <f t="shared" si="32"/>
        <v>#REF!</v>
      </c>
      <c r="AK103" s="97" t="e">
        <f t="shared" si="33"/>
        <v>#REF!</v>
      </c>
      <c r="DJ103" s="111"/>
      <c r="EV103" s="111"/>
      <c r="GM103" s="111"/>
      <c r="MR103" s="111"/>
      <c r="SJ103" s="111"/>
      <c r="TQ103" s="111"/>
      <c r="WJ103" s="111"/>
      <c r="XG103" s="111"/>
      <c r="AFG103" s="111"/>
      <c r="AHC103" s="111"/>
      <c r="AHN103" s="111"/>
      <c r="AYQ103" s="111"/>
      <c r="BBW103" s="111"/>
      <c r="BOB103" s="111"/>
      <c r="BOW103" s="111"/>
      <c r="BRB103" s="111"/>
      <c r="BUE103" s="111"/>
      <c r="BWK103" s="111"/>
      <c r="CDB103" s="111"/>
      <c r="CDN103" s="111"/>
      <c r="CEH103" s="111"/>
      <c r="CIE103" s="111"/>
      <c r="CJY103" s="111"/>
      <c r="CNP103" s="111"/>
      <c r="CVA103" s="111"/>
      <c r="CXO103" s="111"/>
      <c r="DAR103" s="111"/>
      <c r="DEG103" s="111"/>
      <c r="DEJ103" s="111"/>
      <c r="DEZ103" s="111"/>
      <c r="DKR103" s="111"/>
      <c r="DLQ103" s="111"/>
      <c r="DWM103" s="111"/>
    </row>
    <row r="104" spans="1:898 1343:1961 2134:3033 3315:3315" ht="15" customHeight="1">
      <c r="A104" s="108"/>
      <c r="B104" s="109"/>
      <c r="C104" s="103"/>
      <c r="D104" s="102"/>
      <c r="E104" s="101"/>
      <c r="F104" s="101"/>
      <c r="G104" s="100"/>
      <c r="H104" s="99"/>
      <c r="I104" s="106"/>
      <c r="J104" s="2"/>
      <c r="K104" s="2"/>
      <c r="L104" s="2"/>
      <c r="M104" s="2"/>
      <c r="N104" s="2"/>
      <c r="O104" s="2"/>
      <c r="P104" s="2"/>
      <c r="Q104" s="2"/>
      <c r="S104" s="98">
        <f t="shared" si="18"/>
        <v>0</v>
      </c>
      <c r="T104" s="98">
        <f t="shared" si="19"/>
        <v>0</v>
      </c>
      <c r="U104" s="97">
        <f t="shared" si="20"/>
        <v>0</v>
      </c>
      <c r="V104" s="97">
        <f t="shared" si="21"/>
        <v>0</v>
      </c>
      <c r="X104" s="98" t="e">
        <f t="shared" si="22"/>
        <v>#REF!</v>
      </c>
      <c r="Y104" s="98" t="e">
        <f t="shared" si="23"/>
        <v>#REF!</v>
      </c>
      <c r="Z104" s="97" t="e">
        <f t="shared" si="24"/>
        <v>#REF!</v>
      </c>
      <c r="AA104" s="97" t="e">
        <f t="shared" si="25"/>
        <v>#REF!</v>
      </c>
      <c r="AC104" s="98" t="e">
        <f t="shared" si="26"/>
        <v>#REF!</v>
      </c>
      <c r="AD104" s="98" t="e">
        <f t="shared" si="27"/>
        <v>#REF!</v>
      </c>
      <c r="AE104" s="97" t="e">
        <f t="shared" si="28"/>
        <v>#REF!</v>
      </c>
      <c r="AF104" s="97" t="e">
        <f t="shared" si="29"/>
        <v>#REF!</v>
      </c>
      <c r="AH104" s="98" t="e">
        <f t="shared" si="30"/>
        <v>#REF!</v>
      </c>
      <c r="AI104" s="98" t="e">
        <f t="shared" si="31"/>
        <v>#REF!</v>
      </c>
      <c r="AJ104" s="97" t="e">
        <f t="shared" si="32"/>
        <v>#REF!</v>
      </c>
      <c r="AK104" s="97" t="e">
        <f t="shared" si="33"/>
        <v>#REF!</v>
      </c>
      <c r="DJ104" s="111"/>
      <c r="EV104" s="111"/>
      <c r="GM104" s="111"/>
      <c r="MR104" s="111"/>
      <c r="SJ104" s="111"/>
      <c r="TQ104" s="111"/>
      <c r="WJ104" s="111"/>
      <c r="XG104" s="111"/>
      <c r="AFG104" s="111"/>
      <c r="AHC104" s="111"/>
      <c r="AHN104" s="111"/>
      <c r="AYQ104" s="111"/>
      <c r="BBW104" s="111"/>
      <c r="BOB104" s="111"/>
      <c r="BOW104" s="111"/>
      <c r="BRB104" s="111"/>
      <c r="BUE104" s="111"/>
      <c r="BWK104" s="111"/>
      <c r="CDB104" s="111"/>
      <c r="CDN104" s="111"/>
      <c r="CEH104" s="111"/>
      <c r="CIE104" s="111"/>
      <c r="CJY104" s="111"/>
      <c r="CNP104" s="111"/>
      <c r="CVA104" s="111"/>
      <c r="CXO104" s="111"/>
      <c r="DAR104" s="111"/>
      <c r="DEG104" s="111"/>
      <c r="DEJ104" s="111"/>
      <c r="DEZ104" s="111"/>
      <c r="DKR104" s="111"/>
      <c r="DLQ104" s="111"/>
      <c r="DWM104" s="111"/>
    </row>
    <row r="105" spans="1:898 1343:1961 2134:3033 3315:3315" ht="15" customHeight="1">
      <c r="A105" s="108"/>
      <c r="B105" s="109"/>
      <c r="C105" s="103"/>
      <c r="D105" s="102"/>
      <c r="E105" s="101"/>
      <c r="F105" s="101"/>
      <c r="G105" s="100"/>
      <c r="H105" s="99"/>
      <c r="I105" s="106"/>
      <c r="J105" s="2"/>
      <c r="K105" s="2"/>
      <c r="L105" s="2"/>
      <c r="M105" s="2"/>
      <c r="N105" s="2"/>
      <c r="O105" s="2"/>
      <c r="P105" s="2"/>
      <c r="Q105" s="2"/>
      <c r="S105" s="98">
        <f t="shared" si="18"/>
        <v>0</v>
      </c>
      <c r="T105" s="98">
        <f t="shared" si="19"/>
        <v>0</v>
      </c>
      <c r="U105" s="97">
        <f t="shared" si="20"/>
        <v>0</v>
      </c>
      <c r="V105" s="97">
        <f t="shared" si="21"/>
        <v>0</v>
      </c>
      <c r="X105" s="98" t="e">
        <f t="shared" si="22"/>
        <v>#REF!</v>
      </c>
      <c r="Y105" s="98" t="e">
        <f t="shared" si="23"/>
        <v>#REF!</v>
      </c>
      <c r="Z105" s="97" t="e">
        <f t="shared" si="24"/>
        <v>#REF!</v>
      </c>
      <c r="AA105" s="97" t="e">
        <f t="shared" si="25"/>
        <v>#REF!</v>
      </c>
      <c r="AC105" s="98" t="e">
        <f t="shared" si="26"/>
        <v>#REF!</v>
      </c>
      <c r="AD105" s="98" t="e">
        <f t="shared" si="27"/>
        <v>#REF!</v>
      </c>
      <c r="AE105" s="97" t="e">
        <f t="shared" si="28"/>
        <v>#REF!</v>
      </c>
      <c r="AF105" s="97" t="e">
        <f t="shared" si="29"/>
        <v>#REF!</v>
      </c>
      <c r="AH105" s="98" t="e">
        <f t="shared" si="30"/>
        <v>#REF!</v>
      </c>
      <c r="AI105" s="98" t="e">
        <f t="shared" si="31"/>
        <v>#REF!</v>
      </c>
      <c r="AJ105" s="97" t="e">
        <f t="shared" si="32"/>
        <v>#REF!</v>
      </c>
      <c r="AK105" s="97" t="e">
        <f t="shared" si="33"/>
        <v>#REF!</v>
      </c>
      <c r="DJ105" s="111"/>
      <c r="EV105" s="111"/>
      <c r="GM105" s="111"/>
      <c r="MR105" s="111"/>
      <c r="SJ105" s="111"/>
      <c r="TQ105" s="111"/>
      <c r="WJ105" s="111"/>
      <c r="XG105" s="111"/>
      <c r="AFG105" s="111"/>
      <c r="AHC105" s="111"/>
      <c r="AHN105" s="111"/>
      <c r="AYQ105" s="111"/>
      <c r="BBW105" s="111"/>
      <c r="BOB105" s="111"/>
      <c r="BOW105" s="111"/>
      <c r="BRB105" s="111"/>
      <c r="BUE105" s="111"/>
      <c r="BWK105" s="111"/>
      <c r="CDB105" s="111"/>
      <c r="CDN105" s="111"/>
      <c r="CEH105" s="111"/>
      <c r="CIE105" s="111"/>
      <c r="CJY105" s="111"/>
      <c r="CNP105" s="111"/>
      <c r="CVA105" s="111"/>
      <c r="CXO105" s="111"/>
      <c r="DAR105" s="111"/>
      <c r="DEG105" s="111"/>
      <c r="DEJ105" s="111"/>
      <c r="DEZ105" s="111"/>
      <c r="DKR105" s="111"/>
      <c r="DLQ105" s="111"/>
      <c r="DWM105" s="111"/>
    </row>
    <row r="106" spans="1:898 1343:1961 2134:3033 3315:3315" ht="15" customHeight="1">
      <c r="A106" s="108"/>
      <c r="B106" s="109"/>
      <c r="C106" s="103"/>
      <c r="D106" s="102"/>
      <c r="E106" s="101"/>
      <c r="F106" s="101"/>
      <c r="G106" s="100"/>
      <c r="H106" s="99"/>
      <c r="I106" s="106"/>
      <c r="J106" s="2"/>
      <c r="K106" s="2"/>
      <c r="L106" s="2"/>
      <c r="M106" s="2"/>
      <c r="N106" s="2"/>
      <c r="O106" s="2"/>
      <c r="P106" s="2"/>
      <c r="Q106" s="2"/>
      <c r="S106" s="98">
        <f t="shared" si="18"/>
        <v>0</v>
      </c>
      <c r="T106" s="98">
        <f t="shared" si="19"/>
        <v>0</v>
      </c>
      <c r="U106" s="97">
        <f t="shared" si="20"/>
        <v>0</v>
      </c>
      <c r="V106" s="97">
        <f t="shared" si="21"/>
        <v>0</v>
      </c>
      <c r="X106" s="98" t="e">
        <f t="shared" si="22"/>
        <v>#REF!</v>
      </c>
      <c r="Y106" s="98" t="e">
        <f t="shared" si="23"/>
        <v>#REF!</v>
      </c>
      <c r="Z106" s="97" t="e">
        <f t="shared" si="24"/>
        <v>#REF!</v>
      </c>
      <c r="AA106" s="97" t="e">
        <f t="shared" si="25"/>
        <v>#REF!</v>
      </c>
      <c r="AC106" s="98" t="e">
        <f t="shared" si="26"/>
        <v>#REF!</v>
      </c>
      <c r="AD106" s="98" t="e">
        <f t="shared" si="27"/>
        <v>#REF!</v>
      </c>
      <c r="AE106" s="97" t="e">
        <f t="shared" si="28"/>
        <v>#REF!</v>
      </c>
      <c r="AF106" s="97" t="e">
        <f t="shared" si="29"/>
        <v>#REF!</v>
      </c>
      <c r="AH106" s="98" t="e">
        <f t="shared" si="30"/>
        <v>#REF!</v>
      </c>
      <c r="AI106" s="98" t="e">
        <f t="shared" si="31"/>
        <v>#REF!</v>
      </c>
      <c r="AJ106" s="97" t="e">
        <f t="shared" si="32"/>
        <v>#REF!</v>
      </c>
      <c r="AK106" s="97" t="e">
        <f t="shared" si="33"/>
        <v>#REF!</v>
      </c>
      <c r="DJ106" s="111"/>
      <c r="EV106" s="111"/>
      <c r="GM106" s="111"/>
      <c r="MR106" s="111"/>
      <c r="SJ106" s="111"/>
      <c r="TQ106" s="111"/>
      <c r="WJ106" s="111"/>
      <c r="XG106" s="111"/>
      <c r="AFG106" s="111"/>
      <c r="AHC106" s="111"/>
      <c r="AHN106" s="111"/>
      <c r="AYQ106" s="111"/>
      <c r="BBW106" s="111"/>
      <c r="BOB106" s="111"/>
      <c r="BOW106" s="111"/>
      <c r="BRB106" s="111"/>
      <c r="BUE106" s="111"/>
      <c r="BWK106" s="111"/>
      <c r="CDB106" s="111"/>
      <c r="CDN106" s="111"/>
      <c r="CEH106" s="111"/>
      <c r="CIE106" s="111"/>
      <c r="CJY106" s="111"/>
      <c r="CNP106" s="111"/>
      <c r="CVA106" s="111"/>
      <c r="CXO106" s="111"/>
      <c r="DAR106" s="111"/>
      <c r="DEG106" s="111"/>
      <c r="DEJ106" s="111"/>
      <c r="DEZ106" s="111"/>
      <c r="DKR106" s="111"/>
      <c r="DLQ106" s="111"/>
      <c r="DWM106" s="111"/>
    </row>
    <row r="107" spans="1:898 1343:1961 2134:3033 3315:3315" ht="15" customHeight="1">
      <c r="A107" s="108"/>
      <c r="B107" s="107" t="s">
        <v>202</v>
      </c>
      <c r="C107" s="103"/>
      <c r="D107" s="102">
        <v>1.74</v>
      </c>
      <c r="E107" s="101">
        <v>0.03</v>
      </c>
      <c r="F107" s="101">
        <v>-0.03</v>
      </c>
      <c r="G107" s="100">
        <f t="shared" si="0"/>
        <v>1.77</v>
      </c>
      <c r="H107" s="99">
        <f t="shared" si="1"/>
        <v>1.71</v>
      </c>
      <c r="I107" s="106"/>
      <c r="J107" s="2"/>
      <c r="K107" s="2"/>
      <c r="L107" s="2"/>
      <c r="M107" s="2"/>
      <c r="N107" s="2"/>
      <c r="O107" s="2"/>
      <c r="P107" s="2"/>
      <c r="Q107" s="2"/>
      <c r="S107" s="98">
        <f t="shared" si="18"/>
        <v>0</v>
      </c>
      <c r="T107" s="98">
        <f t="shared" si="19"/>
        <v>0</v>
      </c>
      <c r="U107" s="97">
        <f t="shared" si="20"/>
        <v>1.74</v>
      </c>
      <c r="V107" s="97">
        <f t="shared" si="21"/>
        <v>1.74</v>
      </c>
      <c r="X107" s="98" t="e">
        <f t="shared" si="22"/>
        <v>#REF!</v>
      </c>
      <c r="Y107" s="98" t="e">
        <f t="shared" si="23"/>
        <v>#REF!</v>
      </c>
      <c r="Z107" s="97" t="e">
        <f t="shared" si="24"/>
        <v>#REF!</v>
      </c>
      <c r="AA107" s="97" t="e">
        <f t="shared" si="25"/>
        <v>#REF!</v>
      </c>
      <c r="AC107" s="98" t="e">
        <f t="shared" si="26"/>
        <v>#REF!</v>
      </c>
      <c r="AD107" s="98" t="e">
        <f t="shared" si="27"/>
        <v>#REF!</v>
      </c>
      <c r="AE107" s="97" t="e">
        <f t="shared" si="28"/>
        <v>#REF!</v>
      </c>
      <c r="AF107" s="97" t="e">
        <f t="shared" si="29"/>
        <v>#REF!</v>
      </c>
      <c r="AH107" s="98" t="e">
        <f t="shared" si="30"/>
        <v>#REF!</v>
      </c>
      <c r="AI107" s="98" t="e">
        <f t="shared" si="31"/>
        <v>#REF!</v>
      </c>
      <c r="AJ107" s="97" t="e">
        <f t="shared" si="32"/>
        <v>#REF!</v>
      </c>
      <c r="AK107" s="97" t="e">
        <f t="shared" si="33"/>
        <v>#REF!</v>
      </c>
    </row>
    <row r="108" spans="1:898 1343:1961 2134:3033 3315:3315" ht="15" customHeight="1">
      <c r="A108" s="108"/>
      <c r="B108" s="107" t="s">
        <v>133</v>
      </c>
      <c r="C108" s="103"/>
      <c r="D108" s="102">
        <v>1.74</v>
      </c>
      <c r="E108" s="101">
        <v>0.03</v>
      </c>
      <c r="F108" s="101">
        <v>-0.03</v>
      </c>
      <c r="G108" s="100">
        <f t="shared" si="0"/>
        <v>1.77</v>
      </c>
      <c r="H108" s="99">
        <f t="shared" si="1"/>
        <v>1.71</v>
      </c>
      <c r="I108" s="106"/>
      <c r="J108" s="2"/>
      <c r="K108" s="2"/>
      <c r="L108" s="2"/>
      <c r="M108" s="2"/>
      <c r="N108" s="2"/>
      <c r="O108" s="2"/>
      <c r="P108" s="2"/>
      <c r="Q108" s="2"/>
      <c r="S108" s="98">
        <f t="shared" si="18"/>
        <v>0</v>
      </c>
      <c r="T108" s="98">
        <f t="shared" si="19"/>
        <v>0</v>
      </c>
      <c r="U108" s="97">
        <f t="shared" si="20"/>
        <v>1.74</v>
      </c>
      <c r="V108" s="97">
        <f t="shared" si="21"/>
        <v>1.74</v>
      </c>
      <c r="X108" s="98" t="e">
        <f t="shared" si="22"/>
        <v>#REF!</v>
      </c>
      <c r="Y108" s="98" t="e">
        <f t="shared" si="23"/>
        <v>#REF!</v>
      </c>
      <c r="Z108" s="97" t="e">
        <f t="shared" si="24"/>
        <v>#REF!</v>
      </c>
      <c r="AA108" s="97" t="e">
        <f t="shared" si="25"/>
        <v>#REF!</v>
      </c>
      <c r="AC108" s="98" t="e">
        <f t="shared" si="26"/>
        <v>#REF!</v>
      </c>
      <c r="AD108" s="98" t="e">
        <f t="shared" si="27"/>
        <v>#REF!</v>
      </c>
      <c r="AE108" s="97" t="e">
        <f t="shared" si="28"/>
        <v>#REF!</v>
      </c>
      <c r="AF108" s="97" t="e">
        <f t="shared" si="29"/>
        <v>#REF!</v>
      </c>
      <c r="AH108" s="98" t="e">
        <f t="shared" si="30"/>
        <v>#REF!</v>
      </c>
      <c r="AI108" s="98" t="e">
        <f t="shared" si="31"/>
        <v>#REF!</v>
      </c>
      <c r="AJ108" s="97" t="e">
        <f t="shared" si="32"/>
        <v>#REF!</v>
      </c>
      <c r="AK108" s="97" t="e">
        <f t="shared" si="33"/>
        <v>#REF!</v>
      </c>
    </row>
    <row r="109" spans="1:898 1343:1961 2134:3033 3315:3315" ht="15" customHeight="1">
      <c r="A109" s="108"/>
      <c r="B109" s="107" t="s">
        <v>134</v>
      </c>
      <c r="C109" s="103"/>
      <c r="D109" s="102">
        <v>10.772</v>
      </c>
      <c r="E109" s="101">
        <v>0.03</v>
      </c>
      <c r="F109" s="101">
        <v>-0.03</v>
      </c>
      <c r="G109" s="100">
        <f t="shared" si="0"/>
        <v>10.802</v>
      </c>
      <c r="H109" s="99">
        <f t="shared" si="1"/>
        <v>10.742000000000001</v>
      </c>
      <c r="I109" s="106"/>
      <c r="J109" s="2"/>
      <c r="K109" s="2"/>
      <c r="L109" s="2"/>
      <c r="M109" s="2"/>
      <c r="N109" s="2"/>
      <c r="O109" s="2"/>
      <c r="P109" s="2"/>
      <c r="Q109" s="2"/>
      <c r="S109" s="98">
        <f t="shared" si="18"/>
        <v>0</v>
      </c>
      <c r="T109" s="98">
        <f t="shared" si="19"/>
        <v>0</v>
      </c>
      <c r="U109" s="97">
        <f t="shared" si="20"/>
        <v>10.772</v>
      </c>
      <c r="V109" s="97">
        <f t="shared" si="21"/>
        <v>10.772</v>
      </c>
      <c r="X109" s="98" t="e">
        <f t="shared" si="22"/>
        <v>#REF!</v>
      </c>
      <c r="Y109" s="98" t="e">
        <f t="shared" si="23"/>
        <v>#REF!</v>
      </c>
      <c r="Z109" s="97" t="e">
        <f t="shared" si="24"/>
        <v>#REF!</v>
      </c>
      <c r="AA109" s="97" t="e">
        <f t="shared" si="25"/>
        <v>#REF!</v>
      </c>
      <c r="AC109" s="98" t="e">
        <f t="shared" si="26"/>
        <v>#REF!</v>
      </c>
      <c r="AD109" s="98" t="e">
        <f t="shared" si="27"/>
        <v>#REF!</v>
      </c>
      <c r="AE109" s="97" t="e">
        <f t="shared" si="28"/>
        <v>#REF!</v>
      </c>
      <c r="AF109" s="97" t="e">
        <f t="shared" si="29"/>
        <v>#REF!</v>
      </c>
      <c r="AH109" s="98" t="e">
        <f t="shared" si="30"/>
        <v>#REF!</v>
      </c>
      <c r="AI109" s="98" t="e">
        <f t="shared" si="31"/>
        <v>#REF!</v>
      </c>
      <c r="AJ109" s="97" t="e">
        <f t="shared" si="32"/>
        <v>#REF!</v>
      </c>
      <c r="AK109" s="97" t="e">
        <f t="shared" si="33"/>
        <v>#REF!</v>
      </c>
    </row>
    <row r="110" spans="1:898 1343:1961 2134:3033 3315:3315" ht="15" customHeight="1">
      <c r="A110" s="108"/>
      <c r="B110" s="107" t="s">
        <v>135</v>
      </c>
      <c r="C110" s="103"/>
      <c r="D110" s="102">
        <v>14.853999999999999</v>
      </c>
      <c r="E110" s="101">
        <v>0.03</v>
      </c>
      <c r="F110" s="101">
        <v>-0.03</v>
      </c>
      <c r="G110" s="100">
        <f t="shared" si="0"/>
        <v>14.883999999999999</v>
      </c>
      <c r="H110" s="99">
        <f t="shared" si="1"/>
        <v>14.824</v>
      </c>
      <c r="I110" s="106"/>
      <c r="J110" s="2"/>
      <c r="K110" s="2"/>
      <c r="L110" s="2"/>
      <c r="M110" s="2"/>
      <c r="N110" s="2"/>
      <c r="O110" s="2"/>
      <c r="P110" s="2"/>
      <c r="Q110" s="2"/>
      <c r="S110" s="98">
        <f t="shared" si="18"/>
        <v>0</v>
      </c>
      <c r="T110" s="98">
        <f t="shared" si="19"/>
        <v>0</v>
      </c>
      <c r="U110" s="97">
        <f t="shared" si="20"/>
        <v>14.853999999999999</v>
      </c>
      <c r="V110" s="97">
        <f t="shared" si="21"/>
        <v>14.853999999999999</v>
      </c>
      <c r="X110" s="98" t="e">
        <f t="shared" si="22"/>
        <v>#REF!</v>
      </c>
      <c r="Y110" s="98" t="e">
        <f t="shared" si="23"/>
        <v>#REF!</v>
      </c>
      <c r="Z110" s="97" t="e">
        <f t="shared" si="24"/>
        <v>#REF!</v>
      </c>
      <c r="AA110" s="97" t="e">
        <f t="shared" si="25"/>
        <v>#REF!</v>
      </c>
      <c r="AC110" s="98" t="e">
        <f t="shared" si="26"/>
        <v>#REF!</v>
      </c>
      <c r="AD110" s="98" t="e">
        <f t="shared" si="27"/>
        <v>#REF!</v>
      </c>
      <c r="AE110" s="97" t="e">
        <f t="shared" si="28"/>
        <v>#REF!</v>
      </c>
      <c r="AF110" s="97" t="e">
        <f t="shared" si="29"/>
        <v>#REF!</v>
      </c>
      <c r="AH110" s="98" t="e">
        <f t="shared" si="30"/>
        <v>#REF!</v>
      </c>
      <c r="AI110" s="98" t="e">
        <f t="shared" si="31"/>
        <v>#REF!</v>
      </c>
      <c r="AJ110" s="97" t="e">
        <f t="shared" si="32"/>
        <v>#REF!</v>
      </c>
      <c r="AK110" s="97" t="e">
        <f t="shared" si="33"/>
        <v>#REF!</v>
      </c>
    </row>
    <row r="111" spans="1:898 1343:1961 2134:3033 3315:3315" ht="15" customHeight="1">
      <c r="A111" s="108"/>
      <c r="B111" s="107" t="s">
        <v>136</v>
      </c>
      <c r="C111" s="103"/>
      <c r="D111" s="102">
        <v>13.27</v>
      </c>
      <c r="E111" s="101">
        <v>0.03</v>
      </c>
      <c r="F111" s="101">
        <v>-0.03</v>
      </c>
      <c r="G111" s="100">
        <f t="shared" si="0"/>
        <v>13.299999999999999</v>
      </c>
      <c r="H111" s="99">
        <f t="shared" si="1"/>
        <v>13.24</v>
      </c>
      <c r="I111" s="106"/>
      <c r="J111" s="2"/>
      <c r="K111" s="2"/>
      <c r="L111" s="2"/>
      <c r="M111" s="2"/>
      <c r="N111" s="2"/>
      <c r="O111" s="2"/>
      <c r="P111" s="2"/>
      <c r="Q111" s="2"/>
      <c r="S111" s="98">
        <f t="shared" si="18"/>
        <v>0</v>
      </c>
      <c r="T111" s="98">
        <f t="shared" si="19"/>
        <v>0</v>
      </c>
      <c r="U111" s="97">
        <f t="shared" si="20"/>
        <v>13.27</v>
      </c>
      <c r="V111" s="97">
        <f t="shared" si="21"/>
        <v>13.27</v>
      </c>
      <c r="X111" s="98" t="e">
        <f t="shared" si="22"/>
        <v>#REF!</v>
      </c>
      <c r="Y111" s="98" t="e">
        <f t="shared" si="23"/>
        <v>#REF!</v>
      </c>
      <c r="Z111" s="97" t="e">
        <f t="shared" si="24"/>
        <v>#REF!</v>
      </c>
      <c r="AA111" s="97" t="e">
        <f t="shared" si="25"/>
        <v>#REF!</v>
      </c>
      <c r="AC111" s="98" t="e">
        <f t="shared" si="26"/>
        <v>#REF!</v>
      </c>
      <c r="AD111" s="98" t="e">
        <f t="shared" si="27"/>
        <v>#REF!</v>
      </c>
      <c r="AE111" s="97" t="e">
        <f t="shared" si="28"/>
        <v>#REF!</v>
      </c>
      <c r="AF111" s="97" t="e">
        <f t="shared" si="29"/>
        <v>#REF!</v>
      </c>
      <c r="AH111" s="98" t="e">
        <f t="shared" si="30"/>
        <v>#REF!</v>
      </c>
      <c r="AI111" s="98" t="e">
        <f t="shared" si="31"/>
        <v>#REF!</v>
      </c>
      <c r="AJ111" s="97" t="e">
        <f t="shared" si="32"/>
        <v>#REF!</v>
      </c>
      <c r="AK111" s="97" t="e">
        <f t="shared" si="33"/>
        <v>#REF!</v>
      </c>
    </row>
    <row r="112" spans="1:898 1343:1961 2134:3033 3315:3315" ht="15" customHeight="1">
      <c r="A112" s="108"/>
      <c r="B112" s="107" t="s">
        <v>137</v>
      </c>
      <c r="C112" s="103"/>
      <c r="D112" s="102">
        <v>0.64200000000000002</v>
      </c>
      <c r="E112" s="101">
        <v>0.03</v>
      </c>
      <c r="F112" s="101">
        <v>-0.03</v>
      </c>
      <c r="G112" s="100">
        <f t="shared" si="0"/>
        <v>0.67200000000000004</v>
      </c>
      <c r="H112" s="99">
        <f t="shared" si="1"/>
        <v>0.61199999999999999</v>
      </c>
      <c r="I112" s="106"/>
      <c r="J112" s="2"/>
      <c r="K112" s="2"/>
      <c r="L112" s="2"/>
      <c r="M112" s="2"/>
      <c r="N112" s="2"/>
      <c r="O112" s="2"/>
      <c r="P112" s="2"/>
      <c r="Q112" s="2"/>
      <c r="S112" s="98">
        <f t="shared" si="18"/>
        <v>0</v>
      </c>
      <c r="T112" s="98">
        <f t="shared" si="19"/>
        <v>0</v>
      </c>
      <c r="U112" s="97">
        <f t="shared" si="20"/>
        <v>0.64200000000000002</v>
      </c>
      <c r="V112" s="97">
        <f t="shared" si="21"/>
        <v>0.64200000000000002</v>
      </c>
      <c r="X112" s="98" t="e">
        <f t="shared" si="22"/>
        <v>#REF!</v>
      </c>
      <c r="Y112" s="98" t="e">
        <f t="shared" si="23"/>
        <v>#REF!</v>
      </c>
      <c r="Z112" s="97" t="e">
        <f t="shared" si="24"/>
        <v>#REF!</v>
      </c>
      <c r="AA112" s="97" t="e">
        <f t="shared" si="25"/>
        <v>#REF!</v>
      </c>
      <c r="AC112" s="98" t="e">
        <f t="shared" si="26"/>
        <v>#REF!</v>
      </c>
      <c r="AD112" s="98" t="e">
        <f t="shared" si="27"/>
        <v>#REF!</v>
      </c>
      <c r="AE112" s="97" t="e">
        <f t="shared" si="28"/>
        <v>#REF!</v>
      </c>
      <c r="AF112" s="97" t="e">
        <f t="shared" si="29"/>
        <v>#REF!</v>
      </c>
      <c r="AH112" s="98" t="e">
        <f t="shared" si="30"/>
        <v>#REF!</v>
      </c>
      <c r="AI112" s="98" t="e">
        <f t="shared" si="31"/>
        <v>#REF!</v>
      </c>
      <c r="AJ112" s="97" t="e">
        <f t="shared" si="32"/>
        <v>#REF!</v>
      </c>
      <c r="AK112" s="97" t="e">
        <f t="shared" si="33"/>
        <v>#REF!</v>
      </c>
    </row>
    <row r="113" spans="1:898 1343:1961 2134:3033 3315:3315" ht="15" customHeight="1">
      <c r="A113" s="108"/>
      <c r="B113" s="107" t="s">
        <v>138</v>
      </c>
      <c r="C113" s="103"/>
      <c r="D113" s="102">
        <v>0.40300000000000002</v>
      </c>
      <c r="E113" s="101">
        <v>0.03</v>
      </c>
      <c r="F113" s="101">
        <v>-0.03</v>
      </c>
      <c r="G113" s="100">
        <f t="shared" si="0"/>
        <v>0.43300000000000005</v>
      </c>
      <c r="H113" s="99">
        <f t="shared" si="1"/>
        <v>0.373</v>
      </c>
      <c r="I113" s="106"/>
      <c r="J113" s="2"/>
      <c r="K113" s="2"/>
      <c r="L113" s="2"/>
      <c r="M113" s="2"/>
      <c r="N113" s="2"/>
      <c r="O113" s="2"/>
      <c r="P113" s="2"/>
      <c r="Q113" s="2"/>
      <c r="S113" s="98">
        <f t="shared" si="18"/>
        <v>0</v>
      </c>
      <c r="T113" s="98">
        <f t="shared" si="19"/>
        <v>0</v>
      </c>
      <c r="U113" s="97">
        <f t="shared" si="20"/>
        <v>0.40300000000000002</v>
      </c>
      <c r="V113" s="97">
        <f t="shared" si="21"/>
        <v>0.40300000000000002</v>
      </c>
      <c r="X113" s="98" t="e">
        <f t="shared" si="22"/>
        <v>#REF!</v>
      </c>
      <c r="Y113" s="98" t="e">
        <f t="shared" si="23"/>
        <v>#REF!</v>
      </c>
      <c r="Z113" s="97" t="e">
        <f t="shared" si="24"/>
        <v>#REF!</v>
      </c>
      <c r="AA113" s="97" t="e">
        <f t="shared" si="25"/>
        <v>#REF!</v>
      </c>
      <c r="AC113" s="98" t="e">
        <f t="shared" si="26"/>
        <v>#REF!</v>
      </c>
      <c r="AD113" s="98" t="e">
        <f t="shared" si="27"/>
        <v>#REF!</v>
      </c>
      <c r="AE113" s="97" t="e">
        <f t="shared" si="28"/>
        <v>#REF!</v>
      </c>
      <c r="AF113" s="97" t="e">
        <f t="shared" si="29"/>
        <v>#REF!</v>
      </c>
      <c r="AH113" s="98" t="e">
        <f t="shared" si="30"/>
        <v>#REF!</v>
      </c>
      <c r="AI113" s="98" t="e">
        <f t="shared" si="31"/>
        <v>#REF!</v>
      </c>
      <c r="AJ113" s="97" t="e">
        <f t="shared" si="32"/>
        <v>#REF!</v>
      </c>
      <c r="AK113" s="97" t="e">
        <f t="shared" si="33"/>
        <v>#REF!</v>
      </c>
    </row>
    <row r="114" spans="1:898 1343:1961 2134:3033 3315:3315" ht="15" customHeight="1">
      <c r="A114" s="108"/>
      <c r="B114" s="107" t="s">
        <v>139</v>
      </c>
      <c r="C114" s="103"/>
      <c r="D114" s="102">
        <v>1.986</v>
      </c>
      <c r="E114" s="101">
        <v>0.03</v>
      </c>
      <c r="F114" s="101">
        <v>-0.03</v>
      </c>
      <c r="G114" s="100">
        <f t="shared" si="0"/>
        <v>2.016</v>
      </c>
      <c r="H114" s="99">
        <f t="shared" si="1"/>
        <v>1.956</v>
      </c>
      <c r="I114" s="106"/>
      <c r="J114" s="2"/>
      <c r="K114" s="2"/>
      <c r="L114" s="2"/>
      <c r="M114" s="2"/>
      <c r="N114" s="2"/>
      <c r="O114" s="2"/>
      <c r="P114" s="2"/>
      <c r="Q114" s="2"/>
      <c r="S114" s="98">
        <f t="shared" si="18"/>
        <v>0</v>
      </c>
      <c r="T114" s="98">
        <f t="shared" si="19"/>
        <v>0</v>
      </c>
      <c r="U114" s="97">
        <f t="shared" si="20"/>
        <v>1.986</v>
      </c>
      <c r="V114" s="97">
        <f t="shared" si="21"/>
        <v>1.986</v>
      </c>
      <c r="X114" s="98" t="e">
        <f t="shared" si="22"/>
        <v>#REF!</v>
      </c>
      <c r="Y114" s="98" t="e">
        <f t="shared" si="23"/>
        <v>#REF!</v>
      </c>
      <c r="Z114" s="97" t="e">
        <f t="shared" si="24"/>
        <v>#REF!</v>
      </c>
      <c r="AA114" s="97" t="e">
        <f t="shared" si="25"/>
        <v>#REF!</v>
      </c>
      <c r="AC114" s="98" t="e">
        <f t="shared" si="26"/>
        <v>#REF!</v>
      </c>
      <c r="AD114" s="98" t="e">
        <f t="shared" si="27"/>
        <v>#REF!</v>
      </c>
      <c r="AE114" s="97" t="e">
        <f t="shared" si="28"/>
        <v>#REF!</v>
      </c>
      <c r="AF114" s="97" t="e">
        <f t="shared" si="29"/>
        <v>#REF!</v>
      </c>
      <c r="AH114" s="98" t="e">
        <f t="shared" si="30"/>
        <v>#REF!</v>
      </c>
      <c r="AI114" s="98" t="e">
        <f t="shared" si="31"/>
        <v>#REF!</v>
      </c>
      <c r="AJ114" s="97" t="e">
        <f t="shared" si="32"/>
        <v>#REF!</v>
      </c>
      <c r="AK114" s="97" t="e">
        <f t="shared" si="33"/>
        <v>#REF!</v>
      </c>
    </row>
    <row r="115" spans="1:898 1343:1961 2134:3033 3315:3315" ht="15" customHeight="1">
      <c r="A115" s="108"/>
      <c r="B115" s="107" t="s">
        <v>140</v>
      </c>
      <c r="C115" s="103"/>
      <c r="D115" s="102">
        <v>2.226</v>
      </c>
      <c r="E115" s="101">
        <v>0.03</v>
      </c>
      <c r="F115" s="101">
        <v>-0.03</v>
      </c>
      <c r="G115" s="100">
        <f t="shared" si="0"/>
        <v>2.2559999999999998</v>
      </c>
      <c r="H115" s="99">
        <f t="shared" si="1"/>
        <v>2.1960000000000002</v>
      </c>
      <c r="I115" s="106"/>
      <c r="J115" s="2"/>
      <c r="K115" s="2"/>
      <c r="L115" s="2"/>
      <c r="M115" s="2"/>
      <c r="N115" s="2"/>
      <c r="O115" s="2"/>
      <c r="P115" s="2"/>
      <c r="Q115" s="2"/>
      <c r="S115" s="98">
        <f t="shared" si="18"/>
        <v>0</v>
      </c>
      <c r="T115" s="98">
        <f t="shared" si="19"/>
        <v>0</v>
      </c>
      <c r="U115" s="97">
        <f t="shared" si="20"/>
        <v>2.226</v>
      </c>
      <c r="V115" s="97">
        <f t="shared" si="21"/>
        <v>2.226</v>
      </c>
      <c r="X115" s="98" t="e">
        <f t="shared" si="22"/>
        <v>#REF!</v>
      </c>
      <c r="Y115" s="98" t="e">
        <f t="shared" si="23"/>
        <v>#REF!</v>
      </c>
      <c r="Z115" s="97" t="e">
        <f t="shared" si="24"/>
        <v>#REF!</v>
      </c>
      <c r="AA115" s="97" t="e">
        <f t="shared" si="25"/>
        <v>#REF!</v>
      </c>
      <c r="AC115" s="98" t="e">
        <f t="shared" si="26"/>
        <v>#REF!</v>
      </c>
      <c r="AD115" s="98" t="e">
        <f t="shared" si="27"/>
        <v>#REF!</v>
      </c>
      <c r="AE115" s="97" t="e">
        <f t="shared" si="28"/>
        <v>#REF!</v>
      </c>
      <c r="AF115" s="97" t="e">
        <f t="shared" si="29"/>
        <v>#REF!</v>
      </c>
      <c r="AH115" s="98" t="e">
        <f t="shared" si="30"/>
        <v>#REF!</v>
      </c>
      <c r="AI115" s="98" t="e">
        <f t="shared" si="31"/>
        <v>#REF!</v>
      </c>
      <c r="AJ115" s="97" t="e">
        <f t="shared" si="32"/>
        <v>#REF!</v>
      </c>
      <c r="AK115" s="97" t="e">
        <f t="shared" si="33"/>
        <v>#REF!</v>
      </c>
    </row>
    <row r="116" spans="1:898 1343:1961 2134:3033 3315:3315" ht="15" customHeight="1">
      <c r="A116" s="108"/>
      <c r="B116" s="107" t="s">
        <v>203</v>
      </c>
      <c r="C116" s="103"/>
      <c r="D116" s="102">
        <v>1.718</v>
      </c>
      <c r="E116" s="101">
        <v>0.02</v>
      </c>
      <c r="F116" s="101">
        <v>-0.02</v>
      </c>
      <c r="G116" s="100">
        <f t="shared" si="0"/>
        <v>1.738</v>
      </c>
      <c r="H116" s="99">
        <f t="shared" si="1"/>
        <v>1.698</v>
      </c>
      <c r="I116" s="106"/>
      <c r="J116" s="2"/>
      <c r="K116" s="2"/>
      <c r="L116" s="2"/>
      <c r="M116" s="2"/>
      <c r="N116" s="2"/>
      <c r="O116" s="2"/>
      <c r="P116" s="2"/>
      <c r="Q116" s="2"/>
      <c r="S116" s="98">
        <f t="shared" si="18"/>
        <v>0</v>
      </c>
      <c r="T116" s="98">
        <f t="shared" si="19"/>
        <v>0</v>
      </c>
      <c r="U116" s="97">
        <f t="shared" si="20"/>
        <v>1.718</v>
      </c>
      <c r="V116" s="97">
        <f t="shared" si="21"/>
        <v>1.718</v>
      </c>
      <c r="X116" s="98" t="e">
        <f t="shared" si="22"/>
        <v>#REF!</v>
      </c>
      <c r="Y116" s="98" t="e">
        <f t="shared" si="23"/>
        <v>#REF!</v>
      </c>
      <c r="Z116" s="97" t="e">
        <f t="shared" si="24"/>
        <v>#REF!</v>
      </c>
      <c r="AA116" s="97" t="e">
        <f t="shared" si="25"/>
        <v>#REF!</v>
      </c>
      <c r="AC116" s="98" t="e">
        <f t="shared" si="26"/>
        <v>#REF!</v>
      </c>
      <c r="AD116" s="98" t="e">
        <f t="shared" si="27"/>
        <v>#REF!</v>
      </c>
      <c r="AE116" s="97" t="e">
        <f t="shared" si="28"/>
        <v>#REF!</v>
      </c>
      <c r="AF116" s="97" t="e">
        <f t="shared" si="29"/>
        <v>#REF!</v>
      </c>
      <c r="AH116" s="98" t="e">
        <f t="shared" si="30"/>
        <v>#REF!</v>
      </c>
      <c r="AI116" s="98" t="e">
        <f t="shared" si="31"/>
        <v>#REF!</v>
      </c>
      <c r="AJ116" s="97" t="e">
        <f t="shared" si="32"/>
        <v>#REF!</v>
      </c>
      <c r="AK116" s="97" t="e">
        <f t="shared" si="33"/>
        <v>#REF!</v>
      </c>
    </row>
    <row r="117" spans="1:898 1343:1961 2134:3033 3315:3315" ht="15" customHeight="1">
      <c r="A117" s="108"/>
      <c r="B117" s="107" t="s">
        <v>204</v>
      </c>
      <c r="C117" s="103"/>
      <c r="D117" s="102">
        <v>0.38500000000000001</v>
      </c>
      <c r="E117" s="101">
        <v>0.22</v>
      </c>
      <c r="F117" s="101">
        <v>-0.22</v>
      </c>
      <c r="G117" s="100">
        <f t="shared" si="0"/>
        <v>0.60499999999999998</v>
      </c>
      <c r="H117" s="99">
        <f t="shared" si="1"/>
        <v>0.16500000000000001</v>
      </c>
      <c r="I117" s="106"/>
      <c r="J117" s="2"/>
      <c r="K117" s="2"/>
      <c r="L117" s="2"/>
      <c r="M117" s="2"/>
      <c r="N117" s="2"/>
      <c r="O117" s="2"/>
      <c r="P117" s="2"/>
      <c r="Q117" s="2"/>
      <c r="S117" s="98">
        <f t="shared" si="18"/>
        <v>0</v>
      </c>
      <c r="T117" s="98">
        <f t="shared" si="19"/>
        <v>0</v>
      </c>
      <c r="U117" s="97">
        <f t="shared" si="20"/>
        <v>0.38500000000000001</v>
      </c>
      <c r="V117" s="97">
        <f t="shared" si="21"/>
        <v>0.38500000000000001</v>
      </c>
      <c r="X117" s="98" t="e">
        <f t="shared" si="22"/>
        <v>#REF!</v>
      </c>
      <c r="Y117" s="98" t="e">
        <f t="shared" si="23"/>
        <v>#REF!</v>
      </c>
      <c r="Z117" s="97" t="e">
        <f t="shared" si="24"/>
        <v>#REF!</v>
      </c>
      <c r="AA117" s="97" t="e">
        <f t="shared" si="25"/>
        <v>#REF!</v>
      </c>
      <c r="AC117" s="98" t="e">
        <f t="shared" si="26"/>
        <v>#REF!</v>
      </c>
      <c r="AD117" s="98" t="e">
        <f t="shared" si="27"/>
        <v>#REF!</v>
      </c>
      <c r="AE117" s="97" t="e">
        <f t="shared" si="28"/>
        <v>#REF!</v>
      </c>
      <c r="AF117" s="97" t="e">
        <f t="shared" si="29"/>
        <v>#REF!</v>
      </c>
      <c r="AH117" s="98" t="e">
        <f t="shared" si="30"/>
        <v>#REF!</v>
      </c>
      <c r="AI117" s="98" t="e">
        <f t="shared" si="31"/>
        <v>#REF!</v>
      </c>
      <c r="AJ117" s="97" t="e">
        <f t="shared" si="32"/>
        <v>#REF!</v>
      </c>
      <c r="AK117" s="97" t="e">
        <f t="shared" si="33"/>
        <v>#REF!</v>
      </c>
    </row>
    <row r="118" spans="1:898 1343:1961 2134:3033 3315:3315" ht="15" customHeight="1">
      <c r="A118" s="108"/>
      <c r="B118" s="107" t="s">
        <v>205</v>
      </c>
      <c r="C118" s="103"/>
      <c r="D118" s="102">
        <v>5.2779999999999996</v>
      </c>
      <c r="E118" s="101">
        <v>0.3</v>
      </c>
      <c r="F118" s="101">
        <v>-0.3</v>
      </c>
      <c r="G118" s="100">
        <f t="shared" si="0"/>
        <v>5.5779999999999994</v>
      </c>
      <c r="H118" s="99">
        <f t="shared" si="1"/>
        <v>4.9779999999999998</v>
      </c>
      <c r="I118" s="106"/>
      <c r="J118" s="2"/>
      <c r="K118" s="2"/>
      <c r="L118" s="2"/>
      <c r="M118" s="2"/>
      <c r="N118" s="2"/>
      <c r="O118" s="2"/>
      <c r="P118" s="2"/>
      <c r="Q118" s="2"/>
      <c r="S118" s="98">
        <f t="shared" si="18"/>
        <v>0</v>
      </c>
      <c r="T118" s="98">
        <f t="shared" si="19"/>
        <v>0</v>
      </c>
      <c r="U118" s="97">
        <f t="shared" si="20"/>
        <v>5.2779999999999996</v>
      </c>
      <c r="V118" s="97">
        <f t="shared" si="21"/>
        <v>5.2779999999999996</v>
      </c>
      <c r="X118" s="98" t="e">
        <f t="shared" si="22"/>
        <v>#REF!</v>
      </c>
      <c r="Y118" s="98" t="e">
        <f t="shared" si="23"/>
        <v>#REF!</v>
      </c>
      <c r="Z118" s="97" t="e">
        <f t="shared" si="24"/>
        <v>#REF!</v>
      </c>
      <c r="AA118" s="97" t="e">
        <f t="shared" si="25"/>
        <v>#REF!</v>
      </c>
      <c r="AC118" s="98" t="e">
        <f t="shared" si="26"/>
        <v>#REF!</v>
      </c>
      <c r="AD118" s="98" t="e">
        <f t="shared" si="27"/>
        <v>#REF!</v>
      </c>
      <c r="AE118" s="97" t="e">
        <f t="shared" si="28"/>
        <v>#REF!</v>
      </c>
      <c r="AF118" s="97" t="e">
        <f t="shared" si="29"/>
        <v>#REF!</v>
      </c>
      <c r="AH118" s="98" t="e">
        <f t="shared" si="30"/>
        <v>#REF!</v>
      </c>
      <c r="AI118" s="98" t="e">
        <f t="shared" si="31"/>
        <v>#REF!</v>
      </c>
      <c r="AJ118" s="97" t="e">
        <f t="shared" si="32"/>
        <v>#REF!</v>
      </c>
      <c r="AK118" s="97" t="e">
        <f t="shared" si="33"/>
        <v>#REF!</v>
      </c>
    </row>
    <row r="119" spans="1:898 1343:1961 2134:3033 3315:3315" ht="15" customHeight="1">
      <c r="A119" s="108"/>
      <c r="B119" s="107" t="s">
        <v>206</v>
      </c>
      <c r="C119" s="103"/>
      <c r="D119" s="102">
        <v>0</v>
      </c>
      <c r="E119" s="101">
        <v>3</v>
      </c>
      <c r="F119" s="101">
        <v>-3</v>
      </c>
      <c r="G119" s="100">
        <f t="shared" si="0"/>
        <v>3</v>
      </c>
      <c r="H119" s="99">
        <f t="shared" si="1"/>
        <v>-3</v>
      </c>
      <c r="I119" s="106"/>
      <c r="J119" s="2"/>
      <c r="K119" s="2"/>
      <c r="L119" s="2"/>
      <c r="M119" s="2"/>
      <c r="N119" s="2"/>
      <c r="O119" s="2"/>
      <c r="P119" s="2"/>
      <c r="Q119" s="2"/>
      <c r="S119" s="98">
        <f t="shared" si="18"/>
        <v>0</v>
      </c>
      <c r="T119" s="98">
        <f t="shared" si="19"/>
        <v>0</v>
      </c>
      <c r="U119" s="97">
        <f t="shared" si="20"/>
        <v>0</v>
      </c>
      <c r="V119" s="97">
        <f t="shared" si="21"/>
        <v>0</v>
      </c>
      <c r="X119" s="98" t="e">
        <f t="shared" si="22"/>
        <v>#REF!</v>
      </c>
      <c r="Y119" s="98" t="e">
        <f t="shared" si="23"/>
        <v>#REF!</v>
      </c>
      <c r="Z119" s="97" t="e">
        <f t="shared" si="24"/>
        <v>#REF!</v>
      </c>
      <c r="AA119" s="97" t="e">
        <f t="shared" si="25"/>
        <v>#REF!</v>
      </c>
      <c r="AC119" s="98" t="e">
        <f t="shared" si="26"/>
        <v>#REF!</v>
      </c>
      <c r="AD119" s="98" t="e">
        <f t="shared" si="27"/>
        <v>#REF!</v>
      </c>
      <c r="AE119" s="97" t="e">
        <f t="shared" si="28"/>
        <v>#REF!</v>
      </c>
      <c r="AF119" s="97" t="e">
        <f t="shared" si="29"/>
        <v>#REF!</v>
      </c>
      <c r="AH119" s="98" t="e">
        <f t="shared" si="30"/>
        <v>#REF!</v>
      </c>
      <c r="AI119" s="98" t="e">
        <f t="shared" si="31"/>
        <v>#REF!</v>
      </c>
      <c r="AJ119" s="97" t="e">
        <f t="shared" si="32"/>
        <v>#REF!</v>
      </c>
      <c r="AK119" s="97" t="e">
        <f t="shared" si="33"/>
        <v>#REF!</v>
      </c>
    </row>
    <row r="120" spans="1:898 1343:1961 2134:3033 3315:3315" ht="15" customHeight="1">
      <c r="A120" s="108"/>
      <c r="B120" s="109"/>
      <c r="C120" s="103"/>
      <c r="D120" s="102"/>
      <c r="E120" s="101"/>
      <c r="F120" s="101"/>
      <c r="G120" s="100"/>
      <c r="H120" s="99"/>
      <c r="I120" s="106"/>
      <c r="J120" s="2"/>
      <c r="K120" s="2"/>
      <c r="L120" s="2"/>
      <c r="M120" s="2"/>
      <c r="N120" s="2"/>
      <c r="O120" s="2"/>
      <c r="P120" s="2"/>
      <c r="Q120" s="2"/>
      <c r="S120" s="98">
        <f t="shared" si="18"/>
        <v>0</v>
      </c>
      <c r="T120" s="98">
        <f t="shared" si="19"/>
        <v>0</v>
      </c>
      <c r="U120" s="97">
        <f t="shared" si="20"/>
        <v>0</v>
      </c>
      <c r="V120" s="97">
        <f t="shared" si="21"/>
        <v>0</v>
      </c>
      <c r="X120" s="98" t="e">
        <f t="shared" si="22"/>
        <v>#REF!</v>
      </c>
      <c r="Y120" s="98" t="e">
        <f t="shared" si="23"/>
        <v>#REF!</v>
      </c>
      <c r="Z120" s="97" t="e">
        <f t="shared" si="24"/>
        <v>#REF!</v>
      </c>
      <c r="AA120" s="97" t="e">
        <f t="shared" si="25"/>
        <v>#REF!</v>
      </c>
      <c r="AC120" s="98" t="e">
        <f t="shared" si="26"/>
        <v>#REF!</v>
      </c>
      <c r="AD120" s="98" t="e">
        <f t="shared" si="27"/>
        <v>#REF!</v>
      </c>
      <c r="AE120" s="97" t="e">
        <f t="shared" si="28"/>
        <v>#REF!</v>
      </c>
      <c r="AF120" s="97" t="e">
        <f t="shared" si="29"/>
        <v>#REF!</v>
      </c>
      <c r="AH120" s="98" t="e">
        <f t="shared" si="30"/>
        <v>#REF!</v>
      </c>
      <c r="AI120" s="98" t="e">
        <f t="shared" si="31"/>
        <v>#REF!</v>
      </c>
      <c r="AJ120" s="97" t="e">
        <f t="shared" si="32"/>
        <v>#REF!</v>
      </c>
      <c r="AK120" s="97" t="e">
        <f t="shared" si="33"/>
        <v>#REF!</v>
      </c>
      <c r="DJ120" s="111"/>
      <c r="EV120" s="111"/>
      <c r="GM120" s="111"/>
      <c r="MR120" s="111"/>
      <c r="SJ120" s="111"/>
      <c r="TQ120" s="111"/>
      <c r="WJ120" s="111"/>
      <c r="XG120" s="111"/>
      <c r="AFG120" s="111"/>
      <c r="AHC120" s="111"/>
      <c r="AHN120" s="111"/>
      <c r="AYQ120" s="111"/>
      <c r="BBW120" s="111"/>
      <c r="BOB120" s="111"/>
      <c r="BOW120" s="111"/>
      <c r="BRB120" s="111"/>
      <c r="BUE120" s="111"/>
      <c r="BWK120" s="111"/>
      <c r="CDB120" s="111"/>
      <c r="CDN120" s="111"/>
      <c r="CEH120" s="111"/>
      <c r="CIE120" s="111"/>
      <c r="CJY120" s="111"/>
      <c r="CNP120" s="111"/>
      <c r="CVA120" s="111"/>
      <c r="CXO120" s="111"/>
      <c r="DAR120" s="111"/>
      <c r="DEG120" s="111"/>
      <c r="DEJ120" s="111"/>
      <c r="DEZ120" s="111"/>
      <c r="DKR120" s="111"/>
      <c r="DLQ120" s="111"/>
      <c r="DWM120" s="111"/>
    </row>
    <row r="121" spans="1:898 1343:1961 2134:3033 3315:3315" ht="15" customHeight="1">
      <c r="A121" s="108" t="s">
        <v>184</v>
      </c>
      <c r="B121" s="107" t="s">
        <v>207</v>
      </c>
      <c r="C121" s="103">
        <v>1.33</v>
      </c>
      <c r="D121" s="102">
        <v>1.03</v>
      </c>
      <c r="E121" s="101">
        <v>0.02</v>
      </c>
      <c r="F121" s="101">
        <v>-0.02</v>
      </c>
      <c r="G121" s="100">
        <f t="shared" si="0"/>
        <v>1.05</v>
      </c>
      <c r="H121" s="99">
        <f t="shared" si="1"/>
        <v>1.01</v>
      </c>
      <c r="I121" s="106"/>
      <c r="J121" s="2"/>
      <c r="K121" s="2"/>
      <c r="L121" s="2"/>
      <c r="M121" s="2"/>
      <c r="N121" s="2"/>
      <c r="O121" s="2"/>
      <c r="P121" s="2"/>
      <c r="Q121" s="2"/>
      <c r="S121" s="98">
        <f t="shared" si="18"/>
        <v>0</v>
      </c>
      <c r="T121" s="98">
        <f t="shared" si="19"/>
        <v>0</v>
      </c>
      <c r="U121" s="97">
        <f t="shared" si="20"/>
        <v>1.03</v>
      </c>
      <c r="V121" s="97">
        <f t="shared" si="21"/>
        <v>1.03</v>
      </c>
      <c r="X121" s="98" t="e">
        <f t="shared" si="22"/>
        <v>#REF!</v>
      </c>
      <c r="Y121" s="98" t="e">
        <f t="shared" si="23"/>
        <v>#REF!</v>
      </c>
      <c r="Z121" s="97" t="e">
        <f t="shared" si="24"/>
        <v>#REF!</v>
      </c>
      <c r="AA121" s="97" t="e">
        <f t="shared" si="25"/>
        <v>#REF!</v>
      </c>
      <c r="AC121" s="98" t="e">
        <f t="shared" si="26"/>
        <v>#REF!</v>
      </c>
      <c r="AD121" s="98" t="e">
        <f t="shared" si="27"/>
        <v>#REF!</v>
      </c>
      <c r="AE121" s="97" t="e">
        <f t="shared" si="28"/>
        <v>#REF!</v>
      </c>
      <c r="AF121" s="97" t="e">
        <f t="shared" si="29"/>
        <v>#REF!</v>
      </c>
      <c r="AH121" s="98" t="e">
        <f t="shared" si="30"/>
        <v>#REF!</v>
      </c>
      <c r="AI121" s="98" t="e">
        <f t="shared" si="31"/>
        <v>#REF!</v>
      </c>
      <c r="AJ121" s="97" t="e">
        <f t="shared" si="32"/>
        <v>#REF!</v>
      </c>
      <c r="AK121" s="97" t="e">
        <f t="shared" si="33"/>
        <v>#REF!</v>
      </c>
    </row>
    <row r="122" spans="1:898 1343:1961 2134:3033 3315:3315" ht="15" customHeight="1">
      <c r="A122" s="108" t="s">
        <v>184</v>
      </c>
      <c r="B122" s="107" t="s">
        <v>165</v>
      </c>
      <c r="C122" s="103">
        <v>1.33</v>
      </c>
      <c r="D122" s="102">
        <v>1.03</v>
      </c>
      <c r="E122" s="101">
        <v>0.02</v>
      </c>
      <c r="F122" s="101">
        <v>-0.02</v>
      </c>
      <c r="G122" s="100">
        <f t="shared" si="0"/>
        <v>1.05</v>
      </c>
      <c r="H122" s="99">
        <f t="shared" si="1"/>
        <v>1.01</v>
      </c>
      <c r="I122" s="106"/>
      <c r="J122" s="2"/>
      <c r="K122" s="2"/>
      <c r="L122" s="2"/>
      <c r="M122" s="2"/>
      <c r="N122" s="2"/>
      <c r="O122" s="2"/>
      <c r="P122" s="2"/>
      <c r="Q122" s="2"/>
      <c r="S122" s="98">
        <f t="shared" si="18"/>
        <v>0</v>
      </c>
      <c r="T122" s="98">
        <f t="shared" si="19"/>
        <v>0</v>
      </c>
      <c r="U122" s="97">
        <f t="shared" si="20"/>
        <v>1.03</v>
      </c>
      <c r="V122" s="97">
        <f t="shared" si="21"/>
        <v>1.03</v>
      </c>
      <c r="X122" s="98" t="e">
        <f t="shared" si="22"/>
        <v>#REF!</v>
      </c>
      <c r="Y122" s="98" t="e">
        <f t="shared" si="23"/>
        <v>#REF!</v>
      </c>
      <c r="Z122" s="97" t="e">
        <f t="shared" si="24"/>
        <v>#REF!</v>
      </c>
      <c r="AA122" s="97" t="e">
        <f t="shared" si="25"/>
        <v>#REF!</v>
      </c>
      <c r="AC122" s="98" t="e">
        <f t="shared" si="26"/>
        <v>#REF!</v>
      </c>
      <c r="AD122" s="98" t="e">
        <f t="shared" si="27"/>
        <v>#REF!</v>
      </c>
      <c r="AE122" s="97" t="e">
        <f t="shared" si="28"/>
        <v>#REF!</v>
      </c>
      <c r="AF122" s="97" t="e">
        <f t="shared" si="29"/>
        <v>#REF!</v>
      </c>
      <c r="AH122" s="98" t="e">
        <f t="shared" si="30"/>
        <v>#REF!</v>
      </c>
      <c r="AI122" s="98" t="e">
        <f t="shared" si="31"/>
        <v>#REF!</v>
      </c>
      <c r="AJ122" s="97" t="e">
        <f t="shared" si="32"/>
        <v>#REF!</v>
      </c>
      <c r="AK122" s="97" t="e">
        <f t="shared" si="33"/>
        <v>#REF!</v>
      </c>
    </row>
    <row r="123" spans="1:898 1343:1961 2134:3033 3315:3315" ht="15" customHeight="1">
      <c r="A123" s="108" t="s">
        <v>183</v>
      </c>
      <c r="B123" s="107" t="s">
        <v>208</v>
      </c>
      <c r="C123" s="103">
        <v>1.33</v>
      </c>
      <c r="D123" s="102">
        <v>14.496</v>
      </c>
      <c r="E123" s="101">
        <v>0.02</v>
      </c>
      <c r="F123" s="101">
        <v>-0.02</v>
      </c>
      <c r="G123" s="100">
        <f t="shared" si="0"/>
        <v>14.516</v>
      </c>
      <c r="H123" s="99">
        <f t="shared" si="1"/>
        <v>14.476000000000001</v>
      </c>
      <c r="I123" s="106"/>
      <c r="J123" s="2"/>
      <c r="K123" s="2"/>
      <c r="L123" s="2"/>
      <c r="M123" s="2"/>
      <c r="N123" s="2"/>
      <c r="O123" s="2"/>
      <c r="P123" s="2"/>
      <c r="Q123" s="2"/>
      <c r="S123" s="98">
        <f t="shared" si="18"/>
        <v>0</v>
      </c>
      <c r="T123" s="98">
        <f t="shared" si="19"/>
        <v>0</v>
      </c>
      <c r="U123" s="97">
        <f t="shared" si="20"/>
        <v>14.496</v>
      </c>
      <c r="V123" s="97">
        <f t="shared" si="21"/>
        <v>14.496</v>
      </c>
      <c r="X123" s="98" t="e">
        <f t="shared" si="22"/>
        <v>#REF!</v>
      </c>
      <c r="Y123" s="98" t="e">
        <f t="shared" si="23"/>
        <v>#REF!</v>
      </c>
      <c r="Z123" s="97" t="e">
        <f t="shared" si="24"/>
        <v>#REF!</v>
      </c>
      <c r="AA123" s="97" t="e">
        <f t="shared" si="25"/>
        <v>#REF!</v>
      </c>
      <c r="AC123" s="98" t="e">
        <f t="shared" si="26"/>
        <v>#REF!</v>
      </c>
      <c r="AD123" s="98" t="e">
        <f t="shared" si="27"/>
        <v>#REF!</v>
      </c>
      <c r="AE123" s="97" t="e">
        <f t="shared" si="28"/>
        <v>#REF!</v>
      </c>
      <c r="AF123" s="97" t="e">
        <f t="shared" si="29"/>
        <v>#REF!</v>
      </c>
      <c r="AH123" s="98" t="e">
        <f t="shared" si="30"/>
        <v>#REF!</v>
      </c>
      <c r="AI123" s="98" t="e">
        <f t="shared" si="31"/>
        <v>#REF!</v>
      </c>
      <c r="AJ123" s="97" t="e">
        <f t="shared" si="32"/>
        <v>#REF!</v>
      </c>
      <c r="AK123" s="97" t="e">
        <f t="shared" si="33"/>
        <v>#REF!</v>
      </c>
    </row>
    <row r="124" spans="1:898 1343:1961 2134:3033 3315:3315" ht="15" customHeight="1">
      <c r="A124" s="108" t="s">
        <v>182</v>
      </c>
      <c r="B124" s="107" t="s">
        <v>209</v>
      </c>
      <c r="C124" s="103">
        <v>1.33</v>
      </c>
      <c r="D124" s="102">
        <v>0.77</v>
      </c>
      <c r="E124" s="101">
        <v>0.02</v>
      </c>
      <c r="F124" s="101">
        <v>-0.02</v>
      </c>
      <c r="G124" s="100">
        <f t="shared" si="0"/>
        <v>0.79</v>
      </c>
      <c r="H124" s="99">
        <f t="shared" si="1"/>
        <v>0.75</v>
      </c>
      <c r="I124" s="106"/>
      <c r="J124" s="2"/>
      <c r="K124" s="2"/>
      <c r="L124" s="2"/>
      <c r="M124" s="2"/>
      <c r="N124" s="2"/>
      <c r="O124" s="2"/>
      <c r="P124" s="2"/>
      <c r="Q124" s="2"/>
      <c r="S124" s="98">
        <f t="shared" si="18"/>
        <v>0</v>
      </c>
      <c r="T124" s="98">
        <f t="shared" si="19"/>
        <v>0</v>
      </c>
      <c r="U124" s="97">
        <f t="shared" si="20"/>
        <v>0.77</v>
      </c>
      <c r="V124" s="97">
        <f t="shared" si="21"/>
        <v>0.77</v>
      </c>
      <c r="X124" s="98" t="e">
        <f t="shared" si="22"/>
        <v>#REF!</v>
      </c>
      <c r="Y124" s="98" t="e">
        <f t="shared" si="23"/>
        <v>#REF!</v>
      </c>
      <c r="Z124" s="97" t="e">
        <f t="shared" si="24"/>
        <v>#REF!</v>
      </c>
      <c r="AA124" s="97" t="e">
        <f t="shared" si="25"/>
        <v>#REF!</v>
      </c>
      <c r="AC124" s="98" t="e">
        <f t="shared" si="26"/>
        <v>#REF!</v>
      </c>
      <c r="AD124" s="98" t="e">
        <f t="shared" si="27"/>
        <v>#REF!</v>
      </c>
      <c r="AE124" s="97" t="e">
        <f t="shared" si="28"/>
        <v>#REF!</v>
      </c>
      <c r="AF124" s="97" t="e">
        <f t="shared" si="29"/>
        <v>#REF!</v>
      </c>
      <c r="AH124" s="98" t="e">
        <f t="shared" si="30"/>
        <v>#REF!</v>
      </c>
      <c r="AI124" s="98" t="e">
        <f t="shared" si="31"/>
        <v>#REF!</v>
      </c>
      <c r="AJ124" s="97" t="e">
        <f t="shared" si="32"/>
        <v>#REF!</v>
      </c>
      <c r="AK124" s="97" t="e">
        <f t="shared" si="33"/>
        <v>#REF!</v>
      </c>
    </row>
    <row r="125" spans="1:898 1343:1961 2134:3033 3315:3315" ht="15" customHeight="1">
      <c r="A125" s="108" t="s">
        <v>182</v>
      </c>
      <c r="B125" s="107" t="s">
        <v>168</v>
      </c>
      <c r="C125" s="103">
        <v>1.33</v>
      </c>
      <c r="D125" s="102">
        <v>0.77</v>
      </c>
      <c r="E125" s="101">
        <v>0.02</v>
      </c>
      <c r="F125" s="101">
        <v>-0.02</v>
      </c>
      <c r="G125" s="100">
        <f t="shared" si="0"/>
        <v>0.79</v>
      </c>
      <c r="H125" s="99">
        <f t="shared" si="1"/>
        <v>0.75</v>
      </c>
      <c r="I125" s="106"/>
      <c r="J125" s="2"/>
      <c r="K125" s="2"/>
      <c r="L125" s="2"/>
      <c r="M125" s="2"/>
      <c r="N125" s="2"/>
      <c r="O125" s="2"/>
      <c r="P125" s="2"/>
      <c r="Q125" s="2"/>
      <c r="S125" s="98">
        <f t="shared" si="18"/>
        <v>0</v>
      </c>
      <c r="T125" s="98">
        <f t="shared" si="19"/>
        <v>0</v>
      </c>
      <c r="U125" s="97">
        <f t="shared" si="20"/>
        <v>0.77</v>
      </c>
      <c r="V125" s="97">
        <f t="shared" si="21"/>
        <v>0.77</v>
      </c>
      <c r="X125" s="98" t="e">
        <f t="shared" si="22"/>
        <v>#REF!</v>
      </c>
      <c r="Y125" s="98" t="e">
        <f t="shared" si="23"/>
        <v>#REF!</v>
      </c>
      <c r="Z125" s="97" t="e">
        <f t="shared" si="24"/>
        <v>#REF!</v>
      </c>
      <c r="AA125" s="97" t="e">
        <f t="shared" si="25"/>
        <v>#REF!</v>
      </c>
      <c r="AC125" s="98" t="e">
        <f t="shared" si="26"/>
        <v>#REF!</v>
      </c>
      <c r="AD125" s="98" t="e">
        <f t="shared" si="27"/>
        <v>#REF!</v>
      </c>
      <c r="AE125" s="97" t="e">
        <f t="shared" si="28"/>
        <v>#REF!</v>
      </c>
      <c r="AF125" s="97" t="e">
        <f t="shared" si="29"/>
        <v>#REF!</v>
      </c>
      <c r="AH125" s="98" t="e">
        <f t="shared" si="30"/>
        <v>#REF!</v>
      </c>
      <c r="AI125" s="98" t="e">
        <f t="shared" si="31"/>
        <v>#REF!</v>
      </c>
      <c r="AJ125" s="97" t="e">
        <f t="shared" si="32"/>
        <v>#REF!</v>
      </c>
      <c r="AK125" s="97" t="e">
        <f t="shared" si="33"/>
        <v>#REF!</v>
      </c>
    </row>
    <row r="126" spans="1:898 1343:1961 2134:3033 3315:3315" ht="15" customHeight="1">
      <c r="A126" s="108" t="s">
        <v>185</v>
      </c>
      <c r="B126" s="107" t="s">
        <v>210</v>
      </c>
      <c r="C126" s="103">
        <v>1.33</v>
      </c>
      <c r="D126" s="102">
        <v>11.776999999999999</v>
      </c>
      <c r="E126" s="101">
        <v>0.02</v>
      </c>
      <c r="F126" s="101">
        <v>-0.02</v>
      </c>
      <c r="G126" s="100">
        <f t="shared" si="0"/>
        <v>11.796999999999999</v>
      </c>
      <c r="H126" s="99">
        <f t="shared" si="1"/>
        <v>11.757</v>
      </c>
      <c r="I126" s="106"/>
      <c r="J126" s="2"/>
      <c r="K126" s="2"/>
      <c r="L126" s="2"/>
      <c r="M126" s="2"/>
      <c r="N126" s="2"/>
      <c r="O126" s="2"/>
      <c r="P126" s="2"/>
      <c r="Q126" s="2"/>
      <c r="S126" s="98">
        <f t="shared" si="18"/>
        <v>0</v>
      </c>
      <c r="T126" s="98">
        <f t="shared" si="19"/>
        <v>0</v>
      </c>
      <c r="U126" s="97">
        <f t="shared" si="20"/>
        <v>11.776999999999999</v>
      </c>
      <c r="V126" s="97">
        <f t="shared" si="21"/>
        <v>11.776999999999999</v>
      </c>
      <c r="X126" s="98" t="e">
        <f t="shared" si="22"/>
        <v>#REF!</v>
      </c>
      <c r="Y126" s="98" t="e">
        <f t="shared" si="23"/>
        <v>#REF!</v>
      </c>
      <c r="Z126" s="97" t="e">
        <f t="shared" si="24"/>
        <v>#REF!</v>
      </c>
      <c r="AA126" s="97" t="e">
        <f t="shared" si="25"/>
        <v>#REF!</v>
      </c>
      <c r="AC126" s="98" t="e">
        <f t="shared" si="26"/>
        <v>#REF!</v>
      </c>
      <c r="AD126" s="98" t="e">
        <f t="shared" si="27"/>
        <v>#REF!</v>
      </c>
      <c r="AE126" s="97" t="e">
        <f t="shared" si="28"/>
        <v>#REF!</v>
      </c>
      <c r="AF126" s="97" t="e">
        <f t="shared" si="29"/>
        <v>#REF!</v>
      </c>
      <c r="AH126" s="98" t="e">
        <f t="shared" si="30"/>
        <v>#REF!</v>
      </c>
      <c r="AI126" s="98" t="e">
        <f t="shared" si="31"/>
        <v>#REF!</v>
      </c>
      <c r="AJ126" s="97" t="e">
        <f t="shared" si="32"/>
        <v>#REF!</v>
      </c>
      <c r="AK126" s="97" t="e">
        <f t="shared" si="33"/>
        <v>#REF!</v>
      </c>
    </row>
    <row r="127" spans="1:898 1343:1961 2134:3033 3315:3315" ht="15" customHeight="1">
      <c r="A127" s="108" t="s">
        <v>257</v>
      </c>
      <c r="B127" s="107" t="s">
        <v>258</v>
      </c>
      <c r="C127" s="103"/>
      <c r="D127" s="102"/>
      <c r="E127" s="101">
        <v>0.03</v>
      </c>
      <c r="F127" s="101"/>
      <c r="G127" s="100">
        <f t="shared" si="0"/>
        <v>0.03</v>
      </c>
      <c r="H127" s="99" t="str">
        <f t="shared" si="1"/>
        <v/>
      </c>
      <c r="I127" s="106"/>
      <c r="J127" s="2"/>
      <c r="K127" s="2"/>
      <c r="L127" s="2"/>
      <c r="M127" s="2"/>
      <c r="N127" s="2"/>
      <c r="O127" s="2"/>
      <c r="P127" s="2"/>
      <c r="Q127" s="2"/>
      <c r="S127" s="98">
        <f t="shared" si="18"/>
        <v>0.03</v>
      </c>
      <c r="T127" s="98">
        <f t="shared" si="19"/>
        <v>0</v>
      </c>
      <c r="U127" s="97">
        <f t="shared" si="20"/>
        <v>0.03</v>
      </c>
      <c r="V127" s="97">
        <f t="shared" si="21"/>
        <v>0</v>
      </c>
      <c r="X127" s="98">
        <f t="shared" si="22"/>
        <v>0.03</v>
      </c>
      <c r="Y127" s="98">
        <f t="shared" si="23"/>
        <v>0</v>
      </c>
      <c r="Z127" s="97">
        <f t="shared" si="24"/>
        <v>0.03</v>
      </c>
      <c r="AA127" s="97">
        <f t="shared" si="25"/>
        <v>0</v>
      </c>
      <c r="AC127" s="98">
        <f t="shared" si="26"/>
        <v>0.03</v>
      </c>
      <c r="AD127" s="98">
        <f t="shared" si="27"/>
        <v>0</v>
      </c>
      <c r="AE127" s="97">
        <f t="shared" si="28"/>
        <v>0.03</v>
      </c>
      <c r="AF127" s="97">
        <f t="shared" si="29"/>
        <v>0</v>
      </c>
      <c r="AH127" s="98">
        <f t="shared" si="30"/>
        <v>0.03</v>
      </c>
      <c r="AI127" s="98">
        <f t="shared" si="31"/>
        <v>0</v>
      </c>
      <c r="AJ127" s="97">
        <f t="shared" si="32"/>
        <v>0.03</v>
      </c>
      <c r="AK127" s="97">
        <f t="shared" si="33"/>
        <v>0</v>
      </c>
    </row>
    <row r="128" spans="1:898 1343:1961 2134:3033 3315:3315" ht="15" customHeight="1">
      <c r="A128" s="108" t="s">
        <v>257</v>
      </c>
      <c r="B128" s="107" t="s">
        <v>259</v>
      </c>
      <c r="C128" s="103"/>
      <c r="D128" s="102"/>
      <c r="E128" s="101">
        <v>0.02</v>
      </c>
      <c r="F128" s="101"/>
      <c r="G128" s="100">
        <f t="shared" ref="G128:G191" si="34">IF(AND(D128="",E128=""),"",IF(D128="",E128,D128+E128))</f>
        <v>0.02</v>
      </c>
      <c r="H128" s="99" t="str">
        <f t="shared" ref="H128:H191" si="35">IF(AND(D128="",F128=""),"",IF(D128="",F128,D128+F128))</f>
        <v/>
      </c>
      <c r="I128" s="106"/>
      <c r="J128" s="2"/>
      <c r="K128" s="2"/>
      <c r="L128" s="2"/>
      <c r="M128" s="2"/>
      <c r="N128" s="2"/>
      <c r="O128" s="2"/>
      <c r="P128" s="2"/>
      <c r="Q128" s="2"/>
      <c r="S128" s="98">
        <f t="shared" si="18"/>
        <v>0.02</v>
      </c>
      <c r="T128" s="98">
        <f t="shared" si="19"/>
        <v>0</v>
      </c>
      <c r="U128" s="97">
        <f t="shared" si="20"/>
        <v>0.02</v>
      </c>
      <c r="V128" s="97">
        <f t="shared" si="21"/>
        <v>0</v>
      </c>
      <c r="X128" s="98">
        <f t="shared" si="22"/>
        <v>0.02</v>
      </c>
      <c r="Y128" s="98">
        <f t="shared" si="23"/>
        <v>0</v>
      </c>
      <c r="Z128" s="97">
        <f t="shared" si="24"/>
        <v>0.02</v>
      </c>
      <c r="AA128" s="97">
        <f t="shared" si="25"/>
        <v>0</v>
      </c>
      <c r="AC128" s="98">
        <f t="shared" si="26"/>
        <v>0.02</v>
      </c>
      <c r="AD128" s="98">
        <f t="shared" si="27"/>
        <v>0</v>
      </c>
      <c r="AE128" s="97">
        <f t="shared" si="28"/>
        <v>0.02</v>
      </c>
      <c r="AF128" s="97">
        <f t="shared" si="29"/>
        <v>0</v>
      </c>
      <c r="AH128" s="98">
        <f t="shared" si="30"/>
        <v>0.02</v>
      </c>
      <c r="AI128" s="98">
        <f t="shared" si="31"/>
        <v>0</v>
      </c>
      <c r="AJ128" s="97">
        <f t="shared" si="32"/>
        <v>0.02</v>
      </c>
      <c r="AK128" s="97">
        <f t="shared" si="33"/>
        <v>0</v>
      </c>
    </row>
    <row r="129" spans="1:995 1114:2000 2058:3015 3118:3398" ht="15" customHeight="1">
      <c r="A129" s="108"/>
      <c r="B129" s="107"/>
      <c r="C129" s="103"/>
      <c r="D129" s="102"/>
      <c r="E129" s="101"/>
      <c r="F129" s="101"/>
      <c r="G129" s="100" t="str">
        <f t="shared" si="34"/>
        <v/>
      </c>
      <c r="H129" s="99" t="str">
        <f t="shared" si="35"/>
        <v/>
      </c>
      <c r="I129" s="106"/>
      <c r="J129" s="2"/>
      <c r="K129" s="2"/>
      <c r="L129" s="2"/>
      <c r="M129" s="2"/>
      <c r="N129" s="2"/>
      <c r="O129" s="2"/>
      <c r="P129" s="2"/>
      <c r="Q129" s="2"/>
      <c r="S129" s="98">
        <f t="shared" si="18"/>
        <v>0</v>
      </c>
      <c r="T129" s="98">
        <f t="shared" si="19"/>
        <v>0</v>
      </c>
      <c r="U129" s="97">
        <f t="shared" si="20"/>
        <v>0</v>
      </c>
      <c r="V129" s="97">
        <f t="shared" si="21"/>
        <v>0</v>
      </c>
      <c r="X129" s="98" t="e">
        <f t="shared" si="22"/>
        <v>#REF!</v>
      </c>
      <c r="Y129" s="98" t="e">
        <f t="shared" si="23"/>
        <v>#REF!</v>
      </c>
      <c r="Z129" s="97" t="e">
        <f t="shared" si="24"/>
        <v>#REF!</v>
      </c>
      <c r="AA129" s="97" t="e">
        <f t="shared" si="25"/>
        <v>#REF!</v>
      </c>
      <c r="AC129" s="98" t="e">
        <f t="shared" si="26"/>
        <v>#REF!</v>
      </c>
      <c r="AD129" s="98" t="e">
        <f t="shared" si="27"/>
        <v>#REF!</v>
      </c>
      <c r="AE129" s="97" t="e">
        <f t="shared" si="28"/>
        <v>#REF!</v>
      </c>
      <c r="AF129" s="97" t="e">
        <f t="shared" si="29"/>
        <v>#REF!</v>
      </c>
      <c r="AH129" s="98" t="e">
        <f t="shared" si="30"/>
        <v>#REF!</v>
      </c>
      <c r="AI129" s="98" t="e">
        <f t="shared" si="31"/>
        <v>#REF!</v>
      </c>
      <c r="AJ129" s="97" t="e">
        <f t="shared" si="32"/>
        <v>#REF!</v>
      </c>
      <c r="AK129" s="97" t="e">
        <f t="shared" si="33"/>
        <v>#REF!</v>
      </c>
    </row>
    <row r="130" spans="1:995 1114:2000 2058:3015 3118:3398" ht="15" customHeight="1">
      <c r="A130" s="108"/>
      <c r="B130" s="107"/>
      <c r="C130" s="103"/>
      <c r="D130" s="102"/>
      <c r="E130" s="101"/>
      <c r="F130" s="101"/>
      <c r="G130" s="100" t="str">
        <f t="shared" si="34"/>
        <v/>
      </c>
      <c r="H130" s="99" t="str">
        <f t="shared" si="35"/>
        <v/>
      </c>
      <c r="I130" s="106"/>
      <c r="J130" s="2"/>
      <c r="K130" s="2"/>
      <c r="L130" s="2"/>
      <c r="M130" s="2"/>
      <c r="N130" s="2"/>
      <c r="O130" s="2"/>
      <c r="P130" s="2"/>
      <c r="Q130" s="2"/>
      <c r="S130" s="98">
        <f t="shared" si="18"/>
        <v>0</v>
      </c>
      <c r="T130" s="98">
        <f t="shared" si="19"/>
        <v>0</v>
      </c>
      <c r="U130" s="97">
        <f t="shared" si="20"/>
        <v>0</v>
      </c>
      <c r="V130" s="97">
        <f t="shared" si="21"/>
        <v>0</v>
      </c>
      <c r="X130" s="98" t="e">
        <f t="shared" si="22"/>
        <v>#REF!</v>
      </c>
      <c r="Y130" s="98" t="e">
        <f t="shared" si="23"/>
        <v>#REF!</v>
      </c>
      <c r="Z130" s="97" t="e">
        <f t="shared" si="24"/>
        <v>#REF!</v>
      </c>
      <c r="AA130" s="97" t="e">
        <f t="shared" si="25"/>
        <v>#REF!</v>
      </c>
      <c r="AC130" s="98" t="e">
        <f t="shared" si="26"/>
        <v>#REF!</v>
      </c>
      <c r="AD130" s="98" t="e">
        <f t="shared" si="27"/>
        <v>#REF!</v>
      </c>
      <c r="AE130" s="97" t="e">
        <f t="shared" si="28"/>
        <v>#REF!</v>
      </c>
      <c r="AF130" s="97" t="e">
        <f t="shared" si="29"/>
        <v>#REF!</v>
      </c>
      <c r="AH130" s="98" t="e">
        <f t="shared" si="30"/>
        <v>#REF!</v>
      </c>
      <c r="AI130" s="98" t="e">
        <f t="shared" si="31"/>
        <v>#REF!</v>
      </c>
      <c r="AJ130" s="97" t="e">
        <f t="shared" si="32"/>
        <v>#REF!</v>
      </c>
      <c r="AK130" s="97" t="e">
        <f t="shared" si="33"/>
        <v>#REF!</v>
      </c>
    </row>
    <row r="131" spans="1:995 1114:2000 2058:3015 3118:3398" ht="15" customHeight="1">
      <c r="A131" s="108"/>
      <c r="B131" s="107"/>
      <c r="C131" s="103"/>
      <c r="D131" s="102"/>
      <c r="E131" s="101"/>
      <c r="F131" s="101"/>
      <c r="G131" s="100" t="str">
        <f t="shared" si="34"/>
        <v/>
      </c>
      <c r="H131" s="99" t="str">
        <f t="shared" si="35"/>
        <v/>
      </c>
      <c r="I131" s="71"/>
      <c r="J131" s="2"/>
      <c r="K131" s="2"/>
      <c r="L131" s="2"/>
      <c r="M131" s="2"/>
      <c r="N131" s="2"/>
      <c r="O131" s="2"/>
      <c r="P131" s="2"/>
      <c r="Q131" s="2"/>
      <c r="S131" s="98">
        <f t="shared" si="18"/>
        <v>0</v>
      </c>
      <c r="T131" s="98">
        <f t="shared" si="19"/>
        <v>0</v>
      </c>
      <c r="U131" s="97">
        <f t="shared" si="20"/>
        <v>0</v>
      </c>
      <c r="V131" s="97">
        <f t="shared" si="21"/>
        <v>0</v>
      </c>
      <c r="X131" s="98" t="e">
        <f t="shared" si="22"/>
        <v>#REF!</v>
      </c>
      <c r="Y131" s="98" t="e">
        <f t="shared" si="23"/>
        <v>#REF!</v>
      </c>
      <c r="Z131" s="97" t="e">
        <f t="shared" si="24"/>
        <v>#REF!</v>
      </c>
      <c r="AA131" s="97" t="e">
        <f t="shared" si="25"/>
        <v>#REF!</v>
      </c>
      <c r="AC131" s="98" t="e">
        <f t="shared" si="26"/>
        <v>#REF!</v>
      </c>
      <c r="AD131" s="98" t="e">
        <f t="shared" si="27"/>
        <v>#REF!</v>
      </c>
      <c r="AE131" s="97" t="e">
        <f t="shared" si="28"/>
        <v>#REF!</v>
      </c>
      <c r="AF131" s="97" t="e">
        <f t="shared" si="29"/>
        <v>#REF!</v>
      </c>
      <c r="AH131" s="98" t="e">
        <f t="shared" si="30"/>
        <v>#REF!</v>
      </c>
      <c r="AI131" s="98" t="e">
        <f t="shared" si="31"/>
        <v>#REF!</v>
      </c>
      <c r="AJ131" s="97" t="e">
        <f t="shared" si="32"/>
        <v>#REF!</v>
      </c>
      <c r="AK131" s="97" t="e">
        <f t="shared" si="33"/>
        <v>#REF!</v>
      </c>
    </row>
    <row r="132" spans="1:995 1114:2000 2058:3015 3118:3398" ht="15" customHeight="1">
      <c r="A132" s="108"/>
      <c r="B132" s="107"/>
      <c r="C132" s="103"/>
      <c r="D132" s="102"/>
      <c r="E132" s="101"/>
      <c r="F132" s="101"/>
      <c r="G132" s="100" t="str">
        <f t="shared" si="34"/>
        <v/>
      </c>
      <c r="H132" s="99" t="str">
        <f t="shared" si="35"/>
        <v/>
      </c>
      <c r="I132" s="71"/>
      <c r="J132" s="2"/>
      <c r="K132" s="2"/>
      <c r="L132" s="2"/>
      <c r="M132" s="2"/>
      <c r="N132" s="2"/>
      <c r="O132" s="2"/>
      <c r="P132" s="2"/>
      <c r="Q132" s="2"/>
      <c r="S132" s="98">
        <f t="shared" si="18"/>
        <v>0</v>
      </c>
      <c r="T132" s="98">
        <f t="shared" si="19"/>
        <v>0</v>
      </c>
      <c r="U132" s="97">
        <f t="shared" si="20"/>
        <v>0</v>
      </c>
      <c r="V132" s="97">
        <f t="shared" si="21"/>
        <v>0</v>
      </c>
      <c r="X132" s="98" t="e">
        <f t="shared" si="22"/>
        <v>#REF!</v>
      </c>
      <c r="Y132" s="98" t="e">
        <f t="shared" si="23"/>
        <v>#REF!</v>
      </c>
      <c r="Z132" s="97" t="e">
        <f t="shared" si="24"/>
        <v>#REF!</v>
      </c>
      <c r="AA132" s="97" t="e">
        <f t="shared" si="25"/>
        <v>#REF!</v>
      </c>
      <c r="AC132" s="98" t="e">
        <f t="shared" si="26"/>
        <v>#REF!</v>
      </c>
      <c r="AD132" s="98" t="e">
        <f t="shared" si="27"/>
        <v>#REF!</v>
      </c>
      <c r="AE132" s="97" t="e">
        <f t="shared" si="28"/>
        <v>#REF!</v>
      </c>
      <c r="AF132" s="97" t="e">
        <f t="shared" si="29"/>
        <v>#REF!</v>
      </c>
      <c r="AH132" s="98" t="e">
        <f t="shared" si="30"/>
        <v>#REF!</v>
      </c>
      <c r="AI132" s="98" t="e">
        <f t="shared" si="31"/>
        <v>#REF!</v>
      </c>
      <c r="AJ132" s="97" t="e">
        <f t="shared" si="32"/>
        <v>#REF!</v>
      </c>
      <c r="AK132" s="97" t="e">
        <f t="shared" si="33"/>
        <v>#REF!</v>
      </c>
    </row>
    <row r="133" spans="1:995 1114:2000 2058:3015 3118:3398" ht="15" customHeight="1">
      <c r="A133" s="108"/>
      <c r="B133" s="107"/>
      <c r="C133" s="103"/>
      <c r="D133" s="102"/>
      <c r="E133" s="101"/>
      <c r="F133" s="101"/>
      <c r="G133" s="100" t="str">
        <f t="shared" si="34"/>
        <v/>
      </c>
      <c r="H133" s="99" t="str">
        <f t="shared" si="35"/>
        <v/>
      </c>
      <c r="I133" s="71"/>
      <c r="J133" s="2"/>
      <c r="K133" s="2"/>
      <c r="L133" s="2"/>
      <c r="M133" s="2"/>
      <c r="N133" s="2"/>
      <c r="O133" s="2"/>
      <c r="P133" s="2"/>
      <c r="Q133" s="2"/>
      <c r="S133" s="98">
        <f t="shared" si="18"/>
        <v>0</v>
      </c>
      <c r="T133" s="98">
        <f t="shared" si="19"/>
        <v>0</v>
      </c>
      <c r="U133" s="97">
        <f t="shared" si="20"/>
        <v>0</v>
      </c>
      <c r="V133" s="97">
        <f t="shared" si="21"/>
        <v>0</v>
      </c>
      <c r="X133" s="98" t="e">
        <f t="shared" si="22"/>
        <v>#REF!</v>
      </c>
      <c r="Y133" s="98" t="e">
        <f t="shared" si="23"/>
        <v>#REF!</v>
      </c>
      <c r="Z133" s="97" t="e">
        <f t="shared" si="24"/>
        <v>#REF!</v>
      </c>
      <c r="AA133" s="97" t="e">
        <f t="shared" si="25"/>
        <v>#REF!</v>
      </c>
      <c r="AC133" s="98" t="e">
        <f t="shared" si="26"/>
        <v>#REF!</v>
      </c>
      <c r="AD133" s="98" t="e">
        <f t="shared" si="27"/>
        <v>#REF!</v>
      </c>
      <c r="AE133" s="97" t="e">
        <f t="shared" si="28"/>
        <v>#REF!</v>
      </c>
      <c r="AF133" s="97" t="e">
        <f t="shared" si="29"/>
        <v>#REF!</v>
      </c>
      <c r="AH133" s="98" t="e">
        <f t="shared" si="30"/>
        <v>#REF!</v>
      </c>
      <c r="AI133" s="98" t="e">
        <f t="shared" si="31"/>
        <v>#REF!</v>
      </c>
      <c r="AJ133" s="97" t="e">
        <f t="shared" si="32"/>
        <v>#REF!</v>
      </c>
      <c r="AK133" s="97" t="e">
        <f t="shared" si="33"/>
        <v>#REF!</v>
      </c>
    </row>
    <row r="134" spans="1:995 1114:2000 2058:3015 3118:3398" ht="15" customHeight="1">
      <c r="A134" s="108"/>
      <c r="B134" s="107"/>
      <c r="C134" s="103"/>
      <c r="D134" s="102"/>
      <c r="E134" s="101"/>
      <c r="F134" s="101"/>
      <c r="G134" s="100" t="str">
        <f t="shared" si="34"/>
        <v/>
      </c>
      <c r="H134" s="99" t="str">
        <f t="shared" si="35"/>
        <v/>
      </c>
      <c r="I134" s="71"/>
      <c r="J134" s="2"/>
      <c r="K134" s="2"/>
      <c r="L134" s="2"/>
      <c r="M134" s="2"/>
      <c r="N134" s="2"/>
      <c r="O134" s="2"/>
      <c r="P134" s="2"/>
      <c r="Q134" s="2"/>
      <c r="S134" s="98">
        <f t="shared" si="18"/>
        <v>0</v>
      </c>
      <c r="T134" s="98">
        <f t="shared" si="19"/>
        <v>0</v>
      </c>
      <c r="U134" s="97">
        <f t="shared" si="20"/>
        <v>0</v>
      </c>
      <c r="V134" s="97">
        <f t="shared" si="21"/>
        <v>0</v>
      </c>
      <c r="X134" s="98" t="e">
        <f t="shared" si="22"/>
        <v>#REF!</v>
      </c>
      <c r="Y134" s="98" t="e">
        <f t="shared" si="23"/>
        <v>#REF!</v>
      </c>
      <c r="Z134" s="97" t="e">
        <f t="shared" si="24"/>
        <v>#REF!</v>
      </c>
      <c r="AA134" s="97" t="e">
        <f t="shared" si="25"/>
        <v>#REF!</v>
      </c>
      <c r="AC134" s="98" t="e">
        <f t="shared" si="26"/>
        <v>#REF!</v>
      </c>
      <c r="AD134" s="98" t="e">
        <f t="shared" si="27"/>
        <v>#REF!</v>
      </c>
      <c r="AE134" s="97" t="e">
        <f t="shared" si="28"/>
        <v>#REF!</v>
      </c>
      <c r="AF134" s="97" t="e">
        <f t="shared" si="29"/>
        <v>#REF!</v>
      </c>
      <c r="AH134" s="98" t="e">
        <f t="shared" si="30"/>
        <v>#REF!</v>
      </c>
      <c r="AI134" s="98" t="e">
        <f t="shared" si="31"/>
        <v>#REF!</v>
      </c>
      <c r="AJ134" s="97" t="e">
        <f t="shared" si="32"/>
        <v>#REF!</v>
      </c>
      <c r="AK134" s="97" t="e">
        <f t="shared" si="33"/>
        <v>#REF!</v>
      </c>
    </row>
    <row r="135" spans="1:995 1114:2000 2058:3015 3118:3398" ht="15" customHeight="1">
      <c r="A135" s="108"/>
      <c r="B135" s="107"/>
      <c r="C135" s="103"/>
      <c r="D135" s="102"/>
      <c r="E135" s="101"/>
      <c r="F135" s="101"/>
      <c r="G135" s="100" t="str">
        <f t="shared" si="34"/>
        <v/>
      </c>
      <c r="H135" s="99" t="str">
        <f t="shared" si="35"/>
        <v/>
      </c>
      <c r="I135" s="106"/>
      <c r="J135" s="2"/>
      <c r="K135" s="2"/>
      <c r="L135" s="2"/>
      <c r="M135" s="2"/>
      <c r="N135" s="2"/>
      <c r="O135" s="2"/>
      <c r="P135" s="2"/>
      <c r="Q135" s="2"/>
      <c r="S135" s="98">
        <f t="shared" si="18"/>
        <v>0</v>
      </c>
      <c r="T135" s="98">
        <f t="shared" si="19"/>
        <v>0</v>
      </c>
      <c r="U135" s="97">
        <f t="shared" si="20"/>
        <v>0</v>
      </c>
      <c r="V135" s="97">
        <f t="shared" si="21"/>
        <v>0</v>
      </c>
      <c r="X135" s="98" t="e">
        <f t="shared" si="22"/>
        <v>#REF!</v>
      </c>
      <c r="Y135" s="98" t="e">
        <f t="shared" si="23"/>
        <v>#REF!</v>
      </c>
      <c r="Z135" s="97" t="e">
        <f t="shared" si="24"/>
        <v>#REF!</v>
      </c>
      <c r="AA135" s="97" t="e">
        <f t="shared" si="25"/>
        <v>#REF!</v>
      </c>
      <c r="AC135" s="98" t="e">
        <f t="shared" si="26"/>
        <v>#REF!</v>
      </c>
      <c r="AD135" s="98" t="e">
        <f t="shared" si="27"/>
        <v>#REF!</v>
      </c>
      <c r="AE135" s="97" t="e">
        <f t="shared" si="28"/>
        <v>#REF!</v>
      </c>
      <c r="AF135" s="97" t="e">
        <f t="shared" si="29"/>
        <v>#REF!</v>
      </c>
      <c r="AH135" s="98" t="e">
        <f t="shared" si="30"/>
        <v>#REF!</v>
      </c>
      <c r="AI135" s="98" t="e">
        <f t="shared" si="31"/>
        <v>#REF!</v>
      </c>
      <c r="AJ135" s="97" t="e">
        <f t="shared" si="32"/>
        <v>#REF!</v>
      </c>
      <c r="AK135" s="97" t="e">
        <f t="shared" si="33"/>
        <v>#REF!</v>
      </c>
    </row>
    <row r="136" spans="1:995 1114:2000 2058:3015 3118:3398" ht="15" customHeight="1">
      <c r="A136" s="108"/>
      <c r="B136" s="109"/>
      <c r="C136" s="103"/>
      <c r="D136" s="102"/>
      <c r="E136" s="101"/>
      <c r="F136" s="101"/>
      <c r="G136" s="100" t="str">
        <f t="shared" si="34"/>
        <v/>
      </c>
      <c r="H136" s="99" t="str">
        <f t="shared" si="35"/>
        <v/>
      </c>
      <c r="I136" s="106"/>
      <c r="J136" s="2"/>
      <c r="K136" s="2"/>
      <c r="L136" s="2"/>
      <c r="M136" s="2"/>
      <c r="N136" s="2"/>
      <c r="O136" s="2"/>
      <c r="P136" s="2"/>
      <c r="Q136" s="2"/>
      <c r="S136" s="98">
        <f t="shared" si="18"/>
        <v>0</v>
      </c>
      <c r="T136" s="98">
        <f t="shared" si="19"/>
        <v>0</v>
      </c>
      <c r="U136" s="97">
        <f t="shared" si="20"/>
        <v>0</v>
      </c>
      <c r="V136" s="97">
        <f t="shared" si="21"/>
        <v>0</v>
      </c>
      <c r="X136" s="98" t="e">
        <f t="shared" si="22"/>
        <v>#REF!</v>
      </c>
      <c r="Y136" s="98" t="e">
        <f t="shared" si="23"/>
        <v>#REF!</v>
      </c>
      <c r="Z136" s="97" t="e">
        <f t="shared" si="24"/>
        <v>#REF!</v>
      </c>
      <c r="AA136" s="97" t="e">
        <f t="shared" si="25"/>
        <v>#REF!</v>
      </c>
      <c r="AC136" s="98" t="e">
        <f t="shared" si="26"/>
        <v>#REF!</v>
      </c>
      <c r="AD136" s="98" t="e">
        <f t="shared" si="27"/>
        <v>#REF!</v>
      </c>
      <c r="AE136" s="97" t="e">
        <f t="shared" si="28"/>
        <v>#REF!</v>
      </c>
      <c r="AF136" s="97" t="e">
        <f t="shared" si="29"/>
        <v>#REF!</v>
      </c>
      <c r="AH136" s="98" t="e">
        <f t="shared" si="30"/>
        <v>#REF!</v>
      </c>
      <c r="AI136" s="98" t="e">
        <f t="shared" si="31"/>
        <v>#REF!</v>
      </c>
      <c r="AJ136" s="97" t="e">
        <f t="shared" si="32"/>
        <v>#REF!</v>
      </c>
      <c r="AK136" s="97" t="e">
        <f t="shared" si="33"/>
        <v>#REF!</v>
      </c>
      <c r="EI136" s="111"/>
      <c r="PW136" s="111"/>
      <c r="QQ136" s="111"/>
      <c r="TQ136" s="111"/>
      <c r="TX136" s="111"/>
      <c r="UG136" s="111"/>
      <c r="UP136" s="111"/>
      <c r="XG136" s="111"/>
      <c r="XU136" s="111"/>
      <c r="YW136" s="111"/>
      <c r="ZR136" s="111"/>
      <c r="ZX136" s="111"/>
      <c r="ACV136" s="111"/>
      <c r="ADF136" s="111"/>
      <c r="ADR136" s="111"/>
      <c r="AHN136" s="111"/>
      <c r="AQQ136" s="111"/>
      <c r="ARE136" s="111"/>
      <c r="AZL136" s="111"/>
      <c r="BER136" s="111"/>
      <c r="BHS136" s="111"/>
      <c r="BMD136" s="111"/>
      <c r="BUR136" s="111"/>
      <c r="BUU136" s="111"/>
      <c r="BVX136" s="111"/>
      <c r="CAD136" s="111"/>
      <c r="CAO136" s="111"/>
      <c r="CWU136" s="111"/>
      <c r="CZG136" s="111"/>
      <c r="DET136" s="111"/>
      <c r="DIG136" s="111"/>
      <c r="DRF136" s="111"/>
    </row>
    <row r="137" spans="1:995 1114:2000 2058:3015 3118:3398" ht="15" customHeight="1">
      <c r="A137" s="108"/>
      <c r="B137" s="109"/>
      <c r="C137" s="103"/>
      <c r="D137" s="102"/>
      <c r="E137" s="101"/>
      <c r="F137" s="101"/>
      <c r="G137" s="100" t="str">
        <f t="shared" si="34"/>
        <v/>
      </c>
      <c r="H137" s="99" t="str">
        <f t="shared" si="35"/>
        <v/>
      </c>
      <c r="I137" s="106"/>
      <c r="J137" s="2"/>
      <c r="K137" s="2"/>
      <c r="L137" s="2"/>
      <c r="M137" s="2"/>
      <c r="N137" s="2"/>
      <c r="O137" s="2"/>
      <c r="P137" s="2"/>
      <c r="Q137" s="2"/>
      <c r="S137" s="98">
        <f t="shared" si="18"/>
        <v>0</v>
      </c>
      <c r="T137" s="98">
        <f t="shared" si="19"/>
        <v>0</v>
      </c>
      <c r="U137" s="97">
        <f t="shared" si="20"/>
        <v>0</v>
      </c>
      <c r="V137" s="97">
        <f t="shared" si="21"/>
        <v>0</v>
      </c>
      <c r="X137" s="98" t="e">
        <f t="shared" si="22"/>
        <v>#REF!</v>
      </c>
      <c r="Y137" s="98" t="e">
        <f t="shared" si="23"/>
        <v>#REF!</v>
      </c>
      <c r="Z137" s="97" t="e">
        <f t="shared" si="24"/>
        <v>#REF!</v>
      </c>
      <c r="AA137" s="97" t="e">
        <f t="shared" si="25"/>
        <v>#REF!</v>
      </c>
      <c r="AC137" s="98" t="e">
        <f t="shared" si="26"/>
        <v>#REF!</v>
      </c>
      <c r="AD137" s="98" t="e">
        <f t="shared" si="27"/>
        <v>#REF!</v>
      </c>
      <c r="AE137" s="97" t="e">
        <f t="shared" si="28"/>
        <v>#REF!</v>
      </c>
      <c r="AF137" s="97" t="e">
        <f t="shared" si="29"/>
        <v>#REF!</v>
      </c>
      <c r="AH137" s="98" t="e">
        <f t="shared" si="30"/>
        <v>#REF!</v>
      </c>
      <c r="AI137" s="98" t="e">
        <f t="shared" si="31"/>
        <v>#REF!</v>
      </c>
      <c r="AJ137" s="97" t="e">
        <f t="shared" si="32"/>
        <v>#REF!</v>
      </c>
      <c r="AK137" s="97" t="e">
        <f t="shared" si="33"/>
        <v>#REF!</v>
      </c>
      <c r="CH137" s="111"/>
      <c r="HM137" s="111"/>
      <c r="HR137" s="111"/>
      <c r="NG137" s="111"/>
      <c r="QF137" s="111"/>
      <c r="SJ137" s="111"/>
      <c r="UX137" s="111"/>
      <c r="VV137" s="111"/>
      <c r="ALG137" s="111"/>
      <c r="APV137" s="111"/>
      <c r="AWA137" s="111"/>
      <c r="BCZ137" s="111"/>
      <c r="BFE137" s="111"/>
      <c r="BLU137" s="111"/>
      <c r="BMN137" s="111"/>
      <c r="BPT137" s="111"/>
      <c r="BWJ137" s="111"/>
      <c r="BXX137" s="111"/>
      <c r="CJH137" s="111"/>
      <c r="CKQ137" s="111"/>
      <c r="CRV137" s="111"/>
      <c r="CWM137" s="111"/>
      <c r="CYH137" s="111"/>
      <c r="DAI137" s="111"/>
      <c r="DDB137" s="111"/>
      <c r="DDR137" s="111"/>
      <c r="DEJ137" s="111"/>
      <c r="DGS137" s="111"/>
      <c r="DII137" s="111"/>
      <c r="DPM137" s="111"/>
      <c r="DRY137" s="111"/>
      <c r="DUS137" s="111"/>
      <c r="DXI137" s="111"/>
    </row>
    <row r="138" spans="1:995 1114:2000 2058:3015 3118:3398" ht="15" customHeight="1">
      <c r="A138" s="108"/>
      <c r="B138" s="109"/>
      <c r="C138" s="103"/>
      <c r="D138" s="102"/>
      <c r="E138" s="101"/>
      <c r="F138" s="101"/>
      <c r="G138" s="100" t="str">
        <f t="shared" si="34"/>
        <v/>
      </c>
      <c r="H138" s="99" t="str">
        <f t="shared" si="35"/>
        <v/>
      </c>
      <c r="I138" s="106"/>
      <c r="J138" s="2"/>
      <c r="K138" s="2"/>
      <c r="L138" s="2"/>
      <c r="M138" s="2"/>
      <c r="N138" s="2"/>
      <c r="O138" s="2"/>
      <c r="P138" s="2"/>
      <c r="Q138" s="2"/>
      <c r="S138" s="98">
        <f t="shared" si="18"/>
        <v>0</v>
      </c>
      <c r="T138" s="98">
        <f t="shared" si="19"/>
        <v>0</v>
      </c>
      <c r="U138" s="97">
        <f t="shared" si="20"/>
        <v>0</v>
      </c>
      <c r="V138" s="97">
        <f t="shared" si="21"/>
        <v>0</v>
      </c>
      <c r="X138" s="98" t="e">
        <f t="shared" si="22"/>
        <v>#REF!</v>
      </c>
      <c r="Y138" s="98" t="e">
        <f t="shared" si="23"/>
        <v>#REF!</v>
      </c>
      <c r="Z138" s="97" t="e">
        <f t="shared" si="24"/>
        <v>#REF!</v>
      </c>
      <c r="AA138" s="97" t="e">
        <f t="shared" si="25"/>
        <v>#REF!</v>
      </c>
      <c r="AC138" s="98" t="e">
        <f t="shared" si="26"/>
        <v>#REF!</v>
      </c>
      <c r="AD138" s="98" t="e">
        <f t="shared" si="27"/>
        <v>#REF!</v>
      </c>
      <c r="AE138" s="97" t="e">
        <f t="shared" si="28"/>
        <v>#REF!</v>
      </c>
      <c r="AF138" s="97" t="e">
        <f t="shared" si="29"/>
        <v>#REF!</v>
      </c>
      <c r="AH138" s="98" t="e">
        <f t="shared" si="30"/>
        <v>#REF!</v>
      </c>
      <c r="AI138" s="98" t="e">
        <f t="shared" si="31"/>
        <v>#REF!</v>
      </c>
      <c r="AJ138" s="97" t="e">
        <f t="shared" si="32"/>
        <v>#REF!</v>
      </c>
      <c r="AK138" s="97" t="e">
        <f t="shared" si="33"/>
        <v>#REF!</v>
      </c>
      <c r="AX138" s="111"/>
      <c r="LW138" s="111"/>
      <c r="SE138" s="111"/>
      <c r="SO138" s="111"/>
      <c r="SV138" s="111"/>
      <c r="VK138" s="111"/>
      <c r="WY138" s="111"/>
      <c r="ADQ138" s="111"/>
      <c r="AIP138" s="111"/>
      <c r="AKU138" s="111"/>
      <c r="ARN138" s="111"/>
      <c r="BCZ138" s="111"/>
      <c r="BID138" s="111"/>
      <c r="BJT138" s="111"/>
      <c r="BKL138" s="111"/>
      <c r="BPT138" s="111"/>
      <c r="BVZ138" s="111"/>
      <c r="CAG138" s="111"/>
      <c r="CKT138" s="111"/>
      <c r="CNT138" s="111"/>
      <c r="CTI138" s="111"/>
      <c r="CUZ138" s="111"/>
      <c r="CVE138" s="111"/>
      <c r="CWG138" s="111"/>
      <c r="DEW138" s="111"/>
      <c r="DHC138" s="111"/>
      <c r="DJU138" s="111"/>
      <c r="DKT138" s="111"/>
      <c r="DKY138" s="111"/>
      <c r="DOX138" s="111"/>
      <c r="DZR138" s="111"/>
    </row>
    <row r="139" spans="1:995 1114:2000 2058:3015 3118:3398" ht="15" customHeight="1">
      <c r="A139" s="108"/>
      <c r="B139" s="109"/>
      <c r="C139" s="103"/>
      <c r="D139" s="102"/>
      <c r="E139" s="101"/>
      <c r="F139" s="101"/>
      <c r="G139" s="100" t="str">
        <f t="shared" si="34"/>
        <v/>
      </c>
      <c r="H139" s="99" t="str">
        <f t="shared" si="35"/>
        <v/>
      </c>
      <c r="I139" s="106"/>
      <c r="J139" s="2"/>
      <c r="K139" s="2"/>
      <c r="L139" s="2"/>
      <c r="M139" s="2"/>
      <c r="N139" s="2"/>
      <c r="O139" s="2"/>
      <c r="P139" s="2"/>
      <c r="Q139" s="2"/>
      <c r="S139" s="98">
        <f t="shared" si="18"/>
        <v>0</v>
      </c>
      <c r="T139" s="98">
        <f t="shared" si="19"/>
        <v>0</v>
      </c>
      <c r="U139" s="97">
        <f t="shared" si="20"/>
        <v>0</v>
      </c>
      <c r="V139" s="97">
        <f t="shared" si="21"/>
        <v>0</v>
      </c>
      <c r="X139" s="98" t="e">
        <f t="shared" si="22"/>
        <v>#REF!</v>
      </c>
      <c r="Y139" s="98" t="e">
        <f t="shared" si="23"/>
        <v>#REF!</v>
      </c>
      <c r="Z139" s="97" t="e">
        <f t="shared" si="24"/>
        <v>#REF!</v>
      </c>
      <c r="AA139" s="97" t="e">
        <f t="shared" si="25"/>
        <v>#REF!</v>
      </c>
      <c r="AC139" s="98" t="e">
        <f t="shared" si="26"/>
        <v>#REF!</v>
      </c>
      <c r="AD139" s="98" t="e">
        <f t="shared" si="27"/>
        <v>#REF!</v>
      </c>
      <c r="AE139" s="97" t="e">
        <f t="shared" si="28"/>
        <v>#REF!</v>
      </c>
      <c r="AF139" s="97" t="e">
        <f t="shared" si="29"/>
        <v>#REF!</v>
      </c>
      <c r="AH139" s="98" t="e">
        <f t="shared" si="30"/>
        <v>#REF!</v>
      </c>
      <c r="AI139" s="98" t="e">
        <f t="shared" si="31"/>
        <v>#REF!</v>
      </c>
      <c r="AJ139" s="97" t="e">
        <f t="shared" si="32"/>
        <v>#REF!</v>
      </c>
      <c r="AK139" s="97" t="e">
        <f t="shared" si="33"/>
        <v>#REF!</v>
      </c>
    </row>
    <row r="140" spans="1:995 1114:2000 2058:3015 3118:3398" ht="15" customHeight="1">
      <c r="A140" s="108"/>
      <c r="B140" s="109"/>
      <c r="C140" s="103"/>
      <c r="D140" s="102"/>
      <c r="E140" s="101"/>
      <c r="F140" s="101"/>
      <c r="G140" s="100" t="str">
        <f t="shared" si="34"/>
        <v/>
      </c>
      <c r="H140" s="99" t="str">
        <f t="shared" si="35"/>
        <v/>
      </c>
      <c r="I140" s="106"/>
      <c r="J140" s="2"/>
      <c r="K140" s="2"/>
      <c r="L140" s="2"/>
      <c r="M140" s="2"/>
      <c r="N140" s="2"/>
      <c r="O140" s="2"/>
      <c r="P140" s="2"/>
      <c r="Q140" s="2"/>
      <c r="S140" s="98">
        <f t="shared" ref="S140:S203" si="36">IF($A140&lt;&gt;"(DC)", $E140*$R$7, $E140)</f>
        <v>0</v>
      </c>
      <c r="T140" s="98">
        <f t="shared" ref="T140:T203" si="37">IF($A140&lt;&gt;"(DC)", $F140*$R$7, $F140)</f>
        <v>0</v>
      </c>
      <c r="U140" s="97">
        <f t="shared" ref="U140:U203" si="38">IF(AND($D140="",S140=""),"",IF($D140="",S140,$D140+S140))</f>
        <v>0</v>
      </c>
      <c r="V140" s="97">
        <f t="shared" ref="V140:V203" si="39">IF(AND($D140="",T140=""),"",IF($D140="",T140,$D140+T140))</f>
        <v>0</v>
      </c>
      <c r="X140" s="98" t="e">
        <f t="shared" ref="X140:X203" si="40">IF($A140&lt;&gt;"(DC)", $E140*$W$7, $E140)</f>
        <v>#REF!</v>
      </c>
      <c r="Y140" s="98" t="e">
        <f t="shared" ref="Y140:Y203" si="41">IF($A140&lt;&gt;"(DC)", $F140*$W$7, $F140)</f>
        <v>#REF!</v>
      </c>
      <c r="Z140" s="97" t="e">
        <f t="shared" ref="Z140:Z203" si="42">IF(AND($D140="",X140=""),"",IF($D140="",X140,$D140+X140))</f>
        <v>#REF!</v>
      </c>
      <c r="AA140" s="97" t="e">
        <f t="shared" ref="AA140:AA203" si="43">IF(AND($D140="",Y140=""),"",IF($D140="",Y140,$D140+Y140))</f>
        <v>#REF!</v>
      </c>
      <c r="AC140" s="98" t="e">
        <f t="shared" ref="AC140:AC203" si="44">IF($A140&lt;&gt;"(DC)", $E140*$AB$7, $E140)</f>
        <v>#REF!</v>
      </c>
      <c r="AD140" s="98" t="e">
        <f t="shared" ref="AD140:AD203" si="45">IF($A140&lt;&gt;"(DC)", $F140*$AB$7, $F140)</f>
        <v>#REF!</v>
      </c>
      <c r="AE140" s="97" t="e">
        <f t="shared" ref="AE140:AE203" si="46">IF(AND($D140="",AC140=""),"",IF($D140="",AC140,$D140+AC140))</f>
        <v>#REF!</v>
      </c>
      <c r="AF140" s="97" t="e">
        <f t="shared" ref="AF140:AF203" si="47">IF(AND($D140="",AD140=""),"",IF($D140="",AD140,$D140+AD140))</f>
        <v>#REF!</v>
      </c>
      <c r="AH140" s="98" t="e">
        <f t="shared" ref="AH140:AH203" si="48">IF($A140&lt;&gt;"(DC)", $E140*$AG$7, $E140)</f>
        <v>#REF!</v>
      </c>
      <c r="AI140" s="98" t="e">
        <f t="shared" ref="AI140:AI203" si="49">IF($A140&lt;&gt;"(DC)", $F140*$AG$7, $F140)</f>
        <v>#REF!</v>
      </c>
      <c r="AJ140" s="97" t="e">
        <f t="shared" ref="AJ140:AJ203" si="50">IF(AND($D140="",AH140=""),"",IF($D140="",AH140,$D140+AH140))</f>
        <v>#REF!</v>
      </c>
      <c r="AK140" s="97" t="e">
        <f t="shared" ref="AK140:AK203" si="51">IF(AND($D140="",AI140=""),"",IF($D140="",AI140,$D140+AI140))</f>
        <v>#REF!</v>
      </c>
    </row>
    <row r="141" spans="1:995 1114:2000 2058:3015 3118:3398" ht="15" customHeight="1">
      <c r="A141" s="105"/>
      <c r="B141" s="104"/>
      <c r="C141" s="103"/>
      <c r="D141" s="102"/>
      <c r="E141" s="101"/>
      <c r="F141" s="101"/>
      <c r="G141" s="100" t="str">
        <f t="shared" si="34"/>
        <v/>
      </c>
      <c r="H141" s="99" t="str">
        <f t="shared" si="35"/>
        <v/>
      </c>
      <c r="I141" s="106"/>
      <c r="J141" s="2"/>
      <c r="K141" s="2"/>
      <c r="L141" s="2"/>
      <c r="M141" s="2"/>
      <c r="N141" s="2"/>
      <c r="O141" s="2"/>
      <c r="P141" s="2"/>
      <c r="Q141" s="2"/>
      <c r="S141" s="98">
        <f t="shared" si="36"/>
        <v>0</v>
      </c>
      <c r="T141" s="98">
        <f t="shared" si="37"/>
        <v>0</v>
      </c>
      <c r="U141" s="97">
        <f t="shared" si="38"/>
        <v>0</v>
      </c>
      <c r="V141" s="97">
        <f t="shared" si="39"/>
        <v>0</v>
      </c>
      <c r="X141" s="98" t="e">
        <f t="shared" si="40"/>
        <v>#REF!</v>
      </c>
      <c r="Y141" s="98" t="e">
        <f t="shared" si="41"/>
        <v>#REF!</v>
      </c>
      <c r="Z141" s="97" t="e">
        <f t="shared" si="42"/>
        <v>#REF!</v>
      </c>
      <c r="AA141" s="97" t="e">
        <f t="shared" si="43"/>
        <v>#REF!</v>
      </c>
      <c r="AC141" s="98" t="e">
        <f t="shared" si="44"/>
        <v>#REF!</v>
      </c>
      <c r="AD141" s="98" t="e">
        <f t="shared" si="45"/>
        <v>#REF!</v>
      </c>
      <c r="AE141" s="97" t="e">
        <f t="shared" si="46"/>
        <v>#REF!</v>
      </c>
      <c r="AF141" s="97" t="e">
        <f t="shared" si="47"/>
        <v>#REF!</v>
      </c>
      <c r="AH141" s="98" t="e">
        <f t="shared" si="48"/>
        <v>#REF!</v>
      </c>
      <c r="AI141" s="98" t="e">
        <f t="shared" si="49"/>
        <v>#REF!</v>
      </c>
      <c r="AJ141" s="97" t="e">
        <f t="shared" si="50"/>
        <v>#REF!</v>
      </c>
      <c r="AK141" s="97" t="e">
        <f t="shared" si="51"/>
        <v>#REF!</v>
      </c>
    </row>
    <row r="142" spans="1:995 1114:2000 2058:3015 3118:3398" ht="15" customHeight="1">
      <c r="A142" s="108"/>
      <c r="B142" s="107"/>
      <c r="C142" s="103"/>
      <c r="D142" s="102"/>
      <c r="E142" s="101"/>
      <c r="F142" s="101"/>
      <c r="G142" s="100" t="str">
        <f t="shared" si="34"/>
        <v/>
      </c>
      <c r="H142" s="99" t="str">
        <f t="shared" si="35"/>
        <v/>
      </c>
      <c r="I142" s="106"/>
      <c r="J142" s="2"/>
      <c r="K142" s="2"/>
      <c r="L142" s="2"/>
      <c r="M142" s="2"/>
      <c r="N142" s="2"/>
      <c r="O142" s="2"/>
      <c r="P142" s="2"/>
      <c r="Q142" s="2"/>
      <c r="S142" s="98">
        <f t="shared" si="36"/>
        <v>0</v>
      </c>
      <c r="T142" s="98">
        <f t="shared" si="37"/>
        <v>0</v>
      </c>
      <c r="U142" s="97">
        <f t="shared" si="38"/>
        <v>0</v>
      </c>
      <c r="V142" s="97">
        <f t="shared" si="39"/>
        <v>0</v>
      </c>
      <c r="X142" s="98" t="e">
        <f t="shared" si="40"/>
        <v>#REF!</v>
      </c>
      <c r="Y142" s="98" t="e">
        <f t="shared" si="41"/>
        <v>#REF!</v>
      </c>
      <c r="Z142" s="97" t="e">
        <f t="shared" si="42"/>
        <v>#REF!</v>
      </c>
      <c r="AA142" s="97" t="e">
        <f t="shared" si="43"/>
        <v>#REF!</v>
      </c>
      <c r="AC142" s="98" t="e">
        <f t="shared" si="44"/>
        <v>#REF!</v>
      </c>
      <c r="AD142" s="98" t="e">
        <f t="shared" si="45"/>
        <v>#REF!</v>
      </c>
      <c r="AE142" s="97" t="e">
        <f t="shared" si="46"/>
        <v>#REF!</v>
      </c>
      <c r="AF142" s="97" t="e">
        <f t="shared" si="47"/>
        <v>#REF!</v>
      </c>
      <c r="AH142" s="98" t="e">
        <f t="shared" si="48"/>
        <v>#REF!</v>
      </c>
      <c r="AI142" s="98" t="e">
        <f t="shared" si="49"/>
        <v>#REF!</v>
      </c>
      <c r="AJ142" s="97" t="e">
        <f t="shared" si="50"/>
        <v>#REF!</v>
      </c>
      <c r="AK142" s="97" t="e">
        <f t="shared" si="51"/>
        <v>#REF!</v>
      </c>
    </row>
    <row r="143" spans="1:995 1114:2000 2058:3015 3118:3398" ht="15" customHeight="1">
      <c r="A143" s="108"/>
      <c r="B143" s="107"/>
      <c r="C143" s="103"/>
      <c r="D143" s="102"/>
      <c r="E143" s="101"/>
      <c r="F143" s="101"/>
      <c r="G143" s="100" t="str">
        <f t="shared" si="34"/>
        <v/>
      </c>
      <c r="H143" s="99" t="str">
        <f t="shared" si="35"/>
        <v/>
      </c>
      <c r="I143" s="106"/>
      <c r="J143" s="2"/>
      <c r="K143" s="2"/>
      <c r="L143" s="2"/>
      <c r="M143" s="2"/>
      <c r="N143" s="2"/>
      <c r="O143" s="2"/>
      <c r="P143" s="2"/>
      <c r="Q143" s="2"/>
      <c r="S143" s="98">
        <f t="shared" si="36"/>
        <v>0</v>
      </c>
      <c r="T143" s="98">
        <f t="shared" si="37"/>
        <v>0</v>
      </c>
      <c r="U143" s="97">
        <f t="shared" si="38"/>
        <v>0</v>
      </c>
      <c r="V143" s="97">
        <f t="shared" si="39"/>
        <v>0</v>
      </c>
      <c r="X143" s="98" t="e">
        <f t="shared" si="40"/>
        <v>#REF!</v>
      </c>
      <c r="Y143" s="98" t="e">
        <f t="shared" si="41"/>
        <v>#REF!</v>
      </c>
      <c r="Z143" s="97" t="e">
        <f t="shared" si="42"/>
        <v>#REF!</v>
      </c>
      <c r="AA143" s="97" t="e">
        <f t="shared" si="43"/>
        <v>#REF!</v>
      </c>
      <c r="AC143" s="98" t="e">
        <f t="shared" si="44"/>
        <v>#REF!</v>
      </c>
      <c r="AD143" s="98" t="e">
        <f t="shared" si="45"/>
        <v>#REF!</v>
      </c>
      <c r="AE143" s="97" t="e">
        <f t="shared" si="46"/>
        <v>#REF!</v>
      </c>
      <c r="AF143" s="97" t="e">
        <f t="shared" si="47"/>
        <v>#REF!</v>
      </c>
      <c r="AH143" s="98" t="e">
        <f t="shared" si="48"/>
        <v>#REF!</v>
      </c>
      <c r="AI143" s="98" t="e">
        <f t="shared" si="49"/>
        <v>#REF!</v>
      </c>
      <c r="AJ143" s="97" t="e">
        <f t="shared" si="50"/>
        <v>#REF!</v>
      </c>
      <c r="AK143" s="97" t="e">
        <f t="shared" si="51"/>
        <v>#REF!</v>
      </c>
    </row>
    <row r="144" spans="1:995 1114:2000 2058:3015 3118:3398" ht="15" customHeight="1">
      <c r="A144" s="108"/>
      <c r="B144" s="107"/>
      <c r="C144" s="103"/>
      <c r="D144" s="102"/>
      <c r="E144" s="101"/>
      <c r="F144" s="101"/>
      <c r="G144" s="100" t="str">
        <f t="shared" si="34"/>
        <v/>
      </c>
      <c r="H144" s="99" t="str">
        <f t="shared" si="35"/>
        <v/>
      </c>
      <c r="I144" s="106"/>
      <c r="J144" s="2"/>
      <c r="K144" s="2"/>
      <c r="L144" s="2"/>
      <c r="M144" s="2"/>
      <c r="N144" s="2"/>
      <c r="O144" s="2"/>
      <c r="P144" s="2"/>
      <c r="Q144" s="2"/>
      <c r="S144" s="98">
        <f t="shared" si="36"/>
        <v>0</v>
      </c>
      <c r="T144" s="98">
        <f t="shared" si="37"/>
        <v>0</v>
      </c>
      <c r="U144" s="97">
        <f t="shared" si="38"/>
        <v>0</v>
      </c>
      <c r="V144" s="97">
        <f t="shared" si="39"/>
        <v>0</v>
      </c>
      <c r="X144" s="98" t="e">
        <f t="shared" si="40"/>
        <v>#REF!</v>
      </c>
      <c r="Y144" s="98" t="e">
        <f t="shared" si="41"/>
        <v>#REF!</v>
      </c>
      <c r="Z144" s="97" t="e">
        <f t="shared" si="42"/>
        <v>#REF!</v>
      </c>
      <c r="AA144" s="97" t="e">
        <f t="shared" si="43"/>
        <v>#REF!</v>
      </c>
      <c r="AC144" s="98" t="e">
        <f t="shared" si="44"/>
        <v>#REF!</v>
      </c>
      <c r="AD144" s="98" t="e">
        <f t="shared" si="45"/>
        <v>#REF!</v>
      </c>
      <c r="AE144" s="97" t="e">
        <f t="shared" si="46"/>
        <v>#REF!</v>
      </c>
      <c r="AF144" s="97" t="e">
        <f t="shared" si="47"/>
        <v>#REF!</v>
      </c>
      <c r="AH144" s="98" t="e">
        <f t="shared" si="48"/>
        <v>#REF!</v>
      </c>
      <c r="AI144" s="98" t="e">
        <f t="shared" si="49"/>
        <v>#REF!</v>
      </c>
      <c r="AJ144" s="97" t="e">
        <f t="shared" si="50"/>
        <v>#REF!</v>
      </c>
      <c r="AK144" s="97" t="e">
        <f t="shared" si="51"/>
        <v>#REF!</v>
      </c>
    </row>
    <row r="145" spans="1:37" ht="15" customHeight="1">
      <c r="A145" s="108"/>
      <c r="B145" s="107"/>
      <c r="C145" s="103"/>
      <c r="D145" s="102"/>
      <c r="E145" s="101"/>
      <c r="F145" s="101"/>
      <c r="G145" s="100" t="str">
        <f t="shared" si="34"/>
        <v/>
      </c>
      <c r="H145" s="99" t="str">
        <f t="shared" si="35"/>
        <v/>
      </c>
      <c r="I145" s="106"/>
      <c r="J145" s="2"/>
      <c r="K145" s="2"/>
      <c r="L145" s="2"/>
      <c r="M145" s="2"/>
      <c r="N145" s="2"/>
      <c r="O145" s="2"/>
      <c r="P145" s="2"/>
      <c r="Q145" s="2"/>
      <c r="S145" s="98">
        <f t="shared" si="36"/>
        <v>0</v>
      </c>
      <c r="T145" s="98">
        <f t="shared" si="37"/>
        <v>0</v>
      </c>
      <c r="U145" s="97">
        <f t="shared" si="38"/>
        <v>0</v>
      </c>
      <c r="V145" s="97">
        <f t="shared" si="39"/>
        <v>0</v>
      </c>
      <c r="X145" s="98" t="e">
        <f t="shared" si="40"/>
        <v>#REF!</v>
      </c>
      <c r="Y145" s="98" t="e">
        <f t="shared" si="41"/>
        <v>#REF!</v>
      </c>
      <c r="Z145" s="97" t="e">
        <f t="shared" si="42"/>
        <v>#REF!</v>
      </c>
      <c r="AA145" s="97" t="e">
        <f t="shared" si="43"/>
        <v>#REF!</v>
      </c>
      <c r="AC145" s="98" t="e">
        <f t="shared" si="44"/>
        <v>#REF!</v>
      </c>
      <c r="AD145" s="98" t="e">
        <f t="shared" si="45"/>
        <v>#REF!</v>
      </c>
      <c r="AE145" s="97" t="e">
        <f t="shared" si="46"/>
        <v>#REF!</v>
      </c>
      <c r="AF145" s="97" t="e">
        <f t="shared" si="47"/>
        <v>#REF!</v>
      </c>
      <c r="AH145" s="98" t="e">
        <f t="shared" si="48"/>
        <v>#REF!</v>
      </c>
      <c r="AI145" s="98" t="e">
        <f t="shared" si="49"/>
        <v>#REF!</v>
      </c>
      <c r="AJ145" s="97" t="e">
        <f t="shared" si="50"/>
        <v>#REF!</v>
      </c>
      <c r="AK145" s="97" t="e">
        <f t="shared" si="51"/>
        <v>#REF!</v>
      </c>
    </row>
    <row r="146" spans="1:37" ht="15" customHeight="1">
      <c r="A146" s="108"/>
      <c r="B146" s="112"/>
      <c r="C146" s="103"/>
      <c r="D146" s="102"/>
      <c r="E146" s="101"/>
      <c r="F146" s="101"/>
      <c r="G146" s="100" t="str">
        <f t="shared" si="34"/>
        <v/>
      </c>
      <c r="H146" s="99" t="str">
        <f t="shared" si="35"/>
        <v/>
      </c>
      <c r="I146" s="106"/>
      <c r="J146" s="2"/>
      <c r="K146" s="2"/>
      <c r="L146" s="2"/>
      <c r="M146" s="2"/>
      <c r="N146" s="2"/>
      <c r="O146" s="2"/>
      <c r="P146" s="2"/>
      <c r="Q146" s="2"/>
      <c r="S146" s="98">
        <f t="shared" si="36"/>
        <v>0</v>
      </c>
      <c r="T146" s="98">
        <f t="shared" si="37"/>
        <v>0</v>
      </c>
      <c r="U146" s="97">
        <f t="shared" si="38"/>
        <v>0</v>
      </c>
      <c r="V146" s="97">
        <f t="shared" si="39"/>
        <v>0</v>
      </c>
      <c r="X146" s="98" t="e">
        <f t="shared" si="40"/>
        <v>#REF!</v>
      </c>
      <c r="Y146" s="98" t="e">
        <f t="shared" si="41"/>
        <v>#REF!</v>
      </c>
      <c r="Z146" s="97" t="e">
        <f t="shared" si="42"/>
        <v>#REF!</v>
      </c>
      <c r="AA146" s="97" t="e">
        <f t="shared" si="43"/>
        <v>#REF!</v>
      </c>
      <c r="AC146" s="98" t="e">
        <f t="shared" si="44"/>
        <v>#REF!</v>
      </c>
      <c r="AD146" s="98" t="e">
        <f t="shared" si="45"/>
        <v>#REF!</v>
      </c>
      <c r="AE146" s="97" t="e">
        <f t="shared" si="46"/>
        <v>#REF!</v>
      </c>
      <c r="AF146" s="97" t="e">
        <f t="shared" si="47"/>
        <v>#REF!</v>
      </c>
      <c r="AH146" s="98" t="e">
        <f t="shared" si="48"/>
        <v>#REF!</v>
      </c>
      <c r="AI146" s="98" t="e">
        <f t="shared" si="49"/>
        <v>#REF!</v>
      </c>
      <c r="AJ146" s="97" t="e">
        <f t="shared" si="50"/>
        <v>#REF!</v>
      </c>
      <c r="AK146" s="97" t="e">
        <f t="shared" si="51"/>
        <v>#REF!</v>
      </c>
    </row>
    <row r="147" spans="1:37" ht="15" customHeight="1">
      <c r="A147" s="108"/>
      <c r="B147" s="112"/>
      <c r="C147" s="103"/>
      <c r="D147" s="102"/>
      <c r="E147" s="101"/>
      <c r="F147" s="101"/>
      <c r="G147" s="100" t="str">
        <f t="shared" si="34"/>
        <v/>
      </c>
      <c r="H147" s="99" t="str">
        <f t="shared" si="35"/>
        <v/>
      </c>
      <c r="I147" s="106"/>
      <c r="J147" s="2"/>
      <c r="K147" s="2"/>
      <c r="L147" s="2"/>
      <c r="M147" s="2"/>
      <c r="N147" s="2"/>
      <c r="O147" s="2"/>
      <c r="P147" s="2"/>
      <c r="Q147" s="2"/>
      <c r="S147" s="98">
        <f t="shared" si="36"/>
        <v>0</v>
      </c>
      <c r="T147" s="98">
        <f t="shared" si="37"/>
        <v>0</v>
      </c>
      <c r="U147" s="97">
        <f t="shared" si="38"/>
        <v>0</v>
      </c>
      <c r="V147" s="97">
        <f t="shared" si="39"/>
        <v>0</v>
      </c>
      <c r="X147" s="98" t="e">
        <f t="shared" si="40"/>
        <v>#REF!</v>
      </c>
      <c r="Y147" s="98" t="e">
        <f t="shared" si="41"/>
        <v>#REF!</v>
      </c>
      <c r="Z147" s="97" t="e">
        <f t="shared" si="42"/>
        <v>#REF!</v>
      </c>
      <c r="AA147" s="97" t="e">
        <f t="shared" si="43"/>
        <v>#REF!</v>
      </c>
      <c r="AC147" s="98" t="e">
        <f t="shared" si="44"/>
        <v>#REF!</v>
      </c>
      <c r="AD147" s="98" t="e">
        <f t="shared" si="45"/>
        <v>#REF!</v>
      </c>
      <c r="AE147" s="97" t="e">
        <f t="shared" si="46"/>
        <v>#REF!</v>
      </c>
      <c r="AF147" s="97" t="e">
        <f t="shared" si="47"/>
        <v>#REF!</v>
      </c>
      <c r="AH147" s="98" t="e">
        <f t="shared" si="48"/>
        <v>#REF!</v>
      </c>
      <c r="AI147" s="98" t="e">
        <f t="shared" si="49"/>
        <v>#REF!</v>
      </c>
      <c r="AJ147" s="97" t="e">
        <f t="shared" si="50"/>
        <v>#REF!</v>
      </c>
      <c r="AK147" s="97" t="e">
        <f t="shared" si="51"/>
        <v>#REF!</v>
      </c>
    </row>
    <row r="148" spans="1:37" ht="15" customHeight="1">
      <c r="A148" s="108"/>
      <c r="B148" s="107"/>
      <c r="C148" s="103"/>
      <c r="D148" s="102"/>
      <c r="E148" s="101"/>
      <c r="F148" s="101"/>
      <c r="G148" s="100" t="str">
        <f t="shared" si="34"/>
        <v/>
      </c>
      <c r="H148" s="99" t="str">
        <f t="shared" si="35"/>
        <v/>
      </c>
      <c r="I148" s="106"/>
      <c r="J148" s="2"/>
      <c r="K148" s="2"/>
      <c r="L148" s="2"/>
      <c r="M148" s="2"/>
      <c r="N148" s="2"/>
      <c r="O148" s="2"/>
      <c r="P148" s="2"/>
      <c r="Q148" s="2"/>
      <c r="S148" s="98">
        <f t="shared" si="36"/>
        <v>0</v>
      </c>
      <c r="T148" s="98">
        <f t="shared" si="37"/>
        <v>0</v>
      </c>
      <c r="U148" s="97">
        <f t="shared" si="38"/>
        <v>0</v>
      </c>
      <c r="V148" s="97">
        <f t="shared" si="39"/>
        <v>0</v>
      </c>
      <c r="X148" s="98" t="e">
        <f t="shared" si="40"/>
        <v>#REF!</v>
      </c>
      <c r="Y148" s="98" t="e">
        <f t="shared" si="41"/>
        <v>#REF!</v>
      </c>
      <c r="Z148" s="97" t="e">
        <f t="shared" si="42"/>
        <v>#REF!</v>
      </c>
      <c r="AA148" s="97" t="e">
        <f t="shared" si="43"/>
        <v>#REF!</v>
      </c>
      <c r="AC148" s="98" t="e">
        <f t="shared" si="44"/>
        <v>#REF!</v>
      </c>
      <c r="AD148" s="98" t="e">
        <f t="shared" si="45"/>
        <v>#REF!</v>
      </c>
      <c r="AE148" s="97" t="e">
        <f t="shared" si="46"/>
        <v>#REF!</v>
      </c>
      <c r="AF148" s="97" t="e">
        <f t="shared" si="47"/>
        <v>#REF!</v>
      </c>
      <c r="AH148" s="98" t="e">
        <f t="shared" si="48"/>
        <v>#REF!</v>
      </c>
      <c r="AI148" s="98" t="e">
        <f t="shared" si="49"/>
        <v>#REF!</v>
      </c>
      <c r="AJ148" s="97" t="e">
        <f t="shared" si="50"/>
        <v>#REF!</v>
      </c>
      <c r="AK148" s="97" t="e">
        <f t="shared" si="51"/>
        <v>#REF!</v>
      </c>
    </row>
    <row r="149" spans="1:37" ht="15" customHeight="1">
      <c r="A149" s="108"/>
      <c r="B149" s="107"/>
      <c r="C149" s="103"/>
      <c r="D149" s="102"/>
      <c r="E149" s="101"/>
      <c r="F149" s="101"/>
      <c r="G149" s="100" t="str">
        <f t="shared" si="34"/>
        <v/>
      </c>
      <c r="H149" s="99" t="str">
        <f t="shared" si="35"/>
        <v/>
      </c>
      <c r="I149" s="106"/>
      <c r="J149" s="2"/>
      <c r="K149" s="2"/>
      <c r="L149" s="2"/>
      <c r="M149" s="2"/>
      <c r="N149" s="2"/>
      <c r="O149" s="2"/>
      <c r="P149" s="2"/>
      <c r="Q149" s="2"/>
      <c r="S149" s="98">
        <f t="shared" si="36"/>
        <v>0</v>
      </c>
      <c r="T149" s="98">
        <f t="shared" si="37"/>
        <v>0</v>
      </c>
      <c r="U149" s="97">
        <f t="shared" si="38"/>
        <v>0</v>
      </c>
      <c r="V149" s="97">
        <f t="shared" si="39"/>
        <v>0</v>
      </c>
      <c r="X149" s="98" t="e">
        <f t="shared" si="40"/>
        <v>#REF!</v>
      </c>
      <c r="Y149" s="98" t="e">
        <f t="shared" si="41"/>
        <v>#REF!</v>
      </c>
      <c r="Z149" s="97" t="e">
        <f t="shared" si="42"/>
        <v>#REF!</v>
      </c>
      <c r="AA149" s="97" t="e">
        <f t="shared" si="43"/>
        <v>#REF!</v>
      </c>
      <c r="AC149" s="98" t="e">
        <f t="shared" si="44"/>
        <v>#REF!</v>
      </c>
      <c r="AD149" s="98" t="e">
        <f t="shared" si="45"/>
        <v>#REF!</v>
      </c>
      <c r="AE149" s="97" t="e">
        <f t="shared" si="46"/>
        <v>#REF!</v>
      </c>
      <c r="AF149" s="97" t="e">
        <f t="shared" si="47"/>
        <v>#REF!</v>
      </c>
      <c r="AH149" s="98" t="e">
        <f t="shared" si="48"/>
        <v>#REF!</v>
      </c>
      <c r="AI149" s="98" t="e">
        <f t="shared" si="49"/>
        <v>#REF!</v>
      </c>
      <c r="AJ149" s="97" t="e">
        <f t="shared" si="50"/>
        <v>#REF!</v>
      </c>
      <c r="AK149" s="97" t="e">
        <f t="shared" si="51"/>
        <v>#REF!</v>
      </c>
    </row>
    <row r="150" spans="1:37" ht="15" customHeight="1">
      <c r="A150" s="108"/>
      <c r="B150" s="107"/>
      <c r="C150" s="103"/>
      <c r="D150" s="102"/>
      <c r="E150" s="101"/>
      <c r="F150" s="101"/>
      <c r="G150" s="100" t="str">
        <f t="shared" si="34"/>
        <v/>
      </c>
      <c r="H150" s="99" t="str">
        <f t="shared" si="35"/>
        <v/>
      </c>
      <c r="I150" s="106"/>
      <c r="J150" s="2"/>
      <c r="K150" s="2"/>
      <c r="L150" s="2"/>
      <c r="M150" s="2"/>
      <c r="N150" s="2"/>
      <c r="O150" s="2"/>
      <c r="P150" s="2"/>
      <c r="Q150" s="2"/>
      <c r="S150" s="98">
        <f t="shared" si="36"/>
        <v>0</v>
      </c>
      <c r="T150" s="98">
        <f t="shared" si="37"/>
        <v>0</v>
      </c>
      <c r="U150" s="97">
        <f t="shared" si="38"/>
        <v>0</v>
      </c>
      <c r="V150" s="97">
        <f t="shared" si="39"/>
        <v>0</v>
      </c>
      <c r="X150" s="98" t="e">
        <f t="shared" si="40"/>
        <v>#REF!</v>
      </c>
      <c r="Y150" s="98" t="e">
        <f t="shared" si="41"/>
        <v>#REF!</v>
      </c>
      <c r="Z150" s="97" t="e">
        <f t="shared" si="42"/>
        <v>#REF!</v>
      </c>
      <c r="AA150" s="97" t="e">
        <f t="shared" si="43"/>
        <v>#REF!</v>
      </c>
      <c r="AC150" s="98" t="e">
        <f t="shared" si="44"/>
        <v>#REF!</v>
      </c>
      <c r="AD150" s="98" t="e">
        <f t="shared" si="45"/>
        <v>#REF!</v>
      </c>
      <c r="AE150" s="97" t="e">
        <f t="shared" si="46"/>
        <v>#REF!</v>
      </c>
      <c r="AF150" s="97" t="e">
        <f t="shared" si="47"/>
        <v>#REF!</v>
      </c>
      <c r="AH150" s="98" t="e">
        <f t="shared" si="48"/>
        <v>#REF!</v>
      </c>
      <c r="AI150" s="98" t="e">
        <f t="shared" si="49"/>
        <v>#REF!</v>
      </c>
      <c r="AJ150" s="97" t="e">
        <f t="shared" si="50"/>
        <v>#REF!</v>
      </c>
      <c r="AK150" s="97" t="e">
        <f t="shared" si="51"/>
        <v>#REF!</v>
      </c>
    </row>
    <row r="151" spans="1:37" ht="15" customHeight="1">
      <c r="A151" s="108"/>
      <c r="B151" s="107"/>
      <c r="C151" s="103"/>
      <c r="D151" s="102"/>
      <c r="E151" s="101"/>
      <c r="F151" s="101"/>
      <c r="G151" s="100" t="str">
        <f t="shared" si="34"/>
        <v/>
      </c>
      <c r="H151" s="99" t="str">
        <f t="shared" si="35"/>
        <v/>
      </c>
      <c r="I151" s="106"/>
      <c r="J151" s="2"/>
      <c r="K151" s="2"/>
      <c r="L151" s="2"/>
      <c r="M151" s="2"/>
      <c r="N151" s="2"/>
      <c r="O151" s="2"/>
      <c r="P151" s="2"/>
      <c r="Q151" s="2"/>
      <c r="S151" s="98">
        <f t="shared" si="36"/>
        <v>0</v>
      </c>
      <c r="T151" s="98">
        <f t="shared" si="37"/>
        <v>0</v>
      </c>
      <c r="U151" s="97">
        <f t="shared" si="38"/>
        <v>0</v>
      </c>
      <c r="V151" s="97">
        <f t="shared" si="39"/>
        <v>0</v>
      </c>
      <c r="X151" s="98" t="e">
        <f t="shared" si="40"/>
        <v>#REF!</v>
      </c>
      <c r="Y151" s="98" t="e">
        <f t="shared" si="41"/>
        <v>#REF!</v>
      </c>
      <c r="Z151" s="97" t="e">
        <f t="shared" si="42"/>
        <v>#REF!</v>
      </c>
      <c r="AA151" s="97" t="e">
        <f t="shared" si="43"/>
        <v>#REF!</v>
      </c>
      <c r="AC151" s="98" t="e">
        <f t="shared" si="44"/>
        <v>#REF!</v>
      </c>
      <c r="AD151" s="98" t="e">
        <f t="shared" si="45"/>
        <v>#REF!</v>
      </c>
      <c r="AE151" s="97" t="e">
        <f t="shared" si="46"/>
        <v>#REF!</v>
      </c>
      <c r="AF151" s="97" t="e">
        <f t="shared" si="47"/>
        <v>#REF!</v>
      </c>
      <c r="AH151" s="98" t="e">
        <f t="shared" si="48"/>
        <v>#REF!</v>
      </c>
      <c r="AI151" s="98" t="e">
        <f t="shared" si="49"/>
        <v>#REF!</v>
      </c>
      <c r="AJ151" s="97" t="e">
        <f t="shared" si="50"/>
        <v>#REF!</v>
      </c>
      <c r="AK151" s="97" t="e">
        <f t="shared" si="51"/>
        <v>#REF!</v>
      </c>
    </row>
    <row r="152" spans="1:37" ht="15" customHeight="1">
      <c r="A152" s="108"/>
      <c r="B152" s="107"/>
      <c r="C152" s="103"/>
      <c r="D152" s="102"/>
      <c r="E152" s="101"/>
      <c r="F152" s="101"/>
      <c r="G152" s="100" t="str">
        <f t="shared" si="34"/>
        <v/>
      </c>
      <c r="H152" s="99" t="str">
        <f t="shared" si="35"/>
        <v/>
      </c>
      <c r="I152" s="106"/>
      <c r="J152" s="2"/>
      <c r="K152" s="2"/>
      <c r="L152" s="2"/>
      <c r="M152" s="2"/>
      <c r="N152" s="2"/>
      <c r="O152" s="2"/>
      <c r="P152" s="2"/>
      <c r="Q152" s="2"/>
      <c r="S152" s="98">
        <f t="shared" si="36"/>
        <v>0</v>
      </c>
      <c r="T152" s="98">
        <f t="shared" si="37"/>
        <v>0</v>
      </c>
      <c r="U152" s="97">
        <f t="shared" si="38"/>
        <v>0</v>
      </c>
      <c r="V152" s="97">
        <f t="shared" si="39"/>
        <v>0</v>
      </c>
      <c r="X152" s="98" t="e">
        <f t="shared" si="40"/>
        <v>#REF!</v>
      </c>
      <c r="Y152" s="98" t="e">
        <f t="shared" si="41"/>
        <v>#REF!</v>
      </c>
      <c r="Z152" s="97" t="e">
        <f t="shared" si="42"/>
        <v>#REF!</v>
      </c>
      <c r="AA152" s="97" t="e">
        <f t="shared" si="43"/>
        <v>#REF!</v>
      </c>
      <c r="AC152" s="98" t="e">
        <f t="shared" si="44"/>
        <v>#REF!</v>
      </c>
      <c r="AD152" s="98" t="e">
        <f t="shared" si="45"/>
        <v>#REF!</v>
      </c>
      <c r="AE152" s="97" t="e">
        <f t="shared" si="46"/>
        <v>#REF!</v>
      </c>
      <c r="AF152" s="97" t="e">
        <f t="shared" si="47"/>
        <v>#REF!</v>
      </c>
      <c r="AH152" s="98" t="e">
        <f t="shared" si="48"/>
        <v>#REF!</v>
      </c>
      <c r="AI152" s="98" t="e">
        <f t="shared" si="49"/>
        <v>#REF!</v>
      </c>
      <c r="AJ152" s="97" t="e">
        <f t="shared" si="50"/>
        <v>#REF!</v>
      </c>
      <c r="AK152" s="97" t="e">
        <f t="shared" si="51"/>
        <v>#REF!</v>
      </c>
    </row>
    <row r="153" spans="1:37" ht="15" customHeight="1">
      <c r="A153" s="108"/>
      <c r="B153" s="107"/>
      <c r="C153" s="103"/>
      <c r="D153" s="102"/>
      <c r="E153" s="101"/>
      <c r="F153" s="101"/>
      <c r="G153" s="100" t="str">
        <f t="shared" si="34"/>
        <v/>
      </c>
      <c r="H153" s="99" t="str">
        <f t="shared" si="35"/>
        <v/>
      </c>
      <c r="I153" s="106"/>
      <c r="J153" s="2"/>
      <c r="K153" s="2"/>
      <c r="L153" s="2"/>
      <c r="M153" s="2"/>
      <c r="N153" s="2"/>
      <c r="O153" s="2"/>
      <c r="P153" s="2"/>
      <c r="Q153" s="2"/>
      <c r="S153" s="98">
        <f t="shared" si="36"/>
        <v>0</v>
      </c>
      <c r="T153" s="98">
        <f t="shared" si="37"/>
        <v>0</v>
      </c>
      <c r="U153" s="97">
        <f t="shared" si="38"/>
        <v>0</v>
      </c>
      <c r="V153" s="97">
        <f t="shared" si="39"/>
        <v>0</v>
      </c>
      <c r="X153" s="98" t="e">
        <f t="shared" si="40"/>
        <v>#REF!</v>
      </c>
      <c r="Y153" s="98" t="e">
        <f t="shared" si="41"/>
        <v>#REF!</v>
      </c>
      <c r="Z153" s="97" t="e">
        <f t="shared" si="42"/>
        <v>#REF!</v>
      </c>
      <c r="AA153" s="97" t="e">
        <f t="shared" si="43"/>
        <v>#REF!</v>
      </c>
      <c r="AC153" s="98" t="e">
        <f t="shared" si="44"/>
        <v>#REF!</v>
      </c>
      <c r="AD153" s="98" t="e">
        <f t="shared" si="45"/>
        <v>#REF!</v>
      </c>
      <c r="AE153" s="97" t="e">
        <f t="shared" si="46"/>
        <v>#REF!</v>
      </c>
      <c r="AF153" s="97" t="e">
        <f t="shared" si="47"/>
        <v>#REF!</v>
      </c>
      <c r="AH153" s="98" t="e">
        <f t="shared" si="48"/>
        <v>#REF!</v>
      </c>
      <c r="AI153" s="98" t="e">
        <f t="shared" si="49"/>
        <v>#REF!</v>
      </c>
      <c r="AJ153" s="97" t="e">
        <f t="shared" si="50"/>
        <v>#REF!</v>
      </c>
      <c r="AK153" s="97" t="e">
        <f t="shared" si="51"/>
        <v>#REF!</v>
      </c>
    </row>
    <row r="154" spans="1:37" ht="15" customHeight="1">
      <c r="A154" s="108"/>
      <c r="B154" s="107"/>
      <c r="C154" s="103"/>
      <c r="D154" s="102"/>
      <c r="E154" s="101"/>
      <c r="F154" s="101"/>
      <c r="G154" s="100" t="str">
        <f t="shared" si="34"/>
        <v/>
      </c>
      <c r="H154" s="99" t="str">
        <f t="shared" si="35"/>
        <v/>
      </c>
      <c r="I154" s="106"/>
      <c r="J154" s="2"/>
      <c r="K154" s="2"/>
      <c r="L154" s="2"/>
      <c r="M154" s="2"/>
      <c r="N154" s="2"/>
      <c r="O154" s="2"/>
      <c r="P154" s="2"/>
      <c r="Q154" s="2"/>
      <c r="S154" s="98">
        <f t="shared" si="36"/>
        <v>0</v>
      </c>
      <c r="T154" s="98">
        <f t="shared" si="37"/>
        <v>0</v>
      </c>
      <c r="U154" s="97">
        <f t="shared" si="38"/>
        <v>0</v>
      </c>
      <c r="V154" s="97">
        <f t="shared" si="39"/>
        <v>0</v>
      </c>
      <c r="X154" s="98" t="e">
        <f t="shared" si="40"/>
        <v>#REF!</v>
      </c>
      <c r="Y154" s="98" t="e">
        <f t="shared" si="41"/>
        <v>#REF!</v>
      </c>
      <c r="Z154" s="97" t="e">
        <f t="shared" si="42"/>
        <v>#REF!</v>
      </c>
      <c r="AA154" s="97" t="e">
        <f t="shared" si="43"/>
        <v>#REF!</v>
      </c>
      <c r="AC154" s="98" t="e">
        <f t="shared" si="44"/>
        <v>#REF!</v>
      </c>
      <c r="AD154" s="98" t="e">
        <f t="shared" si="45"/>
        <v>#REF!</v>
      </c>
      <c r="AE154" s="97" t="e">
        <f t="shared" si="46"/>
        <v>#REF!</v>
      </c>
      <c r="AF154" s="97" t="e">
        <f t="shared" si="47"/>
        <v>#REF!</v>
      </c>
      <c r="AH154" s="98" t="e">
        <f t="shared" si="48"/>
        <v>#REF!</v>
      </c>
      <c r="AI154" s="98" t="e">
        <f t="shared" si="49"/>
        <v>#REF!</v>
      </c>
      <c r="AJ154" s="97" t="e">
        <f t="shared" si="50"/>
        <v>#REF!</v>
      </c>
      <c r="AK154" s="97" t="e">
        <f t="shared" si="51"/>
        <v>#REF!</v>
      </c>
    </row>
    <row r="155" spans="1:37" ht="15" customHeight="1">
      <c r="A155" s="108"/>
      <c r="B155" s="107"/>
      <c r="C155" s="103"/>
      <c r="D155" s="102"/>
      <c r="E155" s="101"/>
      <c r="F155" s="101"/>
      <c r="G155" s="100" t="str">
        <f t="shared" si="34"/>
        <v/>
      </c>
      <c r="H155" s="99" t="str">
        <f t="shared" si="35"/>
        <v/>
      </c>
      <c r="I155" s="106"/>
      <c r="J155" s="2"/>
      <c r="K155" s="2"/>
      <c r="L155" s="2"/>
      <c r="M155" s="2"/>
      <c r="N155" s="2"/>
      <c r="O155" s="2"/>
      <c r="P155" s="2"/>
      <c r="Q155" s="2"/>
      <c r="S155" s="98">
        <f t="shared" si="36"/>
        <v>0</v>
      </c>
      <c r="T155" s="98">
        <f t="shared" si="37"/>
        <v>0</v>
      </c>
      <c r="U155" s="97">
        <f t="shared" si="38"/>
        <v>0</v>
      </c>
      <c r="V155" s="97">
        <f t="shared" si="39"/>
        <v>0</v>
      </c>
      <c r="X155" s="98" t="e">
        <f t="shared" si="40"/>
        <v>#REF!</v>
      </c>
      <c r="Y155" s="98" t="e">
        <f t="shared" si="41"/>
        <v>#REF!</v>
      </c>
      <c r="Z155" s="97" t="e">
        <f t="shared" si="42"/>
        <v>#REF!</v>
      </c>
      <c r="AA155" s="97" t="e">
        <f t="shared" si="43"/>
        <v>#REF!</v>
      </c>
      <c r="AC155" s="98" t="e">
        <f t="shared" si="44"/>
        <v>#REF!</v>
      </c>
      <c r="AD155" s="98" t="e">
        <f t="shared" si="45"/>
        <v>#REF!</v>
      </c>
      <c r="AE155" s="97" t="e">
        <f t="shared" si="46"/>
        <v>#REF!</v>
      </c>
      <c r="AF155" s="97" t="e">
        <f t="shared" si="47"/>
        <v>#REF!</v>
      </c>
      <c r="AH155" s="98" t="e">
        <f t="shared" si="48"/>
        <v>#REF!</v>
      </c>
      <c r="AI155" s="98" t="e">
        <f t="shared" si="49"/>
        <v>#REF!</v>
      </c>
      <c r="AJ155" s="97" t="e">
        <f t="shared" si="50"/>
        <v>#REF!</v>
      </c>
      <c r="AK155" s="97" t="e">
        <f t="shared" si="51"/>
        <v>#REF!</v>
      </c>
    </row>
    <row r="156" spans="1:37" ht="15" customHeight="1">
      <c r="A156" s="108"/>
      <c r="B156" s="107"/>
      <c r="C156" s="103"/>
      <c r="D156" s="102"/>
      <c r="E156" s="101"/>
      <c r="F156" s="101"/>
      <c r="G156" s="100" t="str">
        <f t="shared" si="34"/>
        <v/>
      </c>
      <c r="H156" s="99" t="str">
        <f t="shared" si="35"/>
        <v/>
      </c>
      <c r="I156" s="106"/>
      <c r="J156" s="2"/>
      <c r="K156" s="2"/>
      <c r="L156" s="2"/>
      <c r="M156" s="2"/>
      <c r="N156" s="2"/>
      <c r="O156" s="2"/>
      <c r="P156" s="2"/>
      <c r="Q156" s="2"/>
      <c r="S156" s="98">
        <f t="shared" si="36"/>
        <v>0</v>
      </c>
      <c r="T156" s="98">
        <f t="shared" si="37"/>
        <v>0</v>
      </c>
      <c r="U156" s="97">
        <f t="shared" si="38"/>
        <v>0</v>
      </c>
      <c r="V156" s="97">
        <f t="shared" si="39"/>
        <v>0</v>
      </c>
      <c r="X156" s="98" t="e">
        <f t="shared" si="40"/>
        <v>#REF!</v>
      </c>
      <c r="Y156" s="98" t="e">
        <f t="shared" si="41"/>
        <v>#REF!</v>
      </c>
      <c r="Z156" s="97" t="e">
        <f t="shared" si="42"/>
        <v>#REF!</v>
      </c>
      <c r="AA156" s="97" t="e">
        <f t="shared" si="43"/>
        <v>#REF!</v>
      </c>
      <c r="AC156" s="98" t="e">
        <f t="shared" si="44"/>
        <v>#REF!</v>
      </c>
      <c r="AD156" s="98" t="e">
        <f t="shared" si="45"/>
        <v>#REF!</v>
      </c>
      <c r="AE156" s="97" t="e">
        <f t="shared" si="46"/>
        <v>#REF!</v>
      </c>
      <c r="AF156" s="97" t="e">
        <f t="shared" si="47"/>
        <v>#REF!</v>
      </c>
      <c r="AH156" s="98" t="e">
        <f t="shared" si="48"/>
        <v>#REF!</v>
      </c>
      <c r="AI156" s="98" t="e">
        <f t="shared" si="49"/>
        <v>#REF!</v>
      </c>
      <c r="AJ156" s="97" t="e">
        <f t="shared" si="50"/>
        <v>#REF!</v>
      </c>
      <c r="AK156" s="97" t="e">
        <f t="shared" si="51"/>
        <v>#REF!</v>
      </c>
    </row>
    <row r="157" spans="1:37" ht="15" customHeight="1">
      <c r="A157" s="108"/>
      <c r="B157" s="107"/>
      <c r="C157" s="103"/>
      <c r="D157" s="102"/>
      <c r="E157" s="101"/>
      <c r="F157" s="101"/>
      <c r="G157" s="100" t="str">
        <f t="shared" si="34"/>
        <v/>
      </c>
      <c r="H157" s="99" t="str">
        <f t="shared" si="35"/>
        <v/>
      </c>
      <c r="I157" s="106"/>
      <c r="J157" s="2"/>
      <c r="K157" s="2"/>
      <c r="L157" s="2"/>
      <c r="M157" s="2"/>
      <c r="N157" s="2"/>
      <c r="O157" s="2"/>
      <c r="P157" s="2"/>
      <c r="Q157" s="2"/>
      <c r="S157" s="98">
        <f t="shared" si="36"/>
        <v>0</v>
      </c>
      <c r="T157" s="98">
        <f t="shared" si="37"/>
        <v>0</v>
      </c>
      <c r="U157" s="97">
        <f t="shared" si="38"/>
        <v>0</v>
      </c>
      <c r="V157" s="97">
        <f t="shared" si="39"/>
        <v>0</v>
      </c>
      <c r="X157" s="98" t="e">
        <f t="shared" si="40"/>
        <v>#REF!</v>
      </c>
      <c r="Y157" s="98" t="e">
        <f t="shared" si="41"/>
        <v>#REF!</v>
      </c>
      <c r="Z157" s="97" t="e">
        <f t="shared" si="42"/>
        <v>#REF!</v>
      </c>
      <c r="AA157" s="97" t="e">
        <f t="shared" si="43"/>
        <v>#REF!</v>
      </c>
      <c r="AC157" s="98" t="e">
        <f t="shared" si="44"/>
        <v>#REF!</v>
      </c>
      <c r="AD157" s="98" t="e">
        <f t="shared" si="45"/>
        <v>#REF!</v>
      </c>
      <c r="AE157" s="97" t="e">
        <f t="shared" si="46"/>
        <v>#REF!</v>
      </c>
      <c r="AF157" s="97" t="e">
        <f t="shared" si="47"/>
        <v>#REF!</v>
      </c>
      <c r="AH157" s="98" t="e">
        <f t="shared" si="48"/>
        <v>#REF!</v>
      </c>
      <c r="AI157" s="98" t="e">
        <f t="shared" si="49"/>
        <v>#REF!</v>
      </c>
      <c r="AJ157" s="97" t="e">
        <f t="shared" si="50"/>
        <v>#REF!</v>
      </c>
      <c r="AK157" s="97" t="e">
        <f t="shared" si="51"/>
        <v>#REF!</v>
      </c>
    </row>
    <row r="158" spans="1:37" ht="15" customHeight="1">
      <c r="A158" s="108"/>
      <c r="B158" s="107"/>
      <c r="C158" s="103"/>
      <c r="D158" s="102"/>
      <c r="E158" s="101"/>
      <c r="F158" s="101"/>
      <c r="G158" s="100" t="str">
        <f t="shared" si="34"/>
        <v/>
      </c>
      <c r="H158" s="99" t="str">
        <f t="shared" si="35"/>
        <v/>
      </c>
      <c r="I158" s="106"/>
      <c r="J158" s="2"/>
      <c r="K158" s="2"/>
      <c r="L158" s="2"/>
      <c r="M158" s="2"/>
      <c r="N158" s="2"/>
      <c r="O158" s="2"/>
      <c r="P158" s="2"/>
      <c r="Q158" s="2"/>
      <c r="S158" s="98">
        <f t="shared" si="36"/>
        <v>0</v>
      </c>
      <c r="T158" s="98">
        <f t="shared" si="37"/>
        <v>0</v>
      </c>
      <c r="U158" s="97">
        <f t="shared" si="38"/>
        <v>0</v>
      </c>
      <c r="V158" s="97">
        <f t="shared" si="39"/>
        <v>0</v>
      </c>
      <c r="X158" s="98" t="e">
        <f t="shared" si="40"/>
        <v>#REF!</v>
      </c>
      <c r="Y158" s="98" t="e">
        <f t="shared" si="41"/>
        <v>#REF!</v>
      </c>
      <c r="Z158" s="97" t="e">
        <f t="shared" si="42"/>
        <v>#REF!</v>
      </c>
      <c r="AA158" s="97" t="e">
        <f t="shared" si="43"/>
        <v>#REF!</v>
      </c>
      <c r="AC158" s="98" t="e">
        <f t="shared" si="44"/>
        <v>#REF!</v>
      </c>
      <c r="AD158" s="98" t="e">
        <f t="shared" si="45"/>
        <v>#REF!</v>
      </c>
      <c r="AE158" s="97" t="e">
        <f t="shared" si="46"/>
        <v>#REF!</v>
      </c>
      <c r="AF158" s="97" t="e">
        <f t="shared" si="47"/>
        <v>#REF!</v>
      </c>
      <c r="AH158" s="98" t="e">
        <f t="shared" si="48"/>
        <v>#REF!</v>
      </c>
      <c r="AI158" s="98" t="e">
        <f t="shared" si="49"/>
        <v>#REF!</v>
      </c>
      <c r="AJ158" s="97" t="e">
        <f t="shared" si="50"/>
        <v>#REF!</v>
      </c>
      <c r="AK158" s="97" t="e">
        <f t="shared" si="51"/>
        <v>#REF!</v>
      </c>
    </row>
    <row r="159" spans="1:37" ht="15" customHeight="1">
      <c r="A159" s="108"/>
      <c r="B159" s="107"/>
      <c r="C159" s="103"/>
      <c r="D159" s="102"/>
      <c r="E159" s="101"/>
      <c r="F159" s="101"/>
      <c r="G159" s="100" t="str">
        <f t="shared" si="34"/>
        <v/>
      </c>
      <c r="H159" s="99" t="str">
        <f t="shared" si="35"/>
        <v/>
      </c>
      <c r="I159" s="106"/>
      <c r="J159" s="2"/>
      <c r="K159" s="2"/>
      <c r="L159" s="2"/>
      <c r="M159" s="2"/>
      <c r="N159" s="2"/>
      <c r="O159" s="2"/>
      <c r="P159" s="2"/>
      <c r="Q159" s="2"/>
      <c r="S159" s="98">
        <f t="shared" si="36"/>
        <v>0</v>
      </c>
      <c r="T159" s="98">
        <f t="shared" si="37"/>
        <v>0</v>
      </c>
      <c r="U159" s="97">
        <f t="shared" si="38"/>
        <v>0</v>
      </c>
      <c r="V159" s="97">
        <f t="shared" si="39"/>
        <v>0</v>
      </c>
      <c r="X159" s="98" t="e">
        <f t="shared" si="40"/>
        <v>#REF!</v>
      </c>
      <c r="Y159" s="98" t="e">
        <f t="shared" si="41"/>
        <v>#REF!</v>
      </c>
      <c r="Z159" s="97" t="e">
        <f t="shared" si="42"/>
        <v>#REF!</v>
      </c>
      <c r="AA159" s="97" t="e">
        <f t="shared" si="43"/>
        <v>#REF!</v>
      </c>
      <c r="AC159" s="98" t="e">
        <f t="shared" si="44"/>
        <v>#REF!</v>
      </c>
      <c r="AD159" s="98" t="e">
        <f t="shared" si="45"/>
        <v>#REF!</v>
      </c>
      <c r="AE159" s="97" t="e">
        <f t="shared" si="46"/>
        <v>#REF!</v>
      </c>
      <c r="AF159" s="97" t="e">
        <f t="shared" si="47"/>
        <v>#REF!</v>
      </c>
      <c r="AH159" s="98" t="e">
        <f t="shared" si="48"/>
        <v>#REF!</v>
      </c>
      <c r="AI159" s="98" t="e">
        <f t="shared" si="49"/>
        <v>#REF!</v>
      </c>
      <c r="AJ159" s="97" t="e">
        <f t="shared" si="50"/>
        <v>#REF!</v>
      </c>
      <c r="AK159" s="97" t="e">
        <f t="shared" si="51"/>
        <v>#REF!</v>
      </c>
    </row>
    <row r="160" spans="1:37" ht="15" customHeight="1">
      <c r="A160" s="108"/>
      <c r="B160" s="107"/>
      <c r="C160" s="103"/>
      <c r="D160" s="102"/>
      <c r="E160" s="101"/>
      <c r="F160" s="101"/>
      <c r="G160" s="100" t="str">
        <f t="shared" si="34"/>
        <v/>
      </c>
      <c r="H160" s="99" t="str">
        <f t="shared" si="35"/>
        <v/>
      </c>
      <c r="I160" s="106"/>
      <c r="J160" s="2"/>
      <c r="K160" s="2"/>
      <c r="L160" s="2"/>
      <c r="M160" s="2"/>
      <c r="N160" s="2"/>
      <c r="O160" s="2"/>
      <c r="P160" s="2"/>
      <c r="Q160" s="2"/>
      <c r="S160" s="98">
        <f t="shared" si="36"/>
        <v>0</v>
      </c>
      <c r="T160" s="98">
        <f t="shared" si="37"/>
        <v>0</v>
      </c>
      <c r="U160" s="97">
        <f t="shared" si="38"/>
        <v>0</v>
      </c>
      <c r="V160" s="97">
        <f t="shared" si="39"/>
        <v>0</v>
      </c>
      <c r="X160" s="98" t="e">
        <f t="shared" si="40"/>
        <v>#REF!</v>
      </c>
      <c r="Y160" s="98" t="e">
        <f t="shared" si="41"/>
        <v>#REF!</v>
      </c>
      <c r="Z160" s="97" t="e">
        <f t="shared" si="42"/>
        <v>#REF!</v>
      </c>
      <c r="AA160" s="97" t="e">
        <f t="shared" si="43"/>
        <v>#REF!</v>
      </c>
      <c r="AC160" s="98" t="e">
        <f t="shared" si="44"/>
        <v>#REF!</v>
      </c>
      <c r="AD160" s="98" t="e">
        <f t="shared" si="45"/>
        <v>#REF!</v>
      </c>
      <c r="AE160" s="97" t="e">
        <f t="shared" si="46"/>
        <v>#REF!</v>
      </c>
      <c r="AF160" s="97" t="e">
        <f t="shared" si="47"/>
        <v>#REF!</v>
      </c>
      <c r="AH160" s="98" t="e">
        <f t="shared" si="48"/>
        <v>#REF!</v>
      </c>
      <c r="AI160" s="98" t="e">
        <f t="shared" si="49"/>
        <v>#REF!</v>
      </c>
      <c r="AJ160" s="97" t="e">
        <f t="shared" si="50"/>
        <v>#REF!</v>
      </c>
      <c r="AK160" s="97" t="e">
        <f t="shared" si="51"/>
        <v>#REF!</v>
      </c>
    </row>
    <row r="161" spans="1:37" ht="15" customHeight="1">
      <c r="A161" s="108"/>
      <c r="B161" s="107"/>
      <c r="C161" s="103"/>
      <c r="D161" s="102"/>
      <c r="E161" s="101"/>
      <c r="F161" s="101"/>
      <c r="G161" s="100" t="str">
        <f t="shared" si="34"/>
        <v/>
      </c>
      <c r="H161" s="99" t="str">
        <f t="shared" si="35"/>
        <v/>
      </c>
      <c r="I161" s="106"/>
      <c r="J161" s="2"/>
      <c r="K161" s="2"/>
      <c r="L161" s="2"/>
      <c r="M161" s="2"/>
      <c r="N161" s="2"/>
      <c r="O161" s="2"/>
      <c r="P161" s="2"/>
      <c r="Q161" s="2"/>
      <c r="S161" s="98">
        <f t="shared" si="36"/>
        <v>0</v>
      </c>
      <c r="T161" s="98">
        <f t="shared" si="37"/>
        <v>0</v>
      </c>
      <c r="U161" s="97">
        <f t="shared" si="38"/>
        <v>0</v>
      </c>
      <c r="V161" s="97">
        <f t="shared" si="39"/>
        <v>0</v>
      </c>
      <c r="X161" s="98" t="e">
        <f t="shared" si="40"/>
        <v>#REF!</v>
      </c>
      <c r="Y161" s="98" t="e">
        <f t="shared" si="41"/>
        <v>#REF!</v>
      </c>
      <c r="Z161" s="97" t="e">
        <f t="shared" si="42"/>
        <v>#REF!</v>
      </c>
      <c r="AA161" s="97" t="e">
        <f t="shared" si="43"/>
        <v>#REF!</v>
      </c>
      <c r="AC161" s="98" t="e">
        <f t="shared" si="44"/>
        <v>#REF!</v>
      </c>
      <c r="AD161" s="98" t="e">
        <f t="shared" si="45"/>
        <v>#REF!</v>
      </c>
      <c r="AE161" s="97" t="e">
        <f t="shared" si="46"/>
        <v>#REF!</v>
      </c>
      <c r="AF161" s="97" t="e">
        <f t="shared" si="47"/>
        <v>#REF!</v>
      </c>
      <c r="AH161" s="98" t="e">
        <f t="shared" si="48"/>
        <v>#REF!</v>
      </c>
      <c r="AI161" s="98" t="e">
        <f t="shared" si="49"/>
        <v>#REF!</v>
      </c>
      <c r="AJ161" s="97" t="e">
        <f t="shared" si="50"/>
        <v>#REF!</v>
      </c>
      <c r="AK161" s="97" t="e">
        <f t="shared" si="51"/>
        <v>#REF!</v>
      </c>
    </row>
    <row r="162" spans="1:37" ht="15" customHeight="1">
      <c r="A162" s="108"/>
      <c r="B162" s="107"/>
      <c r="C162" s="103"/>
      <c r="D162" s="102"/>
      <c r="E162" s="101"/>
      <c r="F162" s="101"/>
      <c r="G162" s="100" t="str">
        <f t="shared" si="34"/>
        <v/>
      </c>
      <c r="H162" s="99" t="str">
        <f t="shared" si="35"/>
        <v/>
      </c>
      <c r="I162" s="106"/>
      <c r="J162" s="2"/>
      <c r="K162" s="2"/>
      <c r="L162" s="2"/>
      <c r="M162" s="2"/>
      <c r="N162" s="2"/>
      <c r="O162" s="2"/>
      <c r="P162" s="2"/>
      <c r="Q162" s="2"/>
      <c r="S162" s="98">
        <f t="shared" si="36"/>
        <v>0</v>
      </c>
      <c r="T162" s="98">
        <f t="shared" si="37"/>
        <v>0</v>
      </c>
      <c r="U162" s="97">
        <f t="shared" si="38"/>
        <v>0</v>
      </c>
      <c r="V162" s="97">
        <f t="shared" si="39"/>
        <v>0</v>
      </c>
      <c r="X162" s="98" t="e">
        <f t="shared" si="40"/>
        <v>#REF!</v>
      </c>
      <c r="Y162" s="98" t="e">
        <f t="shared" si="41"/>
        <v>#REF!</v>
      </c>
      <c r="Z162" s="97" t="e">
        <f t="shared" si="42"/>
        <v>#REF!</v>
      </c>
      <c r="AA162" s="97" t="e">
        <f t="shared" si="43"/>
        <v>#REF!</v>
      </c>
      <c r="AC162" s="98" t="e">
        <f t="shared" si="44"/>
        <v>#REF!</v>
      </c>
      <c r="AD162" s="98" t="e">
        <f t="shared" si="45"/>
        <v>#REF!</v>
      </c>
      <c r="AE162" s="97" t="e">
        <f t="shared" si="46"/>
        <v>#REF!</v>
      </c>
      <c r="AF162" s="97" t="e">
        <f t="shared" si="47"/>
        <v>#REF!</v>
      </c>
      <c r="AH162" s="98" t="e">
        <f t="shared" si="48"/>
        <v>#REF!</v>
      </c>
      <c r="AI162" s="98" t="e">
        <f t="shared" si="49"/>
        <v>#REF!</v>
      </c>
      <c r="AJ162" s="97" t="e">
        <f t="shared" si="50"/>
        <v>#REF!</v>
      </c>
      <c r="AK162" s="97" t="e">
        <f t="shared" si="51"/>
        <v>#REF!</v>
      </c>
    </row>
    <row r="163" spans="1:37" ht="15" customHeight="1">
      <c r="A163" s="108"/>
      <c r="B163" s="107"/>
      <c r="C163" s="103"/>
      <c r="D163" s="102"/>
      <c r="E163" s="101"/>
      <c r="F163" s="101"/>
      <c r="G163" s="100" t="str">
        <f t="shared" si="34"/>
        <v/>
      </c>
      <c r="H163" s="99" t="str">
        <f t="shared" si="35"/>
        <v/>
      </c>
      <c r="I163" s="106"/>
      <c r="J163" s="2"/>
      <c r="K163" s="2"/>
      <c r="L163" s="2"/>
      <c r="M163" s="2"/>
      <c r="N163" s="2"/>
      <c r="O163" s="2"/>
      <c r="P163" s="2"/>
      <c r="Q163" s="2"/>
      <c r="S163" s="98">
        <f t="shared" si="36"/>
        <v>0</v>
      </c>
      <c r="T163" s="98">
        <f t="shared" si="37"/>
        <v>0</v>
      </c>
      <c r="U163" s="97">
        <f t="shared" si="38"/>
        <v>0</v>
      </c>
      <c r="V163" s="97">
        <f t="shared" si="39"/>
        <v>0</v>
      </c>
      <c r="X163" s="98" t="e">
        <f t="shared" si="40"/>
        <v>#REF!</v>
      </c>
      <c r="Y163" s="98" t="e">
        <f t="shared" si="41"/>
        <v>#REF!</v>
      </c>
      <c r="Z163" s="97" t="e">
        <f t="shared" si="42"/>
        <v>#REF!</v>
      </c>
      <c r="AA163" s="97" t="e">
        <f t="shared" si="43"/>
        <v>#REF!</v>
      </c>
      <c r="AC163" s="98" t="e">
        <f t="shared" si="44"/>
        <v>#REF!</v>
      </c>
      <c r="AD163" s="98" t="e">
        <f t="shared" si="45"/>
        <v>#REF!</v>
      </c>
      <c r="AE163" s="97" t="e">
        <f t="shared" si="46"/>
        <v>#REF!</v>
      </c>
      <c r="AF163" s="97" t="e">
        <f t="shared" si="47"/>
        <v>#REF!</v>
      </c>
      <c r="AH163" s="98" t="e">
        <f t="shared" si="48"/>
        <v>#REF!</v>
      </c>
      <c r="AI163" s="98" t="e">
        <f t="shared" si="49"/>
        <v>#REF!</v>
      </c>
      <c r="AJ163" s="97" t="e">
        <f t="shared" si="50"/>
        <v>#REF!</v>
      </c>
      <c r="AK163" s="97" t="e">
        <f t="shared" si="51"/>
        <v>#REF!</v>
      </c>
    </row>
    <row r="164" spans="1:37" ht="15" customHeight="1">
      <c r="A164" s="108"/>
      <c r="B164" s="107"/>
      <c r="C164" s="103"/>
      <c r="D164" s="102"/>
      <c r="E164" s="101"/>
      <c r="F164" s="101"/>
      <c r="G164" s="100" t="str">
        <f t="shared" si="34"/>
        <v/>
      </c>
      <c r="H164" s="99" t="str">
        <f t="shared" si="35"/>
        <v/>
      </c>
      <c r="I164" s="106"/>
      <c r="J164" s="2"/>
      <c r="K164" s="2"/>
      <c r="L164" s="2"/>
      <c r="M164" s="2"/>
      <c r="N164" s="2"/>
      <c r="O164" s="2"/>
      <c r="P164" s="2"/>
      <c r="Q164" s="2"/>
      <c r="S164" s="98">
        <f t="shared" si="36"/>
        <v>0</v>
      </c>
      <c r="T164" s="98">
        <f t="shared" si="37"/>
        <v>0</v>
      </c>
      <c r="U164" s="97">
        <f t="shared" si="38"/>
        <v>0</v>
      </c>
      <c r="V164" s="97">
        <f t="shared" si="39"/>
        <v>0</v>
      </c>
      <c r="X164" s="98" t="e">
        <f t="shared" si="40"/>
        <v>#REF!</v>
      </c>
      <c r="Y164" s="98" t="e">
        <f t="shared" si="41"/>
        <v>#REF!</v>
      </c>
      <c r="Z164" s="97" t="e">
        <f t="shared" si="42"/>
        <v>#REF!</v>
      </c>
      <c r="AA164" s="97" t="e">
        <f t="shared" si="43"/>
        <v>#REF!</v>
      </c>
      <c r="AC164" s="98" t="e">
        <f t="shared" si="44"/>
        <v>#REF!</v>
      </c>
      <c r="AD164" s="98" t="e">
        <f t="shared" si="45"/>
        <v>#REF!</v>
      </c>
      <c r="AE164" s="97" t="e">
        <f t="shared" si="46"/>
        <v>#REF!</v>
      </c>
      <c r="AF164" s="97" t="e">
        <f t="shared" si="47"/>
        <v>#REF!</v>
      </c>
      <c r="AH164" s="98" t="e">
        <f t="shared" si="48"/>
        <v>#REF!</v>
      </c>
      <c r="AI164" s="98" t="e">
        <f t="shared" si="49"/>
        <v>#REF!</v>
      </c>
      <c r="AJ164" s="97" t="e">
        <f t="shared" si="50"/>
        <v>#REF!</v>
      </c>
      <c r="AK164" s="97" t="e">
        <f t="shared" si="51"/>
        <v>#REF!</v>
      </c>
    </row>
    <row r="165" spans="1:37" ht="15" customHeight="1">
      <c r="A165" s="108"/>
      <c r="B165" s="107"/>
      <c r="C165" s="103"/>
      <c r="D165" s="102"/>
      <c r="E165" s="101"/>
      <c r="F165" s="101"/>
      <c r="G165" s="100" t="str">
        <f t="shared" si="34"/>
        <v/>
      </c>
      <c r="H165" s="99" t="str">
        <f t="shared" si="35"/>
        <v/>
      </c>
      <c r="I165" s="106"/>
      <c r="J165" s="2"/>
      <c r="K165" s="2"/>
      <c r="L165" s="2"/>
      <c r="M165" s="2"/>
      <c r="N165" s="2"/>
      <c r="O165" s="2"/>
      <c r="P165" s="2"/>
      <c r="Q165" s="2"/>
      <c r="S165" s="98">
        <f t="shared" si="36"/>
        <v>0</v>
      </c>
      <c r="T165" s="98">
        <f t="shared" si="37"/>
        <v>0</v>
      </c>
      <c r="U165" s="97">
        <f t="shared" si="38"/>
        <v>0</v>
      </c>
      <c r="V165" s="97">
        <f t="shared" si="39"/>
        <v>0</v>
      </c>
      <c r="X165" s="98" t="e">
        <f t="shared" si="40"/>
        <v>#REF!</v>
      </c>
      <c r="Y165" s="98" t="e">
        <f t="shared" si="41"/>
        <v>#REF!</v>
      </c>
      <c r="Z165" s="97" t="e">
        <f t="shared" si="42"/>
        <v>#REF!</v>
      </c>
      <c r="AA165" s="97" t="e">
        <f t="shared" si="43"/>
        <v>#REF!</v>
      </c>
      <c r="AC165" s="98" t="e">
        <f t="shared" si="44"/>
        <v>#REF!</v>
      </c>
      <c r="AD165" s="98" t="e">
        <f t="shared" si="45"/>
        <v>#REF!</v>
      </c>
      <c r="AE165" s="97" t="e">
        <f t="shared" si="46"/>
        <v>#REF!</v>
      </c>
      <c r="AF165" s="97" t="e">
        <f t="shared" si="47"/>
        <v>#REF!</v>
      </c>
      <c r="AH165" s="98" t="e">
        <f t="shared" si="48"/>
        <v>#REF!</v>
      </c>
      <c r="AI165" s="98" t="e">
        <f t="shared" si="49"/>
        <v>#REF!</v>
      </c>
      <c r="AJ165" s="97" t="e">
        <f t="shared" si="50"/>
        <v>#REF!</v>
      </c>
      <c r="AK165" s="97" t="e">
        <f t="shared" si="51"/>
        <v>#REF!</v>
      </c>
    </row>
    <row r="166" spans="1:37" ht="15" customHeight="1">
      <c r="A166" s="108"/>
      <c r="B166" s="107"/>
      <c r="C166" s="103"/>
      <c r="D166" s="102"/>
      <c r="E166" s="101"/>
      <c r="F166" s="101"/>
      <c r="G166" s="100" t="str">
        <f t="shared" si="34"/>
        <v/>
      </c>
      <c r="H166" s="99" t="str">
        <f t="shared" si="35"/>
        <v/>
      </c>
      <c r="I166" s="106"/>
      <c r="J166" s="2"/>
      <c r="K166" s="2"/>
      <c r="L166" s="2"/>
      <c r="M166" s="2"/>
      <c r="N166" s="2"/>
      <c r="O166" s="2"/>
      <c r="P166" s="2"/>
      <c r="Q166" s="2"/>
      <c r="S166" s="98">
        <f t="shared" si="36"/>
        <v>0</v>
      </c>
      <c r="T166" s="98">
        <f t="shared" si="37"/>
        <v>0</v>
      </c>
      <c r="U166" s="97">
        <f t="shared" si="38"/>
        <v>0</v>
      </c>
      <c r="V166" s="97">
        <f t="shared" si="39"/>
        <v>0</v>
      </c>
      <c r="X166" s="98" t="e">
        <f t="shared" si="40"/>
        <v>#REF!</v>
      </c>
      <c r="Y166" s="98" t="e">
        <f t="shared" si="41"/>
        <v>#REF!</v>
      </c>
      <c r="Z166" s="97" t="e">
        <f t="shared" si="42"/>
        <v>#REF!</v>
      </c>
      <c r="AA166" s="97" t="e">
        <f t="shared" si="43"/>
        <v>#REF!</v>
      </c>
      <c r="AC166" s="98" t="e">
        <f t="shared" si="44"/>
        <v>#REF!</v>
      </c>
      <c r="AD166" s="98" t="e">
        <f t="shared" si="45"/>
        <v>#REF!</v>
      </c>
      <c r="AE166" s="97" t="e">
        <f t="shared" si="46"/>
        <v>#REF!</v>
      </c>
      <c r="AF166" s="97" t="e">
        <f t="shared" si="47"/>
        <v>#REF!</v>
      </c>
      <c r="AH166" s="98" t="e">
        <f t="shared" si="48"/>
        <v>#REF!</v>
      </c>
      <c r="AI166" s="98" t="e">
        <f t="shared" si="49"/>
        <v>#REF!</v>
      </c>
      <c r="AJ166" s="97" t="e">
        <f t="shared" si="50"/>
        <v>#REF!</v>
      </c>
      <c r="AK166" s="97" t="e">
        <f t="shared" si="51"/>
        <v>#REF!</v>
      </c>
    </row>
    <row r="167" spans="1:37" ht="15" customHeight="1">
      <c r="A167" s="108"/>
      <c r="B167" s="107"/>
      <c r="C167" s="103"/>
      <c r="D167" s="102"/>
      <c r="E167" s="101"/>
      <c r="F167" s="101"/>
      <c r="G167" s="100" t="str">
        <f t="shared" si="34"/>
        <v/>
      </c>
      <c r="H167" s="99" t="str">
        <f t="shared" si="35"/>
        <v/>
      </c>
      <c r="I167" s="106"/>
      <c r="J167" s="2"/>
      <c r="K167" s="2"/>
      <c r="L167" s="2"/>
      <c r="M167" s="2"/>
      <c r="N167" s="2"/>
      <c r="O167" s="2"/>
      <c r="P167" s="2"/>
      <c r="Q167" s="2"/>
      <c r="S167" s="98">
        <f t="shared" si="36"/>
        <v>0</v>
      </c>
      <c r="T167" s="98">
        <f t="shared" si="37"/>
        <v>0</v>
      </c>
      <c r="U167" s="97">
        <f t="shared" si="38"/>
        <v>0</v>
      </c>
      <c r="V167" s="97">
        <f t="shared" si="39"/>
        <v>0</v>
      </c>
      <c r="X167" s="98" t="e">
        <f t="shared" si="40"/>
        <v>#REF!</v>
      </c>
      <c r="Y167" s="98" t="e">
        <f t="shared" si="41"/>
        <v>#REF!</v>
      </c>
      <c r="Z167" s="97" t="e">
        <f t="shared" si="42"/>
        <v>#REF!</v>
      </c>
      <c r="AA167" s="97" t="e">
        <f t="shared" si="43"/>
        <v>#REF!</v>
      </c>
      <c r="AC167" s="98" t="e">
        <f t="shared" si="44"/>
        <v>#REF!</v>
      </c>
      <c r="AD167" s="98" t="e">
        <f t="shared" si="45"/>
        <v>#REF!</v>
      </c>
      <c r="AE167" s="97" t="e">
        <f t="shared" si="46"/>
        <v>#REF!</v>
      </c>
      <c r="AF167" s="97" t="e">
        <f t="shared" si="47"/>
        <v>#REF!</v>
      </c>
      <c r="AH167" s="98" t="e">
        <f t="shared" si="48"/>
        <v>#REF!</v>
      </c>
      <c r="AI167" s="98" t="e">
        <f t="shared" si="49"/>
        <v>#REF!</v>
      </c>
      <c r="AJ167" s="97" t="e">
        <f t="shared" si="50"/>
        <v>#REF!</v>
      </c>
      <c r="AK167" s="97" t="e">
        <f t="shared" si="51"/>
        <v>#REF!</v>
      </c>
    </row>
    <row r="168" spans="1:37" ht="15" customHeight="1">
      <c r="A168" s="108"/>
      <c r="B168" s="107"/>
      <c r="C168" s="103"/>
      <c r="D168" s="102"/>
      <c r="E168" s="101"/>
      <c r="F168" s="101"/>
      <c r="G168" s="100" t="str">
        <f t="shared" si="34"/>
        <v/>
      </c>
      <c r="H168" s="99" t="str">
        <f t="shared" si="35"/>
        <v/>
      </c>
      <c r="I168" s="106"/>
      <c r="J168" s="2"/>
      <c r="K168" s="2"/>
      <c r="L168" s="2"/>
      <c r="M168" s="2"/>
      <c r="N168" s="2"/>
      <c r="O168" s="2"/>
      <c r="P168" s="2"/>
      <c r="Q168" s="2"/>
      <c r="S168" s="98">
        <f t="shared" si="36"/>
        <v>0</v>
      </c>
      <c r="T168" s="98">
        <f t="shared" si="37"/>
        <v>0</v>
      </c>
      <c r="U168" s="97">
        <f t="shared" si="38"/>
        <v>0</v>
      </c>
      <c r="V168" s="97">
        <f t="shared" si="39"/>
        <v>0</v>
      </c>
      <c r="X168" s="98" t="e">
        <f t="shared" si="40"/>
        <v>#REF!</v>
      </c>
      <c r="Y168" s="98" t="e">
        <f t="shared" si="41"/>
        <v>#REF!</v>
      </c>
      <c r="Z168" s="97" t="e">
        <f t="shared" si="42"/>
        <v>#REF!</v>
      </c>
      <c r="AA168" s="97" t="e">
        <f t="shared" si="43"/>
        <v>#REF!</v>
      </c>
      <c r="AC168" s="98" t="e">
        <f t="shared" si="44"/>
        <v>#REF!</v>
      </c>
      <c r="AD168" s="98" t="e">
        <f t="shared" si="45"/>
        <v>#REF!</v>
      </c>
      <c r="AE168" s="97" t="e">
        <f t="shared" si="46"/>
        <v>#REF!</v>
      </c>
      <c r="AF168" s="97" t="e">
        <f t="shared" si="47"/>
        <v>#REF!</v>
      </c>
      <c r="AH168" s="98" t="e">
        <f t="shared" si="48"/>
        <v>#REF!</v>
      </c>
      <c r="AI168" s="98" t="e">
        <f t="shared" si="49"/>
        <v>#REF!</v>
      </c>
      <c r="AJ168" s="97" t="e">
        <f t="shared" si="50"/>
        <v>#REF!</v>
      </c>
      <c r="AK168" s="97" t="e">
        <f t="shared" si="51"/>
        <v>#REF!</v>
      </c>
    </row>
    <row r="169" spans="1:37" ht="15" customHeight="1">
      <c r="A169" s="108"/>
      <c r="B169" s="107"/>
      <c r="C169" s="103"/>
      <c r="D169" s="102"/>
      <c r="E169" s="101"/>
      <c r="F169" s="101"/>
      <c r="G169" s="100" t="str">
        <f t="shared" si="34"/>
        <v/>
      </c>
      <c r="H169" s="99" t="str">
        <f t="shared" si="35"/>
        <v/>
      </c>
      <c r="I169" s="106"/>
      <c r="J169" s="2"/>
      <c r="K169" s="2"/>
      <c r="L169" s="2"/>
      <c r="M169" s="2"/>
      <c r="N169" s="2"/>
      <c r="O169" s="2"/>
      <c r="P169" s="2"/>
      <c r="Q169" s="2"/>
      <c r="S169" s="98">
        <f t="shared" si="36"/>
        <v>0</v>
      </c>
      <c r="T169" s="98">
        <f t="shared" si="37"/>
        <v>0</v>
      </c>
      <c r="U169" s="97">
        <f t="shared" si="38"/>
        <v>0</v>
      </c>
      <c r="V169" s="97">
        <f t="shared" si="39"/>
        <v>0</v>
      </c>
      <c r="X169" s="98" t="e">
        <f t="shared" si="40"/>
        <v>#REF!</v>
      </c>
      <c r="Y169" s="98" t="e">
        <f t="shared" si="41"/>
        <v>#REF!</v>
      </c>
      <c r="Z169" s="97" t="e">
        <f t="shared" si="42"/>
        <v>#REF!</v>
      </c>
      <c r="AA169" s="97" t="e">
        <f t="shared" si="43"/>
        <v>#REF!</v>
      </c>
      <c r="AC169" s="98" t="e">
        <f t="shared" si="44"/>
        <v>#REF!</v>
      </c>
      <c r="AD169" s="98" t="e">
        <f t="shared" si="45"/>
        <v>#REF!</v>
      </c>
      <c r="AE169" s="97" t="e">
        <f t="shared" si="46"/>
        <v>#REF!</v>
      </c>
      <c r="AF169" s="97" t="e">
        <f t="shared" si="47"/>
        <v>#REF!</v>
      </c>
      <c r="AH169" s="98" t="e">
        <f t="shared" si="48"/>
        <v>#REF!</v>
      </c>
      <c r="AI169" s="98" t="e">
        <f t="shared" si="49"/>
        <v>#REF!</v>
      </c>
      <c r="AJ169" s="97" t="e">
        <f t="shared" si="50"/>
        <v>#REF!</v>
      </c>
      <c r="AK169" s="97" t="e">
        <f t="shared" si="51"/>
        <v>#REF!</v>
      </c>
    </row>
    <row r="170" spans="1:37" ht="15" customHeight="1">
      <c r="A170" s="108"/>
      <c r="B170" s="107"/>
      <c r="C170" s="103"/>
      <c r="D170" s="102"/>
      <c r="E170" s="101"/>
      <c r="F170" s="101"/>
      <c r="G170" s="100" t="str">
        <f t="shared" si="34"/>
        <v/>
      </c>
      <c r="H170" s="99" t="str">
        <f t="shared" si="35"/>
        <v/>
      </c>
      <c r="I170" s="106"/>
      <c r="J170" s="2"/>
      <c r="K170" s="2"/>
      <c r="L170" s="2"/>
      <c r="M170" s="2"/>
      <c r="N170" s="2"/>
      <c r="O170" s="2"/>
      <c r="P170" s="2"/>
      <c r="Q170" s="2"/>
      <c r="S170" s="98">
        <f t="shared" si="36"/>
        <v>0</v>
      </c>
      <c r="T170" s="98">
        <f t="shared" si="37"/>
        <v>0</v>
      </c>
      <c r="U170" s="97">
        <f t="shared" si="38"/>
        <v>0</v>
      </c>
      <c r="V170" s="97">
        <f t="shared" si="39"/>
        <v>0</v>
      </c>
      <c r="X170" s="98" t="e">
        <f t="shared" si="40"/>
        <v>#REF!</v>
      </c>
      <c r="Y170" s="98" t="e">
        <f t="shared" si="41"/>
        <v>#REF!</v>
      </c>
      <c r="Z170" s="97" t="e">
        <f t="shared" si="42"/>
        <v>#REF!</v>
      </c>
      <c r="AA170" s="97" t="e">
        <f t="shared" si="43"/>
        <v>#REF!</v>
      </c>
      <c r="AC170" s="98" t="e">
        <f t="shared" si="44"/>
        <v>#REF!</v>
      </c>
      <c r="AD170" s="98" t="e">
        <f t="shared" si="45"/>
        <v>#REF!</v>
      </c>
      <c r="AE170" s="97" t="e">
        <f t="shared" si="46"/>
        <v>#REF!</v>
      </c>
      <c r="AF170" s="97" t="e">
        <f t="shared" si="47"/>
        <v>#REF!</v>
      </c>
      <c r="AH170" s="98" t="e">
        <f t="shared" si="48"/>
        <v>#REF!</v>
      </c>
      <c r="AI170" s="98" t="e">
        <f t="shared" si="49"/>
        <v>#REF!</v>
      </c>
      <c r="AJ170" s="97" t="e">
        <f t="shared" si="50"/>
        <v>#REF!</v>
      </c>
      <c r="AK170" s="97" t="e">
        <f t="shared" si="51"/>
        <v>#REF!</v>
      </c>
    </row>
    <row r="171" spans="1:37" ht="15" customHeight="1">
      <c r="A171" s="108"/>
      <c r="B171" s="107"/>
      <c r="C171" s="103"/>
      <c r="D171" s="102"/>
      <c r="E171" s="101"/>
      <c r="F171" s="101"/>
      <c r="G171" s="100" t="str">
        <f t="shared" si="34"/>
        <v/>
      </c>
      <c r="H171" s="99" t="str">
        <f t="shared" si="35"/>
        <v/>
      </c>
      <c r="I171" s="71"/>
      <c r="J171" s="2"/>
      <c r="K171" s="2"/>
      <c r="L171" s="2"/>
      <c r="M171" s="2"/>
      <c r="N171" s="2"/>
      <c r="O171" s="2"/>
      <c r="P171" s="2"/>
      <c r="Q171" s="2"/>
      <c r="S171" s="98">
        <f t="shared" si="36"/>
        <v>0</v>
      </c>
      <c r="T171" s="98">
        <f t="shared" si="37"/>
        <v>0</v>
      </c>
      <c r="U171" s="97">
        <f t="shared" si="38"/>
        <v>0</v>
      </c>
      <c r="V171" s="97">
        <f t="shared" si="39"/>
        <v>0</v>
      </c>
      <c r="X171" s="98" t="e">
        <f t="shared" si="40"/>
        <v>#REF!</v>
      </c>
      <c r="Y171" s="98" t="e">
        <f t="shared" si="41"/>
        <v>#REF!</v>
      </c>
      <c r="Z171" s="97" t="e">
        <f t="shared" si="42"/>
        <v>#REF!</v>
      </c>
      <c r="AA171" s="97" t="e">
        <f t="shared" si="43"/>
        <v>#REF!</v>
      </c>
      <c r="AC171" s="98" t="e">
        <f t="shared" si="44"/>
        <v>#REF!</v>
      </c>
      <c r="AD171" s="98" t="e">
        <f t="shared" si="45"/>
        <v>#REF!</v>
      </c>
      <c r="AE171" s="97" t="e">
        <f t="shared" si="46"/>
        <v>#REF!</v>
      </c>
      <c r="AF171" s="97" t="e">
        <f t="shared" si="47"/>
        <v>#REF!</v>
      </c>
      <c r="AH171" s="98" t="e">
        <f t="shared" si="48"/>
        <v>#REF!</v>
      </c>
      <c r="AI171" s="98" t="e">
        <f t="shared" si="49"/>
        <v>#REF!</v>
      </c>
      <c r="AJ171" s="97" t="e">
        <f t="shared" si="50"/>
        <v>#REF!</v>
      </c>
      <c r="AK171" s="97" t="e">
        <f t="shared" si="51"/>
        <v>#REF!</v>
      </c>
    </row>
    <row r="172" spans="1:37" ht="15" customHeight="1">
      <c r="A172" s="108"/>
      <c r="B172" s="107"/>
      <c r="C172" s="103"/>
      <c r="D172" s="102"/>
      <c r="E172" s="101"/>
      <c r="F172" s="101"/>
      <c r="G172" s="100" t="str">
        <f t="shared" si="34"/>
        <v/>
      </c>
      <c r="H172" s="99" t="str">
        <f t="shared" si="35"/>
        <v/>
      </c>
      <c r="I172" s="71"/>
      <c r="J172" s="2"/>
      <c r="K172" s="2"/>
      <c r="L172" s="2"/>
      <c r="M172" s="2"/>
      <c r="N172" s="2"/>
      <c r="O172" s="2"/>
      <c r="P172" s="2"/>
      <c r="Q172" s="2"/>
      <c r="S172" s="98">
        <f t="shared" si="36"/>
        <v>0</v>
      </c>
      <c r="T172" s="98">
        <f t="shared" si="37"/>
        <v>0</v>
      </c>
      <c r="U172" s="97">
        <f t="shared" si="38"/>
        <v>0</v>
      </c>
      <c r="V172" s="97">
        <f t="shared" si="39"/>
        <v>0</v>
      </c>
      <c r="X172" s="98" t="e">
        <f t="shared" si="40"/>
        <v>#REF!</v>
      </c>
      <c r="Y172" s="98" t="e">
        <f t="shared" si="41"/>
        <v>#REF!</v>
      </c>
      <c r="Z172" s="97" t="e">
        <f t="shared" si="42"/>
        <v>#REF!</v>
      </c>
      <c r="AA172" s="97" t="e">
        <f t="shared" si="43"/>
        <v>#REF!</v>
      </c>
      <c r="AC172" s="98" t="e">
        <f t="shared" si="44"/>
        <v>#REF!</v>
      </c>
      <c r="AD172" s="98" t="e">
        <f t="shared" si="45"/>
        <v>#REF!</v>
      </c>
      <c r="AE172" s="97" t="e">
        <f t="shared" si="46"/>
        <v>#REF!</v>
      </c>
      <c r="AF172" s="97" t="e">
        <f t="shared" si="47"/>
        <v>#REF!</v>
      </c>
      <c r="AH172" s="98" t="e">
        <f t="shared" si="48"/>
        <v>#REF!</v>
      </c>
      <c r="AI172" s="98" t="e">
        <f t="shared" si="49"/>
        <v>#REF!</v>
      </c>
      <c r="AJ172" s="97" t="e">
        <f t="shared" si="50"/>
        <v>#REF!</v>
      </c>
      <c r="AK172" s="97" t="e">
        <f t="shared" si="51"/>
        <v>#REF!</v>
      </c>
    </row>
    <row r="173" spans="1:37" ht="15" customHeight="1">
      <c r="A173" s="108"/>
      <c r="B173" s="107"/>
      <c r="C173" s="103"/>
      <c r="D173" s="102"/>
      <c r="E173" s="101"/>
      <c r="F173" s="101"/>
      <c r="G173" s="100" t="str">
        <f t="shared" si="34"/>
        <v/>
      </c>
      <c r="H173" s="99" t="str">
        <f t="shared" si="35"/>
        <v/>
      </c>
      <c r="I173" s="71"/>
      <c r="J173" s="2"/>
      <c r="K173" s="2"/>
      <c r="L173" s="2"/>
      <c r="M173" s="2"/>
      <c r="N173" s="2"/>
      <c r="O173" s="2"/>
      <c r="P173" s="2"/>
      <c r="Q173" s="2"/>
      <c r="S173" s="98">
        <f t="shared" si="36"/>
        <v>0</v>
      </c>
      <c r="T173" s="98">
        <f t="shared" si="37"/>
        <v>0</v>
      </c>
      <c r="U173" s="97">
        <f t="shared" si="38"/>
        <v>0</v>
      </c>
      <c r="V173" s="97">
        <f t="shared" si="39"/>
        <v>0</v>
      </c>
      <c r="X173" s="98" t="e">
        <f t="shared" si="40"/>
        <v>#REF!</v>
      </c>
      <c r="Y173" s="98" t="e">
        <f t="shared" si="41"/>
        <v>#REF!</v>
      </c>
      <c r="Z173" s="97" t="e">
        <f t="shared" si="42"/>
        <v>#REF!</v>
      </c>
      <c r="AA173" s="97" t="e">
        <f t="shared" si="43"/>
        <v>#REF!</v>
      </c>
      <c r="AC173" s="98" t="e">
        <f t="shared" si="44"/>
        <v>#REF!</v>
      </c>
      <c r="AD173" s="98" t="e">
        <f t="shared" si="45"/>
        <v>#REF!</v>
      </c>
      <c r="AE173" s="97" t="e">
        <f t="shared" si="46"/>
        <v>#REF!</v>
      </c>
      <c r="AF173" s="97" t="e">
        <f t="shared" si="47"/>
        <v>#REF!</v>
      </c>
      <c r="AH173" s="98" t="e">
        <f t="shared" si="48"/>
        <v>#REF!</v>
      </c>
      <c r="AI173" s="98" t="e">
        <f t="shared" si="49"/>
        <v>#REF!</v>
      </c>
      <c r="AJ173" s="97" t="e">
        <f t="shared" si="50"/>
        <v>#REF!</v>
      </c>
      <c r="AK173" s="97" t="e">
        <f t="shared" si="51"/>
        <v>#REF!</v>
      </c>
    </row>
    <row r="174" spans="1:37" ht="15" customHeight="1">
      <c r="A174" s="108"/>
      <c r="B174" s="107"/>
      <c r="C174" s="103"/>
      <c r="D174" s="102"/>
      <c r="E174" s="101"/>
      <c r="F174" s="101"/>
      <c r="G174" s="100" t="str">
        <f t="shared" si="34"/>
        <v/>
      </c>
      <c r="H174" s="99" t="str">
        <f t="shared" si="35"/>
        <v/>
      </c>
      <c r="I174" s="71"/>
      <c r="J174" s="2"/>
      <c r="K174" s="2"/>
      <c r="L174" s="2"/>
      <c r="M174" s="2"/>
      <c r="N174" s="2"/>
      <c r="O174" s="2"/>
      <c r="P174" s="2"/>
      <c r="Q174" s="2"/>
      <c r="S174" s="98">
        <f t="shared" si="36"/>
        <v>0</v>
      </c>
      <c r="T174" s="98">
        <f t="shared" si="37"/>
        <v>0</v>
      </c>
      <c r="U174" s="97">
        <f t="shared" si="38"/>
        <v>0</v>
      </c>
      <c r="V174" s="97">
        <f t="shared" si="39"/>
        <v>0</v>
      </c>
      <c r="X174" s="98" t="e">
        <f t="shared" si="40"/>
        <v>#REF!</v>
      </c>
      <c r="Y174" s="98" t="e">
        <f t="shared" si="41"/>
        <v>#REF!</v>
      </c>
      <c r="Z174" s="97" t="e">
        <f t="shared" si="42"/>
        <v>#REF!</v>
      </c>
      <c r="AA174" s="97" t="e">
        <f t="shared" si="43"/>
        <v>#REF!</v>
      </c>
      <c r="AC174" s="98" t="e">
        <f t="shared" si="44"/>
        <v>#REF!</v>
      </c>
      <c r="AD174" s="98" t="e">
        <f t="shared" si="45"/>
        <v>#REF!</v>
      </c>
      <c r="AE174" s="97" t="e">
        <f t="shared" si="46"/>
        <v>#REF!</v>
      </c>
      <c r="AF174" s="97" t="e">
        <f t="shared" si="47"/>
        <v>#REF!</v>
      </c>
      <c r="AH174" s="98" t="e">
        <f t="shared" si="48"/>
        <v>#REF!</v>
      </c>
      <c r="AI174" s="98" t="e">
        <f t="shared" si="49"/>
        <v>#REF!</v>
      </c>
      <c r="AJ174" s="97" t="e">
        <f t="shared" si="50"/>
        <v>#REF!</v>
      </c>
      <c r="AK174" s="97" t="e">
        <f t="shared" si="51"/>
        <v>#REF!</v>
      </c>
    </row>
    <row r="175" spans="1:37" ht="15" customHeight="1">
      <c r="A175" s="108"/>
      <c r="B175" s="107"/>
      <c r="C175" s="103"/>
      <c r="D175" s="102"/>
      <c r="E175" s="101"/>
      <c r="F175" s="101"/>
      <c r="G175" s="100" t="str">
        <f t="shared" si="34"/>
        <v/>
      </c>
      <c r="H175" s="99" t="str">
        <f t="shared" si="35"/>
        <v/>
      </c>
      <c r="I175" s="106"/>
      <c r="J175" s="2"/>
      <c r="K175" s="2"/>
      <c r="L175" s="2"/>
      <c r="M175" s="2"/>
      <c r="N175" s="2"/>
      <c r="O175" s="2"/>
      <c r="P175" s="2"/>
      <c r="Q175" s="2"/>
      <c r="S175" s="98">
        <f t="shared" si="36"/>
        <v>0</v>
      </c>
      <c r="T175" s="98">
        <f t="shared" si="37"/>
        <v>0</v>
      </c>
      <c r="U175" s="97">
        <f t="shared" si="38"/>
        <v>0</v>
      </c>
      <c r="V175" s="97">
        <f t="shared" si="39"/>
        <v>0</v>
      </c>
      <c r="X175" s="98" t="e">
        <f t="shared" si="40"/>
        <v>#REF!</v>
      </c>
      <c r="Y175" s="98" t="e">
        <f t="shared" si="41"/>
        <v>#REF!</v>
      </c>
      <c r="Z175" s="97" t="e">
        <f t="shared" si="42"/>
        <v>#REF!</v>
      </c>
      <c r="AA175" s="97" t="e">
        <f t="shared" si="43"/>
        <v>#REF!</v>
      </c>
      <c r="AC175" s="98" t="e">
        <f t="shared" si="44"/>
        <v>#REF!</v>
      </c>
      <c r="AD175" s="98" t="e">
        <f t="shared" si="45"/>
        <v>#REF!</v>
      </c>
      <c r="AE175" s="97" t="e">
        <f t="shared" si="46"/>
        <v>#REF!</v>
      </c>
      <c r="AF175" s="97" t="e">
        <f t="shared" si="47"/>
        <v>#REF!</v>
      </c>
      <c r="AH175" s="98" t="e">
        <f t="shared" si="48"/>
        <v>#REF!</v>
      </c>
      <c r="AI175" s="98" t="e">
        <f t="shared" si="49"/>
        <v>#REF!</v>
      </c>
      <c r="AJ175" s="97" t="e">
        <f t="shared" si="50"/>
        <v>#REF!</v>
      </c>
      <c r="AK175" s="97" t="e">
        <f t="shared" si="51"/>
        <v>#REF!</v>
      </c>
    </row>
    <row r="176" spans="1:37" ht="15" customHeight="1">
      <c r="A176" s="105"/>
      <c r="B176" s="104"/>
      <c r="C176" s="103"/>
      <c r="D176" s="102"/>
      <c r="E176" s="101"/>
      <c r="F176" s="101"/>
      <c r="G176" s="100" t="str">
        <f t="shared" si="34"/>
        <v/>
      </c>
      <c r="H176" s="99" t="str">
        <f t="shared" si="35"/>
        <v/>
      </c>
      <c r="I176" s="106"/>
      <c r="J176" s="2"/>
      <c r="K176" s="2"/>
      <c r="L176" s="2"/>
      <c r="M176" s="2"/>
      <c r="N176" s="2"/>
      <c r="O176" s="2"/>
      <c r="P176" s="2"/>
      <c r="Q176" s="2"/>
      <c r="S176" s="98">
        <f t="shared" si="36"/>
        <v>0</v>
      </c>
      <c r="T176" s="98">
        <f t="shared" si="37"/>
        <v>0</v>
      </c>
      <c r="U176" s="97">
        <f t="shared" si="38"/>
        <v>0</v>
      </c>
      <c r="V176" s="97">
        <f t="shared" si="39"/>
        <v>0</v>
      </c>
      <c r="X176" s="98" t="e">
        <f t="shared" si="40"/>
        <v>#REF!</v>
      </c>
      <c r="Y176" s="98" t="e">
        <f t="shared" si="41"/>
        <v>#REF!</v>
      </c>
      <c r="Z176" s="97" t="e">
        <f t="shared" si="42"/>
        <v>#REF!</v>
      </c>
      <c r="AA176" s="97" t="e">
        <f t="shared" si="43"/>
        <v>#REF!</v>
      </c>
      <c r="AC176" s="98" t="e">
        <f t="shared" si="44"/>
        <v>#REF!</v>
      </c>
      <c r="AD176" s="98" t="e">
        <f t="shared" si="45"/>
        <v>#REF!</v>
      </c>
      <c r="AE176" s="97" t="e">
        <f t="shared" si="46"/>
        <v>#REF!</v>
      </c>
      <c r="AF176" s="97" t="e">
        <f t="shared" si="47"/>
        <v>#REF!</v>
      </c>
      <c r="AH176" s="98" t="e">
        <f t="shared" si="48"/>
        <v>#REF!</v>
      </c>
      <c r="AI176" s="98" t="e">
        <f t="shared" si="49"/>
        <v>#REF!</v>
      </c>
      <c r="AJ176" s="97" t="e">
        <f t="shared" si="50"/>
        <v>#REF!</v>
      </c>
      <c r="AK176" s="97" t="e">
        <f t="shared" si="51"/>
        <v>#REF!</v>
      </c>
    </row>
    <row r="177" spans="1:37" ht="15" customHeight="1">
      <c r="A177" s="108"/>
      <c r="B177" s="107"/>
      <c r="C177" s="103"/>
      <c r="D177" s="102"/>
      <c r="E177" s="101"/>
      <c r="F177" s="101"/>
      <c r="G177" s="100" t="str">
        <f t="shared" si="34"/>
        <v/>
      </c>
      <c r="H177" s="99" t="str">
        <f t="shared" si="35"/>
        <v/>
      </c>
      <c r="I177" s="71"/>
      <c r="J177" s="2"/>
      <c r="K177" s="2"/>
      <c r="L177" s="2"/>
      <c r="M177" s="2"/>
      <c r="N177" s="2"/>
      <c r="O177" s="2"/>
      <c r="P177" s="2"/>
      <c r="Q177" s="2"/>
      <c r="S177" s="98">
        <f t="shared" si="36"/>
        <v>0</v>
      </c>
      <c r="T177" s="98">
        <f t="shared" si="37"/>
        <v>0</v>
      </c>
      <c r="U177" s="97">
        <f t="shared" si="38"/>
        <v>0</v>
      </c>
      <c r="V177" s="97">
        <f t="shared" si="39"/>
        <v>0</v>
      </c>
      <c r="X177" s="98" t="e">
        <f t="shared" si="40"/>
        <v>#REF!</v>
      </c>
      <c r="Y177" s="98" t="e">
        <f t="shared" si="41"/>
        <v>#REF!</v>
      </c>
      <c r="Z177" s="97" t="e">
        <f t="shared" si="42"/>
        <v>#REF!</v>
      </c>
      <c r="AA177" s="97" t="e">
        <f t="shared" si="43"/>
        <v>#REF!</v>
      </c>
      <c r="AC177" s="98" t="e">
        <f t="shared" si="44"/>
        <v>#REF!</v>
      </c>
      <c r="AD177" s="98" t="e">
        <f t="shared" si="45"/>
        <v>#REF!</v>
      </c>
      <c r="AE177" s="97" t="e">
        <f t="shared" si="46"/>
        <v>#REF!</v>
      </c>
      <c r="AF177" s="97" t="e">
        <f t="shared" si="47"/>
        <v>#REF!</v>
      </c>
      <c r="AH177" s="98" t="e">
        <f t="shared" si="48"/>
        <v>#REF!</v>
      </c>
      <c r="AI177" s="98" t="e">
        <f t="shared" si="49"/>
        <v>#REF!</v>
      </c>
      <c r="AJ177" s="97" t="e">
        <f t="shared" si="50"/>
        <v>#REF!</v>
      </c>
      <c r="AK177" s="97" t="e">
        <f t="shared" si="51"/>
        <v>#REF!</v>
      </c>
    </row>
    <row r="178" spans="1:37" ht="15" customHeight="1">
      <c r="A178" s="108"/>
      <c r="B178" s="107"/>
      <c r="C178" s="103"/>
      <c r="D178" s="102"/>
      <c r="E178" s="101"/>
      <c r="F178" s="101"/>
      <c r="G178" s="100" t="str">
        <f t="shared" si="34"/>
        <v/>
      </c>
      <c r="H178" s="99" t="str">
        <f t="shared" si="35"/>
        <v/>
      </c>
      <c r="I178" s="71"/>
      <c r="J178" s="2"/>
      <c r="K178" s="2"/>
      <c r="L178" s="2"/>
      <c r="M178" s="2"/>
      <c r="N178" s="2"/>
      <c r="O178" s="2"/>
      <c r="P178" s="2"/>
      <c r="Q178" s="2"/>
      <c r="S178" s="98">
        <f t="shared" si="36"/>
        <v>0</v>
      </c>
      <c r="T178" s="98">
        <f t="shared" si="37"/>
        <v>0</v>
      </c>
      <c r="U178" s="97">
        <f t="shared" si="38"/>
        <v>0</v>
      </c>
      <c r="V178" s="97">
        <f t="shared" si="39"/>
        <v>0</v>
      </c>
      <c r="X178" s="98" t="e">
        <f t="shared" si="40"/>
        <v>#REF!</v>
      </c>
      <c r="Y178" s="98" t="e">
        <f t="shared" si="41"/>
        <v>#REF!</v>
      </c>
      <c r="Z178" s="97" t="e">
        <f t="shared" si="42"/>
        <v>#REF!</v>
      </c>
      <c r="AA178" s="97" t="e">
        <f t="shared" si="43"/>
        <v>#REF!</v>
      </c>
      <c r="AC178" s="98" t="e">
        <f t="shared" si="44"/>
        <v>#REF!</v>
      </c>
      <c r="AD178" s="98" t="e">
        <f t="shared" si="45"/>
        <v>#REF!</v>
      </c>
      <c r="AE178" s="97" t="e">
        <f t="shared" si="46"/>
        <v>#REF!</v>
      </c>
      <c r="AF178" s="97" t="e">
        <f t="shared" si="47"/>
        <v>#REF!</v>
      </c>
      <c r="AH178" s="98" t="e">
        <f t="shared" si="48"/>
        <v>#REF!</v>
      </c>
      <c r="AI178" s="98" t="e">
        <f t="shared" si="49"/>
        <v>#REF!</v>
      </c>
      <c r="AJ178" s="97" t="e">
        <f t="shared" si="50"/>
        <v>#REF!</v>
      </c>
      <c r="AK178" s="97" t="e">
        <f t="shared" si="51"/>
        <v>#REF!</v>
      </c>
    </row>
    <row r="179" spans="1:37" ht="15" customHeight="1">
      <c r="A179" s="105"/>
      <c r="B179" s="104"/>
      <c r="C179" s="103"/>
      <c r="D179" s="102"/>
      <c r="E179" s="101"/>
      <c r="F179" s="101"/>
      <c r="G179" s="100" t="str">
        <f t="shared" si="34"/>
        <v/>
      </c>
      <c r="H179" s="99" t="str">
        <f t="shared" si="35"/>
        <v/>
      </c>
      <c r="I179" s="106"/>
      <c r="J179" s="2"/>
      <c r="K179" s="2"/>
      <c r="L179" s="2"/>
      <c r="M179" s="2"/>
      <c r="N179" s="2"/>
      <c r="O179" s="2"/>
      <c r="P179" s="2"/>
      <c r="Q179" s="2"/>
      <c r="S179" s="98">
        <f t="shared" si="36"/>
        <v>0</v>
      </c>
      <c r="T179" s="98">
        <f t="shared" si="37"/>
        <v>0</v>
      </c>
      <c r="U179" s="97">
        <f t="shared" si="38"/>
        <v>0</v>
      </c>
      <c r="V179" s="97">
        <f t="shared" si="39"/>
        <v>0</v>
      </c>
      <c r="X179" s="98" t="e">
        <f t="shared" si="40"/>
        <v>#REF!</v>
      </c>
      <c r="Y179" s="98" t="e">
        <f t="shared" si="41"/>
        <v>#REF!</v>
      </c>
      <c r="Z179" s="97" t="e">
        <f t="shared" si="42"/>
        <v>#REF!</v>
      </c>
      <c r="AA179" s="97" t="e">
        <f t="shared" si="43"/>
        <v>#REF!</v>
      </c>
      <c r="AC179" s="98" t="e">
        <f t="shared" si="44"/>
        <v>#REF!</v>
      </c>
      <c r="AD179" s="98" t="e">
        <f t="shared" si="45"/>
        <v>#REF!</v>
      </c>
      <c r="AE179" s="97" t="e">
        <f t="shared" si="46"/>
        <v>#REF!</v>
      </c>
      <c r="AF179" s="97" t="e">
        <f t="shared" si="47"/>
        <v>#REF!</v>
      </c>
      <c r="AH179" s="98" t="e">
        <f t="shared" si="48"/>
        <v>#REF!</v>
      </c>
      <c r="AI179" s="98" t="e">
        <f t="shared" si="49"/>
        <v>#REF!</v>
      </c>
      <c r="AJ179" s="97" t="e">
        <f t="shared" si="50"/>
        <v>#REF!</v>
      </c>
      <c r="AK179" s="97" t="e">
        <f t="shared" si="51"/>
        <v>#REF!</v>
      </c>
    </row>
    <row r="180" spans="1:37" ht="15" customHeight="1">
      <c r="A180" s="108"/>
      <c r="B180" s="109"/>
      <c r="C180" s="103"/>
      <c r="D180" s="102"/>
      <c r="E180" s="101"/>
      <c r="F180" s="101"/>
      <c r="G180" s="100" t="str">
        <f t="shared" si="34"/>
        <v/>
      </c>
      <c r="H180" s="99" t="str">
        <f t="shared" si="35"/>
        <v/>
      </c>
      <c r="I180" s="71"/>
      <c r="J180" s="2"/>
      <c r="K180" s="2"/>
      <c r="L180" s="2"/>
      <c r="M180" s="2"/>
      <c r="N180" s="2"/>
      <c r="O180" s="2"/>
      <c r="P180" s="2"/>
      <c r="Q180" s="2"/>
      <c r="S180" s="98">
        <f t="shared" si="36"/>
        <v>0</v>
      </c>
      <c r="T180" s="98">
        <f t="shared" si="37"/>
        <v>0</v>
      </c>
      <c r="U180" s="97">
        <f t="shared" si="38"/>
        <v>0</v>
      </c>
      <c r="V180" s="97">
        <f t="shared" si="39"/>
        <v>0</v>
      </c>
      <c r="X180" s="98" t="e">
        <f t="shared" si="40"/>
        <v>#REF!</v>
      </c>
      <c r="Y180" s="98" t="e">
        <f t="shared" si="41"/>
        <v>#REF!</v>
      </c>
      <c r="Z180" s="97" t="e">
        <f t="shared" si="42"/>
        <v>#REF!</v>
      </c>
      <c r="AA180" s="97" t="e">
        <f t="shared" si="43"/>
        <v>#REF!</v>
      </c>
      <c r="AC180" s="98" t="e">
        <f t="shared" si="44"/>
        <v>#REF!</v>
      </c>
      <c r="AD180" s="98" t="e">
        <f t="shared" si="45"/>
        <v>#REF!</v>
      </c>
      <c r="AE180" s="97" t="e">
        <f t="shared" si="46"/>
        <v>#REF!</v>
      </c>
      <c r="AF180" s="97" t="e">
        <f t="shared" si="47"/>
        <v>#REF!</v>
      </c>
      <c r="AH180" s="98" t="e">
        <f t="shared" si="48"/>
        <v>#REF!</v>
      </c>
      <c r="AI180" s="98" t="e">
        <f t="shared" si="49"/>
        <v>#REF!</v>
      </c>
      <c r="AJ180" s="97" t="e">
        <f t="shared" si="50"/>
        <v>#REF!</v>
      </c>
      <c r="AK180" s="97" t="e">
        <f t="shared" si="51"/>
        <v>#REF!</v>
      </c>
    </row>
    <row r="181" spans="1:37" ht="15" customHeight="1">
      <c r="A181" s="108"/>
      <c r="B181" s="109"/>
      <c r="C181" s="103"/>
      <c r="D181" s="102"/>
      <c r="E181" s="101"/>
      <c r="F181" s="101"/>
      <c r="G181" s="100" t="str">
        <f t="shared" si="34"/>
        <v/>
      </c>
      <c r="H181" s="99" t="str">
        <f t="shared" si="35"/>
        <v/>
      </c>
      <c r="I181" s="71"/>
      <c r="J181" s="2"/>
      <c r="K181" s="2"/>
      <c r="L181" s="2"/>
      <c r="M181" s="2"/>
      <c r="N181" s="2"/>
      <c r="O181" s="2"/>
      <c r="P181" s="2"/>
      <c r="Q181" s="2"/>
      <c r="S181" s="98">
        <f t="shared" si="36"/>
        <v>0</v>
      </c>
      <c r="T181" s="98">
        <f t="shared" si="37"/>
        <v>0</v>
      </c>
      <c r="U181" s="97">
        <f t="shared" si="38"/>
        <v>0</v>
      </c>
      <c r="V181" s="97">
        <f t="shared" si="39"/>
        <v>0</v>
      </c>
      <c r="X181" s="98" t="e">
        <f t="shared" si="40"/>
        <v>#REF!</v>
      </c>
      <c r="Y181" s="98" t="e">
        <f t="shared" si="41"/>
        <v>#REF!</v>
      </c>
      <c r="Z181" s="97" t="e">
        <f t="shared" si="42"/>
        <v>#REF!</v>
      </c>
      <c r="AA181" s="97" t="e">
        <f t="shared" si="43"/>
        <v>#REF!</v>
      </c>
      <c r="AC181" s="98" t="e">
        <f t="shared" si="44"/>
        <v>#REF!</v>
      </c>
      <c r="AD181" s="98" t="e">
        <f t="shared" si="45"/>
        <v>#REF!</v>
      </c>
      <c r="AE181" s="97" t="e">
        <f t="shared" si="46"/>
        <v>#REF!</v>
      </c>
      <c r="AF181" s="97" t="e">
        <f t="shared" si="47"/>
        <v>#REF!</v>
      </c>
      <c r="AH181" s="98" t="e">
        <f t="shared" si="48"/>
        <v>#REF!</v>
      </c>
      <c r="AI181" s="98" t="e">
        <f t="shared" si="49"/>
        <v>#REF!</v>
      </c>
      <c r="AJ181" s="97" t="e">
        <f t="shared" si="50"/>
        <v>#REF!</v>
      </c>
      <c r="AK181" s="97" t="e">
        <f t="shared" si="51"/>
        <v>#REF!</v>
      </c>
    </row>
    <row r="182" spans="1:37" ht="15" customHeight="1">
      <c r="A182" s="108"/>
      <c r="B182" s="109"/>
      <c r="C182" s="103"/>
      <c r="D182" s="102"/>
      <c r="E182" s="101"/>
      <c r="F182" s="101"/>
      <c r="G182" s="100" t="str">
        <f t="shared" si="34"/>
        <v/>
      </c>
      <c r="H182" s="99" t="str">
        <f t="shared" si="35"/>
        <v/>
      </c>
      <c r="I182" s="71"/>
      <c r="J182" s="2"/>
      <c r="K182" s="2"/>
      <c r="L182" s="2"/>
      <c r="M182" s="2"/>
      <c r="N182" s="2"/>
      <c r="O182" s="2"/>
      <c r="P182" s="2"/>
      <c r="Q182" s="2"/>
      <c r="S182" s="98">
        <f t="shared" si="36"/>
        <v>0</v>
      </c>
      <c r="T182" s="98">
        <f t="shared" si="37"/>
        <v>0</v>
      </c>
      <c r="U182" s="97">
        <f t="shared" si="38"/>
        <v>0</v>
      </c>
      <c r="V182" s="97">
        <f t="shared" si="39"/>
        <v>0</v>
      </c>
      <c r="X182" s="98" t="e">
        <f t="shared" si="40"/>
        <v>#REF!</v>
      </c>
      <c r="Y182" s="98" t="e">
        <f t="shared" si="41"/>
        <v>#REF!</v>
      </c>
      <c r="Z182" s="97" t="e">
        <f t="shared" si="42"/>
        <v>#REF!</v>
      </c>
      <c r="AA182" s="97" t="e">
        <f t="shared" si="43"/>
        <v>#REF!</v>
      </c>
      <c r="AC182" s="98" t="e">
        <f t="shared" si="44"/>
        <v>#REF!</v>
      </c>
      <c r="AD182" s="98" t="e">
        <f t="shared" si="45"/>
        <v>#REF!</v>
      </c>
      <c r="AE182" s="97" t="e">
        <f t="shared" si="46"/>
        <v>#REF!</v>
      </c>
      <c r="AF182" s="97" t="e">
        <f t="shared" si="47"/>
        <v>#REF!</v>
      </c>
      <c r="AH182" s="98" t="e">
        <f t="shared" si="48"/>
        <v>#REF!</v>
      </c>
      <c r="AI182" s="98" t="e">
        <f t="shared" si="49"/>
        <v>#REF!</v>
      </c>
      <c r="AJ182" s="97" t="e">
        <f t="shared" si="50"/>
        <v>#REF!</v>
      </c>
      <c r="AK182" s="97" t="e">
        <f t="shared" si="51"/>
        <v>#REF!</v>
      </c>
    </row>
    <row r="183" spans="1:37" ht="15" customHeight="1">
      <c r="A183" s="108"/>
      <c r="B183" s="109"/>
      <c r="C183" s="103"/>
      <c r="D183" s="102"/>
      <c r="E183" s="101"/>
      <c r="F183" s="101"/>
      <c r="G183" s="100" t="str">
        <f t="shared" si="34"/>
        <v/>
      </c>
      <c r="H183" s="99" t="str">
        <f t="shared" si="35"/>
        <v/>
      </c>
      <c r="I183" s="106"/>
      <c r="J183" s="2"/>
      <c r="K183" s="2"/>
      <c r="L183" s="2"/>
      <c r="M183" s="2"/>
      <c r="N183" s="2"/>
      <c r="O183" s="2"/>
      <c r="P183" s="2"/>
      <c r="Q183" s="2"/>
      <c r="S183" s="98">
        <f t="shared" si="36"/>
        <v>0</v>
      </c>
      <c r="T183" s="98">
        <f t="shared" si="37"/>
        <v>0</v>
      </c>
      <c r="U183" s="97">
        <f t="shared" si="38"/>
        <v>0</v>
      </c>
      <c r="V183" s="97">
        <f t="shared" si="39"/>
        <v>0</v>
      </c>
      <c r="X183" s="98" t="e">
        <f t="shared" si="40"/>
        <v>#REF!</v>
      </c>
      <c r="Y183" s="98" t="e">
        <f t="shared" si="41"/>
        <v>#REF!</v>
      </c>
      <c r="Z183" s="97" t="e">
        <f t="shared" si="42"/>
        <v>#REF!</v>
      </c>
      <c r="AA183" s="97" t="e">
        <f t="shared" si="43"/>
        <v>#REF!</v>
      </c>
      <c r="AC183" s="98" t="e">
        <f t="shared" si="44"/>
        <v>#REF!</v>
      </c>
      <c r="AD183" s="98" t="e">
        <f t="shared" si="45"/>
        <v>#REF!</v>
      </c>
      <c r="AE183" s="97" t="e">
        <f t="shared" si="46"/>
        <v>#REF!</v>
      </c>
      <c r="AF183" s="97" t="e">
        <f t="shared" si="47"/>
        <v>#REF!</v>
      </c>
      <c r="AH183" s="98" t="e">
        <f t="shared" si="48"/>
        <v>#REF!</v>
      </c>
      <c r="AI183" s="98" t="e">
        <f t="shared" si="49"/>
        <v>#REF!</v>
      </c>
      <c r="AJ183" s="97" t="e">
        <f t="shared" si="50"/>
        <v>#REF!</v>
      </c>
      <c r="AK183" s="97" t="e">
        <f t="shared" si="51"/>
        <v>#REF!</v>
      </c>
    </row>
    <row r="184" spans="1:37" ht="15" customHeight="1">
      <c r="A184" s="108"/>
      <c r="B184" s="107"/>
      <c r="C184" s="103"/>
      <c r="D184" s="102"/>
      <c r="E184" s="101"/>
      <c r="F184" s="101"/>
      <c r="G184" s="100" t="str">
        <f t="shared" si="34"/>
        <v/>
      </c>
      <c r="H184" s="99" t="str">
        <f t="shared" si="35"/>
        <v/>
      </c>
      <c r="I184" s="106"/>
      <c r="J184" s="2"/>
      <c r="K184" s="2"/>
      <c r="L184" s="2"/>
      <c r="M184" s="2"/>
      <c r="N184" s="2"/>
      <c r="O184" s="2"/>
      <c r="P184" s="2"/>
      <c r="Q184" s="2"/>
      <c r="S184" s="98">
        <f t="shared" si="36"/>
        <v>0</v>
      </c>
      <c r="T184" s="98">
        <f t="shared" si="37"/>
        <v>0</v>
      </c>
      <c r="U184" s="97">
        <f t="shared" si="38"/>
        <v>0</v>
      </c>
      <c r="V184" s="97">
        <f t="shared" si="39"/>
        <v>0</v>
      </c>
      <c r="X184" s="98" t="e">
        <f t="shared" si="40"/>
        <v>#REF!</v>
      </c>
      <c r="Y184" s="98" t="e">
        <f t="shared" si="41"/>
        <v>#REF!</v>
      </c>
      <c r="Z184" s="97" t="e">
        <f t="shared" si="42"/>
        <v>#REF!</v>
      </c>
      <c r="AA184" s="97" t="e">
        <f t="shared" si="43"/>
        <v>#REF!</v>
      </c>
      <c r="AC184" s="98" t="e">
        <f t="shared" si="44"/>
        <v>#REF!</v>
      </c>
      <c r="AD184" s="98" t="e">
        <f t="shared" si="45"/>
        <v>#REF!</v>
      </c>
      <c r="AE184" s="97" t="e">
        <f t="shared" si="46"/>
        <v>#REF!</v>
      </c>
      <c r="AF184" s="97" t="e">
        <f t="shared" si="47"/>
        <v>#REF!</v>
      </c>
      <c r="AH184" s="98" t="e">
        <f t="shared" si="48"/>
        <v>#REF!</v>
      </c>
      <c r="AI184" s="98" t="e">
        <f t="shared" si="49"/>
        <v>#REF!</v>
      </c>
      <c r="AJ184" s="97" t="e">
        <f t="shared" si="50"/>
        <v>#REF!</v>
      </c>
      <c r="AK184" s="97" t="e">
        <f t="shared" si="51"/>
        <v>#REF!</v>
      </c>
    </row>
    <row r="185" spans="1:37" ht="15" customHeight="1">
      <c r="A185" s="108"/>
      <c r="B185" s="107"/>
      <c r="C185" s="103"/>
      <c r="D185" s="102"/>
      <c r="E185" s="101"/>
      <c r="F185" s="101"/>
      <c r="G185" s="100" t="str">
        <f t="shared" si="34"/>
        <v/>
      </c>
      <c r="H185" s="99" t="str">
        <f t="shared" si="35"/>
        <v/>
      </c>
      <c r="I185" s="106"/>
      <c r="J185" s="2"/>
      <c r="K185" s="2"/>
      <c r="L185" s="2"/>
      <c r="M185" s="2"/>
      <c r="N185" s="2"/>
      <c r="O185" s="2"/>
      <c r="P185" s="2"/>
      <c r="Q185" s="2"/>
      <c r="S185" s="98">
        <f t="shared" si="36"/>
        <v>0</v>
      </c>
      <c r="T185" s="98">
        <f t="shared" si="37"/>
        <v>0</v>
      </c>
      <c r="U185" s="97">
        <f t="shared" si="38"/>
        <v>0</v>
      </c>
      <c r="V185" s="97">
        <f t="shared" si="39"/>
        <v>0</v>
      </c>
      <c r="X185" s="98" t="e">
        <f t="shared" si="40"/>
        <v>#REF!</v>
      </c>
      <c r="Y185" s="98" t="e">
        <f t="shared" si="41"/>
        <v>#REF!</v>
      </c>
      <c r="Z185" s="97" t="e">
        <f t="shared" si="42"/>
        <v>#REF!</v>
      </c>
      <c r="AA185" s="97" t="e">
        <f t="shared" si="43"/>
        <v>#REF!</v>
      </c>
      <c r="AC185" s="98" t="e">
        <f t="shared" si="44"/>
        <v>#REF!</v>
      </c>
      <c r="AD185" s="98" t="e">
        <f t="shared" si="45"/>
        <v>#REF!</v>
      </c>
      <c r="AE185" s="97" t="e">
        <f t="shared" si="46"/>
        <v>#REF!</v>
      </c>
      <c r="AF185" s="97" t="e">
        <f t="shared" si="47"/>
        <v>#REF!</v>
      </c>
      <c r="AH185" s="98" t="e">
        <f t="shared" si="48"/>
        <v>#REF!</v>
      </c>
      <c r="AI185" s="98" t="e">
        <f t="shared" si="49"/>
        <v>#REF!</v>
      </c>
      <c r="AJ185" s="97" t="e">
        <f t="shared" si="50"/>
        <v>#REF!</v>
      </c>
      <c r="AK185" s="97" t="e">
        <f t="shared" si="51"/>
        <v>#REF!</v>
      </c>
    </row>
    <row r="186" spans="1:37" ht="15" customHeight="1">
      <c r="A186" s="108"/>
      <c r="B186" s="107"/>
      <c r="C186" s="103"/>
      <c r="D186" s="102"/>
      <c r="E186" s="101"/>
      <c r="F186" s="101"/>
      <c r="G186" s="100" t="str">
        <f t="shared" si="34"/>
        <v/>
      </c>
      <c r="H186" s="99" t="str">
        <f t="shared" si="35"/>
        <v/>
      </c>
      <c r="I186" s="106"/>
      <c r="J186" s="2"/>
      <c r="K186" s="2"/>
      <c r="L186" s="2"/>
      <c r="M186" s="2"/>
      <c r="N186" s="2"/>
      <c r="O186" s="2"/>
      <c r="P186" s="2"/>
      <c r="Q186" s="2"/>
      <c r="S186" s="98">
        <f t="shared" si="36"/>
        <v>0</v>
      </c>
      <c r="T186" s="98">
        <f t="shared" si="37"/>
        <v>0</v>
      </c>
      <c r="U186" s="97">
        <f t="shared" si="38"/>
        <v>0</v>
      </c>
      <c r="V186" s="97">
        <f t="shared" si="39"/>
        <v>0</v>
      </c>
      <c r="X186" s="98" t="e">
        <f t="shared" si="40"/>
        <v>#REF!</v>
      </c>
      <c r="Y186" s="98" t="e">
        <f t="shared" si="41"/>
        <v>#REF!</v>
      </c>
      <c r="Z186" s="97" t="e">
        <f t="shared" si="42"/>
        <v>#REF!</v>
      </c>
      <c r="AA186" s="97" t="e">
        <f t="shared" si="43"/>
        <v>#REF!</v>
      </c>
      <c r="AC186" s="98" t="e">
        <f t="shared" si="44"/>
        <v>#REF!</v>
      </c>
      <c r="AD186" s="98" t="e">
        <f t="shared" si="45"/>
        <v>#REF!</v>
      </c>
      <c r="AE186" s="97" t="e">
        <f t="shared" si="46"/>
        <v>#REF!</v>
      </c>
      <c r="AF186" s="97" t="e">
        <f t="shared" si="47"/>
        <v>#REF!</v>
      </c>
      <c r="AH186" s="98" t="e">
        <f t="shared" si="48"/>
        <v>#REF!</v>
      </c>
      <c r="AI186" s="98" t="e">
        <f t="shared" si="49"/>
        <v>#REF!</v>
      </c>
      <c r="AJ186" s="97" t="e">
        <f t="shared" si="50"/>
        <v>#REF!</v>
      </c>
      <c r="AK186" s="97" t="e">
        <f t="shared" si="51"/>
        <v>#REF!</v>
      </c>
    </row>
    <row r="187" spans="1:37" ht="15" customHeight="1">
      <c r="A187" s="108"/>
      <c r="B187" s="107"/>
      <c r="C187" s="103"/>
      <c r="D187" s="102"/>
      <c r="E187" s="101"/>
      <c r="F187" s="101"/>
      <c r="G187" s="100" t="str">
        <f t="shared" si="34"/>
        <v/>
      </c>
      <c r="H187" s="99" t="str">
        <f t="shared" si="35"/>
        <v/>
      </c>
      <c r="I187" s="106"/>
      <c r="J187" s="2"/>
      <c r="K187" s="2"/>
      <c r="L187" s="2"/>
      <c r="M187" s="2"/>
      <c r="N187" s="2"/>
      <c r="O187" s="2"/>
      <c r="P187" s="2"/>
      <c r="Q187" s="2"/>
      <c r="S187" s="98">
        <f t="shared" si="36"/>
        <v>0</v>
      </c>
      <c r="T187" s="98">
        <f t="shared" si="37"/>
        <v>0</v>
      </c>
      <c r="U187" s="97">
        <f t="shared" si="38"/>
        <v>0</v>
      </c>
      <c r="V187" s="97">
        <f t="shared" si="39"/>
        <v>0</v>
      </c>
      <c r="X187" s="98" t="e">
        <f t="shared" si="40"/>
        <v>#REF!</v>
      </c>
      <c r="Y187" s="98" t="e">
        <f t="shared" si="41"/>
        <v>#REF!</v>
      </c>
      <c r="Z187" s="97" t="e">
        <f t="shared" si="42"/>
        <v>#REF!</v>
      </c>
      <c r="AA187" s="97" t="e">
        <f t="shared" si="43"/>
        <v>#REF!</v>
      </c>
      <c r="AC187" s="98" t="e">
        <f t="shared" si="44"/>
        <v>#REF!</v>
      </c>
      <c r="AD187" s="98" t="e">
        <f t="shared" si="45"/>
        <v>#REF!</v>
      </c>
      <c r="AE187" s="97" t="e">
        <f t="shared" si="46"/>
        <v>#REF!</v>
      </c>
      <c r="AF187" s="97" t="e">
        <f t="shared" si="47"/>
        <v>#REF!</v>
      </c>
      <c r="AH187" s="98" t="e">
        <f t="shared" si="48"/>
        <v>#REF!</v>
      </c>
      <c r="AI187" s="98" t="e">
        <f t="shared" si="49"/>
        <v>#REF!</v>
      </c>
      <c r="AJ187" s="97" t="e">
        <f t="shared" si="50"/>
        <v>#REF!</v>
      </c>
      <c r="AK187" s="97" t="e">
        <f t="shared" si="51"/>
        <v>#REF!</v>
      </c>
    </row>
    <row r="188" spans="1:37" ht="15" customHeight="1">
      <c r="A188" s="108"/>
      <c r="B188" s="107"/>
      <c r="C188" s="103"/>
      <c r="D188" s="102"/>
      <c r="E188" s="101"/>
      <c r="F188" s="101"/>
      <c r="G188" s="100" t="str">
        <f t="shared" si="34"/>
        <v/>
      </c>
      <c r="H188" s="99" t="str">
        <f t="shared" si="35"/>
        <v/>
      </c>
      <c r="I188" s="106"/>
      <c r="J188" s="2"/>
      <c r="K188" s="2"/>
      <c r="L188" s="2"/>
      <c r="M188" s="2"/>
      <c r="N188" s="2"/>
      <c r="O188" s="2"/>
      <c r="P188" s="2"/>
      <c r="Q188" s="2"/>
      <c r="S188" s="98">
        <f t="shared" si="36"/>
        <v>0</v>
      </c>
      <c r="T188" s="98">
        <f t="shared" si="37"/>
        <v>0</v>
      </c>
      <c r="U188" s="97">
        <f t="shared" si="38"/>
        <v>0</v>
      </c>
      <c r="V188" s="97">
        <f t="shared" si="39"/>
        <v>0</v>
      </c>
      <c r="X188" s="98" t="e">
        <f t="shared" si="40"/>
        <v>#REF!</v>
      </c>
      <c r="Y188" s="98" t="e">
        <f t="shared" si="41"/>
        <v>#REF!</v>
      </c>
      <c r="Z188" s="97" t="e">
        <f t="shared" si="42"/>
        <v>#REF!</v>
      </c>
      <c r="AA188" s="97" t="e">
        <f t="shared" si="43"/>
        <v>#REF!</v>
      </c>
      <c r="AC188" s="98" t="e">
        <f t="shared" si="44"/>
        <v>#REF!</v>
      </c>
      <c r="AD188" s="98" t="e">
        <f t="shared" si="45"/>
        <v>#REF!</v>
      </c>
      <c r="AE188" s="97" t="e">
        <f t="shared" si="46"/>
        <v>#REF!</v>
      </c>
      <c r="AF188" s="97" t="e">
        <f t="shared" si="47"/>
        <v>#REF!</v>
      </c>
      <c r="AH188" s="98" t="e">
        <f t="shared" si="48"/>
        <v>#REF!</v>
      </c>
      <c r="AI188" s="98" t="e">
        <f t="shared" si="49"/>
        <v>#REF!</v>
      </c>
      <c r="AJ188" s="97" t="e">
        <f t="shared" si="50"/>
        <v>#REF!</v>
      </c>
      <c r="AK188" s="97" t="e">
        <f t="shared" si="51"/>
        <v>#REF!</v>
      </c>
    </row>
    <row r="189" spans="1:37" ht="15" customHeight="1">
      <c r="A189" s="108"/>
      <c r="B189" s="107"/>
      <c r="C189" s="103"/>
      <c r="D189" s="102"/>
      <c r="E189" s="101"/>
      <c r="F189" s="101"/>
      <c r="G189" s="100" t="str">
        <f t="shared" si="34"/>
        <v/>
      </c>
      <c r="H189" s="99" t="str">
        <f t="shared" si="35"/>
        <v/>
      </c>
      <c r="I189" s="106"/>
      <c r="J189" s="2"/>
      <c r="K189" s="2"/>
      <c r="L189" s="2"/>
      <c r="M189" s="2"/>
      <c r="N189" s="2"/>
      <c r="O189" s="2"/>
      <c r="P189" s="2"/>
      <c r="Q189" s="2"/>
      <c r="S189" s="98">
        <f t="shared" si="36"/>
        <v>0</v>
      </c>
      <c r="T189" s="98">
        <f t="shared" si="37"/>
        <v>0</v>
      </c>
      <c r="U189" s="97">
        <f t="shared" si="38"/>
        <v>0</v>
      </c>
      <c r="V189" s="97">
        <f t="shared" si="39"/>
        <v>0</v>
      </c>
      <c r="X189" s="98" t="e">
        <f t="shared" si="40"/>
        <v>#REF!</v>
      </c>
      <c r="Y189" s="98" t="e">
        <f t="shared" si="41"/>
        <v>#REF!</v>
      </c>
      <c r="Z189" s="97" t="e">
        <f t="shared" si="42"/>
        <v>#REF!</v>
      </c>
      <c r="AA189" s="97" t="e">
        <f t="shared" si="43"/>
        <v>#REF!</v>
      </c>
      <c r="AC189" s="98" t="e">
        <f t="shared" si="44"/>
        <v>#REF!</v>
      </c>
      <c r="AD189" s="98" t="e">
        <f t="shared" si="45"/>
        <v>#REF!</v>
      </c>
      <c r="AE189" s="97" t="e">
        <f t="shared" si="46"/>
        <v>#REF!</v>
      </c>
      <c r="AF189" s="97" t="e">
        <f t="shared" si="47"/>
        <v>#REF!</v>
      </c>
      <c r="AH189" s="98" t="e">
        <f t="shared" si="48"/>
        <v>#REF!</v>
      </c>
      <c r="AI189" s="98" t="e">
        <f t="shared" si="49"/>
        <v>#REF!</v>
      </c>
      <c r="AJ189" s="97" t="e">
        <f t="shared" si="50"/>
        <v>#REF!</v>
      </c>
      <c r="AK189" s="97" t="e">
        <f t="shared" si="51"/>
        <v>#REF!</v>
      </c>
    </row>
    <row r="190" spans="1:37" ht="15" customHeight="1">
      <c r="A190" s="108"/>
      <c r="B190" s="107"/>
      <c r="C190" s="103"/>
      <c r="D190" s="102"/>
      <c r="E190" s="101"/>
      <c r="F190" s="101"/>
      <c r="G190" s="100" t="str">
        <f t="shared" si="34"/>
        <v/>
      </c>
      <c r="H190" s="99" t="str">
        <f t="shared" si="35"/>
        <v/>
      </c>
      <c r="I190" s="106"/>
      <c r="J190" s="2"/>
      <c r="K190" s="2"/>
      <c r="L190" s="2"/>
      <c r="M190" s="2"/>
      <c r="N190" s="2"/>
      <c r="O190" s="2"/>
      <c r="P190" s="2"/>
      <c r="Q190" s="2"/>
      <c r="S190" s="98">
        <f t="shared" si="36"/>
        <v>0</v>
      </c>
      <c r="T190" s="98">
        <f t="shared" si="37"/>
        <v>0</v>
      </c>
      <c r="U190" s="97">
        <f t="shared" si="38"/>
        <v>0</v>
      </c>
      <c r="V190" s="97">
        <f t="shared" si="39"/>
        <v>0</v>
      </c>
      <c r="X190" s="98" t="e">
        <f t="shared" si="40"/>
        <v>#REF!</v>
      </c>
      <c r="Y190" s="98" t="e">
        <f t="shared" si="41"/>
        <v>#REF!</v>
      </c>
      <c r="Z190" s="97" t="e">
        <f t="shared" si="42"/>
        <v>#REF!</v>
      </c>
      <c r="AA190" s="97" t="e">
        <f t="shared" si="43"/>
        <v>#REF!</v>
      </c>
      <c r="AC190" s="98" t="e">
        <f t="shared" si="44"/>
        <v>#REF!</v>
      </c>
      <c r="AD190" s="98" t="e">
        <f t="shared" si="45"/>
        <v>#REF!</v>
      </c>
      <c r="AE190" s="97" t="e">
        <f t="shared" si="46"/>
        <v>#REF!</v>
      </c>
      <c r="AF190" s="97" t="e">
        <f t="shared" si="47"/>
        <v>#REF!</v>
      </c>
      <c r="AH190" s="98" t="e">
        <f t="shared" si="48"/>
        <v>#REF!</v>
      </c>
      <c r="AI190" s="98" t="e">
        <f t="shared" si="49"/>
        <v>#REF!</v>
      </c>
      <c r="AJ190" s="97" t="e">
        <f t="shared" si="50"/>
        <v>#REF!</v>
      </c>
      <c r="AK190" s="97" t="e">
        <f t="shared" si="51"/>
        <v>#REF!</v>
      </c>
    </row>
    <row r="191" spans="1:37" ht="15" customHeight="1">
      <c r="A191" s="108"/>
      <c r="B191" s="107"/>
      <c r="C191" s="103"/>
      <c r="D191" s="102"/>
      <c r="E191" s="101"/>
      <c r="F191" s="101"/>
      <c r="G191" s="100" t="str">
        <f t="shared" si="34"/>
        <v/>
      </c>
      <c r="H191" s="99" t="str">
        <f t="shared" si="35"/>
        <v/>
      </c>
      <c r="I191" s="106"/>
      <c r="J191" s="2"/>
      <c r="K191" s="2"/>
      <c r="L191" s="2"/>
      <c r="M191" s="2"/>
      <c r="N191" s="2"/>
      <c r="O191" s="2"/>
      <c r="P191" s="2"/>
      <c r="Q191" s="2"/>
      <c r="S191" s="98">
        <f t="shared" si="36"/>
        <v>0</v>
      </c>
      <c r="T191" s="98">
        <f t="shared" si="37"/>
        <v>0</v>
      </c>
      <c r="U191" s="97">
        <f t="shared" si="38"/>
        <v>0</v>
      </c>
      <c r="V191" s="97">
        <f t="shared" si="39"/>
        <v>0</v>
      </c>
      <c r="X191" s="98" t="e">
        <f t="shared" si="40"/>
        <v>#REF!</v>
      </c>
      <c r="Y191" s="98" t="e">
        <f t="shared" si="41"/>
        <v>#REF!</v>
      </c>
      <c r="Z191" s="97" t="e">
        <f t="shared" si="42"/>
        <v>#REF!</v>
      </c>
      <c r="AA191" s="97" t="e">
        <f t="shared" si="43"/>
        <v>#REF!</v>
      </c>
      <c r="AC191" s="98" t="e">
        <f t="shared" si="44"/>
        <v>#REF!</v>
      </c>
      <c r="AD191" s="98" t="e">
        <f t="shared" si="45"/>
        <v>#REF!</v>
      </c>
      <c r="AE191" s="97" t="e">
        <f t="shared" si="46"/>
        <v>#REF!</v>
      </c>
      <c r="AF191" s="97" t="e">
        <f t="shared" si="47"/>
        <v>#REF!</v>
      </c>
      <c r="AH191" s="98" t="e">
        <f t="shared" si="48"/>
        <v>#REF!</v>
      </c>
      <c r="AI191" s="98" t="e">
        <f t="shared" si="49"/>
        <v>#REF!</v>
      </c>
      <c r="AJ191" s="97" t="e">
        <f t="shared" si="50"/>
        <v>#REF!</v>
      </c>
      <c r="AK191" s="97" t="e">
        <f t="shared" si="51"/>
        <v>#REF!</v>
      </c>
    </row>
    <row r="192" spans="1:37" ht="15" customHeight="1">
      <c r="A192" s="108"/>
      <c r="B192" s="109"/>
      <c r="C192" s="103"/>
      <c r="D192" s="102"/>
      <c r="E192" s="101"/>
      <c r="F192" s="101"/>
      <c r="G192" s="100" t="str">
        <f t="shared" ref="G192:G255" si="52">IF(AND(D192="",E192=""),"",IF(D192="",E192,D192+E192))</f>
        <v/>
      </c>
      <c r="H192" s="99" t="str">
        <f t="shared" ref="H192:H255" si="53">IF(AND(D192="",F192=""),"",IF(D192="",F192,D192+F192))</f>
        <v/>
      </c>
      <c r="I192" s="106"/>
      <c r="J192" s="2"/>
      <c r="K192" s="2"/>
      <c r="L192" s="2"/>
      <c r="M192" s="2"/>
      <c r="N192" s="2"/>
      <c r="O192" s="2"/>
      <c r="P192" s="2"/>
      <c r="Q192" s="2"/>
      <c r="S192" s="98">
        <f t="shared" si="36"/>
        <v>0</v>
      </c>
      <c r="T192" s="98">
        <f t="shared" si="37"/>
        <v>0</v>
      </c>
      <c r="U192" s="97">
        <f t="shared" si="38"/>
        <v>0</v>
      </c>
      <c r="V192" s="97">
        <f t="shared" si="39"/>
        <v>0</v>
      </c>
      <c r="X192" s="98" t="e">
        <f t="shared" si="40"/>
        <v>#REF!</v>
      </c>
      <c r="Y192" s="98" t="e">
        <f t="shared" si="41"/>
        <v>#REF!</v>
      </c>
      <c r="Z192" s="97" t="e">
        <f t="shared" si="42"/>
        <v>#REF!</v>
      </c>
      <c r="AA192" s="97" t="e">
        <f t="shared" si="43"/>
        <v>#REF!</v>
      </c>
      <c r="AC192" s="98" t="e">
        <f t="shared" si="44"/>
        <v>#REF!</v>
      </c>
      <c r="AD192" s="98" t="e">
        <f t="shared" si="45"/>
        <v>#REF!</v>
      </c>
      <c r="AE192" s="97" t="e">
        <f t="shared" si="46"/>
        <v>#REF!</v>
      </c>
      <c r="AF192" s="97" t="e">
        <f t="shared" si="47"/>
        <v>#REF!</v>
      </c>
      <c r="AH192" s="98" t="e">
        <f t="shared" si="48"/>
        <v>#REF!</v>
      </c>
      <c r="AI192" s="98" t="e">
        <f t="shared" si="49"/>
        <v>#REF!</v>
      </c>
      <c r="AJ192" s="97" t="e">
        <f t="shared" si="50"/>
        <v>#REF!</v>
      </c>
      <c r="AK192" s="97" t="e">
        <f t="shared" si="51"/>
        <v>#REF!</v>
      </c>
    </row>
    <row r="193" spans="1:898 1130:1961 2134:3033 3315:3315" ht="15" customHeight="1">
      <c r="A193" s="108"/>
      <c r="B193" s="107"/>
      <c r="C193" s="103"/>
      <c r="D193" s="102"/>
      <c r="E193" s="101"/>
      <c r="F193" s="101"/>
      <c r="G193" s="100" t="str">
        <f t="shared" si="52"/>
        <v/>
      </c>
      <c r="H193" s="99" t="str">
        <f t="shared" si="53"/>
        <v/>
      </c>
      <c r="I193" s="106"/>
      <c r="J193" s="2"/>
      <c r="K193" s="2"/>
      <c r="L193" s="2"/>
      <c r="M193" s="2"/>
      <c r="N193" s="2"/>
      <c r="O193" s="2"/>
      <c r="P193" s="2"/>
      <c r="Q193" s="2"/>
      <c r="S193" s="98">
        <f t="shared" si="36"/>
        <v>0</v>
      </c>
      <c r="T193" s="98">
        <f t="shared" si="37"/>
        <v>0</v>
      </c>
      <c r="U193" s="97">
        <f t="shared" si="38"/>
        <v>0</v>
      </c>
      <c r="V193" s="97">
        <f t="shared" si="39"/>
        <v>0</v>
      </c>
      <c r="X193" s="98" t="e">
        <f t="shared" si="40"/>
        <v>#REF!</v>
      </c>
      <c r="Y193" s="98" t="e">
        <f t="shared" si="41"/>
        <v>#REF!</v>
      </c>
      <c r="Z193" s="97" t="e">
        <f t="shared" si="42"/>
        <v>#REF!</v>
      </c>
      <c r="AA193" s="97" t="e">
        <f t="shared" si="43"/>
        <v>#REF!</v>
      </c>
      <c r="AC193" s="98" t="e">
        <f t="shared" si="44"/>
        <v>#REF!</v>
      </c>
      <c r="AD193" s="98" t="e">
        <f t="shared" si="45"/>
        <v>#REF!</v>
      </c>
      <c r="AE193" s="97" t="e">
        <f t="shared" si="46"/>
        <v>#REF!</v>
      </c>
      <c r="AF193" s="97" t="e">
        <f t="shared" si="47"/>
        <v>#REF!</v>
      </c>
      <c r="AH193" s="98" t="e">
        <f t="shared" si="48"/>
        <v>#REF!</v>
      </c>
      <c r="AI193" s="98" t="e">
        <f t="shared" si="49"/>
        <v>#REF!</v>
      </c>
      <c r="AJ193" s="97" t="e">
        <f t="shared" si="50"/>
        <v>#REF!</v>
      </c>
      <c r="AK193" s="97" t="e">
        <f t="shared" si="51"/>
        <v>#REF!</v>
      </c>
    </row>
    <row r="194" spans="1:898 1130:1961 2134:3033 3315:3315" ht="15" customHeight="1">
      <c r="A194" s="108"/>
      <c r="B194" s="109"/>
      <c r="C194" s="103"/>
      <c r="D194" s="102"/>
      <c r="E194" s="101"/>
      <c r="F194" s="101"/>
      <c r="G194" s="100" t="str">
        <f t="shared" si="52"/>
        <v/>
      </c>
      <c r="H194" s="99" t="str">
        <f t="shared" si="53"/>
        <v/>
      </c>
      <c r="I194" s="106"/>
      <c r="J194" s="2"/>
      <c r="K194" s="2"/>
      <c r="L194" s="2"/>
      <c r="M194" s="2"/>
      <c r="N194" s="2"/>
      <c r="O194" s="2"/>
      <c r="P194" s="2"/>
      <c r="Q194" s="2"/>
      <c r="S194" s="98">
        <f t="shared" si="36"/>
        <v>0</v>
      </c>
      <c r="T194" s="98">
        <f t="shared" si="37"/>
        <v>0</v>
      </c>
      <c r="U194" s="97">
        <f t="shared" si="38"/>
        <v>0</v>
      </c>
      <c r="V194" s="97">
        <f t="shared" si="39"/>
        <v>0</v>
      </c>
      <c r="X194" s="98" t="e">
        <f t="shared" si="40"/>
        <v>#REF!</v>
      </c>
      <c r="Y194" s="98" t="e">
        <f t="shared" si="41"/>
        <v>#REF!</v>
      </c>
      <c r="Z194" s="97" t="e">
        <f t="shared" si="42"/>
        <v>#REF!</v>
      </c>
      <c r="AA194" s="97" t="e">
        <f t="shared" si="43"/>
        <v>#REF!</v>
      </c>
      <c r="AC194" s="98" t="e">
        <f t="shared" si="44"/>
        <v>#REF!</v>
      </c>
      <c r="AD194" s="98" t="e">
        <f t="shared" si="45"/>
        <v>#REF!</v>
      </c>
      <c r="AE194" s="97" t="e">
        <f t="shared" si="46"/>
        <v>#REF!</v>
      </c>
      <c r="AF194" s="97" t="e">
        <f t="shared" si="47"/>
        <v>#REF!</v>
      </c>
      <c r="AH194" s="98" t="e">
        <f t="shared" si="48"/>
        <v>#REF!</v>
      </c>
      <c r="AI194" s="98" t="e">
        <f t="shared" si="49"/>
        <v>#REF!</v>
      </c>
      <c r="AJ194" s="97" t="e">
        <f t="shared" si="50"/>
        <v>#REF!</v>
      </c>
      <c r="AK194" s="97" t="e">
        <f t="shared" si="51"/>
        <v>#REF!</v>
      </c>
    </row>
    <row r="195" spans="1:898 1130:1961 2134:3033 3315:3315" ht="15" customHeight="1">
      <c r="A195" s="108"/>
      <c r="B195" s="107"/>
      <c r="C195" s="103"/>
      <c r="D195" s="102"/>
      <c r="E195" s="101"/>
      <c r="F195" s="101"/>
      <c r="G195" s="100" t="str">
        <f t="shared" si="52"/>
        <v/>
      </c>
      <c r="H195" s="99" t="str">
        <f t="shared" si="53"/>
        <v/>
      </c>
      <c r="I195" s="71"/>
      <c r="J195" s="2"/>
      <c r="K195" s="2"/>
      <c r="L195" s="2"/>
      <c r="M195" s="2"/>
      <c r="N195" s="2"/>
      <c r="O195" s="2"/>
      <c r="P195" s="2"/>
      <c r="Q195" s="2"/>
      <c r="S195" s="98">
        <f t="shared" si="36"/>
        <v>0</v>
      </c>
      <c r="T195" s="98">
        <f t="shared" si="37"/>
        <v>0</v>
      </c>
      <c r="U195" s="97">
        <f t="shared" si="38"/>
        <v>0</v>
      </c>
      <c r="V195" s="97">
        <f t="shared" si="39"/>
        <v>0</v>
      </c>
      <c r="X195" s="98" t="e">
        <f t="shared" si="40"/>
        <v>#REF!</v>
      </c>
      <c r="Y195" s="98" t="e">
        <f t="shared" si="41"/>
        <v>#REF!</v>
      </c>
      <c r="Z195" s="97" t="e">
        <f t="shared" si="42"/>
        <v>#REF!</v>
      </c>
      <c r="AA195" s="97" t="e">
        <f t="shared" si="43"/>
        <v>#REF!</v>
      </c>
      <c r="AC195" s="98" t="e">
        <f t="shared" si="44"/>
        <v>#REF!</v>
      </c>
      <c r="AD195" s="98" t="e">
        <f t="shared" si="45"/>
        <v>#REF!</v>
      </c>
      <c r="AE195" s="97" t="e">
        <f t="shared" si="46"/>
        <v>#REF!</v>
      </c>
      <c r="AF195" s="97" t="e">
        <f t="shared" si="47"/>
        <v>#REF!</v>
      </c>
      <c r="AH195" s="98" t="e">
        <f t="shared" si="48"/>
        <v>#REF!</v>
      </c>
      <c r="AI195" s="98" t="e">
        <f t="shared" si="49"/>
        <v>#REF!</v>
      </c>
      <c r="AJ195" s="97" t="e">
        <f t="shared" si="50"/>
        <v>#REF!</v>
      </c>
      <c r="AK195" s="97" t="e">
        <f t="shared" si="51"/>
        <v>#REF!</v>
      </c>
      <c r="EU195" s="111"/>
      <c r="EV195" s="111"/>
      <c r="GM195" s="111"/>
      <c r="LK195" s="111"/>
      <c r="SJ195" s="111"/>
      <c r="TN195" s="111"/>
      <c r="WJ195" s="111"/>
      <c r="XG195" s="111"/>
      <c r="AFG195" s="111"/>
      <c r="AHC195" s="111"/>
      <c r="AHN195" s="111"/>
      <c r="AQL195" s="111"/>
      <c r="AYQ195" s="111"/>
      <c r="BBW195" s="111"/>
      <c r="BOW195" s="111"/>
      <c r="BRB195" s="111"/>
      <c r="BWK195" s="111"/>
      <c r="CDB195" s="111"/>
      <c r="CEH195" s="111"/>
      <c r="CHE195" s="111"/>
      <c r="CIE195" s="111"/>
      <c r="CJY195" s="111"/>
      <c r="CNP195" s="111"/>
      <c r="CVA195" s="111"/>
      <c r="CXO195" s="111"/>
      <c r="DAR195" s="111"/>
      <c r="DEG195" s="111"/>
      <c r="DEH195" s="111"/>
      <c r="DEJ195" s="111"/>
      <c r="DEM195" s="111"/>
      <c r="DET195" s="111"/>
      <c r="DEZ195" s="111"/>
      <c r="DIM195" s="111"/>
      <c r="DKR195" s="111"/>
      <c r="DLQ195" s="111"/>
      <c r="DWM195" s="111"/>
    </row>
    <row r="196" spans="1:898 1130:1961 2134:3033 3315:3315" ht="15" customHeight="1">
      <c r="A196" s="108"/>
      <c r="B196" s="109"/>
      <c r="C196" s="103"/>
      <c r="D196" s="102"/>
      <c r="E196" s="101"/>
      <c r="F196" s="101"/>
      <c r="G196" s="100" t="str">
        <f t="shared" si="52"/>
        <v/>
      </c>
      <c r="H196" s="99" t="str">
        <f t="shared" si="53"/>
        <v/>
      </c>
      <c r="I196" s="106"/>
      <c r="J196" s="2"/>
      <c r="K196" s="2"/>
      <c r="L196" s="2"/>
      <c r="M196" s="2"/>
      <c r="N196" s="2"/>
      <c r="O196" s="2"/>
      <c r="P196" s="2"/>
      <c r="Q196" s="2"/>
      <c r="S196" s="98">
        <f t="shared" si="36"/>
        <v>0</v>
      </c>
      <c r="T196" s="98">
        <f t="shared" si="37"/>
        <v>0</v>
      </c>
      <c r="U196" s="97">
        <f t="shared" si="38"/>
        <v>0</v>
      </c>
      <c r="V196" s="97">
        <f t="shared" si="39"/>
        <v>0</v>
      </c>
      <c r="X196" s="98" t="e">
        <f t="shared" si="40"/>
        <v>#REF!</v>
      </c>
      <c r="Y196" s="98" t="e">
        <f t="shared" si="41"/>
        <v>#REF!</v>
      </c>
      <c r="Z196" s="97" t="e">
        <f t="shared" si="42"/>
        <v>#REF!</v>
      </c>
      <c r="AA196" s="97" t="e">
        <f t="shared" si="43"/>
        <v>#REF!</v>
      </c>
      <c r="AC196" s="98" t="e">
        <f t="shared" si="44"/>
        <v>#REF!</v>
      </c>
      <c r="AD196" s="98" t="e">
        <f t="shared" si="45"/>
        <v>#REF!</v>
      </c>
      <c r="AE196" s="97" t="e">
        <f t="shared" si="46"/>
        <v>#REF!</v>
      </c>
      <c r="AF196" s="97" t="e">
        <f t="shared" si="47"/>
        <v>#REF!</v>
      </c>
      <c r="AH196" s="98" t="e">
        <f t="shared" si="48"/>
        <v>#REF!</v>
      </c>
      <c r="AI196" s="98" t="e">
        <f t="shared" si="49"/>
        <v>#REF!</v>
      </c>
      <c r="AJ196" s="97" t="e">
        <f t="shared" si="50"/>
        <v>#REF!</v>
      </c>
      <c r="AK196" s="97" t="e">
        <f t="shared" si="51"/>
        <v>#REF!</v>
      </c>
    </row>
    <row r="197" spans="1:898 1130:1961 2134:3033 3315:3315" ht="15" customHeight="1">
      <c r="A197" s="108"/>
      <c r="B197" s="107"/>
      <c r="C197" s="103"/>
      <c r="D197" s="102"/>
      <c r="E197" s="101"/>
      <c r="F197" s="101"/>
      <c r="G197" s="100" t="str">
        <f t="shared" si="52"/>
        <v/>
      </c>
      <c r="H197" s="99" t="str">
        <f t="shared" si="53"/>
        <v/>
      </c>
      <c r="I197" s="71"/>
      <c r="J197" s="2"/>
      <c r="K197" s="2"/>
      <c r="L197" s="2"/>
      <c r="M197" s="2"/>
      <c r="N197" s="2"/>
      <c r="O197" s="2"/>
      <c r="P197" s="2"/>
      <c r="Q197" s="2"/>
      <c r="S197" s="98">
        <f t="shared" si="36"/>
        <v>0</v>
      </c>
      <c r="T197" s="98">
        <f t="shared" si="37"/>
        <v>0</v>
      </c>
      <c r="U197" s="97">
        <f t="shared" si="38"/>
        <v>0</v>
      </c>
      <c r="V197" s="97">
        <f t="shared" si="39"/>
        <v>0</v>
      </c>
      <c r="X197" s="98" t="e">
        <f t="shared" si="40"/>
        <v>#REF!</v>
      </c>
      <c r="Y197" s="98" t="e">
        <f t="shared" si="41"/>
        <v>#REF!</v>
      </c>
      <c r="Z197" s="97" t="e">
        <f t="shared" si="42"/>
        <v>#REF!</v>
      </c>
      <c r="AA197" s="97" t="e">
        <f t="shared" si="43"/>
        <v>#REF!</v>
      </c>
      <c r="AC197" s="98" t="e">
        <f t="shared" si="44"/>
        <v>#REF!</v>
      </c>
      <c r="AD197" s="98" t="e">
        <f t="shared" si="45"/>
        <v>#REF!</v>
      </c>
      <c r="AE197" s="97" t="e">
        <f t="shared" si="46"/>
        <v>#REF!</v>
      </c>
      <c r="AF197" s="97" t="e">
        <f t="shared" si="47"/>
        <v>#REF!</v>
      </c>
      <c r="AH197" s="98" t="e">
        <f t="shared" si="48"/>
        <v>#REF!</v>
      </c>
      <c r="AI197" s="98" t="e">
        <f t="shared" si="49"/>
        <v>#REF!</v>
      </c>
      <c r="AJ197" s="97" t="e">
        <f t="shared" si="50"/>
        <v>#REF!</v>
      </c>
      <c r="AK197" s="97" t="e">
        <f t="shared" si="51"/>
        <v>#REF!</v>
      </c>
      <c r="EU197" s="111"/>
      <c r="EV197" s="111"/>
      <c r="GM197" s="111"/>
      <c r="LK197" s="111"/>
      <c r="SJ197" s="111"/>
      <c r="TN197" s="111"/>
      <c r="WJ197" s="111"/>
      <c r="XG197" s="111"/>
      <c r="AFG197" s="111"/>
      <c r="AHC197" s="111"/>
      <c r="AHN197" s="111"/>
      <c r="AQL197" s="111"/>
      <c r="AYQ197" s="111"/>
      <c r="BBW197" s="111"/>
      <c r="BOW197" s="111"/>
      <c r="BRB197" s="111"/>
      <c r="BWK197" s="111"/>
      <c r="CDB197" s="111"/>
      <c r="CEH197" s="111"/>
      <c r="CHE197" s="111"/>
      <c r="CIE197" s="111"/>
      <c r="CJY197" s="111"/>
      <c r="CNP197" s="111"/>
      <c r="CVA197" s="111"/>
      <c r="CXO197" s="111"/>
      <c r="DAR197" s="111"/>
      <c r="DEG197" s="111"/>
      <c r="DEH197" s="111"/>
      <c r="DEJ197" s="111"/>
      <c r="DEM197" s="111"/>
      <c r="DET197" s="111"/>
      <c r="DEZ197" s="111"/>
      <c r="DIM197" s="111"/>
      <c r="DKR197" s="111"/>
      <c r="DLQ197" s="111"/>
      <c r="DWM197" s="111"/>
    </row>
    <row r="198" spans="1:898 1130:1961 2134:3033 3315:3315" ht="15" customHeight="1">
      <c r="A198" s="108"/>
      <c r="B198" s="104"/>
      <c r="C198" s="103"/>
      <c r="D198" s="102"/>
      <c r="E198" s="101"/>
      <c r="F198" s="101"/>
      <c r="G198" s="100" t="str">
        <f t="shared" si="52"/>
        <v/>
      </c>
      <c r="H198" s="99" t="str">
        <f t="shared" si="53"/>
        <v/>
      </c>
      <c r="I198" s="71"/>
      <c r="J198" s="2"/>
      <c r="K198" s="2"/>
      <c r="L198" s="2"/>
      <c r="M198" s="2"/>
      <c r="N198" s="2"/>
      <c r="O198" s="2"/>
      <c r="P198" s="2"/>
      <c r="Q198" s="2"/>
      <c r="S198" s="98">
        <f t="shared" si="36"/>
        <v>0</v>
      </c>
      <c r="T198" s="98">
        <f t="shared" si="37"/>
        <v>0</v>
      </c>
      <c r="U198" s="97">
        <f t="shared" si="38"/>
        <v>0</v>
      </c>
      <c r="V198" s="97">
        <f t="shared" si="39"/>
        <v>0</v>
      </c>
      <c r="X198" s="98" t="e">
        <f t="shared" si="40"/>
        <v>#REF!</v>
      </c>
      <c r="Y198" s="98" t="e">
        <f t="shared" si="41"/>
        <v>#REF!</v>
      </c>
      <c r="Z198" s="97" t="e">
        <f t="shared" si="42"/>
        <v>#REF!</v>
      </c>
      <c r="AA198" s="97" t="e">
        <f t="shared" si="43"/>
        <v>#REF!</v>
      </c>
      <c r="AC198" s="98" t="e">
        <f t="shared" si="44"/>
        <v>#REF!</v>
      </c>
      <c r="AD198" s="98" t="e">
        <f t="shared" si="45"/>
        <v>#REF!</v>
      </c>
      <c r="AE198" s="97" t="e">
        <f t="shared" si="46"/>
        <v>#REF!</v>
      </c>
      <c r="AF198" s="97" t="e">
        <f t="shared" si="47"/>
        <v>#REF!</v>
      </c>
      <c r="AH198" s="98" t="e">
        <f t="shared" si="48"/>
        <v>#REF!</v>
      </c>
      <c r="AI198" s="98" t="e">
        <f t="shared" si="49"/>
        <v>#REF!</v>
      </c>
      <c r="AJ198" s="97" t="e">
        <f t="shared" si="50"/>
        <v>#REF!</v>
      </c>
      <c r="AK198" s="97" t="e">
        <f t="shared" si="51"/>
        <v>#REF!</v>
      </c>
    </row>
    <row r="199" spans="1:898 1130:1961 2134:3033 3315:3315" ht="15" customHeight="1">
      <c r="A199" s="108"/>
      <c r="B199" s="107"/>
      <c r="C199" s="103"/>
      <c r="D199" s="102"/>
      <c r="E199" s="101"/>
      <c r="F199" s="101"/>
      <c r="G199" s="100" t="str">
        <f t="shared" si="52"/>
        <v/>
      </c>
      <c r="H199" s="99" t="str">
        <f t="shared" si="53"/>
        <v/>
      </c>
      <c r="I199" s="71"/>
      <c r="J199" s="2"/>
      <c r="K199" s="2"/>
      <c r="L199" s="2"/>
      <c r="M199" s="2"/>
      <c r="N199" s="2"/>
      <c r="O199" s="2"/>
      <c r="P199" s="2"/>
      <c r="Q199" s="2"/>
      <c r="S199" s="98">
        <f t="shared" si="36"/>
        <v>0</v>
      </c>
      <c r="T199" s="98">
        <f t="shared" si="37"/>
        <v>0</v>
      </c>
      <c r="U199" s="97">
        <f t="shared" si="38"/>
        <v>0</v>
      </c>
      <c r="V199" s="97">
        <f t="shared" si="39"/>
        <v>0</v>
      </c>
      <c r="X199" s="98" t="e">
        <f t="shared" si="40"/>
        <v>#REF!</v>
      </c>
      <c r="Y199" s="98" t="e">
        <f t="shared" si="41"/>
        <v>#REF!</v>
      </c>
      <c r="Z199" s="97" t="e">
        <f t="shared" si="42"/>
        <v>#REF!</v>
      </c>
      <c r="AA199" s="97" t="e">
        <f t="shared" si="43"/>
        <v>#REF!</v>
      </c>
      <c r="AC199" s="98" t="e">
        <f t="shared" si="44"/>
        <v>#REF!</v>
      </c>
      <c r="AD199" s="98" t="e">
        <f t="shared" si="45"/>
        <v>#REF!</v>
      </c>
      <c r="AE199" s="97" t="e">
        <f t="shared" si="46"/>
        <v>#REF!</v>
      </c>
      <c r="AF199" s="97" t="e">
        <f t="shared" si="47"/>
        <v>#REF!</v>
      </c>
      <c r="AH199" s="98" t="e">
        <f t="shared" si="48"/>
        <v>#REF!</v>
      </c>
      <c r="AI199" s="98" t="e">
        <f t="shared" si="49"/>
        <v>#REF!</v>
      </c>
      <c r="AJ199" s="97" t="e">
        <f t="shared" si="50"/>
        <v>#REF!</v>
      </c>
      <c r="AK199" s="97" t="e">
        <f t="shared" si="51"/>
        <v>#REF!</v>
      </c>
    </row>
    <row r="200" spans="1:898 1130:1961 2134:3033 3315:3315" ht="15" customHeight="1">
      <c r="A200" s="108"/>
      <c r="B200" s="109"/>
      <c r="C200" s="103"/>
      <c r="D200" s="102"/>
      <c r="E200" s="101"/>
      <c r="F200" s="101"/>
      <c r="G200" s="100" t="str">
        <f t="shared" si="52"/>
        <v/>
      </c>
      <c r="H200" s="99" t="str">
        <f t="shared" si="53"/>
        <v/>
      </c>
      <c r="I200" s="106"/>
      <c r="J200" s="2"/>
      <c r="K200" s="2"/>
      <c r="L200" s="2"/>
      <c r="M200" s="2"/>
      <c r="N200" s="2"/>
      <c r="O200" s="2"/>
      <c r="P200" s="2"/>
      <c r="Q200" s="2"/>
      <c r="S200" s="98">
        <f t="shared" si="36"/>
        <v>0</v>
      </c>
      <c r="T200" s="98">
        <f t="shared" si="37"/>
        <v>0</v>
      </c>
      <c r="U200" s="97">
        <f t="shared" si="38"/>
        <v>0</v>
      </c>
      <c r="V200" s="97">
        <f t="shared" si="39"/>
        <v>0</v>
      </c>
      <c r="X200" s="98" t="e">
        <f t="shared" si="40"/>
        <v>#REF!</v>
      </c>
      <c r="Y200" s="98" t="e">
        <f t="shared" si="41"/>
        <v>#REF!</v>
      </c>
      <c r="Z200" s="97" t="e">
        <f t="shared" si="42"/>
        <v>#REF!</v>
      </c>
      <c r="AA200" s="97" t="e">
        <f t="shared" si="43"/>
        <v>#REF!</v>
      </c>
      <c r="AC200" s="98" t="e">
        <f t="shared" si="44"/>
        <v>#REF!</v>
      </c>
      <c r="AD200" s="98" t="e">
        <f t="shared" si="45"/>
        <v>#REF!</v>
      </c>
      <c r="AE200" s="97" t="e">
        <f t="shared" si="46"/>
        <v>#REF!</v>
      </c>
      <c r="AF200" s="97" t="e">
        <f t="shared" si="47"/>
        <v>#REF!</v>
      </c>
      <c r="AH200" s="98" t="e">
        <f t="shared" si="48"/>
        <v>#REF!</v>
      </c>
      <c r="AI200" s="98" t="e">
        <f t="shared" si="49"/>
        <v>#REF!</v>
      </c>
      <c r="AJ200" s="97" t="e">
        <f t="shared" si="50"/>
        <v>#REF!</v>
      </c>
      <c r="AK200" s="97" t="e">
        <f t="shared" si="51"/>
        <v>#REF!</v>
      </c>
    </row>
    <row r="201" spans="1:898 1130:1961 2134:3033 3315:3315" ht="15" customHeight="1">
      <c r="A201" s="108"/>
      <c r="B201" s="107"/>
      <c r="C201" s="103"/>
      <c r="D201" s="102"/>
      <c r="E201" s="101"/>
      <c r="F201" s="101"/>
      <c r="G201" s="100" t="str">
        <f t="shared" si="52"/>
        <v/>
      </c>
      <c r="H201" s="99" t="str">
        <f t="shared" si="53"/>
        <v/>
      </c>
      <c r="I201" s="71"/>
      <c r="J201" s="2"/>
      <c r="K201" s="2"/>
      <c r="L201" s="2"/>
      <c r="M201" s="2"/>
      <c r="N201" s="2"/>
      <c r="O201" s="2"/>
      <c r="P201" s="2"/>
      <c r="Q201" s="2"/>
      <c r="S201" s="98">
        <f t="shared" si="36"/>
        <v>0</v>
      </c>
      <c r="T201" s="98">
        <f t="shared" si="37"/>
        <v>0</v>
      </c>
      <c r="U201" s="97">
        <f t="shared" si="38"/>
        <v>0</v>
      </c>
      <c r="V201" s="97">
        <f t="shared" si="39"/>
        <v>0</v>
      </c>
      <c r="X201" s="98" t="e">
        <f t="shared" si="40"/>
        <v>#REF!</v>
      </c>
      <c r="Y201" s="98" t="e">
        <f t="shared" si="41"/>
        <v>#REF!</v>
      </c>
      <c r="Z201" s="97" t="e">
        <f t="shared" si="42"/>
        <v>#REF!</v>
      </c>
      <c r="AA201" s="97" t="e">
        <f t="shared" si="43"/>
        <v>#REF!</v>
      </c>
      <c r="AC201" s="98" t="e">
        <f t="shared" si="44"/>
        <v>#REF!</v>
      </c>
      <c r="AD201" s="98" t="e">
        <f t="shared" si="45"/>
        <v>#REF!</v>
      </c>
      <c r="AE201" s="97" t="e">
        <f t="shared" si="46"/>
        <v>#REF!</v>
      </c>
      <c r="AF201" s="97" t="e">
        <f t="shared" si="47"/>
        <v>#REF!</v>
      </c>
      <c r="AH201" s="98" t="e">
        <f t="shared" si="48"/>
        <v>#REF!</v>
      </c>
      <c r="AI201" s="98" t="e">
        <f t="shared" si="49"/>
        <v>#REF!</v>
      </c>
      <c r="AJ201" s="97" t="e">
        <f t="shared" si="50"/>
        <v>#REF!</v>
      </c>
      <c r="AK201" s="97" t="e">
        <f t="shared" si="51"/>
        <v>#REF!</v>
      </c>
    </row>
    <row r="202" spans="1:898 1130:1961 2134:3033 3315:3315" ht="15" customHeight="1">
      <c r="A202" s="108"/>
      <c r="B202" s="107"/>
      <c r="C202" s="103"/>
      <c r="D202" s="102"/>
      <c r="E202" s="101"/>
      <c r="F202" s="101"/>
      <c r="G202" s="100" t="str">
        <f t="shared" si="52"/>
        <v/>
      </c>
      <c r="H202" s="99" t="str">
        <f t="shared" si="53"/>
        <v/>
      </c>
      <c r="I202" s="71"/>
      <c r="J202" s="2"/>
      <c r="K202" s="2"/>
      <c r="L202" s="2"/>
      <c r="M202" s="2"/>
      <c r="N202" s="2"/>
      <c r="O202" s="2"/>
      <c r="P202" s="2"/>
      <c r="Q202" s="2"/>
      <c r="S202" s="98">
        <f t="shared" si="36"/>
        <v>0</v>
      </c>
      <c r="T202" s="98">
        <f t="shared" si="37"/>
        <v>0</v>
      </c>
      <c r="U202" s="97">
        <f t="shared" si="38"/>
        <v>0</v>
      </c>
      <c r="V202" s="97">
        <f t="shared" si="39"/>
        <v>0</v>
      </c>
      <c r="X202" s="98" t="e">
        <f t="shared" si="40"/>
        <v>#REF!</v>
      </c>
      <c r="Y202" s="98" t="e">
        <f t="shared" si="41"/>
        <v>#REF!</v>
      </c>
      <c r="Z202" s="97" t="e">
        <f t="shared" si="42"/>
        <v>#REF!</v>
      </c>
      <c r="AA202" s="97" t="e">
        <f t="shared" si="43"/>
        <v>#REF!</v>
      </c>
      <c r="AC202" s="98" t="e">
        <f t="shared" si="44"/>
        <v>#REF!</v>
      </c>
      <c r="AD202" s="98" t="e">
        <f t="shared" si="45"/>
        <v>#REF!</v>
      </c>
      <c r="AE202" s="97" t="e">
        <f t="shared" si="46"/>
        <v>#REF!</v>
      </c>
      <c r="AF202" s="97" t="e">
        <f t="shared" si="47"/>
        <v>#REF!</v>
      </c>
      <c r="AH202" s="98" t="e">
        <f t="shared" si="48"/>
        <v>#REF!</v>
      </c>
      <c r="AI202" s="98" t="e">
        <f t="shared" si="49"/>
        <v>#REF!</v>
      </c>
      <c r="AJ202" s="97" t="e">
        <f t="shared" si="50"/>
        <v>#REF!</v>
      </c>
      <c r="AK202" s="97" t="e">
        <f t="shared" si="51"/>
        <v>#REF!</v>
      </c>
    </row>
    <row r="203" spans="1:898 1130:1961 2134:3033 3315:3315" ht="15" customHeight="1">
      <c r="A203" s="108"/>
      <c r="B203" s="109"/>
      <c r="C203" s="103"/>
      <c r="D203" s="102"/>
      <c r="E203" s="101"/>
      <c r="F203" s="101"/>
      <c r="G203" s="100" t="str">
        <f t="shared" si="52"/>
        <v/>
      </c>
      <c r="H203" s="99" t="str">
        <f t="shared" si="53"/>
        <v/>
      </c>
      <c r="I203" s="106"/>
      <c r="J203" s="2"/>
      <c r="K203" s="2"/>
      <c r="L203" s="2"/>
      <c r="M203" s="2"/>
      <c r="N203" s="2"/>
      <c r="O203" s="2"/>
      <c r="P203" s="2"/>
      <c r="Q203" s="2"/>
      <c r="S203" s="98">
        <f t="shared" si="36"/>
        <v>0</v>
      </c>
      <c r="T203" s="98">
        <f t="shared" si="37"/>
        <v>0</v>
      </c>
      <c r="U203" s="97">
        <f t="shared" si="38"/>
        <v>0</v>
      </c>
      <c r="V203" s="97">
        <f t="shared" si="39"/>
        <v>0</v>
      </c>
      <c r="X203" s="98" t="e">
        <f t="shared" si="40"/>
        <v>#REF!</v>
      </c>
      <c r="Y203" s="98" t="e">
        <f t="shared" si="41"/>
        <v>#REF!</v>
      </c>
      <c r="Z203" s="97" t="e">
        <f t="shared" si="42"/>
        <v>#REF!</v>
      </c>
      <c r="AA203" s="97" t="e">
        <f t="shared" si="43"/>
        <v>#REF!</v>
      </c>
      <c r="AC203" s="98" t="e">
        <f t="shared" si="44"/>
        <v>#REF!</v>
      </c>
      <c r="AD203" s="98" t="e">
        <f t="shared" si="45"/>
        <v>#REF!</v>
      </c>
      <c r="AE203" s="97" t="e">
        <f t="shared" si="46"/>
        <v>#REF!</v>
      </c>
      <c r="AF203" s="97" t="e">
        <f t="shared" si="47"/>
        <v>#REF!</v>
      </c>
      <c r="AH203" s="98" t="e">
        <f t="shared" si="48"/>
        <v>#REF!</v>
      </c>
      <c r="AI203" s="98" t="e">
        <f t="shared" si="49"/>
        <v>#REF!</v>
      </c>
      <c r="AJ203" s="97" t="e">
        <f t="shared" si="50"/>
        <v>#REF!</v>
      </c>
      <c r="AK203" s="97" t="e">
        <f t="shared" si="51"/>
        <v>#REF!</v>
      </c>
    </row>
    <row r="204" spans="1:898 1130:1961 2134:3033 3315:3315" ht="15" customHeight="1">
      <c r="A204" s="108"/>
      <c r="B204" s="107"/>
      <c r="C204" s="103"/>
      <c r="D204" s="102"/>
      <c r="E204" s="101"/>
      <c r="F204" s="101"/>
      <c r="G204" s="100" t="str">
        <f t="shared" si="52"/>
        <v/>
      </c>
      <c r="H204" s="99" t="str">
        <f t="shared" si="53"/>
        <v/>
      </c>
      <c r="I204" s="71"/>
      <c r="J204" s="2"/>
      <c r="K204" s="2"/>
      <c r="L204" s="2"/>
      <c r="M204" s="2"/>
      <c r="N204" s="2"/>
      <c r="O204" s="2"/>
      <c r="P204" s="2"/>
      <c r="Q204" s="2"/>
      <c r="S204" s="98">
        <f t="shared" ref="S204:S258" si="54">IF($A204&lt;&gt;"(DC)", $E204*$R$7, $E204)</f>
        <v>0</v>
      </c>
      <c r="T204" s="98">
        <f t="shared" ref="T204:T258" si="55">IF($A204&lt;&gt;"(DC)", $F204*$R$7, $F204)</f>
        <v>0</v>
      </c>
      <c r="U204" s="97">
        <f t="shared" ref="U204:U258" si="56">IF(AND($D204="",S204=""),"",IF($D204="",S204,$D204+S204))</f>
        <v>0</v>
      </c>
      <c r="V204" s="97">
        <f t="shared" ref="V204:V258" si="57">IF(AND($D204="",T204=""),"",IF($D204="",T204,$D204+T204))</f>
        <v>0</v>
      </c>
      <c r="X204" s="98" t="e">
        <f t="shared" ref="X204:X258" si="58">IF($A204&lt;&gt;"(DC)", $E204*$W$7, $E204)</f>
        <v>#REF!</v>
      </c>
      <c r="Y204" s="98" t="e">
        <f t="shared" ref="Y204:Y258" si="59">IF($A204&lt;&gt;"(DC)", $F204*$W$7, $F204)</f>
        <v>#REF!</v>
      </c>
      <c r="Z204" s="97" t="e">
        <f t="shared" ref="Z204:Z258" si="60">IF(AND($D204="",X204=""),"",IF($D204="",X204,$D204+X204))</f>
        <v>#REF!</v>
      </c>
      <c r="AA204" s="97" t="e">
        <f t="shared" ref="AA204:AA258" si="61">IF(AND($D204="",Y204=""),"",IF($D204="",Y204,$D204+Y204))</f>
        <v>#REF!</v>
      </c>
      <c r="AC204" s="98" t="e">
        <f t="shared" ref="AC204:AC258" si="62">IF($A204&lt;&gt;"(DC)", $E204*$AB$7, $E204)</f>
        <v>#REF!</v>
      </c>
      <c r="AD204" s="98" t="e">
        <f t="shared" ref="AD204:AD258" si="63">IF($A204&lt;&gt;"(DC)", $F204*$AB$7, $F204)</f>
        <v>#REF!</v>
      </c>
      <c r="AE204" s="97" t="e">
        <f t="shared" ref="AE204:AE258" si="64">IF(AND($D204="",AC204=""),"",IF($D204="",AC204,$D204+AC204))</f>
        <v>#REF!</v>
      </c>
      <c r="AF204" s="97" t="e">
        <f t="shared" ref="AF204:AF258" si="65">IF(AND($D204="",AD204=""),"",IF($D204="",AD204,$D204+AD204))</f>
        <v>#REF!</v>
      </c>
      <c r="AH204" s="98" t="e">
        <f t="shared" ref="AH204:AH258" si="66">IF($A204&lt;&gt;"(DC)", $E204*$AG$7, $E204)</f>
        <v>#REF!</v>
      </c>
      <c r="AI204" s="98" t="e">
        <f t="shared" ref="AI204:AI258" si="67">IF($A204&lt;&gt;"(DC)", $F204*$AG$7, $F204)</f>
        <v>#REF!</v>
      </c>
      <c r="AJ204" s="97" t="e">
        <f t="shared" ref="AJ204:AJ258" si="68">IF(AND($D204="",AH204=""),"",IF($D204="",AH204,$D204+AH204))</f>
        <v>#REF!</v>
      </c>
      <c r="AK204" s="97" t="e">
        <f t="shared" ref="AK204:AK258" si="69">IF(AND($D204="",AI204=""),"",IF($D204="",AI204,$D204+AI204))</f>
        <v>#REF!</v>
      </c>
    </row>
    <row r="205" spans="1:898 1130:1961 2134:3033 3315:3315" ht="15" customHeight="1">
      <c r="A205" s="108"/>
      <c r="B205" s="109"/>
      <c r="C205" s="103"/>
      <c r="D205" s="102"/>
      <c r="E205" s="101"/>
      <c r="F205" s="101"/>
      <c r="G205" s="100" t="str">
        <f t="shared" si="52"/>
        <v/>
      </c>
      <c r="H205" s="99" t="str">
        <f t="shared" si="53"/>
        <v/>
      </c>
      <c r="I205" s="106"/>
      <c r="J205" s="2"/>
      <c r="K205" s="2"/>
      <c r="L205" s="2"/>
      <c r="M205" s="2"/>
      <c r="N205" s="2"/>
      <c r="O205" s="2"/>
      <c r="P205" s="2"/>
      <c r="Q205" s="2"/>
      <c r="S205" s="98">
        <f t="shared" si="54"/>
        <v>0</v>
      </c>
      <c r="T205" s="98">
        <f t="shared" si="55"/>
        <v>0</v>
      </c>
      <c r="U205" s="97">
        <f t="shared" si="56"/>
        <v>0</v>
      </c>
      <c r="V205" s="97">
        <f t="shared" si="57"/>
        <v>0</v>
      </c>
      <c r="X205" s="98" t="e">
        <f t="shared" si="58"/>
        <v>#REF!</v>
      </c>
      <c r="Y205" s="98" t="e">
        <f t="shared" si="59"/>
        <v>#REF!</v>
      </c>
      <c r="Z205" s="97" t="e">
        <f t="shared" si="60"/>
        <v>#REF!</v>
      </c>
      <c r="AA205" s="97" t="e">
        <f t="shared" si="61"/>
        <v>#REF!</v>
      </c>
      <c r="AC205" s="98" t="e">
        <f t="shared" si="62"/>
        <v>#REF!</v>
      </c>
      <c r="AD205" s="98" t="e">
        <f t="shared" si="63"/>
        <v>#REF!</v>
      </c>
      <c r="AE205" s="97" t="e">
        <f t="shared" si="64"/>
        <v>#REF!</v>
      </c>
      <c r="AF205" s="97" t="e">
        <f t="shared" si="65"/>
        <v>#REF!</v>
      </c>
      <c r="AH205" s="98" t="e">
        <f t="shared" si="66"/>
        <v>#REF!</v>
      </c>
      <c r="AI205" s="98" t="e">
        <f t="shared" si="67"/>
        <v>#REF!</v>
      </c>
      <c r="AJ205" s="97" t="e">
        <f t="shared" si="68"/>
        <v>#REF!</v>
      </c>
      <c r="AK205" s="97" t="e">
        <f t="shared" si="69"/>
        <v>#REF!</v>
      </c>
    </row>
    <row r="206" spans="1:898 1130:1961 2134:3033 3315:3315" ht="15" customHeight="1">
      <c r="A206" s="108"/>
      <c r="B206" s="107"/>
      <c r="C206" s="103"/>
      <c r="D206" s="102"/>
      <c r="E206" s="101"/>
      <c r="F206" s="101"/>
      <c r="G206" s="100" t="str">
        <f t="shared" si="52"/>
        <v/>
      </c>
      <c r="H206" s="99" t="str">
        <f t="shared" si="53"/>
        <v/>
      </c>
      <c r="I206" s="71"/>
      <c r="J206" s="2"/>
      <c r="K206" s="2"/>
      <c r="L206" s="2"/>
      <c r="M206" s="2"/>
      <c r="N206" s="2"/>
      <c r="O206" s="2"/>
      <c r="P206" s="2"/>
      <c r="Q206" s="2"/>
      <c r="S206" s="98">
        <f t="shared" si="54"/>
        <v>0</v>
      </c>
      <c r="T206" s="98">
        <f t="shared" si="55"/>
        <v>0</v>
      </c>
      <c r="U206" s="97">
        <f t="shared" si="56"/>
        <v>0</v>
      </c>
      <c r="V206" s="97">
        <f t="shared" si="57"/>
        <v>0</v>
      </c>
      <c r="X206" s="98" t="e">
        <f t="shared" si="58"/>
        <v>#REF!</v>
      </c>
      <c r="Y206" s="98" t="e">
        <f t="shared" si="59"/>
        <v>#REF!</v>
      </c>
      <c r="Z206" s="97" t="e">
        <f t="shared" si="60"/>
        <v>#REF!</v>
      </c>
      <c r="AA206" s="97" t="e">
        <f t="shared" si="61"/>
        <v>#REF!</v>
      </c>
      <c r="AC206" s="98" t="e">
        <f t="shared" si="62"/>
        <v>#REF!</v>
      </c>
      <c r="AD206" s="98" t="e">
        <f t="shared" si="63"/>
        <v>#REF!</v>
      </c>
      <c r="AE206" s="97" t="e">
        <f t="shared" si="64"/>
        <v>#REF!</v>
      </c>
      <c r="AF206" s="97" t="e">
        <f t="shared" si="65"/>
        <v>#REF!</v>
      </c>
      <c r="AH206" s="98" t="e">
        <f t="shared" si="66"/>
        <v>#REF!</v>
      </c>
      <c r="AI206" s="98" t="e">
        <f t="shared" si="67"/>
        <v>#REF!</v>
      </c>
      <c r="AJ206" s="97" t="e">
        <f t="shared" si="68"/>
        <v>#REF!</v>
      </c>
      <c r="AK206" s="97" t="e">
        <f t="shared" si="69"/>
        <v>#REF!</v>
      </c>
    </row>
    <row r="207" spans="1:898 1130:1961 2134:3033 3315:3315" ht="15" customHeight="1">
      <c r="A207" s="108"/>
      <c r="B207" s="109"/>
      <c r="C207" s="103"/>
      <c r="D207" s="102"/>
      <c r="E207" s="101"/>
      <c r="F207" s="101"/>
      <c r="G207" s="100" t="str">
        <f t="shared" si="52"/>
        <v/>
      </c>
      <c r="H207" s="99" t="str">
        <f t="shared" si="53"/>
        <v/>
      </c>
      <c r="I207" s="106"/>
      <c r="J207" s="2"/>
      <c r="K207" s="2"/>
      <c r="L207" s="2"/>
      <c r="M207" s="2"/>
      <c r="N207" s="2"/>
      <c r="O207" s="2"/>
      <c r="P207" s="2"/>
      <c r="Q207" s="2"/>
      <c r="S207" s="98">
        <f t="shared" si="54"/>
        <v>0</v>
      </c>
      <c r="T207" s="98">
        <f t="shared" si="55"/>
        <v>0</v>
      </c>
      <c r="U207" s="97">
        <f t="shared" si="56"/>
        <v>0</v>
      </c>
      <c r="V207" s="97">
        <f t="shared" si="57"/>
        <v>0</v>
      </c>
      <c r="X207" s="98" t="e">
        <f t="shared" si="58"/>
        <v>#REF!</v>
      </c>
      <c r="Y207" s="98" t="e">
        <f t="shared" si="59"/>
        <v>#REF!</v>
      </c>
      <c r="Z207" s="97" t="e">
        <f t="shared" si="60"/>
        <v>#REF!</v>
      </c>
      <c r="AA207" s="97" t="e">
        <f t="shared" si="61"/>
        <v>#REF!</v>
      </c>
      <c r="AC207" s="98" t="e">
        <f t="shared" si="62"/>
        <v>#REF!</v>
      </c>
      <c r="AD207" s="98" t="e">
        <f t="shared" si="63"/>
        <v>#REF!</v>
      </c>
      <c r="AE207" s="97" t="e">
        <f t="shared" si="64"/>
        <v>#REF!</v>
      </c>
      <c r="AF207" s="97" t="e">
        <f t="shared" si="65"/>
        <v>#REF!</v>
      </c>
      <c r="AH207" s="98" t="e">
        <f t="shared" si="66"/>
        <v>#REF!</v>
      </c>
      <c r="AI207" s="98" t="e">
        <f t="shared" si="67"/>
        <v>#REF!</v>
      </c>
      <c r="AJ207" s="97" t="e">
        <f t="shared" si="68"/>
        <v>#REF!</v>
      </c>
      <c r="AK207" s="97" t="e">
        <f t="shared" si="69"/>
        <v>#REF!</v>
      </c>
    </row>
    <row r="208" spans="1:898 1130:1961 2134:3033 3315:3315" ht="15" customHeight="1">
      <c r="A208" s="108"/>
      <c r="B208" s="107"/>
      <c r="C208" s="103"/>
      <c r="D208" s="102"/>
      <c r="E208" s="101"/>
      <c r="F208" s="101"/>
      <c r="G208" s="100" t="str">
        <f t="shared" si="52"/>
        <v/>
      </c>
      <c r="H208" s="99" t="str">
        <f t="shared" si="53"/>
        <v/>
      </c>
      <c r="I208" s="106"/>
      <c r="J208" s="2"/>
      <c r="K208" s="2"/>
      <c r="L208" s="2"/>
      <c r="M208" s="2"/>
      <c r="N208" s="2"/>
      <c r="O208" s="2"/>
      <c r="P208" s="2"/>
      <c r="Q208" s="2"/>
      <c r="S208" s="98">
        <f t="shared" si="54"/>
        <v>0</v>
      </c>
      <c r="T208" s="98">
        <f t="shared" si="55"/>
        <v>0</v>
      </c>
      <c r="U208" s="97">
        <f t="shared" si="56"/>
        <v>0</v>
      </c>
      <c r="V208" s="97">
        <f t="shared" si="57"/>
        <v>0</v>
      </c>
      <c r="X208" s="98" t="e">
        <f t="shared" si="58"/>
        <v>#REF!</v>
      </c>
      <c r="Y208" s="98" t="e">
        <f t="shared" si="59"/>
        <v>#REF!</v>
      </c>
      <c r="Z208" s="97" t="e">
        <f t="shared" si="60"/>
        <v>#REF!</v>
      </c>
      <c r="AA208" s="97" t="e">
        <f t="shared" si="61"/>
        <v>#REF!</v>
      </c>
      <c r="AC208" s="98" t="e">
        <f t="shared" si="62"/>
        <v>#REF!</v>
      </c>
      <c r="AD208" s="98" t="e">
        <f t="shared" si="63"/>
        <v>#REF!</v>
      </c>
      <c r="AE208" s="97" t="e">
        <f t="shared" si="64"/>
        <v>#REF!</v>
      </c>
      <c r="AF208" s="97" t="e">
        <f t="shared" si="65"/>
        <v>#REF!</v>
      </c>
      <c r="AH208" s="98" t="e">
        <f t="shared" si="66"/>
        <v>#REF!</v>
      </c>
      <c r="AI208" s="98" t="e">
        <f t="shared" si="67"/>
        <v>#REF!</v>
      </c>
      <c r="AJ208" s="97" t="e">
        <f t="shared" si="68"/>
        <v>#REF!</v>
      </c>
      <c r="AK208" s="97" t="e">
        <f t="shared" si="69"/>
        <v>#REF!</v>
      </c>
    </row>
    <row r="209" spans="1:37" ht="15" customHeight="1">
      <c r="A209" s="108"/>
      <c r="B209" s="110"/>
      <c r="C209" s="103"/>
      <c r="D209" s="102"/>
      <c r="E209" s="101"/>
      <c r="F209" s="101"/>
      <c r="G209" s="100" t="str">
        <f t="shared" si="52"/>
        <v/>
      </c>
      <c r="H209" s="99" t="str">
        <f t="shared" si="53"/>
        <v/>
      </c>
      <c r="I209" s="106"/>
      <c r="J209" s="2"/>
      <c r="K209" s="2"/>
      <c r="L209" s="2"/>
      <c r="M209" s="2"/>
      <c r="N209" s="2"/>
      <c r="O209" s="2"/>
      <c r="P209" s="2"/>
      <c r="Q209" s="2"/>
      <c r="S209" s="98">
        <f t="shared" si="54"/>
        <v>0</v>
      </c>
      <c r="T209" s="98">
        <f t="shared" si="55"/>
        <v>0</v>
      </c>
      <c r="U209" s="97">
        <f t="shared" si="56"/>
        <v>0</v>
      </c>
      <c r="V209" s="97">
        <f t="shared" si="57"/>
        <v>0</v>
      </c>
      <c r="X209" s="98" t="e">
        <f t="shared" si="58"/>
        <v>#REF!</v>
      </c>
      <c r="Y209" s="98" t="e">
        <f t="shared" si="59"/>
        <v>#REF!</v>
      </c>
      <c r="Z209" s="97" t="e">
        <f t="shared" si="60"/>
        <v>#REF!</v>
      </c>
      <c r="AA209" s="97" t="e">
        <f t="shared" si="61"/>
        <v>#REF!</v>
      </c>
      <c r="AC209" s="98" t="e">
        <f t="shared" si="62"/>
        <v>#REF!</v>
      </c>
      <c r="AD209" s="98" t="e">
        <f t="shared" si="63"/>
        <v>#REF!</v>
      </c>
      <c r="AE209" s="97" t="e">
        <f t="shared" si="64"/>
        <v>#REF!</v>
      </c>
      <c r="AF209" s="97" t="e">
        <f t="shared" si="65"/>
        <v>#REF!</v>
      </c>
      <c r="AH209" s="98" t="e">
        <f t="shared" si="66"/>
        <v>#REF!</v>
      </c>
      <c r="AI209" s="98" t="e">
        <f t="shared" si="67"/>
        <v>#REF!</v>
      </c>
      <c r="AJ209" s="97" t="e">
        <f t="shared" si="68"/>
        <v>#REF!</v>
      </c>
      <c r="AK209" s="97" t="e">
        <f t="shared" si="69"/>
        <v>#REF!</v>
      </c>
    </row>
    <row r="210" spans="1:37" ht="15" customHeight="1">
      <c r="A210" s="108"/>
      <c r="B210" s="110"/>
      <c r="C210" s="103"/>
      <c r="D210" s="102"/>
      <c r="E210" s="101"/>
      <c r="F210" s="101"/>
      <c r="G210" s="100" t="str">
        <f t="shared" si="52"/>
        <v/>
      </c>
      <c r="H210" s="99" t="str">
        <f t="shared" si="53"/>
        <v/>
      </c>
      <c r="I210" s="106"/>
      <c r="J210" s="2"/>
      <c r="K210" s="2"/>
      <c r="L210" s="2"/>
      <c r="M210" s="2"/>
      <c r="N210" s="2"/>
      <c r="O210" s="2"/>
      <c r="P210" s="2"/>
      <c r="Q210" s="2"/>
      <c r="S210" s="98">
        <f t="shared" si="54"/>
        <v>0</v>
      </c>
      <c r="T210" s="98">
        <f t="shared" si="55"/>
        <v>0</v>
      </c>
      <c r="U210" s="97">
        <f t="shared" si="56"/>
        <v>0</v>
      </c>
      <c r="V210" s="97">
        <f t="shared" si="57"/>
        <v>0</v>
      </c>
      <c r="X210" s="98" t="e">
        <f t="shared" si="58"/>
        <v>#REF!</v>
      </c>
      <c r="Y210" s="98" t="e">
        <f t="shared" si="59"/>
        <v>#REF!</v>
      </c>
      <c r="Z210" s="97" t="e">
        <f t="shared" si="60"/>
        <v>#REF!</v>
      </c>
      <c r="AA210" s="97" t="e">
        <f t="shared" si="61"/>
        <v>#REF!</v>
      </c>
      <c r="AC210" s="98" t="e">
        <f t="shared" si="62"/>
        <v>#REF!</v>
      </c>
      <c r="AD210" s="98" t="e">
        <f t="shared" si="63"/>
        <v>#REF!</v>
      </c>
      <c r="AE210" s="97" t="e">
        <f t="shared" si="64"/>
        <v>#REF!</v>
      </c>
      <c r="AF210" s="97" t="e">
        <f t="shared" si="65"/>
        <v>#REF!</v>
      </c>
      <c r="AH210" s="98" t="e">
        <f t="shared" si="66"/>
        <v>#REF!</v>
      </c>
      <c r="AI210" s="98" t="e">
        <f t="shared" si="67"/>
        <v>#REF!</v>
      </c>
      <c r="AJ210" s="97" t="e">
        <f t="shared" si="68"/>
        <v>#REF!</v>
      </c>
      <c r="AK210" s="97" t="e">
        <f t="shared" si="69"/>
        <v>#REF!</v>
      </c>
    </row>
    <row r="211" spans="1:37" ht="15" customHeight="1">
      <c r="A211" s="108"/>
      <c r="B211" s="110"/>
      <c r="C211" s="103"/>
      <c r="D211" s="102"/>
      <c r="E211" s="101"/>
      <c r="F211" s="101"/>
      <c r="G211" s="100" t="str">
        <f t="shared" si="52"/>
        <v/>
      </c>
      <c r="H211" s="99" t="str">
        <f t="shared" si="53"/>
        <v/>
      </c>
      <c r="I211" s="106"/>
      <c r="J211" s="2"/>
      <c r="K211" s="2"/>
      <c r="L211" s="2"/>
      <c r="M211" s="2"/>
      <c r="N211" s="2"/>
      <c r="O211" s="2"/>
      <c r="P211" s="2"/>
      <c r="Q211" s="2"/>
      <c r="S211" s="98">
        <f t="shared" si="54"/>
        <v>0</v>
      </c>
      <c r="T211" s="98">
        <f t="shared" si="55"/>
        <v>0</v>
      </c>
      <c r="U211" s="97">
        <f t="shared" si="56"/>
        <v>0</v>
      </c>
      <c r="V211" s="97">
        <f t="shared" si="57"/>
        <v>0</v>
      </c>
      <c r="X211" s="98" t="e">
        <f t="shared" si="58"/>
        <v>#REF!</v>
      </c>
      <c r="Y211" s="98" t="e">
        <f t="shared" si="59"/>
        <v>#REF!</v>
      </c>
      <c r="Z211" s="97" t="e">
        <f t="shared" si="60"/>
        <v>#REF!</v>
      </c>
      <c r="AA211" s="97" t="e">
        <f t="shared" si="61"/>
        <v>#REF!</v>
      </c>
      <c r="AC211" s="98" t="e">
        <f t="shared" si="62"/>
        <v>#REF!</v>
      </c>
      <c r="AD211" s="98" t="e">
        <f t="shared" si="63"/>
        <v>#REF!</v>
      </c>
      <c r="AE211" s="97" t="e">
        <f t="shared" si="64"/>
        <v>#REF!</v>
      </c>
      <c r="AF211" s="97" t="e">
        <f t="shared" si="65"/>
        <v>#REF!</v>
      </c>
      <c r="AH211" s="98" t="e">
        <f t="shared" si="66"/>
        <v>#REF!</v>
      </c>
      <c r="AI211" s="98" t="e">
        <f t="shared" si="67"/>
        <v>#REF!</v>
      </c>
      <c r="AJ211" s="97" t="e">
        <f t="shared" si="68"/>
        <v>#REF!</v>
      </c>
      <c r="AK211" s="97" t="e">
        <f t="shared" si="69"/>
        <v>#REF!</v>
      </c>
    </row>
    <row r="212" spans="1:37" ht="15" customHeight="1">
      <c r="A212" s="108"/>
      <c r="B212" s="104"/>
      <c r="C212" s="103"/>
      <c r="D212" s="102"/>
      <c r="E212" s="101"/>
      <c r="F212" s="101"/>
      <c r="G212" s="100" t="str">
        <f t="shared" si="52"/>
        <v/>
      </c>
      <c r="H212" s="99" t="str">
        <f t="shared" si="53"/>
        <v/>
      </c>
      <c r="I212" s="71"/>
      <c r="J212" s="2"/>
      <c r="K212" s="2"/>
      <c r="L212" s="2"/>
      <c r="M212" s="2"/>
      <c r="N212" s="2"/>
      <c r="O212" s="2"/>
      <c r="P212" s="2"/>
      <c r="Q212" s="2"/>
      <c r="S212" s="98">
        <f t="shared" si="54"/>
        <v>0</v>
      </c>
      <c r="T212" s="98">
        <f t="shared" si="55"/>
        <v>0</v>
      </c>
      <c r="U212" s="97">
        <f t="shared" si="56"/>
        <v>0</v>
      </c>
      <c r="V212" s="97">
        <f t="shared" si="57"/>
        <v>0</v>
      </c>
      <c r="X212" s="98" t="e">
        <f t="shared" si="58"/>
        <v>#REF!</v>
      </c>
      <c r="Y212" s="98" t="e">
        <f t="shared" si="59"/>
        <v>#REF!</v>
      </c>
      <c r="Z212" s="97" t="e">
        <f t="shared" si="60"/>
        <v>#REF!</v>
      </c>
      <c r="AA212" s="97" t="e">
        <f t="shared" si="61"/>
        <v>#REF!</v>
      </c>
      <c r="AC212" s="98" t="e">
        <f t="shared" si="62"/>
        <v>#REF!</v>
      </c>
      <c r="AD212" s="98" t="e">
        <f t="shared" si="63"/>
        <v>#REF!</v>
      </c>
      <c r="AE212" s="97" t="e">
        <f t="shared" si="64"/>
        <v>#REF!</v>
      </c>
      <c r="AF212" s="97" t="e">
        <f t="shared" si="65"/>
        <v>#REF!</v>
      </c>
      <c r="AH212" s="98" t="e">
        <f t="shared" si="66"/>
        <v>#REF!</v>
      </c>
      <c r="AI212" s="98" t="e">
        <f t="shared" si="67"/>
        <v>#REF!</v>
      </c>
      <c r="AJ212" s="97" t="e">
        <f t="shared" si="68"/>
        <v>#REF!</v>
      </c>
      <c r="AK212" s="97" t="e">
        <f t="shared" si="69"/>
        <v>#REF!</v>
      </c>
    </row>
    <row r="213" spans="1:37" ht="15" customHeight="1">
      <c r="A213" s="108"/>
      <c r="B213" s="107"/>
      <c r="C213" s="103"/>
      <c r="D213" s="102"/>
      <c r="E213" s="101"/>
      <c r="F213" s="101"/>
      <c r="G213" s="100" t="str">
        <f t="shared" si="52"/>
        <v/>
      </c>
      <c r="H213" s="99" t="str">
        <f t="shared" si="53"/>
        <v/>
      </c>
      <c r="I213" s="106"/>
      <c r="J213" s="2"/>
      <c r="K213" s="2"/>
      <c r="L213" s="2"/>
      <c r="M213" s="2"/>
      <c r="N213" s="2"/>
      <c r="O213" s="2"/>
      <c r="P213" s="2"/>
      <c r="Q213" s="2"/>
      <c r="S213" s="98">
        <f t="shared" si="54"/>
        <v>0</v>
      </c>
      <c r="T213" s="98">
        <f t="shared" si="55"/>
        <v>0</v>
      </c>
      <c r="U213" s="97">
        <f t="shared" si="56"/>
        <v>0</v>
      </c>
      <c r="V213" s="97">
        <f t="shared" si="57"/>
        <v>0</v>
      </c>
      <c r="X213" s="98" t="e">
        <f t="shared" si="58"/>
        <v>#REF!</v>
      </c>
      <c r="Y213" s="98" t="e">
        <f t="shared" si="59"/>
        <v>#REF!</v>
      </c>
      <c r="Z213" s="97" t="e">
        <f t="shared" si="60"/>
        <v>#REF!</v>
      </c>
      <c r="AA213" s="97" t="e">
        <f t="shared" si="61"/>
        <v>#REF!</v>
      </c>
      <c r="AC213" s="98" t="e">
        <f t="shared" si="62"/>
        <v>#REF!</v>
      </c>
      <c r="AD213" s="98" t="e">
        <f t="shared" si="63"/>
        <v>#REF!</v>
      </c>
      <c r="AE213" s="97" t="e">
        <f t="shared" si="64"/>
        <v>#REF!</v>
      </c>
      <c r="AF213" s="97" t="e">
        <f t="shared" si="65"/>
        <v>#REF!</v>
      </c>
      <c r="AH213" s="98" t="e">
        <f t="shared" si="66"/>
        <v>#REF!</v>
      </c>
      <c r="AI213" s="98" t="e">
        <f t="shared" si="67"/>
        <v>#REF!</v>
      </c>
      <c r="AJ213" s="97" t="e">
        <f t="shared" si="68"/>
        <v>#REF!</v>
      </c>
      <c r="AK213" s="97" t="e">
        <f t="shared" si="69"/>
        <v>#REF!</v>
      </c>
    </row>
    <row r="214" spans="1:37" ht="15" customHeight="1">
      <c r="A214" s="105"/>
      <c r="B214" s="104"/>
      <c r="C214" s="103"/>
      <c r="D214" s="102"/>
      <c r="E214" s="101"/>
      <c r="F214" s="101"/>
      <c r="G214" s="100" t="str">
        <f t="shared" si="52"/>
        <v/>
      </c>
      <c r="H214" s="99" t="str">
        <f t="shared" si="53"/>
        <v/>
      </c>
      <c r="I214" s="106"/>
      <c r="J214" s="2"/>
      <c r="K214" s="2"/>
      <c r="L214" s="2"/>
      <c r="M214" s="2"/>
      <c r="N214" s="2"/>
      <c r="O214" s="2"/>
      <c r="P214" s="2"/>
      <c r="Q214" s="2"/>
      <c r="S214" s="98">
        <f t="shared" si="54"/>
        <v>0</v>
      </c>
      <c r="T214" s="98">
        <f t="shared" si="55"/>
        <v>0</v>
      </c>
      <c r="U214" s="97">
        <f t="shared" si="56"/>
        <v>0</v>
      </c>
      <c r="V214" s="97">
        <f t="shared" si="57"/>
        <v>0</v>
      </c>
      <c r="X214" s="98" t="e">
        <f t="shared" si="58"/>
        <v>#REF!</v>
      </c>
      <c r="Y214" s="98" t="e">
        <f t="shared" si="59"/>
        <v>#REF!</v>
      </c>
      <c r="Z214" s="97" t="e">
        <f t="shared" si="60"/>
        <v>#REF!</v>
      </c>
      <c r="AA214" s="97" t="e">
        <f t="shared" si="61"/>
        <v>#REF!</v>
      </c>
      <c r="AC214" s="98" t="e">
        <f t="shared" si="62"/>
        <v>#REF!</v>
      </c>
      <c r="AD214" s="98" t="e">
        <f t="shared" si="63"/>
        <v>#REF!</v>
      </c>
      <c r="AE214" s="97" t="e">
        <f t="shared" si="64"/>
        <v>#REF!</v>
      </c>
      <c r="AF214" s="97" t="e">
        <f t="shared" si="65"/>
        <v>#REF!</v>
      </c>
      <c r="AH214" s="98" t="e">
        <f t="shared" si="66"/>
        <v>#REF!</v>
      </c>
      <c r="AI214" s="98" t="e">
        <f t="shared" si="67"/>
        <v>#REF!</v>
      </c>
      <c r="AJ214" s="97" t="e">
        <f t="shared" si="68"/>
        <v>#REF!</v>
      </c>
      <c r="AK214" s="97" t="e">
        <f t="shared" si="69"/>
        <v>#REF!</v>
      </c>
    </row>
    <row r="215" spans="1:37" ht="15" customHeight="1">
      <c r="A215" s="105"/>
      <c r="B215" s="104"/>
      <c r="C215" s="103"/>
      <c r="D215" s="102"/>
      <c r="E215" s="101"/>
      <c r="F215" s="101"/>
      <c r="G215" s="100" t="str">
        <f t="shared" si="52"/>
        <v/>
      </c>
      <c r="H215" s="99" t="str">
        <f t="shared" si="53"/>
        <v/>
      </c>
      <c r="I215" s="106"/>
      <c r="J215" s="2"/>
      <c r="K215" s="2"/>
      <c r="L215" s="2"/>
      <c r="M215" s="2"/>
      <c r="N215" s="2"/>
      <c r="O215" s="2"/>
      <c r="P215" s="2"/>
      <c r="Q215" s="2"/>
      <c r="S215" s="98">
        <f t="shared" si="54"/>
        <v>0</v>
      </c>
      <c r="T215" s="98">
        <f t="shared" si="55"/>
        <v>0</v>
      </c>
      <c r="U215" s="97">
        <f t="shared" si="56"/>
        <v>0</v>
      </c>
      <c r="V215" s="97">
        <f t="shared" si="57"/>
        <v>0</v>
      </c>
      <c r="X215" s="98" t="e">
        <f t="shared" si="58"/>
        <v>#REF!</v>
      </c>
      <c r="Y215" s="98" t="e">
        <f t="shared" si="59"/>
        <v>#REF!</v>
      </c>
      <c r="Z215" s="97" t="e">
        <f t="shared" si="60"/>
        <v>#REF!</v>
      </c>
      <c r="AA215" s="97" t="e">
        <f t="shared" si="61"/>
        <v>#REF!</v>
      </c>
      <c r="AC215" s="98" t="e">
        <f t="shared" si="62"/>
        <v>#REF!</v>
      </c>
      <c r="AD215" s="98" t="e">
        <f t="shared" si="63"/>
        <v>#REF!</v>
      </c>
      <c r="AE215" s="97" t="e">
        <f t="shared" si="64"/>
        <v>#REF!</v>
      </c>
      <c r="AF215" s="97" t="e">
        <f t="shared" si="65"/>
        <v>#REF!</v>
      </c>
      <c r="AH215" s="98" t="e">
        <f t="shared" si="66"/>
        <v>#REF!</v>
      </c>
      <c r="AI215" s="98" t="e">
        <f t="shared" si="67"/>
        <v>#REF!</v>
      </c>
      <c r="AJ215" s="97" t="e">
        <f t="shared" si="68"/>
        <v>#REF!</v>
      </c>
      <c r="AK215" s="97" t="e">
        <f t="shared" si="69"/>
        <v>#REF!</v>
      </c>
    </row>
    <row r="216" spans="1:37" ht="15" customHeight="1">
      <c r="A216" s="108"/>
      <c r="B216" s="107"/>
      <c r="C216" s="103"/>
      <c r="D216" s="102"/>
      <c r="E216" s="101"/>
      <c r="F216" s="101"/>
      <c r="G216" s="100" t="str">
        <f t="shared" si="52"/>
        <v/>
      </c>
      <c r="H216" s="99" t="str">
        <f t="shared" si="53"/>
        <v/>
      </c>
      <c r="I216" s="106"/>
      <c r="J216" s="2"/>
      <c r="K216" s="2"/>
      <c r="L216" s="2"/>
      <c r="M216" s="2"/>
      <c r="N216" s="2"/>
      <c r="O216" s="2"/>
      <c r="P216" s="2"/>
      <c r="Q216" s="2"/>
      <c r="S216" s="98">
        <f t="shared" si="54"/>
        <v>0</v>
      </c>
      <c r="T216" s="98">
        <f t="shared" si="55"/>
        <v>0</v>
      </c>
      <c r="U216" s="97">
        <f t="shared" si="56"/>
        <v>0</v>
      </c>
      <c r="V216" s="97">
        <f t="shared" si="57"/>
        <v>0</v>
      </c>
      <c r="X216" s="98" t="e">
        <f t="shared" si="58"/>
        <v>#REF!</v>
      </c>
      <c r="Y216" s="98" t="e">
        <f t="shared" si="59"/>
        <v>#REF!</v>
      </c>
      <c r="Z216" s="97" t="e">
        <f t="shared" si="60"/>
        <v>#REF!</v>
      </c>
      <c r="AA216" s="97" t="e">
        <f t="shared" si="61"/>
        <v>#REF!</v>
      </c>
      <c r="AC216" s="98" t="e">
        <f t="shared" si="62"/>
        <v>#REF!</v>
      </c>
      <c r="AD216" s="98" t="e">
        <f t="shared" si="63"/>
        <v>#REF!</v>
      </c>
      <c r="AE216" s="97" t="e">
        <f t="shared" si="64"/>
        <v>#REF!</v>
      </c>
      <c r="AF216" s="97" t="e">
        <f t="shared" si="65"/>
        <v>#REF!</v>
      </c>
      <c r="AH216" s="98" t="e">
        <f t="shared" si="66"/>
        <v>#REF!</v>
      </c>
      <c r="AI216" s="98" t="e">
        <f t="shared" si="67"/>
        <v>#REF!</v>
      </c>
      <c r="AJ216" s="97" t="e">
        <f t="shared" si="68"/>
        <v>#REF!</v>
      </c>
      <c r="AK216" s="97" t="e">
        <f t="shared" si="69"/>
        <v>#REF!</v>
      </c>
    </row>
    <row r="217" spans="1:37" ht="15" customHeight="1">
      <c r="A217" s="108"/>
      <c r="B217" s="107"/>
      <c r="C217" s="103"/>
      <c r="D217" s="102"/>
      <c r="E217" s="101"/>
      <c r="F217" s="101"/>
      <c r="G217" s="100" t="str">
        <f t="shared" si="52"/>
        <v/>
      </c>
      <c r="H217" s="99" t="str">
        <f t="shared" si="53"/>
        <v/>
      </c>
      <c r="I217" s="106"/>
      <c r="J217" s="2"/>
      <c r="K217" s="2"/>
      <c r="L217" s="2"/>
      <c r="M217" s="2"/>
      <c r="N217" s="2"/>
      <c r="O217" s="2"/>
      <c r="P217" s="2"/>
      <c r="Q217" s="2"/>
      <c r="S217" s="98">
        <f t="shared" si="54"/>
        <v>0</v>
      </c>
      <c r="T217" s="98">
        <f t="shared" si="55"/>
        <v>0</v>
      </c>
      <c r="U217" s="97">
        <f t="shared" si="56"/>
        <v>0</v>
      </c>
      <c r="V217" s="97">
        <f t="shared" si="57"/>
        <v>0</v>
      </c>
      <c r="X217" s="98" t="e">
        <f t="shared" si="58"/>
        <v>#REF!</v>
      </c>
      <c r="Y217" s="98" t="e">
        <f t="shared" si="59"/>
        <v>#REF!</v>
      </c>
      <c r="Z217" s="97" t="e">
        <f t="shared" si="60"/>
        <v>#REF!</v>
      </c>
      <c r="AA217" s="97" t="e">
        <f t="shared" si="61"/>
        <v>#REF!</v>
      </c>
      <c r="AC217" s="98" t="e">
        <f t="shared" si="62"/>
        <v>#REF!</v>
      </c>
      <c r="AD217" s="98" t="e">
        <f t="shared" si="63"/>
        <v>#REF!</v>
      </c>
      <c r="AE217" s="97" t="e">
        <f t="shared" si="64"/>
        <v>#REF!</v>
      </c>
      <c r="AF217" s="97" t="e">
        <f t="shared" si="65"/>
        <v>#REF!</v>
      </c>
      <c r="AH217" s="98" t="e">
        <f t="shared" si="66"/>
        <v>#REF!</v>
      </c>
      <c r="AI217" s="98" t="e">
        <f t="shared" si="67"/>
        <v>#REF!</v>
      </c>
      <c r="AJ217" s="97" t="e">
        <f t="shared" si="68"/>
        <v>#REF!</v>
      </c>
      <c r="AK217" s="97" t="e">
        <f t="shared" si="69"/>
        <v>#REF!</v>
      </c>
    </row>
    <row r="218" spans="1:37" ht="15" customHeight="1">
      <c r="A218" s="108"/>
      <c r="B218" s="107"/>
      <c r="C218" s="103"/>
      <c r="D218" s="102"/>
      <c r="E218" s="101"/>
      <c r="F218" s="101"/>
      <c r="G218" s="100" t="str">
        <f t="shared" si="52"/>
        <v/>
      </c>
      <c r="H218" s="99" t="str">
        <f t="shared" si="53"/>
        <v/>
      </c>
      <c r="I218" s="106"/>
      <c r="J218" s="2"/>
      <c r="K218" s="2"/>
      <c r="L218" s="2"/>
      <c r="M218" s="2"/>
      <c r="N218" s="2"/>
      <c r="O218" s="2"/>
      <c r="P218" s="2"/>
      <c r="Q218" s="2"/>
      <c r="S218" s="98">
        <f t="shared" si="54"/>
        <v>0</v>
      </c>
      <c r="T218" s="98">
        <f t="shared" si="55"/>
        <v>0</v>
      </c>
      <c r="U218" s="97">
        <f t="shared" si="56"/>
        <v>0</v>
      </c>
      <c r="V218" s="97">
        <f t="shared" si="57"/>
        <v>0</v>
      </c>
      <c r="X218" s="98" t="e">
        <f t="shared" si="58"/>
        <v>#REF!</v>
      </c>
      <c r="Y218" s="98" t="e">
        <f t="shared" si="59"/>
        <v>#REF!</v>
      </c>
      <c r="Z218" s="97" t="e">
        <f t="shared" si="60"/>
        <v>#REF!</v>
      </c>
      <c r="AA218" s="97" t="e">
        <f t="shared" si="61"/>
        <v>#REF!</v>
      </c>
      <c r="AC218" s="98" t="e">
        <f t="shared" si="62"/>
        <v>#REF!</v>
      </c>
      <c r="AD218" s="98" t="e">
        <f t="shared" si="63"/>
        <v>#REF!</v>
      </c>
      <c r="AE218" s="97" t="e">
        <f t="shared" si="64"/>
        <v>#REF!</v>
      </c>
      <c r="AF218" s="97" t="e">
        <f t="shared" si="65"/>
        <v>#REF!</v>
      </c>
      <c r="AH218" s="98" t="e">
        <f t="shared" si="66"/>
        <v>#REF!</v>
      </c>
      <c r="AI218" s="98" t="e">
        <f t="shared" si="67"/>
        <v>#REF!</v>
      </c>
      <c r="AJ218" s="97" t="e">
        <f t="shared" si="68"/>
        <v>#REF!</v>
      </c>
      <c r="AK218" s="97" t="e">
        <f t="shared" si="69"/>
        <v>#REF!</v>
      </c>
    </row>
    <row r="219" spans="1:37" ht="15" customHeight="1">
      <c r="A219" s="108"/>
      <c r="B219" s="107"/>
      <c r="C219" s="103"/>
      <c r="D219" s="102"/>
      <c r="E219" s="101"/>
      <c r="F219" s="101"/>
      <c r="G219" s="100" t="str">
        <f t="shared" si="52"/>
        <v/>
      </c>
      <c r="H219" s="99" t="str">
        <f t="shared" si="53"/>
        <v/>
      </c>
      <c r="I219" s="106"/>
      <c r="J219" s="2"/>
      <c r="K219" s="2"/>
      <c r="L219" s="2"/>
      <c r="M219" s="2"/>
      <c r="N219" s="2"/>
      <c r="O219" s="2"/>
      <c r="P219" s="2"/>
      <c r="Q219" s="2"/>
      <c r="S219" s="98">
        <f t="shared" si="54"/>
        <v>0</v>
      </c>
      <c r="T219" s="98">
        <f t="shared" si="55"/>
        <v>0</v>
      </c>
      <c r="U219" s="97">
        <f t="shared" si="56"/>
        <v>0</v>
      </c>
      <c r="V219" s="97">
        <f t="shared" si="57"/>
        <v>0</v>
      </c>
      <c r="X219" s="98" t="e">
        <f t="shared" si="58"/>
        <v>#REF!</v>
      </c>
      <c r="Y219" s="98" t="e">
        <f t="shared" si="59"/>
        <v>#REF!</v>
      </c>
      <c r="Z219" s="97" t="e">
        <f t="shared" si="60"/>
        <v>#REF!</v>
      </c>
      <c r="AA219" s="97" t="e">
        <f t="shared" si="61"/>
        <v>#REF!</v>
      </c>
      <c r="AC219" s="98" t="e">
        <f t="shared" si="62"/>
        <v>#REF!</v>
      </c>
      <c r="AD219" s="98" t="e">
        <f t="shared" si="63"/>
        <v>#REF!</v>
      </c>
      <c r="AE219" s="97" t="e">
        <f t="shared" si="64"/>
        <v>#REF!</v>
      </c>
      <c r="AF219" s="97" t="e">
        <f t="shared" si="65"/>
        <v>#REF!</v>
      </c>
      <c r="AH219" s="98" t="e">
        <f t="shared" si="66"/>
        <v>#REF!</v>
      </c>
      <c r="AI219" s="98" t="e">
        <f t="shared" si="67"/>
        <v>#REF!</v>
      </c>
      <c r="AJ219" s="97" t="e">
        <f t="shared" si="68"/>
        <v>#REF!</v>
      </c>
      <c r="AK219" s="97" t="e">
        <f t="shared" si="69"/>
        <v>#REF!</v>
      </c>
    </row>
    <row r="220" spans="1:37" ht="15" customHeight="1">
      <c r="A220" s="108"/>
      <c r="B220" s="107"/>
      <c r="C220" s="103"/>
      <c r="D220" s="102"/>
      <c r="E220" s="101"/>
      <c r="F220" s="101"/>
      <c r="G220" s="100" t="str">
        <f t="shared" si="52"/>
        <v/>
      </c>
      <c r="H220" s="99" t="str">
        <f t="shared" si="53"/>
        <v/>
      </c>
      <c r="I220" s="106"/>
      <c r="J220" s="2"/>
      <c r="K220" s="2"/>
      <c r="L220" s="2"/>
      <c r="M220" s="2"/>
      <c r="N220" s="2"/>
      <c r="O220" s="2"/>
      <c r="P220" s="2"/>
      <c r="Q220" s="2"/>
      <c r="S220" s="98">
        <f t="shared" si="54"/>
        <v>0</v>
      </c>
      <c r="T220" s="98">
        <f t="shared" si="55"/>
        <v>0</v>
      </c>
      <c r="U220" s="97">
        <f t="shared" si="56"/>
        <v>0</v>
      </c>
      <c r="V220" s="97">
        <f t="shared" si="57"/>
        <v>0</v>
      </c>
      <c r="X220" s="98" t="e">
        <f t="shared" si="58"/>
        <v>#REF!</v>
      </c>
      <c r="Y220" s="98" t="e">
        <f t="shared" si="59"/>
        <v>#REF!</v>
      </c>
      <c r="Z220" s="97" t="e">
        <f t="shared" si="60"/>
        <v>#REF!</v>
      </c>
      <c r="AA220" s="97" t="e">
        <f t="shared" si="61"/>
        <v>#REF!</v>
      </c>
      <c r="AC220" s="98" t="e">
        <f t="shared" si="62"/>
        <v>#REF!</v>
      </c>
      <c r="AD220" s="98" t="e">
        <f t="shared" si="63"/>
        <v>#REF!</v>
      </c>
      <c r="AE220" s="97" t="e">
        <f t="shared" si="64"/>
        <v>#REF!</v>
      </c>
      <c r="AF220" s="97" t="e">
        <f t="shared" si="65"/>
        <v>#REF!</v>
      </c>
      <c r="AH220" s="98" t="e">
        <f t="shared" si="66"/>
        <v>#REF!</v>
      </c>
      <c r="AI220" s="98" t="e">
        <f t="shared" si="67"/>
        <v>#REF!</v>
      </c>
      <c r="AJ220" s="97" t="e">
        <f t="shared" si="68"/>
        <v>#REF!</v>
      </c>
      <c r="AK220" s="97" t="e">
        <f t="shared" si="69"/>
        <v>#REF!</v>
      </c>
    </row>
    <row r="221" spans="1:37" ht="15" customHeight="1">
      <c r="A221" s="108"/>
      <c r="B221" s="107"/>
      <c r="C221" s="103"/>
      <c r="D221" s="102"/>
      <c r="E221" s="101"/>
      <c r="F221" s="101"/>
      <c r="G221" s="100" t="str">
        <f t="shared" si="52"/>
        <v/>
      </c>
      <c r="H221" s="99" t="str">
        <f t="shared" si="53"/>
        <v/>
      </c>
      <c r="I221" s="106"/>
      <c r="J221" s="2"/>
      <c r="K221" s="2"/>
      <c r="L221" s="2"/>
      <c r="M221" s="2"/>
      <c r="N221" s="2"/>
      <c r="O221" s="2"/>
      <c r="P221" s="2"/>
      <c r="Q221" s="2"/>
      <c r="S221" s="98">
        <f t="shared" si="54"/>
        <v>0</v>
      </c>
      <c r="T221" s="98">
        <f t="shared" si="55"/>
        <v>0</v>
      </c>
      <c r="U221" s="97">
        <f t="shared" si="56"/>
        <v>0</v>
      </c>
      <c r="V221" s="97">
        <f t="shared" si="57"/>
        <v>0</v>
      </c>
      <c r="X221" s="98" t="e">
        <f t="shared" si="58"/>
        <v>#REF!</v>
      </c>
      <c r="Y221" s="98" t="e">
        <f t="shared" si="59"/>
        <v>#REF!</v>
      </c>
      <c r="Z221" s="97" t="e">
        <f t="shared" si="60"/>
        <v>#REF!</v>
      </c>
      <c r="AA221" s="97" t="e">
        <f t="shared" si="61"/>
        <v>#REF!</v>
      </c>
      <c r="AC221" s="98" t="e">
        <f t="shared" si="62"/>
        <v>#REF!</v>
      </c>
      <c r="AD221" s="98" t="e">
        <f t="shared" si="63"/>
        <v>#REF!</v>
      </c>
      <c r="AE221" s="97" t="e">
        <f t="shared" si="64"/>
        <v>#REF!</v>
      </c>
      <c r="AF221" s="97" t="e">
        <f t="shared" si="65"/>
        <v>#REF!</v>
      </c>
      <c r="AH221" s="98" t="e">
        <f t="shared" si="66"/>
        <v>#REF!</v>
      </c>
      <c r="AI221" s="98" t="e">
        <f t="shared" si="67"/>
        <v>#REF!</v>
      </c>
      <c r="AJ221" s="97" t="e">
        <f t="shared" si="68"/>
        <v>#REF!</v>
      </c>
      <c r="AK221" s="97" t="e">
        <f t="shared" si="69"/>
        <v>#REF!</v>
      </c>
    </row>
    <row r="222" spans="1:37" ht="15" customHeight="1">
      <c r="A222" s="108"/>
      <c r="B222" s="104"/>
      <c r="C222" s="103"/>
      <c r="D222" s="102"/>
      <c r="E222" s="101"/>
      <c r="F222" s="101"/>
      <c r="G222" s="100" t="str">
        <f t="shared" si="52"/>
        <v/>
      </c>
      <c r="H222" s="99" t="str">
        <f t="shared" si="53"/>
        <v/>
      </c>
      <c r="I222" s="106"/>
      <c r="J222" s="2"/>
      <c r="K222" s="2"/>
      <c r="L222" s="2"/>
      <c r="M222" s="2"/>
      <c r="N222" s="2"/>
      <c r="O222" s="2"/>
      <c r="P222" s="2"/>
      <c r="Q222" s="2"/>
      <c r="S222" s="98">
        <f t="shared" si="54"/>
        <v>0</v>
      </c>
      <c r="T222" s="98">
        <f t="shared" si="55"/>
        <v>0</v>
      </c>
      <c r="U222" s="97">
        <f t="shared" si="56"/>
        <v>0</v>
      </c>
      <c r="V222" s="97">
        <f t="shared" si="57"/>
        <v>0</v>
      </c>
      <c r="X222" s="98" t="e">
        <f t="shared" si="58"/>
        <v>#REF!</v>
      </c>
      <c r="Y222" s="98" t="e">
        <f t="shared" si="59"/>
        <v>#REF!</v>
      </c>
      <c r="Z222" s="97" t="e">
        <f t="shared" si="60"/>
        <v>#REF!</v>
      </c>
      <c r="AA222" s="97" t="e">
        <f t="shared" si="61"/>
        <v>#REF!</v>
      </c>
      <c r="AC222" s="98" t="e">
        <f t="shared" si="62"/>
        <v>#REF!</v>
      </c>
      <c r="AD222" s="98" t="e">
        <f t="shared" si="63"/>
        <v>#REF!</v>
      </c>
      <c r="AE222" s="97" t="e">
        <f t="shared" si="64"/>
        <v>#REF!</v>
      </c>
      <c r="AF222" s="97" t="e">
        <f t="shared" si="65"/>
        <v>#REF!</v>
      </c>
      <c r="AH222" s="98" t="e">
        <f t="shared" si="66"/>
        <v>#REF!</v>
      </c>
      <c r="AI222" s="98" t="e">
        <f t="shared" si="67"/>
        <v>#REF!</v>
      </c>
      <c r="AJ222" s="97" t="e">
        <f t="shared" si="68"/>
        <v>#REF!</v>
      </c>
      <c r="AK222" s="97" t="e">
        <f t="shared" si="69"/>
        <v>#REF!</v>
      </c>
    </row>
    <row r="223" spans="1:37" ht="15" customHeight="1">
      <c r="A223" s="108"/>
      <c r="B223" s="104"/>
      <c r="C223" s="103"/>
      <c r="D223" s="102"/>
      <c r="E223" s="101"/>
      <c r="F223" s="101"/>
      <c r="G223" s="100" t="str">
        <f t="shared" si="52"/>
        <v/>
      </c>
      <c r="H223" s="99" t="str">
        <f t="shared" si="53"/>
        <v/>
      </c>
      <c r="I223" s="106"/>
      <c r="J223" s="2"/>
      <c r="K223" s="2"/>
      <c r="L223" s="2"/>
      <c r="M223" s="2"/>
      <c r="N223" s="2"/>
      <c r="O223" s="2"/>
      <c r="P223" s="2"/>
      <c r="Q223" s="2"/>
      <c r="S223" s="98">
        <f t="shared" si="54"/>
        <v>0</v>
      </c>
      <c r="T223" s="98">
        <f t="shared" si="55"/>
        <v>0</v>
      </c>
      <c r="U223" s="97">
        <f t="shared" si="56"/>
        <v>0</v>
      </c>
      <c r="V223" s="97">
        <f t="shared" si="57"/>
        <v>0</v>
      </c>
      <c r="X223" s="98" t="e">
        <f t="shared" si="58"/>
        <v>#REF!</v>
      </c>
      <c r="Y223" s="98" t="e">
        <f t="shared" si="59"/>
        <v>#REF!</v>
      </c>
      <c r="Z223" s="97" t="e">
        <f t="shared" si="60"/>
        <v>#REF!</v>
      </c>
      <c r="AA223" s="97" t="e">
        <f t="shared" si="61"/>
        <v>#REF!</v>
      </c>
      <c r="AC223" s="98" t="e">
        <f t="shared" si="62"/>
        <v>#REF!</v>
      </c>
      <c r="AD223" s="98" t="e">
        <f t="shared" si="63"/>
        <v>#REF!</v>
      </c>
      <c r="AE223" s="97" t="e">
        <f t="shared" si="64"/>
        <v>#REF!</v>
      </c>
      <c r="AF223" s="97" t="e">
        <f t="shared" si="65"/>
        <v>#REF!</v>
      </c>
      <c r="AH223" s="98" t="e">
        <f t="shared" si="66"/>
        <v>#REF!</v>
      </c>
      <c r="AI223" s="98" t="e">
        <f t="shared" si="67"/>
        <v>#REF!</v>
      </c>
      <c r="AJ223" s="97" t="e">
        <f t="shared" si="68"/>
        <v>#REF!</v>
      </c>
      <c r="AK223" s="97" t="e">
        <f t="shared" si="69"/>
        <v>#REF!</v>
      </c>
    </row>
    <row r="224" spans="1:37" ht="15" customHeight="1">
      <c r="A224" s="108"/>
      <c r="B224" s="104"/>
      <c r="C224" s="103"/>
      <c r="D224" s="102"/>
      <c r="E224" s="101"/>
      <c r="F224" s="101"/>
      <c r="G224" s="100" t="str">
        <f t="shared" si="52"/>
        <v/>
      </c>
      <c r="H224" s="99" t="str">
        <f t="shared" si="53"/>
        <v/>
      </c>
      <c r="I224" s="106"/>
      <c r="J224" s="2"/>
      <c r="K224" s="2"/>
      <c r="L224" s="2"/>
      <c r="M224" s="2"/>
      <c r="N224" s="2"/>
      <c r="O224" s="2"/>
      <c r="P224" s="2"/>
      <c r="Q224" s="2"/>
      <c r="S224" s="98">
        <f t="shared" si="54"/>
        <v>0</v>
      </c>
      <c r="T224" s="98">
        <f t="shared" si="55"/>
        <v>0</v>
      </c>
      <c r="U224" s="97">
        <f t="shared" si="56"/>
        <v>0</v>
      </c>
      <c r="V224" s="97">
        <f t="shared" si="57"/>
        <v>0</v>
      </c>
      <c r="X224" s="98" t="e">
        <f t="shared" si="58"/>
        <v>#REF!</v>
      </c>
      <c r="Y224" s="98" t="e">
        <f t="shared" si="59"/>
        <v>#REF!</v>
      </c>
      <c r="Z224" s="97" t="e">
        <f t="shared" si="60"/>
        <v>#REF!</v>
      </c>
      <c r="AA224" s="97" t="e">
        <f t="shared" si="61"/>
        <v>#REF!</v>
      </c>
      <c r="AC224" s="98" t="e">
        <f t="shared" si="62"/>
        <v>#REF!</v>
      </c>
      <c r="AD224" s="98" t="e">
        <f t="shared" si="63"/>
        <v>#REF!</v>
      </c>
      <c r="AE224" s="97" t="e">
        <f t="shared" si="64"/>
        <v>#REF!</v>
      </c>
      <c r="AF224" s="97" t="e">
        <f t="shared" si="65"/>
        <v>#REF!</v>
      </c>
      <c r="AH224" s="98" t="e">
        <f t="shared" si="66"/>
        <v>#REF!</v>
      </c>
      <c r="AI224" s="98" t="e">
        <f t="shared" si="67"/>
        <v>#REF!</v>
      </c>
      <c r="AJ224" s="97" t="e">
        <f t="shared" si="68"/>
        <v>#REF!</v>
      </c>
      <c r="AK224" s="97" t="e">
        <f t="shared" si="69"/>
        <v>#REF!</v>
      </c>
    </row>
    <row r="225" spans="1:37" ht="15" customHeight="1">
      <c r="A225" s="108"/>
      <c r="B225" s="104"/>
      <c r="C225" s="103"/>
      <c r="D225" s="102"/>
      <c r="E225" s="101"/>
      <c r="F225" s="101"/>
      <c r="G225" s="100" t="str">
        <f t="shared" si="52"/>
        <v/>
      </c>
      <c r="H225" s="99" t="str">
        <f t="shared" si="53"/>
        <v/>
      </c>
      <c r="I225" s="106"/>
      <c r="J225" s="2"/>
      <c r="K225" s="2"/>
      <c r="L225" s="2"/>
      <c r="M225" s="2"/>
      <c r="N225" s="2"/>
      <c r="O225" s="2"/>
      <c r="P225" s="2"/>
      <c r="Q225" s="2"/>
      <c r="S225" s="98">
        <f t="shared" si="54"/>
        <v>0</v>
      </c>
      <c r="T225" s="98">
        <f t="shared" si="55"/>
        <v>0</v>
      </c>
      <c r="U225" s="97">
        <f t="shared" si="56"/>
        <v>0</v>
      </c>
      <c r="V225" s="97">
        <f t="shared" si="57"/>
        <v>0</v>
      </c>
      <c r="X225" s="98" t="e">
        <f t="shared" si="58"/>
        <v>#REF!</v>
      </c>
      <c r="Y225" s="98" t="e">
        <f t="shared" si="59"/>
        <v>#REF!</v>
      </c>
      <c r="Z225" s="97" t="e">
        <f t="shared" si="60"/>
        <v>#REF!</v>
      </c>
      <c r="AA225" s="97" t="e">
        <f t="shared" si="61"/>
        <v>#REF!</v>
      </c>
      <c r="AC225" s="98" t="e">
        <f t="shared" si="62"/>
        <v>#REF!</v>
      </c>
      <c r="AD225" s="98" t="e">
        <f t="shared" si="63"/>
        <v>#REF!</v>
      </c>
      <c r="AE225" s="97" t="e">
        <f t="shared" si="64"/>
        <v>#REF!</v>
      </c>
      <c r="AF225" s="97" t="e">
        <f t="shared" si="65"/>
        <v>#REF!</v>
      </c>
      <c r="AH225" s="98" t="e">
        <f t="shared" si="66"/>
        <v>#REF!</v>
      </c>
      <c r="AI225" s="98" t="e">
        <f t="shared" si="67"/>
        <v>#REF!</v>
      </c>
      <c r="AJ225" s="97" t="e">
        <f t="shared" si="68"/>
        <v>#REF!</v>
      </c>
      <c r="AK225" s="97" t="e">
        <f t="shared" si="69"/>
        <v>#REF!</v>
      </c>
    </row>
    <row r="226" spans="1:37" ht="15" customHeight="1">
      <c r="A226" s="108"/>
      <c r="B226" s="104"/>
      <c r="C226" s="103"/>
      <c r="D226" s="102"/>
      <c r="E226" s="101"/>
      <c r="F226" s="101"/>
      <c r="G226" s="100" t="str">
        <f t="shared" si="52"/>
        <v/>
      </c>
      <c r="H226" s="99" t="str">
        <f t="shared" si="53"/>
        <v/>
      </c>
      <c r="I226" s="106"/>
      <c r="J226" s="2"/>
      <c r="K226" s="2"/>
      <c r="L226" s="2"/>
      <c r="M226" s="2"/>
      <c r="N226" s="2"/>
      <c r="O226" s="2"/>
      <c r="P226" s="2"/>
      <c r="Q226" s="2"/>
      <c r="S226" s="98">
        <f t="shared" si="54"/>
        <v>0</v>
      </c>
      <c r="T226" s="98">
        <f t="shared" si="55"/>
        <v>0</v>
      </c>
      <c r="U226" s="97">
        <f t="shared" si="56"/>
        <v>0</v>
      </c>
      <c r="V226" s="97">
        <f t="shared" si="57"/>
        <v>0</v>
      </c>
      <c r="X226" s="98" t="e">
        <f t="shared" si="58"/>
        <v>#REF!</v>
      </c>
      <c r="Y226" s="98" t="e">
        <f t="shared" si="59"/>
        <v>#REF!</v>
      </c>
      <c r="Z226" s="97" t="e">
        <f t="shared" si="60"/>
        <v>#REF!</v>
      </c>
      <c r="AA226" s="97" t="e">
        <f t="shared" si="61"/>
        <v>#REF!</v>
      </c>
      <c r="AC226" s="98" t="e">
        <f t="shared" si="62"/>
        <v>#REF!</v>
      </c>
      <c r="AD226" s="98" t="e">
        <f t="shared" si="63"/>
        <v>#REF!</v>
      </c>
      <c r="AE226" s="97" t="e">
        <f t="shared" si="64"/>
        <v>#REF!</v>
      </c>
      <c r="AF226" s="97" t="e">
        <f t="shared" si="65"/>
        <v>#REF!</v>
      </c>
      <c r="AH226" s="98" t="e">
        <f t="shared" si="66"/>
        <v>#REF!</v>
      </c>
      <c r="AI226" s="98" t="e">
        <f t="shared" si="67"/>
        <v>#REF!</v>
      </c>
      <c r="AJ226" s="97" t="e">
        <f t="shared" si="68"/>
        <v>#REF!</v>
      </c>
      <c r="AK226" s="97" t="e">
        <f t="shared" si="69"/>
        <v>#REF!</v>
      </c>
    </row>
    <row r="227" spans="1:37" ht="15" customHeight="1">
      <c r="A227" s="108"/>
      <c r="B227" s="104"/>
      <c r="C227" s="103"/>
      <c r="D227" s="102"/>
      <c r="E227" s="101"/>
      <c r="F227" s="101"/>
      <c r="G227" s="100" t="str">
        <f t="shared" si="52"/>
        <v/>
      </c>
      <c r="H227" s="99" t="str">
        <f t="shared" si="53"/>
        <v/>
      </c>
      <c r="I227" s="106"/>
      <c r="J227" s="2"/>
      <c r="K227" s="2"/>
      <c r="L227" s="2"/>
      <c r="M227" s="2"/>
      <c r="N227" s="2"/>
      <c r="O227" s="2"/>
      <c r="P227" s="2"/>
      <c r="Q227" s="2"/>
      <c r="S227" s="98">
        <f t="shared" si="54"/>
        <v>0</v>
      </c>
      <c r="T227" s="98">
        <f t="shared" si="55"/>
        <v>0</v>
      </c>
      <c r="U227" s="97">
        <f t="shared" si="56"/>
        <v>0</v>
      </c>
      <c r="V227" s="97">
        <f t="shared" si="57"/>
        <v>0</v>
      </c>
      <c r="X227" s="98" t="e">
        <f t="shared" si="58"/>
        <v>#REF!</v>
      </c>
      <c r="Y227" s="98" t="e">
        <f t="shared" si="59"/>
        <v>#REF!</v>
      </c>
      <c r="Z227" s="97" t="e">
        <f t="shared" si="60"/>
        <v>#REF!</v>
      </c>
      <c r="AA227" s="97" t="e">
        <f t="shared" si="61"/>
        <v>#REF!</v>
      </c>
      <c r="AC227" s="98" t="e">
        <f t="shared" si="62"/>
        <v>#REF!</v>
      </c>
      <c r="AD227" s="98" t="e">
        <f t="shared" si="63"/>
        <v>#REF!</v>
      </c>
      <c r="AE227" s="97" t="e">
        <f t="shared" si="64"/>
        <v>#REF!</v>
      </c>
      <c r="AF227" s="97" t="e">
        <f t="shared" si="65"/>
        <v>#REF!</v>
      </c>
      <c r="AH227" s="98" t="e">
        <f t="shared" si="66"/>
        <v>#REF!</v>
      </c>
      <c r="AI227" s="98" t="e">
        <f t="shared" si="67"/>
        <v>#REF!</v>
      </c>
      <c r="AJ227" s="97" t="e">
        <f t="shared" si="68"/>
        <v>#REF!</v>
      </c>
      <c r="AK227" s="97" t="e">
        <f t="shared" si="69"/>
        <v>#REF!</v>
      </c>
    </row>
    <row r="228" spans="1:37" ht="15" customHeight="1">
      <c r="A228" s="108"/>
      <c r="B228" s="107"/>
      <c r="C228" s="103"/>
      <c r="D228" s="102"/>
      <c r="E228" s="101"/>
      <c r="F228" s="101"/>
      <c r="G228" s="100" t="str">
        <f t="shared" si="52"/>
        <v/>
      </c>
      <c r="H228" s="99" t="str">
        <f t="shared" si="53"/>
        <v/>
      </c>
      <c r="I228" s="106"/>
      <c r="J228" s="2"/>
      <c r="K228" s="2"/>
      <c r="L228" s="2"/>
      <c r="M228" s="2"/>
      <c r="N228" s="2"/>
      <c r="O228" s="2"/>
      <c r="P228" s="2"/>
      <c r="Q228" s="2"/>
      <c r="S228" s="98">
        <f t="shared" si="54"/>
        <v>0</v>
      </c>
      <c r="T228" s="98">
        <f t="shared" si="55"/>
        <v>0</v>
      </c>
      <c r="U228" s="97">
        <f t="shared" si="56"/>
        <v>0</v>
      </c>
      <c r="V228" s="97">
        <f t="shared" si="57"/>
        <v>0</v>
      </c>
      <c r="X228" s="98" t="e">
        <f t="shared" si="58"/>
        <v>#REF!</v>
      </c>
      <c r="Y228" s="98" t="e">
        <f t="shared" si="59"/>
        <v>#REF!</v>
      </c>
      <c r="Z228" s="97" t="e">
        <f t="shared" si="60"/>
        <v>#REF!</v>
      </c>
      <c r="AA228" s="97" t="e">
        <f t="shared" si="61"/>
        <v>#REF!</v>
      </c>
      <c r="AC228" s="98" t="e">
        <f t="shared" si="62"/>
        <v>#REF!</v>
      </c>
      <c r="AD228" s="98" t="e">
        <f t="shared" si="63"/>
        <v>#REF!</v>
      </c>
      <c r="AE228" s="97" t="e">
        <f t="shared" si="64"/>
        <v>#REF!</v>
      </c>
      <c r="AF228" s="97" t="e">
        <f t="shared" si="65"/>
        <v>#REF!</v>
      </c>
      <c r="AH228" s="98" t="e">
        <f t="shared" si="66"/>
        <v>#REF!</v>
      </c>
      <c r="AI228" s="98" t="e">
        <f t="shared" si="67"/>
        <v>#REF!</v>
      </c>
      <c r="AJ228" s="97" t="e">
        <f t="shared" si="68"/>
        <v>#REF!</v>
      </c>
      <c r="AK228" s="97" t="e">
        <f t="shared" si="69"/>
        <v>#REF!</v>
      </c>
    </row>
    <row r="229" spans="1:37" ht="15" customHeight="1">
      <c r="A229" s="108"/>
      <c r="B229" s="107"/>
      <c r="C229" s="103"/>
      <c r="D229" s="102"/>
      <c r="E229" s="101"/>
      <c r="F229" s="101"/>
      <c r="G229" s="100" t="str">
        <f t="shared" si="52"/>
        <v/>
      </c>
      <c r="H229" s="99" t="str">
        <f t="shared" si="53"/>
        <v/>
      </c>
      <c r="I229" s="106"/>
      <c r="J229" s="2"/>
      <c r="K229" s="2"/>
      <c r="L229" s="2"/>
      <c r="M229" s="2"/>
      <c r="N229" s="2"/>
      <c r="O229" s="2"/>
      <c r="P229" s="2"/>
      <c r="Q229" s="2"/>
      <c r="S229" s="98">
        <f t="shared" si="54"/>
        <v>0</v>
      </c>
      <c r="T229" s="98">
        <f t="shared" si="55"/>
        <v>0</v>
      </c>
      <c r="U229" s="97">
        <f t="shared" si="56"/>
        <v>0</v>
      </c>
      <c r="V229" s="97">
        <f t="shared" si="57"/>
        <v>0</v>
      </c>
      <c r="X229" s="98" t="e">
        <f t="shared" si="58"/>
        <v>#REF!</v>
      </c>
      <c r="Y229" s="98" t="e">
        <f t="shared" si="59"/>
        <v>#REF!</v>
      </c>
      <c r="Z229" s="97" t="e">
        <f t="shared" si="60"/>
        <v>#REF!</v>
      </c>
      <c r="AA229" s="97" t="e">
        <f t="shared" si="61"/>
        <v>#REF!</v>
      </c>
      <c r="AC229" s="98" t="e">
        <f t="shared" si="62"/>
        <v>#REF!</v>
      </c>
      <c r="AD229" s="98" t="e">
        <f t="shared" si="63"/>
        <v>#REF!</v>
      </c>
      <c r="AE229" s="97" t="e">
        <f t="shared" si="64"/>
        <v>#REF!</v>
      </c>
      <c r="AF229" s="97" t="e">
        <f t="shared" si="65"/>
        <v>#REF!</v>
      </c>
      <c r="AH229" s="98" t="e">
        <f t="shared" si="66"/>
        <v>#REF!</v>
      </c>
      <c r="AI229" s="98" t="e">
        <f t="shared" si="67"/>
        <v>#REF!</v>
      </c>
      <c r="AJ229" s="97" t="e">
        <f t="shared" si="68"/>
        <v>#REF!</v>
      </c>
      <c r="AK229" s="97" t="e">
        <f t="shared" si="69"/>
        <v>#REF!</v>
      </c>
    </row>
    <row r="230" spans="1:37" ht="15" customHeight="1">
      <c r="A230" s="108"/>
      <c r="B230" s="107"/>
      <c r="C230" s="103"/>
      <c r="D230" s="102"/>
      <c r="E230" s="101"/>
      <c r="F230" s="101"/>
      <c r="G230" s="100" t="str">
        <f t="shared" si="52"/>
        <v/>
      </c>
      <c r="H230" s="99" t="str">
        <f t="shared" si="53"/>
        <v/>
      </c>
      <c r="I230" s="106"/>
      <c r="J230" s="2"/>
      <c r="K230" s="2"/>
      <c r="L230" s="2"/>
      <c r="M230" s="2"/>
      <c r="N230" s="2"/>
      <c r="O230" s="2"/>
      <c r="P230" s="2"/>
      <c r="Q230" s="2"/>
      <c r="S230" s="98">
        <f t="shared" si="54"/>
        <v>0</v>
      </c>
      <c r="T230" s="98">
        <f t="shared" si="55"/>
        <v>0</v>
      </c>
      <c r="U230" s="97">
        <f t="shared" si="56"/>
        <v>0</v>
      </c>
      <c r="V230" s="97">
        <f t="shared" si="57"/>
        <v>0</v>
      </c>
      <c r="X230" s="98" t="e">
        <f t="shared" si="58"/>
        <v>#REF!</v>
      </c>
      <c r="Y230" s="98" t="e">
        <f t="shared" si="59"/>
        <v>#REF!</v>
      </c>
      <c r="Z230" s="97" t="e">
        <f t="shared" si="60"/>
        <v>#REF!</v>
      </c>
      <c r="AA230" s="97" t="e">
        <f t="shared" si="61"/>
        <v>#REF!</v>
      </c>
      <c r="AC230" s="98" t="e">
        <f t="shared" si="62"/>
        <v>#REF!</v>
      </c>
      <c r="AD230" s="98" t="e">
        <f t="shared" si="63"/>
        <v>#REF!</v>
      </c>
      <c r="AE230" s="97" t="e">
        <f t="shared" si="64"/>
        <v>#REF!</v>
      </c>
      <c r="AF230" s="97" t="e">
        <f t="shared" si="65"/>
        <v>#REF!</v>
      </c>
      <c r="AH230" s="98" t="e">
        <f t="shared" si="66"/>
        <v>#REF!</v>
      </c>
      <c r="AI230" s="98" t="e">
        <f t="shared" si="67"/>
        <v>#REF!</v>
      </c>
      <c r="AJ230" s="97" t="e">
        <f t="shared" si="68"/>
        <v>#REF!</v>
      </c>
      <c r="AK230" s="97" t="e">
        <f t="shared" si="69"/>
        <v>#REF!</v>
      </c>
    </row>
    <row r="231" spans="1:37" ht="15" customHeight="1">
      <c r="A231" s="108"/>
      <c r="B231" s="107"/>
      <c r="C231" s="103"/>
      <c r="D231" s="102"/>
      <c r="E231" s="101"/>
      <c r="F231" s="101"/>
      <c r="G231" s="100" t="str">
        <f t="shared" si="52"/>
        <v/>
      </c>
      <c r="H231" s="99" t="str">
        <f t="shared" si="53"/>
        <v/>
      </c>
      <c r="I231" s="106"/>
      <c r="J231" s="2"/>
      <c r="K231" s="2"/>
      <c r="L231" s="2"/>
      <c r="M231" s="2"/>
      <c r="N231" s="2"/>
      <c r="O231" s="2"/>
      <c r="P231" s="2"/>
      <c r="Q231" s="2"/>
      <c r="S231" s="98">
        <f t="shared" si="54"/>
        <v>0</v>
      </c>
      <c r="T231" s="98">
        <f t="shared" si="55"/>
        <v>0</v>
      </c>
      <c r="U231" s="97">
        <f t="shared" si="56"/>
        <v>0</v>
      </c>
      <c r="V231" s="97">
        <f t="shared" si="57"/>
        <v>0</v>
      </c>
      <c r="X231" s="98" t="e">
        <f t="shared" si="58"/>
        <v>#REF!</v>
      </c>
      <c r="Y231" s="98" t="e">
        <f t="shared" si="59"/>
        <v>#REF!</v>
      </c>
      <c r="Z231" s="97" t="e">
        <f t="shared" si="60"/>
        <v>#REF!</v>
      </c>
      <c r="AA231" s="97" t="e">
        <f t="shared" si="61"/>
        <v>#REF!</v>
      </c>
      <c r="AC231" s="98" t="e">
        <f t="shared" si="62"/>
        <v>#REF!</v>
      </c>
      <c r="AD231" s="98" t="e">
        <f t="shared" si="63"/>
        <v>#REF!</v>
      </c>
      <c r="AE231" s="97" t="e">
        <f t="shared" si="64"/>
        <v>#REF!</v>
      </c>
      <c r="AF231" s="97" t="e">
        <f t="shared" si="65"/>
        <v>#REF!</v>
      </c>
      <c r="AH231" s="98" t="e">
        <f t="shared" si="66"/>
        <v>#REF!</v>
      </c>
      <c r="AI231" s="98" t="e">
        <f t="shared" si="67"/>
        <v>#REF!</v>
      </c>
      <c r="AJ231" s="97" t="e">
        <f t="shared" si="68"/>
        <v>#REF!</v>
      </c>
      <c r="AK231" s="97" t="e">
        <f t="shared" si="69"/>
        <v>#REF!</v>
      </c>
    </row>
    <row r="232" spans="1:37" ht="15" customHeight="1">
      <c r="A232" s="108"/>
      <c r="B232" s="107"/>
      <c r="C232" s="103"/>
      <c r="D232" s="102"/>
      <c r="E232" s="101"/>
      <c r="F232" s="101"/>
      <c r="G232" s="100" t="str">
        <f t="shared" si="52"/>
        <v/>
      </c>
      <c r="H232" s="99" t="str">
        <f t="shared" si="53"/>
        <v/>
      </c>
      <c r="I232" s="106"/>
      <c r="J232" s="2"/>
      <c r="K232" s="2"/>
      <c r="L232" s="2"/>
      <c r="M232" s="2"/>
      <c r="N232" s="2"/>
      <c r="O232" s="2"/>
      <c r="P232" s="2"/>
      <c r="Q232" s="2"/>
      <c r="S232" s="98">
        <f t="shared" si="54"/>
        <v>0</v>
      </c>
      <c r="T232" s="98">
        <f t="shared" si="55"/>
        <v>0</v>
      </c>
      <c r="U232" s="97">
        <f t="shared" si="56"/>
        <v>0</v>
      </c>
      <c r="V232" s="97">
        <f t="shared" si="57"/>
        <v>0</v>
      </c>
      <c r="X232" s="98" t="e">
        <f t="shared" si="58"/>
        <v>#REF!</v>
      </c>
      <c r="Y232" s="98" t="e">
        <f t="shared" si="59"/>
        <v>#REF!</v>
      </c>
      <c r="Z232" s="97" t="e">
        <f t="shared" si="60"/>
        <v>#REF!</v>
      </c>
      <c r="AA232" s="97" t="e">
        <f t="shared" si="61"/>
        <v>#REF!</v>
      </c>
      <c r="AC232" s="98" t="e">
        <f t="shared" si="62"/>
        <v>#REF!</v>
      </c>
      <c r="AD232" s="98" t="e">
        <f t="shared" si="63"/>
        <v>#REF!</v>
      </c>
      <c r="AE232" s="97" t="e">
        <f t="shared" si="64"/>
        <v>#REF!</v>
      </c>
      <c r="AF232" s="97" t="e">
        <f t="shared" si="65"/>
        <v>#REF!</v>
      </c>
      <c r="AH232" s="98" t="e">
        <f t="shared" si="66"/>
        <v>#REF!</v>
      </c>
      <c r="AI232" s="98" t="e">
        <f t="shared" si="67"/>
        <v>#REF!</v>
      </c>
      <c r="AJ232" s="97" t="e">
        <f t="shared" si="68"/>
        <v>#REF!</v>
      </c>
      <c r="AK232" s="97" t="e">
        <f t="shared" si="69"/>
        <v>#REF!</v>
      </c>
    </row>
    <row r="233" spans="1:37" ht="15" customHeight="1">
      <c r="A233" s="108"/>
      <c r="B233" s="107"/>
      <c r="C233" s="103"/>
      <c r="D233" s="102"/>
      <c r="E233" s="101"/>
      <c r="F233" s="101"/>
      <c r="G233" s="100" t="str">
        <f t="shared" si="52"/>
        <v/>
      </c>
      <c r="H233" s="99" t="str">
        <f t="shared" si="53"/>
        <v/>
      </c>
      <c r="I233" s="106"/>
      <c r="J233" s="2"/>
      <c r="K233" s="2"/>
      <c r="L233" s="2"/>
      <c r="M233" s="2"/>
      <c r="N233" s="2"/>
      <c r="O233" s="2"/>
      <c r="P233" s="2"/>
      <c r="Q233" s="2"/>
      <c r="S233" s="98">
        <f t="shared" si="54"/>
        <v>0</v>
      </c>
      <c r="T233" s="98">
        <f t="shared" si="55"/>
        <v>0</v>
      </c>
      <c r="U233" s="97">
        <f t="shared" si="56"/>
        <v>0</v>
      </c>
      <c r="V233" s="97">
        <f t="shared" si="57"/>
        <v>0</v>
      </c>
      <c r="X233" s="98" t="e">
        <f t="shared" si="58"/>
        <v>#REF!</v>
      </c>
      <c r="Y233" s="98" t="e">
        <f t="shared" si="59"/>
        <v>#REF!</v>
      </c>
      <c r="Z233" s="97" t="e">
        <f t="shared" si="60"/>
        <v>#REF!</v>
      </c>
      <c r="AA233" s="97" t="e">
        <f t="shared" si="61"/>
        <v>#REF!</v>
      </c>
      <c r="AC233" s="98" t="e">
        <f t="shared" si="62"/>
        <v>#REF!</v>
      </c>
      <c r="AD233" s="98" t="e">
        <f t="shared" si="63"/>
        <v>#REF!</v>
      </c>
      <c r="AE233" s="97" t="e">
        <f t="shared" si="64"/>
        <v>#REF!</v>
      </c>
      <c r="AF233" s="97" t="e">
        <f t="shared" si="65"/>
        <v>#REF!</v>
      </c>
      <c r="AH233" s="98" t="e">
        <f t="shared" si="66"/>
        <v>#REF!</v>
      </c>
      <c r="AI233" s="98" t="e">
        <f t="shared" si="67"/>
        <v>#REF!</v>
      </c>
      <c r="AJ233" s="97" t="e">
        <f t="shared" si="68"/>
        <v>#REF!</v>
      </c>
      <c r="AK233" s="97" t="e">
        <f t="shared" si="69"/>
        <v>#REF!</v>
      </c>
    </row>
    <row r="234" spans="1:37" ht="15" customHeight="1">
      <c r="A234" s="108"/>
      <c r="B234" s="107"/>
      <c r="C234" s="103"/>
      <c r="D234" s="102"/>
      <c r="E234" s="101"/>
      <c r="F234" s="101"/>
      <c r="G234" s="100" t="str">
        <f t="shared" si="52"/>
        <v/>
      </c>
      <c r="H234" s="99" t="str">
        <f t="shared" si="53"/>
        <v/>
      </c>
      <c r="I234" s="106"/>
      <c r="J234" s="2"/>
      <c r="K234" s="2"/>
      <c r="L234" s="2"/>
      <c r="M234" s="2"/>
      <c r="N234" s="2"/>
      <c r="O234" s="2"/>
      <c r="P234" s="2"/>
      <c r="Q234" s="2"/>
      <c r="S234" s="98">
        <f t="shared" si="54"/>
        <v>0</v>
      </c>
      <c r="T234" s="98">
        <f t="shared" si="55"/>
        <v>0</v>
      </c>
      <c r="U234" s="97">
        <f t="shared" si="56"/>
        <v>0</v>
      </c>
      <c r="V234" s="97">
        <f t="shared" si="57"/>
        <v>0</v>
      </c>
      <c r="X234" s="98" t="e">
        <f t="shared" si="58"/>
        <v>#REF!</v>
      </c>
      <c r="Y234" s="98" t="e">
        <f t="shared" si="59"/>
        <v>#REF!</v>
      </c>
      <c r="Z234" s="97" t="e">
        <f t="shared" si="60"/>
        <v>#REF!</v>
      </c>
      <c r="AA234" s="97" t="e">
        <f t="shared" si="61"/>
        <v>#REF!</v>
      </c>
      <c r="AC234" s="98" t="e">
        <f t="shared" si="62"/>
        <v>#REF!</v>
      </c>
      <c r="AD234" s="98" t="e">
        <f t="shared" si="63"/>
        <v>#REF!</v>
      </c>
      <c r="AE234" s="97" t="e">
        <f t="shared" si="64"/>
        <v>#REF!</v>
      </c>
      <c r="AF234" s="97" t="e">
        <f t="shared" si="65"/>
        <v>#REF!</v>
      </c>
      <c r="AH234" s="98" t="e">
        <f t="shared" si="66"/>
        <v>#REF!</v>
      </c>
      <c r="AI234" s="98" t="e">
        <f t="shared" si="67"/>
        <v>#REF!</v>
      </c>
      <c r="AJ234" s="97" t="e">
        <f t="shared" si="68"/>
        <v>#REF!</v>
      </c>
      <c r="AK234" s="97" t="e">
        <f t="shared" si="69"/>
        <v>#REF!</v>
      </c>
    </row>
    <row r="235" spans="1:37" ht="15" customHeight="1">
      <c r="A235" s="108"/>
      <c r="B235" s="107"/>
      <c r="C235" s="103"/>
      <c r="D235" s="102"/>
      <c r="E235" s="101"/>
      <c r="F235" s="101"/>
      <c r="G235" s="100" t="str">
        <f t="shared" si="52"/>
        <v/>
      </c>
      <c r="H235" s="99" t="str">
        <f t="shared" si="53"/>
        <v/>
      </c>
      <c r="I235" s="106"/>
      <c r="J235" s="2"/>
      <c r="K235" s="2"/>
      <c r="L235" s="2"/>
      <c r="M235" s="2"/>
      <c r="N235" s="2"/>
      <c r="O235" s="2"/>
      <c r="P235" s="2"/>
      <c r="Q235" s="2"/>
      <c r="S235" s="98">
        <f t="shared" si="54"/>
        <v>0</v>
      </c>
      <c r="T235" s="98">
        <f t="shared" si="55"/>
        <v>0</v>
      </c>
      <c r="U235" s="97">
        <f t="shared" si="56"/>
        <v>0</v>
      </c>
      <c r="V235" s="97">
        <f t="shared" si="57"/>
        <v>0</v>
      </c>
      <c r="X235" s="98" t="e">
        <f t="shared" si="58"/>
        <v>#REF!</v>
      </c>
      <c r="Y235" s="98" t="e">
        <f t="shared" si="59"/>
        <v>#REF!</v>
      </c>
      <c r="Z235" s="97" t="e">
        <f t="shared" si="60"/>
        <v>#REF!</v>
      </c>
      <c r="AA235" s="97" t="e">
        <f t="shared" si="61"/>
        <v>#REF!</v>
      </c>
      <c r="AC235" s="98" t="e">
        <f t="shared" si="62"/>
        <v>#REF!</v>
      </c>
      <c r="AD235" s="98" t="e">
        <f t="shared" si="63"/>
        <v>#REF!</v>
      </c>
      <c r="AE235" s="97" t="e">
        <f t="shared" si="64"/>
        <v>#REF!</v>
      </c>
      <c r="AF235" s="97" t="e">
        <f t="shared" si="65"/>
        <v>#REF!</v>
      </c>
      <c r="AH235" s="98" t="e">
        <f t="shared" si="66"/>
        <v>#REF!</v>
      </c>
      <c r="AI235" s="98" t="e">
        <f t="shared" si="67"/>
        <v>#REF!</v>
      </c>
      <c r="AJ235" s="97" t="e">
        <f t="shared" si="68"/>
        <v>#REF!</v>
      </c>
      <c r="AK235" s="97" t="e">
        <f t="shared" si="69"/>
        <v>#REF!</v>
      </c>
    </row>
    <row r="236" spans="1:37" ht="15" customHeight="1">
      <c r="A236" s="108"/>
      <c r="B236" s="107"/>
      <c r="C236" s="103"/>
      <c r="D236" s="102"/>
      <c r="E236" s="101"/>
      <c r="F236" s="101"/>
      <c r="G236" s="100" t="str">
        <f t="shared" si="52"/>
        <v/>
      </c>
      <c r="H236" s="99" t="str">
        <f t="shared" si="53"/>
        <v/>
      </c>
      <c r="I236" s="106"/>
      <c r="J236" s="2"/>
      <c r="K236" s="2"/>
      <c r="L236" s="2"/>
      <c r="M236" s="2"/>
      <c r="N236" s="2"/>
      <c r="O236" s="2"/>
      <c r="P236" s="2"/>
      <c r="Q236" s="2"/>
      <c r="S236" s="98">
        <f t="shared" si="54"/>
        <v>0</v>
      </c>
      <c r="T236" s="98">
        <f t="shared" si="55"/>
        <v>0</v>
      </c>
      <c r="U236" s="97">
        <f t="shared" si="56"/>
        <v>0</v>
      </c>
      <c r="V236" s="97">
        <f t="shared" si="57"/>
        <v>0</v>
      </c>
      <c r="X236" s="98" t="e">
        <f t="shared" si="58"/>
        <v>#REF!</v>
      </c>
      <c r="Y236" s="98" t="e">
        <f t="shared" si="59"/>
        <v>#REF!</v>
      </c>
      <c r="Z236" s="97" t="e">
        <f t="shared" si="60"/>
        <v>#REF!</v>
      </c>
      <c r="AA236" s="97" t="e">
        <f t="shared" si="61"/>
        <v>#REF!</v>
      </c>
      <c r="AC236" s="98" t="e">
        <f t="shared" si="62"/>
        <v>#REF!</v>
      </c>
      <c r="AD236" s="98" t="e">
        <f t="shared" si="63"/>
        <v>#REF!</v>
      </c>
      <c r="AE236" s="97" t="e">
        <f t="shared" si="64"/>
        <v>#REF!</v>
      </c>
      <c r="AF236" s="97" t="e">
        <f t="shared" si="65"/>
        <v>#REF!</v>
      </c>
      <c r="AH236" s="98" t="e">
        <f t="shared" si="66"/>
        <v>#REF!</v>
      </c>
      <c r="AI236" s="98" t="e">
        <f t="shared" si="67"/>
        <v>#REF!</v>
      </c>
      <c r="AJ236" s="97" t="e">
        <f t="shared" si="68"/>
        <v>#REF!</v>
      </c>
      <c r="AK236" s="97" t="e">
        <f t="shared" si="69"/>
        <v>#REF!</v>
      </c>
    </row>
    <row r="237" spans="1:37" ht="15" customHeight="1">
      <c r="A237" s="108"/>
      <c r="B237" s="107"/>
      <c r="C237" s="103"/>
      <c r="D237" s="102"/>
      <c r="E237" s="101"/>
      <c r="F237" s="101"/>
      <c r="G237" s="100" t="str">
        <f t="shared" si="52"/>
        <v/>
      </c>
      <c r="H237" s="99" t="str">
        <f t="shared" si="53"/>
        <v/>
      </c>
      <c r="I237" s="106"/>
      <c r="J237" s="2"/>
      <c r="K237" s="2"/>
      <c r="L237" s="2"/>
      <c r="M237" s="2"/>
      <c r="N237" s="2"/>
      <c r="O237" s="2"/>
      <c r="P237" s="2"/>
      <c r="Q237" s="2"/>
      <c r="S237" s="98">
        <f t="shared" si="54"/>
        <v>0</v>
      </c>
      <c r="T237" s="98">
        <f t="shared" si="55"/>
        <v>0</v>
      </c>
      <c r="U237" s="97">
        <f t="shared" si="56"/>
        <v>0</v>
      </c>
      <c r="V237" s="97">
        <f t="shared" si="57"/>
        <v>0</v>
      </c>
      <c r="X237" s="98" t="e">
        <f t="shared" si="58"/>
        <v>#REF!</v>
      </c>
      <c r="Y237" s="98" t="e">
        <f t="shared" si="59"/>
        <v>#REF!</v>
      </c>
      <c r="Z237" s="97" t="e">
        <f t="shared" si="60"/>
        <v>#REF!</v>
      </c>
      <c r="AA237" s="97" t="e">
        <f t="shared" si="61"/>
        <v>#REF!</v>
      </c>
      <c r="AC237" s="98" t="e">
        <f t="shared" si="62"/>
        <v>#REF!</v>
      </c>
      <c r="AD237" s="98" t="e">
        <f t="shared" si="63"/>
        <v>#REF!</v>
      </c>
      <c r="AE237" s="97" t="e">
        <f t="shared" si="64"/>
        <v>#REF!</v>
      </c>
      <c r="AF237" s="97" t="e">
        <f t="shared" si="65"/>
        <v>#REF!</v>
      </c>
      <c r="AH237" s="98" t="e">
        <f t="shared" si="66"/>
        <v>#REF!</v>
      </c>
      <c r="AI237" s="98" t="e">
        <f t="shared" si="67"/>
        <v>#REF!</v>
      </c>
      <c r="AJ237" s="97" t="e">
        <f t="shared" si="68"/>
        <v>#REF!</v>
      </c>
      <c r="AK237" s="97" t="e">
        <f t="shared" si="69"/>
        <v>#REF!</v>
      </c>
    </row>
    <row r="238" spans="1:37" ht="15" customHeight="1">
      <c r="A238" s="105"/>
      <c r="B238" s="104"/>
      <c r="C238" s="103"/>
      <c r="D238" s="102"/>
      <c r="E238" s="101"/>
      <c r="F238" s="101"/>
      <c r="G238" s="100" t="str">
        <f t="shared" si="52"/>
        <v/>
      </c>
      <c r="H238" s="99" t="str">
        <f t="shared" si="53"/>
        <v/>
      </c>
      <c r="I238" s="106"/>
      <c r="J238" s="2"/>
      <c r="K238" s="2"/>
      <c r="L238" s="2"/>
      <c r="M238" s="2"/>
      <c r="N238" s="2"/>
      <c r="O238" s="2"/>
      <c r="P238" s="2"/>
      <c r="Q238" s="2"/>
      <c r="S238" s="98">
        <f t="shared" si="54"/>
        <v>0</v>
      </c>
      <c r="T238" s="98">
        <f t="shared" si="55"/>
        <v>0</v>
      </c>
      <c r="U238" s="97">
        <f t="shared" si="56"/>
        <v>0</v>
      </c>
      <c r="V238" s="97">
        <f t="shared" si="57"/>
        <v>0</v>
      </c>
      <c r="X238" s="98" t="e">
        <f t="shared" si="58"/>
        <v>#REF!</v>
      </c>
      <c r="Y238" s="98" t="e">
        <f t="shared" si="59"/>
        <v>#REF!</v>
      </c>
      <c r="Z238" s="97" t="e">
        <f t="shared" si="60"/>
        <v>#REF!</v>
      </c>
      <c r="AA238" s="97" t="e">
        <f t="shared" si="61"/>
        <v>#REF!</v>
      </c>
      <c r="AC238" s="98" t="e">
        <f t="shared" si="62"/>
        <v>#REF!</v>
      </c>
      <c r="AD238" s="98" t="e">
        <f t="shared" si="63"/>
        <v>#REF!</v>
      </c>
      <c r="AE238" s="97" t="e">
        <f t="shared" si="64"/>
        <v>#REF!</v>
      </c>
      <c r="AF238" s="97" t="e">
        <f t="shared" si="65"/>
        <v>#REF!</v>
      </c>
      <c r="AH238" s="98" t="e">
        <f t="shared" si="66"/>
        <v>#REF!</v>
      </c>
      <c r="AI238" s="98" t="e">
        <f t="shared" si="67"/>
        <v>#REF!</v>
      </c>
      <c r="AJ238" s="97" t="e">
        <f t="shared" si="68"/>
        <v>#REF!</v>
      </c>
      <c r="AK238" s="97" t="e">
        <f t="shared" si="69"/>
        <v>#REF!</v>
      </c>
    </row>
    <row r="239" spans="1:37" ht="15" customHeight="1">
      <c r="A239" s="105"/>
      <c r="B239" s="104"/>
      <c r="C239" s="103"/>
      <c r="D239" s="102"/>
      <c r="E239" s="101"/>
      <c r="F239" s="101"/>
      <c r="G239" s="100" t="str">
        <f t="shared" si="52"/>
        <v/>
      </c>
      <c r="H239" s="99" t="str">
        <f t="shared" si="53"/>
        <v/>
      </c>
      <c r="I239" s="106"/>
      <c r="J239" s="2"/>
      <c r="K239" s="2"/>
      <c r="L239" s="2"/>
      <c r="M239" s="2"/>
      <c r="N239" s="2"/>
      <c r="O239" s="2"/>
      <c r="P239" s="2"/>
      <c r="Q239" s="2"/>
      <c r="S239" s="98">
        <f t="shared" si="54"/>
        <v>0</v>
      </c>
      <c r="T239" s="98">
        <f t="shared" si="55"/>
        <v>0</v>
      </c>
      <c r="U239" s="97">
        <f t="shared" si="56"/>
        <v>0</v>
      </c>
      <c r="V239" s="97">
        <f t="shared" si="57"/>
        <v>0</v>
      </c>
      <c r="X239" s="98" t="e">
        <f t="shared" si="58"/>
        <v>#REF!</v>
      </c>
      <c r="Y239" s="98" t="e">
        <f t="shared" si="59"/>
        <v>#REF!</v>
      </c>
      <c r="Z239" s="97" t="e">
        <f t="shared" si="60"/>
        <v>#REF!</v>
      </c>
      <c r="AA239" s="97" t="e">
        <f t="shared" si="61"/>
        <v>#REF!</v>
      </c>
      <c r="AC239" s="98" t="e">
        <f t="shared" si="62"/>
        <v>#REF!</v>
      </c>
      <c r="AD239" s="98" t="e">
        <f t="shared" si="63"/>
        <v>#REF!</v>
      </c>
      <c r="AE239" s="97" t="e">
        <f t="shared" si="64"/>
        <v>#REF!</v>
      </c>
      <c r="AF239" s="97" t="e">
        <f t="shared" si="65"/>
        <v>#REF!</v>
      </c>
      <c r="AH239" s="98" t="e">
        <f t="shared" si="66"/>
        <v>#REF!</v>
      </c>
      <c r="AI239" s="98" t="e">
        <f t="shared" si="67"/>
        <v>#REF!</v>
      </c>
      <c r="AJ239" s="97" t="e">
        <f t="shared" si="68"/>
        <v>#REF!</v>
      </c>
      <c r="AK239" s="97" t="e">
        <f t="shared" si="69"/>
        <v>#REF!</v>
      </c>
    </row>
    <row r="240" spans="1:37" ht="15" customHeight="1">
      <c r="A240" s="108"/>
      <c r="B240" s="109"/>
      <c r="C240" s="103"/>
      <c r="D240" s="102"/>
      <c r="E240" s="101"/>
      <c r="F240" s="101"/>
      <c r="G240" s="100" t="str">
        <f t="shared" si="52"/>
        <v/>
      </c>
      <c r="H240" s="99" t="str">
        <f t="shared" si="53"/>
        <v/>
      </c>
      <c r="I240" s="71"/>
      <c r="J240" s="2"/>
      <c r="K240" s="2"/>
      <c r="L240" s="2"/>
      <c r="M240" s="2"/>
      <c r="N240" s="2"/>
      <c r="O240" s="2"/>
      <c r="P240" s="2"/>
      <c r="Q240" s="2"/>
      <c r="S240" s="98">
        <f t="shared" si="54"/>
        <v>0</v>
      </c>
      <c r="T240" s="98">
        <f t="shared" si="55"/>
        <v>0</v>
      </c>
      <c r="U240" s="97">
        <f t="shared" si="56"/>
        <v>0</v>
      </c>
      <c r="V240" s="97">
        <f t="shared" si="57"/>
        <v>0</v>
      </c>
      <c r="X240" s="98" t="e">
        <f t="shared" si="58"/>
        <v>#REF!</v>
      </c>
      <c r="Y240" s="98" t="e">
        <f t="shared" si="59"/>
        <v>#REF!</v>
      </c>
      <c r="Z240" s="97" t="e">
        <f t="shared" si="60"/>
        <v>#REF!</v>
      </c>
      <c r="AA240" s="97" t="e">
        <f t="shared" si="61"/>
        <v>#REF!</v>
      </c>
      <c r="AC240" s="98" t="e">
        <f t="shared" si="62"/>
        <v>#REF!</v>
      </c>
      <c r="AD240" s="98" t="e">
        <f t="shared" si="63"/>
        <v>#REF!</v>
      </c>
      <c r="AE240" s="97" t="e">
        <f t="shared" si="64"/>
        <v>#REF!</v>
      </c>
      <c r="AF240" s="97" t="e">
        <f t="shared" si="65"/>
        <v>#REF!</v>
      </c>
      <c r="AH240" s="98" t="e">
        <f t="shared" si="66"/>
        <v>#REF!</v>
      </c>
      <c r="AI240" s="98" t="e">
        <f t="shared" si="67"/>
        <v>#REF!</v>
      </c>
      <c r="AJ240" s="97" t="e">
        <f t="shared" si="68"/>
        <v>#REF!</v>
      </c>
      <c r="AK240" s="97" t="e">
        <f t="shared" si="69"/>
        <v>#REF!</v>
      </c>
    </row>
    <row r="241" spans="1:37" ht="15" customHeight="1">
      <c r="A241" s="108"/>
      <c r="B241" s="107"/>
      <c r="C241" s="103"/>
      <c r="D241" s="102"/>
      <c r="E241" s="101"/>
      <c r="F241" s="101"/>
      <c r="G241" s="100" t="str">
        <f t="shared" si="52"/>
        <v/>
      </c>
      <c r="H241" s="99" t="str">
        <f t="shared" si="53"/>
        <v/>
      </c>
      <c r="I241" s="106"/>
      <c r="J241" s="2"/>
      <c r="K241" s="2"/>
      <c r="L241" s="2"/>
      <c r="M241" s="2"/>
      <c r="N241" s="2"/>
      <c r="O241" s="2"/>
      <c r="P241" s="2"/>
      <c r="Q241" s="2"/>
      <c r="S241" s="98">
        <f t="shared" si="54"/>
        <v>0</v>
      </c>
      <c r="T241" s="98">
        <f t="shared" si="55"/>
        <v>0</v>
      </c>
      <c r="U241" s="97">
        <f t="shared" si="56"/>
        <v>0</v>
      </c>
      <c r="V241" s="97">
        <f t="shared" si="57"/>
        <v>0</v>
      </c>
      <c r="X241" s="98" t="e">
        <f t="shared" si="58"/>
        <v>#REF!</v>
      </c>
      <c r="Y241" s="98" t="e">
        <f t="shared" si="59"/>
        <v>#REF!</v>
      </c>
      <c r="Z241" s="97" t="e">
        <f t="shared" si="60"/>
        <v>#REF!</v>
      </c>
      <c r="AA241" s="97" t="e">
        <f t="shared" si="61"/>
        <v>#REF!</v>
      </c>
      <c r="AC241" s="98" t="e">
        <f t="shared" si="62"/>
        <v>#REF!</v>
      </c>
      <c r="AD241" s="98" t="e">
        <f t="shared" si="63"/>
        <v>#REF!</v>
      </c>
      <c r="AE241" s="97" t="e">
        <f t="shared" si="64"/>
        <v>#REF!</v>
      </c>
      <c r="AF241" s="97" t="e">
        <f t="shared" si="65"/>
        <v>#REF!</v>
      </c>
      <c r="AH241" s="98" t="e">
        <f t="shared" si="66"/>
        <v>#REF!</v>
      </c>
      <c r="AI241" s="98" t="e">
        <f t="shared" si="67"/>
        <v>#REF!</v>
      </c>
      <c r="AJ241" s="97" t="e">
        <f t="shared" si="68"/>
        <v>#REF!</v>
      </c>
      <c r="AK241" s="97" t="e">
        <f t="shared" si="69"/>
        <v>#REF!</v>
      </c>
    </row>
    <row r="242" spans="1:37" ht="15" customHeight="1">
      <c r="A242" s="108"/>
      <c r="B242" s="109"/>
      <c r="C242" s="103"/>
      <c r="D242" s="102"/>
      <c r="E242" s="101"/>
      <c r="F242" s="101"/>
      <c r="G242" s="100" t="str">
        <f t="shared" si="52"/>
        <v/>
      </c>
      <c r="H242" s="99" t="str">
        <f t="shared" si="53"/>
        <v/>
      </c>
      <c r="I242" s="106"/>
      <c r="J242" s="2"/>
      <c r="K242" s="2"/>
      <c r="L242" s="2"/>
      <c r="M242" s="2"/>
      <c r="N242" s="2"/>
      <c r="O242" s="2"/>
      <c r="P242" s="2"/>
      <c r="Q242" s="2"/>
      <c r="S242" s="98">
        <f t="shared" si="54"/>
        <v>0</v>
      </c>
      <c r="T242" s="98">
        <f t="shared" si="55"/>
        <v>0</v>
      </c>
      <c r="U242" s="97">
        <f t="shared" si="56"/>
        <v>0</v>
      </c>
      <c r="V242" s="97">
        <f t="shared" si="57"/>
        <v>0</v>
      </c>
      <c r="X242" s="98" t="e">
        <f t="shared" si="58"/>
        <v>#REF!</v>
      </c>
      <c r="Y242" s="98" t="e">
        <f t="shared" si="59"/>
        <v>#REF!</v>
      </c>
      <c r="Z242" s="97" t="e">
        <f t="shared" si="60"/>
        <v>#REF!</v>
      </c>
      <c r="AA242" s="97" t="e">
        <f t="shared" si="61"/>
        <v>#REF!</v>
      </c>
      <c r="AC242" s="98" t="e">
        <f t="shared" si="62"/>
        <v>#REF!</v>
      </c>
      <c r="AD242" s="98" t="e">
        <f t="shared" si="63"/>
        <v>#REF!</v>
      </c>
      <c r="AE242" s="97" t="e">
        <f t="shared" si="64"/>
        <v>#REF!</v>
      </c>
      <c r="AF242" s="97" t="e">
        <f t="shared" si="65"/>
        <v>#REF!</v>
      </c>
      <c r="AH242" s="98" t="e">
        <f t="shared" si="66"/>
        <v>#REF!</v>
      </c>
      <c r="AI242" s="98" t="e">
        <f t="shared" si="67"/>
        <v>#REF!</v>
      </c>
      <c r="AJ242" s="97" t="e">
        <f t="shared" si="68"/>
        <v>#REF!</v>
      </c>
      <c r="AK242" s="97" t="e">
        <f t="shared" si="69"/>
        <v>#REF!</v>
      </c>
    </row>
    <row r="243" spans="1:37" ht="15" customHeight="1">
      <c r="A243" s="108"/>
      <c r="B243" s="109"/>
      <c r="C243" s="103"/>
      <c r="D243" s="102"/>
      <c r="E243" s="101"/>
      <c r="F243" s="101"/>
      <c r="G243" s="100" t="str">
        <f t="shared" si="52"/>
        <v/>
      </c>
      <c r="H243" s="99" t="str">
        <f t="shared" si="53"/>
        <v/>
      </c>
      <c r="I243" s="106"/>
      <c r="J243" s="2"/>
      <c r="K243" s="2"/>
      <c r="L243" s="2"/>
      <c r="M243" s="2"/>
      <c r="N243" s="2"/>
      <c r="O243" s="2"/>
      <c r="P243" s="2"/>
      <c r="Q243" s="2"/>
      <c r="S243" s="98">
        <f t="shared" si="54"/>
        <v>0</v>
      </c>
      <c r="T243" s="98">
        <f t="shared" si="55"/>
        <v>0</v>
      </c>
      <c r="U243" s="97">
        <f t="shared" si="56"/>
        <v>0</v>
      </c>
      <c r="V243" s="97">
        <f t="shared" si="57"/>
        <v>0</v>
      </c>
      <c r="X243" s="98" t="e">
        <f t="shared" si="58"/>
        <v>#REF!</v>
      </c>
      <c r="Y243" s="98" t="e">
        <f t="shared" si="59"/>
        <v>#REF!</v>
      </c>
      <c r="Z243" s="97" t="e">
        <f t="shared" si="60"/>
        <v>#REF!</v>
      </c>
      <c r="AA243" s="97" t="e">
        <f t="shared" si="61"/>
        <v>#REF!</v>
      </c>
      <c r="AC243" s="98" t="e">
        <f t="shared" si="62"/>
        <v>#REF!</v>
      </c>
      <c r="AD243" s="98" t="e">
        <f t="shared" si="63"/>
        <v>#REF!</v>
      </c>
      <c r="AE243" s="97" t="e">
        <f t="shared" si="64"/>
        <v>#REF!</v>
      </c>
      <c r="AF243" s="97" t="e">
        <f t="shared" si="65"/>
        <v>#REF!</v>
      </c>
      <c r="AH243" s="98" t="e">
        <f t="shared" si="66"/>
        <v>#REF!</v>
      </c>
      <c r="AI243" s="98" t="e">
        <f t="shared" si="67"/>
        <v>#REF!</v>
      </c>
      <c r="AJ243" s="97" t="e">
        <f t="shared" si="68"/>
        <v>#REF!</v>
      </c>
      <c r="AK243" s="97" t="e">
        <f t="shared" si="69"/>
        <v>#REF!</v>
      </c>
    </row>
    <row r="244" spans="1:37" ht="15" customHeight="1">
      <c r="A244" s="108"/>
      <c r="B244" s="109"/>
      <c r="C244" s="103"/>
      <c r="D244" s="102"/>
      <c r="E244" s="101"/>
      <c r="F244" s="101"/>
      <c r="G244" s="100" t="str">
        <f t="shared" si="52"/>
        <v/>
      </c>
      <c r="H244" s="99" t="str">
        <f t="shared" si="53"/>
        <v/>
      </c>
      <c r="I244" s="106"/>
      <c r="J244" s="2"/>
      <c r="K244" s="2"/>
      <c r="L244" s="2"/>
      <c r="M244" s="2"/>
      <c r="N244" s="2"/>
      <c r="O244" s="2"/>
      <c r="P244" s="2"/>
      <c r="Q244" s="2"/>
      <c r="S244" s="98">
        <f t="shared" si="54"/>
        <v>0</v>
      </c>
      <c r="T244" s="98">
        <f t="shared" si="55"/>
        <v>0</v>
      </c>
      <c r="U244" s="97">
        <f t="shared" si="56"/>
        <v>0</v>
      </c>
      <c r="V244" s="97">
        <f t="shared" si="57"/>
        <v>0</v>
      </c>
      <c r="X244" s="98" t="e">
        <f t="shared" si="58"/>
        <v>#REF!</v>
      </c>
      <c r="Y244" s="98" t="e">
        <f t="shared" si="59"/>
        <v>#REF!</v>
      </c>
      <c r="Z244" s="97" t="e">
        <f t="shared" si="60"/>
        <v>#REF!</v>
      </c>
      <c r="AA244" s="97" t="e">
        <f t="shared" si="61"/>
        <v>#REF!</v>
      </c>
      <c r="AC244" s="98" t="e">
        <f t="shared" si="62"/>
        <v>#REF!</v>
      </c>
      <c r="AD244" s="98" t="e">
        <f t="shared" si="63"/>
        <v>#REF!</v>
      </c>
      <c r="AE244" s="97" t="e">
        <f t="shared" si="64"/>
        <v>#REF!</v>
      </c>
      <c r="AF244" s="97" t="e">
        <f t="shared" si="65"/>
        <v>#REF!</v>
      </c>
      <c r="AH244" s="98" t="e">
        <f t="shared" si="66"/>
        <v>#REF!</v>
      </c>
      <c r="AI244" s="98" t="e">
        <f t="shared" si="67"/>
        <v>#REF!</v>
      </c>
      <c r="AJ244" s="97" t="e">
        <f t="shared" si="68"/>
        <v>#REF!</v>
      </c>
      <c r="AK244" s="97" t="e">
        <f t="shared" si="69"/>
        <v>#REF!</v>
      </c>
    </row>
    <row r="245" spans="1:37" ht="15" customHeight="1">
      <c r="A245" s="108"/>
      <c r="B245" s="109"/>
      <c r="C245" s="103"/>
      <c r="D245" s="102"/>
      <c r="E245" s="101"/>
      <c r="F245" s="101"/>
      <c r="G245" s="100" t="str">
        <f t="shared" si="52"/>
        <v/>
      </c>
      <c r="H245" s="99" t="str">
        <f t="shared" si="53"/>
        <v/>
      </c>
      <c r="I245" s="106"/>
      <c r="J245" s="2"/>
      <c r="K245" s="2"/>
      <c r="L245" s="2"/>
      <c r="M245" s="2"/>
      <c r="N245" s="2"/>
      <c r="O245" s="2"/>
      <c r="P245" s="2"/>
      <c r="Q245" s="2"/>
      <c r="S245" s="98">
        <f t="shared" si="54"/>
        <v>0</v>
      </c>
      <c r="T245" s="98">
        <f t="shared" si="55"/>
        <v>0</v>
      </c>
      <c r="U245" s="97">
        <f t="shared" si="56"/>
        <v>0</v>
      </c>
      <c r="V245" s="97">
        <f t="shared" si="57"/>
        <v>0</v>
      </c>
      <c r="X245" s="98" t="e">
        <f t="shared" si="58"/>
        <v>#REF!</v>
      </c>
      <c r="Y245" s="98" t="e">
        <f t="shared" si="59"/>
        <v>#REF!</v>
      </c>
      <c r="Z245" s="97" t="e">
        <f t="shared" si="60"/>
        <v>#REF!</v>
      </c>
      <c r="AA245" s="97" t="e">
        <f t="shared" si="61"/>
        <v>#REF!</v>
      </c>
      <c r="AC245" s="98" t="e">
        <f t="shared" si="62"/>
        <v>#REF!</v>
      </c>
      <c r="AD245" s="98" t="e">
        <f t="shared" si="63"/>
        <v>#REF!</v>
      </c>
      <c r="AE245" s="97" t="e">
        <f t="shared" si="64"/>
        <v>#REF!</v>
      </c>
      <c r="AF245" s="97" t="e">
        <f t="shared" si="65"/>
        <v>#REF!</v>
      </c>
      <c r="AH245" s="98" t="e">
        <f t="shared" si="66"/>
        <v>#REF!</v>
      </c>
      <c r="AI245" s="98" t="e">
        <f t="shared" si="67"/>
        <v>#REF!</v>
      </c>
      <c r="AJ245" s="97" t="e">
        <f t="shared" si="68"/>
        <v>#REF!</v>
      </c>
      <c r="AK245" s="97" t="e">
        <f t="shared" si="69"/>
        <v>#REF!</v>
      </c>
    </row>
    <row r="246" spans="1:37" ht="15" customHeight="1">
      <c r="A246" s="108"/>
      <c r="B246" s="107"/>
      <c r="C246" s="103"/>
      <c r="D246" s="102"/>
      <c r="E246" s="101"/>
      <c r="F246" s="101"/>
      <c r="G246" s="100" t="str">
        <f t="shared" si="52"/>
        <v/>
      </c>
      <c r="H246" s="99" t="str">
        <f t="shared" si="53"/>
        <v/>
      </c>
      <c r="I246" s="106"/>
      <c r="J246" s="2"/>
      <c r="K246" s="2"/>
      <c r="L246" s="2"/>
      <c r="M246" s="2"/>
      <c r="N246" s="2"/>
      <c r="O246" s="2"/>
      <c r="P246" s="2"/>
      <c r="Q246" s="2"/>
      <c r="S246" s="98">
        <f t="shared" si="54"/>
        <v>0</v>
      </c>
      <c r="T246" s="98">
        <f t="shared" si="55"/>
        <v>0</v>
      </c>
      <c r="U246" s="97">
        <f t="shared" si="56"/>
        <v>0</v>
      </c>
      <c r="V246" s="97">
        <f t="shared" si="57"/>
        <v>0</v>
      </c>
      <c r="X246" s="98" t="e">
        <f t="shared" si="58"/>
        <v>#REF!</v>
      </c>
      <c r="Y246" s="98" t="e">
        <f t="shared" si="59"/>
        <v>#REF!</v>
      </c>
      <c r="Z246" s="97" t="e">
        <f t="shared" si="60"/>
        <v>#REF!</v>
      </c>
      <c r="AA246" s="97" t="e">
        <f t="shared" si="61"/>
        <v>#REF!</v>
      </c>
      <c r="AC246" s="98" t="e">
        <f t="shared" si="62"/>
        <v>#REF!</v>
      </c>
      <c r="AD246" s="98" t="e">
        <f t="shared" si="63"/>
        <v>#REF!</v>
      </c>
      <c r="AE246" s="97" t="e">
        <f t="shared" si="64"/>
        <v>#REF!</v>
      </c>
      <c r="AF246" s="97" t="e">
        <f t="shared" si="65"/>
        <v>#REF!</v>
      </c>
      <c r="AH246" s="98" t="e">
        <f t="shared" si="66"/>
        <v>#REF!</v>
      </c>
      <c r="AI246" s="98" t="e">
        <f t="shared" si="67"/>
        <v>#REF!</v>
      </c>
      <c r="AJ246" s="97" t="e">
        <f t="shared" si="68"/>
        <v>#REF!</v>
      </c>
      <c r="AK246" s="97" t="e">
        <f t="shared" si="69"/>
        <v>#REF!</v>
      </c>
    </row>
    <row r="247" spans="1:37" ht="15" customHeight="1">
      <c r="A247" s="105"/>
      <c r="B247" s="104"/>
      <c r="C247" s="103"/>
      <c r="D247" s="102"/>
      <c r="E247" s="101"/>
      <c r="F247" s="101"/>
      <c r="G247" s="100" t="str">
        <f t="shared" si="52"/>
        <v/>
      </c>
      <c r="H247" s="99" t="str">
        <f t="shared" si="53"/>
        <v/>
      </c>
      <c r="I247" s="106"/>
      <c r="J247" s="2"/>
      <c r="K247" s="2"/>
      <c r="L247" s="2"/>
      <c r="M247" s="2"/>
      <c r="N247" s="2"/>
      <c r="O247" s="2"/>
      <c r="P247" s="2"/>
      <c r="Q247" s="2"/>
      <c r="S247" s="98">
        <f t="shared" si="54"/>
        <v>0</v>
      </c>
      <c r="T247" s="98">
        <f t="shared" si="55"/>
        <v>0</v>
      </c>
      <c r="U247" s="97">
        <f t="shared" si="56"/>
        <v>0</v>
      </c>
      <c r="V247" s="97">
        <f t="shared" si="57"/>
        <v>0</v>
      </c>
      <c r="X247" s="98" t="e">
        <f t="shared" si="58"/>
        <v>#REF!</v>
      </c>
      <c r="Y247" s="98" t="e">
        <f t="shared" si="59"/>
        <v>#REF!</v>
      </c>
      <c r="Z247" s="97" t="e">
        <f t="shared" si="60"/>
        <v>#REF!</v>
      </c>
      <c r="AA247" s="97" t="e">
        <f t="shared" si="61"/>
        <v>#REF!</v>
      </c>
      <c r="AC247" s="98" t="e">
        <f t="shared" si="62"/>
        <v>#REF!</v>
      </c>
      <c r="AD247" s="98" t="e">
        <f t="shared" si="63"/>
        <v>#REF!</v>
      </c>
      <c r="AE247" s="97" t="e">
        <f t="shared" si="64"/>
        <v>#REF!</v>
      </c>
      <c r="AF247" s="97" t="e">
        <f t="shared" si="65"/>
        <v>#REF!</v>
      </c>
      <c r="AH247" s="98" t="e">
        <f t="shared" si="66"/>
        <v>#REF!</v>
      </c>
      <c r="AI247" s="98" t="e">
        <f t="shared" si="67"/>
        <v>#REF!</v>
      </c>
      <c r="AJ247" s="97" t="e">
        <f t="shared" si="68"/>
        <v>#REF!</v>
      </c>
      <c r="AK247" s="97" t="e">
        <f t="shared" si="69"/>
        <v>#REF!</v>
      </c>
    </row>
    <row r="248" spans="1:37" ht="15" customHeight="1">
      <c r="A248" s="105"/>
      <c r="B248" s="104"/>
      <c r="C248" s="103"/>
      <c r="D248" s="102"/>
      <c r="E248" s="101"/>
      <c r="F248" s="101"/>
      <c r="G248" s="100" t="str">
        <f t="shared" si="52"/>
        <v/>
      </c>
      <c r="H248" s="99" t="str">
        <f t="shared" si="53"/>
        <v/>
      </c>
      <c r="I248" s="106"/>
      <c r="J248" s="2"/>
      <c r="K248" s="2"/>
      <c r="L248" s="2"/>
      <c r="M248" s="2"/>
      <c r="N248" s="2"/>
      <c r="O248" s="2"/>
      <c r="P248" s="2"/>
      <c r="Q248" s="2"/>
      <c r="S248" s="98">
        <f t="shared" si="54"/>
        <v>0</v>
      </c>
      <c r="T248" s="98">
        <f t="shared" si="55"/>
        <v>0</v>
      </c>
      <c r="U248" s="97">
        <f t="shared" si="56"/>
        <v>0</v>
      </c>
      <c r="V248" s="97">
        <f t="shared" si="57"/>
        <v>0</v>
      </c>
      <c r="X248" s="98" t="e">
        <f t="shared" si="58"/>
        <v>#REF!</v>
      </c>
      <c r="Y248" s="98" t="e">
        <f t="shared" si="59"/>
        <v>#REF!</v>
      </c>
      <c r="Z248" s="97" t="e">
        <f t="shared" si="60"/>
        <v>#REF!</v>
      </c>
      <c r="AA248" s="97" t="e">
        <f t="shared" si="61"/>
        <v>#REF!</v>
      </c>
      <c r="AC248" s="98" t="e">
        <f t="shared" si="62"/>
        <v>#REF!</v>
      </c>
      <c r="AD248" s="98" t="e">
        <f t="shared" si="63"/>
        <v>#REF!</v>
      </c>
      <c r="AE248" s="97" t="e">
        <f t="shared" si="64"/>
        <v>#REF!</v>
      </c>
      <c r="AF248" s="97" t="e">
        <f t="shared" si="65"/>
        <v>#REF!</v>
      </c>
      <c r="AH248" s="98" t="e">
        <f t="shared" si="66"/>
        <v>#REF!</v>
      </c>
      <c r="AI248" s="98" t="e">
        <f t="shared" si="67"/>
        <v>#REF!</v>
      </c>
      <c r="AJ248" s="97" t="e">
        <f t="shared" si="68"/>
        <v>#REF!</v>
      </c>
      <c r="AK248" s="97" t="e">
        <f t="shared" si="69"/>
        <v>#REF!</v>
      </c>
    </row>
    <row r="249" spans="1:37" ht="15" customHeight="1">
      <c r="A249" s="105"/>
      <c r="B249" s="104"/>
      <c r="C249" s="103"/>
      <c r="D249" s="102"/>
      <c r="E249" s="101"/>
      <c r="F249" s="101"/>
      <c r="G249" s="100" t="str">
        <f t="shared" si="52"/>
        <v/>
      </c>
      <c r="H249" s="99" t="str">
        <f t="shared" si="53"/>
        <v/>
      </c>
      <c r="I249" s="106"/>
      <c r="J249" s="2"/>
      <c r="K249" s="2"/>
      <c r="L249" s="2"/>
      <c r="M249" s="2"/>
      <c r="N249" s="2"/>
      <c r="O249" s="2"/>
      <c r="P249" s="2"/>
      <c r="Q249" s="2"/>
      <c r="S249" s="98">
        <f t="shared" si="54"/>
        <v>0</v>
      </c>
      <c r="T249" s="98">
        <f t="shared" si="55"/>
        <v>0</v>
      </c>
      <c r="U249" s="97">
        <f t="shared" si="56"/>
        <v>0</v>
      </c>
      <c r="V249" s="97">
        <f t="shared" si="57"/>
        <v>0</v>
      </c>
      <c r="X249" s="98" t="e">
        <f t="shared" si="58"/>
        <v>#REF!</v>
      </c>
      <c r="Y249" s="98" t="e">
        <f t="shared" si="59"/>
        <v>#REF!</v>
      </c>
      <c r="Z249" s="97" t="e">
        <f t="shared" si="60"/>
        <v>#REF!</v>
      </c>
      <c r="AA249" s="97" t="e">
        <f t="shared" si="61"/>
        <v>#REF!</v>
      </c>
      <c r="AC249" s="98" t="e">
        <f t="shared" si="62"/>
        <v>#REF!</v>
      </c>
      <c r="AD249" s="98" t="e">
        <f t="shared" si="63"/>
        <v>#REF!</v>
      </c>
      <c r="AE249" s="97" t="e">
        <f t="shared" si="64"/>
        <v>#REF!</v>
      </c>
      <c r="AF249" s="97" t="e">
        <f t="shared" si="65"/>
        <v>#REF!</v>
      </c>
      <c r="AH249" s="98" t="e">
        <f t="shared" si="66"/>
        <v>#REF!</v>
      </c>
      <c r="AI249" s="98" t="e">
        <f t="shared" si="67"/>
        <v>#REF!</v>
      </c>
      <c r="AJ249" s="97" t="e">
        <f t="shared" si="68"/>
        <v>#REF!</v>
      </c>
      <c r="AK249" s="97" t="e">
        <f t="shared" si="69"/>
        <v>#REF!</v>
      </c>
    </row>
    <row r="250" spans="1:37" ht="15" customHeight="1">
      <c r="A250" s="105"/>
      <c r="B250" s="104"/>
      <c r="C250" s="103"/>
      <c r="D250" s="102"/>
      <c r="E250" s="101"/>
      <c r="F250" s="101"/>
      <c r="G250" s="100" t="str">
        <f t="shared" si="52"/>
        <v/>
      </c>
      <c r="H250" s="99" t="str">
        <f t="shared" si="53"/>
        <v/>
      </c>
      <c r="I250" s="106"/>
      <c r="J250" s="2"/>
      <c r="K250" s="2"/>
      <c r="L250" s="2"/>
      <c r="M250" s="2"/>
      <c r="N250" s="2"/>
      <c r="O250" s="2"/>
      <c r="P250" s="2"/>
      <c r="Q250" s="2"/>
      <c r="S250" s="98">
        <f t="shared" si="54"/>
        <v>0</v>
      </c>
      <c r="T250" s="98">
        <f t="shared" si="55"/>
        <v>0</v>
      </c>
      <c r="U250" s="97">
        <f t="shared" si="56"/>
        <v>0</v>
      </c>
      <c r="V250" s="97">
        <f t="shared" si="57"/>
        <v>0</v>
      </c>
      <c r="X250" s="98" t="e">
        <f t="shared" si="58"/>
        <v>#REF!</v>
      </c>
      <c r="Y250" s="98" t="e">
        <f t="shared" si="59"/>
        <v>#REF!</v>
      </c>
      <c r="Z250" s="97" t="e">
        <f t="shared" si="60"/>
        <v>#REF!</v>
      </c>
      <c r="AA250" s="97" t="e">
        <f t="shared" si="61"/>
        <v>#REF!</v>
      </c>
      <c r="AC250" s="98" t="e">
        <f t="shared" si="62"/>
        <v>#REF!</v>
      </c>
      <c r="AD250" s="98" t="e">
        <f t="shared" si="63"/>
        <v>#REF!</v>
      </c>
      <c r="AE250" s="97" t="e">
        <f t="shared" si="64"/>
        <v>#REF!</v>
      </c>
      <c r="AF250" s="97" t="e">
        <f t="shared" si="65"/>
        <v>#REF!</v>
      </c>
      <c r="AH250" s="98" t="e">
        <f t="shared" si="66"/>
        <v>#REF!</v>
      </c>
      <c r="AI250" s="98" t="e">
        <f t="shared" si="67"/>
        <v>#REF!</v>
      </c>
      <c r="AJ250" s="97" t="e">
        <f t="shared" si="68"/>
        <v>#REF!</v>
      </c>
      <c r="AK250" s="97" t="e">
        <f t="shared" si="69"/>
        <v>#REF!</v>
      </c>
    </row>
    <row r="251" spans="1:37" ht="15" customHeight="1">
      <c r="A251" s="105"/>
      <c r="B251" s="104"/>
      <c r="C251" s="103"/>
      <c r="D251" s="102"/>
      <c r="E251" s="101"/>
      <c r="F251" s="101"/>
      <c r="G251" s="100" t="str">
        <f t="shared" si="52"/>
        <v/>
      </c>
      <c r="H251" s="99" t="str">
        <f t="shared" si="53"/>
        <v/>
      </c>
      <c r="I251" s="106"/>
      <c r="J251" s="2"/>
      <c r="K251" s="2"/>
      <c r="L251" s="2"/>
      <c r="M251" s="2"/>
      <c r="N251" s="2"/>
      <c r="O251" s="2"/>
      <c r="P251" s="2"/>
      <c r="Q251" s="2"/>
      <c r="S251" s="98">
        <f t="shared" si="54"/>
        <v>0</v>
      </c>
      <c r="T251" s="98">
        <f t="shared" si="55"/>
        <v>0</v>
      </c>
      <c r="U251" s="97">
        <f t="shared" si="56"/>
        <v>0</v>
      </c>
      <c r="V251" s="97">
        <f t="shared" si="57"/>
        <v>0</v>
      </c>
      <c r="X251" s="98" t="e">
        <f t="shared" si="58"/>
        <v>#REF!</v>
      </c>
      <c r="Y251" s="98" t="e">
        <f t="shared" si="59"/>
        <v>#REF!</v>
      </c>
      <c r="Z251" s="97" t="e">
        <f t="shared" si="60"/>
        <v>#REF!</v>
      </c>
      <c r="AA251" s="97" t="e">
        <f t="shared" si="61"/>
        <v>#REF!</v>
      </c>
      <c r="AC251" s="98" t="e">
        <f t="shared" si="62"/>
        <v>#REF!</v>
      </c>
      <c r="AD251" s="98" t="e">
        <f t="shared" si="63"/>
        <v>#REF!</v>
      </c>
      <c r="AE251" s="97" t="e">
        <f t="shared" si="64"/>
        <v>#REF!</v>
      </c>
      <c r="AF251" s="97" t="e">
        <f t="shared" si="65"/>
        <v>#REF!</v>
      </c>
      <c r="AH251" s="98" t="e">
        <f t="shared" si="66"/>
        <v>#REF!</v>
      </c>
      <c r="AI251" s="98" t="e">
        <f t="shared" si="67"/>
        <v>#REF!</v>
      </c>
      <c r="AJ251" s="97" t="e">
        <f t="shared" si="68"/>
        <v>#REF!</v>
      </c>
      <c r="AK251" s="97" t="e">
        <f t="shared" si="69"/>
        <v>#REF!</v>
      </c>
    </row>
    <row r="252" spans="1:37" ht="15" customHeight="1">
      <c r="A252" s="105"/>
      <c r="B252" s="104"/>
      <c r="C252" s="103"/>
      <c r="D252" s="102"/>
      <c r="E252" s="101"/>
      <c r="F252" s="101"/>
      <c r="G252" s="100" t="str">
        <f t="shared" si="52"/>
        <v/>
      </c>
      <c r="H252" s="99" t="str">
        <f t="shared" si="53"/>
        <v/>
      </c>
      <c r="I252" s="106"/>
      <c r="J252" s="2"/>
      <c r="K252" s="2"/>
      <c r="L252" s="2"/>
      <c r="M252" s="2"/>
      <c r="N252" s="2"/>
      <c r="O252" s="2"/>
      <c r="P252" s="2"/>
      <c r="Q252" s="2"/>
      <c r="S252" s="98">
        <f t="shared" si="54"/>
        <v>0</v>
      </c>
      <c r="T252" s="98">
        <f t="shared" si="55"/>
        <v>0</v>
      </c>
      <c r="U252" s="97">
        <f t="shared" si="56"/>
        <v>0</v>
      </c>
      <c r="V252" s="97">
        <f t="shared" si="57"/>
        <v>0</v>
      </c>
      <c r="X252" s="98" t="e">
        <f t="shared" si="58"/>
        <v>#REF!</v>
      </c>
      <c r="Y252" s="98" t="e">
        <f t="shared" si="59"/>
        <v>#REF!</v>
      </c>
      <c r="Z252" s="97" t="e">
        <f t="shared" si="60"/>
        <v>#REF!</v>
      </c>
      <c r="AA252" s="97" t="e">
        <f t="shared" si="61"/>
        <v>#REF!</v>
      </c>
      <c r="AC252" s="98" t="e">
        <f t="shared" si="62"/>
        <v>#REF!</v>
      </c>
      <c r="AD252" s="98" t="e">
        <f t="shared" si="63"/>
        <v>#REF!</v>
      </c>
      <c r="AE252" s="97" t="e">
        <f t="shared" si="64"/>
        <v>#REF!</v>
      </c>
      <c r="AF252" s="97" t="e">
        <f t="shared" si="65"/>
        <v>#REF!</v>
      </c>
      <c r="AH252" s="98" t="e">
        <f t="shared" si="66"/>
        <v>#REF!</v>
      </c>
      <c r="AI252" s="98" t="e">
        <f t="shared" si="67"/>
        <v>#REF!</v>
      </c>
      <c r="AJ252" s="97" t="e">
        <f t="shared" si="68"/>
        <v>#REF!</v>
      </c>
      <c r="AK252" s="97" t="e">
        <f t="shared" si="69"/>
        <v>#REF!</v>
      </c>
    </row>
    <row r="253" spans="1:37" ht="15" customHeight="1">
      <c r="A253" s="105"/>
      <c r="B253" s="104"/>
      <c r="C253" s="103"/>
      <c r="D253" s="102"/>
      <c r="E253" s="101"/>
      <c r="F253" s="101"/>
      <c r="G253" s="100" t="str">
        <f t="shared" si="52"/>
        <v/>
      </c>
      <c r="H253" s="99" t="str">
        <f t="shared" si="53"/>
        <v/>
      </c>
      <c r="I253" s="106"/>
      <c r="J253" s="2"/>
      <c r="K253" s="2"/>
      <c r="L253" s="2"/>
      <c r="M253" s="2"/>
      <c r="N253" s="2"/>
      <c r="O253" s="2"/>
      <c r="P253" s="2"/>
      <c r="Q253" s="2"/>
      <c r="S253" s="98">
        <f t="shared" si="54"/>
        <v>0</v>
      </c>
      <c r="T253" s="98">
        <f t="shared" si="55"/>
        <v>0</v>
      </c>
      <c r="U253" s="97">
        <f t="shared" si="56"/>
        <v>0</v>
      </c>
      <c r="V253" s="97">
        <f t="shared" si="57"/>
        <v>0</v>
      </c>
      <c r="X253" s="98" t="e">
        <f t="shared" si="58"/>
        <v>#REF!</v>
      </c>
      <c r="Y253" s="98" t="e">
        <f t="shared" si="59"/>
        <v>#REF!</v>
      </c>
      <c r="Z253" s="97" t="e">
        <f t="shared" si="60"/>
        <v>#REF!</v>
      </c>
      <c r="AA253" s="97" t="e">
        <f t="shared" si="61"/>
        <v>#REF!</v>
      </c>
      <c r="AC253" s="98" t="e">
        <f t="shared" si="62"/>
        <v>#REF!</v>
      </c>
      <c r="AD253" s="98" t="e">
        <f t="shared" si="63"/>
        <v>#REF!</v>
      </c>
      <c r="AE253" s="97" t="e">
        <f t="shared" si="64"/>
        <v>#REF!</v>
      </c>
      <c r="AF253" s="97" t="e">
        <f t="shared" si="65"/>
        <v>#REF!</v>
      </c>
      <c r="AH253" s="98" t="e">
        <f t="shared" si="66"/>
        <v>#REF!</v>
      </c>
      <c r="AI253" s="98" t="e">
        <f t="shared" si="67"/>
        <v>#REF!</v>
      </c>
      <c r="AJ253" s="97" t="e">
        <f t="shared" si="68"/>
        <v>#REF!</v>
      </c>
      <c r="AK253" s="97" t="e">
        <f t="shared" si="69"/>
        <v>#REF!</v>
      </c>
    </row>
    <row r="254" spans="1:37" ht="15" customHeight="1">
      <c r="A254" s="105"/>
      <c r="B254" s="104"/>
      <c r="C254" s="103"/>
      <c r="D254" s="102"/>
      <c r="E254" s="101"/>
      <c r="F254" s="101"/>
      <c r="G254" s="100" t="str">
        <f t="shared" si="52"/>
        <v/>
      </c>
      <c r="H254" s="99" t="str">
        <f t="shared" si="53"/>
        <v/>
      </c>
      <c r="I254" s="106"/>
      <c r="J254" s="2"/>
      <c r="K254" s="2"/>
      <c r="L254" s="2"/>
      <c r="M254" s="2"/>
      <c r="N254" s="2"/>
      <c r="O254" s="2"/>
      <c r="P254" s="2"/>
      <c r="Q254" s="2"/>
      <c r="S254" s="98">
        <f t="shared" si="54"/>
        <v>0</v>
      </c>
      <c r="T254" s="98">
        <f t="shared" si="55"/>
        <v>0</v>
      </c>
      <c r="U254" s="97">
        <f t="shared" si="56"/>
        <v>0</v>
      </c>
      <c r="V254" s="97">
        <f t="shared" si="57"/>
        <v>0</v>
      </c>
      <c r="X254" s="98" t="e">
        <f t="shared" si="58"/>
        <v>#REF!</v>
      </c>
      <c r="Y254" s="98" t="e">
        <f t="shared" si="59"/>
        <v>#REF!</v>
      </c>
      <c r="Z254" s="97" t="e">
        <f t="shared" si="60"/>
        <v>#REF!</v>
      </c>
      <c r="AA254" s="97" t="e">
        <f t="shared" si="61"/>
        <v>#REF!</v>
      </c>
      <c r="AC254" s="98" t="e">
        <f t="shared" si="62"/>
        <v>#REF!</v>
      </c>
      <c r="AD254" s="98" t="e">
        <f t="shared" si="63"/>
        <v>#REF!</v>
      </c>
      <c r="AE254" s="97" t="e">
        <f t="shared" si="64"/>
        <v>#REF!</v>
      </c>
      <c r="AF254" s="97" t="e">
        <f t="shared" si="65"/>
        <v>#REF!</v>
      </c>
      <c r="AH254" s="98" t="e">
        <f t="shared" si="66"/>
        <v>#REF!</v>
      </c>
      <c r="AI254" s="98" t="e">
        <f t="shared" si="67"/>
        <v>#REF!</v>
      </c>
      <c r="AJ254" s="97" t="e">
        <f t="shared" si="68"/>
        <v>#REF!</v>
      </c>
      <c r="AK254" s="97" t="e">
        <f t="shared" si="69"/>
        <v>#REF!</v>
      </c>
    </row>
    <row r="255" spans="1:37" ht="15" customHeight="1">
      <c r="A255" s="105"/>
      <c r="B255" s="104"/>
      <c r="C255" s="103"/>
      <c r="D255" s="102"/>
      <c r="E255" s="101"/>
      <c r="F255" s="101"/>
      <c r="G255" s="100" t="str">
        <f t="shared" si="52"/>
        <v/>
      </c>
      <c r="H255" s="99" t="str">
        <f t="shared" si="53"/>
        <v/>
      </c>
      <c r="I255" s="106"/>
      <c r="J255" s="2"/>
      <c r="K255" s="2"/>
      <c r="L255" s="2"/>
      <c r="M255" s="2"/>
      <c r="N255" s="2"/>
      <c r="O255" s="2"/>
      <c r="P255" s="2"/>
      <c r="Q255" s="2"/>
      <c r="S255" s="98">
        <f t="shared" si="54"/>
        <v>0</v>
      </c>
      <c r="T255" s="98">
        <f t="shared" si="55"/>
        <v>0</v>
      </c>
      <c r="U255" s="97">
        <f t="shared" si="56"/>
        <v>0</v>
      </c>
      <c r="V255" s="97">
        <f t="shared" si="57"/>
        <v>0</v>
      </c>
      <c r="X255" s="98" t="e">
        <f t="shared" si="58"/>
        <v>#REF!</v>
      </c>
      <c r="Y255" s="98" t="e">
        <f t="shared" si="59"/>
        <v>#REF!</v>
      </c>
      <c r="Z255" s="97" t="e">
        <f t="shared" si="60"/>
        <v>#REF!</v>
      </c>
      <c r="AA255" s="97" t="e">
        <f t="shared" si="61"/>
        <v>#REF!</v>
      </c>
      <c r="AC255" s="98" t="e">
        <f t="shared" si="62"/>
        <v>#REF!</v>
      </c>
      <c r="AD255" s="98" t="e">
        <f t="shared" si="63"/>
        <v>#REF!</v>
      </c>
      <c r="AE255" s="97" t="e">
        <f t="shared" si="64"/>
        <v>#REF!</v>
      </c>
      <c r="AF255" s="97" t="e">
        <f t="shared" si="65"/>
        <v>#REF!</v>
      </c>
      <c r="AH255" s="98" t="e">
        <f t="shared" si="66"/>
        <v>#REF!</v>
      </c>
      <c r="AI255" s="98" t="e">
        <f t="shared" si="67"/>
        <v>#REF!</v>
      </c>
      <c r="AJ255" s="97" t="e">
        <f t="shared" si="68"/>
        <v>#REF!</v>
      </c>
      <c r="AK255" s="97" t="e">
        <f t="shared" si="69"/>
        <v>#REF!</v>
      </c>
    </row>
    <row r="256" spans="1:37" ht="15" customHeight="1">
      <c r="A256" s="105"/>
      <c r="B256" s="104"/>
      <c r="C256" s="103"/>
      <c r="D256" s="102"/>
      <c r="E256" s="101"/>
      <c r="F256" s="101"/>
      <c r="G256" s="100" t="str">
        <f t="shared" ref="G256:G319" si="70">IF(AND(D256="",E256=""),"",IF(D256="",E256,D256+E256))</f>
        <v/>
      </c>
      <c r="H256" s="99" t="str">
        <f t="shared" ref="H256:H319" si="71">IF(AND(D256="",F256=""),"",IF(D256="",F256,D256+F256))</f>
        <v/>
      </c>
      <c r="I256" s="106"/>
      <c r="J256" s="2"/>
      <c r="K256" s="2"/>
      <c r="L256" s="2"/>
      <c r="M256" s="2"/>
      <c r="N256" s="2"/>
      <c r="O256" s="2"/>
      <c r="P256" s="2"/>
      <c r="Q256" s="2"/>
      <c r="S256" s="98">
        <f t="shared" si="54"/>
        <v>0</v>
      </c>
      <c r="T256" s="98">
        <f t="shared" si="55"/>
        <v>0</v>
      </c>
      <c r="U256" s="97">
        <f t="shared" si="56"/>
        <v>0</v>
      </c>
      <c r="V256" s="97">
        <f t="shared" si="57"/>
        <v>0</v>
      </c>
      <c r="X256" s="98" t="e">
        <f t="shared" si="58"/>
        <v>#REF!</v>
      </c>
      <c r="Y256" s="98" t="e">
        <f t="shared" si="59"/>
        <v>#REF!</v>
      </c>
      <c r="Z256" s="97" t="e">
        <f t="shared" si="60"/>
        <v>#REF!</v>
      </c>
      <c r="AA256" s="97" t="e">
        <f t="shared" si="61"/>
        <v>#REF!</v>
      </c>
      <c r="AC256" s="98" t="e">
        <f t="shared" si="62"/>
        <v>#REF!</v>
      </c>
      <c r="AD256" s="98" t="e">
        <f t="shared" si="63"/>
        <v>#REF!</v>
      </c>
      <c r="AE256" s="97" t="e">
        <f t="shared" si="64"/>
        <v>#REF!</v>
      </c>
      <c r="AF256" s="97" t="e">
        <f t="shared" si="65"/>
        <v>#REF!</v>
      </c>
      <c r="AH256" s="98" t="e">
        <f t="shared" si="66"/>
        <v>#REF!</v>
      </c>
      <c r="AI256" s="98" t="e">
        <f t="shared" si="67"/>
        <v>#REF!</v>
      </c>
      <c r="AJ256" s="97" t="e">
        <f t="shared" si="68"/>
        <v>#REF!</v>
      </c>
      <c r="AK256" s="97" t="e">
        <f t="shared" si="69"/>
        <v>#REF!</v>
      </c>
    </row>
    <row r="257" spans="1:898 1130:1961 2134:3033 3315:3315" ht="15" customHeight="1">
      <c r="A257" s="105"/>
      <c r="B257" s="104"/>
      <c r="C257" s="103"/>
      <c r="D257" s="102"/>
      <c r="E257" s="101"/>
      <c r="F257" s="101"/>
      <c r="G257" s="100" t="str">
        <f t="shared" si="70"/>
        <v/>
      </c>
      <c r="H257" s="99" t="str">
        <f t="shared" si="71"/>
        <v/>
      </c>
      <c r="I257" s="106"/>
      <c r="J257" s="2"/>
      <c r="K257" s="2"/>
      <c r="L257" s="2"/>
      <c r="M257" s="2"/>
      <c r="N257" s="2"/>
      <c r="O257" s="2"/>
      <c r="P257" s="2"/>
      <c r="Q257" s="2"/>
      <c r="S257" s="98">
        <f t="shared" si="54"/>
        <v>0</v>
      </c>
      <c r="T257" s="98">
        <f t="shared" si="55"/>
        <v>0</v>
      </c>
      <c r="U257" s="97">
        <f t="shared" si="56"/>
        <v>0</v>
      </c>
      <c r="V257" s="97">
        <f t="shared" si="57"/>
        <v>0</v>
      </c>
      <c r="X257" s="98" t="e">
        <f t="shared" si="58"/>
        <v>#REF!</v>
      </c>
      <c r="Y257" s="98" t="e">
        <f t="shared" si="59"/>
        <v>#REF!</v>
      </c>
      <c r="Z257" s="97" t="e">
        <f t="shared" si="60"/>
        <v>#REF!</v>
      </c>
      <c r="AA257" s="97" t="e">
        <f t="shared" si="61"/>
        <v>#REF!</v>
      </c>
      <c r="AC257" s="98" t="e">
        <f t="shared" si="62"/>
        <v>#REF!</v>
      </c>
      <c r="AD257" s="98" t="e">
        <f t="shared" si="63"/>
        <v>#REF!</v>
      </c>
      <c r="AE257" s="97" t="e">
        <f t="shared" si="64"/>
        <v>#REF!</v>
      </c>
      <c r="AF257" s="97" t="e">
        <f t="shared" si="65"/>
        <v>#REF!</v>
      </c>
      <c r="AH257" s="98" t="e">
        <f t="shared" si="66"/>
        <v>#REF!</v>
      </c>
      <c r="AI257" s="98" t="e">
        <f t="shared" si="67"/>
        <v>#REF!</v>
      </c>
      <c r="AJ257" s="97" t="e">
        <f t="shared" si="68"/>
        <v>#REF!</v>
      </c>
      <c r="AK257" s="97" t="e">
        <f t="shared" si="69"/>
        <v>#REF!</v>
      </c>
    </row>
    <row r="258" spans="1:898 1130:1961 2134:3033 3315:3315" ht="15" customHeight="1">
      <c r="A258" s="105"/>
      <c r="B258" s="104"/>
      <c r="C258" s="103"/>
      <c r="D258" s="102"/>
      <c r="E258" s="101"/>
      <c r="F258" s="101"/>
      <c r="G258" s="100" t="str">
        <f t="shared" si="70"/>
        <v/>
      </c>
      <c r="H258" s="99" t="str">
        <f t="shared" si="71"/>
        <v/>
      </c>
      <c r="I258" s="106"/>
      <c r="J258" s="2"/>
      <c r="K258" s="2"/>
      <c r="L258" s="2"/>
      <c r="M258" s="2"/>
      <c r="N258" s="2"/>
      <c r="O258" s="2"/>
      <c r="P258" s="2"/>
      <c r="Q258" s="2"/>
      <c r="S258" s="98">
        <f t="shared" si="54"/>
        <v>0</v>
      </c>
      <c r="T258" s="98">
        <f t="shared" si="55"/>
        <v>0</v>
      </c>
      <c r="U258" s="97">
        <f t="shared" si="56"/>
        <v>0</v>
      </c>
      <c r="V258" s="97">
        <f t="shared" si="57"/>
        <v>0</v>
      </c>
      <c r="X258" s="98" t="e">
        <f t="shared" si="58"/>
        <v>#REF!</v>
      </c>
      <c r="Y258" s="98" t="e">
        <f t="shared" si="59"/>
        <v>#REF!</v>
      </c>
      <c r="Z258" s="97" t="e">
        <f t="shared" si="60"/>
        <v>#REF!</v>
      </c>
      <c r="AA258" s="97" t="e">
        <f t="shared" si="61"/>
        <v>#REF!</v>
      </c>
      <c r="AC258" s="98" t="e">
        <f t="shared" si="62"/>
        <v>#REF!</v>
      </c>
      <c r="AD258" s="98" t="e">
        <f t="shared" si="63"/>
        <v>#REF!</v>
      </c>
      <c r="AE258" s="97" t="e">
        <f t="shared" si="64"/>
        <v>#REF!</v>
      </c>
      <c r="AF258" s="97" t="e">
        <f t="shared" si="65"/>
        <v>#REF!</v>
      </c>
      <c r="AH258" s="98" t="e">
        <f t="shared" si="66"/>
        <v>#REF!</v>
      </c>
      <c r="AI258" s="98" t="e">
        <f t="shared" si="67"/>
        <v>#REF!</v>
      </c>
      <c r="AJ258" s="97" t="e">
        <f t="shared" si="68"/>
        <v>#REF!</v>
      </c>
      <c r="AK258" s="97" t="e">
        <f t="shared" si="69"/>
        <v>#REF!</v>
      </c>
    </row>
    <row r="259" spans="1:898 1130:1961 2134:3033 3315:3315" ht="15" customHeight="1">
      <c r="A259" s="108"/>
      <c r="B259" s="107"/>
      <c r="C259" s="103"/>
      <c r="D259" s="102"/>
      <c r="E259" s="101"/>
      <c r="F259" s="101"/>
      <c r="G259" s="100" t="str">
        <f t="shared" si="70"/>
        <v/>
      </c>
      <c r="H259" s="99" t="str">
        <f t="shared" si="71"/>
        <v/>
      </c>
      <c r="I259" s="106"/>
      <c r="J259" s="2"/>
      <c r="K259" s="2"/>
      <c r="L259" s="2"/>
      <c r="M259" s="2"/>
      <c r="N259" s="2"/>
      <c r="O259" s="2"/>
      <c r="P259" s="2"/>
      <c r="Q259" s="2"/>
      <c r="S259" s="98">
        <f t="shared" ref="S259:S320" si="72">IF($A259&lt;&gt;"(DC)", $E259*$R$7, $E259)</f>
        <v>0</v>
      </c>
      <c r="T259" s="98">
        <f t="shared" ref="T259:T320" si="73">IF($A259&lt;&gt;"(DC)", $F259*$R$7, $F259)</f>
        <v>0</v>
      </c>
      <c r="U259" s="97">
        <f t="shared" ref="U259:V320" si="74">IF(AND($D259="",S259=""),"",IF($D259="",S259,$D259+S259))</f>
        <v>0</v>
      </c>
      <c r="V259" s="97">
        <f t="shared" si="74"/>
        <v>0</v>
      </c>
      <c r="X259" s="98" t="e">
        <f t="shared" ref="X259:X320" si="75">IF($A259&lt;&gt;"(DC)", $E259*$W$7, $E259)</f>
        <v>#REF!</v>
      </c>
      <c r="Y259" s="98" t="e">
        <f t="shared" ref="Y259:Y320" si="76">IF($A259&lt;&gt;"(DC)", $F259*$W$7, $F259)</f>
        <v>#REF!</v>
      </c>
      <c r="Z259" s="97" t="e">
        <f t="shared" ref="Z259:AA320" si="77">IF(AND($D259="",X259=""),"",IF($D259="",X259,$D259+X259))</f>
        <v>#REF!</v>
      </c>
      <c r="AA259" s="97" t="e">
        <f t="shared" si="77"/>
        <v>#REF!</v>
      </c>
      <c r="AC259" s="98" t="e">
        <f t="shared" ref="AC259:AC320" si="78">IF($A259&lt;&gt;"(DC)", $E259*$W$7, $E259)</f>
        <v>#REF!</v>
      </c>
      <c r="AD259" s="98" t="e">
        <f t="shared" ref="AD259:AD320" si="79">IF($A259&lt;&gt;"(DC)", $F259*$W$7, $F259)</f>
        <v>#REF!</v>
      </c>
      <c r="AE259" s="97" t="e">
        <f t="shared" ref="AE259:AF320" si="80">IF(AND($D259="",AC259=""),"",IF($D259="",AC259,$D259+AC259))</f>
        <v>#REF!</v>
      </c>
      <c r="AF259" s="97" t="e">
        <f t="shared" si="80"/>
        <v>#REF!</v>
      </c>
      <c r="AH259" s="98" t="e">
        <f t="shared" ref="AH259:AH320" si="81">IF($A259&lt;&gt;"(DC)", $E259*$AG$7, $E259)</f>
        <v>#REF!</v>
      </c>
      <c r="AI259" s="98" t="e">
        <f t="shared" ref="AI259:AI320" si="82">IF($A259&lt;&gt;"(DC)", $F259*$AG$7, $F259)</f>
        <v>#REF!</v>
      </c>
      <c r="AJ259" s="97" t="e">
        <f t="shared" ref="AJ259:AK320" si="83">IF(AND($D259="",AH259=""),"",IF($D259="",AH259,$D259+AH259))</f>
        <v>#REF!</v>
      </c>
      <c r="AK259" s="97" t="e">
        <f t="shared" si="83"/>
        <v>#REF!</v>
      </c>
    </row>
    <row r="260" spans="1:898 1130:1961 2134:3033 3315:3315" ht="15" customHeight="1">
      <c r="A260" s="108"/>
      <c r="B260" s="107"/>
      <c r="C260" s="103"/>
      <c r="D260" s="102"/>
      <c r="E260" s="101"/>
      <c r="F260" s="101"/>
      <c r="G260" s="100" t="str">
        <f t="shared" si="70"/>
        <v/>
      </c>
      <c r="H260" s="99" t="str">
        <f t="shared" si="71"/>
        <v/>
      </c>
      <c r="I260" s="106"/>
      <c r="J260" s="2"/>
      <c r="K260" s="2"/>
      <c r="L260" s="2"/>
      <c r="M260" s="2"/>
      <c r="N260" s="2"/>
      <c r="O260" s="2"/>
      <c r="P260" s="2"/>
      <c r="Q260" s="2"/>
      <c r="S260" s="98">
        <f t="shared" si="72"/>
        <v>0</v>
      </c>
      <c r="T260" s="98">
        <f t="shared" si="73"/>
        <v>0</v>
      </c>
      <c r="U260" s="97">
        <f t="shared" si="74"/>
        <v>0</v>
      </c>
      <c r="V260" s="97">
        <f t="shared" si="74"/>
        <v>0</v>
      </c>
      <c r="X260" s="98" t="e">
        <f t="shared" si="75"/>
        <v>#REF!</v>
      </c>
      <c r="Y260" s="98" t="e">
        <f t="shared" si="76"/>
        <v>#REF!</v>
      </c>
      <c r="Z260" s="97" t="e">
        <f t="shared" si="77"/>
        <v>#REF!</v>
      </c>
      <c r="AA260" s="97" t="e">
        <f t="shared" si="77"/>
        <v>#REF!</v>
      </c>
      <c r="AC260" s="98" t="e">
        <f t="shared" si="78"/>
        <v>#REF!</v>
      </c>
      <c r="AD260" s="98" t="e">
        <f t="shared" si="79"/>
        <v>#REF!</v>
      </c>
      <c r="AE260" s="97" t="e">
        <f t="shared" si="80"/>
        <v>#REF!</v>
      </c>
      <c r="AF260" s="97" t="e">
        <f t="shared" si="80"/>
        <v>#REF!</v>
      </c>
      <c r="AH260" s="98" t="e">
        <f t="shared" si="81"/>
        <v>#REF!</v>
      </c>
      <c r="AI260" s="98" t="e">
        <f t="shared" si="82"/>
        <v>#REF!</v>
      </c>
      <c r="AJ260" s="97" t="e">
        <f t="shared" si="83"/>
        <v>#REF!</v>
      </c>
      <c r="AK260" s="97" t="e">
        <f t="shared" si="83"/>
        <v>#REF!</v>
      </c>
    </row>
    <row r="261" spans="1:898 1130:1961 2134:3033 3315:3315" ht="15" customHeight="1">
      <c r="A261" s="108"/>
      <c r="B261" s="107"/>
      <c r="C261" s="103"/>
      <c r="D261" s="102"/>
      <c r="E261" s="101"/>
      <c r="F261" s="101"/>
      <c r="G261" s="100" t="str">
        <f t="shared" si="70"/>
        <v/>
      </c>
      <c r="H261" s="99" t="str">
        <f t="shared" si="71"/>
        <v/>
      </c>
      <c r="I261" s="106"/>
      <c r="J261" s="2"/>
      <c r="K261" s="2"/>
      <c r="L261" s="2"/>
      <c r="M261" s="2"/>
      <c r="N261" s="2"/>
      <c r="O261" s="2"/>
      <c r="P261" s="2"/>
      <c r="Q261" s="2"/>
      <c r="S261" s="98">
        <f t="shared" si="72"/>
        <v>0</v>
      </c>
      <c r="T261" s="98">
        <f t="shared" si="73"/>
        <v>0</v>
      </c>
      <c r="U261" s="97">
        <f t="shared" si="74"/>
        <v>0</v>
      </c>
      <c r="V261" s="97">
        <f t="shared" si="74"/>
        <v>0</v>
      </c>
      <c r="X261" s="98" t="e">
        <f t="shared" si="75"/>
        <v>#REF!</v>
      </c>
      <c r="Y261" s="98" t="e">
        <f t="shared" si="76"/>
        <v>#REF!</v>
      </c>
      <c r="Z261" s="97" t="e">
        <f t="shared" si="77"/>
        <v>#REF!</v>
      </c>
      <c r="AA261" s="97" t="e">
        <f t="shared" si="77"/>
        <v>#REF!</v>
      </c>
      <c r="AC261" s="98" t="e">
        <f t="shared" si="78"/>
        <v>#REF!</v>
      </c>
      <c r="AD261" s="98" t="e">
        <f t="shared" si="79"/>
        <v>#REF!</v>
      </c>
      <c r="AE261" s="97" t="e">
        <f t="shared" si="80"/>
        <v>#REF!</v>
      </c>
      <c r="AF261" s="97" t="e">
        <f t="shared" si="80"/>
        <v>#REF!</v>
      </c>
      <c r="AH261" s="98" t="e">
        <f t="shared" si="81"/>
        <v>#REF!</v>
      </c>
      <c r="AI261" s="98" t="e">
        <f t="shared" si="82"/>
        <v>#REF!</v>
      </c>
      <c r="AJ261" s="97" t="e">
        <f t="shared" si="83"/>
        <v>#REF!</v>
      </c>
      <c r="AK261" s="97" t="e">
        <f t="shared" si="83"/>
        <v>#REF!</v>
      </c>
    </row>
    <row r="262" spans="1:898 1130:1961 2134:3033 3315:3315" ht="15" customHeight="1">
      <c r="A262" s="108"/>
      <c r="B262" s="107"/>
      <c r="C262" s="103"/>
      <c r="D262" s="102"/>
      <c r="E262" s="101"/>
      <c r="F262" s="101"/>
      <c r="G262" s="100" t="str">
        <f t="shared" si="70"/>
        <v/>
      </c>
      <c r="H262" s="99" t="str">
        <f t="shared" si="71"/>
        <v/>
      </c>
      <c r="I262" s="106"/>
      <c r="J262" s="2"/>
      <c r="K262" s="2"/>
      <c r="L262" s="2"/>
      <c r="M262" s="2"/>
      <c r="N262" s="2"/>
      <c r="O262" s="2"/>
      <c r="P262" s="2"/>
      <c r="Q262" s="2"/>
      <c r="S262" s="98">
        <f t="shared" si="72"/>
        <v>0</v>
      </c>
      <c r="T262" s="98">
        <f t="shared" si="73"/>
        <v>0</v>
      </c>
      <c r="U262" s="97">
        <f t="shared" si="74"/>
        <v>0</v>
      </c>
      <c r="V262" s="97">
        <f t="shared" si="74"/>
        <v>0</v>
      </c>
      <c r="X262" s="98" t="e">
        <f t="shared" si="75"/>
        <v>#REF!</v>
      </c>
      <c r="Y262" s="98" t="e">
        <f t="shared" si="76"/>
        <v>#REF!</v>
      </c>
      <c r="Z262" s="97" t="e">
        <f t="shared" si="77"/>
        <v>#REF!</v>
      </c>
      <c r="AA262" s="97" t="e">
        <f t="shared" si="77"/>
        <v>#REF!</v>
      </c>
      <c r="AC262" s="98" t="e">
        <f t="shared" si="78"/>
        <v>#REF!</v>
      </c>
      <c r="AD262" s="98" t="e">
        <f t="shared" si="79"/>
        <v>#REF!</v>
      </c>
      <c r="AE262" s="97" t="e">
        <f t="shared" si="80"/>
        <v>#REF!</v>
      </c>
      <c r="AF262" s="97" t="e">
        <f t="shared" si="80"/>
        <v>#REF!</v>
      </c>
      <c r="AH262" s="98" t="e">
        <f t="shared" si="81"/>
        <v>#REF!</v>
      </c>
      <c r="AI262" s="98" t="e">
        <f t="shared" si="82"/>
        <v>#REF!</v>
      </c>
      <c r="AJ262" s="97" t="e">
        <f t="shared" si="83"/>
        <v>#REF!</v>
      </c>
      <c r="AK262" s="97" t="e">
        <f t="shared" si="83"/>
        <v>#REF!</v>
      </c>
    </row>
    <row r="263" spans="1:898 1130:1961 2134:3033 3315:3315" ht="15" customHeight="1">
      <c r="A263" s="108"/>
      <c r="B263" s="109"/>
      <c r="C263" s="103"/>
      <c r="D263" s="102"/>
      <c r="E263" s="101"/>
      <c r="F263" s="101"/>
      <c r="G263" s="100" t="str">
        <f t="shared" si="70"/>
        <v/>
      </c>
      <c r="H263" s="99" t="str">
        <f t="shared" si="71"/>
        <v/>
      </c>
      <c r="I263" s="106"/>
      <c r="J263" s="2"/>
      <c r="K263" s="2"/>
      <c r="L263" s="2"/>
      <c r="M263" s="2"/>
      <c r="N263" s="2"/>
      <c r="O263" s="2"/>
      <c r="P263" s="2"/>
      <c r="Q263" s="2"/>
      <c r="S263" s="98">
        <f t="shared" si="72"/>
        <v>0</v>
      </c>
      <c r="T263" s="98">
        <f t="shared" si="73"/>
        <v>0</v>
      </c>
      <c r="U263" s="97">
        <f t="shared" si="74"/>
        <v>0</v>
      </c>
      <c r="V263" s="97">
        <f t="shared" si="74"/>
        <v>0</v>
      </c>
      <c r="X263" s="98" t="e">
        <f t="shared" si="75"/>
        <v>#REF!</v>
      </c>
      <c r="Y263" s="98" t="e">
        <f t="shared" si="76"/>
        <v>#REF!</v>
      </c>
      <c r="Z263" s="97" t="e">
        <f t="shared" si="77"/>
        <v>#REF!</v>
      </c>
      <c r="AA263" s="97" t="e">
        <f t="shared" si="77"/>
        <v>#REF!</v>
      </c>
      <c r="AC263" s="98" t="e">
        <f t="shared" si="78"/>
        <v>#REF!</v>
      </c>
      <c r="AD263" s="98" t="e">
        <f t="shared" si="79"/>
        <v>#REF!</v>
      </c>
      <c r="AE263" s="97" t="e">
        <f t="shared" si="80"/>
        <v>#REF!</v>
      </c>
      <c r="AF263" s="97" t="e">
        <f t="shared" si="80"/>
        <v>#REF!</v>
      </c>
      <c r="AH263" s="98" t="e">
        <f t="shared" si="81"/>
        <v>#REF!</v>
      </c>
      <c r="AI263" s="98" t="e">
        <f t="shared" si="82"/>
        <v>#REF!</v>
      </c>
      <c r="AJ263" s="97" t="e">
        <f t="shared" si="83"/>
        <v>#REF!</v>
      </c>
      <c r="AK263" s="97" t="e">
        <f t="shared" si="83"/>
        <v>#REF!</v>
      </c>
    </row>
    <row r="264" spans="1:898 1130:1961 2134:3033 3315:3315" ht="15" customHeight="1">
      <c r="A264" s="108"/>
      <c r="B264" s="107"/>
      <c r="C264" s="103"/>
      <c r="D264" s="102"/>
      <c r="E264" s="101"/>
      <c r="F264" s="101"/>
      <c r="G264" s="100" t="str">
        <f t="shared" si="70"/>
        <v/>
      </c>
      <c r="H264" s="99" t="str">
        <f t="shared" si="71"/>
        <v/>
      </c>
      <c r="I264" s="106"/>
      <c r="J264" s="2"/>
      <c r="K264" s="2"/>
      <c r="L264" s="2"/>
      <c r="M264" s="2"/>
      <c r="N264" s="2"/>
      <c r="O264" s="2"/>
      <c r="P264" s="2"/>
      <c r="Q264" s="2"/>
      <c r="S264" s="98">
        <f t="shared" si="72"/>
        <v>0</v>
      </c>
      <c r="T264" s="98">
        <f t="shared" si="73"/>
        <v>0</v>
      </c>
      <c r="U264" s="97">
        <f t="shared" si="74"/>
        <v>0</v>
      </c>
      <c r="V264" s="97">
        <f t="shared" si="74"/>
        <v>0</v>
      </c>
      <c r="X264" s="98" t="e">
        <f t="shared" si="75"/>
        <v>#REF!</v>
      </c>
      <c r="Y264" s="98" t="e">
        <f t="shared" si="76"/>
        <v>#REF!</v>
      </c>
      <c r="Z264" s="97" t="e">
        <f t="shared" si="77"/>
        <v>#REF!</v>
      </c>
      <c r="AA264" s="97" t="e">
        <f t="shared" si="77"/>
        <v>#REF!</v>
      </c>
      <c r="AC264" s="98" t="e">
        <f t="shared" si="78"/>
        <v>#REF!</v>
      </c>
      <c r="AD264" s="98" t="e">
        <f t="shared" si="79"/>
        <v>#REF!</v>
      </c>
      <c r="AE264" s="97" t="e">
        <f t="shared" si="80"/>
        <v>#REF!</v>
      </c>
      <c r="AF264" s="97" t="e">
        <f t="shared" si="80"/>
        <v>#REF!</v>
      </c>
      <c r="AH264" s="98" t="e">
        <f t="shared" si="81"/>
        <v>#REF!</v>
      </c>
      <c r="AI264" s="98" t="e">
        <f t="shared" si="82"/>
        <v>#REF!</v>
      </c>
      <c r="AJ264" s="97" t="e">
        <f t="shared" si="83"/>
        <v>#REF!</v>
      </c>
      <c r="AK264" s="97" t="e">
        <f t="shared" si="83"/>
        <v>#REF!</v>
      </c>
    </row>
    <row r="265" spans="1:898 1130:1961 2134:3033 3315:3315" ht="15" customHeight="1">
      <c r="A265" s="108"/>
      <c r="B265" s="109"/>
      <c r="C265" s="103"/>
      <c r="D265" s="102"/>
      <c r="E265" s="101"/>
      <c r="F265" s="101"/>
      <c r="G265" s="100" t="str">
        <f t="shared" si="70"/>
        <v/>
      </c>
      <c r="H265" s="99" t="str">
        <f t="shared" si="71"/>
        <v/>
      </c>
      <c r="I265" s="106"/>
      <c r="J265" s="2"/>
      <c r="K265" s="2"/>
      <c r="L265" s="2"/>
      <c r="M265" s="2"/>
      <c r="N265" s="2"/>
      <c r="O265" s="2"/>
      <c r="P265" s="2"/>
      <c r="Q265" s="2"/>
      <c r="S265" s="98">
        <f t="shared" si="72"/>
        <v>0</v>
      </c>
      <c r="T265" s="98">
        <f t="shared" si="73"/>
        <v>0</v>
      </c>
      <c r="U265" s="97">
        <f t="shared" si="74"/>
        <v>0</v>
      </c>
      <c r="V265" s="97">
        <f t="shared" si="74"/>
        <v>0</v>
      </c>
      <c r="X265" s="98" t="e">
        <f t="shared" si="75"/>
        <v>#REF!</v>
      </c>
      <c r="Y265" s="98" t="e">
        <f t="shared" si="76"/>
        <v>#REF!</v>
      </c>
      <c r="Z265" s="97" t="e">
        <f t="shared" si="77"/>
        <v>#REF!</v>
      </c>
      <c r="AA265" s="97" t="e">
        <f t="shared" si="77"/>
        <v>#REF!</v>
      </c>
      <c r="AC265" s="98" t="e">
        <f t="shared" si="78"/>
        <v>#REF!</v>
      </c>
      <c r="AD265" s="98" t="e">
        <f t="shared" si="79"/>
        <v>#REF!</v>
      </c>
      <c r="AE265" s="97" t="e">
        <f t="shared" si="80"/>
        <v>#REF!</v>
      </c>
      <c r="AF265" s="97" t="e">
        <f t="shared" si="80"/>
        <v>#REF!</v>
      </c>
      <c r="AH265" s="98" t="e">
        <f t="shared" si="81"/>
        <v>#REF!</v>
      </c>
      <c r="AI265" s="98" t="e">
        <f t="shared" si="82"/>
        <v>#REF!</v>
      </c>
      <c r="AJ265" s="97" t="e">
        <f t="shared" si="83"/>
        <v>#REF!</v>
      </c>
      <c r="AK265" s="97" t="e">
        <f t="shared" si="83"/>
        <v>#REF!</v>
      </c>
    </row>
    <row r="266" spans="1:898 1130:1961 2134:3033 3315:3315" ht="15" customHeight="1">
      <c r="A266" s="108"/>
      <c r="B266" s="107"/>
      <c r="C266" s="103"/>
      <c r="D266" s="102"/>
      <c r="E266" s="101"/>
      <c r="F266" s="101"/>
      <c r="G266" s="100" t="str">
        <f t="shared" si="70"/>
        <v/>
      </c>
      <c r="H266" s="99" t="str">
        <f t="shared" si="71"/>
        <v/>
      </c>
      <c r="I266" s="71"/>
      <c r="J266" s="2"/>
      <c r="K266" s="2"/>
      <c r="L266" s="2"/>
      <c r="M266" s="2"/>
      <c r="N266" s="2"/>
      <c r="O266" s="2"/>
      <c r="P266" s="2"/>
      <c r="Q266" s="2"/>
      <c r="S266" s="98">
        <f t="shared" si="72"/>
        <v>0</v>
      </c>
      <c r="T266" s="98">
        <f t="shared" si="73"/>
        <v>0</v>
      </c>
      <c r="U266" s="97">
        <f t="shared" si="74"/>
        <v>0</v>
      </c>
      <c r="V266" s="97">
        <f t="shared" si="74"/>
        <v>0</v>
      </c>
      <c r="X266" s="98" t="e">
        <f t="shared" si="75"/>
        <v>#REF!</v>
      </c>
      <c r="Y266" s="98" t="e">
        <f t="shared" si="76"/>
        <v>#REF!</v>
      </c>
      <c r="Z266" s="97" t="e">
        <f t="shared" si="77"/>
        <v>#REF!</v>
      </c>
      <c r="AA266" s="97" t="e">
        <f t="shared" si="77"/>
        <v>#REF!</v>
      </c>
      <c r="AC266" s="98" t="e">
        <f t="shared" si="78"/>
        <v>#REF!</v>
      </c>
      <c r="AD266" s="98" t="e">
        <f t="shared" si="79"/>
        <v>#REF!</v>
      </c>
      <c r="AE266" s="97" t="e">
        <f t="shared" si="80"/>
        <v>#REF!</v>
      </c>
      <c r="AF266" s="97" t="e">
        <f t="shared" si="80"/>
        <v>#REF!</v>
      </c>
      <c r="AH266" s="98" t="e">
        <f t="shared" si="81"/>
        <v>#REF!</v>
      </c>
      <c r="AI266" s="98" t="e">
        <f t="shared" si="82"/>
        <v>#REF!</v>
      </c>
      <c r="AJ266" s="97" t="e">
        <f t="shared" si="83"/>
        <v>#REF!</v>
      </c>
      <c r="AK266" s="97" t="e">
        <f t="shared" si="83"/>
        <v>#REF!</v>
      </c>
      <c r="EU266" s="111"/>
      <c r="EV266" s="111"/>
      <c r="GM266" s="111"/>
      <c r="LK266" s="111"/>
      <c r="SJ266" s="111"/>
      <c r="TN266" s="111"/>
      <c r="WJ266" s="111"/>
      <c r="XG266" s="111"/>
      <c r="AFG266" s="111"/>
      <c r="AHC266" s="111"/>
      <c r="AHN266" s="111"/>
      <c r="AQL266" s="111"/>
      <c r="AYQ266" s="111"/>
      <c r="BBW266" s="111"/>
      <c r="BOW266" s="111"/>
      <c r="BRB266" s="111"/>
      <c r="BWK266" s="111"/>
      <c r="CDB266" s="111"/>
      <c r="CEH266" s="111"/>
      <c r="CHE266" s="111"/>
      <c r="CIE266" s="111"/>
      <c r="CJY266" s="111"/>
      <c r="CNP266" s="111"/>
      <c r="CVA266" s="111"/>
      <c r="CXO266" s="111"/>
      <c r="DAR266" s="111"/>
      <c r="DEG266" s="111"/>
      <c r="DEH266" s="111"/>
      <c r="DEJ266" s="111"/>
      <c r="DEM266" s="111"/>
      <c r="DET266" s="111"/>
      <c r="DEZ266" s="111"/>
      <c r="DIM266" s="111"/>
      <c r="DKR266" s="111"/>
      <c r="DLQ266" s="111"/>
      <c r="DWM266" s="111"/>
    </row>
    <row r="267" spans="1:898 1130:1961 2134:3033 3315:3315" ht="15" customHeight="1">
      <c r="A267" s="108"/>
      <c r="B267" s="109"/>
      <c r="C267" s="103"/>
      <c r="D267" s="102"/>
      <c r="E267" s="101"/>
      <c r="F267" s="101"/>
      <c r="G267" s="100" t="str">
        <f t="shared" si="70"/>
        <v/>
      </c>
      <c r="H267" s="99" t="str">
        <f t="shared" si="71"/>
        <v/>
      </c>
      <c r="I267" s="106"/>
      <c r="J267" s="2"/>
      <c r="K267" s="2"/>
      <c r="L267" s="2"/>
      <c r="M267" s="2"/>
      <c r="N267" s="2"/>
      <c r="O267" s="2"/>
      <c r="P267" s="2"/>
      <c r="Q267" s="2"/>
      <c r="S267" s="98">
        <f t="shared" si="72"/>
        <v>0</v>
      </c>
      <c r="T267" s="98">
        <f t="shared" si="73"/>
        <v>0</v>
      </c>
      <c r="U267" s="97">
        <f t="shared" si="74"/>
        <v>0</v>
      </c>
      <c r="V267" s="97">
        <f t="shared" si="74"/>
        <v>0</v>
      </c>
      <c r="X267" s="98" t="e">
        <f t="shared" si="75"/>
        <v>#REF!</v>
      </c>
      <c r="Y267" s="98" t="e">
        <f t="shared" si="76"/>
        <v>#REF!</v>
      </c>
      <c r="Z267" s="97" t="e">
        <f t="shared" si="77"/>
        <v>#REF!</v>
      </c>
      <c r="AA267" s="97" t="e">
        <f t="shared" si="77"/>
        <v>#REF!</v>
      </c>
      <c r="AC267" s="98" t="e">
        <f t="shared" si="78"/>
        <v>#REF!</v>
      </c>
      <c r="AD267" s="98" t="e">
        <f t="shared" si="79"/>
        <v>#REF!</v>
      </c>
      <c r="AE267" s="97" t="e">
        <f t="shared" si="80"/>
        <v>#REF!</v>
      </c>
      <c r="AF267" s="97" t="e">
        <f t="shared" si="80"/>
        <v>#REF!</v>
      </c>
      <c r="AH267" s="98" t="e">
        <f t="shared" si="81"/>
        <v>#REF!</v>
      </c>
      <c r="AI267" s="98" t="e">
        <f t="shared" si="82"/>
        <v>#REF!</v>
      </c>
      <c r="AJ267" s="97" t="e">
        <f t="shared" si="83"/>
        <v>#REF!</v>
      </c>
      <c r="AK267" s="97" t="e">
        <f t="shared" si="83"/>
        <v>#REF!</v>
      </c>
    </row>
    <row r="268" spans="1:898 1130:1961 2134:3033 3315:3315" ht="15" customHeight="1">
      <c r="A268" s="108"/>
      <c r="B268" s="107"/>
      <c r="C268" s="103"/>
      <c r="D268" s="102"/>
      <c r="E268" s="101"/>
      <c r="F268" s="101"/>
      <c r="G268" s="100" t="str">
        <f t="shared" si="70"/>
        <v/>
      </c>
      <c r="H268" s="99" t="str">
        <f t="shared" si="71"/>
        <v/>
      </c>
      <c r="I268" s="71"/>
      <c r="J268" s="2"/>
      <c r="K268" s="2"/>
      <c r="L268" s="2"/>
      <c r="M268" s="2"/>
      <c r="N268" s="2"/>
      <c r="O268" s="2"/>
      <c r="P268" s="2"/>
      <c r="Q268" s="2"/>
      <c r="S268" s="98">
        <f t="shared" si="72"/>
        <v>0</v>
      </c>
      <c r="T268" s="98">
        <f t="shared" si="73"/>
        <v>0</v>
      </c>
      <c r="U268" s="97">
        <f t="shared" si="74"/>
        <v>0</v>
      </c>
      <c r="V268" s="97">
        <f t="shared" si="74"/>
        <v>0</v>
      </c>
      <c r="X268" s="98" t="e">
        <f t="shared" si="75"/>
        <v>#REF!</v>
      </c>
      <c r="Y268" s="98" t="e">
        <f t="shared" si="76"/>
        <v>#REF!</v>
      </c>
      <c r="Z268" s="97" t="e">
        <f t="shared" si="77"/>
        <v>#REF!</v>
      </c>
      <c r="AA268" s="97" t="e">
        <f t="shared" si="77"/>
        <v>#REF!</v>
      </c>
      <c r="AC268" s="98" t="e">
        <f t="shared" si="78"/>
        <v>#REF!</v>
      </c>
      <c r="AD268" s="98" t="e">
        <f t="shared" si="79"/>
        <v>#REF!</v>
      </c>
      <c r="AE268" s="97" t="e">
        <f t="shared" si="80"/>
        <v>#REF!</v>
      </c>
      <c r="AF268" s="97" t="e">
        <f t="shared" si="80"/>
        <v>#REF!</v>
      </c>
      <c r="AH268" s="98" t="e">
        <f t="shared" si="81"/>
        <v>#REF!</v>
      </c>
      <c r="AI268" s="98" t="e">
        <f t="shared" si="82"/>
        <v>#REF!</v>
      </c>
      <c r="AJ268" s="97" t="e">
        <f t="shared" si="83"/>
        <v>#REF!</v>
      </c>
      <c r="AK268" s="97" t="e">
        <f t="shared" si="83"/>
        <v>#REF!</v>
      </c>
      <c r="EU268" s="111"/>
      <c r="EV268" s="111"/>
      <c r="GM268" s="111"/>
      <c r="LK268" s="111"/>
      <c r="SJ268" s="111"/>
      <c r="TN268" s="111"/>
      <c r="WJ268" s="111"/>
      <c r="XG268" s="111"/>
      <c r="AFG268" s="111"/>
      <c r="AHC268" s="111"/>
      <c r="AHN268" s="111"/>
      <c r="AQL268" s="111"/>
      <c r="AYQ268" s="111"/>
      <c r="BBW268" s="111"/>
      <c r="BOW268" s="111"/>
      <c r="BRB268" s="111"/>
      <c r="BWK268" s="111"/>
      <c r="CDB268" s="111"/>
      <c r="CEH268" s="111"/>
      <c r="CHE268" s="111"/>
      <c r="CIE268" s="111"/>
      <c r="CJY268" s="111"/>
      <c r="CNP268" s="111"/>
      <c r="CVA268" s="111"/>
      <c r="CXO268" s="111"/>
      <c r="DAR268" s="111"/>
      <c r="DEG268" s="111"/>
      <c r="DEH268" s="111"/>
      <c r="DEJ268" s="111"/>
      <c r="DEM268" s="111"/>
      <c r="DET268" s="111"/>
      <c r="DEZ268" s="111"/>
      <c r="DIM268" s="111"/>
      <c r="DKR268" s="111"/>
      <c r="DLQ268" s="111"/>
      <c r="DWM268" s="111"/>
    </row>
    <row r="269" spans="1:898 1130:1961 2134:3033 3315:3315" ht="15" customHeight="1">
      <c r="A269" s="108"/>
      <c r="B269" s="104"/>
      <c r="C269" s="103"/>
      <c r="D269" s="102"/>
      <c r="E269" s="101"/>
      <c r="F269" s="101"/>
      <c r="G269" s="100" t="str">
        <f t="shared" si="70"/>
        <v/>
      </c>
      <c r="H269" s="99" t="str">
        <f t="shared" si="71"/>
        <v/>
      </c>
      <c r="I269" s="71"/>
      <c r="J269" s="2"/>
      <c r="K269" s="2"/>
      <c r="L269" s="2"/>
      <c r="M269" s="2"/>
      <c r="N269" s="2"/>
      <c r="O269" s="2"/>
      <c r="P269" s="2"/>
      <c r="Q269" s="2"/>
      <c r="S269" s="98">
        <f t="shared" si="72"/>
        <v>0</v>
      </c>
      <c r="T269" s="98">
        <f t="shared" si="73"/>
        <v>0</v>
      </c>
      <c r="U269" s="97">
        <f t="shared" si="74"/>
        <v>0</v>
      </c>
      <c r="V269" s="97">
        <f t="shared" si="74"/>
        <v>0</v>
      </c>
      <c r="X269" s="98" t="e">
        <f t="shared" si="75"/>
        <v>#REF!</v>
      </c>
      <c r="Y269" s="98" t="e">
        <f t="shared" si="76"/>
        <v>#REF!</v>
      </c>
      <c r="Z269" s="97" t="e">
        <f t="shared" si="77"/>
        <v>#REF!</v>
      </c>
      <c r="AA269" s="97" t="e">
        <f t="shared" si="77"/>
        <v>#REF!</v>
      </c>
      <c r="AC269" s="98" t="e">
        <f t="shared" si="78"/>
        <v>#REF!</v>
      </c>
      <c r="AD269" s="98" t="e">
        <f t="shared" si="79"/>
        <v>#REF!</v>
      </c>
      <c r="AE269" s="97" t="e">
        <f t="shared" si="80"/>
        <v>#REF!</v>
      </c>
      <c r="AF269" s="97" t="e">
        <f t="shared" si="80"/>
        <v>#REF!</v>
      </c>
      <c r="AH269" s="98" t="e">
        <f t="shared" si="81"/>
        <v>#REF!</v>
      </c>
      <c r="AI269" s="98" t="e">
        <f t="shared" si="82"/>
        <v>#REF!</v>
      </c>
      <c r="AJ269" s="97" t="e">
        <f t="shared" si="83"/>
        <v>#REF!</v>
      </c>
      <c r="AK269" s="97" t="e">
        <f t="shared" si="83"/>
        <v>#REF!</v>
      </c>
    </row>
    <row r="270" spans="1:898 1130:1961 2134:3033 3315:3315" ht="15" customHeight="1">
      <c r="A270" s="108"/>
      <c r="B270" s="107"/>
      <c r="C270" s="103"/>
      <c r="D270" s="102"/>
      <c r="E270" s="101"/>
      <c r="F270" s="101"/>
      <c r="G270" s="100" t="str">
        <f t="shared" si="70"/>
        <v/>
      </c>
      <c r="H270" s="99" t="str">
        <f t="shared" si="71"/>
        <v/>
      </c>
      <c r="I270" s="71"/>
      <c r="J270" s="2"/>
      <c r="K270" s="2"/>
      <c r="L270" s="2"/>
      <c r="M270" s="2"/>
      <c r="N270" s="2"/>
      <c r="O270" s="2"/>
      <c r="P270" s="2"/>
      <c r="Q270" s="2"/>
      <c r="S270" s="98">
        <f t="shared" si="72"/>
        <v>0</v>
      </c>
      <c r="T270" s="98">
        <f t="shared" si="73"/>
        <v>0</v>
      </c>
      <c r="U270" s="97">
        <f t="shared" si="74"/>
        <v>0</v>
      </c>
      <c r="V270" s="97">
        <f t="shared" si="74"/>
        <v>0</v>
      </c>
      <c r="X270" s="98" t="e">
        <f t="shared" si="75"/>
        <v>#REF!</v>
      </c>
      <c r="Y270" s="98" t="e">
        <f t="shared" si="76"/>
        <v>#REF!</v>
      </c>
      <c r="Z270" s="97" t="e">
        <f t="shared" si="77"/>
        <v>#REF!</v>
      </c>
      <c r="AA270" s="97" t="e">
        <f t="shared" si="77"/>
        <v>#REF!</v>
      </c>
      <c r="AC270" s="98" t="e">
        <f t="shared" si="78"/>
        <v>#REF!</v>
      </c>
      <c r="AD270" s="98" t="e">
        <f t="shared" si="79"/>
        <v>#REF!</v>
      </c>
      <c r="AE270" s="97" t="e">
        <f t="shared" si="80"/>
        <v>#REF!</v>
      </c>
      <c r="AF270" s="97" t="e">
        <f t="shared" si="80"/>
        <v>#REF!</v>
      </c>
      <c r="AH270" s="98" t="e">
        <f t="shared" si="81"/>
        <v>#REF!</v>
      </c>
      <c r="AI270" s="98" t="e">
        <f t="shared" si="82"/>
        <v>#REF!</v>
      </c>
      <c r="AJ270" s="97" t="e">
        <f t="shared" si="83"/>
        <v>#REF!</v>
      </c>
      <c r="AK270" s="97" t="e">
        <f t="shared" si="83"/>
        <v>#REF!</v>
      </c>
    </row>
    <row r="271" spans="1:898 1130:1961 2134:3033 3315:3315" ht="15" customHeight="1">
      <c r="A271" s="108"/>
      <c r="B271" s="109"/>
      <c r="C271" s="103"/>
      <c r="D271" s="102"/>
      <c r="E271" s="101"/>
      <c r="F271" s="101"/>
      <c r="G271" s="100" t="str">
        <f t="shared" si="70"/>
        <v/>
      </c>
      <c r="H271" s="99" t="str">
        <f t="shared" si="71"/>
        <v/>
      </c>
      <c r="I271" s="106"/>
      <c r="J271" s="2"/>
      <c r="K271" s="2"/>
      <c r="L271" s="2"/>
      <c r="M271" s="2"/>
      <c r="N271" s="2"/>
      <c r="O271" s="2"/>
      <c r="P271" s="2"/>
      <c r="Q271" s="2"/>
      <c r="S271" s="98">
        <f t="shared" si="72"/>
        <v>0</v>
      </c>
      <c r="T271" s="98">
        <f t="shared" si="73"/>
        <v>0</v>
      </c>
      <c r="U271" s="97">
        <f t="shared" si="74"/>
        <v>0</v>
      </c>
      <c r="V271" s="97">
        <f t="shared" si="74"/>
        <v>0</v>
      </c>
      <c r="X271" s="98" t="e">
        <f t="shared" si="75"/>
        <v>#REF!</v>
      </c>
      <c r="Y271" s="98" t="e">
        <f t="shared" si="76"/>
        <v>#REF!</v>
      </c>
      <c r="Z271" s="97" t="e">
        <f t="shared" si="77"/>
        <v>#REF!</v>
      </c>
      <c r="AA271" s="97" t="e">
        <f t="shared" si="77"/>
        <v>#REF!</v>
      </c>
      <c r="AC271" s="98" t="e">
        <f t="shared" si="78"/>
        <v>#REF!</v>
      </c>
      <c r="AD271" s="98" t="e">
        <f t="shared" si="79"/>
        <v>#REF!</v>
      </c>
      <c r="AE271" s="97" t="e">
        <f t="shared" si="80"/>
        <v>#REF!</v>
      </c>
      <c r="AF271" s="97" t="e">
        <f t="shared" si="80"/>
        <v>#REF!</v>
      </c>
      <c r="AH271" s="98" t="e">
        <f t="shared" si="81"/>
        <v>#REF!</v>
      </c>
      <c r="AI271" s="98" t="e">
        <f t="shared" si="82"/>
        <v>#REF!</v>
      </c>
      <c r="AJ271" s="97" t="e">
        <f t="shared" si="83"/>
        <v>#REF!</v>
      </c>
      <c r="AK271" s="97" t="e">
        <f t="shared" si="83"/>
        <v>#REF!</v>
      </c>
    </row>
    <row r="272" spans="1:898 1130:1961 2134:3033 3315:3315" ht="15" customHeight="1">
      <c r="A272" s="108"/>
      <c r="B272" s="107"/>
      <c r="C272" s="103"/>
      <c r="D272" s="102"/>
      <c r="E272" s="101"/>
      <c r="F272" s="101"/>
      <c r="G272" s="100" t="str">
        <f t="shared" si="70"/>
        <v/>
      </c>
      <c r="H272" s="99" t="str">
        <f t="shared" si="71"/>
        <v/>
      </c>
      <c r="I272" s="71"/>
      <c r="J272" s="2"/>
      <c r="K272" s="2"/>
      <c r="L272" s="2"/>
      <c r="M272" s="2"/>
      <c r="N272" s="2"/>
      <c r="O272" s="2"/>
      <c r="P272" s="2"/>
      <c r="Q272" s="2"/>
      <c r="S272" s="98">
        <f t="shared" si="72"/>
        <v>0</v>
      </c>
      <c r="T272" s="98">
        <f t="shared" si="73"/>
        <v>0</v>
      </c>
      <c r="U272" s="97">
        <f t="shared" si="74"/>
        <v>0</v>
      </c>
      <c r="V272" s="97">
        <f t="shared" si="74"/>
        <v>0</v>
      </c>
      <c r="X272" s="98" t="e">
        <f t="shared" si="75"/>
        <v>#REF!</v>
      </c>
      <c r="Y272" s="98" t="e">
        <f t="shared" si="76"/>
        <v>#REF!</v>
      </c>
      <c r="Z272" s="97" t="e">
        <f t="shared" si="77"/>
        <v>#REF!</v>
      </c>
      <c r="AA272" s="97" t="e">
        <f t="shared" si="77"/>
        <v>#REF!</v>
      </c>
      <c r="AC272" s="98" t="e">
        <f t="shared" si="78"/>
        <v>#REF!</v>
      </c>
      <c r="AD272" s="98" t="e">
        <f t="shared" si="79"/>
        <v>#REF!</v>
      </c>
      <c r="AE272" s="97" t="e">
        <f t="shared" si="80"/>
        <v>#REF!</v>
      </c>
      <c r="AF272" s="97" t="e">
        <f t="shared" si="80"/>
        <v>#REF!</v>
      </c>
      <c r="AH272" s="98" t="e">
        <f t="shared" si="81"/>
        <v>#REF!</v>
      </c>
      <c r="AI272" s="98" t="e">
        <f t="shared" si="82"/>
        <v>#REF!</v>
      </c>
      <c r="AJ272" s="97" t="e">
        <f t="shared" si="83"/>
        <v>#REF!</v>
      </c>
      <c r="AK272" s="97" t="e">
        <f t="shared" si="83"/>
        <v>#REF!</v>
      </c>
    </row>
    <row r="273" spans="1:37" ht="15" customHeight="1">
      <c r="A273" s="108"/>
      <c r="B273" s="107"/>
      <c r="C273" s="103"/>
      <c r="D273" s="102"/>
      <c r="E273" s="101"/>
      <c r="F273" s="101"/>
      <c r="G273" s="100" t="str">
        <f t="shared" si="70"/>
        <v/>
      </c>
      <c r="H273" s="99" t="str">
        <f t="shared" si="71"/>
        <v/>
      </c>
      <c r="I273" s="71"/>
      <c r="J273" s="2"/>
      <c r="K273" s="2"/>
      <c r="L273" s="2"/>
      <c r="M273" s="2"/>
      <c r="N273" s="2"/>
      <c r="O273" s="2"/>
      <c r="P273" s="2"/>
      <c r="Q273" s="2"/>
      <c r="S273" s="98">
        <f t="shared" si="72"/>
        <v>0</v>
      </c>
      <c r="T273" s="98">
        <f t="shared" si="73"/>
        <v>0</v>
      </c>
      <c r="U273" s="97">
        <f t="shared" si="74"/>
        <v>0</v>
      </c>
      <c r="V273" s="97">
        <f t="shared" si="74"/>
        <v>0</v>
      </c>
      <c r="X273" s="98" t="e">
        <f t="shared" si="75"/>
        <v>#REF!</v>
      </c>
      <c r="Y273" s="98" t="e">
        <f t="shared" si="76"/>
        <v>#REF!</v>
      </c>
      <c r="Z273" s="97" t="e">
        <f t="shared" si="77"/>
        <v>#REF!</v>
      </c>
      <c r="AA273" s="97" t="e">
        <f t="shared" si="77"/>
        <v>#REF!</v>
      </c>
      <c r="AC273" s="98" t="e">
        <f t="shared" si="78"/>
        <v>#REF!</v>
      </c>
      <c r="AD273" s="98" t="e">
        <f t="shared" si="79"/>
        <v>#REF!</v>
      </c>
      <c r="AE273" s="97" t="e">
        <f t="shared" si="80"/>
        <v>#REF!</v>
      </c>
      <c r="AF273" s="97" t="e">
        <f t="shared" si="80"/>
        <v>#REF!</v>
      </c>
      <c r="AH273" s="98" t="e">
        <f t="shared" si="81"/>
        <v>#REF!</v>
      </c>
      <c r="AI273" s="98" t="e">
        <f t="shared" si="82"/>
        <v>#REF!</v>
      </c>
      <c r="AJ273" s="97" t="e">
        <f t="shared" si="83"/>
        <v>#REF!</v>
      </c>
      <c r="AK273" s="97" t="e">
        <f t="shared" si="83"/>
        <v>#REF!</v>
      </c>
    </row>
    <row r="274" spans="1:37" ht="15" customHeight="1">
      <c r="A274" s="108"/>
      <c r="B274" s="109"/>
      <c r="C274" s="103"/>
      <c r="D274" s="102"/>
      <c r="E274" s="101"/>
      <c r="F274" s="101"/>
      <c r="G274" s="100" t="str">
        <f t="shared" si="70"/>
        <v/>
      </c>
      <c r="H274" s="99" t="str">
        <f t="shared" si="71"/>
        <v/>
      </c>
      <c r="I274" s="106"/>
      <c r="J274" s="2"/>
      <c r="K274" s="2"/>
      <c r="L274" s="2"/>
      <c r="M274" s="2"/>
      <c r="N274" s="2"/>
      <c r="O274" s="2"/>
      <c r="P274" s="2"/>
      <c r="Q274" s="2"/>
      <c r="S274" s="98">
        <f t="shared" si="72"/>
        <v>0</v>
      </c>
      <c r="T274" s="98">
        <f t="shared" si="73"/>
        <v>0</v>
      </c>
      <c r="U274" s="97">
        <f t="shared" si="74"/>
        <v>0</v>
      </c>
      <c r="V274" s="97">
        <f t="shared" si="74"/>
        <v>0</v>
      </c>
      <c r="X274" s="98" t="e">
        <f t="shared" si="75"/>
        <v>#REF!</v>
      </c>
      <c r="Y274" s="98" t="e">
        <f t="shared" si="76"/>
        <v>#REF!</v>
      </c>
      <c r="Z274" s="97" t="e">
        <f t="shared" si="77"/>
        <v>#REF!</v>
      </c>
      <c r="AA274" s="97" t="e">
        <f t="shared" si="77"/>
        <v>#REF!</v>
      </c>
      <c r="AC274" s="98" t="e">
        <f t="shared" si="78"/>
        <v>#REF!</v>
      </c>
      <c r="AD274" s="98" t="e">
        <f t="shared" si="79"/>
        <v>#REF!</v>
      </c>
      <c r="AE274" s="97" t="e">
        <f t="shared" si="80"/>
        <v>#REF!</v>
      </c>
      <c r="AF274" s="97" t="e">
        <f t="shared" si="80"/>
        <v>#REF!</v>
      </c>
      <c r="AH274" s="98" t="e">
        <f t="shared" si="81"/>
        <v>#REF!</v>
      </c>
      <c r="AI274" s="98" t="e">
        <f t="shared" si="82"/>
        <v>#REF!</v>
      </c>
      <c r="AJ274" s="97" t="e">
        <f t="shared" si="83"/>
        <v>#REF!</v>
      </c>
      <c r="AK274" s="97" t="e">
        <f t="shared" si="83"/>
        <v>#REF!</v>
      </c>
    </row>
    <row r="275" spans="1:37" ht="15" customHeight="1">
      <c r="A275" s="108"/>
      <c r="B275" s="107"/>
      <c r="C275" s="103"/>
      <c r="D275" s="102"/>
      <c r="E275" s="101"/>
      <c r="F275" s="101"/>
      <c r="G275" s="100" t="str">
        <f t="shared" si="70"/>
        <v/>
      </c>
      <c r="H275" s="99" t="str">
        <f t="shared" si="71"/>
        <v/>
      </c>
      <c r="I275" s="71"/>
      <c r="J275" s="2"/>
      <c r="K275" s="2"/>
      <c r="L275" s="2"/>
      <c r="M275" s="2"/>
      <c r="N275" s="2"/>
      <c r="O275" s="2"/>
      <c r="P275" s="2"/>
      <c r="Q275" s="2"/>
      <c r="S275" s="98">
        <f t="shared" si="72"/>
        <v>0</v>
      </c>
      <c r="T275" s="98">
        <f t="shared" si="73"/>
        <v>0</v>
      </c>
      <c r="U275" s="97">
        <f t="shared" si="74"/>
        <v>0</v>
      </c>
      <c r="V275" s="97">
        <f t="shared" si="74"/>
        <v>0</v>
      </c>
      <c r="X275" s="98" t="e">
        <f t="shared" si="75"/>
        <v>#REF!</v>
      </c>
      <c r="Y275" s="98" t="e">
        <f t="shared" si="76"/>
        <v>#REF!</v>
      </c>
      <c r="Z275" s="97" t="e">
        <f t="shared" si="77"/>
        <v>#REF!</v>
      </c>
      <c r="AA275" s="97" t="e">
        <f t="shared" si="77"/>
        <v>#REF!</v>
      </c>
      <c r="AC275" s="98" t="e">
        <f t="shared" si="78"/>
        <v>#REF!</v>
      </c>
      <c r="AD275" s="98" t="e">
        <f t="shared" si="79"/>
        <v>#REF!</v>
      </c>
      <c r="AE275" s="97" t="e">
        <f t="shared" si="80"/>
        <v>#REF!</v>
      </c>
      <c r="AF275" s="97" t="e">
        <f t="shared" si="80"/>
        <v>#REF!</v>
      </c>
      <c r="AH275" s="98" t="e">
        <f t="shared" si="81"/>
        <v>#REF!</v>
      </c>
      <c r="AI275" s="98" t="e">
        <f t="shared" si="82"/>
        <v>#REF!</v>
      </c>
      <c r="AJ275" s="97" t="e">
        <f t="shared" si="83"/>
        <v>#REF!</v>
      </c>
      <c r="AK275" s="97" t="e">
        <f t="shared" si="83"/>
        <v>#REF!</v>
      </c>
    </row>
    <row r="276" spans="1:37" ht="15" customHeight="1">
      <c r="A276" s="108"/>
      <c r="B276" s="109"/>
      <c r="C276" s="103"/>
      <c r="D276" s="102"/>
      <c r="E276" s="101"/>
      <c r="F276" s="101"/>
      <c r="G276" s="100" t="str">
        <f t="shared" si="70"/>
        <v/>
      </c>
      <c r="H276" s="99" t="str">
        <f t="shared" si="71"/>
        <v/>
      </c>
      <c r="I276" s="106"/>
      <c r="J276" s="2"/>
      <c r="K276" s="2"/>
      <c r="L276" s="2"/>
      <c r="M276" s="2"/>
      <c r="N276" s="2"/>
      <c r="O276" s="2"/>
      <c r="P276" s="2"/>
      <c r="Q276" s="2"/>
      <c r="S276" s="98">
        <f t="shared" si="72"/>
        <v>0</v>
      </c>
      <c r="T276" s="98">
        <f t="shared" si="73"/>
        <v>0</v>
      </c>
      <c r="U276" s="97">
        <f t="shared" si="74"/>
        <v>0</v>
      </c>
      <c r="V276" s="97">
        <f t="shared" si="74"/>
        <v>0</v>
      </c>
      <c r="X276" s="98" t="e">
        <f t="shared" si="75"/>
        <v>#REF!</v>
      </c>
      <c r="Y276" s="98" t="e">
        <f t="shared" si="76"/>
        <v>#REF!</v>
      </c>
      <c r="Z276" s="97" t="e">
        <f t="shared" si="77"/>
        <v>#REF!</v>
      </c>
      <c r="AA276" s="97" t="e">
        <f t="shared" si="77"/>
        <v>#REF!</v>
      </c>
      <c r="AC276" s="98" t="e">
        <f t="shared" si="78"/>
        <v>#REF!</v>
      </c>
      <c r="AD276" s="98" t="e">
        <f t="shared" si="79"/>
        <v>#REF!</v>
      </c>
      <c r="AE276" s="97" t="e">
        <f t="shared" si="80"/>
        <v>#REF!</v>
      </c>
      <c r="AF276" s="97" t="e">
        <f t="shared" si="80"/>
        <v>#REF!</v>
      </c>
      <c r="AH276" s="98" t="e">
        <f t="shared" si="81"/>
        <v>#REF!</v>
      </c>
      <c r="AI276" s="98" t="e">
        <f t="shared" si="82"/>
        <v>#REF!</v>
      </c>
      <c r="AJ276" s="97" t="e">
        <f t="shared" si="83"/>
        <v>#REF!</v>
      </c>
      <c r="AK276" s="97" t="e">
        <f t="shared" si="83"/>
        <v>#REF!</v>
      </c>
    </row>
    <row r="277" spans="1:37" ht="15" customHeight="1">
      <c r="A277" s="108"/>
      <c r="B277" s="107"/>
      <c r="C277" s="103"/>
      <c r="D277" s="102"/>
      <c r="E277" s="101"/>
      <c r="F277" s="101"/>
      <c r="G277" s="100" t="str">
        <f t="shared" si="70"/>
        <v/>
      </c>
      <c r="H277" s="99" t="str">
        <f t="shared" si="71"/>
        <v/>
      </c>
      <c r="I277" s="71"/>
      <c r="J277" s="2"/>
      <c r="K277" s="2"/>
      <c r="L277" s="2"/>
      <c r="M277" s="2"/>
      <c r="N277" s="2"/>
      <c r="O277" s="2"/>
      <c r="P277" s="2"/>
      <c r="Q277" s="2"/>
      <c r="S277" s="98">
        <f t="shared" si="72"/>
        <v>0</v>
      </c>
      <c r="T277" s="98">
        <f t="shared" si="73"/>
        <v>0</v>
      </c>
      <c r="U277" s="97">
        <f t="shared" si="74"/>
        <v>0</v>
      </c>
      <c r="V277" s="97">
        <f t="shared" si="74"/>
        <v>0</v>
      </c>
      <c r="X277" s="98" t="e">
        <f t="shared" si="75"/>
        <v>#REF!</v>
      </c>
      <c r="Y277" s="98" t="e">
        <f t="shared" si="76"/>
        <v>#REF!</v>
      </c>
      <c r="Z277" s="97" t="e">
        <f t="shared" si="77"/>
        <v>#REF!</v>
      </c>
      <c r="AA277" s="97" t="e">
        <f t="shared" si="77"/>
        <v>#REF!</v>
      </c>
      <c r="AC277" s="98" t="e">
        <f t="shared" si="78"/>
        <v>#REF!</v>
      </c>
      <c r="AD277" s="98" t="e">
        <f t="shared" si="79"/>
        <v>#REF!</v>
      </c>
      <c r="AE277" s="97" t="e">
        <f t="shared" si="80"/>
        <v>#REF!</v>
      </c>
      <c r="AF277" s="97" t="e">
        <f t="shared" si="80"/>
        <v>#REF!</v>
      </c>
      <c r="AH277" s="98" t="e">
        <f t="shared" si="81"/>
        <v>#REF!</v>
      </c>
      <c r="AI277" s="98" t="e">
        <f t="shared" si="82"/>
        <v>#REF!</v>
      </c>
      <c r="AJ277" s="97" t="e">
        <f t="shared" si="83"/>
        <v>#REF!</v>
      </c>
      <c r="AK277" s="97" t="e">
        <f t="shared" si="83"/>
        <v>#REF!</v>
      </c>
    </row>
    <row r="278" spans="1:37" ht="15" customHeight="1">
      <c r="A278" s="108"/>
      <c r="B278" s="109"/>
      <c r="C278" s="103"/>
      <c r="D278" s="102"/>
      <c r="E278" s="101"/>
      <c r="F278" s="101"/>
      <c r="G278" s="100" t="str">
        <f t="shared" si="70"/>
        <v/>
      </c>
      <c r="H278" s="99" t="str">
        <f t="shared" si="71"/>
        <v/>
      </c>
      <c r="I278" s="106"/>
      <c r="J278" s="2"/>
      <c r="K278" s="2"/>
      <c r="L278" s="2"/>
      <c r="M278" s="2"/>
      <c r="N278" s="2"/>
      <c r="O278" s="2"/>
      <c r="P278" s="2"/>
      <c r="Q278" s="2"/>
      <c r="S278" s="98">
        <f t="shared" si="72"/>
        <v>0</v>
      </c>
      <c r="T278" s="98">
        <f t="shared" si="73"/>
        <v>0</v>
      </c>
      <c r="U278" s="97">
        <f t="shared" si="74"/>
        <v>0</v>
      </c>
      <c r="V278" s="97">
        <f t="shared" si="74"/>
        <v>0</v>
      </c>
      <c r="X278" s="98" t="e">
        <f t="shared" si="75"/>
        <v>#REF!</v>
      </c>
      <c r="Y278" s="98" t="e">
        <f t="shared" si="76"/>
        <v>#REF!</v>
      </c>
      <c r="Z278" s="97" t="e">
        <f t="shared" si="77"/>
        <v>#REF!</v>
      </c>
      <c r="AA278" s="97" t="e">
        <f t="shared" si="77"/>
        <v>#REF!</v>
      </c>
      <c r="AC278" s="98" t="e">
        <f t="shared" si="78"/>
        <v>#REF!</v>
      </c>
      <c r="AD278" s="98" t="e">
        <f t="shared" si="79"/>
        <v>#REF!</v>
      </c>
      <c r="AE278" s="97" t="e">
        <f t="shared" si="80"/>
        <v>#REF!</v>
      </c>
      <c r="AF278" s="97" t="e">
        <f t="shared" si="80"/>
        <v>#REF!</v>
      </c>
      <c r="AH278" s="98" t="e">
        <f t="shared" si="81"/>
        <v>#REF!</v>
      </c>
      <c r="AI278" s="98" t="e">
        <f t="shared" si="82"/>
        <v>#REF!</v>
      </c>
      <c r="AJ278" s="97" t="e">
        <f t="shared" si="83"/>
        <v>#REF!</v>
      </c>
      <c r="AK278" s="97" t="e">
        <f t="shared" si="83"/>
        <v>#REF!</v>
      </c>
    </row>
    <row r="279" spans="1:37" ht="15" customHeight="1">
      <c r="A279" s="108"/>
      <c r="B279" s="107"/>
      <c r="C279" s="103"/>
      <c r="D279" s="102"/>
      <c r="E279" s="101"/>
      <c r="F279" s="101"/>
      <c r="G279" s="100" t="str">
        <f t="shared" si="70"/>
        <v/>
      </c>
      <c r="H279" s="99" t="str">
        <f t="shared" si="71"/>
        <v/>
      </c>
      <c r="I279" s="106"/>
      <c r="J279" s="2"/>
      <c r="K279" s="2"/>
      <c r="L279" s="2"/>
      <c r="M279" s="2"/>
      <c r="N279" s="2"/>
      <c r="O279" s="2"/>
      <c r="P279" s="2"/>
      <c r="Q279" s="2"/>
      <c r="S279" s="98">
        <f t="shared" si="72"/>
        <v>0</v>
      </c>
      <c r="T279" s="98">
        <f t="shared" si="73"/>
        <v>0</v>
      </c>
      <c r="U279" s="97">
        <f t="shared" si="74"/>
        <v>0</v>
      </c>
      <c r="V279" s="97">
        <f t="shared" si="74"/>
        <v>0</v>
      </c>
      <c r="X279" s="98" t="e">
        <f t="shared" si="75"/>
        <v>#REF!</v>
      </c>
      <c r="Y279" s="98" t="e">
        <f t="shared" si="76"/>
        <v>#REF!</v>
      </c>
      <c r="Z279" s="97" t="e">
        <f t="shared" si="77"/>
        <v>#REF!</v>
      </c>
      <c r="AA279" s="97" t="e">
        <f t="shared" si="77"/>
        <v>#REF!</v>
      </c>
      <c r="AC279" s="98" t="e">
        <f t="shared" si="78"/>
        <v>#REF!</v>
      </c>
      <c r="AD279" s="98" t="e">
        <f t="shared" si="79"/>
        <v>#REF!</v>
      </c>
      <c r="AE279" s="97" t="e">
        <f t="shared" si="80"/>
        <v>#REF!</v>
      </c>
      <c r="AF279" s="97" t="e">
        <f t="shared" si="80"/>
        <v>#REF!</v>
      </c>
      <c r="AH279" s="98" t="e">
        <f t="shared" si="81"/>
        <v>#REF!</v>
      </c>
      <c r="AI279" s="98" t="e">
        <f t="shared" si="82"/>
        <v>#REF!</v>
      </c>
      <c r="AJ279" s="97" t="e">
        <f t="shared" si="83"/>
        <v>#REF!</v>
      </c>
      <c r="AK279" s="97" t="e">
        <f t="shared" si="83"/>
        <v>#REF!</v>
      </c>
    </row>
    <row r="280" spans="1:37" ht="15" customHeight="1">
      <c r="A280" s="108"/>
      <c r="B280" s="110"/>
      <c r="C280" s="103"/>
      <c r="D280" s="102"/>
      <c r="E280" s="101"/>
      <c r="F280" s="101"/>
      <c r="G280" s="100" t="str">
        <f t="shared" si="70"/>
        <v/>
      </c>
      <c r="H280" s="99" t="str">
        <f t="shared" si="71"/>
        <v/>
      </c>
      <c r="I280" s="106"/>
      <c r="J280" s="2"/>
      <c r="K280" s="2"/>
      <c r="L280" s="2"/>
      <c r="M280" s="2"/>
      <c r="N280" s="2"/>
      <c r="O280" s="2"/>
      <c r="P280" s="2"/>
      <c r="Q280" s="2"/>
      <c r="S280" s="98">
        <f t="shared" si="72"/>
        <v>0</v>
      </c>
      <c r="T280" s="98">
        <f t="shared" si="73"/>
        <v>0</v>
      </c>
      <c r="U280" s="97">
        <f t="shared" si="74"/>
        <v>0</v>
      </c>
      <c r="V280" s="97">
        <f t="shared" si="74"/>
        <v>0</v>
      </c>
      <c r="X280" s="98" t="e">
        <f t="shared" si="75"/>
        <v>#REF!</v>
      </c>
      <c r="Y280" s="98" t="e">
        <f t="shared" si="76"/>
        <v>#REF!</v>
      </c>
      <c r="Z280" s="97" t="e">
        <f t="shared" si="77"/>
        <v>#REF!</v>
      </c>
      <c r="AA280" s="97" t="e">
        <f t="shared" si="77"/>
        <v>#REF!</v>
      </c>
      <c r="AC280" s="98" t="e">
        <f t="shared" si="78"/>
        <v>#REF!</v>
      </c>
      <c r="AD280" s="98" t="e">
        <f t="shared" si="79"/>
        <v>#REF!</v>
      </c>
      <c r="AE280" s="97" t="e">
        <f t="shared" si="80"/>
        <v>#REF!</v>
      </c>
      <c r="AF280" s="97" t="e">
        <f t="shared" si="80"/>
        <v>#REF!</v>
      </c>
      <c r="AH280" s="98" t="e">
        <f t="shared" si="81"/>
        <v>#REF!</v>
      </c>
      <c r="AI280" s="98" t="e">
        <f t="shared" si="82"/>
        <v>#REF!</v>
      </c>
      <c r="AJ280" s="97" t="e">
        <f t="shared" si="83"/>
        <v>#REF!</v>
      </c>
      <c r="AK280" s="97" t="e">
        <f t="shared" si="83"/>
        <v>#REF!</v>
      </c>
    </row>
    <row r="281" spans="1:37" ht="15" customHeight="1">
      <c r="A281" s="108"/>
      <c r="B281" s="110"/>
      <c r="C281" s="103"/>
      <c r="D281" s="102"/>
      <c r="E281" s="101"/>
      <c r="F281" s="101"/>
      <c r="G281" s="100" t="str">
        <f t="shared" si="70"/>
        <v/>
      </c>
      <c r="H281" s="99" t="str">
        <f t="shared" si="71"/>
        <v/>
      </c>
      <c r="I281" s="106"/>
      <c r="J281" s="2"/>
      <c r="K281" s="2"/>
      <c r="L281" s="2"/>
      <c r="M281" s="2"/>
      <c r="N281" s="2"/>
      <c r="O281" s="2"/>
      <c r="P281" s="2"/>
      <c r="Q281" s="2"/>
      <c r="S281" s="98">
        <f t="shared" si="72"/>
        <v>0</v>
      </c>
      <c r="T281" s="98">
        <f t="shared" si="73"/>
        <v>0</v>
      </c>
      <c r="U281" s="97">
        <f t="shared" si="74"/>
        <v>0</v>
      </c>
      <c r="V281" s="97">
        <f t="shared" si="74"/>
        <v>0</v>
      </c>
      <c r="X281" s="98" t="e">
        <f t="shared" si="75"/>
        <v>#REF!</v>
      </c>
      <c r="Y281" s="98" t="e">
        <f t="shared" si="76"/>
        <v>#REF!</v>
      </c>
      <c r="Z281" s="97" t="e">
        <f t="shared" si="77"/>
        <v>#REF!</v>
      </c>
      <c r="AA281" s="97" t="e">
        <f t="shared" si="77"/>
        <v>#REF!</v>
      </c>
      <c r="AC281" s="98" t="e">
        <f t="shared" si="78"/>
        <v>#REF!</v>
      </c>
      <c r="AD281" s="98" t="e">
        <f t="shared" si="79"/>
        <v>#REF!</v>
      </c>
      <c r="AE281" s="97" t="e">
        <f t="shared" si="80"/>
        <v>#REF!</v>
      </c>
      <c r="AF281" s="97" t="e">
        <f t="shared" si="80"/>
        <v>#REF!</v>
      </c>
      <c r="AH281" s="98" t="e">
        <f t="shared" si="81"/>
        <v>#REF!</v>
      </c>
      <c r="AI281" s="98" t="e">
        <f t="shared" si="82"/>
        <v>#REF!</v>
      </c>
      <c r="AJ281" s="97" t="e">
        <f t="shared" si="83"/>
        <v>#REF!</v>
      </c>
      <c r="AK281" s="97" t="e">
        <f t="shared" si="83"/>
        <v>#REF!</v>
      </c>
    </row>
    <row r="282" spans="1:37" ht="15" customHeight="1">
      <c r="A282" s="108"/>
      <c r="B282" s="110"/>
      <c r="C282" s="103"/>
      <c r="D282" s="102"/>
      <c r="E282" s="101"/>
      <c r="F282" s="101"/>
      <c r="G282" s="100" t="str">
        <f t="shared" si="70"/>
        <v/>
      </c>
      <c r="H282" s="99" t="str">
        <f t="shared" si="71"/>
        <v/>
      </c>
      <c r="I282" s="106"/>
      <c r="J282" s="2"/>
      <c r="K282" s="2"/>
      <c r="L282" s="2"/>
      <c r="M282" s="2"/>
      <c r="N282" s="2"/>
      <c r="O282" s="2"/>
      <c r="P282" s="2"/>
      <c r="Q282" s="2"/>
      <c r="S282" s="98">
        <f t="shared" si="72"/>
        <v>0</v>
      </c>
      <c r="T282" s="98">
        <f t="shared" si="73"/>
        <v>0</v>
      </c>
      <c r="U282" s="97">
        <f t="shared" si="74"/>
        <v>0</v>
      </c>
      <c r="V282" s="97">
        <f t="shared" si="74"/>
        <v>0</v>
      </c>
      <c r="X282" s="98" t="e">
        <f t="shared" si="75"/>
        <v>#REF!</v>
      </c>
      <c r="Y282" s="98" t="e">
        <f t="shared" si="76"/>
        <v>#REF!</v>
      </c>
      <c r="Z282" s="97" t="e">
        <f t="shared" si="77"/>
        <v>#REF!</v>
      </c>
      <c r="AA282" s="97" t="e">
        <f t="shared" si="77"/>
        <v>#REF!</v>
      </c>
      <c r="AC282" s="98" t="e">
        <f t="shared" si="78"/>
        <v>#REF!</v>
      </c>
      <c r="AD282" s="98" t="e">
        <f t="shared" si="79"/>
        <v>#REF!</v>
      </c>
      <c r="AE282" s="97" t="e">
        <f t="shared" si="80"/>
        <v>#REF!</v>
      </c>
      <c r="AF282" s="97" t="e">
        <f t="shared" si="80"/>
        <v>#REF!</v>
      </c>
      <c r="AH282" s="98" t="e">
        <f t="shared" si="81"/>
        <v>#REF!</v>
      </c>
      <c r="AI282" s="98" t="e">
        <f t="shared" si="82"/>
        <v>#REF!</v>
      </c>
      <c r="AJ282" s="97" t="e">
        <f t="shared" si="83"/>
        <v>#REF!</v>
      </c>
      <c r="AK282" s="97" t="e">
        <f t="shared" si="83"/>
        <v>#REF!</v>
      </c>
    </row>
    <row r="283" spans="1:37" ht="15" customHeight="1">
      <c r="A283" s="108"/>
      <c r="B283" s="104"/>
      <c r="C283" s="103"/>
      <c r="D283" s="102"/>
      <c r="E283" s="101"/>
      <c r="F283" s="101"/>
      <c r="G283" s="100" t="str">
        <f t="shared" si="70"/>
        <v/>
      </c>
      <c r="H283" s="99" t="str">
        <f t="shared" si="71"/>
        <v/>
      </c>
      <c r="I283" s="71"/>
      <c r="J283" s="2"/>
      <c r="K283" s="2"/>
      <c r="L283" s="2"/>
      <c r="M283" s="2"/>
      <c r="N283" s="2"/>
      <c r="O283" s="2"/>
      <c r="P283" s="2"/>
      <c r="Q283" s="2"/>
      <c r="S283" s="98">
        <f t="shared" si="72"/>
        <v>0</v>
      </c>
      <c r="T283" s="98">
        <f t="shared" si="73"/>
        <v>0</v>
      </c>
      <c r="U283" s="97">
        <f t="shared" si="74"/>
        <v>0</v>
      </c>
      <c r="V283" s="97">
        <f t="shared" si="74"/>
        <v>0</v>
      </c>
      <c r="X283" s="98" t="e">
        <f t="shared" si="75"/>
        <v>#REF!</v>
      </c>
      <c r="Y283" s="98" t="e">
        <f t="shared" si="76"/>
        <v>#REF!</v>
      </c>
      <c r="Z283" s="97" t="e">
        <f t="shared" si="77"/>
        <v>#REF!</v>
      </c>
      <c r="AA283" s="97" t="e">
        <f t="shared" si="77"/>
        <v>#REF!</v>
      </c>
      <c r="AC283" s="98" t="e">
        <f t="shared" si="78"/>
        <v>#REF!</v>
      </c>
      <c r="AD283" s="98" t="e">
        <f t="shared" si="79"/>
        <v>#REF!</v>
      </c>
      <c r="AE283" s="97" t="e">
        <f t="shared" si="80"/>
        <v>#REF!</v>
      </c>
      <c r="AF283" s="97" t="e">
        <f t="shared" si="80"/>
        <v>#REF!</v>
      </c>
      <c r="AH283" s="98" t="e">
        <f t="shared" si="81"/>
        <v>#REF!</v>
      </c>
      <c r="AI283" s="98" t="e">
        <f t="shared" si="82"/>
        <v>#REF!</v>
      </c>
      <c r="AJ283" s="97" t="e">
        <f t="shared" si="83"/>
        <v>#REF!</v>
      </c>
      <c r="AK283" s="97" t="e">
        <f t="shared" si="83"/>
        <v>#REF!</v>
      </c>
    </row>
    <row r="284" spans="1:37" ht="15" customHeight="1">
      <c r="A284" s="108"/>
      <c r="B284" s="107"/>
      <c r="C284" s="103"/>
      <c r="D284" s="102"/>
      <c r="E284" s="101"/>
      <c r="F284" s="101"/>
      <c r="G284" s="100" t="str">
        <f t="shared" si="70"/>
        <v/>
      </c>
      <c r="H284" s="99" t="str">
        <f t="shared" si="71"/>
        <v/>
      </c>
      <c r="I284" s="106"/>
      <c r="J284" s="2"/>
      <c r="K284" s="2"/>
      <c r="L284" s="2"/>
      <c r="M284" s="2"/>
      <c r="N284" s="2"/>
      <c r="O284" s="2"/>
      <c r="P284" s="2"/>
      <c r="Q284" s="2"/>
      <c r="S284" s="98">
        <f t="shared" si="72"/>
        <v>0</v>
      </c>
      <c r="T284" s="98">
        <f t="shared" si="73"/>
        <v>0</v>
      </c>
      <c r="U284" s="97">
        <f t="shared" si="74"/>
        <v>0</v>
      </c>
      <c r="V284" s="97">
        <f t="shared" si="74"/>
        <v>0</v>
      </c>
      <c r="X284" s="98" t="e">
        <f t="shared" si="75"/>
        <v>#REF!</v>
      </c>
      <c r="Y284" s="98" t="e">
        <f t="shared" si="76"/>
        <v>#REF!</v>
      </c>
      <c r="Z284" s="97" t="e">
        <f t="shared" si="77"/>
        <v>#REF!</v>
      </c>
      <c r="AA284" s="97" t="e">
        <f t="shared" si="77"/>
        <v>#REF!</v>
      </c>
      <c r="AC284" s="98" t="e">
        <f t="shared" si="78"/>
        <v>#REF!</v>
      </c>
      <c r="AD284" s="98" t="e">
        <f t="shared" si="79"/>
        <v>#REF!</v>
      </c>
      <c r="AE284" s="97" t="e">
        <f t="shared" si="80"/>
        <v>#REF!</v>
      </c>
      <c r="AF284" s="97" t="e">
        <f t="shared" si="80"/>
        <v>#REF!</v>
      </c>
      <c r="AH284" s="98" t="e">
        <f t="shared" si="81"/>
        <v>#REF!</v>
      </c>
      <c r="AI284" s="98" t="e">
        <f t="shared" si="82"/>
        <v>#REF!</v>
      </c>
      <c r="AJ284" s="97" t="e">
        <f t="shared" si="83"/>
        <v>#REF!</v>
      </c>
      <c r="AK284" s="97" t="e">
        <f t="shared" si="83"/>
        <v>#REF!</v>
      </c>
    </row>
    <row r="285" spans="1:37" ht="15" customHeight="1">
      <c r="A285" s="105"/>
      <c r="B285" s="104"/>
      <c r="C285" s="103"/>
      <c r="D285" s="102"/>
      <c r="E285" s="101"/>
      <c r="F285" s="101"/>
      <c r="G285" s="100" t="str">
        <f t="shared" si="70"/>
        <v/>
      </c>
      <c r="H285" s="99" t="str">
        <f t="shared" si="71"/>
        <v/>
      </c>
      <c r="I285" s="106"/>
      <c r="J285" s="2"/>
      <c r="K285" s="2"/>
      <c r="L285" s="2"/>
      <c r="M285" s="2"/>
      <c r="N285" s="2"/>
      <c r="O285" s="2"/>
      <c r="P285" s="2"/>
      <c r="Q285" s="2"/>
      <c r="S285" s="98">
        <f t="shared" si="72"/>
        <v>0</v>
      </c>
      <c r="T285" s="98">
        <f t="shared" si="73"/>
        <v>0</v>
      </c>
      <c r="U285" s="97">
        <f t="shared" si="74"/>
        <v>0</v>
      </c>
      <c r="V285" s="97">
        <f t="shared" si="74"/>
        <v>0</v>
      </c>
      <c r="X285" s="98" t="e">
        <f t="shared" si="75"/>
        <v>#REF!</v>
      </c>
      <c r="Y285" s="98" t="e">
        <f t="shared" si="76"/>
        <v>#REF!</v>
      </c>
      <c r="Z285" s="97" t="e">
        <f t="shared" si="77"/>
        <v>#REF!</v>
      </c>
      <c r="AA285" s="97" t="e">
        <f t="shared" si="77"/>
        <v>#REF!</v>
      </c>
      <c r="AC285" s="98" t="e">
        <f t="shared" si="78"/>
        <v>#REF!</v>
      </c>
      <c r="AD285" s="98" t="e">
        <f t="shared" si="79"/>
        <v>#REF!</v>
      </c>
      <c r="AE285" s="97" t="e">
        <f t="shared" si="80"/>
        <v>#REF!</v>
      </c>
      <c r="AF285" s="97" t="e">
        <f t="shared" si="80"/>
        <v>#REF!</v>
      </c>
      <c r="AH285" s="98" t="e">
        <f t="shared" si="81"/>
        <v>#REF!</v>
      </c>
      <c r="AI285" s="98" t="e">
        <f t="shared" si="82"/>
        <v>#REF!</v>
      </c>
      <c r="AJ285" s="97" t="e">
        <f t="shared" si="83"/>
        <v>#REF!</v>
      </c>
      <c r="AK285" s="97" t="e">
        <f t="shared" si="83"/>
        <v>#REF!</v>
      </c>
    </row>
    <row r="286" spans="1:37" ht="15" customHeight="1">
      <c r="A286" s="105"/>
      <c r="B286" s="104"/>
      <c r="C286" s="103"/>
      <c r="D286" s="102"/>
      <c r="E286" s="101"/>
      <c r="F286" s="101"/>
      <c r="G286" s="100" t="str">
        <f t="shared" si="70"/>
        <v/>
      </c>
      <c r="H286" s="99" t="str">
        <f t="shared" si="71"/>
        <v/>
      </c>
      <c r="I286" s="106"/>
      <c r="J286" s="2"/>
      <c r="K286" s="2"/>
      <c r="L286" s="2"/>
      <c r="M286" s="2"/>
      <c r="N286" s="2"/>
      <c r="O286" s="2"/>
      <c r="P286" s="2"/>
      <c r="Q286" s="2"/>
      <c r="S286" s="98">
        <f t="shared" si="72"/>
        <v>0</v>
      </c>
      <c r="T286" s="98">
        <f t="shared" si="73"/>
        <v>0</v>
      </c>
      <c r="U286" s="97">
        <f t="shared" si="74"/>
        <v>0</v>
      </c>
      <c r="V286" s="97">
        <f t="shared" si="74"/>
        <v>0</v>
      </c>
      <c r="X286" s="98" t="e">
        <f t="shared" si="75"/>
        <v>#REF!</v>
      </c>
      <c r="Y286" s="98" t="e">
        <f t="shared" si="76"/>
        <v>#REF!</v>
      </c>
      <c r="Z286" s="97" t="e">
        <f t="shared" si="77"/>
        <v>#REF!</v>
      </c>
      <c r="AA286" s="97" t="e">
        <f t="shared" si="77"/>
        <v>#REF!</v>
      </c>
      <c r="AC286" s="98" t="e">
        <f t="shared" si="78"/>
        <v>#REF!</v>
      </c>
      <c r="AD286" s="98" t="e">
        <f t="shared" si="79"/>
        <v>#REF!</v>
      </c>
      <c r="AE286" s="97" t="e">
        <f t="shared" si="80"/>
        <v>#REF!</v>
      </c>
      <c r="AF286" s="97" t="e">
        <f t="shared" si="80"/>
        <v>#REF!</v>
      </c>
      <c r="AH286" s="98" t="e">
        <f t="shared" si="81"/>
        <v>#REF!</v>
      </c>
      <c r="AI286" s="98" t="e">
        <f t="shared" si="82"/>
        <v>#REF!</v>
      </c>
      <c r="AJ286" s="97" t="e">
        <f t="shared" si="83"/>
        <v>#REF!</v>
      </c>
      <c r="AK286" s="97" t="e">
        <f t="shared" si="83"/>
        <v>#REF!</v>
      </c>
    </row>
    <row r="287" spans="1:37" ht="15" customHeight="1">
      <c r="A287" s="108"/>
      <c r="B287" s="107"/>
      <c r="C287" s="103"/>
      <c r="D287" s="102"/>
      <c r="E287" s="101"/>
      <c r="F287" s="101"/>
      <c r="G287" s="100" t="str">
        <f t="shared" si="70"/>
        <v/>
      </c>
      <c r="H287" s="99" t="str">
        <f t="shared" si="71"/>
        <v/>
      </c>
      <c r="I287" s="106"/>
      <c r="J287" s="2"/>
      <c r="K287" s="2"/>
      <c r="L287" s="2"/>
      <c r="M287" s="2"/>
      <c r="N287" s="2"/>
      <c r="O287" s="2"/>
      <c r="P287" s="2"/>
      <c r="Q287" s="2"/>
      <c r="S287" s="98">
        <f t="shared" si="72"/>
        <v>0</v>
      </c>
      <c r="T287" s="98">
        <f t="shared" si="73"/>
        <v>0</v>
      </c>
      <c r="U287" s="97">
        <f t="shared" si="74"/>
        <v>0</v>
      </c>
      <c r="V287" s="97">
        <f t="shared" si="74"/>
        <v>0</v>
      </c>
      <c r="X287" s="98" t="e">
        <f t="shared" si="75"/>
        <v>#REF!</v>
      </c>
      <c r="Y287" s="98" t="e">
        <f t="shared" si="76"/>
        <v>#REF!</v>
      </c>
      <c r="Z287" s="97" t="e">
        <f t="shared" si="77"/>
        <v>#REF!</v>
      </c>
      <c r="AA287" s="97" t="e">
        <f t="shared" si="77"/>
        <v>#REF!</v>
      </c>
      <c r="AC287" s="98" t="e">
        <f t="shared" si="78"/>
        <v>#REF!</v>
      </c>
      <c r="AD287" s="98" t="e">
        <f t="shared" si="79"/>
        <v>#REF!</v>
      </c>
      <c r="AE287" s="97" t="e">
        <f t="shared" si="80"/>
        <v>#REF!</v>
      </c>
      <c r="AF287" s="97" t="e">
        <f t="shared" si="80"/>
        <v>#REF!</v>
      </c>
      <c r="AH287" s="98" t="e">
        <f t="shared" si="81"/>
        <v>#REF!</v>
      </c>
      <c r="AI287" s="98" t="e">
        <f t="shared" si="82"/>
        <v>#REF!</v>
      </c>
      <c r="AJ287" s="97" t="e">
        <f t="shared" si="83"/>
        <v>#REF!</v>
      </c>
      <c r="AK287" s="97" t="e">
        <f t="shared" si="83"/>
        <v>#REF!</v>
      </c>
    </row>
    <row r="288" spans="1:37" ht="15" customHeight="1">
      <c r="A288" s="108"/>
      <c r="B288" s="107"/>
      <c r="C288" s="103"/>
      <c r="D288" s="102"/>
      <c r="E288" s="101"/>
      <c r="F288" s="101"/>
      <c r="G288" s="100" t="str">
        <f t="shared" si="70"/>
        <v/>
      </c>
      <c r="H288" s="99" t="str">
        <f t="shared" si="71"/>
        <v/>
      </c>
      <c r="I288" s="106"/>
      <c r="J288" s="2"/>
      <c r="K288" s="2"/>
      <c r="L288" s="2"/>
      <c r="M288" s="2"/>
      <c r="N288" s="2"/>
      <c r="O288" s="2"/>
      <c r="P288" s="2"/>
      <c r="Q288" s="2"/>
      <c r="S288" s="98">
        <f t="shared" si="72"/>
        <v>0</v>
      </c>
      <c r="T288" s="98">
        <f t="shared" si="73"/>
        <v>0</v>
      </c>
      <c r="U288" s="97">
        <f t="shared" si="74"/>
        <v>0</v>
      </c>
      <c r="V288" s="97">
        <f t="shared" si="74"/>
        <v>0</v>
      </c>
      <c r="X288" s="98" t="e">
        <f t="shared" si="75"/>
        <v>#REF!</v>
      </c>
      <c r="Y288" s="98" t="e">
        <f t="shared" si="76"/>
        <v>#REF!</v>
      </c>
      <c r="Z288" s="97" t="e">
        <f t="shared" si="77"/>
        <v>#REF!</v>
      </c>
      <c r="AA288" s="97" t="e">
        <f t="shared" si="77"/>
        <v>#REF!</v>
      </c>
      <c r="AC288" s="98" t="e">
        <f t="shared" si="78"/>
        <v>#REF!</v>
      </c>
      <c r="AD288" s="98" t="e">
        <f t="shared" si="79"/>
        <v>#REF!</v>
      </c>
      <c r="AE288" s="97" t="e">
        <f t="shared" si="80"/>
        <v>#REF!</v>
      </c>
      <c r="AF288" s="97" t="e">
        <f t="shared" si="80"/>
        <v>#REF!</v>
      </c>
      <c r="AH288" s="98" t="e">
        <f t="shared" si="81"/>
        <v>#REF!</v>
      </c>
      <c r="AI288" s="98" t="e">
        <f t="shared" si="82"/>
        <v>#REF!</v>
      </c>
      <c r="AJ288" s="97" t="e">
        <f t="shared" si="83"/>
        <v>#REF!</v>
      </c>
      <c r="AK288" s="97" t="e">
        <f t="shared" si="83"/>
        <v>#REF!</v>
      </c>
    </row>
    <row r="289" spans="1:37" ht="15" customHeight="1">
      <c r="A289" s="108"/>
      <c r="B289" s="107"/>
      <c r="C289" s="103"/>
      <c r="D289" s="102"/>
      <c r="E289" s="101"/>
      <c r="F289" s="101"/>
      <c r="G289" s="100" t="str">
        <f t="shared" si="70"/>
        <v/>
      </c>
      <c r="H289" s="99" t="str">
        <f t="shared" si="71"/>
        <v/>
      </c>
      <c r="I289" s="106"/>
      <c r="J289" s="2"/>
      <c r="K289" s="2"/>
      <c r="L289" s="2"/>
      <c r="M289" s="2"/>
      <c r="N289" s="2"/>
      <c r="O289" s="2"/>
      <c r="P289" s="2"/>
      <c r="Q289" s="2"/>
      <c r="S289" s="98">
        <f t="shared" si="72"/>
        <v>0</v>
      </c>
      <c r="T289" s="98">
        <f t="shared" si="73"/>
        <v>0</v>
      </c>
      <c r="U289" s="97">
        <f t="shared" si="74"/>
        <v>0</v>
      </c>
      <c r="V289" s="97">
        <f t="shared" si="74"/>
        <v>0</v>
      </c>
      <c r="X289" s="98" t="e">
        <f t="shared" si="75"/>
        <v>#REF!</v>
      </c>
      <c r="Y289" s="98" t="e">
        <f t="shared" si="76"/>
        <v>#REF!</v>
      </c>
      <c r="Z289" s="97" t="e">
        <f t="shared" si="77"/>
        <v>#REF!</v>
      </c>
      <c r="AA289" s="97" t="e">
        <f t="shared" si="77"/>
        <v>#REF!</v>
      </c>
      <c r="AC289" s="98" t="e">
        <f t="shared" si="78"/>
        <v>#REF!</v>
      </c>
      <c r="AD289" s="98" t="e">
        <f t="shared" si="79"/>
        <v>#REF!</v>
      </c>
      <c r="AE289" s="97" t="e">
        <f t="shared" si="80"/>
        <v>#REF!</v>
      </c>
      <c r="AF289" s="97" t="e">
        <f t="shared" si="80"/>
        <v>#REF!</v>
      </c>
      <c r="AH289" s="98" t="e">
        <f t="shared" si="81"/>
        <v>#REF!</v>
      </c>
      <c r="AI289" s="98" t="e">
        <f t="shared" si="82"/>
        <v>#REF!</v>
      </c>
      <c r="AJ289" s="97" t="e">
        <f t="shared" si="83"/>
        <v>#REF!</v>
      </c>
      <c r="AK289" s="97" t="e">
        <f t="shared" si="83"/>
        <v>#REF!</v>
      </c>
    </row>
    <row r="290" spans="1:37" ht="15" customHeight="1">
      <c r="A290" s="108"/>
      <c r="B290" s="107"/>
      <c r="C290" s="103"/>
      <c r="D290" s="102"/>
      <c r="E290" s="101"/>
      <c r="F290" s="101"/>
      <c r="G290" s="100" t="str">
        <f t="shared" si="70"/>
        <v/>
      </c>
      <c r="H290" s="99" t="str">
        <f t="shared" si="71"/>
        <v/>
      </c>
      <c r="I290" s="106"/>
      <c r="J290" s="2"/>
      <c r="K290" s="2"/>
      <c r="L290" s="2"/>
      <c r="M290" s="2"/>
      <c r="N290" s="2"/>
      <c r="O290" s="2"/>
      <c r="P290" s="2"/>
      <c r="Q290" s="2"/>
      <c r="S290" s="98">
        <f t="shared" si="72"/>
        <v>0</v>
      </c>
      <c r="T290" s="98">
        <f t="shared" si="73"/>
        <v>0</v>
      </c>
      <c r="U290" s="97">
        <f t="shared" si="74"/>
        <v>0</v>
      </c>
      <c r="V290" s="97">
        <f t="shared" si="74"/>
        <v>0</v>
      </c>
      <c r="X290" s="98" t="e">
        <f t="shared" si="75"/>
        <v>#REF!</v>
      </c>
      <c r="Y290" s="98" t="e">
        <f t="shared" si="76"/>
        <v>#REF!</v>
      </c>
      <c r="Z290" s="97" t="e">
        <f t="shared" si="77"/>
        <v>#REF!</v>
      </c>
      <c r="AA290" s="97" t="e">
        <f t="shared" si="77"/>
        <v>#REF!</v>
      </c>
      <c r="AC290" s="98" t="e">
        <f t="shared" si="78"/>
        <v>#REF!</v>
      </c>
      <c r="AD290" s="98" t="e">
        <f t="shared" si="79"/>
        <v>#REF!</v>
      </c>
      <c r="AE290" s="97" t="e">
        <f t="shared" si="80"/>
        <v>#REF!</v>
      </c>
      <c r="AF290" s="97" t="e">
        <f t="shared" si="80"/>
        <v>#REF!</v>
      </c>
      <c r="AH290" s="98" t="e">
        <f t="shared" si="81"/>
        <v>#REF!</v>
      </c>
      <c r="AI290" s="98" t="e">
        <f t="shared" si="82"/>
        <v>#REF!</v>
      </c>
      <c r="AJ290" s="97" t="e">
        <f t="shared" si="83"/>
        <v>#REF!</v>
      </c>
      <c r="AK290" s="97" t="e">
        <f t="shared" si="83"/>
        <v>#REF!</v>
      </c>
    </row>
    <row r="291" spans="1:37" ht="15" customHeight="1">
      <c r="A291" s="108"/>
      <c r="B291" s="107"/>
      <c r="C291" s="103"/>
      <c r="D291" s="102"/>
      <c r="E291" s="101"/>
      <c r="F291" s="101"/>
      <c r="G291" s="100" t="str">
        <f t="shared" si="70"/>
        <v/>
      </c>
      <c r="H291" s="99" t="str">
        <f t="shared" si="71"/>
        <v/>
      </c>
      <c r="I291" s="106"/>
      <c r="J291" s="2"/>
      <c r="K291" s="2"/>
      <c r="L291" s="2"/>
      <c r="M291" s="2"/>
      <c r="N291" s="2"/>
      <c r="O291" s="2"/>
      <c r="P291" s="2"/>
      <c r="Q291" s="2"/>
      <c r="S291" s="98">
        <f t="shared" si="72"/>
        <v>0</v>
      </c>
      <c r="T291" s="98">
        <f t="shared" si="73"/>
        <v>0</v>
      </c>
      <c r="U291" s="97">
        <f t="shared" si="74"/>
        <v>0</v>
      </c>
      <c r="V291" s="97">
        <f t="shared" si="74"/>
        <v>0</v>
      </c>
      <c r="X291" s="98" t="e">
        <f t="shared" si="75"/>
        <v>#REF!</v>
      </c>
      <c r="Y291" s="98" t="e">
        <f t="shared" si="76"/>
        <v>#REF!</v>
      </c>
      <c r="Z291" s="97" t="e">
        <f t="shared" si="77"/>
        <v>#REF!</v>
      </c>
      <c r="AA291" s="97" t="e">
        <f t="shared" si="77"/>
        <v>#REF!</v>
      </c>
      <c r="AC291" s="98" t="e">
        <f t="shared" si="78"/>
        <v>#REF!</v>
      </c>
      <c r="AD291" s="98" t="e">
        <f t="shared" si="79"/>
        <v>#REF!</v>
      </c>
      <c r="AE291" s="97" t="e">
        <f t="shared" si="80"/>
        <v>#REF!</v>
      </c>
      <c r="AF291" s="97" t="e">
        <f t="shared" si="80"/>
        <v>#REF!</v>
      </c>
      <c r="AH291" s="98" t="e">
        <f t="shared" si="81"/>
        <v>#REF!</v>
      </c>
      <c r="AI291" s="98" t="e">
        <f t="shared" si="82"/>
        <v>#REF!</v>
      </c>
      <c r="AJ291" s="97" t="e">
        <f t="shared" si="83"/>
        <v>#REF!</v>
      </c>
      <c r="AK291" s="97" t="e">
        <f t="shared" si="83"/>
        <v>#REF!</v>
      </c>
    </row>
    <row r="292" spans="1:37" ht="15" customHeight="1">
      <c r="A292" s="108"/>
      <c r="B292" s="107"/>
      <c r="C292" s="103"/>
      <c r="D292" s="102"/>
      <c r="E292" s="101"/>
      <c r="F292" s="101"/>
      <c r="G292" s="100" t="str">
        <f t="shared" si="70"/>
        <v/>
      </c>
      <c r="H292" s="99" t="str">
        <f t="shared" si="71"/>
        <v/>
      </c>
      <c r="I292" s="106"/>
      <c r="J292" s="2"/>
      <c r="K292" s="2"/>
      <c r="L292" s="2"/>
      <c r="M292" s="2"/>
      <c r="N292" s="2"/>
      <c r="O292" s="2"/>
      <c r="P292" s="2"/>
      <c r="Q292" s="2"/>
      <c r="S292" s="98">
        <f t="shared" si="72"/>
        <v>0</v>
      </c>
      <c r="T292" s="98">
        <f t="shared" si="73"/>
        <v>0</v>
      </c>
      <c r="U292" s="97">
        <f t="shared" si="74"/>
        <v>0</v>
      </c>
      <c r="V292" s="97">
        <f t="shared" si="74"/>
        <v>0</v>
      </c>
      <c r="X292" s="98" t="e">
        <f t="shared" si="75"/>
        <v>#REF!</v>
      </c>
      <c r="Y292" s="98" t="e">
        <f t="shared" si="76"/>
        <v>#REF!</v>
      </c>
      <c r="Z292" s="97" t="e">
        <f t="shared" si="77"/>
        <v>#REF!</v>
      </c>
      <c r="AA292" s="97" t="e">
        <f t="shared" si="77"/>
        <v>#REF!</v>
      </c>
      <c r="AC292" s="98" t="e">
        <f t="shared" si="78"/>
        <v>#REF!</v>
      </c>
      <c r="AD292" s="98" t="e">
        <f t="shared" si="79"/>
        <v>#REF!</v>
      </c>
      <c r="AE292" s="97" t="e">
        <f t="shared" si="80"/>
        <v>#REF!</v>
      </c>
      <c r="AF292" s="97" t="e">
        <f t="shared" si="80"/>
        <v>#REF!</v>
      </c>
      <c r="AH292" s="98" t="e">
        <f t="shared" si="81"/>
        <v>#REF!</v>
      </c>
      <c r="AI292" s="98" t="e">
        <f t="shared" si="82"/>
        <v>#REF!</v>
      </c>
      <c r="AJ292" s="97" t="e">
        <f t="shared" si="83"/>
        <v>#REF!</v>
      </c>
      <c r="AK292" s="97" t="e">
        <f t="shared" si="83"/>
        <v>#REF!</v>
      </c>
    </row>
    <row r="293" spans="1:37" ht="15" customHeight="1">
      <c r="A293" s="108"/>
      <c r="B293" s="104"/>
      <c r="C293" s="103"/>
      <c r="D293" s="102"/>
      <c r="E293" s="101"/>
      <c r="F293" s="101"/>
      <c r="G293" s="100" t="str">
        <f t="shared" si="70"/>
        <v/>
      </c>
      <c r="H293" s="99" t="str">
        <f t="shared" si="71"/>
        <v/>
      </c>
      <c r="I293" s="106"/>
      <c r="J293" s="2"/>
      <c r="K293" s="2"/>
      <c r="L293" s="2"/>
      <c r="M293" s="2"/>
      <c r="N293" s="2"/>
      <c r="O293" s="2"/>
      <c r="P293" s="2"/>
      <c r="Q293" s="2"/>
      <c r="S293" s="98">
        <f t="shared" si="72"/>
        <v>0</v>
      </c>
      <c r="T293" s="98">
        <f t="shared" si="73"/>
        <v>0</v>
      </c>
      <c r="U293" s="97">
        <f t="shared" si="74"/>
        <v>0</v>
      </c>
      <c r="V293" s="97">
        <f t="shared" si="74"/>
        <v>0</v>
      </c>
      <c r="X293" s="98" t="e">
        <f t="shared" si="75"/>
        <v>#REF!</v>
      </c>
      <c r="Y293" s="98" t="e">
        <f t="shared" si="76"/>
        <v>#REF!</v>
      </c>
      <c r="Z293" s="97" t="e">
        <f t="shared" si="77"/>
        <v>#REF!</v>
      </c>
      <c r="AA293" s="97" t="e">
        <f t="shared" si="77"/>
        <v>#REF!</v>
      </c>
      <c r="AC293" s="98" t="e">
        <f t="shared" si="78"/>
        <v>#REF!</v>
      </c>
      <c r="AD293" s="98" t="e">
        <f t="shared" si="79"/>
        <v>#REF!</v>
      </c>
      <c r="AE293" s="97" t="e">
        <f t="shared" si="80"/>
        <v>#REF!</v>
      </c>
      <c r="AF293" s="97" t="e">
        <f t="shared" si="80"/>
        <v>#REF!</v>
      </c>
      <c r="AH293" s="98" t="e">
        <f t="shared" si="81"/>
        <v>#REF!</v>
      </c>
      <c r="AI293" s="98" t="e">
        <f t="shared" si="82"/>
        <v>#REF!</v>
      </c>
      <c r="AJ293" s="97" t="e">
        <f t="shared" si="83"/>
        <v>#REF!</v>
      </c>
      <c r="AK293" s="97" t="e">
        <f t="shared" si="83"/>
        <v>#REF!</v>
      </c>
    </row>
    <row r="294" spans="1:37" ht="15" customHeight="1">
      <c r="A294" s="108"/>
      <c r="B294" s="104"/>
      <c r="C294" s="103"/>
      <c r="D294" s="102"/>
      <c r="E294" s="101"/>
      <c r="F294" s="101"/>
      <c r="G294" s="100" t="str">
        <f t="shared" si="70"/>
        <v/>
      </c>
      <c r="H294" s="99" t="str">
        <f t="shared" si="71"/>
        <v/>
      </c>
      <c r="I294" s="106"/>
      <c r="J294" s="2"/>
      <c r="K294" s="2"/>
      <c r="L294" s="2"/>
      <c r="M294" s="2"/>
      <c r="N294" s="2"/>
      <c r="O294" s="2"/>
      <c r="P294" s="2"/>
      <c r="Q294" s="2"/>
      <c r="S294" s="98">
        <f t="shared" si="72"/>
        <v>0</v>
      </c>
      <c r="T294" s="98">
        <f t="shared" si="73"/>
        <v>0</v>
      </c>
      <c r="U294" s="97">
        <f t="shared" si="74"/>
        <v>0</v>
      </c>
      <c r="V294" s="97">
        <f t="shared" si="74"/>
        <v>0</v>
      </c>
      <c r="X294" s="98" t="e">
        <f t="shared" si="75"/>
        <v>#REF!</v>
      </c>
      <c r="Y294" s="98" t="e">
        <f t="shared" si="76"/>
        <v>#REF!</v>
      </c>
      <c r="Z294" s="97" t="e">
        <f t="shared" si="77"/>
        <v>#REF!</v>
      </c>
      <c r="AA294" s="97" t="e">
        <f t="shared" si="77"/>
        <v>#REF!</v>
      </c>
      <c r="AC294" s="98" t="e">
        <f t="shared" si="78"/>
        <v>#REF!</v>
      </c>
      <c r="AD294" s="98" t="e">
        <f t="shared" si="79"/>
        <v>#REF!</v>
      </c>
      <c r="AE294" s="97" t="e">
        <f t="shared" si="80"/>
        <v>#REF!</v>
      </c>
      <c r="AF294" s="97" t="e">
        <f t="shared" si="80"/>
        <v>#REF!</v>
      </c>
      <c r="AH294" s="98" t="e">
        <f t="shared" si="81"/>
        <v>#REF!</v>
      </c>
      <c r="AI294" s="98" t="e">
        <f t="shared" si="82"/>
        <v>#REF!</v>
      </c>
      <c r="AJ294" s="97" t="e">
        <f t="shared" si="83"/>
        <v>#REF!</v>
      </c>
      <c r="AK294" s="97" t="e">
        <f t="shared" si="83"/>
        <v>#REF!</v>
      </c>
    </row>
    <row r="295" spans="1:37" ht="15" customHeight="1">
      <c r="A295" s="108"/>
      <c r="B295" s="104"/>
      <c r="C295" s="103"/>
      <c r="D295" s="102"/>
      <c r="E295" s="101"/>
      <c r="F295" s="101"/>
      <c r="G295" s="100" t="str">
        <f t="shared" si="70"/>
        <v/>
      </c>
      <c r="H295" s="99" t="str">
        <f t="shared" si="71"/>
        <v/>
      </c>
      <c r="I295" s="106"/>
      <c r="J295" s="2"/>
      <c r="K295" s="2"/>
      <c r="L295" s="2"/>
      <c r="M295" s="2"/>
      <c r="N295" s="2"/>
      <c r="O295" s="2"/>
      <c r="P295" s="2"/>
      <c r="Q295" s="2"/>
      <c r="S295" s="98">
        <f t="shared" si="72"/>
        <v>0</v>
      </c>
      <c r="T295" s="98">
        <f t="shared" si="73"/>
        <v>0</v>
      </c>
      <c r="U295" s="97">
        <f t="shared" si="74"/>
        <v>0</v>
      </c>
      <c r="V295" s="97">
        <f t="shared" si="74"/>
        <v>0</v>
      </c>
      <c r="X295" s="98" t="e">
        <f t="shared" si="75"/>
        <v>#REF!</v>
      </c>
      <c r="Y295" s="98" t="e">
        <f t="shared" si="76"/>
        <v>#REF!</v>
      </c>
      <c r="Z295" s="97" t="e">
        <f t="shared" si="77"/>
        <v>#REF!</v>
      </c>
      <c r="AA295" s="97" t="e">
        <f t="shared" si="77"/>
        <v>#REF!</v>
      </c>
      <c r="AC295" s="98" t="e">
        <f t="shared" si="78"/>
        <v>#REF!</v>
      </c>
      <c r="AD295" s="98" t="e">
        <f t="shared" si="79"/>
        <v>#REF!</v>
      </c>
      <c r="AE295" s="97" t="e">
        <f t="shared" si="80"/>
        <v>#REF!</v>
      </c>
      <c r="AF295" s="97" t="e">
        <f t="shared" si="80"/>
        <v>#REF!</v>
      </c>
      <c r="AH295" s="98" t="e">
        <f t="shared" si="81"/>
        <v>#REF!</v>
      </c>
      <c r="AI295" s="98" t="e">
        <f t="shared" si="82"/>
        <v>#REF!</v>
      </c>
      <c r="AJ295" s="97" t="e">
        <f t="shared" si="83"/>
        <v>#REF!</v>
      </c>
      <c r="AK295" s="97" t="e">
        <f t="shared" si="83"/>
        <v>#REF!</v>
      </c>
    </row>
    <row r="296" spans="1:37" ht="15" customHeight="1">
      <c r="A296" s="108"/>
      <c r="B296" s="104"/>
      <c r="C296" s="103"/>
      <c r="D296" s="102"/>
      <c r="E296" s="101"/>
      <c r="F296" s="101"/>
      <c r="G296" s="100" t="str">
        <f t="shared" si="70"/>
        <v/>
      </c>
      <c r="H296" s="99" t="str">
        <f t="shared" si="71"/>
        <v/>
      </c>
      <c r="I296" s="106"/>
      <c r="J296" s="2"/>
      <c r="K296" s="2"/>
      <c r="L296" s="2"/>
      <c r="M296" s="2"/>
      <c r="N296" s="2"/>
      <c r="O296" s="2"/>
      <c r="P296" s="2"/>
      <c r="Q296" s="2"/>
      <c r="S296" s="98">
        <f t="shared" si="72"/>
        <v>0</v>
      </c>
      <c r="T296" s="98">
        <f t="shared" si="73"/>
        <v>0</v>
      </c>
      <c r="U296" s="97">
        <f t="shared" si="74"/>
        <v>0</v>
      </c>
      <c r="V296" s="97">
        <f t="shared" si="74"/>
        <v>0</v>
      </c>
      <c r="X296" s="98" t="e">
        <f t="shared" si="75"/>
        <v>#REF!</v>
      </c>
      <c r="Y296" s="98" t="e">
        <f t="shared" si="76"/>
        <v>#REF!</v>
      </c>
      <c r="Z296" s="97" t="e">
        <f t="shared" si="77"/>
        <v>#REF!</v>
      </c>
      <c r="AA296" s="97" t="e">
        <f t="shared" si="77"/>
        <v>#REF!</v>
      </c>
      <c r="AC296" s="98" t="e">
        <f t="shared" si="78"/>
        <v>#REF!</v>
      </c>
      <c r="AD296" s="98" t="e">
        <f t="shared" si="79"/>
        <v>#REF!</v>
      </c>
      <c r="AE296" s="97" t="e">
        <f t="shared" si="80"/>
        <v>#REF!</v>
      </c>
      <c r="AF296" s="97" t="e">
        <f t="shared" si="80"/>
        <v>#REF!</v>
      </c>
      <c r="AH296" s="98" t="e">
        <f t="shared" si="81"/>
        <v>#REF!</v>
      </c>
      <c r="AI296" s="98" t="e">
        <f t="shared" si="82"/>
        <v>#REF!</v>
      </c>
      <c r="AJ296" s="97" t="e">
        <f t="shared" si="83"/>
        <v>#REF!</v>
      </c>
      <c r="AK296" s="97" t="e">
        <f t="shared" si="83"/>
        <v>#REF!</v>
      </c>
    </row>
    <row r="297" spans="1:37" ht="15" customHeight="1">
      <c r="A297" s="108"/>
      <c r="B297" s="104"/>
      <c r="C297" s="103"/>
      <c r="D297" s="102"/>
      <c r="E297" s="101"/>
      <c r="F297" s="101"/>
      <c r="G297" s="100" t="str">
        <f t="shared" si="70"/>
        <v/>
      </c>
      <c r="H297" s="99" t="str">
        <f t="shared" si="71"/>
        <v/>
      </c>
      <c r="I297" s="106"/>
      <c r="J297" s="2"/>
      <c r="K297" s="2"/>
      <c r="L297" s="2"/>
      <c r="M297" s="2"/>
      <c r="N297" s="2"/>
      <c r="O297" s="2"/>
      <c r="P297" s="2"/>
      <c r="Q297" s="2"/>
      <c r="S297" s="98">
        <f t="shared" si="72"/>
        <v>0</v>
      </c>
      <c r="T297" s="98">
        <f t="shared" si="73"/>
        <v>0</v>
      </c>
      <c r="U297" s="97">
        <f t="shared" si="74"/>
        <v>0</v>
      </c>
      <c r="V297" s="97">
        <f t="shared" si="74"/>
        <v>0</v>
      </c>
      <c r="X297" s="98" t="e">
        <f t="shared" si="75"/>
        <v>#REF!</v>
      </c>
      <c r="Y297" s="98" t="e">
        <f t="shared" si="76"/>
        <v>#REF!</v>
      </c>
      <c r="Z297" s="97" t="e">
        <f t="shared" si="77"/>
        <v>#REF!</v>
      </c>
      <c r="AA297" s="97" t="e">
        <f t="shared" si="77"/>
        <v>#REF!</v>
      </c>
      <c r="AC297" s="98" t="e">
        <f t="shared" si="78"/>
        <v>#REF!</v>
      </c>
      <c r="AD297" s="98" t="e">
        <f t="shared" si="79"/>
        <v>#REF!</v>
      </c>
      <c r="AE297" s="97" t="e">
        <f t="shared" si="80"/>
        <v>#REF!</v>
      </c>
      <c r="AF297" s="97" t="e">
        <f t="shared" si="80"/>
        <v>#REF!</v>
      </c>
      <c r="AH297" s="98" t="e">
        <f t="shared" si="81"/>
        <v>#REF!</v>
      </c>
      <c r="AI297" s="98" t="e">
        <f t="shared" si="82"/>
        <v>#REF!</v>
      </c>
      <c r="AJ297" s="97" t="e">
        <f t="shared" si="83"/>
        <v>#REF!</v>
      </c>
      <c r="AK297" s="97" t="e">
        <f t="shared" si="83"/>
        <v>#REF!</v>
      </c>
    </row>
    <row r="298" spans="1:37" ht="15" customHeight="1">
      <c r="A298" s="108"/>
      <c r="B298" s="104"/>
      <c r="C298" s="103"/>
      <c r="D298" s="102"/>
      <c r="E298" s="101"/>
      <c r="F298" s="101"/>
      <c r="G298" s="100" t="str">
        <f t="shared" si="70"/>
        <v/>
      </c>
      <c r="H298" s="99" t="str">
        <f t="shared" si="71"/>
        <v/>
      </c>
      <c r="I298" s="106"/>
      <c r="J298" s="2"/>
      <c r="K298" s="2"/>
      <c r="L298" s="2"/>
      <c r="M298" s="2"/>
      <c r="N298" s="2"/>
      <c r="O298" s="2"/>
      <c r="P298" s="2"/>
      <c r="Q298" s="2"/>
      <c r="S298" s="98">
        <f t="shared" si="72"/>
        <v>0</v>
      </c>
      <c r="T298" s="98">
        <f t="shared" si="73"/>
        <v>0</v>
      </c>
      <c r="U298" s="97">
        <f t="shared" si="74"/>
        <v>0</v>
      </c>
      <c r="V298" s="97">
        <f t="shared" si="74"/>
        <v>0</v>
      </c>
      <c r="X298" s="98" t="e">
        <f t="shared" si="75"/>
        <v>#REF!</v>
      </c>
      <c r="Y298" s="98" t="e">
        <f t="shared" si="76"/>
        <v>#REF!</v>
      </c>
      <c r="Z298" s="97" t="e">
        <f t="shared" si="77"/>
        <v>#REF!</v>
      </c>
      <c r="AA298" s="97" t="e">
        <f t="shared" si="77"/>
        <v>#REF!</v>
      </c>
      <c r="AC298" s="98" t="e">
        <f t="shared" si="78"/>
        <v>#REF!</v>
      </c>
      <c r="AD298" s="98" t="e">
        <f t="shared" si="79"/>
        <v>#REF!</v>
      </c>
      <c r="AE298" s="97" t="e">
        <f t="shared" si="80"/>
        <v>#REF!</v>
      </c>
      <c r="AF298" s="97" t="e">
        <f t="shared" si="80"/>
        <v>#REF!</v>
      </c>
      <c r="AH298" s="98" t="e">
        <f t="shared" si="81"/>
        <v>#REF!</v>
      </c>
      <c r="AI298" s="98" t="e">
        <f t="shared" si="82"/>
        <v>#REF!</v>
      </c>
      <c r="AJ298" s="97" t="e">
        <f t="shared" si="83"/>
        <v>#REF!</v>
      </c>
      <c r="AK298" s="97" t="e">
        <f t="shared" si="83"/>
        <v>#REF!</v>
      </c>
    </row>
    <row r="299" spans="1:37" ht="15" customHeight="1">
      <c r="A299" s="108"/>
      <c r="B299" s="107"/>
      <c r="C299" s="103"/>
      <c r="D299" s="102"/>
      <c r="E299" s="101"/>
      <c r="F299" s="101"/>
      <c r="G299" s="100" t="str">
        <f t="shared" si="70"/>
        <v/>
      </c>
      <c r="H299" s="99" t="str">
        <f t="shared" si="71"/>
        <v/>
      </c>
      <c r="I299" s="106"/>
      <c r="J299" s="2"/>
      <c r="K299" s="2"/>
      <c r="L299" s="2"/>
      <c r="M299" s="2"/>
      <c r="N299" s="2"/>
      <c r="O299" s="2"/>
      <c r="P299" s="2"/>
      <c r="Q299" s="2"/>
      <c r="S299" s="98">
        <f t="shared" si="72"/>
        <v>0</v>
      </c>
      <c r="T299" s="98">
        <f t="shared" si="73"/>
        <v>0</v>
      </c>
      <c r="U299" s="97">
        <f t="shared" si="74"/>
        <v>0</v>
      </c>
      <c r="V299" s="97">
        <f t="shared" si="74"/>
        <v>0</v>
      </c>
      <c r="X299" s="98" t="e">
        <f t="shared" si="75"/>
        <v>#REF!</v>
      </c>
      <c r="Y299" s="98" t="e">
        <f t="shared" si="76"/>
        <v>#REF!</v>
      </c>
      <c r="Z299" s="97" t="e">
        <f t="shared" si="77"/>
        <v>#REF!</v>
      </c>
      <c r="AA299" s="97" t="e">
        <f t="shared" si="77"/>
        <v>#REF!</v>
      </c>
      <c r="AC299" s="98" t="e">
        <f t="shared" si="78"/>
        <v>#REF!</v>
      </c>
      <c r="AD299" s="98" t="e">
        <f t="shared" si="79"/>
        <v>#REF!</v>
      </c>
      <c r="AE299" s="97" t="e">
        <f t="shared" si="80"/>
        <v>#REF!</v>
      </c>
      <c r="AF299" s="97" t="e">
        <f t="shared" si="80"/>
        <v>#REF!</v>
      </c>
      <c r="AH299" s="98" t="e">
        <f t="shared" si="81"/>
        <v>#REF!</v>
      </c>
      <c r="AI299" s="98" t="e">
        <f t="shared" si="82"/>
        <v>#REF!</v>
      </c>
      <c r="AJ299" s="97" t="e">
        <f t="shared" si="83"/>
        <v>#REF!</v>
      </c>
      <c r="AK299" s="97" t="e">
        <f t="shared" si="83"/>
        <v>#REF!</v>
      </c>
    </row>
    <row r="300" spans="1:37" ht="15" customHeight="1">
      <c r="A300" s="108"/>
      <c r="B300" s="107"/>
      <c r="C300" s="103"/>
      <c r="D300" s="102"/>
      <c r="E300" s="101"/>
      <c r="F300" s="101"/>
      <c r="G300" s="100" t="str">
        <f t="shared" si="70"/>
        <v/>
      </c>
      <c r="H300" s="99" t="str">
        <f t="shared" si="71"/>
        <v/>
      </c>
      <c r="I300" s="106"/>
      <c r="J300" s="2"/>
      <c r="K300" s="2"/>
      <c r="L300" s="2"/>
      <c r="M300" s="2"/>
      <c r="N300" s="2"/>
      <c r="O300" s="2"/>
      <c r="P300" s="2"/>
      <c r="Q300" s="2"/>
      <c r="S300" s="98">
        <f t="shared" si="72"/>
        <v>0</v>
      </c>
      <c r="T300" s="98">
        <f t="shared" si="73"/>
        <v>0</v>
      </c>
      <c r="U300" s="97">
        <f t="shared" si="74"/>
        <v>0</v>
      </c>
      <c r="V300" s="97">
        <f t="shared" si="74"/>
        <v>0</v>
      </c>
      <c r="X300" s="98" t="e">
        <f t="shared" si="75"/>
        <v>#REF!</v>
      </c>
      <c r="Y300" s="98" t="e">
        <f t="shared" si="76"/>
        <v>#REF!</v>
      </c>
      <c r="Z300" s="97" t="e">
        <f t="shared" si="77"/>
        <v>#REF!</v>
      </c>
      <c r="AA300" s="97" t="e">
        <f t="shared" si="77"/>
        <v>#REF!</v>
      </c>
      <c r="AC300" s="98" t="e">
        <f t="shared" si="78"/>
        <v>#REF!</v>
      </c>
      <c r="AD300" s="98" t="e">
        <f t="shared" si="79"/>
        <v>#REF!</v>
      </c>
      <c r="AE300" s="97" t="e">
        <f t="shared" si="80"/>
        <v>#REF!</v>
      </c>
      <c r="AF300" s="97" t="e">
        <f t="shared" si="80"/>
        <v>#REF!</v>
      </c>
      <c r="AH300" s="98" t="e">
        <f t="shared" si="81"/>
        <v>#REF!</v>
      </c>
      <c r="AI300" s="98" t="e">
        <f t="shared" si="82"/>
        <v>#REF!</v>
      </c>
      <c r="AJ300" s="97" t="e">
        <f t="shared" si="83"/>
        <v>#REF!</v>
      </c>
      <c r="AK300" s="97" t="e">
        <f t="shared" si="83"/>
        <v>#REF!</v>
      </c>
    </row>
    <row r="301" spans="1:37" ht="15" customHeight="1">
      <c r="A301" s="108"/>
      <c r="B301" s="107"/>
      <c r="C301" s="103"/>
      <c r="D301" s="102"/>
      <c r="E301" s="101"/>
      <c r="F301" s="101"/>
      <c r="G301" s="100" t="str">
        <f t="shared" si="70"/>
        <v/>
      </c>
      <c r="H301" s="99" t="str">
        <f t="shared" si="71"/>
        <v/>
      </c>
      <c r="I301" s="106"/>
      <c r="J301" s="2"/>
      <c r="K301" s="2"/>
      <c r="L301" s="2"/>
      <c r="M301" s="2"/>
      <c r="N301" s="2"/>
      <c r="O301" s="2"/>
      <c r="P301" s="2"/>
      <c r="Q301" s="2"/>
      <c r="S301" s="98">
        <f t="shared" si="72"/>
        <v>0</v>
      </c>
      <c r="T301" s="98">
        <f t="shared" si="73"/>
        <v>0</v>
      </c>
      <c r="U301" s="97">
        <f t="shared" si="74"/>
        <v>0</v>
      </c>
      <c r="V301" s="97">
        <f t="shared" si="74"/>
        <v>0</v>
      </c>
      <c r="X301" s="98" t="e">
        <f t="shared" si="75"/>
        <v>#REF!</v>
      </c>
      <c r="Y301" s="98" t="e">
        <f t="shared" si="76"/>
        <v>#REF!</v>
      </c>
      <c r="Z301" s="97" t="e">
        <f t="shared" si="77"/>
        <v>#REF!</v>
      </c>
      <c r="AA301" s="97" t="e">
        <f t="shared" si="77"/>
        <v>#REF!</v>
      </c>
      <c r="AC301" s="98" t="e">
        <f t="shared" si="78"/>
        <v>#REF!</v>
      </c>
      <c r="AD301" s="98" t="e">
        <f t="shared" si="79"/>
        <v>#REF!</v>
      </c>
      <c r="AE301" s="97" t="e">
        <f t="shared" si="80"/>
        <v>#REF!</v>
      </c>
      <c r="AF301" s="97" t="e">
        <f t="shared" si="80"/>
        <v>#REF!</v>
      </c>
      <c r="AH301" s="98" t="e">
        <f t="shared" si="81"/>
        <v>#REF!</v>
      </c>
      <c r="AI301" s="98" t="e">
        <f t="shared" si="82"/>
        <v>#REF!</v>
      </c>
      <c r="AJ301" s="97" t="e">
        <f t="shared" si="83"/>
        <v>#REF!</v>
      </c>
      <c r="AK301" s="97" t="e">
        <f t="shared" si="83"/>
        <v>#REF!</v>
      </c>
    </row>
    <row r="302" spans="1:37" ht="15" customHeight="1">
      <c r="A302" s="108"/>
      <c r="B302" s="107"/>
      <c r="C302" s="103"/>
      <c r="D302" s="102"/>
      <c r="E302" s="101"/>
      <c r="F302" s="101"/>
      <c r="G302" s="100" t="str">
        <f t="shared" si="70"/>
        <v/>
      </c>
      <c r="H302" s="99" t="str">
        <f t="shared" si="71"/>
        <v/>
      </c>
      <c r="I302" s="106"/>
      <c r="J302" s="2"/>
      <c r="K302" s="2"/>
      <c r="L302" s="2"/>
      <c r="M302" s="2"/>
      <c r="N302" s="2"/>
      <c r="O302" s="2"/>
      <c r="P302" s="2"/>
      <c r="Q302" s="2"/>
      <c r="S302" s="98">
        <f t="shared" si="72"/>
        <v>0</v>
      </c>
      <c r="T302" s="98">
        <f t="shared" si="73"/>
        <v>0</v>
      </c>
      <c r="U302" s="97">
        <f t="shared" si="74"/>
        <v>0</v>
      </c>
      <c r="V302" s="97">
        <f t="shared" si="74"/>
        <v>0</v>
      </c>
      <c r="X302" s="98" t="e">
        <f t="shared" si="75"/>
        <v>#REF!</v>
      </c>
      <c r="Y302" s="98" t="e">
        <f t="shared" si="76"/>
        <v>#REF!</v>
      </c>
      <c r="Z302" s="97" t="e">
        <f t="shared" si="77"/>
        <v>#REF!</v>
      </c>
      <c r="AA302" s="97" t="e">
        <f t="shared" si="77"/>
        <v>#REF!</v>
      </c>
      <c r="AC302" s="98" t="e">
        <f t="shared" si="78"/>
        <v>#REF!</v>
      </c>
      <c r="AD302" s="98" t="e">
        <f t="shared" si="79"/>
        <v>#REF!</v>
      </c>
      <c r="AE302" s="97" t="e">
        <f t="shared" si="80"/>
        <v>#REF!</v>
      </c>
      <c r="AF302" s="97" t="e">
        <f t="shared" si="80"/>
        <v>#REF!</v>
      </c>
      <c r="AH302" s="98" t="e">
        <f t="shared" si="81"/>
        <v>#REF!</v>
      </c>
      <c r="AI302" s="98" t="e">
        <f t="shared" si="82"/>
        <v>#REF!</v>
      </c>
      <c r="AJ302" s="97" t="e">
        <f t="shared" si="83"/>
        <v>#REF!</v>
      </c>
      <c r="AK302" s="97" t="e">
        <f t="shared" si="83"/>
        <v>#REF!</v>
      </c>
    </row>
    <row r="303" spans="1:37" ht="15" customHeight="1">
      <c r="A303" s="108"/>
      <c r="B303" s="107"/>
      <c r="C303" s="103"/>
      <c r="D303" s="102"/>
      <c r="E303" s="101"/>
      <c r="F303" s="101"/>
      <c r="G303" s="100" t="str">
        <f t="shared" si="70"/>
        <v/>
      </c>
      <c r="H303" s="99" t="str">
        <f t="shared" si="71"/>
        <v/>
      </c>
      <c r="I303" s="106"/>
      <c r="J303" s="2"/>
      <c r="K303" s="2"/>
      <c r="L303" s="2"/>
      <c r="M303" s="2"/>
      <c r="N303" s="2"/>
      <c r="O303" s="2"/>
      <c r="P303" s="2"/>
      <c r="Q303" s="2"/>
      <c r="S303" s="98">
        <f t="shared" si="72"/>
        <v>0</v>
      </c>
      <c r="T303" s="98">
        <f t="shared" si="73"/>
        <v>0</v>
      </c>
      <c r="U303" s="97">
        <f t="shared" si="74"/>
        <v>0</v>
      </c>
      <c r="V303" s="97">
        <f t="shared" si="74"/>
        <v>0</v>
      </c>
      <c r="X303" s="98" t="e">
        <f t="shared" si="75"/>
        <v>#REF!</v>
      </c>
      <c r="Y303" s="98" t="e">
        <f t="shared" si="76"/>
        <v>#REF!</v>
      </c>
      <c r="Z303" s="97" t="e">
        <f t="shared" si="77"/>
        <v>#REF!</v>
      </c>
      <c r="AA303" s="97" t="e">
        <f t="shared" si="77"/>
        <v>#REF!</v>
      </c>
      <c r="AC303" s="98" t="e">
        <f t="shared" si="78"/>
        <v>#REF!</v>
      </c>
      <c r="AD303" s="98" t="e">
        <f t="shared" si="79"/>
        <v>#REF!</v>
      </c>
      <c r="AE303" s="97" t="e">
        <f t="shared" si="80"/>
        <v>#REF!</v>
      </c>
      <c r="AF303" s="97" t="e">
        <f t="shared" si="80"/>
        <v>#REF!</v>
      </c>
      <c r="AH303" s="98" t="e">
        <f t="shared" si="81"/>
        <v>#REF!</v>
      </c>
      <c r="AI303" s="98" t="e">
        <f t="shared" si="82"/>
        <v>#REF!</v>
      </c>
      <c r="AJ303" s="97" t="e">
        <f t="shared" si="83"/>
        <v>#REF!</v>
      </c>
      <c r="AK303" s="97" t="e">
        <f t="shared" si="83"/>
        <v>#REF!</v>
      </c>
    </row>
    <row r="304" spans="1:37" ht="15" customHeight="1">
      <c r="A304" s="108"/>
      <c r="B304" s="107"/>
      <c r="C304" s="103"/>
      <c r="D304" s="102"/>
      <c r="E304" s="101"/>
      <c r="F304" s="101"/>
      <c r="G304" s="100" t="str">
        <f t="shared" si="70"/>
        <v/>
      </c>
      <c r="H304" s="99" t="str">
        <f t="shared" si="71"/>
        <v/>
      </c>
      <c r="I304" s="106"/>
      <c r="J304" s="2"/>
      <c r="K304" s="2"/>
      <c r="L304" s="2"/>
      <c r="M304" s="2"/>
      <c r="N304" s="2"/>
      <c r="O304" s="2"/>
      <c r="P304" s="2"/>
      <c r="Q304" s="2"/>
      <c r="S304" s="98">
        <f t="shared" si="72"/>
        <v>0</v>
      </c>
      <c r="T304" s="98">
        <f t="shared" si="73"/>
        <v>0</v>
      </c>
      <c r="U304" s="97">
        <f t="shared" si="74"/>
        <v>0</v>
      </c>
      <c r="V304" s="97">
        <f t="shared" si="74"/>
        <v>0</v>
      </c>
      <c r="X304" s="98" t="e">
        <f t="shared" si="75"/>
        <v>#REF!</v>
      </c>
      <c r="Y304" s="98" t="e">
        <f t="shared" si="76"/>
        <v>#REF!</v>
      </c>
      <c r="Z304" s="97" t="e">
        <f t="shared" si="77"/>
        <v>#REF!</v>
      </c>
      <c r="AA304" s="97" t="e">
        <f t="shared" si="77"/>
        <v>#REF!</v>
      </c>
      <c r="AC304" s="98" t="e">
        <f t="shared" si="78"/>
        <v>#REF!</v>
      </c>
      <c r="AD304" s="98" t="e">
        <f t="shared" si="79"/>
        <v>#REF!</v>
      </c>
      <c r="AE304" s="97" t="e">
        <f t="shared" si="80"/>
        <v>#REF!</v>
      </c>
      <c r="AF304" s="97" t="e">
        <f t="shared" si="80"/>
        <v>#REF!</v>
      </c>
      <c r="AH304" s="98" t="e">
        <f t="shared" si="81"/>
        <v>#REF!</v>
      </c>
      <c r="AI304" s="98" t="e">
        <f t="shared" si="82"/>
        <v>#REF!</v>
      </c>
      <c r="AJ304" s="97" t="e">
        <f t="shared" si="83"/>
        <v>#REF!</v>
      </c>
      <c r="AK304" s="97" t="e">
        <f t="shared" si="83"/>
        <v>#REF!</v>
      </c>
    </row>
    <row r="305" spans="1:37" ht="15" customHeight="1">
      <c r="A305" s="108"/>
      <c r="B305" s="107"/>
      <c r="C305" s="103"/>
      <c r="D305" s="102"/>
      <c r="E305" s="101"/>
      <c r="F305" s="101"/>
      <c r="G305" s="100" t="str">
        <f t="shared" si="70"/>
        <v/>
      </c>
      <c r="H305" s="99" t="str">
        <f t="shared" si="71"/>
        <v/>
      </c>
      <c r="I305" s="106"/>
      <c r="J305" s="2"/>
      <c r="K305" s="2"/>
      <c r="L305" s="2"/>
      <c r="M305" s="2"/>
      <c r="N305" s="2"/>
      <c r="O305" s="2"/>
      <c r="P305" s="2"/>
      <c r="Q305" s="2"/>
      <c r="S305" s="98">
        <f t="shared" si="72"/>
        <v>0</v>
      </c>
      <c r="T305" s="98">
        <f t="shared" si="73"/>
        <v>0</v>
      </c>
      <c r="U305" s="97">
        <f t="shared" si="74"/>
        <v>0</v>
      </c>
      <c r="V305" s="97">
        <f t="shared" si="74"/>
        <v>0</v>
      </c>
      <c r="X305" s="98" t="e">
        <f t="shared" si="75"/>
        <v>#REF!</v>
      </c>
      <c r="Y305" s="98" t="e">
        <f t="shared" si="76"/>
        <v>#REF!</v>
      </c>
      <c r="Z305" s="97" t="e">
        <f t="shared" si="77"/>
        <v>#REF!</v>
      </c>
      <c r="AA305" s="97" t="e">
        <f t="shared" si="77"/>
        <v>#REF!</v>
      </c>
      <c r="AC305" s="98" t="e">
        <f t="shared" si="78"/>
        <v>#REF!</v>
      </c>
      <c r="AD305" s="98" t="e">
        <f t="shared" si="79"/>
        <v>#REF!</v>
      </c>
      <c r="AE305" s="97" t="e">
        <f t="shared" si="80"/>
        <v>#REF!</v>
      </c>
      <c r="AF305" s="97" t="e">
        <f t="shared" si="80"/>
        <v>#REF!</v>
      </c>
      <c r="AH305" s="98" t="e">
        <f t="shared" si="81"/>
        <v>#REF!</v>
      </c>
      <c r="AI305" s="98" t="e">
        <f t="shared" si="82"/>
        <v>#REF!</v>
      </c>
      <c r="AJ305" s="97" t="e">
        <f t="shared" si="83"/>
        <v>#REF!</v>
      </c>
      <c r="AK305" s="97" t="e">
        <f t="shared" si="83"/>
        <v>#REF!</v>
      </c>
    </row>
    <row r="306" spans="1:37" ht="15" customHeight="1">
      <c r="A306" s="108"/>
      <c r="B306" s="107"/>
      <c r="C306" s="103"/>
      <c r="D306" s="102"/>
      <c r="E306" s="101"/>
      <c r="F306" s="101"/>
      <c r="G306" s="100" t="str">
        <f t="shared" si="70"/>
        <v/>
      </c>
      <c r="H306" s="99" t="str">
        <f t="shared" si="71"/>
        <v/>
      </c>
      <c r="I306" s="106"/>
      <c r="J306" s="2"/>
      <c r="K306" s="2"/>
      <c r="L306" s="2"/>
      <c r="M306" s="2"/>
      <c r="N306" s="2"/>
      <c r="O306" s="2"/>
      <c r="P306" s="2"/>
      <c r="Q306" s="2"/>
      <c r="S306" s="98">
        <f t="shared" si="72"/>
        <v>0</v>
      </c>
      <c r="T306" s="98">
        <f t="shared" si="73"/>
        <v>0</v>
      </c>
      <c r="U306" s="97">
        <f t="shared" si="74"/>
        <v>0</v>
      </c>
      <c r="V306" s="97">
        <f t="shared" si="74"/>
        <v>0</v>
      </c>
      <c r="X306" s="98" t="e">
        <f t="shared" si="75"/>
        <v>#REF!</v>
      </c>
      <c r="Y306" s="98" t="e">
        <f t="shared" si="76"/>
        <v>#REF!</v>
      </c>
      <c r="Z306" s="97" t="e">
        <f t="shared" si="77"/>
        <v>#REF!</v>
      </c>
      <c r="AA306" s="97" t="e">
        <f t="shared" si="77"/>
        <v>#REF!</v>
      </c>
      <c r="AC306" s="98" t="e">
        <f t="shared" si="78"/>
        <v>#REF!</v>
      </c>
      <c r="AD306" s="98" t="e">
        <f t="shared" si="79"/>
        <v>#REF!</v>
      </c>
      <c r="AE306" s="97" t="e">
        <f t="shared" si="80"/>
        <v>#REF!</v>
      </c>
      <c r="AF306" s="97" t="e">
        <f t="shared" si="80"/>
        <v>#REF!</v>
      </c>
      <c r="AH306" s="98" t="e">
        <f t="shared" si="81"/>
        <v>#REF!</v>
      </c>
      <c r="AI306" s="98" t="e">
        <f t="shared" si="82"/>
        <v>#REF!</v>
      </c>
      <c r="AJ306" s="97" t="e">
        <f t="shared" si="83"/>
        <v>#REF!</v>
      </c>
      <c r="AK306" s="97" t="e">
        <f t="shared" si="83"/>
        <v>#REF!</v>
      </c>
    </row>
    <row r="307" spans="1:37" ht="15" customHeight="1">
      <c r="A307" s="108"/>
      <c r="B307" s="107"/>
      <c r="C307" s="103"/>
      <c r="D307" s="102"/>
      <c r="E307" s="101"/>
      <c r="F307" s="101"/>
      <c r="G307" s="100" t="str">
        <f t="shared" si="70"/>
        <v/>
      </c>
      <c r="H307" s="99" t="str">
        <f t="shared" si="71"/>
        <v/>
      </c>
      <c r="I307" s="106"/>
      <c r="J307" s="2"/>
      <c r="K307" s="2"/>
      <c r="L307" s="2"/>
      <c r="M307" s="2"/>
      <c r="N307" s="2"/>
      <c r="O307" s="2"/>
      <c r="P307" s="2"/>
      <c r="Q307" s="2"/>
      <c r="S307" s="98">
        <f t="shared" si="72"/>
        <v>0</v>
      </c>
      <c r="T307" s="98">
        <f t="shared" si="73"/>
        <v>0</v>
      </c>
      <c r="U307" s="97">
        <f t="shared" si="74"/>
        <v>0</v>
      </c>
      <c r="V307" s="97">
        <f t="shared" si="74"/>
        <v>0</v>
      </c>
      <c r="X307" s="98" t="e">
        <f t="shared" si="75"/>
        <v>#REF!</v>
      </c>
      <c r="Y307" s="98" t="e">
        <f t="shared" si="76"/>
        <v>#REF!</v>
      </c>
      <c r="Z307" s="97" t="e">
        <f t="shared" si="77"/>
        <v>#REF!</v>
      </c>
      <c r="AA307" s="97" t="e">
        <f t="shared" si="77"/>
        <v>#REF!</v>
      </c>
      <c r="AC307" s="98" t="e">
        <f t="shared" si="78"/>
        <v>#REF!</v>
      </c>
      <c r="AD307" s="98" t="e">
        <f t="shared" si="79"/>
        <v>#REF!</v>
      </c>
      <c r="AE307" s="97" t="e">
        <f t="shared" si="80"/>
        <v>#REF!</v>
      </c>
      <c r="AF307" s="97" t="e">
        <f t="shared" si="80"/>
        <v>#REF!</v>
      </c>
      <c r="AH307" s="98" t="e">
        <f t="shared" si="81"/>
        <v>#REF!</v>
      </c>
      <c r="AI307" s="98" t="e">
        <f t="shared" si="82"/>
        <v>#REF!</v>
      </c>
      <c r="AJ307" s="97" t="e">
        <f t="shared" si="83"/>
        <v>#REF!</v>
      </c>
      <c r="AK307" s="97" t="e">
        <f t="shared" si="83"/>
        <v>#REF!</v>
      </c>
    </row>
    <row r="308" spans="1:37" ht="15" customHeight="1">
      <c r="A308" s="108"/>
      <c r="B308" s="107"/>
      <c r="C308" s="103"/>
      <c r="D308" s="102"/>
      <c r="E308" s="101"/>
      <c r="F308" s="101"/>
      <c r="G308" s="100" t="str">
        <f t="shared" si="70"/>
        <v/>
      </c>
      <c r="H308" s="99" t="str">
        <f t="shared" si="71"/>
        <v/>
      </c>
      <c r="I308" s="106"/>
      <c r="J308" s="2"/>
      <c r="K308" s="2"/>
      <c r="L308" s="2"/>
      <c r="M308" s="2"/>
      <c r="N308" s="2"/>
      <c r="O308" s="2"/>
      <c r="P308" s="2"/>
      <c r="Q308" s="2"/>
      <c r="S308" s="98">
        <f t="shared" si="72"/>
        <v>0</v>
      </c>
      <c r="T308" s="98">
        <f t="shared" si="73"/>
        <v>0</v>
      </c>
      <c r="U308" s="97">
        <f t="shared" si="74"/>
        <v>0</v>
      </c>
      <c r="V308" s="97">
        <f t="shared" si="74"/>
        <v>0</v>
      </c>
      <c r="X308" s="98" t="e">
        <f t="shared" si="75"/>
        <v>#REF!</v>
      </c>
      <c r="Y308" s="98" t="e">
        <f t="shared" si="76"/>
        <v>#REF!</v>
      </c>
      <c r="Z308" s="97" t="e">
        <f t="shared" si="77"/>
        <v>#REF!</v>
      </c>
      <c r="AA308" s="97" t="e">
        <f t="shared" si="77"/>
        <v>#REF!</v>
      </c>
      <c r="AC308" s="98" t="e">
        <f t="shared" si="78"/>
        <v>#REF!</v>
      </c>
      <c r="AD308" s="98" t="e">
        <f t="shared" si="79"/>
        <v>#REF!</v>
      </c>
      <c r="AE308" s="97" t="e">
        <f t="shared" si="80"/>
        <v>#REF!</v>
      </c>
      <c r="AF308" s="97" t="e">
        <f t="shared" si="80"/>
        <v>#REF!</v>
      </c>
      <c r="AH308" s="98" t="e">
        <f t="shared" si="81"/>
        <v>#REF!</v>
      </c>
      <c r="AI308" s="98" t="e">
        <f t="shared" si="82"/>
        <v>#REF!</v>
      </c>
      <c r="AJ308" s="97" t="e">
        <f t="shared" si="83"/>
        <v>#REF!</v>
      </c>
      <c r="AK308" s="97" t="e">
        <f t="shared" si="83"/>
        <v>#REF!</v>
      </c>
    </row>
    <row r="309" spans="1:37" ht="15" customHeight="1">
      <c r="A309" s="105"/>
      <c r="B309" s="104"/>
      <c r="C309" s="103"/>
      <c r="D309" s="102"/>
      <c r="E309" s="101"/>
      <c r="F309" s="101"/>
      <c r="G309" s="100" t="str">
        <f t="shared" si="70"/>
        <v/>
      </c>
      <c r="H309" s="99" t="str">
        <f t="shared" si="71"/>
        <v/>
      </c>
      <c r="I309" s="106"/>
      <c r="J309" s="2"/>
      <c r="K309" s="2"/>
      <c r="L309" s="2"/>
      <c r="M309" s="2"/>
      <c r="N309" s="2"/>
      <c r="O309" s="2"/>
      <c r="P309" s="2"/>
      <c r="Q309" s="2"/>
      <c r="S309" s="98">
        <f t="shared" si="72"/>
        <v>0</v>
      </c>
      <c r="T309" s="98">
        <f t="shared" si="73"/>
        <v>0</v>
      </c>
      <c r="U309" s="97">
        <f t="shared" si="74"/>
        <v>0</v>
      </c>
      <c r="V309" s="97">
        <f t="shared" si="74"/>
        <v>0</v>
      </c>
      <c r="X309" s="98" t="e">
        <f t="shared" si="75"/>
        <v>#REF!</v>
      </c>
      <c r="Y309" s="98" t="e">
        <f t="shared" si="76"/>
        <v>#REF!</v>
      </c>
      <c r="Z309" s="97" t="e">
        <f t="shared" si="77"/>
        <v>#REF!</v>
      </c>
      <c r="AA309" s="97" t="e">
        <f t="shared" si="77"/>
        <v>#REF!</v>
      </c>
      <c r="AC309" s="98" t="e">
        <f t="shared" si="78"/>
        <v>#REF!</v>
      </c>
      <c r="AD309" s="98" t="e">
        <f t="shared" si="79"/>
        <v>#REF!</v>
      </c>
      <c r="AE309" s="97" t="e">
        <f t="shared" si="80"/>
        <v>#REF!</v>
      </c>
      <c r="AF309" s="97" t="e">
        <f t="shared" si="80"/>
        <v>#REF!</v>
      </c>
      <c r="AH309" s="98" t="e">
        <f t="shared" si="81"/>
        <v>#REF!</v>
      </c>
      <c r="AI309" s="98" t="e">
        <f t="shared" si="82"/>
        <v>#REF!</v>
      </c>
      <c r="AJ309" s="97" t="e">
        <f t="shared" si="83"/>
        <v>#REF!</v>
      </c>
      <c r="AK309" s="97" t="e">
        <f t="shared" si="83"/>
        <v>#REF!</v>
      </c>
    </row>
    <row r="310" spans="1:37" ht="15" customHeight="1">
      <c r="A310" s="105"/>
      <c r="B310" s="104"/>
      <c r="C310" s="103"/>
      <c r="D310" s="102"/>
      <c r="E310" s="101"/>
      <c r="F310" s="101"/>
      <c r="G310" s="100" t="str">
        <f t="shared" si="70"/>
        <v/>
      </c>
      <c r="H310" s="99" t="str">
        <f t="shared" si="71"/>
        <v/>
      </c>
      <c r="I310" s="106"/>
      <c r="J310" s="2"/>
      <c r="K310" s="2"/>
      <c r="L310" s="2"/>
      <c r="M310" s="2"/>
      <c r="N310" s="2"/>
      <c r="O310" s="2"/>
      <c r="P310" s="2"/>
      <c r="Q310" s="2"/>
      <c r="S310" s="98">
        <f t="shared" si="72"/>
        <v>0</v>
      </c>
      <c r="T310" s="98">
        <f t="shared" si="73"/>
        <v>0</v>
      </c>
      <c r="U310" s="97">
        <f t="shared" si="74"/>
        <v>0</v>
      </c>
      <c r="V310" s="97">
        <f t="shared" si="74"/>
        <v>0</v>
      </c>
      <c r="X310" s="98" t="e">
        <f t="shared" si="75"/>
        <v>#REF!</v>
      </c>
      <c r="Y310" s="98" t="e">
        <f t="shared" si="76"/>
        <v>#REF!</v>
      </c>
      <c r="Z310" s="97" t="e">
        <f t="shared" si="77"/>
        <v>#REF!</v>
      </c>
      <c r="AA310" s="97" t="e">
        <f t="shared" si="77"/>
        <v>#REF!</v>
      </c>
      <c r="AC310" s="98" t="e">
        <f t="shared" si="78"/>
        <v>#REF!</v>
      </c>
      <c r="AD310" s="98" t="e">
        <f t="shared" si="79"/>
        <v>#REF!</v>
      </c>
      <c r="AE310" s="97" t="e">
        <f t="shared" si="80"/>
        <v>#REF!</v>
      </c>
      <c r="AF310" s="97" t="e">
        <f t="shared" si="80"/>
        <v>#REF!</v>
      </c>
      <c r="AH310" s="98" t="e">
        <f t="shared" si="81"/>
        <v>#REF!</v>
      </c>
      <c r="AI310" s="98" t="e">
        <f t="shared" si="82"/>
        <v>#REF!</v>
      </c>
      <c r="AJ310" s="97" t="e">
        <f t="shared" si="83"/>
        <v>#REF!</v>
      </c>
      <c r="AK310" s="97" t="e">
        <f t="shared" si="83"/>
        <v>#REF!</v>
      </c>
    </row>
    <row r="311" spans="1:37" ht="15" customHeight="1">
      <c r="A311" s="108"/>
      <c r="B311" s="109"/>
      <c r="C311" s="103"/>
      <c r="D311" s="102"/>
      <c r="E311" s="101"/>
      <c r="F311" s="101"/>
      <c r="G311" s="100" t="str">
        <f t="shared" si="70"/>
        <v/>
      </c>
      <c r="H311" s="99" t="str">
        <f t="shared" si="71"/>
        <v/>
      </c>
      <c r="I311" s="71"/>
      <c r="J311" s="2"/>
      <c r="K311" s="2"/>
      <c r="L311" s="2"/>
      <c r="M311" s="2"/>
      <c r="N311" s="2"/>
      <c r="O311" s="2"/>
      <c r="P311" s="2"/>
      <c r="Q311" s="2"/>
      <c r="S311" s="98">
        <f t="shared" si="72"/>
        <v>0</v>
      </c>
      <c r="T311" s="98">
        <f t="shared" si="73"/>
        <v>0</v>
      </c>
      <c r="U311" s="97">
        <f t="shared" si="74"/>
        <v>0</v>
      </c>
      <c r="V311" s="97">
        <f t="shared" si="74"/>
        <v>0</v>
      </c>
      <c r="X311" s="98" t="e">
        <f t="shared" si="75"/>
        <v>#REF!</v>
      </c>
      <c r="Y311" s="98" t="e">
        <f t="shared" si="76"/>
        <v>#REF!</v>
      </c>
      <c r="Z311" s="97" t="e">
        <f t="shared" si="77"/>
        <v>#REF!</v>
      </c>
      <c r="AA311" s="97" t="e">
        <f t="shared" si="77"/>
        <v>#REF!</v>
      </c>
      <c r="AC311" s="98" t="e">
        <f t="shared" si="78"/>
        <v>#REF!</v>
      </c>
      <c r="AD311" s="98" t="e">
        <f t="shared" si="79"/>
        <v>#REF!</v>
      </c>
      <c r="AE311" s="97" t="e">
        <f t="shared" si="80"/>
        <v>#REF!</v>
      </c>
      <c r="AF311" s="97" t="e">
        <f t="shared" si="80"/>
        <v>#REF!</v>
      </c>
      <c r="AH311" s="98" t="e">
        <f t="shared" si="81"/>
        <v>#REF!</v>
      </c>
      <c r="AI311" s="98" t="e">
        <f t="shared" si="82"/>
        <v>#REF!</v>
      </c>
      <c r="AJ311" s="97" t="e">
        <f t="shared" si="83"/>
        <v>#REF!</v>
      </c>
      <c r="AK311" s="97" t="e">
        <f t="shared" si="83"/>
        <v>#REF!</v>
      </c>
    </row>
    <row r="312" spans="1:37" ht="15" customHeight="1">
      <c r="A312" s="108"/>
      <c r="B312" s="107"/>
      <c r="C312" s="103"/>
      <c r="D312" s="102"/>
      <c r="E312" s="101"/>
      <c r="F312" s="101"/>
      <c r="G312" s="100" t="str">
        <f t="shared" si="70"/>
        <v/>
      </c>
      <c r="H312" s="99" t="str">
        <f t="shared" si="71"/>
        <v/>
      </c>
      <c r="I312" s="106"/>
      <c r="J312" s="2"/>
      <c r="K312" s="2"/>
      <c r="L312" s="2"/>
      <c r="M312" s="2"/>
      <c r="N312" s="2"/>
      <c r="O312" s="2"/>
      <c r="P312" s="2"/>
      <c r="Q312" s="2"/>
      <c r="S312" s="98">
        <f t="shared" si="72"/>
        <v>0</v>
      </c>
      <c r="T312" s="98">
        <f t="shared" si="73"/>
        <v>0</v>
      </c>
      <c r="U312" s="97">
        <f t="shared" si="74"/>
        <v>0</v>
      </c>
      <c r="V312" s="97">
        <f t="shared" si="74"/>
        <v>0</v>
      </c>
      <c r="X312" s="98" t="e">
        <f t="shared" si="75"/>
        <v>#REF!</v>
      </c>
      <c r="Y312" s="98" t="e">
        <f t="shared" si="76"/>
        <v>#REF!</v>
      </c>
      <c r="Z312" s="97" t="e">
        <f t="shared" si="77"/>
        <v>#REF!</v>
      </c>
      <c r="AA312" s="97" t="e">
        <f t="shared" si="77"/>
        <v>#REF!</v>
      </c>
      <c r="AC312" s="98" t="e">
        <f t="shared" si="78"/>
        <v>#REF!</v>
      </c>
      <c r="AD312" s="98" t="e">
        <f t="shared" si="79"/>
        <v>#REF!</v>
      </c>
      <c r="AE312" s="97" t="e">
        <f t="shared" si="80"/>
        <v>#REF!</v>
      </c>
      <c r="AF312" s="97" t="e">
        <f t="shared" si="80"/>
        <v>#REF!</v>
      </c>
      <c r="AH312" s="98" t="e">
        <f t="shared" si="81"/>
        <v>#REF!</v>
      </c>
      <c r="AI312" s="98" t="e">
        <f t="shared" si="82"/>
        <v>#REF!</v>
      </c>
      <c r="AJ312" s="97" t="e">
        <f t="shared" si="83"/>
        <v>#REF!</v>
      </c>
      <c r="AK312" s="97" t="e">
        <f t="shared" si="83"/>
        <v>#REF!</v>
      </c>
    </row>
    <row r="313" spans="1:37" ht="15" customHeight="1">
      <c r="A313" s="108"/>
      <c r="B313" s="109"/>
      <c r="C313" s="103"/>
      <c r="D313" s="102"/>
      <c r="E313" s="101"/>
      <c r="F313" s="101"/>
      <c r="G313" s="100" t="str">
        <f t="shared" si="70"/>
        <v/>
      </c>
      <c r="H313" s="99" t="str">
        <f t="shared" si="71"/>
        <v/>
      </c>
      <c r="I313" s="106"/>
      <c r="J313" s="2"/>
      <c r="K313" s="2"/>
      <c r="L313" s="2"/>
      <c r="M313" s="2"/>
      <c r="N313" s="2"/>
      <c r="O313" s="2"/>
      <c r="P313" s="2"/>
      <c r="Q313" s="2"/>
      <c r="S313" s="98">
        <f t="shared" si="72"/>
        <v>0</v>
      </c>
      <c r="T313" s="98">
        <f t="shared" si="73"/>
        <v>0</v>
      </c>
      <c r="U313" s="97">
        <f t="shared" si="74"/>
        <v>0</v>
      </c>
      <c r="V313" s="97">
        <f t="shared" si="74"/>
        <v>0</v>
      </c>
      <c r="X313" s="98" t="e">
        <f t="shared" si="75"/>
        <v>#REF!</v>
      </c>
      <c r="Y313" s="98" t="e">
        <f t="shared" si="76"/>
        <v>#REF!</v>
      </c>
      <c r="Z313" s="97" t="e">
        <f t="shared" si="77"/>
        <v>#REF!</v>
      </c>
      <c r="AA313" s="97" t="e">
        <f t="shared" si="77"/>
        <v>#REF!</v>
      </c>
      <c r="AC313" s="98" t="e">
        <f t="shared" si="78"/>
        <v>#REF!</v>
      </c>
      <c r="AD313" s="98" t="e">
        <f t="shared" si="79"/>
        <v>#REF!</v>
      </c>
      <c r="AE313" s="97" t="e">
        <f t="shared" si="80"/>
        <v>#REF!</v>
      </c>
      <c r="AF313" s="97" t="e">
        <f t="shared" si="80"/>
        <v>#REF!</v>
      </c>
      <c r="AH313" s="98" t="e">
        <f t="shared" si="81"/>
        <v>#REF!</v>
      </c>
      <c r="AI313" s="98" t="e">
        <f t="shared" si="82"/>
        <v>#REF!</v>
      </c>
      <c r="AJ313" s="97" t="e">
        <f t="shared" si="83"/>
        <v>#REF!</v>
      </c>
      <c r="AK313" s="97" t="e">
        <f t="shared" si="83"/>
        <v>#REF!</v>
      </c>
    </row>
    <row r="314" spans="1:37" ht="15" customHeight="1">
      <c r="A314" s="108"/>
      <c r="B314" s="109"/>
      <c r="C314" s="103"/>
      <c r="D314" s="102"/>
      <c r="E314" s="101"/>
      <c r="F314" s="101"/>
      <c r="G314" s="100" t="str">
        <f t="shared" si="70"/>
        <v/>
      </c>
      <c r="H314" s="99" t="str">
        <f t="shared" si="71"/>
        <v/>
      </c>
      <c r="I314" s="106"/>
      <c r="J314" s="2"/>
      <c r="K314" s="2"/>
      <c r="L314" s="2"/>
      <c r="M314" s="2"/>
      <c r="N314" s="2"/>
      <c r="O314" s="2"/>
      <c r="P314" s="2"/>
      <c r="Q314" s="2"/>
      <c r="S314" s="98">
        <f t="shared" si="72"/>
        <v>0</v>
      </c>
      <c r="T314" s="98">
        <f t="shared" si="73"/>
        <v>0</v>
      </c>
      <c r="U314" s="97">
        <f t="shared" si="74"/>
        <v>0</v>
      </c>
      <c r="V314" s="97">
        <f t="shared" si="74"/>
        <v>0</v>
      </c>
      <c r="X314" s="98" t="e">
        <f t="shared" si="75"/>
        <v>#REF!</v>
      </c>
      <c r="Y314" s="98" t="e">
        <f t="shared" si="76"/>
        <v>#REF!</v>
      </c>
      <c r="Z314" s="97" t="e">
        <f t="shared" si="77"/>
        <v>#REF!</v>
      </c>
      <c r="AA314" s="97" t="e">
        <f t="shared" si="77"/>
        <v>#REF!</v>
      </c>
      <c r="AC314" s="98" t="e">
        <f t="shared" si="78"/>
        <v>#REF!</v>
      </c>
      <c r="AD314" s="98" t="e">
        <f t="shared" si="79"/>
        <v>#REF!</v>
      </c>
      <c r="AE314" s="97" t="e">
        <f t="shared" si="80"/>
        <v>#REF!</v>
      </c>
      <c r="AF314" s="97" t="e">
        <f t="shared" si="80"/>
        <v>#REF!</v>
      </c>
      <c r="AH314" s="98" t="e">
        <f t="shared" si="81"/>
        <v>#REF!</v>
      </c>
      <c r="AI314" s="98" t="e">
        <f t="shared" si="82"/>
        <v>#REF!</v>
      </c>
      <c r="AJ314" s="97" t="e">
        <f t="shared" si="83"/>
        <v>#REF!</v>
      </c>
      <c r="AK314" s="97" t="e">
        <f t="shared" si="83"/>
        <v>#REF!</v>
      </c>
    </row>
    <row r="315" spans="1:37" ht="15" customHeight="1">
      <c r="A315" s="108"/>
      <c r="B315" s="109"/>
      <c r="C315" s="103"/>
      <c r="D315" s="102"/>
      <c r="E315" s="101"/>
      <c r="F315" s="101"/>
      <c r="G315" s="100" t="str">
        <f t="shared" si="70"/>
        <v/>
      </c>
      <c r="H315" s="99" t="str">
        <f t="shared" si="71"/>
        <v/>
      </c>
      <c r="I315" s="106"/>
      <c r="J315" s="2"/>
      <c r="K315" s="2"/>
      <c r="L315" s="2"/>
      <c r="M315" s="2"/>
      <c r="N315" s="2"/>
      <c r="O315" s="2"/>
      <c r="P315" s="2"/>
      <c r="Q315" s="2"/>
      <c r="S315" s="98">
        <f t="shared" si="72"/>
        <v>0</v>
      </c>
      <c r="T315" s="98">
        <f t="shared" si="73"/>
        <v>0</v>
      </c>
      <c r="U315" s="97">
        <f t="shared" si="74"/>
        <v>0</v>
      </c>
      <c r="V315" s="97">
        <f t="shared" si="74"/>
        <v>0</v>
      </c>
      <c r="X315" s="98" t="e">
        <f t="shared" si="75"/>
        <v>#REF!</v>
      </c>
      <c r="Y315" s="98" t="e">
        <f t="shared" si="76"/>
        <v>#REF!</v>
      </c>
      <c r="Z315" s="97" t="e">
        <f t="shared" si="77"/>
        <v>#REF!</v>
      </c>
      <c r="AA315" s="97" t="e">
        <f t="shared" si="77"/>
        <v>#REF!</v>
      </c>
      <c r="AC315" s="98" t="e">
        <f t="shared" si="78"/>
        <v>#REF!</v>
      </c>
      <c r="AD315" s="98" t="e">
        <f t="shared" si="79"/>
        <v>#REF!</v>
      </c>
      <c r="AE315" s="97" t="e">
        <f t="shared" si="80"/>
        <v>#REF!</v>
      </c>
      <c r="AF315" s="97" t="e">
        <f t="shared" si="80"/>
        <v>#REF!</v>
      </c>
      <c r="AH315" s="98" t="e">
        <f t="shared" si="81"/>
        <v>#REF!</v>
      </c>
      <c r="AI315" s="98" t="e">
        <f t="shared" si="82"/>
        <v>#REF!</v>
      </c>
      <c r="AJ315" s="97" t="e">
        <f t="shared" si="83"/>
        <v>#REF!</v>
      </c>
      <c r="AK315" s="97" t="e">
        <f t="shared" si="83"/>
        <v>#REF!</v>
      </c>
    </row>
    <row r="316" spans="1:37" ht="15" customHeight="1">
      <c r="A316" s="108"/>
      <c r="B316" s="109"/>
      <c r="C316" s="103"/>
      <c r="D316" s="102"/>
      <c r="E316" s="101"/>
      <c r="F316" s="101"/>
      <c r="G316" s="100" t="str">
        <f t="shared" si="70"/>
        <v/>
      </c>
      <c r="H316" s="99" t="str">
        <f t="shared" si="71"/>
        <v/>
      </c>
      <c r="I316" s="106"/>
      <c r="J316" s="2"/>
      <c r="K316" s="2"/>
      <c r="L316" s="2"/>
      <c r="M316" s="2"/>
      <c r="N316" s="2"/>
      <c r="O316" s="2"/>
      <c r="P316" s="2"/>
      <c r="Q316" s="2"/>
      <c r="S316" s="98">
        <f t="shared" si="72"/>
        <v>0</v>
      </c>
      <c r="T316" s="98">
        <f t="shared" si="73"/>
        <v>0</v>
      </c>
      <c r="U316" s="97">
        <f t="shared" si="74"/>
        <v>0</v>
      </c>
      <c r="V316" s="97">
        <f t="shared" si="74"/>
        <v>0</v>
      </c>
      <c r="X316" s="98" t="e">
        <f t="shared" si="75"/>
        <v>#REF!</v>
      </c>
      <c r="Y316" s="98" t="e">
        <f t="shared" si="76"/>
        <v>#REF!</v>
      </c>
      <c r="Z316" s="97" t="e">
        <f t="shared" si="77"/>
        <v>#REF!</v>
      </c>
      <c r="AA316" s="97" t="e">
        <f t="shared" si="77"/>
        <v>#REF!</v>
      </c>
      <c r="AC316" s="98" t="e">
        <f t="shared" si="78"/>
        <v>#REF!</v>
      </c>
      <c r="AD316" s="98" t="e">
        <f t="shared" si="79"/>
        <v>#REF!</v>
      </c>
      <c r="AE316" s="97" t="e">
        <f t="shared" si="80"/>
        <v>#REF!</v>
      </c>
      <c r="AF316" s="97" t="e">
        <f t="shared" si="80"/>
        <v>#REF!</v>
      </c>
      <c r="AH316" s="98" t="e">
        <f t="shared" si="81"/>
        <v>#REF!</v>
      </c>
      <c r="AI316" s="98" t="e">
        <f t="shared" si="82"/>
        <v>#REF!</v>
      </c>
      <c r="AJ316" s="97" t="e">
        <f t="shared" si="83"/>
        <v>#REF!</v>
      </c>
      <c r="AK316" s="97" t="e">
        <f t="shared" si="83"/>
        <v>#REF!</v>
      </c>
    </row>
    <row r="317" spans="1:37" ht="15" customHeight="1">
      <c r="A317" s="108"/>
      <c r="B317" s="107"/>
      <c r="C317" s="103"/>
      <c r="D317" s="102"/>
      <c r="E317" s="101"/>
      <c r="F317" s="101"/>
      <c r="G317" s="100" t="str">
        <f t="shared" si="70"/>
        <v/>
      </c>
      <c r="H317" s="99" t="str">
        <f t="shared" si="71"/>
        <v/>
      </c>
      <c r="I317" s="106"/>
      <c r="J317" s="2"/>
      <c r="K317" s="2"/>
      <c r="L317" s="2"/>
      <c r="M317" s="2"/>
      <c r="N317" s="2"/>
      <c r="O317" s="2"/>
      <c r="P317" s="2"/>
      <c r="Q317" s="2"/>
      <c r="S317" s="98">
        <f t="shared" si="72"/>
        <v>0</v>
      </c>
      <c r="T317" s="98">
        <f t="shared" si="73"/>
        <v>0</v>
      </c>
      <c r="U317" s="97">
        <f t="shared" si="74"/>
        <v>0</v>
      </c>
      <c r="V317" s="97">
        <f t="shared" si="74"/>
        <v>0</v>
      </c>
      <c r="X317" s="98" t="e">
        <f t="shared" si="75"/>
        <v>#REF!</v>
      </c>
      <c r="Y317" s="98" t="e">
        <f t="shared" si="76"/>
        <v>#REF!</v>
      </c>
      <c r="Z317" s="97" t="e">
        <f t="shared" si="77"/>
        <v>#REF!</v>
      </c>
      <c r="AA317" s="97" t="e">
        <f t="shared" si="77"/>
        <v>#REF!</v>
      </c>
      <c r="AC317" s="98" t="e">
        <f t="shared" si="78"/>
        <v>#REF!</v>
      </c>
      <c r="AD317" s="98" t="e">
        <f t="shared" si="79"/>
        <v>#REF!</v>
      </c>
      <c r="AE317" s="97" t="e">
        <f t="shared" si="80"/>
        <v>#REF!</v>
      </c>
      <c r="AF317" s="97" t="e">
        <f t="shared" si="80"/>
        <v>#REF!</v>
      </c>
      <c r="AH317" s="98" t="e">
        <f t="shared" si="81"/>
        <v>#REF!</v>
      </c>
      <c r="AI317" s="98" t="e">
        <f t="shared" si="82"/>
        <v>#REF!</v>
      </c>
      <c r="AJ317" s="97" t="e">
        <f t="shared" si="83"/>
        <v>#REF!</v>
      </c>
      <c r="AK317" s="97" t="e">
        <f t="shared" si="83"/>
        <v>#REF!</v>
      </c>
    </row>
    <row r="318" spans="1:37" ht="15" customHeight="1">
      <c r="A318" s="105"/>
      <c r="B318" s="104"/>
      <c r="C318" s="103"/>
      <c r="D318" s="102"/>
      <c r="E318" s="101"/>
      <c r="F318" s="101"/>
      <c r="G318" s="100" t="str">
        <f t="shared" si="70"/>
        <v/>
      </c>
      <c r="H318" s="99" t="str">
        <f t="shared" si="71"/>
        <v/>
      </c>
      <c r="I318" s="106"/>
      <c r="J318" s="2"/>
      <c r="K318" s="2"/>
      <c r="L318" s="2"/>
      <c r="M318" s="2"/>
      <c r="N318" s="2"/>
      <c r="O318" s="2"/>
      <c r="P318" s="2"/>
      <c r="Q318" s="2"/>
      <c r="S318" s="98">
        <f t="shared" si="72"/>
        <v>0</v>
      </c>
      <c r="T318" s="98">
        <f t="shared" si="73"/>
        <v>0</v>
      </c>
      <c r="U318" s="97">
        <f t="shared" si="74"/>
        <v>0</v>
      </c>
      <c r="V318" s="97">
        <f t="shared" si="74"/>
        <v>0</v>
      </c>
      <c r="X318" s="98" t="e">
        <f t="shared" si="75"/>
        <v>#REF!</v>
      </c>
      <c r="Y318" s="98" t="e">
        <f t="shared" si="76"/>
        <v>#REF!</v>
      </c>
      <c r="Z318" s="97" t="e">
        <f t="shared" si="77"/>
        <v>#REF!</v>
      </c>
      <c r="AA318" s="97" t="e">
        <f t="shared" si="77"/>
        <v>#REF!</v>
      </c>
      <c r="AC318" s="98" t="e">
        <f t="shared" si="78"/>
        <v>#REF!</v>
      </c>
      <c r="AD318" s="98" t="e">
        <f t="shared" si="79"/>
        <v>#REF!</v>
      </c>
      <c r="AE318" s="97" t="e">
        <f t="shared" si="80"/>
        <v>#REF!</v>
      </c>
      <c r="AF318" s="97" t="e">
        <f t="shared" si="80"/>
        <v>#REF!</v>
      </c>
      <c r="AH318" s="98" t="e">
        <f t="shared" si="81"/>
        <v>#REF!</v>
      </c>
      <c r="AI318" s="98" t="e">
        <f t="shared" si="82"/>
        <v>#REF!</v>
      </c>
      <c r="AJ318" s="97" t="e">
        <f t="shared" si="83"/>
        <v>#REF!</v>
      </c>
      <c r="AK318" s="97" t="e">
        <f t="shared" si="83"/>
        <v>#REF!</v>
      </c>
    </row>
    <row r="319" spans="1:37" ht="15" customHeight="1">
      <c r="A319" s="105"/>
      <c r="B319" s="104"/>
      <c r="C319" s="103"/>
      <c r="D319" s="102"/>
      <c r="E319" s="101"/>
      <c r="F319" s="101"/>
      <c r="G319" s="100" t="str">
        <f t="shared" si="70"/>
        <v/>
      </c>
      <c r="H319" s="99" t="str">
        <f t="shared" si="71"/>
        <v/>
      </c>
      <c r="I319" s="106"/>
      <c r="J319" s="2"/>
      <c r="K319" s="2"/>
      <c r="L319" s="2"/>
      <c r="M319" s="2"/>
      <c r="N319" s="2"/>
      <c r="O319" s="2"/>
      <c r="P319" s="2"/>
      <c r="Q319" s="2"/>
      <c r="S319" s="98">
        <f t="shared" si="72"/>
        <v>0</v>
      </c>
      <c r="T319" s="98">
        <f t="shared" si="73"/>
        <v>0</v>
      </c>
      <c r="U319" s="97">
        <f t="shared" si="74"/>
        <v>0</v>
      </c>
      <c r="V319" s="97">
        <f t="shared" si="74"/>
        <v>0</v>
      </c>
      <c r="X319" s="98" t="e">
        <f t="shared" si="75"/>
        <v>#REF!</v>
      </c>
      <c r="Y319" s="98" t="e">
        <f t="shared" si="76"/>
        <v>#REF!</v>
      </c>
      <c r="Z319" s="97" t="e">
        <f t="shared" si="77"/>
        <v>#REF!</v>
      </c>
      <c r="AA319" s="97" t="e">
        <f t="shared" si="77"/>
        <v>#REF!</v>
      </c>
      <c r="AC319" s="98" t="e">
        <f t="shared" si="78"/>
        <v>#REF!</v>
      </c>
      <c r="AD319" s="98" t="e">
        <f t="shared" si="79"/>
        <v>#REF!</v>
      </c>
      <c r="AE319" s="97" t="e">
        <f t="shared" si="80"/>
        <v>#REF!</v>
      </c>
      <c r="AF319" s="97" t="e">
        <f t="shared" si="80"/>
        <v>#REF!</v>
      </c>
      <c r="AH319" s="98" t="e">
        <f t="shared" si="81"/>
        <v>#REF!</v>
      </c>
      <c r="AI319" s="98" t="e">
        <f t="shared" si="82"/>
        <v>#REF!</v>
      </c>
      <c r="AJ319" s="97" t="e">
        <f t="shared" si="83"/>
        <v>#REF!</v>
      </c>
      <c r="AK319" s="97" t="e">
        <f t="shared" si="83"/>
        <v>#REF!</v>
      </c>
    </row>
    <row r="320" spans="1:37" ht="15" customHeight="1">
      <c r="A320" s="105"/>
      <c r="B320" s="104"/>
      <c r="C320" s="103"/>
      <c r="D320" s="102"/>
      <c r="E320" s="101"/>
      <c r="F320" s="101"/>
      <c r="G320" s="100" t="str">
        <f t="shared" ref="G320:G377" si="84">IF(AND(D320="",E320=""),"",IF(D320="",E320,D320+E320))</f>
        <v/>
      </c>
      <c r="H320" s="99" t="str">
        <f t="shared" ref="H320:H377" si="85">IF(AND(D320="",F320=""),"",IF(D320="",F320,D320+F320))</f>
        <v/>
      </c>
      <c r="I320" s="106"/>
      <c r="J320" s="2"/>
      <c r="K320" s="2"/>
      <c r="L320" s="2"/>
      <c r="M320" s="2"/>
      <c r="N320" s="2"/>
      <c r="O320" s="2"/>
      <c r="P320" s="2"/>
      <c r="Q320" s="2"/>
      <c r="S320" s="98">
        <f t="shared" si="72"/>
        <v>0</v>
      </c>
      <c r="T320" s="98">
        <f t="shared" si="73"/>
        <v>0</v>
      </c>
      <c r="U320" s="97">
        <f t="shared" si="74"/>
        <v>0</v>
      </c>
      <c r="V320" s="97">
        <f t="shared" si="74"/>
        <v>0</v>
      </c>
      <c r="X320" s="98" t="e">
        <f t="shared" si="75"/>
        <v>#REF!</v>
      </c>
      <c r="Y320" s="98" t="e">
        <f t="shared" si="76"/>
        <v>#REF!</v>
      </c>
      <c r="Z320" s="97" t="e">
        <f t="shared" si="77"/>
        <v>#REF!</v>
      </c>
      <c r="AA320" s="97" t="e">
        <f t="shared" si="77"/>
        <v>#REF!</v>
      </c>
      <c r="AC320" s="98" t="e">
        <f t="shared" si="78"/>
        <v>#REF!</v>
      </c>
      <c r="AD320" s="98" t="e">
        <f t="shared" si="79"/>
        <v>#REF!</v>
      </c>
      <c r="AE320" s="97" t="e">
        <f t="shared" si="80"/>
        <v>#REF!</v>
      </c>
      <c r="AF320" s="97" t="e">
        <f t="shared" si="80"/>
        <v>#REF!</v>
      </c>
      <c r="AH320" s="98" t="e">
        <f t="shared" si="81"/>
        <v>#REF!</v>
      </c>
      <c r="AI320" s="98" t="e">
        <f t="shared" si="82"/>
        <v>#REF!</v>
      </c>
      <c r="AJ320" s="97" t="e">
        <f t="shared" si="83"/>
        <v>#REF!</v>
      </c>
      <c r="AK320" s="97" t="e">
        <f t="shared" si="83"/>
        <v>#REF!</v>
      </c>
    </row>
    <row r="321" spans="1:37" ht="15" customHeight="1">
      <c r="A321" s="105"/>
      <c r="B321" s="104"/>
      <c r="C321" s="103"/>
      <c r="D321" s="102"/>
      <c r="E321" s="101"/>
      <c r="F321" s="101"/>
      <c r="G321" s="100" t="str">
        <f t="shared" si="84"/>
        <v/>
      </c>
      <c r="H321" s="99" t="str">
        <f t="shared" si="85"/>
        <v/>
      </c>
      <c r="I321" s="106"/>
      <c r="J321" s="2"/>
      <c r="K321" s="2"/>
      <c r="L321" s="2"/>
      <c r="M321" s="2"/>
      <c r="N321" s="2"/>
      <c r="O321" s="2"/>
      <c r="P321" s="2"/>
      <c r="Q321" s="2"/>
      <c r="S321" s="98">
        <f t="shared" ref="S321:S384" si="86">IF($A321&lt;&gt;"(DC)", $E321*$R$7, $E321)</f>
        <v>0</v>
      </c>
      <c r="T321" s="98">
        <f t="shared" ref="T321:T384" si="87">IF($A321&lt;&gt;"(DC)", $F321*$R$7, $F321)</f>
        <v>0</v>
      </c>
      <c r="U321" s="97">
        <f t="shared" ref="U321:V384" si="88">IF(AND($D321="",S321=""),"",IF($D321="",S321,$D321+S321))</f>
        <v>0</v>
      </c>
      <c r="V321" s="97">
        <f t="shared" si="88"/>
        <v>0</v>
      </c>
      <c r="X321" s="98" t="e">
        <f t="shared" ref="X321:X384" si="89">IF($A321&lt;&gt;"(DC)", $E321*$W$7, $E321)</f>
        <v>#REF!</v>
      </c>
      <c r="Y321" s="98" t="e">
        <f t="shared" ref="Y321:Y384" si="90">IF($A321&lt;&gt;"(DC)", $F321*$W$7, $F321)</f>
        <v>#REF!</v>
      </c>
      <c r="Z321" s="97" t="e">
        <f t="shared" ref="Z321:AA384" si="91">IF(AND($D321="",X321=""),"",IF($D321="",X321,$D321+X321))</f>
        <v>#REF!</v>
      </c>
      <c r="AA321" s="97" t="e">
        <f t="shared" si="91"/>
        <v>#REF!</v>
      </c>
      <c r="AC321" s="98" t="e">
        <f t="shared" ref="AC321:AC384" si="92">IF($A321&lt;&gt;"(DC)", $E321*$W$7, $E321)</f>
        <v>#REF!</v>
      </c>
      <c r="AD321" s="98" t="e">
        <f t="shared" ref="AD321:AD384" si="93">IF($A321&lt;&gt;"(DC)", $F321*$W$7, $F321)</f>
        <v>#REF!</v>
      </c>
      <c r="AE321" s="97" t="e">
        <f t="shared" ref="AE321:AF384" si="94">IF(AND($D321="",AC321=""),"",IF($D321="",AC321,$D321+AC321))</f>
        <v>#REF!</v>
      </c>
      <c r="AF321" s="97" t="e">
        <f t="shared" si="94"/>
        <v>#REF!</v>
      </c>
      <c r="AH321" s="98" t="e">
        <f t="shared" ref="AH321:AH384" si="95">IF($A321&lt;&gt;"(DC)", $E321*$AG$7, $E321)</f>
        <v>#REF!</v>
      </c>
      <c r="AI321" s="98" t="e">
        <f t="shared" ref="AI321:AI384" si="96">IF($A321&lt;&gt;"(DC)", $F321*$AG$7, $F321)</f>
        <v>#REF!</v>
      </c>
      <c r="AJ321" s="97" t="e">
        <f t="shared" ref="AJ321:AK384" si="97">IF(AND($D321="",AH321=""),"",IF($D321="",AH321,$D321+AH321))</f>
        <v>#REF!</v>
      </c>
      <c r="AK321" s="97" t="e">
        <f t="shared" si="97"/>
        <v>#REF!</v>
      </c>
    </row>
    <row r="322" spans="1:37" ht="15" customHeight="1">
      <c r="A322" s="105"/>
      <c r="B322" s="104"/>
      <c r="C322" s="103"/>
      <c r="D322" s="102"/>
      <c r="E322" s="101"/>
      <c r="F322" s="101"/>
      <c r="G322" s="100" t="str">
        <f t="shared" si="84"/>
        <v/>
      </c>
      <c r="H322" s="99" t="str">
        <f t="shared" si="85"/>
        <v/>
      </c>
      <c r="I322" s="106"/>
      <c r="J322" s="2"/>
      <c r="K322" s="2"/>
      <c r="L322" s="2"/>
      <c r="M322" s="2"/>
      <c r="N322" s="2"/>
      <c r="O322" s="2"/>
      <c r="P322" s="2"/>
      <c r="Q322" s="2"/>
      <c r="S322" s="98">
        <f t="shared" si="86"/>
        <v>0</v>
      </c>
      <c r="T322" s="98">
        <f t="shared" si="87"/>
        <v>0</v>
      </c>
      <c r="U322" s="97">
        <f t="shared" si="88"/>
        <v>0</v>
      </c>
      <c r="V322" s="97">
        <f t="shared" si="88"/>
        <v>0</v>
      </c>
      <c r="X322" s="98" t="e">
        <f t="shared" si="89"/>
        <v>#REF!</v>
      </c>
      <c r="Y322" s="98" t="e">
        <f t="shared" si="90"/>
        <v>#REF!</v>
      </c>
      <c r="Z322" s="97" t="e">
        <f t="shared" si="91"/>
        <v>#REF!</v>
      </c>
      <c r="AA322" s="97" t="e">
        <f t="shared" si="91"/>
        <v>#REF!</v>
      </c>
      <c r="AC322" s="98" t="e">
        <f t="shared" si="92"/>
        <v>#REF!</v>
      </c>
      <c r="AD322" s="98" t="e">
        <f t="shared" si="93"/>
        <v>#REF!</v>
      </c>
      <c r="AE322" s="97" t="e">
        <f t="shared" si="94"/>
        <v>#REF!</v>
      </c>
      <c r="AF322" s="97" t="e">
        <f t="shared" si="94"/>
        <v>#REF!</v>
      </c>
      <c r="AH322" s="98" t="e">
        <f t="shared" si="95"/>
        <v>#REF!</v>
      </c>
      <c r="AI322" s="98" t="e">
        <f t="shared" si="96"/>
        <v>#REF!</v>
      </c>
      <c r="AJ322" s="97" t="e">
        <f t="shared" si="97"/>
        <v>#REF!</v>
      </c>
      <c r="AK322" s="97" t="e">
        <f t="shared" si="97"/>
        <v>#REF!</v>
      </c>
    </row>
    <row r="323" spans="1:37" ht="15" customHeight="1">
      <c r="A323" s="105"/>
      <c r="B323" s="104"/>
      <c r="C323" s="103"/>
      <c r="D323" s="102"/>
      <c r="E323" s="101"/>
      <c r="F323" s="101"/>
      <c r="G323" s="100" t="str">
        <f t="shared" si="84"/>
        <v/>
      </c>
      <c r="H323" s="99" t="str">
        <f t="shared" si="85"/>
        <v/>
      </c>
      <c r="I323" s="106"/>
      <c r="J323" s="2"/>
      <c r="K323" s="2"/>
      <c r="L323" s="2"/>
      <c r="M323" s="2"/>
      <c r="N323" s="2"/>
      <c r="O323" s="2"/>
      <c r="P323" s="2"/>
      <c r="Q323" s="2"/>
      <c r="S323" s="98">
        <f t="shared" si="86"/>
        <v>0</v>
      </c>
      <c r="T323" s="98">
        <f t="shared" si="87"/>
        <v>0</v>
      </c>
      <c r="U323" s="97">
        <f t="shared" si="88"/>
        <v>0</v>
      </c>
      <c r="V323" s="97">
        <f t="shared" si="88"/>
        <v>0</v>
      </c>
      <c r="X323" s="98" t="e">
        <f t="shared" si="89"/>
        <v>#REF!</v>
      </c>
      <c r="Y323" s="98" t="e">
        <f t="shared" si="90"/>
        <v>#REF!</v>
      </c>
      <c r="Z323" s="97" t="e">
        <f t="shared" si="91"/>
        <v>#REF!</v>
      </c>
      <c r="AA323" s="97" t="e">
        <f t="shared" si="91"/>
        <v>#REF!</v>
      </c>
      <c r="AC323" s="98" t="e">
        <f t="shared" si="92"/>
        <v>#REF!</v>
      </c>
      <c r="AD323" s="98" t="e">
        <f t="shared" si="93"/>
        <v>#REF!</v>
      </c>
      <c r="AE323" s="97" t="e">
        <f t="shared" si="94"/>
        <v>#REF!</v>
      </c>
      <c r="AF323" s="97" t="e">
        <f t="shared" si="94"/>
        <v>#REF!</v>
      </c>
      <c r="AH323" s="98" t="e">
        <f t="shared" si="95"/>
        <v>#REF!</v>
      </c>
      <c r="AI323" s="98" t="e">
        <f t="shared" si="96"/>
        <v>#REF!</v>
      </c>
      <c r="AJ323" s="97" t="e">
        <f t="shared" si="97"/>
        <v>#REF!</v>
      </c>
      <c r="AK323" s="97" t="e">
        <f t="shared" si="97"/>
        <v>#REF!</v>
      </c>
    </row>
    <row r="324" spans="1:37" ht="15" customHeight="1">
      <c r="A324" s="105"/>
      <c r="B324" s="104"/>
      <c r="C324" s="103"/>
      <c r="D324" s="102"/>
      <c r="E324" s="101"/>
      <c r="F324" s="101"/>
      <c r="G324" s="100" t="str">
        <f t="shared" si="84"/>
        <v/>
      </c>
      <c r="H324" s="99" t="str">
        <f t="shared" si="85"/>
        <v/>
      </c>
      <c r="I324" s="106"/>
      <c r="J324" s="2"/>
      <c r="K324" s="2"/>
      <c r="L324" s="2"/>
      <c r="M324" s="2"/>
      <c r="N324" s="2"/>
      <c r="O324" s="2"/>
      <c r="P324" s="2"/>
      <c r="Q324" s="2"/>
      <c r="S324" s="98">
        <f t="shared" si="86"/>
        <v>0</v>
      </c>
      <c r="T324" s="98">
        <f t="shared" si="87"/>
        <v>0</v>
      </c>
      <c r="U324" s="97">
        <f t="shared" si="88"/>
        <v>0</v>
      </c>
      <c r="V324" s="97">
        <f t="shared" si="88"/>
        <v>0</v>
      </c>
      <c r="X324" s="98" t="e">
        <f t="shared" si="89"/>
        <v>#REF!</v>
      </c>
      <c r="Y324" s="98" t="e">
        <f t="shared" si="90"/>
        <v>#REF!</v>
      </c>
      <c r="Z324" s="97" t="e">
        <f t="shared" si="91"/>
        <v>#REF!</v>
      </c>
      <c r="AA324" s="97" t="e">
        <f t="shared" si="91"/>
        <v>#REF!</v>
      </c>
      <c r="AC324" s="98" t="e">
        <f t="shared" si="92"/>
        <v>#REF!</v>
      </c>
      <c r="AD324" s="98" t="e">
        <f t="shared" si="93"/>
        <v>#REF!</v>
      </c>
      <c r="AE324" s="97" t="e">
        <f t="shared" si="94"/>
        <v>#REF!</v>
      </c>
      <c r="AF324" s="97" t="e">
        <f t="shared" si="94"/>
        <v>#REF!</v>
      </c>
      <c r="AH324" s="98" t="e">
        <f t="shared" si="95"/>
        <v>#REF!</v>
      </c>
      <c r="AI324" s="98" t="e">
        <f t="shared" si="96"/>
        <v>#REF!</v>
      </c>
      <c r="AJ324" s="97" t="e">
        <f t="shared" si="97"/>
        <v>#REF!</v>
      </c>
      <c r="AK324" s="97" t="e">
        <f t="shared" si="97"/>
        <v>#REF!</v>
      </c>
    </row>
    <row r="325" spans="1:37" ht="15" customHeight="1">
      <c r="A325" s="105"/>
      <c r="B325" s="104"/>
      <c r="C325" s="103"/>
      <c r="D325" s="102"/>
      <c r="E325" s="101"/>
      <c r="F325" s="101"/>
      <c r="G325" s="100" t="str">
        <f t="shared" si="84"/>
        <v/>
      </c>
      <c r="H325" s="99" t="str">
        <f t="shared" si="85"/>
        <v/>
      </c>
      <c r="I325" s="106"/>
      <c r="J325" s="2"/>
      <c r="K325" s="2"/>
      <c r="L325" s="2"/>
      <c r="M325" s="2"/>
      <c r="N325" s="2"/>
      <c r="O325" s="2"/>
      <c r="P325" s="2"/>
      <c r="Q325" s="2"/>
      <c r="S325" s="98">
        <f t="shared" si="86"/>
        <v>0</v>
      </c>
      <c r="T325" s="98">
        <f t="shared" si="87"/>
        <v>0</v>
      </c>
      <c r="U325" s="97">
        <f t="shared" si="88"/>
        <v>0</v>
      </c>
      <c r="V325" s="97">
        <f t="shared" si="88"/>
        <v>0</v>
      </c>
      <c r="X325" s="98" t="e">
        <f t="shared" si="89"/>
        <v>#REF!</v>
      </c>
      <c r="Y325" s="98" t="e">
        <f t="shared" si="90"/>
        <v>#REF!</v>
      </c>
      <c r="Z325" s="97" t="e">
        <f t="shared" si="91"/>
        <v>#REF!</v>
      </c>
      <c r="AA325" s="97" t="e">
        <f t="shared" si="91"/>
        <v>#REF!</v>
      </c>
      <c r="AC325" s="98" t="e">
        <f t="shared" si="92"/>
        <v>#REF!</v>
      </c>
      <c r="AD325" s="98" t="e">
        <f t="shared" si="93"/>
        <v>#REF!</v>
      </c>
      <c r="AE325" s="97" t="e">
        <f t="shared" si="94"/>
        <v>#REF!</v>
      </c>
      <c r="AF325" s="97" t="e">
        <f t="shared" si="94"/>
        <v>#REF!</v>
      </c>
      <c r="AH325" s="98" t="e">
        <f t="shared" si="95"/>
        <v>#REF!</v>
      </c>
      <c r="AI325" s="98" t="e">
        <f t="shared" si="96"/>
        <v>#REF!</v>
      </c>
      <c r="AJ325" s="97" t="e">
        <f t="shared" si="97"/>
        <v>#REF!</v>
      </c>
      <c r="AK325" s="97" t="e">
        <f t="shared" si="97"/>
        <v>#REF!</v>
      </c>
    </row>
    <row r="326" spans="1:37" ht="15" customHeight="1">
      <c r="A326" s="105"/>
      <c r="B326" s="104"/>
      <c r="C326" s="103"/>
      <c r="D326" s="102"/>
      <c r="E326" s="101"/>
      <c r="F326" s="101"/>
      <c r="G326" s="100" t="str">
        <f t="shared" si="84"/>
        <v/>
      </c>
      <c r="H326" s="99" t="str">
        <f t="shared" si="85"/>
        <v/>
      </c>
      <c r="I326" s="106"/>
      <c r="J326" s="2"/>
      <c r="K326" s="2"/>
      <c r="L326" s="2"/>
      <c r="M326" s="2"/>
      <c r="N326" s="2"/>
      <c r="O326" s="2"/>
      <c r="P326" s="2"/>
      <c r="Q326" s="2"/>
      <c r="S326" s="98">
        <f t="shared" si="86"/>
        <v>0</v>
      </c>
      <c r="T326" s="98">
        <f t="shared" si="87"/>
        <v>0</v>
      </c>
      <c r="U326" s="97">
        <f t="shared" si="88"/>
        <v>0</v>
      </c>
      <c r="V326" s="97">
        <f t="shared" si="88"/>
        <v>0</v>
      </c>
      <c r="X326" s="98" t="e">
        <f t="shared" si="89"/>
        <v>#REF!</v>
      </c>
      <c r="Y326" s="98" t="e">
        <f t="shared" si="90"/>
        <v>#REF!</v>
      </c>
      <c r="Z326" s="97" t="e">
        <f t="shared" si="91"/>
        <v>#REF!</v>
      </c>
      <c r="AA326" s="97" t="e">
        <f t="shared" si="91"/>
        <v>#REF!</v>
      </c>
      <c r="AC326" s="98" t="e">
        <f t="shared" si="92"/>
        <v>#REF!</v>
      </c>
      <c r="AD326" s="98" t="e">
        <f t="shared" si="93"/>
        <v>#REF!</v>
      </c>
      <c r="AE326" s="97" t="e">
        <f t="shared" si="94"/>
        <v>#REF!</v>
      </c>
      <c r="AF326" s="97" t="e">
        <f t="shared" si="94"/>
        <v>#REF!</v>
      </c>
      <c r="AH326" s="98" t="e">
        <f t="shared" si="95"/>
        <v>#REF!</v>
      </c>
      <c r="AI326" s="98" t="e">
        <f t="shared" si="96"/>
        <v>#REF!</v>
      </c>
      <c r="AJ326" s="97" t="e">
        <f t="shared" si="97"/>
        <v>#REF!</v>
      </c>
      <c r="AK326" s="97" t="e">
        <f t="shared" si="97"/>
        <v>#REF!</v>
      </c>
    </row>
    <row r="327" spans="1:37" ht="15" customHeight="1">
      <c r="A327" s="105"/>
      <c r="B327" s="104"/>
      <c r="C327" s="103"/>
      <c r="D327" s="102"/>
      <c r="E327" s="101"/>
      <c r="F327" s="101"/>
      <c r="G327" s="100" t="str">
        <f t="shared" si="84"/>
        <v/>
      </c>
      <c r="H327" s="99" t="str">
        <f t="shared" si="85"/>
        <v/>
      </c>
      <c r="I327" s="106"/>
      <c r="J327" s="2"/>
      <c r="K327" s="2"/>
      <c r="L327" s="2"/>
      <c r="M327" s="2"/>
      <c r="N327" s="2"/>
      <c r="O327" s="2"/>
      <c r="P327" s="2"/>
      <c r="Q327" s="2"/>
      <c r="S327" s="98">
        <f t="shared" si="86"/>
        <v>0</v>
      </c>
      <c r="T327" s="98">
        <f t="shared" si="87"/>
        <v>0</v>
      </c>
      <c r="U327" s="97">
        <f t="shared" si="88"/>
        <v>0</v>
      </c>
      <c r="V327" s="97">
        <f t="shared" si="88"/>
        <v>0</v>
      </c>
      <c r="X327" s="98" t="e">
        <f t="shared" si="89"/>
        <v>#REF!</v>
      </c>
      <c r="Y327" s="98" t="e">
        <f t="shared" si="90"/>
        <v>#REF!</v>
      </c>
      <c r="Z327" s="97" t="e">
        <f t="shared" si="91"/>
        <v>#REF!</v>
      </c>
      <c r="AA327" s="97" t="e">
        <f t="shared" si="91"/>
        <v>#REF!</v>
      </c>
      <c r="AC327" s="98" t="e">
        <f t="shared" si="92"/>
        <v>#REF!</v>
      </c>
      <c r="AD327" s="98" t="e">
        <f t="shared" si="93"/>
        <v>#REF!</v>
      </c>
      <c r="AE327" s="97" t="e">
        <f t="shared" si="94"/>
        <v>#REF!</v>
      </c>
      <c r="AF327" s="97" t="e">
        <f t="shared" si="94"/>
        <v>#REF!</v>
      </c>
      <c r="AH327" s="98" t="e">
        <f t="shared" si="95"/>
        <v>#REF!</v>
      </c>
      <c r="AI327" s="98" t="e">
        <f t="shared" si="96"/>
        <v>#REF!</v>
      </c>
      <c r="AJ327" s="97" t="e">
        <f t="shared" si="97"/>
        <v>#REF!</v>
      </c>
      <c r="AK327" s="97" t="e">
        <f t="shared" si="97"/>
        <v>#REF!</v>
      </c>
    </row>
    <row r="328" spans="1:37" ht="15" customHeight="1">
      <c r="A328" s="105"/>
      <c r="B328" s="104"/>
      <c r="C328" s="103"/>
      <c r="D328" s="102"/>
      <c r="E328" s="101"/>
      <c r="F328" s="101"/>
      <c r="G328" s="100" t="str">
        <f t="shared" si="84"/>
        <v/>
      </c>
      <c r="H328" s="99" t="str">
        <f t="shared" si="85"/>
        <v/>
      </c>
      <c r="I328" s="106"/>
      <c r="J328" s="2"/>
      <c r="K328" s="2"/>
      <c r="L328" s="2"/>
      <c r="M328" s="2"/>
      <c r="N328" s="2"/>
      <c r="O328" s="2"/>
      <c r="P328" s="2"/>
      <c r="Q328" s="2"/>
      <c r="S328" s="98">
        <f t="shared" si="86"/>
        <v>0</v>
      </c>
      <c r="T328" s="98">
        <f t="shared" si="87"/>
        <v>0</v>
      </c>
      <c r="U328" s="97">
        <f t="shared" si="88"/>
        <v>0</v>
      </c>
      <c r="V328" s="97">
        <f t="shared" si="88"/>
        <v>0</v>
      </c>
      <c r="X328" s="98" t="e">
        <f t="shared" si="89"/>
        <v>#REF!</v>
      </c>
      <c r="Y328" s="98" t="e">
        <f t="shared" si="90"/>
        <v>#REF!</v>
      </c>
      <c r="Z328" s="97" t="e">
        <f t="shared" si="91"/>
        <v>#REF!</v>
      </c>
      <c r="AA328" s="97" t="e">
        <f t="shared" si="91"/>
        <v>#REF!</v>
      </c>
      <c r="AC328" s="98" t="e">
        <f t="shared" si="92"/>
        <v>#REF!</v>
      </c>
      <c r="AD328" s="98" t="e">
        <f t="shared" si="93"/>
        <v>#REF!</v>
      </c>
      <c r="AE328" s="97" t="e">
        <f t="shared" si="94"/>
        <v>#REF!</v>
      </c>
      <c r="AF328" s="97" t="e">
        <f t="shared" si="94"/>
        <v>#REF!</v>
      </c>
      <c r="AH328" s="98" t="e">
        <f t="shared" si="95"/>
        <v>#REF!</v>
      </c>
      <c r="AI328" s="98" t="e">
        <f t="shared" si="96"/>
        <v>#REF!</v>
      </c>
      <c r="AJ328" s="97" t="e">
        <f t="shared" si="97"/>
        <v>#REF!</v>
      </c>
      <c r="AK328" s="97" t="e">
        <f t="shared" si="97"/>
        <v>#REF!</v>
      </c>
    </row>
    <row r="329" spans="1:37" ht="15" customHeight="1">
      <c r="A329" s="105"/>
      <c r="B329" s="104"/>
      <c r="C329" s="103"/>
      <c r="D329" s="102"/>
      <c r="E329" s="101"/>
      <c r="F329" s="101"/>
      <c r="G329" s="100" t="str">
        <f t="shared" si="84"/>
        <v/>
      </c>
      <c r="H329" s="99" t="str">
        <f t="shared" si="85"/>
        <v/>
      </c>
      <c r="I329" s="106"/>
      <c r="J329" s="2"/>
      <c r="K329" s="2"/>
      <c r="L329" s="2"/>
      <c r="M329" s="2"/>
      <c r="N329" s="2"/>
      <c r="O329" s="2"/>
      <c r="P329" s="2"/>
      <c r="Q329" s="2"/>
      <c r="S329" s="98">
        <f t="shared" si="86"/>
        <v>0</v>
      </c>
      <c r="T329" s="98">
        <f t="shared" si="87"/>
        <v>0</v>
      </c>
      <c r="U329" s="97">
        <f t="shared" si="88"/>
        <v>0</v>
      </c>
      <c r="V329" s="97">
        <f t="shared" si="88"/>
        <v>0</v>
      </c>
      <c r="X329" s="98" t="e">
        <f t="shared" si="89"/>
        <v>#REF!</v>
      </c>
      <c r="Y329" s="98" t="e">
        <f t="shared" si="90"/>
        <v>#REF!</v>
      </c>
      <c r="Z329" s="97" t="e">
        <f t="shared" si="91"/>
        <v>#REF!</v>
      </c>
      <c r="AA329" s="97" t="e">
        <f t="shared" si="91"/>
        <v>#REF!</v>
      </c>
      <c r="AC329" s="98" t="e">
        <f t="shared" si="92"/>
        <v>#REF!</v>
      </c>
      <c r="AD329" s="98" t="e">
        <f t="shared" si="93"/>
        <v>#REF!</v>
      </c>
      <c r="AE329" s="97" t="e">
        <f t="shared" si="94"/>
        <v>#REF!</v>
      </c>
      <c r="AF329" s="97" t="e">
        <f t="shared" si="94"/>
        <v>#REF!</v>
      </c>
      <c r="AH329" s="98" t="e">
        <f t="shared" si="95"/>
        <v>#REF!</v>
      </c>
      <c r="AI329" s="98" t="e">
        <f t="shared" si="96"/>
        <v>#REF!</v>
      </c>
      <c r="AJ329" s="97" t="e">
        <f t="shared" si="97"/>
        <v>#REF!</v>
      </c>
      <c r="AK329" s="97" t="e">
        <f t="shared" si="97"/>
        <v>#REF!</v>
      </c>
    </row>
    <row r="330" spans="1:37" ht="15" customHeight="1">
      <c r="A330" s="105"/>
      <c r="B330" s="104"/>
      <c r="C330" s="103"/>
      <c r="D330" s="102"/>
      <c r="E330" s="101"/>
      <c r="F330" s="101"/>
      <c r="G330" s="100" t="str">
        <f t="shared" si="84"/>
        <v/>
      </c>
      <c r="H330" s="99" t="str">
        <f t="shared" si="85"/>
        <v/>
      </c>
      <c r="I330" s="106"/>
      <c r="J330" s="2"/>
      <c r="K330" s="2"/>
      <c r="L330" s="2"/>
      <c r="M330" s="2"/>
      <c r="N330" s="2"/>
      <c r="O330" s="2"/>
      <c r="P330" s="2"/>
      <c r="Q330" s="2"/>
      <c r="S330" s="98">
        <f t="shared" si="86"/>
        <v>0</v>
      </c>
      <c r="T330" s="98">
        <f t="shared" si="87"/>
        <v>0</v>
      </c>
      <c r="U330" s="97">
        <f t="shared" si="88"/>
        <v>0</v>
      </c>
      <c r="V330" s="97">
        <f t="shared" si="88"/>
        <v>0</v>
      </c>
      <c r="X330" s="98" t="e">
        <f t="shared" si="89"/>
        <v>#REF!</v>
      </c>
      <c r="Y330" s="98" t="e">
        <f t="shared" si="90"/>
        <v>#REF!</v>
      </c>
      <c r="Z330" s="97" t="e">
        <f t="shared" si="91"/>
        <v>#REF!</v>
      </c>
      <c r="AA330" s="97" t="e">
        <f t="shared" si="91"/>
        <v>#REF!</v>
      </c>
      <c r="AC330" s="98" t="e">
        <f t="shared" si="92"/>
        <v>#REF!</v>
      </c>
      <c r="AD330" s="98" t="e">
        <f t="shared" si="93"/>
        <v>#REF!</v>
      </c>
      <c r="AE330" s="97" t="e">
        <f t="shared" si="94"/>
        <v>#REF!</v>
      </c>
      <c r="AF330" s="97" t="e">
        <f t="shared" si="94"/>
        <v>#REF!</v>
      </c>
      <c r="AH330" s="98" t="e">
        <f t="shared" si="95"/>
        <v>#REF!</v>
      </c>
      <c r="AI330" s="98" t="e">
        <f t="shared" si="96"/>
        <v>#REF!</v>
      </c>
      <c r="AJ330" s="97" t="e">
        <f t="shared" si="97"/>
        <v>#REF!</v>
      </c>
      <c r="AK330" s="97" t="e">
        <f t="shared" si="97"/>
        <v>#REF!</v>
      </c>
    </row>
    <row r="331" spans="1:37" ht="15" customHeight="1">
      <c r="A331" s="105"/>
      <c r="B331" s="104"/>
      <c r="C331" s="103"/>
      <c r="D331" s="102"/>
      <c r="E331" s="101"/>
      <c r="F331" s="101"/>
      <c r="G331" s="100" t="str">
        <f t="shared" si="84"/>
        <v/>
      </c>
      <c r="H331" s="99" t="str">
        <f t="shared" si="85"/>
        <v/>
      </c>
      <c r="I331" s="106"/>
      <c r="J331" s="2"/>
      <c r="K331" s="2"/>
      <c r="L331" s="2"/>
      <c r="M331" s="2"/>
      <c r="N331" s="2"/>
      <c r="O331" s="2"/>
      <c r="P331" s="2"/>
      <c r="Q331" s="2"/>
      <c r="S331" s="98">
        <f t="shared" si="86"/>
        <v>0</v>
      </c>
      <c r="T331" s="98">
        <f t="shared" si="87"/>
        <v>0</v>
      </c>
      <c r="U331" s="97">
        <f t="shared" si="88"/>
        <v>0</v>
      </c>
      <c r="V331" s="97">
        <f t="shared" si="88"/>
        <v>0</v>
      </c>
      <c r="X331" s="98" t="e">
        <f t="shared" si="89"/>
        <v>#REF!</v>
      </c>
      <c r="Y331" s="98" t="e">
        <f t="shared" si="90"/>
        <v>#REF!</v>
      </c>
      <c r="Z331" s="97" t="e">
        <f t="shared" si="91"/>
        <v>#REF!</v>
      </c>
      <c r="AA331" s="97" t="e">
        <f t="shared" si="91"/>
        <v>#REF!</v>
      </c>
      <c r="AC331" s="98" t="e">
        <f t="shared" si="92"/>
        <v>#REF!</v>
      </c>
      <c r="AD331" s="98" t="e">
        <f t="shared" si="93"/>
        <v>#REF!</v>
      </c>
      <c r="AE331" s="97" t="e">
        <f t="shared" si="94"/>
        <v>#REF!</v>
      </c>
      <c r="AF331" s="97" t="e">
        <f t="shared" si="94"/>
        <v>#REF!</v>
      </c>
      <c r="AH331" s="98" t="e">
        <f t="shared" si="95"/>
        <v>#REF!</v>
      </c>
      <c r="AI331" s="98" t="e">
        <f t="shared" si="96"/>
        <v>#REF!</v>
      </c>
      <c r="AJ331" s="97" t="e">
        <f t="shared" si="97"/>
        <v>#REF!</v>
      </c>
      <c r="AK331" s="97" t="e">
        <f t="shared" si="97"/>
        <v>#REF!</v>
      </c>
    </row>
    <row r="332" spans="1:37" ht="15" customHeight="1">
      <c r="A332" s="105"/>
      <c r="B332" s="104"/>
      <c r="C332" s="103"/>
      <c r="D332" s="102"/>
      <c r="E332" s="101"/>
      <c r="F332" s="101"/>
      <c r="G332" s="100" t="str">
        <f t="shared" si="84"/>
        <v/>
      </c>
      <c r="H332" s="99" t="str">
        <f t="shared" si="85"/>
        <v/>
      </c>
      <c r="I332" s="71"/>
      <c r="J332" s="2"/>
      <c r="K332" s="2"/>
      <c r="L332" s="2"/>
      <c r="M332" s="2"/>
      <c r="N332" s="2"/>
      <c r="O332" s="2"/>
      <c r="P332" s="2"/>
      <c r="Q332" s="2"/>
      <c r="S332" s="98">
        <f t="shared" si="86"/>
        <v>0</v>
      </c>
      <c r="T332" s="98">
        <f t="shared" si="87"/>
        <v>0</v>
      </c>
      <c r="U332" s="97">
        <f t="shared" si="88"/>
        <v>0</v>
      </c>
      <c r="V332" s="97">
        <f t="shared" si="88"/>
        <v>0</v>
      </c>
      <c r="X332" s="98" t="e">
        <f t="shared" si="89"/>
        <v>#REF!</v>
      </c>
      <c r="Y332" s="98" t="e">
        <f t="shared" si="90"/>
        <v>#REF!</v>
      </c>
      <c r="Z332" s="97" t="e">
        <f t="shared" si="91"/>
        <v>#REF!</v>
      </c>
      <c r="AA332" s="97" t="e">
        <f t="shared" si="91"/>
        <v>#REF!</v>
      </c>
      <c r="AC332" s="98" t="e">
        <f t="shared" si="92"/>
        <v>#REF!</v>
      </c>
      <c r="AD332" s="98" t="e">
        <f t="shared" si="93"/>
        <v>#REF!</v>
      </c>
      <c r="AE332" s="97" t="e">
        <f t="shared" si="94"/>
        <v>#REF!</v>
      </c>
      <c r="AF332" s="97" t="e">
        <f t="shared" si="94"/>
        <v>#REF!</v>
      </c>
      <c r="AH332" s="98" t="e">
        <f t="shared" si="95"/>
        <v>#REF!</v>
      </c>
      <c r="AI332" s="98" t="e">
        <f t="shared" si="96"/>
        <v>#REF!</v>
      </c>
      <c r="AJ332" s="97" t="e">
        <f t="shared" si="97"/>
        <v>#REF!</v>
      </c>
      <c r="AK332" s="97" t="e">
        <f t="shared" si="97"/>
        <v>#REF!</v>
      </c>
    </row>
    <row r="333" spans="1:37" ht="15" customHeight="1">
      <c r="A333" s="105"/>
      <c r="B333" s="104"/>
      <c r="C333" s="103"/>
      <c r="D333" s="102"/>
      <c r="E333" s="101"/>
      <c r="F333" s="101"/>
      <c r="G333" s="100" t="str">
        <f t="shared" si="84"/>
        <v/>
      </c>
      <c r="H333" s="99" t="str">
        <f t="shared" si="85"/>
        <v/>
      </c>
      <c r="I333" s="71"/>
      <c r="J333" s="2"/>
      <c r="K333" s="2"/>
      <c r="L333" s="2"/>
      <c r="M333" s="2"/>
      <c r="N333" s="2"/>
      <c r="O333" s="2"/>
      <c r="P333" s="2"/>
      <c r="Q333" s="2"/>
      <c r="S333" s="98">
        <f t="shared" si="86"/>
        <v>0</v>
      </c>
      <c r="T333" s="98">
        <f t="shared" si="87"/>
        <v>0</v>
      </c>
      <c r="U333" s="97">
        <f t="shared" si="88"/>
        <v>0</v>
      </c>
      <c r="V333" s="97">
        <f t="shared" si="88"/>
        <v>0</v>
      </c>
      <c r="X333" s="98" t="e">
        <f t="shared" si="89"/>
        <v>#REF!</v>
      </c>
      <c r="Y333" s="98" t="e">
        <f t="shared" si="90"/>
        <v>#REF!</v>
      </c>
      <c r="Z333" s="97" t="e">
        <f t="shared" si="91"/>
        <v>#REF!</v>
      </c>
      <c r="AA333" s="97" t="e">
        <f t="shared" si="91"/>
        <v>#REF!</v>
      </c>
      <c r="AC333" s="98" t="e">
        <f t="shared" si="92"/>
        <v>#REF!</v>
      </c>
      <c r="AD333" s="98" t="e">
        <f t="shared" si="93"/>
        <v>#REF!</v>
      </c>
      <c r="AE333" s="97" t="e">
        <f t="shared" si="94"/>
        <v>#REF!</v>
      </c>
      <c r="AF333" s="97" t="e">
        <f t="shared" si="94"/>
        <v>#REF!</v>
      </c>
      <c r="AH333" s="98" t="e">
        <f t="shared" si="95"/>
        <v>#REF!</v>
      </c>
      <c r="AI333" s="98" t="e">
        <f t="shared" si="96"/>
        <v>#REF!</v>
      </c>
      <c r="AJ333" s="97" t="e">
        <f t="shared" si="97"/>
        <v>#REF!</v>
      </c>
      <c r="AK333" s="97" t="e">
        <f t="shared" si="97"/>
        <v>#REF!</v>
      </c>
    </row>
    <row r="334" spans="1:37" ht="15" customHeight="1">
      <c r="A334" s="105"/>
      <c r="B334" s="104"/>
      <c r="C334" s="103"/>
      <c r="D334" s="102"/>
      <c r="E334" s="101"/>
      <c r="F334" s="101"/>
      <c r="G334" s="100" t="str">
        <f t="shared" si="84"/>
        <v/>
      </c>
      <c r="H334" s="99" t="str">
        <f t="shared" si="85"/>
        <v/>
      </c>
      <c r="I334" s="71"/>
      <c r="J334" s="2"/>
      <c r="K334" s="2"/>
      <c r="L334" s="2"/>
      <c r="M334" s="2"/>
      <c r="N334" s="2"/>
      <c r="O334" s="2"/>
      <c r="P334" s="2"/>
      <c r="Q334" s="2"/>
      <c r="S334" s="98">
        <f t="shared" si="86"/>
        <v>0</v>
      </c>
      <c r="T334" s="98">
        <f t="shared" si="87"/>
        <v>0</v>
      </c>
      <c r="U334" s="97">
        <f t="shared" si="88"/>
        <v>0</v>
      </c>
      <c r="V334" s="97">
        <f t="shared" si="88"/>
        <v>0</v>
      </c>
      <c r="X334" s="98" t="e">
        <f t="shared" si="89"/>
        <v>#REF!</v>
      </c>
      <c r="Y334" s="98" t="e">
        <f t="shared" si="90"/>
        <v>#REF!</v>
      </c>
      <c r="Z334" s="97" t="e">
        <f t="shared" si="91"/>
        <v>#REF!</v>
      </c>
      <c r="AA334" s="97" t="e">
        <f t="shared" si="91"/>
        <v>#REF!</v>
      </c>
      <c r="AC334" s="98" t="e">
        <f t="shared" si="92"/>
        <v>#REF!</v>
      </c>
      <c r="AD334" s="98" t="e">
        <f t="shared" si="93"/>
        <v>#REF!</v>
      </c>
      <c r="AE334" s="97" t="e">
        <f t="shared" si="94"/>
        <v>#REF!</v>
      </c>
      <c r="AF334" s="97" t="e">
        <f t="shared" si="94"/>
        <v>#REF!</v>
      </c>
      <c r="AH334" s="98" t="e">
        <f t="shared" si="95"/>
        <v>#REF!</v>
      </c>
      <c r="AI334" s="98" t="e">
        <f t="shared" si="96"/>
        <v>#REF!</v>
      </c>
      <c r="AJ334" s="97" t="e">
        <f t="shared" si="97"/>
        <v>#REF!</v>
      </c>
      <c r="AK334" s="97" t="e">
        <f t="shared" si="97"/>
        <v>#REF!</v>
      </c>
    </row>
    <row r="335" spans="1:37" ht="15" customHeight="1">
      <c r="A335" s="105"/>
      <c r="B335" s="104"/>
      <c r="C335" s="103"/>
      <c r="D335" s="102"/>
      <c r="E335" s="101"/>
      <c r="F335" s="101"/>
      <c r="G335" s="100" t="str">
        <f t="shared" si="84"/>
        <v/>
      </c>
      <c r="H335" s="99" t="str">
        <f t="shared" si="85"/>
        <v/>
      </c>
      <c r="I335" s="71"/>
      <c r="J335" s="2"/>
      <c r="K335" s="2"/>
      <c r="L335" s="2"/>
      <c r="M335" s="2"/>
      <c r="N335" s="2"/>
      <c r="O335" s="2"/>
      <c r="P335" s="2"/>
      <c r="Q335" s="2"/>
      <c r="S335" s="98">
        <f t="shared" si="86"/>
        <v>0</v>
      </c>
      <c r="T335" s="98">
        <f t="shared" si="87"/>
        <v>0</v>
      </c>
      <c r="U335" s="97">
        <f t="shared" si="88"/>
        <v>0</v>
      </c>
      <c r="V335" s="97">
        <f t="shared" si="88"/>
        <v>0</v>
      </c>
      <c r="X335" s="98" t="e">
        <f t="shared" si="89"/>
        <v>#REF!</v>
      </c>
      <c r="Y335" s="98" t="e">
        <f t="shared" si="90"/>
        <v>#REF!</v>
      </c>
      <c r="Z335" s="97" t="e">
        <f t="shared" si="91"/>
        <v>#REF!</v>
      </c>
      <c r="AA335" s="97" t="e">
        <f t="shared" si="91"/>
        <v>#REF!</v>
      </c>
      <c r="AC335" s="98" t="e">
        <f t="shared" si="92"/>
        <v>#REF!</v>
      </c>
      <c r="AD335" s="98" t="e">
        <f t="shared" si="93"/>
        <v>#REF!</v>
      </c>
      <c r="AE335" s="97" t="e">
        <f t="shared" si="94"/>
        <v>#REF!</v>
      </c>
      <c r="AF335" s="97" t="e">
        <f t="shared" si="94"/>
        <v>#REF!</v>
      </c>
      <c r="AH335" s="98" t="e">
        <f t="shared" si="95"/>
        <v>#REF!</v>
      </c>
      <c r="AI335" s="98" t="e">
        <f t="shared" si="96"/>
        <v>#REF!</v>
      </c>
      <c r="AJ335" s="97" t="e">
        <f t="shared" si="97"/>
        <v>#REF!</v>
      </c>
      <c r="AK335" s="97" t="e">
        <f t="shared" si="97"/>
        <v>#REF!</v>
      </c>
    </row>
    <row r="336" spans="1:37" ht="15" customHeight="1">
      <c r="A336" s="105"/>
      <c r="B336" s="104"/>
      <c r="C336" s="103"/>
      <c r="D336" s="102"/>
      <c r="E336" s="101"/>
      <c r="F336" s="101"/>
      <c r="G336" s="100" t="str">
        <f t="shared" si="84"/>
        <v/>
      </c>
      <c r="H336" s="99" t="str">
        <f t="shared" si="85"/>
        <v/>
      </c>
      <c r="I336" s="71"/>
      <c r="J336" s="2"/>
      <c r="K336" s="2"/>
      <c r="L336" s="2"/>
      <c r="M336" s="2"/>
      <c r="N336" s="2"/>
      <c r="O336" s="2"/>
      <c r="P336" s="2"/>
      <c r="Q336" s="2"/>
      <c r="S336" s="98">
        <f t="shared" si="86"/>
        <v>0</v>
      </c>
      <c r="T336" s="98">
        <f t="shared" si="87"/>
        <v>0</v>
      </c>
      <c r="U336" s="97">
        <f t="shared" si="88"/>
        <v>0</v>
      </c>
      <c r="V336" s="97">
        <f t="shared" si="88"/>
        <v>0</v>
      </c>
      <c r="X336" s="98" t="e">
        <f t="shared" si="89"/>
        <v>#REF!</v>
      </c>
      <c r="Y336" s="98" t="e">
        <f t="shared" si="90"/>
        <v>#REF!</v>
      </c>
      <c r="Z336" s="97" t="e">
        <f t="shared" si="91"/>
        <v>#REF!</v>
      </c>
      <c r="AA336" s="97" t="e">
        <f t="shared" si="91"/>
        <v>#REF!</v>
      </c>
      <c r="AC336" s="98" t="e">
        <f t="shared" si="92"/>
        <v>#REF!</v>
      </c>
      <c r="AD336" s="98" t="e">
        <f t="shared" si="93"/>
        <v>#REF!</v>
      </c>
      <c r="AE336" s="97" t="e">
        <f t="shared" si="94"/>
        <v>#REF!</v>
      </c>
      <c r="AF336" s="97" t="e">
        <f t="shared" si="94"/>
        <v>#REF!</v>
      </c>
      <c r="AH336" s="98" t="e">
        <f t="shared" si="95"/>
        <v>#REF!</v>
      </c>
      <c r="AI336" s="98" t="e">
        <f t="shared" si="96"/>
        <v>#REF!</v>
      </c>
      <c r="AJ336" s="97" t="e">
        <f t="shared" si="97"/>
        <v>#REF!</v>
      </c>
      <c r="AK336" s="97" t="e">
        <f t="shared" si="97"/>
        <v>#REF!</v>
      </c>
    </row>
    <row r="337" spans="1:37" ht="15" customHeight="1">
      <c r="A337" s="105"/>
      <c r="B337" s="104"/>
      <c r="C337" s="103"/>
      <c r="D337" s="102"/>
      <c r="E337" s="101"/>
      <c r="F337" s="101"/>
      <c r="G337" s="100" t="str">
        <f t="shared" si="84"/>
        <v/>
      </c>
      <c r="H337" s="99" t="str">
        <f t="shared" si="85"/>
        <v/>
      </c>
      <c r="I337" s="71"/>
      <c r="J337" s="2"/>
      <c r="K337" s="2"/>
      <c r="L337" s="2"/>
      <c r="M337" s="2"/>
      <c r="N337" s="2"/>
      <c r="O337" s="2"/>
      <c r="P337" s="2"/>
      <c r="Q337" s="2"/>
      <c r="S337" s="98">
        <f t="shared" si="86"/>
        <v>0</v>
      </c>
      <c r="T337" s="98">
        <f t="shared" si="87"/>
        <v>0</v>
      </c>
      <c r="U337" s="97">
        <f t="shared" si="88"/>
        <v>0</v>
      </c>
      <c r="V337" s="97">
        <f t="shared" si="88"/>
        <v>0</v>
      </c>
      <c r="X337" s="98" t="e">
        <f t="shared" si="89"/>
        <v>#REF!</v>
      </c>
      <c r="Y337" s="98" t="e">
        <f t="shared" si="90"/>
        <v>#REF!</v>
      </c>
      <c r="Z337" s="97" t="e">
        <f t="shared" si="91"/>
        <v>#REF!</v>
      </c>
      <c r="AA337" s="97" t="e">
        <f t="shared" si="91"/>
        <v>#REF!</v>
      </c>
      <c r="AC337" s="98" t="e">
        <f t="shared" si="92"/>
        <v>#REF!</v>
      </c>
      <c r="AD337" s="98" t="e">
        <f t="shared" si="93"/>
        <v>#REF!</v>
      </c>
      <c r="AE337" s="97" t="e">
        <f t="shared" si="94"/>
        <v>#REF!</v>
      </c>
      <c r="AF337" s="97" t="e">
        <f t="shared" si="94"/>
        <v>#REF!</v>
      </c>
      <c r="AH337" s="98" t="e">
        <f t="shared" si="95"/>
        <v>#REF!</v>
      </c>
      <c r="AI337" s="98" t="e">
        <f t="shared" si="96"/>
        <v>#REF!</v>
      </c>
      <c r="AJ337" s="97" t="e">
        <f t="shared" si="97"/>
        <v>#REF!</v>
      </c>
      <c r="AK337" s="97" t="e">
        <f t="shared" si="97"/>
        <v>#REF!</v>
      </c>
    </row>
    <row r="338" spans="1:37" ht="15" customHeight="1">
      <c r="A338" s="105"/>
      <c r="B338" s="104"/>
      <c r="C338" s="103"/>
      <c r="D338" s="102"/>
      <c r="E338" s="101"/>
      <c r="F338" s="101"/>
      <c r="G338" s="100" t="str">
        <f t="shared" si="84"/>
        <v/>
      </c>
      <c r="H338" s="99" t="str">
        <f t="shared" si="85"/>
        <v/>
      </c>
      <c r="I338" s="71"/>
      <c r="J338" s="2"/>
      <c r="K338" s="2"/>
      <c r="L338" s="2"/>
      <c r="M338" s="2"/>
      <c r="N338" s="2"/>
      <c r="O338" s="2"/>
      <c r="P338" s="2"/>
      <c r="Q338" s="2"/>
      <c r="S338" s="98">
        <f t="shared" si="86"/>
        <v>0</v>
      </c>
      <c r="T338" s="98">
        <f t="shared" si="87"/>
        <v>0</v>
      </c>
      <c r="U338" s="97">
        <f t="shared" si="88"/>
        <v>0</v>
      </c>
      <c r="V338" s="97">
        <f t="shared" si="88"/>
        <v>0</v>
      </c>
      <c r="X338" s="98" t="e">
        <f t="shared" si="89"/>
        <v>#REF!</v>
      </c>
      <c r="Y338" s="98" t="e">
        <f t="shared" si="90"/>
        <v>#REF!</v>
      </c>
      <c r="Z338" s="97" t="e">
        <f t="shared" si="91"/>
        <v>#REF!</v>
      </c>
      <c r="AA338" s="97" t="e">
        <f t="shared" si="91"/>
        <v>#REF!</v>
      </c>
      <c r="AC338" s="98" t="e">
        <f t="shared" si="92"/>
        <v>#REF!</v>
      </c>
      <c r="AD338" s="98" t="e">
        <f t="shared" si="93"/>
        <v>#REF!</v>
      </c>
      <c r="AE338" s="97" t="e">
        <f t="shared" si="94"/>
        <v>#REF!</v>
      </c>
      <c r="AF338" s="97" t="e">
        <f t="shared" si="94"/>
        <v>#REF!</v>
      </c>
      <c r="AH338" s="98" t="e">
        <f t="shared" si="95"/>
        <v>#REF!</v>
      </c>
      <c r="AI338" s="98" t="e">
        <f t="shared" si="96"/>
        <v>#REF!</v>
      </c>
      <c r="AJ338" s="97" t="e">
        <f t="shared" si="97"/>
        <v>#REF!</v>
      </c>
      <c r="AK338" s="97" t="e">
        <f t="shared" si="97"/>
        <v>#REF!</v>
      </c>
    </row>
    <row r="339" spans="1:37" ht="15" customHeight="1">
      <c r="A339" s="105"/>
      <c r="B339" s="104"/>
      <c r="C339" s="103"/>
      <c r="D339" s="102"/>
      <c r="E339" s="101"/>
      <c r="F339" s="101"/>
      <c r="G339" s="100" t="str">
        <f t="shared" si="84"/>
        <v/>
      </c>
      <c r="H339" s="99" t="str">
        <f t="shared" si="85"/>
        <v/>
      </c>
      <c r="I339" s="71"/>
      <c r="J339" s="2"/>
      <c r="K339" s="2"/>
      <c r="L339" s="2"/>
      <c r="M339" s="2"/>
      <c r="N339" s="2"/>
      <c r="O339" s="2"/>
      <c r="P339" s="2"/>
      <c r="Q339" s="2"/>
      <c r="S339" s="98">
        <f t="shared" si="86"/>
        <v>0</v>
      </c>
      <c r="T339" s="98">
        <f t="shared" si="87"/>
        <v>0</v>
      </c>
      <c r="U339" s="97">
        <f t="shared" si="88"/>
        <v>0</v>
      </c>
      <c r="V339" s="97">
        <f t="shared" si="88"/>
        <v>0</v>
      </c>
      <c r="X339" s="98" t="e">
        <f t="shared" si="89"/>
        <v>#REF!</v>
      </c>
      <c r="Y339" s="98" t="e">
        <f t="shared" si="90"/>
        <v>#REF!</v>
      </c>
      <c r="Z339" s="97" t="e">
        <f t="shared" si="91"/>
        <v>#REF!</v>
      </c>
      <c r="AA339" s="97" t="e">
        <f t="shared" si="91"/>
        <v>#REF!</v>
      </c>
      <c r="AC339" s="98" t="e">
        <f t="shared" si="92"/>
        <v>#REF!</v>
      </c>
      <c r="AD339" s="98" t="e">
        <f t="shared" si="93"/>
        <v>#REF!</v>
      </c>
      <c r="AE339" s="97" t="e">
        <f t="shared" si="94"/>
        <v>#REF!</v>
      </c>
      <c r="AF339" s="97" t="e">
        <f t="shared" si="94"/>
        <v>#REF!</v>
      </c>
      <c r="AH339" s="98" t="e">
        <f t="shared" si="95"/>
        <v>#REF!</v>
      </c>
      <c r="AI339" s="98" t="e">
        <f t="shared" si="96"/>
        <v>#REF!</v>
      </c>
      <c r="AJ339" s="97" t="e">
        <f t="shared" si="97"/>
        <v>#REF!</v>
      </c>
      <c r="AK339" s="97" t="e">
        <f t="shared" si="97"/>
        <v>#REF!</v>
      </c>
    </row>
    <row r="340" spans="1:37" ht="15" customHeight="1">
      <c r="A340" s="105"/>
      <c r="B340" s="104"/>
      <c r="C340" s="103"/>
      <c r="D340" s="102"/>
      <c r="E340" s="101"/>
      <c r="F340" s="101"/>
      <c r="G340" s="100" t="str">
        <f t="shared" si="84"/>
        <v/>
      </c>
      <c r="H340" s="99" t="str">
        <f t="shared" si="85"/>
        <v/>
      </c>
      <c r="I340" s="71"/>
      <c r="J340" s="2"/>
      <c r="K340" s="2"/>
      <c r="L340" s="2"/>
      <c r="M340" s="2"/>
      <c r="N340" s="2"/>
      <c r="O340" s="2"/>
      <c r="P340" s="2"/>
      <c r="Q340" s="2"/>
      <c r="S340" s="98">
        <f t="shared" si="86"/>
        <v>0</v>
      </c>
      <c r="T340" s="98">
        <f t="shared" si="87"/>
        <v>0</v>
      </c>
      <c r="U340" s="97">
        <f t="shared" si="88"/>
        <v>0</v>
      </c>
      <c r="V340" s="97">
        <f t="shared" si="88"/>
        <v>0</v>
      </c>
      <c r="X340" s="98" t="e">
        <f t="shared" si="89"/>
        <v>#REF!</v>
      </c>
      <c r="Y340" s="98" t="e">
        <f t="shared" si="90"/>
        <v>#REF!</v>
      </c>
      <c r="Z340" s="97" t="e">
        <f t="shared" si="91"/>
        <v>#REF!</v>
      </c>
      <c r="AA340" s="97" t="e">
        <f t="shared" si="91"/>
        <v>#REF!</v>
      </c>
      <c r="AC340" s="98" t="e">
        <f t="shared" si="92"/>
        <v>#REF!</v>
      </c>
      <c r="AD340" s="98" t="e">
        <f t="shared" si="93"/>
        <v>#REF!</v>
      </c>
      <c r="AE340" s="97" t="e">
        <f t="shared" si="94"/>
        <v>#REF!</v>
      </c>
      <c r="AF340" s="97" t="e">
        <f t="shared" si="94"/>
        <v>#REF!</v>
      </c>
      <c r="AH340" s="98" t="e">
        <f t="shared" si="95"/>
        <v>#REF!</v>
      </c>
      <c r="AI340" s="98" t="e">
        <f t="shared" si="96"/>
        <v>#REF!</v>
      </c>
      <c r="AJ340" s="97" t="e">
        <f t="shared" si="97"/>
        <v>#REF!</v>
      </c>
      <c r="AK340" s="97" t="e">
        <f t="shared" si="97"/>
        <v>#REF!</v>
      </c>
    </row>
    <row r="341" spans="1:37" ht="15" customHeight="1">
      <c r="A341" s="105"/>
      <c r="B341" s="104"/>
      <c r="C341" s="103"/>
      <c r="D341" s="102"/>
      <c r="E341" s="101"/>
      <c r="F341" s="101"/>
      <c r="G341" s="100" t="str">
        <f t="shared" si="84"/>
        <v/>
      </c>
      <c r="H341" s="99" t="str">
        <f t="shared" si="85"/>
        <v/>
      </c>
      <c r="I341" s="71"/>
      <c r="J341" s="2"/>
      <c r="K341" s="2"/>
      <c r="L341" s="2"/>
      <c r="M341" s="2"/>
      <c r="N341" s="2"/>
      <c r="O341" s="2"/>
      <c r="P341" s="2"/>
      <c r="Q341" s="2"/>
      <c r="S341" s="98">
        <f t="shared" si="86"/>
        <v>0</v>
      </c>
      <c r="T341" s="98">
        <f t="shared" si="87"/>
        <v>0</v>
      </c>
      <c r="U341" s="97">
        <f t="shared" si="88"/>
        <v>0</v>
      </c>
      <c r="V341" s="97">
        <f t="shared" si="88"/>
        <v>0</v>
      </c>
      <c r="X341" s="98" t="e">
        <f t="shared" si="89"/>
        <v>#REF!</v>
      </c>
      <c r="Y341" s="98" t="e">
        <f t="shared" si="90"/>
        <v>#REF!</v>
      </c>
      <c r="Z341" s="97" t="e">
        <f t="shared" si="91"/>
        <v>#REF!</v>
      </c>
      <c r="AA341" s="97" t="e">
        <f t="shared" si="91"/>
        <v>#REF!</v>
      </c>
      <c r="AC341" s="98" t="e">
        <f t="shared" si="92"/>
        <v>#REF!</v>
      </c>
      <c r="AD341" s="98" t="e">
        <f t="shared" si="93"/>
        <v>#REF!</v>
      </c>
      <c r="AE341" s="97" t="e">
        <f t="shared" si="94"/>
        <v>#REF!</v>
      </c>
      <c r="AF341" s="97" t="e">
        <f t="shared" si="94"/>
        <v>#REF!</v>
      </c>
      <c r="AH341" s="98" t="e">
        <f t="shared" si="95"/>
        <v>#REF!</v>
      </c>
      <c r="AI341" s="98" t="e">
        <f t="shared" si="96"/>
        <v>#REF!</v>
      </c>
      <c r="AJ341" s="97" t="e">
        <f t="shared" si="97"/>
        <v>#REF!</v>
      </c>
      <c r="AK341" s="97" t="e">
        <f t="shared" si="97"/>
        <v>#REF!</v>
      </c>
    </row>
    <row r="342" spans="1:37" ht="15" customHeight="1">
      <c r="A342" s="105"/>
      <c r="B342" s="104"/>
      <c r="C342" s="103"/>
      <c r="D342" s="102"/>
      <c r="E342" s="101"/>
      <c r="F342" s="101"/>
      <c r="G342" s="100" t="str">
        <f t="shared" si="84"/>
        <v/>
      </c>
      <c r="H342" s="99" t="str">
        <f t="shared" si="85"/>
        <v/>
      </c>
      <c r="I342" s="71"/>
      <c r="J342" s="2"/>
      <c r="K342" s="2"/>
      <c r="L342" s="2"/>
      <c r="M342" s="2"/>
      <c r="N342" s="2"/>
      <c r="O342" s="2"/>
      <c r="P342" s="2"/>
      <c r="Q342" s="2"/>
      <c r="S342" s="98">
        <f t="shared" si="86"/>
        <v>0</v>
      </c>
      <c r="T342" s="98">
        <f t="shared" si="87"/>
        <v>0</v>
      </c>
      <c r="U342" s="97">
        <f t="shared" si="88"/>
        <v>0</v>
      </c>
      <c r="V342" s="97">
        <f t="shared" si="88"/>
        <v>0</v>
      </c>
      <c r="X342" s="98" t="e">
        <f t="shared" si="89"/>
        <v>#REF!</v>
      </c>
      <c r="Y342" s="98" t="e">
        <f t="shared" si="90"/>
        <v>#REF!</v>
      </c>
      <c r="Z342" s="97" t="e">
        <f t="shared" si="91"/>
        <v>#REF!</v>
      </c>
      <c r="AA342" s="97" t="e">
        <f t="shared" si="91"/>
        <v>#REF!</v>
      </c>
      <c r="AC342" s="98" t="e">
        <f t="shared" si="92"/>
        <v>#REF!</v>
      </c>
      <c r="AD342" s="98" t="e">
        <f t="shared" si="93"/>
        <v>#REF!</v>
      </c>
      <c r="AE342" s="97" t="e">
        <f t="shared" si="94"/>
        <v>#REF!</v>
      </c>
      <c r="AF342" s="97" t="e">
        <f t="shared" si="94"/>
        <v>#REF!</v>
      </c>
      <c r="AH342" s="98" t="e">
        <f t="shared" si="95"/>
        <v>#REF!</v>
      </c>
      <c r="AI342" s="98" t="e">
        <f t="shared" si="96"/>
        <v>#REF!</v>
      </c>
      <c r="AJ342" s="97" t="e">
        <f t="shared" si="97"/>
        <v>#REF!</v>
      </c>
      <c r="AK342" s="97" t="e">
        <f t="shared" si="97"/>
        <v>#REF!</v>
      </c>
    </row>
    <row r="343" spans="1:37" ht="15" customHeight="1">
      <c r="A343" s="105"/>
      <c r="B343" s="104"/>
      <c r="C343" s="103"/>
      <c r="D343" s="102"/>
      <c r="E343" s="101"/>
      <c r="F343" s="101"/>
      <c r="G343" s="100" t="str">
        <f t="shared" si="84"/>
        <v/>
      </c>
      <c r="H343" s="99" t="str">
        <f t="shared" si="85"/>
        <v/>
      </c>
      <c r="I343" s="71"/>
      <c r="J343" s="2"/>
      <c r="K343" s="2"/>
      <c r="L343" s="2"/>
      <c r="M343" s="2"/>
      <c r="N343" s="2"/>
      <c r="O343" s="2"/>
      <c r="P343" s="2"/>
      <c r="Q343" s="2"/>
      <c r="S343" s="98">
        <f t="shared" si="86"/>
        <v>0</v>
      </c>
      <c r="T343" s="98">
        <f t="shared" si="87"/>
        <v>0</v>
      </c>
      <c r="U343" s="97">
        <f t="shared" si="88"/>
        <v>0</v>
      </c>
      <c r="V343" s="97">
        <f t="shared" si="88"/>
        <v>0</v>
      </c>
      <c r="X343" s="98" t="e">
        <f t="shared" si="89"/>
        <v>#REF!</v>
      </c>
      <c r="Y343" s="98" t="e">
        <f t="shared" si="90"/>
        <v>#REF!</v>
      </c>
      <c r="Z343" s="97" t="e">
        <f t="shared" si="91"/>
        <v>#REF!</v>
      </c>
      <c r="AA343" s="97" t="e">
        <f t="shared" si="91"/>
        <v>#REF!</v>
      </c>
      <c r="AC343" s="98" t="e">
        <f t="shared" si="92"/>
        <v>#REF!</v>
      </c>
      <c r="AD343" s="98" t="e">
        <f t="shared" si="93"/>
        <v>#REF!</v>
      </c>
      <c r="AE343" s="97" t="e">
        <f t="shared" si="94"/>
        <v>#REF!</v>
      </c>
      <c r="AF343" s="97" t="e">
        <f t="shared" si="94"/>
        <v>#REF!</v>
      </c>
      <c r="AH343" s="98" t="e">
        <f t="shared" si="95"/>
        <v>#REF!</v>
      </c>
      <c r="AI343" s="98" t="e">
        <f t="shared" si="96"/>
        <v>#REF!</v>
      </c>
      <c r="AJ343" s="97" t="e">
        <f t="shared" si="97"/>
        <v>#REF!</v>
      </c>
      <c r="AK343" s="97" t="e">
        <f t="shared" si="97"/>
        <v>#REF!</v>
      </c>
    </row>
    <row r="344" spans="1:37" ht="15" customHeight="1">
      <c r="A344" s="105"/>
      <c r="B344" s="104"/>
      <c r="C344" s="103"/>
      <c r="D344" s="102"/>
      <c r="E344" s="101"/>
      <c r="F344" s="101"/>
      <c r="G344" s="100" t="str">
        <f t="shared" si="84"/>
        <v/>
      </c>
      <c r="H344" s="99" t="str">
        <f t="shared" si="85"/>
        <v/>
      </c>
      <c r="I344" s="71"/>
      <c r="J344" s="2"/>
      <c r="K344" s="2"/>
      <c r="L344" s="2"/>
      <c r="M344" s="2"/>
      <c r="N344" s="2"/>
      <c r="O344" s="2"/>
      <c r="P344" s="2"/>
      <c r="Q344" s="2"/>
      <c r="S344" s="98">
        <f t="shared" si="86"/>
        <v>0</v>
      </c>
      <c r="T344" s="98">
        <f t="shared" si="87"/>
        <v>0</v>
      </c>
      <c r="U344" s="97">
        <f t="shared" si="88"/>
        <v>0</v>
      </c>
      <c r="V344" s="97">
        <f t="shared" si="88"/>
        <v>0</v>
      </c>
      <c r="X344" s="98" t="e">
        <f t="shared" si="89"/>
        <v>#REF!</v>
      </c>
      <c r="Y344" s="98" t="e">
        <f t="shared" si="90"/>
        <v>#REF!</v>
      </c>
      <c r="Z344" s="97" t="e">
        <f t="shared" si="91"/>
        <v>#REF!</v>
      </c>
      <c r="AA344" s="97" t="e">
        <f t="shared" si="91"/>
        <v>#REF!</v>
      </c>
      <c r="AC344" s="98" t="e">
        <f t="shared" si="92"/>
        <v>#REF!</v>
      </c>
      <c r="AD344" s="98" t="e">
        <f t="shared" si="93"/>
        <v>#REF!</v>
      </c>
      <c r="AE344" s="97" t="e">
        <f t="shared" si="94"/>
        <v>#REF!</v>
      </c>
      <c r="AF344" s="97" t="e">
        <f t="shared" si="94"/>
        <v>#REF!</v>
      </c>
      <c r="AH344" s="98" t="e">
        <f t="shared" si="95"/>
        <v>#REF!</v>
      </c>
      <c r="AI344" s="98" t="e">
        <f t="shared" si="96"/>
        <v>#REF!</v>
      </c>
      <c r="AJ344" s="97" t="e">
        <f t="shared" si="97"/>
        <v>#REF!</v>
      </c>
      <c r="AK344" s="97" t="e">
        <f t="shared" si="97"/>
        <v>#REF!</v>
      </c>
    </row>
    <row r="345" spans="1:37" ht="15" customHeight="1">
      <c r="A345" s="105"/>
      <c r="B345" s="104"/>
      <c r="C345" s="103"/>
      <c r="D345" s="102"/>
      <c r="E345" s="101"/>
      <c r="F345" s="101"/>
      <c r="G345" s="100" t="str">
        <f t="shared" si="84"/>
        <v/>
      </c>
      <c r="H345" s="99" t="str">
        <f t="shared" si="85"/>
        <v/>
      </c>
      <c r="I345" s="71"/>
      <c r="J345" s="2"/>
      <c r="K345" s="2"/>
      <c r="L345" s="2"/>
      <c r="M345" s="2"/>
      <c r="N345" s="2"/>
      <c r="O345" s="2"/>
      <c r="P345" s="2"/>
      <c r="Q345" s="2"/>
      <c r="S345" s="98">
        <f t="shared" si="86"/>
        <v>0</v>
      </c>
      <c r="T345" s="98">
        <f t="shared" si="87"/>
        <v>0</v>
      </c>
      <c r="U345" s="97">
        <f t="shared" si="88"/>
        <v>0</v>
      </c>
      <c r="V345" s="97">
        <f t="shared" si="88"/>
        <v>0</v>
      </c>
      <c r="X345" s="98" t="e">
        <f t="shared" si="89"/>
        <v>#REF!</v>
      </c>
      <c r="Y345" s="98" t="e">
        <f t="shared" si="90"/>
        <v>#REF!</v>
      </c>
      <c r="Z345" s="97" t="e">
        <f t="shared" si="91"/>
        <v>#REF!</v>
      </c>
      <c r="AA345" s="97" t="e">
        <f t="shared" si="91"/>
        <v>#REF!</v>
      </c>
      <c r="AC345" s="98" t="e">
        <f t="shared" si="92"/>
        <v>#REF!</v>
      </c>
      <c r="AD345" s="98" t="e">
        <f t="shared" si="93"/>
        <v>#REF!</v>
      </c>
      <c r="AE345" s="97" t="e">
        <f t="shared" si="94"/>
        <v>#REF!</v>
      </c>
      <c r="AF345" s="97" t="e">
        <f t="shared" si="94"/>
        <v>#REF!</v>
      </c>
      <c r="AH345" s="98" t="e">
        <f t="shared" si="95"/>
        <v>#REF!</v>
      </c>
      <c r="AI345" s="98" t="e">
        <f t="shared" si="96"/>
        <v>#REF!</v>
      </c>
      <c r="AJ345" s="97" t="e">
        <f t="shared" si="97"/>
        <v>#REF!</v>
      </c>
      <c r="AK345" s="97" t="e">
        <f t="shared" si="97"/>
        <v>#REF!</v>
      </c>
    </row>
    <row r="346" spans="1:37" ht="15" customHeight="1">
      <c r="A346" s="105"/>
      <c r="B346" s="104"/>
      <c r="C346" s="103"/>
      <c r="D346" s="102"/>
      <c r="E346" s="101"/>
      <c r="F346" s="101"/>
      <c r="G346" s="100" t="str">
        <f t="shared" si="84"/>
        <v/>
      </c>
      <c r="H346" s="99" t="str">
        <f t="shared" si="85"/>
        <v/>
      </c>
      <c r="I346" s="71"/>
      <c r="J346" s="2"/>
      <c r="K346" s="2"/>
      <c r="L346" s="2"/>
      <c r="M346" s="2"/>
      <c r="N346" s="2"/>
      <c r="O346" s="2"/>
      <c r="P346" s="2"/>
      <c r="Q346" s="2"/>
      <c r="S346" s="98">
        <f t="shared" si="86"/>
        <v>0</v>
      </c>
      <c r="T346" s="98">
        <f t="shared" si="87"/>
        <v>0</v>
      </c>
      <c r="U346" s="97">
        <f t="shared" si="88"/>
        <v>0</v>
      </c>
      <c r="V346" s="97">
        <f t="shared" si="88"/>
        <v>0</v>
      </c>
      <c r="X346" s="98" t="e">
        <f t="shared" si="89"/>
        <v>#REF!</v>
      </c>
      <c r="Y346" s="98" t="e">
        <f t="shared" si="90"/>
        <v>#REF!</v>
      </c>
      <c r="Z346" s="97" t="e">
        <f t="shared" si="91"/>
        <v>#REF!</v>
      </c>
      <c r="AA346" s="97" t="e">
        <f t="shared" si="91"/>
        <v>#REF!</v>
      </c>
      <c r="AC346" s="98" t="e">
        <f t="shared" si="92"/>
        <v>#REF!</v>
      </c>
      <c r="AD346" s="98" t="e">
        <f t="shared" si="93"/>
        <v>#REF!</v>
      </c>
      <c r="AE346" s="97" t="e">
        <f t="shared" si="94"/>
        <v>#REF!</v>
      </c>
      <c r="AF346" s="97" t="e">
        <f t="shared" si="94"/>
        <v>#REF!</v>
      </c>
      <c r="AH346" s="98" t="e">
        <f t="shared" si="95"/>
        <v>#REF!</v>
      </c>
      <c r="AI346" s="98" t="e">
        <f t="shared" si="96"/>
        <v>#REF!</v>
      </c>
      <c r="AJ346" s="97" t="e">
        <f t="shared" si="97"/>
        <v>#REF!</v>
      </c>
      <c r="AK346" s="97" t="e">
        <f t="shared" si="97"/>
        <v>#REF!</v>
      </c>
    </row>
    <row r="347" spans="1:37" ht="15" customHeight="1">
      <c r="A347" s="105"/>
      <c r="B347" s="104"/>
      <c r="C347" s="103"/>
      <c r="D347" s="102"/>
      <c r="E347" s="101"/>
      <c r="F347" s="101"/>
      <c r="G347" s="100" t="str">
        <f t="shared" si="84"/>
        <v/>
      </c>
      <c r="H347" s="99" t="str">
        <f t="shared" si="85"/>
        <v/>
      </c>
      <c r="I347" s="71"/>
      <c r="J347" s="2"/>
      <c r="K347" s="2"/>
      <c r="L347" s="2"/>
      <c r="M347" s="2"/>
      <c r="N347" s="2"/>
      <c r="O347" s="2"/>
      <c r="P347" s="2"/>
      <c r="Q347" s="2"/>
      <c r="S347" s="98">
        <f t="shared" si="86"/>
        <v>0</v>
      </c>
      <c r="T347" s="98">
        <f t="shared" si="87"/>
        <v>0</v>
      </c>
      <c r="U347" s="97">
        <f t="shared" si="88"/>
        <v>0</v>
      </c>
      <c r="V347" s="97">
        <f t="shared" si="88"/>
        <v>0</v>
      </c>
      <c r="X347" s="98" t="e">
        <f t="shared" si="89"/>
        <v>#REF!</v>
      </c>
      <c r="Y347" s="98" t="e">
        <f t="shared" si="90"/>
        <v>#REF!</v>
      </c>
      <c r="Z347" s="97" t="e">
        <f t="shared" si="91"/>
        <v>#REF!</v>
      </c>
      <c r="AA347" s="97" t="e">
        <f t="shared" si="91"/>
        <v>#REF!</v>
      </c>
      <c r="AC347" s="98" t="e">
        <f t="shared" si="92"/>
        <v>#REF!</v>
      </c>
      <c r="AD347" s="98" t="e">
        <f t="shared" si="93"/>
        <v>#REF!</v>
      </c>
      <c r="AE347" s="97" t="e">
        <f t="shared" si="94"/>
        <v>#REF!</v>
      </c>
      <c r="AF347" s="97" t="e">
        <f t="shared" si="94"/>
        <v>#REF!</v>
      </c>
      <c r="AH347" s="98" t="e">
        <f t="shared" si="95"/>
        <v>#REF!</v>
      </c>
      <c r="AI347" s="98" t="e">
        <f t="shared" si="96"/>
        <v>#REF!</v>
      </c>
      <c r="AJ347" s="97" t="e">
        <f t="shared" si="97"/>
        <v>#REF!</v>
      </c>
      <c r="AK347" s="97" t="e">
        <f t="shared" si="97"/>
        <v>#REF!</v>
      </c>
    </row>
    <row r="348" spans="1:37" ht="15" customHeight="1">
      <c r="A348" s="105"/>
      <c r="B348" s="104"/>
      <c r="C348" s="103"/>
      <c r="D348" s="102"/>
      <c r="E348" s="101"/>
      <c r="F348" s="101"/>
      <c r="G348" s="100" t="str">
        <f t="shared" si="84"/>
        <v/>
      </c>
      <c r="H348" s="99" t="str">
        <f t="shared" si="85"/>
        <v/>
      </c>
      <c r="I348" s="71"/>
      <c r="J348" s="2"/>
      <c r="K348" s="2"/>
      <c r="L348" s="2"/>
      <c r="M348" s="2"/>
      <c r="N348" s="2"/>
      <c r="O348" s="2"/>
      <c r="P348" s="2"/>
      <c r="Q348" s="2"/>
      <c r="S348" s="98">
        <f t="shared" si="86"/>
        <v>0</v>
      </c>
      <c r="T348" s="98">
        <f t="shared" si="87"/>
        <v>0</v>
      </c>
      <c r="U348" s="97">
        <f t="shared" si="88"/>
        <v>0</v>
      </c>
      <c r="V348" s="97">
        <f t="shared" si="88"/>
        <v>0</v>
      </c>
      <c r="X348" s="98" t="e">
        <f t="shared" si="89"/>
        <v>#REF!</v>
      </c>
      <c r="Y348" s="98" t="e">
        <f t="shared" si="90"/>
        <v>#REF!</v>
      </c>
      <c r="Z348" s="97" t="e">
        <f t="shared" si="91"/>
        <v>#REF!</v>
      </c>
      <c r="AA348" s="97" t="e">
        <f t="shared" si="91"/>
        <v>#REF!</v>
      </c>
      <c r="AC348" s="98" t="e">
        <f t="shared" si="92"/>
        <v>#REF!</v>
      </c>
      <c r="AD348" s="98" t="e">
        <f t="shared" si="93"/>
        <v>#REF!</v>
      </c>
      <c r="AE348" s="97" t="e">
        <f t="shared" si="94"/>
        <v>#REF!</v>
      </c>
      <c r="AF348" s="97" t="e">
        <f t="shared" si="94"/>
        <v>#REF!</v>
      </c>
      <c r="AH348" s="98" t="e">
        <f t="shared" si="95"/>
        <v>#REF!</v>
      </c>
      <c r="AI348" s="98" t="e">
        <f t="shared" si="96"/>
        <v>#REF!</v>
      </c>
      <c r="AJ348" s="97" t="e">
        <f t="shared" si="97"/>
        <v>#REF!</v>
      </c>
      <c r="AK348" s="97" t="e">
        <f t="shared" si="97"/>
        <v>#REF!</v>
      </c>
    </row>
    <row r="349" spans="1:37" ht="15" customHeight="1">
      <c r="A349" s="105"/>
      <c r="B349" s="104"/>
      <c r="C349" s="103"/>
      <c r="D349" s="102"/>
      <c r="E349" s="101"/>
      <c r="F349" s="101"/>
      <c r="G349" s="100" t="str">
        <f t="shared" si="84"/>
        <v/>
      </c>
      <c r="H349" s="99" t="str">
        <f t="shared" si="85"/>
        <v/>
      </c>
      <c r="I349" s="71"/>
      <c r="J349" s="2"/>
      <c r="K349" s="2"/>
      <c r="L349" s="2"/>
      <c r="M349" s="2"/>
      <c r="N349" s="2"/>
      <c r="O349" s="2"/>
      <c r="P349" s="2"/>
      <c r="Q349" s="2"/>
      <c r="S349" s="98">
        <f t="shared" si="86"/>
        <v>0</v>
      </c>
      <c r="T349" s="98">
        <f t="shared" si="87"/>
        <v>0</v>
      </c>
      <c r="U349" s="97">
        <f t="shared" si="88"/>
        <v>0</v>
      </c>
      <c r="V349" s="97">
        <f t="shared" si="88"/>
        <v>0</v>
      </c>
      <c r="X349" s="98" t="e">
        <f t="shared" si="89"/>
        <v>#REF!</v>
      </c>
      <c r="Y349" s="98" t="e">
        <f t="shared" si="90"/>
        <v>#REF!</v>
      </c>
      <c r="Z349" s="97" t="e">
        <f t="shared" si="91"/>
        <v>#REF!</v>
      </c>
      <c r="AA349" s="97" t="e">
        <f t="shared" si="91"/>
        <v>#REF!</v>
      </c>
      <c r="AC349" s="98" t="e">
        <f t="shared" si="92"/>
        <v>#REF!</v>
      </c>
      <c r="AD349" s="98" t="e">
        <f t="shared" si="93"/>
        <v>#REF!</v>
      </c>
      <c r="AE349" s="97" t="e">
        <f t="shared" si="94"/>
        <v>#REF!</v>
      </c>
      <c r="AF349" s="97" t="e">
        <f t="shared" si="94"/>
        <v>#REF!</v>
      </c>
      <c r="AH349" s="98" t="e">
        <f t="shared" si="95"/>
        <v>#REF!</v>
      </c>
      <c r="AI349" s="98" t="e">
        <f t="shared" si="96"/>
        <v>#REF!</v>
      </c>
      <c r="AJ349" s="97" t="e">
        <f t="shared" si="97"/>
        <v>#REF!</v>
      </c>
      <c r="AK349" s="97" t="e">
        <f t="shared" si="97"/>
        <v>#REF!</v>
      </c>
    </row>
    <row r="350" spans="1:37" ht="15" customHeight="1">
      <c r="A350" s="105"/>
      <c r="B350" s="104"/>
      <c r="C350" s="103"/>
      <c r="D350" s="102"/>
      <c r="E350" s="101"/>
      <c r="F350" s="101"/>
      <c r="G350" s="100" t="str">
        <f t="shared" si="84"/>
        <v/>
      </c>
      <c r="H350" s="99" t="str">
        <f t="shared" si="85"/>
        <v/>
      </c>
      <c r="I350" s="71"/>
      <c r="J350" s="2"/>
      <c r="K350" s="2"/>
      <c r="L350" s="2"/>
      <c r="M350" s="2"/>
      <c r="N350" s="2"/>
      <c r="O350" s="2"/>
      <c r="P350" s="2"/>
      <c r="Q350" s="2"/>
      <c r="S350" s="98">
        <f t="shared" si="86"/>
        <v>0</v>
      </c>
      <c r="T350" s="98">
        <f t="shared" si="87"/>
        <v>0</v>
      </c>
      <c r="U350" s="97">
        <f t="shared" si="88"/>
        <v>0</v>
      </c>
      <c r="V350" s="97">
        <f t="shared" si="88"/>
        <v>0</v>
      </c>
      <c r="X350" s="98" t="e">
        <f t="shared" si="89"/>
        <v>#REF!</v>
      </c>
      <c r="Y350" s="98" t="e">
        <f t="shared" si="90"/>
        <v>#REF!</v>
      </c>
      <c r="Z350" s="97" t="e">
        <f t="shared" si="91"/>
        <v>#REF!</v>
      </c>
      <c r="AA350" s="97" t="e">
        <f t="shared" si="91"/>
        <v>#REF!</v>
      </c>
      <c r="AC350" s="98" t="e">
        <f t="shared" si="92"/>
        <v>#REF!</v>
      </c>
      <c r="AD350" s="98" t="e">
        <f t="shared" si="93"/>
        <v>#REF!</v>
      </c>
      <c r="AE350" s="97" t="e">
        <f t="shared" si="94"/>
        <v>#REF!</v>
      </c>
      <c r="AF350" s="97" t="e">
        <f t="shared" si="94"/>
        <v>#REF!</v>
      </c>
      <c r="AH350" s="98" t="e">
        <f t="shared" si="95"/>
        <v>#REF!</v>
      </c>
      <c r="AI350" s="98" t="e">
        <f t="shared" si="96"/>
        <v>#REF!</v>
      </c>
      <c r="AJ350" s="97" t="e">
        <f t="shared" si="97"/>
        <v>#REF!</v>
      </c>
      <c r="AK350" s="97" t="e">
        <f t="shared" si="97"/>
        <v>#REF!</v>
      </c>
    </row>
    <row r="351" spans="1:37" ht="15" customHeight="1">
      <c r="A351" s="105"/>
      <c r="B351" s="104"/>
      <c r="C351" s="103"/>
      <c r="D351" s="102"/>
      <c r="E351" s="101"/>
      <c r="F351" s="101"/>
      <c r="G351" s="100" t="str">
        <f t="shared" si="84"/>
        <v/>
      </c>
      <c r="H351" s="99" t="str">
        <f t="shared" si="85"/>
        <v/>
      </c>
      <c r="I351" s="71"/>
      <c r="J351" s="2"/>
      <c r="K351" s="2"/>
      <c r="L351" s="2"/>
      <c r="M351" s="2"/>
      <c r="N351" s="2"/>
      <c r="O351" s="2"/>
      <c r="P351" s="2"/>
      <c r="Q351" s="2"/>
      <c r="S351" s="98">
        <f t="shared" si="86"/>
        <v>0</v>
      </c>
      <c r="T351" s="98">
        <f t="shared" si="87"/>
        <v>0</v>
      </c>
      <c r="U351" s="97">
        <f t="shared" si="88"/>
        <v>0</v>
      </c>
      <c r="V351" s="97">
        <f t="shared" si="88"/>
        <v>0</v>
      </c>
      <c r="X351" s="98" t="e">
        <f t="shared" si="89"/>
        <v>#REF!</v>
      </c>
      <c r="Y351" s="98" t="e">
        <f t="shared" si="90"/>
        <v>#REF!</v>
      </c>
      <c r="Z351" s="97" t="e">
        <f t="shared" si="91"/>
        <v>#REF!</v>
      </c>
      <c r="AA351" s="97" t="e">
        <f t="shared" si="91"/>
        <v>#REF!</v>
      </c>
      <c r="AC351" s="98" t="e">
        <f t="shared" si="92"/>
        <v>#REF!</v>
      </c>
      <c r="AD351" s="98" t="e">
        <f t="shared" si="93"/>
        <v>#REF!</v>
      </c>
      <c r="AE351" s="97" t="e">
        <f t="shared" si="94"/>
        <v>#REF!</v>
      </c>
      <c r="AF351" s="97" t="e">
        <f t="shared" si="94"/>
        <v>#REF!</v>
      </c>
      <c r="AH351" s="98" t="e">
        <f t="shared" si="95"/>
        <v>#REF!</v>
      </c>
      <c r="AI351" s="98" t="e">
        <f t="shared" si="96"/>
        <v>#REF!</v>
      </c>
      <c r="AJ351" s="97" t="e">
        <f t="shared" si="97"/>
        <v>#REF!</v>
      </c>
      <c r="AK351" s="97" t="e">
        <f t="shared" si="97"/>
        <v>#REF!</v>
      </c>
    </row>
    <row r="352" spans="1:37" ht="15" customHeight="1">
      <c r="A352" s="105"/>
      <c r="B352" s="104"/>
      <c r="C352" s="103"/>
      <c r="D352" s="102"/>
      <c r="E352" s="101"/>
      <c r="F352" s="101"/>
      <c r="G352" s="100" t="str">
        <f t="shared" si="84"/>
        <v/>
      </c>
      <c r="H352" s="99" t="str">
        <f t="shared" si="85"/>
        <v/>
      </c>
      <c r="I352" s="71"/>
      <c r="J352" s="2"/>
      <c r="K352" s="2"/>
      <c r="L352" s="2"/>
      <c r="M352" s="2"/>
      <c r="N352" s="2"/>
      <c r="O352" s="2"/>
      <c r="P352" s="2"/>
      <c r="Q352" s="2"/>
      <c r="S352" s="98">
        <f t="shared" si="86"/>
        <v>0</v>
      </c>
      <c r="T352" s="98">
        <f t="shared" si="87"/>
        <v>0</v>
      </c>
      <c r="U352" s="97">
        <f t="shared" si="88"/>
        <v>0</v>
      </c>
      <c r="V352" s="97">
        <f t="shared" si="88"/>
        <v>0</v>
      </c>
      <c r="X352" s="98" t="e">
        <f t="shared" si="89"/>
        <v>#REF!</v>
      </c>
      <c r="Y352" s="98" t="e">
        <f t="shared" si="90"/>
        <v>#REF!</v>
      </c>
      <c r="Z352" s="97" t="e">
        <f t="shared" si="91"/>
        <v>#REF!</v>
      </c>
      <c r="AA352" s="97" t="e">
        <f t="shared" si="91"/>
        <v>#REF!</v>
      </c>
      <c r="AC352" s="98" t="e">
        <f t="shared" si="92"/>
        <v>#REF!</v>
      </c>
      <c r="AD352" s="98" t="e">
        <f t="shared" si="93"/>
        <v>#REF!</v>
      </c>
      <c r="AE352" s="97" t="e">
        <f t="shared" si="94"/>
        <v>#REF!</v>
      </c>
      <c r="AF352" s="97" t="e">
        <f t="shared" si="94"/>
        <v>#REF!</v>
      </c>
      <c r="AH352" s="98" t="e">
        <f t="shared" si="95"/>
        <v>#REF!</v>
      </c>
      <c r="AI352" s="98" t="e">
        <f t="shared" si="96"/>
        <v>#REF!</v>
      </c>
      <c r="AJ352" s="97" t="e">
        <f t="shared" si="97"/>
        <v>#REF!</v>
      </c>
      <c r="AK352" s="97" t="e">
        <f t="shared" si="97"/>
        <v>#REF!</v>
      </c>
    </row>
    <row r="353" spans="1:37" ht="15" customHeight="1">
      <c r="A353" s="105"/>
      <c r="B353" s="104"/>
      <c r="C353" s="103"/>
      <c r="D353" s="102"/>
      <c r="E353" s="101"/>
      <c r="F353" s="101"/>
      <c r="G353" s="100" t="str">
        <f t="shared" si="84"/>
        <v/>
      </c>
      <c r="H353" s="99" t="str">
        <f t="shared" si="85"/>
        <v/>
      </c>
      <c r="I353" s="106"/>
      <c r="J353" s="2"/>
      <c r="K353" s="2"/>
      <c r="L353" s="2"/>
      <c r="M353" s="2"/>
      <c r="N353" s="2"/>
      <c r="O353" s="2"/>
      <c r="P353" s="2"/>
      <c r="Q353" s="2"/>
      <c r="S353" s="98">
        <f t="shared" si="86"/>
        <v>0</v>
      </c>
      <c r="T353" s="98">
        <f t="shared" si="87"/>
        <v>0</v>
      </c>
      <c r="U353" s="97">
        <f t="shared" si="88"/>
        <v>0</v>
      </c>
      <c r="V353" s="97">
        <f t="shared" si="88"/>
        <v>0</v>
      </c>
      <c r="X353" s="98" t="e">
        <f t="shared" si="89"/>
        <v>#REF!</v>
      </c>
      <c r="Y353" s="98" t="e">
        <f t="shared" si="90"/>
        <v>#REF!</v>
      </c>
      <c r="Z353" s="97" t="e">
        <f t="shared" si="91"/>
        <v>#REF!</v>
      </c>
      <c r="AA353" s="97" t="e">
        <f t="shared" si="91"/>
        <v>#REF!</v>
      </c>
      <c r="AC353" s="98" t="e">
        <f t="shared" si="92"/>
        <v>#REF!</v>
      </c>
      <c r="AD353" s="98" t="e">
        <f t="shared" si="93"/>
        <v>#REF!</v>
      </c>
      <c r="AE353" s="97" t="e">
        <f t="shared" si="94"/>
        <v>#REF!</v>
      </c>
      <c r="AF353" s="97" t="e">
        <f t="shared" si="94"/>
        <v>#REF!</v>
      </c>
      <c r="AH353" s="98" t="e">
        <f t="shared" si="95"/>
        <v>#REF!</v>
      </c>
      <c r="AI353" s="98" t="e">
        <f t="shared" si="96"/>
        <v>#REF!</v>
      </c>
      <c r="AJ353" s="97" t="e">
        <f t="shared" si="97"/>
        <v>#REF!</v>
      </c>
      <c r="AK353" s="97" t="e">
        <f t="shared" si="97"/>
        <v>#REF!</v>
      </c>
    </row>
    <row r="354" spans="1:37" ht="15" customHeight="1">
      <c r="A354" s="105"/>
      <c r="B354" s="104"/>
      <c r="C354" s="103"/>
      <c r="D354" s="102"/>
      <c r="E354" s="101"/>
      <c r="F354" s="101"/>
      <c r="G354" s="100" t="str">
        <f t="shared" si="84"/>
        <v/>
      </c>
      <c r="H354" s="99" t="str">
        <f t="shared" si="85"/>
        <v/>
      </c>
      <c r="I354" s="71"/>
      <c r="J354" s="2"/>
      <c r="K354" s="2"/>
      <c r="L354" s="2"/>
      <c r="M354" s="2"/>
      <c r="N354" s="2"/>
      <c r="O354" s="2"/>
      <c r="P354" s="2"/>
      <c r="Q354" s="2"/>
      <c r="S354" s="98">
        <f t="shared" si="86"/>
        <v>0</v>
      </c>
      <c r="T354" s="98">
        <f t="shared" si="87"/>
        <v>0</v>
      </c>
      <c r="U354" s="97">
        <f t="shared" si="88"/>
        <v>0</v>
      </c>
      <c r="V354" s="97">
        <f t="shared" si="88"/>
        <v>0</v>
      </c>
      <c r="X354" s="98" t="e">
        <f t="shared" si="89"/>
        <v>#REF!</v>
      </c>
      <c r="Y354" s="98" t="e">
        <f t="shared" si="90"/>
        <v>#REF!</v>
      </c>
      <c r="Z354" s="97" t="e">
        <f t="shared" si="91"/>
        <v>#REF!</v>
      </c>
      <c r="AA354" s="97" t="e">
        <f t="shared" si="91"/>
        <v>#REF!</v>
      </c>
      <c r="AC354" s="98" t="e">
        <f t="shared" si="92"/>
        <v>#REF!</v>
      </c>
      <c r="AD354" s="98" t="e">
        <f t="shared" si="93"/>
        <v>#REF!</v>
      </c>
      <c r="AE354" s="97" t="e">
        <f t="shared" si="94"/>
        <v>#REF!</v>
      </c>
      <c r="AF354" s="97" t="e">
        <f t="shared" si="94"/>
        <v>#REF!</v>
      </c>
      <c r="AH354" s="98" t="e">
        <f t="shared" si="95"/>
        <v>#REF!</v>
      </c>
      <c r="AI354" s="98" t="e">
        <f t="shared" si="96"/>
        <v>#REF!</v>
      </c>
      <c r="AJ354" s="97" t="e">
        <f t="shared" si="97"/>
        <v>#REF!</v>
      </c>
      <c r="AK354" s="97" t="e">
        <f t="shared" si="97"/>
        <v>#REF!</v>
      </c>
    </row>
    <row r="355" spans="1:37" ht="15" customHeight="1">
      <c r="A355" s="105"/>
      <c r="B355" s="104"/>
      <c r="C355" s="103"/>
      <c r="D355" s="102"/>
      <c r="E355" s="101"/>
      <c r="F355" s="101"/>
      <c r="G355" s="100" t="str">
        <f t="shared" si="84"/>
        <v/>
      </c>
      <c r="H355" s="99" t="str">
        <f t="shared" si="85"/>
        <v/>
      </c>
      <c r="I355" s="71"/>
      <c r="J355" s="2"/>
      <c r="K355" s="2"/>
      <c r="L355" s="2"/>
      <c r="M355" s="2"/>
      <c r="N355" s="2"/>
      <c r="O355" s="2"/>
      <c r="P355" s="2"/>
      <c r="Q355" s="2"/>
      <c r="S355" s="98">
        <f t="shared" si="86"/>
        <v>0</v>
      </c>
      <c r="T355" s="98">
        <f t="shared" si="87"/>
        <v>0</v>
      </c>
      <c r="U355" s="97">
        <f t="shared" si="88"/>
        <v>0</v>
      </c>
      <c r="V355" s="97">
        <f t="shared" si="88"/>
        <v>0</v>
      </c>
      <c r="X355" s="98" t="e">
        <f t="shared" si="89"/>
        <v>#REF!</v>
      </c>
      <c r="Y355" s="98" t="e">
        <f t="shared" si="90"/>
        <v>#REF!</v>
      </c>
      <c r="Z355" s="97" t="e">
        <f t="shared" si="91"/>
        <v>#REF!</v>
      </c>
      <c r="AA355" s="97" t="e">
        <f t="shared" si="91"/>
        <v>#REF!</v>
      </c>
      <c r="AC355" s="98" t="e">
        <f t="shared" si="92"/>
        <v>#REF!</v>
      </c>
      <c r="AD355" s="98" t="e">
        <f t="shared" si="93"/>
        <v>#REF!</v>
      </c>
      <c r="AE355" s="97" t="e">
        <f t="shared" si="94"/>
        <v>#REF!</v>
      </c>
      <c r="AF355" s="97" t="e">
        <f t="shared" si="94"/>
        <v>#REF!</v>
      </c>
      <c r="AH355" s="98" t="e">
        <f t="shared" si="95"/>
        <v>#REF!</v>
      </c>
      <c r="AI355" s="98" t="e">
        <f t="shared" si="96"/>
        <v>#REF!</v>
      </c>
      <c r="AJ355" s="97" t="e">
        <f t="shared" si="97"/>
        <v>#REF!</v>
      </c>
      <c r="AK355" s="97" t="e">
        <f t="shared" si="97"/>
        <v>#REF!</v>
      </c>
    </row>
    <row r="356" spans="1:37" ht="15" customHeight="1">
      <c r="A356" s="105"/>
      <c r="B356" s="104"/>
      <c r="C356" s="103"/>
      <c r="D356" s="102"/>
      <c r="E356" s="101"/>
      <c r="F356" s="101"/>
      <c r="G356" s="100" t="str">
        <f t="shared" si="84"/>
        <v/>
      </c>
      <c r="H356" s="99" t="str">
        <f t="shared" si="85"/>
        <v/>
      </c>
      <c r="I356" s="71"/>
      <c r="J356" s="2"/>
      <c r="K356" s="2"/>
      <c r="L356" s="2"/>
      <c r="M356" s="2"/>
      <c r="N356" s="2"/>
      <c r="O356" s="2"/>
      <c r="P356" s="2"/>
      <c r="Q356" s="2"/>
      <c r="S356" s="98">
        <f t="shared" si="86"/>
        <v>0</v>
      </c>
      <c r="T356" s="98">
        <f t="shared" si="87"/>
        <v>0</v>
      </c>
      <c r="U356" s="97">
        <f t="shared" si="88"/>
        <v>0</v>
      </c>
      <c r="V356" s="97">
        <f t="shared" si="88"/>
        <v>0</v>
      </c>
      <c r="X356" s="98" t="e">
        <f t="shared" si="89"/>
        <v>#REF!</v>
      </c>
      <c r="Y356" s="98" t="e">
        <f t="shared" si="90"/>
        <v>#REF!</v>
      </c>
      <c r="Z356" s="97" t="e">
        <f t="shared" si="91"/>
        <v>#REF!</v>
      </c>
      <c r="AA356" s="97" t="e">
        <f t="shared" si="91"/>
        <v>#REF!</v>
      </c>
      <c r="AC356" s="98" t="e">
        <f t="shared" si="92"/>
        <v>#REF!</v>
      </c>
      <c r="AD356" s="98" t="e">
        <f t="shared" si="93"/>
        <v>#REF!</v>
      </c>
      <c r="AE356" s="97" t="e">
        <f t="shared" si="94"/>
        <v>#REF!</v>
      </c>
      <c r="AF356" s="97" t="e">
        <f t="shared" si="94"/>
        <v>#REF!</v>
      </c>
      <c r="AH356" s="98" t="e">
        <f t="shared" si="95"/>
        <v>#REF!</v>
      </c>
      <c r="AI356" s="98" t="e">
        <f t="shared" si="96"/>
        <v>#REF!</v>
      </c>
      <c r="AJ356" s="97" t="e">
        <f t="shared" si="97"/>
        <v>#REF!</v>
      </c>
      <c r="AK356" s="97" t="e">
        <f t="shared" si="97"/>
        <v>#REF!</v>
      </c>
    </row>
    <row r="357" spans="1:37" ht="15" customHeight="1">
      <c r="A357" s="105"/>
      <c r="B357" s="104"/>
      <c r="C357" s="103"/>
      <c r="D357" s="102"/>
      <c r="E357" s="101"/>
      <c r="F357" s="101"/>
      <c r="G357" s="100" t="str">
        <f t="shared" si="84"/>
        <v/>
      </c>
      <c r="H357" s="99" t="str">
        <f t="shared" si="85"/>
        <v/>
      </c>
      <c r="I357" s="71"/>
      <c r="J357" s="2"/>
      <c r="K357" s="2"/>
      <c r="L357" s="2"/>
      <c r="M357" s="2"/>
      <c r="N357" s="2"/>
      <c r="O357" s="2"/>
      <c r="P357" s="2"/>
      <c r="Q357" s="2"/>
      <c r="S357" s="98">
        <f t="shared" si="86"/>
        <v>0</v>
      </c>
      <c r="T357" s="98">
        <f t="shared" si="87"/>
        <v>0</v>
      </c>
      <c r="U357" s="97">
        <f t="shared" si="88"/>
        <v>0</v>
      </c>
      <c r="V357" s="97">
        <f t="shared" si="88"/>
        <v>0</v>
      </c>
      <c r="X357" s="98" t="e">
        <f t="shared" si="89"/>
        <v>#REF!</v>
      </c>
      <c r="Y357" s="98" t="e">
        <f t="shared" si="90"/>
        <v>#REF!</v>
      </c>
      <c r="Z357" s="97" t="e">
        <f t="shared" si="91"/>
        <v>#REF!</v>
      </c>
      <c r="AA357" s="97" t="e">
        <f t="shared" si="91"/>
        <v>#REF!</v>
      </c>
      <c r="AC357" s="98" t="e">
        <f t="shared" si="92"/>
        <v>#REF!</v>
      </c>
      <c r="AD357" s="98" t="e">
        <f t="shared" si="93"/>
        <v>#REF!</v>
      </c>
      <c r="AE357" s="97" t="e">
        <f t="shared" si="94"/>
        <v>#REF!</v>
      </c>
      <c r="AF357" s="97" t="e">
        <f t="shared" si="94"/>
        <v>#REF!</v>
      </c>
      <c r="AH357" s="98" t="e">
        <f t="shared" si="95"/>
        <v>#REF!</v>
      </c>
      <c r="AI357" s="98" t="e">
        <f t="shared" si="96"/>
        <v>#REF!</v>
      </c>
      <c r="AJ357" s="97" t="e">
        <f t="shared" si="97"/>
        <v>#REF!</v>
      </c>
      <c r="AK357" s="97" t="e">
        <f t="shared" si="97"/>
        <v>#REF!</v>
      </c>
    </row>
    <row r="358" spans="1:37" ht="15" customHeight="1">
      <c r="A358" s="105"/>
      <c r="B358" s="104"/>
      <c r="C358" s="103"/>
      <c r="D358" s="102"/>
      <c r="E358" s="101"/>
      <c r="F358" s="101"/>
      <c r="G358" s="100" t="str">
        <f t="shared" si="84"/>
        <v/>
      </c>
      <c r="H358" s="99" t="str">
        <f t="shared" si="85"/>
        <v/>
      </c>
      <c r="I358" s="71"/>
      <c r="J358" s="2"/>
      <c r="K358" s="2"/>
      <c r="L358" s="2"/>
      <c r="M358" s="2"/>
      <c r="N358" s="2"/>
      <c r="O358" s="2"/>
      <c r="P358" s="2"/>
      <c r="Q358" s="2"/>
      <c r="S358" s="98">
        <f t="shared" si="86"/>
        <v>0</v>
      </c>
      <c r="T358" s="98">
        <f t="shared" si="87"/>
        <v>0</v>
      </c>
      <c r="U358" s="97">
        <f t="shared" si="88"/>
        <v>0</v>
      </c>
      <c r="V358" s="97">
        <f t="shared" si="88"/>
        <v>0</v>
      </c>
      <c r="X358" s="98" t="e">
        <f t="shared" si="89"/>
        <v>#REF!</v>
      </c>
      <c r="Y358" s="98" t="e">
        <f t="shared" si="90"/>
        <v>#REF!</v>
      </c>
      <c r="Z358" s="97" t="e">
        <f t="shared" si="91"/>
        <v>#REF!</v>
      </c>
      <c r="AA358" s="97" t="e">
        <f t="shared" si="91"/>
        <v>#REF!</v>
      </c>
      <c r="AC358" s="98" t="e">
        <f t="shared" si="92"/>
        <v>#REF!</v>
      </c>
      <c r="AD358" s="98" t="e">
        <f t="shared" si="93"/>
        <v>#REF!</v>
      </c>
      <c r="AE358" s="97" t="e">
        <f t="shared" si="94"/>
        <v>#REF!</v>
      </c>
      <c r="AF358" s="97" t="e">
        <f t="shared" si="94"/>
        <v>#REF!</v>
      </c>
      <c r="AH358" s="98" t="e">
        <f t="shared" si="95"/>
        <v>#REF!</v>
      </c>
      <c r="AI358" s="98" t="e">
        <f t="shared" si="96"/>
        <v>#REF!</v>
      </c>
      <c r="AJ358" s="97" t="e">
        <f t="shared" si="97"/>
        <v>#REF!</v>
      </c>
      <c r="AK358" s="97" t="e">
        <f t="shared" si="97"/>
        <v>#REF!</v>
      </c>
    </row>
    <row r="359" spans="1:37" ht="15" customHeight="1">
      <c r="A359" s="105"/>
      <c r="B359" s="104"/>
      <c r="C359" s="103"/>
      <c r="D359" s="102"/>
      <c r="E359" s="101"/>
      <c r="F359" s="101"/>
      <c r="G359" s="100" t="str">
        <f t="shared" si="84"/>
        <v/>
      </c>
      <c r="H359" s="99" t="str">
        <f t="shared" si="85"/>
        <v/>
      </c>
      <c r="I359" s="71"/>
      <c r="J359" s="2"/>
      <c r="K359" s="2"/>
      <c r="L359" s="2"/>
      <c r="M359" s="2"/>
      <c r="N359" s="2"/>
      <c r="O359" s="2"/>
      <c r="P359" s="2"/>
      <c r="Q359" s="2"/>
      <c r="S359" s="98">
        <f t="shared" si="86"/>
        <v>0</v>
      </c>
      <c r="T359" s="98">
        <f t="shared" si="87"/>
        <v>0</v>
      </c>
      <c r="U359" s="97">
        <f t="shared" si="88"/>
        <v>0</v>
      </c>
      <c r="V359" s="97">
        <f t="shared" si="88"/>
        <v>0</v>
      </c>
      <c r="X359" s="98" t="e">
        <f t="shared" si="89"/>
        <v>#REF!</v>
      </c>
      <c r="Y359" s="98" t="e">
        <f t="shared" si="90"/>
        <v>#REF!</v>
      </c>
      <c r="Z359" s="97" t="e">
        <f t="shared" si="91"/>
        <v>#REF!</v>
      </c>
      <c r="AA359" s="97" t="e">
        <f t="shared" si="91"/>
        <v>#REF!</v>
      </c>
      <c r="AC359" s="98" t="e">
        <f t="shared" si="92"/>
        <v>#REF!</v>
      </c>
      <c r="AD359" s="98" t="e">
        <f t="shared" si="93"/>
        <v>#REF!</v>
      </c>
      <c r="AE359" s="97" t="e">
        <f t="shared" si="94"/>
        <v>#REF!</v>
      </c>
      <c r="AF359" s="97" t="e">
        <f t="shared" si="94"/>
        <v>#REF!</v>
      </c>
      <c r="AH359" s="98" t="e">
        <f t="shared" si="95"/>
        <v>#REF!</v>
      </c>
      <c r="AI359" s="98" t="e">
        <f t="shared" si="96"/>
        <v>#REF!</v>
      </c>
      <c r="AJ359" s="97" t="e">
        <f t="shared" si="97"/>
        <v>#REF!</v>
      </c>
      <c r="AK359" s="97" t="e">
        <f t="shared" si="97"/>
        <v>#REF!</v>
      </c>
    </row>
    <row r="360" spans="1:37" ht="15" customHeight="1">
      <c r="A360" s="105"/>
      <c r="B360" s="104"/>
      <c r="C360" s="103"/>
      <c r="D360" s="102"/>
      <c r="E360" s="101"/>
      <c r="F360" s="101"/>
      <c r="G360" s="100" t="str">
        <f t="shared" si="84"/>
        <v/>
      </c>
      <c r="H360" s="99" t="str">
        <f t="shared" si="85"/>
        <v/>
      </c>
      <c r="I360" s="71"/>
      <c r="J360" s="2"/>
      <c r="K360" s="2"/>
      <c r="L360" s="2"/>
      <c r="M360" s="2"/>
      <c r="N360" s="2"/>
      <c r="O360" s="2"/>
      <c r="P360" s="2"/>
      <c r="Q360" s="2"/>
      <c r="S360" s="98">
        <f t="shared" si="86"/>
        <v>0</v>
      </c>
      <c r="T360" s="98">
        <f t="shared" si="87"/>
        <v>0</v>
      </c>
      <c r="U360" s="97">
        <f t="shared" si="88"/>
        <v>0</v>
      </c>
      <c r="V360" s="97">
        <f t="shared" si="88"/>
        <v>0</v>
      </c>
      <c r="X360" s="98" t="e">
        <f t="shared" si="89"/>
        <v>#REF!</v>
      </c>
      <c r="Y360" s="98" t="e">
        <f t="shared" si="90"/>
        <v>#REF!</v>
      </c>
      <c r="Z360" s="97" t="e">
        <f t="shared" si="91"/>
        <v>#REF!</v>
      </c>
      <c r="AA360" s="97" t="e">
        <f t="shared" si="91"/>
        <v>#REF!</v>
      </c>
      <c r="AC360" s="98" t="e">
        <f t="shared" si="92"/>
        <v>#REF!</v>
      </c>
      <c r="AD360" s="98" t="e">
        <f t="shared" si="93"/>
        <v>#REF!</v>
      </c>
      <c r="AE360" s="97" t="e">
        <f t="shared" si="94"/>
        <v>#REF!</v>
      </c>
      <c r="AF360" s="97" t="e">
        <f t="shared" si="94"/>
        <v>#REF!</v>
      </c>
      <c r="AH360" s="98" t="e">
        <f t="shared" si="95"/>
        <v>#REF!</v>
      </c>
      <c r="AI360" s="98" t="e">
        <f t="shared" si="96"/>
        <v>#REF!</v>
      </c>
      <c r="AJ360" s="97" t="e">
        <f t="shared" si="97"/>
        <v>#REF!</v>
      </c>
      <c r="AK360" s="97" t="e">
        <f t="shared" si="97"/>
        <v>#REF!</v>
      </c>
    </row>
    <row r="361" spans="1:37" ht="15" customHeight="1">
      <c r="A361" s="105"/>
      <c r="B361" s="104"/>
      <c r="C361" s="103"/>
      <c r="D361" s="102"/>
      <c r="E361" s="101"/>
      <c r="F361" s="101"/>
      <c r="G361" s="100" t="str">
        <f t="shared" si="84"/>
        <v/>
      </c>
      <c r="H361" s="99" t="str">
        <f t="shared" si="85"/>
        <v/>
      </c>
      <c r="I361" s="71"/>
      <c r="J361" s="2"/>
      <c r="K361" s="2"/>
      <c r="L361" s="2"/>
      <c r="M361" s="2"/>
      <c r="N361" s="2"/>
      <c r="O361" s="2"/>
      <c r="P361" s="2"/>
      <c r="Q361" s="2"/>
      <c r="S361" s="98">
        <f t="shared" si="86"/>
        <v>0</v>
      </c>
      <c r="T361" s="98">
        <f t="shared" si="87"/>
        <v>0</v>
      </c>
      <c r="U361" s="97">
        <f t="shared" si="88"/>
        <v>0</v>
      </c>
      <c r="V361" s="97">
        <f t="shared" si="88"/>
        <v>0</v>
      </c>
      <c r="X361" s="98" t="e">
        <f t="shared" si="89"/>
        <v>#REF!</v>
      </c>
      <c r="Y361" s="98" t="e">
        <f t="shared" si="90"/>
        <v>#REF!</v>
      </c>
      <c r="Z361" s="97" t="e">
        <f t="shared" si="91"/>
        <v>#REF!</v>
      </c>
      <c r="AA361" s="97" t="e">
        <f t="shared" si="91"/>
        <v>#REF!</v>
      </c>
      <c r="AC361" s="98" t="e">
        <f t="shared" si="92"/>
        <v>#REF!</v>
      </c>
      <c r="AD361" s="98" t="e">
        <f t="shared" si="93"/>
        <v>#REF!</v>
      </c>
      <c r="AE361" s="97" t="e">
        <f t="shared" si="94"/>
        <v>#REF!</v>
      </c>
      <c r="AF361" s="97" t="e">
        <f t="shared" si="94"/>
        <v>#REF!</v>
      </c>
      <c r="AH361" s="98" t="e">
        <f t="shared" si="95"/>
        <v>#REF!</v>
      </c>
      <c r="AI361" s="98" t="e">
        <f t="shared" si="96"/>
        <v>#REF!</v>
      </c>
      <c r="AJ361" s="97" t="e">
        <f t="shared" si="97"/>
        <v>#REF!</v>
      </c>
      <c r="AK361" s="97" t="e">
        <f t="shared" si="97"/>
        <v>#REF!</v>
      </c>
    </row>
    <row r="362" spans="1:37" ht="15" customHeight="1">
      <c r="A362" s="105"/>
      <c r="B362" s="104"/>
      <c r="C362" s="103"/>
      <c r="D362" s="102"/>
      <c r="E362" s="101"/>
      <c r="F362" s="101"/>
      <c r="G362" s="100" t="str">
        <f t="shared" si="84"/>
        <v/>
      </c>
      <c r="H362" s="99" t="str">
        <f t="shared" si="85"/>
        <v/>
      </c>
      <c r="I362" s="71"/>
      <c r="J362" s="2"/>
      <c r="K362" s="2"/>
      <c r="L362" s="2"/>
      <c r="M362" s="2"/>
      <c r="N362" s="2"/>
      <c r="O362" s="2"/>
      <c r="P362" s="2"/>
      <c r="Q362" s="2"/>
      <c r="S362" s="98">
        <f t="shared" si="86"/>
        <v>0</v>
      </c>
      <c r="T362" s="98">
        <f t="shared" si="87"/>
        <v>0</v>
      </c>
      <c r="U362" s="97">
        <f t="shared" si="88"/>
        <v>0</v>
      </c>
      <c r="V362" s="97">
        <f t="shared" si="88"/>
        <v>0</v>
      </c>
      <c r="X362" s="98" t="e">
        <f t="shared" si="89"/>
        <v>#REF!</v>
      </c>
      <c r="Y362" s="98" t="e">
        <f t="shared" si="90"/>
        <v>#REF!</v>
      </c>
      <c r="Z362" s="97" t="e">
        <f t="shared" si="91"/>
        <v>#REF!</v>
      </c>
      <c r="AA362" s="97" t="e">
        <f t="shared" si="91"/>
        <v>#REF!</v>
      </c>
      <c r="AC362" s="98" t="e">
        <f t="shared" si="92"/>
        <v>#REF!</v>
      </c>
      <c r="AD362" s="98" t="e">
        <f t="shared" si="93"/>
        <v>#REF!</v>
      </c>
      <c r="AE362" s="97" t="e">
        <f t="shared" si="94"/>
        <v>#REF!</v>
      </c>
      <c r="AF362" s="97" t="e">
        <f t="shared" si="94"/>
        <v>#REF!</v>
      </c>
      <c r="AH362" s="98" t="e">
        <f t="shared" si="95"/>
        <v>#REF!</v>
      </c>
      <c r="AI362" s="98" t="e">
        <f t="shared" si="96"/>
        <v>#REF!</v>
      </c>
      <c r="AJ362" s="97" t="e">
        <f t="shared" si="97"/>
        <v>#REF!</v>
      </c>
      <c r="AK362" s="97" t="e">
        <f t="shared" si="97"/>
        <v>#REF!</v>
      </c>
    </row>
    <row r="363" spans="1:37" ht="15" customHeight="1">
      <c r="A363" s="105"/>
      <c r="B363" s="104"/>
      <c r="C363" s="103"/>
      <c r="D363" s="102"/>
      <c r="E363" s="101"/>
      <c r="F363" s="101"/>
      <c r="G363" s="100" t="str">
        <f t="shared" si="84"/>
        <v/>
      </c>
      <c r="H363" s="99" t="str">
        <f t="shared" si="85"/>
        <v/>
      </c>
      <c r="I363" s="71"/>
      <c r="J363" s="2"/>
      <c r="K363" s="2"/>
      <c r="L363" s="2"/>
      <c r="M363" s="2"/>
      <c r="N363" s="2"/>
      <c r="O363" s="2"/>
      <c r="P363" s="2"/>
      <c r="Q363" s="2"/>
      <c r="S363" s="98">
        <f t="shared" si="86"/>
        <v>0</v>
      </c>
      <c r="T363" s="98">
        <f t="shared" si="87"/>
        <v>0</v>
      </c>
      <c r="U363" s="97">
        <f t="shared" si="88"/>
        <v>0</v>
      </c>
      <c r="V363" s="97">
        <f t="shared" si="88"/>
        <v>0</v>
      </c>
      <c r="X363" s="98" t="e">
        <f t="shared" si="89"/>
        <v>#REF!</v>
      </c>
      <c r="Y363" s="98" t="e">
        <f t="shared" si="90"/>
        <v>#REF!</v>
      </c>
      <c r="Z363" s="97" t="e">
        <f t="shared" si="91"/>
        <v>#REF!</v>
      </c>
      <c r="AA363" s="97" t="e">
        <f t="shared" si="91"/>
        <v>#REF!</v>
      </c>
      <c r="AC363" s="98" t="e">
        <f t="shared" si="92"/>
        <v>#REF!</v>
      </c>
      <c r="AD363" s="98" t="e">
        <f t="shared" si="93"/>
        <v>#REF!</v>
      </c>
      <c r="AE363" s="97" t="e">
        <f t="shared" si="94"/>
        <v>#REF!</v>
      </c>
      <c r="AF363" s="97" t="e">
        <f t="shared" si="94"/>
        <v>#REF!</v>
      </c>
      <c r="AH363" s="98" t="e">
        <f t="shared" si="95"/>
        <v>#REF!</v>
      </c>
      <c r="AI363" s="98" t="e">
        <f t="shared" si="96"/>
        <v>#REF!</v>
      </c>
      <c r="AJ363" s="97" t="e">
        <f t="shared" si="97"/>
        <v>#REF!</v>
      </c>
      <c r="AK363" s="97" t="e">
        <f t="shared" si="97"/>
        <v>#REF!</v>
      </c>
    </row>
    <row r="364" spans="1:37" ht="15" customHeight="1">
      <c r="A364" s="105"/>
      <c r="B364" s="104"/>
      <c r="C364" s="103"/>
      <c r="D364" s="102"/>
      <c r="E364" s="101"/>
      <c r="F364" s="101"/>
      <c r="G364" s="100" t="str">
        <f t="shared" si="84"/>
        <v/>
      </c>
      <c r="H364" s="99" t="str">
        <f t="shared" si="85"/>
        <v/>
      </c>
      <c r="I364" s="71"/>
      <c r="J364" s="2"/>
      <c r="K364" s="2"/>
      <c r="L364" s="2"/>
      <c r="M364" s="2"/>
      <c r="N364" s="2"/>
      <c r="O364" s="2"/>
      <c r="P364" s="2"/>
      <c r="Q364" s="2"/>
      <c r="S364" s="98">
        <f t="shared" si="86"/>
        <v>0</v>
      </c>
      <c r="T364" s="98">
        <f t="shared" si="87"/>
        <v>0</v>
      </c>
      <c r="U364" s="97">
        <f t="shared" si="88"/>
        <v>0</v>
      </c>
      <c r="V364" s="97">
        <f t="shared" si="88"/>
        <v>0</v>
      </c>
      <c r="X364" s="98" t="e">
        <f t="shared" si="89"/>
        <v>#REF!</v>
      </c>
      <c r="Y364" s="98" t="e">
        <f t="shared" si="90"/>
        <v>#REF!</v>
      </c>
      <c r="Z364" s="97" t="e">
        <f t="shared" si="91"/>
        <v>#REF!</v>
      </c>
      <c r="AA364" s="97" t="e">
        <f t="shared" si="91"/>
        <v>#REF!</v>
      </c>
      <c r="AC364" s="98" t="e">
        <f t="shared" si="92"/>
        <v>#REF!</v>
      </c>
      <c r="AD364" s="98" t="e">
        <f t="shared" si="93"/>
        <v>#REF!</v>
      </c>
      <c r="AE364" s="97" t="e">
        <f t="shared" si="94"/>
        <v>#REF!</v>
      </c>
      <c r="AF364" s="97" t="e">
        <f t="shared" si="94"/>
        <v>#REF!</v>
      </c>
      <c r="AH364" s="98" t="e">
        <f t="shared" si="95"/>
        <v>#REF!</v>
      </c>
      <c r="AI364" s="98" t="e">
        <f t="shared" si="96"/>
        <v>#REF!</v>
      </c>
      <c r="AJ364" s="97" t="e">
        <f t="shared" si="97"/>
        <v>#REF!</v>
      </c>
      <c r="AK364" s="97" t="e">
        <f t="shared" si="97"/>
        <v>#REF!</v>
      </c>
    </row>
    <row r="365" spans="1:37" ht="15" customHeight="1">
      <c r="A365" s="105"/>
      <c r="B365" s="104"/>
      <c r="C365" s="103"/>
      <c r="D365" s="102"/>
      <c r="E365" s="101"/>
      <c r="F365" s="101"/>
      <c r="G365" s="100" t="str">
        <f t="shared" si="84"/>
        <v/>
      </c>
      <c r="H365" s="99" t="str">
        <f t="shared" si="85"/>
        <v/>
      </c>
      <c r="I365" s="71"/>
      <c r="J365" s="2"/>
      <c r="K365" s="2"/>
      <c r="L365" s="2"/>
      <c r="M365" s="2"/>
      <c r="N365" s="2"/>
      <c r="O365" s="2"/>
      <c r="P365" s="2"/>
      <c r="Q365" s="2"/>
      <c r="S365" s="98">
        <f t="shared" si="86"/>
        <v>0</v>
      </c>
      <c r="T365" s="98">
        <f t="shared" si="87"/>
        <v>0</v>
      </c>
      <c r="U365" s="97">
        <f t="shared" si="88"/>
        <v>0</v>
      </c>
      <c r="V365" s="97">
        <f t="shared" si="88"/>
        <v>0</v>
      </c>
      <c r="X365" s="98" t="e">
        <f t="shared" si="89"/>
        <v>#REF!</v>
      </c>
      <c r="Y365" s="98" t="e">
        <f t="shared" si="90"/>
        <v>#REF!</v>
      </c>
      <c r="Z365" s="97" t="e">
        <f t="shared" si="91"/>
        <v>#REF!</v>
      </c>
      <c r="AA365" s="97" t="e">
        <f t="shared" si="91"/>
        <v>#REF!</v>
      </c>
      <c r="AC365" s="98" t="e">
        <f t="shared" si="92"/>
        <v>#REF!</v>
      </c>
      <c r="AD365" s="98" t="e">
        <f t="shared" si="93"/>
        <v>#REF!</v>
      </c>
      <c r="AE365" s="97" t="e">
        <f t="shared" si="94"/>
        <v>#REF!</v>
      </c>
      <c r="AF365" s="97" t="e">
        <f t="shared" si="94"/>
        <v>#REF!</v>
      </c>
      <c r="AH365" s="98" t="e">
        <f t="shared" si="95"/>
        <v>#REF!</v>
      </c>
      <c r="AI365" s="98" t="e">
        <f t="shared" si="96"/>
        <v>#REF!</v>
      </c>
      <c r="AJ365" s="97" t="e">
        <f t="shared" si="97"/>
        <v>#REF!</v>
      </c>
      <c r="AK365" s="97" t="e">
        <f t="shared" si="97"/>
        <v>#REF!</v>
      </c>
    </row>
    <row r="366" spans="1:37" ht="15" customHeight="1">
      <c r="A366" s="105"/>
      <c r="B366" s="104"/>
      <c r="C366" s="103"/>
      <c r="D366" s="102"/>
      <c r="E366" s="101"/>
      <c r="F366" s="101"/>
      <c r="G366" s="100" t="str">
        <f t="shared" si="84"/>
        <v/>
      </c>
      <c r="H366" s="99" t="str">
        <f t="shared" si="85"/>
        <v/>
      </c>
      <c r="I366" s="71"/>
      <c r="J366" s="2"/>
      <c r="K366" s="2"/>
      <c r="L366" s="2"/>
      <c r="M366" s="2"/>
      <c r="N366" s="2"/>
      <c r="O366" s="2"/>
      <c r="P366" s="2"/>
      <c r="Q366" s="2"/>
      <c r="S366" s="98">
        <f t="shared" si="86"/>
        <v>0</v>
      </c>
      <c r="T366" s="98">
        <f t="shared" si="87"/>
        <v>0</v>
      </c>
      <c r="U366" s="97">
        <f t="shared" si="88"/>
        <v>0</v>
      </c>
      <c r="V366" s="97">
        <f t="shared" si="88"/>
        <v>0</v>
      </c>
      <c r="X366" s="98" t="e">
        <f t="shared" si="89"/>
        <v>#REF!</v>
      </c>
      <c r="Y366" s="98" t="e">
        <f t="shared" si="90"/>
        <v>#REF!</v>
      </c>
      <c r="Z366" s="97" t="e">
        <f t="shared" si="91"/>
        <v>#REF!</v>
      </c>
      <c r="AA366" s="97" t="e">
        <f t="shared" si="91"/>
        <v>#REF!</v>
      </c>
      <c r="AC366" s="98" t="e">
        <f t="shared" si="92"/>
        <v>#REF!</v>
      </c>
      <c r="AD366" s="98" t="e">
        <f t="shared" si="93"/>
        <v>#REF!</v>
      </c>
      <c r="AE366" s="97" t="e">
        <f t="shared" si="94"/>
        <v>#REF!</v>
      </c>
      <c r="AF366" s="97" t="e">
        <f t="shared" si="94"/>
        <v>#REF!</v>
      </c>
      <c r="AH366" s="98" t="e">
        <f t="shared" si="95"/>
        <v>#REF!</v>
      </c>
      <c r="AI366" s="98" t="e">
        <f t="shared" si="96"/>
        <v>#REF!</v>
      </c>
      <c r="AJ366" s="97" t="e">
        <f t="shared" si="97"/>
        <v>#REF!</v>
      </c>
      <c r="AK366" s="97" t="e">
        <f t="shared" si="97"/>
        <v>#REF!</v>
      </c>
    </row>
    <row r="367" spans="1:37" ht="15" customHeight="1">
      <c r="A367" s="105"/>
      <c r="B367" s="104"/>
      <c r="C367" s="103"/>
      <c r="D367" s="102"/>
      <c r="E367" s="101"/>
      <c r="F367" s="101"/>
      <c r="G367" s="100" t="str">
        <f t="shared" si="84"/>
        <v/>
      </c>
      <c r="H367" s="99" t="str">
        <f t="shared" si="85"/>
        <v/>
      </c>
      <c r="I367" s="71"/>
      <c r="J367" s="2"/>
      <c r="K367" s="2"/>
      <c r="L367" s="2"/>
      <c r="M367" s="2"/>
      <c r="N367" s="2"/>
      <c r="O367" s="2"/>
      <c r="P367" s="2"/>
      <c r="Q367" s="2"/>
      <c r="S367" s="98">
        <f t="shared" si="86"/>
        <v>0</v>
      </c>
      <c r="T367" s="98">
        <f t="shared" si="87"/>
        <v>0</v>
      </c>
      <c r="U367" s="97">
        <f t="shared" si="88"/>
        <v>0</v>
      </c>
      <c r="V367" s="97">
        <f t="shared" si="88"/>
        <v>0</v>
      </c>
      <c r="X367" s="98" t="e">
        <f t="shared" si="89"/>
        <v>#REF!</v>
      </c>
      <c r="Y367" s="98" t="e">
        <f t="shared" si="90"/>
        <v>#REF!</v>
      </c>
      <c r="Z367" s="97" t="e">
        <f t="shared" si="91"/>
        <v>#REF!</v>
      </c>
      <c r="AA367" s="97" t="e">
        <f t="shared" si="91"/>
        <v>#REF!</v>
      </c>
      <c r="AC367" s="98" t="e">
        <f t="shared" si="92"/>
        <v>#REF!</v>
      </c>
      <c r="AD367" s="98" t="e">
        <f t="shared" si="93"/>
        <v>#REF!</v>
      </c>
      <c r="AE367" s="97" t="e">
        <f t="shared" si="94"/>
        <v>#REF!</v>
      </c>
      <c r="AF367" s="97" t="e">
        <f t="shared" si="94"/>
        <v>#REF!</v>
      </c>
      <c r="AH367" s="98" t="e">
        <f t="shared" si="95"/>
        <v>#REF!</v>
      </c>
      <c r="AI367" s="98" t="e">
        <f t="shared" si="96"/>
        <v>#REF!</v>
      </c>
      <c r="AJ367" s="97" t="e">
        <f t="shared" si="97"/>
        <v>#REF!</v>
      </c>
      <c r="AK367" s="97" t="e">
        <f t="shared" si="97"/>
        <v>#REF!</v>
      </c>
    </row>
    <row r="368" spans="1:37" ht="15" customHeight="1">
      <c r="A368" s="105"/>
      <c r="B368" s="104"/>
      <c r="C368" s="103"/>
      <c r="D368" s="102"/>
      <c r="E368" s="101"/>
      <c r="F368" s="101"/>
      <c r="G368" s="100" t="str">
        <f t="shared" si="84"/>
        <v/>
      </c>
      <c r="H368" s="99" t="str">
        <f t="shared" si="85"/>
        <v/>
      </c>
      <c r="I368" s="71"/>
      <c r="J368" s="2"/>
      <c r="K368" s="2"/>
      <c r="L368" s="2"/>
      <c r="M368" s="2"/>
      <c r="N368" s="2"/>
      <c r="O368" s="2"/>
      <c r="P368" s="2"/>
      <c r="Q368" s="2"/>
      <c r="S368" s="98">
        <f t="shared" si="86"/>
        <v>0</v>
      </c>
      <c r="T368" s="98">
        <f t="shared" si="87"/>
        <v>0</v>
      </c>
      <c r="U368" s="97">
        <f t="shared" si="88"/>
        <v>0</v>
      </c>
      <c r="V368" s="97">
        <f t="shared" si="88"/>
        <v>0</v>
      </c>
      <c r="X368" s="98" t="e">
        <f t="shared" si="89"/>
        <v>#REF!</v>
      </c>
      <c r="Y368" s="98" t="e">
        <f t="shared" si="90"/>
        <v>#REF!</v>
      </c>
      <c r="Z368" s="97" t="e">
        <f t="shared" si="91"/>
        <v>#REF!</v>
      </c>
      <c r="AA368" s="97" t="e">
        <f t="shared" si="91"/>
        <v>#REF!</v>
      </c>
      <c r="AC368" s="98" t="e">
        <f t="shared" si="92"/>
        <v>#REF!</v>
      </c>
      <c r="AD368" s="98" t="e">
        <f t="shared" si="93"/>
        <v>#REF!</v>
      </c>
      <c r="AE368" s="97" t="e">
        <f t="shared" si="94"/>
        <v>#REF!</v>
      </c>
      <c r="AF368" s="97" t="e">
        <f t="shared" si="94"/>
        <v>#REF!</v>
      </c>
      <c r="AH368" s="98" t="e">
        <f t="shared" si="95"/>
        <v>#REF!</v>
      </c>
      <c r="AI368" s="98" t="e">
        <f t="shared" si="96"/>
        <v>#REF!</v>
      </c>
      <c r="AJ368" s="97" t="e">
        <f t="shared" si="97"/>
        <v>#REF!</v>
      </c>
      <c r="AK368" s="97" t="e">
        <f t="shared" si="97"/>
        <v>#REF!</v>
      </c>
    </row>
    <row r="369" spans="1:37" ht="15" customHeight="1">
      <c r="A369" s="105"/>
      <c r="B369" s="104"/>
      <c r="C369" s="103"/>
      <c r="D369" s="102"/>
      <c r="E369" s="101"/>
      <c r="F369" s="101"/>
      <c r="G369" s="100" t="str">
        <f t="shared" si="84"/>
        <v/>
      </c>
      <c r="H369" s="99" t="str">
        <f t="shared" si="85"/>
        <v/>
      </c>
      <c r="I369" s="71"/>
      <c r="J369" s="2"/>
      <c r="K369" s="2"/>
      <c r="L369" s="2"/>
      <c r="M369" s="2"/>
      <c r="N369" s="2"/>
      <c r="O369" s="2"/>
      <c r="P369" s="2"/>
      <c r="Q369" s="2"/>
      <c r="S369" s="98">
        <f t="shared" si="86"/>
        <v>0</v>
      </c>
      <c r="T369" s="98">
        <f t="shared" si="87"/>
        <v>0</v>
      </c>
      <c r="U369" s="97">
        <f t="shared" si="88"/>
        <v>0</v>
      </c>
      <c r="V369" s="97">
        <f t="shared" si="88"/>
        <v>0</v>
      </c>
      <c r="X369" s="98" t="e">
        <f t="shared" si="89"/>
        <v>#REF!</v>
      </c>
      <c r="Y369" s="98" t="e">
        <f t="shared" si="90"/>
        <v>#REF!</v>
      </c>
      <c r="Z369" s="97" t="e">
        <f t="shared" si="91"/>
        <v>#REF!</v>
      </c>
      <c r="AA369" s="97" t="e">
        <f t="shared" si="91"/>
        <v>#REF!</v>
      </c>
      <c r="AC369" s="98" t="e">
        <f t="shared" si="92"/>
        <v>#REF!</v>
      </c>
      <c r="AD369" s="98" t="e">
        <f t="shared" si="93"/>
        <v>#REF!</v>
      </c>
      <c r="AE369" s="97" t="e">
        <f t="shared" si="94"/>
        <v>#REF!</v>
      </c>
      <c r="AF369" s="97" t="e">
        <f t="shared" si="94"/>
        <v>#REF!</v>
      </c>
      <c r="AH369" s="98" t="e">
        <f t="shared" si="95"/>
        <v>#REF!</v>
      </c>
      <c r="AI369" s="98" t="e">
        <f t="shared" si="96"/>
        <v>#REF!</v>
      </c>
      <c r="AJ369" s="97" t="e">
        <f t="shared" si="97"/>
        <v>#REF!</v>
      </c>
      <c r="AK369" s="97" t="e">
        <f t="shared" si="97"/>
        <v>#REF!</v>
      </c>
    </row>
    <row r="370" spans="1:37" ht="15" customHeight="1">
      <c r="A370" s="105"/>
      <c r="B370" s="104"/>
      <c r="C370" s="103"/>
      <c r="D370" s="102"/>
      <c r="E370" s="101"/>
      <c r="F370" s="101"/>
      <c r="G370" s="100" t="str">
        <f t="shared" si="84"/>
        <v/>
      </c>
      <c r="H370" s="99" t="str">
        <f t="shared" si="85"/>
        <v/>
      </c>
      <c r="I370" s="71"/>
      <c r="J370" s="2"/>
      <c r="K370" s="2"/>
      <c r="L370" s="2"/>
      <c r="M370" s="2"/>
      <c r="N370" s="2"/>
      <c r="O370" s="2"/>
      <c r="P370" s="2"/>
      <c r="Q370" s="2"/>
      <c r="S370" s="98">
        <f t="shared" si="86"/>
        <v>0</v>
      </c>
      <c r="T370" s="98">
        <f t="shared" si="87"/>
        <v>0</v>
      </c>
      <c r="U370" s="97">
        <f t="shared" si="88"/>
        <v>0</v>
      </c>
      <c r="V370" s="97">
        <f t="shared" si="88"/>
        <v>0</v>
      </c>
      <c r="X370" s="98" t="e">
        <f t="shared" si="89"/>
        <v>#REF!</v>
      </c>
      <c r="Y370" s="98" t="e">
        <f t="shared" si="90"/>
        <v>#REF!</v>
      </c>
      <c r="Z370" s="97" t="e">
        <f t="shared" si="91"/>
        <v>#REF!</v>
      </c>
      <c r="AA370" s="97" t="e">
        <f t="shared" si="91"/>
        <v>#REF!</v>
      </c>
      <c r="AC370" s="98" t="e">
        <f t="shared" si="92"/>
        <v>#REF!</v>
      </c>
      <c r="AD370" s="98" t="e">
        <f t="shared" si="93"/>
        <v>#REF!</v>
      </c>
      <c r="AE370" s="97" t="e">
        <f t="shared" si="94"/>
        <v>#REF!</v>
      </c>
      <c r="AF370" s="97" t="e">
        <f t="shared" si="94"/>
        <v>#REF!</v>
      </c>
      <c r="AH370" s="98" t="e">
        <f t="shared" si="95"/>
        <v>#REF!</v>
      </c>
      <c r="AI370" s="98" t="e">
        <f t="shared" si="96"/>
        <v>#REF!</v>
      </c>
      <c r="AJ370" s="97" t="e">
        <f t="shared" si="97"/>
        <v>#REF!</v>
      </c>
      <c r="AK370" s="97" t="e">
        <f t="shared" si="97"/>
        <v>#REF!</v>
      </c>
    </row>
    <row r="371" spans="1:37" ht="15" customHeight="1">
      <c r="A371" s="105"/>
      <c r="B371" s="104"/>
      <c r="C371" s="103"/>
      <c r="D371" s="102"/>
      <c r="E371" s="101"/>
      <c r="F371" s="101"/>
      <c r="G371" s="100" t="str">
        <f t="shared" si="84"/>
        <v/>
      </c>
      <c r="H371" s="99" t="str">
        <f t="shared" si="85"/>
        <v/>
      </c>
      <c r="I371" s="71"/>
      <c r="J371" s="2"/>
      <c r="K371" s="2"/>
      <c r="L371" s="2"/>
      <c r="M371" s="2"/>
      <c r="N371" s="2"/>
      <c r="O371" s="2"/>
      <c r="P371" s="2"/>
      <c r="Q371" s="2"/>
      <c r="S371" s="98">
        <f t="shared" si="86"/>
        <v>0</v>
      </c>
      <c r="T371" s="98">
        <f t="shared" si="87"/>
        <v>0</v>
      </c>
      <c r="U371" s="97">
        <f t="shared" si="88"/>
        <v>0</v>
      </c>
      <c r="V371" s="97">
        <f t="shared" si="88"/>
        <v>0</v>
      </c>
      <c r="X371" s="98" t="e">
        <f t="shared" si="89"/>
        <v>#REF!</v>
      </c>
      <c r="Y371" s="98" t="e">
        <f t="shared" si="90"/>
        <v>#REF!</v>
      </c>
      <c r="Z371" s="97" t="e">
        <f t="shared" si="91"/>
        <v>#REF!</v>
      </c>
      <c r="AA371" s="97" t="e">
        <f t="shared" si="91"/>
        <v>#REF!</v>
      </c>
      <c r="AC371" s="98" t="e">
        <f t="shared" si="92"/>
        <v>#REF!</v>
      </c>
      <c r="AD371" s="98" t="e">
        <f t="shared" si="93"/>
        <v>#REF!</v>
      </c>
      <c r="AE371" s="97" t="e">
        <f t="shared" si="94"/>
        <v>#REF!</v>
      </c>
      <c r="AF371" s="97" t="e">
        <f t="shared" si="94"/>
        <v>#REF!</v>
      </c>
      <c r="AH371" s="98" t="e">
        <f t="shared" si="95"/>
        <v>#REF!</v>
      </c>
      <c r="AI371" s="98" t="e">
        <f t="shared" si="96"/>
        <v>#REF!</v>
      </c>
      <c r="AJ371" s="97" t="e">
        <f t="shared" si="97"/>
        <v>#REF!</v>
      </c>
      <c r="AK371" s="97" t="e">
        <f t="shared" si="97"/>
        <v>#REF!</v>
      </c>
    </row>
    <row r="372" spans="1:37" ht="15" customHeight="1">
      <c r="A372" s="105"/>
      <c r="B372" s="104"/>
      <c r="C372" s="103"/>
      <c r="D372" s="102"/>
      <c r="E372" s="101"/>
      <c r="F372" s="101"/>
      <c r="G372" s="100" t="str">
        <f t="shared" si="84"/>
        <v/>
      </c>
      <c r="H372" s="99" t="str">
        <f t="shared" si="85"/>
        <v/>
      </c>
      <c r="I372" s="71"/>
      <c r="J372" s="2"/>
      <c r="K372" s="2"/>
      <c r="L372" s="2"/>
      <c r="M372" s="2"/>
      <c r="N372" s="2"/>
      <c r="O372" s="2"/>
      <c r="P372" s="2"/>
      <c r="Q372" s="2"/>
      <c r="S372" s="98">
        <f t="shared" si="86"/>
        <v>0</v>
      </c>
      <c r="T372" s="98">
        <f t="shared" si="87"/>
        <v>0</v>
      </c>
      <c r="U372" s="97">
        <f t="shared" si="88"/>
        <v>0</v>
      </c>
      <c r="V372" s="97">
        <f t="shared" si="88"/>
        <v>0</v>
      </c>
      <c r="X372" s="98" t="e">
        <f t="shared" si="89"/>
        <v>#REF!</v>
      </c>
      <c r="Y372" s="98" t="e">
        <f t="shared" si="90"/>
        <v>#REF!</v>
      </c>
      <c r="Z372" s="97" t="e">
        <f t="shared" si="91"/>
        <v>#REF!</v>
      </c>
      <c r="AA372" s="97" t="e">
        <f t="shared" si="91"/>
        <v>#REF!</v>
      </c>
      <c r="AC372" s="98" t="e">
        <f t="shared" si="92"/>
        <v>#REF!</v>
      </c>
      <c r="AD372" s="98" t="e">
        <f t="shared" si="93"/>
        <v>#REF!</v>
      </c>
      <c r="AE372" s="97" t="e">
        <f t="shared" si="94"/>
        <v>#REF!</v>
      </c>
      <c r="AF372" s="97" t="e">
        <f t="shared" si="94"/>
        <v>#REF!</v>
      </c>
      <c r="AH372" s="98" t="e">
        <f t="shared" si="95"/>
        <v>#REF!</v>
      </c>
      <c r="AI372" s="98" t="e">
        <f t="shared" si="96"/>
        <v>#REF!</v>
      </c>
      <c r="AJ372" s="97" t="e">
        <f t="shared" si="97"/>
        <v>#REF!</v>
      </c>
      <c r="AK372" s="97" t="e">
        <f t="shared" si="97"/>
        <v>#REF!</v>
      </c>
    </row>
    <row r="373" spans="1:37" ht="15" customHeight="1">
      <c r="A373" s="105"/>
      <c r="B373" s="104"/>
      <c r="C373" s="103"/>
      <c r="D373" s="102"/>
      <c r="E373" s="101"/>
      <c r="F373" s="101"/>
      <c r="G373" s="100" t="str">
        <f t="shared" si="84"/>
        <v/>
      </c>
      <c r="H373" s="99" t="str">
        <f t="shared" si="85"/>
        <v/>
      </c>
      <c r="I373" s="71"/>
      <c r="J373" s="2"/>
      <c r="K373" s="2"/>
      <c r="L373" s="2"/>
      <c r="M373" s="2"/>
      <c r="N373" s="2"/>
      <c r="O373" s="2"/>
      <c r="P373" s="2"/>
      <c r="Q373" s="2"/>
      <c r="S373" s="98">
        <f t="shared" si="86"/>
        <v>0</v>
      </c>
      <c r="T373" s="98">
        <f t="shared" si="87"/>
        <v>0</v>
      </c>
      <c r="U373" s="97">
        <f t="shared" si="88"/>
        <v>0</v>
      </c>
      <c r="V373" s="97">
        <f t="shared" si="88"/>
        <v>0</v>
      </c>
      <c r="X373" s="98" t="e">
        <f t="shared" si="89"/>
        <v>#REF!</v>
      </c>
      <c r="Y373" s="98" t="e">
        <f t="shared" si="90"/>
        <v>#REF!</v>
      </c>
      <c r="Z373" s="97" t="e">
        <f t="shared" si="91"/>
        <v>#REF!</v>
      </c>
      <c r="AA373" s="97" t="e">
        <f t="shared" si="91"/>
        <v>#REF!</v>
      </c>
      <c r="AC373" s="98" t="e">
        <f t="shared" si="92"/>
        <v>#REF!</v>
      </c>
      <c r="AD373" s="98" t="e">
        <f t="shared" si="93"/>
        <v>#REF!</v>
      </c>
      <c r="AE373" s="97" t="e">
        <f t="shared" si="94"/>
        <v>#REF!</v>
      </c>
      <c r="AF373" s="97" t="e">
        <f t="shared" si="94"/>
        <v>#REF!</v>
      </c>
      <c r="AH373" s="98" t="e">
        <f t="shared" si="95"/>
        <v>#REF!</v>
      </c>
      <c r="AI373" s="98" t="e">
        <f t="shared" si="96"/>
        <v>#REF!</v>
      </c>
      <c r="AJ373" s="97" t="e">
        <f t="shared" si="97"/>
        <v>#REF!</v>
      </c>
      <c r="AK373" s="97" t="e">
        <f t="shared" si="97"/>
        <v>#REF!</v>
      </c>
    </row>
    <row r="374" spans="1:37" ht="15" customHeight="1">
      <c r="A374" s="105"/>
      <c r="B374" s="104"/>
      <c r="C374" s="103"/>
      <c r="D374" s="102"/>
      <c r="E374" s="101"/>
      <c r="F374" s="101"/>
      <c r="G374" s="100" t="str">
        <f t="shared" si="84"/>
        <v/>
      </c>
      <c r="H374" s="99" t="str">
        <f t="shared" si="85"/>
        <v/>
      </c>
      <c r="I374" s="71"/>
      <c r="J374" s="2"/>
      <c r="K374" s="2"/>
      <c r="L374" s="2"/>
      <c r="M374" s="2"/>
      <c r="N374" s="2"/>
      <c r="O374" s="2"/>
      <c r="P374" s="2"/>
      <c r="Q374" s="2"/>
      <c r="S374" s="98">
        <f t="shared" si="86"/>
        <v>0</v>
      </c>
      <c r="T374" s="98">
        <f t="shared" si="87"/>
        <v>0</v>
      </c>
      <c r="U374" s="97">
        <f t="shared" si="88"/>
        <v>0</v>
      </c>
      <c r="V374" s="97">
        <f t="shared" si="88"/>
        <v>0</v>
      </c>
      <c r="X374" s="98" t="e">
        <f t="shared" si="89"/>
        <v>#REF!</v>
      </c>
      <c r="Y374" s="98" t="e">
        <f t="shared" si="90"/>
        <v>#REF!</v>
      </c>
      <c r="Z374" s="97" t="e">
        <f t="shared" si="91"/>
        <v>#REF!</v>
      </c>
      <c r="AA374" s="97" t="e">
        <f t="shared" si="91"/>
        <v>#REF!</v>
      </c>
      <c r="AC374" s="98" t="e">
        <f t="shared" si="92"/>
        <v>#REF!</v>
      </c>
      <c r="AD374" s="98" t="e">
        <f t="shared" si="93"/>
        <v>#REF!</v>
      </c>
      <c r="AE374" s="97" t="e">
        <f t="shared" si="94"/>
        <v>#REF!</v>
      </c>
      <c r="AF374" s="97" t="e">
        <f t="shared" si="94"/>
        <v>#REF!</v>
      </c>
      <c r="AH374" s="98" t="e">
        <f t="shared" si="95"/>
        <v>#REF!</v>
      </c>
      <c r="AI374" s="98" t="e">
        <f t="shared" si="96"/>
        <v>#REF!</v>
      </c>
      <c r="AJ374" s="97" t="e">
        <f t="shared" si="97"/>
        <v>#REF!</v>
      </c>
      <c r="AK374" s="97" t="e">
        <f t="shared" si="97"/>
        <v>#REF!</v>
      </c>
    </row>
    <row r="375" spans="1:37" ht="15" customHeight="1">
      <c r="A375" s="105"/>
      <c r="B375" s="104"/>
      <c r="C375" s="103"/>
      <c r="D375" s="102"/>
      <c r="E375" s="101"/>
      <c r="F375" s="101"/>
      <c r="G375" s="100" t="str">
        <f t="shared" si="84"/>
        <v/>
      </c>
      <c r="H375" s="99" t="str">
        <f t="shared" si="85"/>
        <v/>
      </c>
      <c r="I375" s="71"/>
      <c r="J375" s="2"/>
      <c r="K375" s="2"/>
      <c r="L375" s="2"/>
      <c r="M375" s="2"/>
      <c r="N375" s="2"/>
      <c r="O375" s="2"/>
      <c r="P375" s="2"/>
      <c r="Q375" s="2"/>
      <c r="S375" s="98">
        <f t="shared" si="86"/>
        <v>0</v>
      </c>
      <c r="T375" s="98">
        <f t="shared" si="87"/>
        <v>0</v>
      </c>
      <c r="U375" s="97">
        <f t="shared" si="88"/>
        <v>0</v>
      </c>
      <c r="V375" s="97">
        <f t="shared" si="88"/>
        <v>0</v>
      </c>
      <c r="X375" s="98" t="e">
        <f t="shared" si="89"/>
        <v>#REF!</v>
      </c>
      <c r="Y375" s="98" t="e">
        <f t="shared" si="90"/>
        <v>#REF!</v>
      </c>
      <c r="Z375" s="97" t="e">
        <f t="shared" si="91"/>
        <v>#REF!</v>
      </c>
      <c r="AA375" s="97" t="e">
        <f t="shared" si="91"/>
        <v>#REF!</v>
      </c>
      <c r="AC375" s="98" t="e">
        <f t="shared" si="92"/>
        <v>#REF!</v>
      </c>
      <c r="AD375" s="98" t="e">
        <f t="shared" si="93"/>
        <v>#REF!</v>
      </c>
      <c r="AE375" s="97" t="e">
        <f t="shared" si="94"/>
        <v>#REF!</v>
      </c>
      <c r="AF375" s="97" t="e">
        <f t="shared" si="94"/>
        <v>#REF!</v>
      </c>
      <c r="AH375" s="98" t="e">
        <f t="shared" si="95"/>
        <v>#REF!</v>
      </c>
      <c r="AI375" s="98" t="e">
        <f t="shared" si="96"/>
        <v>#REF!</v>
      </c>
      <c r="AJ375" s="97" t="e">
        <f t="shared" si="97"/>
        <v>#REF!</v>
      </c>
      <c r="AK375" s="97" t="e">
        <f t="shared" si="97"/>
        <v>#REF!</v>
      </c>
    </row>
    <row r="376" spans="1:37" ht="15" customHeight="1">
      <c r="A376" s="105"/>
      <c r="B376" s="104"/>
      <c r="C376" s="103"/>
      <c r="D376" s="102"/>
      <c r="E376" s="101"/>
      <c r="F376" s="101"/>
      <c r="G376" s="100" t="str">
        <f t="shared" si="84"/>
        <v/>
      </c>
      <c r="H376" s="99" t="str">
        <f t="shared" si="85"/>
        <v/>
      </c>
      <c r="I376" s="71"/>
      <c r="J376" s="2"/>
      <c r="K376" s="2"/>
      <c r="L376" s="2"/>
      <c r="M376" s="2"/>
      <c r="N376" s="2"/>
      <c r="O376" s="2"/>
      <c r="P376" s="2"/>
      <c r="Q376" s="2"/>
      <c r="S376" s="98">
        <f t="shared" si="86"/>
        <v>0</v>
      </c>
      <c r="T376" s="98">
        <f t="shared" si="87"/>
        <v>0</v>
      </c>
      <c r="U376" s="97">
        <f t="shared" si="88"/>
        <v>0</v>
      </c>
      <c r="V376" s="97">
        <f t="shared" si="88"/>
        <v>0</v>
      </c>
      <c r="X376" s="98" t="e">
        <f t="shared" si="89"/>
        <v>#REF!</v>
      </c>
      <c r="Y376" s="98" t="e">
        <f t="shared" si="90"/>
        <v>#REF!</v>
      </c>
      <c r="Z376" s="97" t="e">
        <f t="shared" si="91"/>
        <v>#REF!</v>
      </c>
      <c r="AA376" s="97" t="e">
        <f t="shared" si="91"/>
        <v>#REF!</v>
      </c>
      <c r="AC376" s="98" t="e">
        <f t="shared" si="92"/>
        <v>#REF!</v>
      </c>
      <c r="AD376" s="98" t="e">
        <f t="shared" si="93"/>
        <v>#REF!</v>
      </c>
      <c r="AE376" s="97" t="e">
        <f t="shared" si="94"/>
        <v>#REF!</v>
      </c>
      <c r="AF376" s="97" t="e">
        <f t="shared" si="94"/>
        <v>#REF!</v>
      </c>
      <c r="AH376" s="98" t="e">
        <f t="shared" si="95"/>
        <v>#REF!</v>
      </c>
      <c r="AI376" s="98" t="e">
        <f t="shared" si="96"/>
        <v>#REF!</v>
      </c>
      <c r="AJ376" s="97" t="e">
        <f t="shared" si="97"/>
        <v>#REF!</v>
      </c>
      <c r="AK376" s="97" t="e">
        <f t="shared" si="97"/>
        <v>#REF!</v>
      </c>
    </row>
    <row r="377" spans="1:37" ht="15" customHeight="1">
      <c r="A377" s="105"/>
      <c r="B377" s="104"/>
      <c r="C377" s="103"/>
      <c r="D377" s="102"/>
      <c r="E377" s="101"/>
      <c r="F377" s="101"/>
      <c r="G377" s="100" t="str">
        <f t="shared" si="84"/>
        <v/>
      </c>
      <c r="H377" s="99" t="str">
        <f t="shared" si="85"/>
        <v/>
      </c>
      <c r="I377" s="71"/>
      <c r="J377" s="2"/>
      <c r="K377" s="2"/>
      <c r="L377" s="2"/>
      <c r="M377" s="2"/>
      <c r="N377" s="2"/>
      <c r="O377" s="2"/>
      <c r="P377" s="2"/>
      <c r="Q377" s="2"/>
      <c r="S377" s="98">
        <f t="shared" si="86"/>
        <v>0</v>
      </c>
      <c r="T377" s="98">
        <f t="shared" si="87"/>
        <v>0</v>
      </c>
      <c r="U377" s="97">
        <f t="shared" si="88"/>
        <v>0</v>
      </c>
      <c r="V377" s="97">
        <f t="shared" si="88"/>
        <v>0</v>
      </c>
      <c r="X377" s="98" t="e">
        <f t="shared" si="89"/>
        <v>#REF!</v>
      </c>
      <c r="Y377" s="98" t="e">
        <f t="shared" si="90"/>
        <v>#REF!</v>
      </c>
      <c r="Z377" s="97" t="e">
        <f t="shared" si="91"/>
        <v>#REF!</v>
      </c>
      <c r="AA377" s="97" t="e">
        <f t="shared" si="91"/>
        <v>#REF!</v>
      </c>
      <c r="AC377" s="98" t="e">
        <f t="shared" si="92"/>
        <v>#REF!</v>
      </c>
      <c r="AD377" s="98" t="e">
        <f t="shared" si="93"/>
        <v>#REF!</v>
      </c>
      <c r="AE377" s="97" t="e">
        <f t="shared" si="94"/>
        <v>#REF!</v>
      </c>
      <c r="AF377" s="97" t="e">
        <f t="shared" si="94"/>
        <v>#REF!</v>
      </c>
      <c r="AH377" s="98" t="e">
        <f t="shared" si="95"/>
        <v>#REF!</v>
      </c>
      <c r="AI377" s="98" t="e">
        <f t="shared" si="96"/>
        <v>#REF!</v>
      </c>
      <c r="AJ377" s="97" t="e">
        <f t="shared" si="97"/>
        <v>#REF!</v>
      </c>
      <c r="AK377" s="97" t="e">
        <f t="shared" si="97"/>
        <v>#REF!</v>
      </c>
    </row>
    <row r="378" spans="1:37">
      <c r="S378" s="98">
        <f t="shared" si="86"/>
        <v>0</v>
      </c>
      <c r="T378" s="98">
        <f t="shared" si="87"/>
        <v>0</v>
      </c>
      <c r="U378" s="97">
        <f t="shared" si="88"/>
        <v>0</v>
      </c>
      <c r="V378" s="97">
        <f t="shared" si="88"/>
        <v>0</v>
      </c>
      <c r="X378" s="98" t="e">
        <f t="shared" si="89"/>
        <v>#REF!</v>
      </c>
      <c r="Y378" s="98" t="e">
        <f t="shared" si="90"/>
        <v>#REF!</v>
      </c>
      <c r="Z378" s="97" t="e">
        <f t="shared" si="91"/>
        <v>#REF!</v>
      </c>
      <c r="AA378" s="97" t="e">
        <f t="shared" si="91"/>
        <v>#REF!</v>
      </c>
      <c r="AC378" s="98" t="e">
        <f t="shared" si="92"/>
        <v>#REF!</v>
      </c>
      <c r="AD378" s="98" t="e">
        <f t="shared" si="93"/>
        <v>#REF!</v>
      </c>
      <c r="AE378" s="97" t="e">
        <f t="shared" si="94"/>
        <v>#REF!</v>
      </c>
      <c r="AF378" s="97" t="e">
        <f t="shared" si="94"/>
        <v>#REF!</v>
      </c>
      <c r="AH378" s="98" t="e">
        <f t="shared" si="95"/>
        <v>#REF!</v>
      </c>
      <c r="AI378" s="98" t="e">
        <f t="shared" si="96"/>
        <v>#REF!</v>
      </c>
      <c r="AJ378" s="97" t="e">
        <f t="shared" si="97"/>
        <v>#REF!</v>
      </c>
      <c r="AK378" s="97" t="e">
        <f t="shared" si="97"/>
        <v>#REF!</v>
      </c>
    </row>
    <row r="379" spans="1:37">
      <c r="S379" s="98">
        <f t="shared" si="86"/>
        <v>0</v>
      </c>
      <c r="T379" s="98">
        <f t="shared" si="87"/>
        <v>0</v>
      </c>
      <c r="U379" s="97">
        <f t="shared" si="88"/>
        <v>0</v>
      </c>
      <c r="V379" s="97">
        <f t="shared" si="88"/>
        <v>0</v>
      </c>
      <c r="X379" s="98" t="e">
        <f t="shared" si="89"/>
        <v>#REF!</v>
      </c>
      <c r="Y379" s="98" t="e">
        <f t="shared" si="90"/>
        <v>#REF!</v>
      </c>
      <c r="Z379" s="97" t="e">
        <f t="shared" si="91"/>
        <v>#REF!</v>
      </c>
      <c r="AA379" s="97" t="e">
        <f t="shared" si="91"/>
        <v>#REF!</v>
      </c>
      <c r="AC379" s="98" t="e">
        <f t="shared" si="92"/>
        <v>#REF!</v>
      </c>
      <c r="AD379" s="98" t="e">
        <f t="shared" si="93"/>
        <v>#REF!</v>
      </c>
      <c r="AE379" s="97" t="e">
        <f t="shared" si="94"/>
        <v>#REF!</v>
      </c>
      <c r="AF379" s="97" t="e">
        <f t="shared" si="94"/>
        <v>#REF!</v>
      </c>
      <c r="AH379" s="98" t="e">
        <f t="shared" si="95"/>
        <v>#REF!</v>
      </c>
      <c r="AI379" s="98" t="e">
        <f t="shared" si="96"/>
        <v>#REF!</v>
      </c>
      <c r="AJ379" s="97" t="e">
        <f t="shared" si="97"/>
        <v>#REF!</v>
      </c>
      <c r="AK379" s="97" t="e">
        <f t="shared" si="97"/>
        <v>#REF!</v>
      </c>
    </row>
    <row r="380" spans="1:37">
      <c r="S380" s="98">
        <f t="shared" si="86"/>
        <v>0</v>
      </c>
      <c r="T380" s="98">
        <f t="shared" si="87"/>
        <v>0</v>
      </c>
      <c r="U380" s="97">
        <f t="shared" si="88"/>
        <v>0</v>
      </c>
      <c r="V380" s="97">
        <f t="shared" si="88"/>
        <v>0</v>
      </c>
      <c r="X380" s="98" t="e">
        <f t="shared" si="89"/>
        <v>#REF!</v>
      </c>
      <c r="Y380" s="98" t="e">
        <f t="shared" si="90"/>
        <v>#REF!</v>
      </c>
      <c r="Z380" s="97" t="e">
        <f t="shared" si="91"/>
        <v>#REF!</v>
      </c>
      <c r="AA380" s="97" t="e">
        <f t="shared" si="91"/>
        <v>#REF!</v>
      </c>
      <c r="AC380" s="98" t="e">
        <f t="shared" si="92"/>
        <v>#REF!</v>
      </c>
      <c r="AD380" s="98" t="e">
        <f t="shared" si="93"/>
        <v>#REF!</v>
      </c>
      <c r="AE380" s="97" t="e">
        <f t="shared" si="94"/>
        <v>#REF!</v>
      </c>
      <c r="AF380" s="97" t="e">
        <f t="shared" si="94"/>
        <v>#REF!</v>
      </c>
      <c r="AH380" s="98" t="e">
        <f t="shared" si="95"/>
        <v>#REF!</v>
      </c>
      <c r="AI380" s="98" t="e">
        <f t="shared" si="96"/>
        <v>#REF!</v>
      </c>
      <c r="AJ380" s="97" t="e">
        <f t="shared" si="97"/>
        <v>#REF!</v>
      </c>
      <c r="AK380" s="97" t="e">
        <f t="shared" si="97"/>
        <v>#REF!</v>
      </c>
    </row>
    <row r="381" spans="1:37">
      <c r="S381" s="98">
        <f t="shared" si="86"/>
        <v>0</v>
      </c>
      <c r="T381" s="98">
        <f t="shared" si="87"/>
        <v>0</v>
      </c>
      <c r="U381" s="97">
        <f t="shared" si="88"/>
        <v>0</v>
      </c>
      <c r="V381" s="97">
        <f t="shared" si="88"/>
        <v>0</v>
      </c>
      <c r="X381" s="98" t="e">
        <f t="shared" si="89"/>
        <v>#REF!</v>
      </c>
      <c r="Y381" s="98" t="e">
        <f t="shared" si="90"/>
        <v>#REF!</v>
      </c>
      <c r="Z381" s="97" t="e">
        <f t="shared" si="91"/>
        <v>#REF!</v>
      </c>
      <c r="AA381" s="97" t="e">
        <f t="shared" si="91"/>
        <v>#REF!</v>
      </c>
      <c r="AC381" s="98" t="e">
        <f t="shared" si="92"/>
        <v>#REF!</v>
      </c>
      <c r="AD381" s="98" t="e">
        <f t="shared" si="93"/>
        <v>#REF!</v>
      </c>
      <c r="AE381" s="97" t="e">
        <f t="shared" si="94"/>
        <v>#REF!</v>
      </c>
      <c r="AF381" s="97" t="e">
        <f t="shared" si="94"/>
        <v>#REF!</v>
      </c>
      <c r="AH381" s="98" t="e">
        <f t="shared" si="95"/>
        <v>#REF!</v>
      </c>
      <c r="AI381" s="98" t="e">
        <f t="shared" si="96"/>
        <v>#REF!</v>
      </c>
      <c r="AJ381" s="97" t="e">
        <f t="shared" si="97"/>
        <v>#REF!</v>
      </c>
      <c r="AK381" s="97" t="e">
        <f t="shared" si="97"/>
        <v>#REF!</v>
      </c>
    </row>
    <row r="382" spans="1:37">
      <c r="S382" s="98">
        <f t="shared" si="86"/>
        <v>0</v>
      </c>
      <c r="T382" s="98">
        <f t="shared" si="87"/>
        <v>0</v>
      </c>
      <c r="U382" s="97">
        <f t="shared" si="88"/>
        <v>0</v>
      </c>
      <c r="V382" s="97">
        <f t="shared" si="88"/>
        <v>0</v>
      </c>
      <c r="X382" s="98" t="e">
        <f t="shared" si="89"/>
        <v>#REF!</v>
      </c>
      <c r="Y382" s="98" t="e">
        <f t="shared" si="90"/>
        <v>#REF!</v>
      </c>
      <c r="Z382" s="97" t="e">
        <f t="shared" si="91"/>
        <v>#REF!</v>
      </c>
      <c r="AA382" s="97" t="e">
        <f t="shared" si="91"/>
        <v>#REF!</v>
      </c>
      <c r="AC382" s="98" t="e">
        <f t="shared" si="92"/>
        <v>#REF!</v>
      </c>
      <c r="AD382" s="98" t="e">
        <f t="shared" si="93"/>
        <v>#REF!</v>
      </c>
      <c r="AE382" s="97" t="e">
        <f t="shared" si="94"/>
        <v>#REF!</v>
      </c>
      <c r="AF382" s="97" t="e">
        <f t="shared" si="94"/>
        <v>#REF!</v>
      </c>
      <c r="AH382" s="98" t="e">
        <f t="shared" si="95"/>
        <v>#REF!</v>
      </c>
      <c r="AI382" s="98" t="e">
        <f t="shared" si="96"/>
        <v>#REF!</v>
      </c>
      <c r="AJ382" s="97" t="e">
        <f t="shared" si="97"/>
        <v>#REF!</v>
      </c>
      <c r="AK382" s="97" t="e">
        <f t="shared" si="97"/>
        <v>#REF!</v>
      </c>
    </row>
    <row r="383" spans="1:37">
      <c r="S383" s="98">
        <f t="shared" si="86"/>
        <v>0</v>
      </c>
      <c r="T383" s="98">
        <f t="shared" si="87"/>
        <v>0</v>
      </c>
      <c r="U383" s="97">
        <f t="shared" si="88"/>
        <v>0</v>
      </c>
      <c r="V383" s="97">
        <f t="shared" si="88"/>
        <v>0</v>
      </c>
      <c r="X383" s="98" t="e">
        <f t="shared" si="89"/>
        <v>#REF!</v>
      </c>
      <c r="Y383" s="98" t="e">
        <f t="shared" si="90"/>
        <v>#REF!</v>
      </c>
      <c r="Z383" s="97" t="e">
        <f t="shared" si="91"/>
        <v>#REF!</v>
      </c>
      <c r="AA383" s="97" t="e">
        <f t="shared" si="91"/>
        <v>#REF!</v>
      </c>
      <c r="AC383" s="98" t="e">
        <f t="shared" si="92"/>
        <v>#REF!</v>
      </c>
      <c r="AD383" s="98" t="e">
        <f t="shared" si="93"/>
        <v>#REF!</v>
      </c>
      <c r="AE383" s="97" t="e">
        <f t="shared" si="94"/>
        <v>#REF!</v>
      </c>
      <c r="AF383" s="97" t="e">
        <f t="shared" si="94"/>
        <v>#REF!</v>
      </c>
      <c r="AH383" s="98" t="e">
        <f t="shared" si="95"/>
        <v>#REF!</v>
      </c>
      <c r="AI383" s="98" t="e">
        <f t="shared" si="96"/>
        <v>#REF!</v>
      </c>
      <c r="AJ383" s="97" t="e">
        <f t="shared" si="97"/>
        <v>#REF!</v>
      </c>
      <c r="AK383" s="97" t="e">
        <f t="shared" si="97"/>
        <v>#REF!</v>
      </c>
    </row>
    <row r="384" spans="1:37">
      <c r="S384" s="98">
        <f t="shared" si="86"/>
        <v>0</v>
      </c>
      <c r="T384" s="98">
        <f t="shared" si="87"/>
        <v>0</v>
      </c>
      <c r="U384" s="97">
        <f t="shared" si="88"/>
        <v>0</v>
      </c>
      <c r="V384" s="97">
        <f t="shared" si="88"/>
        <v>0</v>
      </c>
      <c r="X384" s="98" t="e">
        <f t="shared" si="89"/>
        <v>#REF!</v>
      </c>
      <c r="Y384" s="98" t="e">
        <f t="shared" si="90"/>
        <v>#REF!</v>
      </c>
      <c r="Z384" s="97" t="e">
        <f t="shared" si="91"/>
        <v>#REF!</v>
      </c>
      <c r="AA384" s="97" t="e">
        <f t="shared" si="91"/>
        <v>#REF!</v>
      </c>
      <c r="AC384" s="98" t="e">
        <f t="shared" si="92"/>
        <v>#REF!</v>
      </c>
      <c r="AD384" s="98" t="e">
        <f t="shared" si="93"/>
        <v>#REF!</v>
      </c>
      <c r="AE384" s="97" t="e">
        <f t="shared" si="94"/>
        <v>#REF!</v>
      </c>
      <c r="AF384" s="97" t="e">
        <f t="shared" si="94"/>
        <v>#REF!</v>
      </c>
      <c r="AH384" s="98" t="e">
        <f t="shared" si="95"/>
        <v>#REF!</v>
      </c>
      <c r="AI384" s="98" t="e">
        <f t="shared" si="96"/>
        <v>#REF!</v>
      </c>
      <c r="AJ384" s="97" t="e">
        <f t="shared" si="97"/>
        <v>#REF!</v>
      </c>
      <c r="AK384" s="97" t="e">
        <f t="shared" si="97"/>
        <v>#REF!</v>
      </c>
    </row>
    <row r="385" spans="19:37">
      <c r="S385" s="98">
        <f t="shared" ref="S385:S448" si="98">IF($A385&lt;&gt;"(DC)", $E385*$R$7, $E385)</f>
        <v>0</v>
      </c>
      <c r="T385" s="98">
        <f t="shared" ref="T385:T448" si="99">IF($A385&lt;&gt;"(DC)", $F385*$R$7, $F385)</f>
        <v>0</v>
      </c>
      <c r="U385" s="97">
        <f t="shared" ref="U385:V448" si="100">IF(AND($D385="",S385=""),"",IF($D385="",S385,$D385+S385))</f>
        <v>0</v>
      </c>
      <c r="V385" s="97">
        <f t="shared" si="100"/>
        <v>0</v>
      </c>
      <c r="X385" s="98" t="e">
        <f t="shared" ref="X385:X448" si="101">IF($A385&lt;&gt;"(DC)", $E385*$W$7, $E385)</f>
        <v>#REF!</v>
      </c>
      <c r="Y385" s="98" t="e">
        <f t="shared" ref="Y385:Y448" si="102">IF($A385&lt;&gt;"(DC)", $F385*$W$7, $F385)</f>
        <v>#REF!</v>
      </c>
      <c r="Z385" s="97" t="e">
        <f t="shared" ref="Z385:AA448" si="103">IF(AND($D385="",X385=""),"",IF($D385="",X385,$D385+X385))</f>
        <v>#REF!</v>
      </c>
      <c r="AA385" s="97" t="e">
        <f t="shared" si="103"/>
        <v>#REF!</v>
      </c>
      <c r="AC385" s="98" t="e">
        <f t="shared" ref="AC385:AC448" si="104">IF($A385&lt;&gt;"(DC)", $E385*$W$7, $E385)</f>
        <v>#REF!</v>
      </c>
      <c r="AD385" s="98" t="e">
        <f t="shared" ref="AD385:AD448" si="105">IF($A385&lt;&gt;"(DC)", $F385*$W$7, $F385)</f>
        <v>#REF!</v>
      </c>
      <c r="AE385" s="97" t="e">
        <f t="shared" ref="AE385:AF448" si="106">IF(AND($D385="",AC385=""),"",IF($D385="",AC385,$D385+AC385))</f>
        <v>#REF!</v>
      </c>
      <c r="AF385" s="97" t="e">
        <f t="shared" si="106"/>
        <v>#REF!</v>
      </c>
      <c r="AH385" s="98" t="e">
        <f t="shared" ref="AH385:AH448" si="107">IF($A385&lt;&gt;"(DC)", $E385*$AG$7, $E385)</f>
        <v>#REF!</v>
      </c>
      <c r="AI385" s="98" t="e">
        <f t="shared" ref="AI385:AI448" si="108">IF($A385&lt;&gt;"(DC)", $F385*$AG$7, $F385)</f>
        <v>#REF!</v>
      </c>
      <c r="AJ385" s="97" t="e">
        <f t="shared" ref="AJ385:AK448" si="109">IF(AND($D385="",AH385=""),"",IF($D385="",AH385,$D385+AH385))</f>
        <v>#REF!</v>
      </c>
      <c r="AK385" s="97" t="e">
        <f t="shared" si="109"/>
        <v>#REF!</v>
      </c>
    </row>
    <row r="386" spans="19:37">
      <c r="S386" s="98">
        <f t="shared" si="98"/>
        <v>0</v>
      </c>
      <c r="T386" s="98">
        <f t="shared" si="99"/>
        <v>0</v>
      </c>
      <c r="U386" s="97">
        <f t="shared" si="100"/>
        <v>0</v>
      </c>
      <c r="V386" s="97">
        <f t="shared" si="100"/>
        <v>0</v>
      </c>
      <c r="X386" s="98" t="e">
        <f t="shared" si="101"/>
        <v>#REF!</v>
      </c>
      <c r="Y386" s="98" t="e">
        <f t="shared" si="102"/>
        <v>#REF!</v>
      </c>
      <c r="Z386" s="97" t="e">
        <f t="shared" si="103"/>
        <v>#REF!</v>
      </c>
      <c r="AA386" s="97" t="e">
        <f t="shared" si="103"/>
        <v>#REF!</v>
      </c>
      <c r="AC386" s="98" t="e">
        <f t="shared" si="104"/>
        <v>#REF!</v>
      </c>
      <c r="AD386" s="98" t="e">
        <f t="shared" si="105"/>
        <v>#REF!</v>
      </c>
      <c r="AE386" s="97" t="e">
        <f t="shared" si="106"/>
        <v>#REF!</v>
      </c>
      <c r="AF386" s="97" t="e">
        <f t="shared" si="106"/>
        <v>#REF!</v>
      </c>
      <c r="AH386" s="98" t="e">
        <f t="shared" si="107"/>
        <v>#REF!</v>
      </c>
      <c r="AI386" s="98" t="e">
        <f t="shared" si="108"/>
        <v>#REF!</v>
      </c>
      <c r="AJ386" s="97" t="e">
        <f t="shared" si="109"/>
        <v>#REF!</v>
      </c>
      <c r="AK386" s="97" t="e">
        <f t="shared" si="109"/>
        <v>#REF!</v>
      </c>
    </row>
    <row r="387" spans="19:37">
      <c r="S387" s="98">
        <f t="shared" si="98"/>
        <v>0</v>
      </c>
      <c r="T387" s="98">
        <f t="shared" si="99"/>
        <v>0</v>
      </c>
      <c r="U387" s="97">
        <f t="shared" si="100"/>
        <v>0</v>
      </c>
      <c r="V387" s="97">
        <f t="shared" si="100"/>
        <v>0</v>
      </c>
      <c r="X387" s="98" t="e">
        <f t="shared" si="101"/>
        <v>#REF!</v>
      </c>
      <c r="Y387" s="98" t="e">
        <f t="shared" si="102"/>
        <v>#REF!</v>
      </c>
      <c r="Z387" s="97" t="e">
        <f t="shared" si="103"/>
        <v>#REF!</v>
      </c>
      <c r="AA387" s="97" t="e">
        <f t="shared" si="103"/>
        <v>#REF!</v>
      </c>
      <c r="AC387" s="98" t="e">
        <f t="shared" si="104"/>
        <v>#REF!</v>
      </c>
      <c r="AD387" s="98" t="e">
        <f t="shared" si="105"/>
        <v>#REF!</v>
      </c>
      <c r="AE387" s="97" t="e">
        <f t="shared" si="106"/>
        <v>#REF!</v>
      </c>
      <c r="AF387" s="97" t="e">
        <f t="shared" si="106"/>
        <v>#REF!</v>
      </c>
      <c r="AH387" s="98" t="e">
        <f t="shared" si="107"/>
        <v>#REF!</v>
      </c>
      <c r="AI387" s="98" t="e">
        <f t="shared" si="108"/>
        <v>#REF!</v>
      </c>
      <c r="AJ387" s="97" t="e">
        <f t="shared" si="109"/>
        <v>#REF!</v>
      </c>
      <c r="AK387" s="97" t="e">
        <f t="shared" si="109"/>
        <v>#REF!</v>
      </c>
    </row>
    <row r="388" spans="19:37">
      <c r="S388" s="98">
        <f t="shared" si="98"/>
        <v>0</v>
      </c>
      <c r="T388" s="98">
        <f t="shared" si="99"/>
        <v>0</v>
      </c>
      <c r="U388" s="97">
        <f t="shared" si="100"/>
        <v>0</v>
      </c>
      <c r="V388" s="97">
        <f t="shared" si="100"/>
        <v>0</v>
      </c>
      <c r="X388" s="98" t="e">
        <f t="shared" si="101"/>
        <v>#REF!</v>
      </c>
      <c r="Y388" s="98" t="e">
        <f t="shared" si="102"/>
        <v>#REF!</v>
      </c>
      <c r="Z388" s="97" t="e">
        <f t="shared" si="103"/>
        <v>#REF!</v>
      </c>
      <c r="AA388" s="97" t="e">
        <f t="shared" si="103"/>
        <v>#REF!</v>
      </c>
      <c r="AC388" s="98" t="e">
        <f t="shared" si="104"/>
        <v>#REF!</v>
      </c>
      <c r="AD388" s="98" t="e">
        <f t="shared" si="105"/>
        <v>#REF!</v>
      </c>
      <c r="AE388" s="97" t="e">
        <f t="shared" si="106"/>
        <v>#REF!</v>
      </c>
      <c r="AF388" s="97" t="e">
        <f t="shared" si="106"/>
        <v>#REF!</v>
      </c>
      <c r="AH388" s="98" t="e">
        <f t="shared" si="107"/>
        <v>#REF!</v>
      </c>
      <c r="AI388" s="98" t="e">
        <f t="shared" si="108"/>
        <v>#REF!</v>
      </c>
      <c r="AJ388" s="97" t="e">
        <f t="shared" si="109"/>
        <v>#REF!</v>
      </c>
      <c r="AK388" s="97" t="e">
        <f t="shared" si="109"/>
        <v>#REF!</v>
      </c>
    </row>
    <row r="389" spans="19:37">
      <c r="S389" s="98">
        <f t="shared" si="98"/>
        <v>0</v>
      </c>
      <c r="T389" s="98">
        <f t="shared" si="99"/>
        <v>0</v>
      </c>
      <c r="U389" s="97">
        <f t="shared" si="100"/>
        <v>0</v>
      </c>
      <c r="V389" s="97">
        <f t="shared" si="100"/>
        <v>0</v>
      </c>
      <c r="X389" s="98" t="e">
        <f t="shared" si="101"/>
        <v>#REF!</v>
      </c>
      <c r="Y389" s="98" t="e">
        <f t="shared" si="102"/>
        <v>#REF!</v>
      </c>
      <c r="Z389" s="97" t="e">
        <f t="shared" si="103"/>
        <v>#REF!</v>
      </c>
      <c r="AA389" s="97" t="e">
        <f t="shared" si="103"/>
        <v>#REF!</v>
      </c>
      <c r="AC389" s="98" t="e">
        <f t="shared" si="104"/>
        <v>#REF!</v>
      </c>
      <c r="AD389" s="98" t="e">
        <f t="shared" si="105"/>
        <v>#REF!</v>
      </c>
      <c r="AE389" s="97" t="e">
        <f t="shared" si="106"/>
        <v>#REF!</v>
      </c>
      <c r="AF389" s="97" t="e">
        <f t="shared" si="106"/>
        <v>#REF!</v>
      </c>
      <c r="AH389" s="98" t="e">
        <f t="shared" si="107"/>
        <v>#REF!</v>
      </c>
      <c r="AI389" s="98" t="e">
        <f t="shared" si="108"/>
        <v>#REF!</v>
      </c>
      <c r="AJ389" s="97" t="e">
        <f t="shared" si="109"/>
        <v>#REF!</v>
      </c>
      <c r="AK389" s="97" t="e">
        <f t="shared" si="109"/>
        <v>#REF!</v>
      </c>
    </row>
    <row r="390" spans="19:37">
      <c r="S390" s="98">
        <f t="shared" si="98"/>
        <v>0</v>
      </c>
      <c r="T390" s="98">
        <f t="shared" si="99"/>
        <v>0</v>
      </c>
      <c r="U390" s="97">
        <f t="shared" si="100"/>
        <v>0</v>
      </c>
      <c r="V390" s="97">
        <f t="shared" si="100"/>
        <v>0</v>
      </c>
      <c r="X390" s="98" t="e">
        <f t="shared" si="101"/>
        <v>#REF!</v>
      </c>
      <c r="Y390" s="98" t="e">
        <f t="shared" si="102"/>
        <v>#REF!</v>
      </c>
      <c r="Z390" s="97" t="e">
        <f t="shared" si="103"/>
        <v>#REF!</v>
      </c>
      <c r="AA390" s="97" t="e">
        <f t="shared" si="103"/>
        <v>#REF!</v>
      </c>
      <c r="AC390" s="98" t="e">
        <f t="shared" si="104"/>
        <v>#REF!</v>
      </c>
      <c r="AD390" s="98" t="e">
        <f t="shared" si="105"/>
        <v>#REF!</v>
      </c>
      <c r="AE390" s="97" t="e">
        <f t="shared" si="106"/>
        <v>#REF!</v>
      </c>
      <c r="AF390" s="97" t="e">
        <f t="shared" si="106"/>
        <v>#REF!</v>
      </c>
      <c r="AH390" s="98" t="e">
        <f t="shared" si="107"/>
        <v>#REF!</v>
      </c>
      <c r="AI390" s="98" t="e">
        <f t="shared" si="108"/>
        <v>#REF!</v>
      </c>
      <c r="AJ390" s="97" t="e">
        <f t="shared" si="109"/>
        <v>#REF!</v>
      </c>
      <c r="AK390" s="97" t="e">
        <f t="shared" si="109"/>
        <v>#REF!</v>
      </c>
    </row>
    <row r="391" spans="19:37">
      <c r="S391" s="98">
        <f t="shared" si="98"/>
        <v>0</v>
      </c>
      <c r="T391" s="98">
        <f t="shared" si="99"/>
        <v>0</v>
      </c>
      <c r="U391" s="97">
        <f t="shared" si="100"/>
        <v>0</v>
      </c>
      <c r="V391" s="97">
        <f t="shared" si="100"/>
        <v>0</v>
      </c>
      <c r="X391" s="98" t="e">
        <f t="shared" si="101"/>
        <v>#REF!</v>
      </c>
      <c r="Y391" s="98" t="e">
        <f t="shared" si="102"/>
        <v>#REF!</v>
      </c>
      <c r="Z391" s="97" t="e">
        <f t="shared" si="103"/>
        <v>#REF!</v>
      </c>
      <c r="AA391" s="97" t="e">
        <f t="shared" si="103"/>
        <v>#REF!</v>
      </c>
      <c r="AC391" s="98" t="e">
        <f t="shared" si="104"/>
        <v>#REF!</v>
      </c>
      <c r="AD391" s="98" t="e">
        <f t="shared" si="105"/>
        <v>#REF!</v>
      </c>
      <c r="AE391" s="97" t="e">
        <f t="shared" si="106"/>
        <v>#REF!</v>
      </c>
      <c r="AF391" s="97" t="e">
        <f t="shared" si="106"/>
        <v>#REF!</v>
      </c>
      <c r="AH391" s="98" t="e">
        <f t="shared" si="107"/>
        <v>#REF!</v>
      </c>
      <c r="AI391" s="98" t="e">
        <f t="shared" si="108"/>
        <v>#REF!</v>
      </c>
      <c r="AJ391" s="97" t="e">
        <f t="shared" si="109"/>
        <v>#REF!</v>
      </c>
      <c r="AK391" s="97" t="e">
        <f t="shared" si="109"/>
        <v>#REF!</v>
      </c>
    </row>
    <row r="392" spans="19:37">
      <c r="S392" s="98">
        <f t="shared" si="98"/>
        <v>0</v>
      </c>
      <c r="T392" s="98">
        <f t="shared" si="99"/>
        <v>0</v>
      </c>
      <c r="U392" s="97">
        <f t="shared" si="100"/>
        <v>0</v>
      </c>
      <c r="V392" s="97">
        <f t="shared" si="100"/>
        <v>0</v>
      </c>
      <c r="X392" s="98" t="e">
        <f t="shared" si="101"/>
        <v>#REF!</v>
      </c>
      <c r="Y392" s="98" t="e">
        <f t="shared" si="102"/>
        <v>#REF!</v>
      </c>
      <c r="Z392" s="97" t="e">
        <f t="shared" si="103"/>
        <v>#REF!</v>
      </c>
      <c r="AA392" s="97" t="e">
        <f t="shared" si="103"/>
        <v>#REF!</v>
      </c>
      <c r="AC392" s="98" t="e">
        <f t="shared" si="104"/>
        <v>#REF!</v>
      </c>
      <c r="AD392" s="98" t="e">
        <f t="shared" si="105"/>
        <v>#REF!</v>
      </c>
      <c r="AE392" s="97" t="e">
        <f t="shared" si="106"/>
        <v>#REF!</v>
      </c>
      <c r="AF392" s="97" t="e">
        <f t="shared" si="106"/>
        <v>#REF!</v>
      </c>
      <c r="AH392" s="98" t="e">
        <f t="shared" si="107"/>
        <v>#REF!</v>
      </c>
      <c r="AI392" s="98" t="e">
        <f t="shared" si="108"/>
        <v>#REF!</v>
      </c>
      <c r="AJ392" s="97" t="e">
        <f t="shared" si="109"/>
        <v>#REF!</v>
      </c>
      <c r="AK392" s="97" t="e">
        <f t="shared" si="109"/>
        <v>#REF!</v>
      </c>
    </row>
    <row r="393" spans="19:37">
      <c r="S393" s="98">
        <f t="shared" si="98"/>
        <v>0</v>
      </c>
      <c r="T393" s="98">
        <f t="shared" si="99"/>
        <v>0</v>
      </c>
      <c r="U393" s="97">
        <f t="shared" si="100"/>
        <v>0</v>
      </c>
      <c r="V393" s="97">
        <f t="shared" si="100"/>
        <v>0</v>
      </c>
      <c r="X393" s="98" t="e">
        <f t="shared" si="101"/>
        <v>#REF!</v>
      </c>
      <c r="Y393" s="98" t="e">
        <f t="shared" si="102"/>
        <v>#REF!</v>
      </c>
      <c r="Z393" s="97" t="e">
        <f t="shared" si="103"/>
        <v>#REF!</v>
      </c>
      <c r="AA393" s="97" t="e">
        <f t="shared" si="103"/>
        <v>#REF!</v>
      </c>
      <c r="AC393" s="98" t="e">
        <f t="shared" si="104"/>
        <v>#REF!</v>
      </c>
      <c r="AD393" s="98" t="e">
        <f t="shared" si="105"/>
        <v>#REF!</v>
      </c>
      <c r="AE393" s="97" t="e">
        <f t="shared" si="106"/>
        <v>#REF!</v>
      </c>
      <c r="AF393" s="97" t="e">
        <f t="shared" si="106"/>
        <v>#REF!</v>
      </c>
      <c r="AH393" s="98" t="e">
        <f t="shared" si="107"/>
        <v>#REF!</v>
      </c>
      <c r="AI393" s="98" t="e">
        <f t="shared" si="108"/>
        <v>#REF!</v>
      </c>
      <c r="AJ393" s="97" t="e">
        <f t="shared" si="109"/>
        <v>#REF!</v>
      </c>
      <c r="AK393" s="97" t="e">
        <f t="shared" si="109"/>
        <v>#REF!</v>
      </c>
    </row>
    <row r="394" spans="19:37">
      <c r="S394" s="98">
        <f t="shared" si="98"/>
        <v>0</v>
      </c>
      <c r="T394" s="98">
        <f t="shared" si="99"/>
        <v>0</v>
      </c>
      <c r="U394" s="97">
        <f t="shared" si="100"/>
        <v>0</v>
      </c>
      <c r="V394" s="97">
        <f t="shared" si="100"/>
        <v>0</v>
      </c>
      <c r="X394" s="98" t="e">
        <f t="shared" si="101"/>
        <v>#REF!</v>
      </c>
      <c r="Y394" s="98" t="e">
        <f t="shared" si="102"/>
        <v>#REF!</v>
      </c>
      <c r="Z394" s="97" t="e">
        <f t="shared" si="103"/>
        <v>#REF!</v>
      </c>
      <c r="AA394" s="97" t="e">
        <f t="shared" si="103"/>
        <v>#REF!</v>
      </c>
      <c r="AC394" s="98" t="e">
        <f t="shared" si="104"/>
        <v>#REF!</v>
      </c>
      <c r="AD394" s="98" t="e">
        <f t="shared" si="105"/>
        <v>#REF!</v>
      </c>
      <c r="AE394" s="97" t="e">
        <f t="shared" si="106"/>
        <v>#REF!</v>
      </c>
      <c r="AF394" s="97" t="e">
        <f t="shared" si="106"/>
        <v>#REF!</v>
      </c>
      <c r="AH394" s="98" t="e">
        <f t="shared" si="107"/>
        <v>#REF!</v>
      </c>
      <c r="AI394" s="98" t="e">
        <f t="shared" si="108"/>
        <v>#REF!</v>
      </c>
      <c r="AJ394" s="97" t="e">
        <f t="shared" si="109"/>
        <v>#REF!</v>
      </c>
      <c r="AK394" s="97" t="e">
        <f t="shared" si="109"/>
        <v>#REF!</v>
      </c>
    </row>
    <row r="395" spans="19:37">
      <c r="S395" s="98">
        <f t="shared" si="98"/>
        <v>0</v>
      </c>
      <c r="T395" s="98">
        <f t="shared" si="99"/>
        <v>0</v>
      </c>
      <c r="U395" s="97">
        <f t="shared" si="100"/>
        <v>0</v>
      </c>
      <c r="V395" s="97">
        <f t="shared" si="100"/>
        <v>0</v>
      </c>
      <c r="X395" s="98" t="e">
        <f t="shared" si="101"/>
        <v>#REF!</v>
      </c>
      <c r="Y395" s="98" t="e">
        <f t="shared" si="102"/>
        <v>#REF!</v>
      </c>
      <c r="Z395" s="97" t="e">
        <f t="shared" si="103"/>
        <v>#REF!</v>
      </c>
      <c r="AA395" s="97" t="e">
        <f t="shared" si="103"/>
        <v>#REF!</v>
      </c>
      <c r="AC395" s="98" t="e">
        <f t="shared" si="104"/>
        <v>#REF!</v>
      </c>
      <c r="AD395" s="98" t="e">
        <f t="shared" si="105"/>
        <v>#REF!</v>
      </c>
      <c r="AE395" s="97" t="e">
        <f t="shared" si="106"/>
        <v>#REF!</v>
      </c>
      <c r="AF395" s="97" t="e">
        <f t="shared" si="106"/>
        <v>#REF!</v>
      </c>
      <c r="AH395" s="98" t="e">
        <f t="shared" si="107"/>
        <v>#REF!</v>
      </c>
      <c r="AI395" s="98" t="e">
        <f t="shared" si="108"/>
        <v>#REF!</v>
      </c>
      <c r="AJ395" s="97" t="e">
        <f t="shared" si="109"/>
        <v>#REF!</v>
      </c>
      <c r="AK395" s="97" t="e">
        <f t="shared" si="109"/>
        <v>#REF!</v>
      </c>
    </row>
    <row r="396" spans="19:37">
      <c r="S396" s="98">
        <f t="shared" si="98"/>
        <v>0</v>
      </c>
      <c r="T396" s="98">
        <f t="shared" si="99"/>
        <v>0</v>
      </c>
      <c r="U396" s="97">
        <f t="shared" si="100"/>
        <v>0</v>
      </c>
      <c r="V396" s="97">
        <f t="shared" si="100"/>
        <v>0</v>
      </c>
      <c r="X396" s="98" t="e">
        <f t="shared" si="101"/>
        <v>#REF!</v>
      </c>
      <c r="Y396" s="98" t="e">
        <f t="shared" si="102"/>
        <v>#REF!</v>
      </c>
      <c r="Z396" s="97" t="e">
        <f t="shared" si="103"/>
        <v>#REF!</v>
      </c>
      <c r="AA396" s="97" t="e">
        <f t="shared" si="103"/>
        <v>#REF!</v>
      </c>
      <c r="AC396" s="98" t="e">
        <f t="shared" si="104"/>
        <v>#REF!</v>
      </c>
      <c r="AD396" s="98" t="e">
        <f t="shared" si="105"/>
        <v>#REF!</v>
      </c>
      <c r="AE396" s="97" t="e">
        <f t="shared" si="106"/>
        <v>#REF!</v>
      </c>
      <c r="AF396" s="97" t="e">
        <f t="shared" si="106"/>
        <v>#REF!</v>
      </c>
      <c r="AH396" s="98" t="e">
        <f t="shared" si="107"/>
        <v>#REF!</v>
      </c>
      <c r="AI396" s="98" t="e">
        <f t="shared" si="108"/>
        <v>#REF!</v>
      </c>
      <c r="AJ396" s="97" t="e">
        <f t="shared" si="109"/>
        <v>#REF!</v>
      </c>
      <c r="AK396" s="97" t="e">
        <f t="shared" si="109"/>
        <v>#REF!</v>
      </c>
    </row>
    <row r="397" spans="19:37">
      <c r="S397" s="98">
        <f t="shared" si="98"/>
        <v>0</v>
      </c>
      <c r="T397" s="98">
        <f t="shared" si="99"/>
        <v>0</v>
      </c>
      <c r="U397" s="97">
        <f t="shared" si="100"/>
        <v>0</v>
      </c>
      <c r="V397" s="97">
        <f t="shared" si="100"/>
        <v>0</v>
      </c>
      <c r="X397" s="98" t="e">
        <f t="shared" si="101"/>
        <v>#REF!</v>
      </c>
      <c r="Y397" s="98" t="e">
        <f t="shared" si="102"/>
        <v>#REF!</v>
      </c>
      <c r="Z397" s="97" t="e">
        <f t="shared" si="103"/>
        <v>#REF!</v>
      </c>
      <c r="AA397" s="97" t="e">
        <f t="shared" si="103"/>
        <v>#REF!</v>
      </c>
      <c r="AC397" s="98" t="e">
        <f t="shared" si="104"/>
        <v>#REF!</v>
      </c>
      <c r="AD397" s="98" t="e">
        <f t="shared" si="105"/>
        <v>#REF!</v>
      </c>
      <c r="AE397" s="97" t="e">
        <f t="shared" si="106"/>
        <v>#REF!</v>
      </c>
      <c r="AF397" s="97" t="e">
        <f t="shared" si="106"/>
        <v>#REF!</v>
      </c>
      <c r="AH397" s="98" t="e">
        <f t="shared" si="107"/>
        <v>#REF!</v>
      </c>
      <c r="AI397" s="98" t="e">
        <f t="shared" si="108"/>
        <v>#REF!</v>
      </c>
      <c r="AJ397" s="97" t="e">
        <f t="shared" si="109"/>
        <v>#REF!</v>
      </c>
      <c r="AK397" s="97" t="e">
        <f t="shared" si="109"/>
        <v>#REF!</v>
      </c>
    </row>
    <row r="398" spans="19:37">
      <c r="S398" s="98">
        <f t="shared" si="98"/>
        <v>0</v>
      </c>
      <c r="T398" s="98">
        <f t="shared" si="99"/>
        <v>0</v>
      </c>
      <c r="U398" s="97">
        <f t="shared" si="100"/>
        <v>0</v>
      </c>
      <c r="V398" s="97">
        <f t="shared" si="100"/>
        <v>0</v>
      </c>
      <c r="X398" s="98" t="e">
        <f t="shared" si="101"/>
        <v>#REF!</v>
      </c>
      <c r="Y398" s="98" t="e">
        <f t="shared" si="102"/>
        <v>#REF!</v>
      </c>
      <c r="Z398" s="97" t="e">
        <f t="shared" si="103"/>
        <v>#REF!</v>
      </c>
      <c r="AA398" s="97" t="e">
        <f t="shared" si="103"/>
        <v>#REF!</v>
      </c>
      <c r="AC398" s="98" t="e">
        <f t="shared" si="104"/>
        <v>#REF!</v>
      </c>
      <c r="AD398" s="98" t="e">
        <f t="shared" si="105"/>
        <v>#REF!</v>
      </c>
      <c r="AE398" s="97" t="e">
        <f t="shared" si="106"/>
        <v>#REF!</v>
      </c>
      <c r="AF398" s="97" t="e">
        <f t="shared" si="106"/>
        <v>#REF!</v>
      </c>
      <c r="AH398" s="98" t="e">
        <f t="shared" si="107"/>
        <v>#REF!</v>
      </c>
      <c r="AI398" s="98" t="e">
        <f t="shared" si="108"/>
        <v>#REF!</v>
      </c>
      <c r="AJ398" s="97" t="e">
        <f t="shared" si="109"/>
        <v>#REF!</v>
      </c>
      <c r="AK398" s="97" t="e">
        <f t="shared" si="109"/>
        <v>#REF!</v>
      </c>
    </row>
    <row r="399" spans="19:37">
      <c r="S399" s="98">
        <f t="shared" si="98"/>
        <v>0</v>
      </c>
      <c r="T399" s="98">
        <f t="shared" si="99"/>
        <v>0</v>
      </c>
      <c r="U399" s="97">
        <f t="shared" si="100"/>
        <v>0</v>
      </c>
      <c r="V399" s="97">
        <f t="shared" si="100"/>
        <v>0</v>
      </c>
      <c r="X399" s="98" t="e">
        <f t="shared" si="101"/>
        <v>#REF!</v>
      </c>
      <c r="Y399" s="98" t="e">
        <f t="shared" si="102"/>
        <v>#REF!</v>
      </c>
      <c r="Z399" s="97" t="e">
        <f t="shared" si="103"/>
        <v>#REF!</v>
      </c>
      <c r="AA399" s="97" t="e">
        <f t="shared" si="103"/>
        <v>#REF!</v>
      </c>
      <c r="AC399" s="98" t="e">
        <f t="shared" si="104"/>
        <v>#REF!</v>
      </c>
      <c r="AD399" s="98" t="e">
        <f t="shared" si="105"/>
        <v>#REF!</v>
      </c>
      <c r="AE399" s="97" t="e">
        <f t="shared" si="106"/>
        <v>#REF!</v>
      </c>
      <c r="AF399" s="97" t="e">
        <f t="shared" si="106"/>
        <v>#REF!</v>
      </c>
      <c r="AH399" s="98" t="e">
        <f t="shared" si="107"/>
        <v>#REF!</v>
      </c>
      <c r="AI399" s="98" t="e">
        <f t="shared" si="108"/>
        <v>#REF!</v>
      </c>
      <c r="AJ399" s="97" t="e">
        <f t="shared" si="109"/>
        <v>#REF!</v>
      </c>
      <c r="AK399" s="97" t="e">
        <f t="shared" si="109"/>
        <v>#REF!</v>
      </c>
    </row>
    <row r="400" spans="19:37">
      <c r="S400" s="98">
        <f t="shared" si="98"/>
        <v>0</v>
      </c>
      <c r="T400" s="98">
        <f t="shared" si="99"/>
        <v>0</v>
      </c>
      <c r="U400" s="97">
        <f t="shared" si="100"/>
        <v>0</v>
      </c>
      <c r="V400" s="97">
        <f t="shared" si="100"/>
        <v>0</v>
      </c>
      <c r="X400" s="98" t="e">
        <f t="shared" si="101"/>
        <v>#REF!</v>
      </c>
      <c r="Y400" s="98" t="e">
        <f t="shared" si="102"/>
        <v>#REF!</v>
      </c>
      <c r="Z400" s="97" t="e">
        <f t="shared" si="103"/>
        <v>#REF!</v>
      </c>
      <c r="AA400" s="97" t="e">
        <f t="shared" si="103"/>
        <v>#REF!</v>
      </c>
      <c r="AC400" s="98" t="e">
        <f t="shared" si="104"/>
        <v>#REF!</v>
      </c>
      <c r="AD400" s="98" t="e">
        <f t="shared" si="105"/>
        <v>#REF!</v>
      </c>
      <c r="AE400" s="97" t="e">
        <f t="shared" si="106"/>
        <v>#REF!</v>
      </c>
      <c r="AF400" s="97" t="e">
        <f t="shared" si="106"/>
        <v>#REF!</v>
      </c>
      <c r="AH400" s="98" t="e">
        <f t="shared" si="107"/>
        <v>#REF!</v>
      </c>
      <c r="AI400" s="98" t="e">
        <f t="shared" si="108"/>
        <v>#REF!</v>
      </c>
      <c r="AJ400" s="97" t="e">
        <f t="shared" si="109"/>
        <v>#REF!</v>
      </c>
      <c r="AK400" s="97" t="e">
        <f t="shared" si="109"/>
        <v>#REF!</v>
      </c>
    </row>
    <row r="401" spans="19:37">
      <c r="S401" s="98">
        <f t="shared" si="98"/>
        <v>0</v>
      </c>
      <c r="T401" s="98">
        <f t="shared" si="99"/>
        <v>0</v>
      </c>
      <c r="U401" s="97">
        <f t="shared" si="100"/>
        <v>0</v>
      </c>
      <c r="V401" s="97">
        <f t="shared" si="100"/>
        <v>0</v>
      </c>
      <c r="X401" s="98" t="e">
        <f t="shared" si="101"/>
        <v>#REF!</v>
      </c>
      <c r="Y401" s="98" t="e">
        <f t="shared" si="102"/>
        <v>#REF!</v>
      </c>
      <c r="Z401" s="97" t="e">
        <f t="shared" si="103"/>
        <v>#REF!</v>
      </c>
      <c r="AA401" s="97" t="e">
        <f t="shared" si="103"/>
        <v>#REF!</v>
      </c>
      <c r="AC401" s="98" t="e">
        <f t="shared" si="104"/>
        <v>#REF!</v>
      </c>
      <c r="AD401" s="98" t="e">
        <f t="shared" si="105"/>
        <v>#REF!</v>
      </c>
      <c r="AE401" s="97" t="e">
        <f t="shared" si="106"/>
        <v>#REF!</v>
      </c>
      <c r="AF401" s="97" t="e">
        <f t="shared" si="106"/>
        <v>#REF!</v>
      </c>
      <c r="AH401" s="98" t="e">
        <f t="shared" si="107"/>
        <v>#REF!</v>
      </c>
      <c r="AI401" s="98" t="e">
        <f t="shared" si="108"/>
        <v>#REF!</v>
      </c>
      <c r="AJ401" s="97" t="e">
        <f t="shared" si="109"/>
        <v>#REF!</v>
      </c>
      <c r="AK401" s="97" t="e">
        <f t="shared" si="109"/>
        <v>#REF!</v>
      </c>
    </row>
    <row r="402" spans="19:37">
      <c r="S402" s="98">
        <f t="shared" si="98"/>
        <v>0</v>
      </c>
      <c r="T402" s="98">
        <f t="shared" si="99"/>
        <v>0</v>
      </c>
      <c r="U402" s="97">
        <f t="shared" si="100"/>
        <v>0</v>
      </c>
      <c r="V402" s="97">
        <f t="shared" si="100"/>
        <v>0</v>
      </c>
      <c r="X402" s="98" t="e">
        <f t="shared" si="101"/>
        <v>#REF!</v>
      </c>
      <c r="Y402" s="98" t="e">
        <f t="shared" si="102"/>
        <v>#REF!</v>
      </c>
      <c r="Z402" s="97" t="e">
        <f t="shared" si="103"/>
        <v>#REF!</v>
      </c>
      <c r="AA402" s="97" t="e">
        <f t="shared" si="103"/>
        <v>#REF!</v>
      </c>
      <c r="AC402" s="98" t="e">
        <f t="shared" si="104"/>
        <v>#REF!</v>
      </c>
      <c r="AD402" s="98" t="e">
        <f t="shared" si="105"/>
        <v>#REF!</v>
      </c>
      <c r="AE402" s="97" t="e">
        <f t="shared" si="106"/>
        <v>#REF!</v>
      </c>
      <c r="AF402" s="97" t="e">
        <f t="shared" si="106"/>
        <v>#REF!</v>
      </c>
      <c r="AH402" s="98" t="e">
        <f t="shared" si="107"/>
        <v>#REF!</v>
      </c>
      <c r="AI402" s="98" t="e">
        <f t="shared" si="108"/>
        <v>#REF!</v>
      </c>
      <c r="AJ402" s="97" t="e">
        <f t="shared" si="109"/>
        <v>#REF!</v>
      </c>
      <c r="AK402" s="97" t="e">
        <f t="shared" si="109"/>
        <v>#REF!</v>
      </c>
    </row>
    <row r="403" spans="19:37">
      <c r="S403" s="98">
        <f t="shared" si="98"/>
        <v>0</v>
      </c>
      <c r="T403" s="98">
        <f t="shared" si="99"/>
        <v>0</v>
      </c>
      <c r="U403" s="97">
        <f t="shared" si="100"/>
        <v>0</v>
      </c>
      <c r="V403" s="97">
        <f t="shared" si="100"/>
        <v>0</v>
      </c>
      <c r="X403" s="98" t="e">
        <f t="shared" si="101"/>
        <v>#REF!</v>
      </c>
      <c r="Y403" s="98" t="e">
        <f t="shared" si="102"/>
        <v>#REF!</v>
      </c>
      <c r="Z403" s="97" t="e">
        <f t="shared" si="103"/>
        <v>#REF!</v>
      </c>
      <c r="AA403" s="97" t="e">
        <f t="shared" si="103"/>
        <v>#REF!</v>
      </c>
      <c r="AC403" s="98" t="e">
        <f t="shared" si="104"/>
        <v>#REF!</v>
      </c>
      <c r="AD403" s="98" t="e">
        <f t="shared" si="105"/>
        <v>#REF!</v>
      </c>
      <c r="AE403" s="97" t="e">
        <f t="shared" si="106"/>
        <v>#REF!</v>
      </c>
      <c r="AF403" s="97" t="e">
        <f t="shared" si="106"/>
        <v>#REF!</v>
      </c>
      <c r="AH403" s="98" t="e">
        <f t="shared" si="107"/>
        <v>#REF!</v>
      </c>
      <c r="AI403" s="98" t="e">
        <f t="shared" si="108"/>
        <v>#REF!</v>
      </c>
      <c r="AJ403" s="97" t="e">
        <f t="shared" si="109"/>
        <v>#REF!</v>
      </c>
      <c r="AK403" s="97" t="e">
        <f t="shared" si="109"/>
        <v>#REF!</v>
      </c>
    </row>
    <row r="404" spans="19:37">
      <c r="S404" s="98">
        <f t="shared" si="98"/>
        <v>0</v>
      </c>
      <c r="T404" s="98">
        <f t="shared" si="99"/>
        <v>0</v>
      </c>
      <c r="U404" s="97">
        <f t="shared" si="100"/>
        <v>0</v>
      </c>
      <c r="V404" s="97">
        <f t="shared" si="100"/>
        <v>0</v>
      </c>
      <c r="X404" s="98" t="e">
        <f t="shared" si="101"/>
        <v>#REF!</v>
      </c>
      <c r="Y404" s="98" t="e">
        <f t="shared" si="102"/>
        <v>#REF!</v>
      </c>
      <c r="Z404" s="97" t="e">
        <f t="shared" si="103"/>
        <v>#REF!</v>
      </c>
      <c r="AA404" s="97" t="e">
        <f t="shared" si="103"/>
        <v>#REF!</v>
      </c>
      <c r="AC404" s="98" t="e">
        <f t="shared" si="104"/>
        <v>#REF!</v>
      </c>
      <c r="AD404" s="98" t="e">
        <f t="shared" si="105"/>
        <v>#REF!</v>
      </c>
      <c r="AE404" s="97" t="e">
        <f t="shared" si="106"/>
        <v>#REF!</v>
      </c>
      <c r="AF404" s="97" t="e">
        <f t="shared" si="106"/>
        <v>#REF!</v>
      </c>
      <c r="AH404" s="98" t="e">
        <f t="shared" si="107"/>
        <v>#REF!</v>
      </c>
      <c r="AI404" s="98" t="e">
        <f t="shared" si="108"/>
        <v>#REF!</v>
      </c>
      <c r="AJ404" s="97" t="e">
        <f t="shared" si="109"/>
        <v>#REF!</v>
      </c>
      <c r="AK404" s="97" t="e">
        <f t="shared" si="109"/>
        <v>#REF!</v>
      </c>
    </row>
    <row r="405" spans="19:37">
      <c r="S405" s="98">
        <f t="shared" si="98"/>
        <v>0</v>
      </c>
      <c r="T405" s="98">
        <f t="shared" si="99"/>
        <v>0</v>
      </c>
      <c r="U405" s="97">
        <f t="shared" si="100"/>
        <v>0</v>
      </c>
      <c r="V405" s="97">
        <f t="shared" si="100"/>
        <v>0</v>
      </c>
      <c r="X405" s="98" t="e">
        <f t="shared" si="101"/>
        <v>#REF!</v>
      </c>
      <c r="Y405" s="98" t="e">
        <f t="shared" si="102"/>
        <v>#REF!</v>
      </c>
      <c r="Z405" s="97" t="e">
        <f t="shared" si="103"/>
        <v>#REF!</v>
      </c>
      <c r="AA405" s="97" t="e">
        <f t="shared" si="103"/>
        <v>#REF!</v>
      </c>
      <c r="AC405" s="98" t="e">
        <f t="shared" si="104"/>
        <v>#REF!</v>
      </c>
      <c r="AD405" s="98" t="e">
        <f t="shared" si="105"/>
        <v>#REF!</v>
      </c>
      <c r="AE405" s="97" t="e">
        <f t="shared" si="106"/>
        <v>#REF!</v>
      </c>
      <c r="AF405" s="97" t="e">
        <f t="shared" si="106"/>
        <v>#REF!</v>
      </c>
      <c r="AH405" s="98" t="e">
        <f t="shared" si="107"/>
        <v>#REF!</v>
      </c>
      <c r="AI405" s="98" t="e">
        <f t="shared" si="108"/>
        <v>#REF!</v>
      </c>
      <c r="AJ405" s="97" t="e">
        <f t="shared" si="109"/>
        <v>#REF!</v>
      </c>
      <c r="AK405" s="97" t="e">
        <f t="shared" si="109"/>
        <v>#REF!</v>
      </c>
    </row>
    <row r="406" spans="19:37">
      <c r="S406" s="98">
        <f t="shared" si="98"/>
        <v>0</v>
      </c>
      <c r="T406" s="98">
        <f t="shared" si="99"/>
        <v>0</v>
      </c>
      <c r="U406" s="97">
        <f t="shared" si="100"/>
        <v>0</v>
      </c>
      <c r="V406" s="97">
        <f t="shared" si="100"/>
        <v>0</v>
      </c>
      <c r="X406" s="98" t="e">
        <f t="shared" si="101"/>
        <v>#REF!</v>
      </c>
      <c r="Y406" s="98" t="e">
        <f t="shared" si="102"/>
        <v>#REF!</v>
      </c>
      <c r="Z406" s="97" t="e">
        <f t="shared" si="103"/>
        <v>#REF!</v>
      </c>
      <c r="AA406" s="97" t="e">
        <f t="shared" si="103"/>
        <v>#REF!</v>
      </c>
      <c r="AC406" s="98" t="e">
        <f t="shared" si="104"/>
        <v>#REF!</v>
      </c>
      <c r="AD406" s="98" t="e">
        <f t="shared" si="105"/>
        <v>#REF!</v>
      </c>
      <c r="AE406" s="97" t="e">
        <f t="shared" si="106"/>
        <v>#REF!</v>
      </c>
      <c r="AF406" s="97" t="e">
        <f t="shared" si="106"/>
        <v>#REF!</v>
      </c>
      <c r="AH406" s="98" t="e">
        <f t="shared" si="107"/>
        <v>#REF!</v>
      </c>
      <c r="AI406" s="98" t="e">
        <f t="shared" si="108"/>
        <v>#REF!</v>
      </c>
      <c r="AJ406" s="97" t="e">
        <f t="shared" si="109"/>
        <v>#REF!</v>
      </c>
      <c r="AK406" s="97" t="e">
        <f t="shared" si="109"/>
        <v>#REF!</v>
      </c>
    </row>
    <row r="407" spans="19:37">
      <c r="S407" s="98">
        <f t="shared" si="98"/>
        <v>0</v>
      </c>
      <c r="T407" s="98">
        <f t="shared" si="99"/>
        <v>0</v>
      </c>
      <c r="U407" s="97">
        <f t="shared" si="100"/>
        <v>0</v>
      </c>
      <c r="V407" s="97">
        <f t="shared" si="100"/>
        <v>0</v>
      </c>
      <c r="X407" s="98" t="e">
        <f t="shared" si="101"/>
        <v>#REF!</v>
      </c>
      <c r="Y407" s="98" t="e">
        <f t="shared" si="102"/>
        <v>#REF!</v>
      </c>
      <c r="Z407" s="97" t="e">
        <f t="shared" si="103"/>
        <v>#REF!</v>
      </c>
      <c r="AA407" s="97" t="e">
        <f t="shared" si="103"/>
        <v>#REF!</v>
      </c>
      <c r="AC407" s="98" t="e">
        <f t="shared" si="104"/>
        <v>#REF!</v>
      </c>
      <c r="AD407" s="98" t="e">
        <f t="shared" si="105"/>
        <v>#REF!</v>
      </c>
      <c r="AE407" s="97" t="e">
        <f t="shared" si="106"/>
        <v>#REF!</v>
      </c>
      <c r="AF407" s="97" t="e">
        <f t="shared" si="106"/>
        <v>#REF!</v>
      </c>
      <c r="AH407" s="98" t="e">
        <f t="shared" si="107"/>
        <v>#REF!</v>
      </c>
      <c r="AI407" s="98" t="e">
        <f t="shared" si="108"/>
        <v>#REF!</v>
      </c>
      <c r="AJ407" s="97" t="e">
        <f t="shared" si="109"/>
        <v>#REF!</v>
      </c>
      <c r="AK407" s="97" t="e">
        <f t="shared" si="109"/>
        <v>#REF!</v>
      </c>
    </row>
    <row r="408" spans="19:37">
      <c r="S408" s="98">
        <f t="shared" si="98"/>
        <v>0</v>
      </c>
      <c r="T408" s="98">
        <f t="shared" si="99"/>
        <v>0</v>
      </c>
      <c r="U408" s="97">
        <f t="shared" si="100"/>
        <v>0</v>
      </c>
      <c r="V408" s="97">
        <f t="shared" si="100"/>
        <v>0</v>
      </c>
      <c r="X408" s="98" t="e">
        <f t="shared" si="101"/>
        <v>#REF!</v>
      </c>
      <c r="Y408" s="98" t="e">
        <f t="shared" si="102"/>
        <v>#REF!</v>
      </c>
      <c r="Z408" s="97" t="e">
        <f t="shared" si="103"/>
        <v>#REF!</v>
      </c>
      <c r="AA408" s="97" t="e">
        <f t="shared" si="103"/>
        <v>#REF!</v>
      </c>
      <c r="AC408" s="98" t="e">
        <f t="shared" si="104"/>
        <v>#REF!</v>
      </c>
      <c r="AD408" s="98" t="e">
        <f t="shared" si="105"/>
        <v>#REF!</v>
      </c>
      <c r="AE408" s="97" t="e">
        <f t="shared" si="106"/>
        <v>#REF!</v>
      </c>
      <c r="AF408" s="97" t="e">
        <f t="shared" si="106"/>
        <v>#REF!</v>
      </c>
      <c r="AH408" s="98" t="e">
        <f t="shared" si="107"/>
        <v>#REF!</v>
      </c>
      <c r="AI408" s="98" t="e">
        <f t="shared" si="108"/>
        <v>#REF!</v>
      </c>
      <c r="AJ408" s="97" t="e">
        <f t="shared" si="109"/>
        <v>#REF!</v>
      </c>
      <c r="AK408" s="97" t="e">
        <f t="shared" si="109"/>
        <v>#REF!</v>
      </c>
    </row>
    <row r="409" spans="19:37">
      <c r="S409" s="98">
        <f t="shared" si="98"/>
        <v>0</v>
      </c>
      <c r="T409" s="98">
        <f t="shared" si="99"/>
        <v>0</v>
      </c>
      <c r="U409" s="97">
        <f t="shared" si="100"/>
        <v>0</v>
      </c>
      <c r="V409" s="97">
        <f t="shared" si="100"/>
        <v>0</v>
      </c>
      <c r="X409" s="98" t="e">
        <f t="shared" si="101"/>
        <v>#REF!</v>
      </c>
      <c r="Y409" s="98" t="e">
        <f t="shared" si="102"/>
        <v>#REF!</v>
      </c>
      <c r="Z409" s="97" t="e">
        <f t="shared" si="103"/>
        <v>#REF!</v>
      </c>
      <c r="AA409" s="97" t="e">
        <f t="shared" si="103"/>
        <v>#REF!</v>
      </c>
      <c r="AC409" s="98" t="e">
        <f t="shared" si="104"/>
        <v>#REF!</v>
      </c>
      <c r="AD409" s="98" t="e">
        <f t="shared" si="105"/>
        <v>#REF!</v>
      </c>
      <c r="AE409" s="97" t="e">
        <f t="shared" si="106"/>
        <v>#REF!</v>
      </c>
      <c r="AF409" s="97" t="e">
        <f t="shared" si="106"/>
        <v>#REF!</v>
      </c>
      <c r="AH409" s="98" t="e">
        <f t="shared" si="107"/>
        <v>#REF!</v>
      </c>
      <c r="AI409" s="98" t="e">
        <f t="shared" si="108"/>
        <v>#REF!</v>
      </c>
      <c r="AJ409" s="97" t="e">
        <f t="shared" si="109"/>
        <v>#REF!</v>
      </c>
      <c r="AK409" s="97" t="e">
        <f t="shared" si="109"/>
        <v>#REF!</v>
      </c>
    </row>
    <row r="410" spans="19:37">
      <c r="S410" s="98">
        <f t="shared" si="98"/>
        <v>0</v>
      </c>
      <c r="T410" s="98">
        <f t="shared" si="99"/>
        <v>0</v>
      </c>
      <c r="U410" s="97">
        <f t="shared" si="100"/>
        <v>0</v>
      </c>
      <c r="V410" s="97">
        <f t="shared" si="100"/>
        <v>0</v>
      </c>
      <c r="X410" s="98" t="e">
        <f t="shared" si="101"/>
        <v>#REF!</v>
      </c>
      <c r="Y410" s="98" t="e">
        <f t="shared" si="102"/>
        <v>#REF!</v>
      </c>
      <c r="Z410" s="97" t="e">
        <f t="shared" si="103"/>
        <v>#REF!</v>
      </c>
      <c r="AA410" s="97" t="e">
        <f t="shared" si="103"/>
        <v>#REF!</v>
      </c>
      <c r="AC410" s="98" t="e">
        <f t="shared" si="104"/>
        <v>#REF!</v>
      </c>
      <c r="AD410" s="98" t="e">
        <f t="shared" si="105"/>
        <v>#REF!</v>
      </c>
      <c r="AE410" s="97" t="e">
        <f t="shared" si="106"/>
        <v>#REF!</v>
      </c>
      <c r="AF410" s="97" t="e">
        <f t="shared" si="106"/>
        <v>#REF!</v>
      </c>
      <c r="AH410" s="98" t="e">
        <f t="shared" si="107"/>
        <v>#REF!</v>
      </c>
      <c r="AI410" s="98" t="e">
        <f t="shared" si="108"/>
        <v>#REF!</v>
      </c>
      <c r="AJ410" s="97" t="e">
        <f t="shared" si="109"/>
        <v>#REF!</v>
      </c>
      <c r="AK410" s="97" t="e">
        <f t="shared" si="109"/>
        <v>#REF!</v>
      </c>
    </row>
    <row r="411" spans="19:37">
      <c r="S411" s="98">
        <f t="shared" si="98"/>
        <v>0</v>
      </c>
      <c r="T411" s="98">
        <f t="shared" si="99"/>
        <v>0</v>
      </c>
      <c r="U411" s="97">
        <f t="shared" si="100"/>
        <v>0</v>
      </c>
      <c r="V411" s="97">
        <f t="shared" si="100"/>
        <v>0</v>
      </c>
      <c r="X411" s="98" t="e">
        <f t="shared" si="101"/>
        <v>#REF!</v>
      </c>
      <c r="Y411" s="98" t="e">
        <f t="shared" si="102"/>
        <v>#REF!</v>
      </c>
      <c r="Z411" s="97" t="e">
        <f t="shared" si="103"/>
        <v>#REF!</v>
      </c>
      <c r="AA411" s="97" t="e">
        <f t="shared" si="103"/>
        <v>#REF!</v>
      </c>
      <c r="AC411" s="98" t="e">
        <f t="shared" si="104"/>
        <v>#REF!</v>
      </c>
      <c r="AD411" s="98" t="e">
        <f t="shared" si="105"/>
        <v>#REF!</v>
      </c>
      <c r="AE411" s="97" t="e">
        <f t="shared" si="106"/>
        <v>#REF!</v>
      </c>
      <c r="AF411" s="97" t="e">
        <f t="shared" si="106"/>
        <v>#REF!</v>
      </c>
      <c r="AH411" s="98" t="e">
        <f t="shared" si="107"/>
        <v>#REF!</v>
      </c>
      <c r="AI411" s="98" t="e">
        <f t="shared" si="108"/>
        <v>#REF!</v>
      </c>
      <c r="AJ411" s="97" t="e">
        <f t="shared" si="109"/>
        <v>#REF!</v>
      </c>
      <c r="AK411" s="97" t="e">
        <f t="shared" si="109"/>
        <v>#REF!</v>
      </c>
    </row>
    <row r="412" spans="19:37">
      <c r="S412" s="98">
        <f t="shared" si="98"/>
        <v>0</v>
      </c>
      <c r="T412" s="98">
        <f t="shared" si="99"/>
        <v>0</v>
      </c>
      <c r="U412" s="97">
        <f t="shared" si="100"/>
        <v>0</v>
      </c>
      <c r="V412" s="97">
        <f t="shared" si="100"/>
        <v>0</v>
      </c>
      <c r="X412" s="98" t="e">
        <f t="shared" si="101"/>
        <v>#REF!</v>
      </c>
      <c r="Y412" s="98" t="e">
        <f t="shared" si="102"/>
        <v>#REF!</v>
      </c>
      <c r="Z412" s="97" t="e">
        <f t="shared" si="103"/>
        <v>#REF!</v>
      </c>
      <c r="AA412" s="97" t="e">
        <f t="shared" si="103"/>
        <v>#REF!</v>
      </c>
      <c r="AC412" s="98" t="e">
        <f t="shared" si="104"/>
        <v>#REF!</v>
      </c>
      <c r="AD412" s="98" t="e">
        <f t="shared" si="105"/>
        <v>#REF!</v>
      </c>
      <c r="AE412" s="97" t="e">
        <f t="shared" si="106"/>
        <v>#REF!</v>
      </c>
      <c r="AF412" s="97" t="e">
        <f t="shared" si="106"/>
        <v>#REF!</v>
      </c>
      <c r="AH412" s="98" t="e">
        <f t="shared" si="107"/>
        <v>#REF!</v>
      </c>
      <c r="AI412" s="98" t="e">
        <f t="shared" si="108"/>
        <v>#REF!</v>
      </c>
      <c r="AJ412" s="97" t="e">
        <f t="shared" si="109"/>
        <v>#REF!</v>
      </c>
      <c r="AK412" s="97" t="e">
        <f t="shared" si="109"/>
        <v>#REF!</v>
      </c>
    </row>
    <row r="413" spans="19:37">
      <c r="S413" s="98">
        <f t="shared" si="98"/>
        <v>0</v>
      </c>
      <c r="T413" s="98">
        <f t="shared" si="99"/>
        <v>0</v>
      </c>
      <c r="U413" s="97">
        <f t="shared" si="100"/>
        <v>0</v>
      </c>
      <c r="V413" s="97">
        <f t="shared" si="100"/>
        <v>0</v>
      </c>
      <c r="X413" s="98" t="e">
        <f t="shared" si="101"/>
        <v>#REF!</v>
      </c>
      <c r="Y413" s="98" t="e">
        <f t="shared" si="102"/>
        <v>#REF!</v>
      </c>
      <c r="Z413" s="97" t="e">
        <f t="shared" si="103"/>
        <v>#REF!</v>
      </c>
      <c r="AA413" s="97" t="e">
        <f t="shared" si="103"/>
        <v>#REF!</v>
      </c>
      <c r="AC413" s="98" t="e">
        <f t="shared" si="104"/>
        <v>#REF!</v>
      </c>
      <c r="AD413" s="98" t="e">
        <f t="shared" si="105"/>
        <v>#REF!</v>
      </c>
      <c r="AE413" s="97" t="e">
        <f t="shared" si="106"/>
        <v>#REF!</v>
      </c>
      <c r="AF413" s="97" t="e">
        <f t="shared" si="106"/>
        <v>#REF!</v>
      </c>
      <c r="AH413" s="98" t="e">
        <f t="shared" si="107"/>
        <v>#REF!</v>
      </c>
      <c r="AI413" s="98" t="e">
        <f t="shared" si="108"/>
        <v>#REF!</v>
      </c>
      <c r="AJ413" s="97" t="e">
        <f t="shared" si="109"/>
        <v>#REF!</v>
      </c>
      <c r="AK413" s="97" t="e">
        <f t="shared" si="109"/>
        <v>#REF!</v>
      </c>
    </row>
    <row r="414" spans="19:37">
      <c r="S414" s="98">
        <f t="shared" si="98"/>
        <v>0</v>
      </c>
      <c r="T414" s="98">
        <f t="shared" si="99"/>
        <v>0</v>
      </c>
      <c r="U414" s="97">
        <f t="shared" si="100"/>
        <v>0</v>
      </c>
      <c r="V414" s="97">
        <f t="shared" si="100"/>
        <v>0</v>
      </c>
      <c r="X414" s="98" t="e">
        <f t="shared" si="101"/>
        <v>#REF!</v>
      </c>
      <c r="Y414" s="98" t="e">
        <f t="shared" si="102"/>
        <v>#REF!</v>
      </c>
      <c r="Z414" s="97" t="e">
        <f t="shared" si="103"/>
        <v>#REF!</v>
      </c>
      <c r="AA414" s="97" t="e">
        <f t="shared" si="103"/>
        <v>#REF!</v>
      </c>
      <c r="AC414" s="98" t="e">
        <f t="shared" si="104"/>
        <v>#REF!</v>
      </c>
      <c r="AD414" s="98" t="e">
        <f t="shared" si="105"/>
        <v>#REF!</v>
      </c>
      <c r="AE414" s="97" t="e">
        <f t="shared" si="106"/>
        <v>#REF!</v>
      </c>
      <c r="AF414" s="97" t="e">
        <f t="shared" si="106"/>
        <v>#REF!</v>
      </c>
      <c r="AH414" s="98" t="e">
        <f t="shared" si="107"/>
        <v>#REF!</v>
      </c>
      <c r="AI414" s="98" t="e">
        <f t="shared" si="108"/>
        <v>#REF!</v>
      </c>
      <c r="AJ414" s="97" t="e">
        <f t="shared" si="109"/>
        <v>#REF!</v>
      </c>
      <c r="AK414" s="97" t="e">
        <f t="shared" si="109"/>
        <v>#REF!</v>
      </c>
    </row>
    <row r="415" spans="19:37">
      <c r="S415" s="98">
        <f t="shared" si="98"/>
        <v>0</v>
      </c>
      <c r="T415" s="98">
        <f t="shared" si="99"/>
        <v>0</v>
      </c>
      <c r="U415" s="97">
        <f t="shared" si="100"/>
        <v>0</v>
      </c>
      <c r="V415" s="97">
        <f t="shared" si="100"/>
        <v>0</v>
      </c>
      <c r="X415" s="98" t="e">
        <f t="shared" si="101"/>
        <v>#REF!</v>
      </c>
      <c r="Y415" s="98" t="e">
        <f t="shared" si="102"/>
        <v>#REF!</v>
      </c>
      <c r="Z415" s="97" t="e">
        <f t="shared" si="103"/>
        <v>#REF!</v>
      </c>
      <c r="AA415" s="97" t="e">
        <f t="shared" si="103"/>
        <v>#REF!</v>
      </c>
      <c r="AC415" s="98" t="e">
        <f t="shared" si="104"/>
        <v>#REF!</v>
      </c>
      <c r="AD415" s="98" t="e">
        <f t="shared" si="105"/>
        <v>#REF!</v>
      </c>
      <c r="AE415" s="97" t="e">
        <f t="shared" si="106"/>
        <v>#REF!</v>
      </c>
      <c r="AF415" s="97" t="e">
        <f t="shared" si="106"/>
        <v>#REF!</v>
      </c>
      <c r="AH415" s="98" t="e">
        <f t="shared" si="107"/>
        <v>#REF!</v>
      </c>
      <c r="AI415" s="98" t="e">
        <f t="shared" si="108"/>
        <v>#REF!</v>
      </c>
      <c r="AJ415" s="97" t="e">
        <f t="shared" si="109"/>
        <v>#REF!</v>
      </c>
      <c r="AK415" s="97" t="e">
        <f t="shared" si="109"/>
        <v>#REF!</v>
      </c>
    </row>
    <row r="416" spans="19:37">
      <c r="S416" s="98">
        <f t="shared" si="98"/>
        <v>0</v>
      </c>
      <c r="T416" s="98">
        <f t="shared" si="99"/>
        <v>0</v>
      </c>
      <c r="U416" s="97">
        <f t="shared" si="100"/>
        <v>0</v>
      </c>
      <c r="V416" s="97">
        <f t="shared" si="100"/>
        <v>0</v>
      </c>
      <c r="X416" s="98" t="e">
        <f t="shared" si="101"/>
        <v>#REF!</v>
      </c>
      <c r="Y416" s="98" t="e">
        <f t="shared" si="102"/>
        <v>#REF!</v>
      </c>
      <c r="Z416" s="97" t="e">
        <f t="shared" si="103"/>
        <v>#REF!</v>
      </c>
      <c r="AA416" s="97" t="e">
        <f t="shared" si="103"/>
        <v>#REF!</v>
      </c>
      <c r="AC416" s="98" t="e">
        <f t="shared" si="104"/>
        <v>#REF!</v>
      </c>
      <c r="AD416" s="98" t="e">
        <f t="shared" si="105"/>
        <v>#REF!</v>
      </c>
      <c r="AE416" s="97" t="e">
        <f t="shared" si="106"/>
        <v>#REF!</v>
      </c>
      <c r="AF416" s="97" t="e">
        <f t="shared" si="106"/>
        <v>#REF!</v>
      </c>
      <c r="AH416" s="98" t="e">
        <f t="shared" si="107"/>
        <v>#REF!</v>
      </c>
      <c r="AI416" s="98" t="e">
        <f t="shared" si="108"/>
        <v>#REF!</v>
      </c>
      <c r="AJ416" s="97" t="e">
        <f t="shared" si="109"/>
        <v>#REF!</v>
      </c>
      <c r="AK416" s="97" t="e">
        <f t="shared" si="109"/>
        <v>#REF!</v>
      </c>
    </row>
    <row r="417" spans="19:37">
      <c r="S417" s="98">
        <f t="shared" si="98"/>
        <v>0</v>
      </c>
      <c r="T417" s="98">
        <f t="shared" si="99"/>
        <v>0</v>
      </c>
      <c r="U417" s="97">
        <f t="shared" si="100"/>
        <v>0</v>
      </c>
      <c r="V417" s="97">
        <f t="shared" si="100"/>
        <v>0</v>
      </c>
      <c r="X417" s="98" t="e">
        <f t="shared" si="101"/>
        <v>#REF!</v>
      </c>
      <c r="Y417" s="98" t="e">
        <f t="shared" si="102"/>
        <v>#REF!</v>
      </c>
      <c r="Z417" s="97" t="e">
        <f t="shared" si="103"/>
        <v>#REF!</v>
      </c>
      <c r="AA417" s="97" t="e">
        <f t="shared" si="103"/>
        <v>#REF!</v>
      </c>
      <c r="AC417" s="98" t="e">
        <f t="shared" si="104"/>
        <v>#REF!</v>
      </c>
      <c r="AD417" s="98" t="e">
        <f t="shared" si="105"/>
        <v>#REF!</v>
      </c>
      <c r="AE417" s="97" t="e">
        <f t="shared" si="106"/>
        <v>#REF!</v>
      </c>
      <c r="AF417" s="97" t="e">
        <f t="shared" si="106"/>
        <v>#REF!</v>
      </c>
      <c r="AH417" s="98" t="e">
        <f t="shared" si="107"/>
        <v>#REF!</v>
      </c>
      <c r="AI417" s="98" t="e">
        <f t="shared" si="108"/>
        <v>#REF!</v>
      </c>
      <c r="AJ417" s="97" t="e">
        <f t="shared" si="109"/>
        <v>#REF!</v>
      </c>
      <c r="AK417" s="97" t="e">
        <f t="shared" si="109"/>
        <v>#REF!</v>
      </c>
    </row>
    <row r="418" spans="19:37">
      <c r="S418" s="98">
        <f t="shared" si="98"/>
        <v>0</v>
      </c>
      <c r="T418" s="98">
        <f t="shared" si="99"/>
        <v>0</v>
      </c>
      <c r="U418" s="97">
        <f t="shared" si="100"/>
        <v>0</v>
      </c>
      <c r="V418" s="97">
        <f t="shared" si="100"/>
        <v>0</v>
      </c>
      <c r="X418" s="98" t="e">
        <f t="shared" si="101"/>
        <v>#REF!</v>
      </c>
      <c r="Y418" s="98" t="e">
        <f t="shared" si="102"/>
        <v>#REF!</v>
      </c>
      <c r="Z418" s="97" t="e">
        <f t="shared" si="103"/>
        <v>#REF!</v>
      </c>
      <c r="AA418" s="97" t="e">
        <f t="shared" si="103"/>
        <v>#REF!</v>
      </c>
      <c r="AC418" s="98" t="e">
        <f t="shared" si="104"/>
        <v>#REF!</v>
      </c>
      <c r="AD418" s="98" t="e">
        <f t="shared" si="105"/>
        <v>#REF!</v>
      </c>
      <c r="AE418" s="97" t="e">
        <f t="shared" si="106"/>
        <v>#REF!</v>
      </c>
      <c r="AF418" s="97" t="e">
        <f t="shared" si="106"/>
        <v>#REF!</v>
      </c>
      <c r="AH418" s="98" t="e">
        <f t="shared" si="107"/>
        <v>#REF!</v>
      </c>
      <c r="AI418" s="98" t="e">
        <f t="shared" si="108"/>
        <v>#REF!</v>
      </c>
      <c r="AJ418" s="97" t="e">
        <f t="shared" si="109"/>
        <v>#REF!</v>
      </c>
      <c r="AK418" s="97" t="e">
        <f t="shared" si="109"/>
        <v>#REF!</v>
      </c>
    </row>
    <row r="419" spans="19:37">
      <c r="S419" s="98">
        <f t="shared" si="98"/>
        <v>0</v>
      </c>
      <c r="T419" s="98">
        <f t="shared" si="99"/>
        <v>0</v>
      </c>
      <c r="U419" s="97">
        <f t="shared" si="100"/>
        <v>0</v>
      </c>
      <c r="V419" s="97">
        <f t="shared" si="100"/>
        <v>0</v>
      </c>
      <c r="X419" s="98" t="e">
        <f t="shared" si="101"/>
        <v>#REF!</v>
      </c>
      <c r="Y419" s="98" t="e">
        <f t="shared" si="102"/>
        <v>#REF!</v>
      </c>
      <c r="Z419" s="97" t="e">
        <f t="shared" si="103"/>
        <v>#REF!</v>
      </c>
      <c r="AA419" s="97" t="e">
        <f t="shared" si="103"/>
        <v>#REF!</v>
      </c>
      <c r="AC419" s="98" t="e">
        <f t="shared" si="104"/>
        <v>#REF!</v>
      </c>
      <c r="AD419" s="98" t="e">
        <f t="shared" si="105"/>
        <v>#REF!</v>
      </c>
      <c r="AE419" s="97" t="e">
        <f t="shared" si="106"/>
        <v>#REF!</v>
      </c>
      <c r="AF419" s="97" t="e">
        <f t="shared" si="106"/>
        <v>#REF!</v>
      </c>
      <c r="AH419" s="98" t="e">
        <f t="shared" si="107"/>
        <v>#REF!</v>
      </c>
      <c r="AI419" s="98" t="e">
        <f t="shared" si="108"/>
        <v>#REF!</v>
      </c>
      <c r="AJ419" s="97" t="e">
        <f t="shared" si="109"/>
        <v>#REF!</v>
      </c>
      <c r="AK419" s="97" t="e">
        <f t="shared" si="109"/>
        <v>#REF!</v>
      </c>
    </row>
    <row r="420" spans="19:37">
      <c r="S420" s="98">
        <f t="shared" si="98"/>
        <v>0</v>
      </c>
      <c r="T420" s="98">
        <f t="shared" si="99"/>
        <v>0</v>
      </c>
      <c r="U420" s="97">
        <f t="shared" si="100"/>
        <v>0</v>
      </c>
      <c r="V420" s="97">
        <f t="shared" si="100"/>
        <v>0</v>
      </c>
      <c r="X420" s="98" t="e">
        <f t="shared" si="101"/>
        <v>#REF!</v>
      </c>
      <c r="Y420" s="98" t="e">
        <f t="shared" si="102"/>
        <v>#REF!</v>
      </c>
      <c r="Z420" s="97" t="e">
        <f t="shared" si="103"/>
        <v>#REF!</v>
      </c>
      <c r="AA420" s="97" t="e">
        <f t="shared" si="103"/>
        <v>#REF!</v>
      </c>
      <c r="AC420" s="98" t="e">
        <f t="shared" si="104"/>
        <v>#REF!</v>
      </c>
      <c r="AD420" s="98" t="e">
        <f t="shared" si="105"/>
        <v>#REF!</v>
      </c>
      <c r="AE420" s="97" t="e">
        <f t="shared" si="106"/>
        <v>#REF!</v>
      </c>
      <c r="AF420" s="97" t="e">
        <f t="shared" si="106"/>
        <v>#REF!</v>
      </c>
      <c r="AH420" s="98" t="e">
        <f t="shared" si="107"/>
        <v>#REF!</v>
      </c>
      <c r="AI420" s="98" t="e">
        <f t="shared" si="108"/>
        <v>#REF!</v>
      </c>
      <c r="AJ420" s="97" t="e">
        <f t="shared" si="109"/>
        <v>#REF!</v>
      </c>
      <c r="AK420" s="97" t="e">
        <f t="shared" si="109"/>
        <v>#REF!</v>
      </c>
    </row>
    <row r="421" spans="19:37">
      <c r="S421" s="98">
        <f t="shared" si="98"/>
        <v>0</v>
      </c>
      <c r="T421" s="98">
        <f t="shared" si="99"/>
        <v>0</v>
      </c>
      <c r="U421" s="97">
        <f t="shared" si="100"/>
        <v>0</v>
      </c>
      <c r="V421" s="97">
        <f t="shared" si="100"/>
        <v>0</v>
      </c>
      <c r="X421" s="98" t="e">
        <f t="shared" si="101"/>
        <v>#REF!</v>
      </c>
      <c r="Y421" s="98" t="e">
        <f t="shared" si="102"/>
        <v>#REF!</v>
      </c>
      <c r="Z421" s="97" t="e">
        <f t="shared" si="103"/>
        <v>#REF!</v>
      </c>
      <c r="AA421" s="97" t="e">
        <f t="shared" si="103"/>
        <v>#REF!</v>
      </c>
      <c r="AC421" s="98" t="e">
        <f t="shared" si="104"/>
        <v>#REF!</v>
      </c>
      <c r="AD421" s="98" t="e">
        <f t="shared" si="105"/>
        <v>#REF!</v>
      </c>
      <c r="AE421" s="97" t="e">
        <f t="shared" si="106"/>
        <v>#REF!</v>
      </c>
      <c r="AF421" s="97" t="e">
        <f t="shared" si="106"/>
        <v>#REF!</v>
      </c>
      <c r="AH421" s="98" t="e">
        <f t="shared" si="107"/>
        <v>#REF!</v>
      </c>
      <c r="AI421" s="98" t="e">
        <f t="shared" si="108"/>
        <v>#REF!</v>
      </c>
      <c r="AJ421" s="97" t="e">
        <f t="shared" si="109"/>
        <v>#REF!</v>
      </c>
      <c r="AK421" s="97" t="e">
        <f t="shared" si="109"/>
        <v>#REF!</v>
      </c>
    </row>
    <row r="422" spans="19:37">
      <c r="S422" s="98">
        <f t="shared" si="98"/>
        <v>0</v>
      </c>
      <c r="T422" s="98">
        <f t="shared" si="99"/>
        <v>0</v>
      </c>
      <c r="U422" s="97">
        <f t="shared" si="100"/>
        <v>0</v>
      </c>
      <c r="V422" s="97">
        <f t="shared" si="100"/>
        <v>0</v>
      </c>
      <c r="X422" s="98" t="e">
        <f t="shared" si="101"/>
        <v>#REF!</v>
      </c>
      <c r="Y422" s="98" t="e">
        <f t="shared" si="102"/>
        <v>#REF!</v>
      </c>
      <c r="Z422" s="97" t="e">
        <f t="shared" si="103"/>
        <v>#REF!</v>
      </c>
      <c r="AA422" s="97" t="e">
        <f t="shared" si="103"/>
        <v>#REF!</v>
      </c>
      <c r="AC422" s="98" t="e">
        <f t="shared" si="104"/>
        <v>#REF!</v>
      </c>
      <c r="AD422" s="98" t="e">
        <f t="shared" si="105"/>
        <v>#REF!</v>
      </c>
      <c r="AE422" s="97" t="e">
        <f t="shared" si="106"/>
        <v>#REF!</v>
      </c>
      <c r="AF422" s="97" t="e">
        <f t="shared" si="106"/>
        <v>#REF!</v>
      </c>
      <c r="AH422" s="98" t="e">
        <f t="shared" si="107"/>
        <v>#REF!</v>
      </c>
      <c r="AI422" s="98" t="e">
        <f t="shared" si="108"/>
        <v>#REF!</v>
      </c>
      <c r="AJ422" s="97" t="e">
        <f t="shared" si="109"/>
        <v>#REF!</v>
      </c>
      <c r="AK422" s="97" t="e">
        <f t="shared" si="109"/>
        <v>#REF!</v>
      </c>
    </row>
    <row r="423" spans="19:37">
      <c r="S423" s="98">
        <f t="shared" si="98"/>
        <v>0</v>
      </c>
      <c r="T423" s="98">
        <f t="shared" si="99"/>
        <v>0</v>
      </c>
      <c r="U423" s="97">
        <f t="shared" si="100"/>
        <v>0</v>
      </c>
      <c r="V423" s="97">
        <f t="shared" si="100"/>
        <v>0</v>
      </c>
      <c r="X423" s="98" t="e">
        <f t="shared" si="101"/>
        <v>#REF!</v>
      </c>
      <c r="Y423" s="98" t="e">
        <f t="shared" si="102"/>
        <v>#REF!</v>
      </c>
      <c r="Z423" s="97" t="e">
        <f t="shared" si="103"/>
        <v>#REF!</v>
      </c>
      <c r="AA423" s="97" t="e">
        <f t="shared" si="103"/>
        <v>#REF!</v>
      </c>
      <c r="AC423" s="98" t="e">
        <f t="shared" si="104"/>
        <v>#REF!</v>
      </c>
      <c r="AD423" s="98" t="e">
        <f t="shared" si="105"/>
        <v>#REF!</v>
      </c>
      <c r="AE423" s="97" t="e">
        <f t="shared" si="106"/>
        <v>#REF!</v>
      </c>
      <c r="AF423" s="97" t="e">
        <f t="shared" si="106"/>
        <v>#REF!</v>
      </c>
      <c r="AH423" s="98" t="e">
        <f t="shared" si="107"/>
        <v>#REF!</v>
      </c>
      <c r="AI423" s="98" t="e">
        <f t="shared" si="108"/>
        <v>#REF!</v>
      </c>
      <c r="AJ423" s="97" t="e">
        <f t="shared" si="109"/>
        <v>#REF!</v>
      </c>
      <c r="AK423" s="97" t="e">
        <f t="shared" si="109"/>
        <v>#REF!</v>
      </c>
    </row>
    <row r="424" spans="19:37">
      <c r="S424" s="98">
        <f t="shared" si="98"/>
        <v>0</v>
      </c>
      <c r="T424" s="98">
        <f t="shared" si="99"/>
        <v>0</v>
      </c>
      <c r="U424" s="97">
        <f t="shared" si="100"/>
        <v>0</v>
      </c>
      <c r="V424" s="97">
        <f t="shared" si="100"/>
        <v>0</v>
      </c>
      <c r="X424" s="98" t="e">
        <f t="shared" si="101"/>
        <v>#REF!</v>
      </c>
      <c r="Y424" s="98" t="e">
        <f t="shared" si="102"/>
        <v>#REF!</v>
      </c>
      <c r="Z424" s="97" t="e">
        <f t="shared" si="103"/>
        <v>#REF!</v>
      </c>
      <c r="AA424" s="97" t="e">
        <f t="shared" si="103"/>
        <v>#REF!</v>
      </c>
      <c r="AC424" s="98" t="e">
        <f t="shared" si="104"/>
        <v>#REF!</v>
      </c>
      <c r="AD424" s="98" t="e">
        <f t="shared" si="105"/>
        <v>#REF!</v>
      </c>
      <c r="AE424" s="97" t="e">
        <f t="shared" si="106"/>
        <v>#REF!</v>
      </c>
      <c r="AF424" s="97" t="e">
        <f t="shared" si="106"/>
        <v>#REF!</v>
      </c>
      <c r="AH424" s="98" t="e">
        <f t="shared" si="107"/>
        <v>#REF!</v>
      </c>
      <c r="AI424" s="98" t="e">
        <f t="shared" si="108"/>
        <v>#REF!</v>
      </c>
      <c r="AJ424" s="97" t="e">
        <f t="shared" si="109"/>
        <v>#REF!</v>
      </c>
      <c r="AK424" s="97" t="e">
        <f t="shared" si="109"/>
        <v>#REF!</v>
      </c>
    </row>
    <row r="425" spans="19:37">
      <c r="S425" s="98">
        <f t="shared" si="98"/>
        <v>0</v>
      </c>
      <c r="T425" s="98">
        <f t="shared" si="99"/>
        <v>0</v>
      </c>
      <c r="U425" s="97">
        <f t="shared" si="100"/>
        <v>0</v>
      </c>
      <c r="V425" s="97">
        <f t="shared" si="100"/>
        <v>0</v>
      </c>
      <c r="X425" s="98" t="e">
        <f t="shared" si="101"/>
        <v>#REF!</v>
      </c>
      <c r="Y425" s="98" t="e">
        <f t="shared" si="102"/>
        <v>#REF!</v>
      </c>
      <c r="Z425" s="97" t="e">
        <f t="shared" si="103"/>
        <v>#REF!</v>
      </c>
      <c r="AA425" s="97" t="e">
        <f t="shared" si="103"/>
        <v>#REF!</v>
      </c>
      <c r="AC425" s="98" t="e">
        <f t="shared" si="104"/>
        <v>#REF!</v>
      </c>
      <c r="AD425" s="98" t="e">
        <f t="shared" si="105"/>
        <v>#REF!</v>
      </c>
      <c r="AE425" s="97" t="e">
        <f t="shared" si="106"/>
        <v>#REF!</v>
      </c>
      <c r="AF425" s="97" t="e">
        <f t="shared" si="106"/>
        <v>#REF!</v>
      </c>
      <c r="AH425" s="98" t="e">
        <f t="shared" si="107"/>
        <v>#REF!</v>
      </c>
      <c r="AI425" s="98" t="e">
        <f t="shared" si="108"/>
        <v>#REF!</v>
      </c>
      <c r="AJ425" s="97" t="e">
        <f t="shared" si="109"/>
        <v>#REF!</v>
      </c>
      <c r="AK425" s="97" t="e">
        <f t="shared" si="109"/>
        <v>#REF!</v>
      </c>
    </row>
    <row r="426" spans="19:37">
      <c r="S426" s="98">
        <f t="shared" si="98"/>
        <v>0</v>
      </c>
      <c r="T426" s="98">
        <f t="shared" si="99"/>
        <v>0</v>
      </c>
      <c r="U426" s="97">
        <f t="shared" si="100"/>
        <v>0</v>
      </c>
      <c r="V426" s="97">
        <f t="shared" si="100"/>
        <v>0</v>
      </c>
      <c r="X426" s="98" t="e">
        <f t="shared" si="101"/>
        <v>#REF!</v>
      </c>
      <c r="Y426" s="98" t="e">
        <f t="shared" si="102"/>
        <v>#REF!</v>
      </c>
      <c r="Z426" s="97" t="e">
        <f t="shared" si="103"/>
        <v>#REF!</v>
      </c>
      <c r="AA426" s="97" t="e">
        <f t="shared" si="103"/>
        <v>#REF!</v>
      </c>
      <c r="AC426" s="98" t="e">
        <f t="shared" si="104"/>
        <v>#REF!</v>
      </c>
      <c r="AD426" s="98" t="e">
        <f t="shared" si="105"/>
        <v>#REF!</v>
      </c>
      <c r="AE426" s="97" t="e">
        <f t="shared" si="106"/>
        <v>#REF!</v>
      </c>
      <c r="AF426" s="97" t="e">
        <f t="shared" si="106"/>
        <v>#REF!</v>
      </c>
      <c r="AH426" s="98" t="e">
        <f t="shared" si="107"/>
        <v>#REF!</v>
      </c>
      <c r="AI426" s="98" t="e">
        <f t="shared" si="108"/>
        <v>#REF!</v>
      </c>
      <c r="AJ426" s="97" t="e">
        <f t="shared" si="109"/>
        <v>#REF!</v>
      </c>
      <c r="AK426" s="97" t="e">
        <f t="shared" si="109"/>
        <v>#REF!</v>
      </c>
    </row>
    <row r="427" spans="19:37">
      <c r="S427" s="98">
        <f t="shared" si="98"/>
        <v>0</v>
      </c>
      <c r="T427" s="98">
        <f t="shared" si="99"/>
        <v>0</v>
      </c>
      <c r="U427" s="97">
        <f t="shared" si="100"/>
        <v>0</v>
      </c>
      <c r="V427" s="97">
        <f t="shared" si="100"/>
        <v>0</v>
      </c>
      <c r="X427" s="98" t="e">
        <f t="shared" si="101"/>
        <v>#REF!</v>
      </c>
      <c r="Y427" s="98" t="e">
        <f t="shared" si="102"/>
        <v>#REF!</v>
      </c>
      <c r="Z427" s="97" t="e">
        <f t="shared" si="103"/>
        <v>#REF!</v>
      </c>
      <c r="AA427" s="97" t="e">
        <f t="shared" si="103"/>
        <v>#REF!</v>
      </c>
      <c r="AC427" s="98" t="e">
        <f t="shared" si="104"/>
        <v>#REF!</v>
      </c>
      <c r="AD427" s="98" t="e">
        <f t="shared" si="105"/>
        <v>#REF!</v>
      </c>
      <c r="AE427" s="97" t="e">
        <f t="shared" si="106"/>
        <v>#REF!</v>
      </c>
      <c r="AF427" s="97" t="e">
        <f t="shared" si="106"/>
        <v>#REF!</v>
      </c>
      <c r="AH427" s="98" t="e">
        <f t="shared" si="107"/>
        <v>#REF!</v>
      </c>
      <c r="AI427" s="98" t="e">
        <f t="shared" si="108"/>
        <v>#REF!</v>
      </c>
      <c r="AJ427" s="97" t="e">
        <f t="shared" si="109"/>
        <v>#REF!</v>
      </c>
      <c r="AK427" s="97" t="e">
        <f t="shared" si="109"/>
        <v>#REF!</v>
      </c>
    </row>
    <row r="428" spans="19:37">
      <c r="S428" s="98">
        <f t="shared" si="98"/>
        <v>0</v>
      </c>
      <c r="T428" s="98">
        <f t="shared" si="99"/>
        <v>0</v>
      </c>
      <c r="U428" s="97">
        <f t="shared" si="100"/>
        <v>0</v>
      </c>
      <c r="V428" s="97">
        <f t="shared" si="100"/>
        <v>0</v>
      </c>
      <c r="X428" s="98" t="e">
        <f t="shared" si="101"/>
        <v>#REF!</v>
      </c>
      <c r="Y428" s="98" t="e">
        <f t="shared" si="102"/>
        <v>#REF!</v>
      </c>
      <c r="Z428" s="97" t="e">
        <f t="shared" si="103"/>
        <v>#REF!</v>
      </c>
      <c r="AA428" s="97" t="e">
        <f t="shared" si="103"/>
        <v>#REF!</v>
      </c>
      <c r="AC428" s="98" t="e">
        <f t="shared" si="104"/>
        <v>#REF!</v>
      </c>
      <c r="AD428" s="98" t="e">
        <f t="shared" si="105"/>
        <v>#REF!</v>
      </c>
      <c r="AE428" s="97" t="e">
        <f t="shared" si="106"/>
        <v>#REF!</v>
      </c>
      <c r="AF428" s="97" t="e">
        <f t="shared" si="106"/>
        <v>#REF!</v>
      </c>
      <c r="AH428" s="98" t="e">
        <f t="shared" si="107"/>
        <v>#REF!</v>
      </c>
      <c r="AI428" s="98" t="e">
        <f t="shared" si="108"/>
        <v>#REF!</v>
      </c>
      <c r="AJ428" s="97" t="e">
        <f t="shared" si="109"/>
        <v>#REF!</v>
      </c>
      <c r="AK428" s="97" t="e">
        <f t="shared" si="109"/>
        <v>#REF!</v>
      </c>
    </row>
    <row r="429" spans="19:37">
      <c r="S429" s="98">
        <f t="shared" si="98"/>
        <v>0</v>
      </c>
      <c r="T429" s="98">
        <f t="shared" si="99"/>
        <v>0</v>
      </c>
      <c r="U429" s="97">
        <f t="shared" si="100"/>
        <v>0</v>
      </c>
      <c r="V429" s="97">
        <f t="shared" si="100"/>
        <v>0</v>
      </c>
      <c r="X429" s="98" t="e">
        <f t="shared" si="101"/>
        <v>#REF!</v>
      </c>
      <c r="Y429" s="98" t="e">
        <f t="shared" si="102"/>
        <v>#REF!</v>
      </c>
      <c r="Z429" s="97" t="e">
        <f t="shared" si="103"/>
        <v>#REF!</v>
      </c>
      <c r="AA429" s="97" t="e">
        <f t="shared" si="103"/>
        <v>#REF!</v>
      </c>
      <c r="AC429" s="98" t="e">
        <f t="shared" si="104"/>
        <v>#REF!</v>
      </c>
      <c r="AD429" s="98" t="e">
        <f t="shared" si="105"/>
        <v>#REF!</v>
      </c>
      <c r="AE429" s="97" t="e">
        <f t="shared" si="106"/>
        <v>#REF!</v>
      </c>
      <c r="AF429" s="97" t="e">
        <f t="shared" si="106"/>
        <v>#REF!</v>
      </c>
      <c r="AH429" s="98" t="e">
        <f t="shared" si="107"/>
        <v>#REF!</v>
      </c>
      <c r="AI429" s="98" t="e">
        <f t="shared" si="108"/>
        <v>#REF!</v>
      </c>
      <c r="AJ429" s="97" t="e">
        <f t="shared" si="109"/>
        <v>#REF!</v>
      </c>
      <c r="AK429" s="97" t="e">
        <f t="shared" si="109"/>
        <v>#REF!</v>
      </c>
    </row>
    <row r="430" spans="19:37">
      <c r="S430" s="98">
        <f t="shared" si="98"/>
        <v>0</v>
      </c>
      <c r="T430" s="98">
        <f t="shared" si="99"/>
        <v>0</v>
      </c>
      <c r="U430" s="97">
        <f t="shared" si="100"/>
        <v>0</v>
      </c>
      <c r="V430" s="97">
        <f t="shared" si="100"/>
        <v>0</v>
      </c>
      <c r="X430" s="98" t="e">
        <f t="shared" si="101"/>
        <v>#REF!</v>
      </c>
      <c r="Y430" s="98" t="e">
        <f t="shared" si="102"/>
        <v>#REF!</v>
      </c>
      <c r="Z430" s="97" t="e">
        <f t="shared" si="103"/>
        <v>#REF!</v>
      </c>
      <c r="AA430" s="97" t="e">
        <f t="shared" si="103"/>
        <v>#REF!</v>
      </c>
      <c r="AC430" s="98" t="e">
        <f t="shared" si="104"/>
        <v>#REF!</v>
      </c>
      <c r="AD430" s="98" t="e">
        <f t="shared" si="105"/>
        <v>#REF!</v>
      </c>
      <c r="AE430" s="97" t="e">
        <f t="shared" si="106"/>
        <v>#REF!</v>
      </c>
      <c r="AF430" s="97" t="e">
        <f t="shared" si="106"/>
        <v>#REF!</v>
      </c>
      <c r="AH430" s="98" t="e">
        <f t="shared" si="107"/>
        <v>#REF!</v>
      </c>
      <c r="AI430" s="98" t="e">
        <f t="shared" si="108"/>
        <v>#REF!</v>
      </c>
      <c r="AJ430" s="97" t="e">
        <f t="shared" si="109"/>
        <v>#REF!</v>
      </c>
      <c r="AK430" s="97" t="e">
        <f t="shared" si="109"/>
        <v>#REF!</v>
      </c>
    </row>
    <row r="431" spans="19:37">
      <c r="S431" s="98">
        <f t="shared" si="98"/>
        <v>0</v>
      </c>
      <c r="T431" s="98">
        <f t="shared" si="99"/>
        <v>0</v>
      </c>
      <c r="U431" s="97">
        <f t="shared" si="100"/>
        <v>0</v>
      </c>
      <c r="V431" s="97">
        <f t="shared" si="100"/>
        <v>0</v>
      </c>
      <c r="X431" s="98" t="e">
        <f t="shared" si="101"/>
        <v>#REF!</v>
      </c>
      <c r="Y431" s="98" t="e">
        <f t="shared" si="102"/>
        <v>#REF!</v>
      </c>
      <c r="Z431" s="97" t="e">
        <f t="shared" si="103"/>
        <v>#REF!</v>
      </c>
      <c r="AA431" s="97" t="e">
        <f t="shared" si="103"/>
        <v>#REF!</v>
      </c>
      <c r="AC431" s="98" t="e">
        <f t="shared" si="104"/>
        <v>#REF!</v>
      </c>
      <c r="AD431" s="98" t="e">
        <f t="shared" si="105"/>
        <v>#REF!</v>
      </c>
      <c r="AE431" s="97" t="e">
        <f t="shared" si="106"/>
        <v>#REF!</v>
      </c>
      <c r="AF431" s="97" t="e">
        <f t="shared" si="106"/>
        <v>#REF!</v>
      </c>
      <c r="AH431" s="98" t="e">
        <f t="shared" si="107"/>
        <v>#REF!</v>
      </c>
      <c r="AI431" s="98" t="e">
        <f t="shared" si="108"/>
        <v>#REF!</v>
      </c>
      <c r="AJ431" s="97" t="e">
        <f t="shared" si="109"/>
        <v>#REF!</v>
      </c>
      <c r="AK431" s="97" t="e">
        <f t="shared" si="109"/>
        <v>#REF!</v>
      </c>
    </row>
    <row r="432" spans="19:37">
      <c r="S432" s="98">
        <f t="shared" si="98"/>
        <v>0</v>
      </c>
      <c r="T432" s="98">
        <f t="shared" si="99"/>
        <v>0</v>
      </c>
      <c r="U432" s="97">
        <f t="shared" si="100"/>
        <v>0</v>
      </c>
      <c r="V432" s="97">
        <f t="shared" si="100"/>
        <v>0</v>
      </c>
      <c r="X432" s="98" t="e">
        <f t="shared" si="101"/>
        <v>#REF!</v>
      </c>
      <c r="Y432" s="98" t="e">
        <f t="shared" si="102"/>
        <v>#REF!</v>
      </c>
      <c r="Z432" s="97" t="e">
        <f t="shared" si="103"/>
        <v>#REF!</v>
      </c>
      <c r="AA432" s="97" t="e">
        <f t="shared" si="103"/>
        <v>#REF!</v>
      </c>
      <c r="AC432" s="98" t="e">
        <f t="shared" si="104"/>
        <v>#REF!</v>
      </c>
      <c r="AD432" s="98" t="e">
        <f t="shared" si="105"/>
        <v>#REF!</v>
      </c>
      <c r="AE432" s="97" t="e">
        <f t="shared" si="106"/>
        <v>#REF!</v>
      </c>
      <c r="AF432" s="97" t="e">
        <f t="shared" si="106"/>
        <v>#REF!</v>
      </c>
      <c r="AH432" s="98" t="e">
        <f t="shared" si="107"/>
        <v>#REF!</v>
      </c>
      <c r="AI432" s="98" t="e">
        <f t="shared" si="108"/>
        <v>#REF!</v>
      </c>
      <c r="AJ432" s="97" t="e">
        <f t="shared" si="109"/>
        <v>#REF!</v>
      </c>
      <c r="AK432" s="97" t="e">
        <f t="shared" si="109"/>
        <v>#REF!</v>
      </c>
    </row>
    <row r="433" spans="19:37">
      <c r="S433" s="98">
        <f t="shared" si="98"/>
        <v>0</v>
      </c>
      <c r="T433" s="98">
        <f t="shared" si="99"/>
        <v>0</v>
      </c>
      <c r="U433" s="97">
        <f t="shared" si="100"/>
        <v>0</v>
      </c>
      <c r="V433" s="97">
        <f t="shared" si="100"/>
        <v>0</v>
      </c>
      <c r="X433" s="98" t="e">
        <f t="shared" si="101"/>
        <v>#REF!</v>
      </c>
      <c r="Y433" s="98" t="e">
        <f t="shared" si="102"/>
        <v>#REF!</v>
      </c>
      <c r="Z433" s="97" t="e">
        <f t="shared" si="103"/>
        <v>#REF!</v>
      </c>
      <c r="AA433" s="97" t="e">
        <f t="shared" si="103"/>
        <v>#REF!</v>
      </c>
      <c r="AC433" s="98" t="e">
        <f t="shared" si="104"/>
        <v>#REF!</v>
      </c>
      <c r="AD433" s="98" t="e">
        <f t="shared" si="105"/>
        <v>#REF!</v>
      </c>
      <c r="AE433" s="97" t="e">
        <f t="shared" si="106"/>
        <v>#REF!</v>
      </c>
      <c r="AF433" s="97" t="e">
        <f t="shared" si="106"/>
        <v>#REF!</v>
      </c>
      <c r="AH433" s="98" t="e">
        <f t="shared" si="107"/>
        <v>#REF!</v>
      </c>
      <c r="AI433" s="98" t="e">
        <f t="shared" si="108"/>
        <v>#REF!</v>
      </c>
      <c r="AJ433" s="97" t="e">
        <f t="shared" si="109"/>
        <v>#REF!</v>
      </c>
      <c r="AK433" s="97" t="e">
        <f t="shared" si="109"/>
        <v>#REF!</v>
      </c>
    </row>
    <row r="434" spans="19:37">
      <c r="S434" s="98">
        <f t="shared" si="98"/>
        <v>0</v>
      </c>
      <c r="T434" s="98">
        <f t="shared" si="99"/>
        <v>0</v>
      </c>
      <c r="U434" s="97">
        <f t="shared" si="100"/>
        <v>0</v>
      </c>
      <c r="V434" s="97">
        <f t="shared" si="100"/>
        <v>0</v>
      </c>
      <c r="X434" s="98" t="e">
        <f t="shared" si="101"/>
        <v>#REF!</v>
      </c>
      <c r="Y434" s="98" t="e">
        <f t="shared" si="102"/>
        <v>#REF!</v>
      </c>
      <c r="Z434" s="97" t="e">
        <f t="shared" si="103"/>
        <v>#REF!</v>
      </c>
      <c r="AA434" s="97" t="e">
        <f t="shared" si="103"/>
        <v>#REF!</v>
      </c>
      <c r="AC434" s="98" t="e">
        <f t="shared" si="104"/>
        <v>#REF!</v>
      </c>
      <c r="AD434" s="98" t="e">
        <f t="shared" si="105"/>
        <v>#REF!</v>
      </c>
      <c r="AE434" s="97" t="e">
        <f t="shared" si="106"/>
        <v>#REF!</v>
      </c>
      <c r="AF434" s="97" t="e">
        <f t="shared" si="106"/>
        <v>#REF!</v>
      </c>
      <c r="AH434" s="98" t="e">
        <f t="shared" si="107"/>
        <v>#REF!</v>
      </c>
      <c r="AI434" s="98" t="e">
        <f t="shared" si="108"/>
        <v>#REF!</v>
      </c>
      <c r="AJ434" s="97" t="e">
        <f t="shared" si="109"/>
        <v>#REF!</v>
      </c>
      <c r="AK434" s="97" t="e">
        <f t="shared" si="109"/>
        <v>#REF!</v>
      </c>
    </row>
    <row r="435" spans="19:37">
      <c r="S435" s="98">
        <f t="shared" si="98"/>
        <v>0</v>
      </c>
      <c r="T435" s="98">
        <f t="shared" si="99"/>
        <v>0</v>
      </c>
      <c r="U435" s="97">
        <f t="shared" si="100"/>
        <v>0</v>
      </c>
      <c r="V435" s="97">
        <f t="shared" si="100"/>
        <v>0</v>
      </c>
      <c r="X435" s="98" t="e">
        <f t="shared" si="101"/>
        <v>#REF!</v>
      </c>
      <c r="Y435" s="98" t="e">
        <f t="shared" si="102"/>
        <v>#REF!</v>
      </c>
      <c r="Z435" s="97" t="e">
        <f t="shared" si="103"/>
        <v>#REF!</v>
      </c>
      <c r="AA435" s="97" t="e">
        <f t="shared" si="103"/>
        <v>#REF!</v>
      </c>
      <c r="AC435" s="98" t="e">
        <f t="shared" si="104"/>
        <v>#REF!</v>
      </c>
      <c r="AD435" s="98" t="e">
        <f t="shared" si="105"/>
        <v>#REF!</v>
      </c>
      <c r="AE435" s="97" t="e">
        <f t="shared" si="106"/>
        <v>#REF!</v>
      </c>
      <c r="AF435" s="97" t="e">
        <f t="shared" si="106"/>
        <v>#REF!</v>
      </c>
      <c r="AH435" s="98" t="e">
        <f t="shared" si="107"/>
        <v>#REF!</v>
      </c>
      <c r="AI435" s="98" t="e">
        <f t="shared" si="108"/>
        <v>#REF!</v>
      </c>
      <c r="AJ435" s="97" t="e">
        <f t="shared" si="109"/>
        <v>#REF!</v>
      </c>
      <c r="AK435" s="97" t="e">
        <f t="shared" si="109"/>
        <v>#REF!</v>
      </c>
    </row>
    <row r="436" spans="19:37">
      <c r="S436" s="98">
        <f t="shared" si="98"/>
        <v>0</v>
      </c>
      <c r="T436" s="98">
        <f t="shared" si="99"/>
        <v>0</v>
      </c>
      <c r="U436" s="97">
        <f t="shared" si="100"/>
        <v>0</v>
      </c>
      <c r="V436" s="97">
        <f t="shared" si="100"/>
        <v>0</v>
      </c>
      <c r="X436" s="98" t="e">
        <f t="shared" si="101"/>
        <v>#REF!</v>
      </c>
      <c r="Y436" s="98" t="e">
        <f t="shared" si="102"/>
        <v>#REF!</v>
      </c>
      <c r="Z436" s="97" t="e">
        <f t="shared" si="103"/>
        <v>#REF!</v>
      </c>
      <c r="AA436" s="97" t="e">
        <f t="shared" si="103"/>
        <v>#REF!</v>
      </c>
      <c r="AC436" s="98" t="e">
        <f t="shared" si="104"/>
        <v>#REF!</v>
      </c>
      <c r="AD436" s="98" t="e">
        <f t="shared" si="105"/>
        <v>#REF!</v>
      </c>
      <c r="AE436" s="97" t="e">
        <f t="shared" si="106"/>
        <v>#REF!</v>
      </c>
      <c r="AF436" s="97" t="e">
        <f t="shared" si="106"/>
        <v>#REF!</v>
      </c>
      <c r="AH436" s="98" t="e">
        <f t="shared" si="107"/>
        <v>#REF!</v>
      </c>
      <c r="AI436" s="98" t="e">
        <f t="shared" si="108"/>
        <v>#REF!</v>
      </c>
      <c r="AJ436" s="97" t="e">
        <f t="shared" si="109"/>
        <v>#REF!</v>
      </c>
      <c r="AK436" s="97" t="e">
        <f t="shared" si="109"/>
        <v>#REF!</v>
      </c>
    </row>
    <row r="437" spans="19:37">
      <c r="S437" s="98">
        <f t="shared" si="98"/>
        <v>0</v>
      </c>
      <c r="T437" s="98">
        <f t="shared" si="99"/>
        <v>0</v>
      </c>
      <c r="U437" s="97">
        <f t="shared" si="100"/>
        <v>0</v>
      </c>
      <c r="V437" s="97">
        <f t="shared" si="100"/>
        <v>0</v>
      </c>
      <c r="X437" s="98" t="e">
        <f t="shared" si="101"/>
        <v>#REF!</v>
      </c>
      <c r="Y437" s="98" t="e">
        <f t="shared" si="102"/>
        <v>#REF!</v>
      </c>
      <c r="Z437" s="97" t="e">
        <f t="shared" si="103"/>
        <v>#REF!</v>
      </c>
      <c r="AA437" s="97" t="e">
        <f t="shared" si="103"/>
        <v>#REF!</v>
      </c>
      <c r="AC437" s="98" t="e">
        <f t="shared" si="104"/>
        <v>#REF!</v>
      </c>
      <c r="AD437" s="98" t="e">
        <f t="shared" si="105"/>
        <v>#REF!</v>
      </c>
      <c r="AE437" s="97" t="e">
        <f t="shared" si="106"/>
        <v>#REF!</v>
      </c>
      <c r="AF437" s="97" t="e">
        <f t="shared" si="106"/>
        <v>#REF!</v>
      </c>
      <c r="AH437" s="98" t="e">
        <f t="shared" si="107"/>
        <v>#REF!</v>
      </c>
      <c r="AI437" s="98" t="e">
        <f t="shared" si="108"/>
        <v>#REF!</v>
      </c>
      <c r="AJ437" s="97" t="e">
        <f t="shared" si="109"/>
        <v>#REF!</v>
      </c>
      <c r="AK437" s="97" t="e">
        <f t="shared" si="109"/>
        <v>#REF!</v>
      </c>
    </row>
    <row r="438" spans="19:37">
      <c r="S438" s="98">
        <f t="shared" si="98"/>
        <v>0</v>
      </c>
      <c r="T438" s="98">
        <f t="shared" si="99"/>
        <v>0</v>
      </c>
      <c r="U438" s="97">
        <f t="shared" si="100"/>
        <v>0</v>
      </c>
      <c r="V438" s="97">
        <f t="shared" si="100"/>
        <v>0</v>
      </c>
      <c r="X438" s="98" t="e">
        <f t="shared" si="101"/>
        <v>#REF!</v>
      </c>
      <c r="Y438" s="98" t="e">
        <f t="shared" si="102"/>
        <v>#REF!</v>
      </c>
      <c r="Z438" s="97" t="e">
        <f t="shared" si="103"/>
        <v>#REF!</v>
      </c>
      <c r="AA438" s="97" t="e">
        <f t="shared" si="103"/>
        <v>#REF!</v>
      </c>
      <c r="AC438" s="98" t="e">
        <f t="shared" si="104"/>
        <v>#REF!</v>
      </c>
      <c r="AD438" s="98" t="e">
        <f t="shared" si="105"/>
        <v>#REF!</v>
      </c>
      <c r="AE438" s="97" t="e">
        <f t="shared" si="106"/>
        <v>#REF!</v>
      </c>
      <c r="AF438" s="97" t="e">
        <f t="shared" si="106"/>
        <v>#REF!</v>
      </c>
      <c r="AH438" s="98" t="e">
        <f t="shared" si="107"/>
        <v>#REF!</v>
      </c>
      <c r="AI438" s="98" t="e">
        <f t="shared" si="108"/>
        <v>#REF!</v>
      </c>
      <c r="AJ438" s="97" t="e">
        <f t="shared" si="109"/>
        <v>#REF!</v>
      </c>
      <c r="AK438" s="97" t="e">
        <f t="shared" si="109"/>
        <v>#REF!</v>
      </c>
    </row>
    <row r="439" spans="19:37">
      <c r="S439" s="98">
        <f t="shared" si="98"/>
        <v>0</v>
      </c>
      <c r="T439" s="98">
        <f t="shared" si="99"/>
        <v>0</v>
      </c>
      <c r="U439" s="97">
        <f t="shared" si="100"/>
        <v>0</v>
      </c>
      <c r="V439" s="97">
        <f t="shared" si="100"/>
        <v>0</v>
      </c>
      <c r="X439" s="98" t="e">
        <f t="shared" si="101"/>
        <v>#REF!</v>
      </c>
      <c r="Y439" s="98" t="e">
        <f t="shared" si="102"/>
        <v>#REF!</v>
      </c>
      <c r="Z439" s="97" t="e">
        <f t="shared" si="103"/>
        <v>#REF!</v>
      </c>
      <c r="AA439" s="97" t="e">
        <f t="shared" si="103"/>
        <v>#REF!</v>
      </c>
      <c r="AC439" s="98" t="e">
        <f t="shared" si="104"/>
        <v>#REF!</v>
      </c>
      <c r="AD439" s="98" t="e">
        <f t="shared" si="105"/>
        <v>#REF!</v>
      </c>
      <c r="AE439" s="97" t="e">
        <f t="shared" si="106"/>
        <v>#REF!</v>
      </c>
      <c r="AF439" s="97" t="e">
        <f t="shared" si="106"/>
        <v>#REF!</v>
      </c>
      <c r="AH439" s="98" t="e">
        <f t="shared" si="107"/>
        <v>#REF!</v>
      </c>
      <c r="AI439" s="98" t="e">
        <f t="shared" si="108"/>
        <v>#REF!</v>
      </c>
      <c r="AJ439" s="97" t="e">
        <f t="shared" si="109"/>
        <v>#REF!</v>
      </c>
      <c r="AK439" s="97" t="e">
        <f t="shared" si="109"/>
        <v>#REF!</v>
      </c>
    </row>
    <row r="440" spans="19:37">
      <c r="S440" s="98">
        <f t="shared" si="98"/>
        <v>0</v>
      </c>
      <c r="T440" s="98">
        <f t="shared" si="99"/>
        <v>0</v>
      </c>
      <c r="U440" s="97">
        <f t="shared" si="100"/>
        <v>0</v>
      </c>
      <c r="V440" s="97">
        <f t="shared" si="100"/>
        <v>0</v>
      </c>
      <c r="X440" s="98" t="e">
        <f t="shared" si="101"/>
        <v>#REF!</v>
      </c>
      <c r="Y440" s="98" t="e">
        <f t="shared" si="102"/>
        <v>#REF!</v>
      </c>
      <c r="Z440" s="97" t="e">
        <f t="shared" si="103"/>
        <v>#REF!</v>
      </c>
      <c r="AA440" s="97" t="e">
        <f t="shared" si="103"/>
        <v>#REF!</v>
      </c>
      <c r="AC440" s="98" t="e">
        <f t="shared" si="104"/>
        <v>#REF!</v>
      </c>
      <c r="AD440" s="98" t="e">
        <f t="shared" si="105"/>
        <v>#REF!</v>
      </c>
      <c r="AE440" s="97" t="e">
        <f t="shared" si="106"/>
        <v>#REF!</v>
      </c>
      <c r="AF440" s="97" t="e">
        <f t="shared" si="106"/>
        <v>#REF!</v>
      </c>
      <c r="AH440" s="98" t="e">
        <f t="shared" si="107"/>
        <v>#REF!</v>
      </c>
      <c r="AI440" s="98" t="e">
        <f t="shared" si="108"/>
        <v>#REF!</v>
      </c>
      <c r="AJ440" s="97" t="e">
        <f t="shared" si="109"/>
        <v>#REF!</v>
      </c>
      <c r="AK440" s="97" t="e">
        <f t="shared" si="109"/>
        <v>#REF!</v>
      </c>
    </row>
    <row r="441" spans="19:37">
      <c r="S441" s="98">
        <f t="shared" si="98"/>
        <v>0</v>
      </c>
      <c r="T441" s="98">
        <f t="shared" si="99"/>
        <v>0</v>
      </c>
      <c r="U441" s="97">
        <f t="shared" si="100"/>
        <v>0</v>
      </c>
      <c r="V441" s="97">
        <f t="shared" si="100"/>
        <v>0</v>
      </c>
      <c r="X441" s="98" t="e">
        <f t="shared" si="101"/>
        <v>#REF!</v>
      </c>
      <c r="Y441" s="98" t="e">
        <f t="shared" si="102"/>
        <v>#REF!</v>
      </c>
      <c r="Z441" s="97" t="e">
        <f t="shared" si="103"/>
        <v>#REF!</v>
      </c>
      <c r="AA441" s="97" t="e">
        <f t="shared" si="103"/>
        <v>#REF!</v>
      </c>
      <c r="AC441" s="98" t="e">
        <f t="shared" si="104"/>
        <v>#REF!</v>
      </c>
      <c r="AD441" s="98" t="e">
        <f t="shared" si="105"/>
        <v>#REF!</v>
      </c>
      <c r="AE441" s="97" t="e">
        <f t="shared" si="106"/>
        <v>#REF!</v>
      </c>
      <c r="AF441" s="97" t="e">
        <f t="shared" si="106"/>
        <v>#REF!</v>
      </c>
      <c r="AH441" s="98" t="e">
        <f t="shared" si="107"/>
        <v>#REF!</v>
      </c>
      <c r="AI441" s="98" t="e">
        <f t="shared" si="108"/>
        <v>#REF!</v>
      </c>
      <c r="AJ441" s="97" t="e">
        <f t="shared" si="109"/>
        <v>#REF!</v>
      </c>
      <c r="AK441" s="97" t="e">
        <f t="shared" si="109"/>
        <v>#REF!</v>
      </c>
    </row>
    <row r="442" spans="19:37">
      <c r="S442" s="98">
        <f t="shared" si="98"/>
        <v>0</v>
      </c>
      <c r="T442" s="98">
        <f t="shared" si="99"/>
        <v>0</v>
      </c>
      <c r="U442" s="97">
        <f t="shared" si="100"/>
        <v>0</v>
      </c>
      <c r="V442" s="97">
        <f t="shared" si="100"/>
        <v>0</v>
      </c>
      <c r="X442" s="98" t="e">
        <f t="shared" si="101"/>
        <v>#REF!</v>
      </c>
      <c r="Y442" s="98" t="e">
        <f t="shared" si="102"/>
        <v>#REF!</v>
      </c>
      <c r="Z442" s="97" t="e">
        <f t="shared" si="103"/>
        <v>#REF!</v>
      </c>
      <c r="AA442" s="97" t="e">
        <f t="shared" si="103"/>
        <v>#REF!</v>
      </c>
      <c r="AC442" s="98" t="e">
        <f t="shared" si="104"/>
        <v>#REF!</v>
      </c>
      <c r="AD442" s="98" t="e">
        <f t="shared" si="105"/>
        <v>#REF!</v>
      </c>
      <c r="AE442" s="97" t="e">
        <f t="shared" si="106"/>
        <v>#REF!</v>
      </c>
      <c r="AF442" s="97" t="e">
        <f t="shared" si="106"/>
        <v>#REF!</v>
      </c>
      <c r="AH442" s="98" t="e">
        <f t="shared" si="107"/>
        <v>#REF!</v>
      </c>
      <c r="AI442" s="98" t="e">
        <f t="shared" si="108"/>
        <v>#REF!</v>
      </c>
      <c r="AJ442" s="97" t="e">
        <f t="shared" si="109"/>
        <v>#REF!</v>
      </c>
      <c r="AK442" s="97" t="e">
        <f t="shared" si="109"/>
        <v>#REF!</v>
      </c>
    </row>
    <row r="443" spans="19:37">
      <c r="S443" s="98">
        <f t="shared" si="98"/>
        <v>0</v>
      </c>
      <c r="T443" s="98">
        <f t="shared" si="99"/>
        <v>0</v>
      </c>
      <c r="U443" s="97">
        <f t="shared" si="100"/>
        <v>0</v>
      </c>
      <c r="V443" s="97">
        <f t="shared" si="100"/>
        <v>0</v>
      </c>
      <c r="X443" s="98" t="e">
        <f t="shared" si="101"/>
        <v>#REF!</v>
      </c>
      <c r="Y443" s="98" t="e">
        <f t="shared" si="102"/>
        <v>#REF!</v>
      </c>
      <c r="Z443" s="97" t="e">
        <f t="shared" si="103"/>
        <v>#REF!</v>
      </c>
      <c r="AA443" s="97" t="e">
        <f t="shared" si="103"/>
        <v>#REF!</v>
      </c>
      <c r="AC443" s="98" t="e">
        <f t="shared" si="104"/>
        <v>#REF!</v>
      </c>
      <c r="AD443" s="98" t="e">
        <f t="shared" si="105"/>
        <v>#REF!</v>
      </c>
      <c r="AE443" s="97" t="e">
        <f t="shared" si="106"/>
        <v>#REF!</v>
      </c>
      <c r="AF443" s="97" t="e">
        <f t="shared" si="106"/>
        <v>#REF!</v>
      </c>
      <c r="AH443" s="98" t="e">
        <f t="shared" si="107"/>
        <v>#REF!</v>
      </c>
      <c r="AI443" s="98" t="e">
        <f t="shared" si="108"/>
        <v>#REF!</v>
      </c>
      <c r="AJ443" s="97" t="e">
        <f t="shared" si="109"/>
        <v>#REF!</v>
      </c>
      <c r="AK443" s="97" t="e">
        <f t="shared" si="109"/>
        <v>#REF!</v>
      </c>
    </row>
    <row r="444" spans="19:37">
      <c r="S444" s="98">
        <f t="shared" si="98"/>
        <v>0</v>
      </c>
      <c r="T444" s="98">
        <f t="shared" si="99"/>
        <v>0</v>
      </c>
      <c r="U444" s="97">
        <f t="shared" si="100"/>
        <v>0</v>
      </c>
      <c r="V444" s="97">
        <f t="shared" si="100"/>
        <v>0</v>
      </c>
      <c r="X444" s="98" t="e">
        <f t="shared" si="101"/>
        <v>#REF!</v>
      </c>
      <c r="Y444" s="98" t="e">
        <f t="shared" si="102"/>
        <v>#REF!</v>
      </c>
      <c r="Z444" s="97" t="e">
        <f t="shared" si="103"/>
        <v>#REF!</v>
      </c>
      <c r="AA444" s="97" t="e">
        <f t="shared" si="103"/>
        <v>#REF!</v>
      </c>
      <c r="AC444" s="98" t="e">
        <f t="shared" si="104"/>
        <v>#REF!</v>
      </c>
      <c r="AD444" s="98" t="e">
        <f t="shared" si="105"/>
        <v>#REF!</v>
      </c>
      <c r="AE444" s="97" t="e">
        <f t="shared" si="106"/>
        <v>#REF!</v>
      </c>
      <c r="AF444" s="97" t="e">
        <f t="shared" si="106"/>
        <v>#REF!</v>
      </c>
      <c r="AH444" s="98" t="e">
        <f t="shared" si="107"/>
        <v>#REF!</v>
      </c>
      <c r="AI444" s="98" t="e">
        <f t="shared" si="108"/>
        <v>#REF!</v>
      </c>
      <c r="AJ444" s="97" t="e">
        <f t="shared" si="109"/>
        <v>#REF!</v>
      </c>
      <c r="AK444" s="97" t="e">
        <f t="shared" si="109"/>
        <v>#REF!</v>
      </c>
    </row>
    <row r="445" spans="19:37">
      <c r="S445" s="98">
        <f t="shared" si="98"/>
        <v>0</v>
      </c>
      <c r="T445" s="98">
        <f t="shared" si="99"/>
        <v>0</v>
      </c>
      <c r="U445" s="97">
        <f t="shared" si="100"/>
        <v>0</v>
      </c>
      <c r="V445" s="97">
        <f t="shared" si="100"/>
        <v>0</v>
      </c>
      <c r="X445" s="98" t="e">
        <f t="shared" si="101"/>
        <v>#REF!</v>
      </c>
      <c r="Y445" s="98" t="e">
        <f t="shared" si="102"/>
        <v>#REF!</v>
      </c>
      <c r="Z445" s="97" t="e">
        <f t="shared" si="103"/>
        <v>#REF!</v>
      </c>
      <c r="AA445" s="97" t="e">
        <f t="shared" si="103"/>
        <v>#REF!</v>
      </c>
      <c r="AC445" s="98" t="e">
        <f t="shared" si="104"/>
        <v>#REF!</v>
      </c>
      <c r="AD445" s="98" t="e">
        <f t="shared" si="105"/>
        <v>#REF!</v>
      </c>
      <c r="AE445" s="97" t="e">
        <f t="shared" si="106"/>
        <v>#REF!</v>
      </c>
      <c r="AF445" s="97" t="e">
        <f t="shared" si="106"/>
        <v>#REF!</v>
      </c>
      <c r="AH445" s="98" t="e">
        <f t="shared" si="107"/>
        <v>#REF!</v>
      </c>
      <c r="AI445" s="98" t="e">
        <f t="shared" si="108"/>
        <v>#REF!</v>
      </c>
      <c r="AJ445" s="97" t="e">
        <f t="shared" si="109"/>
        <v>#REF!</v>
      </c>
      <c r="AK445" s="97" t="e">
        <f t="shared" si="109"/>
        <v>#REF!</v>
      </c>
    </row>
    <row r="446" spans="19:37">
      <c r="S446" s="98">
        <f t="shared" si="98"/>
        <v>0</v>
      </c>
      <c r="T446" s="98">
        <f t="shared" si="99"/>
        <v>0</v>
      </c>
      <c r="U446" s="97">
        <f t="shared" si="100"/>
        <v>0</v>
      </c>
      <c r="V446" s="97">
        <f t="shared" si="100"/>
        <v>0</v>
      </c>
      <c r="X446" s="98" t="e">
        <f t="shared" si="101"/>
        <v>#REF!</v>
      </c>
      <c r="Y446" s="98" t="e">
        <f t="shared" si="102"/>
        <v>#REF!</v>
      </c>
      <c r="Z446" s="97" t="e">
        <f t="shared" si="103"/>
        <v>#REF!</v>
      </c>
      <c r="AA446" s="97" t="e">
        <f t="shared" si="103"/>
        <v>#REF!</v>
      </c>
      <c r="AC446" s="98" t="e">
        <f t="shared" si="104"/>
        <v>#REF!</v>
      </c>
      <c r="AD446" s="98" t="e">
        <f t="shared" si="105"/>
        <v>#REF!</v>
      </c>
      <c r="AE446" s="97" t="e">
        <f t="shared" si="106"/>
        <v>#REF!</v>
      </c>
      <c r="AF446" s="97" t="e">
        <f t="shared" si="106"/>
        <v>#REF!</v>
      </c>
      <c r="AH446" s="98" t="e">
        <f t="shared" si="107"/>
        <v>#REF!</v>
      </c>
      <c r="AI446" s="98" t="e">
        <f t="shared" si="108"/>
        <v>#REF!</v>
      </c>
      <c r="AJ446" s="97" t="e">
        <f t="shared" si="109"/>
        <v>#REF!</v>
      </c>
      <c r="AK446" s="97" t="e">
        <f t="shared" si="109"/>
        <v>#REF!</v>
      </c>
    </row>
    <row r="447" spans="19:37">
      <c r="S447" s="98">
        <f t="shared" si="98"/>
        <v>0</v>
      </c>
      <c r="T447" s="98">
        <f t="shared" si="99"/>
        <v>0</v>
      </c>
      <c r="U447" s="97">
        <f t="shared" si="100"/>
        <v>0</v>
      </c>
      <c r="V447" s="97">
        <f t="shared" si="100"/>
        <v>0</v>
      </c>
      <c r="X447" s="98" t="e">
        <f t="shared" si="101"/>
        <v>#REF!</v>
      </c>
      <c r="Y447" s="98" t="e">
        <f t="shared" si="102"/>
        <v>#REF!</v>
      </c>
      <c r="Z447" s="97" t="e">
        <f t="shared" si="103"/>
        <v>#REF!</v>
      </c>
      <c r="AA447" s="97" t="e">
        <f t="shared" si="103"/>
        <v>#REF!</v>
      </c>
      <c r="AC447" s="98" t="e">
        <f t="shared" si="104"/>
        <v>#REF!</v>
      </c>
      <c r="AD447" s="98" t="e">
        <f t="shared" si="105"/>
        <v>#REF!</v>
      </c>
      <c r="AE447" s="97" t="e">
        <f t="shared" si="106"/>
        <v>#REF!</v>
      </c>
      <c r="AF447" s="97" t="e">
        <f t="shared" si="106"/>
        <v>#REF!</v>
      </c>
      <c r="AH447" s="98" t="e">
        <f t="shared" si="107"/>
        <v>#REF!</v>
      </c>
      <c r="AI447" s="98" t="e">
        <f t="shared" si="108"/>
        <v>#REF!</v>
      </c>
      <c r="AJ447" s="97" t="e">
        <f t="shared" si="109"/>
        <v>#REF!</v>
      </c>
      <c r="AK447" s="97" t="e">
        <f t="shared" si="109"/>
        <v>#REF!</v>
      </c>
    </row>
    <row r="448" spans="19:37">
      <c r="S448" s="98">
        <f t="shared" si="98"/>
        <v>0</v>
      </c>
      <c r="T448" s="98">
        <f t="shared" si="99"/>
        <v>0</v>
      </c>
      <c r="U448" s="97">
        <f t="shared" si="100"/>
        <v>0</v>
      </c>
      <c r="V448" s="97">
        <f t="shared" si="100"/>
        <v>0</v>
      </c>
      <c r="X448" s="98" t="e">
        <f t="shared" si="101"/>
        <v>#REF!</v>
      </c>
      <c r="Y448" s="98" t="e">
        <f t="shared" si="102"/>
        <v>#REF!</v>
      </c>
      <c r="Z448" s="97" t="e">
        <f t="shared" si="103"/>
        <v>#REF!</v>
      </c>
      <c r="AA448" s="97" t="e">
        <f t="shared" si="103"/>
        <v>#REF!</v>
      </c>
      <c r="AC448" s="98" t="e">
        <f t="shared" si="104"/>
        <v>#REF!</v>
      </c>
      <c r="AD448" s="98" t="e">
        <f t="shared" si="105"/>
        <v>#REF!</v>
      </c>
      <c r="AE448" s="97" t="e">
        <f t="shared" si="106"/>
        <v>#REF!</v>
      </c>
      <c r="AF448" s="97" t="e">
        <f t="shared" si="106"/>
        <v>#REF!</v>
      </c>
      <c r="AH448" s="98" t="e">
        <f t="shared" si="107"/>
        <v>#REF!</v>
      </c>
      <c r="AI448" s="98" t="e">
        <f t="shared" si="108"/>
        <v>#REF!</v>
      </c>
      <c r="AJ448" s="97" t="e">
        <f t="shared" si="109"/>
        <v>#REF!</v>
      </c>
      <c r="AK448" s="97" t="e">
        <f t="shared" si="109"/>
        <v>#REF!</v>
      </c>
    </row>
    <row r="449" spans="19:37">
      <c r="S449" s="98">
        <f t="shared" ref="S449:S512" si="110">IF($A449&lt;&gt;"(DC)", $E449*$R$7, $E449)</f>
        <v>0</v>
      </c>
      <c r="T449" s="98">
        <f t="shared" ref="T449:T512" si="111">IF($A449&lt;&gt;"(DC)", $F449*$R$7, $F449)</f>
        <v>0</v>
      </c>
      <c r="U449" s="97">
        <f t="shared" ref="U449:V512" si="112">IF(AND($D449="",S449=""),"",IF($D449="",S449,$D449+S449))</f>
        <v>0</v>
      </c>
      <c r="V449" s="97">
        <f t="shared" si="112"/>
        <v>0</v>
      </c>
      <c r="X449" s="98" t="e">
        <f t="shared" ref="X449:X512" si="113">IF($A449&lt;&gt;"(DC)", $E449*$W$7, $E449)</f>
        <v>#REF!</v>
      </c>
      <c r="Y449" s="98" t="e">
        <f t="shared" ref="Y449:Y512" si="114">IF($A449&lt;&gt;"(DC)", $F449*$W$7, $F449)</f>
        <v>#REF!</v>
      </c>
      <c r="Z449" s="97" t="e">
        <f t="shared" ref="Z449:AA512" si="115">IF(AND($D449="",X449=""),"",IF($D449="",X449,$D449+X449))</f>
        <v>#REF!</v>
      </c>
      <c r="AA449" s="97" t="e">
        <f t="shared" si="115"/>
        <v>#REF!</v>
      </c>
      <c r="AC449" s="98" t="e">
        <f t="shared" ref="AC449:AC512" si="116">IF($A449&lt;&gt;"(DC)", $E449*$W$7, $E449)</f>
        <v>#REF!</v>
      </c>
      <c r="AD449" s="98" t="e">
        <f t="shared" ref="AD449:AD512" si="117">IF($A449&lt;&gt;"(DC)", $F449*$W$7, $F449)</f>
        <v>#REF!</v>
      </c>
      <c r="AE449" s="97" t="e">
        <f t="shared" ref="AE449:AF512" si="118">IF(AND($D449="",AC449=""),"",IF($D449="",AC449,$D449+AC449))</f>
        <v>#REF!</v>
      </c>
      <c r="AF449" s="97" t="e">
        <f t="shared" si="118"/>
        <v>#REF!</v>
      </c>
      <c r="AH449" s="98" t="e">
        <f t="shared" ref="AH449:AH512" si="119">IF($A449&lt;&gt;"(DC)", $E449*$AG$7, $E449)</f>
        <v>#REF!</v>
      </c>
      <c r="AI449" s="98" t="e">
        <f t="shared" ref="AI449:AI512" si="120">IF($A449&lt;&gt;"(DC)", $F449*$AG$7, $F449)</f>
        <v>#REF!</v>
      </c>
      <c r="AJ449" s="97" t="e">
        <f t="shared" ref="AJ449:AK512" si="121">IF(AND($D449="",AH449=""),"",IF($D449="",AH449,$D449+AH449))</f>
        <v>#REF!</v>
      </c>
      <c r="AK449" s="97" t="e">
        <f t="shared" si="121"/>
        <v>#REF!</v>
      </c>
    </row>
    <row r="450" spans="19:37">
      <c r="S450" s="98">
        <f t="shared" si="110"/>
        <v>0</v>
      </c>
      <c r="T450" s="98">
        <f t="shared" si="111"/>
        <v>0</v>
      </c>
      <c r="U450" s="97">
        <f t="shared" si="112"/>
        <v>0</v>
      </c>
      <c r="V450" s="97">
        <f t="shared" si="112"/>
        <v>0</v>
      </c>
      <c r="X450" s="98" t="e">
        <f t="shared" si="113"/>
        <v>#REF!</v>
      </c>
      <c r="Y450" s="98" t="e">
        <f t="shared" si="114"/>
        <v>#REF!</v>
      </c>
      <c r="Z450" s="97" t="e">
        <f t="shared" si="115"/>
        <v>#REF!</v>
      </c>
      <c r="AA450" s="97" t="e">
        <f t="shared" si="115"/>
        <v>#REF!</v>
      </c>
      <c r="AC450" s="98" t="e">
        <f t="shared" si="116"/>
        <v>#REF!</v>
      </c>
      <c r="AD450" s="98" t="e">
        <f t="shared" si="117"/>
        <v>#REF!</v>
      </c>
      <c r="AE450" s="97" t="e">
        <f t="shared" si="118"/>
        <v>#REF!</v>
      </c>
      <c r="AF450" s="97" t="e">
        <f t="shared" si="118"/>
        <v>#REF!</v>
      </c>
      <c r="AH450" s="98" t="e">
        <f t="shared" si="119"/>
        <v>#REF!</v>
      </c>
      <c r="AI450" s="98" t="e">
        <f t="shared" si="120"/>
        <v>#REF!</v>
      </c>
      <c r="AJ450" s="97" t="e">
        <f t="shared" si="121"/>
        <v>#REF!</v>
      </c>
      <c r="AK450" s="97" t="e">
        <f t="shared" si="121"/>
        <v>#REF!</v>
      </c>
    </row>
    <row r="451" spans="19:37">
      <c r="S451" s="98">
        <f t="shared" si="110"/>
        <v>0</v>
      </c>
      <c r="T451" s="98">
        <f t="shared" si="111"/>
        <v>0</v>
      </c>
      <c r="U451" s="97">
        <f t="shared" si="112"/>
        <v>0</v>
      </c>
      <c r="V451" s="97">
        <f t="shared" si="112"/>
        <v>0</v>
      </c>
      <c r="X451" s="98" t="e">
        <f t="shared" si="113"/>
        <v>#REF!</v>
      </c>
      <c r="Y451" s="98" t="e">
        <f t="shared" si="114"/>
        <v>#REF!</v>
      </c>
      <c r="Z451" s="97" t="e">
        <f t="shared" si="115"/>
        <v>#REF!</v>
      </c>
      <c r="AA451" s="97" t="e">
        <f t="shared" si="115"/>
        <v>#REF!</v>
      </c>
      <c r="AC451" s="98" t="e">
        <f t="shared" si="116"/>
        <v>#REF!</v>
      </c>
      <c r="AD451" s="98" t="e">
        <f t="shared" si="117"/>
        <v>#REF!</v>
      </c>
      <c r="AE451" s="97" t="e">
        <f t="shared" si="118"/>
        <v>#REF!</v>
      </c>
      <c r="AF451" s="97" t="e">
        <f t="shared" si="118"/>
        <v>#REF!</v>
      </c>
      <c r="AH451" s="98" t="e">
        <f t="shared" si="119"/>
        <v>#REF!</v>
      </c>
      <c r="AI451" s="98" t="e">
        <f t="shared" si="120"/>
        <v>#REF!</v>
      </c>
      <c r="AJ451" s="97" t="e">
        <f t="shared" si="121"/>
        <v>#REF!</v>
      </c>
      <c r="AK451" s="97" t="e">
        <f t="shared" si="121"/>
        <v>#REF!</v>
      </c>
    </row>
    <row r="452" spans="19:37">
      <c r="S452" s="98">
        <f t="shared" si="110"/>
        <v>0</v>
      </c>
      <c r="T452" s="98">
        <f t="shared" si="111"/>
        <v>0</v>
      </c>
      <c r="U452" s="97">
        <f t="shared" si="112"/>
        <v>0</v>
      </c>
      <c r="V452" s="97">
        <f t="shared" si="112"/>
        <v>0</v>
      </c>
      <c r="X452" s="98" t="e">
        <f t="shared" si="113"/>
        <v>#REF!</v>
      </c>
      <c r="Y452" s="98" t="e">
        <f t="shared" si="114"/>
        <v>#REF!</v>
      </c>
      <c r="Z452" s="97" t="e">
        <f t="shared" si="115"/>
        <v>#REF!</v>
      </c>
      <c r="AA452" s="97" t="e">
        <f t="shared" si="115"/>
        <v>#REF!</v>
      </c>
      <c r="AC452" s="98" t="e">
        <f t="shared" si="116"/>
        <v>#REF!</v>
      </c>
      <c r="AD452" s="98" t="e">
        <f t="shared" si="117"/>
        <v>#REF!</v>
      </c>
      <c r="AE452" s="97" t="e">
        <f t="shared" si="118"/>
        <v>#REF!</v>
      </c>
      <c r="AF452" s="97" t="e">
        <f t="shared" si="118"/>
        <v>#REF!</v>
      </c>
      <c r="AH452" s="98" t="e">
        <f t="shared" si="119"/>
        <v>#REF!</v>
      </c>
      <c r="AI452" s="98" t="e">
        <f t="shared" si="120"/>
        <v>#REF!</v>
      </c>
      <c r="AJ452" s="97" t="e">
        <f t="shared" si="121"/>
        <v>#REF!</v>
      </c>
      <c r="AK452" s="97" t="e">
        <f t="shared" si="121"/>
        <v>#REF!</v>
      </c>
    </row>
    <row r="453" spans="19:37">
      <c r="S453" s="98">
        <f t="shared" si="110"/>
        <v>0</v>
      </c>
      <c r="T453" s="98">
        <f t="shared" si="111"/>
        <v>0</v>
      </c>
      <c r="U453" s="97">
        <f t="shared" si="112"/>
        <v>0</v>
      </c>
      <c r="V453" s="97">
        <f t="shared" si="112"/>
        <v>0</v>
      </c>
      <c r="X453" s="98" t="e">
        <f t="shared" si="113"/>
        <v>#REF!</v>
      </c>
      <c r="Y453" s="98" t="e">
        <f t="shared" si="114"/>
        <v>#REF!</v>
      </c>
      <c r="Z453" s="97" t="e">
        <f t="shared" si="115"/>
        <v>#REF!</v>
      </c>
      <c r="AA453" s="97" t="e">
        <f t="shared" si="115"/>
        <v>#REF!</v>
      </c>
      <c r="AC453" s="98" t="e">
        <f t="shared" si="116"/>
        <v>#REF!</v>
      </c>
      <c r="AD453" s="98" t="e">
        <f t="shared" si="117"/>
        <v>#REF!</v>
      </c>
      <c r="AE453" s="97" t="e">
        <f t="shared" si="118"/>
        <v>#REF!</v>
      </c>
      <c r="AF453" s="97" t="e">
        <f t="shared" si="118"/>
        <v>#REF!</v>
      </c>
      <c r="AH453" s="98" t="e">
        <f t="shared" si="119"/>
        <v>#REF!</v>
      </c>
      <c r="AI453" s="98" t="e">
        <f t="shared" si="120"/>
        <v>#REF!</v>
      </c>
      <c r="AJ453" s="97" t="e">
        <f t="shared" si="121"/>
        <v>#REF!</v>
      </c>
      <c r="AK453" s="97" t="e">
        <f t="shared" si="121"/>
        <v>#REF!</v>
      </c>
    </row>
    <row r="454" spans="19:37">
      <c r="S454" s="98">
        <f t="shared" si="110"/>
        <v>0</v>
      </c>
      <c r="T454" s="98">
        <f t="shared" si="111"/>
        <v>0</v>
      </c>
      <c r="U454" s="97">
        <f t="shared" si="112"/>
        <v>0</v>
      </c>
      <c r="V454" s="97">
        <f t="shared" si="112"/>
        <v>0</v>
      </c>
      <c r="X454" s="98" t="e">
        <f t="shared" si="113"/>
        <v>#REF!</v>
      </c>
      <c r="Y454" s="98" t="e">
        <f t="shared" si="114"/>
        <v>#REF!</v>
      </c>
      <c r="Z454" s="97" t="e">
        <f t="shared" si="115"/>
        <v>#REF!</v>
      </c>
      <c r="AA454" s="97" t="e">
        <f t="shared" si="115"/>
        <v>#REF!</v>
      </c>
      <c r="AC454" s="98" t="e">
        <f t="shared" si="116"/>
        <v>#REF!</v>
      </c>
      <c r="AD454" s="98" t="e">
        <f t="shared" si="117"/>
        <v>#REF!</v>
      </c>
      <c r="AE454" s="97" t="e">
        <f t="shared" si="118"/>
        <v>#REF!</v>
      </c>
      <c r="AF454" s="97" t="e">
        <f t="shared" si="118"/>
        <v>#REF!</v>
      </c>
      <c r="AH454" s="98" t="e">
        <f t="shared" si="119"/>
        <v>#REF!</v>
      </c>
      <c r="AI454" s="98" t="e">
        <f t="shared" si="120"/>
        <v>#REF!</v>
      </c>
      <c r="AJ454" s="97" t="e">
        <f t="shared" si="121"/>
        <v>#REF!</v>
      </c>
      <c r="AK454" s="97" t="e">
        <f t="shared" si="121"/>
        <v>#REF!</v>
      </c>
    </row>
    <row r="455" spans="19:37">
      <c r="S455" s="98">
        <f t="shared" si="110"/>
        <v>0</v>
      </c>
      <c r="T455" s="98">
        <f t="shared" si="111"/>
        <v>0</v>
      </c>
      <c r="U455" s="97">
        <f t="shared" si="112"/>
        <v>0</v>
      </c>
      <c r="V455" s="97">
        <f t="shared" si="112"/>
        <v>0</v>
      </c>
      <c r="X455" s="98" t="e">
        <f t="shared" si="113"/>
        <v>#REF!</v>
      </c>
      <c r="Y455" s="98" t="e">
        <f t="shared" si="114"/>
        <v>#REF!</v>
      </c>
      <c r="Z455" s="97" t="e">
        <f t="shared" si="115"/>
        <v>#REF!</v>
      </c>
      <c r="AA455" s="97" t="e">
        <f t="shared" si="115"/>
        <v>#REF!</v>
      </c>
      <c r="AC455" s="98" t="e">
        <f t="shared" si="116"/>
        <v>#REF!</v>
      </c>
      <c r="AD455" s="98" t="e">
        <f t="shared" si="117"/>
        <v>#REF!</v>
      </c>
      <c r="AE455" s="97" t="e">
        <f t="shared" si="118"/>
        <v>#REF!</v>
      </c>
      <c r="AF455" s="97" t="e">
        <f t="shared" si="118"/>
        <v>#REF!</v>
      </c>
      <c r="AH455" s="98" t="e">
        <f t="shared" si="119"/>
        <v>#REF!</v>
      </c>
      <c r="AI455" s="98" t="e">
        <f t="shared" si="120"/>
        <v>#REF!</v>
      </c>
      <c r="AJ455" s="97" t="e">
        <f t="shared" si="121"/>
        <v>#REF!</v>
      </c>
      <c r="AK455" s="97" t="e">
        <f t="shared" si="121"/>
        <v>#REF!</v>
      </c>
    </row>
    <row r="456" spans="19:37">
      <c r="S456" s="98">
        <f t="shared" si="110"/>
        <v>0</v>
      </c>
      <c r="T456" s="98">
        <f t="shared" si="111"/>
        <v>0</v>
      </c>
      <c r="U456" s="97">
        <f t="shared" si="112"/>
        <v>0</v>
      </c>
      <c r="V456" s="97">
        <f t="shared" si="112"/>
        <v>0</v>
      </c>
      <c r="X456" s="98" t="e">
        <f t="shared" si="113"/>
        <v>#REF!</v>
      </c>
      <c r="Y456" s="98" t="e">
        <f t="shared" si="114"/>
        <v>#REF!</v>
      </c>
      <c r="Z456" s="97" t="e">
        <f t="shared" si="115"/>
        <v>#REF!</v>
      </c>
      <c r="AA456" s="97" t="e">
        <f t="shared" si="115"/>
        <v>#REF!</v>
      </c>
      <c r="AC456" s="98" t="e">
        <f t="shared" si="116"/>
        <v>#REF!</v>
      </c>
      <c r="AD456" s="98" t="e">
        <f t="shared" si="117"/>
        <v>#REF!</v>
      </c>
      <c r="AE456" s="97" t="e">
        <f t="shared" si="118"/>
        <v>#REF!</v>
      </c>
      <c r="AF456" s="97" t="e">
        <f t="shared" si="118"/>
        <v>#REF!</v>
      </c>
      <c r="AH456" s="98" t="e">
        <f t="shared" si="119"/>
        <v>#REF!</v>
      </c>
      <c r="AI456" s="98" t="e">
        <f t="shared" si="120"/>
        <v>#REF!</v>
      </c>
      <c r="AJ456" s="97" t="e">
        <f t="shared" si="121"/>
        <v>#REF!</v>
      </c>
      <c r="AK456" s="97" t="e">
        <f t="shared" si="121"/>
        <v>#REF!</v>
      </c>
    </row>
    <row r="457" spans="19:37">
      <c r="S457" s="98">
        <f t="shared" si="110"/>
        <v>0</v>
      </c>
      <c r="T457" s="98">
        <f t="shared" si="111"/>
        <v>0</v>
      </c>
      <c r="U457" s="97">
        <f t="shared" si="112"/>
        <v>0</v>
      </c>
      <c r="V457" s="97">
        <f t="shared" si="112"/>
        <v>0</v>
      </c>
      <c r="X457" s="98" t="e">
        <f t="shared" si="113"/>
        <v>#REF!</v>
      </c>
      <c r="Y457" s="98" t="e">
        <f t="shared" si="114"/>
        <v>#REF!</v>
      </c>
      <c r="Z457" s="97" t="e">
        <f t="shared" si="115"/>
        <v>#REF!</v>
      </c>
      <c r="AA457" s="97" t="e">
        <f t="shared" si="115"/>
        <v>#REF!</v>
      </c>
      <c r="AC457" s="98" t="e">
        <f t="shared" si="116"/>
        <v>#REF!</v>
      </c>
      <c r="AD457" s="98" t="e">
        <f t="shared" si="117"/>
        <v>#REF!</v>
      </c>
      <c r="AE457" s="97" t="e">
        <f t="shared" si="118"/>
        <v>#REF!</v>
      </c>
      <c r="AF457" s="97" t="e">
        <f t="shared" si="118"/>
        <v>#REF!</v>
      </c>
      <c r="AH457" s="98" t="e">
        <f t="shared" si="119"/>
        <v>#REF!</v>
      </c>
      <c r="AI457" s="98" t="e">
        <f t="shared" si="120"/>
        <v>#REF!</v>
      </c>
      <c r="AJ457" s="97" t="e">
        <f t="shared" si="121"/>
        <v>#REF!</v>
      </c>
      <c r="AK457" s="97" t="e">
        <f t="shared" si="121"/>
        <v>#REF!</v>
      </c>
    </row>
    <row r="458" spans="19:37">
      <c r="S458" s="98">
        <f t="shared" si="110"/>
        <v>0</v>
      </c>
      <c r="T458" s="98">
        <f t="shared" si="111"/>
        <v>0</v>
      </c>
      <c r="U458" s="97">
        <f t="shared" si="112"/>
        <v>0</v>
      </c>
      <c r="V458" s="97">
        <f t="shared" si="112"/>
        <v>0</v>
      </c>
      <c r="X458" s="98" t="e">
        <f t="shared" si="113"/>
        <v>#REF!</v>
      </c>
      <c r="Y458" s="98" t="e">
        <f t="shared" si="114"/>
        <v>#REF!</v>
      </c>
      <c r="Z458" s="97" t="e">
        <f t="shared" si="115"/>
        <v>#REF!</v>
      </c>
      <c r="AA458" s="97" t="e">
        <f t="shared" si="115"/>
        <v>#REF!</v>
      </c>
      <c r="AC458" s="98" t="e">
        <f t="shared" si="116"/>
        <v>#REF!</v>
      </c>
      <c r="AD458" s="98" t="e">
        <f t="shared" si="117"/>
        <v>#REF!</v>
      </c>
      <c r="AE458" s="97" t="e">
        <f t="shared" si="118"/>
        <v>#REF!</v>
      </c>
      <c r="AF458" s="97" t="e">
        <f t="shared" si="118"/>
        <v>#REF!</v>
      </c>
      <c r="AH458" s="98" t="e">
        <f t="shared" si="119"/>
        <v>#REF!</v>
      </c>
      <c r="AI458" s="98" t="e">
        <f t="shared" si="120"/>
        <v>#REF!</v>
      </c>
      <c r="AJ458" s="97" t="e">
        <f t="shared" si="121"/>
        <v>#REF!</v>
      </c>
      <c r="AK458" s="97" t="e">
        <f t="shared" si="121"/>
        <v>#REF!</v>
      </c>
    </row>
    <row r="459" spans="19:37">
      <c r="S459" s="98">
        <f t="shared" si="110"/>
        <v>0</v>
      </c>
      <c r="T459" s="98">
        <f t="shared" si="111"/>
        <v>0</v>
      </c>
      <c r="U459" s="97">
        <f t="shared" si="112"/>
        <v>0</v>
      </c>
      <c r="V459" s="97">
        <f t="shared" si="112"/>
        <v>0</v>
      </c>
      <c r="X459" s="98" t="e">
        <f t="shared" si="113"/>
        <v>#REF!</v>
      </c>
      <c r="Y459" s="98" t="e">
        <f t="shared" si="114"/>
        <v>#REF!</v>
      </c>
      <c r="Z459" s="97" t="e">
        <f t="shared" si="115"/>
        <v>#REF!</v>
      </c>
      <c r="AA459" s="97" t="e">
        <f t="shared" si="115"/>
        <v>#REF!</v>
      </c>
      <c r="AC459" s="98" t="e">
        <f t="shared" si="116"/>
        <v>#REF!</v>
      </c>
      <c r="AD459" s="98" t="e">
        <f t="shared" si="117"/>
        <v>#REF!</v>
      </c>
      <c r="AE459" s="97" t="e">
        <f t="shared" si="118"/>
        <v>#REF!</v>
      </c>
      <c r="AF459" s="97" t="e">
        <f t="shared" si="118"/>
        <v>#REF!</v>
      </c>
      <c r="AH459" s="98" t="e">
        <f t="shared" si="119"/>
        <v>#REF!</v>
      </c>
      <c r="AI459" s="98" t="e">
        <f t="shared" si="120"/>
        <v>#REF!</v>
      </c>
      <c r="AJ459" s="97" t="e">
        <f t="shared" si="121"/>
        <v>#REF!</v>
      </c>
      <c r="AK459" s="97" t="e">
        <f t="shared" si="121"/>
        <v>#REF!</v>
      </c>
    </row>
    <row r="460" spans="19:37">
      <c r="S460" s="98">
        <f t="shared" si="110"/>
        <v>0</v>
      </c>
      <c r="T460" s="98">
        <f t="shared" si="111"/>
        <v>0</v>
      </c>
      <c r="U460" s="97">
        <f t="shared" si="112"/>
        <v>0</v>
      </c>
      <c r="V460" s="97">
        <f t="shared" si="112"/>
        <v>0</v>
      </c>
      <c r="X460" s="98" t="e">
        <f t="shared" si="113"/>
        <v>#REF!</v>
      </c>
      <c r="Y460" s="98" t="e">
        <f t="shared" si="114"/>
        <v>#REF!</v>
      </c>
      <c r="Z460" s="97" t="e">
        <f t="shared" si="115"/>
        <v>#REF!</v>
      </c>
      <c r="AA460" s="97" t="e">
        <f t="shared" si="115"/>
        <v>#REF!</v>
      </c>
      <c r="AC460" s="98" t="e">
        <f t="shared" si="116"/>
        <v>#REF!</v>
      </c>
      <c r="AD460" s="98" t="e">
        <f t="shared" si="117"/>
        <v>#REF!</v>
      </c>
      <c r="AE460" s="97" t="e">
        <f t="shared" si="118"/>
        <v>#REF!</v>
      </c>
      <c r="AF460" s="97" t="e">
        <f t="shared" si="118"/>
        <v>#REF!</v>
      </c>
      <c r="AH460" s="98" t="e">
        <f t="shared" si="119"/>
        <v>#REF!</v>
      </c>
      <c r="AI460" s="98" t="e">
        <f t="shared" si="120"/>
        <v>#REF!</v>
      </c>
      <c r="AJ460" s="97" t="e">
        <f t="shared" si="121"/>
        <v>#REF!</v>
      </c>
      <c r="AK460" s="97" t="e">
        <f t="shared" si="121"/>
        <v>#REF!</v>
      </c>
    </row>
    <row r="461" spans="19:37">
      <c r="S461" s="98">
        <f t="shared" si="110"/>
        <v>0</v>
      </c>
      <c r="T461" s="98">
        <f t="shared" si="111"/>
        <v>0</v>
      </c>
      <c r="U461" s="97">
        <f t="shared" si="112"/>
        <v>0</v>
      </c>
      <c r="V461" s="97">
        <f t="shared" si="112"/>
        <v>0</v>
      </c>
      <c r="X461" s="98" t="e">
        <f t="shared" si="113"/>
        <v>#REF!</v>
      </c>
      <c r="Y461" s="98" t="e">
        <f t="shared" si="114"/>
        <v>#REF!</v>
      </c>
      <c r="Z461" s="97" t="e">
        <f t="shared" si="115"/>
        <v>#REF!</v>
      </c>
      <c r="AA461" s="97" t="e">
        <f t="shared" si="115"/>
        <v>#REF!</v>
      </c>
      <c r="AC461" s="98" t="e">
        <f t="shared" si="116"/>
        <v>#REF!</v>
      </c>
      <c r="AD461" s="98" t="e">
        <f t="shared" si="117"/>
        <v>#REF!</v>
      </c>
      <c r="AE461" s="97" t="e">
        <f t="shared" si="118"/>
        <v>#REF!</v>
      </c>
      <c r="AF461" s="97" t="e">
        <f t="shared" si="118"/>
        <v>#REF!</v>
      </c>
      <c r="AH461" s="98" t="e">
        <f t="shared" si="119"/>
        <v>#REF!</v>
      </c>
      <c r="AI461" s="98" t="e">
        <f t="shared" si="120"/>
        <v>#REF!</v>
      </c>
      <c r="AJ461" s="97" t="e">
        <f t="shared" si="121"/>
        <v>#REF!</v>
      </c>
      <c r="AK461" s="97" t="e">
        <f t="shared" si="121"/>
        <v>#REF!</v>
      </c>
    </row>
    <row r="462" spans="19:37">
      <c r="S462" s="98">
        <f t="shared" si="110"/>
        <v>0</v>
      </c>
      <c r="T462" s="98">
        <f t="shared" si="111"/>
        <v>0</v>
      </c>
      <c r="U462" s="97">
        <f t="shared" si="112"/>
        <v>0</v>
      </c>
      <c r="V462" s="97">
        <f t="shared" si="112"/>
        <v>0</v>
      </c>
      <c r="X462" s="98" t="e">
        <f t="shared" si="113"/>
        <v>#REF!</v>
      </c>
      <c r="Y462" s="98" t="e">
        <f t="shared" si="114"/>
        <v>#REF!</v>
      </c>
      <c r="Z462" s="97" t="e">
        <f t="shared" si="115"/>
        <v>#REF!</v>
      </c>
      <c r="AA462" s="97" t="e">
        <f t="shared" si="115"/>
        <v>#REF!</v>
      </c>
      <c r="AC462" s="98" t="e">
        <f t="shared" si="116"/>
        <v>#REF!</v>
      </c>
      <c r="AD462" s="98" t="e">
        <f t="shared" si="117"/>
        <v>#REF!</v>
      </c>
      <c r="AE462" s="97" t="e">
        <f t="shared" si="118"/>
        <v>#REF!</v>
      </c>
      <c r="AF462" s="97" t="e">
        <f t="shared" si="118"/>
        <v>#REF!</v>
      </c>
      <c r="AH462" s="98" t="e">
        <f t="shared" si="119"/>
        <v>#REF!</v>
      </c>
      <c r="AI462" s="98" t="e">
        <f t="shared" si="120"/>
        <v>#REF!</v>
      </c>
      <c r="AJ462" s="97" t="e">
        <f t="shared" si="121"/>
        <v>#REF!</v>
      </c>
      <c r="AK462" s="97" t="e">
        <f t="shared" si="121"/>
        <v>#REF!</v>
      </c>
    </row>
    <row r="463" spans="19:37">
      <c r="S463" s="98">
        <f t="shared" si="110"/>
        <v>0</v>
      </c>
      <c r="T463" s="98">
        <f t="shared" si="111"/>
        <v>0</v>
      </c>
      <c r="U463" s="97">
        <f t="shared" si="112"/>
        <v>0</v>
      </c>
      <c r="V463" s="97">
        <f t="shared" si="112"/>
        <v>0</v>
      </c>
      <c r="X463" s="98" t="e">
        <f t="shared" si="113"/>
        <v>#REF!</v>
      </c>
      <c r="Y463" s="98" t="e">
        <f t="shared" si="114"/>
        <v>#REF!</v>
      </c>
      <c r="Z463" s="97" t="e">
        <f t="shared" si="115"/>
        <v>#REF!</v>
      </c>
      <c r="AA463" s="97" t="e">
        <f t="shared" si="115"/>
        <v>#REF!</v>
      </c>
      <c r="AC463" s="98" t="e">
        <f t="shared" si="116"/>
        <v>#REF!</v>
      </c>
      <c r="AD463" s="98" t="e">
        <f t="shared" si="117"/>
        <v>#REF!</v>
      </c>
      <c r="AE463" s="97" t="e">
        <f t="shared" si="118"/>
        <v>#REF!</v>
      </c>
      <c r="AF463" s="97" t="e">
        <f t="shared" si="118"/>
        <v>#REF!</v>
      </c>
      <c r="AH463" s="98" t="e">
        <f t="shared" si="119"/>
        <v>#REF!</v>
      </c>
      <c r="AI463" s="98" t="e">
        <f t="shared" si="120"/>
        <v>#REF!</v>
      </c>
      <c r="AJ463" s="97" t="e">
        <f t="shared" si="121"/>
        <v>#REF!</v>
      </c>
      <c r="AK463" s="97" t="e">
        <f t="shared" si="121"/>
        <v>#REF!</v>
      </c>
    </row>
    <row r="464" spans="19:37">
      <c r="S464" s="98">
        <f t="shared" si="110"/>
        <v>0</v>
      </c>
      <c r="T464" s="98">
        <f t="shared" si="111"/>
        <v>0</v>
      </c>
      <c r="U464" s="97">
        <f t="shared" si="112"/>
        <v>0</v>
      </c>
      <c r="V464" s="97">
        <f t="shared" si="112"/>
        <v>0</v>
      </c>
      <c r="X464" s="98" t="e">
        <f t="shared" si="113"/>
        <v>#REF!</v>
      </c>
      <c r="Y464" s="98" t="e">
        <f t="shared" si="114"/>
        <v>#REF!</v>
      </c>
      <c r="Z464" s="97" t="e">
        <f t="shared" si="115"/>
        <v>#REF!</v>
      </c>
      <c r="AA464" s="97" t="e">
        <f t="shared" si="115"/>
        <v>#REF!</v>
      </c>
      <c r="AC464" s="98" t="e">
        <f t="shared" si="116"/>
        <v>#REF!</v>
      </c>
      <c r="AD464" s="98" t="e">
        <f t="shared" si="117"/>
        <v>#REF!</v>
      </c>
      <c r="AE464" s="97" t="e">
        <f t="shared" si="118"/>
        <v>#REF!</v>
      </c>
      <c r="AF464" s="97" t="e">
        <f t="shared" si="118"/>
        <v>#REF!</v>
      </c>
      <c r="AH464" s="98" t="e">
        <f t="shared" si="119"/>
        <v>#REF!</v>
      </c>
      <c r="AI464" s="98" t="e">
        <f t="shared" si="120"/>
        <v>#REF!</v>
      </c>
      <c r="AJ464" s="97" t="e">
        <f t="shared" si="121"/>
        <v>#REF!</v>
      </c>
      <c r="AK464" s="97" t="e">
        <f t="shared" si="121"/>
        <v>#REF!</v>
      </c>
    </row>
    <row r="465" spans="19:37">
      <c r="S465" s="98">
        <f t="shared" si="110"/>
        <v>0</v>
      </c>
      <c r="T465" s="98">
        <f t="shared" si="111"/>
        <v>0</v>
      </c>
      <c r="U465" s="97">
        <f t="shared" si="112"/>
        <v>0</v>
      </c>
      <c r="V465" s="97">
        <f t="shared" si="112"/>
        <v>0</v>
      </c>
      <c r="X465" s="98" t="e">
        <f t="shared" si="113"/>
        <v>#REF!</v>
      </c>
      <c r="Y465" s="98" t="e">
        <f t="shared" si="114"/>
        <v>#REF!</v>
      </c>
      <c r="Z465" s="97" t="e">
        <f t="shared" si="115"/>
        <v>#REF!</v>
      </c>
      <c r="AA465" s="97" t="e">
        <f t="shared" si="115"/>
        <v>#REF!</v>
      </c>
      <c r="AC465" s="98" t="e">
        <f t="shared" si="116"/>
        <v>#REF!</v>
      </c>
      <c r="AD465" s="98" t="e">
        <f t="shared" si="117"/>
        <v>#REF!</v>
      </c>
      <c r="AE465" s="97" t="e">
        <f t="shared" si="118"/>
        <v>#REF!</v>
      </c>
      <c r="AF465" s="97" t="e">
        <f t="shared" si="118"/>
        <v>#REF!</v>
      </c>
      <c r="AH465" s="98" t="e">
        <f t="shared" si="119"/>
        <v>#REF!</v>
      </c>
      <c r="AI465" s="98" t="e">
        <f t="shared" si="120"/>
        <v>#REF!</v>
      </c>
      <c r="AJ465" s="97" t="e">
        <f t="shared" si="121"/>
        <v>#REF!</v>
      </c>
      <c r="AK465" s="97" t="e">
        <f t="shared" si="121"/>
        <v>#REF!</v>
      </c>
    </row>
    <row r="466" spans="19:37">
      <c r="S466" s="98">
        <f t="shared" si="110"/>
        <v>0</v>
      </c>
      <c r="T466" s="98">
        <f t="shared" si="111"/>
        <v>0</v>
      </c>
      <c r="U466" s="97">
        <f t="shared" si="112"/>
        <v>0</v>
      </c>
      <c r="V466" s="97">
        <f t="shared" si="112"/>
        <v>0</v>
      </c>
      <c r="X466" s="98" t="e">
        <f t="shared" si="113"/>
        <v>#REF!</v>
      </c>
      <c r="Y466" s="98" t="e">
        <f t="shared" si="114"/>
        <v>#REF!</v>
      </c>
      <c r="Z466" s="97" t="e">
        <f t="shared" si="115"/>
        <v>#REF!</v>
      </c>
      <c r="AA466" s="97" t="e">
        <f t="shared" si="115"/>
        <v>#REF!</v>
      </c>
      <c r="AC466" s="98" t="e">
        <f t="shared" si="116"/>
        <v>#REF!</v>
      </c>
      <c r="AD466" s="98" t="e">
        <f t="shared" si="117"/>
        <v>#REF!</v>
      </c>
      <c r="AE466" s="97" t="e">
        <f t="shared" si="118"/>
        <v>#REF!</v>
      </c>
      <c r="AF466" s="97" t="e">
        <f t="shared" si="118"/>
        <v>#REF!</v>
      </c>
      <c r="AH466" s="98" t="e">
        <f t="shared" si="119"/>
        <v>#REF!</v>
      </c>
      <c r="AI466" s="98" t="e">
        <f t="shared" si="120"/>
        <v>#REF!</v>
      </c>
      <c r="AJ466" s="97" t="e">
        <f t="shared" si="121"/>
        <v>#REF!</v>
      </c>
      <c r="AK466" s="97" t="e">
        <f t="shared" si="121"/>
        <v>#REF!</v>
      </c>
    </row>
    <row r="467" spans="19:37">
      <c r="S467" s="98">
        <f t="shared" si="110"/>
        <v>0</v>
      </c>
      <c r="T467" s="98">
        <f t="shared" si="111"/>
        <v>0</v>
      </c>
      <c r="U467" s="97">
        <f t="shared" si="112"/>
        <v>0</v>
      </c>
      <c r="V467" s="97">
        <f t="shared" si="112"/>
        <v>0</v>
      </c>
      <c r="X467" s="98" t="e">
        <f t="shared" si="113"/>
        <v>#REF!</v>
      </c>
      <c r="Y467" s="98" t="e">
        <f t="shared" si="114"/>
        <v>#REF!</v>
      </c>
      <c r="Z467" s="97" t="e">
        <f t="shared" si="115"/>
        <v>#REF!</v>
      </c>
      <c r="AA467" s="97" t="e">
        <f t="shared" si="115"/>
        <v>#REF!</v>
      </c>
      <c r="AC467" s="98" t="e">
        <f t="shared" si="116"/>
        <v>#REF!</v>
      </c>
      <c r="AD467" s="98" t="e">
        <f t="shared" si="117"/>
        <v>#REF!</v>
      </c>
      <c r="AE467" s="97" t="e">
        <f t="shared" si="118"/>
        <v>#REF!</v>
      </c>
      <c r="AF467" s="97" t="e">
        <f t="shared" si="118"/>
        <v>#REF!</v>
      </c>
      <c r="AH467" s="98" t="e">
        <f t="shared" si="119"/>
        <v>#REF!</v>
      </c>
      <c r="AI467" s="98" t="e">
        <f t="shared" si="120"/>
        <v>#REF!</v>
      </c>
      <c r="AJ467" s="97" t="e">
        <f t="shared" si="121"/>
        <v>#REF!</v>
      </c>
      <c r="AK467" s="97" t="e">
        <f t="shared" si="121"/>
        <v>#REF!</v>
      </c>
    </row>
    <row r="468" spans="19:37">
      <c r="S468" s="98">
        <f t="shared" si="110"/>
        <v>0</v>
      </c>
      <c r="T468" s="98">
        <f t="shared" si="111"/>
        <v>0</v>
      </c>
      <c r="U468" s="97">
        <f t="shared" si="112"/>
        <v>0</v>
      </c>
      <c r="V468" s="97">
        <f t="shared" si="112"/>
        <v>0</v>
      </c>
      <c r="X468" s="98" t="e">
        <f t="shared" si="113"/>
        <v>#REF!</v>
      </c>
      <c r="Y468" s="98" t="e">
        <f t="shared" si="114"/>
        <v>#REF!</v>
      </c>
      <c r="Z468" s="97" t="e">
        <f t="shared" si="115"/>
        <v>#REF!</v>
      </c>
      <c r="AA468" s="97" t="e">
        <f t="shared" si="115"/>
        <v>#REF!</v>
      </c>
      <c r="AC468" s="98" t="e">
        <f t="shared" si="116"/>
        <v>#REF!</v>
      </c>
      <c r="AD468" s="98" t="e">
        <f t="shared" si="117"/>
        <v>#REF!</v>
      </c>
      <c r="AE468" s="97" t="e">
        <f t="shared" si="118"/>
        <v>#REF!</v>
      </c>
      <c r="AF468" s="97" t="e">
        <f t="shared" si="118"/>
        <v>#REF!</v>
      </c>
      <c r="AH468" s="98" t="e">
        <f t="shared" si="119"/>
        <v>#REF!</v>
      </c>
      <c r="AI468" s="98" t="e">
        <f t="shared" si="120"/>
        <v>#REF!</v>
      </c>
      <c r="AJ468" s="97" t="e">
        <f t="shared" si="121"/>
        <v>#REF!</v>
      </c>
      <c r="AK468" s="97" t="e">
        <f t="shared" si="121"/>
        <v>#REF!</v>
      </c>
    </row>
    <row r="469" spans="19:37">
      <c r="S469" s="98">
        <f t="shared" si="110"/>
        <v>0</v>
      </c>
      <c r="T469" s="98">
        <f t="shared" si="111"/>
        <v>0</v>
      </c>
      <c r="U469" s="97">
        <f t="shared" si="112"/>
        <v>0</v>
      </c>
      <c r="V469" s="97">
        <f t="shared" si="112"/>
        <v>0</v>
      </c>
      <c r="X469" s="98" t="e">
        <f t="shared" si="113"/>
        <v>#REF!</v>
      </c>
      <c r="Y469" s="98" t="e">
        <f t="shared" si="114"/>
        <v>#REF!</v>
      </c>
      <c r="Z469" s="97" t="e">
        <f t="shared" si="115"/>
        <v>#REF!</v>
      </c>
      <c r="AA469" s="97" t="e">
        <f t="shared" si="115"/>
        <v>#REF!</v>
      </c>
      <c r="AC469" s="98" t="e">
        <f t="shared" si="116"/>
        <v>#REF!</v>
      </c>
      <c r="AD469" s="98" t="e">
        <f t="shared" si="117"/>
        <v>#REF!</v>
      </c>
      <c r="AE469" s="97" t="e">
        <f t="shared" si="118"/>
        <v>#REF!</v>
      </c>
      <c r="AF469" s="97" t="e">
        <f t="shared" si="118"/>
        <v>#REF!</v>
      </c>
      <c r="AH469" s="98" t="e">
        <f t="shared" si="119"/>
        <v>#REF!</v>
      </c>
      <c r="AI469" s="98" t="e">
        <f t="shared" si="120"/>
        <v>#REF!</v>
      </c>
      <c r="AJ469" s="97" t="e">
        <f t="shared" si="121"/>
        <v>#REF!</v>
      </c>
      <c r="AK469" s="97" t="e">
        <f t="shared" si="121"/>
        <v>#REF!</v>
      </c>
    </row>
    <row r="470" spans="19:37">
      <c r="S470" s="98">
        <f t="shared" si="110"/>
        <v>0</v>
      </c>
      <c r="T470" s="98">
        <f t="shared" si="111"/>
        <v>0</v>
      </c>
      <c r="U470" s="97">
        <f t="shared" si="112"/>
        <v>0</v>
      </c>
      <c r="V470" s="97">
        <f t="shared" si="112"/>
        <v>0</v>
      </c>
      <c r="X470" s="98" t="e">
        <f t="shared" si="113"/>
        <v>#REF!</v>
      </c>
      <c r="Y470" s="98" t="e">
        <f t="shared" si="114"/>
        <v>#REF!</v>
      </c>
      <c r="Z470" s="97" t="e">
        <f t="shared" si="115"/>
        <v>#REF!</v>
      </c>
      <c r="AA470" s="97" t="e">
        <f t="shared" si="115"/>
        <v>#REF!</v>
      </c>
      <c r="AC470" s="98" t="e">
        <f t="shared" si="116"/>
        <v>#REF!</v>
      </c>
      <c r="AD470" s="98" t="e">
        <f t="shared" si="117"/>
        <v>#REF!</v>
      </c>
      <c r="AE470" s="97" t="e">
        <f t="shared" si="118"/>
        <v>#REF!</v>
      </c>
      <c r="AF470" s="97" t="e">
        <f t="shared" si="118"/>
        <v>#REF!</v>
      </c>
      <c r="AH470" s="98" t="e">
        <f t="shared" si="119"/>
        <v>#REF!</v>
      </c>
      <c r="AI470" s="98" t="e">
        <f t="shared" si="120"/>
        <v>#REF!</v>
      </c>
      <c r="AJ470" s="97" t="e">
        <f t="shared" si="121"/>
        <v>#REF!</v>
      </c>
      <c r="AK470" s="97" t="e">
        <f t="shared" si="121"/>
        <v>#REF!</v>
      </c>
    </row>
    <row r="471" spans="19:37">
      <c r="S471" s="98">
        <f t="shared" si="110"/>
        <v>0</v>
      </c>
      <c r="T471" s="98">
        <f t="shared" si="111"/>
        <v>0</v>
      </c>
      <c r="U471" s="97">
        <f t="shared" si="112"/>
        <v>0</v>
      </c>
      <c r="V471" s="97">
        <f t="shared" si="112"/>
        <v>0</v>
      </c>
      <c r="X471" s="98" t="e">
        <f t="shared" si="113"/>
        <v>#REF!</v>
      </c>
      <c r="Y471" s="98" t="e">
        <f t="shared" si="114"/>
        <v>#REF!</v>
      </c>
      <c r="Z471" s="97" t="e">
        <f t="shared" si="115"/>
        <v>#REF!</v>
      </c>
      <c r="AA471" s="97" t="e">
        <f t="shared" si="115"/>
        <v>#REF!</v>
      </c>
      <c r="AC471" s="98" t="e">
        <f t="shared" si="116"/>
        <v>#REF!</v>
      </c>
      <c r="AD471" s="98" t="e">
        <f t="shared" si="117"/>
        <v>#REF!</v>
      </c>
      <c r="AE471" s="97" t="e">
        <f t="shared" si="118"/>
        <v>#REF!</v>
      </c>
      <c r="AF471" s="97" t="e">
        <f t="shared" si="118"/>
        <v>#REF!</v>
      </c>
      <c r="AH471" s="98" t="e">
        <f t="shared" si="119"/>
        <v>#REF!</v>
      </c>
      <c r="AI471" s="98" t="e">
        <f t="shared" si="120"/>
        <v>#REF!</v>
      </c>
      <c r="AJ471" s="97" t="e">
        <f t="shared" si="121"/>
        <v>#REF!</v>
      </c>
      <c r="AK471" s="97" t="e">
        <f t="shared" si="121"/>
        <v>#REF!</v>
      </c>
    </row>
    <row r="472" spans="19:37">
      <c r="S472" s="98">
        <f t="shared" si="110"/>
        <v>0</v>
      </c>
      <c r="T472" s="98">
        <f t="shared" si="111"/>
        <v>0</v>
      </c>
      <c r="U472" s="97">
        <f t="shared" si="112"/>
        <v>0</v>
      </c>
      <c r="V472" s="97">
        <f t="shared" si="112"/>
        <v>0</v>
      </c>
      <c r="X472" s="98" t="e">
        <f t="shared" si="113"/>
        <v>#REF!</v>
      </c>
      <c r="Y472" s="98" t="e">
        <f t="shared" si="114"/>
        <v>#REF!</v>
      </c>
      <c r="Z472" s="97" t="e">
        <f t="shared" si="115"/>
        <v>#REF!</v>
      </c>
      <c r="AA472" s="97" t="e">
        <f t="shared" si="115"/>
        <v>#REF!</v>
      </c>
      <c r="AC472" s="98" t="e">
        <f t="shared" si="116"/>
        <v>#REF!</v>
      </c>
      <c r="AD472" s="98" t="e">
        <f t="shared" si="117"/>
        <v>#REF!</v>
      </c>
      <c r="AE472" s="97" t="e">
        <f t="shared" si="118"/>
        <v>#REF!</v>
      </c>
      <c r="AF472" s="97" t="e">
        <f t="shared" si="118"/>
        <v>#REF!</v>
      </c>
      <c r="AH472" s="98" t="e">
        <f t="shared" si="119"/>
        <v>#REF!</v>
      </c>
      <c r="AI472" s="98" t="e">
        <f t="shared" si="120"/>
        <v>#REF!</v>
      </c>
      <c r="AJ472" s="97" t="e">
        <f t="shared" si="121"/>
        <v>#REF!</v>
      </c>
      <c r="AK472" s="97" t="e">
        <f t="shared" si="121"/>
        <v>#REF!</v>
      </c>
    </row>
    <row r="473" spans="19:37">
      <c r="S473" s="98">
        <f t="shared" si="110"/>
        <v>0</v>
      </c>
      <c r="T473" s="98">
        <f t="shared" si="111"/>
        <v>0</v>
      </c>
      <c r="U473" s="97">
        <f t="shared" si="112"/>
        <v>0</v>
      </c>
      <c r="V473" s="97">
        <f t="shared" si="112"/>
        <v>0</v>
      </c>
      <c r="X473" s="98" t="e">
        <f t="shared" si="113"/>
        <v>#REF!</v>
      </c>
      <c r="Y473" s="98" t="e">
        <f t="shared" si="114"/>
        <v>#REF!</v>
      </c>
      <c r="Z473" s="97" t="e">
        <f t="shared" si="115"/>
        <v>#REF!</v>
      </c>
      <c r="AA473" s="97" t="e">
        <f t="shared" si="115"/>
        <v>#REF!</v>
      </c>
      <c r="AC473" s="98" t="e">
        <f t="shared" si="116"/>
        <v>#REF!</v>
      </c>
      <c r="AD473" s="98" t="e">
        <f t="shared" si="117"/>
        <v>#REF!</v>
      </c>
      <c r="AE473" s="97" t="e">
        <f t="shared" si="118"/>
        <v>#REF!</v>
      </c>
      <c r="AF473" s="97" t="e">
        <f t="shared" si="118"/>
        <v>#REF!</v>
      </c>
      <c r="AH473" s="98" t="e">
        <f t="shared" si="119"/>
        <v>#REF!</v>
      </c>
      <c r="AI473" s="98" t="e">
        <f t="shared" si="120"/>
        <v>#REF!</v>
      </c>
      <c r="AJ473" s="97" t="e">
        <f t="shared" si="121"/>
        <v>#REF!</v>
      </c>
      <c r="AK473" s="97" t="e">
        <f t="shared" si="121"/>
        <v>#REF!</v>
      </c>
    </row>
    <row r="474" spans="19:37">
      <c r="S474" s="98">
        <f t="shared" si="110"/>
        <v>0</v>
      </c>
      <c r="T474" s="98">
        <f t="shared" si="111"/>
        <v>0</v>
      </c>
      <c r="U474" s="97">
        <f t="shared" si="112"/>
        <v>0</v>
      </c>
      <c r="V474" s="97">
        <f t="shared" si="112"/>
        <v>0</v>
      </c>
      <c r="X474" s="98" t="e">
        <f t="shared" si="113"/>
        <v>#REF!</v>
      </c>
      <c r="Y474" s="98" t="e">
        <f t="shared" si="114"/>
        <v>#REF!</v>
      </c>
      <c r="Z474" s="97" t="e">
        <f t="shared" si="115"/>
        <v>#REF!</v>
      </c>
      <c r="AA474" s="97" t="e">
        <f t="shared" si="115"/>
        <v>#REF!</v>
      </c>
      <c r="AC474" s="98" t="e">
        <f t="shared" si="116"/>
        <v>#REF!</v>
      </c>
      <c r="AD474" s="98" t="e">
        <f t="shared" si="117"/>
        <v>#REF!</v>
      </c>
      <c r="AE474" s="97" t="e">
        <f t="shared" si="118"/>
        <v>#REF!</v>
      </c>
      <c r="AF474" s="97" t="e">
        <f t="shared" si="118"/>
        <v>#REF!</v>
      </c>
      <c r="AH474" s="98" t="e">
        <f t="shared" si="119"/>
        <v>#REF!</v>
      </c>
      <c r="AI474" s="98" t="e">
        <f t="shared" si="120"/>
        <v>#REF!</v>
      </c>
      <c r="AJ474" s="97" t="e">
        <f t="shared" si="121"/>
        <v>#REF!</v>
      </c>
      <c r="AK474" s="97" t="e">
        <f t="shared" si="121"/>
        <v>#REF!</v>
      </c>
    </row>
    <row r="475" spans="19:37">
      <c r="S475" s="98">
        <f t="shared" si="110"/>
        <v>0</v>
      </c>
      <c r="T475" s="98">
        <f t="shared" si="111"/>
        <v>0</v>
      </c>
      <c r="U475" s="97">
        <f t="shared" si="112"/>
        <v>0</v>
      </c>
      <c r="V475" s="97">
        <f t="shared" si="112"/>
        <v>0</v>
      </c>
      <c r="X475" s="98" t="e">
        <f t="shared" si="113"/>
        <v>#REF!</v>
      </c>
      <c r="Y475" s="98" t="e">
        <f t="shared" si="114"/>
        <v>#REF!</v>
      </c>
      <c r="Z475" s="97" t="e">
        <f t="shared" si="115"/>
        <v>#REF!</v>
      </c>
      <c r="AA475" s="97" t="e">
        <f t="shared" si="115"/>
        <v>#REF!</v>
      </c>
      <c r="AC475" s="98" t="e">
        <f t="shared" si="116"/>
        <v>#REF!</v>
      </c>
      <c r="AD475" s="98" t="e">
        <f t="shared" si="117"/>
        <v>#REF!</v>
      </c>
      <c r="AE475" s="97" t="e">
        <f t="shared" si="118"/>
        <v>#REF!</v>
      </c>
      <c r="AF475" s="97" t="e">
        <f t="shared" si="118"/>
        <v>#REF!</v>
      </c>
      <c r="AH475" s="98" t="e">
        <f t="shared" si="119"/>
        <v>#REF!</v>
      </c>
      <c r="AI475" s="98" t="e">
        <f t="shared" si="120"/>
        <v>#REF!</v>
      </c>
      <c r="AJ475" s="97" t="e">
        <f t="shared" si="121"/>
        <v>#REF!</v>
      </c>
      <c r="AK475" s="97" t="e">
        <f t="shared" si="121"/>
        <v>#REF!</v>
      </c>
    </row>
    <row r="476" spans="19:37">
      <c r="S476" s="98">
        <f t="shared" si="110"/>
        <v>0</v>
      </c>
      <c r="T476" s="98">
        <f t="shared" si="111"/>
        <v>0</v>
      </c>
      <c r="U476" s="97">
        <f t="shared" si="112"/>
        <v>0</v>
      </c>
      <c r="V476" s="97">
        <f t="shared" si="112"/>
        <v>0</v>
      </c>
      <c r="X476" s="98" t="e">
        <f t="shared" si="113"/>
        <v>#REF!</v>
      </c>
      <c r="Y476" s="98" t="e">
        <f t="shared" si="114"/>
        <v>#REF!</v>
      </c>
      <c r="Z476" s="97" t="e">
        <f t="shared" si="115"/>
        <v>#REF!</v>
      </c>
      <c r="AA476" s="97" t="e">
        <f t="shared" si="115"/>
        <v>#REF!</v>
      </c>
      <c r="AC476" s="98" t="e">
        <f t="shared" si="116"/>
        <v>#REF!</v>
      </c>
      <c r="AD476" s="98" t="e">
        <f t="shared" si="117"/>
        <v>#REF!</v>
      </c>
      <c r="AE476" s="97" t="e">
        <f t="shared" si="118"/>
        <v>#REF!</v>
      </c>
      <c r="AF476" s="97" t="e">
        <f t="shared" si="118"/>
        <v>#REF!</v>
      </c>
      <c r="AH476" s="98" t="e">
        <f t="shared" si="119"/>
        <v>#REF!</v>
      </c>
      <c r="AI476" s="98" t="e">
        <f t="shared" si="120"/>
        <v>#REF!</v>
      </c>
      <c r="AJ476" s="97" t="e">
        <f t="shared" si="121"/>
        <v>#REF!</v>
      </c>
      <c r="AK476" s="97" t="e">
        <f t="shared" si="121"/>
        <v>#REF!</v>
      </c>
    </row>
    <row r="477" spans="19:37">
      <c r="S477" s="98">
        <f t="shared" si="110"/>
        <v>0</v>
      </c>
      <c r="T477" s="98">
        <f t="shared" si="111"/>
        <v>0</v>
      </c>
      <c r="U477" s="97">
        <f t="shared" si="112"/>
        <v>0</v>
      </c>
      <c r="V477" s="97">
        <f t="shared" si="112"/>
        <v>0</v>
      </c>
      <c r="X477" s="98" t="e">
        <f t="shared" si="113"/>
        <v>#REF!</v>
      </c>
      <c r="Y477" s="98" t="e">
        <f t="shared" si="114"/>
        <v>#REF!</v>
      </c>
      <c r="Z477" s="97" t="e">
        <f t="shared" si="115"/>
        <v>#REF!</v>
      </c>
      <c r="AA477" s="97" t="e">
        <f t="shared" si="115"/>
        <v>#REF!</v>
      </c>
      <c r="AC477" s="98" t="e">
        <f t="shared" si="116"/>
        <v>#REF!</v>
      </c>
      <c r="AD477" s="98" t="e">
        <f t="shared" si="117"/>
        <v>#REF!</v>
      </c>
      <c r="AE477" s="97" t="e">
        <f t="shared" si="118"/>
        <v>#REF!</v>
      </c>
      <c r="AF477" s="97" t="e">
        <f t="shared" si="118"/>
        <v>#REF!</v>
      </c>
      <c r="AH477" s="98" t="e">
        <f t="shared" si="119"/>
        <v>#REF!</v>
      </c>
      <c r="AI477" s="98" t="e">
        <f t="shared" si="120"/>
        <v>#REF!</v>
      </c>
      <c r="AJ477" s="97" t="e">
        <f t="shared" si="121"/>
        <v>#REF!</v>
      </c>
      <c r="AK477" s="97" t="e">
        <f t="shared" si="121"/>
        <v>#REF!</v>
      </c>
    </row>
    <row r="478" spans="19:37">
      <c r="S478" s="98">
        <f t="shared" si="110"/>
        <v>0</v>
      </c>
      <c r="T478" s="98">
        <f t="shared" si="111"/>
        <v>0</v>
      </c>
      <c r="U478" s="97">
        <f t="shared" si="112"/>
        <v>0</v>
      </c>
      <c r="V478" s="97">
        <f t="shared" si="112"/>
        <v>0</v>
      </c>
      <c r="X478" s="98" t="e">
        <f t="shared" si="113"/>
        <v>#REF!</v>
      </c>
      <c r="Y478" s="98" t="e">
        <f t="shared" si="114"/>
        <v>#REF!</v>
      </c>
      <c r="Z478" s="97" t="e">
        <f t="shared" si="115"/>
        <v>#REF!</v>
      </c>
      <c r="AA478" s="97" t="e">
        <f t="shared" si="115"/>
        <v>#REF!</v>
      </c>
      <c r="AC478" s="98" t="e">
        <f t="shared" si="116"/>
        <v>#REF!</v>
      </c>
      <c r="AD478" s="98" t="e">
        <f t="shared" si="117"/>
        <v>#REF!</v>
      </c>
      <c r="AE478" s="97" t="e">
        <f t="shared" si="118"/>
        <v>#REF!</v>
      </c>
      <c r="AF478" s="97" t="e">
        <f t="shared" si="118"/>
        <v>#REF!</v>
      </c>
      <c r="AH478" s="98" t="e">
        <f t="shared" si="119"/>
        <v>#REF!</v>
      </c>
      <c r="AI478" s="98" t="e">
        <f t="shared" si="120"/>
        <v>#REF!</v>
      </c>
      <c r="AJ478" s="97" t="e">
        <f t="shared" si="121"/>
        <v>#REF!</v>
      </c>
      <c r="AK478" s="97" t="e">
        <f t="shared" si="121"/>
        <v>#REF!</v>
      </c>
    </row>
    <row r="479" spans="19:37">
      <c r="S479" s="98">
        <f t="shared" si="110"/>
        <v>0</v>
      </c>
      <c r="T479" s="98">
        <f t="shared" si="111"/>
        <v>0</v>
      </c>
      <c r="U479" s="97">
        <f t="shared" si="112"/>
        <v>0</v>
      </c>
      <c r="V479" s="97">
        <f t="shared" si="112"/>
        <v>0</v>
      </c>
      <c r="X479" s="98" t="e">
        <f t="shared" si="113"/>
        <v>#REF!</v>
      </c>
      <c r="Y479" s="98" t="e">
        <f t="shared" si="114"/>
        <v>#REF!</v>
      </c>
      <c r="Z479" s="97" t="e">
        <f t="shared" si="115"/>
        <v>#REF!</v>
      </c>
      <c r="AA479" s="97" t="e">
        <f t="shared" si="115"/>
        <v>#REF!</v>
      </c>
      <c r="AC479" s="98" t="e">
        <f t="shared" si="116"/>
        <v>#REF!</v>
      </c>
      <c r="AD479" s="98" t="e">
        <f t="shared" si="117"/>
        <v>#REF!</v>
      </c>
      <c r="AE479" s="97" t="e">
        <f t="shared" si="118"/>
        <v>#REF!</v>
      </c>
      <c r="AF479" s="97" t="e">
        <f t="shared" si="118"/>
        <v>#REF!</v>
      </c>
      <c r="AH479" s="98" t="e">
        <f t="shared" si="119"/>
        <v>#REF!</v>
      </c>
      <c r="AI479" s="98" t="e">
        <f t="shared" si="120"/>
        <v>#REF!</v>
      </c>
      <c r="AJ479" s="97" t="e">
        <f t="shared" si="121"/>
        <v>#REF!</v>
      </c>
      <c r="AK479" s="97" t="e">
        <f t="shared" si="121"/>
        <v>#REF!</v>
      </c>
    </row>
    <row r="480" spans="19:37">
      <c r="S480" s="98">
        <f t="shared" si="110"/>
        <v>0</v>
      </c>
      <c r="T480" s="98">
        <f t="shared" si="111"/>
        <v>0</v>
      </c>
      <c r="U480" s="97">
        <f t="shared" si="112"/>
        <v>0</v>
      </c>
      <c r="V480" s="97">
        <f t="shared" si="112"/>
        <v>0</v>
      </c>
      <c r="X480" s="98" t="e">
        <f t="shared" si="113"/>
        <v>#REF!</v>
      </c>
      <c r="Y480" s="98" t="e">
        <f t="shared" si="114"/>
        <v>#REF!</v>
      </c>
      <c r="Z480" s="97" t="e">
        <f t="shared" si="115"/>
        <v>#REF!</v>
      </c>
      <c r="AA480" s="97" t="e">
        <f t="shared" si="115"/>
        <v>#REF!</v>
      </c>
      <c r="AC480" s="98" t="e">
        <f t="shared" si="116"/>
        <v>#REF!</v>
      </c>
      <c r="AD480" s="98" t="e">
        <f t="shared" si="117"/>
        <v>#REF!</v>
      </c>
      <c r="AE480" s="97" t="e">
        <f t="shared" si="118"/>
        <v>#REF!</v>
      </c>
      <c r="AF480" s="97" t="e">
        <f t="shared" si="118"/>
        <v>#REF!</v>
      </c>
      <c r="AH480" s="98" t="e">
        <f t="shared" si="119"/>
        <v>#REF!</v>
      </c>
      <c r="AI480" s="98" t="e">
        <f t="shared" si="120"/>
        <v>#REF!</v>
      </c>
      <c r="AJ480" s="97" t="e">
        <f t="shared" si="121"/>
        <v>#REF!</v>
      </c>
      <c r="AK480" s="97" t="e">
        <f t="shared" si="121"/>
        <v>#REF!</v>
      </c>
    </row>
    <row r="481" spans="19:37">
      <c r="S481" s="98">
        <f t="shared" si="110"/>
        <v>0</v>
      </c>
      <c r="T481" s="98">
        <f t="shared" si="111"/>
        <v>0</v>
      </c>
      <c r="U481" s="97">
        <f t="shared" si="112"/>
        <v>0</v>
      </c>
      <c r="V481" s="97">
        <f t="shared" si="112"/>
        <v>0</v>
      </c>
      <c r="X481" s="98" t="e">
        <f t="shared" si="113"/>
        <v>#REF!</v>
      </c>
      <c r="Y481" s="98" t="e">
        <f t="shared" si="114"/>
        <v>#REF!</v>
      </c>
      <c r="Z481" s="97" t="e">
        <f t="shared" si="115"/>
        <v>#REF!</v>
      </c>
      <c r="AA481" s="97" t="e">
        <f t="shared" si="115"/>
        <v>#REF!</v>
      </c>
      <c r="AC481" s="98" t="e">
        <f t="shared" si="116"/>
        <v>#REF!</v>
      </c>
      <c r="AD481" s="98" t="e">
        <f t="shared" si="117"/>
        <v>#REF!</v>
      </c>
      <c r="AE481" s="97" t="e">
        <f t="shared" si="118"/>
        <v>#REF!</v>
      </c>
      <c r="AF481" s="97" t="e">
        <f t="shared" si="118"/>
        <v>#REF!</v>
      </c>
      <c r="AH481" s="98" t="e">
        <f t="shared" si="119"/>
        <v>#REF!</v>
      </c>
      <c r="AI481" s="98" t="e">
        <f t="shared" si="120"/>
        <v>#REF!</v>
      </c>
      <c r="AJ481" s="97" t="e">
        <f t="shared" si="121"/>
        <v>#REF!</v>
      </c>
      <c r="AK481" s="97" t="e">
        <f t="shared" si="121"/>
        <v>#REF!</v>
      </c>
    </row>
    <row r="482" spans="19:37">
      <c r="S482" s="98">
        <f t="shared" si="110"/>
        <v>0</v>
      </c>
      <c r="T482" s="98">
        <f t="shared" si="111"/>
        <v>0</v>
      </c>
      <c r="U482" s="97">
        <f t="shared" si="112"/>
        <v>0</v>
      </c>
      <c r="V482" s="97">
        <f t="shared" si="112"/>
        <v>0</v>
      </c>
      <c r="X482" s="98" t="e">
        <f t="shared" si="113"/>
        <v>#REF!</v>
      </c>
      <c r="Y482" s="98" t="e">
        <f t="shared" si="114"/>
        <v>#REF!</v>
      </c>
      <c r="Z482" s="97" t="e">
        <f t="shared" si="115"/>
        <v>#REF!</v>
      </c>
      <c r="AA482" s="97" t="e">
        <f t="shared" si="115"/>
        <v>#REF!</v>
      </c>
      <c r="AC482" s="98" t="e">
        <f t="shared" si="116"/>
        <v>#REF!</v>
      </c>
      <c r="AD482" s="98" t="e">
        <f t="shared" si="117"/>
        <v>#REF!</v>
      </c>
      <c r="AE482" s="97" t="e">
        <f t="shared" si="118"/>
        <v>#REF!</v>
      </c>
      <c r="AF482" s="97" t="e">
        <f t="shared" si="118"/>
        <v>#REF!</v>
      </c>
      <c r="AH482" s="98" t="e">
        <f t="shared" si="119"/>
        <v>#REF!</v>
      </c>
      <c r="AI482" s="98" t="e">
        <f t="shared" si="120"/>
        <v>#REF!</v>
      </c>
      <c r="AJ482" s="97" t="e">
        <f t="shared" si="121"/>
        <v>#REF!</v>
      </c>
      <c r="AK482" s="97" t="e">
        <f t="shared" si="121"/>
        <v>#REF!</v>
      </c>
    </row>
    <row r="483" spans="19:37">
      <c r="S483" s="98">
        <f t="shared" si="110"/>
        <v>0</v>
      </c>
      <c r="T483" s="98">
        <f t="shared" si="111"/>
        <v>0</v>
      </c>
      <c r="U483" s="97">
        <f t="shared" si="112"/>
        <v>0</v>
      </c>
      <c r="V483" s="97">
        <f t="shared" si="112"/>
        <v>0</v>
      </c>
      <c r="X483" s="98" t="e">
        <f t="shared" si="113"/>
        <v>#REF!</v>
      </c>
      <c r="Y483" s="98" t="e">
        <f t="shared" si="114"/>
        <v>#REF!</v>
      </c>
      <c r="Z483" s="97" t="e">
        <f t="shared" si="115"/>
        <v>#REF!</v>
      </c>
      <c r="AA483" s="97" t="e">
        <f t="shared" si="115"/>
        <v>#REF!</v>
      </c>
      <c r="AC483" s="98" t="e">
        <f t="shared" si="116"/>
        <v>#REF!</v>
      </c>
      <c r="AD483" s="98" t="e">
        <f t="shared" si="117"/>
        <v>#REF!</v>
      </c>
      <c r="AE483" s="97" t="e">
        <f t="shared" si="118"/>
        <v>#REF!</v>
      </c>
      <c r="AF483" s="97" t="e">
        <f t="shared" si="118"/>
        <v>#REF!</v>
      </c>
      <c r="AH483" s="98" t="e">
        <f t="shared" si="119"/>
        <v>#REF!</v>
      </c>
      <c r="AI483" s="98" t="e">
        <f t="shared" si="120"/>
        <v>#REF!</v>
      </c>
      <c r="AJ483" s="97" t="e">
        <f t="shared" si="121"/>
        <v>#REF!</v>
      </c>
      <c r="AK483" s="97" t="e">
        <f t="shared" si="121"/>
        <v>#REF!</v>
      </c>
    </row>
    <row r="484" spans="19:37">
      <c r="S484" s="98">
        <f t="shared" si="110"/>
        <v>0</v>
      </c>
      <c r="T484" s="98">
        <f t="shared" si="111"/>
        <v>0</v>
      </c>
      <c r="U484" s="97">
        <f t="shared" si="112"/>
        <v>0</v>
      </c>
      <c r="V484" s="97">
        <f t="shared" si="112"/>
        <v>0</v>
      </c>
      <c r="X484" s="98" t="e">
        <f t="shared" si="113"/>
        <v>#REF!</v>
      </c>
      <c r="Y484" s="98" t="e">
        <f t="shared" si="114"/>
        <v>#REF!</v>
      </c>
      <c r="Z484" s="97" t="e">
        <f t="shared" si="115"/>
        <v>#REF!</v>
      </c>
      <c r="AA484" s="97" t="e">
        <f t="shared" si="115"/>
        <v>#REF!</v>
      </c>
      <c r="AC484" s="98" t="e">
        <f t="shared" si="116"/>
        <v>#REF!</v>
      </c>
      <c r="AD484" s="98" t="e">
        <f t="shared" si="117"/>
        <v>#REF!</v>
      </c>
      <c r="AE484" s="97" t="e">
        <f t="shared" si="118"/>
        <v>#REF!</v>
      </c>
      <c r="AF484" s="97" t="e">
        <f t="shared" si="118"/>
        <v>#REF!</v>
      </c>
      <c r="AH484" s="98" t="e">
        <f t="shared" si="119"/>
        <v>#REF!</v>
      </c>
      <c r="AI484" s="98" t="e">
        <f t="shared" si="120"/>
        <v>#REF!</v>
      </c>
      <c r="AJ484" s="97" t="e">
        <f t="shared" si="121"/>
        <v>#REF!</v>
      </c>
      <c r="AK484" s="97" t="e">
        <f t="shared" si="121"/>
        <v>#REF!</v>
      </c>
    </row>
    <row r="485" spans="19:37">
      <c r="S485" s="98">
        <f t="shared" si="110"/>
        <v>0</v>
      </c>
      <c r="T485" s="98">
        <f t="shared" si="111"/>
        <v>0</v>
      </c>
      <c r="U485" s="97">
        <f t="shared" si="112"/>
        <v>0</v>
      </c>
      <c r="V485" s="97">
        <f t="shared" si="112"/>
        <v>0</v>
      </c>
      <c r="X485" s="98" t="e">
        <f t="shared" si="113"/>
        <v>#REF!</v>
      </c>
      <c r="Y485" s="98" t="e">
        <f t="shared" si="114"/>
        <v>#REF!</v>
      </c>
      <c r="Z485" s="97" t="e">
        <f t="shared" si="115"/>
        <v>#REF!</v>
      </c>
      <c r="AA485" s="97" t="e">
        <f t="shared" si="115"/>
        <v>#REF!</v>
      </c>
      <c r="AC485" s="98" t="e">
        <f t="shared" si="116"/>
        <v>#REF!</v>
      </c>
      <c r="AD485" s="98" t="e">
        <f t="shared" si="117"/>
        <v>#REF!</v>
      </c>
      <c r="AE485" s="97" t="e">
        <f t="shared" si="118"/>
        <v>#REF!</v>
      </c>
      <c r="AF485" s="97" t="e">
        <f t="shared" si="118"/>
        <v>#REF!</v>
      </c>
      <c r="AH485" s="98" t="e">
        <f t="shared" si="119"/>
        <v>#REF!</v>
      </c>
      <c r="AI485" s="98" t="e">
        <f t="shared" si="120"/>
        <v>#REF!</v>
      </c>
      <c r="AJ485" s="97" t="e">
        <f t="shared" si="121"/>
        <v>#REF!</v>
      </c>
      <c r="AK485" s="97" t="e">
        <f t="shared" si="121"/>
        <v>#REF!</v>
      </c>
    </row>
    <row r="486" spans="19:37">
      <c r="S486" s="98">
        <f t="shared" si="110"/>
        <v>0</v>
      </c>
      <c r="T486" s="98">
        <f t="shared" si="111"/>
        <v>0</v>
      </c>
      <c r="U486" s="97">
        <f t="shared" si="112"/>
        <v>0</v>
      </c>
      <c r="V486" s="97">
        <f t="shared" si="112"/>
        <v>0</v>
      </c>
      <c r="X486" s="98" t="e">
        <f t="shared" si="113"/>
        <v>#REF!</v>
      </c>
      <c r="Y486" s="98" t="e">
        <f t="shared" si="114"/>
        <v>#REF!</v>
      </c>
      <c r="Z486" s="97" t="e">
        <f t="shared" si="115"/>
        <v>#REF!</v>
      </c>
      <c r="AA486" s="97" t="e">
        <f t="shared" si="115"/>
        <v>#REF!</v>
      </c>
      <c r="AC486" s="98" t="e">
        <f t="shared" si="116"/>
        <v>#REF!</v>
      </c>
      <c r="AD486" s="98" t="e">
        <f t="shared" si="117"/>
        <v>#REF!</v>
      </c>
      <c r="AE486" s="97" t="e">
        <f t="shared" si="118"/>
        <v>#REF!</v>
      </c>
      <c r="AF486" s="97" t="e">
        <f t="shared" si="118"/>
        <v>#REF!</v>
      </c>
      <c r="AH486" s="98" t="e">
        <f t="shared" si="119"/>
        <v>#REF!</v>
      </c>
      <c r="AI486" s="98" t="e">
        <f t="shared" si="120"/>
        <v>#REF!</v>
      </c>
      <c r="AJ486" s="97" t="e">
        <f t="shared" si="121"/>
        <v>#REF!</v>
      </c>
      <c r="AK486" s="97" t="e">
        <f t="shared" si="121"/>
        <v>#REF!</v>
      </c>
    </row>
    <row r="487" spans="19:37">
      <c r="S487" s="98">
        <f t="shared" si="110"/>
        <v>0</v>
      </c>
      <c r="T487" s="98">
        <f t="shared" si="111"/>
        <v>0</v>
      </c>
      <c r="U487" s="97">
        <f t="shared" si="112"/>
        <v>0</v>
      </c>
      <c r="V487" s="97">
        <f t="shared" si="112"/>
        <v>0</v>
      </c>
      <c r="X487" s="98" t="e">
        <f t="shared" si="113"/>
        <v>#REF!</v>
      </c>
      <c r="Y487" s="98" t="e">
        <f t="shared" si="114"/>
        <v>#REF!</v>
      </c>
      <c r="Z487" s="97" t="e">
        <f t="shared" si="115"/>
        <v>#REF!</v>
      </c>
      <c r="AA487" s="97" t="e">
        <f t="shared" si="115"/>
        <v>#REF!</v>
      </c>
      <c r="AC487" s="98" t="e">
        <f t="shared" si="116"/>
        <v>#REF!</v>
      </c>
      <c r="AD487" s="98" t="e">
        <f t="shared" si="117"/>
        <v>#REF!</v>
      </c>
      <c r="AE487" s="97" t="e">
        <f t="shared" si="118"/>
        <v>#REF!</v>
      </c>
      <c r="AF487" s="97" t="e">
        <f t="shared" si="118"/>
        <v>#REF!</v>
      </c>
      <c r="AH487" s="98" t="e">
        <f t="shared" si="119"/>
        <v>#REF!</v>
      </c>
      <c r="AI487" s="98" t="e">
        <f t="shared" si="120"/>
        <v>#REF!</v>
      </c>
      <c r="AJ487" s="97" t="e">
        <f t="shared" si="121"/>
        <v>#REF!</v>
      </c>
      <c r="AK487" s="97" t="e">
        <f t="shared" si="121"/>
        <v>#REF!</v>
      </c>
    </row>
    <row r="488" spans="19:37">
      <c r="S488" s="98">
        <f t="shared" si="110"/>
        <v>0</v>
      </c>
      <c r="T488" s="98">
        <f t="shared" si="111"/>
        <v>0</v>
      </c>
      <c r="U488" s="97">
        <f t="shared" si="112"/>
        <v>0</v>
      </c>
      <c r="V488" s="97">
        <f t="shared" si="112"/>
        <v>0</v>
      </c>
      <c r="X488" s="98" t="e">
        <f t="shared" si="113"/>
        <v>#REF!</v>
      </c>
      <c r="Y488" s="98" t="e">
        <f t="shared" si="114"/>
        <v>#REF!</v>
      </c>
      <c r="Z488" s="97" t="e">
        <f t="shared" si="115"/>
        <v>#REF!</v>
      </c>
      <c r="AA488" s="97" t="e">
        <f t="shared" si="115"/>
        <v>#REF!</v>
      </c>
      <c r="AC488" s="98" t="e">
        <f t="shared" si="116"/>
        <v>#REF!</v>
      </c>
      <c r="AD488" s="98" t="e">
        <f t="shared" si="117"/>
        <v>#REF!</v>
      </c>
      <c r="AE488" s="97" t="e">
        <f t="shared" si="118"/>
        <v>#REF!</v>
      </c>
      <c r="AF488" s="97" t="e">
        <f t="shared" si="118"/>
        <v>#REF!</v>
      </c>
      <c r="AH488" s="98" t="e">
        <f t="shared" si="119"/>
        <v>#REF!</v>
      </c>
      <c r="AI488" s="98" t="e">
        <f t="shared" si="120"/>
        <v>#REF!</v>
      </c>
      <c r="AJ488" s="97" t="e">
        <f t="shared" si="121"/>
        <v>#REF!</v>
      </c>
      <c r="AK488" s="97" t="e">
        <f t="shared" si="121"/>
        <v>#REF!</v>
      </c>
    </row>
    <row r="489" spans="19:37">
      <c r="S489" s="98">
        <f t="shared" si="110"/>
        <v>0</v>
      </c>
      <c r="T489" s="98">
        <f t="shared" si="111"/>
        <v>0</v>
      </c>
      <c r="U489" s="97">
        <f t="shared" si="112"/>
        <v>0</v>
      </c>
      <c r="V489" s="97">
        <f t="shared" si="112"/>
        <v>0</v>
      </c>
      <c r="X489" s="98" t="e">
        <f t="shared" si="113"/>
        <v>#REF!</v>
      </c>
      <c r="Y489" s="98" t="e">
        <f t="shared" si="114"/>
        <v>#REF!</v>
      </c>
      <c r="Z489" s="97" t="e">
        <f t="shared" si="115"/>
        <v>#REF!</v>
      </c>
      <c r="AA489" s="97" t="e">
        <f t="shared" si="115"/>
        <v>#REF!</v>
      </c>
      <c r="AC489" s="98" t="e">
        <f t="shared" si="116"/>
        <v>#REF!</v>
      </c>
      <c r="AD489" s="98" t="e">
        <f t="shared" si="117"/>
        <v>#REF!</v>
      </c>
      <c r="AE489" s="97" t="e">
        <f t="shared" si="118"/>
        <v>#REF!</v>
      </c>
      <c r="AF489" s="97" t="e">
        <f t="shared" si="118"/>
        <v>#REF!</v>
      </c>
      <c r="AH489" s="98" t="e">
        <f t="shared" si="119"/>
        <v>#REF!</v>
      </c>
      <c r="AI489" s="98" t="e">
        <f t="shared" si="120"/>
        <v>#REF!</v>
      </c>
      <c r="AJ489" s="97" t="e">
        <f t="shared" si="121"/>
        <v>#REF!</v>
      </c>
      <c r="AK489" s="97" t="e">
        <f t="shared" si="121"/>
        <v>#REF!</v>
      </c>
    </row>
    <row r="490" spans="19:37">
      <c r="S490" s="98">
        <f t="shared" si="110"/>
        <v>0</v>
      </c>
      <c r="T490" s="98">
        <f t="shared" si="111"/>
        <v>0</v>
      </c>
      <c r="U490" s="97">
        <f t="shared" si="112"/>
        <v>0</v>
      </c>
      <c r="V490" s="97">
        <f t="shared" si="112"/>
        <v>0</v>
      </c>
      <c r="X490" s="98" t="e">
        <f t="shared" si="113"/>
        <v>#REF!</v>
      </c>
      <c r="Y490" s="98" t="e">
        <f t="shared" si="114"/>
        <v>#REF!</v>
      </c>
      <c r="Z490" s="97" t="e">
        <f t="shared" si="115"/>
        <v>#REF!</v>
      </c>
      <c r="AA490" s="97" t="e">
        <f t="shared" si="115"/>
        <v>#REF!</v>
      </c>
      <c r="AC490" s="98" t="e">
        <f t="shared" si="116"/>
        <v>#REF!</v>
      </c>
      <c r="AD490" s="98" t="e">
        <f t="shared" si="117"/>
        <v>#REF!</v>
      </c>
      <c r="AE490" s="97" t="e">
        <f t="shared" si="118"/>
        <v>#REF!</v>
      </c>
      <c r="AF490" s="97" t="e">
        <f t="shared" si="118"/>
        <v>#REF!</v>
      </c>
      <c r="AH490" s="98" t="e">
        <f t="shared" si="119"/>
        <v>#REF!</v>
      </c>
      <c r="AI490" s="98" t="e">
        <f t="shared" si="120"/>
        <v>#REF!</v>
      </c>
      <c r="AJ490" s="97" t="e">
        <f t="shared" si="121"/>
        <v>#REF!</v>
      </c>
      <c r="AK490" s="97" t="e">
        <f t="shared" si="121"/>
        <v>#REF!</v>
      </c>
    </row>
    <row r="491" spans="19:37">
      <c r="S491" s="98">
        <f t="shared" si="110"/>
        <v>0</v>
      </c>
      <c r="T491" s="98">
        <f t="shared" si="111"/>
        <v>0</v>
      </c>
      <c r="U491" s="97">
        <f t="shared" si="112"/>
        <v>0</v>
      </c>
      <c r="V491" s="97">
        <f t="shared" si="112"/>
        <v>0</v>
      </c>
      <c r="X491" s="98" t="e">
        <f t="shared" si="113"/>
        <v>#REF!</v>
      </c>
      <c r="Y491" s="98" t="e">
        <f t="shared" si="114"/>
        <v>#REF!</v>
      </c>
      <c r="Z491" s="97" t="e">
        <f t="shared" si="115"/>
        <v>#REF!</v>
      </c>
      <c r="AA491" s="97" t="e">
        <f t="shared" si="115"/>
        <v>#REF!</v>
      </c>
      <c r="AC491" s="98" t="e">
        <f t="shared" si="116"/>
        <v>#REF!</v>
      </c>
      <c r="AD491" s="98" t="e">
        <f t="shared" si="117"/>
        <v>#REF!</v>
      </c>
      <c r="AE491" s="97" t="e">
        <f t="shared" si="118"/>
        <v>#REF!</v>
      </c>
      <c r="AF491" s="97" t="e">
        <f t="shared" si="118"/>
        <v>#REF!</v>
      </c>
      <c r="AH491" s="98" t="e">
        <f t="shared" si="119"/>
        <v>#REF!</v>
      </c>
      <c r="AI491" s="98" t="e">
        <f t="shared" si="120"/>
        <v>#REF!</v>
      </c>
      <c r="AJ491" s="97" t="e">
        <f t="shared" si="121"/>
        <v>#REF!</v>
      </c>
      <c r="AK491" s="97" t="e">
        <f t="shared" si="121"/>
        <v>#REF!</v>
      </c>
    </row>
    <row r="492" spans="19:37">
      <c r="S492" s="98">
        <f t="shared" si="110"/>
        <v>0</v>
      </c>
      <c r="T492" s="98">
        <f t="shared" si="111"/>
        <v>0</v>
      </c>
      <c r="U492" s="97">
        <f t="shared" si="112"/>
        <v>0</v>
      </c>
      <c r="V492" s="97">
        <f t="shared" si="112"/>
        <v>0</v>
      </c>
      <c r="X492" s="98" t="e">
        <f t="shared" si="113"/>
        <v>#REF!</v>
      </c>
      <c r="Y492" s="98" t="e">
        <f t="shared" si="114"/>
        <v>#REF!</v>
      </c>
      <c r="Z492" s="97" t="e">
        <f t="shared" si="115"/>
        <v>#REF!</v>
      </c>
      <c r="AA492" s="97" t="e">
        <f t="shared" si="115"/>
        <v>#REF!</v>
      </c>
      <c r="AC492" s="98" t="e">
        <f t="shared" si="116"/>
        <v>#REF!</v>
      </c>
      <c r="AD492" s="98" t="e">
        <f t="shared" si="117"/>
        <v>#REF!</v>
      </c>
      <c r="AE492" s="97" t="e">
        <f t="shared" si="118"/>
        <v>#REF!</v>
      </c>
      <c r="AF492" s="97" t="e">
        <f t="shared" si="118"/>
        <v>#REF!</v>
      </c>
      <c r="AH492" s="98" t="e">
        <f t="shared" si="119"/>
        <v>#REF!</v>
      </c>
      <c r="AI492" s="98" t="e">
        <f t="shared" si="120"/>
        <v>#REF!</v>
      </c>
      <c r="AJ492" s="97" t="e">
        <f t="shared" si="121"/>
        <v>#REF!</v>
      </c>
      <c r="AK492" s="97" t="e">
        <f t="shared" si="121"/>
        <v>#REF!</v>
      </c>
    </row>
    <row r="493" spans="19:37">
      <c r="S493" s="98">
        <f t="shared" si="110"/>
        <v>0</v>
      </c>
      <c r="T493" s="98">
        <f t="shared" si="111"/>
        <v>0</v>
      </c>
      <c r="U493" s="97">
        <f t="shared" si="112"/>
        <v>0</v>
      </c>
      <c r="V493" s="97">
        <f t="shared" si="112"/>
        <v>0</v>
      </c>
      <c r="X493" s="98" t="e">
        <f t="shared" si="113"/>
        <v>#REF!</v>
      </c>
      <c r="Y493" s="98" t="e">
        <f t="shared" si="114"/>
        <v>#REF!</v>
      </c>
      <c r="Z493" s="97" t="e">
        <f t="shared" si="115"/>
        <v>#REF!</v>
      </c>
      <c r="AA493" s="97" t="e">
        <f t="shared" si="115"/>
        <v>#REF!</v>
      </c>
      <c r="AC493" s="98" t="e">
        <f t="shared" si="116"/>
        <v>#REF!</v>
      </c>
      <c r="AD493" s="98" t="e">
        <f t="shared" si="117"/>
        <v>#REF!</v>
      </c>
      <c r="AE493" s="97" t="e">
        <f t="shared" si="118"/>
        <v>#REF!</v>
      </c>
      <c r="AF493" s="97" t="e">
        <f t="shared" si="118"/>
        <v>#REF!</v>
      </c>
      <c r="AH493" s="98" t="e">
        <f t="shared" si="119"/>
        <v>#REF!</v>
      </c>
      <c r="AI493" s="98" t="e">
        <f t="shared" si="120"/>
        <v>#REF!</v>
      </c>
      <c r="AJ493" s="97" t="e">
        <f t="shared" si="121"/>
        <v>#REF!</v>
      </c>
      <c r="AK493" s="97" t="e">
        <f t="shared" si="121"/>
        <v>#REF!</v>
      </c>
    </row>
    <row r="494" spans="19:37">
      <c r="S494" s="98">
        <f t="shared" si="110"/>
        <v>0</v>
      </c>
      <c r="T494" s="98">
        <f t="shared" si="111"/>
        <v>0</v>
      </c>
      <c r="U494" s="97">
        <f t="shared" si="112"/>
        <v>0</v>
      </c>
      <c r="V494" s="97">
        <f t="shared" si="112"/>
        <v>0</v>
      </c>
      <c r="X494" s="98" t="e">
        <f t="shared" si="113"/>
        <v>#REF!</v>
      </c>
      <c r="Y494" s="98" t="e">
        <f t="shared" si="114"/>
        <v>#REF!</v>
      </c>
      <c r="Z494" s="97" t="e">
        <f t="shared" si="115"/>
        <v>#REF!</v>
      </c>
      <c r="AA494" s="97" t="e">
        <f t="shared" si="115"/>
        <v>#REF!</v>
      </c>
      <c r="AC494" s="98" t="e">
        <f t="shared" si="116"/>
        <v>#REF!</v>
      </c>
      <c r="AD494" s="98" t="e">
        <f t="shared" si="117"/>
        <v>#REF!</v>
      </c>
      <c r="AE494" s="97" t="e">
        <f t="shared" si="118"/>
        <v>#REF!</v>
      </c>
      <c r="AF494" s="97" t="e">
        <f t="shared" si="118"/>
        <v>#REF!</v>
      </c>
      <c r="AH494" s="98" t="e">
        <f t="shared" si="119"/>
        <v>#REF!</v>
      </c>
      <c r="AI494" s="98" t="e">
        <f t="shared" si="120"/>
        <v>#REF!</v>
      </c>
      <c r="AJ494" s="97" t="e">
        <f t="shared" si="121"/>
        <v>#REF!</v>
      </c>
      <c r="AK494" s="97" t="e">
        <f t="shared" si="121"/>
        <v>#REF!</v>
      </c>
    </row>
    <row r="495" spans="19:37">
      <c r="S495" s="98">
        <f t="shared" si="110"/>
        <v>0</v>
      </c>
      <c r="T495" s="98">
        <f t="shared" si="111"/>
        <v>0</v>
      </c>
      <c r="U495" s="97">
        <f t="shared" si="112"/>
        <v>0</v>
      </c>
      <c r="V495" s="97">
        <f t="shared" si="112"/>
        <v>0</v>
      </c>
      <c r="X495" s="98" t="e">
        <f t="shared" si="113"/>
        <v>#REF!</v>
      </c>
      <c r="Y495" s="98" t="e">
        <f t="shared" si="114"/>
        <v>#REF!</v>
      </c>
      <c r="Z495" s="97" t="e">
        <f t="shared" si="115"/>
        <v>#REF!</v>
      </c>
      <c r="AA495" s="97" t="e">
        <f t="shared" si="115"/>
        <v>#REF!</v>
      </c>
      <c r="AC495" s="98" t="e">
        <f t="shared" si="116"/>
        <v>#REF!</v>
      </c>
      <c r="AD495" s="98" t="e">
        <f t="shared" si="117"/>
        <v>#REF!</v>
      </c>
      <c r="AE495" s="97" t="e">
        <f t="shared" si="118"/>
        <v>#REF!</v>
      </c>
      <c r="AF495" s="97" t="e">
        <f t="shared" si="118"/>
        <v>#REF!</v>
      </c>
      <c r="AH495" s="98" t="e">
        <f t="shared" si="119"/>
        <v>#REF!</v>
      </c>
      <c r="AI495" s="98" t="e">
        <f t="shared" si="120"/>
        <v>#REF!</v>
      </c>
      <c r="AJ495" s="97" t="e">
        <f t="shared" si="121"/>
        <v>#REF!</v>
      </c>
      <c r="AK495" s="97" t="e">
        <f t="shared" si="121"/>
        <v>#REF!</v>
      </c>
    </row>
    <row r="496" spans="19:37">
      <c r="S496" s="98">
        <f t="shared" si="110"/>
        <v>0</v>
      </c>
      <c r="T496" s="98">
        <f t="shared" si="111"/>
        <v>0</v>
      </c>
      <c r="U496" s="97">
        <f t="shared" si="112"/>
        <v>0</v>
      </c>
      <c r="V496" s="97">
        <f t="shared" si="112"/>
        <v>0</v>
      </c>
      <c r="X496" s="98" t="e">
        <f t="shared" si="113"/>
        <v>#REF!</v>
      </c>
      <c r="Y496" s="98" t="e">
        <f t="shared" si="114"/>
        <v>#REF!</v>
      </c>
      <c r="Z496" s="97" t="e">
        <f t="shared" si="115"/>
        <v>#REF!</v>
      </c>
      <c r="AA496" s="97" t="e">
        <f t="shared" si="115"/>
        <v>#REF!</v>
      </c>
      <c r="AC496" s="98" t="e">
        <f t="shared" si="116"/>
        <v>#REF!</v>
      </c>
      <c r="AD496" s="98" t="e">
        <f t="shared" si="117"/>
        <v>#REF!</v>
      </c>
      <c r="AE496" s="97" t="e">
        <f t="shared" si="118"/>
        <v>#REF!</v>
      </c>
      <c r="AF496" s="97" t="e">
        <f t="shared" si="118"/>
        <v>#REF!</v>
      </c>
      <c r="AH496" s="98" t="e">
        <f t="shared" si="119"/>
        <v>#REF!</v>
      </c>
      <c r="AI496" s="98" t="e">
        <f t="shared" si="120"/>
        <v>#REF!</v>
      </c>
      <c r="AJ496" s="97" t="e">
        <f t="shared" si="121"/>
        <v>#REF!</v>
      </c>
      <c r="AK496" s="97" t="e">
        <f t="shared" si="121"/>
        <v>#REF!</v>
      </c>
    </row>
    <row r="497" spans="19:37">
      <c r="S497" s="98">
        <f t="shared" si="110"/>
        <v>0</v>
      </c>
      <c r="T497" s="98">
        <f t="shared" si="111"/>
        <v>0</v>
      </c>
      <c r="U497" s="97">
        <f t="shared" si="112"/>
        <v>0</v>
      </c>
      <c r="V497" s="97">
        <f t="shared" si="112"/>
        <v>0</v>
      </c>
      <c r="X497" s="98" t="e">
        <f t="shared" si="113"/>
        <v>#REF!</v>
      </c>
      <c r="Y497" s="98" t="e">
        <f t="shared" si="114"/>
        <v>#REF!</v>
      </c>
      <c r="Z497" s="97" t="e">
        <f t="shared" si="115"/>
        <v>#REF!</v>
      </c>
      <c r="AA497" s="97" t="e">
        <f t="shared" si="115"/>
        <v>#REF!</v>
      </c>
      <c r="AC497" s="98" t="e">
        <f t="shared" si="116"/>
        <v>#REF!</v>
      </c>
      <c r="AD497" s="98" t="e">
        <f t="shared" si="117"/>
        <v>#REF!</v>
      </c>
      <c r="AE497" s="97" t="e">
        <f t="shared" si="118"/>
        <v>#REF!</v>
      </c>
      <c r="AF497" s="97" t="e">
        <f t="shared" si="118"/>
        <v>#REF!</v>
      </c>
      <c r="AH497" s="98" t="e">
        <f t="shared" si="119"/>
        <v>#REF!</v>
      </c>
      <c r="AI497" s="98" t="e">
        <f t="shared" si="120"/>
        <v>#REF!</v>
      </c>
      <c r="AJ497" s="97" t="e">
        <f t="shared" si="121"/>
        <v>#REF!</v>
      </c>
      <c r="AK497" s="97" t="e">
        <f t="shared" si="121"/>
        <v>#REF!</v>
      </c>
    </row>
    <row r="498" spans="19:37">
      <c r="S498" s="98">
        <f t="shared" si="110"/>
        <v>0</v>
      </c>
      <c r="T498" s="98">
        <f t="shared" si="111"/>
        <v>0</v>
      </c>
      <c r="U498" s="97">
        <f t="shared" si="112"/>
        <v>0</v>
      </c>
      <c r="V498" s="97">
        <f t="shared" si="112"/>
        <v>0</v>
      </c>
      <c r="X498" s="98" t="e">
        <f t="shared" si="113"/>
        <v>#REF!</v>
      </c>
      <c r="Y498" s="98" t="e">
        <f t="shared" si="114"/>
        <v>#REF!</v>
      </c>
      <c r="Z498" s="97" t="e">
        <f t="shared" si="115"/>
        <v>#REF!</v>
      </c>
      <c r="AA498" s="97" t="e">
        <f t="shared" si="115"/>
        <v>#REF!</v>
      </c>
      <c r="AC498" s="98" t="e">
        <f t="shared" si="116"/>
        <v>#REF!</v>
      </c>
      <c r="AD498" s="98" t="e">
        <f t="shared" si="117"/>
        <v>#REF!</v>
      </c>
      <c r="AE498" s="97" t="e">
        <f t="shared" si="118"/>
        <v>#REF!</v>
      </c>
      <c r="AF498" s="97" t="e">
        <f t="shared" si="118"/>
        <v>#REF!</v>
      </c>
      <c r="AH498" s="98" t="e">
        <f t="shared" si="119"/>
        <v>#REF!</v>
      </c>
      <c r="AI498" s="98" t="e">
        <f t="shared" si="120"/>
        <v>#REF!</v>
      </c>
      <c r="AJ498" s="97" t="e">
        <f t="shared" si="121"/>
        <v>#REF!</v>
      </c>
      <c r="AK498" s="97" t="e">
        <f t="shared" si="121"/>
        <v>#REF!</v>
      </c>
    </row>
    <row r="499" spans="19:37">
      <c r="S499" s="98">
        <f t="shared" si="110"/>
        <v>0</v>
      </c>
      <c r="T499" s="98">
        <f t="shared" si="111"/>
        <v>0</v>
      </c>
      <c r="U499" s="97">
        <f t="shared" si="112"/>
        <v>0</v>
      </c>
      <c r="V499" s="97">
        <f t="shared" si="112"/>
        <v>0</v>
      </c>
      <c r="X499" s="98" t="e">
        <f t="shared" si="113"/>
        <v>#REF!</v>
      </c>
      <c r="Y499" s="98" t="e">
        <f t="shared" si="114"/>
        <v>#REF!</v>
      </c>
      <c r="Z499" s="97" t="e">
        <f t="shared" si="115"/>
        <v>#REF!</v>
      </c>
      <c r="AA499" s="97" t="e">
        <f t="shared" si="115"/>
        <v>#REF!</v>
      </c>
      <c r="AC499" s="98" t="e">
        <f t="shared" si="116"/>
        <v>#REF!</v>
      </c>
      <c r="AD499" s="98" t="e">
        <f t="shared" si="117"/>
        <v>#REF!</v>
      </c>
      <c r="AE499" s="97" t="e">
        <f t="shared" si="118"/>
        <v>#REF!</v>
      </c>
      <c r="AF499" s="97" t="e">
        <f t="shared" si="118"/>
        <v>#REF!</v>
      </c>
      <c r="AH499" s="98" t="e">
        <f t="shared" si="119"/>
        <v>#REF!</v>
      </c>
      <c r="AI499" s="98" t="e">
        <f t="shared" si="120"/>
        <v>#REF!</v>
      </c>
      <c r="AJ499" s="97" t="e">
        <f t="shared" si="121"/>
        <v>#REF!</v>
      </c>
      <c r="AK499" s="97" t="e">
        <f t="shared" si="121"/>
        <v>#REF!</v>
      </c>
    </row>
    <row r="500" spans="19:37">
      <c r="S500" s="98">
        <f t="shared" si="110"/>
        <v>0</v>
      </c>
      <c r="T500" s="98">
        <f t="shared" si="111"/>
        <v>0</v>
      </c>
      <c r="U500" s="97">
        <f t="shared" si="112"/>
        <v>0</v>
      </c>
      <c r="V500" s="97">
        <f t="shared" si="112"/>
        <v>0</v>
      </c>
      <c r="X500" s="98" t="e">
        <f t="shared" si="113"/>
        <v>#REF!</v>
      </c>
      <c r="Y500" s="98" t="e">
        <f t="shared" si="114"/>
        <v>#REF!</v>
      </c>
      <c r="Z500" s="97" t="e">
        <f t="shared" si="115"/>
        <v>#REF!</v>
      </c>
      <c r="AA500" s="97" t="e">
        <f t="shared" si="115"/>
        <v>#REF!</v>
      </c>
      <c r="AC500" s="98" t="e">
        <f t="shared" si="116"/>
        <v>#REF!</v>
      </c>
      <c r="AD500" s="98" t="e">
        <f t="shared" si="117"/>
        <v>#REF!</v>
      </c>
      <c r="AE500" s="97" t="e">
        <f t="shared" si="118"/>
        <v>#REF!</v>
      </c>
      <c r="AF500" s="97" t="e">
        <f t="shared" si="118"/>
        <v>#REF!</v>
      </c>
      <c r="AH500" s="98" t="e">
        <f t="shared" si="119"/>
        <v>#REF!</v>
      </c>
      <c r="AI500" s="98" t="e">
        <f t="shared" si="120"/>
        <v>#REF!</v>
      </c>
      <c r="AJ500" s="97" t="e">
        <f t="shared" si="121"/>
        <v>#REF!</v>
      </c>
      <c r="AK500" s="97" t="e">
        <f t="shared" si="121"/>
        <v>#REF!</v>
      </c>
    </row>
    <row r="501" spans="19:37">
      <c r="S501" s="98">
        <f t="shared" si="110"/>
        <v>0</v>
      </c>
      <c r="T501" s="98">
        <f t="shared" si="111"/>
        <v>0</v>
      </c>
      <c r="U501" s="97">
        <f t="shared" si="112"/>
        <v>0</v>
      </c>
      <c r="V501" s="97">
        <f t="shared" si="112"/>
        <v>0</v>
      </c>
      <c r="X501" s="98" t="e">
        <f t="shared" si="113"/>
        <v>#REF!</v>
      </c>
      <c r="Y501" s="98" t="e">
        <f t="shared" si="114"/>
        <v>#REF!</v>
      </c>
      <c r="Z501" s="97" t="e">
        <f t="shared" si="115"/>
        <v>#REF!</v>
      </c>
      <c r="AA501" s="97" t="e">
        <f t="shared" si="115"/>
        <v>#REF!</v>
      </c>
      <c r="AC501" s="98" t="e">
        <f t="shared" si="116"/>
        <v>#REF!</v>
      </c>
      <c r="AD501" s="98" t="e">
        <f t="shared" si="117"/>
        <v>#REF!</v>
      </c>
      <c r="AE501" s="97" t="e">
        <f t="shared" si="118"/>
        <v>#REF!</v>
      </c>
      <c r="AF501" s="97" t="e">
        <f t="shared" si="118"/>
        <v>#REF!</v>
      </c>
      <c r="AH501" s="98" t="e">
        <f t="shared" si="119"/>
        <v>#REF!</v>
      </c>
      <c r="AI501" s="98" t="e">
        <f t="shared" si="120"/>
        <v>#REF!</v>
      </c>
      <c r="AJ501" s="97" t="e">
        <f t="shared" si="121"/>
        <v>#REF!</v>
      </c>
      <c r="AK501" s="97" t="e">
        <f t="shared" si="121"/>
        <v>#REF!</v>
      </c>
    </row>
    <row r="502" spans="19:37">
      <c r="S502" s="98">
        <f t="shared" si="110"/>
        <v>0</v>
      </c>
      <c r="T502" s="98">
        <f t="shared" si="111"/>
        <v>0</v>
      </c>
      <c r="U502" s="97">
        <f t="shared" si="112"/>
        <v>0</v>
      </c>
      <c r="V502" s="97">
        <f t="shared" si="112"/>
        <v>0</v>
      </c>
      <c r="X502" s="98" t="e">
        <f t="shared" si="113"/>
        <v>#REF!</v>
      </c>
      <c r="Y502" s="98" t="e">
        <f t="shared" si="114"/>
        <v>#REF!</v>
      </c>
      <c r="Z502" s="97" t="e">
        <f t="shared" si="115"/>
        <v>#REF!</v>
      </c>
      <c r="AA502" s="97" t="e">
        <f t="shared" si="115"/>
        <v>#REF!</v>
      </c>
      <c r="AC502" s="98" t="e">
        <f t="shared" si="116"/>
        <v>#REF!</v>
      </c>
      <c r="AD502" s="98" t="e">
        <f t="shared" si="117"/>
        <v>#REF!</v>
      </c>
      <c r="AE502" s="97" t="e">
        <f t="shared" si="118"/>
        <v>#REF!</v>
      </c>
      <c r="AF502" s="97" t="e">
        <f t="shared" si="118"/>
        <v>#REF!</v>
      </c>
      <c r="AH502" s="98" t="e">
        <f t="shared" si="119"/>
        <v>#REF!</v>
      </c>
      <c r="AI502" s="98" t="e">
        <f t="shared" si="120"/>
        <v>#REF!</v>
      </c>
      <c r="AJ502" s="97" t="e">
        <f t="shared" si="121"/>
        <v>#REF!</v>
      </c>
      <c r="AK502" s="97" t="e">
        <f t="shared" si="121"/>
        <v>#REF!</v>
      </c>
    </row>
    <row r="503" spans="19:37">
      <c r="S503" s="98">
        <f t="shared" si="110"/>
        <v>0</v>
      </c>
      <c r="T503" s="98">
        <f t="shared" si="111"/>
        <v>0</v>
      </c>
      <c r="U503" s="97">
        <f t="shared" si="112"/>
        <v>0</v>
      </c>
      <c r="V503" s="97">
        <f t="shared" si="112"/>
        <v>0</v>
      </c>
      <c r="X503" s="98" t="e">
        <f t="shared" si="113"/>
        <v>#REF!</v>
      </c>
      <c r="Y503" s="98" t="e">
        <f t="shared" si="114"/>
        <v>#REF!</v>
      </c>
      <c r="Z503" s="97" t="e">
        <f t="shared" si="115"/>
        <v>#REF!</v>
      </c>
      <c r="AA503" s="97" t="e">
        <f t="shared" si="115"/>
        <v>#REF!</v>
      </c>
      <c r="AC503" s="98" t="e">
        <f t="shared" si="116"/>
        <v>#REF!</v>
      </c>
      <c r="AD503" s="98" t="e">
        <f t="shared" si="117"/>
        <v>#REF!</v>
      </c>
      <c r="AE503" s="97" t="e">
        <f t="shared" si="118"/>
        <v>#REF!</v>
      </c>
      <c r="AF503" s="97" t="e">
        <f t="shared" si="118"/>
        <v>#REF!</v>
      </c>
      <c r="AH503" s="98" t="e">
        <f t="shared" si="119"/>
        <v>#REF!</v>
      </c>
      <c r="AI503" s="98" t="e">
        <f t="shared" si="120"/>
        <v>#REF!</v>
      </c>
      <c r="AJ503" s="97" t="e">
        <f t="shared" si="121"/>
        <v>#REF!</v>
      </c>
      <c r="AK503" s="97" t="e">
        <f t="shared" si="121"/>
        <v>#REF!</v>
      </c>
    </row>
    <row r="504" spans="19:37">
      <c r="S504" s="98">
        <f t="shared" si="110"/>
        <v>0</v>
      </c>
      <c r="T504" s="98">
        <f t="shared" si="111"/>
        <v>0</v>
      </c>
      <c r="U504" s="97">
        <f t="shared" si="112"/>
        <v>0</v>
      </c>
      <c r="V504" s="97">
        <f t="shared" si="112"/>
        <v>0</v>
      </c>
      <c r="X504" s="98" t="e">
        <f t="shared" si="113"/>
        <v>#REF!</v>
      </c>
      <c r="Y504" s="98" t="e">
        <f t="shared" si="114"/>
        <v>#REF!</v>
      </c>
      <c r="Z504" s="97" t="e">
        <f t="shared" si="115"/>
        <v>#REF!</v>
      </c>
      <c r="AA504" s="97" t="e">
        <f t="shared" si="115"/>
        <v>#REF!</v>
      </c>
      <c r="AC504" s="98" t="e">
        <f t="shared" si="116"/>
        <v>#REF!</v>
      </c>
      <c r="AD504" s="98" t="e">
        <f t="shared" si="117"/>
        <v>#REF!</v>
      </c>
      <c r="AE504" s="97" t="e">
        <f t="shared" si="118"/>
        <v>#REF!</v>
      </c>
      <c r="AF504" s="97" t="e">
        <f t="shared" si="118"/>
        <v>#REF!</v>
      </c>
      <c r="AH504" s="98" t="e">
        <f t="shared" si="119"/>
        <v>#REF!</v>
      </c>
      <c r="AI504" s="98" t="e">
        <f t="shared" si="120"/>
        <v>#REF!</v>
      </c>
      <c r="AJ504" s="97" t="e">
        <f t="shared" si="121"/>
        <v>#REF!</v>
      </c>
      <c r="AK504" s="97" t="e">
        <f t="shared" si="121"/>
        <v>#REF!</v>
      </c>
    </row>
    <row r="505" spans="19:37">
      <c r="S505" s="98">
        <f t="shared" si="110"/>
        <v>0</v>
      </c>
      <c r="T505" s="98">
        <f t="shared" si="111"/>
        <v>0</v>
      </c>
      <c r="U505" s="97">
        <f t="shared" si="112"/>
        <v>0</v>
      </c>
      <c r="V505" s="97">
        <f t="shared" si="112"/>
        <v>0</v>
      </c>
      <c r="X505" s="98" t="e">
        <f t="shared" si="113"/>
        <v>#REF!</v>
      </c>
      <c r="Y505" s="98" t="e">
        <f t="shared" si="114"/>
        <v>#REF!</v>
      </c>
      <c r="Z505" s="97" t="e">
        <f t="shared" si="115"/>
        <v>#REF!</v>
      </c>
      <c r="AA505" s="97" t="e">
        <f t="shared" si="115"/>
        <v>#REF!</v>
      </c>
      <c r="AC505" s="98" t="e">
        <f t="shared" si="116"/>
        <v>#REF!</v>
      </c>
      <c r="AD505" s="98" t="e">
        <f t="shared" si="117"/>
        <v>#REF!</v>
      </c>
      <c r="AE505" s="97" t="e">
        <f t="shared" si="118"/>
        <v>#REF!</v>
      </c>
      <c r="AF505" s="97" t="e">
        <f t="shared" si="118"/>
        <v>#REF!</v>
      </c>
      <c r="AH505" s="98" t="e">
        <f t="shared" si="119"/>
        <v>#REF!</v>
      </c>
      <c r="AI505" s="98" t="e">
        <f t="shared" si="120"/>
        <v>#REF!</v>
      </c>
      <c r="AJ505" s="97" t="e">
        <f t="shared" si="121"/>
        <v>#REF!</v>
      </c>
      <c r="AK505" s="97" t="e">
        <f t="shared" si="121"/>
        <v>#REF!</v>
      </c>
    </row>
    <row r="506" spans="19:37">
      <c r="S506" s="98">
        <f t="shared" si="110"/>
        <v>0</v>
      </c>
      <c r="T506" s="98">
        <f t="shared" si="111"/>
        <v>0</v>
      </c>
      <c r="U506" s="97">
        <f t="shared" si="112"/>
        <v>0</v>
      </c>
      <c r="V506" s="97">
        <f t="shared" si="112"/>
        <v>0</v>
      </c>
      <c r="X506" s="98" t="e">
        <f t="shared" si="113"/>
        <v>#REF!</v>
      </c>
      <c r="Y506" s="98" t="e">
        <f t="shared" si="114"/>
        <v>#REF!</v>
      </c>
      <c r="Z506" s="97" t="e">
        <f t="shared" si="115"/>
        <v>#REF!</v>
      </c>
      <c r="AA506" s="97" t="e">
        <f t="shared" si="115"/>
        <v>#REF!</v>
      </c>
      <c r="AC506" s="98" t="e">
        <f t="shared" si="116"/>
        <v>#REF!</v>
      </c>
      <c r="AD506" s="98" t="e">
        <f t="shared" si="117"/>
        <v>#REF!</v>
      </c>
      <c r="AE506" s="97" t="e">
        <f t="shared" si="118"/>
        <v>#REF!</v>
      </c>
      <c r="AF506" s="97" t="e">
        <f t="shared" si="118"/>
        <v>#REF!</v>
      </c>
      <c r="AH506" s="98" t="e">
        <f t="shared" si="119"/>
        <v>#REF!</v>
      </c>
      <c r="AI506" s="98" t="e">
        <f t="shared" si="120"/>
        <v>#REF!</v>
      </c>
      <c r="AJ506" s="97" t="e">
        <f t="shared" si="121"/>
        <v>#REF!</v>
      </c>
      <c r="AK506" s="97" t="e">
        <f t="shared" si="121"/>
        <v>#REF!</v>
      </c>
    </row>
    <row r="507" spans="19:37">
      <c r="S507" s="98">
        <f t="shared" si="110"/>
        <v>0</v>
      </c>
      <c r="T507" s="98">
        <f t="shared" si="111"/>
        <v>0</v>
      </c>
      <c r="U507" s="97">
        <f t="shared" si="112"/>
        <v>0</v>
      </c>
      <c r="V507" s="97">
        <f t="shared" si="112"/>
        <v>0</v>
      </c>
      <c r="X507" s="98" t="e">
        <f t="shared" si="113"/>
        <v>#REF!</v>
      </c>
      <c r="Y507" s="98" t="e">
        <f t="shared" si="114"/>
        <v>#REF!</v>
      </c>
      <c r="Z507" s="97" t="e">
        <f t="shared" si="115"/>
        <v>#REF!</v>
      </c>
      <c r="AA507" s="97" t="e">
        <f t="shared" si="115"/>
        <v>#REF!</v>
      </c>
      <c r="AC507" s="98" t="e">
        <f t="shared" si="116"/>
        <v>#REF!</v>
      </c>
      <c r="AD507" s="98" t="e">
        <f t="shared" si="117"/>
        <v>#REF!</v>
      </c>
      <c r="AE507" s="97" t="e">
        <f t="shared" si="118"/>
        <v>#REF!</v>
      </c>
      <c r="AF507" s="97" t="e">
        <f t="shared" si="118"/>
        <v>#REF!</v>
      </c>
      <c r="AH507" s="98" t="e">
        <f t="shared" si="119"/>
        <v>#REF!</v>
      </c>
      <c r="AI507" s="98" t="e">
        <f t="shared" si="120"/>
        <v>#REF!</v>
      </c>
      <c r="AJ507" s="97" t="e">
        <f t="shared" si="121"/>
        <v>#REF!</v>
      </c>
      <c r="AK507" s="97" t="e">
        <f t="shared" si="121"/>
        <v>#REF!</v>
      </c>
    </row>
    <row r="508" spans="19:37">
      <c r="S508" s="98">
        <f t="shared" si="110"/>
        <v>0</v>
      </c>
      <c r="T508" s="98">
        <f t="shared" si="111"/>
        <v>0</v>
      </c>
      <c r="U508" s="97">
        <f t="shared" si="112"/>
        <v>0</v>
      </c>
      <c r="V508" s="97">
        <f t="shared" si="112"/>
        <v>0</v>
      </c>
      <c r="X508" s="98" t="e">
        <f t="shared" si="113"/>
        <v>#REF!</v>
      </c>
      <c r="Y508" s="98" t="e">
        <f t="shared" si="114"/>
        <v>#REF!</v>
      </c>
      <c r="Z508" s="97" t="e">
        <f t="shared" si="115"/>
        <v>#REF!</v>
      </c>
      <c r="AA508" s="97" t="e">
        <f t="shared" si="115"/>
        <v>#REF!</v>
      </c>
      <c r="AC508" s="98" t="e">
        <f t="shared" si="116"/>
        <v>#REF!</v>
      </c>
      <c r="AD508" s="98" t="e">
        <f t="shared" si="117"/>
        <v>#REF!</v>
      </c>
      <c r="AE508" s="97" t="e">
        <f t="shared" si="118"/>
        <v>#REF!</v>
      </c>
      <c r="AF508" s="97" t="e">
        <f t="shared" si="118"/>
        <v>#REF!</v>
      </c>
      <c r="AH508" s="98" t="e">
        <f t="shared" si="119"/>
        <v>#REF!</v>
      </c>
      <c r="AI508" s="98" t="e">
        <f t="shared" si="120"/>
        <v>#REF!</v>
      </c>
      <c r="AJ508" s="97" t="e">
        <f t="shared" si="121"/>
        <v>#REF!</v>
      </c>
      <c r="AK508" s="97" t="e">
        <f t="shared" si="121"/>
        <v>#REF!</v>
      </c>
    </row>
    <row r="509" spans="19:37">
      <c r="S509" s="98">
        <f t="shared" si="110"/>
        <v>0</v>
      </c>
      <c r="T509" s="98">
        <f t="shared" si="111"/>
        <v>0</v>
      </c>
      <c r="U509" s="97">
        <f t="shared" si="112"/>
        <v>0</v>
      </c>
      <c r="V509" s="97">
        <f t="shared" si="112"/>
        <v>0</v>
      </c>
      <c r="X509" s="98" t="e">
        <f t="shared" si="113"/>
        <v>#REF!</v>
      </c>
      <c r="Y509" s="98" t="e">
        <f t="shared" si="114"/>
        <v>#REF!</v>
      </c>
      <c r="Z509" s="97" t="e">
        <f t="shared" si="115"/>
        <v>#REF!</v>
      </c>
      <c r="AA509" s="97" t="e">
        <f t="shared" si="115"/>
        <v>#REF!</v>
      </c>
      <c r="AC509" s="98" t="e">
        <f t="shared" si="116"/>
        <v>#REF!</v>
      </c>
      <c r="AD509" s="98" t="e">
        <f t="shared" si="117"/>
        <v>#REF!</v>
      </c>
      <c r="AE509" s="97" t="e">
        <f t="shared" si="118"/>
        <v>#REF!</v>
      </c>
      <c r="AF509" s="97" t="e">
        <f t="shared" si="118"/>
        <v>#REF!</v>
      </c>
      <c r="AH509" s="98" t="e">
        <f t="shared" si="119"/>
        <v>#REF!</v>
      </c>
      <c r="AI509" s="98" t="e">
        <f t="shared" si="120"/>
        <v>#REF!</v>
      </c>
      <c r="AJ509" s="97" t="e">
        <f t="shared" si="121"/>
        <v>#REF!</v>
      </c>
      <c r="AK509" s="97" t="e">
        <f t="shared" si="121"/>
        <v>#REF!</v>
      </c>
    </row>
    <row r="510" spans="19:37">
      <c r="S510" s="98">
        <f t="shared" si="110"/>
        <v>0</v>
      </c>
      <c r="T510" s="98">
        <f t="shared" si="111"/>
        <v>0</v>
      </c>
      <c r="U510" s="97">
        <f t="shared" si="112"/>
        <v>0</v>
      </c>
      <c r="V510" s="97">
        <f t="shared" si="112"/>
        <v>0</v>
      </c>
      <c r="X510" s="98" t="e">
        <f t="shared" si="113"/>
        <v>#REF!</v>
      </c>
      <c r="Y510" s="98" t="e">
        <f t="shared" si="114"/>
        <v>#REF!</v>
      </c>
      <c r="Z510" s="97" t="e">
        <f t="shared" si="115"/>
        <v>#REF!</v>
      </c>
      <c r="AA510" s="97" t="e">
        <f t="shared" si="115"/>
        <v>#REF!</v>
      </c>
      <c r="AC510" s="98" t="e">
        <f t="shared" si="116"/>
        <v>#REF!</v>
      </c>
      <c r="AD510" s="98" t="e">
        <f t="shared" si="117"/>
        <v>#REF!</v>
      </c>
      <c r="AE510" s="97" t="e">
        <f t="shared" si="118"/>
        <v>#REF!</v>
      </c>
      <c r="AF510" s="97" t="e">
        <f t="shared" si="118"/>
        <v>#REF!</v>
      </c>
      <c r="AH510" s="98" t="e">
        <f t="shared" si="119"/>
        <v>#REF!</v>
      </c>
      <c r="AI510" s="98" t="e">
        <f t="shared" si="120"/>
        <v>#REF!</v>
      </c>
      <c r="AJ510" s="97" t="e">
        <f t="shared" si="121"/>
        <v>#REF!</v>
      </c>
      <c r="AK510" s="97" t="e">
        <f t="shared" si="121"/>
        <v>#REF!</v>
      </c>
    </row>
    <row r="511" spans="19:37">
      <c r="S511" s="98">
        <f t="shared" si="110"/>
        <v>0</v>
      </c>
      <c r="T511" s="98">
        <f t="shared" si="111"/>
        <v>0</v>
      </c>
      <c r="U511" s="97">
        <f t="shared" si="112"/>
        <v>0</v>
      </c>
      <c r="V511" s="97">
        <f t="shared" si="112"/>
        <v>0</v>
      </c>
      <c r="X511" s="98" t="e">
        <f t="shared" si="113"/>
        <v>#REF!</v>
      </c>
      <c r="Y511" s="98" t="e">
        <f t="shared" si="114"/>
        <v>#REF!</v>
      </c>
      <c r="Z511" s="97" t="e">
        <f t="shared" si="115"/>
        <v>#REF!</v>
      </c>
      <c r="AA511" s="97" t="e">
        <f t="shared" si="115"/>
        <v>#REF!</v>
      </c>
      <c r="AC511" s="98" t="e">
        <f t="shared" si="116"/>
        <v>#REF!</v>
      </c>
      <c r="AD511" s="98" t="e">
        <f t="shared" si="117"/>
        <v>#REF!</v>
      </c>
      <c r="AE511" s="97" t="e">
        <f t="shared" si="118"/>
        <v>#REF!</v>
      </c>
      <c r="AF511" s="97" t="e">
        <f t="shared" si="118"/>
        <v>#REF!</v>
      </c>
      <c r="AH511" s="98" t="e">
        <f t="shared" si="119"/>
        <v>#REF!</v>
      </c>
      <c r="AI511" s="98" t="e">
        <f t="shared" si="120"/>
        <v>#REF!</v>
      </c>
      <c r="AJ511" s="97" t="e">
        <f t="shared" si="121"/>
        <v>#REF!</v>
      </c>
      <c r="AK511" s="97" t="e">
        <f t="shared" si="121"/>
        <v>#REF!</v>
      </c>
    </row>
    <row r="512" spans="19:37">
      <c r="S512" s="98">
        <f t="shared" si="110"/>
        <v>0</v>
      </c>
      <c r="T512" s="98">
        <f t="shared" si="111"/>
        <v>0</v>
      </c>
      <c r="U512" s="97">
        <f t="shared" si="112"/>
        <v>0</v>
      </c>
      <c r="V512" s="97">
        <f t="shared" si="112"/>
        <v>0</v>
      </c>
      <c r="X512" s="98" t="e">
        <f t="shared" si="113"/>
        <v>#REF!</v>
      </c>
      <c r="Y512" s="98" t="e">
        <f t="shared" si="114"/>
        <v>#REF!</v>
      </c>
      <c r="Z512" s="97" t="e">
        <f t="shared" si="115"/>
        <v>#REF!</v>
      </c>
      <c r="AA512" s="97" t="e">
        <f t="shared" si="115"/>
        <v>#REF!</v>
      </c>
      <c r="AC512" s="98" t="e">
        <f t="shared" si="116"/>
        <v>#REF!</v>
      </c>
      <c r="AD512" s="98" t="e">
        <f t="shared" si="117"/>
        <v>#REF!</v>
      </c>
      <c r="AE512" s="97" t="e">
        <f t="shared" si="118"/>
        <v>#REF!</v>
      </c>
      <c r="AF512" s="97" t="e">
        <f t="shared" si="118"/>
        <v>#REF!</v>
      </c>
      <c r="AH512" s="98" t="e">
        <f t="shared" si="119"/>
        <v>#REF!</v>
      </c>
      <c r="AI512" s="98" t="e">
        <f t="shared" si="120"/>
        <v>#REF!</v>
      </c>
      <c r="AJ512" s="97" t="e">
        <f t="shared" si="121"/>
        <v>#REF!</v>
      </c>
      <c r="AK512" s="97" t="e">
        <f t="shared" si="121"/>
        <v>#REF!</v>
      </c>
    </row>
    <row r="513" spans="19:37">
      <c r="S513" s="98">
        <f t="shared" ref="S513:S576" si="122">IF($A513&lt;&gt;"(DC)", $E513*$R$7, $E513)</f>
        <v>0</v>
      </c>
      <c r="T513" s="98">
        <f t="shared" ref="T513:T576" si="123">IF($A513&lt;&gt;"(DC)", $F513*$R$7, $F513)</f>
        <v>0</v>
      </c>
      <c r="U513" s="97">
        <f t="shared" ref="U513:V576" si="124">IF(AND($D513="",S513=""),"",IF($D513="",S513,$D513+S513))</f>
        <v>0</v>
      </c>
      <c r="V513" s="97">
        <f t="shared" si="124"/>
        <v>0</v>
      </c>
      <c r="X513" s="98" t="e">
        <f t="shared" ref="X513:X576" si="125">IF($A513&lt;&gt;"(DC)", $E513*$W$7, $E513)</f>
        <v>#REF!</v>
      </c>
      <c r="Y513" s="98" t="e">
        <f t="shared" ref="Y513:Y576" si="126">IF($A513&lt;&gt;"(DC)", $F513*$W$7, $F513)</f>
        <v>#REF!</v>
      </c>
      <c r="Z513" s="97" t="e">
        <f t="shared" ref="Z513:AA576" si="127">IF(AND($D513="",X513=""),"",IF($D513="",X513,$D513+X513))</f>
        <v>#REF!</v>
      </c>
      <c r="AA513" s="97" t="e">
        <f t="shared" si="127"/>
        <v>#REF!</v>
      </c>
      <c r="AC513" s="98" t="e">
        <f t="shared" ref="AC513:AC576" si="128">IF($A513&lt;&gt;"(DC)", $E513*$W$7, $E513)</f>
        <v>#REF!</v>
      </c>
      <c r="AD513" s="98" t="e">
        <f t="shared" ref="AD513:AD576" si="129">IF($A513&lt;&gt;"(DC)", $F513*$W$7, $F513)</f>
        <v>#REF!</v>
      </c>
      <c r="AE513" s="97" t="e">
        <f t="shared" ref="AE513:AF576" si="130">IF(AND($D513="",AC513=""),"",IF($D513="",AC513,$D513+AC513))</f>
        <v>#REF!</v>
      </c>
      <c r="AF513" s="97" t="e">
        <f t="shared" si="130"/>
        <v>#REF!</v>
      </c>
      <c r="AH513" s="98" t="e">
        <f t="shared" ref="AH513:AH576" si="131">IF($A513&lt;&gt;"(DC)", $E513*$AG$7, $E513)</f>
        <v>#REF!</v>
      </c>
      <c r="AI513" s="98" t="e">
        <f t="shared" ref="AI513:AI576" si="132">IF($A513&lt;&gt;"(DC)", $F513*$AG$7, $F513)</f>
        <v>#REF!</v>
      </c>
      <c r="AJ513" s="97" t="e">
        <f t="shared" ref="AJ513:AK576" si="133">IF(AND($D513="",AH513=""),"",IF($D513="",AH513,$D513+AH513))</f>
        <v>#REF!</v>
      </c>
      <c r="AK513" s="97" t="e">
        <f t="shared" si="133"/>
        <v>#REF!</v>
      </c>
    </row>
    <row r="514" spans="19:37">
      <c r="S514" s="98">
        <f t="shared" si="122"/>
        <v>0</v>
      </c>
      <c r="T514" s="98">
        <f t="shared" si="123"/>
        <v>0</v>
      </c>
      <c r="U514" s="97">
        <f t="shared" si="124"/>
        <v>0</v>
      </c>
      <c r="V514" s="97">
        <f t="shared" si="124"/>
        <v>0</v>
      </c>
      <c r="X514" s="98" t="e">
        <f t="shared" si="125"/>
        <v>#REF!</v>
      </c>
      <c r="Y514" s="98" t="e">
        <f t="shared" si="126"/>
        <v>#REF!</v>
      </c>
      <c r="Z514" s="97" t="e">
        <f t="shared" si="127"/>
        <v>#REF!</v>
      </c>
      <c r="AA514" s="97" t="e">
        <f t="shared" si="127"/>
        <v>#REF!</v>
      </c>
      <c r="AC514" s="98" t="e">
        <f t="shared" si="128"/>
        <v>#REF!</v>
      </c>
      <c r="AD514" s="98" t="e">
        <f t="shared" si="129"/>
        <v>#REF!</v>
      </c>
      <c r="AE514" s="97" t="e">
        <f t="shared" si="130"/>
        <v>#REF!</v>
      </c>
      <c r="AF514" s="97" t="e">
        <f t="shared" si="130"/>
        <v>#REF!</v>
      </c>
      <c r="AH514" s="98" t="e">
        <f t="shared" si="131"/>
        <v>#REF!</v>
      </c>
      <c r="AI514" s="98" t="e">
        <f t="shared" si="132"/>
        <v>#REF!</v>
      </c>
      <c r="AJ514" s="97" t="e">
        <f t="shared" si="133"/>
        <v>#REF!</v>
      </c>
      <c r="AK514" s="97" t="e">
        <f t="shared" si="133"/>
        <v>#REF!</v>
      </c>
    </row>
    <row r="515" spans="19:37">
      <c r="S515" s="98">
        <f t="shared" si="122"/>
        <v>0</v>
      </c>
      <c r="T515" s="98">
        <f t="shared" si="123"/>
        <v>0</v>
      </c>
      <c r="U515" s="97">
        <f t="shared" si="124"/>
        <v>0</v>
      </c>
      <c r="V515" s="97">
        <f t="shared" si="124"/>
        <v>0</v>
      </c>
      <c r="X515" s="98" t="e">
        <f t="shared" si="125"/>
        <v>#REF!</v>
      </c>
      <c r="Y515" s="98" t="e">
        <f t="shared" si="126"/>
        <v>#REF!</v>
      </c>
      <c r="Z515" s="97" t="e">
        <f t="shared" si="127"/>
        <v>#REF!</v>
      </c>
      <c r="AA515" s="97" t="e">
        <f t="shared" si="127"/>
        <v>#REF!</v>
      </c>
      <c r="AC515" s="98" t="e">
        <f t="shared" si="128"/>
        <v>#REF!</v>
      </c>
      <c r="AD515" s="98" t="e">
        <f t="shared" si="129"/>
        <v>#REF!</v>
      </c>
      <c r="AE515" s="97" t="e">
        <f t="shared" si="130"/>
        <v>#REF!</v>
      </c>
      <c r="AF515" s="97" t="e">
        <f t="shared" si="130"/>
        <v>#REF!</v>
      </c>
      <c r="AH515" s="98" t="e">
        <f t="shared" si="131"/>
        <v>#REF!</v>
      </c>
      <c r="AI515" s="98" t="e">
        <f t="shared" si="132"/>
        <v>#REF!</v>
      </c>
      <c r="AJ515" s="97" t="e">
        <f t="shared" si="133"/>
        <v>#REF!</v>
      </c>
      <c r="AK515" s="97" t="e">
        <f t="shared" si="133"/>
        <v>#REF!</v>
      </c>
    </row>
    <row r="516" spans="19:37">
      <c r="S516" s="98">
        <f t="shared" si="122"/>
        <v>0</v>
      </c>
      <c r="T516" s="98">
        <f t="shared" si="123"/>
        <v>0</v>
      </c>
      <c r="U516" s="97">
        <f t="shared" si="124"/>
        <v>0</v>
      </c>
      <c r="V516" s="97">
        <f t="shared" si="124"/>
        <v>0</v>
      </c>
      <c r="X516" s="98" t="e">
        <f t="shared" si="125"/>
        <v>#REF!</v>
      </c>
      <c r="Y516" s="98" t="e">
        <f t="shared" si="126"/>
        <v>#REF!</v>
      </c>
      <c r="Z516" s="97" t="e">
        <f t="shared" si="127"/>
        <v>#REF!</v>
      </c>
      <c r="AA516" s="97" t="e">
        <f t="shared" si="127"/>
        <v>#REF!</v>
      </c>
      <c r="AC516" s="98" t="e">
        <f t="shared" si="128"/>
        <v>#REF!</v>
      </c>
      <c r="AD516" s="98" t="e">
        <f t="shared" si="129"/>
        <v>#REF!</v>
      </c>
      <c r="AE516" s="97" t="e">
        <f t="shared" si="130"/>
        <v>#REF!</v>
      </c>
      <c r="AF516" s="97" t="e">
        <f t="shared" si="130"/>
        <v>#REF!</v>
      </c>
      <c r="AH516" s="98" t="e">
        <f t="shared" si="131"/>
        <v>#REF!</v>
      </c>
      <c r="AI516" s="98" t="e">
        <f t="shared" si="132"/>
        <v>#REF!</v>
      </c>
      <c r="AJ516" s="97" t="e">
        <f t="shared" si="133"/>
        <v>#REF!</v>
      </c>
      <c r="AK516" s="97" t="e">
        <f t="shared" si="133"/>
        <v>#REF!</v>
      </c>
    </row>
    <row r="517" spans="19:37">
      <c r="S517" s="98">
        <f t="shared" si="122"/>
        <v>0</v>
      </c>
      <c r="T517" s="98">
        <f t="shared" si="123"/>
        <v>0</v>
      </c>
      <c r="U517" s="97">
        <f t="shared" si="124"/>
        <v>0</v>
      </c>
      <c r="V517" s="97">
        <f t="shared" si="124"/>
        <v>0</v>
      </c>
      <c r="X517" s="98" t="e">
        <f t="shared" si="125"/>
        <v>#REF!</v>
      </c>
      <c r="Y517" s="98" t="e">
        <f t="shared" si="126"/>
        <v>#REF!</v>
      </c>
      <c r="Z517" s="97" t="e">
        <f t="shared" si="127"/>
        <v>#REF!</v>
      </c>
      <c r="AA517" s="97" t="e">
        <f t="shared" si="127"/>
        <v>#REF!</v>
      </c>
      <c r="AC517" s="98" t="e">
        <f t="shared" si="128"/>
        <v>#REF!</v>
      </c>
      <c r="AD517" s="98" t="e">
        <f t="shared" si="129"/>
        <v>#REF!</v>
      </c>
      <c r="AE517" s="97" t="e">
        <f t="shared" si="130"/>
        <v>#REF!</v>
      </c>
      <c r="AF517" s="97" t="e">
        <f t="shared" si="130"/>
        <v>#REF!</v>
      </c>
      <c r="AH517" s="98" t="e">
        <f t="shared" si="131"/>
        <v>#REF!</v>
      </c>
      <c r="AI517" s="98" t="e">
        <f t="shared" si="132"/>
        <v>#REF!</v>
      </c>
      <c r="AJ517" s="97" t="e">
        <f t="shared" si="133"/>
        <v>#REF!</v>
      </c>
      <c r="AK517" s="97" t="e">
        <f t="shared" si="133"/>
        <v>#REF!</v>
      </c>
    </row>
    <row r="518" spans="19:37">
      <c r="S518" s="98">
        <f t="shared" si="122"/>
        <v>0</v>
      </c>
      <c r="T518" s="98">
        <f t="shared" si="123"/>
        <v>0</v>
      </c>
      <c r="U518" s="97">
        <f t="shared" si="124"/>
        <v>0</v>
      </c>
      <c r="V518" s="97">
        <f t="shared" si="124"/>
        <v>0</v>
      </c>
      <c r="X518" s="98" t="e">
        <f t="shared" si="125"/>
        <v>#REF!</v>
      </c>
      <c r="Y518" s="98" t="e">
        <f t="shared" si="126"/>
        <v>#REF!</v>
      </c>
      <c r="Z518" s="97" t="e">
        <f t="shared" si="127"/>
        <v>#REF!</v>
      </c>
      <c r="AA518" s="97" t="e">
        <f t="shared" si="127"/>
        <v>#REF!</v>
      </c>
      <c r="AC518" s="98" t="e">
        <f t="shared" si="128"/>
        <v>#REF!</v>
      </c>
      <c r="AD518" s="98" t="e">
        <f t="shared" si="129"/>
        <v>#REF!</v>
      </c>
      <c r="AE518" s="97" t="e">
        <f t="shared" si="130"/>
        <v>#REF!</v>
      </c>
      <c r="AF518" s="97" t="e">
        <f t="shared" si="130"/>
        <v>#REF!</v>
      </c>
      <c r="AH518" s="98" t="e">
        <f t="shared" si="131"/>
        <v>#REF!</v>
      </c>
      <c r="AI518" s="98" t="e">
        <f t="shared" si="132"/>
        <v>#REF!</v>
      </c>
      <c r="AJ518" s="97" t="e">
        <f t="shared" si="133"/>
        <v>#REF!</v>
      </c>
      <c r="AK518" s="97" t="e">
        <f t="shared" si="133"/>
        <v>#REF!</v>
      </c>
    </row>
    <row r="519" spans="19:37">
      <c r="S519" s="98">
        <f t="shared" si="122"/>
        <v>0</v>
      </c>
      <c r="T519" s="98">
        <f t="shared" si="123"/>
        <v>0</v>
      </c>
      <c r="U519" s="97">
        <f t="shared" si="124"/>
        <v>0</v>
      </c>
      <c r="V519" s="97">
        <f t="shared" si="124"/>
        <v>0</v>
      </c>
      <c r="X519" s="98" t="e">
        <f t="shared" si="125"/>
        <v>#REF!</v>
      </c>
      <c r="Y519" s="98" t="e">
        <f t="shared" si="126"/>
        <v>#REF!</v>
      </c>
      <c r="Z519" s="97" t="e">
        <f t="shared" si="127"/>
        <v>#REF!</v>
      </c>
      <c r="AA519" s="97" t="e">
        <f t="shared" si="127"/>
        <v>#REF!</v>
      </c>
      <c r="AC519" s="98" t="e">
        <f t="shared" si="128"/>
        <v>#REF!</v>
      </c>
      <c r="AD519" s="98" t="e">
        <f t="shared" si="129"/>
        <v>#REF!</v>
      </c>
      <c r="AE519" s="97" t="e">
        <f t="shared" si="130"/>
        <v>#REF!</v>
      </c>
      <c r="AF519" s="97" t="e">
        <f t="shared" si="130"/>
        <v>#REF!</v>
      </c>
      <c r="AH519" s="98" t="e">
        <f t="shared" si="131"/>
        <v>#REF!</v>
      </c>
      <c r="AI519" s="98" t="e">
        <f t="shared" si="132"/>
        <v>#REF!</v>
      </c>
      <c r="AJ519" s="97" t="e">
        <f t="shared" si="133"/>
        <v>#REF!</v>
      </c>
      <c r="AK519" s="97" t="e">
        <f t="shared" si="133"/>
        <v>#REF!</v>
      </c>
    </row>
    <row r="520" spans="19:37">
      <c r="S520" s="98">
        <f t="shared" si="122"/>
        <v>0</v>
      </c>
      <c r="T520" s="98">
        <f t="shared" si="123"/>
        <v>0</v>
      </c>
      <c r="U520" s="97">
        <f t="shared" si="124"/>
        <v>0</v>
      </c>
      <c r="V520" s="97">
        <f t="shared" si="124"/>
        <v>0</v>
      </c>
      <c r="X520" s="98" t="e">
        <f t="shared" si="125"/>
        <v>#REF!</v>
      </c>
      <c r="Y520" s="98" t="e">
        <f t="shared" si="126"/>
        <v>#REF!</v>
      </c>
      <c r="Z520" s="97" t="e">
        <f t="shared" si="127"/>
        <v>#REF!</v>
      </c>
      <c r="AA520" s="97" t="e">
        <f t="shared" si="127"/>
        <v>#REF!</v>
      </c>
      <c r="AC520" s="98" t="e">
        <f t="shared" si="128"/>
        <v>#REF!</v>
      </c>
      <c r="AD520" s="98" t="e">
        <f t="shared" si="129"/>
        <v>#REF!</v>
      </c>
      <c r="AE520" s="97" t="e">
        <f t="shared" si="130"/>
        <v>#REF!</v>
      </c>
      <c r="AF520" s="97" t="e">
        <f t="shared" si="130"/>
        <v>#REF!</v>
      </c>
      <c r="AH520" s="98" t="e">
        <f t="shared" si="131"/>
        <v>#REF!</v>
      </c>
      <c r="AI520" s="98" t="e">
        <f t="shared" si="132"/>
        <v>#REF!</v>
      </c>
      <c r="AJ520" s="97" t="e">
        <f t="shared" si="133"/>
        <v>#REF!</v>
      </c>
      <c r="AK520" s="97" t="e">
        <f t="shared" si="133"/>
        <v>#REF!</v>
      </c>
    </row>
    <row r="521" spans="19:37">
      <c r="S521" s="98">
        <f t="shared" si="122"/>
        <v>0</v>
      </c>
      <c r="T521" s="98">
        <f t="shared" si="123"/>
        <v>0</v>
      </c>
      <c r="U521" s="97">
        <f t="shared" si="124"/>
        <v>0</v>
      </c>
      <c r="V521" s="97">
        <f t="shared" si="124"/>
        <v>0</v>
      </c>
      <c r="X521" s="98" t="e">
        <f t="shared" si="125"/>
        <v>#REF!</v>
      </c>
      <c r="Y521" s="98" t="e">
        <f t="shared" si="126"/>
        <v>#REF!</v>
      </c>
      <c r="Z521" s="97" t="e">
        <f t="shared" si="127"/>
        <v>#REF!</v>
      </c>
      <c r="AA521" s="97" t="e">
        <f t="shared" si="127"/>
        <v>#REF!</v>
      </c>
      <c r="AC521" s="98" t="e">
        <f t="shared" si="128"/>
        <v>#REF!</v>
      </c>
      <c r="AD521" s="98" t="e">
        <f t="shared" si="129"/>
        <v>#REF!</v>
      </c>
      <c r="AE521" s="97" t="e">
        <f t="shared" si="130"/>
        <v>#REF!</v>
      </c>
      <c r="AF521" s="97" t="e">
        <f t="shared" si="130"/>
        <v>#REF!</v>
      </c>
      <c r="AH521" s="98" t="e">
        <f t="shared" si="131"/>
        <v>#REF!</v>
      </c>
      <c r="AI521" s="98" t="e">
        <f t="shared" si="132"/>
        <v>#REF!</v>
      </c>
      <c r="AJ521" s="97" t="e">
        <f t="shared" si="133"/>
        <v>#REF!</v>
      </c>
      <c r="AK521" s="97" t="e">
        <f t="shared" si="133"/>
        <v>#REF!</v>
      </c>
    </row>
    <row r="522" spans="19:37">
      <c r="S522" s="98">
        <f t="shared" si="122"/>
        <v>0</v>
      </c>
      <c r="T522" s="98">
        <f t="shared" si="123"/>
        <v>0</v>
      </c>
      <c r="U522" s="97">
        <f t="shared" si="124"/>
        <v>0</v>
      </c>
      <c r="V522" s="97">
        <f t="shared" si="124"/>
        <v>0</v>
      </c>
      <c r="X522" s="98" t="e">
        <f t="shared" si="125"/>
        <v>#REF!</v>
      </c>
      <c r="Y522" s="98" t="e">
        <f t="shared" si="126"/>
        <v>#REF!</v>
      </c>
      <c r="Z522" s="97" t="e">
        <f t="shared" si="127"/>
        <v>#REF!</v>
      </c>
      <c r="AA522" s="97" t="e">
        <f t="shared" si="127"/>
        <v>#REF!</v>
      </c>
      <c r="AC522" s="98" t="e">
        <f t="shared" si="128"/>
        <v>#REF!</v>
      </c>
      <c r="AD522" s="98" t="e">
        <f t="shared" si="129"/>
        <v>#REF!</v>
      </c>
      <c r="AE522" s="97" t="e">
        <f t="shared" si="130"/>
        <v>#REF!</v>
      </c>
      <c r="AF522" s="97" t="e">
        <f t="shared" si="130"/>
        <v>#REF!</v>
      </c>
      <c r="AH522" s="98" t="e">
        <f t="shared" si="131"/>
        <v>#REF!</v>
      </c>
      <c r="AI522" s="98" t="e">
        <f t="shared" si="132"/>
        <v>#REF!</v>
      </c>
      <c r="AJ522" s="97" t="e">
        <f t="shared" si="133"/>
        <v>#REF!</v>
      </c>
      <c r="AK522" s="97" t="e">
        <f t="shared" si="133"/>
        <v>#REF!</v>
      </c>
    </row>
    <row r="523" spans="19:37">
      <c r="S523" s="98">
        <f t="shared" si="122"/>
        <v>0</v>
      </c>
      <c r="T523" s="98">
        <f t="shared" si="123"/>
        <v>0</v>
      </c>
      <c r="U523" s="97">
        <f t="shared" si="124"/>
        <v>0</v>
      </c>
      <c r="V523" s="97">
        <f t="shared" si="124"/>
        <v>0</v>
      </c>
      <c r="X523" s="98" t="e">
        <f t="shared" si="125"/>
        <v>#REF!</v>
      </c>
      <c r="Y523" s="98" t="e">
        <f t="shared" si="126"/>
        <v>#REF!</v>
      </c>
      <c r="Z523" s="97" t="e">
        <f t="shared" si="127"/>
        <v>#REF!</v>
      </c>
      <c r="AA523" s="97" t="e">
        <f t="shared" si="127"/>
        <v>#REF!</v>
      </c>
      <c r="AC523" s="98" t="e">
        <f t="shared" si="128"/>
        <v>#REF!</v>
      </c>
      <c r="AD523" s="98" t="e">
        <f t="shared" si="129"/>
        <v>#REF!</v>
      </c>
      <c r="AE523" s="97" t="e">
        <f t="shared" si="130"/>
        <v>#REF!</v>
      </c>
      <c r="AF523" s="97" t="e">
        <f t="shared" si="130"/>
        <v>#REF!</v>
      </c>
      <c r="AH523" s="98" t="e">
        <f t="shared" si="131"/>
        <v>#REF!</v>
      </c>
      <c r="AI523" s="98" t="e">
        <f t="shared" si="132"/>
        <v>#REF!</v>
      </c>
      <c r="AJ523" s="97" t="e">
        <f t="shared" si="133"/>
        <v>#REF!</v>
      </c>
      <c r="AK523" s="97" t="e">
        <f t="shared" si="133"/>
        <v>#REF!</v>
      </c>
    </row>
    <row r="524" spans="19:37">
      <c r="S524" s="98">
        <f t="shared" si="122"/>
        <v>0</v>
      </c>
      <c r="T524" s="98">
        <f t="shared" si="123"/>
        <v>0</v>
      </c>
      <c r="U524" s="97">
        <f t="shared" si="124"/>
        <v>0</v>
      </c>
      <c r="V524" s="97">
        <f t="shared" si="124"/>
        <v>0</v>
      </c>
      <c r="X524" s="98" t="e">
        <f t="shared" si="125"/>
        <v>#REF!</v>
      </c>
      <c r="Y524" s="98" t="e">
        <f t="shared" si="126"/>
        <v>#REF!</v>
      </c>
      <c r="Z524" s="97" t="e">
        <f t="shared" si="127"/>
        <v>#REF!</v>
      </c>
      <c r="AA524" s="97" t="e">
        <f t="shared" si="127"/>
        <v>#REF!</v>
      </c>
      <c r="AC524" s="98" t="e">
        <f t="shared" si="128"/>
        <v>#REF!</v>
      </c>
      <c r="AD524" s="98" t="e">
        <f t="shared" si="129"/>
        <v>#REF!</v>
      </c>
      <c r="AE524" s="97" t="e">
        <f t="shared" si="130"/>
        <v>#REF!</v>
      </c>
      <c r="AF524" s="97" t="e">
        <f t="shared" si="130"/>
        <v>#REF!</v>
      </c>
      <c r="AH524" s="98" t="e">
        <f t="shared" si="131"/>
        <v>#REF!</v>
      </c>
      <c r="AI524" s="98" t="e">
        <f t="shared" si="132"/>
        <v>#REF!</v>
      </c>
      <c r="AJ524" s="97" t="e">
        <f t="shared" si="133"/>
        <v>#REF!</v>
      </c>
      <c r="AK524" s="97" t="e">
        <f t="shared" si="133"/>
        <v>#REF!</v>
      </c>
    </row>
    <row r="525" spans="19:37">
      <c r="S525" s="98">
        <f t="shared" si="122"/>
        <v>0</v>
      </c>
      <c r="T525" s="98">
        <f t="shared" si="123"/>
        <v>0</v>
      </c>
      <c r="U525" s="97">
        <f t="shared" si="124"/>
        <v>0</v>
      </c>
      <c r="V525" s="97">
        <f t="shared" si="124"/>
        <v>0</v>
      </c>
      <c r="X525" s="98" t="e">
        <f t="shared" si="125"/>
        <v>#REF!</v>
      </c>
      <c r="Y525" s="98" t="e">
        <f t="shared" si="126"/>
        <v>#REF!</v>
      </c>
      <c r="Z525" s="97" t="e">
        <f t="shared" si="127"/>
        <v>#REF!</v>
      </c>
      <c r="AA525" s="97" t="e">
        <f t="shared" si="127"/>
        <v>#REF!</v>
      </c>
      <c r="AC525" s="98" t="e">
        <f t="shared" si="128"/>
        <v>#REF!</v>
      </c>
      <c r="AD525" s="98" t="e">
        <f t="shared" si="129"/>
        <v>#REF!</v>
      </c>
      <c r="AE525" s="97" t="e">
        <f t="shared" si="130"/>
        <v>#REF!</v>
      </c>
      <c r="AF525" s="97" t="e">
        <f t="shared" si="130"/>
        <v>#REF!</v>
      </c>
      <c r="AH525" s="98" t="e">
        <f t="shared" si="131"/>
        <v>#REF!</v>
      </c>
      <c r="AI525" s="98" t="e">
        <f t="shared" si="132"/>
        <v>#REF!</v>
      </c>
      <c r="AJ525" s="97" t="e">
        <f t="shared" si="133"/>
        <v>#REF!</v>
      </c>
      <c r="AK525" s="97" t="e">
        <f t="shared" si="133"/>
        <v>#REF!</v>
      </c>
    </row>
    <row r="526" spans="19:37">
      <c r="S526" s="98">
        <f t="shared" si="122"/>
        <v>0</v>
      </c>
      <c r="T526" s="98">
        <f t="shared" si="123"/>
        <v>0</v>
      </c>
      <c r="U526" s="97">
        <f t="shared" si="124"/>
        <v>0</v>
      </c>
      <c r="V526" s="97">
        <f t="shared" si="124"/>
        <v>0</v>
      </c>
      <c r="X526" s="98" t="e">
        <f t="shared" si="125"/>
        <v>#REF!</v>
      </c>
      <c r="Y526" s="98" t="e">
        <f t="shared" si="126"/>
        <v>#REF!</v>
      </c>
      <c r="Z526" s="97" t="e">
        <f t="shared" si="127"/>
        <v>#REF!</v>
      </c>
      <c r="AA526" s="97" t="e">
        <f t="shared" si="127"/>
        <v>#REF!</v>
      </c>
      <c r="AC526" s="98" t="e">
        <f t="shared" si="128"/>
        <v>#REF!</v>
      </c>
      <c r="AD526" s="98" t="e">
        <f t="shared" si="129"/>
        <v>#REF!</v>
      </c>
      <c r="AE526" s="97" t="e">
        <f t="shared" si="130"/>
        <v>#REF!</v>
      </c>
      <c r="AF526" s="97" t="e">
        <f t="shared" si="130"/>
        <v>#REF!</v>
      </c>
      <c r="AH526" s="98" t="e">
        <f t="shared" si="131"/>
        <v>#REF!</v>
      </c>
      <c r="AI526" s="98" t="e">
        <f t="shared" si="132"/>
        <v>#REF!</v>
      </c>
      <c r="AJ526" s="97" t="e">
        <f t="shared" si="133"/>
        <v>#REF!</v>
      </c>
      <c r="AK526" s="97" t="e">
        <f t="shared" si="133"/>
        <v>#REF!</v>
      </c>
    </row>
    <row r="527" spans="19:37">
      <c r="S527" s="98">
        <f t="shared" si="122"/>
        <v>0</v>
      </c>
      <c r="T527" s="98">
        <f t="shared" si="123"/>
        <v>0</v>
      </c>
      <c r="U527" s="97">
        <f t="shared" si="124"/>
        <v>0</v>
      </c>
      <c r="V527" s="97">
        <f t="shared" si="124"/>
        <v>0</v>
      </c>
      <c r="X527" s="98" t="e">
        <f t="shared" si="125"/>
        <v>#REF!</v>
      </c>
      <c r="Y527" s="98" t="e">
        <f t="shared" si="126"/>
        <v>#REF!</v>
      </c>
      <c r="Z527" s="97" t="e">
        <f t="shared" si="127"/>
        <v>#REF!</v>
      </c>
      <c r="AA527" s="97" t="e">
        <f t="shared" si="127"/>
        <v>#REF!</v>
      </c>
      <c r="AC527" s="98" t="e">
        <f t="shared" si="128"/>
        <v>#REF!</v>
      </c>
      <c r="AD527" s="98" t="e">
        <f t="shared" si="129"/>
        <v>#REF!</v>
      </c>
      <c r="AE527" s="97" t="e">
        <f t="shared" si="130"/>
        <v>#REF!</v>
      </c>
      <c r="AF527" s="97" t="e">
        <f t="shared" si="130"/>
        <v>#REF!</v>
      </c>
      <c r="AH527" s="98" t="e">
        <f t="shared" si="131"/>
        <v>#REF!</v>
      </c>
      <c r="AI527" s="98" t="e">
        <f t="shared" si="132"/>
        <v>#REF!</v>
      </c>
      <c r="AJ527" s="97" t="e">
        <f t="shared" si="133"/>
        <v>#REF!</v>
      </c>
      <c r="AK527" s="97" t="e">
        <f t="shared" si="133"/>
        <v>#REF!</v>
      </c>
    </row>
    <row r="528" spans="19:37">
      <c r="S528" s="98">
        <f t="shared" si="122"/>
        <v>0</v>
      </c>
      <c r="T528" s="98">
        <f t="shared" si="123"/>
        <v>0</v>
      </c>
      <c r="U528" s="97">
        <f t="shared" si="124"/>
        <v>0</v>
      </c>
      <c r="V528" s="97">
        <f t="shared" si="124"/>
        <v>0</v>
      </c>
      <c r="X528" s="98" t="e">
        <f t="shared" si="125"/>
        <v>#REF!</v>
      </c>
      <c r="Y528" s="98" t="e">
        <f t="shared" si="126"/>
        <v>#REF!</v>
      </c>
      <c r="Z528" s="97" t="e">
        <f t="shared" si="127"/>
        <v>#REF!</v>
      </c>
      <c r="AA528" s="97" t="e">
        <f t="shared" si="127"/>
        <v>#REF!</v>
      </c>
      <c r="AC528" s="98" t="e">
        <f t="shared" si="128"/>
        <v>#REF!</v>
      </c>
      <c r="AD528" s="98" t="e">
        <f t="shared" si="129"/>
        <v>#REF!</v>
      </c>
      <c r="AE528" s="97" t="e">
        <f t="shared" si="130"/>
        <v>#REF!</v>
      </c>
      <c r="AF528" s="97" t="e">
        <f t="shared" si="130"/>
        <v>#REF!</v>
      </c>
      <c r="AH528" s="98" t="e">
        <f t="shared" si="131"/>
        <v>#REF!</v>
      </c>
      <c r="AI528" s="98" t="e">
        <f t="shared" si="132"/>
        <v>#REF!</v>
      </c>
      <c r="AJ528" s="97" t="e">
        <f t="shared" si="133"/>
        <v>#REF!</v>
      </c>
      <c r="AK528" s="97" t="e">
        <f t="shared" si="133"/>
        <v>#REF!</v>
      </c>
    </row>
    <row r="529" spans="19:37">
      <c r="S529" s="98">
        <f t="shared" si="122"/>
        <v>0</v>
      </c>
      <c r="T529" s="98">
        <f t="shared" si="123"/>
        <v>0</v>
      </c>
      <c r="U529" s="97">
        <f t="shared" si="124"/>
        <v>0</v>
      </c>
      <c r="V529" s="97">
        <f t="shared" si="124"/>
        <v>0</v>
      </c>
      <c r="X529" s="98" t="e">
        <f t="shared" si="125"/>
        <v>#REF!</v>
      </c>
      <c r="Y529" s="98" t="e">
        <f t="shared" si="126"/>
        <v>#REF!</v>
      </c>
      <c r="Z529" s="97" t="e">
        <f t="shared" si="127"/>
        <v>#REF!</v>
      </c>
      <c r="AA529" s="97" t="e">
        <f t="shared" si="127"/>
        <v>#REF!</v>
      </c>
      <c r="AC529" s="98" t="e">
        <f t="shared" si="128"/>
        <v>#REF!</v>
      </c>
      <c r="AD529" s="98" t="e">
        <f t="shared" si="129"/>
        <v>#REF!</v>
      </c>
      <c r="AE529" s="97" t="e">
        <f t="shared" si="130"/>
        <v>#REF!</v>
      </c>
      <c r="AF529" s="97" t="e">
        <f t="shared" si="130"/>
        <v>#REF!</v>
      </c>
      <c r="AH529" s="98" t="e">
        <f t="shared" si="131"/>
        <v>#REF!</v>
      </c>
      <c r="AI529" s="98" t="e">
        <f t="shared" si="132"/>
        <v>#REF!</v>
      </c>
      <c r="AJ529" s="97" t="e">
        <f t="shared" si="133"/>
        <v>#REF!</v>
      </c>
      <c r="AK529" s="97" t="e">
        <f t="shared" si="133"/>
        <v>#REF!</v>
      </c>
    </row>
    <row r="530" spans="19:37">
      <c r="S530" s="98">
        <f t="shared" si="122"/>
        <v>0</v>
      </c>
      <c r="T530" s="98">
        <f t="shared" si="123"/>
        <v>0</v>
      </c>
      <c r="U530" s="97">
        <f t="shared" si="124"/>
        <v>0</v>
      </c>
      <c r="V530" s="97">
        <f t="shared" si="124"/>
        <v>0</v>
      </c>
      <c r="X530" s="98" t="e">
        <f t="shared" si="125"/>
        <v>#REF!</v>
      </c>
      <c r="Y530" s="98" t="e">
        <f t="shared" si="126"/>
        <v>#REF!</v>
      </c>
      <c r="Z530" s="97" t="e">
        <f t="shared" si="127"/>
        <v>#REF!</v>
      </c>
      <c r="AA530" s="97" t="e">
        <f t="shared" si="127"/>
        <v>#REF!</v>
      </c>
      <c r="AC530" s="98" t="e">
        <f t="shared" si="128"/>
        <v>#REF!</v>
      </c>
      <c r="AD530" s="98" t="e">
        <f t="shared" si="129"/>
        <v>#REF!</v>
      </c>
      <c r="AE530" s="97" t="e">
        <f t="shared" si="130"/>
        <v>#REF!</v>
      </c>
      <c r="AF530" s="97" t="e">
        <f t="shared" si="130"/>
        <v>#REF!</v>
      </c>
      <c r="AH530" s="98" t="e">
        <f t="shared" si="131"/>
        <v>#REF!</v>
      </c>
      <c r="AI530" s="98" t="e">
        <f t="shared" si="132"/>
        <v>#REF!</v>
      </c>
      <c r="AJ530" s="97" t="e">
        <f t="shared" si="133"/>
        <v>#REF!</v>
      </c>
      <c r="AK530" s="97" t="e">
        <f t="shared" si="133"/>
        <v>#REF!</v>
      </c>
    </row>
    <row r="531" spans="19:37">
      <c r="S531" s="98">
        <f t="shared" si="122"/>
        <v>0</v>
      </c>
      <c r="T531" s="98">
        <f t="shared" si="123"/>
        <v>0</v>
      </c>
      <c r="U531" s="97">
        <f t="shared" si="124"/>
        <v>0</v>
      </c>
      <c r="V531" s="97">
        <f t="shared" si="124"/>
        <v>0</v>
      </c>
      <c r="X531" s="98" t="e">
        <f t="shared" si="125"/>
        <v>#REF!</v>
      </c>
      <c r="Y531" s="98" t="e">
        <f t="shared" si="126"/>
        <v>#REF!</v>
      </c>
      <c r="Z531" s="97" t="e">
        <f t="shared" si="127"/>
        <v>#REF!</v>
      </c>
      <c r="AA531" s="97" t="e">
        <f t="shared" si="127"/>
        <v>#REF!</v>
      </c>
      <c r="AC531" s="98" t="e">
        <f t="shared" si="128"/>
        <v>#REF!</v>
      </c>
      <c r="AD531" s="98" t="e">
        <f t="shared" si="129"/>
        <v>#REF!</v>
      </c>
      <c r="AE531" s="97" t="e">
        <f t="shared" si="130"/>
        <v>#REF!</v>
      </c>
      <c r="AF531" s="97" t="e">
        <f t="shared" si="130"/>
        <v>#REF!</v>
      </c>
      <c r="AH531" s="98" t="e">
        <f t="shared" si="131"/>
        <v>#REF!</v>
      </c>
      <c r="AI531" s="98" t="e">
        <f t="shared" si="132"/>
        <v>#REF!</v>
      </c>
      <c r="AJ531" s="97" t="e">
        <f t="shared" si="133"/>
        <v>#REF!</v>
      </c>
      <c r="AK531" s="97" t="e">
        <f t="shared" si="133"/>
        <v>#REF!</v>
      </c>
    </row>
    <row r="532" spans="19:37">
      <c r="S532" s="98">
        <f t="shared" si="122"/>
        <v>0</v>
      </c>
      <c r="T532" s="98">
        <f t="shared" si="123"/>
        <v>0</v>
      </c>
      <c r="U532" s="97">
        <f t="shared" si="124"/>
        <v>0</v>
      </c>
      <c r="V532" s="97">
        <f t="shared" si="124"/>
        <v>0</v>
      </c>
      <c r="X532" s="98" t="e">
        <f t="shared" si="125"/>
        <v>#REF!</v>
      </c>
      <c r="Y532" s="98" t="e">
        <f t="shared" si="126"/>
        <v>#REF!</v>
      </c>
      <c r="Z532" s="97" t="e">
        <f t="shared" si="127"/>
        <v>#REF!</v>
      </c>
      <c r="AA532" s="97" t="e">
        <f t="shared" si="127"/>
        <v>#REF!</v>
      </c>
      <c r="AC532" s="98" t="e">
        <f t="shared" si="128"/>
        <v>#REF!</v>
      </c>
      <c r="AD532" s="98" t="e">
        <f t="shared" si="129"/>
        <v>#REF!</v>
      </c>
      <c r="AE532" s="97" t="e">
        <f t="shared" si="130"/>
        <v>#REF!</v>
      </c>
      <c r="AF532" s="97" t="e">
        <f t="shared" si="130"/>
        <v>#REF!</v>
      </c>
      <c r="AH532" s="98" t="e">
        <f t="shared" si="131"/>
        <v>#REF!</v>
      </c>
      <c r="AI532" s="98" t="e">
        <f t="shared" si="132"/>
        <v>#REF!</v>
      </c>
      <c r="AJ532" s="97" t="e">
        <f t="shared" si="133"/>
        <v>#REF!</v>
      </c>
      <c r="AK532" s="97" t="e">
        <f t="shared" si="133"/>
        <v>#REF!</v>
      </c>
    </row>
    <row r="533" spans="19:37">
      <c r="S533" s="98">
        <f t="shared" si="122"/>
        <v>0</v>
      </c>
      <c r="T533" s="98">
        <f t="shared" si="123"/>
        <v>0</v>
      </c>
      <c r="U533" s="97">
        <f t="shared" si="124"/>
        <v>0</v>
      </c>
      <c r="V533" s="97">
        <f t="shared" si="124"/>
        <v>0</v>
      </c>
      <c r="X533" s="98" t="e">
        <f t="shared" si="125"/>
        <v>#REF!</v>
      </c>
      <c r="Y533" s="98" t="e">
        <f t="shared" si="126"/>
        <v>#REF!</v>
      </c>
      <c r="Z533" s="97" t="e">
        <f t="shared" si="127"/>
        <v>#REF!</v>
      </c>
      <c r="AA533" s="97" t="e">
        <f t="shared" si="127"/>
        <v>#REF!</v>
      </c>
      <c r="AC533" s="98" t="e">
        <f t="shared" si="128"/>
        <v>#REF!</v>
      </c>
      <c r="AD533" s="98" t="e">
        <f t="shared" si="129"/>
        <v>#REF!</v>
      </c>
      <c r="AE533" s="97" t="e">
        <f t="shared" si="130"/>
        <v>#REF!</v>
      </c>
      <c r="AF533" s="97" t="e">
        <f t="shared" si="130"/>
        <v>#REF!</v>
      </c>
      <c r="AH533" s="98" t="e">
        <f t="shared" si="131"/>
        <v>#REF!</v>
      </c>
      <c r="AI533" s="98" t="e">
        <f t="shared" si="132"/>
        <v>#REF!</v>
      </c>
      <c r="AJ533" s="97" t="e">
        <f t="shared" si="133"/>
        <v>#REF!</v>
      </c>
      <c r="AK533" s="97" t="e">
        <f t="shared" si="133"/>
        <v>#REF!</v>
      </c>
    </row>
    <row r="534" spans="19:37">
      <c r="S534" s="98">
        <f t="shared" si="122"/>
        <v>0</v>
      </c>
      <c r="T534" s="98">
        <f t="shared" si="123"/>
        <v>0</v>
      </c>
      <c r="U534" s="97">
        <f t="shared" si="124"/>
        <v>0</v>
      </c>
      <c r="V534" s="97">
        <f t="shared" si="124"/>
        <v>0</v>
      </c>
      <c r="X534" s="98" t="e">
        <f t="shared" si="125"/>
        <v>#REF!</v>
      </c>
      <c r="Y534" s="98" t="e">
        <f t="shared" si="126"/>
        <v>#REF!</v>
      </c>
      <c r="Z534" s="97" t="e">
        <f t="shared" si="127"/>
        <v>#REF!</v>
      </c>
      <c r="AA534" s="97" t="e">
        <f t="shared" si="127"/>
        <v>#REF!</v>
      </c>
      <c r="AC534" s="98" t="e">
        <f t="shared" si="128"/>
        <v>#REF!</v>
      </c>
      <c r="AD534" s="98" t="e">
        <f t="shared" si="129"/>
        <v>#REF!</v>
      </c>
      <c r="AE534" s="97" t="e">
        <f t="shared" si="130"/>
        <v>#REF!</v>
      </c>
      <c r="AF534" s="97" t="e">
        <f t="shared" si="130"/>
        <v>#REF!</v>
      </c>
      <c r="AH534" s="98" t="e">
        <f t="shared" si="131"/>
        <v>#REF!</v>
      </c>
      <c r="AI534" s="98" t="e">
        <f t="shared" si="132"/>
        <v>#REF!</v>
      </c>
      <c r="AJ534" s="97" t="e">
        <f t="shared" si="133"/>
        <v>#REF!</v>
      </c>
      <c r="AK534" s="97" t="e">
        <f t="shared" si="133"/>
        <v>#REF!</v>
      </c>
    </row>
    <row r="535" spans="19:37">
      <c r="S535" s="98">
        <f t="shared" si="122"/>
        <v>0</v>
      </c>
      <c r="T535" s="98">
        <f t="shared" si="123"/>
        <v>0</v>
      </c>
      <c r="U535" s="97">
        <f t="shared" si="124"/>
        <v>0</v>
      </c>
      <c r="V535" s="97">
        <f t="shared" si="124"/>
        <v>0</v>
      </c>
      <c r="X535" s="98" t="e">
        <f t="shared" si="125"/>
        <v>#REF!</v>
      </c>
      <c r="Y535" s="98" t="e">
        <f t="shared" si="126"/>
        <v>#REF!</v>
      </c>
      <c r="Z535" s="97" t="e">
        <f t="shared" si="127"/>
        <v>#REF!</v>
      </c>
      <c r="AA535" s="97" t="e">
        <f t="shared" si="127"/>
        <v>#REF!</v>
      </c>
      <c r="AC535" s="98" t="e">
        <f t="shared" si="128"/>
        <v>#REF!</v>
      </c>
      <c r="AD535" s="98" t="e">
        <f t="shared" si="129"/>
        <v>#REF!</v>
      </c>
      <c r="AE535" s="97" t="e">
        <f t="shared" si="130"/>
        <v>#REF!</v>
      </c>
      <c r="AF535" s="97" t="e">
        <f t="shared" si="130"/>
        <v>#REF!</v>
      </c>
      <c r="AH535" s="98" t="e">
        <f t="shared" si="131"/>
        <v>#REF!</v>
      </c>
      <c r="AI535" s="98" t="e">
        <f t="shared" si="132"/>
        <v>#REF!</v>
      </c>
      <c r="AJ535" s="97" t="e">
        <f t="shared" si="133"/>
        <v>#REF!</v>
      </c>
      <c r="AK535" s="97" t="e">
        <f t="shared" si="133"/>
        <v>#REF!</v>
      </c>
    </row>
    <row r="536" spans="19:37">
      <c r="S536" s="98">
        <f t="shared" si="122"/>
        <v>0</v>
      </c>
      <c r="T536" s="98">
        <f t="shared" si="123"/>
        <v>0</v>
      </c>
      <c r="U536" s="97">
        <f t="shared" si="124"/>
        <v>0</v>
      </c>
      <c r="V536" s="97">
        <f t="shared" si="124"/>
        <v>0</v>
      </c>
      <c r="X536" s="98" t="e">
        <f t="shared" si="125"/>
        <v>#REF!</v>
      </c>
      <c r="Y536" s="98" t="e">
        <f t="shared" si="126"/>
        <v>#REF!</v>
      </c>
      <c r="Z536" s="97" t="e">
        <f t="shared" si="127"/>
        <v>#REF!</v>
      </c>
      <c r="AA536" s="97" t="e">
        <f t="shared" si="127"/>
        <v>#REF!</v>
      </c>
      <c r="AC536" s="98" t="e">
        <f t="shared" si="128"/>
        <v>#REF!</v>
      </c>
      <c r="AD536" s="98" t="e">
        <f t="shared" si="129"/>
        <v>#REF!</v>
      </c>
      <c r="AE536" s="97" t="e">
        <f t="shared" si="130"/>
        <v>#REF!</v>
      </c>
      <c r="AF536" s="97" t="e">
        <f t="shared" si="130"/>
        <v>#REF!</v>
      </c>
      <c r="AH536" s="98" t="e">
        <f t="shared" si="131"/>
        <v>#REF!</v>
      </c>
      <c r="AI536" s="98" t="e">
        <f t="shared" si="132"/>
        <v>#REF!</v>
      </c>
      <c r="AJ536" s="97" t="e">
        <f t="shared" si="133"/>
        <v>#REF!</v>
      </c>
      <c r="AK536" s="97" t="e">
        <f t="shared" si="133"/>
        <v>#REF!</v>
      </c>
    </row>
    <row r="537" spans="19:37">
      <c r="S537" s="98">
        <f t="shared" si="122"/>
        <v>0</v>
      </c>
      <c r="T537" s="98">
        <f t="shared" si="123"/>
        <v>0</v>
      </c>
      <c r="U537" s="97">
        <f t="shared" si="124"/>
        <v>0</v>
      </c>
      <c r="V537" s="97">
        <f t="shared" si="124"/>
        <v>0</v>
      </c>
      <c r="X537" s="98" t="e">
        <f t="shared" si="125"/>
        <v>#REF!</v>
      </c>
      <c r="Y537" s="98" t="e">
        <f t="shared" si="126"/>
        <v>#REF!</v>
      </c>
      <c r="Z537" s="97" t="e">
        <f t="shared" si="127"/>
        <v>#REF!</v>
      </c>
      <c r="AA537" s="97" t="e">
        <f t="shared" si="127"/>
        <v>#REF!</v>
      </c>
      <c r="AC537" s="98" t="e">
        <f t="shared" si="128"/>
        <v>#REF!</v>
      </c>
      <c r="AD537" s="98" t="e">
        <f t="shared" si="129"/>
        <v>#REF!</v>
      </c>
      <c r="AE537" s="97" t="e">
        <f t="shared" si="130"/>
        <v>#REF!</v>
      </c>
      <c r="AF537" s="97" t="e">
        <f t="shared" si="130"/>
        <v>#REF!</v>
      </c>
      <c r="AH537" s="98" t="e">
        <f t="shared" si="131"/>
        <v>#REF!</v>
      </c>
      <c r="AI537" s="98" t="e">
        <f t="shared" si="132"/>
        <v>#REF!</v>
      </c>
      <c r="AJ537" s="97" t="e">
        <f t="shared" si="133"/>
        <v>#REF!</v>
      </c>
      <c r="AK537" s="97" t="e">
        <f t="shared" si="133"/>
        <v>#REF!</v>
      </c>
    </row>
    <row r="538" spans="19:37">
      <c r="S538" s="98">
        <f t="shared" si="122"/>
        <v>0</v>
      </c>
      <c r="T538" s="98">
        <f t="shared" si="123"/>
        <v>0</v>
      </c>
      <c r="U538" s="97">
        <f t="shared" si="124"/>
        <v>0</v>
      </c>
      <c r="V538" s="97">
        <f t="shared" si="124"/>
        <v>0</v>
      </c>
      <c r="X538" s="98" t="e">
        <f t="shared" si="125"/>
        <v>#REF!</v>
      </c>
      <c r="Y538" s="98" t="e">
        <f t="shared" si="126"/>
        <v>#REF!</v>
      </c>
      <c r="Z538" s="97" t="e">
        <f t="shared" si="127"/>
        <v>#REF!</v>
      </c>
      <c r="AA538" s="97" t="e">
        <f t="shared" si="127"/>
        <v>#REF!</v>
      </c>
      <c r="AC538" s="98" t="e">
        <f t="shared" si="128"/>
        <v>#REF!</v>
      </c>
      <c r="AD538" s="98" t="e">
        <f t="shared" si="129"/>
        <v>#REF!</v>
      </c>
      <c r="AE538" s="97" t="e">
        <f t="shared" si="130"/>
        <v>#REF!</v>
      </c>
      <c r="AF538" s="97" t="e">
        <f t="shared" si="130"/>
        <v>#REF!</v>
      </c>
      <c r="AH538" s="98" t="e">
        <f t="shared" si="131"/>
        <v>#REF!</v>
      </c>
      <c r="AI538" s="98" t="e">
        <f t="shared" si="132"/>
        <v>#REF!</v>
      </c>
      <c r="AJ538" s="97" t="e">
        <f t="shared" si="133"/>
        <v>#REF!</v>
      </c>
      <c r="AK538" s="97" t="e">
        <f t="shared" si="133"/>
        <v>#REF!</v>
      </c>
    </row>
    <row r="539" spans="19:37">
      <c r="S539" s="98">
        <f t="shared" si="122"/>
        <v>0</v>
      </c>
      <c r="T539" s="98">
        <f t="shared" si="123"/>
        <v>0</v>
      </c>
      <c r="U539" s="97">
        <f t="shared" si="124"/>
        <v>0</v>
      </c>
      <c r="V539" s="97">
        <f t="shared" si="124"/>
        <v>0</v>
      </c>
      <c r="X539" s="98" t="e">
        <f t="shared" si="125"/>
        <v>#REF!</v>
      </c>
      <c r="Y539" s="98" t="e">
        <f t="shared" si="126"/>
        <v>#REF!</v>
      </c>
      <c r="Z539" s="97" t="e">
        <f t="shared" si="127"/>
        <v>#REF!</v>
      </c>
      <c r="AA539" s="97" t="e">
        <f t="shared" si="127"/>
        <v>#REF!</v>
      </c>
      <c r="AC539" s="98" t="e">
        <f t="shared" si="128"/>
        <v>#REF!</v>
      </c>
      <c r="AD539" s="98" t="e">
        <f t="shared" si="129"/>
        <v>#REF!</v>
      </c>
      <c r="AE539" s="97" t="e">
        <f t="shared" si="130"/>
        <v>#REF!</v>
      </c>
      <c r="AF539" s="97" t="e">
        <f t="shared" si="130"/>
        <v>#REF!</v>
      </c>
      <c r="AH539" s="98" t="e">
        <f t="shared" si="131"/>
        <v>#REF!</v>
      </c>
      <c r="AI539" s="98" t="e">
        <f t="shared" si="132"/>
        <v>#REF!</v>
      </c>
      <c r="AJ539" s="97" t="e">
        <f t="shared" si="133"/>
        <v>#REF!</v>
      </c>
      <c r="AK539" s="97" t="e">
        <f t="shared" si="133"/>
        <v>#REF!</v>
      </c>
    </row>
    <row r="540" spans="19:37">
      <c r="S540" s="98">
        <f t="shared" si="122"/>
        <v>0</v>
      </c>
      <c r="T540" s="98">
        <f t="shared" si="123"/>
        <v>0</v>
      </c>
      <c r="U540" s="97">
        <f t="shared" si="124"/>
        <v>0</v>
      </c>
      <c r="V540" s="97">
        <f t="shared" si="124"/>
        <v>0</v>
      </c>
      <c r="X540" s="98" t="e">
        <f t="shared" si="125"/>
        <v>#REF!</v>
      </c>
      <c r="Y540" s="98" t="e">
        <f t="shared" si="126"/>
        <v>#REF!</v>
      </c>
      <c r="Z540" s="97" t="e">
        <f t="shared" si="127"/>
        <v>#REF!</v>
      </c>
      <c r="AA540" s="97" t="e">
        <f t="shared" si="127"/>
        <v>#REF!</v>
      </c>
      <c r="AC540" s="98" t="e">
        <f t="shared" si="128"/>
        <v>#REF!</v>
      </c>
      <c r="AD540" s="98" t="e">
        <f t="shared" si="129"/>
        <v>#REF!</v>
      </c>
      <c r="AE540" s="97" t="e">
        <f t="shared" si="130"/>
        <v>#REF!</v>
      </c>
      <c r="AF540" s="97" t="e">
        <f t="shared" si="130"/>
        <v>#REF!</v>
      </c>
      <c r="AH540" s="98" t="e">
        <f t="shared" si="131"/>
        <v>#REF!</v>
      </c>
      <c r="AI540" s="98" t="e">
        <f t="shared" si="132"/>
        <v>#REF!</v>
      </c>
      <c r="AJ540" s="97" t="e">
        <f t="shared" si="133"/>
        <v>#REF!</v>
      </c>
      <c r="AK540" s="97" t="e">
        <f t="shared" si="133"/>
        <v>#REF!</v>
      </c>
    </row>
    <row r="541" spans="19:37">
      <c r="S541" s="98">
        <f t="shared" si="122"/>
        <v>0</v>
      </c>
      <c r="T541" s="98">
        <f t="shared" si="123"/>
        <v>0</v>
      </c>
      <c r="U541" s="97">
        <f t="shared" si="124"/>
        <v>0</v>
      </c>
      <c r="V541" s="97">
        <f t="shared" si="124"/>
        <v>0</v>
      </c>
      <c r="X541" s="98" t="e">
        <f t="shared" si="125"/>
        <v>#REF!</v>
      </c>
      <c r="Y541" s="98" t="e">
        <f t="shared" si="126"/>
        <v>#REF!</v>
      </c>
      <c r="Z541" s="97" t="e">
        <f t="shared" si="127"/>
        <v>#REF!</v>
      </c>
      <c r="AA541" s="97" t="e">
        <f t="shared" si="127"/>
        <v>#REF!</v>
      </c>
      <c r="AC541" s="98" t="e">
        <f t="shared" si="128"/>
        <v>#REF!</v>
      </c>
      <c r="AD541" s="98" t="e">
        <f t="shared" si="129"/>
        <v>#REF!</v>
      </c>
      <c r="AE541" s="97" t="e">
        <f t="shared" si="130"/>
        <v>#REF!</v>
      </c>
      <c r="AF541" s="97" t="e">
        <f t="shared" si="130"/>
        <v>#REF!</v>
      </c>
      <c r="AH541" s="98" t="e">
        <f t="shared" si="131"/>
        <v>#REF!</v>
      </c>
      <c r="AI541" s="98" t="e">
        <f t="shared" si="132"/>
        <v>#REF!</v>
      </c>
      <c r="AJ541" s="97" t="e">
        <f t="shared" si="133"/>
        <v>#REF!</v>
      </c>
      <c r="AK541" s="97" t="e">
        <f t="shared" si="133"/>
        <v>#REF!</v>
      </c>
    </row>
    <row r="542" spans="19:37">
      <c r="S542" s="98">
        <f t="shared" si="122"/>
        <v>0</v>
      </c>
      <c r="T542" s="98">
        <f t="shared" si="123"/>
        <v>0</v>
      </c>
      <c r="U542" s="97">
        <f t="shared" si="124"/>
        <v>0</v>
      </c>
      <c r="V542" s="97">
        <f t="shared" si="124"/>
        <v>0</v>
      </c>
      <c r="X542" s="98" t="e">
        <f t="shared" si="125"/>
        <v>#REF!</v>
      </c>
      <c r="Y542" s="98" t="e">
        <f t="shared" si="126"/>
        <v>#REF!</v>
      </c>
      <c r="Z542" s="97" t="e">
        <f t="shared" si="127"/>
        <v>#REF!</v>
      </c>
      <c r="AA542" s="97" t="e">
        <f t="shared" si="127"/>
        <v>#REF!</v>
      </c>
      <c r="AC542" s="98" t="e">
        <f t="shared" si="128"/>
        <v>#REF!</v>
      </c>
      <c r="AD542" s="98" t="e">
        <f t="shared" si="129"/>
        <v>#REF!</v>
      </c>
      <c r="AE542" s="97" t="e">
        <f t="shared" si="130"/>
        <v>#REF!</v>
      </c>
      <c r="AF542" s="97" t="e">
        <f t="shared" si="130"/>
        <v>#REF!</v>
      </c>
      <c r="AH542" s="98" t="e">
        <f t="shared" si="131"/>
        <v>#REF!</v>
      </c>
      <c r="AI542" s="98" t="e">
        <f t="shared" si="132"/>
        <v>#REF!</v>
      </c>
      <c r="AJ542" s="97" t="e">
        <f t="shared" si="133"/>
        <v>#REF!</v>
      </c>
      <c r="AK542" s="97" t="e">
        <f t="shared" si="133"/>
        <v>#REF!</v>
      </c>
    </row>
    <row r="543" spans="19:37">
      <c r="S543" s="98">
        <f t="shared" si="122"/>
        <v>0</v>
      </c>
      <c r="T543" s="98">
        <f t="shared" si="123"/>
        <v>0</v>
      </c>
      <c r="U543" s="97">
        <f t="shared" si="124"/>
        <v>0</v>
      </c>
      <c r="V543" s="97">
        <f t="shared" si="124"/>
        <v>0</v>
      </c>
      <c r="X543" s="98" t="e">
        <f t="shared" si="125"/>
        <v>#REF!</v>
      </c>
      <c r="Y543" s="98" t="e">
        <f t="shared" si="126"/>
        <v>#REF!</v>
      </c>
      <c r="Z543" s="97" t="e">
        <f t="shared" si="127"/>
        <v>#REF!</v>
      </c>
      <c r="AA543" s="97" t="e">
        <f t="shared" si="127"/>
        <v>#REF!</v>
      </c>
      <c r="AC543" s="98" t="e">
        <f t="shared" si="128"/>
        <v>#REF!</v>
      </c>
      <c r="AD543" s="98" t="e">
        <f t="shared" si="129"/>
        <v>#REF!</v>
      </c>
      <c r="AE543" s="97" t="e">
        <f t="shared" si="130"/>
        <v>#REF!</v>
      </c>
      <c r="AF543" s="97" t="e">
        <f t="shared" si="130"/>
        <v>#REF!</v>
      </c>
      <c r="AH543" s="98" t="e">
        <f t="shared" si="131"/>
        <v>#REF!</v>
      </c>
      <c r="AI543" s="98" t="e">
        <f t="shared" si="132"/>
        <v>#REF!</v>
      </c>
      <c r="AJ543" s="97" t="e">
        <f t="shared" si="133"/>
        <v>#REF!</v>
      </c>
      <c r="AK543" s="97" t="e">
        <f t="shared" si="133"/>
        <v>#REF!</v>
      </c>
    </row>
    <row r="544" spans="19:37">
      <c r="S544" s="98">
        <f t="shared" si="122"/>
        <v>0</v>
      </c>
      <c r="T544" s="98">
        <f t="shared" si="123"/>
        <v>0</v>
      </c>
      <c r="U544" s="97">
        <f t="shared" si="124"/>
        <v>0</v>
      </c>
      <c r="V544" s="97">
        <f t="shared" si="124"/>
        <v>0</v>
      </c>
      <c r="X544" s="98" t="e">
        <f t="shared" si="125"/>
        <v>#REF!</v>
      </c>
      <c r="Y544" s="98" t="e">
        <f t="shared" si="126"/>
        <v>#REF!</v>
      </c>
      <c r="Z544" s="97" t="e">
        <f t="shared" si="127"/>
        <v>#REF!</v>
      </c>
      <c r="AA544" s="97" t="e">
        <f t="shared" si="127"/>
        <v>#REF!</v>
      </c>
      <c r="AC544" s="98" t="e">
        <f t="shared" si="128"/>
        <v>#REF!</v>
      </c>
      <c r="AD544" s="98" t="e">
        <f t="shared" si="129"/>
        <v>#REF!</v>
      </c>
      <c r="AE544" s="97" t="e">
        <f t="shared" si="130"/>
        <v>#REF!</v>
      </c>
      <c r="AF544" s="97" t="e">
        <f t="shared" si="130"/>
        <v>#REF!</v>
      </c>
      <c r="AH544" s="98" t="e">
        <f t="shared" si="131"/>
        <v>#REF!</v>
      </c>
      <c r="AI544" s="98" t="e">
        <f t="shared" si="132"/>
        <v>#REF!</v>
      </c>
      <c r="AJ544" s="97" t="e">
        <f t="shared" si="133"/>
        <v>#REF!</v>
      </c>
      <c r="AK544" s="97" t="e">
        <f t="shared" si="133"/>
        <v>#REF!</v>
      </c>
    </row>
    <row r="545" spans="19:37">
      <c r="S545" s="98">
        <f t="shared" si="122"/>
        <v>0</v>
      </c>
      <c r="T545" s="98">
        <f t="shared" si="123"/>
        <v>0</v>
      </c>
      <c r="U545" s="97">
        <f t="shared" si="124"/>
        <v>0</v>
      </c>
      <c r="V545" s="97">
        <f t="shared" si="124"/>
        <v>0</v>
      </c>
      <c r="X545" s="98" t="e">
        <f t="shared" si="125"/>
        <v>#REF!</v>
      </c>
      <c r="Y545" s="98" t="e">
        <f t="shared" si="126"/>
        <v>#REF!</v>
      </c>
      <c r="Z545" s="97" t="e">
        <f t="shared" si="127"/>
        <v>#REF!</v>
      </c>
      <c r="AA545" s="97" t="e">
        <f t="shared" si="127"/>
        <v>#REF!</v>
      </c>
      <c r="AC545" s="98" t="e">
        <f t="shared" si="128"/>
        <v>#REF!</v>
      </c>
      <c r="AD545" s="98" t="e">
        <f t="shared" si="129"/>
        <v>#REF!</v>
      </c>
      <c r="AE545" s="97" t="e">
        <f t="shared" si="130"/>
        <v>#REF!</v>
      </c>
      <c r="AF545" s="97" t="e">
        <f t="shared" si="130"/>
        <v>#REF!</v>
      </c>
      <c r="AH545" s="98" t="e">
        <f t="shared" si="131"/>
        <v>#REF!</v>
      </c>
      <c r="AI545" s="98" t="e">
        <f t="shared" si="132"/>
        <v>#REF!</v>
      </c>
      <c r="AJ545" s="97" t="e">
        <f t="shared" si="133"/>
        <v>#REF!</v>
      </c>
      <c r="AK545" s="97" t="e">
        <f t="shared" si="133"/>
        <v>#REF!</v>
      </c>
    </row>
    <row r="546" spans="19:37">
      <c r="S546" s="98">
        <f t="shared" si="122"/>
        <v>0</v>
      </c>
      <c r="T546" s="98">
        <f t="shared" si="123"/>
        <v>0</v>
      </c>
      <c r="U546" s="97">
        <f t="shared" si="124"/>
        <v>0</v>
      </c>
      <c r="V546" s="97">
        <f t="shared" si="124"/>
        <v>0</v>
      </c>
      <c r="X546" s="98" t="e">
        <f t="shared" si="125"/>
        <v>#REF!</v>
      </c>
      <c r="Y546" s="98" t="e">
        <f t="shared" si="126"/>
        <v>#REF!</v>
      </c>
      <c r="Z546" s="97" t="e">
        <f t="shared" si="127"/>
        <v>#REF!</v>
      </c>
      <c r="AA546" s="97" t="e">
        <f t="shared" si="127"/>
        <v>#REF!</v>
      </c>
      <c r="AC546" s="98" t="e">
        <f t="shared" si="128"/>
        <v>#REF!</v>
      </c>
      <c r="AD546" s="98" t="e">
        <f t="shared" si="129"/>
        <v>#REF!</v>
      </c>
      <c r="AE546" s="97" t="e">
        <f t="shared" si="130"/>
        <v>#REF!</v>
      </c>
      <c r="AF546" s="97" t="e">
        <f t="shared" si="130"/>
        <v>#REF!</v>
      </c>
      <c r="AH546" s="98" t="e">
        <f t="shared" si="131"/>
        <v>#REF!</v>
      </c>
      <c r="AI546" s="98" t="e">
        <f t="shared" si="132"/>
        <v>#REF!</v>
      </c>
      <c r="AJ546" s="97" t="e">
        <f t="shared" si="133"/>
        <v>#REF!</v>
      </c>
      <c r="AK546" s="97" t="e">
        <f t="shared" si="133"/>
        <v>#REF!</v>
      </c>
    </row>
    <row r="547" spans="19:37">
      <c r="S547" s="98">
        <f t="shared" si="122"/>
        <v>0</v>
      </c>
      <c r="T547" s="98">
        <f t="shared" si="123"/>
        <v>0</v>
      </c>
      <c r="U547" s="97">
        <f t="shared" si="124"/>
        <v>0</v>
      </c>
      <c r="V547" s="97">
        <f t="shared" si="124"/>
        <v>0</v>
      </c>
      <c r="X547" s="98" t="e">
        <f t="shared" si="125"/>
        <v>#REF!</v>
      </c>
      <c r="Y547" s="98" t="e">
        <f t="shared" si="126"/>
        <v>#REF!</v>
      </c>
      <c r="Z547" s="97" t="e">
        <f t="shared" si="127"/>
        <v>#REF!</v>
      </c>
      <c r="AA547" s="97" t="e">
        <f t="shared" si="127"/>
        <v>#REF!</v>
      </c>
      <c r="AC547" s="98" t="e">
        <f t="shared" si="128"/>
        <v>#REF!</v>
      </c>
      <c r="AD547" s="98" t="e">
        <f t="shared" si="129"/>
        <v>#REF!</v>
      </c>
      <c r="AE547" s="97" t="e">
        <f t="shared" si="130"/>
        <v>#REF!</v>
      </c>
      <c r="AF547" s="97" t="e">
        <f t="shared" si="130"/>
        <v>#REF!</v>
      </c>
      <c r="AH547" s="98" t="e">
        <f t="shared" si="131"/>
        <v>#REF!</v>
      </c>
      <c r="AI547" s="98" t="e">
        <f t="shared" si="132"/>
        <v>#REF!</v>
      </c>
      <c r="AJ547" s="97" t="e">
        <f t="shared" si="133"/>
        <v>#REF!</v>
      </c>
      <c r="AK547" s="97" t="e">
        <f t="shared" si="133"/>
        <v>#REF!</v>
      </c>
    </row>
    <row r="548" spans="19:37">
      <c r="S548" s="98">
        <f t="shared" si="122"/>
        <v>0</v>
      </c>
      <c r="T548" s="98">
        <f t="shared" si="123"/>
        <v>0</v>
      </c>
      <c r="U548" s="97">
        <f t="shared" si="124"/>
        <v>0</v>
      </c>
      <c r="V548" s="97">
        <f t="shared" si="124"/>
        <v>0</v>
      </c>
      <c r="X548" s="98" t="e">
        <f t="shared" si="125"/>
        <v>#REF!</v>
      </c>
      <c r="Y548" s="98" t="e">
        <f t="shared" si="126"/>
        <v>#REF!</v>
      </c>
      <c r="Z548" s="97" t="e">
        <f t="shared" si="127"/>
        <v>#REF!</v>
      </c>
      <c r="AA548" s="97" t="e">
        <f t="shared" si="127"/>
        <v>#REF!</v>
      </c>
      <c r="AC548" s="98" t="e">
        <f t="shared" si="128"/>
        <v>#REF!</v>
      </c>
      <c r="AD548" s="98" t="e">
        <f t="shared" si="129"/>
        <v>#REF!</v>
      </c>
      <c r="AE548" s="97" t="e">
        <f t="shared" si="130"/>
        <v>#REF!</v>
      </c>
      <c r="AF548" s="97" t="e">
        <f t="shared" si="130"/>
        <v>#REF!</v>
      </c>
      <c r="AH548" s="98" t="e">
        <f t="shared" si="131"/>
        <v>#REF!</v>
      </c>
      <c r="AI548" s="98" t="e">
        <f t="shared" si="132"/>
        <v>#REF!</v>
      </c>
      <c r="AJ548" s="97" t="e">
        <f t="shared" si="133"/>
        <v>#REF!</v>
      </c>
      <c r="AK548" s="97" t="e">
        <f t="shared" si="133"/>
        <v>#REF!</v>
      </c>
    </row>
    <row r="549" spans="19:37">
      <c r="S549" s="98">
        <f t="shared" si="122"/>
        <v>0</v>
      </c>
      <c r="T549" s="98">
        <f t="shared" si="123"/>
        <v>0</v>
      </c>
      <c r="U549" s="97">
        <f t="shared" si="124"/>
        <v>0</v>
      </c>
      <c r="V549" s="97">
        <f t="shared" si="124"/>
        <v>0</v>
      </c>
      <c r="X549" s="98" t="e">
        <f t="shared" si="125"/>
        <v>#REF!</v>
      </c>
      <c r="Y549" s="98" t="e">
        <f t="shared" si="126"/>
        <v>#REF!</v>
      </c>
      <c r="Z549" s="97" t="e">
        <f t="shared" si="127"/>
        <v>#REF!</v>
      </c>
      <c r="AA549" s="97" t="e">
        <f t="shared" si="127"/>
        <v>#REF!</v>
      </c>
      <c r="AC549" s="98" t="e">
        <f t="shared" si="128"/>
        <v>#REF!</v>
      </c>
      <c r="AD549" s="98" t="e">
        <f t="shared" si="129"/>
        <v>#REF!</v>
      </c>
      <c r="AE549" s="97" t="e">
        <f t="shared" si="130"/>
        <v>#REF!</v>
      </c>
      <c r="AF549" s="97" t="e">
        <f t="shared" si="130"/>
        <v>#REF!</v>
      </c>
      <c r="AH549" s="98" t="e">
        <f t="shared" si="131"/>
        <v>#REF!</v>
      </c>
      <c r="AI549" s="98" t="e">
        <f t="shared" si="132"/>
        <v>#REF!</v>
      </c>
      <c r="AJ549" s="97" t="e">
        <f t="shared" si="133"/>
        <v>#REF!</v>
      </c>
      <c r="AK549" s="97" t="e">
        <f t="shared" si="133"/>
        <v>#REF!</v>
      </c>
    </row>
    <row r="550" spans="19:37">
      <c r="S550" s="98">
        <f t="shared" si="122"/>
        <v>0</v>
      </c>
      <c r="T550" s="98">
        <f t="shared" si="123"/>
        <v>0</v>
      </c>
      <c r="U550" s="97">
        <f t="shared" si="124"/>
        <v>0</v>
      </c>
      <c r="V550" s="97">
        <f t="shared" si="124"/>
        <v>0</v>
      </c>
      <c r="X550" s="98" t="e">
        <f t="shared" si="125"/>
        <v>#REF!</v>
      </c>
      <c r="Y550" s="98" t="e">
        <f t="shared" si="126"/>
        <v>#REF!</v>
      </c>
      <c r="Z550" s="97" t="e">
        <f t="shared" si="127"/>
        <v>#REF!</v>
      </c>
      <c r="AA550" s="97" t="e">
        <f t="shared" si="127"/>
        <v>#REF!</v>
      </c>
      <c r="AC550" s="98" t="e">
        <f t="shared" si="128"/>
        <v>#REF!</v>
      </c>
      <c r="AD550" s="98" t="e">
        <f t="shared" si="129"/>
        <v>#REF!</v>
      </c>
      <c r="AE550" s="97" t="e">
        <f t="shared" si="130"/>
        <v>#REF!</v>
      </c>
      <c r="AF550" s="97" t="e">
        <f t="shared" si="130"/>
        <v>#REF!</v>
      </c>
      <c r="AH550" s="98" t="e">
        <f t="shared" si="131"/>
        <v>#REF!</v>
      </c>
      <c r="AI550" s="98" t="e">
        <f t="shared" si="132"/>
        <v>#REF!</v>
      </c>
      <c r="AJ550" s="97" t="e">
        <f t="shared" si="133"/>
        <v>#REF!</v>
      </c>
      <c r="AK550" s="97" t="e">
        <f t="shared" si="133"/>
        <v>#REF!</v>
      </c>
    </row>
    <row r="551" spans="19:37">
      <c r="S551" s="98">
        <f t="shared" si="122"/>
        <v>0</v>
      </c>
      <c r="T551" s="98">
        <f t="shared" si="123"/>
        <v>0</v>
      </c>
      <c r="U551" s="97">
        <f t="shared" si="124"/>
        <v>0</v>
      </c>
      <c r="V551" s="97">
        <f t="shared" si="124"/>
        <v>0</v>
      </c>
      <c r="X551" s="98" t="e">
        <f t="shared" si="125"/>
        <v>#REF!</v>
      </c>
      <c r="Y551" s="98" t="e">
        <f t="shared" si="126"/>
        <v>#REF!</v>
      </c>
      <c r="Z551" s="97" t="e">
        <f t="shared" si="127"/>
        <v>#REF!</v>
      </c>
      <c r="AA551" s="97" t="e">
        <f t="shared" si="127"/>
        <v>#REF!</v>
      </c>
      <c r="AC551" s="98" t="e">
        <f t="shared" si="128"/>
        <v>#REF!</v>
      </c>
      <c r="AD551" s="98" t="e">
        <f t="shared" si="129"/>
        <v>#REF!</v>
      </c>
      <c r="AE551" s="97" t="e">
        <f t="shared" si="130"/>
        <v>#REF!</v>
      </c>
      <c r="AF551" s="97" t="e">
        <f t="shared" si="130"/>
        <v>#REF!</v>
      </c>
      <c r="AH551" s="98" t="e">
        <f t="shared" si="131"/>
        <v>#REF!</v>
      </c>
      <c r="AI551" s="98" t="e">
        <f t="shared" si="132"/>
        <v>#REF!</v>
      </c>
      <c r="AJ551" s="97" t="e">
        <f t="shared" si="133"/>
        <v>#REF!</v>
      </c>
      <c r="AK551" s="97" t="e">
        <f t="shared" si="133"/>
        <v>#REF!</v>
      </c>
    </row>
    <row r="552" spans="19:37">
      <c r="S552" s="98">
        <f t="shared" si="122"/>
        <v>0</v>
      </c>
      <c r="T552" s="98">
        <f t="shared" si="123"/>
        <v>0</v>
      </c>
      <c r="U552" s="97">
        <f t="shared" si="124"/>
        <v>0</v>
      </c>
      <c r="V552" s="97">
        <f t="shared" si="124"/>
        <v>0</v>
      </c>
      <c r="X552" s="98" t="e">
        <f t="shared" si="125"/>
        <v>#REF!</v>
      </c>
      <c r="Y552" s="98" t="e">
        <f t="shared" si="126"/>
        <v>#REF!</v>
      </c>
      <c r="Z552" s="97" t="e">
        <f t="shared" si="127"/>
        <v>#REF!</v>
      </c>
      <c r="AA552" s="97" t="e">
        <f t="shared" si="127"/>
        <v>#REF!</v>
      </c>
      <c r="AC552" s="98" t="e">
        <f t="shared" si="128"/>
        <v>#REF!</v>
      </c>
      <c r="AD552" s="98" t="e">
        <f t="shared" si="129"/>
        <v>#REF!</v>
      </c>
      <c r="AE552" s="97" t="e">
        <f t="shared" si="130"/>
        <v>#REF!</v>
      </c>
      <c r="AF552" s="97" t="e">
        <f t="shared" si="130"/>
        <v>#REF!</v>
      </c>
      <c r="AH552" s="98" t="e">
        <f t="shared" si="131"/>
        <v>#REF!</v>
      </c>
      <c r="AI552" s="98" t="e">
        <f t="shared" si="132"/>
        <v>#REF!</v>
      </c>
      <c r="AJ552" s="97" t="e">
        <f t="shared" si="133"/>
        <v>#REF!</v>
      </c>
      <c r="AK552" s="97" t="e">
        <f t="shared" si="133"/>
        <v>#REF!</v>
      </c>
    </row>
    <row r="553" spans="19:37">
      <c r="S553" s="98">
        <f t="shared" si="122"/>
        <v>0</v>
      </c>
      <c r="T553" s="98">
        <f t="shared" si="123"/>
        <v>0</v>
      </c>
      <c r="U553" s="97">
        <f t="shared" si="124"/>
        <v>0</v>
      </c>
      <c r="V553" s="97">
        <f t="shared" si="124"/>
        <v>0</v>
      </c>
      <c r="X553" s="98" t="e">
        <f t="shared" si="125"/>
        <v>#REF!</v>
      </c>
      <c r="Y553" s="98" t="e">
        <f t="shared" si="126"/>
        <v>#REF!</v>
      </c>
      <c r="Z553" s="97" t="e">
        <f t="shared" si="127"/>
        <v>#REF!</v>
      </c>
      <c r="AA553" s="97" t="e">
        <f t="shared" si="127"/>
        <v>#REF!</v>
      </c>
      <c r="AC553" s="98" t="e">
        <f t="shared" si="128"/>
        <v>#REF!</v>
      </c>
      <c r="AD553" s="98" t="e">
        <f t="shared" si="129"/>
        <v>#REF!</v>
      </c>
      <c r="AE553" s="97" t="e">
        <f t="shared" si="130"/>
        <v>#REF!</v>
      </c>
      <c r="AF553" s="97" t="e">
        <f t="shared" si="130"/>
        <v>#REF!</v>
      </c>
      <c r="AH553" s="98" t="e">
        <f t="shared" si="131"/>
        <v>#REF!</v>
      </c>
      <c r="AI553" s="98" t="e">
        <f t="shared" si="132"/>
        <v>#REF!</v>
      </c>
      <c r="AJ553" s="97" t="e">
        <f t="shared" si="133"/>
        <v>#REF!</v>
      </c>
      <c r="AK553" s="97" t="e">
        <f t="shared" si="133"/>
        <v>#REF!</v>
      </c>
    </row>
    <row r="554" spans="19:37">
      <c r="S554" s="98">
        <f t="shared" si="122"/>
        <v>0</v>
      </c>
      <c r="T554" s="98">
        <f t="shared" si="123"/>
        <v>0</v>
      </c>
      <c r="U554" s="97">
        <f t="shared" si="124"/>
        <v>0</v>
      </c>
      <c r="V554" s="97">
        <f t="shared" si="124"/>
        <v>0</v>
      </c>
      <c r="X554" s="98" t="e">
        <f t="shared" si="125"/>
        <v>#REF!</v>
      </c>
      <c r="Y554" s="98" t="e">
        <f t="shared" si="126"/>
        <v>#REF!</v>
      </c>
      <c r="Z554" s="97" t="e">
        <f t="shared" si="127"/>
        <v>#REF!</v>
      </c>
      <c r="AA554" s="97" t="e">
        <f t="shared" si="127"/>
        <v>#REF!</v>
      </c>
      <c r="AC554" s="98" t="e">
        <f t="shared" si="128"/>
        <v>#REF!</v>
      </c>
      <c r="AD554" s="98" t="e">
        <f t="shared" si="129"/>
        <v>#REF!</v>
      </c>
      <c r="AE554" s="97" t="e">
        <f t="shared" si="130"/>
        <v>#REF!</v>
      </c>
      <c r="AF554" s="97" t="e">
        <f t="shared" si="130"/>
        <v>#REF!</v>
      </c>
      <c r="AH554" s="98" t="e">
        <f t="shared" si="131"/>
        <v>#REF!</v>
      </c>
      <c r="AI554" s="98" t="e">
        <f t="shared" si="132"/>
        <v>#REF!</v>
      </c>
      <c r="AJ554" s="97" t="e">
        <f t="shared" si="133"/>
        <v>#REF!</v>
      </c>
      <c r="AK554" s="97" t="e">
        <f t="shared" si="133"/>
        <v>#REF!</v>
      </c>
    </row>
    <row r="555" spans="19:37">
      <c r="S555" s="98">
        <f t="shared" si="122"/>
        <v>0</v>
      </c>
      <c r="T555" s="98">
        <f t="shared" si="123"/>
        <v>0</v>
      </c>
      <c r="U555" s="97">
        <f t="shared" si="124"/>
        <v>0</v>
      </c>
      <c r="V555" s="97">
        <f t="shared" si="124"/>
        <v>0</v>
      </c>
      <c r="X555" s="98" t="e">
        <f t="shared" si="125"/>
        <v>#REF!</v>
      </c>
      <c r="Y555" s="98" t="e">
        <f t="shared" si="126"/>
        <v>#REF!</v>
      </c>
      <c r="Z555" s="97" t="e">
        <f t="shared" si="127"/>
        <v>#REF!</v>
      </c>
      <c r="AA555" s="97" t="e">
        <f t="shared" si="127"/>
        <v>#REF!</v>
      </c>
      <c r="AC555" s="98" t="e">
        <f t="shared" si="128"/>
        <v>#REF!</v>
      </c>
      <c r="AD555" s="98" t="e">
        <f t="shared" si="129"/>
        <v>#REF!</v>
      </c>
      <c r="AE555" s="97" t="e">
        <f t="shared" si="130"/>
        <v>#REF!</v>
      </c>
      <c r="AF555" s="97" t="e">
        <f t="shared" si="130"/>
        <v>#REF!</v>
      </c>
      <c r="AH555" s="98" t="e">
        <f t="shared" si="131"/>
        <v>#REF!</v>
      </c>
      <c r="AI555" s="98" t="e">
        <f t="shared" si="132"/>
        <v>#REF!</v>
      </c>
      <c r="AJ555" s="97" t="e">
        <f t="shared" si="133"/>
        <v>#REF!</v>
      </c>
      <c r="AK555" s="97" t="e">
        <f t="shared" si="133"/>
        <v>#REF!</v>
      </c>
    </row>
    <row r="556" spans="19:37">
      <c r="S556" s="98">
        <f t="shared" si="122"/>
        <v>0</v>
      </c>
      <c r="T556" s="98">
        <f t="shared" si="123"/>
        <v>0</v>
      </c>
      <c r="U556" s="97">
        <f t="shared" si="124"/>
        <v>0</v>
      </c>
      <c r="V556" s="97">
        <f t="shared" si="124"/>
        <v>0</v>
      </c>
      <c r="X556" s="98" t="e">
        <f t="shared" si="125"/>
        <v>#REF!</v>
      </c>
      <c r="Y556" s="98" t="e">
        <f t="shared" si="126"/>
        <v>#REF!</v>
      </c>
      <c r="Z556" s="97" t="e">
        <f t="shared" si="127"/>
        <v>#REF!</v>
      </c>
      <c r="AA556" s="97" t="e">
        <f t="shared" si="127"/>
        <v>#REF!</v>
      </c>
      <c r="AC556" s="98" t="e">
        <f t="shared" si="128"/>
        <v>#REF!</v>
      </c>
      <c r="AD556" s="98" t="e">
        <f t="shared" si="129"/>
        <v>#REF!</v>
      </c>
      <c r="AE556" s="97" t="e">
        <f t="shared" si="130"/>
        <v>#REF!</v>
      </c>
      <c r="AF556" s="97" t="e">
        <f t="shared" si="130"/>
        <v>#REF!</v>
      </c>
      <c r="AH556" s="98" t="e">
        <f t="shared" si="131"/>
        <v>#REF!</v>
      </c>
      <c r="AI556" s="98" t="e">
        <f t="shared" si="132"/>
        <v>#REF!</v>
      </c>
      <c r="AJ556" s="97" t="e">
        <f t="shared" si="133"/>
        <v>#REF!</v>
      </c>
      <c r="AK556" s="97" t="e">
        <f t="shared" si="133"/>
        <v>#REF!</v>
      </c>
    </row>
    <row r="557" spans="19:37">
      <c r="S557" s="98">
        <f t="shared" si="122"/>
        <v>0</v>
      </c>
      <c r="T557" s="98">
        <f t="shared" si="123"/>
        <v>0</v>
      </c>
      <c r="U557" s="97">
        <f t="shared" si="124"/>
        <v>0</v>
      </c>
      <c r="V557" s="97">
        <f t="shared" si="124"/>
        <v>0</v>
      </c>
      <c r="X557" s="98" t="e">
        <f t="shared" si="125"/>
        <v>#REF!</v>
      </c>
      <c r="Y557" s="98" t="e">
        <f t="shared" si="126"/>
        <v>#REF!</v>
      </c>
      <c r="Z557" s="97" t="e">
        <f t="shared" si="127"/>
        <v>#REF!</v>
      </c>
      <c r="AA557" s="97" t="e">
        <f t="shared" si="127"/>
        <v>#REF!</v>
      </c>
      <c r="AC557" s="98" t="e">
        <f t="shared" si="128"/>
        <v>#REF!</v>
      </c>
      <c r="AD557" s="98" t="e">
        <f t="shared" si="129"/>
        <v>#REF!</v>
      </c>
      <c r="AE557" s="97" t="e">
        <f t="shared" si="130"/>
        <v>#REF!</v>
      </c>
      <c r="AF557" s="97" t="e">
        <f t="shared" si="130"/>
        <v>#REF!</v>
      </c>
      <c r="AH557" s="98" t="e">
        <f t="shared" si="131"/>
        <v>#REF!</v>
      </c>
      <c r="AI557" s="98" t="e">
        <f t="shared" si="132"/>
        <v>#REF!</v>
      </c>
      <c r="AJ557" s="97" t="e">
        <f t="shared" si="133"/>
        <v>#REF!</v>
      </c>
      <c r="AK557" s="97" t="e">
        <f t="shared" si="133"/>
        <v>#REF!</v>
      </c>
    </row>
    <row r="558" spans="19:37">
      <c r="S558" s="98">
        <f t="shared" si="122"/>
        <v>0</v>
      </c>
      <c r="T558" s="98">
        <f t="shared" si="123"/>
        <v>0</v>
      </c>
      <c r="U558" s="97">
        <f t="shared" si="124"/>
        <v>0</v>
      </c>
      <c r="V558" s="97">
        <f t="shared" si="124"/>
        <v>0</v>
      </c>
      <c r="X558" s="98" t="e">
        <f t="shared" si="125"/>
        <v>#REF!</v>
      </c>
      <c r="Y558" s="98" t="e">
        <f t="shared" si="126"/>
        <v>#REF!</v>
      </c>
      <c r="Z558" s="97" t="e">
        <f t="shared" si="127"/>
        <v>#REF!</v>
      </c>
      <c r="AA558" s="97" t="e">
        <f t="shared" si="127"/>
        <v>#REF!</v>
      </c>
      <c r="AC558" s="98" t="e">
        <f t="shared" si="128"/>
        <v>#REF!</v>
      </c>
      <c r="AD558" s="98" t="e">
        <f t="shared" si="129"/>
        <v>#REF!</v>
      </c>
      <c r="AE558" s="97" t="e">
        <f t="shared" si="130"/>
        <v>#REF!</v>
      </c>
      <c r="AF558" s="97" t="e">
        <f t="shared" si="130"/>
        <v>#REF!</v>
      </c>
      <c r="AH558" s="98" t="e">
        <f t="shared" si="131"/>
        <v>#REF!</v>
      </c>
      <c r="AI558" s="98" t="e">
        <f t="shared" si="132"/>
        <v>#REF!</v>
      </c>
      <c r="AJ558" s="97" t="e">
        <f t="shared" si="133"/>
        <v>#REF!</v>
      </c>
      <c r="AK558" s="97" t="e">
        <f t="shared" si="133"/>
        <v>#REF!</v>
      </c>
    </row>
    <row r="559" spans="19:37">
      <c r="S559" s="98">
        <f t="shared" si="122"/>
        <v>0</v>
      </c>
      <c r="T559" s="98">
        <f t="shared" si="123"/>
        <v>0</v>
      </c>
      <c r="U559" s="97">
        <f t="shared" si="124"/>
        <v>0</v>
      </c>
      <c r="V559" s="97">
        <f t="shared" si="124"/>
        <v>0</v>
      </c>
      <c r="X559" s="98" t="e">
        <f t="shared" si="125"/>
        <v>#REF!</v>
      </c>
      <c r="Y559" s="98" t="e">
        <f t="shared" si="126"/>
        <v>#REF!</v>
      </c>
      <c r="Z559" s="97" t="e">
        <f t="shared" si="127"/>
        <v>#REF!</v>
      </c>
      <c r="AA559" s="97" t="e">
        <f t="shared" si="127"/>
        <v>#REF!</v>
      </c>
      <c r="AC559" s="98" t="e">
        <f t="shared" si="128"/>
        <v>#REF!</v>
      </c>
      <c r="AD559" s="98" t="e">
        <f t="shared" si="129"/>
        <v>#REF!</v>
      </c>
      <c r="AE559" s="97" t="e">
        <f t="shared" si="130"/>
        <v>#REF!</v>
      </c>
      <c r="AF559" s="97" t="e">
        <f t="shared" si="130"/>
        <v>#REF!</v>
      </c>
      <c r="AH559" s="98" t="e">
        <f t="shared" si="131"/>
        <v>#REF!</v>
      </c>
      <c r="AI559" s="98" t="e">
        <f t="shared" si="132"/>
        <v>#REF!</v>
      </c>
      <c r="AJ559" s="97" t="e">
        <f t="shared" si="133"/>
        <v>#REF!</v>
      </c>
      <c r="AK559" s="97" t="e">
        <f t="shared" si="133"/>
        <v>#REF!</v>
      </c>
    </row>
    <row r="560" spans="19:37">
      <c r="S560" s="98">
        <f t="shared" si="122"/>
        <v>0</v>
      </c>
      <c r="T560" s="98">
        <f t="shared" si="123"/>
        <v>0</v>
      </c>
      <c r="U560" s="97">
        <f t="shared" si="124"/>
        <v>0</v>
      </c>
      <c r="V560" s="97">
        <f t="shared" si="124"/>
        <v>0</v>
      </c>
      <c r="X560" s="98" t="e">
        <f t="shared" si="125"/>
        <v>#REF!</v>
      </c>
      <c r="Y560" s="98" t="e">
        <f t="shared" si="126"/>
        <v>#REF!</v>
      </c>
      <c r="Z560" s="97" t="e">
        <f t="shared" si="127"/>
        <v>#REF!</v>
      </c>
      <c r="AA560" s="97" t="e">
        <f t="shared" si="127"/>
        <v>#REF!</v>
      </c>
      <c r="AC560" s="98" t="e">
        <f t="shared" si="128"/>
        <v>#REF!</v>
      </c>
      <c r="AD560" s="98" t="e">
        <f t="shared" si="129"/>
        <v>#REF!</v>
      </c>
      <c r="AE560" s="97" t="e">
        <f t="shared" si="130"/>
        <v>#REF!</v>
      </c>
      <c r="AF560" s="97" t="e">
        <f t="shared" si="130"/>
        <v>#REF!</v>
      </c>
      <c r="AH560" s="98" t="e">
        <f t="shared" si="131"/>
        <v>#REF!</v>
      </c>
      <c r="AI560" s="98" t="e">
        <f t="shared" si="132"/>
        <v>#REF!</v>
      </c>
      <c r="AJ560" s="97" t="e">
        <f t="shared" si="133"/>
        <v>#REF!</v>
      </c>
      <c r="AK560" s="97" t="e">
        <f t="shared" si="133"/>
        <v>#REF!</v>
      </c>
    </row>
    <row r="561" spans="19:37">
      <c r="S561" s="98">
        <f t="shared" si="122"/>
        <v>0</v>
      </c>
      <c r="T561" s="98">
        <f t="shared" si="123"/>
        <v>0</v>
      </c>
      <c r="U561" s="97">
        <f t="shared" si="124"/>
        <v>0</v>
      </c>
      <c r="V561" s="97">
        <f t="shared" si="124"/>
        <v>0</v>
      </c>
      <c r="X561" s="98" t="e">
        <f t="shared" si="125"/>
        <v>#REF!</v>
      </c>
      <c r="Y561" s="98" t="e">
        <f t="shared" si="126"/>
        <v>#REF!</v>
      </c>
      <c r="Z561" s="97" t="e">
        <f t="shared" si="127"/>
        <v>#REF!</v>
      </c>
      <c r="AA561" s="97" t="e">
        <f t="shared" si="127"/>
        <v>#REF!</v>
      </c>
      <c r="AC561" s="98" t="e">
        <f t="shared" si="128"/>
        <v>#REF!</v>
      </c>
      <c r="AD561" s="98" t="e">
        <f t="shared" si="129"/>
        <v>#REF!</v>
      </c>
      <c r="AE561" s="97" t="e">
        <f t="shared" si="130"/>
        <v>#REF!</v>
      </c>
      <c r="AF561" s="97" t="e">
        <f t="shared" si="130"/>
        <v>#REF!</v>
      </c>
      <c r="AH561" s="98" t="e">
        <f t="shared" si="131"/>
        <v>#REF!</v>
      </c>
      <c r="AI561" s="98" t="e">
        <f t="shared" si="132"/>
        <v>#REF!</v>
      </c>
      <c r="AJ561" s="97" t="e">
        <f t="shared" si="133"/>
        <v>#REF!</v>
      </c>
      <c r="AK561" s="97" t="e">
        <f t="shared" si="133"/>
        <v>#REF!</v>
      </c>
    </row>
    <row r="562" spans="19:37">
      <c r="S562" s="98">
        <f t="shared" si="122"/>
        <v>0</v>
      </c>
      <c r="T562" s="98">
        <f t="shared" si="123"/>
        <v>0</v>
      </c>
      <c r="U562" s="97">
        <f t="shared" si="124"/>
        <v>0</v>
      </c>
      <c r="V562" s="97">
        <f t="shared" si="124"/>
        <v>0</v>
      </c>
      <c r="X562" s="98" t="e">
        <f t="shared" si="125"/>
        <v>#REF!</v>
      </c>
      <c r="Y562" s="98" t="e">
        <f t="shared" si="126"/>
        <v>#REF!</v>
      </c>
      <c r="Z562" s="97" t="e">
        <f t="shared" si="127"/>
        <v>#REF!</v>
      </c>
      <c r="AA562" s="97" t="e">
        <f t="shared" si="127"/>
        <v>#REF!</v>
      </c>
      <c r="AC562" s="98" t="e">
        <f t="shared" si="128"/>
        <v>#REF!</v>
      </c>
      <c r="AD562" s="98" t="e">
        <f t="shared" si="129"/>
        <v>#REF!</v>
      </c>
      <c r="AE562" s="97" t="e">
        <f t="shared" si="130"/>
        <v>#REF!</v>
      </c>
      <c r="AF562" s="97" t="e">
        <f t="shared" si="130"/>
        <v>#REF!</v>
      </c>
      <c r="AH562" s="98" t="e">
        <f t="shared" si="131"/>
        <v>#REF!</v>
      </c>
      <c r="AI562" s="98" t="e">
        <f t="shared" si="132"/>
        <v>#REF!</v>
      </c>
      <c r="AJ562" s="97" t="e">
        <f t="shared" si="133"/>
        <v>#REF!</v>
      </c>
      <c r="AK562" s="97" t="e">
        <f t="shared" si="133"/>
        <v>#REF!</v>
      </c>
    </row>
    <row r="563" spans="19:37">
      <c r="S563" s="98">
        <f t="shared" si="122"/>
        <v>0</v>
      </c>
      <c r="T563" s="98">
        <f t="shared" si="123"/>
        <v>0</v>
      </c>
      <c r="U563" s="97">
        <f t="shared" si="124"/>
        <v>0</v>
      </c>
      <c r="V563" s="97">
        <f t="shared" si="124"/>
        <v>0</v>
      </c>
      <c r="X563" s="98" t="e">
        <f t="shared" si="125"/>
        <v>#REF!</v>
      </c>
      <c r="Y563" s="98" t="e">
        <f t="shared" si="126"/>
        <v>#REF!</v>
      </c>
      <c r="Z563" s="97" t="e">
        <f t="shared" si="127"/>
        <v>#REF!</v>
      </c>
      <c r="AA563" s="97" t="e">
        <f t="shared" si="127"/>
        <v>#REF!</v>
      </c>
      <c r="AC563" s="98" t="e">
        <f t="shared" si="128"/>
        <v>#REF!</v>
      </c>
      <c r="AD563" s="98" t="e">
        <f t="shared" si="129"/>
        <v>#REF!</v>
      </c>
      <c r="AE563" s="97" t="e">
        <f t="shared" si="130"/>
        <v>#REF!</v>
      </c>
      <c r="AF563" s="97" t="e">
        <f t="shared" si="130"/>
        <v>#REF!</v>
      </c>
      <c r="AH563" s="98" t="e">
        <f t="shared" si="131"/>
        <v>#REF!</v>
      </c>
      <c r="AI563" s="98" t="e">
        <f t="shared" si="132"/>
        <v>#REF!</v>
      </c>
      <c r="AJ563" s="97" t="e">
        <f t="shared" si="133"/>
        <v>#REF!</v>
      </c>
      <c r="AK563" s="97" t="e">
        <f t="shared" si="133"/>
        <v>#REF!</v>
      </c>
    </row>
    <row r="564" spans="19:37">
      <c r="S564" s="98">
        <f t="shared" si="122"/>
        <v>0</v>
      </c>
      <c r="T564" s="98">
        <f t="shared" si="123"/>
        <v>0</v>
      </c>
      <c r="U564" s="97">
        <f t="shared" si="124"/>
        <v>0</v>
      </c>
      <c r="V564" s="97">
        <f t="shared" si="124"/>
        <v>0</v>
      </c>
      <c r="X564" s="98" t="e">
        <f t="shared" si="125"/>
        <v>#REF!</v>
      </c>
      <c r="Y564" s="98" t="e">
        <f t="shared" si="126"/>
        <v>#REF!</v>
      </c>
      <c r="Z564" s="97" t="e">
        <f t="shared" si="127"/>
        <v>#REF!</v>
      </c>
      <c r="AA564" s="97" t="e">
        <f t="shared" si="127"/>
        <v>#REF!</v>
      </c>
      <c r="AC564" s="98" t="e">
        <f t="shared" si="128"/>
        <v>#REF!</v>
      </c>
      <c r="AD564" s="98" t="e">
        <f t="shared" si="129"/>
        <v>#REF!</v>
      </c>
      <c r="AE564" s="97" t="e">
        <f t="shared" si="130"/>
        <v>#REF!</v>
      </c>
      <c r="AF564" s="97" t="e">
        <f t="shared" si="130"/>
        <v>#REF!</v>
      </c>
      <c r="AH564" s="98" t="e">
        <f t="shared" si="131"/>
        <v>#REF!</v>
      </c>
      <c r="AI564" s="98" t="e">
        <f t="shared" si="132"/>
        <v>#REF!</v>
      </c>
      <c r="AJ564" s="97" t="e">
        <f t="shared" si="133"/>
        <v>#REF!</v>
      </c>
      <c r="AK564" s="97" t="e">
        <f t="shared" si="133"/>
        <v>#REF!</v>
      </c>
    </row>
    <row r="565" spans="19:37">
      <c r="S565" s="98">
        <f t="shared" si="122"/>
        <v>0</v>
      </c>
      <c r="T565" s="98">
        <f t="shared" si="123"/>
        <v>0</v>
      </c>
      <c r="U565" s="97">
        <f t="shared" si="124"/>
        <v>0</v>
      </c>
      <c r="V565" s="97">
        <f t="shared" si="124"/>
        <v>0</v>
      </c>
      <c r="X565" s="98" t="e">
        <f t="shared" si="125"/>
        <v>#REF!</v>
      </c>
      <c r="Y565" s="98" t="e">
        <f t="shared" si="126"/>
        <v>#REF!</v>
      </c>
      <c r="Z565" s="97" t="e">
        <f t="shared" si="127"/>
        <v>#REF!</v>
      </c>
      <c r="AA565" s="97" t="e">
        <f t="shared" si="127"/>
        <v>#REF!</v>
      </c>
      <c r="AC565" s="98" t="e">
        <f t="shared" si="128"/>
        <v>#REF!</v>
      </c>
      <c r="AD565" s="98" t="e">
        <f t="shared" si="129"/>
        <v>#REF!</v>
      </c>
      <c r="AE565" s="97" t="e">
        <f t="shared" si="130"/>
        <v>#REF!</v>
      </c>
      <c r="AF565" s="97" t="e">
        <f t="shared" si="130"/>
        <v>#REF!</v>
      </c>
      <c r="AH565" s="98" t="e">
        <f t="shared" si="131"/>
        <v>#REF!</v>
      </c>
      <c r="AI565" s="98" t="e">
        <f t="shared" si="132"/>
        <v>#REF!</v>
      </c>
      <c r="AJ565" s="97" t="e">
        <f t="shared" si="133"/>
        <v>#REF!</v>
      </c>
      <c r="AK565" s="97" t="e">
        <f t="shared" si="133"/>
        <v>#REF!</v>
      </c>
    </row>
    <row r="566" spans="19:37">
      <c r="S566" s="98">
        <f t="shared" si="122"/>
        <v>0</v>
      </c>
      <c r="T566" s="98">
        <f t="shared" si="123"/>
        <v>0</v>
      </c>
      <c r="U566" s="97">
        <f t="shared" si="124"/>
        <v>0</v>
      </c>
      <c r="V566" s="97">
        <f t="shared" si="124"/>
        <v>0</v>
      </c>
      <c r="X566" s="98" t="e">
        <f t="shared" si="125"/>
        <v>#REF!</v>
      </c>
      <c r="Y566" s="98" t="e">
        <f t="shared" si="126"/>
        <v>#REF!</v>
      </c>
      <c r="Z566" s="97" t="e">
        <f t="shared" si="127"/>
        <v>#REF!</v>
      </c>
      <c r="AA566" s="97" t="e">
        <f t="shared" si="127"/>
        <v>#REF!</v>
      </c>
      <c r="AC566" s="98" t="e">
        <f t="shared" si="128"/>
        <v>#REF!</v>
      </c>
      <c r="AD566" s="98" t="e">
        <f t="shared" si="129"/>
        <v>#REF!</v>
      </c>
      <c r="AE566" s="97" t="e">
        <f t="shared" si="130"/>
        <v>#REF!</v>
      </c>
      <c r="AF566" s="97" t="e">
        <f t="shared" si="130"/>
        <v>#REF!</v>
      </c>
      <c r="AH566" s="98" t="e">
        <f t="shared" si="131"/>
        <v>#REF!</v>
      </c>
      <c r="AI566" s="98" t="e">
        <f t="shared" si="132"/>
        <v>#REF!</v>
      </c>
      <c r="AJ566" s="97" t="e">
        <f t="shared" si="133"/>
        <v>#REF!</v>
      </c>
      <c r="AK566" s="97" t="e">
        <f t="shared" si="133"/>
        <v>#REF!</v>
      </c>
    </row>
    <row r="567" spans="19:37">
      <c r="S567" s="98">
        <f t="shared" si="122"/>
        <v>0</v>
      </c>
      <c r="T567" s="98">
        <f t="shared" si="123"/>
        <v>0</v>
      </c>
      <c r="U567" s="97">
        <f t="shared" si="124"/>
        <v>0</v>
      </c>
      <c r="V567" s="97">
        <f t="shared" si="124"/>
        <v>0</v>
      </c>
      <c r="X567" s="98" t="e">
        <f t="shared" si="125"/>
        <v>#REF!</v>
      </c>
      <c r="Y567" s="98" t="e">
        <f t="shared" si="126"/>
        <v>#REF!</v>
      </c>
      <c r="Z567" s="97" t="e">
        <f t="shared" si="127"/>
        <v>#REF!</v>
      </c>
      <c r="AA567" s="97" t="e">
        <f t="shared" si="127"/>
        <v>#REF!</v>
      </c>
      <c r="AC567" s="98" t="e">
        <f t="shared" si="128"/>
        <v>#REF!</v>
      </c>
      <c r="AD567" s="98" t="e">
        <f t="shared" si="129"/>
        <v>#REF!</v>
      </c>
      <c r="AE567" s="97" t="e">
        <f t="shared" si="130"/>
        <v>#REF!</v>
      </c>
      <c r="AF567" s="97" t="e">
        <f t="shared" si="130"/>
        <v>#REF!</v>
      </c>
      <c r="AH567" s="98" t="e">
        <f t="shared" si="131"/>
        <v>#REF!</v>
      </c>
      <c r="AI567" s="98" t="e">
        <f t="shared" si="132"/>
        <v>#REF!</v>
      </c>
      <c r="AJ567" s="97" t="e">
        <f t="shared" si="133"/>
        <v>#REF!</v>
      </c>
      <c r="AK567" s="97" t="e">
        <f t="shared" si="133"/>
        <v>#REF!</v>
      </c>
    </row>
    <row r="568" spans="19:37">
      <c r="S568" s="98">
        <f t="shared" si="122"/>
        <v>0</v>
      </c>
      <c r="T568" s="98">
        <f t="shared" si="123"/>
        <v>0</v>
      </c>
      <c r="U568" s="97">
        <f t="shared" si="124"/>
        <v>0</v>
      </c>
      <c r="V568" s="97">
        <f t="shared" si="124"/>
        <v>0</v>
      </c>
      <c r="X568" s="98" t="e">
        <f t="shared" si="125"/>
        <v>#REF!</v>
      </c>
      <c r="Y568" s="98" t="e">
        <f t="shared" si="126"/>
        <v>#REF!</v>
      </c>
      <c r="Z568" s="97" t="e">
        <f t="shared" si="127"/>
        <v>#REF!</v>
      </c>
      <c r="AA568" s="97" t="e">
        <f t="shared" si="127"/>
        <v>#REF!</v>
      </c>
      <c r="AC568" s="98" t="e">
        <f t="shared" si="128"/>
        <v>#REF!</v>
      </c>
      <c r="AD568" s="98" t="e">
        <f t="shared" si="129"/>
        <v>#REF!</v>
      </c>
      <c r="AE568" s="97" t="e">
        <f t="shared" si="130"/>
        <v>#REF!</v>
      </c>
      <c r="AF568" s="97" t="e">
        <f t="shared" si="130"/>
        <v>#REF!</v>
      </c>
      <c r="AH568" s="98" t="e">
        <f t="shared" si="131"/>
        <v>#REF!</v>
      </c>
      <c r="AI568" s="98" t="e">
        <f t="shared" si="132"/>
        <v>#REF!</v>
      </c>
      <c r="AJ568" s="97" t="e">
        <f t="shared" si="133"/>
        <v>#REF!</v>
      </c>
      <c r="AK568" s="97" t="e">
        <f t="shared" si="133"/>
        <v>#REF!</v>
      </c>
    </row>
    <row r="569" spans="19:37">
      <c r="S569" s="98">
        <f t="shared" si="122"/>
        <v>0</v>
      </c>
      <c r="T569" s="98">
        <f t="shared" si="123"/>
        <v>0</v>
      </c>
      <c r="U569" s="97">
        <f t="shared" si="124"/>
        <v>0</v>
      </c>
      <c r="V569" s="97">
        <f t="shared" si="124"/>
        <v>0</v>
      </c>
      <c r="X569" s="98" t="e">
        <f t="shared" si="125"/>
        <v>#REF!</v>
      </c>
      <c r="Y569" s="98" t="e">
        <f t="shared" si="126"/>
        <v>#REF!</v>
      </c>
      <c r="Z569" s="97" t="e">
        <f t="shared" si="127"/>
        <v>#REF!</v>
      </c>
      <c r="AA569" s="97" t="e">
        <f t="shared" si="127"/>
        <v>#REF!</v>
      </c>
      <c r="AC569" s="98" t="e">
        <f t="shared" si="128"/>
        <v>#REF!</v>
      </c>
      <c r="AD569" s="98" t="e">
        <f t="shared" si="129"/>
        <v>#REF!</v>
      </c>
      <c r="AE569" s="97" t="e">
        <f t="shared" si="130"/>
        <v>#REF!</v>
      </c>
      <c r="AF569" s="97" t="e">
        <f t="shared" si="130"/>
        <v>#REF!</v>
      </c>
      <c r="AH569" s="98" t="e">
        <f t="shared" si="131"/>
        <v>#REF!</v>
      </c>
      <c r="AI569" s="98" t="e">
        <f t="shared" si="132"/>
        <v>#REF!</v>
      </c>
      <c r="AJ569" s="97" t="e">
        <f t="shared" si="133"/>
        <v>#REF!</v>
      </c>
      <c r="AK569" s="97" t="e">
        <f t="shared" si="133"/>
        <v>#REF!</v>
      </c>
    </row>
    <row r="570" spans="19:37">
      <c r="S570" s="98">
        <f t="shared" si="122"/>
        <v>0</v>
      </c>
      <c r="T570" s="98">
        <f t="shared" si="123"/>
        <v>0</v>
      </c>
      <c r="U570" s="97">
        <f t="shared" si="124"/>
        <v>0</v>
      </c>
      <c r="V570" s="97">
        <f t="shared" si="124"/>
        <v>0</v>
      </c>
      <c r="X570" s="98" t="e">
        <f t="shared" si="125"/>
        <v>#REF!</v>
      </c>
      <c r="Y570" s="98" t="e">
        <f t="shared" si="126"/>
        <v>#REF!</v>
      </c>
      <c r="Z570" s="97" t="e">
        <f t="shared" si="127"/>
        <v>#REF!</v>
      </c>
      <c r="AA570" s="97" t="e">
        <f t="shared" si="127"/>
        <v>#REF!</v>
      </c>
      <c r="AC570" s="98" t="e">
        <f t="shared" si="128"/>
        <v>#REF!</v>
      </c>
      <c r="AD570" s="98" t="e">
        <f t="shared" si="129"/>
        <v>#REF!</v>
      </c>
      <c r="AE570" s="97" t="e">
        <f t="shared" si="130"/>
        <v>#REF!</v>
      </c>
      <c r="AF570" s="97" t="e">
        <f t="shared" si="130"/>
        <v>#REF!</v>
      </c>
      <c r="AH570" s="98" t="e">
        <f t="shared" si="131"/>
        <v>#REF!</v>
      </c>
      <c r="AI570" s="98" t="e">
        <f t="shared" si="132"/>
        <v>#REF!</v>
      </c>
      <c r="AJ570" s="97" t="e">
        <f t="shared" si="133"/>
        <v>#REF!</v>
      </c>
      <c r="AK570" s="97" t="e">
        <f t="shared" si="133"/>
        <v>#REF!</v>
      </c>
    </row>
    <row r="571" spans="19:37">
      <c r="S571" s="98">
        <f t="shared" si="122"/>
        <v>0</v>
      </c>
      <c r="T571" s="98">
        <f t="shared" si="123"/>
        <v>0</v>
      </c>
      <c r="U571" s="97">
        <f t="shared" si="124"/>
        <v>0</v>
      </c>
      <c r="V571" s="97">
        <f t="shared" si="124"/>
        <v>0</v>
      </c>
      <c r="X571" s="98" t="e">
        <f t="shared" si="125"/>
        <v>#REF!</v>
      </c>
      <c r="Y571" s="98" t="e">
        <f t="shared" si="126"/>
        <v>#REF!</v>
      </c>
      <c r="Z571" s="97" t="e">
        <f t="shared" si="127"/>
        <v>#REF!</v>
      </c>
      <c r="AA571" s="97" t="e">
        <f t="shared" si="127"/>
        <v>#REF!</v>
      </c>
      <c r="AC571" s="98" t="e">
        <f t="shared" si="128"/>
        <v>#REF!</v>
      </c>
      <c r="AD571" s="98" t="e">
        <f t="shared" si="129"/>
        <v>#REF!</v>
      </c>
      <c r="AE571" s="97" t="e">
        <f t="shared" si="130"/>
        <v>#REF!</v>
      </c>
      <c r="AF571" s="97" t="e">
        <f t="shared" si="130"/>
        <v>#REF!</v>
      </c>
      <c r="AH571" s="98" t="e">
        <f t="shared" si="131"/>
        <v>#REF!</v>
      </c>
      <c r="AI571" s="98" t="e">
        <f t="shared" si="132"/>
        <v>#REF!</v>
      </c>
      <c r="AJ571" s="97" t="e">
        <f t="shared" si="133"/>
        <v>#REF!</v>
      </c>
      <c r="AK571" s="97" t="e">
        <f t="shared" si="133"/>
        <v>#REF!</v>
      </c>
    </row>
    <row r="572" spans="19:37">
      <c r="S572" s="98">
        <f t="shared" si="122"/>
        <v>0</v>
      </c>
      <c r="T572" s="98">
        <f t="shared" si="123"/>
        <v>0</v>
      </c>
      <c r="U572" s="97">
        <f t="shared" si="124"/>
        <v>0</v>
      </c>
      <c r="V572" s="97">
        <f t="shared" si="124"/>
        <v>0</v>
      </c>
      <c r="X572" s="98" t="e">
        <f t="shared" si="125"/>
        <v>#REF!</v>
      </c>
      <c r="Y572" s="98" t="e">
        <f t="shared" si="126"/>
        <v>#REF!</v>
      </c>
      <c r="Z572" s="97" t="e">
        <f t="shared" si="127"/>
        <v>#REF!</v>
      </c>
      <c r="AA572" s="97" t="e">
        <f t="shared" si="127"/>
        <v>#REF!</v>
      </c>
      <c r="AC572" s="98" t="e">
        <f t="shared" si="128"/>
        <v>#REF!</v>
      </c>
      <c r="AD572" s="98" t="e">
        <f t="shared" si="129"/>
        <v>#REF!</v>
      </c>
      <c r="AE572" s="97" t="e">
        <f t="shared" si="130"/>
        <v>#REF!</v>
      </c>
      <c r="AF572" s="97" t="e">
        <f t="shared" si="130"/>
        <v>#REF!</v>
      </c>
      <c r="AH572" s="98" t="e">
        <f t="shared" si="131"/>
        <v>#REF!</v>
      </c>
      <c r="AI572" s="98" t="e">
        <f t="shared" si="132"/>
        <v>#REF!</v>
      </c>
      <c r="AJ572" s="97" t="e">
        <f t="shared" si="133"/>
        <v>#REF!</v>
      </c>
      <c r="AK572" s="97" t="e">
        <f t="shared" si="133"/>
        <v>#REF!</v>
      </c>
    </row>
    <row r="573" spans="19:37">
      <c r="S573" s="98">
        <f t="shared" si="122"/>
        <v>0</v>
      </c>
      <c r="T573" s="98">
        <f t="shared" si="123"/>
        <v>0</v>
      </c>
      <c r="U573" s="97">
        <f t="shared" si="124"/>
        <v>0</v>
      </c>
      <c r="V573" s="97">
        <f t="shared" si="124"/>
        <v>0</v>
      </c>
      <c r="X573" s="98" t="e">
        <f t="shared" si="125"/>
        <v>#REF!</v>
      </c>
      <c r="Y573" s="98" t="e">
        <f t="shared" si="126"/>
        <v>#REF!</v>
      </c>
      <c r="Z573" s="97" t="e">
        <f t="shared" si="127"/>
        <v>#REF!</v>
      </c>
      <c r="AA573" s="97" t="e">
        <f t="shared" si="127"/>
        <v>#REF!</v>
      </c>
      <c r="AC573" s="98" t="e">
        <f t="shared" si="128"/>
        <v>#REF!</v>
      </c>
      <c r="AD573" s="98" t="e">
        <f t="shared" si="129"/>
        <v>#REF!</v>
      </c>
      <c r="AE573" s="97" t="e">
        <f t="shared" si="130"/>
        <v>#REF!</v>
      </c>
      <c r="AF573" s="97" t="e">
        <f t="shared" si="130"/>
        <v>#REF!</v>
      </c>
      <c r="AH573" s="98" t="e">
        <f t="shared" si="131"/>
        <v>#REF!</v>
      </c>
      <c r="AI573" s="98" t="e">
        <f t="shared" si="132"/>
        <v>#REF!</v>
      </c>
      <c r="AJ573" s="97" t="e">
        <f t="shared" si="133"/>
        <v>#REF!</v>
      </c>
      <c r="AK573" s="97" t="e">
        <f t="shared" si="133"/>
        <v>#REF!</v>
      </c>
    </row>
    <row r="574" spans="19:37">
      <c r="S574" s="98">
        <f t="shared" si="122"/>
        <v>0</v>
      </c>
      <c r="T574" s="98">
        <f t="shared" si="123"/>
        <v>0</v>
      </c>
      <c r="U574" s="97">
        <f t="shared" si="124"/>
        <v>0</v>
      </c>
      <c r="V574" s="97">
        <f t="shared" si="124"/>
        <v>0</v>
      </c>
      <c r="X574" s="98" t="e">
        <f t="shared" si="125"/>
        <v>#REF!</v>
      </c>
      <c r="Y574" s="98" t="e">
        <f t="shared" si="126"/>
        <v>#REF!</v>
      </c>
      <c r="Z574" s="97" t="e">
        <f t="shared" si="127"/>
        <v>#REF!</v>
      </c>
      <c r="AA574" s="97" t="e">
        <f t="shared" si="127"/>
        <v>#REF!</v>
      </c>
      <c r="AC574" s="98" t="e">
        <f t="shared" si="128"/>
        <v>#REF!</v>
      </c>
      <c r="AD574" s="98" t="e">
        <f t="shared" si="129"/>
        <v>#REF!</v>
      </c>
      <c r="AE574" s="97" t="e">
        <f t="shared" si="130"/>
        <v>#REF!</v>
      </c>
      <c r="AF574" s="97" t="e">
        <f t="shared" si="130"/>
        <v>#REF!</v>
      </c>
      <c r="AH574" s="98" t="e">
        <f t="shared" si="131"/>
        <v>#REF!</v>
      </c>
      <c r="AI574" s="98" t="e">
        <f t="shared" si="132"/>
        <v>#REF!</v>
      </c>
      <c r="AJ574" s="97" t="e">
        <f t="shared" si="133"/>
        <v>#REF!</v>
      </c>
      <c r="AK574" s="97" t="e">
        <f t="shared" si="133"/>
        <v>#REF!</v>
      </c>
    </row>
    <row r="575" spans="19:37">
      <c r="S575" s="98">
        <f t="shared" si="122"/>
        <v>0</v>
      </c>
      <c r="T575" s="98">
        <f t="shared" si="123"/>
        <v>0</v>
      </c>
      <c r="U575" s="97">
        <f t="shared" si="124"/>
        <v>0</v>
      </c>
      <c r="V575" s="97">
        <f t="shared" si="124"/>
        <v>0</v>
      </c>
      <c r="X575" s="98" t="e">
        <f t="shared" si="125"/>
        <v>#REF!</v>
      </c>
      <c r="Y575" s="98" t="e">
        <f t="shared" si="126"/>
        <v>#REF!</v>
      </c>
      <c r="Z575" s="97" t="e">
        <f t="shared" si="127"/>
        <v>#REF!</v>
      </c>
      <c r="AA575" s="97" t="e">
        <f t="shared" si="127"/>
        <v>#REF!</v>
      </c>
      <c r="AC575" s="98" t="e">
        <f t="shared" si="128"/>
        <v>#REF!</v>
      </c>
      <c r="AD575" s="98" t="e">
        <f t="shared" si="129"/>
        <v>#REF!</v>
      </c>
      <c r="AE575" s="97" t="e">
        <f t="shared" si="130"/>
        <v>#REF!</v>
      </c>
      <c r="AF575" s="97" t="e">
        <f t="shared" si="130"/>
        <v>#REF!</v>
      </c>
      <c r="AH575" s="98" t="e">
        <f t="shared" si="131"/>
        <v>#REF!</v>
      </c>
      <c r="AI575" s="98" t="e">
        <f t="shared" si="132"/>
        <v>#REF!</v>
      </c>
      <c r="AJ575" s="97" t="e">
        <f t="shared" si="133"/>
        <v>#REF!</v>
      </c>
      <c r="AK575" s="97" t="e">
        <f t="shared" si="133"/>
        <v>#REF!</v>
      </c>
    </row>
    <row r="576" spans="19:37">
      <c r="S576" s="98">
        <f t="shared" si="122"/>
        <v>0</v>
      </c>
      <c r="T576" s="98">
        <f t="shared" si="123"/>
        <v>0</v>
      </c>
      <c r="U576" s="97">
        <f t="shared" si="124"/>
        <v>0</v>
      </c>
      <c r="V576" s="97">
        <f t="shared" si="124"/>
        <v>0</v>
      </c>
      <c r="X576" s="98" t="e">
        <f t="shared" si="125"/>
        <v>#REF!</v>
      </c>
      <c r="Y576" s="98" t="e">
        <f t="shared" si="126"/>
        <v>#REF!</v>
      </c>
      <c r="Z576" s="97" t="e">
        <f t="shared" si="127"/>
        <v>#REF!</v>
      </c>
      <c r="AA576" s="97" t="e">
        <f t="shared" si="127"/>
        <v>#REF!</v>
      </c>
      <c r="AC576" s="98" t="e">
        <f t="shared" si="128"/>
        <v>#REF!</v>
      </c>
      <c r="AD576" s="98" t="e">
        <f t="shared" si="129"/>
        <v>#REF!</v>
      </c>
      <c r="AE576" s="97" t="e">
        <f t="shared" si="130"/>
        <v>#REF!</v>
      </c>
      <c r="AF576" s="97" t="e">
        <f t="shared" si="130"/>
        <v>#REF!</v>
      </c>
      <c r="AH576" s="98" t="e">
        <f t="shared" si="131"/>
        <v>#REF!</v>
      </c>
      <c r="AI576" s="98" t="e">
        <f t="shared" si="132"/>
        <v>#REF!</v>
      </c>
      <c r="AJ576" s="97" t="e">
        <f t="shared" si="133"/>
        <v>#REF!</v>
      </c>
      <c r="AK576" s="97" t="e">
        <f t="shared" si="133"/>
        <v>#REF!</v>
      </c>
    </row>
    <row r="577" spans="19:37">
      <c r="S577" s="98">
        <f>IF($A577&lt;&gt;"(DC)", $E577*$R$7, $E577)</f>
        <v>0</v>
      </c>
      <c r="T577" s="98">
        <f>IF($A577&lt;&gt;"(DC)", $F577*$R$7, $F577)</f>
        <v>0</v>
      </c>
      <c r="U577" s="97">
        <f t="shared" ref="U577:V579" si="134">IF(AND($D577="",S577=""),"",IF($D577="",S577,$D577+S577))</f>
        <v>0</v>
      </c>
      <c r="V577" s="97">
        <f t="shared" si="134"/>
        <v>0</v>
      </c>
      <c r="X577" s="98" t="e">
        <f>IF($A577&lt;&gt;"(DC)", $E577*$W$7, $E577)</f>
        <v>#REF!</v>
      </c>
      <c r="Y577" s="98" t="e">
        <f>IF($A577&lt;&gt;"(DC)", $F577*$W$7, $F577)</f>
        <v>#REF!</v>
      </c>
      <c r="Z577" s="97" t="e">
        <f t="shared" ref="Z577:AA579" si="135">IF(AND($D577="",X577=""),"",IF($D577="",X577,$D577+X577))</f>
        <v>#REF!</v>
      </c>
      <c r="AA577" s="97" t="e">
        <f t="shared" si="135"/>
        <v>#REF!</v>
      </c>
      <c r="AC577" s="98" t="e">
        <f>IF($A577&lt;&gt;"(DC)", $E577*$W$7, $E577)</f>
        <v>#REF!</v>
      </c>
      <c r="AD577" s="98" t="e">
        <f>IF($A577&lt;&gt;"(DC)", $F577*$W$7, $F577)</f>
        <v>#REF!</v>
      </c>
      <c r="AE577" s="97" t="e">
        <f t="shared" ref="AE577:AF579" si="136">IF(AND($D577="",AC577=""),"",IF($D577="",AC577,$D577+AC577))</f>
        <v>#REF!</v>
      </c>
      <c r="AF577" s="97" t="e">
        <f t="shared" si="136"/>
        <v>#REF!</v>
      </c>
      <c r="AH577" s="98" t="e">
        <f>IF($A577&lt;&gt;"(DC)", $E577*$AG$7, $E577)</f>
        <v>#REF!</v>
      </c>
      <c r="AI577" s="98" t="e">
        <f>IF($A577&lt;&gt;"(DC)", $F577*$AG$7, $F577)</f>
        <v>#REF!</v>
      </c>
      <c r="AJ577" s="97" t="e">
        <f t="shared" ref="AJ577:AK579" si="137">IF(AND($D577="",AH577=""),"",IF($D577="",AH577,$D577+AH577))</f>
        <v>#REF!</v>
      </c>
      <c r="AK577" s="97" t="e">
        <f t="shared" si="137"/>
        <v>#REF!</v>
      </c>
    </row>
    <row r="578" spans="19:37">
      <c r="S578" s="98">
        <f>IF($A578&lt;&gt;"(DC)", $E578*$R$7, $E578)</f>
        <v>0</v>
      </c>
      <c r="T578" s="98">
        <f>IF($A578&lt;&gt;"(DC)", $F578*$R$7, $F578)</f>
        <v>0</v>
      </c>
      <c r="U578" s="97">
        <f t="shared" si="134"/>
        <v>0</v>
      </c>
      <c r="V578" s="97">
        <f t="shared" si="134"/>
        <v>0</v>
      </c>
      <c r="X578" s="98" t="e">
        <f>IF($A578&lt;&gt;"(DC)", $E578*$W$7, $E578)</f>
        <v>#REF!</v>
      </c>
      <c r="Y578" s="98" t="e">
        <f>IF($A578&lt;&gt;"(DC)", $F578*$W$7, $F578)</f>
        <v>#REF!</v>
      </c>
      <c r="Z578" s="97" t="e">
        <f t="shared" si="135"/>
        <v>#REF!</v>
      </c>
      <c r="AA578" s="97" t="e">
        <f t="shared" si="135"/>
        <v>#REF!</v>
      </c>
      <c r="AC578" s="98" t="e">
        <f>IF($A578&lt;&gt;"(DC)", $E578*$W$7, $E578)</f>
        <v>#REF!</v>
      </c>
      <c r="AD578" s="98" t="e">
        <f>IF($A578&lt;&gt;"(DC)", $F578*$W$7, $F578)</f>
        <v>#REF!</v>
      </c>
      <c r="AE578" s="97" t="e">
        <f t="shared" si="136"/>
        <v>#REF!</v>
      </c>
      <c r="AF578" s="97" t="e">
        <f t="shared" si="136"/>
        <v>#REF!</v>
      </c>
      <c r="AH578" s="98" t="e">
        <f>IF($A578&lt;&gt;"(DC)", $E578*$AG$7, $E578)</f>
        <v>#REF!</v>
      </c>
      <c r="AI578" s="98" t="e">
        <f>IF($A578&lt;&gt;"(DC)", $F578*$AG$7, $F578)</f>
        <v>#REF!</v>
      </c>
      <c r="AJ578" s="97" t="e">
        <f t="shared" si="137"/>
        <v>#REF!</v>
      </c>
      <c r="AK578" s="97" t="e">
        <f t="shared" si="137"/>
        <v>#REF!</v>
      </c>
    </row>
    <row r="579" spans="19:37">
      <c r="S579" s="98">
        <f>IF($A579&lt;&gt;"(DC)", $E579*$R$7, $E579)</f>
        <v>0</v>
      </c>
      <c r="T579" s="98">
        <f>IF($A579&lt;&gt;"(DC)", $F579*$R$7, $F579)</f>
        <v>0</v>
      </c>
      <c r="U579" s="97">
        <f t="shared" si="134"/>
        <v>0</v>
      </c>
      <c r="V579" s="97">
        <f t="shared" si="134"/>
        <v>0</v>
      </c>
      <c r="X579" s="98" t="e">
        <f>IF($A579&lt;&gt;"(DC)", $E579*$W$7, $E579)</f>
        <v>#REF!</v>
      </c>
      <c r="Y579" s="98" t="e">
        <f>IF($A579&lt;&gt;"(DC)", $F579*$W$7, $F579)</f>
        <v>#REF!</v>
      </c>
      <c r="Z579" s="97" t="e">
        <f t="shared" si="135"/>
        <v>#REF!</v>
      </c>
      <c r="AA579" s="97" t="e">
        <f t="shared" si="135"/>
        <v>#REF!</v>
      </c>
      <c r="AC579" s="98" t="e">
        <f>IF($A579&lt;&gt;"(DC)", $E579*$W$7, $E579)</f>
        <v>#REF!</v>
      </c>
      <c r="AD579" s="98" t="e">
        <f>IF($A579&lt;&gt;"(DC)", $F579*$W$7, $F579)</f>
        <v>#REF!</v>
      </c>
      <c r="AE579" s="97" t="e">
        <f t="shared" si="136"/>
        <v>#REF!</v>
      </c>
      <c r="AF579" s="97" t="e">
        <f t="shared" si="136"/>
        <v>#REF!</v>
      </c>
      <c r="AH579" s="98" t="e">
        <f>IF($A579&lt;&gt;"(DC)", $E579*$AG$7, $E579)</f>
        <v>#REF!</v>
      </c>
      <c r="AI579" s="98" t="e">
        <f>IF($A579&lt;&gt;"(DC)", $F579*$AG$7, $F579)</f>
        <v>#REF!</v>
      </c>
      <c r="AJ579" s="97" t="e">
        <f t="shared" si="137"/>
        <v>#REF!</v>
      </c>
      <c r="AK579" s="97" t="e">
        <f t="shared" si="137"/>
        <v>#REF!</v>
      </c>
    </row>
  </sheetData>
  <sheetProtection formatCells="0"/>
  <mergeCells count="17">
    <mergeCell ref="X9:AA9"/>
    <mergeCell ref="AC9:AF9"/>
    <mergeCell ref="AH9:AK9"/>
    <mergeCell ref="S9:V9"/>
    <mergeCell ref="L8:M8"/>
    <mergeCell ref="N8:O8"/>
    <mergeCell ref="P8:Q8"/>
    <mergeCell ref="J9:K9"/>
    <mergeCell ref="L9:M9"/>
    <mergeCell ref="N9:O9"/>
    <mergeCell ref="P9:Q9"/>
    <mergeCell ref="A1:K1"/>
    <mergeCell ref="E4:H4"/>
    <mergeCell ref="E5:H5"/>
    <mergeCell ref="E6:H6"/>
    <mergeCell ref="B8:H8"/>
    <mergeCell ref="J8:K8"/>
  </mergeCells>
  <phoneticPr fontId="63" type="noConversion"/>
  <conditionalFormatting sqref="D11:D41">
    <cfRule type="expression" dxfId="235" priority="7">
      <formula>AND(#REF!&lt;&gt;"Tolerance",$D11&lt;&gt;"")</formula>
    </cfRule>
  </conditionalFormatting>
  <conditionalFormatting sqref="D11:D179">
    <cfRule type="expression" dxfId="234" priority="3">
      <formula>AND(#REF!&lt;&gt;"Tolerance",$D11&lt;&gt;"")</formula>
    </cfRule>
  </conditionalFormatting>
  <conditionalFormatting sqref="D11:D185">
    <cfRule type="expression" dxfId="233" priority="2">
      <formula>AND(OR(#REF!="GD&amp;T",#REF!="MAX",#REF!="MIN"),$D11="")</formula>
    </cfRule>
  </conditionalFormatting>
  <conditionalFormatting sqref="D180:D185 D287:D292">
    <cfRule type="expression" dxfId="232" priority="65">
      <formula>AND(#REF!&lt;&gt;"Tolerance",$D180&lt;&gt;"")</formula>
    </cfRule>
  </conditionalFormatting>
  <conditionalFormatting sqref="D186:D187 D190:D191 D261:D262">
    <cfRule type="expression" dxfId="231" priority="52">
      <formula>AND(#REF!&lt;&gt;"Tolerance",#REF!&lt;&gt;"")</formula>
    </cfRule>
    <cfRule type="expression" dxfId="230" priority="56">
      <formula>AND(OR(#REF!="GD&amp;T",#REF!="MAX",#REF!="MIN"),#REF!="")</formula>
    </cfRule>
    <cfRule type="expression" dxfId="229" priority="55">
      <formula>AND(#REF!&lt;&gt;"Tolerance",#REF!&lt;&gt;"")</formula>
    </cfRule>
    <cfRule type="containsBlanks" dxfId="228" priority="54">
      <formula>LEN(TRIM(#REF!))=0</formula>
    </cfRule>
    <cfRule type="expression" dxfId="227" priority="53">
      <formula>AND(OR(#REF!="GD&amp;T",#REF!="MAX",#REF!="MIN"),#REF!="")</formula>
    </cfRule>
  </conditionalFormatting>
  <conditionalFormatting sqref="D192:D193">
    <cfRule type="containsBlanks" dxfId="226" priority="13">
      <formula>LEN(TRIM(D192))=0</formula>
    </cfRule>
  </conditionalFormatting>
  <conditionalFormatting sqref="D194 D196 D212:D213 D237 D240">
    <cfRule type="containsBlanks" dxfId="225" priority="22">
      <formula>LEN(TRIM(D194))=0</formula>
    </cfRule>
  </conditionalFormatting>
  <conditionalFormatting sqref="D194 D212:D213 D237 D240 D188:D189 D196">
    <cfRule type="expression" dxfId="224" priority="21">
      <formula>AND(OR(#REF!="GD&amp;T",#REF!="MAX",#REF!="MIN"),$D188="")</formula>
    </cfRule>
  </conditionalFormatting>
  <conditionalFormatting sqref="D194:D196 D212:D213 D237 D240:D244 D188:D189">
    <cfRule type="expression" dxfId="223" priority="23">
      <formula>AND(#REF!&lt;&gt;"Tolerance",$D188&lt;&gt;"")</formula>
    </cfRule>
  </conditionalFormatting>
  <conditionalFormatting sqref="D195:D201 D241:D247">
    <cfRule type="expression" dxfId="222" priority="24">
      <formula>AND(OR(#REF!="GD&amp;T",#REF!="MAX",#REF!="MIN"),$D195="")</formula>
    </cfRule>
    <cfRule type="containsBlanks" dxfId="221" priority="25">
      <formula>LEN(TRIM(D195))=0</formula>
    </cfRule>
  </conditionalFormatting>
  <conditionalFormatting sqref="D197 D206:D211 D214:D221 D192:D193 D199:D200 D228 D235 D246:D258">
    <cfRule type="expression" dxfId="220" priority="20">
      <formula>AND(#REF!&lt;&gt;"Tolerance",$D192&lt;&gt;"")</formula>
    </cfRule>
  </conditionalFormatting>
  <conditionalFormatting sqref="D197">
    <cfRule type="containsBlanks" dxfId="219" priority="19">
      <formula>LEN(TRIM(D197))=0</formula>
    </cfRule>
  </conditionalFormatting>
  <conditionalFormatting sqref="D197:D205 D245:D260">
    <cfRule type="expression" dxfId="218" priority="31">
      <formula>AND(OR(#REF!="GD&amp;T",#REF!="MAX",#REF!="MIN"),$D197="")</formula>
    </cfRule>
  </conditionalFormatting>
  <conditionalFormatting sqref="D198">
    <cfRule type="containsBlanks" dxfId="217" priority="29">
      <formula>LEN(TRIM(D198))=0</formula>
    </cfRule>
    <cfRule type="expression" dxfId="216" priority="28">
      <formula>AND(#REF!&lt;&gt;"Tolerance",$D198&lt;&gt;"")</formula>
    </cfRule>
  </conditionalFormatting>
  <conditionalFormatting sqref="D201:D203">
    <cfRule type="expression" dxfId="215" priority="30">
      <formula>AND(#REF!&lt;&gt;"Tolerance",$D201&lt;&gt;"")</formula>
    </cfRule>
  </conditionalFormatting>
  <conditionalFormatting sqref="D202:D205">
    <cfRule type="containsBlanks" dxfId="214" priority="15">
      <formula>LEN(TRIM(D202))=0</formula>
    </cfRule>
  </conditionalFormatting>
  <conditionalFormatting sqref="D204:D205 D245">
    <cfRule type="expression" dxfId="213" priority="33">
      <formula>AND(#REF!&lt;&gt;"Tolerance",$D204&lt;&gt;"")</formula>
    </cfRule>
  </conditionalFormatting>
  <conditionalFormatting sqref="D206:D208">
    <cfRule type="expression" dxfId="212" priority="26">
      <formula>AND(OR(#REF!="GD&amp;T",#REF!="MAX",#REF!="MIN"),$D206="")</formula>
    </cfRule>
    <cfRule type="containsBlanks" dxfId="211" priority="27">
      <formula>LEN(TRIM(D206))=0</formula>
    </cfRule>
  </conditionalFormatting>
  <conditionalFormatting sqref="D209:D211 D214:D221">
    <cfRule type="containsBlanks" dxfId="210" priority="18">
      <formula>LEN(TRIM(D209))=0</formula>
    </cfRule>
  </conditionalFormatting>
  <conditionalFormatting sqref="D235:D241">
    <cfRule type="expression" dxfId="209" priority="37">
      <formula>AND(OR(#REF!="GD&amp;T",#REF!="MAX",#REF!="MIN"),$D235="")</formula>
    </cfRule>
  </conditionalFormatting>
  <conditionalFormatting sqref="D236:D239">
    <cfRule type="expression" dxfId="208" priority="34">
      <formula>AND(OR(#REF!="GD&amp;T",#REF!="MAX",#REF!="MIN"),$D236="")</formula>
    </cfRule>
    <cfRule type="containsBlanks" dxfId="207" priority="35">
      <formula>LEN(TRIM(D236))=0</formula>
    </cfRule>
    <cfRule type="expression" dxfId="206" priority="36">
      <formula>AND(#REF!&lt;&gt;"Tolerance",$D236&lt;&gt;"")</formula>
    </cfRule>
  </conditionalFormatting>
  <conditionalFormatting sqref="D259:D260 D265:D267 D283:D284 D308 D311:D315 D335:D352 D357:D375">
    <cfRule type="expression" dxfId="205" priority="68">
      <formula>AND(#REF!&lt;&gt;"Tolerance",$D259&lt;&gt;"")</formula>
    </cfRule>
  </conditionalFormatting>
  <conditionalFormatting sqref="D263:D264">
    <cfRule type="containsBlanks" dxfId="204" priority="45">
      <formula>LEN(TRIM(D263))=0</formula>
    </cfRule>
  </conditionalFormatting>
  <conditionalFormatting sqref="D263:D271 D273:D292 D299 D306 D317:D375 D311:D312 D202:D221 D192:D195 D188:D189 D228">
    <cfRule type="expression" dxfId="203" priority="63">
      <formula>AND(OR(#REF!="GD&amp;T",#REF!="MAX",#REF!="MIN"),$D188="")</formula>
    </cfRule>
  </conditionalFormatting>
  <conditionalFormatting sqref="D263:D292 D306:D375 D235:D260 D42:D185 D188:D189 D192:D221 D228 D299">
    <cfRule type="expression" dxfId="202" priority="79">
      <formula>AND(#REF!&lt;&gt;"Tolerance",$D42&lt;&gt;"")</formula>
    </cfRule>
  </conditionalFormatting>
  <conditionalFormatting sqref="D266:D272 D312:D318">
    <cfRule type="expression" dxfId="201" priority="69">
      <formula>AND(OR(#REF!="GD&amp;T",#REF!="MAX",#REF!="MIN"),$D266="")</formula>
    </cfRule>
    <cfRule type="containsBlanks" dxfId="200" priority="70">
      <formula>LEN(TRIM(D266))=0</formula>
    </cfRule>
  </conditionalFormatting>
  <conditionalFormatting sqref="D268 D277:D282 D285:D286 D263:D264 D270:D271 D299 D306 D317:D334">
    <cfRule type="expression" dxfId="199" priority="62">
      <formula>AND(#REF!&lt;&gt;"Tolerance",$D263&lt;&gt;"")</formula>
    </cfRule>
  </conditionalFormatting>
  <conditionalFormatting sqref="D268">
    <cfRule type="containsBlanks" dxfId="198" priority="51">
      <formula>LEN(TRIM(D268))=0</formula>
    </cfRule>
  </conditionalFormatting>
  <conditionalFormatting sqref="D269">
    <cfRule type="expression" dxfId="197" priority="73">
      <formula>AND(#REF!&lt;&gt;"Tolerance",$D269&lt;&gt;"")</formula>
    </cfRule>
    <cfRule type="containsBlanks" dxfId="196" priority="74">
      <formula>LEN(TRIM(D269))=0</formula>
    </cfRule>
  </conditionalFormatting>
  <conditionalFormatting sqref="D272:D274">
    <cfRule type="expression" dxfId="195" priority="75">
      <formula>AND(#REF!&lt;&gt;"Tolerance",$D272&lt;&gt;"")</formula>
    </cfRule>
  </conditionalFormatting>
  <conditionalFormatting sqref="D272:D276">
    <cfRule type="expression" dxfId="194" priority="76">
      <formula>AND(OR(#REF!="GD&amp;T",#REF!="MAX",#REF!="MIN"),$D272="")</formula>
    </cfRule>
  </conditionalFormatting>
  <conditionalFormatting sqref="D273:D276">
    <cfRule type="containsBlanks" dxfId="193" priority="47">
      <formula>LEN(TRIM(D273))=0</formula>
    </cfRule>
  </conditionalFormatting>
  <conditionalFormatting sqref="D277:D279">
    <cfRule type="containsBlanks" dxfId="192" priority="72">
      <formula>LEN(TRIM(D277))=0</formula>
    </cfRule>
  </conditionalFormatting>
  <conditionalFormatting sqref="D280:D282 D285:D286">
    <cfRule type="containsBlanks" dxfId="191" priority="50">
      <formula>LEN(TRIM(D280))=0</formula>
    </cfRule>
  </conditionalFormatting>
  <conditionalFormatting sqref="D287:D292 D180:D185">
    <cfRule type="containsBlanks" dxfId="190" priority="64">
      <formula>LEN(TRIM(D180))=0</formula>
    </cfRule>
  </conditionalFormatting>
  <conditionalFormatting sqref="D307:D310">
    <cfRule type="expression" dxfId="189" priority="80">
      <formula>AND(OR(#REF!="GD&amp;T",#REF!="MAX",#REF!="MIN"),$D307="")</formula>
    </cfRule>
    <cfRule type="containsBlanks" dxfId="188" priority="81">
      <formula>LEN(TRIM(D307))=0</formula>
    </cfRule>
    <cfRule type="expression" dxfId="187" priority="82">
      <formula>AND(#REF!&lt;&gt;"Tolerance",$D307&lt;&gt;"")</formula>
    </cfRule>
    <cfRule type="expression" dxfId="186" priority="83">
      <formula>AND(OR(#REF!="GD&amp;T",#REF!="MAX",#REF!="MIN"),$D307="")</formula>
    </cfRule>
  </conditionalFormatting>
  <conditionalFormatting sqref="D308 D265 D267 D283:D284 D311 D335:D352 D357:D375 D259:D260">
    <cfRule type="containsBlanks" dxfId="185" priority="67">
      <formula>LEN(TRIM(D259))=0</formula>
    </cfRule>
  </conditionalFormatting>
  <conditionalFormatting sqref="D308">
    <cfRule type="expression" dxfId="184" priority="66">
      <formula>AND(OR(#REF!="GD&amp;T",#REF!="MAX",#REF!="MIN"),$D308="")</formula>
    </cfRule>
  </conditionalFormatting>
  <conditionalFormatting sqref="D316 D275:D276">
    <cfRule type="expression" dxfId="183" priority="78">
      <formula>AND(#REF!&lt;&gt;"Tolerance",$D275&lt;&gt;"")</formula>
    </cfRule>
  </conditionalFormatting>
  <conditionalFormatting sqref="D316">
    <cfRule type="expression" dxfId="182" priority="77">
      <formula>AND(OR(#REF!="GD&amp;T",#REF!="MAX",#REF!="MIN"),$D316="")</formula>
    </cfRule>
  </conditionalFormatting>
  <conditionalFormatting sqref="D353:D356">
    <cfRule type="expression" dxfId="181" priority="38">
      <formula>AND(#REF!&lt;&gt;"Tolerance",$D353&lt;&gt;"")</formula>
    </cfRule>
  </conditionalFormatting>
  <conditionalFormatting sqref="D11:F189">
    <cfRule type="containsBlanks" dxfId="180" priority="1">
      <formula>LEN(TRIM(D11))=0</formula>
    </cfRule>
  </conditionalFormatting>
  <conditionalFormatting sqref="D186:F187 D190:F191 D261:F262">
    <cfRule type="containsBlanks" dxfId="179" priority="57">
      <formula>LEN(TRIM(#REF!))=0</formula>
    </cfRule>
  </conditionalFormatting>
  <conditionalFormatting sqref="D192:F195">
    <cfRule type="containsBlanks" dxfId="178" priority="17">
      <formula>LEN(TRIM(D192))=0</formula>
    </cfRule>
  </conditionalFormatting>
  <conditionalFormatting sqref="D199:F221 D228:F228">
    <cfRule type="containsBlanks" dxfId="177" priority="14">
      <formula>LEN(TRIM(D199))=0</formula>
    </cfRule>
  </conditionalFormatting>
  <conditionalFormatting sqref="D235:F260">
    <cfRule type="containsBlanks" dxfId="176" priority="12">
      <formula>LEN(TRIM(D235))=0</formula>
    </cfRule>
  </conditionalFormatting>
  <conditionalFormatting sqref="D263:F266">
    <cfRule type="containsBlanks" dxfId="175" priority="49">
      <formula>LEN(TRIM(D263))=0</formula>
    </cfRule>
  </conditionalFormatting>
  <conditionalFormatting sqref="D270:F292 D299:F299">
    <cfRule type="containsBlanks" dxfId="174" priority="46">
      <formula>LEN(TRIM(D270))=0</formula>
    </cfRule>
  </conditionalFormatting>
  <conditionalFormatting sqref="D306:F375">
    <cfRule type="containsBlanks" dxfId="173" priority="43">
      <formula>LEN(TRIM(D306))=0</formula>
    </cfRule>
  </conditionalFormatting>
  <conditionalFormatting sqref="E11:E185">
    <cfRule type="expression" dxfId="172" priority="9">
      <formula>AND(#REF!="MIN",$E11&lt;&gt;"")</formula>
    </cfRule>
    <cfRule type="expression" dxfId="171" priority="8">
      <formula>AND(#REF!="MIN",$E11="")</formula>
    </cfRule>
  </conditionalFormatting>
  <conditionalFormatting sqref="E186:E187 E190:E191 E261:E262">
    <cfRule type="expression" dxfId="170" priority="58">
      <formula>AND(#REF!="MIN",#REF!&lt;&gt;"")</formula>
    </cfRule>
    <cfRule type="expression" dxfId="169" priority="59">
      <formula>AND(#REF!="MIN",#REF!="")</formula>
    </cfRule>
  </conditionalFormatting>
  <conditionalFormatting sqref="E188:E189 E192:E221 E228 E235:E260 E263:E292 E299 E306:E375">
    <cfRule type="expression" dxfId="168" priority="85">
      <formula>AND(#REF!="MIN",$E188&lt;&gt;"")</formula>
    </cfRule>
  </conditionalFormatting>
  <conditionalFormatting sqref="E263:E292 E299 E306:E375 E192:E221 E228 E235:E260 E188:E189">
    <cfRule type="expression" dxfId="167" priority="84">
      <formula>AND(#REF!="MIN",$E188="")</formula>
    </cfRule>
  </conditionalFormatting>
  <conditionalFormatting sqref="E196:F198">
    <cfRule type="containsBlanks" dxfId="166" priority="16">
      <formula>LEN(TRIM(E196))=0</formula>
    </cfRule>
  </conditionalFormatting>
  <conditionalFormatting sqref="E267:F269">
    <cfRule type="containsBlanks" dxfId="165" priority="48">
      <formula>LEN(TRIM(E267))=0</formula>
    </cfRule>
  </conditionalFormatting>
  <conditionalFormatting sqref="F11:F185">
    <cfRule type="expression" dxfId="164" priority="10">
      <formula>AND(OR(#REF!="GD&amp;T",#REF!="MAX"),$F11="")</formula>
    </cfRule>
    <cfRule type="expression" dxfId="163" priority="11">
      <formula>AND(OR(#REF!="GD&amp;T",#REF!="MAX"),$F11&lt;&gt;"")</formula>
    </cfRule>
  </conditionalFormatting>
  <conditionalFormatting sqref="F186:F187 F190:F191 F261:F262">
    <cfRule type="expression" dxfId="162" priority="61">
      <formula>AND(OR(#REF!="GD&amp;T",#REF!="MAX"),#REF!="")</formula>
    </cfRule>
    <cfRule type="expression" dxfId="161" priority="60">
      <formula>AND(OR(#REF!="GD&amp;T",#REF!="MAX"),#REF!&lt;&gt;"")</formula>
    </cfRule>
  </conditionalFormatting>
  <conditionalFormatting sqref="F188:F189 F192:F221 F228 F235:F260 F263:F292 F299 F306:F375">
    <cfRule type="expression" dxfId="160" priority="87">
      <formula>AND(OR(#REF!="GD&amp;T",#REF!="MAX"),$F188&lt;&gt;"")</formula>
    </cfRule>
  </conditionalFormatting>
  <conditionalFormatting sqref="F263:F292 F299 F306:F375 F192:F221 F228 F235:F260 F188:F189">
    <cfRule type="expression" dxfId="159" priority="86">
      <formula>AND(OR(#REF!="GD&amp;T",#REF!="MAX"),$F188="")</formula>
    </cfRule>
  </conditionalFormatting>
  <conditionalFormatting sqref="J11:Q377">
    <cfRule type="expression" dxfId="158" priority="6">
      <formula>AND($H11&lt;&gt;"",#REF!&lt;&gt;"",J11&lt;$H11)</formula>
    </cfRule>
    <cfRule type="notContainsBlanks" dxfId="157" priority="5">
      <formula>LEN(TRIM(J11))&gt;0</formula>
    </cfRule>
    <cfRule type="expression" dxfId="156" priority="4">
      <formula>AND($G11&lt;&gt;"",#REF!&lt;&gt;"",J11&gt;$G11)</formula>
    </cfRule>
  </conditionalFormatting>
  <pageMargins left="0.75" right="0.75" top="1" bottom="1" header="0.5" footer="0.5"/>
  <pageSetup orientation="portrait" horizontalDpi="4294967292" verticalDpi="429496729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9697" r:id="rId3" name="Button 1">
              <controlPr defaultSize="0" print="0" autoFill="0" autoPict="0" macro="[0]!updateNormForm">
                <anchor moveWithCells="1" sizeWithCells="1">
                  <from>
                    <xdr:col>1</xdr:col>
                    <xdr:colOff>9525</xdr:colOff>
                    <xdr:row>1</xdr:row>
                    <xdr:rowOff>9525</xdr:rowOff>
                  </from>
                  <to>
                    <xdr:col>2</xdr:col>
                    <xdr:colOff>0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98" r:id="rId4" name="Button 2">
              <controlPr defaultSize="0" print="0" autoFill="0" autoPict="0" macro="[0]!showAddShtFrm">
                <anchor moveWithCells="1" sizeWithCells="1">
                  <from>
                    <xdr:col>2</xdr:col>
                    <xdr:colOff>0</xdr:colOff>
                    <xdr:row>1</xdr:row>
                    <xdr:rowOff>9525</xdr:rowOff>
                  </from>
                  <to>
                    <xdr:col>3</xdr:col>
                    <xdr:colOff>0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99" r:id="rId5" name="Button 3">
              <controlPr defaultSize="0" print="0" autoFill="0" autoPict="0" macro="[0]!showExportFrm">
                <anchor moveWithCells="1" sizeWithCells="1">
                  <from>
                    <xdr:col>3</xdr:col>
                    <xdr:colOff>0</xdr:colOff>
                    <xdr:row>1</xdr:row>
                    <xdr:rowOff>9525</xdr:rowOff>
                  </from>
                  <to>
                    <xdr:col>4</xdr:col>
                    <xdr:colOff>333375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00" r:id="rId6" name="Button 4">
              <controlPr defaultSize="0" print="0" autoFill="0" autoPict="0" macro="[0]!showImport">
                <anchor moveWithCells="1" sizeWithCells="1">
                  <from>
                    <xdr:col>4</xdr:col>
                    <xdr:colOff>371475</xdr:colOff>
                    <xdr:row>1</xdr:row>
                    <xdr:rowOff>9525</xdr:rowOff>
                  </from>
                  <to>
                    <xdr:col>6</xdr:col>
                    <xdr:colOff>0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01" r:id="rId7" name="Button 5">
              <controlPr defaultSize="0" print="0" autoFill="0" autoPict="0" macro="[0]!detectOutliers">
                <anchor moveWithCells="1" sizeWithCells="1">
                  <from>
                    <xdr:col>6</xdr:col>
                    <xdr:colOff>0</xdr:colOff>
                    <xdr:row>1</xdr:row>
                    <xdr:rowOff>9525</xdr:rowOff>
                  </from>
                  <to>
                    <xdr:col>7</xdr:col>
                    <xdr:colOff>295275</xdr:colOff>
                    <xdr:row>2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X197"/>
  <sheetViews>
    <sheetView zoomScale="70" zoomScaleNormal="70" workbookViewId="0">
      <pane xSplit="3" ySplit="10" topLeftCell="D26" activePane="bottomRight" state="frozen"/>
      <selection activeCell="B47" sqref="B47"/>
      <selection pane="topRight" activeCell="B47" sqref="B47"/>
      <selection pane="bottomLeft" activeCell="B47" sqref="B47"/>
      <selection pane="bottomRight" activeCell="B47" sqref="B47"/>
    </sheetView>
  </sheetViews>
  <sheetFormatPr defaultColWidth="8.6640625" defaultRowHeight="17.25"/>
  <cols>
    <col min="1" max="1" width="0.44140625" customWidth="1"/>
    <col min="2" max="2" width="11" customWidth="1"/>
    <col min="3" max="3" width="7.77734375" bestFit="1" customWidth="1"/>
    <col min="4" max="4" width="24" customWidth="1"/>
    <col min="5" max="5" width="7.44140625" customWidth="1"/>
    <col min="6" max="6" width="9" customWidth="1"/>
    <col min="7" max="7" width="7.44140625" customWidth="1"/>
    <col min="8" max="9" width="8" customWidth="1"/>
    <col min="10" max="13" width="7.44140625" customWidth="1"/>
    <col min="14" max="14" width="0.44140625" customWidth="1"/>
    <col min="15" max="19" width="7.44140625" customWidth="1"/>
    <col min="20" max="21" width="8" style="86" customWidth="1"/>
    <col min="22" max="25" width="7.44140625" customWidth="1"/>
    <col min="26" max="26" width="10" hidden="1" customWidth="1"/>
    <col min="27" max="29" width="9.44140625" hidden="1" customWidth="1"/>
    <col min="30" max="30" width="7.44140625" hidden="1" customWidth="1"/>
    <col min="31" max="31" width="9" hidden="1" customWidth="1"/>
    <col min="32" max="32" width="28" hidden="1" customWidth="1"/>
    <col min="33" max="35" width="9" hidden="1" customWidth="1"/>
    <col min="36" max="36" width="0.44140625" customWidth="1"/>
    <col min="37" max="68" width="7.44140625" customWidth="1"/>
  </cols>
  <sheetData>
    <row r="1" spans="1:76" s="1" customFormat="1" ht="22.5" customHeight="1">
      <c r="A1" s="228" t="s">
        <v>48</v>
      </c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228"/>
      <c r="Y1" s="228"/>
      <c r="Z1" s="228"/>
      <c r="AA1" s="228"/>
      <c r="AB1" s="228"/>
      <c r="AC1" s="228"/>
      <c r="AD1" s="228"/>
      <c r="AE1" s="228"/>
      <c r="AF1" s="27"/>
      <c r="AG1" s="27"/>
      <c r="AH1" s="27"/>
      <c r="AI1" s="27"/>
      <c r="AJ1" s="10"/>
    </row>
    <row r="2" spans="1:76" s="1" customFormat="1" ht="14.25" customHeight="1">
      <c r="B2" s="8" t="s">
        <v>96</v>
      </c>
      <c r="C2" s="8"/>
      <c r="D2" s="7"/>
      <c r="E2" s="7"/>
      <c r="F2" s="7"/>
      <c r="I2" s="7"/>
      <c r="J2" s="7"/>
      <c r="K2" s="7"/>
      <c r="L2" s="7"/>
      <c r="M2" s="7"/>
      <c r="O2" s="7"/>
      <c r="P2" s="7"/>
      <c r="Q2" s="7"/>
      <c r="R2" s="7"/>
      <c r="S2" s="6"/>
      <c r="T2" s="81"/>
      <c r="U2" s="81"/>
      <c r="V2" s="241" t="s">
        <v>13</v>
      </c>
      <c r="W2" s="241"/>
      <c r="X2" s="6"/>
      <c r="AB2" s="7"/>
      <c r="AE2" s="7"/>
      <c r="AF2" s="7"/>
      <c r="AG2" s="7"/>
      <c r="AH2" s="7"/>
      <c r="AI2" s="7"/>
      <c r="AJ2" s="7"/>
    </row>
    <row r="3" spans="1:76" s="1" customFormat="1" ht="9" customHeight="1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O3" s="7"/>
      <c r="P3" s="7"/>
      <c r="Q3" s="7"/>
      <c r="R3" s="7"/>
      <c r="S3" s="7"/>
      <c r="T3" s="82"/>
      <c r="U3" s="82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</row>
    <row r="4" spans="1:76" s="1" customFormat="1" ht="18.75" customHeight="1">
      <c r="B4" s="206" t="s">
        <v>14</v>
      </c>
      <c r="C4" s="208"/>
      <c r="D4" s="11" t="s">
        <v>174</v>
      </c>
      <c r="E4" s="25"/>
      <c r="F4" s="242" t="s">
        <v>15</v>
      </c>
      <c r="G4" s="243"/>
      <c r="H4" s="229" t="s">
        <v>141</v>
      </c>
      <c r="I4" s="230"/>
      <c r="J4" s="230"/>
      <c r="K4" s="230"/>
      <c r="L4" s="230"/>
      <c r="M4" s="231"/>
      <c r="N4" s="26"/>
      <c r="O4" s="206" t="s">
        <v>81</v>
      </c>
      <c r="P4" s="207"/>
      <c r="Q4" s="208"/>
      <c r="R4" s="232" t="s">
        <v>214</v>
      </c>
      <c r="S4" s="230"/>
      <c r="T4" s="230"/>
      <c r="U4" s="230"/>
      <c r="V4" s="230"/>
      <c r="W4" s="231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</row>
    <row r="5" spans="1:76" s="1" customFormat="1" ht="18.75" customHeight="1">
      <c r="B5" s="206" t="s">
        <v>16</v>
      </c>
      <c r="C5" s="208"/>
      <c r="D5" s="11" t="s">
        <v>86</v>
      </c>
      <c r="E5" s="25"/>
      <c r="F5" s="242" t="s">
        <v>17</v>
      </c>
      <c r="G5" s="243"/>
      <c r="H5" s="232" t="s">
        <v>154</v>
      </c>
      <c r="I5" s="230"/>
      <c r="J5" s="230"/>
      <c r="K5" s="230"/>
      <c r="L5" s="230"/>
      <c r="M5" s="231"/>
      <c r="N5" s="26"/>
      <c r="O5" s="206" t="s">
        <v>57</v>
      </c>
      <c r="P5" s="207"/>
      <c r="Q5" s="208"/>
      <c r="R5" s="247"/>
      <c r="S5" s="248"/>
      <c r="T5" s="248"/>
      <c r="U5" s="248"/>
      <c r="V5" s="248"/>
      <c r="W5" s="249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</row>
    <row r="6" spans="1:76" s="1" customFormat="1" ht="18.75" customHeight="1">
      <c r="B6" s="206" t="s">
        <v>18</v>
      </c>
      <c r="C6" s="208"/>
      <c r="D6" s="75" t="s">
        <v>215</v>
      </c>
      <c r="E6" s="25"/>
      <c r="F6" s="242" t="s">
        <v>45</v>
      </c>
      <c r="G6" s="243"/>
      <c r="H6" s="232" t="s">
        <v>213</v>
      </c>
      <c r="I6" s="230"/>
      <c r="J6" s="230"/>
      <c r="K6" s="230"/>
      <c r="L6" s="230"/>
      <c r="M6" s="231"/>
      <c r="N6" s="26"/>
      <c r="O6" s="206" t="s">
        <v>56</v>
      </c>
      <c r="P6" s="207"/>
      <c r="Q6" s="208"/>
      <c r="R6" s="250" t="s">
        <v>180</v>
      </c>
      <c r="S6" s="248"/>
      <c r="T6" s="248"/>
      <c r="U6" s="248"/>
      <c r="V6" s="248"/>
      <c r="W6" s="249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</row>
    <row r="7" spans="1:76" s="1" customFormat="1" ht="9" customHeight="1"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O7" s="9"/>
      <c r="P7" s="9"/>
      <c r="Q7" s="9"/>
      <c r="R7" s="9"/>
      <c r="S7" s="9"/>
      <c r="T7" s="83"/>
      <c r="U7" s="83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7"/>
    </row>
    <row r="8" spans="1:76" s="12" customFormat="1" ht="15" customHeight="1">
      <c r="A8" s="17"/>
      <c r="B8" s="235" t="s">
        <v>19</v>
      </c>
      <c r="C8" s="233"/>
      <c r="D8" s="233"/>
      <c r="E8" s="233"/>
      <c r="F8" s="233"/>
      <c r="G8" s="233"/>
      <c r="H8" s="233"/>
      <c r="I8" s="233"/>
      <c r="J8" s="233"/>
      <c r="K8" s="233"/>
      <c r="L8" s="233"/>
      <c r="M8" s="234"/>
      <c r="N8" s="17"/>
      <c r="O8" s="235" t="s">
        <v>25</v>
      </c>
      <c r="P8" s="233"/>
      <c r="Q8" s="233"/>
      <c r="R8" s="233"/>
      <c r="S8" s="233"/>
      <c r="T8" s="233"/>
      <c r="U8" s="233"/>
      <c r="V8" s="233"/>
      <c r="W8" s="233"/>
      <c r="X8" s="233"/>
      <c r="Y8" s="233"/>
      <c r="Z8" s="233"/>
      <c r="AA8" s="233"/>
      <c r="AB8" s="233"/>
      <c r="AC8" s="233"/>
      <c r="AD8" s="233"/>
      <c r="AE8" s="234"/>
      <c r="AG8" s="244" t="s">
        <v>68</v>
      </c>
      <c r="AH8" s="244"/>
      <c r="AI8" s="244"/>
      <c r="AJ8" s="17"/>
      <c r="AK8" s="237" t="s">
        <v>175</v>
      </c>
      <c r="AL8" s="238"/>
      <c r="AM8" s="238"/>
      <c r="AN8" s="238"/>
      <c r="AO8" s="238"/>
      <c r="AP8" s="238"/>
      <c r="AQ8" s="238"/>
      <c r="AR8" s="238"/>
      <c r="AS8" s="238"/>
      <c r="AT8" s="238"/>
      <c r="AU8" s="238"/>
      <c r="AV8" s="238"/>
      <c r="AW8" s="238"/>
      <c r="AX8" s="238"/>
      <c r="AY8" s="238"/>
      <c r="AZ8" s="238"/>
      <c r="BA8" s="238"/>
      <c r="BB8" s="238"/>
      <c r="BC8" s="238"/>
      <c r="BD8" s="238"/>
      <c r="BE8" s="238"/>
      <c r="BF8" s="238"/>
      <c r="BG8" s="238"/>
      <c r="BH8" s="238"/>
      <c r="BI8" s="238"/>
      <c r="BJ8" s="238"/>
      <c r="BK8" s="238"/>
      <c r="BL8" s="238"/>
      <c r="BM8" s="238"/>
      <c r="BN8" s="238"/>
      <c r="BO8" s="238"/>
      <c r="BP8" s="238"/>
      <c r="BR8" s="251"/>
      <c r="BS8" s="251"/>
      <c r="BT8" s="251"/>
      <c r="BU8" s="251"/>
      <c r="BV8" s="251"/>
      <c r="BW8" s="251"/>
      <c r="BX8" s="253" t="s">
        <v>211</v>
      </c>
    </row>
    <row r="9" spans="1:76" s="12" customFormat="1" ht="32.25" customHeight="1">
      <c r="A9" s="21"/>
      <c r="B9" s="38"/>
      <c r="C9" s="38"/>
      <c r="D9" s="38"/>
      <c r="E9" s="38"/>
      <c r="F9" s="38"/>
      <c r="G9" s="39"/>
      <c r="H9" s="43" t="s">
        <v>61</v>
      </c>
      <c r="I9" s="43" t="s">
        <v>62</v>
      </c>
      <c r="J9" s="37"/>
      <c r="K9" s="37"/>
      <c r="L9" s="56"/>
      <c r="M9" s="56"/>
      <c r="N9" s="21"/>
      <c r="O9" s="29"/>
      <c r="P9" s="29"/>
      <c r="Q9" s="30"/>
      <c r="R9" s="29"/>
      <c r="S9" s="28"/>
      <c r="T9" s="28"/>
      <c r="U9" s="28"/>
      <c r="V9" s="28"/>
      <c r="W9" s="28"/>
      <c r="X9" s="28"/>
      <c r="Y9" s="28"/>
      <c r="Z9" s="245" t="s">
        <v>76</v>
      </c>
      <c r="AA9" s="246"/>
      <c r="AB9" s="36" t="s">
        <v>64</v>
      </c>
      <c r="AC9" s="61">
        <v>1.5</v>
      </c>
      <c r="AD9" s="35"/>
      <c r="AE9" s="35"/>
      <c r="AF9" s="59"/>
      <c r="AG9" s="57"/>
      <c r="AH9" s="57"/>
      <c r="AI9" s="58"/>
      <c r="AJ9" s="47"/>
      <c r="AK9" s="239"/>
      <c r="AL9" s="240"/>
      <c r="AM9" s="240"/>
      <c r="AN9" s="240"/>
      <c r="AO9" s="240"/>
      <c r="AP9" s="240"/>
      <c r="AQ9" s="240"/>
      <c r="AR9" s="240"/>
      <c r="AS9" s="240"/>
      <c r="AT9" s="240"/>
      <c r="AU9" s="240"/>
      <c r="AV9" s="240"/>
      <c r="AW9" s="240"/>
      <c r="AX9" s="240"/>
      <c r="AY9" s="240"/>
      <c r="AZ9" s="240"/>
      <c r="BA9" s="240"/>
      <c r="BB9" s="240"/>
      <c r="BC9" s="240"/>
      <c r="BD9" s="240"/>
      <c r="BE9" s="240"/>
      <c r="BF9" s="240"/>
      <c r="BG9" s="240"/>
      <c r="BH9" s="240"/>
      <c r="BI9" s="240"/>
      <c r="BJ9" s="240"/>
      <c r="BK9" s="240"/>
      <c r="BL9" s="240"/>
      <c r="BM9" s="240"/>
      <c r="BN9" s="240"/>
      <c r="BO9" s="240"/>
      <c r="BP9" s="240"/>
      <c r="BR9" s="252"/>
      <c r="BS9" s="252"/>
      <c r="BT9" s="252"/>
      <c r="BU9" s="252"/>
      <c r="BV9" s="252"/>
      <c r="BW9" s="252"/>
      <c r="BX9" s="254"/>
    </row>
    <row r="10" spans="1:76" s="16" customFormat="1" ht="52.5">
      <c r="A10" s="18"/>
      <c r="B10" s="40" t="s">
        <v>1</v>
      </c>
      <c r="C10" s="40" t="s">
        <v>22</v>
      </c>
      <c r="D10" s="40" t="s">
        <v>2</v>
      </c>
      <c r="E10" s="40" t="s">
        <v>75</v>
      </c>
      <c r="F10" s="40" t="s">
        <v>26</v>
      </c>
      <c r="G10" s="41" t="s">
        <v>21</v>
      </c>
      <c r="H10" s="60" t="s">
        <v>71</v>
      </c>
      <c r="I10" s="60" t="s">
        <v>72</v>
      </c>
      <c r="J10" s="42" t="s">
        <v>20</v>
      </c>
      <c r="K10" s="42" t="s">
        <v>77</v>
      </c>
      <c r="L10" s="44" t="s">
        <v>3</v>
      </c>
      <c r="M10" s="44" t="s">
        <v>4</v>
      </c>
      <c r="N10" s="18"/>
      <c r="O10" s="32" t="s">
        <v>5</v>
      </c>
      <c r="P10" s="32" t="s">
        <v>6</v>
      </c>
      <c r="Q10" s="33" t="s">
        <v>0</v>
      </c>
      <c r="R10" s="32" t="s">
        <v>7</v>
      </c>
      <c r="S10" s="34" t="s">
        <v>8</v>
      </c>
      <c r="T10" s="34" t="s">
        <v>142</v>
      </c>
      <c r="U10" s="34" t="s">
        <v>143</v>
      </c>
      <c r="V10" s="34" t="s">
        <v>9</v>
      </c>
      <c r="W10" s="34" t="s">
        <v>10</v>
      </c>
      <c r="X10" s="34" t="s">
        <v>11</v>
      </c>
      <c r="Y10" s="34" t="s">
        <v>58</v>
      </c>
      <c r="Z10" s="63" t="s">
        <v>59</v>
      </c>
      <c r="AA10" s="63" t="s">
        <v>60</v>
      </c>
      <c r="AB10" s="45" t="s">
        <v>63</v>
      </c>
      <c r="AC10" s="46" t="s">
        <v>65</v>
      </c>
      <c r="AD10" s="31" t="s">
        <v>23</v>
      </c>
      <c r="AE10" s="31" t="s">
        <v>24</v>
      </c>
      <c r="AF10" s="31" t="s">
        <v>67</v>
      </c>
      <c r="AG10" s="57"/>
      <c r="AH10" s="57"/>
      <c r="AI10" s="58"/>
      <c r="AJ10" s="48"/>
      <c r="AK10" s="87">
        <v>1</v>
      </c>
      <c r="AL10" s="87">
        <v>2</v>
      </c>
      <c r="AM10" s="87">
        <v>3</v>
      </c>
      <c r="AN10" s="87">
        <v>4</v>
      </c>
      <c r="AO10" s="87">
        <v>5</v>
      </c>
      <c r="AP10" s="87">
        <v>6</v>
      </c>
      <c r="AQ10" s="87">
        <v>7</v>
      </c>
      <c r="AR10" s="87">
        <v>8</v>
      </c>
      <c r="AS10" s="87">
        <v>9</v>
      </c>
      <c r="AT10" s="87">
        <v>10</v>
      </c>
      <c r="AU10" s="87">
        <v>11</v>
      </c>
      <c r="AV10" s="87">
        <v>12</v>
      </c>
      <c r="AW10" s="87">
        <v>13</v>
      </c>
      <c r="AX10" s="87">
        <v>14</v>
      </c>
      <c r="AY10" s="87">
        <v>15</v>
      </c>
      <c r="AZ10" s="87">
        <v>16</v>
      </c>
      <c r="BA10" s="87">
        <v>17</v>
      </c>
      <c r="BB10" s="87">
        <v>18</v>
      </c>
      <c r="BC10" s="87">
        <v>19</v>
      </c>
      <c r="BD10" s="87">
        <v>20</v>
      </c>
      <c r="BE10" s="87">
        <v>21</v>
      </c>
      <c r="BF10" s="87">
        <v>22</v>
      </c>
      <c r="BG10" s="87">
        <v>23</v>
      </c>
      <c r="BH10" s="87">
        <v>24</v>
      </c>
      <c r="BI10" s="87">
        <v>25</v>
      </c>
      <c r="BJ10" s="87">
        <v>26</v>
      </c>
      <c r="BK10" s="87">
        <v>27</v>
      </c>
      <c r="BL10" s="87">
        <v>28</v>
      </c>
      <c r="BM10" s="87">
        <v>29</v>
      </c>
      <c r="BN10" s="87">
        <v>30</v>
      </c>
      <c r="BO10" s="87">
        <v>31</v>
      </c>
      <c r="BP10" s="87">
        <v>32</v>
      </c>
      <c r="BR10" s="118" t="s">
        <v>212</v>
      </c>
      <c r="BS10" s="118" t="s">
        <v>3</v>
      </c>
      <c r="BT10" s="118" t="s">
        <v>4</v>
      </c>
      <c r="BU10" s="118" t="s">
        <v>5</v>
      </c>
      <c r="BV10" s="118" t="s">
        <v>6</v>
      </c>
      <c r="BW10" s="118" t="s">
        <v>0</v>
      </c>
      <c r="BX10" s="255"/>
    </row>
    <row r="11" spans="1:76" ht="15" customHeight="1">
      <c r="A11" s="13"/>
      <c r="B11" s="88" t="s">
        <v>110</v>
      </c>
      <c r="C11" s="78" t="s">
        <v>97</v>
      </c>
      <c r="D11" s="89" t="s">
        <v>114</v>
      </c>
      <c r="E11" s="90">
        <v>1.5</v>
      </c>
      <c r="F11" s="66" t="s">
        <v>44</v>
      </c>
      <c r="G11" s="91">
        <v>0.5</v>
      </c>
      <c r="H11" s="92" t="str">
        <f>IF(OOC!S11=0,"",OOC!S11)</f>
        <v/>
      </c>
      <c r="I11" s="92" t="str">
        <f>IF(OOC!T11=0,"",OOC!T11)</f>
        <v/>
      </c>
      <c r="J11" s="68" t="s">
        <v>12</v>
      </c>
      <c r="K11" s="69" t="s">
        <v>80</v>
      </c>
      <c r="L11" s="70" t="e">
        <f>IF(AND(G11="",H11=""),"",IF(G11="",H11,G11+H11))</f>
        <v>#VALUE!</v>
      </c>
      <c r="M11" s="70" t="e">
        <f>IF(AND(G11="",I11=""),"",IF(G11="",I11,G11+I11))</f>
        <v>#VALUE!</v>
      </c>
      <c r="N11" s="71"/>
      <c r="O11" s="2" t="e">
        <f t="shared" ref="O11:O21" si="0">IF(OR($AK11="",ISNUMBER($AK11)=FALSE),"",MAX(AK11:BP11))</f>
        <v>#REF!</v>
      </c>
      <c r="P11" s="2" t="e">
        <f t="shared" ref="P11:P21" si="1">IF(OR($AK11="",ISNUMBER($AK11)=FALSE),"",MIN(AK11:BP11))</f>
        <v>#REF!</v>
      </c>
      <c r="Q11" s="2" t="e">
        <f t="shared" ref="Q11:Q21" si="2">IF(OR($AK11="",ISNUMBER($AK11)=FALSE),"",AVERAGE(AK11:BP11))</f>
        <v>#REF!</v>
      </c>
      <c r="R11" s="3" t="e">
        <f t="shared" ref="R11:R21" si="3">IF(OR($AK11="",ISNUMBER($AK11)=FALSE),"",STDEV(AK11:BP11))</f>
        <v>#REF!</v>
      </c>
      <c r="S11" s="4" t="e">
        <f>IF(OR($AK11="",ISNUMBER($AK11)=FALSE),"",IF(AND(G11=0,I11=""),V11,IF(AND(G11="",H11=""),W11,(H11+ABS(I11))/(6*R11))))</f>
        <v>#REF!</v>
      </c>
      <c r="T11" s="84" t="e">
        <f t="shared" ref="T11:T21" si="4">IF(OR($AK11="",ISNUMBER($AK11)=FALSE),"",IF(AND($F11="Tolerance",$G11&lt;&gt;""),($Q11-$G11)/(($L11-$M11)/2),IF(AND($F11="GD&amp;T",$H11&lt;&gt;""),$Q11/$H11,"")))</f>
        <v>#REF!</v>
      </c>
      <c r="U11" s="85" t="e">
        <f t="shared" ref="U11:U21" si="5">IF($T11="","",IF(ABS($T11)&lt;=0.125, "Level A",IF(AND(ABS($T11)&gt;0.125,ABS($T11)&lt;=0.25), "Level B",IF(AND(ABS($T11)&gt;0.25,ABS($T11)&lt;=0.5), "Level C", IF(ABS($T11)&gt;0.5, "Level D")))))</f>
        <v>#REF!</v>
      </c>
      <c r="V11" s="4" t="e">
        <f t="shared" ref="V11:V21" si="6">IF(OR($AK11="",ISNUMBER($AK11)=FALSE),"",IF(H11="","",(L11-Q11)/(3*R11)))</f>
        <v>#REF!</v>
      </c>
      <c r="W11" s="4" t="e">
        <f t="shared" ref="W11:W21" si="7">IF(OR($AK11="",ISNUMBER($AK11)=FALSE),"",IF(I11="","",(Q11-M11)/(3*R11)))</f>
        <v>#REF!</v>
      </c>
      <c r="X11" s="4" t="e">
        <f t="shared" ref="X11:X21" si="8">IF(OR($AK11="",ISNUMBER($AK11)=FALSE),"",IF(AND(G11=0,I11=0),((H11)-(Q11))/(3*R11),MIN(V11:W11)))</f>
        <v>#REF!</v>
      </c>
      <c r="Y11" s="62" t="e">
        <f t="shared" ref="Y11:Y21" si="9">IF(OR($AK11="",ISNUMBER($AK11)=FALSE),"",IF(AND(G11=0,I11=0),NORMSDIST(3*X11),NORMSDIST(3*X11)+NORMSDIST(6*S11-3*X11)-1))</f>
        <v>#REF!</v>
      </c>
      <c r="Z11" s="22"/>
      <c r="AA11" s="22"/>
      <c r="AB11" s="22"/>
      <c r="AC11" s="22"/>
      <c r="AD11" s="19"/>
      <c r="AE11" s="14"/>
      <c r="AF11" s="74"/>
      <c r="AG11" s="49"/>
      <c r="AH11" s="49"/>
      <c r="AI11" s="50"/>
      <c r="AJ11" s="15"/>
      <c r="AK11" s="77" t="e">
        <f>#REF!</f>
        <v>#REF!</v>
      </c>
      <c r="AL11" s="77" t="e">
        <f>#REF!</f>
        <v>#REF!</v>
      </c>
      <c r="AM11" s="77" t="e">
        <f>#REF!</f>
        <v>#REF!</v>
      </c>
      <c r="AN11" s="77" t="e">
        <f>#REF!</f>
        <v>#REF!</v>
      </c>
      <c r="AO11" s="77" t="e">
        <f>#REF!</f>
        <v>#REF!</v>
      </c>
      <c r="AP11" s="77" t="e">
        <f>#REF!</f>
        <v>#REF!</v>
      </c>
      <c r="AQ11" s="77" t="e">
        <f>#REF!</f>
        <v>#REF!</v>
      </c>
      <c r="AR11" s="77" t="e">
        <f>#REF!</f>
        <v>#REF!</v>
      </c>
      <c r="AS11" s="77" t="e">
        <f>#REF!</f>
        <v>#REF!</v>
      </c>
      <c r="AT11" s="77" t="e">
        <f>#REF!</f>
        <v>#REF!</v>
      </c>
      <c r="AU11" s="77" t="e">
        <f>#REF!</f>
        <v>#REF!</v>
      </c>
      <c r="AV11" s="77" t="e">
        <f>#REF!</f>
        <v>#REF!</v>
      </c>
      <c r="AW11" s="77" t="e">
        <f>#REF!</f>
        <v>#REF!</v>
      </c>
      <c r="AX11" s="77" t="e">
        <f>#REF!</f>
        <v>#REF!</v>
      </c>
      <c r="AY11" s="77" t="e">
        <f>#REF!</f>
        <v>#REF!</v>
      </c>
      <c r="AZ11" s="77" t="e">
        <f>#REF!</f>
        <v>#REF!</v>
      </c>
      <c r="BA11" s="77" t="e">
        <f>#REF!</f>
        <v>#REF!</v>
      </c>
      <c r="BB11" s="77" t="e">
        <f>#REF!</f>
        <v>#REF!</v>
      </c>
      <c r="BC11" s="77" t="e">
        <f>#REF!</f>
        <v>#REF!</v>
      </c>
      <c r="BD11" s="77" t="e">
        <f>#REF!</f>
        <v>#REF!</v>
      </c>
      <c r="BE11" s="77" t="e">
        <f>#REF!</f>
        <v>#REF!</v>
      </c>
      <c r="BF11" s="77" t="e">
        <f>#REF!</f>
        <v>#REF!</v>
      </c>
      <c r="BG11" s="77" t="e">
        <f>#REF!</f>
        <v>#REF!</v>
      </c>
      <c r="BH11" s="77" t="e">
        <f>#REF!</f>
        <v>#REF!</v>
      </c>
      <c r="BI11" s="77" t="e">
        <f>#REF!</f>
        <v>#REF!</v>
      </c>
      <c r="BJ11" s="77" t="e">
        <f>#REF!</f>
        <v>#REF!</v>
      </c>
      <c r="BK11" s="77" t="e">
        <f>#REF!</f>
        <v>#REF!</v>
      </c>
      <c r="BL11" s="77" t="e">
        <f>#REF!</f>
        <v>#REF!</v>
      </c>
      <c r="BM11" s="77" t="e">
        <f>#REF!</f>
        <v>#REF!</v>
      </c>
      <c r="BN11" s="77" t="e">
        <f>#REF!</f>
        <v>#REF!</v>
      </c>
      <c r="BO11" s="77" t="e">
        <f>#REF!</f>
        <v>#REF!</v>
      </c>
      <c r="BP11" s="77" t="e">
        <f>#REF!</f>
        <v>#REF!</v>
      </c>
      <c r="BR11" s="119" t="str">
        <f>IF(ISNUMBER(SEARCH("(DC)", B11)), C11 &amp; B11, C11)</f>
        <v>FAI4-1</v>
      </c>
      <c r="BS11" s="120">
        <f>OOC!G11</f>
        <v>0.51</v>
      </c>
      <c r="BT11" s="120">
        <f>OOC!H11</f>
        <v>0.49</v>
      </c>
      <c r="BU11" s="2" t="e">
        <f>IF(OR($AK11="",ISNUMBER($AK11)=FALSE),"",MAX(AK11:BP11))</f>
        <v>#REF!</v>
      </c>
      <c r="BV11" s="2" t="e">
        <f>IF(OR($AK11="",ISNUMBER($AK11)=FALSE),"",MIN(AK11:BP11))</f>
        <v>#REF!</v>
      </c>
      <c r="BW11" s="2" t="e">
        <f>IF(OR($AK11="",ISNUMBER($AK11)=FALSE),"",AVERAGE(AK11:BP11))</f>
        <v>#REF!</v>
      </c>
      <c r="BX11" s="121" t="e">
        <f>IF(AND(IF(OOC!G11="",0,OOC!G11) &gt;= IF(O11="",0,O11), IF(O11="",0,O11) &gt; IF(L11="",0,L11)), "OOC",
IF(AND(IF(M11="",0,M11) &gt; IF(P11="",0,P11), IF(P11="",0,P11) &gt;= IF(OOC!H11="",0,OOC!H11)), "OOC",
IF(IF(O11="",0,O11) &gt; IF(OOC!G11="",0,OOC!G11), "OOS",
IF(IF(OOC!H11="",0,OOC!H11) &gt; IF(P11="",0,P11), "OOS", "OK"))))</f>
        <v>#REF!</v>
      </c>
    </row>
    <row r="12" spans="1:76" ht="15" customHeight="1">
      <c r="A12" s="13"/>
      <c r="B12" s="88" t="s">
        <v>110</v>
      </c>
      <c r="C12" s="78" t="s">
        <v>98</v>
      </c>
      <c r="D12" s="89" t="s">
        <v>114</v>
      </c>
      <c r="E12" s="90">
        <v>1.5</v>
      </c>
      <c r="F12" s="66" t="s">
        <v>44</v>
      </c>
      <c r="G12" s="91">
        <v>0.5</v>
      </c>
      <c r="H12" s="92" t="str">
        <f>IF(OOC!S12=0,"",OOC!S12)</f>
        <v/>
      </c>
      <c r="I12" s="92" t="str">
        <f>IF(OOC!T12=0,"",OOC!T12)</f>
        <v/>
      </c>
      <c r="J12" s="68" t="s">
        <v>12</v>
      </c>
      <c r="K12" s="69" t="s">
        <v>80</v>
      </c>
      <c r="L12" s="70" t="e">
        <f>IF(AND(G12="",H12=""),"",IF(G12="",H12,G12+H12))</f>
        <v>#VALUE!</v>
      </c>
      <c r="M12" s="70" t="e">
        <f>IF(AND(G12="",I12=""),"",IF(G12="",I12,G12+I12))</f>
        <v>#VALUE!</v>
      </c>
      <c r="N12" s="71"/>
      <c r="O12" s="2" t="e">
        <f t="shared" si="0"/>
        <v>#REF!</v>
      </c>
      <c r="P12" s="2" t="e">
        <f t="shared" si="1"/>
        <v>#REF!</v>
      </c>
      <c r="Q12" s="2" t="e">
        <f t="shared" si="2"/>
        <v>#REF!</v>
      </c>
      <c r="R12" s="3" t="e">
        <f t="shared" si="3"/>
        <v>#REF!</v>
      </c>
      <c r="S12" s="4" t="e">
        <f t="shared" ref="S12:S126" si="10">IF(OR($AK12="",ISNUMBER($AK12)=FALSE),"",IF(AND(G12=0,I12=""),V12,IF(AND(G12="",H12=""),W12,(H12+ABS(I12))/(6*R12))))</f>
        <v>#REF!</v>
      </c>
      <c r="T12" s="84" t="e">
        <f t="shared" si="4"/>
        <v>#REF!</v>
      </c>
      <c r="U12" s="85" t="e">
        <f t="shared" si="5"/>
        <v>#REF!</v>
      </c>
      <c r="V12" s="4" t="e">
        <f t="shared" si="6"/>
        <v>#REF!</v>
      </c>
      <c r="W12" s="4" t="e">
        <f t="shared" si="7"/>
        <v>#REF!</v>
      </c>
      <c r="X12" s="4" t="e">
        <f t="shared" si="8"/>
        <v>#REF!</v>
      </c>
      <c r="Y12" s="62" t="e">
        <f t="shared" si="9"/>
        <v>#REF!</v>
      </c>
      <c r="Z12" s="22"/>
      <c r="AA12" s="22"/>
      <c r="AB12" s="22"/>
      <c r="AC12" s="22"/>
      <c r="AD12" s="19"/>
      <c r="AE12" s="14"/>
      <c r="AF12" s="74"/>
      <c r="AG12" s="49"/>
      <c r="AH12" s="49"/>
      <c r="AI12" s="50"/>
      <c r="AJ12" s="15"/>
      <c r="AK12" s="77" t="e">
        <f>#REF!</f>
        <v>#REF!</v>
      </c>
      <c r="AL12" s="77" t="e">
        <f>#REF!</f>
        <v>#REF!</v>
      </c>
      <c r="AM12" s="77" t="e">
        <f>#REF!</f>
        <v>#REF!</v>
      </c>
      <c r="AN12" s="77" t="e">
        <f>#REF!</f>
        <v>#REF!</v>
      </c>
      <c r="AO12" s="77" t="e">
        <f>#REF!</f>
        <v>#REF!</v>
      </c>
      <c r="AP12" s="77" t="e">
        <f>#REF!</f>
        <v>#REF!</v>
      </c>
      <c r="AQ12" s="77" t="e">
        <f>#REF!</f>
        <v>#REF!</v>
      </c>
      <c r="AR12" s="77" t="e">
        <f>#REF!</f>
        <v>#REF!</v>
      </c>
      <c r="AS12" s="77" t="e">
        <f>#REF!</f>
        <v>#REF!</v>
      </c>
      <c r="AT12" s="77" t="e">
        <f>#REF!</f>
        <v>#REF!</v>
      </c>
      <c r="AU12" s="77" t="e">
        <f>#REF!</f>
        <v>#REF!</v>
      </c>
      <c r="AV12" s="77" t="e">
        <f>#REF!</f>
        <v>#REF!</v>
      </c>
      <c r="AW12" s="77" t="e">
        <f>#REF!</f>
        <v>#REF!</v>
      </c>
      <c r="AX12" s="77" t="e">
        <f>#REF!</f>
        <v>#REF!</v>
      </c>
      <c r="AY12" s="77" t="e">
        <f>#REF!</f>
        <v>#REF!</v>
      </c>
      <c r="AZ12" s="77" t="e">
        <f>#REF!</f>
        <v>#REF!</v>
      </c>
      <c r="BA12" s="77" t="e">
        <f>#REF!</f>
        <v>#REF!</v>
      </c>
      <c r="BB12" s="77" t="e">
        <f>#REF!</f>
        <v>#REF!</v>
      </c>
      <c r="BC12" s="77" t="e">
        <f>#REF!</f>
        <v>#REF!</v>
      </c>
      <c r="BD12" s="77" t="e">
        <f>#REF!</f>
        <v>#REF!</v>
      </c>
      <c r="BE12" s="77" t="e">
        <f>#REF!</f>
        <v>#REF!</v>
      </c>
      <c r="BF12" s="77" t="e">
        <f>#REF!</f>
        <v>#REF!</v>
      </c>
      <c r="BG12" s="77" t="e">
        <f>#REF!</f>
        <v>#REF!</v>
      </c>
      <c r="BH12" s="77" t="e">
        <f>#REF!</f>
        <v>#REF!</v>
      </c>
      <c r="BI12" s="77" t="e">
        <f>#REF!</f>
        <v>#REF!</v>
      </c>
      <c r="BJ12" s="77" t="e">
        <f>#REF!</f>
        <v>#REF!</v>
      </c>
      <c r="BK12" s="77" t="e">
        <f>#REF!</f>
        <v>#REF!</v>
      </c>
      <c r="BL12" s="77" t="e">
        <f>#REF!</f>
        <v>#REF!</v>
      </c>
      <c r="BM12" s="77" t="e">
        <f>#REF!</f>
        <v>#REF!</v>
      </c>
      <c r="BN12" s="77" t="e">
        <f>#REF!</f>
        <v>#REF!</v>
      </c>
      <c r="BO12" s="77" t="e">
        <f>#REF!</f>
        <v>#REF!</v>
      </c>
      <c r="BP12" s="77" t="e">
        <f>#REF!</f>
        <v>#REF!</v>
      </c>
      <c r="BR12" s="119" t="str">
        <f t="shared" ref="BR12:BR126" si="11">IF(ISNUMBER(SEARCH("(DC)", B12)), C12 &amp; B12, C12)</f>
        <v>FAI4-2</v>
      </c>
      <c r="BS12" s="120">
        <f>OOC!G12</f>
        <v>0.51</v>
      </c>
      <c r="BT12" s="120">
        <f>OOC!H12</f>
        <v>0.49</v>
      </c>
      <c r="BU12" s="2" t="e">
        <f t="shared" ref="BU12:BU126" si="12">IF(OR($AK12="",ISNUMBER($AK12)=FALSE),"",MAX(AK12:BP12))</f>
        <v>#REF!</v>
      </c>
      <c r="BV12" s="2" t="e">
        <f t="shared" ref="BV12:BV126" si="13">IF(OR($AK12="",ISNUMBER($AK12)=FALSE),"",MIN(AK12:BP12))</f>
        <v>#REF!</v>
      </c>
      <c r="BW12" s="2" t="e">
        <f t="shared" ref="BW12:BW126" si="14">IF(OR($AK12="",ISNUMBER($AK12)=FALSE),"",AVERAGE(AK12:BP12))</f>
        <v>#REF!</v>
      </c>
      <c r="BX12" s="121" t="e">
        <f>IF(AND(IF(OOC!G12="",0,OOC!G12) &gt;= IF(O12="",0,O12), IF(O12="",0,O12) &gt; IF(L12="",0,L12)), "OOC",
IF(AND(IF(M12="",0,M12) &gt; IF(P12="",0,P12), IF(P12="",0,P12) &gt;= IF(OOC!H12="",0,OOC!H12)), "OOC",
IF(IF(O12="",0,O12) &gt; IF(OOC!G12="",0,OOC!G12), "OOS",
IF(IF(OOC!H12="",0,OOC!H12) &gt; IF(P12="",0,P12), "OOS", "OK"))))</f>
        <v>#REF!</v>
      </c>
    </row>
    <row r="13" spans="1:76" ht="15" customHeight="1">
      <c r="A13" s="13"/>
      <c r="B13" s="88" t="s">
        <v>110</v>
      </c>
      <c r="C13" s="78" t="s">
        <v>99</v>
      </c>
      <c r="D13" s="89" t="s">
        <v>114</v>
      </c>
      <c r="E13" s="90">
        <v>1.5</v>
      </c>
      <c r="F13" s="66" t="s">
        <v>44</v>
      </c>
      <c r="G13" s="91">
        <v>0.5</v>
      </c>
      <c r="H13" s="92" t="str">
        <f>IF(OOC!S13=0,"",OOC!S13)</f>
        <v/>
      </c>
      <c r="I13" s="92" t="str">
        <f>IF(OOC!T13=0,"",OOC!T13)</f>
        <v/>
      </c>
      <c r="J13" s="68" t="s">
        <v>12</v>
      </c>
      <c r="K13" s="69" t="s">
        <v>80</v>
      </c>
      <c r="L13" s="70" t="e">
        <f t="shared" ref="L13:L31" si="15">IF(AND(G13="",H13=""),"",IF(G13="",H13,G13+H13))</f>
        <v>#VALUE!</v>
      </c>
      <c r="M13" s="70" t="e">
        <f t="shared" ref="M13:M31" si="16">IF(AND(G13="",I13=""),"",IF(G13="",I13,G13+I13))</f>
        <v>#VALUE!</v>
      </c>
      <c r="N13" s="71"/>
      <c r="O13" s="2" t="e">
        <f t="shared" si="0"/>
        <v>#REF!</v>
      </c>
      <c r="P13" s="2" t="e">
        <f t="shared" si="1"/>
        <v>#REF!</v>
      </c>
      <c r="Q13" s="2" t="e">
        <f t="shared" si="2"/>
        <v>#REF!</v>
      </c>
      <c r="R13" s="3" t="e">
        <f t="shared" si="3"/>
        <v>#REF!</v>
      </c>
      <c r="S13" s="4" t="e">
        <f t="shared" si="10"/>
        <v>#REF!</v>
      </c>
      <c r="T13" s="84" t="e">
        <f t="shared" si="4"/>
        <v>#REF!</v>
      </c>
      <c r="U13" s="85" t="e">
        <f t="shared" si="5"/>
        <v>#REF!</v>
      </c>
      <c r="V13" s="4" t="e">
        <f t="shared" si="6"/>
        <v>#REF!</v>
      </c>
      <c r="W13" s="4" t="e">
        <f t="shared" si="7"/>
        <v>#REF!</v>
      </c>
      <c r="X13" s="4" t="e">
        <f t="shared" si="8"/>
        <v>#REF!</v>
      </c>
      <c r="Y13" s="62" t="e">
        <f t="shared" si="9"/>
        <v>#REF!</v>
      </c>
      <c r="Z13" s="22"/>
      <c r="AA13" s="22"/>
      <c r="AB13" s="22"/>
      <c r="AC13" s="22"/>
      <c r="AD13" s="19"/>
      <c r="AE13" s="14"/>
      <c r="AF13" s="74"/>
      <c r="AG13" s="49"/>
      <c r="AH13" s="49"/>
      <c r="AI13" s="50"/>
      <c r="AJ13" s="15"/>
      <c r="AK13" s="77" t="e">
        <f>#REF!</f>
        <v>#REF!</v>
      </c>
      <c r="AL13" s="77" t="e">
        <f>#REF!</f>
        <v>#REF!</v>
      </c>
      <c r="AM13" s="77" t="e">
        <f>#REF!</f>
        <v>#REF!</v>
      </c>
      <c r="AN13" s="77" t="e">
        <f>#REF!</f>
        <v>#REF!</v>
      </c>
      <c r="AO13" s="77" t="e">
        <f>#REF!</f>
        <v>#REF!</v>
      </c>
      <c r="AP13" s="77" t="e">
        <f>#REF!</f>
        <v>#REF!</v>
      </c>
      <c r="AQ13" s="77" t="e">
        <f>#REF!</f>
        <v>#REF!</v>
      </c>
      <c r="AR13" s="77" t="e">
        <f>#REF!</f>
        <v>#REF!</v>
      </c>
      <c r="AS13" s="77" t="e">
        <f>#REF!</f>
        <v>#REF!</v>
      </c>
      <c r="AT13" s="77" t="e">
        <f>#REF!</f>
        <v>#REF!</v>
      </c>
      <c r="AU13" s="77" t="e">
        <f>#REF!</f>
        <v>#REF!</v>
      </c>
      <c r="AV13" s="77" t="e">
        <f>#REF!</f>
        <v>#REF!</v>
      </c>
      <c r="AW13" s="77" t="e">
        <f>#REF!</f>
        <v>#REF!</v>
      </c>
      <c r="AX13" s="77" t="e">
        <f>#REF!</f>
        <v>#REF!</v>
      </c>
      <c r="AY13" s="77" t="e">
        <f>#REF!</f>
        <v>#REF!</v>
      </c>
      <c r="AZ13" s="77" t="e">
        <f>#REF!</f>
        <v>#REF!</v>
      </c>
      <c r="BA13" s="77" t="e">
        <f>#REF!</f>
        <v>#REF!</v>
      </c>
      <c r="BB13" s="77" t="e">
        <f>#REF!</f>
        <v>#REF!</v>
      </c>
      <c r="BC13" s="77" t="e">
        <f>#REF!</f>
        <v>#REF!</v>
      </c>
      <c r="BD13" s="77" t="e">
        <f>#REF!</f>
        <v>#REF!</v>
      </c>
      <c r="BE13" s="77" t="e">
        <f>#REF!</f>
        <v>#REF!</v>
      </c>
      <c r="BF13" s="77" t="e">
        <f>#REF!</f>
        <v>#REF!</v>
      </c>
      <c r="BG13" s="77" t="e">
        <f>#REF!</f>
        <v>#REF!</v>
      </c>
      <c r="BH13" s="77" t="e">
        <f>#REF!</f>
        <v>#REF!</v>
      </c>
      <c r="BI13" s="77" t="e">
        <f>#REF!</f>
        <v>#REF!</v>
      </c>
      <c r="BJ13" s="77" t="e">
        <f>#REF!</f>
        <v>#REF!</v>
      </c>
      <c r="BK13" s="77" t="e">
        <f>#REF!</f>
        <v>#REF!</v>
      </c>
      <c r="BL13" s="77" t="e">
        <f>#REF!</f>
        <v>#REF!</v>
      </c>
      <c r="BM13" s="77" t="e">
        <f>#REF!</f>
        <v>#REF!</v>
      </c>
      <c r="BN13" s="77" t="e">
        <f>#REF!</f>
        <v>#REF!</v>
      </c>
      <c r="BO13" s="77" t="e">
        <f>#REF!</f>
        <v>#REF!</v>
      </c>
      <c r="BP13" s="77" t="e">
        <f>#REF!</f>
        <v>#REF!</v>
      </c>
      <c r="BR13" s="119" t="str">
        <f t="shared" si="11"/>
        <v>FAI4-3</v>
      </c>
      <c r="BS13" s="120">
        <f>OOC!G13</f>
        <v>0.51</v>
      </c>
      <c r="BT13" s="120">
        <f>OOC!H13</f>
        <v>0.49</v>
      </c>
      <c r="BU13" s="2" t="e">
        <f t="shared" si="12"/>
        <v>#REF!</v>
      </c>
      <c r="BV13" s="2" t="e">
        <f t="shared" si="13"/>
        <v>#REF!</v>
      </c>
      <c r="BW13" s="2" t="e">
        <f t="shared" si="14"/>
        <v>#REF!</v>
      </c>
      <c r="BX13" s="121" t="e">
        <f>IF(AND(IF(OOC!G13="",0,OOC!G13) &gt;= IF(O13="",0,O13), IF(O13="",0,O13) &gt; IF(L13="",0,L13)), "OOC",
IF(AND(IF(M13="",0,M13) &gt; IF(P13="",0,P13), IF(P13="",0,P13) &gt;= IF(OOC!H13="",0,OOC!H13)), "OOC",
IF(IF(O13="",0,O13) &gt; IF(OOC!G13="",0,OOC!G13), "OOS",
IF(IF(OOC!H13="",0,OOC!H13) &gt; IF(P13="",0,P13), "OOS", "OK"))))</f>
        <v>#REF!</v>
      </c>
    </row>
    <row r="14" spans="1:76" ht="15" customHeight="1">
      <c r="A14" s="13"/>
      <c r="B14" s="88" t="s">
        <v>111</v>
      </c>
      <c r="C14" s="78" t="s">
        <v>100</v>
      </c>
      <c r="D14" s="89" t="s">
        <v>114</v>
      </c>
      <c r="E14" s="90">
        <v>1.5</v>
      </c>
      <c r="F14" s="66" t="s">
        <v>44</v>
      </c>
      <c r="G14" s="91">
        <v>0.5</v>
      </c>
      <c r="H14" s="92" t="str">
        <f>IF(OOC!S14=0,"",OOC!S14)</f>
        <v/>
      </c>
      <c r="I14" s="92" t="str">
        <f>IF(OOC!T14=0,"",OOC!T14)</f>
        <v/>
      </c>
      <c r="J14" s="68" t="s">
        <v>12</v>
      </c>
      <c r="K14" s="69" t="s">
        <v>80</v>
      </c>
      <c r="L14" s="70" t="e">
        <f t="shared" si="15"/>
        <v>#VALUE!</v>
      </c>
      <c r="M14" s="70" t="e">
        <f t="shared" si="16"/>
        <v>#VALUE!</v>
      </c>
      <c r="N14" s="71"/>
      <c r="O14" s="2" t="e">
        <f t="shared" si="0"/>
        <v>#REF!</v>
      </c>
      <c r="P14" s="2" t="e">
        <f t="shared" si="1"/>
        <v>#REF!</v>
      </c>
      <c r="Q14" s="2" t="e">
        <f t="shared" si="2"/>
        <v>#REF!</v>
      </c>
      <c r="R14" s="3" t="e">
        <f t="shared" si="3"/>
        <v>#REF!</v>
      </c>
      <c r="S14" s="4" t="e">
        <f t="shared" si="10"/>
        <v>#REF!</v>
      </c>
      <c r="T14" s="84" t="e">
        <f t="shared" si="4"/>
        <v>#REF!</v>
      </c>
      <c r="U14" s="85" t="e">
        <f t="shared" si="5"/>
        <v>#REF!</v>
      </c>
      <c r="V14" s="4" t="e">
        <f t="shared" si="6"/>
        <v>#REF!</v>
      </c>
      <c r="W14" s="4" t="e">
        <f t="shared" si="7"/>
        <v>#REF!</v>
      </c>
      <c r="X14" s="4" t="e">
        <f t="shared" si="8"/>
        <v>#REF!</v>
      </c>
      <c r="Y14" s="62" t="e">
        <f t="shared" si="9"/>
        <v>#REF!</v>
      </c>
      <c r="Z14" s="22"/>
      <c r="AA14" s="22"/>
      <c r="AB14" s="22"/>
      <c r="AC14" s="22"/>
      <c r="AD14" s="19"/>
      <c r="AE14" s="14"/>
      <c r="AF14" s="74"/>
      <c r="AG14" s="49"/>
      <c r="AH14" s="49"/>
      <c r="AI14" s="50"/>
      <c r="AJ14" s="15"/>
      <c r="AK14" s="77" t="e">
        <f>#REF!</f>
        <v>#REF!</v>
      </c>
      <c r="AL14" s="77" t="e">
        <f>#REF!</f>
        <v>#REF!</v>
      </c>
      <c r="AM14" s="77" t="e">
        <f>#REF!</f>
        <v>#REF!</v>
      </c>
      <c r="AN14" s="77" t="e">
        <f>#REF!</f>
        <v>#REF!</v>
      </c>
      <c r="AO14" s="77" t="e">
        <f>#REF!</f>
        <v>#REF!</v>
      </c>
      <c r="AP14" s="77" t="e">
        <f>#REF!</f>
        <v>#REF!</v>
      </c>
      <c r="AQ14" s="77" t="e">
        <f>#REF!</f>
        <v>#REF!</v>
      </c>
      <c r="AR14" s="77" t="e">
        <f>#REF!</f>
        <v>#REF!</v>
      </c>
      <c r="AS14" s="77" t="e">
        <f>#REF!</f>
        <v>#REF!</v>
      </c>
      <c r="AT14" s="77" t="e">
        <f>#REF!</f>
        <v>#REF!</v>
      </c>
      <c r="AU14" s="77" t="e">
        <f>#REF!</f>
        <v>#REF!</v>
      </c>
      <c r="AV14" s="77" t="e">
        <f>#REF!</f>
        <v>#REF!</v>
      </c>
      <c r="AW14" s="77" t="e">
        <f>#REF!</f>
        <v>#REF!</v>
      </c>
      <c r="AX14" s="77" t="e">
        <f>#REF!</f>
        <v>#REF!</v>
      </c>
      <c r="AY14" s="77" t="e">
        <f>#REF!</f>
        <v>#REF!</v>
      </c>
      <c r="AZ14" s="77" t="e">
        <f>#REF!</f>
        <v>#REF!</v>
      </c>
      <c r="BA14" s="77" t="e">
        <f>#REF!</f>
        <v>#REF!</v>
      </c>
      <c r="BB14" s="77" t="e">
        <f>#REF!</f>
        <v>#REF!</v>
      </c>
      <c r="BC14" s="77" t="e">
        <f>#REF!</f>
        <v>#REF!</v>
      </c>
      <c r="BD14" s="77" t="e">
        <f>#REF!</f>
        <v>#REF!</v>
      </c>
      <c r="BE14" s="77" t="e">
        <f>#REF!</f>
        <v>#REF!</v>
      </c>
      <c r="BF14" s="77" t="e">
        <f>#REF!</f>
        <v>#REF!</v>
      </c>
      <c r="BG14" s="77" t="e">
        <f>#REF!</f>
        <v>#REF!</v>
      </c>
      <c r="BH14" s="77" t="e">
        <f>#REF!</f>
        <v>#REF!</v>
      </c>
      <c r="BI14" s="77" t="e">
        <f>#REF!</f>
        <v>#REF!</v>
      </c>
      <c r="BJ14" s="77" t="e">
        <f>#REF!</f>
        <v>#REF!</v>
      </c>
      <c r="BK14" s="77" t="e">
        <f>#REF!</f>
        <v>#REF!</v>
      </c>
      <c r="BL14" s="77" t="e">
        <f>#REF!</f>
        <v>#REF!</v>
      </c>
      <c r="BM14" s="77" t="e">
        <f>#REF!</f>
        <v>#REF!</v>
      </c>
      <c r="BN14" s="77" t="e">
        <f>#REF!</f>
        <v>#REF!</v>
      </c>
      <c r="BO14" s="77" t="e">
        <f>#REF!</f>
        <v>#REF!</v>
      </c>
      <c r="BP14" s="77" t="e">
        <f>#REF!</f>
        <v>#REF!</v>
      </c>
      <c r="BR14" s="122" t="str">
        <f t="shared" si="11"/>
        <v>FAI6-1</v>
      </c>
      <c r="BS14" s="120">
        <f>OOC!G14</f>
        <v>0.51</v>
      </c>
      <c r="BT14" s="120">
        <f>OOC!H14</f>
        <v>0.49</v>
      </c>
      <c r="BU14" s="2" t="e">
        <f t="shared" si="12"/>
        <v>#REF!</v>
      </c>
      <c r="BV14" s="2" t="e">
        <f t="shared" si="13"/>
        <v>#REF!</v>
      </c>
      <c r="BW14" s="2" t="e">
        <f t="shared" si="14"/>
        <v>#REF!</v>
      </c>
      <c r="BX14" s="121" t="e">
        <f>IF(AND(IF(OOC!G14="",0,OOC!G14) &gt;= IF(O14="",0,O14), IF(O14="",0,O14) &gt; IF(L14="",0,L14)), "OOC",
IF(AND(IF(M14="",0,M14) &gt; IF(P14="",0,P14), IF(P14="",0,P14) &gt;= IF(OOC!H14="",0,OOC!H14)), "OOC",
IF(IF(O14="",0,O14) &gt; IF(OOC!G14="",0,OOC!G14), "OOS",
IF(IF(OOC!H14="",0,OOC!H14) &gt; IF(P14="",0,P14), "OOS", "OK"))))</f>
        <v>#REF!</v>
      </c>
    </row>
    <row r="15" spans="1:76" ht="15" customHeight="1">
      <c r="A15" s="13"/>
      <c r="B15" s="88" t="s">
        <v>111</v>
      </c>
      <c r="C15" s="78" t="s">
        <v>101</v>
      </c>
      <c r="D15" s="89" t="s">
        <v>114</v>
      </c>
      <c r="E15" s="90">
        <v>1.5</v>
      </c>
      <c r="F15" s="66" t="s">
        <v>44</v>
      </c>
      <c r="G15" s="91">
        <v>0.5</v>
      </c>
      <c r="H15" s="92" t="str">
        <f>IF(OOC!S15=0,"",OOC!S15)</f>
        <v/>
      </c>
      <c r="I15" s="92" t="str">
        <f>IF(OOC!T15=0,"",OOC!T15)</f>
        <v/>
      </c>
      <c r="J15" s="68" t="s">
        <v>12</v>
      </c>
      <c r="K15" s="69" t="s">
        <v>80</v>
      </c>
      <c r="L15" s="70" t="e">
        <f t="shared" si="15"/>
        <v>#VALUE!</v>
      </c>
      <c r="M15" s="70" t="e">
        <f t="shared" si="16"/>
        <v>#VALUE!</v>
      </c>
      <c r="N15" s="71"/>
      <c r="O15" s="2" t="e">
        <f t="shared" si="0"/>
        <v>#REF!</v>
      </c>
      <c r="P15" s="2" t="e">
        <f t="shared" si="1"/>
        <v>#REF!</v>
      </c>
      <c r="Q15" s="2" t="e">
        <f t="shared" si="2"/>
        <v>#REF!</v>
      </c>
      <c r="R15" s="3" t="e">
        <f t="shared" si="3"/>
        <v>#REF!</v>
      </c>
      <c r="S15" s="4" t="e">
        <f t="shared" si="10"/>
        <v>#REF!</v>
      </c>
      <c r="T15" s="84" t="e">
        <f t="shared" si="4"/>
        <v>#REF!</v>
      </c>
      <c r="U15" s="85" t="e">
        <f t="shared" si="5"/>
        <v>#REF!</v>
      </c>
      <c r="V15" s="4" t="e">
        <f t="shared" si="6"/>
        <v>#REF!</v>
      </c>
      <c r="W15" s="4" t="e">
        <f t="shared" si="7"/>
        <v>#REF!</v>
      </c>
      <c r="X15" s="4" t="e">
        <f t="shared" si="8"/>
        <v>#REF!</v>
      </c>
      <c r="Y15" s="62" t="e">
        <f t="shared" si="9"/>
        <v>#REF!</v>
      </c>
      <c r="Z15" s="22"/>
      <c r="AA15" s="22"/>
      <c r="AB15" s="22"/>
      <c r="AC15" s="22"/>
      <c r="AD15" s="19"/>
      <c r="AE15" s="14"/>
      <c r="AF15" s="74"/>
      <c r="AG15" s="49"/>
      <c r="AH15" s="49"/>
      <c r="AI15" s="50"/>
      <c r="AJ15" s="15"/>
      <c r="AK15" s="77" t="e">
        <f>#REF!</f>
        <v>#REF!</v>
      </c>
      <c r="AL15" s="77" t="e">
        <f>#REF!</f>
        <v>#REF!</v>
      </c>
      <c r="AM15" s="77" t="e">
        <f>#REF!</f>
        <v>#REF!</v>
      </c>
      <c r="AN15" s="77" t="e">
        <f>#REF!</f>
        <v>#REF!</v>
      </c>
      <c r="AO15" s="77" t="e">
        <f>#REF!</f>
        <v>#REF!</v>
      </c>
      <c r="AP15" s="77" t="e">
        <f>#REF!</f>
        <v>#REF!</v>
      </c>
      <c r="AQ15" s="77" t="e">
        <f>#REF!</f>
        <v>#REF!</v>
      </c>
      <c r="AR15" s="77" t="e">
        <f>#REF!</f>
        <v>#REF!</v>
      </c>
      <c r="AS15" s="77" t="e">
        <f>#REF!</f>
        <v>#REF!</v>
      </c>
      <c r="AT15" s="77" t="e">
        <f>#REF!</f>
        <v>#REF!</v>
      </c>
      <c r="AU15" s="77" t="e">
        <f>#REF!</f>
        <v>#REF!</v>
      </c>
      <c r="AV15" s="77" t="e">
        <f>#REF!</f>
        <v>#REF!</v>
      </c>
      <c r="AW15" s="77" t="e">
        <f>#REF!</f>
        <v>#REF!</v>
      </c>
      <c r="AX15" s="77" t="e">
        <f>#REF!</f>
        <v>#REF!</v>
      </c>
      <c r="AY15" s="77" t="e">
        <f>#REF!</f>
        <v>#REF!</v>
      </c>
      <c r="AZ15" s="77" t="e">
        <f>#REF!</f>
        <v>#REF!</v>
      </c>
      <c r="BA15" s="77" t="e">
        <f>#REF!</f>
        <v>#REF!</v>
      </c>
      <c r="BB15" s="77" t="e">
        <f>#REF!</f>
        <v>#REF!</v>
      </c>
      <c r="BC15" s="77" t="e">
        <f>#REF!</f>
        <v>#REF!</v>
      </c>
      <c r="BD15" s="77" t="e">
        <f>#REF!</f>
        <v>#REF!</v>
      </c>
      <c r="BE15" s="77" t="e">
        <f>#REF!</f>
        <v>#REF!</v>
      </c>
      <c r="BF15" s="77" t="e">
        <f>#REF!</f>
        <v>#REF!</v>
      </c>
      <c r="BG15" s="77" t="e">
        <f>#REF!</f>
        <v>#REF!</v>
      </c>
      <c r="BH15" s="77" t="e">
        <f>#REF!</f>
        <v>#REF!</v>
      </c>
      <c r="BI15" s="77" t="e">
        <f>#REF!</f>
        <v>#REF!</v>
      </c>
      <c r="BJ15" s="77" t="e">
        <f>#REF!</f>
        <v>#REF!</v>
      </c>
      <c r="BK15" s="77" t="e">
        <f>#REF!</f>
        <v>#REF!</v>
      </c>
      <c r="BL15" s="77" t="e">
        <f>#REF!</f>
        <v>#REF!</v>
      </c>
      <c r="BM15" s="77" t="e">
        <f>#REF!</f>
        <v>#REF!</v>
      </c>
      <c r="BN15" s="77" t="e">
        <f>#REF!</f>
        <v>#REF!</v>
      </c>
      <c r="BO15" s="77" t="e">
        <f>#REF!</f>
        <v>#REF!</v>
      </c>
      <c r="BP15" s="77" t="e">
        <f>#REF!</f>
        <v>#REF!</v>
      </c>
      <c r="BR15" s="119" t="str">
        <f t="shared" si="11"/>
        <v>FAI6-2</v>
      </c>
      <c r="BS15" s="120">
        <f>OOC!G15</f>
        <v>0.51</v>
      </c>
      <c r="BT15" s="120">
        <f>OOC!H15</f>
        <v>0.49</v>
      </c>
      <c r="BU15" s="2" t="e">
        <f t="shared" si="12"/>
        <v>#REF!</v>
      </c>
      <c r="BV15" s="2" t="e">
        <f t="shared" si="13"/>
        <v>#REF!</v>
      </c>
      <c r="BW15" s="2" t="e">
        <f t="shared" si="14"/>
        <v>#REF!</v>
      </c>
      <c r="BX15" s="121" t="e">
        <f>IF(AND(IF(OOC!G15="",0,OOC!G15) &gt;= IF(O15="",0,O15), IF(O15="",0,O15) &gt; IF(L15="",0,L15)), "OOC",
IF(AND(IF(M15="",0,M15) &gt; IF(P15="",0,P15), IF(P15="",0,P15) &gt;= IF(OOC!H15="",0,OOC!H15)), "OOC",
IF(IF(O15="",0,O15) &gt; IF(OOC!G15="",0,OOC!G15), "OOS",
IF(IF(OOC!H15="",0,OOC!H15) &gt; IF(P15="",0,P15), "OOS", "OK"))))</f>
        <v>#REF!</v>
      </c>
    </row>
    <row r="16" spans="1:76" ht="15" customHeight="1">
      <c r="A16" s="13"/>
      <c r="B16" s="88" t="s">
        <v>111</v>
      </c>
      <c r="C16" s="78" t="s">
        <v>102</v>
      </c>
      <c r="D16" s="89" t="s">
        <v>114</v>
      </c>
      <c r="E16" s="90">
        <v>1.5</v>
      </c>
      <c r="F16" s="66" t="s">
        <v>44</v>
      </c>
      <c r="G16" s="91">
        <v>0.5</v>
      </c>
      <c r="H16" s="92" t="str">
        <f>IF(OOC!S16=0,"",OOC!S16)</f>
        <v/>
      </c>
      <c r="I16" s="92" t="str">
        <f>IF(OOC!T16=0,"",OOC!T16)</f>
        <v/>
      </c>
      <c r="J16" s="68" t="s">
        <v>12</v>
      </c>
      <c r="K16" s="69" t="s">
        <v>80</v>
      </c>
      <c r="L16" s="70" t="e">
        <f t="shared" si="15"/>
        <v>#VALUE!</v>
      </c>
      <c r="M16" s="70" t="e">
        <f t="shared" si="16"/>
        <v>#VALUE!</v>
      </c>
      <c r="N16" s="71"/>
      <c r="O16" s="2" t="e">
        <f t="shared" si="0"/>
        <v>#REF!</v>
      </c>
      <c r="P16" s="2" t="e">
        <f t="shared" si="1"/>
        <v>#REF!</v>
      </c>
      <c r="Q16" s="2" t="e">
        <f t="shared" si="2"/>
        <v>#REF!</v>
      </c>
      <c r="R16" s="3" t="e">
        <f t="shared" si="3"/>
        <v>#REF!</v>
      </c>
      <c r="S16" s="4" t="e">
        <f t="shared" si="10"/>
        <v>#REF!</v>
      </c>
      <c r="T16" s="84" t="e">
        <f t="shared" si="4"/>
        <v>#REF!</v>
      </c>
      <c r="U16" s="85" t="e">
        <f t="shared" si="5"/>
        <v>#REF!</v>
      </c>
      <c r="V16" s="4" t="e">
        <f t="shared" si="6"/>
        <v>#REF!</v>
      </c>
      <c r="W16" s="4" t="e">
        <f t="shared" si="7"/>
        <v>#REF!</v>
      </c>
      <c r="X16" s="4" t="e">
        <f t="shared" si="8"/>
        <v>#REF!</v>
      </c>
      <c r="Y16" s="62" t="e">
        <f t="shared" si="9"/>
        <v>#REF!</v>
      </c>
      <c r="Z16" s="22"/>
      <c r="AA16" s="22"/>
      <c r="AB16" s="22"/>
      <c r="AC16" s="22"/>
      <c r="AD16" s="19"/>
      <c r="AE16" s="14"/>
      <c r="AF16" s="74"/>
      <c r="AG16" s="49"/>
      <c r="AH16" s="49"/>
      <c r="AI16" s="50"/>
      <c r="AJ16" s="15"/>
      <c r="AK16" s="77" t="e">
        <f>#REF!</f>
        <v>#REF!</v>
      </c>
      <c r="AL16" s="77" t="e">
        <f>#REF!</f>
        <v>#REF!</v>
      </c>
      <c r="AM16" s="77" t="e">
        <f>#REF!</f>
        <v>#REF!</v>
      </c>
      <c r="AN16" s="77" t="e">
        <f>#REF!</f>
        <v>#REF!</v>
      </c>
      <c r="AO16" s="77" t="e">
        <f>#REF!</f>
        <v>#REF!</v>
      </c>
      <c r="AP16" s="77" t="e">
        <f>#REF!</f>
        <v>#REF!</v>
      </c>
      <c r="AQ16" s="77" t="e">
        <f>#REF!</f>
        <v>#REF!</v>
      </c>
      <c r="AR16" s="77" t="e">
        <f>#REF!</f>
        <v>#REF!</v>
      </c>
      <c r="AS16" s="77" t="e">
        <f>#REF!</f>
        <v>#REF!</v>
      </c>
      <c r="AT16" s="77" t="e">
        <f>#REF!</f>
        <v>#REF!</v>
      </c>
      <c r="AU16" s="77" t="e">
        <f>#REF!</f>
        <v>#REF!</v>
      </c>
      <c r="AV16" s="77" t="e">
        <f>#REF!</f>
        <v>#REF!</v>
      </c>
      <c r="AW16" s="77" t="e">
        <f>#REF!</f>
        <v>#REF!</v>
      </c>
      <c r="AX16" s="77" t="e">
        <f>#REF!</f>
        <v>#REF!</v>
      </c>
      <c r="AY16" s="77" t="e">
        <f>#REF!</f>
        <v>#REF!</v>
      </c>
      <c r="AZ16" s="77" t="e">
        <f>#REF!</f>
        <v>#REF!</v>
      </c>
      <c r="BA16" s="77" t="e">
        <f>#REF!</f>
        <v>#REF!</v>
      </c>
      <c r="BB16" s="77" t="e">
        <f>#REF!</f>
        <v>#REF!</v>
      </c>
      <c r="BC16" s="77" t="e">
        <f>#REF!</f>
        <v>#REF!</v>
      </c>
      <c r="BD16" s="77" t="e">
        <f>#REF!</f>
        <v>#REF!</v>
      </c>
      <c r="BE16" s="77" t="e">
        <f>#REF!</f>
        <v>#REF!</v>
      </c>
      <c r="BF16" s="77" t="e">
        <f>#REF!</f>
        <v>#REF!</v>
      </c>
      <c r="BG16" s="77" t="e">
        <f>#REF!</f>
        <v>#REF!</v>
      </c>
      <c r="BH16" s="77" t="e">
        <f>#REF!</f>
        <v>#REF!</v>
      </c>
      <c r="BI16" s="77" t="e">
        <f>#REF!</f>
        <v>#REF!</v>
      </c>
      <c r="BJ16" s="77" t="e">
        <f>#REF!</f>
        <v>#REF!</v>
      </c>
      <c r="BK16" s="77" t="e">
        <f>#REF!</f>
        <v>#REF!</v>
      </c>
      <c r="BL16" s="77" t="e">
        <f>#REF!</f>
        <v>#REF!</v>
      </c>
      <c r="BM16" s="77" t="e">
        <f>#REF!</f>
        <v>#REF!</v>
      </c>
      <c r="BN16" s="77" t="e">
        <f>#REF!</f>
        <v>#REF!</v>
      </c>
      <c r="BO16" s="77" t="e">
        <f>#REF!</f>
        <v>#REF!</v>
      </c>
      <c r="BP16" s="77" t="e">
        <f>#REF!</f>
        <v>#REF!</v>
      </c>
      <c r="BR16" s="119" t="str">
        <f t="shared" si="11"/>
        <v>FAI6-3</v>
      </c>
      <c r="BS16" s="120">
        <f>OOC!G16</f>
        <v>0.51</v>
      </c>
      <c r="BT16" s="120">
        <f>OOC!H16</f>
        <v>0.49</v>
      </c>
      <c r="BU16" s="2" t="e">
        <f t="shared" si="12"/>
        <v>#REF!</v>
      </c>
      <c r="BV16" s="2" t="e">
        <f t="shared" si="13"/>
        <v>#REF!</v>
      </c>
      <c r="BW16" s="2" t="e">
        <f t="shared" si="14"/>
        <v>#REF!</v>
      </c>
      <c r="BX16" s="121" t="e">
        <f>IF(AND(IF(OOC!G16="",0,OOC!G16) &gt;= IF(O16="",0,O16), IF(O16="",0,O16) &gt; IF(L16="",0,L16)), "OOC",
IF(AND(IF(M16="",0,M16) &gt; IF(P16="",0,P16), IF(P16="",0,P16) &gt;= IF(OOC!H16="",0,OOC!H16)), "OOC",
IF(IF(O16="",0,O16) &gt; IF(OOC!G16="",0,OOC!G16), "OOS",
IF(IF(OOC!H16="",0,OOC!H16) &gt; IF(P16="",0,P16), "OOS", "OK"))))</f>
        <v>#REF!</v>
      </c>
    </row>
    <row r="17" spans="1:76" ht="15" customHeight="1">
      <c r="A17" s="13"/>
      <c r="B17" s="88" t="s">
        <v>162</v>
      </c>
      <c r="C17" s="78" t="s">
        <v>100</v>
      </c>
      <c r="D17" s="89" t="s">
        <v>114</v>
      </c>
      <c r="E17" s="90"/>
      <c r="F17" s="66" t="s">
        <v>44</v>
      </c>
      <c r="G17" s="91">
        <v>0.5</v>
      </c>
      <c r="H17" s="92">
        <f>IF(OOC!S17=0,"",OOC!S17)</f>
        <v>0.01</v>
      </c>
      <c r="I17" s="92">
        <f>IF(OOC!T17=0,"",OOC!T17)</f>
        <v>-0.01</v>
      </c>
      <c r="J17" s="68" t="s">
        <v>12</v>
      </c>
      <c r="K17" s="69" t="s">
        <v>80</v>
      </c>
      <c r="L17" s="70">
        <f>IF(AND(G17="",H17=""),"",IF(G17="",H17,G17+H17))</f>
        <v>0.51</v>
      </c>
      <c r="M17" s="70">
        <f>IF(AND(G17="",I17=""),"",IF(G17="",I17,G17+I17))</f>
        <v>0.49</v>
      </c>
      <c r="N17" s="71"/>
      <c r="O17" s="2" t="e">
        <f t="shared" si="0"/>
        <v>#REF!</v>
      </c>
      <c r="P17" s="2" t="e">
        <f t="shared" si="1"/>
        <v>#REF!</v>
      </c>
      <c r="Q17" s="2" t="e">
        <f t="shared" si="2"/>
        <v>#REF!</v>
      </c>
      <c r="R17" s="3" t="e">
        <f t="shared" si="3"/>
        <v>#REF!</v>
      </c>
      <c r="S17" s="4" t="e">
        <f t="shared" si="10"/>
        <v>#REF!</v>
      </c>
      <c r="T17" s="84" t="e">
        <f t="shared" si="4"/>
        <v>#REF!</v>
      </c>
      <c r="U17" s="85" t="e">
        <f t="shared" si="5"/>
        <v>#REF!</v>
      </c>
      <c r="V17" s="4" t="e">
        <f t="shared" si="6"/>
        <v>#REF!</v>
      </c>
      <c r="W17" s="4" t="e">
        <f t="shared" si="7"/>
        <v>#REF!</v>
      </c>
      <c r="X17" s="4" t="e">
        <f t="shared" si="8"/>
        <v>#REF!</v>
      </c>
      <c r="Y17" s="62" t="e">
        <f t="shared" si="9"/>
        <v>#REF!</v>
      </c>
      <c r="Z17" s="22"/>
      <c r="AA17" s="22"/>
      <c r="AB17" s="22"/>
      <c r="AC17" s="22"/>
      <c r="AD17" s="19"/>
      <c r="AE17" s="14"/>
      <c r="AF17" s="74"/>
      <c r="AG17" s="49"/>
      <c r="AH17" s="49"/>
      <c r="AI17" s="50"/>
      <c r="AJ17" s="15"/>
      <c r="AK17" s="77" t="e">
        <f>#REF!</f>
        <v>#REF!</v>
      </c>
      <c r="AL17" s="77" t="e">
        <f>#REF!</f>
        <v>#REF!</v>
      </c>
      <c r="AM17" s="77" t="e">
        <f>#REF!</f>
        <v>#REF!</v>
      </c>
      <c r="AN17" s="77" t="e">
        <f>#REF!</f>
        <v>#REF!</v>
      </c>
      <c r="AO17" s="77" t="e">
        <f>#REF!</f>
        <v>#REF!</v>
      </c>
      <c r="AP17" s="77" t="e">
        <f>#REF!</f>
        <v>#REF!</v>
      </c>
      <c r="AQ17" s="77" t="e">
        <f>#REF!</f>
        <v>#REF!</v>
      </c>
      <c r="AR17" s="77" t="e">
        <f>#REF!</f>
        <v>#REF!</v>
      </c>
      <c r="AS17" s="77" t="e">
        <f>#REF!</f>
        <v>#REF!</v>
      </c>
      <c r="AT17" s="77" t="e">
        <f>#REF!</f>
        <v>#REF!</v>
      </c>
      <c r="AU17" s="77" t="e">
        <f>#REF!</f>
        <v>#REF!</v>
      </c>
      <c r="AV17" s="77" t="e">
        <f>#REF!</f>
        <v>#REF!</v>
      </c>
      <c r="AW17" s="77" t="e">
        <f>#REF!</f>
        <v>#REF!</v>
      </c>
      <c r="AX17" s="77" t="e">
        <f>#REF!</f>
        <v>#REF!</v>
      </c>
      <c r="AY17" s="77" t="e">
        <f>#REF!</f>
        <v>#REF!</v>
      </c>
      <c r="AZ17" s="77" t="e">
        <f>#REF!</f>
        <v>#REF!</v>
      </c>
      <c r="BA17" s="77" t="e">
        <f>#REF!</f>
        <v>#REF!</v>
      </c>
      <c r="BB17" s="77" t="e">
        <f>#REF!</f>
        <v>#REF!</v>
      </c>
      <c r="BC17" s="77" t="e">
        <f>#REF!</f>
        <v>#REF!</v>
      </c>
      <c r="BD17" s="77" t="e">
        <f>#REF!</f>
        <v>#REF!</v>
      </c>
      <c r="BE17" s="77" t="e">
        <f>#REF!</f>
        <v>#REF!</v>
      </c>
      <c r="BF17" s="77" t="e">
        <f>#REF!</f>
        <v>#REF!</v>
      </c>
      <c r="BG17" s="77" t="e">
        <f>#REF!</f>
        <v>#REF!</v>
      </c>
      <c r="BH17" s="77" t="e">
        <f>#REF!</f>
        <v>#REF!</v>
      </c>
      <c r="BI17" s="77" t="e">
        <f>#REF!</f>
        <v>#REF!</v>
      </c>
      <c r="BJ17" s="77" t="e">
        <f>#REF!</f>
        <v>#REF!</v>
      </c>
      <c r="BK17" s="77" t="e">
        <f>#REF!</f>
        <v>#REF!</v>
      </c>
      <c r="BL17" s="77" t="e">
        <f>#REF!</f>
        <v>#REF!</v>
      </c>
      <c r="BM17" s="77" t="e">
        <f>#REF!</f>
        <v>#REF!</v>
      </c>
      <c r="BN17" s="77" t="e">
        <f>#REF!</f>
        <v>#REF!</v>
      </c>
      <c r="BO17" s="77" t="e">
        <f>#REF!</f>
        <v>#REF!</v>
      </c>
      <c r="BP17" s="77" t="e">
        <f>#REF!</f>
        <v>#REF!</v>
      </c>
      <c r="BR17" s="119" t="str">
        <f t="shared" si="11"/>
        <v>FAI6-1(DC)</v>
      </c>
      <c r="BS17" s="120">
        <f>OOC!G17</f>
        <v>0.51</v>
      </c>
      <c r="BT17" s="120">
        <f>OOC!H17</f>
        <v>0.49</v>
      </c>
      <c r="BU17" s="2" t="e">
        <f t="shared" si="12"/>
        <v>#REF!</v>
      </c>
      <c r="BV17" s="2" t="e">
        <f t="shared" si="13"/>
        <v>#REF!</v>
      </c>
      <c r="BW17" s="2" t="e">
        <f t="shared" si="14"/>
        <v>#REF!</v>
      </c>
      <c r="BX17" s="121"/>
    </row>
    <row r="18" spans="1:76" ht="15" customHeight="1">
      <c r="A18" s="13"/>
      <c r="B18" s="88" t="s">
        <v>162</v>
      </c>
      <c r="C18" s="78" t="s">
        <v>101</v>
      </c>
      <c r="D18" s="89" t="s">
        <v>114</v>
      </c>
      <c r="E18" s="90"/>
      <c r="F18" s="66" t="s">
        <v>44</v>
      </c>
      <c r="G18" s="91">
        <v>0.5</v>
      </c>
      <c r="H18" s="92">
        <f>IF(OOC!S18=0,"",OOC!S18)</f>
        <v>0.01</v>
      </c>
      <c r="I18" s="92">
        <f>IF(OOC!T18=0,"",OOC!T18)</f>
        <v>-0.01</v>
      </c>
      <c r="J18" s="68" t="s">
        <v>12</v>
      </c>
      <c r="K18" s="69" t="s">
        <v>80</v>
      </c>
      <c r="L18" s="70">
        <f>IF(AND(G18="",H18=""),"",IF(G18="",H18,G18+H18))</f>
        <v>0.51</v>
      </c>
      <c r="M18" s="70">
        <f>IF(AND(G18="",I18=""),"",IF(G18="",I18,G18+I18))</f>
        <v>0.49</v>
      </c>
      <c r="N18" s="71"/>
      <c r="O18" s="2" t="e">
        <f t="shared" si="0"/>
        <v>#REF!</v>
      </c>
      <c r="P18" s="2" t="e">
        <f t="shared" si="1"/>
        <v>#REF!</v>
      </c>
      <c r="Q18" s="2" t="e">
        <f t="shared" si="2"/>
        <v>#REF!</v>
      </c>
      <c r="R18" s="3" t="e">
        <f t="shared" si="3"/>
        <v>#REF!</v>
      </c>
      <c r="S18" s="4" t="e">
        <f t="shared" si="10"/>
        <v>#REF!</v>
      </c>
      <c r="T18" s="84" t="e">
        <f t="shared" si="4"/>
        <v>#REF!</v>
      </c>
      <c r="U18" s="85" t="e">
        <f t="shared" si="5"/>
        <v>#REF!</v>
      </c>
      <c r="V18" s="4" t="e">
        <f t="shared" si="6"/>
        <v>#REF!</v>
      </c>
      <c r="W18" s="4" t="e">
        <f t="shared" si="7"/>
        <v>#REF!</v>
      </c>
      <c r="X18" s="4" t="e">
        <f t="shared" si="8"/>
        <v>#REF!</v>
      </c>
      <c r="Y18" s="62" t="e">
        <f t="shared" si="9"/>
        <v>#REF!</v>
      </c>
      <c r="Z18" s="22"/>
      <c r="AA18" s="22"/>
      <c r="AB18" s="22"/>
      <c r="AC18" s="22"/>
      <c r="AD18" s="19"/>
      <c r="AE18" s="14"/>
      <c r="AF18" s="74"/>
      <c r="AG18" s="49"/>
      <c r="AH18" s="49"/>
      <c r="AI18" s="50"/>
      <c r="AJ18" s="15"/>
      <c r="AK18" s="77" t="e">
        <f>#REF!</f>
        <v>#REF!</v>
      </c>
      <c r="AL18" s="77" t="e">
        <f>#REF!</f>
        <v>#REF!</v>
      </c>
      <c r="AM18" s="77" t="e">
        <f>#REF!</f>
        <v>#REF!</v>
      </c>
      <c r="AN18" s="77" t="e">
        <f>#REF!</f>
        <v>#REF!</v>
      </c>
      <c r="AO18" s="77" t="e">
        <f>#REF!</f>
        <v>#REF!</v>
      </c>
      <c r="AP18" s="77" t="e">
        <f>#REF!</f>
        <v>#REF!</v>
      </c>
      <c r="AQ18" s="77" t="e">
        <f>#REF!</f>
        <v>#REF!</v>
      </c>
      <c r="AR18" s="77" t="e">
        <f>#REF!</f>
        <v>#REF!</v>
      </c>
      <c r="AS18" s="77" t="e">
        <f>#REF!</f>
        <v>#REF!</v>
      </c>
      <c r="AT18" s="77" t="e">
        <f>#REF!</f>
        <v>#REF!</v>
      </c>
      <c r="AU18" s="77" t="e">
        <f>#REF!</f>
        <v>#REF!</v>
      </c>
      <c r="AV18" s="77" t="e">
        <f>#REF!</f>
        <v>#REF!</v>
      </c>
      <c r="AW18" s="77" t="e">
        <f>#REF!</f>
        <v>#REF!</v>
      </c>
      <c r="AX18" s="77" t="e">
        <f>#REF!</f>
        <v>#REF!</v>
      </c>
      <c r="AY18" s="77" t="e">
        <f>#REF!</f>
        <v>#REF!</v>
      </c>
      <c r="AZ18" s="77" t="e">
        <f>#REF!</f>
        <v>#REF!</v>
      </c>
      <c r="BA18" s="77" t="e">
        <f>#REF!</f>
        <v>#REF!</v>
      </c>
      <c r="BB18" s="77" t="e">
        <f>#REF!</f>
        <v>#REF!</v>
      </c>
      <c r="BC18" s="77" t="e">
        <f>#REF!</f>
        <v>#REF!</v>
      </c>
      <c r="BD18" s="77" t="e">
        <f>#REF!</f>
        <v>#REF!</v>
      </c>
      <c r="BE18" s="77" t="e">
        <f>#REF!</f>
        <v>#REF!</v>
      </c>
      <c r="BF18" s="77" t="e">
        <f>#REF!</f>
        <v>#REF!</v>
      </c>
      <c r="BG18" s="77" t="e">
        <f>#REF!</f>
        <v>#REF!</v>
      </c>
      <c r="BH18" s="77" t="e">
        <f>#REF!</f>
        <v>#REF!</v>
      </c>
      <c r="BI18" s="77" t="e">
        <f>#REF!</f>
        <v>#REF!</v>
      </c>
      <c r="BJ18" s="77" t="e">
        <f>#REF!</f>
        <v>#REF!</v>
      </c>
      <c r="BK18" s="77" t="e">
        <f>#REF!</f>
        <v>#REF!</v>
      </c>
      <c r="BL18" s="77" t="e">
        <f>#REF!</f>
        <v>#REF!</v>
      </c>
      <c r="BM18" s="77" t="e">
        <f>#REF!</f>
        <v>#REF!</v>
      </c>
      <c r="BN18" s="77" t="e">
        <f>#REF!</f>
        <v>#REF!</v>
      </c>
      <c r="BO18" s="77" t="e">
        <f>#REF!</f>
        <v>#REF!</v>
      </c>
      <c r="BP18" s="77" t="e">
        <f>#REF!</f>
        <v>#REF!</v>
      </c>
      <c r="BR18" s="119" t="str">
        <f t="shared" si="11"/>
        <v>FAI6-2(DC)</v>
      </c>
      <c r="BS18" s="120">
        <f>OOC!G18</f>
        <v>0.51</v>
      </c>
      <c r="BT18" s="120">
        <f>OOC!H18</f>
        <v>0.49</v>
      </c>
      <c r="BU18" s="2" t="e">
        <f t="shared" si="12"/>
        <v>#REF!</v>
      </c>
      <c r="BV18" s="2" t="e">
        <f t="shared" si="13"/>
        <v>#REF!</v>
      </c>
      <c r="BW18" s="2" t="e">
        <f t="shared" si="14"/>
        <v>#REF!</v>
      </c>
      <c r="BX18" s="121"/>
    </row>
    <row r="19" spans="1:76" ht="15" customHeight="1">
      <c r="A19" s="13"/>
      <c r="B19" s="88" t="s">
        <v>162</v>
      </c>
      <c r="C19" s="78" t="s">
        <v>102</v>
      </c>
      <c r="D19" s="89" t="s">
        <v>114</v>
      </c>
      <c r="E19" s="90"/>
      <c r="F19" s="66" t="s">
        <v>44</v>
      </c>
      <c r="G19" s="91">
        <v>0.5</v>
      </c>
      <c r="H19" s="92">
        <f>IF(OOC!S19=0,"",OOC!S19)</f>
        <v>0.01</v>
      </c>
      <c r="I19" s="92">
        <f>IF(OOC!T19=0,"",OOC!T19)</f>
        <v>-0.01</v>
      </c>
      <c r="J19" s="68" t="s">
        <v>12</v>
      </c>
      <c r="K19" s="69" t="s">
        <v>80</v>
      </c>
      <c r="L19" s="70">
        <f>IF(AND(G19="",H19=""),"",IF(G19="",H19,G19+H19))</f>
        <v>0.51</v>
      </c>
      <c r="M19" s="70">
        <f>IF(AND(G19="",I19=""),"",IF(G19="",I19,G19+I19))</f>
        <v>0.49</v>
      </c>
      <c r="N19" s="71"/>
      <c r="O19" s="2" t="e">
        <f t="shared" si="0"/>
        <v>#REF!</v>
      </c>
      <c r="P19" s="2" t="e">
        <f t="shared" si="1"/>
        <v>#REF!</v>
      </c>
      <c r="Q19" s="2" t="e">
        <f t="shared" si="2"/>
        <v>#REF!</v>
      </c>
      <c r="R19" s="3" t="e">
        <f t="shared" si="3"/>
        <v>#REF!</v>
      </c>
      <c r="S19" s="4" t="e">
        <f t="shared" si="10"/>
        <v>#REF!</v>
      </c>
      <c r="T19" s="84" t="e">
        <f t="shared" si="4"/>
        <v>#REF!</v>
      </c>
      <c r="U19" s="85" t="e">
        <f t="shared" si="5"/>
        <v>#REF!</v>
      </c>
      <c r="V19" s="4" t="e">
        <f t="shared" si="6"/>
        <v>#REF!</v>
      </c>
      <c r="W19" s="4" t="e">
        <f t="shared" si="7"/>
        <v>#REF!</v>
      </c>
      <c r="X19" s="4" t="e">
        <f t="shared" si="8"/>
        <v>#REF!</v>
      </c>
      <c r="Y19" s="62" t="e">
        <f t="shared" si="9"/>
        <v>#REF!</v>
      </c>
      <c r="Z19" s="22"/>
      <c r="AA19" s="22"/>
      <c r="AB19" s="22"/>
      <c r="AC19" s="22"/>
      <c r="AD19" s="19"/>
      <c r="AE19" s="14"/>
      <c r="AF19" s="74"/>
      <c r="AG19" s="49"/>
      <c r="AH19" s="49"/>
      <c r="AI19" s="50"/>
      <c r="AJ19" s="15"/>
      <c r="AK19" s="77" t="e">
        <f>#REF!</f>
        <v>#REF!</v>
      </c>
      <c r="AL19" s="77" t="e">
        <f>#REF!</f>
        <v>#REF!</v>
      </c>
      <c r="AM19" s="77" t="e">
        <f>#REF!</f>
        <v>#REF!</v>
      </c>
      <c r="AN19" s="77" t="e">
        <f>#REF!</f>
        <v>#REF!</v>
      </c>
      <c r="AO19" s="77" t="e">
        <f>#REF!</f>
        <v>#REF!</v>
      </c>
      <c r="AP19" s="77" t="e">
        <f>#REF!</f>
        <v>#REF!</v>
      </c>
      <c r="AQ19" s="77" t="e">
        <f>#REF!</f>
        <v>#REF!</v>
      </c>
      <c r="AR19" s="77" t="e">
        <f>#REF!</f>
        <v>#REF!</v>
      </c>
      <c r="AS19" s="77" t="e">
        <f>#REF!</f>
        <v>#REF!</v>
      </c>
      <c r="AT19" s="77" t="e">
        <f>#REF!</f>
        <v>#REF!</v>
      </c>
      <c r="AU19" s="77" t="e">
        <f>#REF!</f>
        <v>#REF!</v>
      </c>
      <c r="AV19" s="77" t="e">
        <f>#REF!</f>
        <v>#REF!</v>
      </c>
      <c r="AW19" s="77" t="e">
        <f>#REF!</f>
        <v>#REF!</v>
      </c>
      <c r="AX19" s="77" t="e">
        <f>#REF!</f>
        <v>#REF!</v>
      </c>
      <c r="AY19" s="77" t="e">
        <f>#REF!</f>
        <v>#REF!</v>
      </c>
      <c r="AZ19" s="77" t="e">
        <f>#REF!</f>
        <v>#REF!</v>
      </c>
      <c r="BA19" s="77" t="e">
        <f>#REF!</f>
        <v>#REF!</v>
      </c>
      <c r="BB19" s="77" t="e">
        <f>#REF!</f>
        <v>#REF!</v>
      </c>
      <c r="BC19" s="77" t="e">
        <f>#REF!</f>
        <v>#REF!</v>
      </c>
      <c r="BD19" s="77" t="e">
        <f>#REF!</f>
        <v>#REF!</v>
      </c>
      <c r="BE19" s="77" t="e">
        <f>#REF!</f>
        <v>#REF!</v>
      </c>
      <c r="BF19" s="77" t="e">
        <f>#REF!</f>
        <v>#REF!</v>
      </c>
      <c r="BG19" s="77" t="e">
        <f>#REF!</f>
        <v>#REF!</v>
      </c>
      <c r="BH19" s="77" t="e">
        <f>#REF!</f>
        <v>#REF!</v>
      </c>
      <c r="BI19" s="77" t="e">
        <f>#REF!</f>
        <v>#REF!</v>
      </c>
      <c r="BJ19" s="77" t="e">
        <f>#REF!</f>
        <v>#REF!</v>
      </c>
      <c r="BK19" s="77" t="e">
        <f>#REF!</f>
        <v>#REF!</v>
      </c>
      <c r="BL19" s="77" t="e">
        <f>#REF!</f>
        <v>#REF!</v>
      </c>
      <c r="BM19" s="77" t="e">
        <f>#REF!</f>
        <v>#REF!</v>
      </c>
      <c r="BN19" s="77" t="e">
        <f>#REF!</f>
        <v>#REF!</v>
      </c>
      <c r="BO19" s="77" t="e">
        <f>#REF!</f>
        <v>#REF!</v>
      </c>
      <c r="BP19" s="77" t="e">
        <f>#REF!</f>
        <v>#REF!</v>
      </c>
      <c r="BR19" s="123" t="str">
        <f t="shared" si="11"/>
        <v>FAI6-3(DC)</v>
      </c>
      <c r="BS19" s="120">
        <f>OOC!G19</f>
        <v>0.51</v>
      </c>
      <c r="BT19" s="120">
        <f>OOC!H19</f>
        <v>0.49</v>
      </c>
      <c r="BU19" s="2" t="e">
        <f t="shared" si="12"/>
        <v>#REF!</v>
      </c>
      <c r="BV19" s="2" t="e">
        <f t="shared" si="13"/>
        <v>#REF!</v>
      </c>
      <c r="BW19" s="2" t="e">
        <f t="shared" si="14"/>
        <v>#REF!</v>
      </c>
      <c r="BX19" s="121"/>
    </row>
    <row r="20" spans="1:76" ht="15" customHeight="1">
      <c r="A20" s="13"/>
      <c r="B20" s="88" t="s">
        <v>112</v>
      </c>
      <c r="C20" s="78" t="s">
        <v>103</v>
      </c>
      <c r="D20" s="89" t="s">
        <v>115</v>
      </c>
      <c r="E20" s="90">
        <v>1.5</v>
      </c>
      <c r="F20" s="66" t="s">
        <v>41</v>
      </c>
      <c r="G20" s="67"/>
      <c r="H20" s="92" t="str">
        <f>IF(OOC!S20=0,"",OOC!S20)</f>
        <v/>
      </c>
      <c r="I20" s="92" t="str">
        <f>IF(OOC!T20=0,"",OOC!T20)</f>
        <v/>
      </c>
      <c r="J20" s="68" t="s">
        <v>12</v>
      </c>
      <c r="K20" s="69" t="s">
        <v>80</v>
      </c>
      <c r="L20" s="70" t="str">
        <f t="shared" si="15"/>
        <v/>
      </c>
      <c r="M20" s="70" t="str">
        <f t="shared" si="16"/>
        <v/>
      </c>
      <c r="N20" s="71"/>
      <c r="O20" s="2" t="e">
        <f t="shared" si="0"/>
        <v>#REF!</v>
      </c>
      <c r="P20" s="2" t="e">
        <f t="shared" si="1"/>
        <v>#REF!</v>
      </c>
      <c r="Q20" s="2" t="e">
        <f t="shared" si="2"/>
        <v>#REF!</v>
      </c>
      <c r="R20" s="3" t="e">
        <f t="shared" si="3"/>
        <v>#REF!</v>
      </c>
      <c r="S20" s="4" t="e">
        <f t="shared" si="10"/>
        <v>#REF!</v>
      </c>
      <c r="T20" s="84" t="e">
        <f t="shared" si="4"/>
        <v>#REF!</v>
      </c>
      <c r="U20" s="85" t="e">
        <f t="shared" si="5"/>
        <v>#REF!</v>
      </c>
      <c r="V20" s="4" t="e">
        <f t="shared" si="6"/>
        <v>#REF!</v>
      </c>
      <c r="W20" s="4" t="e">
        <f t="shared" si="7"/>
        <v>#REF!</v>
      </c>
      <c r="X20" s="4" t="e">
        <f t="shared" si="8"/>
        <v>#REF!</v>
      </c>
      <c r="Y20" s="62" t="e">
        <f t="shared" si="9"/>
        <v>#REF!</v>
      </c>
      <c r="Z20" s="22"/>
      <c r="AA20" s="22"/>
      <c r="AB20" s="22"/>
      <c r="AC20" s="22"/>
      <c r="AD20" s="19"/>
      <c r="AE20" s="14"/>
      <c r="AF20" s="72"/>
      <c r="AG20" s="49"/>
      <c r="AH20" s="49"/>
      <c r="AI20" s="50"/>
      <c r="AJ20" s="15"/>
      <c r="AK20" s="77" t="e">
        <f>#REF!</f>
        <v>#REF!</v>
      </c>
      <c r="AL20" s="77" t="e">
        <f>#REF!</f>
        <v>#REF!</v>
      </c>
      <c r="AM20" s="77" t="e">
        <f>#REF!</f>
        <v>#REF!</v>
      </c>
      <c r="AN20" s="77" t="e">
        <f>#REF!</f>
        <v>#REF!</v>
      </c>
      <c r="AO20" s="77" t="e">
        <f>#REF!</f>
        <v>#REF!</v>
      </c>
      <c r="AP20" s="77" t="e">
        <f>#REF!</f>
        <v>#REF!</v>
      </c>
      <c r="AQ20" s="77" t="e">
        <f>#REF!</f>
        <v>#REF!</v>
      </c>
      <c r="AR20" s="77" t="e">
        <f>#REF!</f>
        <v>#REF!</v>
      </c>
      <c r="AS20" s="77" t="e">
        <f>#REF!</f>
        <v>#REF!</v>
      </c>
      <c r="AT20" s="77" t="e">
        <f>#REF!</f>
        <v>#REF!</v>
      </c>
      <c r="AU20" s="77" t="e">
        <f>#REF!</f>
        <v>#REF!</v>
      </c>
      <c r="AV20" s="77" t="e">
        <f>#REF!</f>
        <v>#REF!</v>
      </c>
      <c r="AW20" s="77" t="e">
        <f>#REF!</f>
        <v>#REF!</v>
      </c>
      <c r="AX20" s="77" t="e">
        <f>#REF!</f>
        <v>#REF!</v>
      </c>
      <c r="AY20" s="77" t="e">
        <f>#REF!</f>
        <v>#REF!</v>
      </c>
      <c r="AZ20" s="77" t="e">
        <f>#REF!</f>
        <v>#REF!</v>
      </c>
      <c r="BA20" s="77" t="e">
        <f>#REF!</f>
        <v>#REF!</v>
      </c>
      <c r="BB20" s="77" t="e">
        <f>#REF!</f>
        <v>#REF!</v>
      </c>
      <c r="BC20" s="77" t="e">
        <f>#REF!</f>
        <v>#REF!</v>
      </c>
      <c r="BD20" s="77" t="e">
        <f>#REF!</f>
        <v>#REF!</v>
      </c>
      <c r="BE20" s="77" t="e">
        <f>#REF!</f>
        <v>#REF!</v>
      </c>
      <c r="BF20" s="77" t="e">
        <f>#REF!</f>
        <v>#REF!</v>
      </c>
      <c r="BG20" s="77" t="e">
        <f>#REF!</f>
        <v>#REF!</v>
      </c>
      <c r="BH20" s="77" t="e">
        <f>#REF!</f>
        <v>#REF!</v>
      </c>
      <c r="BI20" s="77" t="e">
        <f>#REF!</f>
        <v>#REF!</v>
      </c>
      <c r="BJ20" s="77" t="e">
        <f>#REF!</f>
        <v>#REF!</v>
      </c>
      <c r="BK20" s="77" t="e">
        <f>#REF!</f>
        <v>#REF!</v>
      </c>
      <c r="BL20" s="77" t="e">
        <f>#REF!</f>
        <v>#REF!</v>
      </c>
      <c r="BM20" s="77" t="e">
        <f>#REF!</f>
        <v>#REF!</v>
      </c>
      <c r="BN20" s="77" t="e">
        <f>#REF!</f>
        <v>#REF!</v>
      </c>
      <c r="BO20" s="77" t="e">
        <f>#REF!</f>
        <v>#REF!</v>
      </c>
      <c r="BP20" s="77" t="e">
        <f>#REF!</f>
        <v>#REF!</v>
      </c>
      <c r="BR20" s="123" t="str">
        <f t="shared" si="11"/>
        <v>FAI8</v>
      </c>
      <c r="BS20" s="120">
        <f>OOC!G20</f>
        <v>0.03</v>
      </c>
      <c r="BT20" s="120" t="str">
        <f>OOC!H20</f>
        <v/>
      </c>
      <c r="BU20" s="2" t="e">
        <f t="shared" si="12"/>
        <v>#REF!</v>
      </c>
      <c r="BV20" s="2" t="e">
        <f t="shared" si="13"/>
        <v>#REF!</v>
      </c>
      <c r="BW20" s="2" t="e">
        <f t="shared" si="14"/>
        <v>#REF!</v>
      </c>
      <c r="BX20" s="121" t="e">
        <f>IF(AND(IF(OOC!G20="",0,OOC!G20) &gt;= IF(O20="",0,O20), IF(O20="",0,O20) &gt; IF(L20="",0,L20)), "OOC",
IF(AND(IF(M20="",0,M20) &gt; IF(P20="",0,P20), IF(P20="",0,P20) &gt;= IF(OOC!H20="",0,OOC!H20)), "OOC",
IF(IF(O20="",0,O20) &gt; IF(OOC!G20="",0,OOC!G20), "OOS",
IF(IF(OOC!H20="",0,OOC!H20) &gt; IF(P20="",0,P20), "OOS", "OK"))))</f>
        <v>#REF!</v>
      </c>
    </row>
    <row r="21" spans="1:76" ht="15" customHeight="1">
      <c r="A21" s="13"/>
      <c r="B21" s="88" t="s">
        <v>162</v>
      </c>
      <c r="C21" s="78" t="s">
        <v>103</v>
      </c>
      <c r="D21" s="89" t="s">
        <v>115</v>
      </c>
      <c r="E21" s="90"/>
      <c r="F21" s="66" t="s">
        <v>41</v>
      </c>
      <c r="G21" s="67"/>
      <c r="H21" s="92">
        <f>IF(OOC!S21=0,"",OOC!S21)</f>
        <v>0.03</v>
      </c>
      <c r="I21" s="92" t="str">
        <f>IF(OOC!T21=0,"",OOC!T21)</f>
        <v/>
      </c>
      <c r="J21" s="68" t="s">
        <v>12</v>
      </c>
      <c r="K21" s="69" t="s">
        <v>80</v>
      </c>
      <c r="L21" s="70">
        <f>IF(AND(G21="",H21=""),"",IF(G21="",H21,G21+H21))</f>
        <v>0.03</v>
      </c>
      <c r="M21" s="70" t="str">
        <f>IF(AND(G21="",I21=""),"",IF(G21="",I21,G21+I21))</f>
        <v/>
      </c>
      <c r="N21" s="71"/>
      <c r="O21" s="2" t="e">
        <f t="shared" si="0"/>
        <v>#REF!</v>
      </c>
      <c r="P21" s="2" t="e">
        <f t="shared" si="1"/>
        <v>#REF!</v>
      </c>
      <c r="Q21" s="2" t="e">
        <f t="shared" si="2"/>
        <v>#REF!</v>
      </c>
      <c r="R21" s="3" t="e">
        <f t="shared" si="3"/>
        <v>#REF!</v>
      </c>
      <c r="S21" s="4" t="e">
        <f t="shared" si="10"/>
        <v>#REF!</v>
      </c>
      <c r="T21" s="84" t="e">
        <f t="shared" si="4"/>
        <v>#REF!</v>
      </c>
      <c r="U21" s="85" t="e">
        <f t="shared" si="5"/>
        <v>#REF!</v>
      </c>
      <c r="V21" s="4" t="e">
        <f t="shared" si="6"/>
        <v>#REF!</v>
      </c>
      <c r="W21" s="4" t="e">
        <f t="shared" si="7"/>
        <v>#REF!</v>
      </c>
      <c r="X21" s="4" t="e">
        <f t="shared" si="8"/>
        <v>#REF!</v>
      </c>
      <c r="Y21" s="62" t="e">
        <f t="shared" si="9"/>
        <v>#REF!</v>
      </c>
      <c r="Z21" s="22"/>
      <c r="AA21" s="22"/>
      <c r="AB21" s="22"/>
      <c r="AC21" s="22"/>
      <c r="AD21" s="19"/>
      <c r="AE21" s="14"/>
      <c r="AF21" s="72"/>
      <c r="AG21" s="49"/>
      <c r="AH21" s="49"/>
      <c r="AI21" s="50"/>
      <c r="AJ21" s="15"/>
      <c r="AK21" s="77" t="e">
        <f>#REF!</f>
        <v>#REF!</v>
      </c>
      <c r="AL21" s="77" t="e">
        <f>#REF!</f>
        <v>#REF!</v>
      </c>
      <c r="AM21" s="77" t="e">
        <f>#REF!</f>
        <v>#REF!</v>
      </c>
      <c r="AN21" s="77" t="e">
        <f>#REF!</f>
        <v>#REF!</v>
      </c>
      <c r="AO21" s="77" t="e">
        <f>#REF!</f>
        <v>#REF!</v>
      </c>
      <c r="AP21" s="77" t="e">
        <f>#REF!</f>
        <v>#REF!</v>
      </c>
      <c r="AQ21" s="77" t="e">
        <f>#REF!</f>
        <v>#REF!</v>
      </c>
      <c r="AR21" s="77" t="e">
        <f>#REF!</f>
        <v>#REF!</v>
      </c>
      <c r="AS21" s="77" t="e">
        <f>#REF!</f>
        <v>#REF!</v>
      </c>
      <c r="AT21" s="77" t="e">
        <f>#REF!</f>
        <v>#REF!</v>
      </c>
      <c r="AU21" s="77" t="e">
        <f>#REF!</f>
        <v>#REF!</v>
      </c>
      <c r="AV21" s="77" t="e">
        <f>#REF!</f>
        <v>#REF!</v>
      </c>
      <c r="AW21" s="77" t="e">
        <f>#REF!</f>
        <v>#REF!</v>
      </c>
      <c r="AX21" s="77" t="e">
        <f>#REF!</f>
        <v>#REF!</v>
      </c>
      <c r="AY21" s="77" t="e">
        <f>#REF!</f>
        <v>#REF!</v>
      </c>
      <c r="AZ21" s="77" t="e">
        <f>#REF!</f>
        <v>#REF!</v>
      </c>
      <c r="BA21" s="77" t="e">
        <f>#REF!</f>
        <v>#REF!</v>
      </c>
      <c r="BB21" s="77" t="e">
        <f>#REF!</f>
        <v>#REF!</v>
      </c>
      <c r="BC21" s="77" t="e">
        <f>#REF!</f>
        <v>#REF!</v>
      </c>
      <c r="BD21" s="77" t="e">
        <f>#REF!</f>
        <v>#REF!</v>
      </c>
      <c r="BE21" s="77" t="e">
        <f>#REF!</f>
        <v>#REF!</v>
      </c>
      <c r="BF21" s="77" t="e">
        <f>#REF!</f>
        <v>#REF!</v>
      </c>
      <c r="BG21" s="77" t="e">
        <f>#REF!</f>
        <v>#REF!</v>
      </c>
      <c r="BH21" s="77" t="e">
        <f>#REF!</f>
        <v>#REF!</v>
      </c>
      <c r="BI21" s="77" t="e">
        <f>#REF!</f>
        <v>#REF!</v>
      </c>
      <c r="BJ21" s="77" t="e">
        <f>#REF!</f>
        <v>#REF!</v>
      </c>
      <c r="BK21" s="77" t="e">
        <f>#REF!</f>
        <v>#REF!</v>
      </c>
      <c r="BL21" s="77" t="e">
        <f>#REF!</f>
        <v>#REF!</v>
      </c>
      <c r="BM21" s="77" t="e">
        <f>#REF!</f>
        <v>#REF!</v>
      </c>
      <c r="BN21" s="77" t="e">
        <f>#REF!</f>
        <v>#REF!</v>
      </c>
      <c r="BO21" s="77" t="e">
        <f>#REF!</f>
        <v>#REF!</v>
      </c>
      <c r="BP21" s="77" t="e">
        <f>#REF!</f>
        <v>#REF!</v>
      </c>
      <c r="BR21" s="123" t="str">
        <f t="shared" si="11"/>
        <v>FAI8(DC)</v>
      </c>
      <c r="BS21" s="120">
        <f>OOC!G21</f>
        <v>0.03</v>
      </c>
      <c r="BT21" s="120" t="str">
        <f>OOC!H21</f>
        <v/>
      </c>
      <c r="BU21" s="2" t="e">
        <f t="shared" si="12"/>
        <v>#REF!</v>
      </c>
      <c r="BV21" s="2" t="e">
        <f t="shared" si="13"/>
        <v>#REF!</v>
      </c>
      <c r="BW21" s="2" t="e">
        <f t="shared" si="14"/>
        <v>#REF!</v>
      </c>
      <c r="BX21" s="121"/>
    </row>
    <row r="22" spans="1:76" ht="15" customHeight="1">
      <c r="A22" s="13"/>
      <c r="B22" s="88"/>
      <c r="C22" s="78"/>
      <c r="D22" s="89"/>
      <c r="E22" s="90"/>
      <c r="F22" s="66"/>
      <c r="G22" s="67"/>
      <c r="H22" s="92"/>
      <c r="I22" s="92"/>
      <c r="J22" s="68"/>
      <c r="K22" s="69"/>
      <c r="L22" s="70"/>
      <c r="M22" s="70"/>
      <c r="N22" s="71"/>
      <c r="O22" s="2"/>
      <c r="P22" s="2"/>
      <c r="Q22" s="2"/>
      <c r="R22" s="3"/>
      <c r="S22" s="4"/>
      <c r="T22" s="84"/>
      <c r="U22" s="85"/>
      <c r="V22" s="4"/>
      <c r="W22" s="4"/>
      <c r="X22" s="4"/>
      <c r="Y22" s="62"/>
      <c r="Z22" s="22"/>
      <c r="AA22" s="22"/>
      <c r="AB22" s="22"/>
      <c r="AC22" s="22"/>
      <c r="AD22" s="19"/>
      <c r="AE22" s="14"/>
      <c r="AF22" s="72"/>
      <c r="AG22" s="49"/>
      <c r="AH22" s="49"/>
      <c r="AI22" s="50"/>
      <c r="AJ22" s="15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77"/>
      <c r="BR22" s="123"/>
      <c r="BS22" s="120"/>
      <c r="BT22" s="120"/>
      <c r="BU22" s="2"/>
      <c r="BV22" s="2"/>
      <c r="BW22" s="2"/>
      <c r="BX22" s="121"/>
    </row>
    <row r="23" spans="1:76" ht="15" customHeight="1">
      <c r="A23" s="13"/>
      <c r="B23" s="88"/>
      <c r="C23" s="78"/>
      <c r="D23" s="89"/>
      <c r="E23" s="90"/>
      <c r="F23" s="66"/>
      <c r="G23" s="67"/>
      <c r="H23" s="92"/>
      <c r="I23" s="92"/>
      <c r="J23" s="68"/>
      <c r="K23" s="69"/>
      <c r="L23" s="70"/>
      <c r="M23" s="70"/>
      <c r="N23" s="71"/>
      <c r="O23" s="2"/>
      <c r="P23" s="2"/>
      <c r="Q23" s="2"/>
      <c r="R23" s="3"/>
      <c r="S23" s="4"/>
      <c r="T23" s="84"/>
      <c r="U23" s="85"/>
      <c r="V23" s="4"/>
      <c r="W23" s="4"/>
      <c r="X23" s="4"/>
      <c r="Y23" s="62"/>
      <c r="Z23" s="22"/>
      <c r="AA23" s="22"/>
      <c r="AB23" s="22"/>
      <c r="AC23" s="22"/>
      <c r="AD23" s="19"/>
      <c r="AE23" s="14"/>
      <c r="AF23" s="72"/>
      <c r="AG23" s="49"/>
      <c r="AH23" s="49"/>
      <c r="AI23" s="50"/>
      <c r="AJ23" s="15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77"/>
      <c r="BR23" s="123"/>
      <c r="BS23" s="120"/>
      <c r="BT23" s="120"/>
      <c r="BU23" s="2"/>
      <c r="BV23" s="2"/>
      <c r="BW23" s="2"/>
      <c r="BX23" s="121"/>
    </row>
    <row r="24" spans="1:76" ht="15" customHeight="1">
      <c r="A24" s="13"/>
      <c r="B24" s="88" t="s">
        <v>113</v>
      </c>
      <c r="C24" s="78" t="s">
        <v>104</v>
      </c>
      <c r="D24" s="89" t="s">
        <v>116</v>
      </c>
      <c r="E24" s="90">
        <v>1.5</v>
      </c>
      <c r="F24" s="66" t="s">
        <v>41</v>
      </c>
      <c r="G24" s="67"/>
      <c r="H24" s="92" t="str">
        <f>IF(OOC!S24=0,"",OOC!S24)</f>
        <v/>
      </c>
      <c r="I24" s="92" t="str">
        <f>IF(OOC!T24=0,"",OOC!T24)</f>
        <v/>
      </c>
      <c r="J24" s="68" t="s">
        <v>12</v>
      </c>
      <c r="K24" s="69" t="s">
        <v>80</v>
      </c>
      <c r="L24" s="70" t="str">
        <f t="shared" si="15"/>
        <v/>
      </c>
      <c r="M24" s="70" t="str">
        <f t="shared" si="16"/>
        <v/>
      </c>
      <c r="N24" s="71"/>
      <c r="O24" s="2" t="e">
        <f>IF(OR($AK24="",ISNUMBER($AK24)=FALSE),"",MAX(AK24:BP24))</f>
        <v>#REF!</v>
      </c>
      <c r="P24" s="2" t="e">
        <f>IF(OR($AK24="",ISNUMBER($AK24)=FALSE),"",MIN(AK24:BP24))</f>
        <v>#REF!</v>
      </c>
      <c r="Q24" s="2" t="e">
        <f>IF(OR($AK24="",ISNUMBER($AK24)=FALSE),"",AVERAGE(AK24:BP24))</f>
        <v>#REF!</v>
      </c>
      <c r="R24" s="3" t="e">
        <f>IF(OR($AK24="",ISNUMBER($AK24)=FALSE),"",STDEV(AK24:BP24))</f>
        <v>#REF!</v>
      </c>
      <c r="S24" s="4" t="e">
        <f t="shared" si="10"/>
        <v>#REF!</v>
      </c>
      <c r="T24" s="84" t="e">
        <f>IF(OR($AK24="",ISNUMBER($AK24)=FALSE),"",IF(AND($F24="Tolerance",$G24&lt;&gt;""),($Q24-$G24)/(($L24-$M24)/2),IF(AND($F24="GD&amp;T",$H24&lt;&gt;""),$Q24/$H24,"")))</f>
        <v>#REF!</v>
      </c>
      <c r="U24" s="85" t="e">
        <f>IF($T24="","",IF(ABS($T24)&lt;=0.125, "Level A",IF(AND(ABS($T24)&gt;0.125,ABS($T24)&lt;=0.25), "Level B",IF(AND(ABS($T24)&gt;0.25,ABS($T24)&lt;=0.5), "Level C", IF(ABS($T24)&gt;0.5, "Level D")))))</f>
        <v>#REF!</v>
      </c>
      <c r="V24" s="4" t="e">
        <f>IF(OR($AK24="",ISNUMBER($AK24)=FALSE),"",IF(H24="","",(L24-Q24)/(3*R24)))</f>
        <v>#REF!</v>
      </c>
      <c r="W24" s="4" t="e">
        <f>IF(OR($AK24="",ISNUMBER($AK24)=FALSE),"",IF(I24="","",(Q24-M24)/(3*R24)))</f>
        <v>#REF!</v>
      </c>
      <c r="X24" s="4" t="e">
        <f>IF(OR($AK24="",ISNUMBER($AK24)=FALSE),"",IF(AND(G24=0,I24=0),((H24)-(Q24))/(3*R24),MIN(V24:W24)))</f>
        <v>#REF!</v>
      </c>
      <c r="Y24" s="62" t="e">
        <f>IF(OR($AK24="",ISNUMBER($AK24)=FALSE),"",IF(AND(G24=0,I24=0),NORMSDIST(3*X24),NORMSDIST(3*X24)+NORMSDIST(6*S24-3*X24)-1))</f>
        <v>#REF!</v>
      </c>
      <c r="Z24" s="22"/>
      <c r="AA24" s="22"/>
      <c r="AB24" s="22"/>
      <c r="AC24" s="22"/>
      <c r="AD24" s="19"/>
      <c r="AE24" s="14"/>
      <c r="AF24" s="72"/>
      <c r="AG24" s="49"/>
      <c r="AH24" s="49"/>
      <c r="AI24" s="50"/>
      <c r="AJ24" s="15"/>
      <c r="AK24" s="77" t="e">
        <f>#REF!</f>
        <v>#REF!</v>
      </c>
      <c r="AL24" s="77" t="e">
        <f>#REF!</f>
        <v>#REF!</v>
      </c>
      <c r="AM24" s="77" t="e">
        <f>#REF!</f>
        <v>#REF!</v>
      </c>
      <c r="AN24" s="77" t="e">
        <f>#REF!</f>
        <v>#REF!</v>
      </c>
      <c r="AO24" s="77" t="e">
        <f>#REF!</f>
        <v>#REF!</v>
      </c>
      <c r="AP24" s="77" t="e">
        <f>#REF!</f>
        <v>#REF!</v>
      </c>
      <c r="AQ24" s="77" t="e">
        <f>#REF!</f>
        <v>#REF!</v>
      </c>
      <c r="AR24" s="77" t="e">
        <f>#REF!</f>
        <v>#REF!</v>
      </c>
      <c r="AS24" s="77" t="e">
        <f>#REF!</f>
        <v>#REF!</v>
      </c>
      <c r="AT24" s="77" t="e">
        <f>#REF!</f>
        <v>#REF!</v>
      </c>
      <c r="AU24" s="77" t="e">
        <f>#REF!</f>
        <v>#REF!</v>
      </c>
      <c r="AV24" s="77" t="e">
        <f>#REF!</f>
        <v>#REF!</v>
      </c>
      <c r="AW24" s="77" t="e">
        <f>#REF!</f>
        <v>#REF!</v>
      </c>
      <c r="AX24" s="77" t="e">
        <f>#REF!</f>
        <v>#REF!</v>
      </c>
      <c r="AY24" s="77" t="e">
        <f>#REF!</f>
        <v>#REF!</v>
      </c>
      <c r="AZ24" s="77" t="e">
        <f>#REF!</f>
        <v>#REF!</v>
      </c>
      <c r="BA24" s="77" t="e">
        <f>#REF!</f>
        <v>#REF!</v>
      </c>
      <c r="BB24" s="77" t="e">
        <f>#REF!</f>
        <v>#REF!</v>
      </c>
      <c r="BC24" s="77" t="e">
        <f>#REF!</f>
        <v>#REF!</v>
      </c>
      <c r="BD24" s="77" t="e">
        <f>#REF!</f>
        <v>#REF!</v>
      </c>
      <c r="BE24" s="77" t="e">
        <f>#REF!</f>
        <v>#REF!</v>
      </c>
      <c r="BF24" s="77" t="e">
        <f>#REF!</f>
        <v>#REF!</v>
      </c>
      <c r="BG24" s="77" t="e">
        <f>#REF!</f>
        <v>#REF!</v>
      </c>
      <c r="BH24" s="77" t="e">
        <f>#REF!</f>
        <v>#REF!</v>
      </c>
      <c r="BI24" s="77" t="e">
        <f>#REF!</f>
        <v>#REF!</v>
      </c>
      <c r="BJ24" s="77" t="e">
        <f>#REF!</f>
        <v>#REF!</v>
      </c>
      <c r="BK24" s="77" t="e">
        <f>#REF!</f>
        <v>#REF!</v>
      </c>
      <c r="BL24" s="77" t="e">
        <f>#REF!</f>
        <v>#REF!</v>
      </c>
      <c r="BM24" s="77" t="e">
        <f>#REF!</f>
        <v>#REF!</v>
      </c>
      <c r="BN24" s="77" t="e">
        <f>#REF!</f>
        <v>#REF!</v>
      </c>
      <c r="BO24" s="77" t="e">
        <f>#REF!</f>
        <v>#REF!</v>
      </c>
      <c r="BP24" s="77" t="e">
        <f>#REF!</f>
        <v>#REF!</v>
      </c>
      <c r="BR24" s="123" t="str">
        <f t="shared" si="11"/>
        <v>FAI9</v>
      </c>
      <c r="BS24" s="120">
        <f>OOC!G24</f>
        <v>0.03</v>
      </c>
      <c r="BT24" s="120" t="str">
        <f>OOC!H24</f>
        <v/>
      </c>
      <c r="BU24" s="2" t="e">
        <f t="shared" si="12"/>
        <v>#REF!</v>
      </c>
      <c r="BV24" s="2" t="e">
        <f t="shared" si="13"/>
        <v>#REF!</v>
      </c>
      <c r="BW24" s="2" t="e">
        <f t="shared" si="14"/>
        <v>#REF!</v>
      </c>
      <c r="BX24" s="121" t="e">
        <f>IF(AND(IF(OOC!G24="",0,OOC!G24) &gt;= IF(O24="",0,O24), IF(O24="",0,O24) &gt; IF(L24="",0,L24)), "OOC",
IF(AND(IF(M24="",0,M24) &gt; IF(P24="",0,P24), IF(P24="",0,P24) &gt;= IF(OOC!H24="",0,OOC!H24)), "OOC",
IF(IF(O24="",0,O24) &gt; IF(OOC!G24="",0,OOC!G24), "OOS",
IF(IF(OOC!H24="",0,OOC!H24) &gt; IF(P24="",0,P24), "OOS", "OK"))))</f>
        <v>#REF!</v>
      </c>
    </row>
    <row r="25" spans="1:76" ht="15" customHeight="1">
      <c r="A25" s="13"/>
      <c r="B25" s="88" t="s">
        <v>150</v>
      </c>
      <c r="C25" s="78" t="s">
        <v>105</v>
      </c>
      <c r="D25" s="89" t="s">
        <v>117</v>
      </c>
      <c r="E25" s="90">
        <v>1.33</v>
      </c>
      <c r="F25" s="66" t="s">
        <v>44</v>
      </c>
      <c r="G25" s="91">
        <v>1.0900000000000001</v>
      </c>
      <c r="H25" s="92" t="str">
        <f>IF(OOC!S25=0,"",OOC!S25)</f>
        <v/>
      </c>
      <c r="I25" s="92" t="str">
        <f>IF(OOC!T25=0,"",OOC!T25)</f>
        <v/>
      </c>
      <c r="J25" s="68" t="s">
        <v>12</v>
      </c>
      <c r="K25" s="69" t="s">
        <v>80</v>
      </c>
      <c r="L25" s="70" t="e">
        <f t="shared" si="15"/>
        <v>#VALUE!</v>
      </c>
      <c r="M25" s="70" t="e">
        <f t="shared" si="16"/>
        <v>#VALUE!</v>
      </c>
      <c r="N25" s="71"/>
      <c r="O25" s="2" t="e">
        <f>IF(OR($AK25="",ISNUMBER($AK25)=FALSE),"",MAX(AK25:BP25))</f>
        <v>#REF!</v>
      </c>
      <c r="P25" s="2" t="e">
        <f>IF(OR($AK25="",ISNUMBER($AK25)=FALSE),"",MIN(AK25:BP25))</f>
        <v>#REF!</v>
      </c>
      <c r="Q25" s="2" t="e">
        <f>IF(OR($AK25="",ISNUMBER($AK25)=FALSE),"",AVERAGE(AK25:BP25))</f>
        <v>#REF!</v>
      </c>
      <c r="R25" s="3" t="e">
        <f>IF(OR($AK25="",ISNUMBER($AK25)=FALSE),"",STDEV(AK25:BP25))</f>
        <v>#REF!</v>
      </c>
      <c r="S25" s="4" t="e">
        <f t="shared" si="10"/>
        <v>#REF!</v>
      </c>
      <c r="T25" s="84" t="e">
        <f>IF(OR($AK25="",ISNUMBER($AK25)=FALSE),"",IF(AND($F25="Tolerance",$G25&lt;&gt;""),($Q25-$G25)/(($L25-$M25)/2),IF(AND($F25="GD&amp;T",$H25&lt;&gt;""),$Q25/$H25,"")))</f>
        <v>#REF!</v>
      </c>
      <c r="U25" s="85" t="e">
        <f>IF($T25="","",IF(ABS($T25)&lt;=0.125, "Level A",IF(AND(ABS($T25)&gt;0.125,ABS($T25)&lt;=0.25), "Level B",IF(AND(ABS($T25)&gt;0.25,ABS($T25)&lt;=0.5), "Level C", IF(ABS($T25)&gt;0.5, "Level D")))))</f>
        <v>#REF!</v>
      </c>
      <c r="V25" s="4" t="e">
        <f>IF(OR($AK25="",ISNUMBER($AK25)=FALSE),"",IF(H25="","",(L25-Q25)/(3*R25)))</f>
        <v>#REF!</v>
      </c>
      <c r="W25" s="4" t="e">
        <f>IF(OR($AK25="",ISNUMBER($AK25)=FALSE),"",IF(I25="","",(Q25-M25)/(3*R25)))</f>
        <v>#REF!</v>
      </c>
      <c r="X25" s="4" t="e">
        <f>IF(OR($AK25="",ISNUMBER($AK25)=FALSE),"",IF(AND(G25=0,I25=0),((H25)-(Q25))/(3*R25),MIN(V25:W25)))</f>
        <v>#REF!</v>
      </c>
      <c r="Y25" s="62" t="e">
        <f>IF(OR($AK25="",ISNUMBER($AK25)=FALSE),"",IF(AND(G25=0,I25=0),NORMSDIST(3*X25),NORMSDIST(3*X25)+NORMSDIST(6*S25-3*X25)-1))</f>
        <v>#REF!</v>
      </c>
      <c r="Z25" s="22"/>
      <c r="AA25" s="22"/>
      <c r="AB25" s="22"/>
      <c r="AC25" s="22"/>
      <c r="AD25" s="19"/>
      <c r="AE25" s="14"/>
      <c r="AF25" s="72"/>
      <c r="AG25" s="49"/>
      <c r="AH25" s="49"/>
      <c r="AI25" s="50"/>
      <c r="AJ25" s="15"/>
      <c r="AK25" s="77" t="e">
        <f>#REF!</f>
        <v>#REF!</v>
      </c>
      <c r="AL25" s="77" t="e">
        <f>#REF!</f>
        <v>#REF!</v>
      </c>
      <c r="AM25" s="77" t="e">
        <f>#REF!</f>
        <v>#REF!</v>
      </c>
      <c r="AN25" s="77" t="e">
        <f>#REF!</f>
        <v>#REF!</v>
      </c>
      <c r="AO25" s="77" t="e">
        <f>#REF!</f>
        <v>#REF!</v>
      </c>
      <c r="AP25" s="77" t="e">
        <f>#REF!</f>
        <v>#REF!</v>
      </c>
      <c r="AQ25" s="77" t="e">
        <f>#REF!</f>
        <v>#REF!</v>
      </c>
      <c r="AR25" s="77" t="e">
        <f>#REF!</f>
        <v>#REF!</v>
      </c>
      <c r="AS25" s="77" t="e">
        <f>#REF!</f>
        <v>#REF!</v>
      </c>
      <c r="AT25" s="77" t="e">
        <f>#REF!</f>
        <v>#REF!</v>
      </c>
      <c r="AU25" s="77" t="e">
        <f>#REF!</f>
        <v>#REF!</v>
      </c>
      <c r="AV25" s="77" t="e">
        <f>#REF!</f>
        <v>#REF!</v>
      </c>
      <c r="AW25" s="77" t="e">
        <f>#REF!</f>
        <v>#REF!</v>
      </c>
      <c r="AX25" s="77" t="e">
        <f>#REF!</f>
        <v>#REF!</v>
      </c>
      <c r="AY25" s="77" t="e">
        <f>#REF!</f>
        <v>#REF!</v>
      </c>
      <c r="AZ25" s="77" t="e">
        <f>#REF!</f>
        <v>#REF!</v>
      </c>
      <c r="BA25" s="77" t="e">
        <f>#REF!</f>
        <v>#REF!</v>
      </c>
      <c r="BB25" s="77" t="e">
        <f>#REF!</f>
        <v>#REF!</v>
      </c>
      <c r="BC25" s="77" t="e">
        <f>#REF!</f>
        <v>#REF!</v>
      </c>
      <c r="BD25" s="77" t="e">
        <f>#REF!</f>
        <v>#REF!</v>
      </c>
      <c r="BE25" s="77" t="e">
        <f>#REF!</f>
        <v>#REF!</v>
      </c>
      <c r="BF25" s="77" t="e">
        <f>#REF!</f>
        <v>#REF!</v>
      </c>
      <c r="BG25" s="77" t="e">
        <f>#REF!</f>
        <v>#REF!</v>
      </c>
      <c r="BH25" s="77" t="e">
        <f>#REF!</f>
        <v>#REF!</v>
      </c>
      <c r="BI25" s="77" t="e">
        <f>#REF!</f>
        <v>#REF!</v>
      </c>
      <c r="BJ25" s="77" t="e">
        <f>#REF!</f>
        <v>#REF!</v>
      </c>
      <c r="BK25" s="77" t="e">
        <f>#REF!</f>
        <v>#REF!</v>
      </c>
      <c r="BL25" s="77" t="e">
        <f>#REF!</f>
        <v>#REF!</v>
      </c>
      <c r="BM25" s="77" t="e">
        <f>#REF!</f>
        <v>#REF!</v>
      </c>
      <c r="BN25" s="77" t="e">
        <f>#REF!</f>
        <v>#REF!</v>
      </c>
      <c r="BO25" s="77" t="e">
        <f>#REF!</f>
        <v>#REF!</v>
      </c>
      <c r="BP25" s="77" t="e">
        <f>#REF!</f>
        <v>#REF!</v>
      </c>
      <c r="BR25" s="123" t="str">
        <f t="shared" si="11"/>
        <v>FAI10-1</v>
      </c>
      <c r="BS25" s="120">
        <f>OOC!G25</f>
        <v>1.105</v>
      </c>
      <c r="BT25" s="120">
        <f>OOC!H25</f>
        <v>1.08</v>
      </c>
      <c r="BU25" s="2" t="e">
        <f t="shared" si="12"/>
        <v>#REF!</v>
      </c>
      <c r="BV25" s="2" t="e">
        <f t="shared" si="13"/>
        <v>#REF!</v>
      </c>
      <c r="BW25" s="2" t="e">
        <f t="shared" si="14"/>
        <v>#REF!</v>
      </c>
      <c r="BX25" s="121" t="e">
        <f>IF(AND(IF(OOC!G25="",0,OOC!G25) &gt;= IF(O25="",0,O25), IF(O25="",0,O25) &gt; IF(L25="",0,L25)), "OOC",
IF(AND(IF(M25="",0,M25) &gt; IF(P25="",0,P25), IF(P25="",0,P25) &gt;= IF(OOC!H25="",0,OOC!H25)), "OOC",
IF(IF(O25="",0,O25) &gt; IF(OOC!G25="",0,OOC!G25), "OOS",
IF(IF(OOC!H25="",0,OOC!H25) &gt; IF(P25="",0,P25), "OOS", "OK"))))</f>
        <v>#REF!</v>
      </c>
    </row>
    <row r="26" spans="1:76" ht="15" customHeight="1">
      <c r="A26" s="13"/>
      <c r="B26" s="88"/>
      <c r="C26" s="78"/>
      <c r="D26" s="89"/>
      <c r="E26" s="90"/>
      <c r="F26" s="66"/>
      <c r="G26" s="91"/>
      <c r="H26" s="92"/>
      <c r="I26" s="92"/>
      <c r="J26" s="68"/>
      <c r="K26" s="69"/>
      <c r="L26" s="70"/>
      <c r="M26" s="70"/>
      <c r="N26" s="71"/>
      <c r="O26" s="2"/>
      <c r="P26" s="2"/>
      <c r="Q26" s="2"/>
      <c r="R26" s="3"/>
      <c r="S26" s="4"/>
      <c r="T26" s="84"/>
      <c r="U26" s="85"/>
      <c r="V26" s="4"/>
      <c r="W26" s="4"/>
      <c r="X26" s="4"/>
      <c r="Y26" s="62"/>
      <c r="Z26" s="22"/>
      <c r="AA26" s="22"/>
      <c r="AB26" s="22"/>
      <c r="AC26" s="22"/>
      <c r="AD26" s="19"/>
      <c r="AE26" s="14"/>
      <c r="AF26" s="72"/>
      <c r="AG26" s="49"/>
      <c r="AH26" s="49"/>
      <c r="AI26" s="50"/>
      <c r="AJ26" s="15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77"/>
      <c r="BR26" s="123"/>
      <c r="BS26" s="120"/>
      <c r="BT26" s="120"/>
      <c r="BU26" s="2"/>
      <c r="BV26" s="2"/>
      <c r="BW26" s="2"/>
      <c r="BX26" s="121"/>
    </row>
    <row r="27" spans="1:76" ht="15" customHeight="1">
      <c r="A27" s="13"/>
      <c r="B27" s="88"/>
      <c r="C27" s="78"/>
      <c r="D27" s="89"/>
      <c r="E27" s="90"/>
      <c r="F27" s="66"/>
      <c r="G27" s="91"/>
      <c r="H27" s="92"/>
      <c r="I27" s="92"/>
      <c r="J27" s="68"/>
      <c r="K27" s="69"/>
      <c r="L27" s="70"/>
      <c r="M27" s="70"/>
      <c r="N27" s="71"/>
      <c r="O27" s="2"/>
      <c r="P27" s="2"/>
      <c r="Q27" s="2"/>
      <c r="R27" s="3"/>
      <c r="S27" s="4"/>
      <c r="T27" s="84"/>
      <c r="U27" s="85"/>
      <c r="V27" s="4"/>
      <c r="W27" s="4"/>
      <c r="X27" s="4"/>
      <c r="Y27" s="62"/>
      <c r="Z27" s="22"/>
      <c r="AA27" s="22"/>
      <c r="AB27" s="22"/>
      <c r="AC27" s="22"/>
      <c r="AD27" s="19"/>
      <c r="AE27" s="14"/>
      <c r="AF27" s="72"/>
      <c r="AG27" s="49"/>
      <c r="AH27" s="49"/>
      <c r="AI27" s="50"/>
      <c r="AJ27" s="15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77"/>
      <c r="BR27" s="123"/>
      <c r="BS27" s="120"/>
      <c r="BT27" s="120"/>
      <c r="BU27" s="2"/>
      <c r="BV27" s="2"/>
      <c r="BW27" s="2"/>
      <c r="BX27" s="121"/>
    </row>
    <row r="28" spans="1:76" ht="15" customHeight="1">
      <c r="A28" s="13">
        <v>4</v>
      </c>
      <c r="B28" s="88" t="s">
        <v>150</v>
      </c>
      <c r="C28" s="78" t="s">
        <v>106</v>
      </c>
      <c r="D28" s="89" t="s">
        <v>117</v>
      </c>
      <c r="E28" s="90">
        <v>1.33</v>
      </c>
      <c r="F28" s="66" t="s">
        <v>44</v>
      </c>
      <c r="G28" s="91">
        <v>1.0900000000000001</v>
      </c>
      <c r="H28" s="92" t="str">
        <f>IF(OOC!S28=0,"",OOC!S28)</f>
        <v/>
      </c>
      <c r="I28" s="92" t="str">
        <f>IF(OOC!T28=0,"",OOC!T28)</f>
        <v/>
      </c>
      <c r="J28" s="68" t="s">
        <v>12</v>
      </c>
      <c r="K28" s="69" t="s">
        <v>80</v>
      </c>
      <c r="L28" s="70" t="e">
        <f t="shared" si="15"/>
        <v>#VALUE!</v>
      </c>
      <c r="M28" s="70" t="e">
        <f t="shared" si="16"/>
        <v>#VALUE!</v>
      </c>
      <c r="N28" s="71"/>
      <c r="O28" s="2" t="e">
        <f>IF(OR($AK28="",ISNUMBER($AK28)=FALSE),"",MAX(AK28:BP28))</f>
        <v>#REF!</v>
      </c>
      <c r="P28" s="2" t="e">
        <f>IF(OR($AK28="",ISNUMBER($AK28)=FALSE),"",MIN(AK28:BP28))</f>
        <v>#REF!</v>
      </c>
      <c r="Q28" s="2" t="e">
        <f>IF(OR($AK28="",ISNUMBER($AK28)=FALSE),"",AVERAGE(AK28:BP28))</f>
        <v>#REF!</v>
      </c>
      <c r="R28" s="3" t="e">
        <f>IF(OR($AK28="",ISNUMBER($AK28)=FALSE),"",STDEV(AK28:BP28))</f>
        <v>#REF!</v>
      </c>
      <c r="S28" s="4" t="e">
        <f t="shared" si="10"/>
        <v>#REF!</v>
      </c>
      <c r="T28" s="84" t="e">
        <f>IF(OR($AK28="",ISNUMBER($AK28)=FALSE),"",IF(AND($F28="Tolerance",$G28&lt;&gt;""),($Q28-$G28)/(($L28-$M28)/2),IF(AND($F28="GD&amp;T",$H28&lt;&gt;""),$Q28/$H28,"")))</f>
        <v>#REF!</v>
      </c>
      <c r="U28" s="85" t="e">
        <f>IF($T28="","",IF(ABS($T28)&lt;=0.125, "Level A",IF(AND(ABS($T28)&gt;0.125,ABS($T28)&lt;=0.25), "Level B",IF(AND(ABS($T28)&gt;0.25,ABS($T28)&lt;=0.5), "Level C", IF(ABS($T28)&gt;0.5, "Level D")))))</f>
        <v>#REF!</v>
      </c>
      <c r="V28" s="4" t="e">
        <f>IF(OR($AK28="",ISNUMBER($AK28)=FALSE),"",IF(H28="","",(L28-Q28)/(3*R28)))</f>
        <v>#REF!</v>
      </c>
      <c r="W28" s="4" t="e">
        <f>IF(OR($AK28="",ISNUMBER($AK28)=FALSE),"",IF(I28="","",(Q28-M28)/(3*R28)))</f>
        <v>#REF!</v>
      </c>
      <c r="X28" s="4" t="e">
        <f>IF(OR($AK28="",ISNUMBER($AK28)=FALSE),"",IF(AND(G28=0,I28=0),((H28)-(Q28))/(3*R28),MIN(V28:W28)))</f>
        <v>#REF!</v>
      </c>
      <c r="Y28" s="62" t="e">
        <f>IF(OR($AK28="",ISNUMBER($AK28)=FALSE),"",IF(AND(G28=0,I28=0),NORMSDIST(3*X28),NORMSDIST(3*X28)+NORMSDIST(6*S28-3*X28)-1))</f>
        <v>#REF!</v>
      </c>
      <c r="Z28" s="22" t="e">
        <f>IF($Q28="","",IF(F28="Tolerance",IF(($E28*3*R28+Q28)-G28&lt;H28,"",($E28*3*R28+Q28)-G28),IF(OR(F28="GD&amp;T",F28="MAX"),IF(($E28*3*R28+Q28)&lt;H28,"",($E28*3*R28+Q28)),"")))</f>
        <v>#REF!</v>
      </c>
      <c r="AA28" s="22" t="e">
        <f>IF(Q28="","",IF(F28="Tolerance",IF(-(($E28*3*R28)-Q28)-G28&gt;I28,"",-(($E28*3*R28)-Q28)-G28),IF(F28="MIN",IF(-(($E28*3*R28)-Q28)&gt;I28,"",-(($E28*3*R28)-Q28)),"")))</f>
        <v>#REF!</v>
      </c>
      <c r="AB28" s="22" t="e">
        <f>IF(OR(G28="",Q28=""),"",(L28+M28)/2-Q28)</f>
        <v>#REF!</v>
      </c>
      <c r="AC28" s="22" t="e">
        <f>IF(OR($S28&gt;$AC$9,$R28=""),"",$AC$9*6*$R28)</f>
        <v>#REF!</v>
      </c>
      <c r="AD28" s="19"/>
      <c r="AE28" s="14"/>
      <c r="AF28" s="72"/>
      <c r="AG28" s="49"/>
      <c r="AH28" s="49"/>
      <c r="AI28" s="50"/>
      <c r="AJ28" s="15"/>
      <c r="AK28" s="77" t="e">
        <f>#REF!</f>
        <v>#REF!</v>
      </c>
      <c r="AL28" s="77" t="e">
        <f>#REF!</f>
        <v>#REF!</v>
      </c>
      <c r="AM28" s="77" t="e">
        <f>#REF!</f>
        <v>#REF!</v>
      </c>
      <c r="AN28" s="77" t="e">
        <f>#REF!</f>
        <v>#REF!</v>
      </c>
      <c r="AO28" s="77" t="e">
        <f>#REF!</f>
        <v>#REF!</v>
      </c>
      <c r="AP28" s="77" t="e">
        <f>#REF!</f>
        <v>#REF!</v>
      </c>
      <c r="AQ28" s="77" t="e">
        <f>#REF!</f>
        <v>#REF!</v>
      </c>
      <c r="AR28" s="77" t="e">
        <f>#REF!</f>
        <v>#REF!</v>
      </c>
      <c r="AS28" s="77" t="e">
        <f>#REF!</f>
        <v>#REF!</v>
      </c>
      <c r="AT28" s="77" t="e">
        <f>#REF!</f>
        <v>#REF!</v>
      </c>
      <c r="AU28" s="77" t="e">
        <f>#REF!</f>
        <v>#REF!</v>
      </c>
      <c r="AV28" s="77" t="e">
        <f>#REF!</f>
        <v>#REF!</v>
      </c>
      <c r="AW28" s="77" t="e">
        <f>#REF!</f>
        <v>#REF!</v>
      </c>
      <c r="AX28" s="77" t="e">
        <f>#REF!</f>
        <v>#REF!</v>
      </c>
      <c r="AY28" s="77" t="e">
        <f>#REF!</f>
        <v>#REF!</v>
      </c>
      <c r="AZ28" s="77" t="e">
        <f>#REF!</f>
        <v>#REF!</v>
      </c>
      <c r="BA28" s="77" t="e">
        <f>#REF!</f>
        <v>#REF!</v>
      </c>
      <c r="BB28" s="77" t="e">
        <f>#REF!</f>
        <v>#REF!</v>
      </c>
      <c r="BC28" s="77" t="e">
        <f>#REF!</f>
        <v>#REF!</v>
      </c>
      <c r="BD28" s="77" t="e">
        <f>#REF!</f>
        <v>#REF!</v>
      </c>
      <c r="BE28" s="77" t="e">
        <f>#REF!</f>
        <v>#REF!</v>
      </c>
      <c r="BF28" s="77" t="e">
        <f>#REF!</f>
        <v>#REF!</v>
      </c>
      <c r="BG28" s="77" t="e">
        <f>#REF!</f>
        <v>#REF!</v>
      </c>
      <c r="BH28" s="77" t="e">
        <f>#REF!</f>
        <v>#REF!</v>
      </c>
      <c r="BI28" s="77" t="e">
        <f>#REF!</f>
        <v>#REF!</v>
      </c>
      <c r="BJ28" s="77" t="e">
        <f>#REF!</f>
        <v>#REF!</v>
      </c>
      <c r="BK28" s="77" t="e">
        <f>#REF!</f>
        <v>#REF!</v>
      </c>
      <c r="BL28" s="77" t="e">
        <f>#REF!</f>
        <v>#REF!</v>
      </c>
      <c r="BM28" s="77" t="e">
        <f>#REF!</f>
        <v>#REF!</v>
      </c>
      <c r="BN28" s="77" t="e">
        <f>#REF!</f>
        <v>#REF!</v>
      </c>
      <c r="BO28" s="77" t="e">
        <f>#REF!</f>
        <v>#REF!</v>
      </c>
      <c r="BP28" s="77" t="e">
        <f>#REF!</f>
        <v>#REF!</v>
      </c>
      <c r="BR28" s="123" t="str">
        <f t="shared" si="11"/>
        <v>FAI10-2</v>
      </c>
      <c r="BS28" s="120">
        <f>OOC!G28</f>
        <v>1.105</v>
      </c>
      <c r="BT28" s="120">
        <f>OOC!H28</f>
        <v>1.08</v>
      </c>
      <c r="BU28" s="2" t="e">
        <f t="shared" si="12"/>
        <v>#REF!</v>
      </c>
      <c r="BV28" s="2" t="e">
        <f t="shared" si="13"/>
        <v>#REF!</v>
      </c>
      <c r="BW28" s="2" t="e">
        <f t="shared" si="14"/>
        <v>#REF!</v>
      </c>
      <c r="BX28" s="121" t="e">
        <f>IF(AND(IF(OOC!G28="",0,OOC!G28) &gt;= IF(O28="",0,O28), IF(O28="",0,O28) &gt; IF(L28="",0,L28)), "OOC",
IF(AND(IF(M28="",0,M28) &gt; IF(P28="",0,P28), IF(P28="",0,P28) &gt;= IF(OOC!H28="",0,OOC!H28)), "OOC",
IF(IF(O28="",0,O28) &gt; IF(OOC!G28="",0,OOC!G28), "OOS",
IF(IF(OOC!H28="",0,OOC!H28) &gt; IF(P28="",0,P28), "OOS", "OK"))))</f>
        <v>#REF!</v>
      </c>
    </row>
    <row r="29" spans="1:76" ht="15" customHeight="1">
      <c r="A29" s="13"/>
      <c r="B29" s="88"/>
      <c r="C29" s="78"/>
      <c r="D29" s="89"/>
      <c r="E29" s="90"/>
      <c r="F29" s="66"/>
      <c r="G29" s="91"/>
      <c r="H29" s="92"/>
      <c r="I29" s="92"/>
      <c r="J29" s="68"/>
      <c r="K29" s="69"/>
      <c r="L29" s="70"/>
      <c r="M29" s="70"/>
      <c r="N29" s="71"/>
      <c r="O29" s="2"/>
      <c r="P29" s="2"/>
      <c r="Q29" s="2"/>
      <c r="R29" s="3"/>
      <c r="S29" s="4"/>
      <c r="T29" s="84"/>
      <c r="U29" s="85"/>
      <c r="V29" s="4"/>
      <c r="W29" s="4"/>
      <c r="X29" s="4"/>
      <c r="Y29" s="62"/>
      <c r="Z29" s="22"/>
      <c r="AA29" s="22"/>
      <c r="AB29" s="22"/>
      <c r="AC29" s="22"/>
      <c r="AD29" s="19"/>
      <c r="AE29" s="14"/>
      <c r="AF29" s="72"/>
      <c r="AG29" s="49"/>
      <c r="AH29" s="49"/>
      <c r="AI29" s="50"/>
      <c r="AJ29" s="15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77"/>
      <c r="BR29" s="123"/>
      <c r="BS29" s="120"/>
      <c r="BT29" s="120"/>
      <c r="BU29" s="2"/>
      <c r="BV29" s="2"/>
      <c r="BW29" s="2"/>
      <c r="BX29" s="121"/>
    </row>
    <row r="30" spans="1:76" ht="15" customHeight="1">
      <c r="A30" s="13"/>
      <c r="B30" s="88"/>
      <c r="C30" s="78"/>
      <c r="D30" s="89"/>
      <c r="E30" s="90"/>
      <c r="F30" s="66"/>
      <c r="G30" s="91"/>
      <c r="H30" s="92"/>
      <c r="I30" s="92"/>
      <c r="J30" s="68"/>
      <c r="K30" s="69"/>
      <c r="L30" s="70"/>
      <c r="M30" s="70"/>
      <c r="N30" s="71"/>
      <c r="O30" s="2"/>
      <c r="P30" s="2"/>
      <c r="Q30" s="2"/>
      <c r="R30" s="3"/>
      <c r="S30" s="4"/>
      <c r="T30" s="84"/>
      <c r="U30" s="85"/>
      <c r="V30" s="4"/>
      <c r="W30" s="4"/>
      <c r="X30" s="4"/>
      <c r="Y30" s="62"/>
      <c r="Z30" s="22"/>
      <c r="AA30" s="22"/>
      <c r="AB30" s="22"/>
      <c r="AC30" s="22"/>
      <c r="AD30" s="19"/>
      <c r="AE30" s="14"/>
      <c r="AF30" s="72"/>
      <c r="AG30" s="49"/>
      <c r="AH30" s="49"/>
      <c r="AI30" s="50"/>
      <c r="AJ30" s="15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77"/>
      <c r="BR30" s="123"/>
      <c r="BS30" s="120"/>
      <c r="BT30" s="120"/>
      <c r="BU30" s="2"/>
      <c r="BV30" s="2"/>
      <c r="BW30" s="2"/>
      <c r="BX30" s="121"/>
    </row>
    <row r="31" spans="1:76" ht="15" customHeight="1">
      <c r="A31" s="13">
        <v>5</v>
      </c>
      <c r="B31" s="88" t="s">
        <v>150</v>
      </c>
      <c r="C31" s="78" t="s">
        <v>107</v>
      </c>
      <c r="D31" s="89" t="s">
        <v>117</v>
      </c>
      <c r="E31" s="90">
        <v>1.33</v>
      </c>
      <c r="F31" s="66" t="s">
        <v>44</v>
      </c>
      <c r="G31" s="91">
        <v>1.0900000000000001</v>
      </c>
      <c r="H31" s="92" t="str">
        <f>IF(OOC!S31=0,"",OOC!S31)</f>
        <v/>
      </c>
      <c r="I31" s="92" t="str">
        <f>IF(OOC!T31=0,"",OOC!T31)</f>
        <v/>
      </c>
      <c r="J31" s="68" t="s">
        <v>12</v>
      </c>
      <c r="K31" s="69" t="s">
        <v>80</v>
      </c>
      <c r="L31" s="70" t="e">
        <f t="shared" si="15"/>
        <v>#VALUE!</v>
      </c>
      <c r="M31" s="70" t="e">
        <f t="shared" si="16"/>
        <v>#VALUE!</v>
      </c>
      <c r="N31" s="71"/>
      <c r="O31" s="2" t="e">
        <f>IF(OR($AK31="",ISNUMBER($AK31)=FALSE),"",MAX(AK31:BP31))</f>
        <v>#REF!</v>
      </c>
      <c r="P31" s="2" t="e">
        <f>IF(OR($AK31="",ISNUMBER($AK31)=FALSE),"",MIN(AK31:BP31))</f>
        <v>#REF!</v>
      </c>
      <c r="Q31" s="2" t="e">
        <f>IF(OR($AK31="",ISNUMBER($AK31)=FALSE),"",AVERAGE(AK31:BP31))</f>
        <v>#REF!</v>
      </c>
      <c r="R31" s="3" t="e">
        <f>IF(OR($AK31="",ISNUMBER($AK31)=FALSE),"",STDEV(AK31:BP31))</f>
        <v>#REF!</v>
      </c>
      <c r="S31" s="4" t="e">
        <f t="shared" si="10"/>
        <v>#REF!</v>
      </c>
      <c r="T31" s="84" t="e">
        <f>IF(OR($AK31="",ISNUMBER($AK31)=FALSE),"",IF(AND($F31="Tolerance",$G31&lt;&gt;""),($Q31-$G31)/(($L31-$M31)/2),IF(AND($F31="GD&amp;T",$H31&lt;&gt;""),$Q31/$H31,"")))</f>
        <v>#REF!</v>
      </c>
      <c r="U31" s="85" t="e">
        <f>IF($T31="","",IF(ABS($T31)&lt;=0.125, "Level A",IF(AND(ABS($T31)&gt;0.125,ABS($T31)&lt;=0.25), "Level B",IF(AND(ABS($T31)&gt;0.25,ABS($T31)&lt;=0.5), "Level C", IF(ABS($T31)&gt;0.5, "Level D")))))</f>
        <v>#REF!</v>
      </c>
      <c r="V31" s="4" t="e">
        <f>IF(OR($AK31="",ISNUMBER($AK31)=FALSE),"",IF(H31="","",(L31-Q31)/(3*R31)))</f>
        <v>#REF!</v>
      </c>
      <c r="W31" s="4" t="e">
        <f>IF(OR($AK31="",ISNUMBER($AK31)=FALSE),"",IF(I31="","",(Q31-M31)/(3*R31)))</f>
        <v>#REF!</v>
      </c>
      <c r="X31" s="4" t="e">
        <f>IF(OR($AK31="",ISNUMBER($AK31)=FALSE),"",IF(AND(G31=0,I31=0),((H31)-(Q31))/(3*R31),MIN(V31:W31)))</f>
        <v>#REF!</v>
      </c>
      <c r="Y31" s="62" t="e">
        <f>IF(OR($AK31="",ISNUMBER($AK31)=FALSE),"",IF(AND(G31=0,I31=0),NORMSDIST(3*X31),NORMSDIST(3*X31)+NORMSDIST(6*S31-3*X31)-1))</f>
        <v>#REF!</v>
      </c>
      <c r="Z31" s="22" t="e">
        <f>IF($Q31="","",IF(F31="Tolerance",IF(($E31*3*R31+Q31)-G31&lt;H31,"",($E31*3*R31+Q31)-G31),IF(OR(F31="GD&amp;T",F31="MAX"),IF(($E31*3*R31+Q31)&lt;H31,"",($E31*3*R31+Q31)),"")))</f>
        <v>#REF!</v>
      </c>
      <c r="AA31" s="22" t="e">
        <f>IF(Q31="","",IF(F31="Tolerance",IF(-(($E31*3*R31)-Q31)-G31&gt;I31,"",-(($E31*3*R31)-Q31)-G31),IF(F31="MIN",IF(-(($E31*3*R31)-Q31)&gt;I31,"",-(($E31*3*R31)-Q31)),"")))</f>
        <v>#REF!</v>
      </c>
      <c r="AB31" s="22" t="e">
        <f>IF(OR(G31="",Q31=""),"",(L31+M31)/2-Q31)</f>
        <v>#REF!</v>
      </c>
      <c r="AC31" s="22" t="e">
        <f>IF(OR($S31&gt;$AC$9,$R31=""),"",$AC$9*6*$R31)</f>
        <v>#REF!</v>
      </c>
      <c r="AD31" s="19"/>
      <c r="AE31" s="14"/>
      <c r="AF31" s="72"/>
      <c r="AG31" s="49"/>
      <c r="AH31" s="49"/>
      <c r="AI31" s="50"/>
      <c r="AJ31" s="15"/>
      <c r="AK31" s="77" t="e">
        <f>#REF!</f>
        <v>#REF!</v>
      </c>
      <c r="AL31" s="77" t="e">
        <f>#REF!</f>
        <v>#REF!</v>
      </c>
      <c r="AM31" s="77" t="e">
        <f>#REF!</f>
        <v>#REF!</v>
      </c>
      <c r="AN31" s="77" t="e">
        <f>#REF!</f>
        <v>#REF!</v>
      </c>
      <c r="AO31" s="77" t="e">
        <f>#REF!</f>
        <v>#REF!</v>
      </c>
      <c r="AP31" s="77" t="e">
        <f>#REF!</f>
        <v>#REF!</v>
      </c>
      <c r="AQ31" s="77" t="e">
        <f>#REF!</f>
        <v>#REF!</v>
      </c>
      <c r="AR31" s="77" t="e">
        <f>#REF!</f>
        <v>#REF!</v>
      </c>
      <c r="AS31" s="77" t="e">
        <f>#REF!</f>
        <v>#REF!</v>
      </c>
      <c r="AT31" s="77" t="e">
        <f>#REF!</f>
        <v>#REF!</v>
      </c>
      <c r="AU31" s="77" t="e">
        <f>#REF!</f>
        <v>#REF!</v>
      </c>
      <c r="AV31" s="77" t="e">
        <f>#REF!</f>
        <v>#REF!</v>
      </c>
      <c r="AW31" s="77" t="e">
        <f>#REF!</f>
        <v>#REF!</v>
      </c>
      <c r="AX31" s="77" t="e">
        <f>#REF!</f>
        <v>#REF!</v>
      </c>
      <c r="AY31" s="77" t="e">
        <f>#REF!</f>
        <v>#REF!</v>
      </c>
      <c r="AZ31" s="77" t="e">
        <f>#REF!</f>
        <v>#REF!</v>
      </c>
      <c r="BA31" s="77" t="e">
        <f>#REF!</f>
        <v>#REF!</v>
      </c>
      <c r="BB31" s="77" t="e">
        <f>#REF!</f>
        <v>#REF!</v>
      </c>
      <c r="BC31" s="77" t="e">
        <f>#REF!</f>
        <v>#REF!</v>
      </c>
      <c r="BD31" s="77" t="e">
        <f>#REF!</f>
        <v>#REF!</v>
      </c>
      <c r="BE31" s="77" t="e">
        <f>#REF!</f>
        <v>#REF!</v>
      </c>
      <c r="BF31" s="77" t="e">
        <f>#REF!</f>
        <v>#REF!</v>
      </c>
      <c r="BG31" s="77" t="e">
        <f>#REF!</f>
        <v>#REF!</v>
      </c>
      <c r="BH31" s="77" t="e">
        <f>#REF!</f>
        <v>#REF!</v>
      </c>
      <c r="BI31" s="77" t="e">
        <f>#REF!</f>
        <v>#REF!</v>
      </c>
      <c r="BJ31" s="77" t="e">
        <f>#REF!</f>
        <v>#REF!</v>
      </c>
      <c r="BK31" s="77" t="e">
        <f>#REF!</f>
        <v>#REF!</v>
      </c>
      <c r="BL31" s="77" t="e">
        <f>#REF!</f>
        <v>#REF!</v>
      </c>
      <c r="BM31" s="77" t="e">
        <f>#REF!</f>
        <v>#REF!</v>
      </c>
      <c r="BN31" s="77" t="e">
        <f>#REF!</f>
        <v>#REF!</v>
      </c>
      <c r="BO31" s="77" t="e">
        <f>#REF!</f>
        <v>#REF!</v>
      </c>
      <c r="BP31" s="77" t="e">
        <f>#REF!</f>
        <v>#REF!</v>
      </c>
      <c r="BR31" s="123" t="str">
        <f t="shared" si="11"/>
        <v>FAI10-3</v>
      </c>
      <c r="BS31" s="120">
        <f>OOC!G31</f>
        <v>1.105</v>
      </c>
      <c r="BT31" s="120">
        <f>OOC!H31</f>
        <v>1.08</v>
      </c>
      <c r="BU31" s="2" t="e">
        <f t="shared" si="12"/>
        <v>#REF!</v>
      </c>
      <c r="BV31" s="2" t="e">
        <f t="shared" si="13"/>
        <v>#REF!</v>
      </c>
      <c r="BW31" s="2" t="e">
        <f t="shared" si="14"/>
        <v>#REF!</v>
      </c>
      <c r="BX31" s="121" t="e">
        <f>IF(AND(IF(OOC!G31="",0,OOC!G31) &gt;= IF(O31="",0,O31), IF(O31="",0,O31) &gt; IF(L31="",0,L31)), "OOC",
IF(AND(IF(M31="",0,M31) &gt; IF(P31="",0,P31), IF(P31="",0,P31) &gt;= IF(OOC!H31="",0,OOC!H31)), "OOC",
IF(IF(O31="",0,O31) &gt; IF(OOC!G31="",0,OOC!G31), "OOS",
IF(IF(OOC!H31="",0,OOC!H31) &gt; IF(P31="",0,P31), "OOS", "OK"))))</f>
        <v>#REF!</v>
      </c>
    </row>
    <row r="32" spans="1:76" ht="15" customHeight="1">
      <c r="A32" s="13">
        <v>1</v>
      </c>
      <c r="B32" s="88"/>
      <c r="C32" s="78"/>
      <c r="D32" s="89"/>
      <c r="E32" s="90"/>
      <c r="F32" s="66"/>
      <c r="G32" s="91"/>
      <c r="H32" s="92"/>
      <c r="I32" s="92"/>
      <c r="J32" s="68"/>
      <c r="K32" s="69"/>
      <c r="L32" s="70"/>
      <c r="M32" s="70"/>
      <c r="N32" s="71"/>
      <c r="O32" s="2"/>
      <c r="P32" s="2"/>
      <c r="Q32" s="2"/>
      <c r="R32" s="3"/>
      <c r="S32" s="4"/>
      <c r="T32" s="84"/>
      <c r="U32" s="85"/>
      <c r="V32" s="4"/>
      <c r="W32" s="4"/>
      <c r="X32" s="4"/>
      <c r="Y32" s="62"/>
      <c r="Z32" s="22"/>
      <c r="AA32" s="22"/>
      <c r="AB32" s="22"/>
      <c r="AC32" s="22"/>
      <c r="AD32" s="19"/>
      <c r="AE32" s="14"/>
      <c r="AF32" s="72"/>
      <c r="AG32" s="49"/>
      <c r="AH32" s="49"/>
      <c r="AI32" s="50"/>
      <c r="AJ32" s="15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7"/>
      <c r="BO32" s="77"/>
      <c r="BP32" s="77"/>
      <c r="BR32" s="123"/>
      <c r="BS32" s="120"/>
      <c r="BT32" s="120"/>
      <c r="BU32" s="2"/>
      <c r="BV32" s="2"/>
      <c r="BW32" s="2"/>
      <c r="BX32" s="121"/>
    </row>
    <row r="33" spans="1:76" ht="15" customHeight="1">
      <c r="A33" s="13">
        <v>2</v>
      </c>
      <c r="B33" s="88"/>
      <c r="C33" s="78"/>
      <c r="D33" s="89"/>
      <c r="E33" s="90"/>
      <c r="F33" s="66"/>
      <c r="G33" s="91"/>
      <c r="H33" s="92"/>
      <c r="I33" s="92"/>
      <c r="J33" s="68"/>
      <c r="K33" s="69"/>
      <c r="L33" s="70"/>
      <c r="M33" s="70"/>
      <c r="N33" s="71"/>
      <c r="O33" s="2"/>
      <c r="P33" s="2"/>
      <c r="Q33" s="2"/>
      <c r="R33" s="3"/>
      <c r="S33" s="4"/>
      <c r="T33" s="84"/>
      <c r="U33" s="85"/>
      <c r="V33" s="4"/>
      <c r="W33" s="4"/>
      <c r="X33" s="4"/>
      <c r="Y33" s="62"/>
      <c r="Z33" s="22"/>
      <c r="AA33" s="22"/>
      <c r="AB33" s="22"/>
      <c r="AC33" s="22"/>
      <c r="AD33" s="19"/>
      <c r="AE33" s="14"/>
      <c r="AF33" s="72"/>
      <c r="AG33" s="49"/>
      <c r="AH33" s="49"/>
      <c r="AI33" s="50"/>
      <c r="AJ33" s="15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77"/>
      <c r="BR33" s="123"/>
      <c r="BS33" s="120"/>
      <c r="BT33" s="120"/>
      <c r="BU33" s="2"/>
      <c r="BV33" s="2"/>
      <c r="BW33" s="2"/>
      <c r="BX33" s="121"/>
    </row>
    <row r="34" spans="1:76" ht="15" customHeight="1">
      <c r="A34" s="13">
        <v>1</v>
      </c>
      <c r="B34" s="88"/>
      <c r="C34" s="78"/>
      <c r="D34" s="89"/>
      <c r="E34" s="90"/>
      <c r="F34" s="66"/>
      <c r="G34" s="91"/>
      <c r="H34" s="92"/>
      <c r="I34" s="92"/>
      <c r="J34" s="68"/>
      <c r="K34" s="69"/>
      <c r="L34" s="70"/>
      <c r="M34" s="70"/>
      <c r="N34" s="71"/>
      <c r="O34" s="2"/>
      <c r="P34" s="2"/>
      <c r="Q34" s="2"/>
      <c r="R34" s="3"/>
      <c r="S34" s="4"/>
      <c r="T34" s="84"/>
      <c r="U34" s="85"/>
      <c r="V34" s="4"/>
      <c r="W34" s="4"/>
      <c r="X34" s="4"/>
      <c r="Y34" s="62"/>
      <c r="Z34" s="22"/>
      <c r="AA34" s="22"/>
      <c r="AB34" s="22"/>
      <c r="AC34" s="22"/>
      <c r="AD34" s="19"/>
      <c r="AE34" s="14"/>
      <c r="AF34" s="72"/>
      <c r="AG34" s="49"/>
      <c r="AH34" s="49"/>
      <c r="AI34" s="50"/>
      <c r="AJ34" s="15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77"/>
      <c r="BR34" s="123"/>
      <c r="BS34" s="120"/>
      <c r="BT34" s="120"/>
      <c r="BU34" s="2"/>
      <c r="BV34" s="2"/>
      <c r="BW34" s="2"/>
      <c r="BX34" s="121"/>
    </row>
    <row r="35" spans="1:76" ht="15" customHeight="1">
      <c r="A35" s="13">
        <v>2</v>
      </c>
      <c r="B35" s="88"/>
      <c r="C35" s="78"/>
      <c r="D35" s="89"/>
      <c r="E35" s="90"/>
      <c r="F35" s="66"/>
      <c r="G35" s="91"/>
      <c r="H35" s="92"/>
      <c r="I35" s="92"/>
      <c r="J35" s="68"/>
      <c r="K35" s="69"/>
      <c r="L35" s="70"/>
      <c r="M35" s="70"/>
      <c r="N35" s="71"/>
      <c r="O35" s="2"/>
      <c r="P35" s="2"/>
      <c r="Q35" s="2"/>
      <c r="R35" s="3"/>
      <c r="S35" s="4"/>
      <c r="T35" s="84"/>
      <c r="U35" s="85"/>
      <c r="V35" s="4"/>
      <c r="W35" s="4"/>
      <c r="X35" s="4"/>
      <c r="Y35" s="62"/>
      <c r="Z35" s="22"/>
      <c r="AA35" s="22"/>
      <c r="AB35" s="22"/>
      <c r="AC35" s="22"/>
      <c r="AD35" s="19"/>
      <c r="AE35" s="14"/>
      <c r="AF35" s="72"/>
      <c r="AG35" s="49"/>
      <c r="AH35" s="49"/>
      <c r="AI35" s="50"/>
      <c r="AJ35" s="15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77"/>
      <c r="BR35" s="123"/>
      <c r="BS35" s="120"/>
      <c r="BT35" s="120"/>
      <c r="BU35" s="2"/>
      <c r="BV35" s="2"/>
      <c r="BW35" s="2"/>
      <c r="BX35" s="121"/>
    </row>
    <row r="36" spans="1:76" ht="15" customHeight="1">
      <c r="A36" s="13">
        <v>3</v>
      </c>
      <c r="B36" s="88"/>
      <c r="C36" s="78"/>
      <c r="D36" s="89"/>
      <c r="E36" s="90"/>
      <c r="F36" s="66"/>
      <c r="G36" s="91"/>
      <c r="H36" s="92"/>
      <c r="I36" s="92"/>
      <c r="J36" s="68"/>
      <c r="K36" s="69"/>
      <c r="L36" s="70"/>
      <c r="M36" s="70"/>
      <c r="N36" s="71"/>
      <c r="O36" s="2"/>
      <c r="P36" s="2"/>
      <c r="Q36" s="2"/>
      <c r="R36" s="3"/>
      <c r="S36" s="4"/>
      <c r="T36" s="84"/>
      <c r="U36" s="85"/>
      <c r="V36" s="4"/>
      <c r="W36" s="4"/>
      <c r="X36" s="4"/>
      <c r="Y36" s="62"/>
      <c r="Z36" s="22"/>
      <c r="AA36" s="22"/>
      <c r="AB36" s="22"/>
      <c r="AC36" s="22"/>
      <c r="AD36" s="19"/>
      <c r="AE36" s="14"/>
      <c r="AF36" s="72"/>
      <c r="AG36" s="49"/>
      <c r="AH36" s="49"/>
      <c r="AI36" s="50"/>
      <c r="AJ36" s="15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77"/>
      <c r="BN36" s="77"/>
      <c r="BO36" s="77"/>
      <c r="BP36" s="77"/>
      <c r="BR36" s="123"/>
      <c r="BS36" s="120"/>
      <c r="BT36" s="120"/>
      <c r="BU36" s="2"/>
      <c r="BV36" s="2"/>
      <c r="BW36" s="2"/>
      <c r="BX36" s="121"/>
    </row>
    <row r="37" spans="1:76" ht="15" customHeight="1">
      <c r="A37" s="13">
        <v>4</v>
      </c>
      <c r="B37" s="88"/>
      <c r="C37" s="78"/>
      <c r="D37" s="89"/>
      <c r="E37" s="90"/>
      <c r="F37" s="66"/>
      <c r="G37" s="91"/>
      <c r="H37" s="92"/>
      <c r="I37" s="92"/>
      <c r="J37" s="68"/>
      <c r="K37" s="69"/>
      <c r="L37" s="70"/>
      <c r="M37" s="70"/>
      <c r="N37" s="71"/>
      <c r="O37" s="2"/>
      <c r="P37" s="2"/>
      <c r="Q37" s="2"/>
      <c r="R37" s="3"/>
      <c r="S37" s="4"/>
      <c r="T37" s="84"/>
      <c r="U37" s="85"/>
      <c r="V37" s="4"/>
      <c r="W37" s="4"/>
      <c r="X37" s="4"/>
      <c r="Y37" s="62"/>
      <c r="Z37" s="22"/>
      <c r="AA37" s="22"/>
      <c r="AB37" s="22"/>
      <c r="AC37" s="22"/>
      <c r="AD37" s="19"/>
      <c r="AE37" s="14"/>
      <c r="AF37" s="72"/>
      <c r="AG37" s="49"/>
      <c r="AH37" s="49"/>
      <c r="AI37" s="50"/>
      <c r="AJ37" s="15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77"/>
      <c r="BN37" s="77"/>
      <c r="BO37" s="77"/>
      <c r="BP37" s="77"/>
      <c r="BR37" s="123"/>
      <c r="BS37" s="120"/>
      <c r="BT37" s="120"/>
      <c r="BU37" s="2"/>
      <c r="BV37" s="2"/>
      <c r="BW37" s="2"/>
      <c r="BX37" s="121"/>
    </row>
    <row r="38" spans="1:76" ht="15" customHeight="1">
      <c r="A38" s="13">
        <v>5</v>
      </c>
      <c r="B38" s="88"/>
      <c r="C38" s="78"/>
      <c r="D38" s="89"/>
      <c r="E38" s="90"/>
      <c r="F38" s="66"/>
      <c r="G38" s="91"/>
      <c r="H38" s="92"/>
      <c r="I38" s="92"/>
      <c r="J38" s="68"/>
      <c r="K38" s="69"/>
      <c r="L38" s="70"/>
      <c r="M38" s="70"/>
      <c r="N38" s="71"/>
      <c r="O38" s="2"/>
      <c r="P38" s="2"/>
      <c r="Q38" s="2"/>
      <c r="R38" s="3"/>
      <c r="S38" s="4"/>
      <c r="T38" s="84"/>
      <c r="U38" s="85"/>
      <c r="V38" s="4"/>
      <c r="W38" s="4"/>
      <c r="X38" s="4"/>
      <c r="Y38" s="62"/>
      <c r="Z38" s="22"/>
      <c r="AA38" s="22"/>
      <c r="AB38" s="22"/>
      <c r="AC38" s="22"/>
      <c r="AD38" s="19"/>
      <c r="AE38" s="14"/>
      <c r="AF38" s="72"/>
      <c r="AG38" s="49"/>
      <c r="AH38" s="49"/>
      <c r="AI38" s="50"/>
      <c r="AJ38" s="15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77"/>
      <c r="BR38" s="123"/>
      <c r="BS38" s="120"/>
      <c r="BT38" s="120"/>
      <c r="BU38" s="2"/>
      <c r="BV38" s="2"/>
      <c r="BW38" s="2"/>
      <c r="BX38" s="121"/>
    </row>
    <row r="39" spans="1:76" ht="15" customHeight="1">
      <c r="A39" s="13">
        <v>6</v>
      </c>
      <c r="B39" s="88"/>
      <c r="C39" s="78"/>
      <c r="D39" s="89"/>
      <c r="E39" s="90"/>
      <c r="F39" s="66"/>
      <c r="G39" s="91"/>
      <c r="H39" s="92"/>
      <c r="I39" s="92"/>
      <c r="J39" s="68"/>
      <c r="K39" s="69"/>
      <c r="L39" s="70"/>
      <c r="M39" s="70"/>
      <c r="N39" s="71"/>
      <c r="O39" s="2"/>
      <c r="P39" s="2"/>
      <c r="Q39" s="2"/>
      <c r="R39" s="3"/>
      <c r="S39" s="4"/>
      <c r="T39" s="84"/>
      <c r="U39" s="85"/>
      <c r="V39" s="4"/>
      <c r="W39" s="4"/>
      <c r="X39" s="4"/>
      <c r="Y39" s="62"/>
      <c r="Z39" s="22"/>
      <c r="AA39" s="22"/>
      <c r="AB39" s="22"/>
      <c r="AC39" s="22"/>
      <c r="AD39" s="19"/>
      <c r="AE39" s="14"/>
      <c r="AF39" s="72"/>
      <c r="AG39" s="49"/>
      <c r="AH39" s="49"/>
      <c r="AI39" s="50"/>
      <c r="AJ39" s="15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77"/>
      <c r="BR39" s="123"/>
      <c r="BS39" s="120"/>
      <c r="BT39" s="120"/>
      <c r="BU39" s="2"/>
      <c r="BV39" s="2"/>
      <c r="BW39" s="2"/>
      <c r="BX39" s="121"/>
    </row>
    <row r="40" spans="1:76" ht="15" customHeight="1">
      <c r="A40" s="13">
        <v>7</v>
      </c>
      <c r="B40" s="88"/>
      <c r="C40" s="78"/>
      <c r="D40" s="89"/>
      <c r="E40" s="90"/>
      <c r="F40" s="66"/>
      <c r="G40" s="91"/>
      <c r="H40" s="92"/>
      <c r="I40" s="92"/>
      <c r="J40" s="68"/>
      <c r="K40" s="69"/>
      <c r="L40" s="70"/>
      <c r="M40" s="70"/>
      <c r="N40" s="71"/>
      <c r="O40" s="2"/>
      <c r="P40" s="2"/>
      <c r="Q40" s="2"/>
      <c r="R40" s="3"/>
      <c r="S40" s="4"/>
      <c r="T40" s="84"/>
      <c r="U40" s="85"/>
      <c r="V40" s="4"/>
      <c r="W40" s="4"/>
      <c r="X40" s="4"/>
      <c r="Y40" s="62"/>
      <c r="Z40" s="22"/>
      <c r="AA40" s="22"/>
      <c r="AB40" s="22"/>
      <c r="AC40" s="22"/>
      <c r="AD40" s="19"/>
      <c r="AE40" s="14"/>
      <c r="AF40" s="72"/>
      <c r="AG40" s="49"/>
      <c r="AH40" s="49"/>
      <c r="AI40" s="50"/>
      <c r="AJ40" s="15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7"/>
      <c r="BN40" s="77"/>
      <c r="BO40" s="77"/>
      <c r="BP40" s="77"/>
      <c r="BR40" s="123"/>
      <c r="BS40" s="120"/>
      <c r="BT40" s="120"/>
      <c r="BU40" s="2"/>
      <c r="BV40" s="2"/>
      <c r="BW40" s="2"/>
      <c r="BX40" s="121"/>
    </row>
    <row r="41" spans="1:76" ht="15" customHeight="1">
      <c r="A41" s="13">
        <v>8</v>
      </c>
      <c r="B41" s="88"/>
      <c r="C41" s="78"/>
      <c r="D41" s="89"/>
      <c r="E41" s="90"/>
      <c r="F41" s="66"/>
      <c r="G41" s="91"/>
      <c r="H41" s="92"/>
      <c r="I41" s="92"/>
      <c r="J41" s="68"/>
      <c r="K41" s="69"/>
      <c r="L41" s="70"/>
      <c r="M41" s="70"/>
      <c r="N41" s="71"/>
      <c r="O41" s="2"/>
      <c r="P41" s="2"/>
      <c r="Q41" s="2"/>
      <c r="R41" s="3"/>
      <c r="S41" s="4"/>
      <c r="T41" s="84"/>
      <c r="U41" s="85"/>
      <c r="V41" s="4"/>
      <c r="W41" s="4"/>
      <c r="X41" s="4"/>
      <c r="Y41" s="62"/>
      <c r="Z41" s="22"/>
      <c r="AA41" s="22"/>
      <c r="AB41" s="22"/>
      <c r="AC41" s="22"/>
      <c r="AD41" s="19"/>
      <c r="AE41" s="14"/>
      <c r="AF41" s="72"/>
      <c r="AG41" s="49"/>
      <c r="AH41" s="49"/>
      <c r="AI41" s="50"/>
      <c r="AJ41" s="15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77"/>
      <c r="BN41" s="77"/>
      <c r="BO41" s="77"/>
      <c r="BP41" s="77"/>
      <c r="BR41" s="123"/>
      <c r="BS41" s="120"/>
      <c r="BT41" s="120"/>
      <c r="BU41" s="2"/>
      <c r="BV41" s="2"/>
      <c r="BW41" s="2"/>
      <c r="BX41" s="121"/>
    </row>
    <row r="42" spans="1:76" ht="15" customHeight="1">
      <c r="A42" s="13">
        <v>9</v>
      </c>
      <c r="B42" s="88"/>
      <c r="C42" s="78"/>
      <c r="D42" s="89"/>
      <c r="E42" s="90"/>
      <c r="F42" s="66"/>
      <c r="G42" s="91"/>
      <c r="H42" s="92"/>
      <c r="I42" s="92"/>
      <c r="J42" s="68"/>
      <c r="K42" s="69"/>
      <c r="L42" s="70"/>
      <c r="M42" s="70"/>
      <c r="N42" s="71"/>
      <c r="O42" s="2"/>
      <c r="P42" s="2"/>
      <c r="Q42" s="2"/>
      <c r="R42" s="3"/>
      <c r="S42" s="4"/>
      <c r="T42" s="84"/>
      <c r="U42" s="85"/>
      <c r="V42" s="4"/>
      <c r="W42" s="4"/>
      <c r="X42" s="4"/>
      <c r="Y42" s="62"/>
      <c r="Z42" s="22"/>
      <c r="AA42" s="22"/>
      <c r="AB42" s="22"/>
      <c r="AC42" s="22"/>
      <c r="AD42" s="19"/>
      <c r="AE42" s="14"/>
      <c r="AF42" s="72"/>
      <c r="AG42" s="49"/>
      <c r="AH42" s="49"/>
      <c r="AI42" s="50"/>
      <c r="AJ42" s="15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77"/>
      <c r="BR42" s="123"/>
      <c r="BS42" s="120"/>
      <c r="BT42" s="120"/>
      <c r="BU42" s="2"/>
      <c r="BV42" s="2"/>
      <c r="BW42" s="2"/>
      <c r="BX42" s="121"/>
    </row>
    <row r="43" spans="1:76" ht="15" customHeight="1">
      <c r="A43" s="13">
        <v>10</v>
      </c>
      <c r="B43" s="88"/>
      <c r="C43" s="78"/>
      <c r="D43" s="89"/>
      <c r="E43" s="90"/>
      <c r="F43" s="66"/>
      <c r="G43" s="91"/>
      <c r="H43" s="92"/>
      <c r="I43" s="92"/>
      <c r="J43" s="68"/>
      <c r="K43" s="69"/>
      <c r="L43" s="70"/>
      <c r="M43" s="70"/>
      <c r="N43" s="71"/>
      <c r="O43" s="2"/>
      <c r="P43" s="2"/>
      <c r="Q43" s="2"/>
      <c r="R43" s="3"/>
      <c r="S43" s="4"/>
      <c r="T43" s="84"/>
      <c r="U43" s="85"/>
      <c r="V43" s="4"/>
      <c r="W43" s="4"/>
      <c r="X43" s="4"/>
      <c r="Y43" s="62"/>
      <c r="Z43" s="22"/>
      <c r="AA43" s="22"/>
      <c r="AB43" s="22"/>
      <c r="AC43" s="22"/>
      <c r="AD43" s="19"/>
      <c r="AE43" s="14"/>
      <c r="AF43" s="72"/>
      <c r="AG43" s="49"/>
      <c r="AH43" s="49"/>
      <c r="AI43" s="50"/>
      <c r="AJ43" s="15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77"/>
      <c r="BN43" s="77"/>
      <c r="BO43" s="77"/>
      <c r="BP43" s="77"/>
      <c r="BR43" s="123"/>
      <c r="BS43" s="120"/>
      <c r="BT43" s="120"/>
      <c r="BU43" s="2"/>
      <c r="BV43" s="2"/>
      <c r="BW43" s="2"/>
      <c r="BX43" s="121"/>
    </row>
    <row r="44" spans="1:76" ht="15" customHeight="1">
      <c r="A44" s="13">
        <v>11</v>
      </c>
      <c r="B44" s="88"/>
      <c r="C44" s="78"/>
      <c r="D44" s="89"/>
      <c r="E44" s="90"/>
      <c r="F44" s="66"/>
      <c r="G44" s="91"/>
      <c r="H44" s="92"/>
      <c r="I44" s="92"/>
      <c r="J44" s="68"/>
      <c r="K44" s="69"/>
      <c r="L44" s="70"/>
      <c r="M44" s="70"/>
      <c r="N44" s="71"/>
      <c r="O44" s="2"/>
      <c r="P44" s="2"/>
      <c r="Q44" s="2"/>
      <c r="R44" s="3"/>
      <c r="S44" s="4"/>
      <c r="T44" s="84"/>
      <c r="U44" s="85"/>
      <c r="V44" s="4"/>
      <c r="W44" s="4"/>
      <c r="X44" s="4"/>
      <c r="Y44" s="62"/>
      <c r="Z44" s="22"/>
      <c r="AA44" s="22"/>
      <c r="AB44" s="22"/>
      <c r="AC44" s="22"/>
      <c r="AD44" s="19"/>
      <c r="AE44" s="14"/>
      <c r="AF44" s="72"/>
      <c r="AG44" s="49"/>
      <c r="AH44" s="49"/>
      <c r="AI44" s="50"/>
      <c r="AJ44" s="15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77"/>
      <c r="BR44" s="123"/>
      <c r="BS44" s="120"/>
      <c r="BT44" s="120"/>
      <c r="BU44" s="2"/>
      <c r="BV44" s="2"/>
      <c r="BW44" s="2"/>
      <c r="BX44" s="121"/>
    </row>
    <row r="45" spans="1:76" ht="15" customHeight="1">
      <c r="A45" s="13">
        <v>12</v>
      </c>
      <c r="B45" s="88"/>
      <c r="C45" s="78"/>
      <c r="D45" s="89"/>
      <c r="E45" s="90"/>
      <c r="F45" s="66"/>
      <c r="G45" s="91"/>
      <c r="H45" s="92"/>
      <c r="I45" s="92"/>
      <c r="J45" s="68"/>
      <c r="K45" s="69"/>
      <c r="L45" s="70"/>
      <c r="M45" s="70"/>
      <c r="N45" s="71"/>
      <c r="O45" s="2"/>
      <c r="P45" s="2"/>
      <c r="Q45" s="2"/>
      <c r="R45" s="3"/>
      <c r="S45" s="4"/>
      <c r="T45" s="84"/>
      <c r="U45" s="85"/>
      <c r="V45" s="4"/>
      <c r="W45" s="4"/>
      <c r="X45" s="4"/>
      <c r="Y45" s="62"/>
      <c r="Z45" s="22"/>
      <c r="AA45" s="22"/>
      <c r="AB45" s="22"/>
      <c r="AC45" s="22"/>
      <c r="AD45" s="19"/>
      <c r="AE45" s="14"/>
      <c r="AF45" s="72"/>
      <c r="AG45" s="49"/>
      <c r="AH45" s="49"/>
      <c r="AI45" s="50"/>
      <c r="AJ45" s="15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77"/>
      <c r="BR45" s="123"/>
      <c r="BS45" s="120"/>
      <c r="BT45" s="120"/>
      <c r="BU45" s="2"/>
      <c r="BV45" s="2"/>
      <c r="BW45" s="2"/>
      <c r="BX45" s="121"/>
    </row>
    <row r="46" spans="1:76" ht="15" customHeight="1">
      <c r="A46" s="13">
        <v>6</v>
      </c>
      <c r="B46" s="88" t="s">
        <v>151</v>
      </c>
      <c r="C46" s="78" t="s">
        <v>108</v>
      </c>
      <c r="D46" s="89" t="s">
        <v>117</v>
      </c>
      <c r="E46" s="90">
        <v>1.33</v>
      </c>
      <c r="F46" s="66" t="s">
        <v>44</v>
      </c>
      <c r="G46" s="91">
        <v>1.8520000000000001</v>
      </c>
      <c r="H46" s="92" t="str">
        <f>IF(OOC!S46=0,"",OOC!S46)</f>
        <v/>
      </c>
      <c r="I46" s="92" t="str">
        <f>IF(OOC!T46=0,"",OOC!T46)</f>
        <v/>
      </c>
      <c r="J46" s="68" t="s">
        <v>12</v>
      </c>
      <c r="K46" s="69" t="s">
        <v>80</v>
      </c>
      <c r="L46" s="70" t="e">
        <f t="shared" ref="L46:L56" si="17">IF(AND(G46="",H46=""),"",IF(G46="",H46,G46+H46))</f>
        <v>#VALUE!</v>
      </c>
      <c r="M46" s="70" t="e">
        <f t="shared" ref="M46:M56" si="18">IF(AND(G46="",I46=""),"",IF(G46="",I46,G46+I46))</f>
        <v>#VALUE!</v>
      </c>
      <c r="N46" s="71"/>
      <c r="O46" s="2" t="e">
        <f t="shared" ref="O46:O56" si="19">IF(OR($AK46="",ISNUMBER($AK46)=FALSE),"",MAX(AK46:BP46))</f>
        <v>#REF!</v>
      </c>
      <c r="P46" s="2" t="e">
        <f t="shared" ref="P46:P56" si="20">IF(OR($AK46="",ISNUMBER($AK46)=FALSE),"",MIN(AK46:BP46))</f>
        <v>#REF!</v>
      </c>
      <c r="Q46" s="2" t="e">
        <f t="shared" ref="Q46:Q56" si="21">IF(OR($AK46="",ISNUMBER($AK46)=FALSE),"",AVERAGE(AK46:BP46))</f>
        <v>#REF!</v>
      </c>
      <c r="R46" s="3" t="e">
        <f t="shared" ref="R46:R56" si="22">IF(OR($AK46="",ISNUMBER($AK46)=FALSE),"",STDEV(AK46:BP46))</f>
        <v>#REF!</v>
      </c>
      <c r="S46" s="4" t="e">
        <f t="shared" si="10"/>
        <v>#REF!</v>
      </c>
      <c r="T46" s="84" t="e">
        <f t="shared" ref="T46:T56" si="23">IF(OR($AK46="",ISNUMBER($AK46)=FALSE),"",IF(AND($F46="Tolerance",$G46&lt;&gt;""),($Q46-$G46)/(($L46-$M46)/2),IF(AND($F46="GD&amp;T",$H46&lt;&gt;""),$Q46/$H46,"")))</f>
        <v>#REF!</v>
      </c>
      <c r="U46" s="85" t="e">
        <f t="shared" ref="U46:U56" si="24">IF($T46="","",IF(ABS($T46)&lt;=0.125, "Level A",IF(AND(ABS($T46)&gt;0.125,ABS($T46)&lt;=0.25), "Level B",IF(AND(ABS($T46)&gt;0.25,ABS($T46)&lt;=0.5), "Level C", IF(ABS($T46)&gt;0.5, "Level D")))))</f>
        <v>#REF!</v>
      </c>
      <c r="V46" s="4" t="e">
        <f t="shared" ref="V46:V56" si="25">IF(OR($AK46="",ISNUMBER($AK46)=FALSE),"",IF(H46="","",(L46-Q46)/(3*R46)))</f>
        <v>#REF!</v>
      </c>
      <c r="W46" s="4" t="e">
        <f t="shared" ref="W46:W56" si="26">IF(OR($AK46="",ISNUMBER($AK46)=FALSE),"",IF(I46="","",(Q46-M46)/(3*R46)))</f>
        <v>#REF!</v>
      </c>
      <c r="X46" s="4" t="e">
        <f t="shared" ref="X46:X56" si="27">IF(OR($AK46="",ISNUMBER($AK46)=FALSE),"",IF(AND(G46=0,I46=0),((H46)-(Q46))/(3*R46),MIN(V46:W46)))</f>
        <v>#REF!</v>
      </c>
      <c r="Y46" s="62" t="e">
        <f t="shared" ref="Y46:Y56" si="28">IF(OR($AK46="",ISNUMBER($AK46)=FALSE),"",IF(AND(G46=0,I46=0),NORMSDIST(3*X46),NORMSDIST(3*X46)+NORMSDIST(6*S46-3*X46)-1))</f>
        <v>#REF!</v>
      </c>
      <c r="Z46" s="22" t="e">
        <f>IF($Q46="","",IF(F46="Tolerance",IF(($E46*3*R46+Q46)-G46&lt;H46,"",($E46*3*R46+Q46)-G46),IF(OR(F46="GD&amp;T",F46="MAX"),IF(($E46*3*R46+Q46)&lt;H46,"",($E46*3*R46+Q46)),"")))</f>
        <v>#REF!</v>
      </c>
      <c r="AA46" s="22" t="e">
        <f>IF(Q46="","",IF(F46="Tolerance",IF(-(($E46*3*R46)-Q46)-G46&gt;I46,"",-(($E46*3*R46)-Q46)-G46),IF(F46="MIN",IF(-(($E46*3*R46)-Q46)&gt;I46,"",-(($E46*3*R46)-Q46)),"")))</f>
        <v>#REF!</v>
      </c>
      <c r="AB46" s="22" t="e">
        <f>IF(OR(G46="",Q46=""),"",(L46+M46)/2-Q46)</f>
        <v>#REF!</v>
      </c>
      <c r="AC46" s="22" t="e">
        <f>IF(OR($S46&gt;$AC$9,$R46=""),"",$AC$9*6*$R46)</f>
        <v>#REF!</v>
      </c>
      <c r="AD46" s="19"/>
      <c r="AE46" s="14"/>
      <c r="AF46" s="72"/>
      <c r="AG46" s="49"/>
      <c r="AH46" s="49"/>
      <c r="AI46" s="50"/>
      <c r="AJ46" s="15"/>
      <c r="AK46" s="77" t="e">
        <f>#REF!</f>
        <v>#REF!</v>
      </c>
      <c r="AL46" s="77" t="e">
        <f>#REF!</f>
        <v>#REF!</v>
      </c>
      <c r="AM46" s="77" t="e">
        <f>#REF!</f>
        <v>#REF!</v>
      </c>
      <c r="AN46" s="77" t="e">
        <f>#REF!</f>
        <v>#REF!</v>
      </c>
      <c r="AO46" s="77" t="e">
        <f>#REF!</f>
        <v>#REF!</v>
      </c>
      <c r="AP46" s="77" t="e">
        <f>#REF!</f>
        <v>#REF!</v>
      </c>
      <c r="AQ46" s="77" t="e">
        <f>#REF!</f>
        <v>#REF!</v>
      </c>
      <c r="AR46" s="77" t="e">
        <f>#REF!</f>
        <v>#REF!</v>
      </c>
      <c r="AS46" s="77" t="e">
        <f>#REF!</f>
        <v>#REF!</v>
      </c>
      <c r="AT46" s="77" t="e">
        <f>#REF!</f>
        <v>#REF!</v>
      </c>
      <c r="AU46" s="77" t="e">
        <f>#REF!</f>
        <v>#REF!</v>
      </c>
      <c r="AV46" s="77" t="e">
        <f>#REF!</f>
        <v>#REF!</v>
      </c>
      <c r="AW46" s="77" t="e">
        <f>#REF!</f>
        <v>#REF!</v>
      </c>
      <c r="AX46" s="77" t="e">
        <f>#REF!</f>
        <v>#REF!</v>
      </c>
      <c r="AY46" s="77" t="e">
        <f>#REF!</f>
        <v>#REF!</v>
      </c>
      <c r="AZ46" s="77" t="e">
        <f>#REF!</f>
        <v>#REF!</v>
      </c>
      <c r="BA46" s="77" t="e">
        <f>#REF!</f>
        <v>#REF!</v>
      </c>
      <c r="BB46" s="77" t="e">
        <f>#REF!</f>
        <v>#REF!</v>
      </c>
      <c r="BC46" s="77" t="e">
        <f>#REF!</f>
        <v>#REF!</v>
      </c>
      <c r="BD46" s="77" t="e">
        <f>#REF!</f>
        <v>#REF!</v>
      </c>
      <c r="BE46" s="77" t="e">
        <f>#REF!</f>
        <v>#REF!</v>
      </c>
      <c r="BF46" s="77" t="e">
        <f>#REF!</f>
        <v>#REF!</v>
      </c>
      <c r="BG46" s="77" t="e">
        <f>#REF!</f>
        <v>#REF!</v>
      </c>
      <c r="BH46" s="77" t="e">
        <f>#REF!</f>
        <v>#REF!</v>
      </c>
      <c r="BI46" s="77" t="e">
        <f>#REF!</f>
        <v>#REF!</v>
      </c>
      <c r="BJ46" s="77" t="e">
        <f>#REF!</f>
        <v>#REF!</v>
      </c>
      <c r="BK46" s="77" t="e">
        <f>#REF!</f>
        <v>#REF!</v>
      </c>
      <c r="BL46" s="77" t="e">
        <f>#REF!</f>
        <v>#REF!</v>
      </c>
      <c r="BM46" s="77" t="e">
        <f>#REF!</f>
        <v>#REF!</v>
      </c>
      <c r="BN46" s="77" t="e">
        <f>#REF!</f>
        <v>#REF!</v>
      </c>
      <c r="BO46" s="77" t="e">
        <f>#REF!</f>
        <v>#REF!</v>
      </c>
      <c r="BP46" s="77" t="e">
        <f>#REF!</f>
        <v>#REF!</v>
      </c>
      <c r="BR46" s="123" t="str">
        <f t="shared" si="11"/>
        <v>FAI23</v>
      </c>
      <c r="BS46" s="120">
        <f>OOC!G46</f>
        <v>1.8720000000000001</v>
      </c>
      <c r="BT46" s="120">
        <f>OOC!H46</f>
        <v>1.8320000000000001</v>
      </c>
      <c r="BU46" s="2" t="e">
        <f t="shared" si="12"/>
        <v>#REF!</v>
      </c>
      <c r="BV46" s="2" t="e">
        <f t="shared" si="13"/>
        <v>#REF!</v>
      </c>
      <c r="BW46" s="2" t="e">
        <f t="shared" si="14"/>
        <v>#REF!</v>
      </c>
      <c r="BX46" s="121" t="e">
        <f>IF(AND(IF(OOC!G46="",0,OOC!G46) &gt;= IF(O46="",0,O46), IF(O46="",0,O46) &gt; IF(L46="",0,L46)), "OOC",
IF(AND(IF(M46="",0,M46) &gt; IF(P46="",0,P46), IF(P46="",0,P46) &gt;= IF(OOC!H46="",0,OOC!H46)), "OOC",
IF(IF(O46="",0,O46) &gt; IF(OOC!G46="",0,OOC!G46), "OOS",
IF(IF(OOC!H46="",0,OOC!H46) &gt; IF(P46="",0,P46), "OOS", "OK"))))</f>
        <v>#REF!</v>
      </c>
    </row>
    <row r="47" spans="1:76" ht="15" customHeight="1">
      <c r="A47" s="13"/>
      <c r="B47" s="93" t="s">
        <v>256</v>
      </c>
      <c r="C47" s="94" t="s">
        <v>109</v>
      </c>
      <c r="D47" s="89" t="s">
        <v>117</v>
      </c>
      <c r="E47" s="90">
        <v>1.33</v>
      </c>
      <c r="F47" s="66" t="s">
        <v>44</v>
      </c>
      <c r="G47" s="67">
        <v>0.214</v>
      </c>
      <c r="H47" s="92" t="str">
        <f>IF(OOC!S47=0,"",OOC!S47)</f>
        <v/>
      </c>
      <c r="I47" s="92" t="str">
        <f>IF(OOC!T47=0,"",OOC!T47)</f>
        <v/>
      </c>
      <c r="J47" s="68" t="s">
        <v>12</v>
      </c>
      <c r="K47" s="69" t="s">
        <v>80</v>
      </c>
      <c r="L47" s="70" t="e">
        <f t="shared" si="17"/>
        <v>#VALUE!</v>
      </c>
      <c r="M47" s="70" t="e">
        <f t="shared" si="18"/>
        <v>#VALUE!</v>
      </c>
      <c r="N47" s="71"/>
      <c r="O47" s="2" t="e">
        <f t="shared" si="19"/>
        <v>#REF!</v>
      </c>
      <c r="P47" s="2" t="e">
        <f t="shared" si="20"/>
        <v>#REF!</v>
      </c>
      <c r="Q47" s="2" t="e">
        <f t="shared" si="21"/>
        <v>#REF!</v>
      </c>
      <c r="R47" s="3" t="e">
        <f t="shared" si="22"/>
        <v>#REF!</v>
      </c>
      <c r="S47" s="4" t="e">
        <f t="shared" si="10"/>
        <v>#REF!</v>
      </c>
      <c r="T47" s="84" t="e">
        <f t="shared" si="23"/>
        <v>#REF!</v>
      </c>
      <c r="U47" s="85" t="e">
        <f t="shared" si="24"/>
        <v>#REF!</v>
      </c>
      <c r="V47" s="4" t="e">
        <f t="shared" si="25"/>
        <v>#REF!</v>
      </c>
      <c r="W47" s="4" t="e">
        <f t="shared" si="26"/>
        <v>#REF!</v>
      </c>
      <c r="X47" s="4" t="e">
        <f t="shared" si="27"/>
        <v>#REF!</v>
      </c>
      <c r="Y47" s="62" t="e">
        <f t="shared" si="28"/>
        <v>#REF!</v>
      </c>
      <c r="Z47" s="22"/>
      <c r="AA47" s="22"/>
      <c r="AB47" s="22"/>
      <c r="AC47" s="22"/>
      <c r="AD47" s="19"/>
      <c r="AE47" s="14"/>
      <c r="AF47" s="74"/>
      <c r="AG47" s="49"/>
      <c r="AH47" s="49"/>
      <c r="AI47" s="50"/>
      <c r="AJ47" s="15"/>
      <c r="AK47" s="77" t="e">
        <f>#REF!</f>
        <v>#REF!</v>
      </c>
      <c r="AL47" s="77" t="e">
        <f>#REF!</f>
        <v>#REF!</v>
      </c>
      <c r="AM47" s="77" t="e">
        <f>#REF!</f>
        <v>#REF!</v>
      </c>
      <c r="AN47" s="77" t="e">
        <f>#REF!</f>
        <v>#REF!</v>
      </c>
      <c r="AO47" s="77" t="e">
        <f>#REF!</f>
        <v>#REF!</v>
      </c>
      <c r="AP47" s="77" t="e">
        <f>#REF!</f>
        <v>#REF!</v>
      </c>
      <c r="AQ47" s="77" t="e">
        <f>#REF!</f>
        <v>#REF!</v>
      </c>
      <c r="AR47" s="77" t="e">
        <f>#REF!</f>
        <v>#REF!</v>
      </c>
      <c r="AS47" s="77" t="e">
        <f>#REF!</f>
        <v>#REF!</v>
      </c>
      <c r="AT47" s="77" t="e">
        <f>#REF!</f>
        <v>#REF!</v>
      </c>
      <c r="AU47" s="77" t="e">
        <f>#REF!</f>
        <v>#REF!</v>
      </c>
      <c r="AV47" s="77" t="e">
        <f>#REF!</f>
        <v>#REF!</v>
      </c>
      <c r="AW47" s="77" t="e">
        <f>#REF!</f>
        <v>#REF!</v>
      </c>
      <c r="AX47" s="77" t="e">
        <f>#REF!</f>
        <v>#REF!</v>
      </c>
      <c r="AY47" s="77" t="e">
        <f>#REF!</f>
        <v>#REF!</v>
      </c>
      <c r="AZ47" s="77" t="e">
        <f>#REF!</f>
        <v>#REF!</v>
      </c>
      <c r="BA47" s="77" t="e">
        <f>#REF!</f>
        <v>#REF!</v>
      </c>
      <c r="BB47" s="77" t="e">
        <f>#REF!</f>
        <v>#REF!</v>
      </c>
      <c r="BC47" s="77" t="e">
        <f>#REF!</f>
        <v>#REF!</v>
      </c>
      <c r="BD47" s="77" t="e">
        <f>#REF!</f>
        <v>#REF!</v>
      </c>
      <c r="BE47" s="77" t="e">
        <f>#REF!</f>
        <v>#REF!</v>
      </c>
      <c r="BF47" s="77" t="e">
        <f>#REF!</f>
        <v>#REF!</v>
      </c>
      <c r="BG47" s="77" t="e">
        <f>#REF!</f>
        <v>#REF!</v>
      </c>
      <c r="BH47" s="77" t="e">
        <f>#REF!</f>
        <v>#REF!</v>
      </c>
      <c r="BI47" s="77" t="e">
        <f>#REF!</f>
        <v>#REF!</v>
      </c>
      <c r="BJ47" s="77" t="e">
        <f>#REF!</f>
        <v>#REF!</v>
      </c>
      <c r="BK47" s="77" t="e">
        <f>#REF!</f>
        <v>#REF!</v>
      </c>
      <c r="BL47" s="77" t="e">
        <f>#REF!</f>
        <v>#REF!</v>
      </c>
      <c r="BM47" s="77" t="e">
        <f>#REF!</f>
        <v>#REF!</v>
      </c>
      <c r="BN47" s="77" t="e">
        <f>#REF!</f>
        <v>#REF!</v>
      </c>
      <c r="BO47" s="77" t="e">
        <f>#REF!</f>
        <v>#REF!</v>
      </c>
      <c r="BP47" s="77" t="e">
        <f>#REF!</f>
        <v>#REF!</v>
      </c>
      <c r="BR47" s="123" t="str">
        <f t="shared" si="11"/>
        <v>FAI24</v>
      </c>
      <c r="BS47" s="120">
        <f>OOC!G47</f>
        <v>0.23399999999999999</v>
      </c>
      <c r="BT47" s="120">
        <f>OOC!H47</f>
        <v>0.19400000000000001</v>
      </c>
      <c r="BU47" s="2" t="e">
        <f t="shared" si="12"/>
        <v>#REF!</v>
      </c>
      <c r="BV47" s="2" t="e">
        <f t="shared" si="13"/>
        <v>#REF!</v>
      </c>
      <c r="BW47" s="2" t="e">
        <f t="shared" si="14"/>
        <v>#REF!</v>
      </c>
      <c r="BX47" s="121" t="e">
        <f>IF(AND(IF(OOC!G47="",0,OOC!G47) &gt;= IF(O47="",0,O47), IF(O47="",0,O47) &gt; IF(L47="",0,L47)), "OOC",
IF(AND(IF(M47="",0,M47) &gt; IF(P47="",0,P47), IF(P47="",0,P47) &gt;= IF(OOC!H47="",0,OOC!H47)), "OOC",
IF(IF(O47="",0,O47) &gt; IF(OOC!G47="",0,OOC!G47), "OOS",
IF(IF(OOC!H47="",0,OOC!H47) &gt; IF(P47="",0,P47), "OOS", "OK"))))</f>
        <v>#REF!</v>
      </c>
    </row>
    <row r="48" spans="1:76" ht="15" customHeight="1">
      <c r="A48" s="13"/>
      <c r="B48" s="88"/>
      <c r="C48" s="78" t="s">
        <v>147</v>
      </c>
      <c r="D48" s="89" t="s">
        <v>117</v>
      </c>
      <c r="E48" s="90"/>
      <c r="F48" s="66" t="s">
        <v>44</v>
      </c>
      <c r="G48" s="91">
        <v>1.29</v>
      </c>
      <c r="H48" s="92" t="str">
        <f>IF(OOC!S48=0,"",OOC!S48)</f>
        <v/>
      </c>
      <c r="I48" s="92" t="str">
        <f>IF(OOC!T48=0,"",OOC!T48)</f>
        <v/>
      </c>
      <c r="J48" s="68" t="s">
        <v>12</v>
      </c>
      <c r="K48" s="69" t="s">
        <v>80</v>
      </c>
      <c r="L48" s="70" t="e">
        <f t="shared" si="17"/>
        <v>#VALUE!</v>
      </c>
      <c r="M48" s="70" t="e">
        <f t="shared" si="18"/>
        <v>#VALUE!</v>
      </c>
      <c r="N48" s="71"/>
      <c r="O48" s="2" t="e">
        <f t="shared" si="19"/>
        <v>#REF!</v>
      </c>
      <c r="P48" s="2" t="e">
        <f t="shared" si="20"/>
        <v>#REF!</v>
      </c>
      <c r="Q48" s="2" t="e">
        <f t="shared" si="21"/>
        <v>#REF!</v>
      </c>
      <c r="R48" s="3" t="e">
        <f t="shared" si="22"/>
        <v>#REF!</v>
      </c>
      <c r="S48" s="4" t="e">
        <f t="shared" si="10"/>
        <v>#REF!</v>
      </c>
      <c r="T48" s="84" t="e">
        <f t="shared" si="23"/>
        <v>#REF!</v>
      </c>
      <c r="U48" s="85" t="e">
        <f t="shared" si="24"/>
        <v>#REF!</v>
      </c>
      <c r="V48" s="4" t="e">
        <f t="shared" si="25"/>
        <v>#REF!</v>
      </c>
      <c r="W48" s="4" t="e">
        <f t="shared" si="26"/>
        <v>#REF!</v>
      </c>
      <c r="X48" s="4" t="e">
        <f t="shared" si="27"/>
        <v>#REF!</v>
      </c>
      <c r="Y48" s="62" t="e">
        <f t="shared" si="28"/>
        <v>#REF!</v>
      </c>
      <c r="Z48" s="22"/>
      <c r="AA48" s="22"/>
      <c r="AB48" s="22"/>
      <c r="AC48" s="22"/>
      <c r="AD48" s="19"/>
      <c r="AE48" s="14"/>
      <c r="AF48" s="74"/>
      <c r="AG48" s="49"/>
      <c r="AH48" s="49"/>
      <c r="AI48" s="50"/>
      <c r="AJ48" s="15"/>
      <c r="AK48" s="77" t="e">
        <f>#REF!</f>
        <v>#REF!</v>
      </c>
      <c r="AL48" s="77" t="e">
        <f>#REF!</f>
        <v>#REF!</v>
      </c>
      <c r="AM48" s="77" t="e">
        <f>#REF!</f>
        <v>#REF!</v>
      </c>
      <c r="AN48" s="77"/>
      <c r="AO48" s="77"/>
      <c r="AP48" s="77"/>
      <c r="AQ48" s="77"/>
      <c r="AR48" s="77"/>
      <c r="AS48" s="77"/>
      <c r="AT48" s="77"/>
      <c r="AU48" s="77"/>
      <c r="AV48" s="77"/>
      <c r="AW48" s="77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77"/>
      <c r="BN48" s="77"/>
      <c r="BO48" s="77"/>
      <c r="BP48" s="77"/>
      <c r="BR48" s="123" t="str">
        <f t="shared" si="11"/>
        <v>FAI25A-1</v>
      </c>
      <c r="BS48" s="120">
        <f>OOC!G48</f>
        <v>1.32</v>
      </c>
      <c r="BT48" s="120">
        <f>OOC!H48</f>
        <v>1.26</v>
      </c>
      <c r="BU48" s="2" t="e">
        <f t="shared" si="12"/>
        <v>#REF!</v>
      </c>
      <c r="BV48" s="2" t="e">
        <f t="shared" si="13"/>
        <v>#REF!</v>
      </c>
      <c r="BW48" s="2" t="e">
        <f t="shared" si="14"/>
        <v>#REF!</v>
      </c>
      <c r="BX48" s="121" t="e">
        <f>IF(AND(IF(OOC!G48="",0,OOC!G48) &gt;= IF(O48="",0,O48), IF(O48="",0,O48) &gt; IF(L48="",0,L48)), "OOC",
IF(AND(IF(M48="",0,M48) &gt; IF(P48="",0,P48), IF(P48="",0,P48) &gt;= IF(OOC!H48="",0,OOC!H48)), "OOC",
IF(IF(O48="",0,O48) &gt; IF(OOC!G48="",0,OOC!G48), "OOS",
IF(IF(OOC!H48="",0,OOC!H48) &gt; IF(P48="",0,P48), "OOS", "OK"))))</f>
        <v>#REF!</v>
      </c>
    </row>
    <row r="49" spans="1:76" ht="15" customHeight="1">
      <c r="A49" s="13"/>
      <c r="B49" s="88"/>
      <c r="C49" s="78" t="s">
        <v>148</v>
      </c>
      <c r="D49" s="89" t="s">
        <v>117</v>
      </c>
      <c r="E49" s="90"/>
      <c r="F49" s="66" t="s">
        <v>44</v>
      </c>
      <c r="G49" s="91">
        <v>1.29</v>
      </c>
      <c r="H49" s="92" t="str">
        <f>IF(OOC!S49=0,"",OOC!S49)</f>
        <v/>
      </c>
      <c r="I49" s="92" t="str">
        <f>IF(OOC!T49=0,"",OOC!T49)</f>
        <v/>
      </c>
      <c r="J49" s="68" t="s">
        <v>12</v>
      </c>
      <c r="K49" s="69" t="s">
        <v>80</v>
      </c>
      <c r="L49" s="70" t="e">
        <f t="shared" si="17"/>
        <v>#VALUE!</v>
      </c>
      <c r="M49" s="70" t="e">
        <f t="shared" si="18"/>
        <v>#VALUE!</v>
      </c>
      <c r="N49" s="71"/>
      <c r="O49" s="2" t="e">
        <f t="shared" si="19"/>
        <v>#REF!</v>
      </c>
      <c r="P49" s="2" t="e">
        <f t="shared" si="20"/>
        <v>#REF!</v>
      </c>
      <c r="Q49" s="2" t="e">
        <f t="shared" si="21"/>
        <v>#REF!</v>
      </c>
      <c r="R49" s="3" t="e">
        <f t="shared" si="22"/>
        <v>#REF!</v>
      </c>
      <c r="S49" s="4" t="e">
        <f t="shared" si="10"/>
        <v>#REF!</v>
      </c>
      <c r="T49" s="84" t="e">
        <f t="shared" si="23"/>
        <v>#REF!</v>
      </c>
      <c r="U49" s="85" t="e">
        <f t="shared" si="24"/>
        <v>#REF!</v>
      </c>
      <c r="V49" s="4" t="e">
        <f t="shared" si="25"/>
        <v>#REF!</v>
      </c>
      <c r="W49" s="4" t="e">
        <f t="shared" si="26"/>
        <v>#REF!</v>
      </c>
      <c r="X49" s="4" t="e">
        <f t="shared" si="27"/>
        <v>#REF!</v>
      </c>
      <c r="Y49" s="62" t="e">
        <f t="shared" si="28"/>
        <v>#REF!</v>
      </c>
      <c r="Z49" s="22"/>
      <c r="AA49" s="22"/>
      <c r="AB49" s="22"/>
      <c r="AC49" s="22"/>
      <c r="AD49" s="19"/>
      <c r="AE49" s="14"/>
      <c r="AF49" s="74"/>
      <c r="AG49" s="49"/>
      <c r="AH49" s="49"/>
      <c r="AI49" s="50"/>
      <c r="AJ49" s="15"/>
      <c r="AK49" s="77" t="e">
        <f>#REF!</f>
        <v>#REF!</v>
      </c>
      <c r="AL49" s="77" t="e">
        <f>#REF!</f>
        <v>#REF!</v>
      </c>
      <c r="AM49" s="77" t="e">
        <f>#REF!</f>
        <v>#REF!</v>
      </c>
      <c r="AN49" s="77"/>
      <c r="AO49" s="77"/>
      <c r="AP49" s="77"/>
      <c r="AQ49" s="77"/>
      <c r="AR49" s="77"/>
      <c r="AS49" s="77"/>
      <c r="AT49" s="77"/>
      <c r="AU49" s="77"/>
      <c r="AV49" s="77"/>
      <c r="AW49" s="77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77"/>
      <c r="BM49" s="77"/>
      <c r="BN49" s="77"/>
      <c r="BO49" s="77"/>
      <c r="BP49" s="77"/>
      <c r="BR49" s="123" t="str">
        <f t="shared" si="11"/>
        <v>FAI25A-2</v>
      </c>
      <c r="BS49" s="120">
        <f>OOC!G49</f>
        <v>1.32</v>
      </c>
      <c r="BT49" s="120">
        <f>OOC!H49</f>
        <v>1.26</v>
      </c>
      <c r="BU49" s="2" t="e">
        <f t="shared" si="12"/>
        <v>#REF!</v>
      </c>
      <c r="BV49" s="2" t="e">
        <f t="shared" si="13"/>
        <v>#REF!</v>
      </c>
      <c r="BW49" s="2" t="e">
        <f t="shared" si="14"/>
        <v>#REF!</v>
      </c>
      <c r="BX49" s="121" t="e">
        <f>IF(AND(IF(OOC!G49="",0,OOC!G49) &gt;= IF(O49="",0,O49), IF(O49="",0,O49) &gt; IF(L49="",0,L49)), "OOC",
IF(AND(IF(M49="",0,M49) &gt; IF(P49="",0,P49), IF(P49="",0,P49) &gt;= IF(OOC!H49="",0,OOC!H49)), "OOC",
IF(IF(O49="",0,O49) &gt; IF(OOC!G49="",0,OOC!G49), "OOS",
IF(IF(OOC!H49="",0,OOC!H49) &gt; IF(P49="",0,P49), "OOS", "OK"))))</f>
        <v>#REF!</v>
      </c>
    </row>
    <row r="50" spans="1:76" ht="15" customHeight="1">
      <c r="A50" s="13"/>
      <c r="B50" s="88"/>
      <c r="C50" s="78" t="s">
        <v>149</v>
      </c>
      <c r="D50" s="89" t="s">
        <v>117</v>
      </c>
      <c r="E50" s="90"/>
      <c r="F50" s="66" t="s">
        <v>44</v>
      </c>
      <c r="G50" s="91">
        <v>1.29</v>
      </c>
      <c r="H50" s="92" t="str">
        <f>IF(OOC!S50=0,"",OOC!S50)</f>
        <v/>
      </c>
      <c r="I50" s="92" t="str">
        <f>IF(OOC!T50=0,"",OOC!T50)</f>
        <v/>
      </c>
      <c r="J50" s="68" t="s">
        <v>12</v>
      </c>
      <c r="K50" s="69" t="s">
        <v>80</v>
      </c>
      <c r="L50" s="70" t="e">
        <f t="shared" si="17"/>
        <v>#VALUE!</v>
      </c>
      <c r="M50" s="70" t="e">
        <f t="shared" si="18"/>
        <v>#VALUE!</v>
      </c>
      <c r="N50" s="71"/>
      <c r="O50" s="2" t="e">
        <f t="shared" si="19"/>
        <v>#REF!</v>
      </c>
      <c r="P50" s="2" t="e">
        <f t="shared" si="20"/>
        <v>#REF!</v>
      </c>
      <c r="Q50" s="2" t="e">
        <f t="shared" si="21"/>
        <v>#REF!</v>
      </c>
      <c r="R50" s="3" t="e">
        <f t="shared" si="22"/>
        <v>#REF!</v>
      </c>
      <c r="S50" s="4" t="e">
        <f t="shared" si="10"/>
        <v>#REF!</v>
      </c>
      <c r="T50" s="84" t="e">
        <f t="shared" si="23"/>
        <v>#REF!</v>
      </c>
      <c r="U50" s="85" t="e">
        <f t="shared" si="24"/>
        <v>#REF!</v>
      </c>
      <c r="V50" s="4" t="e">
        <f t="shared" si="25"/>
        <v>#REF!</v>
      </c>
      <c r="W50" s="4" t="e">
        <f t="shared" si="26"/>
        <v>#REF!</v>
      </c>
      <c r="X50" s="4" t="e">
        <f t="shared" si="27"/>
        <v>#REF!</v>
      </c>
      <c r="Y50" s="62" t="e">
        <f t="shared" si="28"/>
        <v>#REF!</v>
      </c>
      <c r="Z50" s="22"/>
      <c r="AA50" s="22"/>
      <c r="AB50" s="22"/>
      <c r="AC50" s="22"/>
      <c r="AD50" s="19"/>
      <c r="AE50" s="14"/>
      <c r="AF50" s="74"/>
      <c r="AG50" s="49"/>
      <c r="AH50" s="49"/>
      <c r="AI50" s="50"/>
      <c r="AJ50" s="15"/>
      <c r="AK50" s="77" t="e">
        <f>#REF!</f>
        <v>#REF!</v>
      </c>
      <c r="AL50" s="77" t="e">
        <f>#REF!</f>
        <v>#REF!</v>
      </c>
      <c r="AM50" s="77" t="e">
        <f>#REF!</f>
        <v>#REF!</v>
      </c>
      <c r="AN50" s="77"/>
      <c r="AO50" s="77"/>
      <c r="AP50" s="77"/>
      <c r="AQ50" s="77"/>
      <c r="AR50" s="77"/>
      <c r="AS50" s="77"/>
      <c r="AT50" s="77"/>
      <c r="AU50" s="77"/>
      <c r="AV50" s="77"/>
      <c r="AW50" s="77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77"/>
      <c r="BM50" s="77"/>
      <c r="BN50" s="77"/>
      <c r="BO50" s="77"/>
      <c r="BP50" s="77"/>
      <c r="BR50" s="123" t="str">
        <f t="shared" si="11"/>
        <v>FAI25A-3</v>
      </c>
      <c r="BS50" s="120">
        <f>OOC!G50</f>
        <v>1.32</v>
      </c>
      <c r="BT50" s="120">
        <f>OOC!H50</f>
        <v>1.26</v>
      </c>
      <c r="BU50" s="2" t="e">
        <f t="shared" si="12"/>
        <v>#REF!</v>
      </c>
      <c r="BV50" s="2" t="e">
        <f t="shared" si="13"/>
        <v>#REF!</v>
      </c>
      <c r="BW50" s="2" t="e">
        <f t="shared" si="14"/>
        <v>#REF!</v>
      </c>
      <c r="BX50" s="121" t="e">
        <f>IF(AND(IF(OOC!G50="",0,OOC!G50) &gt;= IF(O50="",0,O50), IF(O50="",0,O50) &gt; IF(L50="",0,L50)), "OOC",
IF(AND(IF(M50="",0,M50) &gt; IF(P50="",0,P50), IF(P50="",0,P50) &gt;= IF(OOC!H50="",0,OOC!H50)), "OOC",
IF(IF(O50="",0,O50) &gt; IF(OOC!G50="",0,OOC!G50), "OOS",
IF(IF(OOC!H50="",0,OOC!H50) &gt; IF(P50="",0,P50), "OOS", "OK"))))</f>
        <v>#REF!</v>
      </c>
    </row>
    <row r="51" spans="1:76" ht="15" customHeight="1">
      <c r="A51" s="13"/>
      <c r="B51" s="88" t="s">
        <v>163</v>
      </c>
      <c r="C51" s="78" t="s">
        <v>144</v>
      </c>
      <c r="D51" s="89" t="s">
        <v>117</v>
      </c>
      <c r="E51" s="90"/>
      <c r="F51" s="66" t="s">
        <v>44</v>
      </c>
      <c r="G51" s="91">
        <v>1.29</v>
      </c>
      <c r="H51" s="92">
        <f>IF(OOC!S51=0,"",OOC!S51)</f>
        <v>0.03</v>
      </c>
      <c r="I51" s="92">
        <f>IF(OOC!T51=0,"",OOC!T51)</f>
        <v>-0.03</v>
      </c>
      <c r="J51" s="68" t="s">
        <v>12</v>
      </c>
      <c r="K51" s="69" t="s">
        <v>80</v>
      </c>
      <c r="L51" s="70">
        <f t="shared" si="17"/>
        <v>1.32</v>
      </c>
      <c r="M51" s="70">
        <f t="shared" si="18"/>
        <v>1.26</v>
      </c>
      <c r="N51" s="71"/>
      <c r="O51" s="2" t="e">
        <f t="shared" si="19"/>
        <v>#REF!</v>
      </c>
      <c r="P51" s="2" t="e">
        <f t="shared" si="20"/>
        <v>#REF!</v>
      </c>
      <c r="Q51" s="2" t="e">
        <f t="shared" si="21"/>
        <v>#REF!</v>
      </c>
      <c r="R51" s="3" t="e">
        <f t="shared" si="22"/>
        <v>#REF!</v>
      </c>
      <c r="S51" s="4" t="e">
        <f t="shared" si="10"/>
        <v>#REF!</v>
      </c>
      <c r="T51" s="84" t="e">
        <f t="shared" si="23"/>
        <v>#REF!</v>
      </c>
      <c r="U51" s="85" t="e">
        <f t="shared" si="24"/>
        <v>#REF!</v>
      </c>
      <c r="V51" s="4" t="e">
        <f t="shared" si="25"/>
        <v>#REF!</v>
      </c>
      <c r="W51" s="4" t="e">
        <f t="shared" si="26"/>
        <v>#REF!</v>
      </c>
      <c r="X51" s="4" t="e">
        <f t="shared" si="27"/>
        <v>#REF!</v>
      </c>
      <c r="Y51" s="62" t="e">
        <f t="shared" si="28"/>
        <v>#REF!</v>
      </c>
      <c r="Z51" s="22"/>
      <c r="AA51" s="22"/>
      <c r="AB51" s="22"/>
      <c r="AC51" s="22"/>
      <c r="AD51" s="19"/>
      <c r="AE51" s="14"/>
      <c r="AF51" s="74"/>
      <c r="AG51" s="49"/>
      <c r="AH51" s="49"/>
      <c r="AI51" s="50"/>
      <c r="AJ51" s="15"/>
      <c r="AK51" s="77" t="e">
        <f>#REF!</f>
        <v>#REF!</v>
      </c>
      <c r="AL51" s="77" t="e">
        <f>#REF!</f>
        <v>#REF!</v>
      </c>
      <c r="AM51" s="77" t="e">
        <f>#REF!</f>
        <v>#REF!</v>
      </c>
      <c r="AN51" s="77" t="e">
        <f>#REF!</f>
        <v>#REF!</v>
      </c>
      <c r="AO51" s="77" t="e">
        <f>#REF!</f>
        <v>#REF!</v>
      </c>
      <c r="AP51" s="77" t="e">
        <f>#REF!</f>
        <v>#REF!</v>
      </c>
      <c r="AQ51" s="77" t="e">
        <f>#REF!</f>
        <v>#REF!</v>
      </c>
      <c r="AR51" s="77" t="e">
        <f>#REF!</f>
        <v>#REF!</v>
      </c>
      <c r="AS51" s="77" t="e">
        <f>#REF!</f>
        <v>#REF!</v>
      </c>
      <c r="AT51" s="77" t="e">
        <f>#REF!</f>
        <v>#REF!</v>
      </c>
      <c r="AU51" s="77" t="e">
        <f>#REF!</f>
        <v>#REF!</v>
      </c>
      <c r="AV51" s="77" t="e">
        <f>#REF!</f>
        <v>#REF!</v>
      </c>
      <c r="AW51" s="77" t="e">
        <f>#REF!</f>
        <v>#REF!</v>
      </c>
      <c r="AX51" s="77" t="e">
        <f>#REF!</f>
        <v>#REF!</v>
      </c>
      <c r="AY51" s="77" t="e">
        <f>#REF!</f>
        <v>#REF!</v>
      </c>
      <c r="AZ51" s="77" t="e">
        <f>#REF!</f>
        <v>#REF!</v>
      </c>
      <c r="BA51" s="77" t="e">
        <f>#REF!</f>
        <v>#REF!</v>
      </c>
      <c r="BB51" s="77" t="e">
        <f>#REF!</f>
        <v>#REF!</v>
      </c>
      <c r="BC51" s="77" t="e">
        <f>#REF!</f>
        <v>#REF!</v>
      </c>
      <c r="BD51" s="77" t="e">
        <f>#REF!</f>
        <v>#REF!</v>
      </c>
      <c r="BE51" s="77" t="e">
        <f>#REF!</f>
        <v>#REF!</v>
      </c>
      <c r="BF51" s="77" t="e">
        <f>#REF!</f>
        <v>#REF!</v>
      </c>
      <c r="BG51" s="77" t="e">
        <f>#REF!</f>
        <v>#REF!</v>
      </c>
      <c r="BH51" s="77" t="e">
        <f>#REF!</f>
        <v>#REF!</v>
      </c>
      <c r="BI51" s="77" t="e">
        <f>#REF!</f>
        <v>#REF!</v>
      </c>
      <c r="BJ51" s="77" t="e">
        <f>#REF!</f>
        <v>#REF!</v>
      </c>
      <c r="BK51" s="77" t="e">
        <f>#REF!</f>
        <v>#REF!</v>
      </c>
      <c r="BL51" s="77" t="e">
        <f>#REF!</f>
        <v>#REF!</v>
      </c>
      <c r="BM51" s="77" t="e">
        <f>#REF!</f>
        <v>#REF!</v>
      </c>
      <c r="BN51" s="77" t="e">
        <f>#REF!</f>
        <v>#REF!</v>
      </c>
      <c r="BO51" s="77" t="e">
        <f>#REF!</f>
        <v>#REF!</v>
      </c>
      <c r="BP51" s="77" t="e">
        <f>#REF!</f>
        <v>#REF!</v>
      </c>
      <c r="BR51" s="123" t="str">
        <f t="shared" si="11"/>
        <v>FAI25B-1(DC)</v>
      </c>
      <c r="BS51" s="120">
        <f>OOC!G51</f>
        <v>1.32</v>
      </c>
      <c r="BT51" s="120">
        <f>OOC!H51</f>
        <v>1.26</v>
      </c>
      <c r="BU51" s="2" t="e">
        <f t="shared" si="12"/>
        <v>#REF!</v>
      </c>
      <c r="BV51" s="2" t="e">
        <f t="shared" si="13"/>
        <v>#REF!</v>
      </c>
      <c r="BW51" s="2" t="e">
        <f t="shared" si="14"/>
        <v>#REF!</v>
      </c>
      <c r="BX51" s="121"/>
    </row>
    <row r="52" spans="1:76" ht="15" customHeight="1">
      <c r="A52" s="13"/>
      <c r="B52" s="88" t="s">
        <v>163</v>
      </c>
      <c r="C52" s="78" t="s">
        <v>145</v>
      </c>
      <c r="D52" s="89" t="s">
        <v>117</v>
      </c>
      <c r="E52" s="90"/>
      <c r="F52" s="66" t="s">
        <v>44</v>
      </c>
      <c r="G52" s="91">
        <v>1.29</v>
      </c>
      <c r="H52" s="92">
        <f>IF(OOC!S52=0,"",OOC!S52)</f>
        <v>0.03</v>
      </c>
      <c r="I52" s="92">
        <f>IF(OOC!T52=0,"",OOC!T52)</f>
        <v>-0.03</v>
      </c>
      <c r="J52" s="68" t="s">
        <v>12</v>
      </c>
      <c r="K52" s="69" t="s">
        <v>80</v>
      </c>
      <c r="L52" s="70">
        <f t="shared" si="17"/>
        <v>1.32</v>
      </c>
      <c r="M52" s="70">
        <f t="shared" si="18"/>
        <v>1.26</v>
      </c>
      <c r="N52" s="71"/>
      <c r="O52" s="2" t="e">
        <f t="shared" si="19"/>
        <v>#REF!</v>
      </c>
      <c r="P52" s="2" t="e">
        <f t="shared" si="20"/>
        <v>#REF!</v>
      </c>
      <c r="Q52" s="2" t="e">
        <f t="shared" si="21"/>
        <v>#REF!</v>
      </c>
      <c r="R52" s="3" t="e">
        <f t="shared" si="22"/>
        <v>#REF!</v>
      </c>
      <c r="S52" s="4" t="e">
        <f t="shared" si="10"/>
        <v>#REF!</v>
      </c>
      <c r="T52" s="84" t="e">
        <f t="shared" si="23"/>
        <v>#REF!</v>
      </c>
      <c r="U52" s="85" t="e">
        <f t="shared" si="24"/>
        <v>#REF!</v>
      </c>
      <c r="V52" s="4" t="e">
        <f t="shared" si="25"/>
        <v>#REF!</v>
      </c>
      <c r="W52" s="4" t="e">
        <f t="shared" si="26"/>
        <v>#REF!</v>
      </c>
      <c r="X52" s="4" t="e">
        <f t="shared" si="27"/>
        <v>#REF!</v>
      </c>
      <c r="Y52" s="62" t="e">
        <f t="shared" si="28"/>
        <v>#REF!</v>
      </c>
      <c r="Z52" s="22"/>
      <c r="AA52" s="22"/>
      <c r="AB52" s="22"/>
      <c r="AC52" s="22"/>
      <c r="AD52" s="19"/>
      <c r="AE52" s="14"/>
      <c r="AF52" s="74"/>
      <c r="AG52" s="49"/>
      <c r="AH52" s="49"/>
      <c r="AI52" s="50"/>
      <c r="AJ52" s="15"/>
      <c r="AK52" s="77" t="e">
        <f>#REF!</f>
        <v>#REF!</v>
      </c>
      <c r="AL52" s="77" t="e">
        <f>#REF!</f>
        <v>#REF!</v>
      </c>
      <c r="AM52" s="77" t="e">
        <f>#REF!</f>
        <v>#REF!</v>
      </c>
      <c r="AN52" s="77" t="e">
        <f>#REF!</f>
        <v>#REF!</v>
      </c>
      <c r="AO52" s="77" t="e">
        <f>#REF!</f>
        <v>#REF!</v>
      </c>
      <c r="AP52" s="77" t="e">
        <f>#REF!</f>
        <v>#REF!</v>
      </c>
      <c r="AQ52" s="77" t="e">
        <f>#REF!</f>
        <v>#REF!</v>
      </c>
      <c r="AR52" s="77" t="e">
        <f>#REF!</f>
        <v>#REF!</v>
      </c>
      <c r="AS52" s="77" t="e">
        <f>#REF!</f>
        <v>#REF!</v>
      </c>
      <c r="AT52" s="77" t="e">
        <f>#REF!</f>
        <v>#REF!</v>
      </c>
      <c r="AU52" s="77" t="e">
        <f>#REF!</f>
        <v>#REF!</v>
      </c>
      <c r="AV52" s="77" t="e">
        <f>#REF!</f>
        <v>#REF!</v>
      </c>
      <c r="AW52" s="77" t="e">
        <f>#REF!</f>
        <v>#REF!</v>
      </c>
      <c r="AX52" s="77" t="e">
        <f>#REF!</f>
        <v>#REF!</v>
      </c>
      <c r="AY52" s="77" t="e">
        <f>#REF!</f>
        <v>#REF!</v>
      </c>
      <c r="AZ52" s="77" t="e">
        <f>#REF!</f>
        <v>#REF!</v>
      </c>
      <c r="BA52" s="77" t="e">
        <f>#REF!</f>
        <v>#REF!</v>
      </c>
      <c r="BB52" s="77" t="e">
        <f>#REF!</f>
        <v>#REF!</v>
      </c>
      <c r="BC52" s="77" t="e">
        <f>#REF!</f>
        <v>#REF!</v>
      </c>
      <c r="BD52" s="77" t="e">
        <f>#REF!</f>
        <v>#REF!</v>
      </c>
      <c r="BE52" s="77" t="e">
        <f>#REF!</f>
        <v>#REF!</v>
      </c>
      <c r="BF52" s="77" t="e">
        <f>#REF!</f>
        <v>#REF!</v>
      </c>
      <c r="BG52" s="77" t="e">
        <f>#REF!</f>
        <v>#REF!</v>
      </c>
      <c r="BH52" s="77" t="e">
        <f>#REF!</f>
        <v>#REF!</v>
      </c>
      <c r="BI52" s="77" t="e">
        <f>#REF!</f>
        <v>#REF!</v>
      </c>
      <c r="BJ52" s="77" t="e">
        <f>#REF!</f>
        <v>#REF!</v>
      </c>
      <c r="BK52" s="77" t="e">
        <f>#REF!</f>
        <v>#REF!</v>
      </c>
      <c r="BL52" s="77" t="e">
        <f>#REF!</f>
        <v>#REF!</v>
      </c>
      <c r="BM52" s="77" t="e">
        <f>#REF!</f>
        <v>#REF!</v>
      </c>
      <c r="BN52" s="77" t="e">
        <f>#REF!</f>
        <v>#REF!</v>
      </c>
      <c r="BO52" s="77" t="e">
        <f>#REF!</f>
        <v>#REF!</v>
      </c>
      <c r="BP52" s="77" t="e">
        <f>#REF!</f>
        <v>#REF!</v>
      </c>
      <c r="BR52" s="123" t="str">
        <f t="shared" si="11"/>
        <v>FAI25B-2(DC)</v>
      </c>
      <c r="BS52" s="120">
        <f>OOC!G52</f>
        <v>1.32</v>
      </c>
      <c r="BT52" s="120">
        <f>OOC!H52</f>
        <v>1.26</v>
      </c>
      <c r="BU52" s="2" t="e">
        <f t="shared" si="12"/>
        <v>#REF!</v>
      </c>
      <c r="BV52" s="2" t="e">
        <f t="shared" si="13"/>
        <v>#REF!</v>
      </c>
      <c r="BW52" s="2" t="e">
        <f t="shared" si="14"/>
        <v>#REF!</v>
      </c>
      <c r="BX52" s="121"/>
    </row>
    <row r="53" spans="1:76" ht="15" customHeight="1">
      <c r="A53" s="13"/>
      <c r="B53" s="88" t="s">
        <v>163</v>
      </c>
      <c r="C53" s="78" t="s">
        <v>146</v>
      </c>
      <c r="D53" s="89" t="s">
        <v>117</v>
      </c>
      <c r="E53" s="90"/>
      <c r="F53" s="66" t="s">
        <v>44</v>
      </c>
      <c r="G53" s="91">
        <v>1.29</v>
      </c>
      <c r="H53" s="92">
        <f>IF(OOC!S53=0,"",OOC!S53)</f>
        <v>0.03</v>
      </c>
      <c r="I53" s="92">
        <f>IF(OOC!T53=0,"",OOC!T53)</f>
        <v>-0.03</v>
      </c>
      <c r="J53" s="68" t="s">
        <v>12</v>
      </c>
      <c r="K53" s="69" t="s">
        <v>80</v>
      </c>
      <c r="L53" s="70">
        <f t="shared" si="17"/>
        <v>1.32</v>
      </c>
      <c r="M53" s="70">
        <f t="shared" si="18"/>
        <v>1.26</v>
      </c>
      <c r="N53" s="71"/>
      <c r="O53" s="2" t="e">
        <f t="shared" si="19"/>
        <v>#REF!</v>
      </c>
      <c r="P53" s="2" t="e">
        <f t="shared" si="20"/>
        <v>#REF!</v>
      </c>
      <c r="Q53" s="2" t="e">
        <f t="shared" si="21"/>
        <v>#REF!</v>
      </c>
      <c r="R53" s="3" t="e">
        <f t="shared" si="22"/>
        <v>#REF!</v>
      </c>
      <c r="S53" s="4" t="e">
        <f t="shared" si="10"/>
        <v>#REF!</v>
      </c>
      <c r="T53" s="84" t="e">
        <f t="shared" si="23"/>
        <v>#REF!</v>
      </c>
      <c r="U53" s="85" t="e">
        <f t="shared" si="24"/>
        <v>#REF!</v>
      </c>
      <c r="V53" s="4" t="e">
        <f t="shared" si="25"/>
        <v>#REF!</v>
      </c>
      <c r="W53" s="4" t="e">
        <f t="shared" si="26"/>
        <v>#REF!</v>
      </c>
      <c r="X53" s="4" t="e">
        <f t="shared" si="27"/>
        <v>#REF!</v>
      </c>
      <c r="Y53" s="62" t="e">
        <f t="shared" si="28"/>
        <v>#REF!</v>
      </c>
      <c r="Z53" s="22"/>
      <c r="AA53" s="22"/>
      <c r="AB53" s="22"/>
      <c r="AC53" s="22"/>
      <c r="AD53" s="19"/>
      <c r="AE53" s="14"/>
      <c r="AF53" s="74"/>
      <c r="AG53" s="49"/>
      <c r="AH53" s="49"/>
      <c r="AI53" s="50"/>
      <c r="AJ53" s="15"/>
      <c r="AK53" s="77" t="e">
        <f>#REF!</f>
        <v>#REF!</v>
      </c>
      <c r="AL53" s="77" t="e">
        <f>#REF!</f>
        <v>#REF!</v>
      </c>
      <c r="AM53" s="77" t="e">
        <f>#REF!</f>
        <v>#REF!</v>
      </c>
      <c r="AN53" s="77" t="e">
        <f>#REF!</f>
        <v>#REF!</v>
      </c>
      <c r="AO53" s="77" t="e">
        <f>#REF!</f>
        <v>#REF!</v>
      </c>
      <c r="AP53" s="77" t="e">
        <f>#REF!</f>
        <v>#REF!</v>
      </c>
      <c r="AQ53" s="77" t="e">
        <f>#REF!</f>
        <v>#REF!</v>
      </c>
      <c r="AR53" s="77" t="e">
        <f>#REF!</f>
        <v>#REF!</v>
      </c>
      <c r="AS53" s="77" t="e">
        <f>#REF!</f>
        <v>#REF!</v>
      </c>
      <c r="AT53" s="77" t="e">
        <f>#REF!</f>
        <v>#REF!</v>
      </c>
      <c r="AU53" s="77" t="e">
        <f>#REF!</f>
        <v>#REF!</v>
      </c>
      <c r="AV53" s="77" t="e">
        <f>#REF!</f>
        <v>#REF!</v>
      </c>
      <c r="AW53" s="77" t="e">
        <f>#REF!</f>
        <v>#REF!</v>
      </c>
      <c r="AX53" s="77" t="e">
        <f>#REF!</f>
        <v>#REF!</v>
      </c>
      <c r="AY53" s="77" t="e">
        <f>#REF!</f>
        <v>#REF!</v>
      </c>
      <c r="AZ53" s="77" t="e">
        <f>#REF!</f>
        <v>#REF!</v>
      </c>
      <c r="BA53" s="77" t="e">
        <f>#REF!</f>
        <v>#REF!</v>
      </c>
      <c r="BB53" s="77" t="e">
        <f>#REF!</f>
        <v>#REF!</v>
      </c>
      <c r="BC53" s="77" t="e">
        <f>#REF!</f>
        <v>#REF!</v>
      </c>
      <c r="BD53" s="77" t="e">
        <f>#REF!</f>
        <v>#REF!</v>
      </c>
      <c r="BE53" s="77" t="e">
        <f>#REF!</f>
        <v>#REF!</v>
      </c>
      <c r="BF53" s="77" t="e">
        <f>#REF!</f>
        <v>#REF!</v>
      </c>
      <c r="BG53" s="77" t="e">
        <f>#REF!</f>
        <v>#REF!</v>
      </c>
      <c r="BH53" s="77" t="e">
        <f>#REF!</f>
        <v>#REF!</v>
      </c>
      <c r="BI53" s="77" t="e">
        <f>#REF!</f>
        <v>#REF!</v>
      </c>
      <c r="BJ53" s="77" t="e">
        <f>#REF!</f>
        <v>#REF!</v>
      </c>
      <c r="BK53" s="77" t="e">
        <f>#REF!</f>
        <v>#REF!</v>
      </c>
      <c r="BL53" s="77" t="e">
        <f>#REF!</f>
        <v>#REF!</v>
      </c>
      <c r="BM53" s="77" t="e">
        <f>#REF!</f>
        <v>#REF!</v>
      </c>
      <c r="BN53" s="77" t="e">
        <f>#REF!</f>
        <v>#REF!</v>
      </c>
      <c r="BO53" s="77" t="e">
        <f>#REF!</f>
        <v>#REF!</v>
      </c>
      <c r="BP53" s="77" t="e">
        <f>#REF!</f>
        <v>#REF!</v>
      </c>
      <c r="BR53" s="123" t="str">
        <f t="shared" si="11"/>
        <v>FAI25B-3(DC)</v>
      </c>
      <c r="BS53" s="120">
        <f>OOC!G53</f>
        <v>1.32</v>
      </c>
      <c r="BT53" s="120">
        <f>OOC!H53</f>
        <v>1.26</v>
      </c>
      <c r="BU53" s="2" t="e">
        <f t="shared" si="12"/>
        <v>#REF!</v>
      </c>
      <c r="BV53" s="2" t="e">
        <f t="shared" si="13"/>
        <v>#REF!</v>
      </c>
      <c r="BW53" s="2" t="e">
        <f t="shared" si="14"/>
        <v>#REF!</v>
      </c>
      <c r="BX53" s="121"/>
    </row>
    <row r="54" spans="1:76" ht="15" customHeight="1">
      <c r="A54" s="13"/>
      <c r="B54" s="88"/>
      <c r="C54" s="78" t="s">
        <v>118</v>
      </c>
      <c r="D54" s="89" t="s">
        <v>117</v>
      </c>
      <c r="E54" s="90"/>
      <c r="F54" s="66" t="s">
        <v>44</v>
      </c>
      <c r="G54" s="91">
        <v>15.262</v>
      </c>
      <c r="H54" s="92" t="str">
        <f>IF(OOC!S54=0,"",OOC!S54)</f>
        <v/>
      </c>
      <c r="I54" s="92" t="str">
        <f>IF(OOC!T54=0,"",OOC!T54)</f>
        <v/>
      </c>
      <c r="J54" s="68" t="s">
        <v>12</v>
      </c>
      <c r="K54" s="69" t="s">
        <v>80</v>
      </c>
      <c r="L54" s="70" t="e">
        <f t="shared" si="17"/>
        <v>#VALUE!</v>
      </c>
      <c r="M54" s="70" t="e">
        <f t="shared" si="18"/>
        <v>#VALUE!</v>
      </c>
      <c r="N54" s="71"/>
      <c r="O54" s="2" t="e">
        <f t="shared" si="19"/>
        <v>#REF!</v>
      </c>
      <c r="P54" s="2" t="e">
        <f t="shared" si="20"/>
        <v>#REF!</v>
      </c>
      <c r="Q54" s="2" t="e">
        <f t="shared" si="21"/>
        <v>#REF!</v>
      </c>
      <c r="R54" s="3" t="e">
        <f t="shared" si="22"/>
        <v>#REF!</v>
      </c>
      <c r="S54" s="4" t="e">
        <f t="shared" si="10"/>
        <v>#REF!</v>
      </c>
      <c r="T54" s="84" t="e">
        <f t="shared" si="23"/>
        <v>#REF!</v>
      </c>
      <c r="U54" s="85" t="e">
        <f t="shared" si="24"/>
        <v>#REF!</v>
      </c>
      <c r="V54" s="4" t="e">
        <f t="shared" si="25"/>
        <v>#REF!</v>
      </c>
      <c r="W54" s="4" t="e">
        <f t="shared" si="26"/>
        <v>#REF!</v>
      </c>
      <c r="X54" s="4" t="e">
        <f t="shared" si="27"/>
        <v>#REF!</v>
      </c>
      <c r="Y54" s="62" t="e">
        <f t="shared" si="28"/>
        <v>#REF!</v>
      </c>
      <c r="Z54" s="22"/>
      <c r="AA54" s="22"/>
      <c r="AB54" s="22"/>
      <c r="AC54" s="22"/>
      <c r="AD54" s="19"/>
      <c r="AE54" s="14"/>
      <c r="AF54" s="74"/>
      <c r="AG54" s="49"/>
      <c r="AH54" s="49"/>
      <c r="AI54" s="50"/>
      <c r="AJ54" s="15"/>
      <c r="AK54" s="79" t="e">
        <f>#REF!</f>
        <v>#REF!</v>
      </c>
      <c r="AL54" s="79" t="e">
        <f>#REF!</f>
        <v>#REF!</v>
      </c>
      <c r="AM54" s="79" t="e">
        <f>#REF!</f>
        <v>#REF!</v>
      </c>
      <c r="AN54" s="79"/>
      <c r="AO54" s="79"/>
      <c r="AP54" s="79"/>
      <c r="AQ54" s="79"/>
      <c r="AR54" s="79"/>
      <c r="AS54" s="79"/>
      <c r="AT54" s="79"/>
      <c r="AU54" s="79"/>
      <c r="AV54" s="79"/>
      <c r="AW54" s="79"/>
      <c r="AX54" s="79"/>
      <c r="AY54" s="79"/>
      <c r="AZ54" s="79"/>
      <c r="BA54" s="79"/>
      <c r="BB54" s="79"/>
      <c r="BC54" s="79"/>
      <c r="BD54" s="79"/>
      <c r="BE54" s="79"/>
      <c r="BF54" s="79"/>
      <c r="BG54" s="79"/>
      <c r="BH54" s="79"/>
      <c r="BI54" s="79"/>
      <c r="BJ54" s="79"/>
      <c r="BK54" s="79"/>
      <c r="BL54" s="79"/>
      <c r="BM54" s="79"/>
      <c r="BN54" s="79"/>
      <c r="BO54" s="79"/>
      <c r="BP54" s="79"/>
      <c r="BR54" s="123" t="str">
        <f t="shared" si="11"/>
        <v>FAI26</v>
      </c>
      <c r="BS54" s="120">
        <f>OOC!G54</f>
        <v>15.292</v>
      </c>
      <c r="BT54" s="120">
        <f>OOC!H54</f>
        <v>15.232000000000001</v>
      </c>
      <c r="BU54" s="2" t="e">
        <f t="shared" si="12"/>
        <v>#REF!</v>
      </c>
      <c r="BV54" s="2" t="e">
        <f t="shared" si="13"/>
        <v>#REF!</v>
      </c>
      <c r="BW54" s="2" t="e">
        <f t="shared" si="14"/>
        <v>#REF!</v>
      </c>
      <c r="BX54" s="121" t="e">
        <f>IF(AND(IF(OOC!G54="",0,OOC!G54) &gt;= IF(O54="",0,O54), IF(O54="",0,O54) &gt; IF(L54="",0,L54)), "OOC",
IF(AND(IF(M54="",0,M54) &gt; IF(P54="",0,P54), IF(P54="",0,P54) &gt;= IF(OOC!H54="",0,OOC!H54)), "OOC",
IF(IF(O54="",0,O54) &gt; IF(OOC!G54="",0,OOC!G54), "OOS",
IF(IF(OOC!H54="",0,OOC!H54) &gt; IF(P54="",0,P54), "OOS", "OK"))))</f>
        <v>#REF!</v>
      </c>
    </row>
    <row r="55" spans="1:76" ht="15" customHeight="1">
      <c r="A55" s="13"/>
      <c r="B55" s="88"/>
      <c r="C55" s="78" t="s">
        <v>119</v>
      </c>
      <c r="D55" s="89" t="s">
        <v>117</v>
      </c>
      <c r="E55" s="90"/>
      <c r="F55" s="66" t="s">
        <v>44</v>
      </c>
      <c r="G55" s="91">
        <v>12.839</v>
      </c>
      <c r="H55" s="92" t="str">
        <f>IF(OOC!S55=0,"",OOC!S55)</f>
        <v/>
      </c>
      <c r="I55" s="92" t="str">
        <f>IF(OOC!T55=0,"",OOC!T55)</f>
        <v/>
      </c>
      <c r="J55" s="68" t="s">
        <v>12</v>
      </c>
      <c r="K55" s="69" t="s">
        <v>80</v>
      </c>
      <c r="L55" s="70" t="e">
        <f t="shared" si="17"/>
        <v>#VALUE!</v>
      </c>
      <c r="M55" s="70" t="e">
        <f t="shared" si="18"/>
        <v>#VALUE!</v>
      </c>
      <c r="N55" s="71"/>
      <c r="O55" s="2" t="e">
        <f t="shared" si="19"/>
        <v>#REF!</v>
      </c>
      <c r="P55" s="2" t="e">
        <f t="shared" si="20"/>
        <v>#REF!</v>
      </c>
      <c r="Q55" s="2" t="e">
        <f t="shared" si="21"/>
        <v>#REF!</v>
      </c>
      <c r="R55" s="3" t="e">
        <f t="shared" si="22"/>
        <v>#REF!</v>
      </c>
      <c r="S55" s="4" t="e">
        <f t="shared" si="10"/>
        <v>#REF!</v>
      </c>
      <c r="T55" s="84" t="e">
        <f t="shared" si="23"/>
        <v>#REF!</v>
      </c>
      <c r="U55" s="85" t="e">
        <f t="shared" si="24"/>
        <v>#REF!</v>
      </c>
      <c r="V55" s="4" t="e">
        <f t="shared" si="25"/>
        <v>#REF!</v>
      </c>
      <c r="W55" s="4" t="e">
        <f t="shared" si="26"/>
        <v>#REF!</v>
      </c>
      <c r="X55" s="4" t="e">
        <f t="shared" si="27"/>
        <v>#REF!</v>
      </c>
      <c r="Y55" s="62" t="e">
        <f t="shared" si="28"/>
        <v>#REF!</v>
      </c>
      <c r="Z55" s="22"/>
      <c r="AA55" s="22"/>
      <c r="AB55" s="22"/>
      <c r="AC55" s="22"/>
      <c r="AD55" s="19"/>
      <c r="AE55" s="14"/>
      <c r="AF55" s="74"/>
      <c r="AG55" s="49"/>
      <c r="AH55" s="49"/>
      <c r="AI55" s="50"/>
      <c r="AJ55" s="15"/>
      <c r="AK55" s="79" t="e">
        <f>#REF!</f>
        <v>#REF!</v>
      </c>
      <c r="AL55" s="79" t="e">
        <f>#REF!</f>
        <v>#REF!</v>
      </c>
      <c r="AM55" s="79" t="e">
        <f>#REF!</f>
        <v>#REF!</v>
      </c>
      <c r="AN55" s="77"/>
      <c r="AO55" s="77"/>
      <c r="AP55" s="77"/>
      <c r="AQ55" s="77"/>
      <c r="AR55" s="77"/>
      <c r="AS55" s="77"/>
      <c r="AT55" s="77"/>
      <c r="AU55" s="77"/>
      <c r="AV55" s="77"/>
      <c r="AW55" s="77"/>
      <c r="AX55" s="77"/>
      <c r="AY55" s="77"/>
      <c r="AZ55" s="77"/>
      <c r="BA55" s="77"/>
      <c r="BB55" s="77"/>
      <c r="BC55" s="77"/>
      <c r="BD55" s="77"/>
      <c r="BE55" s="77"/>
      <c r="BF55" s="77"/>
      <c r="BG55" s="77"/>
      <c r="BH55" s="77"/>
      <c r="BI55" s="77"/>
      <c r="BJ55" s="77"/>
      <c r="BK55" s="77"/>
      <c r="BL55" s="77"/>
      <c r="BM55" s="77"/>
      <c r="BN55" s="77"/>
      <c r="BO55" s="77"/>
      <c r="BP55" s="77"/>
      <c r="BR55" s="123" t="str">
        <f t="shared" si="11"/>
        <v>FAI27</v>
      </c>
      <c r="BS55" s="120">
        <f>OOC!G55</f>
        <v>12.869</v>
      </c>
      <c r="BT55" s="120">
        <f>OOC!H55</f>
        <v>12.809000000000001</v>
      </c>
      <c r="BU55" s="2" t="e">
        <f t="shared" si="12"/>
        <v>#REF!</v>
      </c>
      <c r="BV55" s="2" t="e">
        <f t="shared" si="13"/>
        <v>#REF!</v>
      </c>
      <c r="BW55" s="2" t="e">
        <f t="shared" si="14"/>
        <v>#REF!</v>
      </c>
      <c r="BX55" s="121" t="e">
        <f>IF(AND(IF(OOC!G55="",0,OOC!G55) &gt;= IF(O55="",0,O55), IF(O55="",0,O55) &gt; IF(L55="",0,L55)), "OOC",
IF(AND(IF(M55="",0,M55) &gt; IF(P55="",0,P55), IF(P55="",0,P55) &gt;= IF(OOC!H55="",0,OOC!H55)), "OOC",
IF(IF(O55="",0,O55) &gt; IF(OOC!G55="",0,OOC!G55), "OOS",
IF(IF(OOC!H55="",0,OOC!H55) &gt; IF(P55="",0,P55), "OOS", "OK"))))</f>
        <v>#REF!</v>
      </c>
    </row>
    <row r="56" spans="1:76" ht="15" customHeight="1">
      <c r="A56" s="13"/>
      <c r="B56" s="88"/>
      <c r="C56" s="78" t="s">
        <v>120</v>
      </c>
      <c r="D56" s="89" t="s">
        <v>117</v>
      </c>
      <c r="E56" s="90"/>
      <c r="F56" s="66" t="s">
        <v>44</v>
      </c>
      <c r="G56" s="91">
        <v>2.6269999999999998</v>
      </c>
      <c r="H56" s="92" t="str">
        <f>IF(OOC!S56=0,"",OOC!S56)</f>
        <v/>
      </c>
      <c r="I56" s="92" t="str">
        <f>IF(OOC!T56=0,"",OOC!T56)</f>
        <v/>
      </c>
      <c r="J56" s="68" t="s">
        <v>12</v>
      </c>
      <c r="K56" s="69" t="s">
        <v>80</v>
      </c>
      <c r="L56" s="70" t="e">
        <f t="shared" si="17"/>
        <v>#VALUE!</v>
      </c>
      <c r="M56" s="70" t="e">
        <f t="shared" si="18"/>
        <v>#VALUE!</v>
      </c>
      <c r="N56" s="71"/>
      <c r="O56" s="2" t="e">
        <f t="shared" si="19"/>
        <v>#REF!</v>
      </c>
      <c r="P56" s="2" t="e">
        <f t="shared" si="20"/>
        <v>#REF!</v>
      </c>
      <c r="Q56" s="2" t="e">
        <f t="shared" si="21"/>
        <v>#REF!</v>
      </c>
      <c r="R56" s="3" t="e">
        <f t="shared" si="22"/>
        <v>#REF!</v>
      </c>
      <c r="S56" s="4" t="e">
        <f t="shared" si="10"/>
        <v>#REF!</v>
      </c>
      <c r="T56" s="84" t="e">
        <f t="shared" si="23"/>
        <v>#REF!</v>
      </c>
      <c r="U56" s="85" t="e">
        <f t="shared" si="24"/>
        <v>#REF!</v>
      </c>
      <c r="V56" s="4" t="e">
        <f t="shared" si="25"/>
        <v>#REF!</v>
      </c>
      <c r="W56" s="4" t="e">
        <f t="shared" si="26"/>
        <v>#REF!</v>
      </c>
      <c r="X56" s="4" t="e">
        <f t="shared" si="27"/>
        <v>#REF!</v>
      </c>
      <c r="Y56" s="62" t="e">
        <f t="shared" si="28"/>
        <v>#REF!</v>
      </c>
      <c r="Z56" s="22"/>
      <c r="AA56" s="22"/>
      <c r="AB56" s="22"/>
      <c r="AC56" s="22"/>
      <c r="AD56" s="19"/>
      <c r="AE56" s="14"/>
      <c r="AF56" s="72"/>
      <c r="AG56" s="49"/>
      <c r="AH56" s="49"/>
      <c r="AI56" s="50"/>
      <c r="AJ56" s="15"/>
      <c r="AK56" s="79" t="e">
        <f>#REF!</f>
        <v>#REF!</v>
      </c>
      <c r="AL56" s="79" t="e">
        <f>#REF!</f>
        <v>#REF!</v>
      </c>
      <c r="AM56" s="79" t="e">
        <f>#REF!</f>
        <v>#REF!</v>
      </c>
      <c r="AN56" s="80"/>
      <c r="AO56" s="80"/>
      <c r="AP56" s="80"/>
      <c r="AQ56" s="80"/>
      <c r="AR56" s="80"/>
      <c r="AS56" s="80"/>
      <c r="AT56" s="80"/>
      <c r="AU56" s="80"/>
      <c r="AV56" s="80"/>
      <c r="AW56" s="80"/>
      <c r="AX56" s="80"/>
      <c r="AY56" s="80"/>
      <c r="AZ56" s="80"/>
      <c r="BA56" s="80"/>
      <c r="BB56" s="80"/>
      <c r="BC56" s="80"/>
      <c r="BD56" s="80"/>
      <c r="BE56" s="80"/>
      <c r="BF56" s="80"/>
      <c r="BG56" s="80"/>
      <c r="BH56" s="80"/>
      <c r="BI56" s="80"/>
      <c r="BJ56" s="80"/>
      <c r="BK56" s="80"/>
      <c r="BL56" s="80"/>
      <c r="BM56" s="80"/>
      <c r="BN56" s="80"/>
      <c r="BO56" s="80"/>
      <c r="BP56" s="80"/>
      <c r="BR56" s="123" t="str">
        <f t="shared" si="11"/>
        <v>FAI28</v>
      </c>
      <c r="BS56" s="120">
        <f>OOC!G56</f>
        <v>2.6569999999999996</v>
      </c>
      <c r="BT56" s="120">
        <f>OOC!H56</f>
        <v>2.597</v>
      </c>
      <c r="BU56" s="2" t="e">
        <f t="shared" si="12"/>
        <v>#REF!</v>
      </c>
      <c r="BV56" s="2" t="e">
        <f t="shared" si="13"/>
        <v>#REF!</v>
      </c>
      <c r="BW56" s="2" t="e">
        <f t="shared" si="14"/>
        <v>#REF!</v>
      </c>
      <c r="BX56" s="121" t="e">
        <f>IF(AND(IF(OOC!G56="",0,OOC!G56) &gt;= IF(O56="",0,O56), IF(O56="",0,O56) &gt; IF(L56="",0,L56)), "OOC",
IF(AND(IF(M56="",0,M56) &gt; IF(P56="",0,P56), IF(P56="",0,P56) &gt;= IF(OOC!H56="",0,OOC!H56)), "OOC",
IF(IF(O56="",0,O56) &gt; IF(OOC!G56="",0,OOC!G56), "OOS",
IF(IF(OOC!H56="",0,OOC!H56) &gt; IF(P56="",0,P56), "OOS", "OK"))))</f>
        <v>#REF!</v>
      </c>
    </row>
    <row r="57" spans="1:76" ht="15" customHeight="1">
      <c r="A57" s="13"/>
      <c r="B57" s="88"/>
      <c r="C57" s="78"/>
      <c r="D57" s="89"/>
      <c r="E57" s="90"/>
      <c r="F57" s="66"/>
      <c r="G57" s="91"/>
      <c r="H57" s="92"/>
      <c r="I57" s="92"/>
      <c r="J57" s="68"/>
      <c r="K57" s="69"/>
      <c r="L57" s="70"/>
      <c r="M57" s="70"/>
      <c r="N57" s="71"/>
      <c r="O57" s="2"/>
      <c r="P57" s="2"/>
      <c r="Q57" s="2"/>
      <c r="R57" s="3"/>
      <c r="S57" s="4"/>
      <c r="T57" s="84"/>
      <c r="U57" s="85"/>
      <c r="V57" s="4"/>
      <c r="W57" s="4"/>
      <c r="X57" s="4"/>
      <c r="Y57" s="62"/>
      <c r="Z57" s="22"/>
      <c r="AA57" s="22"/>
      <c r="AB57" s="22"/>
      <c r="AC57" s="22"/>
      <c r="AD57" s="19"/>
      <c r="AE57" s="14"/>
      <c r="AF57" s="72"/>
      <c r="AG57" s="49"/>
      <c r="AH57" s="49"/>
      <c r="AI57" s="50"/>
      <c r="AJ57" s="15"/>
      <c r="AK57" s="77"/>
      <c r="AL57" s="77"/>
      <c r="AM57" s="77"/>
      <c r="AN57" s="77"/>
      <c r="AO57" s="77"/>
      <c r="AP57" s="77"/>
      <c r="AQ57" s="77"/>
      <c r="AR57" s="77"/>
      <c r="AS57" s="77"/>
      <c r="AT57" s="77"/>
      <c r="AU57" s="77"/>
      <c r="AV57" s="77"/>
      <c r="AW57" s="77"/>
      <c r="AX57" s="77"/>
      <c r="AY57" s="77"/>
      <c r="AZ57" s="77"/>
      <c r="BA57" s="77"/>
      <c r="BB57" s="77"/>
      <c r="BC57" s="77"/>
      <c r="BD57" s="77"/>
      <c r="BE57" s="77"/>
      <c r="BF57" s="77"/>
      <c r="BG57" s="77"/>
      <c r="BH57" s="77"/>
      <c r="BI57" s="77"/>
      <c r="BJ57" s="77"/>
      <c r="BK57" s="77"/>
      <c r="BL57" s="77"/>
      <c r="BM57" s="77"/>
      <c r="BN57" s="77"/>
      <c r="BO57" s="77"/>
      <c r="BP57" s="77"/>
      <c r="BR57" s="123"/>
      <c r="BS57" s="120"/>
      <c r="BT57" s="120"/>
      <c r="BU57" s="2"/>
      <c r="BV57" s="2"/>
      <c r="BW57" s="2"/>
      <c r="BX57" s="121"/>
    </row>
    <row r="58" spans="1:76" ht="15" customHeight="1">
      <c r="A58" s="13"/>
      <c r="B58" s="88"/>
      <c r="C58" s="78"/>
      <c r="D58" s="89"/>
      <c r="E58" s="90"/>
      <c r="F58" s="66"/>
      <c r="G58" s="91"/>
      <c r="H58" s="92"/>
      <c r="I58" s="92"/>
      <c r="J58" s="68"/>
      <c r="K58" s="69"/>
      <c r="L58" s="70"/>
      <c r="M58" s="70"/>
      <c r="N58" s="71"/>
      <c r="O58" s="2"/>
      <c r="P58" s="2"/>
      <c r="Q58" s="2"/>
      <c r="R58" s="3"/>
      <c r="S58" s="4"/>
      <c r="T58" s="84"/>
      <c r="U58" s="85"/>
      <c r="V58" s="4"/>
      <c r="W58" s="4"/>
      <c r="X58" s="4"/>
      <c r="Y58" s="62"/>
      <c r="Z58" s="22"/>
      <c r="AA58" s="22"/>
      <c r="AB58" s="22"/>
      <c r="AC58" s="22"/>
      <c r="AD58" s="19"/>
      <c r="AE58" s="14"/>
      <c r="AF58" s="72"/>
      <c r="AG58" s="49"/>
      <c r="AH58" s="49"/>
      <c r="AI58" s="50"/>
      <c r="AJ58" s="15"/>
      <c r="AK58" s="77"/>
      <c r="AL58" s="77"/>
      <c r="AM58" s="77"/>
      <c r="AN58" s="77"/>
      <c r="AO58" s="77"/>
      <c r="AP58" s="77"/>
      <c r="AQ58" s="77"/>
      <c r="AR58" s="77"/>
      <c r="AS58" s="77"/>
      <c r="AT58" s="77"/>
      <c r="AU58" s="77"/>
      <c r="AV58" s="77"/>
      <c r="AW58" s="77"/>
      <c r="AX58" s="77"/>
      <c r="AY58" s="77"/>
      <c r="AZ58" s="77"/>
      <c r="BA58" s="77"/>
      <c r="BB58" s="77"/>
      <c r="BC58" s="77"/>
      <c r="BD58" s="77"/>
      <c r="BE58" s="77"/>
      <c r="BF58" s="77"/>
      <c r="BG58" s="77"/>
      <c r="BH58" s="77"/>
      <c r="BI58" s="77"/>
      <c r="BJ58" s="77"/>
      <c r="BK58" s="77"/>
      <c r="BL58" s="77"/>
      <c r="BM58" s="77"/>
      <c r="BN58" s="77"/>
      <c r="BO58" s="77"/>
      <c r="BP58" s="77"/>
      <c r="BR58" s="123"/>
      <c r="BS58" s="120"/>
      <c r="BT58" s="120"/>
      <c r="BU58" s="2"/>
      <c r="BV58" s="2"/>
      <c r="BW58" s="2"/>
      <c r="BX58" s="121"/>
    </row>
    <row r="59" spans="1:76" ht="15" customHeight="1">
      <c r="A59" s="13"/>
      <c r="B59" s="88"/>
      <c r="C59" s="78"/>
      <c r="D59" s="89"/>
      <c r="E59" s="90"/>
      <c r="F59" s="66"/>
      <c r="G59" s="91"/>
      <c r="H59" s="92"/>
      <c r="I59" s="92"/>
      <c r="J59" s="68"/>
      <c r="K59" s="69"/>
      <c r="L59" s="70"/>
      <c r="M59" s="70"/>
      <c r="N59" s="71"/>
      <c r="O59" s="2"/>
      <c r="P59" s="2"/>
      <c r="Q59" s="2"/>
      <c r="R59" s="3"/>
      <c r="S59" s="4"/>
      <c r="T59" s="84"/>
      <c r="U59" s="85"/>
      <c r="V59" s="4"/>
      <c r="W59" s="4"/>
      <c r="X59" s="4"/>
      <c r="Y59" s="62"/>
      <c r="Z59" s="22"/>
      <c r="AA59" s="22"/>
      <c r="AB59" s="22"/>
      <c r="AC59" s="22"/>
      <c r="AD59" s="19"/>
      <c r="AE59" s="14"/>
      <c r="AF59" s="72"/>
      <c r="AG59" s="49"/>
      <c r="AH59" s="49"/>
      <c r="AI59" s="50"/>
      <c r="AJ59" s="15"/>
      <c r="AK59" s="77"/>
      <c r="AL59" s="77"/>
      <c r="AM59" s="77"/>
      <c r="AN59" s="77"/>
      <c r="AO59" s="77"/>
      <c r="AP59" s="77"/>
      <c r="AQ59" s="77"/>
      <c r="AR59" s="77"/>
      <c r="AS59" s="77"/>
      <c r="AT59" s="77"/>
      <c r="AU59" s="77"/>
      <c r="AV59" s="77"/>
      <c r="AW59" s="77"/>
      <c r="AX59" s="77"/>
      <c r="AY59" s="77"/>
      <c r="AZ59" s="77"/>
      <c r="BA59" s="77"/>
      <c r="BB59" s="77"/>
      <c r="BC59" s="77"/>
      <c r="BD59" s="77"/>
      <c r="BE59" s="77"/>
      <c r="BF59" s="77"/>
      <c r="BG59" s="77"/>
      <c r="BH59" s="77"/>
      <c r="BI59" s="77"/>
      <c r="BJ59" s="77"/>
      <c r="BK59" s="77"/>
      <c r="BL59" s="77"/>
      <c r="BM59" s="77"/>
      <c r="BN59" s="77"/>
      <c r="BO59" s="77"/>
      <c r="BP59" s="77"/>
      <c r="BR59" s="123"/>
      <c r="BS59" s="120"/>
      <c r="BT59" s="120"/>
      <c r="BU59" s="2"/>
      <c r="BV59" s="2"/>
      <c r="BW59" s="2"/>
      <c r="BX59" s="121"/>
    </row>
    <row r="60" spans="1:76" ht="15" customHeight="1">
      <c r="A60" s="13"/>
      <c r="B60" s="88"/>
      <c r="C60" s="78"/>
      <c r="D60" s="89"/>
      <c r="E60" s="90"/>
      <c r="F60" s="66"/>
      <c r="G60" s="91"/>
      <c r="H60" s="92"/>
      <c r="I60" s="92"/>
      <c r="J60" s="68"/>
      <c r="K60" s="69"/>
      <c r="L60" s="70"/>
      <c r="M60" s="70"/>
      <c r="N60" s="71"/>
      <c r="O60" s="2"/>
      <c r="P60" s="2"/>
      <c r="Q60" s="2"/>
      <c r="R60" s="3"/>
      <c r="S60" s="4"/>
      <c r="T60" s="84"/>
      <c r="U60" s="85"/>
      <c r="V60" s="4"/>
      <c r="W60" s="4"/>
      <c r="X60" s="4"/>
      <c r="Y60" s="62"/>
      <c r="Z60" s="22"/>
      <c r="AA60" s="22"/>
      <c r="AB60" s="22"/>
      <c r="AC60" s="22"/>
      <c r="AD60" s="19"/>
      <c r="AE60" s="14"/>
      <c r="AF60" s="72"/>
      <c r="AG60" s="49"/>
      <c r="AH60" s="49"/>
      <c r="AI60" s="50"/>
      <c r="AJ60" s="15"/>
      <c r="AK60" s="77"/>
      <c r="AL60" s="77"/>
      <c r="AM60" s="77"/>
      <c r="AN60" s="77"/>
      <c r="AO60" s="77"/>
      <c r="AP60" s="77"/>
      <c r="AQ60" s="77"/>
      <c r="AR60" s="77"/>
      <c r="AS60" s="77"/>
      <c r="AT60" s="77"/>
      <c r="AU60" s="77"/>
      <c r="AV60" s="77"/>
      <c r="AW60" s="77"/>
      <c r="AX60" s="77"/>
      <c r="AY60" s="77"/>
      <c r="AZ60" s="77"/>
      <c r="BA60" s="77"/>
      <c r="BB60" s="77"/>
      <c r="BC60" s="77"/>
      <c r="BD60" s="77"/>
      <c r="BE60" s="77"/>
      <c r="BF60" s="77"/>
      <c r="BG60" s="77"/>
      <c r="BH60" s="77"/>
      <c r="BI60" s="77"/>
      <c r="BJ60" s="77"/>
      <c r="BK60" s="77"/>
      <c r="BL60" s="77"/>
      <c r="BM60" s="77"/>
      <c r="BN60" s="77"/>
      <c r="BO60" s="77"/>
      <c r="BP60" s="77"/>
      <c r="BR60" s="123"/>
      <c r="BS60" s="120"/>
      <c r="BT60" s="120"/>
      <c r="BU60" s="2"/>
      <c r="BV60" s="2"/>
      <c r="BW60" s="2"/>
      <c r="BX60" s="121"/>
    </row>
    <row r="61" spans="1:76" ht="15" customHeight="1">
      <c r="A61" s="13"/>
      <c r="B61" s="88"/>
      <c r="C61" s="78"/>
      <c r="D61" s="89"/>
      <c r="E61" s="90"/>
      <c r="F61" s="66"/>
      <c r="G61" s="91"/>
      <c r="H61" s="92"/>
      <c r="I61" s="92"/>
      <c r="J61" s="68"/>
      <c r="K61" s="69"/>
      <c r="L61" s="70"/>
      <c r="M61" s="70"/>
      <c r="N61" s="71"/>
      <c r="O61" s="2"/>
      <c r="P61" s="2"/>
      <c r="Q61" s="2"/>
      <c r="R61" s="3"/>
      <c r="S61" s="4"/>
      <c r="T61" s="84"/>
      <c r="U61" s="85"/>
      <c r="V61" s="4"/>
      <c r="W61" s="4"/>
      <c r="X61" s="4"/>
      <c r="Y61" s="62"/>
      <c r="Z61" s="22"/>
      <c r="AA61" s="22"/>
      <c r="AB61" s="22"/>
      <c r="AC61" s="22"/>
      <c r="AD61" s="19"/>
      <c r="AE61" s="14"/>
      <c r="AF61" s="72"/>
      <c r="AG61" s="49"/>
      <c r="AH61" s="49"/>
      <c r="AI61" s="50"/>
      <c r="AJ61" s="15"/>
      <c r="AK61" s="77"/>
      <c r="AL61" s="77"/>
      <c r="AM61" s="77"/>
      <c r="AN61" s="77"/>
      <c r="AO61" s="77"/>
      <c r="AP61" s="77"/>
      <c r="AQ61" s="77"/>
      <c r="AR61" s="77"/>
      <c r="AS61" s="77"/>
      <c r="AT61" s="77"/>
      <c r="AU61" s="77"/>
      <c r="AV61" s="77"/>
      <c r="AW61" s="77"/>
      <c r="AX61" s="77"/>
      <c r="AY61" s="77"/>
      <c r="AZ61" s="77"/>
      <c r="BA61" s="77"/>
      <c r="BB61" s="77"/>
      <c r="BC61" s="77"/>
      <c r="BD61" s="77"/>
      <c r="BE61" s="77"/>
      <c r="BF61" s="77"/>
      <c r="BG61" s="77"/>
      <c r="BH61" s="77"/>
      <c r="BI61" s="77"/>
      <c r="BJ61" s="77"/>
      <c r="BK61" s="77"/>
      <c r="BL61" s="77"/>
      <c r="BM61" s="77"/>
      <c r="BN61" s="77"/>
      <c r="BO61" s="77"/>
      <c r="BP61" s="77"/>
      <c r="BR61" s="123"/>
      <c r="BS61" s="120"/>
      <c r="BT61" s="120"/>
      <c r="BU61" s="2"/>
      <c r="BV61" s="2"/>
      <c r="BW61" s="2"/>
      <c r="BX61" s="121"/>
    </row>
    <row r="62" spans="1:76" ht="15" customHeight="1">
      <c r="A62" s="13"/>
      <c r="B62" s="88"/>
      <c r="C62" s="78"/>
      <c r="D62" s="89"/>
      <c r="E62" s="90"/>
      <c r="F62" s="66"/>
      <c r="G62" s="91"/>
      <c r="H62" s="92"/>
      <c r="I62" s="92"/>
      <c r="J62" s="68"/>
      <c r="K62" s="69"/>
      <c r="L62" s="70"/>
      <c r="M62" s="70"/>
      <c r="N62" s="71"/>
      <c r="O62" s="2"/>
      <c r="P62" s="2"/>
      <c r="Q62" s="2"/>
      <c r="R62" s="3"/>
      <c r="S62" s="4"/>
      <c r="T62" s="84"/>
      <c r="U62" s="85"/>
      <c r="V62" s="4"/>
      <c r="W62" s="4"/>
      <c r="X62" s="4"/>
      <c r="Y62" s="62"/>
      <c r="Z62" s="22"/>
      <c r="AA62" s="22"/>
      <c r="AB62" s="22"/>
      <c r="AC62" s="22"/>
      <c r="AD62" s="19"/>
      <c r="AE62" s="14"/>
      <c r="AF62" s="72"/>
      <c r="AG62" s="49"/>
      <c r="AH62" s="49"/>
      <c r="AI62" s="50"/>
      <c r="AJ62" s="15"/>
      <c r="AK62" s="77"/>
      <c r="AL62" s="77"/>
      <c r="AM62" s="77"/>
      <c r="AN62" s="77"/>
      <c r="AO62" s="77"/>
      <c r="AP62" s="77"/>
      <c r="AQ62" s="77"/>
      <c r="AR62" s="77"/>
      <c r="AS62" s="77"/>
      <c r="AT62" s="77"/>
      <c r="AU62" s="77"/>
      <c r="AV62" s="77"/>
      <c r="AW62" s="77"/>
      <c r="AX62" s="77"/>
      <c r="AY62" s="77"/>
      <c r="AZ62" s="77"/>
      <c r="BA62" s="77"/>
      <c r="BB62" s="77"/>
      <c r="BC62" s="77"/>
      <c r="BD62" s="77"/>
      <c r="BE62" s="77"/>
      <c r="BF62" s="77"/>
      <c r="BG62" s="77"/>
      <c r="BH62" s="77"/>
      <c r="BI62" s="77"/>
      <c r="BJ62" s="77"/>
      <c r="BK62" s="77"/>
      <c r="BL62" s="77"/>
      <c r="BM62" s="77"/>
      <c r="BN62" s="77"/>
      <c r="BO62" s="77"/>
      <c r="BP62" s="77"/>
      <c r="BR62" s="123"/>
      <c r="BS62" s="120"/>
      <c r="BT62" s="120"/>
      <c r="BU62" s="2"/>
      <c r="BV62" s="2"/>
      <c r="BW62" s="2"/>
      <c r="BX62" s="121"/>
    </row>
    <row r="63" spans="1:76" ht="15" customHeight="1">
      <c r="A63" s="13"/>
      <c r="B63" s="88"/>
      <c r="C63" s="78"/>
      <c r="D63" s="89"/>
      <c r="E63" s="90"/>
      <c r="F63" s="66"/>
      <c r="G63" s="91"/>
      <c r="H63" s="92"/>
      <c r="I63" s="92"/>
      <c r="J63" s="68"/>
      <c r="K63" s="69"/>
      <c r="L63" s="70"/>
      <c r="M63" s="70"/>
      <c r="N63" s="71"/>
      <c r="O63" s="2"/>
      <c r="P63" s="2"/>
      <c r="Q63" s="2"/>
      <c r="R63" s="3"/>
      <c r="S63" s="4"/>
      <c r="T63" s="84"/>
      <c r="U63" s="85"/>
      <c r="V63" s="4"/>
      <c r="W63" s="4"/>
      <c r="X63" s="4"/>
      <c r="Y63" s="62"/>
      <c r="Z63" s="22"/>
      <c r="AA63" s="22"/>
      <c r="AB63" s="22"/>
      <c r="AC63" s="22"/>
      <c r="AD63" s="19"/>
      <c r="AE63" s="14"/>
      <c r="AF63" s="72"/>
      <c r="AG63" s="49"/>
      <c r="AH63" s="49"/>
      <c r="AI63" s="50"/>
      <c r="AJ63" s="15"/>
      <c r="AK63" s="77"/>
      <c r="AL63" s="77"/>
      <c r="AM63" s="77"/>
      <c r="AN63" s="77"/>
      <c r="AO63" s="77"/>
      <c r="AP63" s="77"/>
      <c r="AQ63" s="77"/>
      <c r="AR63" s="77"/>
      <c r="AS63" s="77"/>
      <c r="AT63" s="77"/>
      <c r="AU63" s="77"/>
      <c r="AV63" s="77"/>
      <c r="AW63" s="77"/>
      <c r="AX63" s="77"/>
      <c r="AY63" s="77"/>
      <c r="AZ63" s="77"/>
      <c r="BA63" s="77"/>
      <c r="BB63" s="77"/>
      <c r="BC63" s="77"/>
      <c r="BD63" s="77"/>
      <c r="BE63" s="77"/>
      <c r="BF63" s="77"/>
      <c r="BG63" s="77"/>
      <c r="BH63" s="77"/>
      <c r="BI63" s="77"/>
      <c r="BJ63" s="77"/>
      <c r="BK63" s="77"/>
      <c r="BL63" s="77"/>
      <c r="BM63" s="77"/>
      <c r="BN63" s="77"/>
      <c r="BO63" s="77"/>
      <c r="BP63" s="77"/>
      <c r="BR63" s="123"/>
      <c r="BS63" s="120"/>
      <c r="BT63" s="120"/>
      <c r="BU63" s="2"/>
      <c r="BV63" s="2"/>
      <c r="BW63" s="2"/>
      <c r="BX63" s="121"/>
    </row>
    <row r="64" spans="1:76" ht="15" customHeight="1">
      <c r="A64" s="13"/>
      <c r="B64" s="88"/>
      <c r="C64" s="78"/>
      <c r="D64" s="89"/>
      <c r="E64" s="90"/>
      <c r="F64" s="66"/>
      <c r="G64" s="91"/>
      <c r="H64" s="92"/>
      <c r="I64" s="92"/>
      <c r="J64" s="68"/>
      <c r="K64" s="69"/>
      <c r="L64" s="70"/>
      <c r="M64" s="70"/>
      <c r="N64" s="71"/>
      <c r="O64" s="2"/>
      <c r="P64" s="2"/>
      <c r="Q64" s="2"/>
      <c r="R64" s="3"/>
      <c r="S64" s="4"/>
      <c r="T64" s="84"/>
      <c r="U64" s="85"/>
      <c r="V64" s="4"/>
      <c r="W64" s="4"/>
      <c r="X64" s="4"/>
      <c r="Y64" s="62"/>
      <c r="Z64" s="22"/>
      <c r="AA64" s="22"/>
      <c r="AB64" s="22"/>
      <c r="AC64" s="22"/>
      <c r="AD64" s="19"/>
      <c r="AE64" s="14"/>
      <c r="AF64" s="72"/>
      <c r="AG64" s="49"/>
      <c r="AH64" s="49"/>
      <c r="AI64" s="50"/>
      <c r="AJ64" s="15"/>
      <c r="AK64" s="77"/>
      <c r="AL64" s="77"/>
      <c r="AM64" s="77"/>
      <c r="AN64" s="77"/>
      <c r="AO64" s="77"/>
      <c r="AP64" s="77"/>
      <c r="AQ64" s="77"/>
      <c r="AR64" s="77"/>
      <c r="AS64" s="77"/>
      <c r="AT64" s="77"/>
      <c r="AU64" s="77"/>
      <c r="AV64" s="77"/>
      <c r="AW64" s="77"/>
      <c r="AX64" s="77"/>
      <c r="AY64" s="77"/>
      <c r="AZ64" s="77"/>
      <c r="BA64" s="77"/>
      <c r="BB64" s="77"/>
      <c r="BC64" s="77"/>
      <c r="BD64" s="77"/>
      <c r="BE64" s="77"/>
      <c r="BF64" s="77"/>
      <c r="BG64" s="77"/>
      <c r="BH64" s="77"/>
      <c r="BI64" s="77"/>
      <c r="BJ64" s="77"/>
      <c r="BK64" s="77"/>
      <c r="BL64" s="77"/>
      <c r="BM64" s="77"/>
      <c r="BN64" s="77"/>
      <c r="BO64" s="77"/>
      <c r="BP64" s="77"/>
      <c r="BR64" s="123"/>
      <c r="BS64" s="120"/>
      <c r="BT64" s="120"/>
      <c r="BU64" s="2"/>
      <c r="BV64" s="2"/>
      <c r="BW64" s="2"/>
      <c r="BX64" s="121"/>
    </row>
    <row r="65" spans="1:76" ht="15" customHeight="1">
      <c r="A65" s="13"/>
      <c r="B65" s="88"/>
      <c r="C65" s="78"/>
      <c r="D65" s="89"/>
      <c r="E65" s="90"/>
      <c r="F65" s="66"/>
      <c r="G65" s="91"/>
      <c r="H65" s="92"/>
      <c r="I65" s="92"/>
      <c r="J65" s="68"/>
      <c r="K65" s="69"/>
      <c r="L65" s="70"/>
      <c r="M65" s="70"/>
      <c r="N65" s="71"/>
      <c r="O65" s="2"/>
      <c r="P65" s="2"/>
      <c r="Q65" s="2"/>
      <c r="R65" s="3"/>
      <c r="S65" s="4"/>
      <c r="T65" s="84"/>
      <c r="U65" s="85"/>
      <c r="V65" s="4"/>
      <c r="W65" s="4"/>
      <c r="X65" s="4"/>
      <c r="Y65" s="62"/>
      <c r="Z65" s="22"/>
      <c r="AA65" s="22"/>
      <c r="AB65" s="22"/>
      <c r="AC65" s="22"/>
      <c r="AD65" s="19"/>
      <c r="AE65" s="14"/>
      <c r="AF65" s="72"/>
      <c r="AG65" s="49"/>
      <c r="AH65" s="49"/>
      <c r="AI65" s="50"/>
      <c r="AJ65" s="15"/>
      <c r="AK65" s="77"/>
      <c r="AL65" s="77"/>
      <c r="AM65" s="77"/>
      <c r="AN65" s="77"/>
      <c r="AO65" s="77"/>
      <c r="AP65" s="77"/>
      <c r="AQ65" s="77"/>
      <c r="AR65" s="77"/>
      <c r="AS65" s="77"/>
      <c r="AT65" s="77"/>
      <c r="AU65" s="77"/>
      <c r="AV65" s="77"/>
      <c r="AW65" s="77"/>
      <c r="AX65" s="77"/>
      <c r="AY65" s="77"/>
      <c r="AZ65" s="77"/>
      <c r="BA65" s="77"/>
      <c r="BB65" s="77"/>
      <c r="BC65" s="77"/>
      <c r="BD65" s="77"/>
      <c r="BE65" s="77"/>
      <c r="BF65" s="77"/>
      <c r="BG65" s="77"/>
      <c r="BH65" s="77"/>
      <c r="BI65" s="77"/>
      <c r="BJ65" s="77"/>
      <c r="BK65" s="77"/>
      <c r="BL65" s="77"/>
      <c r="BM65" s="77"/>
      <c r="BN65" s="77"/>
      <c r="BO65" s="77"/>
      <c r="BP65" s="77"/>
      <c r="BR65" s="123"/>
      <c r="BS65" s="120"/>
      <c r="BT65" s="120"/>
      <c r="BU65" s="2"/>
      <c r="BV65" s="2"/>
      <c r="BW65" s="2"/>
      <c r="BX65" s="121"/>
    </row>
    <row r="66" spans="1:76" ht="15" customHeight="1">
      <c r="A66" s="13"/>
      <c r="B66" s="88"/>
      <c r="C66" s="78"/>
      <c r="D66" s="89"/>
      <c r="E66" s="90"/>
      <c r="F66" s="66"/>
      <c r="G66" s="91"/>
      <c r="H66" s="92"/>
      <c r="I66" s="92"/>
      <c r="J66" s="68"/>
      <c r="K66" s="69"/>
      <c r="L66" s="70"/>
      <c r="M66" s="70"/>
      <c r="N66" s="71"/>
      <c r="O66" s="2"/>
      <c r="P66" s="2"/>
      <c r="Q66" s="2"/>
      <c r="R66" s="3"/>
      <c r="S66" s="4"/>
      <c r="T66" s="84"/>
      <c r="U66" s="85"/>
      <c r="V66" s="4"/>
      <c r="W66" s="4"/>
      <c r="X66" s="4"/>
      <c r="Y66" s="62"/>
      <c r="Z66" s="22"/>
      <c r="AA66" s="22"/>
      <c r="AB66" s="22"/>
      <c r="AC66" s="22"/>
      <c r="AD66" s="19"/>
      <c r="AE66" s="14"/>
      <c r="AF66" s="72"/>
      <c r="AG66" s="49"/>
      <c r="AH66" s="49"/>
      <c r="AI66" s="50"/>
      <c r="AJ66" s="15"/>
      <c r="AK66" s="77"/>
      <c r="AL66" s="77"/>
      <c r="AM66" s="77"/>
      <c r="AN66" s="77"/>
      <c r="AO66" s="77"/>
      <c r="AP66" s="77"/>
      <c r="AQ66" s="77"/>
      <c r="AR66" s="77"/>
      <c r="AS66" s="77"/>
      <c r="AT66" s="77"/>
      <c r="AU66" s="77"/>
      <c r="AV66" s="77"/>
      <c r="AW66" s="77"/>
      <c r="AX66" s="77"/>
      <c r="AY66" s="77"/>
      <c r="AZ66" s="77"/>
      <c r="BA66" s="77"/>
      <c r="BB66" s="77"/>
      <c r="BC66" s="77"/>
      <c r="BD66" s="77"/>
      <c r="BE66" s="77"/>
      <c r="BF66" s="77"/>
      <c r="BG66" s="77"/>
      <c r="BH66" s="77"/>
      <c r="BI66" s="77"/>
      <c r="BJ66" s="77"/>
      <c r="BK66" s="77"/>
      <c r="BL66" s="77"/>
      <c r="BM66" s="77"/>
      <c r="BN66" s="77"/>
      <c r="BO66" s="77"/>
      <c r="BP66" s="77"/>
      <c r="BR66" s="123"/>
      <c r="BS66" s="120"/>
      <c r="BT66" s="120"/>
      <c r="BU66" s="2"/>
      <c r="BV66" s="2"/>
      <c r="BW66" s="2"/>
      <c r="BX66" s="121"/>
    </row>
    <row r="67" spans="1:76" ht="15" customHeight="1">
      <c r="A67" s="13"/>
      <c r="B67" s="88"/>
      <c r="C67" s="78"/>
      <c r="D67" s="89"/>
      <c r="E67" s="90"/>
      <c r="F67" s="66"/>
      <c r="G67" s="91"/>
      <c r="H67" s="92"/>
      <c r="I67" s="92"/>
      <c r="J67" s="68"/>
      <c r="K67" s="69"/>
      <c r="L67" s="70"/>
      <c r="M67" s="70"/>
      <c r="N67" s="71"/>
      <c r="O67" s="2"/>
      <c r="P67" s="2"/>
      <c r="Q67" s="2"/>
      <c r="R67" s="3"/>
      <c r="S67" s="4"/>
      <c r="T67" s="84"/>
      <c r="U67" s="85"/>
      <c r="V67" s="4"/>
      <c r="W67" s="4"/>
      <c r="X67" s="4"/>
      <c r="Y67" s="62"/>
      <c r="Z67" s="22"/>
      <c r="AA67" s="22"/>
      <c r="AB67" s="22"/>
      <c r="AC67" s="22"/>
      <c r="AD67" s="19"/>
      <c r="AE67" s="14"/>
      <c r="AF67" s="72"/>
      <c r="AG67" s="49"/>
      <c r="AH67" s="49"/>
      <c r="AI67" s="50"/>
      <c r="AJ67" s="15"/>
      <c r="AK67" s="77"/>
      <c r="AL67" s="77"/>
      <c r="AM67" s="77"/>
      <c r="AN67" s="77"/>
      <c r="AO67" s="77"/>
      <c r="AP67" s="77"/>
      <c r="AQ67" s="77"/>
      <c r="AR67" s="77"/>
      <c r="AS67" s="77"/>
      <c r="AT67" s="77"/>
      <c r="AU67" s="77"/>
      <c r="AV67" s="77"/>
      <c r="AW67" s="77"/>
      <c r="AX67" s="77"/>
      <c r="AY67" s="77"/>
      <c r="AZ67" s="77"/>
      <c r="BA67" s="77"/>
      <c r="BB67" s="77"/>
      <c r="BC67" s="77"/>
      <c r="BD67" s="77"/>
      <c r="BE67" s="77"/>
      <c r="BF67" s="77"/>
      <c r="BG67" s="77"/>
      <c r="BH67" s="77"/>
      <c r="BI67" s="77"/>
      <c r="BJ67" s="77"/>
      <c r="BK67" s="77"/>
      <c r="BL67" s="77"/>
      <c r="BM67" s="77"/>
      <c r="BN67" s="77"/>
      <c r="BO67" s="77"/>
      <c r="BP67" s="77"/>
      <c r="BR67" s="123"/>
      <c r="BS67" s="120"/>
      <c r="BT67" s="120"/>
      <c r="BU67" s="2"/>
      <c r="BV67" s="2"/>
      <c r="BW67" s="2"/>
      <c r="BX67" s="121"/>
    </row>
    <row r="68" spans="1:76" ht="15" customHeight="1">
      <c r="A68" s="13"/>
      <c r="B68" s="88"/>
      <c r="C68" s="78"/>
      <c r="D68" s="89"/>
      <c r="E68" s="90"/>
      <c r="F68" s="66"/>
      <c r="G68" s="91"/>
      <c r="H68" s="92"/>
      <c r="I68" s="92"/>
      <c r="J68" s="68"/>
      <c r="K68" s="69"/>
      <c r="L68" s="70"/>
      <c r="M68" s="70"/>
      <c r="N68" s="71"/>
      <c r="O68" s="2"/>
      <c r="P68" s="2"/>
      <c r="Q68" s="2"/>
      <c r="R68" s="3"/>
      <c r="S68" s="4"/>
      <c r="T68" s="84"/>
      <c r="U68" s="85"/>
      <c r="V68" s="4"/>
      <c r="W68" s="4"/>
      <c r="X68" s="4"/>
      <c r="Y68" s="62"/>
      <c r="Z68" s="22"/>
      <c r="AA68" s="22"/>
      <c r="AB68" s="22"/>
      <c r="AC68" s="22"/>
      <c r="AD68" s="19"/>
      <c r="AE68" s="14"/>
      <c r="AF68" s="72"/>
      <c r="AG68" s="49"/>
      <c r="AH68" s="49"/>
      <c r="AI68" s="50"/>
      <c r="AJ68" s="15"/>
      <c r="AK68" s="77"/>
      <c r="AL68" s="77"/>
      <c r="AM68" s="77"/>
      <c r="AN68" s="77"/>
      <c r="AO68" s="77"/>
      <c r="AP68" s="77"/>
      <c r="AQ68" s="77"/>
      <c r="AR68" s="77"/>
      <c r="AS68" s="77"/>
      <c r="AT68" s="77"/>
      <c r="AU68" s="77"/>
      <c r="AV68" s="77"/>
      <c r="AW68" s="77"/>
      <c r="AX68" s="77"/>
      <c r="AY68" s="77"/>
      <c r="AZ68" s="77"/>
      <c r="BA68" s="77"/>
      <c r="BB68" s="77"/>
      <c r="BC68" s="77"/>
      <c r="BD68" s="77"/>
      <c r="BE68" s="77"/>
      <c r="BF68" s="77"/>
      <c r="BG68" s="77"/>
      <c r="BH68" s="77"/>
      <c r="BI68" s="77"/>
      <c r="BJ68" s="77"/>
      <c r="BK68" s="77"/>
      <c r="BL68" s="77"/>
      <c r="BM68" s="77"/>
      <c r="BN68" s="77"/>
      <c r="BO68" s="77"/>
      <c r="BP68" s="77"/>
      <c r="BR68" s="123"/>
      <c r="BS68" s="120"/>
      <c r="BT68" s="120"/>
      <c r="BU68" s="2"/>
      <c r="BV68" s="2"/>
      <c r="BW68" s="2"/>
      <c r="BX68" s="121"/>
    </row>
    <row r="69" spans="1:76" ht="15" customHeight="1">
      <c r="A69" s="13"/>
      <c r="B69" s="88"/>
      <c r="C69" s="78"/>
      <c r="D69" s="89"/>
      <c r="E69" s="90"/>
      <c r="F69" s="66"/>
      <c r="G69" s="91"/>
      <c r="H69" s="92"/>
      <c r="I69" s="92"/>
      <c r="J69" s="68"/>
      <c r="K69" s="69"/>
      <c r="L69" s="70"/>
      <c r="M69" s="70"/>
      <c r="N69" s="71"/>
      <c r="O69" s="2"/>
      <c r="P69" s="2"/>
      <c r="Q69" s="2"/>
      <c r="R69" s="3"/>
      <c r="S69" s="4"/>
      <c r="T69" s="84"/>
      <c r="U69" s="85"/>
      <c r="V69" s="4"/>
      <c r="W69" s="4"/>
      <c r="X69" s="4"/>
      <c r="Y69" s="62"/>
      <c r="Z69" s="22"/>
      <c r="AA69" s="22"/>
      <c r="AB69" s="22"/>
      <c r="AC69" s="22"/>
      <c r="AD69" s="19"/>
      <c r="AE69" s="14"/>
      <c r="AF69" s="72"/>
      <c r="AG69" s="49"/>
      <c r="AH69" s="49"/>
      <c r="AI69" s="50"/>
      <c r="AJ69" s="15"/>
      <c r="AK69" s="77"/>
      <c r="AL69" s="77"/>
      <c r="AM69" s="77"/>
      <c r="AN69" s="77"/>
      <c r="AO69" s="77"/>
      <c r="AP69" s="77"/>
      <c r="AQ69" s="77"/>
      <c r="AR69" s="77"/>
      <c r="AS69" s="77"/>
      <c r="AT69" s="77"/>
      <c r="AU69" s="77"/>
      <c r="AV69" s="77"/>
      <c r="AW69" s="77"/>
      <c r="AX69" s="77"/>
      <c r="AY69" s="77"/>
      <c r="AZ69" s="77"/>
      <c r="BA69" s="77"/>
      <c r="BB69" s="77"/>
      <c r="BC69" s="77"/>
      <c r="BD69" s="77"/>
      <c r="BE69" s="77"/>
      <c r="BF69" s="77"/>
      <c r="BG69" s="77"/>
      <c r="BH69" s="77"/>
      <c r="BI69" s="77"/>
      <c r="BJ69" s="77"/>
      <c r="BK69" s="77"/>
      <c r="BL69" s="77"/>
      <c r="BM69" s="77"/>
      <c r="BN69" s="77"/>
      <c r="BO69" s="77"/>
      <c r="BP69" s="77"/>
      <c r="BR69" s="123"/>
      <c r="BS69" s="120"/>
      <c r="BT69" s="120"/>
      <c r="BU69" s="2"/>
      <c r="BV69" s="2"/>
      <c r="BW69" s="2"/>
      <c r="BX69" s="121"/>
    </row>
    <row r="70" spans="1:76" ht="15" customHeight="1">
      <c r="A70" s="13"/>
      <c r="B70" s="88"/>
      <c r="C70" s="78"/>
      <c r="D70" s="89"/>
      <c r="E70" s="90"/>
      <c r="F70" s="66"/>
      <c r="G70" s="91"/>
      <c r="H70" s="92"/>
      <c r="I70" s="92"/>
      <c r="J70" s="68"/>
      <c r="K70" s="69"/>
      <c r="L70" s="70"/>
      <c r="M70" s="70"/>
      <c r="N70" s="71"/>
      <c r="O70" s="2"/>
      <c r="P70" s="2"/>
      <c r="Q70" s="2"/>
      <c r="R70" s="3"/>
      <c r="S70" s="4"/>
      <c r="T70" s="84"/>
      <c r="U70" s="85"/>
      <c r="V70" s="4"/>
      <c r="W70" s="4"/>
      <c r="X70" s="4"/>
      <c r="Y70" s="62"/>
      <c r="Z70" s="22"/>
      <c r="AA70" s="22"/>
      <c r="AB70" s="22"/>
      <c r="AC70" s="22"/>
      <c r="AD70" s="19"/>
      <c r="AE70" s="14"/>
      <c r="AF70" s="72"/>
      <c r="AG70" s="49"/>
      <c r="AH70" s="49"/>
      <c r="AI70" s="50"/>
      <c r="AJ70" s="15"/>
      <c r="AK70" s="77"/>
      <c r="AL70" s="77"/>
      <c r="AM70" s="77"/>
      <c r="AN70" s="77"/>
      <c r="AO70" s="77"/>
      <c r="AP70" s="77"/>
      <c r="AQ70" s="77"/>
      <c r="AR70" s="77"/>
      <c r="AS70" s="77"/>
      <c r="AT70" s="77"/>
      <c r="AU70" s="77"/>
      <c r="AV70" s="77"/>
      <c r="AW70" s="77"/>
      <c r="AX70" s="77"/>
      <c r="AY70" s="77"/>
      <c r="AZ70" s="77"/>
      <c r="BA70" s="77"/>
      <c r="BB70" s="77"/>
      <c r="BC70" s="77"/>
      <c r="BD70" s="77"/>
      <c r="BE70" s="77"/>
      <c r="BF70" s="77"/>
      <c r="BG70" s="77"/>
      <c r="BH70" s="77"/>
      <c r="BI70" s="77"/>
      <c r="BJ70" s="77"/>
      <c r="BK70" s="77"/>
      <c r="BL70" s="77"/>
      <c r="BM70" s="77"/>
      <c r="BN70" s="77"/>
      <c r="BO70" s="77"/>
      <c r="BP70" s="77"/>
      <c r="BR70" s="123"/>
      <c r="BS70" s="120"/>
      <c r="BT70" s="120"/>
      <c r="BU70" s="2"/>
      <c r="BV70" s="2"/>
      <c r="BW70" s="2"/>
      <c r="BX70" s="121"/>
    </row>
    <row r="71" spans="1:76" ht="15" customHeight="1">
      <c r="A71" s="13"/>
      <c r="B71" s="88"/>
      <c r="C71" s="78"/>
      <c r="D71" s="89"/>
      <c r="E71" s="90"/>
      <c r="F71" s="66"/>
      <c r="G71" s="91"/>
      <c r="H71" s="92"/>
      <c r="I71" s="92"/>
      <c r="J71" s="68"/>
      <c r="K71" s="69"/>
      <c r="L71" s="70"/>
      <c r="M71" s="70"/>
      <c r="N71" s="71"/>
      <c r="O71" s="2"/>
      <c r="P71" s="2"/>
      <c r="Q71" s="2"/>
      <c r="R71" s="3"/>
      <c r="S71" s="4"/>
      <c r="T71" s="84"/>
      <c r="U71" s="85"/>
      <c r="V71" s="4"/>
      <c r="W71" s="4"/>
      <c r="X71" s="4"/>
      <c r="Y71" s="62"/>
      <c r="Z71" s="22"/>
      <c r="AA71" s="22"/>
      <c r="AB71" s="22"/>
      <c r="AC71" s="22"/>
      <c r="AD71" s="19"/>
      <c r="AE71" s="14"/>
      <c r="AF71" s="72"/>
      <c r="AG71" s="49"/>
      <c r="AH71" s="49"/>
      <c r="AI71" s="50"/>
      <c r="AJ71" s="15"/>
      <c r="AK71" s="77"/>
      <c r="AL71" s="77"/>
      <c r="AM71" s="77"/>
      <c r="AN71" s="77"/>
      <c r="AO71" s="77"/>
      <c r="AP71" s="77"/>
      <c r="AQ71" s="77"/>
      <c r="AR71" s="77"/>
      <c r="AS71" s="77"/>
      <c r="AT71" s="77"/>
      <c r="AU71" s="77"/>
      <c r="AV71" s="77"/>
      <c r="AW71" s="77"/>
      <c r="AX71" s="77"/>
      <c r="AY71" s="77"/>
      <c r="AZ71" s="77"/>
      <c r="BA71" s="77"/>
      <c r="BB71" s="77"/>
      <c r="BC71" s="77"/>
      <c r="BD71" s="77"/>
      <c r="BE71" s="77"/>
      <c r="BF71" s="77"/>
      <c r="BG71" s="77"/>
      <c r="BH71" s="77"/>
      <c r="BI71" s="77"/>
      <c r="BJ71" s="77"/>
      <c r="BK71" s="77"/>
      <c r="BL71" s="77"/>
      <c r="BM71" s="77"/>
      <c r="BN71" s="77"/>
      <c r="BO71" s="77"/>
      <c r="BP71" s="77"/>
      <c r="BR71" s="123"/>
      <c r="BS71" s="120"/>
      <c r="BT71" s="120"/>
      <c r="BU71" s="2"/>
      <c r="BV71" s="2"/>
      <c r="BW71" s="2"/>
      <c r="BX71" s="121"/>
    </row>
    <row r="72" spans="1:76" ht="15" customHeight="1">
      <c r="A72" s="13"/>
      <c r="B72" s="88"/>
      <c r="C72" s="78"/>
      <c r="D72" s="89"/>
      <c r="E72" s="90"/>
      <c r="F72" s="66"/>
      <c r="G72" s="91"/>
      <c r="H72" s="92"/>
      <c r="I72" s="92"/>
      <c r="J72" s="68"/>
      <c r="K72" s="69"/>
      <c r="L72" s="70"/>
      <c r="M72" s="70"/>
      <c r="N72" s="71"/>
      <c r="O72" s="2"/>
      <c r="P72" s="2"/>
      <c r="Q72" s="2"/>
      <c r="R72" s="3"/>
      <c r="S72" s="4"/>
      <c r="T72" s="84"/>
      <c r="U72" s="85"/>
      <c r="V72" s="4"/>
      <c r="W72" s="4"/>
      <c r="X72" s="4"/>
      <c r="Y72" s="62"/>
      <c r="Z72" s="22"/>
      <c r="AA72" s="22"/>
      <c r="AB72" s="22"/>
      <c r="AC72" s="22"/>
      <c r="AD72" s="19"/>
      <c r="AE72" s="14"/>
      <c r="AF72" s="72"/>
      <c r="AG72" s="49"/>
      <c r="AH72" s="49"/>
      <c r="AI72" s="50"/>
      <c r="AJ72" s="15"/>
      <c r="AK72" s="77"/>
      <c r="AL72" s="77"/>
      <c r="AM72" s="77"/>
      <c r="AN72" s="77"/>
      <c r="AO72" s="77"/>
      <c r="AP72" s="77"/>
      <c r="AQ72" s="77"/>
      <c r="AR72" s="77"/>
      <c r="AS72" s="77"/>
      <c r="AT72" s="77"/>
      <c r="AU72" s="77"/>
      <c r="AV72" s="77"/>
      <c r="AW72" s="77"/>
      <c r="AX72" s="77"/>
      <c r="AY72" s="77"/>
      <c r="AZ72" s="77"/>
      <c r="BA72" s="77"/>
      <c r="BB72" s="77"/>
      <c r="BC72" s="77"/>
      <c r="BD72" s="77"/>
      <c r="BE72" s="77"/>
      <c r="BF72" s="77"/>
      <c r="BG72" s="77"/>
      <c r="BH72" s="77"/>
      <c r="BI72" s="77"/>
      <c r="BJ72" s="77"/>
      <c r="BK72" s="77"/>
      <c r="BL72" s="77"/>
      <c r="BM72" s="77"/>
      <c r="BN72" s="77"/>
      <c r="BO72" s="77"/>
      <c r="BP72" s="77"/>
      <c r="BR72" s="123"/>
      <c r="BS72" s="120"/>
      <c r="BT72" s="120"/>
      <c r="BU72" s="2"/>
      <c r="BV72" s="2"/>
      <c r="BW72" s="2"/>
      <c r="BX72" s="121"/>
    </row>
    <row r="73" spans="1:76" ht="15" customHeight="1">
      <c r="A73" s="13"/>
      <c r="B73" s="88"/>
      <c r="C73" s="94" t="s">
        <v>121</v>
      </c>
      <c r="D73" s="89" t="s">
        <v>117</v>
      </c>
      <c r="E73" s="90"/>
      <c r="F73" s="66" t="s">
        <v>44</v>
      </c>
      <c r="G73" s="67">
        <v>12.481999999999999</v>
      </c>
      <c r="H73" s="92" t="str">
        <f>IF(OOC!S73=0,"",OOC!S73)</f>
        <v/>
      </c>
      <c r="I73" s="92" t="str">
        <f>IF(OOC!T73=0,"",OOC!T73)</f>
        <v/>
      </c>
      <c r="J73" s="68" t="s">
        <v>12</v>
      </c>
      <c r="K73" s="69" t="s">
        <v>80</v>
      </c>
      <c r="L73" s="70" t="e">
        <f>IF(AND(G73="",H73=""),"",IF(G73="",H73,G73+H73))</f>
        <v>#VALUE!</v>
      </c>
      <c r="M73" s="70" t="e">
        <f>IF(AND(G73="",I73=""),"",IF(G73="",I73,G73+I73))</f>
        <v>#VALUE!</v>
      </c>
      <c r="N73" s="71"/>
      <c r="O73" s="2" t="e">
        <f>IF(OR($AK73="",ISNUMBER($AK73)=FALSE),"",MAX(AK73:BP73))</f>
        <v>#REF!</v>
      </c>
      <c r="P73" s="2" t="e">
        <f>IF(OR($AK73="",ISNUMBER($AK73)=FALSE),"",MIN(AK73:BP73))</f>
        <v>#REF!</v>
      </c>
      <c r="Q73" s="2" t="e">
        <f>IF(OR($AK73="",ISNUMBER($AK73)=FALSE),"",AVERAGE(AK73:BP73))</f>
        <v>#REF!</v>
      </c>
      <c r="R73" s="3" t="e">
        <f>IF(OR($AK73="",ISNUMBER($AK73)=FALSE),"",STDEV(AK73:BP73))</f>
        <v>#REF!</v>
      </c>
      <c r="S73" s="4" t="e">
        <f t="shared" si="10"/>
        <v>#REF!</v>
      </c>
      <c r="T73" s="84" t="e">
        <f>IF(OR($AK73="",ISNUMBER($AK73)=FALSE),"",IF(AND($F73="Tolerance",$G73&lt;&gt;""),($Q73-$G73)/(($L73-$M73)/2),IF(AND($F73="GD&amp;T",$H73&lt;&gt;""),$Q73/$H73,"")))</f>
        <v>#REF!</v>
      </c>
      <c r="U73" s="85" t="e">
        <f>IF($T73="","",IF(ABS($T73)&lt;=0.125, "Level A",IF(AND(ABS($T73)&gt;0.125,ABS($T73)&lt;=0.25), "Level B",IF(AND(ABS($T73)&gt;0.25,ABS($T73)&lt;=0.5), "Level C", IF(ABS($T73)&gt;0.5, "Level D")))))</f>
        <v>#REF!</v>
      </c>
      <c r="V73" s="4" t="e">
        <f>IF(OR($AK73="",ISNUMBER($AK73)=FALSE),"",IF(H73="","",(L73-Q73)/(3*R73)))</f>
        <v>#REF!</v>
      </c>
      <c r="W73" s="4" t="e">
        <f>IF(OR($AK73="",ISNUMBER($AK73)=FALSE),"",IF(I73="","",(Q73-M73)/(3*R73)))</f>
        <v>#REF!</v>
      </c>
      <c r="X73" s="4" t="e">
        <f>IF(OR($AK73="",ISNUMBER($AK73)=FALSE),"",IF(AND(G73=0,I73=0),((H73)-(Q73))/(3*R73),MIN(V73:W73)))</f>
        <v>#REF!</v>
      </c>
      <c r="Y73" s="62" t="e">
        <f>IF(OR($AK73="",ISNUMBER($AK73)=FALSE),"",IF(AND(G73=0,I73=0),NORMSDIST(3*X73),NORMSDIST(3*X73)+NORMSDIST(6*S73-3*X73)-1))</f>
        <v>#REF!</v>
      </c>
      <c r="Z73" s="22"/>
      <c r="AA73" s="22"/>
      <c r="AB73" s="22"/>
      <c r="AC73" s="22"/>
      <c r="AD73" s="19"/>
      <c r="AE73" s="14"/>
      <c r="AF73" s="72"/>
      <c r="AG73" s="49"/>
      <c r="AH73" s="49"/>
      <c r="AI73" s="50"/>
      <c r="AJ73" s="15"/>
      <c r="AK73" s="79" t="e">
        <f>#REF!</f>
        <v>#REF!</v>
      </c>
      <c r="AL73" s="79" t="e">
        <f>#REF!</f>
        <v>#REF!</v>
      </c>
      <c r="AM73" s="79" t="e">
        <f>#REF!</f>
        <v>#REF!</v>
      </c>
      <c r="AN73" s="77"/>
      <c r="AO73" s="77"/>
      <c r="AP73" s="77"/>
      <c r="AQ73" s="77"/>
      <c r="AR73" s="77"/>
      <c r="AS73" s="77"/>
      <c r="AT73" s="77"/>
      <c r="AU73" s="77"/>
      <c r="AV73" s="77"/>
      <c r="AW73" s="77"/>
      <c r="AX73" s="77"/>
      <c r="AY73" s="77"/>
      <c r="AZ73" s="77"/>
      <c r="BA73" s="77"/>
      <c r="BB73" s="77"/>
      <c r="BC73" s="77"/>
      <c r="BD73" s="77"/>
      <c r="BE73" s="77"/>
      <c r="BF73" s="77"/>
      <c r="BG73" s="77"/>
      <c r="BH73" s="77"/>
      <c r="BI73" s="77"/>
      <c r="BJ73" s="77"/>
      <c r="BK73" s="77"/>
      <c r="BL73" s="77"/>
      <c r="BM73" s="77"/>
      <c r="BN73" s="77"/>
      <c r="BO73" s="77"/>
      <c r="BP73" s="77"/>
      <c r="BR73" s="123" t="str">
        <f t="shared" si="11"/>
        <v>FAI30</v>
      </c>
      <c r="BS73" s="120">
        <f>OOC!G73</f>
        <v>12.511999999999999</v>
      </c>
      <c r="BT73" s="120">
        <f>OOC!H73</f>
        <v>12.452</v>
      </c>
      <c r="BU73" s="2" t="e">
        <f t="shared" si="12"/>
        <v>#REF!</v>
      </c>
      <c r="BV73" s="2" t="e">
        <f t="shared" si="13"/>
        <v>#REF!</v>
      </c>
      <c r="BW73" s="2" t="e">
        <f t="shared" si="14"/>
        <v>#REF!</v>
      </c>
      <c r="BX73" s="121" t="e">
        <f>IF(AND(IF(OOC!G73="",0,OOC!G73) &gt;= IF(O73="",0,O73), IF(O73="",0,O73) &gt; IF(L73="",0,L73)), "OOC",
IF(AND(IF(M73="",0,M73) &gt; IF(P73="",0,P73), IF(P73="",0,P73) &gt;= IF(OOC!H73="",0,OOC!H73)), "OOC",
IF(IF(O73="",0,O73) &gt; IF(OOC!G73="",0,OOC!G73), "OOS",
IF(IF(OOC!H73="",0,OOC!H73) &gt; IF(P73="",0,P73), "OOS", "OK"))))</f>
        <v>#REF!</v>
      </c>
    </row>
    <row r="74" spans="1:76" ht="15" customHeight="1">
      <c r="A74" s="13">
        <v>4</v>
      </c>
      <c r="B74" s="88"/>
      <c r="C74" s="94" t="s">
        <v>122</v>
      </c>
      <c r="D74" s="89" t="s">
        <v>117</v>
      </c>
      <c r="E74" s="90"/>
      <c r="F74" s="66" t="s">
        <v>44</v>
      </c>
      <c r="G74" s="67">
        <v>11.089</v>
      </c>
      <c r="H74" s="92" t="str">
        <f>IF(OOC!S74=0,"",OOC!S74)</f>
        <v/>
      </c>
      <c r="I74" s="92" t="str">
        <f>IF(OOC!T74=0,"",OOC!T74)</f>
        <v/>
      </c>
      <c r="J74" s="68" t="s">
        <v>12</v>
      </c>
      <c r="K74" s="69" t="s">
        <v>80</v>
      </c>
      <c r="L74" s="70" t="e">
        <f>IF(AND(G74="",H74=""),"",IF(G74="",H74,G74+H74))</f>
        <v>#VALUE!</v>
      </c>
      <c r="M74" s="70" t="e">
        <f>IF(AND(G74="",I74=""),"",IF(G74="",I74,G74+I74))</f>
        <v>#VALUE!</v>
      </c>
      <c r="N74" s="71"/>
      <c r="O74" s="2" t="e">
        <f>IF(OR($AK74="",ISNUMBER($AK74)=FALSE),"",MAX(AK74:BP74))</f>
        <v>#REF!</v>
      </c>
      <c r="P74" s="2" t="e">
        <f>IF(OR($AK74="",ISNUMBER($AK74)=FALSE),"",MIN(AK74:BP74))</f>
        <v>#REF!</v>
      </c>
      <c r="Q74" s="2" t="e">
        <f>IF(OR($AK74="",ISNUMBER($AK74)=FALSE),"",AVERAGE(AK74:BP74))</f>
        <v>#REF!</v>
      </c>
      <c r="R74" s="3" t="e">
        <f>IF(OR($AK74="",ISNUMBER($AK74)=FALSE),"",STDEV(AK74:BP74))</f>
        <v>#REF!</v>
      </c>
      <c r="S74" s="4" t="e">
        <f t="shared" si="10"/>
        <v>#REF!</v>
      </c>
      <c r="T74" s="84" t="e">
        <f>IF(OR($AK74="",ISNUMBER($AK74)=FALSE),"",IF(AND($F74="Tolerance",$G74&lt;&gt;""),($Q74-$G74)/(($L74-$M74)/2),IF(AND($F74="GD&amp;T",$H74&lt;&gt;""),$Q74/$H74,"")))</f>
        <v>#REF!</v>
      </c>
      <c r="U74" s="85" t="e">
        <f>IF($T74="","",IF(ABS($T74)&lt;=0.125, "Level A",IF(AND(ABS($T74)&gt;0.125,ABS($T74)&lt;=0.25), "Level B",IF(AND(ABS($T74)&gt;0.25,ABS($T74)&lt;=0.5), "Level C", IF(ABS($T74)&gt;0.5, "Level D")))))</f>
        <v>#REF!</v>
      </c>
      <c r="V74" s="4" t="e">
        <f>IF(OR($AK74="",ISNUMBER($AK74)=FALSE),"",IF(H74="","",(L74-Q74)/(3*R74)))</f>
        <v>#REF!</v>
      </c>
      <c r="W74" s="4" t="e">
        <f>IF(OR($AK74="",ISNUMBER($AK74)=FALSE),"",IF(I74="","",(Q74-M74)/(3*R74)))</f>
        <v>#REF!</v>
      </c>
      <c r="X74" s="4" t="e">
        <f>IF(OR($AK74="",ISNUMBER($AK74)=FALSE),"",IF(AND(G74=0,I74=0),((H74)-(Q74))/(3*R74),MIN(V74:W74)))</f>
        <v>#REF!</v>
      </c>
      <c r="Y74" s="62" t="e">
        <f>IF(OR($AK74="",ISNUMBER($AK74)=FALSE),"",IF(AND(G74=0,I74=0),NORMSDIST(3*X74),NORMSDIST(3*X74)+NORMSDIST(6*S74-3*X74)-1))</f>
        <v>#REF!</v>
      </c>
      <c r="Z74" s="22" t="e">
        <f>IF($Q74="","",IF(F74="Tolerance",IF(($E74*3*R74+Q74)-G74&lt;H74,"",($E74*3*R74+Q74)-G74),IF(OR(F74="GD&amp;T",F74="MAX"),IF(($E74*3*R74+Q74)&lt;H74,"",($E74*3*R74+Q74)),"")))</f>
        <v>#REF!</v>
      </c>
      <c r="AA74" s="22" t="e">
        <f>IF(Q74="","",IF(F74="Tolerance",IF(-(($E74*3*R74)-Q74)-G74&gt;I74,"",-(($E74*3*R74)-Q74)-G74),IF(F74="MIN",IF(-(($E74*3*R74)-Q74)&gt;I74,"",-(($E74*3*R74)-Q74)),"")))</f>
        <v>#REF!</v>
      </c>
      <c r="AB74" s="22" t="e">
        <f>IF(OR(G74="",Q74=""),"",(L74+M74)/2-Q74)</f>
        <v>#REF!</v>
      </c>
      <c r="AC74" s="22" t="e">
        <f>IF(OR($S74&gt;$AC$9,$R74=""),"",$AC$9*6*$R74)</f>
        <v>#REF!</v>
      </c>
      <c r="AD74" s="19"/>
      <c r="AE74" s="14"/>
      <c r="AF74" s="72"/>
      <c r="AG74" s="49"/>
      <c r="AH74" s="49"/>
      <c r="AI74" s="50"/>
      <c r="AJ74" s="15"/>
      <c r="AK74" s="79" t="e">
        <f>#REF!</f>
        <v>#REF!</v>
      </c>
      <c r="AL74" s="79" t="e">
        <f>#REF!</f>
        <v>#REF!</v>
      </c>
      <c r="AM74" s="79" t="e">
        <f>#REF!</f>
        <v>#REF!</v>
      </c>
      <c r="AN74" s="77"/>
      <c r="AO74" s="77"/>
      <c r="AP74" s="77"/>
      <c r="AQ74" s="77"/>
      <c r="AR74" s="77"/>
      <c r="AS74" s="77"/>
      <c r="AT74" s="77"/>
      <c r="AU74" s="77"/>
      <c r="AV74" s="77"/>
      <c r="AW74" s="77"/>
      <c r="AX74" s="77"/>
      <c r="AY74" s="77"/>
      <c r="AZ74" s="77"/>
      <c r="BA74" s="77"/>
      <c r="BB74" s="77"/>
      <c r="BC74" s="77"/>
      <c r="BD74" s="77"/>
      <c r="BE74" s="77"/>
      <c r="BF74" s="77"/>
      <c r="BG74" s="77"/>
      <c r="BH74" s="77"/>
      <c r="BI74" s="77"/>
      <c r="BJ74" s="77"/>
      <c r="BK74" s="77"/>
      <c r="BL74" s="77"/>
      <c r="BM74" s="77"/>
      <c r="BN74" s="77"/>
      <c r="BO74" s="77"/>
      <c r="BP74" s="77"/>
      <c r="BR74" s="123" t="str">
        <f t="shared" si="11"/>
        <v>FAI31</v>
      </c>
      <c r="BS74" s="120">
        <f>OOC!G74</f>
        <v>11.119</v>
      </c>
      <c r="BT74" s="120">
        <f>OOC!H74</f>
        <v>11.059000000000001</v>
      </c>
      <c r="BU74" s="2" t="e">
        <f t="shared" si="12"/>
        <v>#REF!</v>
      </c>
      <c r="BV74" s="2" t="e">
        <f t="shared" si="13"/>
        <v>#REF!</v>
      </c>
      <c r="BW74" s="2" t="e">
        <f t="shared" si="14"/>
        <v>#REF!</v>
      </c>
      <c r="BX74" s="121" t="e">
        <f>IF(AND(IF(OOC!G74="",0,OOC!G74) &gt;= IF(O74="",0,O74), IF(O74="",0,O74) &gt; IF(L74="",0,L74)), "OOC",
IF(AND(IF(M74="",0,M74) &gt; IF(P74="",0,P74), IF(P74="",0,P74) &gt;= IF(OOC!H74="",0,OOC!H74)), "OOC",
IF(IF(O74="",0,O74) &gt; IF(OOC!G74="",0,OOC!G74), "OOS",
IF(IF(OOC!H74="",0,OOC!H74) &gt; IF(P74="",0,P74), "OOS", "OK"))))</f>
        <v>#REF!</v>
      </c>
    </row>
    <row r="75" spans="1:76" ht="15" customHeight="1">
      <c r="A75" s="13">
        <v>5</v>
      </c>
      <c r="B75" s="88"/>
      <c r="C75" s="78" t="s">
        <v>123</v>
      </c>
      <c r="D75" s="89" t="s">
        <v>117</v>
      </c>
      <c r="E75" s="90"/>
      <c r="F75" s="66" t="s">
        <v>44</v>
      </c>
      <c r="G75" s="67">
        <v>2.0920000000000001</v>
      </c>
      <c r="H75" s="92" t="str">
        <f>IF(OOC!S75=0,"",OOC!S75)</f>
        <v/>
      </c>
      <c r="I75" s="92" t="str">
        <f>IF(OOC!T75=0,"",OOC!T75)</f>
        <v/>
      </c>
      <c r="J75" s="68" t="s">
        <v>12</v>
      </c>
      <c r="K75" s="69" t="s">
        <v>80</v>
      </c>
      <c r="L75" s="70" t="e">
        <f>IF(AND(G75="",H75=""),"",IF(G75="",H75,G75+H75))</f>
        <v>#VALUE!</v>
      </c>
      <c r="M75" s="70" t="e">
        <f>IF(AND(G75="",I75=""),"",IF(G75="",I75,G75+I75))</f>
        <v>#VALUE!</v>
      </c>
      <c r="N75" s="71"/>
      <c r="O75" s="2" t="e">
        <f>IF(OR($AK75="",ISNUMBER($AK75)=FALSE),"",MAX(AK75:BP75))</f>
        <v>#REF!</v>
      </c>
      <c r="P75" s="2" t="e">
        <f>IF(OR($AK75="",ISNUMBER($AK75)=FALSE),"",MIN(AK75:BP75))</f>
        <v>#REF!</v>
      </c>
      <c r="Q75" s="2" t="e">
        <f>IF(OR($AK75="",ISNUMBER($AK75)=FALSE),"",AVERAGE(AK75:BP75))</f>
        <v>#REF!</v>
      </c>
      <c r="R75" s="3" t="e">
        <f>IF(OR($AK75="",ISNUMBER($AK75)=FALSE),"",STDEV(AK75:BP75))</f>
        <v>#REF!</v>
      </c>
      <c r="S75" s="4" t="e">
        <f t="shared" si="10"/>
        <v>#REF!</v>
      </c>
      <c r="T75" s="84" t="e">
        <f>IF(OR($AK75="",ISNUMBER($AK75)=FALSE),"",IF(AND($F75="Tolerance",$G75&lt;&gt;""),($Q75-$G75)/(($L75-$M75)/2),IF(AND($F75="GD&amp;T",$H75&lt;&gt;""),$Q75/$H75,"")))</f>
        <v>#REF!</v>
      </c>
      <c r="U75" s="85" t="e">
        <f>IF($T75="","",IF(ABS($T75)&lt;=0.125, "Level A",IF(AND(ABS($T75)&gt;0.125,ABS($T75)&lt;=0.25), "Level B",IF(AND(ABS($T75)&gt;0.25,ABS($T75)&lt;=0.5), "Level C", IF(ABS($T75)&gt;0.5, "Level D")))))</f>
        <v>#REF!</v>
      </c>
      <c r="V75" s="4" t="e">
        <f>IF(OR($AK75="",ISNUMBER($AK75)=FALSE),"",IF(H75="","",(L75-Q75)/(3*R75)))</f>
        <v>#REF!</v>
      </c>
      <c r="W75" s="4" t="e">
        <f>IF(OR($AK75="",ISNUMBER($AK75)=FALSE),"",IF(I75="","",(Q75-M75)/(3*R75)))</f>
        <v>#REF!</v>
      </c>
      <c r="X75" s="4" t="e">
        <f>IF(OR($AK75="",ISNUMBER($AK75)=FALSE),"",IF(AND(G75=0,I75=0),((H75)-(Q75))/(3*R75),MIN(V75:W75)))</f>
        <v>#REF!</v>
      </c>
      <c r="Y75" s="62" t="e">
        <f>IF(OR($AK75="",ISNUMBER($AK75)=FALSE),"",IF(AND(G75=0,I75=0),NORMSDIST(3*X75),NORMSDIST(3*X75)+NORMSDIST(6*S75-3*X75)-1))</f>
        <v>#REF!</v>
      </c>
      <c r="Z75" s="22" t="e">
        <f>IF($Q75="","",IF(F75="Tolerance",IF(($E75*3*R75+Q75)-G75&lt;H75,"",($E75*3*R75+Q75)-G75),IF(OR(F75="GD&amp;T",F75="MAX"),IF(($E75*3*R75+Q75)&lt;H75,"",($E75*3*R75+Q75)),"")))</f>
        <v>#REF!</v>
      </c>
      <c r="AA75" s="22" t="e">
        <f>IF(Q75="","",IF(F75="Tolerance",IF(-(($E75*3*R75)-Q75)-G75&gt;I75,"",-(($E75*3*R75)-Q75)-G75),IF(F75="MIN",IF(-(($E75*3*R75)-Q75)&gt;I75,"",-(($E75*3*R75)-Q75)),"")))</f>
        <v>#REF!</v>
      </c>
      <c r="AB75" s="22" t="e">
        <f>IF(OR(G75="",Q75=""),"",(L75+M75)/2-Q75)</f>
        <v>#REF!</v>
      </c>
      <c r="AC75" s="22" t="e">
        <f>IF(OR($S75&gt;$AC$9,$R75=""),"",$AC$9*6*$R75)</f>
        <v>#REF!</v>
      </c>
      <c r="AD75" s="19"/>
      <c r="AE75" s="14"/>
      <c r="AF75" s="72"/>
      <c r="AG75" s="49"/>
      <c r="AH75" s="49"/>
      <c r="AI75" s="50"/>
      <c r="AJ75" s="15"/>
      <c r="AK75" s="79" t="e">
        <f>#REF!</f>
        <v>#REF!</v>
      </c>
      <c r="AL75" s="79" t="e">
        <f>#REF!</f>
        <v>#REF!</v>
      </c>
      <c r="AM75" s="79" t="e">
        <f>#REF!</f>
        <v>#REF!</v>
      </c>
      <c r="AN75" s="77"/>
      <c r="AO75" s="77"/>
      <c r="AP75" s="77"/>
      <c r="AQ75" s="77"/>
      <c r="AR75" s="77"/>
      <c r="AS75" s="77"/>
      <c r="AT75" s="77"/>
      <c r="AU75" s="77"/>
      <c r="AV75" s="77"/>
      <c r="AW75" s="77"/>
      <c r="AX75" s="77"/>
      <c r="AY75" s="77"/>
      <c r="AZ75" s="77"/>
      <c r="BA75" s="77"/>
      <c r="BB75" s="77"/>
      <c r="BC75" s="77"/>
      <c r="BD75" s="77"/>
      <c r="BE75" s="77"/>
      <c r="BF75" s="77"/>
      <c r="BG75" s="77"/>
      <c r="BH75" s="77"/>
      <c r="BI75" s="77"/>
      <c r="BJ75" s="77"/>
      <c r="BK75" s="77"/>
      <c r="BL75" s="77"/>
      <c r="BM75" s="77"/>
      <c r="BN75" s="77"/>
      <c r="BO75" s="77"/>
      <c r="BP75" s="77"/>
      <c r="BR75" s="123" t="str">
        <f t="shared" si="11"/>
        <v>FAI32</v>
      </c>
      <c r="BS75" s="120">
        <f>OOC!G75</f>
        <v>2.1219999999999999</v>
      </c>
      <c r="BT75" s="120">
        <f>OOC!H75</f>
        <v>2.0620000000000003</v>
      </c>
      <c r="BU75" s="2" t="e">
        <f t="shared" si="12"/>
        <v>#REF!</v>
      </c>
      <c r="BV75" s="2" t="e">
        <f t="shared" si="13"/>
        <v>#REF!</v>
      </c>
      <c r="BW75" s="2" t="e">
        <f t="shared" si="14"/>
        <v>#REF!</v>
      </c>
      <c r="BX75" s="121" t="e">
        <f>IF(AND(IF(OOC!G75="",0,OOC!G75) &gt;= IF(O75="",0,O75), IF(O75="",0,O75) &gt; IF(L75="",0,L75)), "OOC",
IF(AND(IF(M75="",0,M75) &gt; IF(P75="",0,P75), IF(P75="",0,P75) &gt;= IF(OOC!H75="",0,OOC!H75)), "OOC",
IF(IF(O75="",0,O75) &gt; IF(OOC!G75="",0,OOC!G75), "OOS",
IF(IF(OOC!H75="",0,OOC!H75) &gt; IF(P75="",0,P75), "OOS", "OK"))))</f>
        <v>#REF!</v>
      </c>
    </row>
    <row r="76" spans="1:76" ht="15" customHeight="1">
      <c r="A76" s="13">
        <v>6</v>
      </c>
      <c r="B76" s="88"/>
      <c r="C76" s="78" t="s">
        <v>124</v>
      </c>
      <c r="D76" s="89" t="s">
        <v>158</v>
      </c>
      <c r="E76" s="90"/>
      <c r="F76" s="66" t="s">
        <v>41</v>
      </c>
      <c r="G76" s="67"/>
      <c r="H76" s="92" t="str">
        <f>IF(OOC!S76=0,"",OOC!S76)</f>
        <v/>
      </c>
      <c r="I76" s="92" t="str">
        <f>IF(OOC!T76=0,"",OOC!T76)</f>
        <v/>
      </c>
      <c r="J76" s="68" t="s">
        <v>12</v>
      </c>
      <c r="K76" s="69" t="s">
        <v>80</v>
      </c>
      <c r="L76" s="70" t="str">
        <f>IF(AND(G76="",H76=""),"",IF(G76="",H76,G76+H76))</f>
        <v/>
      </c>
      <c r="M76" s="70" t="str">
        <f>IF(AND(G76="",I76=""),"",IF(G76="",I76,G76+I76))</f>
        <v/>
      </c>
      <c r="N76" s="71"/>
      <c r="O76" s="2" t="e">
        <f>IF(OR($AK76="",ISNUMBER($AK76)=FALSE),"",MAX(AK76:BP76))</f>
        <v>#REF!</v>
      </c>
      <c r="P76" s="2" t="e">
        <f>IF(OR($AK76="",ISNUMBER($AK76)=FALSE),"",MIN(AK76:BP76))</f>
        <v>#REF!</v>
      </c>
      <c r="Q76" s="2" t="e">
        <f>IF(OR($AK76="",ISNUMBER($AK76)=FALSE),"",AVERAGE(AK76:BP76))</f>
        <v>#REF!</v>
      </c>
      <c r="R76" s="3" t="e">
        <f>IF(OR($AK76="",ISNUMBER($AK76)=FALSE),"",STDEV(AK76:BP76))</f>
        <v>#REF!</v>
      </c>
      <c r="S76" s="4" t="e">
        <f t="shared" si="10"/>
        <v>#REF!</v>
      </c>
      <c r="T76" s="84" t="e">
        <f>IF(OR($AK76="",ISNUMBER($AK76)=FALSE),"",IF(AND($F76="Tolerance",$G76&lt;&gt;""),($Q76-$G76)/(($L76-$M76)/2),IF(AND($F76="GD&amp;T",$H76&lt;&gt;""),$Q76/$H76,"")))</f>
        <v>#REF!</v>
      </c>
      <c r="U76" s="85" t="e">
        <f>IF($T76="","",IF(ABS($T76)&lt;=0.125, "Level A",IF(AND(ABS($T76)&gt;0.125,ABS($T76)&lt;=0.25), "Level B",IF(AND(ABS($T76)&gt;0.25,ABS($T76)&lt;=0.5), "Level C", IF(ABS($T76)&gt;0.5, "Level D")))))</f>
        <v>#REF!</v>
      </c>
      <c r="V76" s="4" t="e">
        <f>IF(OR($AK76="",ISNUMBER($AK76)=FALSE),"",IF(H76="","",(L76-Q76)/(3*R76)))</f>
        <v>#REF!</v>
      </c>
      <c r="W76" s="4" t="e">
        <f>IF(OR($AK76="",ISNUMBER($AK76)=FALSE),"",IF(I76="","",(Q76-M76)/(3*R76)))</f>
        <v>#REF!</v>
      </c>
      <c r="X76" s="4" t="e">
        <f>IF(OR($AK76="",ISNUMBER($AK76)=FALSE),"",IF(AND(G76=0,I76=0),((H76)-(Q76))/(3*R76),MIN(V76:W76)))</f>
        <v>#REF!</v>
      </c>
      <c r="Y76" s="62" t="e">
        <f>IF(OR($AK76="",ISNUMBER($AK76)=FALSE),"",IF(AND(G76=0,I76=0),NORMSDIST(3*X76),NORMSDIST(3*X76)+NORMSDIST(6*S76-3*X76)-1))</f>
        <v>#REF!</v>
      </c>
      <c r="Z76" s="22" t="e">
        <f>IF($Q76="","",IF(F76="Tolerance",IF(($E76*3*R76+Q76)-G76&lt;H76,"",($E76*3*R76+Q76)-G76),IF(OR(F76="GD&amp;T",F76="MAX"),IF(($E76*3*R76+Q76)&lt;H76,"",($E76*3*R76+Q76)),"")))</f>
        <v>#REF!</v>
      </c>
      <c r="AA76" s="22" t="e">
        <f>IF(Q76="","",IF(F76="Tolerance",IF(-(($E76*3*R76)-Q76)-G76&gt;I76,"",-(($E76*3*R76)-Q76)-G76),IF(F76="MIN",IF(-(($E76*3*R76)-Q76)&gt;I76,"",-(($E76*3*R76)-Q76)),"")))</f>
        <v>#REF!</v>
      </c>
      <c r="AB76" s="22" t="e">
        <f>IF(OR(G76="",Q76=""),"",(L76+M76)/2-Q76)</f>
        <v>#REF!</v>
      </c>
      <c r="AC76" s="22" t="e">
        <f>IF(OR($S76&gt;$AC$9,$R76=""),"",$AC$9*6*$R76)</f>
        <v>#REF!</v>
      </c>
      <c r="AD76" s="19"/>
      <c r="AE76" s="14"/>
      <c r="AF76" s="72"/>
      <c r="AG76" s="49"/>
      <c r="AH76" s="49"/>
      <c r="AI76" s="50"/>
      <c r="AJ76" s="15"/>
      <c r="AK76" s="79" t="e">
        <f>#REF!</f>
        <v>#REF!</v>
      </c>
      <c r="AL76" s="79" t="e">
        <f>#REF!</f>
        <v>#REF!</v>
      </c>
      <c r="AM76" s="79" t="e">
        <f>#REF!</f>
        <v>#REF!</v>
      </c>
      <c r="AN76" s="77"/>
      <c r="AO76" s="77"/>
      <c r="AP76" s="77"/>
      <c r="AQ76" s="77"/>
      <c r="AR76" s="77"/>
      <c r="AS76" s="77"/>
      <c r="AT76" s="77"/>
      <c r="AU76" s="77"/>
      <c r="AV76" s="77"/>
      <c r="AW76" s="77"/>
      <c r="AX76" s="77"/>
      <c r="AY76" s="77"/>
      <c r="AZ76" s="77"/>
      <c r="BA76" s="77"/>
      <c r="BB76" s="77"/>
      <c r="BC76" s="77"/>
      <c r="BD76" s="77"/>
      <c r="BE76" s="77"/>
      <c r="BF76" s="77"/>
      <c r="BG76" s="77"/>
      <c r="BH76" s="77"/>
      <c r="BI76" s="77"/>
      <c r="BJ76" s="77"/>
      <c r="BK76" s="77"/>
      <c r="BL76" s="77"/>
      <c r="BM76" s="77"/>
      <c r="BN76" s="77"/>
      <c r="BO76" s="77"/>
      <c r="BP76" s="77"/>
      <c r="BR76" s="123" t="str">
        <f t="shared" si="11"/>
        <v>FAI33</v>
      </c>
      <c r="BS76" s="120">
        <f>OOC!G76</f>
        <v>0.03</v>
      </c>
      <c r="BT76" s="120" t="str">
        <f>OOC!H76</f>
        <v/>
      </c>
      <c r="BU76" s="2" t="e">
        <f t="shared" si="12"/>
        <v>#REF!</v>
      </c>
      <c r="BV76" s="2" t="e">
        <f t="shared" si="13"/>
        <v>#REF!</v>
      </c>
      <c r="BW76" s="2" t="e">
        <f t="shared" si="14"/>
        <v>#REF!</v>
      </c>
      <c r="BX76" s="121" t="e">
        <f>IF(AND(IF(OOC!G76="",0,OOC!G76) &gt;= IF(O76="",0,O76), IF(O76="",0,O76) &gt; IF(L76="",0,L76)), "OOC",
IF(AND(IF(M76="",0,M76) &gt; IF(P76="",0,P76), IF(P76="",0,P76) &gt;= IF(OOC!H76="",0,OOC!H76)), "OOC",
IF(IF(O76="",0,O76) &gt; IF(OOC!G76="",0,OOC!G76), "OOS",
IF(IF(OOC!H76="",0,OOC!H76) &gt; IF(P76="",0,P76), "OOS", "OK"))))</f>
        <v>#REF!</v>
      </c>
    </row>
    <row r="77" spans="1:76" ht="15" customHeight="1">
      <c r="A77" s="13"/>
      <c r="B77" s="88"/>
      <c r="C77" s="78"/>
      <c r="D77" s="89"/>
      <c r="E77" s="90"/>
      <c r="F77" s="66"/>
      <c r="G77" s="67"/>
      <c r="H77" s="92"/>
      <c r="I77" s="92"/>
      <c r="J77" s="68"/>
      <c r="K77" s="69"/>
      <c r="L77" s="70"/>
      <c r="M77" s="70"/>
      <c r="N77" s="71"/>
      <c r="O77" s="2"/>
      <c r="P77" s="2"/>
      <c r="Q77" s="2"/>
      <c r="R77" s="3"/>
      <c r="S77" s="4"/>
      <c r="T77" s="84"/>
      <c r="U77" s="85"/>
      <c r="V77" s="4"/>
      <c r="W77" s="4"/>
      <c r="X77" s="4"/>
      <c r="Y77" s="62"/>
      <c r="Z77" s="22"/>
      <c r="AA77" s="22"/>
      <c r="AB77" s="22"/>
      <c r="AC77" s="22"/>
      <c r="AD77" s="19"/>
      <c r="AE77" s="14"/>
      <c r="AF77" s="72"/>
      <c r="AG77" s="49"/>
      <c r="AH77" s="49"/>
      <c r="AI77" s="50"/>
      <c r="AJ77" s="15"/>
      <c r="AK77" s="79"/>
      <c r="AL77" s="79"/>
      <c r="AM77" s="79"/>
      <c r="AN77" s="77"/>
      <c r="AO77" s="77"/>
      <c r="AP77" s="77"/>
      <c r="AQ77" s="77"/>
      <c r="AR77" s="77"/>
      <c r="AS77" s="77"/>
      <c r="AT77" s="77"/>
      <c r="AU77" s="77"/>
      <c r="AV77" s="77"/>
      <c r="AW77" s="77"/>
      <c r="AX77" s="77"/>
      <c r="AY77" s="77"/>
      <c r="AZ77" s="77"/>
      <c r="BA77" s="77"/>
      <c r="BB77" s="77"/>
      <c r="BC77" s="77"/>
      <c r="BD77" s="77"/>
      <c r="BE77" s="77"/>
      <c r="BF77" s="77"/>
      <c r="BG77" s="77"/>
      <c r="BH77" s="77"/>
      <c r="BI77" s="77"/>
      <c r="BJ77" s="77"/>
      <c r="BK77" s="77"/>
      <c r="BL77" s="77"/>
      <c r="BM77" s="77"/>
      <c r="BN77" s="77"/>
      <c r="BO77" s="77"/>
      <c r="BP77" s="77"/>
      <c r="BR77" s="123"/>
      <c r="BS77" s="120"/>
      <c r="BT77" s="120"/>
      <c r="BU77" s="2"/>
      <c r="BV77" s="2"/>
      <c r="BW77" s="2"/>
      <c r="BX77" s="121"/>
    </row>
    <row r="78" spans="1:76" ht="15" customHeight="1">
      <c r="A78" s="13"/>
      <c r="B78" s="88"/>
      <c r="C78" s="78"/>
      <c r="D78" s="89"/>
      <c r="E78" s="90"/>
      <c r="F78" s="66"/>
      <c r="G78" s="67"/>
      <c r="H78" s="92"/>
      <c r="I78" s="92"/>
      <c r="J78" s="68"/>
      <c r="K78" s="69"/>
      <c r="L78" s="70"/>
      <c r="M78" s="70"/>
      <c r="N78" s="71"/>
      <c r="O78" s="2"/>
      <c r="P78" s="2"/>
      <c r="Q78" s="2"/>
      <c r="R78" s="3"/>
      <c r="S78" s="4"/>
      <c r="T78" s="84"/>
      <c r="U78" s="85"/>
      <c r="V78" s="4"/>
      <c r="W78" s="4"/>
      <c r="X78" s="4"/>
      <c r="Y78" s="62"/>
      <c r="Z78" s="22"/>
      <c r="AA78" s="22"/>
      <c r="AB78" s="22"/>
      <c r="AC78" s="22"/>
      <c r="AD78" s="19"/>
      <c r="AE78" s="14"/>
      <c r="AF78" s="72"/>
      <c r="AG78" s="49"/>
      <c r="AH78" s="49"/>
      <c r="AI78" s="50"/>
      <c r="AJ78" s="15"/>
      <c r="AK78" s="79"/>
      <c r="AL78" s="79"/>
      <c r="AM78" s="79"/>
      <c r="AN78" s="77"/>
      <c r="AO78" s="77"/>
      <c r="AP78" s="77"/>
      <c r="AQ78" s="77"/>
      <c r="AR78" s="77"/>
      <c r="AS78" s="77"/>
      <c r="AT78" s="77"/>
      <c r="AU78" s="77"/>
      <c r="AV78" s="77"/>
      <c r="AW78" s="77"/>
      <c r="AX78" s="77"/>
      <c r="AY78" s="77"/>
      <c r="AZ78" s="77"/>
      <c r="BA78" s="77"/>
      <c r="BB78" s="77"/>
      <c r="BC78" s="77"/>
      <c r="BD78" s="77"/>
      <c r="BE78" s="77"/>
      <c r="BF78" s="77"/>
      <c r="BG78" s="77"/>
      <c r="BH78" s="77"/>
      <c r="BI78" s="77"/>
      <c r="BJ78" s="77"/>
      <c r="BK78" s="77"/>
      <c r="BL78" s="77"/>
      <c r="BM78" s="77"/>
      <c r="BN78" s="77"/>
      <c r="BO78" s="77"/>
      <c r="BP78" s="77"/>
      <c r="BR78" s="123"/>
      <c r="BS78" s="120"/>
      <c r="BT78" s="120"/>
      <c r="BU78" s="2"/>
      <c r="BV78" s="2"/>
      <c r="BW78" s="2"/>
      <c r="BX78" s="121"/>
    </row>
    <row r="79" spans="1:76" ht="15" customHeight="1">
      <c r="A79" s="13"/>
      <c r="B79" s="88"/>
      <c r="C79" s="78"/>
      <c r="D79" s="89"/>
      <c r="E79" s="90"/>
      <c r="F79" s="66"/>
      <c r="G79" s="67"/>
      <c r="H79" s="92"/>
      <c r="I79" s="92"/>
      <c r="J79" s="68"/>
      <c r="K79" s="69"/>
      <c r="L79" s="70"/>
      <c r="M79" s="70"/>
      <c r="N79" s="71"/>
      <c r="O79" s="2"/>
      <c r="P79" s="2"/>
      <c r="Q79" s="2"/>
      <c r="R79" s="3"/>
      <c r="S79" s="4"/>
      <c r="T79" s="84"/>
      <c r="U79" s="85"/>
      <c r="V79" s="4"/>
      <c r="W79" s="4"/>
      <c r="X79" s="4"/>
      <c r="Y79" s="62"/>
      <c r="Z79" s="22"/>
      <c r="AA79" s="22"/>
      <c r="AB79" s="22"/>
      <c r="AC79" s="22"/>
      <c r="AD79" s="19"/>
      <c r="AE79" s="14"/>
      <c r="AF79" s="72"/>
      <c r="AG79" s="49"/>
      <c r="AH79" s="49"/>
      <c r="AI79" s="50"/>
      <c r="AJ79" s="15"/>
      <c r="AK79" s="79"/>
      <c r="AL79" s="79"/>
      <c r="AM79" s="79"/>
      <c r="AN79" s="77"/>
      <c r="AO79" s="77"/>
      <c r="AP79" s="77"/>
      <c r="AQ79" s="77"/>
      <c r="AR79" s="77"/>
      <c r="AS79" s="77"/>
      <c r="AT79" s="77"/>
      <c r="AU79" s="77"/>
      <c r="AV79" s="77"/>
      <c r="AW79" s="77"/>
      <c r="AX79" s="77"/>
      <c r="AY79" s="77"/>
      <c r="AZ79" s="77"/>
      <c r="BA79" s="77"/>
      <c r="BB79" s="77"/>
      <c r="BC79" s="77"/>
      <c r="BD79" s="77"/>
      <c r="BE79" s="77"/>
      <c r="BF79" s="77"/>
      <c r="BG79" s="77"/>
      <c r="BH79" s="77"/>
      <c r="BI79" s="77"/>
      <c r="BJ79" s="77"/>
      <c r="BK79" s="77"/>
      <c r="BL79" s="77"/>
      <c r="BM79" s="77"/>
      <c r="BN79" s="77"/>
      <c r="BO79" s="77"/>
      <c r="BP79" s="77"/>
      <c r="BR79" s="123"/>
      <c r="BS79" s="120"/>
      <c r="BT79" s="120"/>
      <c r="BU79" s="2"/>
      <c r="BV79" s="2"/>
      <c r="BW79" s="2"/>
      <c r="BX79" s="121"/>
    </row>
    <row r="80" spans="1:76" ht="15" customHeight="1">
      <c r="A80" s="13"/>
      <c r="B80" s="88"/>
      <c r="C80" s="78"/>
      <c r="D80" s="89"/>
      <c r="E80" s="90"/>
      <c r="F80" s="66"/>
      <c r="G80" s="67"/>
      <c r="H80" s="92"/>
      <c r="I80" s="92"/>
      <c r="J80" s="68"/>
      <c r="K80" s="69"/>
      <c r="L80" s="70"/>
      <c r="M80" s="70"/>
      <c r="N80" s="71"/>
      <c r="O80" s="2"/>
      <c r="P80" s="2"/>
      <c r="Q80" s="2"/>
      <c r="R80" s="3"/>
      <c r="S80" s="4"/>
      <c r="T80" s="84"/>
      <c r="U80" s="85"/>
      <c r="V80" s="4"/>
      <c r="W80" s="4"/>
      <c r="X80" s="4"/>
      <c r="Y80" s="62"/>
      <c r="Z80" s="22"/>
      <c r="AA80" s="22"/>
      <c r="AB80" s="22"/>
      <c r="AC80" s="22"/>
      <c r="AD80" s="19"/>
      <c r="AE80" s="14"/>
      <c r="AF80" s="72"/>
      <c r="AG80" s="49"/>
      <c r="AH80" s="49"/>
      <c r="AI80" s="50"/>
      <c r="AJ80" s="15"/>
      <c r="AK80" s="79"/>
      <c r="AL80" s="79"/>
      <c r="AM80" s="79"/>
      <c r="AN80" s="77"/>
      <c r="AO80" s="77"/>
      <c r="AP80" s="77"/>
      <c r="AQ80" s="77"/>
      <c r="AR80" s="77"/>
      <c r="AS80" s="77"/>
      <c r="AT80" s="77"/>
      <c r="AU80" s="77"/>
      <c r="AV80" s="77"/>
      <c r="AW80" s="77"/>
      <c r="AX80" s="77"/>
      <c r="AY80" s="77"/>
      <c r="AZ80" s="77"/>
      <c r="BA80" s="77"/>
      <c r="BB80" s="77"/>
      <c r="BC80" s="77"/>
      <c r="BD80" s="77"/>
      <c r="BE80" s="77"/>
      <c r="BF80" s="77"/>
      <c r="BG80" s="77"/>
      <c r="BH80" s="77"/>
      <c r="BI80" s="77"/>
      <c r="BJ80" s="77"/>
      <c r="BK80" s="77"/>
      <c r="BL80" s="77"/>
      <c r="BM80" s="77"/>
      <c r="BN80" s="77"/>
      <c r="BO80" s="77"/>
      <c r="BP80" s="77"/>
      <c r="BR80" s="123"/>
      <c r="BS80" s="120"/>
      <c r="BT80" s="120"/>
      <c r="BU80" s="2"/>
      <c r="BV80" s="2"/>
      <c r="BW80" s="2"/>
      <c r="BX80" s="121"/>
    </row>
    <row r="81" spans="1:76" ht="15" customHeight="1">
      <c r="A81" s="13"/>
      <c r="B81" s="88"/>
      <c r="C81" s="78" t="s">
        <v>125</v>
      </c>
      <c r="D81" s="89" t="s">
        <v>117</v>
      </c>
      <c r="E81" s="90"/>
      <c r="F81" s="66" t="s">
        <v>41</v>
      </c>
      <c r="G81" s="67"/>
      <c r="H81" s="92" t="str">
        <f>IF(OOC!S81=0,"",OOC!S81)</f>
        <v/>
      </c>
      <c r="I81" s="92" t="str">
        <f>IF(OOC!T81=0,"",OOC!T81)</f>
        <v/>
      </c>
      <c r="J81" s="68" t="s">
        <v>12</v>
      </c>
      <c r="K81" s="69" t="s">
        <v>80</v>
      </c>
      <c r="L81" s="70" t="str">
        <f>IF(AND(G81="",H81=""),"",IF(G81="",H81,G81+H81))</f>
        <v/>
      </c>
      <c r="M81" s="70" t="str">
        <f>IF(AND(G81="",I81=""),"",IF(G81="",I81,G81+I81))</f>
        <v/>
      </c>
      <c r="N81" s="71"/>
      <c r="O81" s="2" t="e">
        <f>IF(OR($AK81="",ISNUMBER($AK81)=FALSE),"",MAX(AK81:BP81))</f>
        <v>#REF!</v>
      </c>
      <c r="P81" s="2" t="e">
        <f>IF(OR($AK81="",ISNUMBER($AK81)=FALSE),"",MIN(AK81:BP81))</f>
        <v>#REF!</v>
      </c>
      <c r="Q81" s="2" t="e">
        <f>IF(OR($AK81="",ISNUMBER($AK81)=FALSE),"",AVERAGE(AK81:BP81))</f>
        <v>#REF!</v>
      </c>
      <c r="R81" s="3" t="e">
        <f>IF(OR($AK81="",ISNUMBER($AK81)=FALSE),"",STDEV(AK81:BP81))</f>
        <v>#REF!</v>
      </c>
      <c r="S81" s="4" t="e">
        <f t="shared" si="10"/>
        <v>#REF!</v>
      </c>
      <c r="T81" s="84" t="e">
        <f>IF(OR($AK81="",ISNUMBER($AK81)=FALSE),"",IF(AND($F81="Tolerance",$G81&lt;&gt;""),($Q81-$G81)/(($L81-$M81)/2),IF(AND($F81="GD&amp;T",$H81&lt;&gt;""),$Q81/$H81,"")))</f>
        <v>#REF!</v>
      </c>
      <c r="U81" s="85" t="e">
        <f>IF($T81="","",IF(ABS($T81)&lt;=0.125, "Level A",IF(AND(ABS($T81)&gt;0.125,ABS($T81)&lt;=0.25), "Level B",IF(AND(ABS($T81)&gt;0.25,ABS($T81)&lt;=0.5), "Level C", IF(ABS($T81)&gt;0.5, "Level D")))))</f>
        <v>#REF!</v>
      </c>
      <c r="V81" s="4" t="e">
        <f>IF(OR($AK81="",ISNUMBER($AK81)=FALSE),"",IF(H81="","",(L81-Q81)/(3*R81)))</f>
        <v>#REF!</v>
      </c>
      <c r="W81" s="4" t="e">
        <f>IF(OR($AK81="",ISNUMBER($AK81)=FALSE),"",IF(I81="","",(Q81-M81)/(3*R81)))</f>
        <v>#REF!</v>
      </c>
      <c r="X81" s="4" t="e">
        <f>IF(OR($AK81="",ISNUMBER($AK81)=FALSE),"",IF(AND(G81=0,I81=0),((H81)-(Q81))/(3*R81),MIN(V81:W81)))</f>
        <v>#REF!</v>
      </c>
      <c r="Y81" s="62" t="e">
        <f>IF(OR($AK81="",ISNUMBER($AK81)=FALSE),"",IF(AND(G81=0,I81=0),NORMSDIST(3*X81),NORMSDIST(3*X81)+NORMSDIST(6*S81-3*X81)-1))</f>
        <v>#REF!</v>
      </c>
      <c r="Z81" s="22"/>
      <c r="AA81" s="22"/>
      <c r="AB81" s="22"/>
      <c r="AC81" s="22"/>
      <c r="AD81" s="19"/>
      <c r="AE81" s="14"/>
      <c r="AF81" s="74"/>
      <c r="AG81" s="49"/>
      <c r="AH81" s="49"/>
      <c r="AI81" s="50"/>
      <c r="AJ81" s="15"/>
      <c r="AK81" s="79" t="e">
        <f>#REF!</f>
        <v>#REF!</v>
      </c>
      <c r="AL81" s="79" t="e">
        <f>#REF!</f>
        <v>#REF!</v>
      </c>
      <c r="AM81" s="79" t="e">
        <f>#REF!</f>
        <v>#REF!</v>
      </c>
      <c r="AN81" s="77"/>
      <c r="AO81" s="77"/>
      <c r="AP81" s="77"/>
      <c r="AQ81" s="77"/>
      <c r="AR81" s="77"/>
      <c r="AS81" s="77"/>
      <c r="AT81" s="77"/>
      <c r="AU81" s="77"/>
      <c r="AV81" s="77"/>
      <c r="AW81" s="77"/>
      <c r="AX81" s="77"/>
      <c r="AY81" s="77"/>
      <c r="AZ81" s="77"/>
      <c r="BA81" s="77"/>
      <c r="BB81" s="77"/>
      <c r="BC81" s="77"/>
      <c r="BD81" s="77"/>
      <c r="BE81" s="77"/>
      <c r="BF81" s="77"/>
      <c r="BG81" s="77"/>
      <c r="BH81" s="77"/>
      <c r="BI81" s="77"/>
      <c r="BJ81" s="77"/>
      <c r="BK81" s="77"/>
      <c r="BL81" s="77"/>
      <c r="BM81" s="77"/>
      <c r="BN81" s="77"/>
      <c r="BO81" s="77"/>
      <c r="BP81" s="77"/>
      <c r="BR81" s="123" t="str">
        <f t="shared" si="11"/>
        <v>FAI34</v>
      </c>
      <c r="BS81" s="120">
        <f>OOC!G81</f>
        <v>0.02</v>
      </c>
      <c r="BT81" s="120" t="str">
        <f>OOC!H81</f>
        <v/>
      </c>
      <c r="BU81" s="2" t="e">
        <f t="shared" si="12"/>
        <v>#REF!</v>
      </c>
      <c r="BV81" s="2" t="e">
        <f t="shared" si="13"/>
        <v>#REF!</v>
      </c>
      <c r="BW81" s="2" t="e">
        <f t="shared" si="14"/>
        <v>#REF!</v>
      </c>
      <c r="BX81" s="121" t="e">
        <f>IF(AND(IF(OOC!G81="",0,OOC!G81) &gt;= IF(O81="",0,O81), IF(O81="",0,O81) &gt; IF(L81="",0,L81)), "OOC",
IF(AND(IF(M81="",0,M81) &gt; IF(P81="",0,P81), IF(P81="",0,P81) &gt;= IF(OOC!H81="",0,OOC!H81)), "OOC",
IF(IF(O81="",0,O81) &gt; IF(OOC!G81="",0,OOC!G81), "OOS",
IF(IF(OOC!H81="",0,OOC!H81) &gt; IF(P81="",0,P81), "OOS", "OK"))))</f>
        <v>#REF!</v>
      </c>
    </row>
    <row r="82" spans="1:76" ht="15" customHeight="1">
      <c r="A82" s="13"/>
      <c r="B82" s="88"/>
      <c r="C82" s="78"/>
      <c r="D82" s="89"/>
      <c r="E82" s="90"/>
      <c r="F82" s="66"/>
      <c r="G82" s="67"/>
      <c r="H82" s="92"/>
      <c r="I82" s="92"/>
      <c r="J82" s="68"/>
      <c r="K82" s="69"/>
      <c r="L82" s="70"/>
      <c r="M82" s="70"/>
      <c r="N82" s="71"/>
      <c r="O82" s="2"/>
      <c r="P82" s="2"/>
      <c r="Q82" s="2"/>
      <c r="R82" s="3"/>
      <c r="S82" s="4"/>
      <c r="T82" s="84"/>
      <c r="U82" s="85"/>
      <c r="V82" s="4"/>
      <c r="W82" s="4"/>
      <c r="X82" s="4"/>
      <c r="Y82" s="62"/>
      <c r="Z82" s="22"/>
      <c r="AA82" s="22"/>
      <c r="AB82" s="22"/>
      <c r="AC82" s="22"/>
      <c r="AD82" s="19"/>
      <c r="AE82" s="14"/>
      <c r="AF82" s="74"/>
      <c r="AG82" s="49"/>
      <c r="AH82" s="49"/>
      <c r="AI82" s="50"/>
      <c r="AJ82" s="15"/>
      <c r="AK82" s="79"/>
      <c r="AL82" s="79"/>
      <c r="AM82" s="79"/>
      <c r="AN82" s="77"/>
      <c r="AO82" s="77"/>
      <c r="AP82" s="77"/>
      <c r="AQ82" s="77"/>
      <c r="AR82" s="77"/>
      <c r="AS82" s="77"/>
      <c r="AT82" s="77"/>
      <c r="AU82" s="77"/>
      <c r="AV82" s="77"/>
      <c r="AW82" s="77"/>
      <c r="AX82" s="77"/>
      <c r="AY82" s="77"/>
      <c r="AZ82" s="77"/>
      <c r="BA82" s="77"/>
      <c r="BB82" s="77"/>
      <c r="BC82" s="77"/>
      <c r="BD82" s="77"/>
      <c r="BE82" s="77"/>
      <c r="BF82" s="77"/>
      <c r="BG82" s="77"/>
      <c r="BH82" s="77"/>
      <c r="BI82" s="77"/>
      <c r="BJ82" s="77"/>
      <c r="BK82" s="77"/>
      <c r="BL82" s="77"/>
      <c r="BM82" s="77"/>
      <c r="BN82" s="77"/>
      <c r="BO82" s="77"/>
      <c r="BP82" s="77"/>
      <c r="BR82" s="123"/>
      <c r="BS82" s="120"/>
      <c r="BT82" s="120"/>
      <c r="BU82" s="2"/>
      <c r="BV82" s="2"/>
      <c r="BW82" s="2"/>
      <c r="BX82" s="121"/>
    </row>
    <row r="83" spans="1:76" ht="15" customHeight="1">
      <c r="A83" s="13"/>
      <c r="B83" s="88"/>
      <c r="C83" s="78"/>
      <c r="D83" s="89"/>
      <c r="E83" s="90"/>
      <c r="F83" s="66"/>
      <c r="G83" s="67"/>
      <c r="H83" s="92"/>
      <c r="I83" s="92"/>
      <c r="J83" s="68"/>
      <c r="K83" s="69"/>
      <c r="L83" s="70"/>
      <c r="M83" s="70"/>
      <c r="N83" s="71"/>
      <c r="O83" s="2"/>
      <c r="P83" s="2"/>
      <c r="Q83" s="2"/>
      <c r="R83" s="3"/>
      <c r="S83" s="4"/>
      <c r="T83" s="84"/>
      <c r="U83" s="85"/>
      <c r="V83" s="4"/>
      <c r="W83" s="4"/>
      <c r="X83" s="4"/>
      <c r="Y83" s="62"/>
      <c r="Z83" s="22"/>
      <c r="AA83" s="22"/>
      <c r="AB83" s="22"/>
      <c r="AC83" s="22"/>
      <c r="AD83" s="19"/>
      <c r="AE83" s="14"/>
      <c r="AF83" s="74"/>
      <c r="AG83" s="49"/>
      <c r="AH83" s="49"/>
      <c r="AI83" s="50"/>
      <c r="AJ83" s="15"/>
      <c r="AK83" s="79"/>
      <c r="AL83" s="79"/>
      <c r="AM83" s="79"/>
      <c r="AN83" s="77"/>
      <c r="AO83" s="77"/>
      <c r="AP83" s="77"/>
      <c r="AQ83" s="77"/>
      <c r="AR83" s="77"/>
      <c r="AS83" s="77"/>
      <c r="AT83" s="77"/>
      <c r="AU83" s="77"/>
      <c r="AV83" s="77"/>
      <c r="AW83" s="77"/>
      <c r="AX83" s="77"/>
      <c r="AY83" s="77"/>
      <c r="AZ83" s="77"/>
      <c r="BA83" s="77"/>
      <c r="BB83" s="77"/>
      <c r="BC83" s="77"/>
      <c r="BD83" s="77"/>
      <c r="BE83" s="77"/>
      <c r="BF83" s="77"/>
      <c r="BG83" s="77"/>
      <c r="BH83" s="77"/>
      <c r="BI83" s="77"/>
      <c r="BJ83" s="77"/>
      <c r="BK83" s="77"/>
      <c r="BL83" s="77"/>
      <c r="BM83" s="77"/>
      <c r="BN83" s="77"/>
      <c r="BO83" s="77"/>
      <c r="BP83" s="77"/>
      <c r="BR83" s="123"/>
      <c r="BS83" s="120"/>
      <c r="BT83" s="120"/>
      <c r="BU83" s="2"/>
      <c r="BV83" s="2"/>
      <c r="BW83" s="2"/>
      <c r="BX83" s="121"/>
    </row>
    <row r="84" spans="1:76" ht="15" customHeight="1">
      <c r="A84" s="13"/>
      <c r="B84" s="88"/>
      <c r="C84" s="78"/>
      <c r="D84" s="89"/>
      <c r="E84" s="90"/>
      <c r="F84" s="66"/>
      <c r="G84" s="67"/>
      <c r="H84" s="92"/>
      <c r="I84" s="92"/>
      <c r="J84" s="68"/>
      <c r="K84" s="69"/>
      <c r="L84" s="70"/>
      <c r="M84" s="70"/>
      <c r="N84" s="71"/>
      <c r="O84" s="2"/>
      <c r="P84" s="2"/>
      <c r="Q84" s="2"/>
      <c r="R84" s="3"/>
      <c r="S84" s="4"/>
      <c r="T84" s="84"/>
      <c r="U84" s="85"/>
      <c r="V84" s="4"/>
      <c r="W84" s="4"/>
      <c r="X84" s="4"/>
      <c r="Y84" s="62"/>
      <c r="Z84" s="22"/>
      <c r="AA84" s="22"/>
      <c r="AB84" s="22"/>
      <c r="AC84" s="22"/>
      <c r="AD84" s="19"/>
      <c r="AE84" s="14"/>
      <c r="AF84" s="74"/>
      <c r="AG84" s="49"/>
      <c r="AH84" s="49"/>
      <c r="AI84" s="50"/>
      <c r="AJ84" s="15"/>
      <c r="AK84" s="79"/>
      <c r="AL84" s="79"/>
      <c r="AM84" s="79"/>
      <c r="AN84" s="77"/>
      <c r="AO84" s="77"/>
      <c r="AP84" s="77"/>
      <c r="AQ84" s="77"/>
      <c r="AR84" s="77"/>
      <c r="AS84" s="77"/>
      <c r="AT84" s="77"/>
      <c r="AU84" s="77"/>
      <c r="AV84" s="77"/>
      <c r="AW84" s="77"/>
      <c r="AX84" s="77"/>
      <c r="AY84" s="77"/>
      <c r="AZ84" s="77"/>
      <c r="BA84" s="77"/>
      <c r="BB84" s="77"/>
      <c r="BC84" s="77"/>
      <c r="BD84" s="77"/>
      <c r="BE84" s="77"/>
      <c r="BF84" s="77"/>
      <c r="BG84" s="77"/>
      <c r="BH84" s="77"/>
      <c r="BI84" s="77"/>
      <c r="BJ84" s="77"/>
      <c r="BK84" s="77"/>
      <c r="BL84" s="77"/>
      <c r="BM84" s="77"/>
      <c r="BN84" s="77"/>
      <c r="BO84" s="77"/>
      <c r="BP84" s="77"/>
      <c r="BR84" s="123"/>
      <c r="BS84" s="120"/>
      <c r="BT84" s="120"/>
      <c r="BU84" s="2"/>
      <c r="BV84" s="2"/>
      <c r="BW84" s="2"/>
      <c r="BX84" s="121"/>
    </row>
    <row r="85" spans="1:76" ht="15" customHeight="1">
      <c r="A85" s="13"/>
      <c r="B85" s="88"/>
      <c r="C85" s="78"/>
      <c r="D85" s="89"/>
      <c r="E85" s="90"/>
      <c r="F85" s="66"/>
      <c r="G85" s="67"/>
      <c r="H85" s="92"/>
      <c r="I85" s="92"/>
      <c r="J85" s="68"/>
      <c r="K85" s="69"/>
      <c r="L85" s="70"/>
      <c r="M85" s="70"/>
      <c r="N85" s="71"/>
      <c r="O85" s="2"/>
      <c r="P85" s="2"/>
      <c r="Q85" s="2"/>
      <c r="R85" s="3"/>
      <c r="S85" s="4"/>
      <c r="T85" s="84"/>
      <c r="U85" s="85"/>
      <c r="V85" s="4"/>
      <c r="W85" s="4"/>
      <c r="X85" s="4"/>
      <c r="Y85" s="62"/>
      <c r="Z85" s="22"/>
      <c r="AA85" s="22"/>
      <c r="AB85" s="22"/>
      <c r="AC85" s="22"/>
      <c r="AD85" s="19"/>
      <c r="AE85" s="14"/>
      <c r="AF85" s="74"/>
      <c r="AG85" s="49"/>
      <c r="AH85" s="49"/>
      <c r="AI85" s="50"/>
      <c r="AJ85" s="15"/>
      <c r="AK85" s="79"/>
      <c r="AL85" s="79"/>
      <c r="AM85" s="79"/>
      <c r="AN85" s="77"/>
      <c r="AO85" s="77"/>
      <c r="AP85" s="77"/>
      <c r="AQ85" s="77"/>
      <c r="AR85" s="77"/>
      <c r="AS85" s="77"/>
      <c r="AT85" s="77"/>
      <c r="AU85" s="77"/>
      <c r="AV85" s="77"/>
      <c r="AW85" s="77"/>
      <c r="AX85" s="77"/>
      <c r="AY85" s="77"/>
      <c r="AZ85" s="77"/>
      <c r="BA85" s="77"/>
      <c r="BB85" s="77"/>
      <c r="BC85" s="77"/>
      <c r="BD85" s="77"/>
      <c r="BE85" s="77"/>
      <c r="BF85" s="77"/>
      <c r="BG85" s="77"/>
      <c r="BH85" s="77"/>
      <c r="BI85" s="77"/>
      <c r="BJ85" s="77"/>
      <c r="BK85" s="77"/>
      <c r="BL85" s="77"/>
      <c r="BM85" s="77"/>
      <c r="BN85" s="77"/>
      <c r="BO85" s="77"/>
      <c r="BP85" s="77"/>
      <c r="BR85" s="123"/>
      <c r="BS85" s="120"/>
      <c r="BT85" s="120"/>
      <c r="BU85" s="2"/>
      <c r="BV85" s="2"/>
      <c r="BW85" s="2"/>
      <c r="BX85" s="121"/>
    </row>
    <row r="86" spans="1:76" ht="15" customHeight="1">
      <c r="A86" s="13"/>
      <c r="B86" s="88"/>
      <c r="C86" s="78" t="s">
        <v>126</v>
      </c>
      <c r="D86" s="89" t="s">
        <v>117</v>
      </c>
      <c r="E86" s="90"/>
      <c r="F86" s="66" t="s">
        <v>44</v>
      </c>
      <c r="G86" s="91">
        <v>13.614000000000001</v>
      </c>
      <c r="H86" s="92" t="str">
        <f>IF(OOC!S86=0,"",OOC!S86)</f>
        <v/>
      </c>
      <c r="I86" s="92" t="str">
        <f>IF(OOC!T86=0,"",OOC!T86)</f>
        <v/>
      </c>
      <c r="J86" s="68" t="s">
        <v>12</v>
      </c>
      <c r="K86" s="69" t="s">
        <v>80</v>
      </c>
      <c r="L86" s="70" t="e">
        <f t="shared" ref="L86:L95" si="29">IF(AND(G86="",H86=""),"",IF(G86="",H86,G86+H86))</f>
        <v>#VALUE!</v>
      </c>
      <c r="M86" s="70" t="e">
        <f t="shared" ref="M86:M95" si="30">IF(AND(G86="",I86=""),"",IF(G86="",I86,G86+I86))</f>
        <v>#VALUE!</v>
      </c>
      <c r="N86" s="71"/>
      <c r="O86" s="2" t="e">
        <f t="shared" ref="O86:O95" si="31">IF(OR($AK86="",ISNUMBER($AK86)=FALSE),"",MAX(AK86:BP86))</f>
        <v>#REF!</v>
      </c>
      <c r="P86" s="2" t="e">
        <f t="shared" ref="P86:P95" si="32">IF(OR($AK86="",ISNUMBER($AK86)=FALSE),"",MIN(AK86:BP86))</f>
        <v>#REF!</v>
      </c>
      <c r="Q86" s="2" t="e">
        <f t="shared" ref="Q86:Q95" si="33">IF(OR($AK86="",ISNUMBER($AK86)=FALSE),"",AVERAGE(AK86:BP86))</f>
        <v>#REF!</v>
      </c>
      <c r="R86" s="3" t="e">
        <f t="shared" ref="R86:R95" si="34">IF(OR($AK86="",ISNUMBER($AK86)=FALSE),"",STDEV(AK86:BP86))</f>
        <v>#REF!</v>
      </c>
      <c r="S86" s="4" t="e">
        <f t="shared" si="10"/>
        <v>#REF!</v>
      </c>
      <c r="T86" s="84" t="e">
        <f t="shared" ref="T86:T95" si="35">IF(OR($AK86="",ISNUMBER($AK86)=FALSE),"",IF(AND($F86="Tolerance",$G86&lt;&gt;""),($Q86-$G86)/(($L86-$M86)/2),IF(AND($F86="GD&amp;T",$H86&lt;&gt;""),$Q86/$H86,"")))</f>
        <v>#REF!</v>
      </c>
      <c r="U86" s="85" t="e">
        <f t="shared" ref="U86:U95" si="36">IF($T86="","",IF(ABS($T86)&lt;=0.125, "Level A",IF(AND(ABS($T86)&gt;0.125,ABS($T86)&lt;=0.25), "Level B",IF(AND(ABS($T86)&gt;0.25,ABS($T86)&lt;=0.5), "Level C", IF(ABS($T86)&gt;0.5, "Level D")))))</f>
        <v>#REF!</v>
      </c>
      <c r="V86" s="4" t="e">
        <f t="shared" ref="V86:V95" si="37">IF(OR($AK86="",ISNUMBER($AK86)=FALSE),"",IF(H86="","",(L86-Q86)/(3*R86)))</f>
        <v>#REF!</v>
      </c>
      <c r="W86" s="4" t="e">
        <f t="shared" ref="W86:W95" si="38">IF(OR($AK86="",ISNUMBER($AK86)=FALSE),"",IF(I86="","",(Q86-M86)/(3*R86)))</f>
        <v>#REF!</v>
      </c>
      <c r="X86" s="4" t="e">
        <f t="shared" ref="X86:X95" si="39">IF(OR($AK86="",ISNUMBER($AK86)=FALSE),"",IF(AND(G86=0,I86=0),((H86)-(Q86))/(3*R86),MIN(V86:W86)))</f>
        <v>#REF!</v>
      </c>
      <c r="Y86" s="62" t="e">
        <f t="shared" ref="Y86:Y95" si="40">IF(OR($AK86="",ISNUMBER($AK86)=FALSE),"",IF(AND(G86=0,I86=0),NORMSDIST(3*X86),NORMSDIST(3*X86)+NORMSDIST(6*S86-3*X86)-1))</f>
        <v>#REF!</v>
      </c>
      <c r="Z86" s="22"/>
      <c r="AA86" s="22"/>
      <c r="AB86" s="22"/>
      <c r="AC86" s="22"/>
      <c r="AD86" s="19"/>
      <c r="AE86" s="14"/>
      <c r="AF86" s="74"/>
      <c r="AG86" s="49"/>
      <c r="AH86" s="49"/>
      <c r="AI86" s="50"/>
      <c r="AJ86" s="15"/>
      <c r="AK86" s="79" t="e">
        <f>#REF!</f>
        <v>#REF!</v>
      </c>
      <c r="AL86" s="79" t="e">
        <f>#REF!</f>
        <v>#REF!</v>
      </c>
      <c r="AM86" s="79" t="e">
        <f>#REF!</f>
        <v>#REF!</v>
      </c>
      <c r="AN86" s="77"/>
      <c r="AO86" s="77"/>
      <c r="AP86" s="77"/>
      <c r="AQ86" s="77"/>
      <c r="AR86" s="77"/>
      <c r="AS86" s="77"/>
      <c r="AT86" s="77"/>
      <c r="AU86" s="77"/>
      <c r="AV86" s="77"/>
      <c r="AW86" s="77"/>
      <c r="AX86" s="77"/>
      <c r="AY86" s="77"/>
      <c r="AZ86" s="77"/>
      <c r="BA86" s="77"/>
      <c r="BB86" s="77"/>
      <c r="BC86" s="77"/>
      <c r="BD86" s="77"/>
      <c r="BE86" s="77"/>
      <c r="BF86" s="77"/>
      <c r="BG86" s="77"/>
      <c r="BH86" s="77"/>
      <c r="BI86" s="77"/>
      <c r="BJ86" s="77"/>
      <c r="BK86" s="77"/>
      <c r="BL86" s="77"/>
      <c r="BM86" s="77"/>
      <c r="BN86" s="77"/>
      <c r="BO86" s="77"/>
      <c r="BP86" s="77"/>
      <c r="BR86" s="123" t="str">
        <f t="shared" si="11"/>
        <v>FAI35</v>
      </c>
      <c r="BS86" s="120">
        <f>OOC!G86</f>
        <v>13.644</v>
      </c>
      <c r="BT86" s="120">
        <f>OOC!H86</f>
        <v>13.584000000000001</v>
      </c>
      <c r="BU86" s="2" t="e">
        <f t="shared" si="12"/>
        <v>#REF!</v>
      </c>
      <c r="BV86" s="2" t="e">
        <f t="shared" si="13"/>
        <v>#REF!</v>
      </c>
      <c r="BW86" s="2" t="e">
        <f t="shared" si="14"/>
        <v>#REF!</v>
      </c>
      <c r="BX86" s="121" t="e">
        <f>IF(AND(IF(OOC!G86="",0,OOC!G86) &gt;= IF(O86="",0,O86), IF(O86="",0,O86) &gt; IF(L86="",0,L86)), "OOC",
IF(AND(IF(M86="",0,M86) &gt; IF(P86="",0,P86), IF(P86="",0,P86) &gt;= IF(OOC!H86="",0,OOC!H86)), "OOC",
IF(IF(O86="",0,O86) &gt; IF(OOC!G86="",0,OOC!G86), "OOS",
IF(IF(OOC!H86="",0,OOC!H86) &gt; IF(P86="",0,P86), "OOS", "OK"))))</f>
        <v>#REF!</v>
      </c>
    </row>
    <row r="87" spans="1:76" ht="15" customHeight="1">
      <c r="A87" s="13"/>
      <c r="B87" s="88"/>
      <c r="C87" s="78" t="s">
        <v>127</v>
      </c>
      <c r="D87" s="89" t="s">
        <v>117</v>
      </c>
      <c r="E87" s="90"/>
      <c r="F87" s="66" t="s">
        <v>44</v>
      </c>
      <c r="G87" s="91">
        <v>1.9510000000000001</v>
      </c>
      <c r="H87" s="92" t="str">
        <f>IF(OOC!S87=0,"",OOC!S87)</f>
        <v/>
      </c>
      <c r="I87" s="92" t="str">
        <f>IF(OOC!T87=0,"",OOC!T87)</f>
        <v/>
      </c>
      <c r="J87" s="68" t="s">
        <v>12</v>
      </c>
      <c r="K87" s="69" t="s">
        <v>80</v>
      </c>
      <c r="L87" s="70" t="e">
        <f t="shared" si="29"/>
        <v>#VALUE!</v>
      </c>
      <c r="M87" s="70" t="e">
        <f t="shared" si="30"/>
        <v>#VALUE!</v>
      </c>
      <c r="N87" s="71"/>
      <c r="O87" s="2" t="e">
        <f t="shared" si="31"/>
        <v>#REF!</v>
      </c>
      <c r="P87" s="2" t="e">
        <f t="shared" si="32"/>
        <v>#REF!</v>
      </c>
      <c r="Q87" s="2" t="e">
        <f t="shared" si="33"/>
        <v>#REF!</v>
      </c>
      <c r="R87" s="3" t="e">
        <f t="shared" si="34"/>
        <v>#REF!</v>
      </c>
      <c r="S87" s="4" t="e">
        <f t="shared" si="10"/>
        <v>#REF!</v>
      </c>
      <c r="T87" s="84" t="e">
        <f t="shared" si="35"/>
        <v>#REF!</v>
      </c>
      <c r="U87" s="85" t="e">
        <f t="shared" si="36"/>
        <v>#REF!</v>
      </c>
      <c r="V87" s="4" t="e">
        <f t="shared" si="37"/>
        <v>#REF!</v>
      </c>
      <c r="W87" s="4" t="e">
        <f t="shared" si="38"/>
        <v>#REF!</v>
      </c>
      <c r="X87" s="4" t="e">
        <f t="shared" si="39"/>
        <v>#REF!</v>
      </c>
      <c r="Y87" s="62" t="e">
        <f t="shared" si="40"/>
        <v>#REF!</v>
      </c>
      <c r="Z87" s="22"/>
      <c r="AA87" s="22"/>
      <c r="AB87" s="22"/>
      <c r="AC87" s="22"/>
      <c r="AD87" s="19"/>
      <c r="AE87" s="14"/>
      <c r="AF87" s="74"/>
      <c r="AG87" s="49"/>
      <c r="AH87" s="49"/>
      <c r="AI87" s="50"/>
      <c r="AJ87" s="15"/>
      <c r="AK87" s="79" t="e">
        <f>#REF!</f>
        <v>#REF!</v>
      </c>
      <c r="AL87" s="79" t="e">
        <f>#REF!</f>
        <v>#REF!</v>
      </c>
      <c r="AM87" s="79" t="e">
        <f>#REF!</f>
        <v>#REF!</v>
      </c>
      <c r="AN87" s="77"/>
      <c r="AO87" s="77"/>
      <c r="AP87" s="77"/>
      <c r="AQ87" s="77"/>
      <c r="AR87" s="77"/>
      <c r="AS87" s="77"/>
      <c r="AT87" s="77"/>
      <c r="AU87" s="77"/>
      <c r="AV87" s="77"/>
      <c r="AW87" s="77"/>
      <c r="AX87" s="77"/>
      <c r="AY87" s="77"/>
      <c r="AZ87" s="77"/>
      <c r="BA87" s="77"/>
      <c r="BB87" s="77"/>
      <c r="BC87" s="77"/>
      <c r="BD87" s="77"/>
      <c r="BE87" s="77"/>
      <c r="BF87" s="77"/>
      <c r="BG87" s="77"/>
      <c r="BH87" s="77"/>
      <c r="BI87" s="77"/>
      <c r="BJ87" s="77"/>
      <c r="BK87" s="77"/>
      <c r="BL87" s="77"/>
      <c r="BM87" s="77"/>
      <c r="BN87" s="77"/>
      <c r="BO87" s="77"/>
      <c r="BP87" s="77"/>
      <c r="BR87" s="123" t="str">
        <f t="shared" si="11"/>
        <v>FAI36</v>
      </c>
      <c r="BS87" s="120">
        <f>OOC!G87</f>
        <v>1.9810000000000001</v>
      </c>
      <c r="BT87" s="120">
        <f>OOC!H87</f>
        <v>1.921</v>
      </c>
      <c r="BU87" s="2" t="e">
        <f t="shared" si="12"/>
        <v>#REF!</v>
      </c>
      <c r="BV87" s="2" t="e">
        <f t="shared" si="13"/>
        <v>#REF!</v>
      </c>
      <c r="BW87" s="2" t="e">
        <f t="shared" si="14"/>
        <v>#REF!</v>
      </c>
      <c r="BX87" s="121" t="e">
        <f>IF(AND(IF(OOC!G87="",0,OOC!G87) &gt;= IF(O87="",0,O87), IF(O87="",0,O87) &gt; IF(L87="",0,L87)), "OOC",
IF(AND(IF(M87="",0,M87) &gt; IF(P87="",0,P87), IF(P87="",0,P87) &gt;= IF(OOC!H87="",0,OOC!H87)), "OOC",
IF(IF(O87="",0,O87) &gt; IF(OOC!G87="",0,OOC!G87), "OOS",
IF(IF(OOC!H87="",0,OOC!H87) &gt; IF(P87="",0,P87), "OOS", "OK"))))</f>
        <v>#REF!</v>
      </c>
    </row>
    <row r="88" spans="1:76" ht="15" customHeight="1">
      <c r="A88" s="13"/>
      <c r="B88" s="88"/>
      <c r="C88" s="78" t="s">
        <v>128</v>
      </c>
      <c r="D88" s="89" t="s">
        <v>117</v>
      </c>
      <c r="E88" s="90"/>
      <c r="F88" s="66" t="s">
        <v>44</v>
      </c>
      <c r="G88" s="91">
        <v>2.355</v>
      </c>
      <c r="H88" s="92" t="str">
        <f>IF(OOC!S88=0,"",OOC!S88)</f>
        <v/>
      </c>
      <c r="I88" s="92" t="str">
        <f>IF(OOC!T88=0,"",OOC!T88)</f>
        <v/>
      </c>
      <c r="J88" s="68" t="s">
        <v>12</v>
      </c>
      <c r="K88" s="69" t="s">
        <v>80</v>
      </c>
      <c r="L88" s="70" t="e">
        <f t="shared" si="29"/>
        <v>#VALUE!</v>
      </c>
      <c r="M88" s="70" t="e">
        <f t="shared" si="30"/>
        <v>#VALUE!</v>
      </c>
      <c r="N88" s="71"/>
      <c r="O88" s="2" t="e">
        <f t="shared" si="31"/>
        <v>#REF!</v>
      </c>
      <c r="P88" s="2" t="e">
        <f t="shared" si="32"/>
        <v>#REF!</v>
      </c>
      <c r="Q88" s="2" t="e">
        <f t="shared" si="33"/>
        <v>#REF!</v>
      </c>
      <c r="R88" s="3" t="e">
        <f t="shared" si="34"/>
        <v>#REF!</v>
      </c>
      <c r="S88" s="4" t="e">
        <f t="shared" si="10"/>
        <v>#REF!</v>
      </c>
      <c r="T88" s="84" t="e">
        <f t="shared" si="35"/>
        <v>#REF!</v>
      </c>
      <c r="U88" s="85" t="e">
        <f t="shared" si="36"/>
        <v>#REF!</v>
      </c>
      <c r="V88" s="4" t="e">
        <f t="shared" si="37"/>
        <v>#REF!</v>
      </c>
      <c r="W88" s="4" t="e">
        <f t="shared" si="38"/>
        <v>#REF!</v>
      </c>
      <c r="X88" s="4" t="e">
        <f t="shared" si="39"/>
        <v>#REF!</v>
      </c>
      <c r="Y88" s="62" t="e">
        <f t="shared" si="40"/>
        <v>#REF!</v>
      </c>
      <c r="Z88" s="22"/>
      <c r="AA88" s="22"/>
      <c r="AB88" s="22"/>
      <c r="AC88" s="22"/>
      <c r="AD88" s="19"/>
      <c r="AE88" s="14"/>
      <c r="AF88" s="74"/>
      <c r="AG88" s="49"/>
      <c r="AH88" s="49"/>
      <c r="AI88" s="50"/>
      <c r="AJ88" s="15"/>
      <c r="AK88" s="79" t="e">
        <f>#REF!</f>
        <v>#REF!</v>
      </c>
      <c r="AL88" s="79" t="e">
        <f>#REF!</f>
        <v>#REF!</v>
      </c>
      <c r="AM88" s="79" t="e">
        <f>#REF!</f>
        <v>#REF!</v>
      </c>
      <c r="AN88" s="77"/>
      <c r="AO88" s="77"/>
      <c r="AP88" s="77"/>
      <c r="AQ88" s="77"/>
      <c r="AR88" s="77"/>
      <c r="AS88" s="77"/>
      <c r="AT88" s="77"/>
      <c r="AU88" s="77"/>
      <c r="AV88" s="77"/>
      <c r="AW88" s="77"/>
      <c r="AX88" s="77"/>
      <c r="AY88" s="77"/>
      <c r="AZ88" s="77"/>
      <c r="BA88" s="77"/>
      <c r="BB88" s="77"/>
      <c r="BC88" s="77"/>
      <c r="BD88" s="77"/>
      <c r="BE88" s="77"/>
      <c r="BF88" s="77"/>
      <c r="BG88" s="77"/>
      <c r="BH88" s="77"/>
      <c r="BI88" s="77"/>
      <c r="BJ88" s="77"/>
      <c r="BK88" s="77"/>
      <c r="BL88" s="77"/>
      <c r="BM88" s="77"/>
      <c r="BN88" s="77"/>
      <c r="BO88" s="77"/>
      <c r="BP88" s="77"/>
      <c r="BR88" s="123" t="str">
        <f t="shared" si="11"/>
        <v>FAI37</v>
      </c>
      <c r="BS88" s="120">
        <f>OOC!G88</f>
        <v>2.3849999999999998</v>
      </c>
      <c r="BT88" s="120">
        <f>OOC!H88</f>
        <v>2.3250000000000002</v>
      </c>
      <c r="BU88" s="2" t="e">
        <f t="shared" si="12"/>
        <v>#REF!</v>
      </c>
      <c r="BV88" s="2" t="e">
        <f t="shared" si="13"/>
        <v>#REF!</v>
      </c>
      <c r="BW88" s="2" t="e">
        <f t="shared" si="14"/>
        <v>#REF!</v>
      </c>
      <c r="BX88" s="121" t="e">
        <f>IF(AND(IF(OOC!G88="",0,OOC!G88) &gt;= IF(O88="",0,O88), IF(O88="",0,O88) &gt; IF(L88="",0,L88)), "OOC",
IF(AND(IF(M88="",0,M88) &gt; IF(P88="",0,P88), IF(P88="",0,P88) &gt;= IF(OOC!H88="",0,OOC!H88)), "OOC",
IF(IF(O88="",0,O88) &gt; IF(OOC!G88="",0,OOC!G88), "OOS",
IF(IF(OOC!H88="",0,OOC!H88) &gt; IF(P88="",0,P88), "OOS", "OK"))))</f>
        <v>#REF!</v>
      </c>
    </row>
    <row r="89" spans="1:76" ht="15" customHeight="1">
      <c r="A89" s="13"/>
      <c r="B89" s="88"/>
      <c r="C89" s="78" t="s">
        <v>129</v>
      </c>
      <c r="D89" s="89" t="s">
        <v>117</v>
      </c>
      <c r="E89" s="90"/>
      <c r="F89" s="66" t="s">
        <v>44</v>
      </c>
      <c r="G89" s="91">
        <v>10.182</v>
      </c>
      <c r="H89" s="92" t="str">
        <f>IF(OOC!S89=0,"",OOC!S89)</f>
        <v/>
      </c>
      <c r="I89" s="92" t="str">
        <f>IF(OOC!T89=0,"",OOC!T89)</f>
        <v/>
      </c>
      <c r="J89" s="68" t="s">
        <v>12</v>
      </c>
      <c r="K89" s="69" t="s">
        <v>80</v>
      </c>
      <c r="L89" s="70" t="e">
        <f t="shared" si="29"/>
        <v>#VALUE!</v>
      </c>
      <c r="M89" s="70" t="e">
        <f t="shared" si="30"/>
        <v>#VALUE!</v>
      </c>
      <c r="N89" s="71"/>
      <c r="O89" s="2" t="e">
        <f t="shared" si="31"/>
        <v>#REF!</v>
      </c>
      <c r="P89" s="2" t="e">
        <f t="shared" si="32"/>
        <v>#REF!</v>
      </c>
      <c r="Q89" s="2" t="e">
        <f t="shared" si="33"/>
        <v>#REF!</v>
      </c>
      <c r="R89" s="3" t="e">
        <f t="shared" si="34"/>
        <v>#REF!</v>
      </c>
      <c r="S89" s="4" t="e">
        <f t="shared" si="10"/>
        <v>#REF!</v>
      </c>
      <c r="T89" s="84" t="e">
        <f t="shared" si="35"/>
        <v>#REF!</v>
      </c>
      <c r="U89" s="85" t="e">
        <f t="shared" si="36"/>
        <v>#REF!</v>
      </c>
      <c r="V89" s="4" t="e">
        <f t="shared" si="37"/>
        <v>#REF!</v>
      </c>
      <c r="W89" s="4" t="e">
        <f t="shared" si="38"/>
        <v>#REF!</v>
      </c>
      <c r="X89" s="4" t="e">
        <f t="shared" si="39"/>
        <v>#REF!</v>
      </c>
      <c r="Y89" s="62" t="e">
        <f t="shared" si="40"/>
        <v>#REF!</v>
      </c>
      <c r="Z89" s="22"/>
      <c r="AA89" s="22"/>
      <c r="AB89" s="22"/>
      <c r="AC89" s="22"/>
      <c r="AD89" s="19"/>
      <c r="AE89" s="14"/>
      <c r="AF89" s="72"/>
      <c r="AG89" s="49"/>
      <c r="AH89" s="49"/>
      <c r="AI89" s="50"/>
      <c r="AJ89" s="15"/>
      <c r="AK89" s="79" t="e">
        <f>#REF!</f>
        <v>#REF!</v>
      </c>
      <c r="AL89" s="79" t="e">
        <f>#REF!</f>
        <v>#REF!</v>
      </c>
      <c r="AM89" s="79" t="e">
        <f>#REF!</f>
        <v>#REF!</v>
      </c>
      <c r="AN89" s="77"/>
      <c r="AO89" s="77"/>
      <c r="AP89" s="77"/>
      <c r="AQ89" s="77"/>
      <c r="AR89" s="77"/>
      <c r="AS89" s="77"/>
      <c r="AT89" s="77"/>
      <c r="AU89" s="77"/>
      <c r="AV89" s="77"/>
      <c r="AW89" s="77"/>
      <c r="AX89" s="77"/>
      <c r="AY89" s="77"/>
      <c r="AZ89" s="77"/>
      <c r="BA89" s="77"/>
      <c r="BB89" s="77"/>
      <c r="BC89" s="77"/>
      <c r="BD89" s="77"/>
      <c r="BE89" s="77"/>
      <c r="BF89" s="77"/>
      <c r="BG89" s="77"/>
      <c r="BH89" s="77"/>
      <c r="BI89" s="77"/>
      <c r="BJ89" s="77"/>
      <c r="BK89" s="77"/>
      <c r="BL89" s="77"/>
      <c r="BM89" s="77"/>
      <c r="BN89" s="77"/>
      <c r="BO89" s="77"/>
      <c r="BP89" s="77"/>
      <c r="BR89" s="123" t="str">
        <f t="shared" si="11"/>
        <v>FAI38</v>
      </c>
      <c r="BS89" s="120">
        <f>OOC!G89</f>
        <v>10.212</v>
      </c>
      <c r="BT89" s="120">
        <f>OOC!H89</f>
        <v>10.152000000000001</v>
      </c>
      <c r="BU89" s="2" t="e">
        <f t="shared" si="12"/>
        <v>#REF!</v>
      </c>
      <c r="BV89" s="2" t="e">
        <f t="shared" si="13"/>
        <v>#REF!</v>
      </c>
      <c r="BW89" s="2" t="e">
        <f t="shared" si="14"/>
        <v>#REF!</v>
      </c>
      <c r="BX89" s="121" t="e">
        <f>IF(AND(IF(OOC!G89="",0,OOC!G89) &gt;= IF(O89="",0,O89), IF(O89="",0,O89) &gt; IF(L89="",0,L89)), "OOC",
IF(AND(IF(M89="",0,M89) &gt; IF(P89="",0,P89), IF(P89="",0,P89) &gt;= IF(OOC!H89="",0,OOC!H89)), "OOC",
IF(IF(O89="",0,O89) &gt; IF(OOC!G89="",0,OOC!G89), "OOS",
IF(IF(OOC!H89="",0,OOC!H89) &gt; IF(P89="",0,P89), "OOS", "OK"))))</f>
        <v>#REF!</v>
      </c>
    </row>
    <row r="90" spans="1:76" ht="15" customHeight="1">
      <c r="A90" s="13"/>
      <c r="B90" s="88"/>
      <c r="C90" s="78" t="s">
        <v>130</v>
      </c>
      <c r="D90" s="89" t="s">
        <v>117</v>
      </c>
      <c r="E90" s="90"/>
      <c r="F90" s="66" t="s">
        <v>44</v>
      </c>
      <c r="G90" s="91">
        <v>0.2</v>
      </c>
      <c r="H90" s="92" t="str">
        <f>IF(OOC!S90=0,"",OOC!S90)</f>
        <v/>
      </c>
      <c r="I90" s="92" t="str">
        <f>IF(OOC!T90=0,"",OOC!T90)</f>
        <v/>
      </c>
      <c r="J90" s="68" t="s">
        <v>12</v>
      </c>
      <c r="K90" s="69" t="s">
        <v>80</v>
      </c>
      <c r="L90" s="70" t="e">
        <f t="shared" si="29"/>
        <v>#VALUE!</v>
      </c>
      <c r="M90" s="70" t="e">
        <f t="shared" si="30"/>
        <v>#VALUE!</v>
      </c>
      <c r="N90" s="71"/>
      <c r="O90" s="2" t="e">
        <f t="shared" si="31"/>
        <v>#REF!</v>
      </c>
      <c r="P90" s="2" t="e">
        <f t="shared" si="32"/>
        <v>#REF!</v>
      </c>
      <c r="Q90" s="2" t="e">
        <f t="shared" si="33"/>
        <v>#REF!</v>
      </c>
      <c r="R90" s="3" t="e">
        <f t="shared" si="34"/>
        <v>#REF!</v>
      </c>
      <c r="S90" s="4" t="e">
        <f t="shared" si="10"/>
        <v>#REF!</v>
      </c>
      <c r="T90" s="84" t="e">
        <f t="shared" si="35"/>
        <v>#REF!</v>
      </c>
      <c r="U90" s="85" t="e">
        <f t="shared" si="36"/>
        <v>#REF!</v>
      </c>
      <c r="V90" s="4" t="e">
        <f t="shared" si="37"/>
        <v>#REF!</v>
      </c>
      <c r="W90" s="4" t="e">
        <f t="shared" si="38"/>
        <v>#REF!</v>
      </c>
      <c r="X90" s="4" t="e">
        <f t="shared" si="39"/>
        <v>#REF!</v>
      </c>
      <c r="Y90" s="62" t="e">
        <f t="shared" si="40"/>
        <v>#REF!</v>
      </c>
      <c r="Z90" s="22"/>
      <c r="AA90" s="22"/>
      <c r="AB90" s="22"/>
      <c r="AC90" s="22"/>
      <c r="AD90" s="19"/>
      <c r="AE90" s="14"/>
      <c r="AF90" s="72"/>
      <c r="AG90" s="49"/>
      <c r="AH90" s="49"/>
      <c r="AI90" s="50"/>
      <c r="AJ90" s="15"/>
      <c r="AK90" s="79" t="e">
        <f>#REF!</f>
        <v>#REF!</v>
      </c>
      <c r="AL90" s="79" t="e">
        <f>#REF!</f>
        <v>#REF!</v>
      </c>
      <c r="AM90" s="79" t="e">
        <f>#REF!</f>
        <v>#REF!</v>
      </c>
      <c r="AN90" s="77"/>
      <c r="AO90" s="77"/>
      <c r="AP90" s="77"/>
      <c r="AQ90" s="77"/>
      <c r="AR90" s="77"/>
      <c r="AS90" s="77"/>
      <c r="AT90" s="77"/>
      <c r="AU90" s="77"/>
      <c r="AV90" s="77"/>
      <c r="AW90" s="77"/>
      <c r="AX90" s="77"/>
      <c r="AY90" s="77"/>
      <c r="AZ90" s="77"/>
      <c r="BA90" s="77"/>
      <c r="BB90" s="77"/>
      <c r="BC90" s="77"/>
      <c r="BD90" s="77"/>
      <c r="BE90" s="77"/>
      <c r="BF90" s="77"/>
      <c r="BG90" s="77"/>
      <c r="BH90" s="77"/>
      <c r="BI90" s="77"/>
      <c r="BJ90" s="77"/>
      <c r="BK90" s="77"/>
      <c r="BL90" s="77"/>
      <c r="BM90" s="77"/>
      <c r="BN90" s="77"/>
      <c r="BO90" s="77"/>
      <c r="BP90" s="77"/>
      <c r="BR90" s="123" t="str">
        <f t="shared" si="11"/>
        <v>FAI39</v>
      </c>
      <c r="BS90" s="120">
        <f>OOC!G90</f>
        <v>0.23</v>
      </c>
      <c r="BT90" s="120">
        <f>OOC!H90</f>
        <v>0.17</v>
      </c>
      <c r="BU90" s="2" t="e">
        <f t="shared" si="12"/>
        <v>#REF!</v>
      </c>
      <c r="BV90" s="2" t="e">
        <f t="shared" si="13"/>
        <v>#REF!</v>
      </c>
      <c r="BW90" s="2" t="e">
        <f t="shared" si="14"/>
        <v>#REF!</v>
      </c>
      <c r="BX90" s="121" t="e">
        <f>IF(AND(IF(OOC!G90="",0,OOC!G90) &gt;= IF(O90="",0,O90), IF(O90="",0,O90) &gt; IF(L90="",0,L90)), "OOC",
IF(AND(IF(M90="",0,M90) &gt; IF(P90="",0,P90), IF(P90="",0,P90) &gt;= IF(OOC!H90="",0,OOC!H90)), "OOC",
IF(IF(O90="",0,O90) &gt; IF(OOC!G90="",0,OOC!G90), "OOS",
IF(IF(OOC!H90="",0,OOC!H90) &gt; IF(P90="",0,P90), "OOS", "OK"))))</f>
        <v>#REF!</v>
      </c>
    </row>
    <row r="91" spans="1:76" ht="15" customHeight="1">
      <c r="A91" s="13"/>
      <c r="B91" s="88"/>
      <c r="C91" s="78" t="s">
        <v>131</v>
      </c>
      <c r="D91" s="89" t="s">
        <v>117</v>
      </c>
      <c r="E91" s="90"/>
      <c r="F91" s="66" t="s">
        <v>44</v>
      </c>
      <c r="G91" s="91">
        <v>0.35</v>
      </c>
      <c r="H91" s="92" t="str">
        <f>IF(OOC!S91=0,"",OOC!S91)</f>
        <v/>
      </c>
      <c r="I91" s="92" t="str">
        <f>IF(OOC!T91=0,"",OOC!T91)</f>
        <v/>
      </c>
      <c r="J91" s="68" t="s">
        <v>30</v>
      </c>
      <c r="K91" s="69" t="s">
        <v>80</v>
      </c>
      <c r="L91" s="70" t="e">
        <f t="shared" si="29"/>
        <v>#VALUE!</v>
      </c>
      <c r="M91" s="70" t="e">
        <f t="shared" si="30"/>
        <v>#VALUE!</v>
      </c>
      <c r="N91" s="71"/>
      <c r="O91" s="2" t="str">
        <f t="shared" si="31"/>
        <v/>
      </c>
      <c r="P91" s="2" t="str">
        <f t="shared" si="32"/>
        <v/>
      </c>
      <c r="Q91" s="2" t="str">
        <f t="shared" si="33"/>
        <v/>
      </c>
      <c r="R91" s="3" t="str">
        <f t="shared" si="34"/>
        <v/>
      </c>
      <c r="S91" s="4" t="str">
        <f t="shared" si="10"/>
        <v/>
      </c>
      <c r="T91" s="84" t="str">
        <f t="shared" si="35"/>
        <v/>
      </c>
      <c r="U91" s="85" t="str">
        <f t="shared" si="36"/>
        <v/>
      </c>
      <c r="V91" s="4" t="str">
        <f t="shared" si="37"/>
        <v/>
      </c>
      <c r="W91" s="4" t="str">
        <f t="shared" si="38"/>
        <v/>
      </c>
      <c r="X91" s="4" t="str">
        <f t="shared" si="39"/>
        <v/>
      </c>
      <c r="Y91" s="62" t="str">
        <f t="shared" si="40"/>
        <v/>
      </c>
      <c r="Z91" s="22"/>
      <c r="AA91" s="22"/>
      <c r="AB91" s="22"/>
      <c r="AC91" s="22"/>
      <c r="AD91" s="19"/>
      <c r="AE91" s="14"/>
      <c r="AF91" s="72"/>
      <c r="AG91" s="49"/>
      <c r="AH91" s="49"/>
      <c r="AI91" s="50"/>
      <c r="AJ91" s="15"/>
      <c r="AK91" s="79"/>
      <c r="AL91" s="79"/>
      <c r="AM91" s="79"/>
      <c r="AN91" s="77"/>
      <c r="AO91" s="77"/>
      <c r="AP91" s="77"/>
      <c r="AQ91" s="77"/>
      <c r="AR91" s="77"/>
      <c r="AS91" s="77"/>
      <c r="AT91" s="77"/>
      <c r="AU91" s="77"/>
      <c r="AV91" s="77"/>
      <c r="AW91" s="77"/>
      <c r="AX91" s="77"/>
      <c r="AY91" s="77"/>
      <c r="AZ91" s="77"/>
      <c r="BA91" s="77"/>
      <c r="BB91" s="77"/>
      <c r="BC91" s="77"/>
      <c r="BD91" s="77"/>
      <c r="BE91" s="77"/>
      <c r="BF91" s="77"/>
      <c r="BG91" s="77"/>
      <c r="BH91" s="77"/>
      <c r="BI91" s="77"/>
      <c r="BJ91" s="77"/>
      <c r="BK91" s="77"/>
      <c r="BL91" s="77"/>
      <c r="BM91" s="77"/>
      <c r="BN91" s="77"/>
      <c r="BO91" s="77"/>
      <c r="BP91" s="77"/>
      <c r="BR91" s="123" t="str">
        <f t="shared" si="11"/>
        <v>FAI40</v>
      </c>
      <c r="BS91" s="120">
        <f>OOC!G91</f>
        <v>0.38</v>
      </c>
      <c r="BT91" s="120">
        <f>OOC!H91</f>
        <v>0.31999999999999995</v>
      </c>
      <c r="BU91" s="2" t="str">
        <f t="shared" si="12"/>
        <v/>
      </c>
      <c r="BV91" s="2" t="str">
        <f t="shared" si="13"/>
        <v/>
      </c>
      <c r="BW91" s="2" t="str">
        <f t="shared" si="14"/>
        <v/>
      </c>
      <c r="BX91" s="121" t="e">
        <f>IF(AND(IF(OOC!G91="",0,OOC!G91) &gt;= IF(O91="",0,O91), IF(O91="",0,O91) &gt; IF(L91="",0,L91)), "OOC",
IF(AND(IF(M91="",0,M91) &gt; IF(P91="",0,P91), IF(P91="",0,P91) &gt;= IF(OOC!H91="",0,OOC!H91)), "OOC",
IF(IF(O91="",0,O91) &gt; IF(OOC!G91="",0,OOC!G91), "OOS",
IF(IF(OOC!H91="",0,OOC!H91) &gt; IF(P91="",0,P91), "OOS", "OK"))))</f>
        <v>#VALUE!</v>
      </c>
    </row>
    <row r="92" spans="1:76" ht="15" customHeight="1">
      <c r="A92" s="13"/>
      <c r="B92" s="88"/>
      <c r="C92" s="78" t="s">
        <v>131</v>
      </c>
      <c r="D92" s="89" t="s">
        <v>117</v>
      </c>
      <c r="E92" s="90"/>
      <c r="F92" s="66" t="s">
        <v>44</v>
      </c>
      <c r="G92" s="91">
        <v>0.35</v>
      </c>
      <c r="H92" s="92" t="str">
        <f>IF(OOC!S92=0,"",OOC!S92)</f>
        <v/>
      </c>
      <c r="I92" s="92" t="str">
        <f>IF(OOC!T92=0,"",OOC!T92)</f>
        <v/>
      </c>
      <c r="J92" s="68" t="s">
        <v>30</v>
      </c>
      <c r="K92" s="69" t="s">
        <v>80</v>
      </c>
      <c r="L92" s="70" t="e">
        <f t="shared" si="29"/>
        <v>#VALUE!</v>
      </c>
      <c r="M92" s="70" t="e">
        <f t="shared" si="30"/>
        <v>#VALUE!</v>
      </c>
      <c r="N92" s="71"/>
      <c r="O92" s="2" t="str">
        <f t="shared" si="31"/>
        <v/>
      </c>
      <c r="P92" s="2" t="str">
        <f t="shared" si="32"/>
        <v/>
      </c>
      <c r="Q92" s="2" t="str">
        <f t="shared" si="33"/>
        <v/>
      </c>
      <c r="R92" s="3" t="str">
        <f t="shared" si="34"/>
        <v/>
      </c>
      <c r="S92" s="4" t="str">
        <f t="shared" si="10"/>
        <v/>
      </c>
      <c r="T92" s="84" t="str">
        <f t="shared" si="35"/>
        <v/>
      </c>
      <c r="U92" s="85" t="str">
        <f t="shared" si="36"/>
        <v/>
      </c>
      <c r="V92" s="4" t="str">
        <f t="shared" si="37"/>
        <v/>
      </c>
      <c r="W92" s="4" t="str">
        <f t="shared" si="38"/>
        <v/>
      </c>
      <c r="X92" s="4" t="str">
        <f t="shared" si="39"/>
        <v/>
      </c>
      <c r="Y92" s="62" t="str">
        <f t="shared" si="40"/>
        <v/>
      </c>
      <c r="Z92" s="22"/>
      <c r="AA92" s="22"/>
      <c r="AB92" s="22"/>
      <c r="AC92" s="22"/>
      <c r="AD92" s="19"/>
      <c r="AE92" s="14"/>
      <c r="AF92" s="72"/>
      <c r="AG92" s="49"/>
      <c r="AH92" s="49"/>
      <c r="AI92" s="50"/>
      <c r="AJ92" s="15"/>
      <c r="AK92" s="79"/>
      <c r="AL92" s="79"/>
      <c r="AM92" s="79"/>
      <c r="AN92" s="77"/>
      <c r="AO92" s="77"/>
      <c r="AP92" s="77"/>
      <c r="AQ92" s="77"/>
      <c r="AR92" s="77"/>
      <c r="AS92" s="77"/>
      <c r="AT92" s="77"/>
      <c r="AU92" s="77"/>
      <c r="AV92" s="77"/>
      <c r="AW92" s="77"/>
      <c r="AX92" s="77"/>
      <c r="AY92" s="77"/>
      <c r="AZ92" s="77"/>
      <c r="BA92" s="77"/>
      <c r="BB92" s="77"/>
      <c r="BC92" s="77"/>
      <c r="BD92" s="77"/>
      <c r="BE92" s="77"/>
      <c r="BF92" s="77"/>
      <c r="BG92" s="77"/>
      <c r="BH92" s="77"/>
      <c r="BI92" s="77"/>
      <c r="BJ92" s="77"/>
      <c r="BK92" s="77"/>
      <c r="BL92" s="77"/>
      <c r="BM92" s="77"/>
      <c r="BN92" s="77"/>
      <c r="BO92" s="77"/>
      <c r="BP92" s="77"/>
      <c r="BR92" s="123" t="str">
        <f t="shared" si="11"/>
        <v>FAI40</v>
      </c>
      <c r="BS92" s="120">
        <f>OOC!G92</f>
        <v>0.38</v>
      </c>
      <c r="BT92" s="120">
        <f>OOC!H92</f>
        <v>0.31999999999999995</v>
      </c>
      <c r="BU92" s="2" t="str">
        <f t="shared" si="12"/>
        <v/>
      </c>
      <c r="BV92" s="2" t="str">
        <f t="shared" si="13"/>
        <v/>
      </c>
      <c r="BW92" s="2" t="str">
        <f t="shared" si="14"/>
        <v/>
      </c>
      <c r="BX92" s="121" t="e">
        <f>IF(AND(IF(OOC!G92="",0,OOC!G92) &gt;= IF(O92="",0,O92), IF(O92="",0,O92) &gt; IF(L92="",0,L92)), "OOC",
IF(AND(IF(M92="",0,M92) &gt; IF(P92="",0,P92), IF(P92="",0,P92) &gt;= IF(OOC!H92="",0,OOC!H92)), "OOC",
IF(IF(O92="",0,O92) &gt; IF(OOC!G92="",0,OOC!G92), "OOS",
IF(IF(OOC!H92="",0,OOC!H92) &gt; IF(P92="",0,P92), "OOS", "OK"))))</f>
        <v>#VALUE!</v>
      </c>
    </row>
    <row r="93" spans="1:76" ht="15" customHeight="1">
      <c r="A93" s="13"/>
      <c r="B93" s="88"/>
      <c r="C93" s="78" t="s">
        <v>131</v>
      </c>
      <c r="D93" s="89" t="s">
        <v>117</v>
      </c>
      <c r="E93" s="90"/>
      <c r="F93" s="66" t="s">
        <v>44</v>
      </c>
      <c r="G93" s="91">
        <v>0.35</v>
      </c>
      <c r="H93" s="92" t="str">
        <f>IF(OOC!S93=0,"",OOC!S93)</f>
        <v/>
      </c>
      <c r="I93" s="92" t="str">
        <f>IF(OOC!T93=0,"",OOC!T93)</f>
        <v/>
      </c>
      <c r="J93" s="68" t="s">
        <v>30</v>
      </c>
      <c r="K93" s="69" t="s">
        <v>80</v>
      </c>
      <c r="L93" s="70" t="e">
        <f t="shared" si="29"/>
        <v>#VALUE!</v>
      </c>
      <c r="M93" s="70" t="e">
        <f t="shared" si="30"/>
        <v>#VALUE!</v>
      </c>
      <c r="N93" s="71"/>
      <c r="O93" s="2" t="str">
        <f t="shared" si="31"/>
        <v/>
      </c>
      <c r="P93" s="2" t="str">
        <f t="shared" si="32"/>
        <v/>
      </c>
      <c r="Q93" s="2" t="str">
        <f t="shared" si="33"/>
        <v/>
      </c>
      <c r="R93" s="3" t="str">
        <f t="shared" si="34"/>
        <v/>
      </c>
      <c r="S93" s="4" t="str">
        <f t="shared" si="10"/>
        <v/>
      </c>
      <c r="T93" s="84" t="str">
        <f t="shared" si="35"/>
        <v/>
      </c>
      <c r="U93" s="85" t="str">
        <f t="shared" si="36"/>
        <v/>
      </c>
      <c r="V93" s="4" t="str">
        <f t="shared" si="37"/>
        <v/>
      </c>
      <c r="W93" s="4" t="str">
        <f t="shared" si="38"/>
        <v/>
      </c>
      <c r="X93" s="4" t="str">
        <f t="shared" si="39"/>
        <v/>
      </c>
      <c r="Y93" s="62" t="str">
        <f t="shared" si="40"/>
        <v/>
      </c>
      <c r="Z93" s="22"/>
      <c r="AA93" s="22"/>
      <c r="AB93" s="22"/>
      <c r="AC93" s="22"/>
      <c r="AD93" s="19"/>
      <c r="AE93" s="14"/>
      <c r="AF93" s="72"/>
      <c r="AG93" s="49"/>
      <c r="AH93" s="49"/>
      <c r="AI93" s="50"/>
      <c r="AJ93" s="15"/>
      <c r="AK93" s="79"/>
      <c r="AL93" s="79"/>
      <c r="AM93" s="79"/>
      <c r="AN93" s="77"/>
      <c r="AO93" s="77"/>
      <c r="AP93" s="77"/>
      <c r="AQ93" s="77"/>
      <c r="AR93" s="77"/>
      <c r="AS93" s="77"/>
      <c r="AT93" s="77"/>
      <c r="AU93" s="77"/>
      <c r="AV93" s="77"/>
      <c r="AW93" s="77"/>
      <c r="AX93" s="77"/>
      <c r="AY93" s="77"/>
      <c r="AZ93" s="77"/>
      <c r="BA93" s="77"/>
      <c r="BB93" s="77"/>
      <c r="BC93" s="77"/>
      <c r="BD93" s="77"/>
      <c r="BE93" s="77"/>
      <c r="BF93" s="77"/>
      <c r="BG93" s="77"/>
      <c r="BH93" s="77"/>
      <c r="BI93" s="77"/>
      <c r="BJ93" s="77"/>
      <c r="BK93" s="77"/>
      <c r="BL93" s="77"/>
      <c r="BM93" s="77"/>
      <c r="BN93" s="77"/>
      <c r="BO93" s="77"/>
      <c r="BP93" s="77"/>
      <c r="BR93" s="123" t="str">
        <f t="shared" si="11"/>
        <v>FAI40</v>
      </c>
      <c r="BS93" s="120">
        <f>OOC!G93</f>
        <v>0.38</v>
      </c>
      <c r="BT93" s="120">
        <f>OOC!H93</f>
        <v>0.31999999999999995</v>
      </c>
      <c r="BU93" s="2" t="str">
        <f t="shared" si="12"/>
        <v/>
      </c>
      <c r="BV93" s="2" t="str">
        <f t="shared" si="13"/>
        <v/>
      </c>
      <c r="BW93" s="2" t="str">
        <f t="shared" si="14"/>
        <v/>
      </c>
      <c r="BX93" s="121" t="e">
        <f>IF(AND(IF(OOC!G93="",0,OOC!G93) &gt;= IF(O93="",0,O93), IF(O93="",0,O93) &gt; IF(L93="",0,L93)), "OOC",
IF(AND(IF(M93="",0,M93) &gt; IF(P93="",0,P93), IF(P93="",0,P93) &gt;= IF(OOC!H93="",0,OOC!H93)), "OOC",
IF(IF(O93="",0,O93) &gt; IF(OOC!G93="",0,OOC!G93), "OOS",
IF(IF(OOC!H93="",0,OOC!H93) &gt; IF(P93="",0,P93), "OOS", "OK"))))</f>
        <v>#VALUE!</v>
      </c>
    </row>
    <row r="94" spans="1:76" ht="15" customHeight="1">
      <c r="A94" s="13"/>
      <c r="B94" s="88"/>
      <c r="C94" s="78" t="s">
        <v>131</v>
      </c>
      <c r="D94" s="89" t="s">
        <v>117</v>
      </c>
      <c r="E94" s="90"/>
      <c r="F94" s="66" t="s">
        <v>44</v>
      </c>
      <c r="G94" s="91">
        <v>0.35</v>
      </c>
      <c r="H94" s="92" t="str">
        <f>IF(OOC!S94=0,"",OOC!S94)</f>
        <v/>
      </c>
      <c r="I94" s="92" t="str">
        <f>IF(OOC!T94=0,"",OOC!T94)</f>
        <v/>
      </c>
      <c r="J94" s="68" t="s">
        <v>30</v>
      </c>
      <c r="K94" s="69" t="s">
        <v>80</v>
      </c>
      <c r="L94" s="70" t="e">
        <f t="shared" si="29"/>
        <v>#VALUE!</v>
      </c>
      <c r="M94" s="70" t="e">
        <f t="shared" si="30"/>
        <v>#VALUE!</v>
      </c>
      <c r="N94" s="71"/>
      <c r="O94" s="2" t="str">
        <f t="shared" si="31"/>
        <v/>
      </c>
      <c r="P94" s="2" t="str">
        <f t="shared" si="32"/>
        <v/>
      </c>
      <c r="Q94" s="2" t="str">
        <f t="shared" si="33"/>
        <v/>
      </c>
      <c r="R94" s="3" t="str">
        <f t="shared" si="34"/>
        <v/>
      </c>
      <c r="S94" s="4" t="str">
        <f t="shared" si="10"/>
        <v/>
      </c>
      <c r="T94" s="84" t="str">
        <f t="shared" si="35"/>
        <v/>
      </c>
      <c r="U94" s="85" t="str">
        <f t="shared" si="36"/>
        <v/>
      </c>
      <c r="V94" s="4" t="str">
        <f t="shared" si="37"/>
        <v/>
      </c>
      <c r="W94" s="4" t="str">
        <f t="shared" si="38"/>
        <v/>
      </c>
      <c r="X94" s="4" t="str">
        <f t="shared" si="39"/>
        <v/>
      </c>
      <c r="Y94" s="62" t="str">
        <f t="shared" si="40"/>
        <v/>
      </c>
      <c r="Z94" s="22"/>
      <c r="AA94" s="22"/>
      <c r="AB94" s="22"/>
      <c r="AC94" s="22"/>
      <c r="AD94" s="19"/>
      <c r="AE94" s="14"/>
      <c r="AF94" s="72"/>
      <c r="AG94" s="49"/>
      <c r="AH94" s="49"/>
      <c r="AI94" s="50"/>
      <c r="AJ94" s="15"/>
      <c r="AK94" s="79"/>
      <c r="AL94" s="79"/>
      <c r="AM94" s="79"/>
      <c r="AN94" s="77"/>
      <c r="AO94" s="77"/>
      <c r="AP94" s="77"/>
      <c r="AQ94" s="77"/>
      <c r="AR94" s="77"/>
      <c r="AS94" s="77"/>
      <c r="AT94" s="77"/>
      <c r="AU94" s="77"/>
      <c r="AV94" s="77"/>
      <c r="AW94" s="77"/>
      <c r="AX94" s="77"/>
      <c r="AY94" s="77"/>
      <c r="AZ94" s="77"/>
      <c r="BA94" s="77"/>
      <c r="BB94" s="77"/>
      <c r="BC94" s="77"/>
      <c r="BD94" s="77"/>
      <c r="BE94" s="77"/>
      <c r="BF94" s="77"/>
      <c r="BG94" s="77"/>
      <c r="BH94" s="77"/>
      <c r="BI94" s="77"/>
      <c r="BJ94" s="77"/>
      <c r="BK94" s="77"/>
      <c r="BL94" s="77"/>
      <c r="BM94" s="77"/>
      <c r="BN94" s="77"/>
      <c r="BO94" s="77"/>
      <c r="BP94" s="77"/>
      <c r="BR94" s="123" t="str">
        <f t="shared" si="11"/>
        <v>FAI40</v>
      </c>
      <c r="BS94" s="120">
        <f>OOC!G94</f>
        <v>0.38</v>
      </c>
      <c r="BT94" s="120">
        <f>OOC!H94</f>
        <v>0.31999999999999995</v>
      </c>
      <c r="BU94" s="2" t="str">
        <f t="shared" si="12"/>
        <v/>
      </c>
      <c r="BV94" s="2" t="str">
        <f t="shared" si="13"/>
        <v/>
      </c>
      <c r="BW94" s="2" t="str">
        <f t="shared" si="14"/>
        <v/>
      </c>
      <c r="BX94" s="121" t="e">
        <f>IF(AND(IF(OOC!G94="",0,OOC!G94) &gt;= IF(O94="",0,O94), IF(O94="",0,O94) &gt; IF(L94="",0,L94)), "OOC",
IF(AND(IF(M94="",0,M94) &gt; IF(P94="",0,P94), IF(P94="",0,P94) &gt;= IF(OOC!H94="",0,OOC!H94)), "OOC",
IF(IF(O94="",0,O94) &gt; IF(OOC!G94="",0,OOC!G94), "OOS",
IF(IF(OOC!H94="",0,OOC!H94) &gt; IF(P94="",0,P94), "OOS", "OK"))))</f>
        <v>#VALUE!</v>
      </c>
    </row>
    <row r="95" spans="1:76" ht="15" customHeight="1">
      <c r="A95" s="13"/>
      <c r="B95" s="88"/>
      <c r="C95" s="78" t="s">
        <v>152</v>
      </c>
      <c r="D95" s="89" t="s">
        <v>117</v>
      </c>
      <c r="E95" s="90"/>
      <c r="F95" s="66" t="s">
        <v>44</v>
      </c>
      <c r="G95" s="91">
        <v>1.9019999999999999</v>
      </c>
      <c r="H95" s="92" t="str">
        <f>IF(OOC!S95=0,"",OOC!S95)</f>
        <v/>
      </c>
      <c r="I95" s="92" t="str">
        <f>IF(OOC!T95=0,"",OOC!T95)</f>
        <v/>
      </c>
      <c r="J95" s="68" t="s">
        <v>12</v>
      </c>
      <c r="K95" s="69" t="s">
        <v>80</v>
      </c>
      <c r="L95" s="70" t="e">
        <f t="shared" si="29"/>
        <v>#VALUE!</v>
      </c>
      <c r="M95" s="70" t="e">
        <f t="shared" si="30"/>
        <v>#VALUE!</v>
      </c>
      <c r="N95" s="71"/>
      <c r="O95" s="2" t="e">
        <f t="shared" si="31"/>
        <v>#REF!</v>
      </c>
      <c r="P95" s="2" t="e">
        <f t="shared" si="32"/>
        <v>#REF!</v>
      </c>
      <c r="Q95" s="2" t="e">
        <f t="shared" si="33"/>
        <v>#REF!</v>
      </c>
      <c r="R95" s="3" t="e">
        <f t="shared" si="34"/>
        <v>#REF!</v>
      </c>
      <c r="S95" s="4" t="e">
        <f t="shared" si="10"/>
        <v>#REF!</v>
      </c>
      <c r="T95" s="84" t="e">
        <f t="shared" si="35"/>
        <v>#REF!</v>
      </c>
      <c r="U95" s="85" t="e">
        <f t="shared" si="36"/>
        <v>#REF!</v>
      </c>
      <c r="V95" s="4" t="e">
        <f t="shared" si="37"/>
        <v>#REF!</v>
      </c>
      <c r="W95" s="4" t="e">
        <f t="shared" si="38"/>
        <v>#REF!</v>
      </c>
      <c r="X95" s="4" t="e">
        <f t="shared" si="39"/>
        <v>#REF!</v>
      </c>
      <c r="Y95" s="62" t="e">
        <f t="shared" si="40"/>
        <v>#REF!</v>
      </c>
      <c r="Z95" s="22"/>
      <c r="AA95" s="22"/>
      <c r="AB95" s="22"/>
      <c r="AC95" s="22"/>
      <c r="AD95" s="19"/>
      <c r="AE95" s="14"/>
      <c r="AF95" s="72"/>
      <c r="AG95" s="49"/>
      <c r="AH95" s="49"/>
      <c r="AI95" s="50"/>
      <c r="AJ95" s="15"/>
      <c r="AK95" s="77" t="e">
        <f>#REF!</f>
        <v>#REF!</v>
      </c>
      <c r="AL95" s="77" t="e">
        <f>#REF!</f>
        <v>#REF!</v>
      </c>
      <c r="AM95" s="77" t="e">
        <f>#REF!</f>
        <v>#REF!</v>
      </c>
      <c r="AN95" s="77"/>
      <c r="AO95" s="77"/>
      <c r="AP95" s="77"/>
      <c r="AQ95" s="77"/>
      <c r="AR95" s="77"/>
      <c r="AS95" s="77"/>
      <c r="AT95" s="77"/>
      <c r="AU95" s="77"/>
      <c r="AV95" s="77"/>
      <c r="AW95" s="77"/>
      <c r="AX95" s="77"/>
      <c r="AY95" s="77"/>
      <c r="AZ95" s="77"/>
      <c r="BA95" s="77"/>
      <c r="BB95" s="77"/>
      <c r="BC95" s="77"/>
      <c r="BD95" s="77"/>
      <c r="BE95" s="77"/>
      <c r="BF95" s="77"/>
      <c r="BG95" s="77"/>
      <c r="BH95" s="77"/>
      <c r="BI95" s="77"/>
      <c r="BJ95" s="77"/>
      <c r="BK95" s="77"/>
      <c r="BL95" s="77"/>
      <c r="BM95" s="77"/>
      <c r="BN95" s="77"/>
      <c r="BO95" s="77"/>
      <c r="BP95" s="77"/>
      <c r="BR95" s="123" t="str">
        <f t="shared" si="11"/>
        <v>FAI41</v>
      </c>
      <c r="BS95" s="120">
        <f>OOC!G95</f>
        <v>1.9219999999999999</v>
      </c>
      <c r="BT95" s="120">
        <f>OOC!H95</f>
        <v>1.8819999999999999</v>
      </c>
      <c r="BU95" s="2" t="e">
        <f t="shared" si="12"/>
        <v>#REF!</v>
      </c>
      <c r="BV95" s="2" t="e">
        <f t="shared" si="13"/>
        <v>#REF!</v>
      </c>
      <c r="BW95" s="2" t="e">
        <f t="shared" si="14"/>
        <v>#REF!</v>
      </c>
      <c r="BX95" s="121" t="e">
        <f>IF(AND(IF(OOC!G95="",0,OOC!G95) &gt;= IF(O95="",0,O95), IF(O95="",0,O95) &gt; IF(L95="",0,L95)), "OOC",
IF(AND(IF(M95="",0,M95) &gt; IF(P95="",0,P95), IF(P95="",0,P95) &gt;= IF(OOC!H95="",0,OOC!H95)), "OOC",
IF(IF(O95="",0,O95) &gt; IF(OOC!G95="",0,OOC!G95), "OOS",
IF(IF(OOC!H95="",0,OOC!H95) &gt; IF(P95="",0,P95), "OOS", "OK"))))</f>
        <v>#REF!</v>
      </c>
    </row>
    <row r="96" spans="1:76" ht="15" customHeight="1">
      <c r="A96" s="13">
        <v>1</v>
      </c>
      <c r="B96" s="88"/>
      <c r="C96" s="78"/>
      <c r="D96" s="89"/>
      <c r="E96" s="90"/>
      <c r="F96" s="66"/>
      <c r="G96" s="91"/>
      <c r="H96" s="92"/>
      <c r="I96" s="92"/>
      <c r="J96" s="68"/>
      <c r="K96" s="69"/>
      <c r="L96" s="70"/>
      <c r="M96" s="70"/>
      <c r="N96" s="71"/>
      <c r="O96" s="2"/>
      <c r="P96" s="2"/>
      <c r="Q96" s="2"/>
      <c r="R96" s="3"/>
      <c r="S96" s="4"/>
      <c r="T96" s="84"/>
      <c r="U96" s="85"/>
      <c r="V96" s="4"/>
      <c r="W96" s="4"/>
      <c r="X96" s="4"/>
      <c r="Y96" s="62"/>
      <c r="Z96" s="22"/>
      <c r="AA96" s="22"/>
      <c r="AB96" s="22"/>
      <c r="AC96" s="22"/>
      <c r="AD96" s="19"/>
      <c r="AE96" s="14"/>
      <c r="AF96" s="72"/>
      <c r="AG96" s="49"/>
      <c r="AH96" s="49"/>
      <c r="AI96" s="50"/>
      <c r="AJ96" s="15"/>
      <c r="AK96" s="77"/>
      <c r="AL96" s="77"/>
      <c r="AM96" s="77"/>
      <c r="AN96" s="77"/>
      <c r="AO96" s="77"/>
      <c r="AP96" s="77"/>
      <c r="AQ96" s="77"/>
      <c r="AR96" s="77"/>
      <c r="AS96" s="77"/>
      <c r="AT96" s="77"/>
      <c r="AU96" s="77"/>
      <c r="AV96" s="77"/>
      <c r="AW96" s="77"/>
      <c r="AX96" s="77"/>
      <c r="AY96" s="77"/>
      <c r="AZ96" s="77"/>
      <c r="BA96" s="77"/>
      <c r="BB96" s="77"/>
      <c r="BC96" s="77"/>
      <c r="BD96" s="77"/>
      <c r="BE96" s="77"/>
      <c r="BF96" s="77"/>
      <c r="BG96" s="77"/>
      <c r="BH96" s="77"/>
      <c r="BI96" s="77"/>
      <c r="BJ96" s="77"/>
      <c r="BK96" s="77"/>
      <c r="BL96" s="77"/>
      <c r="BM96" s="77"/>
      <c r="BN96" s="77"/>
      <c r="BO96" s="77"/>
      <c r="BP96" s="77"/>
      <c r="BR96" s="123"/>
      <c r="BS96" s="120"/>
      <c r="BT96" s="120"/>
      <c r="BU96" s="2"/>
      <c r="BV96" s="2"/>
      <c r="BW96" s="2"/>
      <c r="BX96" s="121"/>
    </row>
    <row r="97" spans="1:76" ht="15" customHeight="1">
      <c r="A97" s="13">
        <v>2</v>
      </c>
      <c r="B97" s="88"/>
      <c r="C97" s="78"/>
      <c r="D97" s="89"/>
      <c r="E97" s="90"/>
      <c r="F97" s="66"/>
      <c r="G97" s="91"/>
      <c r="H97" s="92"/>
      <c r="I97" s="92"/>
      <c r="J97" s="68"/>
      <c r="K97" s="69"/>
      <c r="L97" s="70"/>
      <c r="M97" s="70"/>
      <c r="N97" s="71"/>
      <c r="O97" s="2"/>
      <c r="P97" s="2"/>
      <c r="Q97" s="2"/>
      <c r="R97" s="3"/>
      <c r="S97" s="4"/>
      <c r="T97" s="84"/>
      <c r="U97" s="85"/>
      <c r="V97" s="4"/>
      <c r="W97" s="4"/>
      <c r="X97" s="4"/>
      <c r="Y97" s="62"/>
      <c r="Z97" s="22"/>
      <c r="AA97" s="22"/>
      <c r="AB97" s="22"/>
      <c r="AC97" s="22"/>
      <c r="AD97" s="19"/>
      <c r="AE97" s="14"/>
      <c r="AF97" s="72"/>
      <c r="AG97" s="49"/>
      <c r="AH97" s="49"/>
      <c r="AI97" s="50"/>
      <c r="AJ97" s="15"/>
      <c r="AK97" s="77"/>
      <c r="AL97" s="77"/>
      <c r="AM97" s="77"/>
      <c r="AN97" s="77"/>
      <c r="AO97" s="77"/>
      <c r="AP97" s="77"/>
      <c r="AQ97" s="77"/>
      <c r="AR97" s="77"/>
      <c r="AS97" s="77"/>
      <c r="AT97" s="77"/>
      <c r="AU97" s="77"/>
      <c r="AV97" s="77"/>
      <c r="AW97" s="77"/>
      <c r="AX97" s="77"/>
      <c r="AY97" s="77"/>
      <c r="AZ97" s="77"/>
      <c r="BA97" s="77"/>
      <c r="BB97" s="77"/>
      <c r="BC97" s="77"/>
      <c r="BD97" s="77"/>
      <c r="BE97" s="77"/>
      <c r="BF97" s="77"/>
      <c r="BG97" s="77"/>
      <c r="BH97" s="77"/>
      <c r="BI97" s="77"/>
      <c r="BJ97" s="77"/>
      <c r="BK97" s="77"/>
      <c r="BL97" s="77"/>
      <c r="BM97" s="77"/>
      <c r="BN97" s="77"/>
      <c r="BO97" s="77"/>
      <c r="BP97" s="77"/>
      <c r="BR97" s="123"/>
      <c r="BS97" s="120"/>
      <c r="BT97" s="120"/>
      <c r="BU97" s="2"/>
      <c r="BV97" s="2"/>
      <c r="BW97" s="2"/>
      <c r="BX97" s="121"/>
    </row>
    <row r="98" spans="1:76" ht="15" customHeight="1">
      <c r="A98" s="13">
        <v>3</v>
      </c>
      <c r="B98" s="88"/>
      <c r="C98" s="78"/>
      <c r="D98" s="89"/>
      <c r="E98" s="90"/>
      <c r="F98" s="66"/>
      <c r="G98" s="91"/>
      <c r="H98" s="92"/>
      <c r="I98" s="92"/>
      <c r="J98" s="68"/>
      <c r="K98" s="69"/>
      <c r="L98" s="70"/>
      <c r="M98" s="70"/>
      <c r="N98" s="71"/>
      <c r="O98" s="2"/>
      <c r="P98" s="2"/>
      <c r="Q98" s="2"/>
      <c r="R98" s="3"/>
      <c r="S98" s="4"/>
      <c r="T98" s="84"/>
      <c r="U98" s="85"/>
      <c r="V98" s="4"/>
      <c r="W98" s="4"/>
      <c r="X98" s="4"/>
      <c r="Y98" s="62"/>
      <c r="Z98" s="22"/>
      <c r="AA98" s="22"/>
      <c r="AB98" s="22"/>
      <c r="AC98" s="22"/>
      <c r="AD98" s="19"/>
      <c r="AE98" s="14"/>
      <c r="AF98" s="72"/>
      <c r="AG98" s="49"/>
      <c r="AH98" s="49"/>
      <c r="AI98" s="50"/>
      <c r="AJ98" s="15"/>
      <c r="AK98" s="77"/>
      <c r="AL98" s="77"/>
      <c r="AM98" s="77"/>
      <c r="AN98" s="77"/>
      <c r="AO98" s="77"/>
      <c r="AP98" s="77"/>
      <c r="AQ98" s="77"/>
      <c r="AR98" s="77"/>
      <c r="AS98" s="77"/>
      <c r="AT98" s="77"/>
      <c r="AU98" s="77"/>
      <c r="AV98" s="77"/>
      <c r="AW98" s="77"/>
      <c r="AX98" s="77"/>
      <c r="AY98" s="77"/>
      <c r="AZ98" s="77"/>
      <c r="BA98" s="77"/>
      <c r="BB98" s="77"/>
      <c r="BC98" s="77"/>
      <c r="BD98" s="77"/>
      <c r="BE98" s="77"/>
      <c r="BF98" s="77"/>
      <c r="BG98" s="77"/>
      <c r="BH98" s="77"/>
      <c r="BI98" s="77"/>
      <c r="BJ98" s="77"/>
      <c r="BK98" s="77"/>
      <c r="BL98" s="77"/>
      <c r="BM98" s="77"/>
      <c r="BN98" s="77"/>
      <c r="BO98" s="77"/>
      <c r="BP98" s="77"/>
      <c r="BR98" s="123"/>
      <c r="BS98" s="120"/>
      <c r="BT98" s="120"/>
      <c r="BU98" s="2"/>
      <c r="BV98" s="2"/>
      <c r="BW98" s="2"/>
      <c r="BX98" s="121"/>
    </row>
    <row r="99" spans="1:76" ht="15" customHeight="1">
      <c r="A99" s="13">
        <v>4</v>
      </c>
      <c r="B99" s="88"/>
      <c r="C99" s="78"/>
      <c r="D99" s="89"/>
      <c r="E99" s="90"/>
      <c r="F99" s="66"/>
      <c r="G99" s="91"/>
      <c r="H99" s="92"/>
      <c r="I99" s="92"/>
      <c r="J99" s="68"/>
      <c r="K99" s="69"/>
      <c r="L99" s="70"/>
      <c r="M99" s="70"/>
      <c r="N99" s="71"/>
      <c r="O99" s="2"/>
      <c r="P99" s="2"/>
      <c r="Q99" s="2"/>
      <c r="R99" s="3"/>
      <c r="S99" s="4"/>
      <c r="T99" s="84"/>
      <c r="U99" s="85"/>
      <c r="V99" s="4"/>
      <c r="W99" s="4"/>
      <c r="X99" s="4"/>
      <c r="Y99" s="62"/>
      <c r="Z99" s="22"/>
      <c r="AA99" s="22"/>
      <c r="AB99" s="22"/>
      <c r="AC99" s="22"/>
      <c r="AD99" s="19"/>
      <c r="AE99" s="14"/>
      <c r="AF99" s="72"/>
      <c r="AG99" s="49"/>
      <c r="AH99" s="49"/>
      <c r="AI99" s="50"/>
      <c r="AJ99" s="15"/>
      <c r="AK99" s="77"/>
      <c r="AL99" s="77"/>
      <c r="AM99" s="77"/>
      <c r="AN99" s="77"/>
      <c r="AO99" s="77"/>
      <c r="AP99" s="77"/>
      <c r="AQ99" s="77"/>
      <c r="AR99" s="77"/>
      <c r="AS99" s="77"/>
      <c r="AT99" s="77"/>
      <c r="AU99" s="77"/>
      <c r="AV99" s="77"/>
      <c r="AW99" s="77"/>
      <c r="AX99" s="77"/>
      <c r="AY99" s="77"/>
      <c r="AZ99" s="77"/>
      <c r="BA99" s="77"/>
      <c r="BB99" s="77"/>
      <c r="BC99" s="77"/>
      <c r="BD99" s="77"/>
      <c r="BE99" s="77"/>
      <c r="BF99" s="77"/>
      <c r="BG99" s="77"/>
      <c r="BH99" s="77"/>
      <c r="BI99" s="77"/>
      <c r="BJ99" s="77"/>
      <c r="BK99" s="77"/>
      <c r="BL99" s="77"/>
      <c r="BM99" s="77"/>
      <c r="BN99" s="77"/>
      <c r="BO99" s="77"/>
      <c r="BP99" s="77"/>
      <c r="BR99" s="123"/>
      <c r="BS99" s="120"/>
      <c r="BT99" s="120"/>
      <c r="BU99" s="2"/>
      <c r="BV99" s="2"/>
      <c r="BW99" s="2"/>
      <c r="BX99" s="121"/>
    </row>
    <row r="100" spans="1:76" ht="15" customHeight="1">
      <c r="A100" s="13">
        <v>5</v>
      </c>
      <c r="B100" s="88"/>
      <c r="C100" s="78"/>
      <c r="D100" s="89"/>
      <c r="E100" s="90"/>
      <c r="F100" s="66"/>
      <c r="G100" s="91"/>
      <c r="H100" s="92"/>
      <c r="I100" s="92"/>
      <c r="J100" s="68"/>
      <c r="K100" s="69"/>
      <c r="L100" s="70"/>
      <c r="M100" s="70"/>
      <c r="N100" s="71"/>
      <c r="O100" s="2"/>
      <c r="P100" s="2"/>
      <c r="Q100" s="2"/>
      <c r="R100" s="3"/>
      <c r="S100" s="4"/>
      <c r="T100" s="84"/>
      <c r="U100" s="85"/>
      <c r="V100" s="4"/>
      <c r="W100" s="4"/>
      <c r="X100" s="4"/>
      <c r="Y100" s="62"/>
      <c r="Z100" s="22"/>
      <c r="AA100" s="22"/>
      <c r="AB100" s="22"/>
      <c r="AC100" s="22"/>
      <c r="AD100" s="19"/>
      <c r="AE100" s="14"/>
      <c r="AF100" s="72"/>
      <c r="AG100" s="49"/>
      <c r="AH100" s="49"/>
      <c r="AI100" s="50"/>
      <c r="AJ100" s="15"/>
      <c r="AK100" s="77"/>
      <c r="AL100" s="77"/>
      <c r="AM100" s="77"/>
      <c r="AN100" s="77"/>
      <c r="AO100" s="77"/>
      <c r="AP100" s="77"/>
      <c r="AQ100" s="77"/>
      <c r="AR100" s="77"/>
      <c r="AS100" s="77"/>
      <c r="AT100" s="77"/>
      <c r="AU100" s="77"/>
      <c r="AV100" s="77"/>
      <c r="AW100" s="77"/>
      <c r="AX100" s="77"/>
      <c r="AY100" s="77"/>
      <c r="AZ100" s="77"/>
      <c r="BA100" s="77"/>
      <c r="BB100" s="77"/>
      <c r="BC100" s="77"/>
      <c r="BD100" s="77"/>
      <c r="BE100" s="77"/>
      <c r="BF100" s="77"/>
      <c r="BG100" s="77"/>
      <c r="BH100" s="77"/>
      <c r="BI100" s="77"/>
      <c r="BJ100" s="77"/>
      <c r="BK100" s="77"/>
      <c r="BL100" s="77"/>
      <c r="BM100" s="77"/>
      <c r="BN100" s="77"/>
      <c r="BO100" s="77"/>
      <c r="BP100" s="77"/>
      <c r="BR100" s="123"/>
      <c r="BS100" s="120"/>
      <c r="BT100" s="120"/>
      <c r="BU100" s="2"/>
      <c r="BV100" s="2"/>
      <c r="BW100" s="2"/>
      <c r="BX100" s="121"/>
    </row>
    <row r="101" spans="1:76" ht="15" customHeight="1">
      <c r="A101" s="13">
        <v>6</v>
      </c>
      <c r="B101" s="88"/>
      <c r="C101" s="78"/>
      <c r="D101" s="89"/>
      <c r="E101" s="90"/>
      <c r="F101" s="66"/>
      <c r="G101" s="91"/>
      <c r="H101" s="92"/>
      <c r="I101" s="92"/>
      <c r="J101" s="68"/>
      <c r="K101" s="69"/>
      <c r="L101" s="70"/>
      <c r="M101" s="70"/>
      <c r="N101" s="71"/>
      <c r="O101" s="2"/>
      <c r="P101" s="2"/>
      <c r="Q101" s="2"/>
      <c r="R101" s="3"/>
      <c r="S101" s="4"/>
      <c r="T101" s="84"/>
      <c r="U101" s="85"/>
      <c r="V101" s="4"/>
      <c r="W101" s="4"/>
      <c r="X101" s="4"/>
      <c r="Y101" s="62"/>
      <c r="Z101" s="22"/>
      <c r="AA101" s="22"/>
      <c r="AB101" s="22"/>
      <c r="AC101" s="22"/>
      <c r="AD101" s="19"/>
      <c r="AE101" s="14"/>
      <c r="AF101" s="72"/>
      <c r="AG101" s="49"/>
      <c r="AH101" s="49"/>
      <c r="AI101" s="50"/>
      <c r="AJ101" s="15"/>
      <c r="AK101" s="77"/>
      <c r="AL101" s="77"/>
      <c r="AM101" s="77"/>
      <c r="AN101" s="77"/>
      <c r="AO101" s="77"/>
      <c r="AP101" s="77"/>
      <c r="AQ101" s="77"/>
      <c r="AR101" s="77"/>
      <c r="AS101" s="77"/>
      <c r="AT101" s="77"/>
      <c r="AU101" s="77"/>
      <c r="AV101" s="77"/>
      <c r="AW101" s="77"/>
      <c r="AX101" s="77"/>
      <c r="AY101" s="77"/>
      <c r="AZ101" s="77"/>
      <c r="BA101" s="77"/>
      <c r="BB101" s="77"/>
      <c r="BC101" s="77"/>
      <c r="BD101" s="77"/>
      <c r="BE101" s="77"/>
      <c r="BF101" s="77"/>
      <c r="BG101" s="77"/>
      <c r="BH101" s="77"/>
      <c r="BI101" s="77"/>
      <c r="BJ101" s="77"/>
      <c r="BK101" s="77"/>
      <c r="BL101" s="77"/>
      <c r="BM101" s="77"/>
      <c r="BN101" s="77"/>
      <c r="BO101" s="77"/>
      <c r="BP101" s="77"/>
      <c r="BR101" s="123"/>
      <c r="BS101" s="120"/>
      <c r="BT101" s="120"/>
      <c r="BU101" s="2"/>
      <c r="BV101" s="2"/>
      <c r="BW101" s="2"/>
      <c r="BX101" s="121"/>
    </row>
    <row r="102" spans="1:76" ht="15" customHeight="1">
      <c r="A102" s="13">
        <v>7</v>
      </c>
      <c r="B102" s="88"/>
      <c r="C102" s="78"/>
      <c r="D102" s="89"/>
      <c r="E102" s="90"/>
      <c r="F102" s="66"/>
      <c r="G102" s="91"/>
      <c r="H102" s="92"/>
      <c r="I102" s="92"/>
      <c r="J102" s="68"/>
      <c r="K102" s="69"/>
      <c r="L102" s="70"/>
      <c r="M102" s="70"/>
      <c r="N102" s="71"/>
      <c r="O102" s="2"/>
      <c r="P102" s="2"/>
      <c r="Q102" s="2"/>
      <c r="R102" s="3"/>
      <c r="S102" s="4"/>
      <c r="T102" s="84"/>
      <c r="U102" s="85"/>
      <c r="V102" s="4"/>
      <c r="W102" s="4"/>
      <c r="X102" s="4"/>
      <c r="Y102" s="62"/>
      <c r="Z102" s="22"/>
      <c r="AA102" s="22"/>
      <c r="AB102" s="22"/>
      <c r="AC102" s="22"/>
      <c r="AD102" s="19"/>
      <c r="AE102" s="14"/>
      <c r="AF102" s="72"/>
      <c r="AG102" s="49"/>
      <c r="AH102" s="49"/>
      <c r="AI102" s="50"/>
      <c r="AJ102" s="15"/>
      <c r="AK102" s="77"/>
      <c r="AL102" s="77"/>
      <c r="AM102" s="77"/>
      <c r="AN102" s="77"/>
      <c r="AO102" s="77"/>
      <c r="AP102" s="77"/>
      <c r="AQ102" s="77"/>
      <c r="AR102" s="77"/>
      <c r="AS102" s="77"/>
      <c r="AT102" s="77"/>
      <c r="AU102" s="77"/>
      <c r="AV102" s="77"/>
      <c r="AW102" s="77"/>
      <c r="AX102" s="77"/>
      <c r="AY102" s="77"/>
      <c r="AZ102" s="77"/>
      <c r="BA102" s="77"/>
      <c r="BB102" s="77"/>
      <c r="BC102" s="77"/>
      <c r="BD102" s="77"/>
      <c r="BE102" s="77"/>
      <c r="BF102" s="77"/>
      <c r="BG102" s="77"/>
      <c r="BH102" s="77"/>
      <c r="BI102" s="77"/>
      <c r="BJ102" s="77"/>
      <c r="BK102" s="77"/>
      <c r="BL102" s="77"/>
      <c r="BM102" s="77"/>
      <c r="BN102" s="77"/>
      <c r="BO102" s="77"/>
      <c r="BP102" s="77"/>
      <c r="BR102" s="123"/>
      <c r="BS102" s="120"/>
      <c r="BT102" s="120"/>
      <c r="BU102" s="2"/>
      <c r="BV102" s="2"/>
      <c r="BW102" s="2"/>
      <c r="BX102" s="121"/>
    </row>
    <row r="103" spans="1:76" ht="15" customHeight="1">
      <c r="A103" s="13">
        <v>8</v>
      </c>
      <c r="B103" s="88"/>
      <c r="C103" s="78"/>
      <c r="D103" s="89"/>
      <c r="E103" s="90"/>
      <c r="F103" s="66"/>
      <c r="G103" s="91"/>
      <c r="H103" s="92"/>
      <c r="I103" s="92"/>
      <c r="J103" s="68"/>
      <c r="K103" s="69"/>
      <c r="L103" s="70"/>
      <c r="M103" s="70"/>
      <c r="N103" s="71"/>
      <c r="O103" s="2"/>
      <c r="P103" s="2"/>
      <c r="Q103" s="2"/>
      <c r="R103" s="3"/>
      <c r="S103" s="4"/>
      <c r="T103" s="84"/>
      <c r="U103" s="85"/>
      <c r="V103" s="4"/>
      <c r="W103" s="4"/>
      <c r="X103" s="4"/>
      <c r="Y103" s="62"/>
      <c r="Z103" s="22"/>
      <c r="AA103" s="22"/>
      <c r="AB103" s="22"/>
      <c r="AC103" s="22"/>
      <c r="AD103" s="19"/>
      <c r="AE103" s="14"/>
      <c r="AF103" s="72"/>
      <c r="AG103" s="49"/>
      <c r="AH103" s="49"/>
      <c r="AI103" s="50"/>
      <c r="AJ103" s="15"/>
      <c r="AK103" s="77"/>
      <c r="AL103" s="77"/>
      <c r="AM103" s="77"/>
      <c r="AN103" s="77"/>
      <c r="AO103" s="77"/>
      <c r="AP103" s="77"/>
      <c r="AQ103" s="77"/>
      <c r="AR103" s="77"/>
      <c r="AS103" s="77"/>
      <c r="AT103" s="77"/>
      <c r="AU103" s="77"/>
      <c r="AV103" s="77"/>
      <c r="AW103" s="77"/>
      <c r="AX103" s="77"/>
      <c r="AY103" s="77"/>
      <c r="AZ103" s="77"/>
      <c r="BA103" s="77"/>
      <c r="BB103" s="77"/>
      <c r="BC103" s="77"/>
      <c r="BD103" s="77"/>
      <c r="BE103" s="77"/>
      <c r="BF103" s="77"/>
      <c r="BG103" s="77"/>
      <c r="BH103" s="77"/>
      <c r="BI103" s="77"/>
      <c r="BJ103" s="77"/>
      <c r="BK103" s="77"/>
      <c r="BL103" s="77"/>
      <c r="BM103" s="77"/>
      <c r="BN103" s="77"/>
      <c r="BO103" s="77"/>
      <c r="BP103" s="77"/>
      <c r="BR103" s="123"/>
      <c r="BS103" s="120"/>
      <c r="BT103" s="120"/>
      <c r="BU103" s="2"/>
      <c r="BV103" s="2"/>
      <c r="BW103" s="2"/>
      <c r="BX103" s="121"/>
    </row>
    <row r="104" spans="1:76" ht="15" customHeight="1">
      <c r="A104" s="13">
        <v>9</v>
      </c>
      <c r="B104" s="88"/>
      <c r="C104" s="78"/>
      <c r="D104" s="89"/>
      <c r="E104" s="90"/>
      <c r="F104" s="66"/>
      <c r="G104" s="91"/>
      <c r="H104" s="92"/>
      <c r="I104" s="92"/>
      <c r="J104" s="68"/>
      <c r="K104" s="69"/>
      <c r="L104" s="70"/>
      <c r="M104" s="70"/>
      <c r="N104" s="71"/>
      <c r="O104" s="2"/>
      <c r="P104" s="2"/>
      <c r="Q104" s="2"/>
      <c r="R104" s="3"/>
      <c r="S104" s="4"/>
      <c r="T104" s="84"/>
      <c r="U104" s="85"/>
      <c r="V104" s="4"/>
      <c r="W104" s="4"/>
      <c r="X104" s="4"/>
      <c r="Y104" s="62"/>
      <c r="Z104" s="22"/>
      <c r="AA104" s="22"/>
      <c r="AB104" s="22"/>
      <c r="AC104" s="22"/>
      <c r="AD104" s="19"/>
      <c r="AE104" s="14"/>
      <c r="AF104" s="72"/>
      <c r="AG104" s="49"/>
      <c r="AH104" s="49"/>
      <c r="AI104" s="50"/>
      <c r="AJ104" s="15"/>
      <c r="AK104" s="77"/>
      <c r="AL104" s="77"/>
      <c r="AM104" s="77"/>
      <c r="AN104" s="77"/>
      <c r="AO104" s="77"/>
      <c r="AP104" s="77"/>
      <c r="AQ104" s="77"/>
      <c r="AR104" s="77"/>
      <c r="AS104" s="77"/>
      <c r="AT104" s="77"/>
      <c r="AU104" s="77"/>
      <c r="AV104" s="77"/>
      <c r="AW104" s="77"/>
      <c r="AX104" s="77"/>
      <c r="AY104" s="77"/>
      <c r="AZ104" s="77"/>
      <c r="BA104" s="77"/>
      <c r="BB104" s="77"/>
      <c r="BC104" s="77"/>
      <c r="BD104" s="77"/>
      <c r="BE104" s="77"/>
      <c r="BF104" s="77"/>
      <c r="BG104" s="77"/>
      <c r="BH104" s="77"/>
      <c r="BI104" s="77"/>
      <c r="BJ104" s="77"/>
      <c r="BK104" s="77"/>
      <c r="BL104" s="77"/>
      <c r="BM104" s="77"/>
      <c r="BN104" s="77"/>
      <c r="BO104" s="77"/>
      <c r="BP104" s="77"/>
      <c r="BR104" s="123"/>
      <c r="BS104" s="120"/>
      <c r="BT104" s="120"/>
      <c r="BU104" s="2"/>
      <c r="BV104" s="2"/>
      <c r="BW104" s="2"/>
      <c r="BX104" s="121"/>
    </row>
    <row r="105" spans="1:76" ht="15" customHeight="1">
      <c r="A105" s="13">
        <v>10</v>
      </c>
      <c r="B105" s="88"/>
      <c r="C105" s="78"/>
      <c r="D105" s="89"/>
      <c r="E105" s="90"/>
      <c r="F105" s="66"/>
      <c r="G105" s="91"/>
      <c r="H105" s="92"/>
      <c r="I105" s="92"/>
      <c r="J105" s="68"/>
      <c r="K105" s="69"/>
      <c r="L105" s="70"/>
      <c r="M105" s="70"/>
      <c r="N105" s="71"/>
      <c r="O105" s="2"/>
      <c r="P105" s="2"/>
      <c r="Q105" s="2"/>
      <c r="R105" s="3"/>
      <c r="S105" s="4"/>
      <c r="T105" s="84"/>
      <c r="U105" s="85"/>
      <c r="V105" s="4"/>
      <c r="W105" s="4"/>
      <c r="X105" s="4"/>
      <c r="Y105" s="62"/>
      <c r="Z105" s="22"/>
      <c r="AA105" s="22"/>
      <c r="AB105" s="22"/>
      <c r="AC105" s="22"/>
      <c r="AD105" s="19"/>
      <c r="AE105" s="14"/>
      <c r="AF105" s="72"/>
      <c r="AG105" s="49"/>
      <c r="AH105" s="49"/>
      <c r="AI105" s="50"/>
      <c r="AJ105" s="15"/>
      <c r="AK105" s="77"/>
      <c r="AL105" s="77"/>
      <c r="AM105" s="77"/>
      <c r="AN105" s="77"/>
      <c r="AO105" s="77"/>
      <c r="AP105" s="77"/>
      <c r="AQ105" s="77"/>
      <c r="AR105" s="77"/>
      <c r="AS105" s="77"/>
      <c r="AT105" s="77"/>
      <c r="AU105" s="77"/>
      <c r="AV105" s="77"/>
      <c r="AW105" s="77"/>
      <c r="AX105" s="77"/>
      <c r="AY105" s="77"/>
      <c r="AZ105" s="77"/>
      <c r="BA105" s="77"/>
      <c r="BB105" s="77"/>
      <c r="BC105" s="77"/>
      <c r="BD105" s="77"/>
      <c r="BE105" s="77"/>
      <c r="BF105" s="77"/>
      <c r="BG105" s="77"/>
      <c r="BH105" s="77"/>
      <c r="BI105" s="77"/>
      <c r="BJ105" s="77"/>
      <c r="BK105" s="77"/>
      <c r="BL105" s="77"/>
      <c r="BM105" s="77"/>
      <c r="BN105" s="77"/>
      <c r="BO105" s="77"/>
      <c r="BP105" s="77"/>
      <c r="BR105" s="123"/>
      <c r="BS105" s="120"/>
      <c r="BT105" s="120"/>
      <c r="BU105" s="2"/>
      <c r="BV105" s="2"/>
      <c r="BW105" s="2"/>
      <c r="BX105" s="121"/>
    </row>
    <row r="106" spans="1:76" ht="15" customHeight="1">
      <c r="A106" s="13">
        <v>11</v>
      </c>
      <c r="B106" s="88"/>
      <c r="C106" s="78"/>
      <c r="D106" s="89"/>
      <c r="E106" s="90"/>
      <c r="F106" s="66"/>
      <c r="G106" s="91"/>
      <c r="H106" s="92"/>
      <c r="I106" s="92"/>
      <c r="J106" s="68"/>
      <c r="K106" s="69"/>
      <c r="L106" s="70"/>
      <c r="M106" s="70"/>
      <c r="N106" s="71"/>
      <c r="O106" s="2"/>
      <c r="P106" s="2"/>
      <c r="Q106" s="2"/>
      <c r="R106" s="3"/>
      <c r="S106" s="4"/>
      <c r="T106" s="84"/>
      <c r="U106" s="85"/>
      <c r="V106" s="4"/>
      <c r="W106" s="4"/>
      <c r="X106" s="4"/>
      <c r="Y106" s="62"/>
      <c r="Z106" s="22"/>
      <c r="AA106" s="22"/>
      <c r="AB106" s="22"/>
      <c r="AC106" s="22"/>
      <c r="AD106" s="19"/>
      <c r="AE106" s="14"/>
      <c r="AF106" s="72"/>
      <c r="AG106" s="49"/>
      <c r="AH106" s="49"/>
      <c r="AI106" s="50"/>
      <c r="AJ106" s="15"/>
      <c r="AK106" s="77"/>
      <c r="AL106" s="77"/>
      <c r="AM106" s="77"/>
      <c r="AN106" s="77"/>
      <c r="AO106" s="77"/>
      <c r="AP106" s="77"/>
      <c r="AQ106" s="77"/>
      <c r="AR106" s="77"/>
      <c r="AS106" s="77"/>
      <c r="AT106" s="77"/>
      <c r="AU106" s="77"/>
      <c r="AV106" s="77"/>
      <c r="AW106" s="77"/>
      <c r="AX106" s="77"/>
      <c r="AY106" s="77"/>
      <c r="AZ106" s="77"/>
      <c r="BA106" s="77"/>
      <c r="BB106" s="77"/>
      <c r="BC106" s="77"/>
      <c r="BD106" s="77"/>
      <c r="BE106" s="77"/>
      <c r="BF106" s="77"/>
      <c r="BG106" s="77"/>
      <c r="BH106" s="77"/>
      <c r="BI106" s="77"/>
      <c r="BJ106" s="77"/>
      <c r="BK106" s="77"/>
      <c r="BL106" s="77"/>
      <c r="BM106" s="77"/>
      <c r="BN106" s="77"/>
      <c r="BO106" s="77"/>
      <c r="BP106" s="77"/>
      <c r="BR106" s="123"/>
      <c r="BS106" s="120"/>
      <c r="BT106" s="120"/>
      <c r="BU106" s="2"/>
      <c r="BV106" s="2"/>
      <c r="BW106" s="2"/>
      <c r="BX106" s="121"/>
    </row>
    <row r="107" spans="1:76" ht="15" customHeight="1">
      <c r="A107" s="13"/>
      <c r="B107" s="88"/>
      <c r="C107" s="78" t="s">
        <v>132</v>
      </c>
      <c r="D107" s="89" t="s">
        <v>117</v>
      </c>
      <c r="E107" s="90"/>
      <c r="F107" s="66" t="s">
        <v>44</v>
      </c>
      <c r="G107" s="91">
        <v>1.74</v>
      </c>
      <c r="H107" s="92" t="str">
        <f>IF(OOC!S107=0,"",OOC!S107)</f>
        <v/>
      </c>
      <c r="I107" s="92" t="str">
        <f>IF(OOC!T107=0,"",OOC!T107)</f>
        <v/>
      </c>
      <c r="J107" s="68" t="s">
        <v>12</v>
      </c>
      <c r="K107" s="69" t="s">
        <v>80</v>
      </c>
      <c r="L107" s="70" t="e">
        <f t="shared" ref="L107:L114" si="41">IF(AND(G107="",H107=""),"",IF(G107="",H107,G107+H107))</f>
        <v>#VALUE!</v>
      </c>
      <c r="M107" s="70" t="e">
        <f t="shared" ref="M107:M114" si="42">IF(AND(G107="",I107=""),"",IF(G107="",I107,G107+I107))</f>
        <v>#VALUE!</v>
      </c>
      <c r="N107" s="71"/>
      <c r="O107" s="2" t="e">
        <f t="shared" ref="O107:O119" si="43">IF(OR($AK107="",ISNUMBER($AK107)=FALSE),"",MAX(AK107:BP107))</f>
        <v>#REF!</v>
      </c>
      <c r="P107" s="2" t="e">
        <f t="shared" ref="P107:P119" si="44">IF(OR($AK107="",ISNUMBER($AK107)=FALSE),"",MIN(AK107:BP107))</f>
        <v>#REF!</v>
      </c>
      <c r="Q107" s="2" t="e">
        <f t="shared" ref="Q107:Q119" si="45">IF(OR($AK107="",ISNUMBER($AK107)=FALSE),"",AVERAGE(AK107:BP107))</f>
        <v>#REF!</v>
      </c>
      <c r="R107" s="3" t="e">
        <f t="shared" ref="R107:R119" si="46">IF(OR($AK107="",ISNUMBER($AK107)=FALSE),"",STDEV(AK107:BP107))</f>
        <v>#REF!</v>
      </c>
      <c r="S107" s="4" t="e">
        <f t="shared" si="10"/>
        <v>#REF!</v>
      </c>
      <c r="T107" s="84" t="e">
        <f t="shared" ref="T107:T116" si="47">IF(OR($AK107="",ISNUMBER($AK107)=FALSE),"",IF(AND($F107="Tolerance",$G107&lt;&gt;""),($Q107-$G107)/(($L107-$M107)/2),IF(AND($F107="GD&amp;T",$H107&lt;&gt;""),$Q107/$H107,"")))</f>
        <v>#REF!</v>
      </c>
      <c r="U107" s="85" t="e">
        <f t="shared" ref="U107:U116" si="48">IF($T107="","",IF(ABS($T107)&lt;=0.125, "Level A",IF(AND(ABS($T107)&gt;0.125,ABS($T107)&lt;=0.25), "Level B",IF(AND(ABS($T107)&gt;0.25,ABS($T107)&lt;=0.5), "Level C", IF(ABS($T107)&gt;0.5, "Level D")))))</f>
        <v>#REF!</v>
      </c>
      <c r="V107" s="4" t="e">
        <f t="shared" ref="V107:V119" si="49">IF(OR($AK107="",ISNUMBER($AK107)=FALSE),"",IF(H107="","",(L107-Q107)/(3*R107)))</f>
        <v>#REF!</v>
      </c>
      <c r="W107" s="4" t="e">
        <f t="shared" ref="W107:W119" si="50">IF(OR($AK107="",ISNUMBER($AK107)=FALSE),"",IF(I107="","",(Q107-M107)/(3*R107)))</f>
        <v>#REF!</v>
      </c>
      <c r="X107" s="4" t="e">
        <f t="shared" ref="X107:X119" si="51">IF(OR($AK107="",ISNUMBER($AK107)=FALSE),"",IF(AND(G107=0,I107=0),((H107)-(Q107))/(3*R107),MIN(V107:W107)))</f>
        <v>#REF!</v>
      </c>
      <c r="Y107" s="62" t="e">
        <f t="shared" ref="Y107:Y119" si="52">IF(OR($AK107="",ISNUMBER($AK107)=FALSE),"",IF(AND(G107=0,I107=0),NORMSDIST(3*X107),NORMSDIST(3*X107)+NORMSDIST(6*S107-3*X107)-1))</f>
        <v>#REF!</v>
      </c>
      <c r="Z107" s="22"/>
      <c r="AA107" s="22"/>
      <c r="AB107" s="22"/>
      <c r="AC107" s="22"/>
      <c r="AD107" s="19"/>
      <c r="AE107" s="14"/>
      <c r="AF107" s="74"/>
      <c r="AG107" s="49"/>
      <c r="AH107" s="49"/>
      <c r="AI107" s="50"/>
      <c r="AJ107" s="15"/>
      <c r="AK107" s="77" t="e">
        <f>#REF!</f>
        <v>#REF!</v>
      </c>
      <c r="AL107" s="77" t="e">
        <f>#REF!</f>
        <v>#REF!</v>
      </c>
      <c r="AM107" s="77" t="e">
        <f>#REF!</f>
        <v>#REF!</v>
      </c>
      <c r="AN107" s="77"/>
      <c r="AO107" s="77"/>
      <c r="AP107" s="77"/>
      <c r="AQ107" s="77"/>
      <c r="AR107" s="77"/>
      <c r="AS107" s="77"/>
      <c r="AT107" s="77"/>
      <c r="AU107" s="77"/>
      <c r="AV107" s="77"/>
      <c r="AW107" s="77"/>
      <c r="AX107" s="77"/>
      <c r="AY107" s="77"/>
      <c r="AZ107" s="77"/>
      <c r="BA107" s="77"/>
      <c r="BB107" s="77"/>
      <c r="BC107" s="77"/>
      <c r="BD107" s="77"/>
      <c r="BE107" s="77"/>
      <c r="BF107" s="77"/>
      <c r="BG107" s="77"/>
      <c r="BH107" s="77"/>
      <c r="BI107" s="77"/>
      <c r="BJ107" s="77"/>
      <c r="BK107" s="77"/>
      <c r="BL107" s="77"/>
      <c r="BM107" s="77"/>
      <c r="BN107" s="77"/>
      <c r="BO107" s="77"/>
      <c r="BP107" s="77"/>
      <c r="BR107" s="123" t="str">
        <f t="shared" si="11"/>
        <v>FAI 54</v>
      </c>
      <c r="BS107" s="120">
        <f>OOC!G107</f>
        <v>1.77</v>
      </c>
      <c r="BT107" s="120">
        <f>OOC!H107</f>
        <v>1.71</v>
      </c>
      <c r="BU107" s="2" t="e">
        <f t="shared" si="12"/>
        <v>#REF!</v>
      </c>
      <c r="BV107" s="2" t="e">
        <f t="shared" si="13"/>
        <v>#REF!</v>
      </c>
      <c r="BW107" s="2" t="e">
        <f t="shared" si="14"/>
        <v>#REF!</v>
      </c>
      <c r="BX107" s="121" t="e">
        <f>IF(AND(IF(OOC!G107="",0,OOC!G107) &gt;= IF(O107="",0,O107), IF(O107="",0,O107) &gt; IF(L107="",0,L107)), "OOC",
IF(AND(IF(M107="",0,M107) &gt; IF(P107="",0,P107), IF(P107="",0,P107) &gt;= IF(OOC!H107="",0,OOC!H107)), "OOC",
IF(IF(O107="",0,O107) &gt; IF(OOC!G107="",0,OOC!G107), "OOS",
IF(IF(OOC!H107="",0,OOC!H107) &gt; IF(P107="",0,P107), "OOS", "OK"))))</f>
        <v>#REF!</v>
      </c>
    </row>
    <row r="108" spans="1:76" ht="15" customHeight="1">
      <c r="A108" s="13"/>
      <c r="B108" s="88"/>
      <c r="C108" s="78" t="s">
        <v>133</v>
      </c>
      <c r="D108" s="89" t="s">
        <v>117</v>
      </c>
      <c r="E108" s="90"/>
      <c r="F108" s="66" t="s">
        <v>44</v>
      </c>
      <c r="G108" s="91">
        <v>1.74</v>
      </c>
      <c r="H108" s="92" t="str">
        <f>IF(OOC!S108=0,"",OOC!S108)</f>
        <v/>
      </c>
      <c r="I108" s="92" t="str">
        <f>IF(OOC!T108=0,"",OOC!T108)</f>
        <v/>
      </c>
      <c r="J108" s="68" t="s">
        <v>12</v>
      </c>
      <c r="K108" s="69" t="s">
        <v>80</v>
      </c>
      <c r="L108" s="70" t="e">
        <f t="shared" si="41"/>
        <v>#VALUE!</v>
      </c>
      <c r="M108" s="70" t="e">
        <f t="shared" si="42"/>
        <v>#VALUE!</v>
      </c>
      <c r="N108" s="71"/>
      <c r="O108" s="2" t="e">
        <f t="shared" si="43"/>
        <v>#REF!</v>
      </c>
      <c r="P108" s="2" t="e">
        <f t="shared" si="44"/>
        <v>#REF!</v>
      </c>
      <c r="Q108" s="2" t="e">
        <f t="shared" si="45"/>
        <v>#REF!</v>
      </c>
      <c r="R108" s="3" t="e">
        <f t="shared" si="46"/>
        <v>#REF!</v>
      </c>
      <c r="S108" s="4" t="e">
        <f t="shared" si="10"/>
        <v>#REF!</v>
      </c>
      <c r="T108" s="84" t="e">
        <f t="shared" si="47"/>
        <v>#REF!</v>
      </c>
      <c r="U108" s="85" t="e">
        <f t="shared" si="48"/>
        <v>#REF!</v>
      </c>
      <c r="V108" s="4" t="e">
        <f t="shared" si="49"/>
        <v>#REF!</v>
      </c>
      <c r="W108" s="4" t="e">
        <f t="shared" si="50"/>
        <v>#REF!</v>
      </c>
      <c r="X108" s="4" t="e">
        <f t="shared" si="51"/>
        <v>#REF!</v>
      </c>
      <c r="Y108" s="62" t="e">
        <f t="shared" si="52"/>
        <v>#REF!</v>
      </c>
      <c r="Z108" s="22"/>
      <c r="AA108" s="22"/>
      <c r="AB108" s="22"/>
      <c r="AC108" s="22"/>
      <c r="AD108" s="19"/>
      <c r="AE108" s="14"/>
      <c r="AF108" s="74"/>
      <c r="AG108" s="49"/>
      <c r="AH108" s="49"/>
      <c r="AI108" s="50"/>
      <c r="AJ108" s="15"/>
      <c r="AK108" s="77" t="e">
        <f>#REF!</f>
        <v>#REF!</v>
      </c>
      <c r="AL108" s="77" t="e">
        <f>#REF!</f>
        <v>#REF!</v>
      </c>
      <c r="AM108" s="77" t="e">
        <f>#REF!</f>
        <v>#REF!</v>
      </c>
      <c r="AN108" s="77"/>
      <c r="AO108" s="77"/>
      <c r="AP108" s="77"/>
      <c r="AQ108" s="77"/>
      <c r="AR108" s="77"/>
      <c r="AS108" s="77"/>
      <c r="AT108" s="77"/>
      <c r="AU108" s="77"/>
      <c r="AV108" s="77"/>
      <c r="AW108" s="77"/>
      <c r="AX108" s="77"/>
      <c r="AY108" s="77"/>
      <c r="AZ108" s="77"/>
      <c r="BA108" s="77"/>
      <c r="BB108" s="77"/>
      <c r="BC108" s="77"/>
      <c r="BD108" s="77"/>
      <c r="BE108" s="77"/>
      <c r="BF108" s="77"/>
      <c r="BG108" s="77"/>
      <c r="BH108" s="77"/>
      <c r="BI108" s="77"/>
      <c r="BJ108" s="77"/>
      <c r="BK108" s="77"/>
      <c r="BL108" s="77"/>
      <c r="BM108" s="77"/>
      <c r="BN108" s="77"/>
      <c r="BO108" s="77"/>
      <c r="BP108" s="77"/>
      <c r="BR108" s="123" t="str">
        <f t="shared" si="11"/>
        <v>FAI 55</v>
      </c>
      <c r="BS108" s="120">
        <f>OOC!G108</f>
        <v>1.77</v>
      </c>
      <c r="BT108" s="120">
        <f>OOC!H108</f>
        <v>1.71</v>
      </c>
      <c r="BU108" s="2" t="e">
        <f t="shared" si="12"/>
        <v>#REF!</v>
      </c>
      <c r="BV108" s="2" t="e">
        <f t="shared" si="13"/>
        <v>#REF!</v>
      </c>
      <c r="BW108" s="2" t="e">
        <f t="shared" si="14"/>
        <v>#REF!</v>
      </c>
      <c r="BX108" s="121" t="e">
        <f>IF(AND(IF(OOC!G108="",0,OOC!G108) &gt;= IF(O108="",0,O108), IF(O108="",0,O108) &gt; IF(L108="",0,L108)), "OOC",
IF(AND(IF(M108="",0,M108) &gt; IF(P108="",0,P108), IF(P108="",0,P108) &gt;= IF(OOC!H108="",0,OOC!H108)), "OOC",
IF(IF(O108="",0,O108) &gt; IF(OOC!G108="",0,OOC!G108), "OOS",
IF(IF(OOC!H108="",0,OOC!H108) &gt; IF(P108="",0,P108), "OOS", "OK"))))</f>
        <v>#REF!</v>
      </c>
    </row>
    <row r="109" spans="1:76" ht="15" customHeight="1">
      <c r="A109" s="13"/>
      <c r="B109" s="88"/>
      <c r="C109" s="78" t="s">
        <v>134</v>
      </c>
      <c r="D109" s="89" t="s">
        <v>117</v>
      </c>
      <c r="E109" s="90"/>
      <c r="F109" s="66" t="s">
        <v>44</v>
      </c>
      <c r="G109" s="91">
        <v>10.772</v>
      </c>
      <c r="H109" s="92" t="str">
        <f>IF(OOC!S109=0,"",OOC!S109)</f>
        <v/>
      </c>
      <c r="I109" s="92" t="str">
        <f>IF(OOC!T109=0,"",OOC!T109)</f>
        <v/>
      </c>
      <c r="J109" s="68" t="s">
        <v>12</v>
      </c>
      <c r="K109" s="69" t="s">
        <v>80</v>
      </c>
      <c r="L109" s="70" t="e">
        <f t="shared" si="41"/>
        <v>#VALUE!</v>
      </c>
      <c r="M109" s="70" t="e">
        <f t="shared" si="42"/>
        <v>#VALUE!</v>
      </c>
      <c r="N109" s="71"/>
      <c r="O109" s="2" t="e">
        <f t="shared" si="43"/>
        <v>#REF!</v>
      </c>
      <c r="P109" s="2" t="e">
        <f t="shared" si="44"/>
        <v>#REF!</v>
      </c>
      <c r="Q109" s="2" t="e">
        <f t="shared" si="45"/>
        <v>#REF!</v>
      </c>
      <c r="R109" s="3" t="e">
        <f t="shared" si="46"/>
        <v>#REF!</v>
      </c>
      <c r="S109" s="4" t="e">
        <f t="shared" si="10"/>
        <v>#REF!</v>
      </c>
      <c r="T109" s="84" t="e">
        <f t="shared" si="47"/>
        <v>#REF!</v>
      </c>
      <c r="U109" s="85" t="e">
        <f t="shared" si="48"/>
        <v>#REF!</v>
      </c>
      <c r="V109" s="4" t="e">
        <f t="shared" si="49"/>
        <v>#REF!</v>
      </c>
      <c r="W109" s="4" t="e">
        <f t="shared" si="50"/>
        <v>#REF!</v>
      </c>
      <c r="X109" s="4" t="e">
        <f t="shared" si="51"/>
        <v>#REF!</v>
      </c>
      <c r="Y109" s="62" t="e">
        <f t="shared" si="52"/>
        <v>#REF!</v>
      </c>
      <c r="Z109" s="22"/>
      <c r="AA109" s="22"/>
      <c r="AB109" s="22"/>
      <c r="AC109" s="22"/>
      <c r="AD109" s="19"/>
      <c r="AE109" s="14"/>
      <c r="AF109" s="72"/>
      <c r="AG109" s="49"/>
      <c r="AH109" s="49"/>
      <c r="AI109" s="50"/>
      <c r="AJ109" s="15"/>
      <c r="AK109" s="77" t="e">
        <f>#REF!</f>
        <v>#REF!</v>
      </c>
      <c r="AL109" s="77" t="e">
        <f>#REF!</f>
        <v>#REF!</v>
      </c>
      <c r="AM109" s="77" t="e">
        <f>#REF!</f>
        <v>#REF!</v>
      </c>
      <c r="AN109" s="77"/>
      <c r="AO109" s="77"/>
      <c r="AP109" s="77"/>
      <c r="AQ109" s="77"/>
      <c r="AR109" s="77"/>
      <c r="AS109" s="77"/>
      <c r="AT109" s="77"/>
      <c r="AU109" s="77"/>
      <c r="AV109" s="77"/>
      <c r="AW109" s="77"/>
      <c r="AX109" s="77"/>
      <c r="AY109" s="77"/>
      <c r="AZ109" s="77"/>
      <c r="BA109" s="77"/>
      <c r="BB109" s="77"/>
      <c r="BC109" s="77"/>
      <c r="BD109" s="77"/>
      <c r="BE109" s="77"/>
      <c r="BF109" s="77"/>
      <c r="BG109" s="77"/>
      <c r="BH109" s="77"/>
      <c r="BI109" s="77"/>
      <c r="BJ109" s="77"/>
      <c r="BK109" s="77"/>
      <c r="BL109" s="77"/>
      <c r="BM109" s="77"/>
      <c r="BN109" s="77"/>
      <c r="BO109" s="77"/>
      <c r="BP109" s="77"/>
      <c r="BR109" s="123" t="str">
        <f t="shared" si="11"/>
        <v>FAI 56</v>
      </c>
      <c r="BS109" s="120">
        <f>OOC!G109</f>
        <v>10.802</v>
      </c>
      <c r="BT109" s="120">
        <f>OOC!H109</f>
        <v>10.742000000000001</v>
      </c>
      <c r="BU109" s="2" t="e">
        <f t="shared" si="12"/>
        <v>#REF!</v>
      </c>
      <c r="BV109" s="2" t="e">
        <f t="shared" si="13"/>
        <v>#REF!</v>
      </c>
      <c r="BW109" s="2" t="e">
        <f t="shared" si="14"/>
        <v>#REF!</v>
      </c>
      <c r="BX109" s="121" t="e">
        <f>IF(AND(IF(OOC!G109="",0,OOC!G109) &gt;= IF(O109="",0,O109), IF(O109="",0,O109) &gt; IF(L109="",0,L109)), "OOC",
IF(AND(IF(M109="",0,M109) &gt; IF(P109="",0,P109), IF(P109="",0,P109) &gt;= IF(OOC!H109="",0,OOC!H109)), "OOC",
IF(IF(O109="",0,O109) &gt; IF(OOC!G109="",0,OOC!G109), "OOS",
IF(IF(OOC!H109="",0,OOC!H109) &gt; IF(P109="",0,P109), "OOS", "OK"))))</f>
        <v>#REF!</v>
      </c>
    </row>
    <row r="110" spans="1:76" ht="15" customHeight="1">
      <c r="A110" s="13"/>
      <c r="B110" s="88"/>
      <c r="C110" s="78" t="s">
        <v>135</v>
      </c>
      <c r="D110" s="89" t="s">
        <v>117</v>
      </c>
      <c r="E110" s="90"/>
      <c r="F110" s="66" t="s">
        <v>44</v>
      </c>
      <c r="G110" s="91">
        <v>14.853999999999999</v>
      </c>
      <c r="H110" s="92" t="str">
        <f>IF(OOC!S110=0,"",OOC!S110)</f>
        <v/>
      </c>
      <c r="I110" s="92" t="str">
        <f>IF(OOC!T110=0,"",OOC!T110)</f>
        <v/>
      </c>
      <c r="J110" s="68" t="s">
        <v>12</v>
      </c>
      <c r="K110" s="69" t="s">
        <v>80</v>
      </c>
      <c r="L110" s="70" t="e">
        <f t="shared" si="41"/>
        <v>#VALUE!</v>
      </c>
      <c r="M110" s="70" t="e">
        <f t="shared" si="42"/>
        <v>#VALUE!</v>
      </c>
      <c r="N110" s="71"/>
      <c r="O110" s="2" t="e">
        <f t="shared" si="43"/>
        <v>#REF!</v>
      </c>
      <c r="P110" s="2" t="e">
        <f t="shared" si="44"/>
        <v>#REF!</v>
      </c>
      <c r="Q110" s="2" t="e">
        <f t="shared" si="45"/>
        <v>#REF!</v>
      </c>
      <c r="R110" s="3" t="e">
        <f t="shared" si="46"/>
        <v>#REF!</v>
      </c>
      <c r="S110" s="4" t="e">
        <f t="shared" si="10"/>
        <v>#REF!</v>
      </c>
      <c r="T110" s="84" t="e">
        <f t="shared" si="47"/>
        <v>#REF!</v>
      </c>
      <c r="U110" s="85" t="e">
        <f t="shared" si="48"/>
        <v>#REF!</v>
      </c>
      <c r="V110" s="4" t="e">
        <f t="shared" si="49"/>
        <v>#REF!</v>
      </c>
      <c r="W110" s="4" t="e">
        <f t="shared" si="50"/>
        <v>#REF!</v>
      </c>
      <c r="X110" s="4" t="e">
        <f t="shared" si="51"/>
        <v>#REF!</v>
      </c>
      <c r="Y110" s="62" t="e">
        <f t="shared" si="52"/>
        <v>#REF!</v>
      </c>
      <c r="Z110" s="22"/>
      <c r="AA110" s="22"/>
      <c r="AB110" s="22"/>
      <c r="AC110" s="22"/>
      <c r="AD110" s="19"/>
      <c r="AE110" s="14"/>
      <c r="AF110" s="72"/>
      <c r="AG110" s="49"/>
      <c r="AH110" s="49"/>
      <c r="AI110" s="50"/>
      <c r="AJ110" s="15"/>
      <c r="AK110" s="77" t="e">
        <f>#REF!</f>
        <v>#REF!</v>
      </c>
      <c r="AL110" s="77" t="e">
        <f>#REF!</f>
        <v>#REF!</v>
      </c>
      <c r="AM110" s="77" t="e">
        <f>#REF!</f>
        <v>#REF!</v>
      </c>
      <c r="AN110" s="77"/>
      <c r="AO110" s="77"/>
      <c r="AP110" s="77"/>
      <c r="AQ110" s="77"/>
      <c r="AR110" s="77"/>
      <c r="AS110" s="77"/>
      <c r="AT110" s="77"/>
      <c r="AU110" s="77"/>
      <c r="AV110" s="77"/>
      <c r="AW110" s="77"/>
      <c r="AX110" s="77"/>
      <c r="AY110" s="77"/>
      <c r="AZ110" s="77"/>
      <c r="BA110" s="77"/>
      <c r="BB110" s="77"/>
      <c r="BC110" s="77"/>
      <c r="BD110" s="77"/>
      <c r="BE110" s="77"/>
      <c r="BF110" s="77"/>
      <c r="BG110" s="77"/>
      <c r="BH110" s="77"/>
      <c r="BI110" s="77"/>
      <c r="BJ110" s="77"/>
      <c r="BK110" s="77"/>
      <c r="BL110" s="77"/>
      <c r="BM110" s="77"/>
      <c r="BN110" s="77"/>
      <c r="BO110" s="77"/>
      <c r="BP110" s="77"/>
      <c r="BR110" s="123" t="str">
        <f t="shared" si="11"/>
        <v>FAI 57</v>
      </c>
      <c r="BS110" s="120">
        <f>OOC!G110</f>
        <v>14.883999999999999</v>
      </c>
      <c r="BT110" s="120">
        <f>OOC!H110</f>
        <v>14.824</v>
      </c>
      <c r="BU110" s="2" t="e">
        <f t="shared" si="12"/>
        <v>#REF!</v>
      </c>
      <c r="BV110" s="2" t="e">
        <f t="shared" si="13"/>
        <v>#REF!</v>
      </c>
      <c r="BW110" s="2" t="e">
        <f t="shared" si="14"/>
        <v>#REF!</v>
      </c>
      <c r="BX110" s="121" t="e">
        <f>IF(AND(IF(OOC!G110="",0,OOC!G110) &gt;= IF(O110="",0,O110), IF(O110="",0,O110) &gt; IF(L110="",0,L110)), "OOC",
IF(AND(IF(M110="",0,M110) &gt; IF(P110="",0,P110), IF(P110="",0,P110) &gt;= IF(OOC!H110="",0,OOC!H110)), "OOC",
IF(IF(O110="",0,O110) &gt; IF(OOC!G110="",0,OOC!G110), "OOS",
IF(IF(OOC!H110="",0,OOC!H110) &gt; IF(P110="",0,P110), "OOS", "OK"))))</f>
        <v>#REF!</v>
      </c>
    </row>
    <row r="111" spans="1:76" ht="15" customHeight="1">
      <c r="A111" s="13"/>
      <c r="B111" s="88"/>
      <c r="C111" s="78" t="s">
        <v>136</v>
      </c>
      <c r="D111" s="89" t="s">
        <v>117</v>
      </c>
      <c r="E111" s="90"/>
      <c r="F111" s="66" t="s">
        <v>44</v>
      </c>
      <c r="G111" s="91">
        <v>13.27</v>
      </c>
      <c r="H111" s="92" t="str">
        <f>IF(OOC!S111=0,"",OOC!S111)</f>
        <v/>
      </c>
      <c r="I111" s="92" t="str">
        <f>IF(OOC!T111=0,"",OOC!T111)</f>
        <v/>
      </c>
      <c r="J111" s="68" t="s">
        <v>12</v>
      </c>
      <c r="K111" s="69" t="s">
        <v>80</v>
      </c>
      <c r="L111" s="70" t="e">
        <f t="shared" si="41"/>
        <v>#VALUE!</v>
      </c>
      <c r="M111" s="70" t="e">
        <f t="shared" si="42"/>
        <v>#VALUE!</v>
      </c>
      <c r="N111" s="71"/>
      <c r="O111" s="2" t="e">
        <f t="shared" si="43"/>
        <v>#REF!</v>
      </c>
      <c r="P111" s="2" t="e">
        <f t="shared" si="44"/>
        <v>#REF!</v>
      </c>
      <c r="Q111" s="2" t="e">
        <f t="shared" si="45"/>
        <v>#REF!</v>
      </c>
      <c r="R111" s="3" t="e">
        <f t="shared" si="46"/>
        <v>#REF!</v>
      </c>
      <c r="S111" s="4" t="e">
        <f t="shared" si="10"/>
        <v>#REF!</v>
      </c>
      <c r="T111" s="84" t="e">
        <f t="shared" si="47"/>
        <v>#REF!</v>
      </c>
      <c r="U111" s="85" t="e">
        <f t="shared" si="48"/>
        <v>#REF!</v>
      </c>
      <c r="V111" s="4" t="e">
        <f t="shared" si="49"/>
        <v>#REF!</v>
      </c>
      <c r="W111" s="4" t="e">
        <f t="shared" si="50"/>
        <v>#REF!</v>
      </c>
      <c r="X111" s="4" t="e">
        <f t="shared" si="51"/>
        <v>#REF!</v>
      </c>
      <c r="Y111" s="62" t="e">
        <f t="shared" si="52"/>
        <v>#REF!</v>
      </c>
      <c r="Z111" s="22"/>
      <c r="AA111" s="22"/>
      <c r="AB111" s="22"/>
      <c r="AC111" s="22"/>
      <c r="AD111" s="19"/>
      <c r="AE111" s="14"/>
      <c r="AF111" s="72"/>
      <c r="AG111" s="49"/>
      <c r="AH111" s="49"/>
      <c r="AI111" s="50"/>
      <c r="AJ111" s="15"/>
      <c r="AK111" s="77" t="e">
        <f>#REF!</f>
        <v>#REF!</v>
      </c>
      <c r="AL111" s="77" t="e">
        <f>#REF!</f>
        <v>#REF!</v>
      </c>
      <c r="AM111" s="77" t="e">
        <f>#REF!</f>
        <v>#REF!</v>
      </c>
      <c r="AN111" s="77"/>
      <c r="AO111" s="77"/>
      <c r="AP111" s="77"/>
      <c r="AQ111" s="77"/>
      <c r="AR111" s="77"/>
      <c r="AS111" s="77"/>
      <c r="AT111" s="77"/>
      <c r="AU111" s="77"/>
      <c r="AV111" s="77"/>
      <c r="AW111" s="77"/>
      <c r="AX111" s="77"/>
      <c r="AY111" s="77"/>
      <c r="AZ111" s="77"/>
      <c r="BA111" s="77"/>
      <c r="BB111" s="77"/>
      <c r="BC111" s="77"/>
      <c r="BD111" s="77"/>
      <c r="BE111" s="77"/>
      <c r="BF111" s="77"/>
      <c r="BG111" s="77"/>
      <c r="BH111" s="77"/>
      <c r="BI111" s="77"/>
      <c r="BJ111" s="77"/>
      <c r="BK111" s="77"/>
      <c r="BL111" s="77"/>
      <c r="BM111" s="77"/>
      <c r="BN111" s="77"/>
      <c r="BO111" s="77"/>
      <c r="BP111" s="77"/>
      <c r="BR111" s="123" t="str">
        <f t="shared" si="11"/>
        <v>FAI 58</v>
      </c>
      <c r="BS111" s="120">
        <f>OOC!G111</f>
        <v>13.299999999999999</v>
      </c>
      <c r="BT111" s="120">
        <f>OOC!H111</f>
        <v>13.24</v>
      </c>
      <c r="BU111" s="2" t="e">
        <f t="shared" si="12"/>
        <v>#REF!</v>
      </c>
      <c r="BV111" s="2" t="e">
        <f t="shared" si="13"/>
        <v>#REF!</v>
      </c>
      <c r="BW111" s="2" t="e">
        <f t="shared" si="14"/>
        <v>#REF!</v>
      </c>
      <c r="BX111" s="121" t="e">
        <f>IF(AND(IF(OOC!G111="",0,OOC!G111) &gt;= IF(O111="",0,O111), IF(O111="",0,O111) &gt; IF(L111="",0,L111)), "OOC",
IF(AND(IF(M111="",0,M111) &gt; IF(P111="",0,P111), IF(P111="",0,P111) &gt;= IF(OOC!H111="",0,OOC!H111)), "OOC",
IF(IF(O111="",0,O111) &gt; IF(OOC!G111="",0,OOC!G111), "OOS",
IF(IF(OOC!H111="",0,OOC!H111) &gt; IF(P111="",0,P111), "OOS", "OK"))))</f>
        <v>#REF!</v>
      </c>
    </row>
    <row r="112" spans="1:76" ht="15" customHeight="1">
      <c r="A112" s="13"/>
      <c r="B112" s="88"/>
      <c r="C112" s="94" t="s">
        <v>137</v>
      </c>
      <c r="D112" s="89" t="s">
        <v>117</v>
      </c>
      <c r="E112" s="90"/>
      <c r="F112" s="66" t="s">
        <v>44</v>
      </c>
      <c r="G112" s="67">
        <v>0.64200000000000002</v>
      </c>
      <c r="H112" s="92" t="str">
        <f>IF(OOC!S112=0,"",OOC!S112)</f>
        <v/>
      </c>
      <c r="I112" s="92" t="str">
        <f>IF(OOC!T112=0,"",OOC!T112)</f>
        <v/>
      </c>
      <c r="J112" s="68" t="s">
        <v>12</v>
      </c>
      <c r="K112" s="69" t="s">
        <v>80</v>
      </c>
      <c r="L112" s="70" t="e">
        <f t="shared" si="41"/>
        <v>#VALUE!</v>
      </c>
      <c r="M112" s="70" t="e">
        <f t="shared" si="42"/>
        <v>#VALUE!</v>
      </c>
      <c r="N112" s="71"/>
      <c r="O112" s="2" t="e">
        <f t="shared" si="43"/>
        <v>#REF!</v>
      </c>
      <c r="P112" s="2" t="e">
        <f t="shared" si="44"/>
        <v>#REF!</v>
      </c>
      <c r="Q112" s="2" t="e">
        <f t="shared" si="45"/>
        <v>#REF!</v>
      </c>
      <c r="R112" s="3" t="e">
        <f t="shared" si="46"/>
        <v>#REF!</v>
      </c>
      <c r="S112" s="4" t="e">
        <f t="shared" si="10"/>
        <v>#REF!</v>
      </c>
      <c r="T112" s="84" t="e">
        <f t="shared" si="47"/>
        <v>#REF!</v>
      </c>
      <c r="U112" s="85" t="e">
        <f t="shared" si="48"/>
        <v>#REF!</v>
      </c>
      <c r="V112" s="4" t="e">
        <f t="shared" si="49"/>
        <v>#REF!</v>
      </c>
      <c r="W112" s="4" t="e">
        <f t="shared" si="50"/>
        <v>#REF!</v>
      </c>
      <c r="X112" s="4" t="e">
        <f t="shared" si="51"/>
        <v>#REF!</v>
      </c>
      <c r="Y112" s="62" t="e">
        <f t="shared" si="52"/>
        <v>#REF!</v>
      </c>
      <c r="Z112" s="22"/>
      <c r="AA112" s="22"/>
      <c r="AB112" s="22"/>
      <c r="AC112" s="22"/>
      <c r="AD112" s="19"/>
      <c r="AE112" s="14"/>
      <c r="AF112" s="72"/>
      <c r="AG112" s="49"/>
      <c r="AH112" s="49"/>
      <c r="AI112" s="50"/>
      <c r="AJ112" s="15"/>
      <c r="AK112" s="77" t="e">
        <f>#REF!</f>
        <v>#REF!</v>
      </c>
      <c r="AL112" s="77" t="e">
        <f>#REF!</f>
        <v>#REF!</v>
      </c>
      <c r="AM112" s="77" t="e">
        <f>#REF!</f>
        <v>#REF!</v>
      </c>
      <c r="AN112" s="77"/>
      <c r="AO112" s="77"/>
      <c r="AP112" s="77"/>
      <c r="AQ112" s="77"/>
      <c r="AR112" s="77"/>
      <c r="AS112" s="77"/>
      <c r="AT112" s="77"/>
      <c r="AU112" s="77"/>
      <c r="AV112" s="77"/>
      <c r="AW112" s="77"/>
      <c r="AX112" s="77"/>
      <c r="AY112" s="77"/>
      <c r="AZ112" s="77"/>
      <c r="BA112" s="77"/>
      <c r="BB112" s="77"/>
      <c r="BC112" s="77"/>
      <c r="BD112" s="77"/>
      <c r="BE112" s="77"/>
      <c r="BF112" s="77"/>
      <c r="BG112" s="77"/>
      <c r="BH112" s="77"/>
      <c r="BI112" s="77"/>
      <c r="BJ112" s="77"/>
      <c r="BK112" s="77"/>
      <c r="BL112" s="77"/>
      <c r="BM112" s="77"/>
      <c r="BN112" s="77"/>
      <c r="BO112" s="77"/>
      <c r="BP112" s="77"/>
      <c r="BR112" s="123" t="str">
        <f t="shared" si="11"/>
        <v>FAI 59</v>
      </c>
      <c r="BS112" s="120">
        <f>OOC!G112</f>
        <v>0.67200000000000004</v>
      </c>
      <c r="BT112" s="120">
        <f>OOC!H112</f>
        <v>0.61199999999999999</v>
      </c>
      <c r="BU112" s="2" t="e">
        <f t="shared" si="12"/>
        <v>#REF!</v>
      </c>
      <c r="BV112" s="2" t="e">
        <f t="shared" si="13"/>
        <v>#REF!</v>
      </c>
      <c r="BW112" s="2" t="e">
        <f t="shared" si="14"/>
        <v>#REF!</v>
      </c>
      <c r="BX112" s="121" t="e">
        <f>IF(AND(IF(OOC!G112="",0,OOC!G112) &gt;= IF(O112="",0,O112), IF(O112="",0,O112) &gt; IF(L112="",0,L112)), "OOC",
IF(AND(IF(M112="",0,M112) &gt; IF(P112="",0,P112), IF(P112="",0,P112) &gt;= IF(OOC!H112="",0,OOC!H112)), "OOC",
IF(IF(O112="",0,O112) &gt; IF(OOC!G112="",0,OOC!G112), "OOS",
IF(IF(OOC!H112="",0,OOC!H112) &gt; IF(P112="",0,P112), "OOS", "OK"))))</f>
        <v>#REF!</v>
      </c>
    </row>
    <row r="113" spans="1:76" ht="15" customHeight="1">
      <c r="A113" s="13"/>
      <c r="B113" s="88"/>
      <c r="C113" s="94" t="s">
        <v>138</v>
      </c>
      <c r="D113" s="89" t="s">
        <v>117</v>
      </c>
      <c r="E113" s="90"/>
      <c r="F113" s="66" t="s">
        <v>44</v>
      </c>
      <c r="G113" s="67">
        <v>0.40300000000000002</v>
      </c>
      <c r="H113" s="92" t="str">
        <f>IF(OOC!S113=0,"",OOC!S113)</f>
        <v/>
      </c>
      <c r="I113" s="92" t="str">
        <f>IF(OOC!T113=0,"",OOC!T113)</f>
        <v/>
      </c>
      <c r="J113" s="68" t="s">
        <v>12</v>
      </c>
      <c r="K113" s="69" t="s">
        <v>80</v>
      </c>
      <c r="L113" s="70" t="e">
        <f t="shared" si="41"/>
        <v>#VALUE!</v>
      </c>
      <c r="M113" s="70" t="e">
        <f t="shared" si="42"/>
        <v>#VALUE!</v>
      </c>
      <c r="N113" s="71"/>
      <c r="O113" s="2" t="e">
        <f t="shared" si="43"/>
        <v>#REF!</v>
      </c>
      <c r="P113" s="2" t="e">
        <f t="shared" si="44"/>
        <v>#REF!</v>
      </c>
      <c r="Q113" s="2" t="e">
        <f t="shared" si="45"/>
        <v>#REF!</v>
      </c>
      <c r="R113" s="3" t="e">
        <f t="shared" si="46"/>
        <v>#REF!</v>
      </c>
      <c r="S113" s="4" t="e">
        <f t="shared" si="10"/>
        <v>#REF!</v>
      </c>
      <c r="T113" s="84" t="e">
        <f t="shared" si="47"/>
        <v>#REF!</v>
      </c>
      <c r="U113" s="85" t="e">
        <f t="shared" si="48"/>
        <v>#REF!</v>
      </c>
      <c r="V113" s="4" t="e">
        <f t="shared" si="49"/>
        <v>#REF!</v>
      </c>
      <c r="W113" s="4" t="e">
        <f t="shared" si="50"/>
        <v>#REF!</v>
      </c>
      <c r="X113" s="4" t="e">
        <f t="shared" si="51"/>
        <v>#REF!</v>
      </c>
      <c r="Y113" s="62" t="e">
        <f t="shared" si="52"/>
        <v>#REF!</v>
      </c>
      <c r="Z113" s="22"/>
      <c r="AA113" s="22"/>
      <c r="AB113" s="22"/>
      <c r="AC113" s="22"/>
      <c r="AD113" s="19"/>
      <c r="AE113" s="14"/>
      <c r="AF113" s="72"/>
      <c r="AG113" s="49"/>
      <c r="AH113" s="49"/>
      <c r="AI113" s="50"/>
      <c r="AJ113" s="15"/>
      <c r="AK113" s="77" t="e">
        <f>#REF!</f>
        <v>#REF!</v>
      </c>
      <c r="AL113" s="77" t="e">
        <f>#REF!</f>
        <v>#REF!</v>
      </c>
      <c r="AM113" s="77" t="e">
        <f>#REF!</f>
        <v>#REF!</v>
      </c>
      <c r="AN113" s="77"/>
      <c r="AO113" s="77"/>
      <c r="AP113" s="77"/>
      <c r="AQ113" s="77"/>
      <c r="AR113" s="77"/>
      <c r="AS113" s="77"/>
      <c r="AT113" s="77"/>
      <c r="AU113" s="77"/>
      <c r="AV113" s="77"/>
      <c r="AW113" s="77"/>
      <c r="AX113" s="77"/>
      <c r="AY113" s="77"/>
      <c r="AZ113" s="77"/>
      <c r="BA113" s="77"/>
      <c r="BB113" s="77"/>
      <c r="BC113" s="77"/>
      <c r="BD113" s="77"/>
      <c r="BE113" s="77"/>
      <c r="BF113" s="77"/>
      <c r="BG113" s="77"/>
      <c r="BH113" s="77"/>
      <c r="BI113" s="77"/>
      <c r="BJ113" s="77"/>
      <c r="BK113" s="77"/>
      <c r="BL113" s="77"/>
      <c r="BM113" s="77"/>
      <c r="BN113" s="77"/>
      <c r="BO113" s="77"/>
      <c r="BP113" s="77"/>
      <c r="BR113" s="123" t="str">
        <f t="shared" si="11"/>
        <v>FAI 60</v>
      </c>
      <c r="BS113" s="120">
        <f>OOC!G113</f>
        <v>0.43300000000000005</v>
      </c>
      <c r="BT113" s="120">
        <f>OOC!H113</f>
        <v>0.373</v>
      </c>
      <c r="BU113" s="2" t="e">
        <f t="shared" si="12"/>
        <v>#REF!</v>
      </c>
      <c r="BV113" s="2" t="e">
        <f t="shared" si="13"/>
        <v>#REF!</v>
      </c>
      <c r="BW113" s="2" t="e">
        <f t="shared" si="14"/>
        <v>#REF!</v>
      </c>
      <c r="BX113" s="121" t="e">
        <f>IF(AND(IF(OOC!G113="",0,OOC!G113) &gt;= IF(O113="",0,O113), IF(O113="",0,O113) &gt; IF(L113="",0,L113)), "OOC",
IF(AND(IF(M113="",0,M113) &gt; IF(P113="",0,P113), IF(P113="",0,P113) &gt;= IF(OOC!H113="",0,OOC!H113)), "OOC",
IF(IF(O113="",0,O113) &gt; IF(OOC!G113="",0,OOC!G113), "OOS",
IF(IF(OOC!H113="",0,OOC!H113) &gt; IF(P113="",0,P113), "OOS", "OK"))))</f>
        <v>#REF!</v>
      </c>
    </row>
    <row r="114" spans="1:76" ht="15" customHeight="1">
      <c r="A114" s="13"/>
      <c r="B114" s="88"/>
      <c r="C114" s="94" t="s">
        <v>139</v>
      </c>
      <c r="D114" s="89" t="s">
        <v>117</v>
      </c>
      <c r="E114" s="90"/>
      <c r="F114" s="66" t="s">
        <v>44</v>
      </c>
      <c r="G114" s="67">
        <v>1.986</v>
      </c>
      <c r="H114" s="92" t="str">
        <f>IF(OOC!S114=0,"",OOC!S114)</f>
        <v/>
      </c>
      <c r="I114" s="92" t="str">
        <f>IF(OOC!T114=0,"",OOC!T114)</f>
        <v/>
      </c>
      <c r="J114" s="68" t="s">
        <v>12</v>
      </c>
      <c r="K114" s="69" t="s">
        <v>80</v>
      </c>
      <c r="L114" s="70" t="e">
        <f t="shared" si="41"/>
        <v>#VALUE!</v>
      </c>
      <c r="M114" s="70" t="e">
        <f t="shared" si="42"/>
        <v>#VALUE!</v>
      </c>
      <c r="N114" s="71"/>
      <c r="O114" s="2" t="e">
        <f t="shared" si="43"/>
        <v>#REF!</v>
      </c>
      <c r="P114" s="2" t="e">
        <f t="shared" si="44"/>
        <v>#REF!</v>
      </c>
      <c r="Q114" s="2" t="e">
        <f t="shared" si="45"/>
        <v>#REF!</v>
      </c>
      <c r="R114" s="3" t="e">
        <f t="shared" si="46"/>
        <v>#REF!</v>
      </c>
      <c r="S114" s="4" t="e">
        <f t="shared" si="10"/>
        <v>#REF!</v>
      </c>
      <c r="T114" s="84" t="e">
        <f t="shared" si="47"/>
        <v>#REF!</v>
      </c>
      <c r="U114" s="85" t="e">
        <f t="shared" si="48"/>
        <v>#REF!</v>
      </c>
      <c r="V114" s="4" t="e">
        <f t="shared" si="49"/>
        <v>#REF!</v>
      </c>
      <c r="W114" s="4" t="e">
        <f t="shared" si="50"/>
        <v>#REF!</v>
      </c>
      <c r="X114" s="4" t="e">
        <f t="shared" si="51"/>
        <v>#REF!</v>
      </c>
      <c r="Y114" s="62" t="e">
        <f t="shared" si="52"/>
        <v>#REF!</v>
      </c>
      <c r="Z114" s="22"/>
      <c r="AA114" s="22"/>
      <c r="AB114" s="22"/>
      <c r="AC114" s="22"/>
      <c r="AD114" s="19"/>
      <c r="AE114" s="14"/>
      <c r="AF114" s="72"/>
      <c r="AG114" s="49"/>
      <c r="AH114" s="49"/>
      <c r="AI114" s="50"/>
      <c r="AJ114" s="15"/>
      <c r="AK114" s="77" t="e">
        <f>#REF!</f>
        <v>#REF!</v>
      </c>
      <c r="AL114" s="77" t="e">
        <f>#REF!</f>
        <v>#REF!</v>
      </c>
      <c r="AM114" s="77" t="e">
        <f>#REF!</f>
        <v>#REF!</v>
      </c>
      <c r="AN114" s="77"/>
      <c r="AO114" s="77"/>
      <c r="AP114" s="77"/>
      <c r="AQ114" s="77"/>
      <c r="AR114" s="77"/>
      <c r="AS114" s="77"/>
      <c r="AT114" s="77"/>
      <c r="AU114" s="77"/>
      <c r="AV114" s="77"/>
      <c r="AW114" s="77"/>
      <c r="AX114" s="77"/>
      <c r="AY114" s="77"/>
      <c r="AZ114" s="77"/>
      <c r="BA114" s="77"/>
      <c r="BB114" s="77"/>
      <c r="BC114" s="77"/>
      <c r="BD114" s="77"/>
      <c r="BE114" s="77"/>
      <c r="BF114" s="77"/>
      <c r="BG114" s="77"/>
      <c r="BH114" s="77"/>
      <c r="BI114" s="77"/>
      <c r="BJ114" s="77"/>
      <c r="BK114" s="77"/>
      <c r="BL114" s="77"/>
      <c r="BM114" s="77"/>
      <c r="BN114" s="77"/>
      <c r="BO114" s="77"/>
      <c r="BP114" s="77"/>
      <c r="BR114" s="123" t="str">
        <f t="shared" si="11"/>
        <v>FAI 61</v>
      </c>
      <c r="BS114" s="120">
        <f>OOC!G114</f>
        <v>2.016</v>
      </c>
      <c r="BT114" s="120">
        <f>OOC!H114</f>
        <v>1.956</v>
      </c>
      <c r="BU114" s="2" t="e">
        <f t="shared" si="12"/>
        <v>#REF!</v>
      </c>
      <c r="BV114" s="2" t="e">
        <f t="shared" si="13"/>
        <v>#REF!</v>
      </c>
      <c r="BW114" s="2" t="e">
        <f t="shared" si="14"/>
        <v>#REF!</v>
      </c>
      <c r="BX114" s="121" t="e">
        <f>IF(AND(IF(OOC!G114="",0,OOC!G114) &gt;= IF(O114="",0,O114), IF(O114="",0,O114) &gt; IF(L114="",0,L114)), "OOC",
IF(AND(IF(M114="",0,M114) &gt; IF(P114="",0,P114), IF(P114="",0,P114) &gt;= IF(OOC!H114="",0,OOC!H114)), "OOC",
IF(IF(O114="",0,O114) &gt; IF(OOC!G114="",0,OOC!G114), "OOS",
IF(IF(OOC!H114="",0,OOC!H114) &gt; IF(P114="",0,P114), "OOS", "OK"))))</f>
        <v>#REF!</v>
      </c>
    </row>
    <row r="115" spans="1:76" ht="15" customHeight="1">
      <c r="A115" s="13"/>
      <c r="B115" s="88"/>
      <c r="C115" s="94" t="s">
        <v>140</v>
      </c>
      <c r="D115" s="89" t="s">
        <v>117</v>
      </c>
      <c r="E115" s="90"/>
      <c r="F115" s="66" t="s">
        <v>44</v>
      </c>
      <c r="G115" s="67">
        <v>2.226</v>
      </c>
      <c r="H115" s="92" t="str">
        <f>IF(OOC!S115=0,"",OOC!S115)</f>
        <v/>
      </c>
      <c r="I115" s="92" t="str">
        <f>IF(OOC!T115=0,"",OOC!T115)</f>
        <v/>
      </c>
      <c r="J115" s="68" t="s">
        <v>12</v>
      </c>
      <c r="K115" s="69" t="s">
        <v>80</v>
      </c>
      <c r="L115" s="70" t="e">
        <f>IF(AND(G115="",H115=""),"",IF(G115="",H115,G115+H115))</f>
        <v>#VALUE!</v>
      </c>
      <c r="M115" s="70" t="e">
        <f>IF(AND(G115="",I115=""),"",IF(G115="",I115,G115+I115))</f>
        <v>#VALUE!</v>
      </c>
      <c r="N115" s="71"/>
      <c r="O115" s="2" t="e">
        <f t="shared" si="43"/>
        <v>#REF!</v>
      </c>
      <c r="P115" s="2" t="e">
        <f t="shared" si="44"/>
        <v>#REF!</v>
      </c>
      <c r="Q115" s="2" t="e">
        <f t="shared" si="45"/>
        <v>#REF!</v>
      </c>
      <c r="R115" s="3" t="e">
        <f t="shared" si="46"/>
        <v>#REF!</v>
      </c>
      <c r="S115" s="4" t="e">
        <f t="shared" si="10"/>
        <v>#REF!</v>
      </c>
      <c r="T115" s="84" t="e">
        <f t="shared" si="47"/>
        <v>#REF!</v>
      </c>
      <c r="U115" s="85" t="e">
        <f t="shared" si="48"/>
        <v>#REF!</v>
      </c>
      <c r="V115" s="4" t="e">
        <f t="shared" si="49"/>
        <v>#REF!</v>
      </c>
      <c r="W115" s="4" t="e">
        <f t="shared" si="50"/>
        <v>#REF!</v>
      </c>
      <c r="X115" s="4" t="e">
        <f t="shared" si="51"/>
        <v>#REF!</v>
      </c>
      <c r="Y115" s="62" t="e">
        <f t="shared" si="52"/>
        <v>#REF!</v>
      </c>
      <c r="Z115" s="22"/>
      <c r="AA115" s="22"/>
      <c r="AB115" s="22"/>
      <c r="AC115" s="22"/>
      <c r="AD115" s="19"/>
      <c r="AE115" s="14"/>
      <c r="AF115" s="72"/>
      <c r="AG115" s="49"/>
      <c r="AH115" s="49"/>
      <c r="AI115" s="50"/>
      <c r="AJ115" s="15"/>
      <c r="AK115" s="77" t="e">
        <f>#REF!</f>
        <v>#REF!</v>
      </c>
      <c r="AL115" s="77" t="e">
        <f>#REF!</f>
        <v>#REF!</v>
      </c>
      <c r="AM115" s="77" t="e">
        <f>#REF!</f>
        <v>#REF!</v>
      </c>
      <c r="AN115" s="77"/>
      <c r="AO115" s="77"/>
      <c r="AP115" s="77"/>
      <c r="AQ115" s="77"/>
      <c r="AR115" s="77"/>
      <c r="AS115" s="77"/>
      <c r="AT115" s="77"/>
      <c r="AU115" s="77"/>
      <c r="AV115" s="77"/>
      <c r="AW115" s="77"/>
      <c r="AX115" s="77"/>
      <c r="AY115" s="77"/>
      <c r="AZ115" s="77"/>
      <c r="BA115" s="77"/>
      <c r="BB115" s="77"/>
      <c r="BC115" s="77"/>
      <c r="BD115" s="77"/>
      <c r="BE115" s="77"/>
      <c r="BF115" s="77"/>
      <c r="BG115" s="77"/>
      <c r="BH115" s="77"/>
      <c r="BI115" s="77"/>
      <c r="BJ115" s="77"/>
      <c r="BK115" s="77"/>
      <c r="BL115" s="77"/>
      <c r="BM115" s="77"/>
      <c r="BN115" s="77"/>
      <c r="BO115" s="77"/>
      <c r="BP115" s="77"/>
      <c r="BR115" s="123" t="str">
        <f t="shared" si="11"/>
        <v>FAI 62</v>
      </c>
      <c r="BS115" s="120">
        <f>OOC!G115</f>
        <v>2.2559999999999998</v>
      </c>
      <c r="BT115" s="120">
        <f>OOC!H115</f>
        <v>2.1960000000000002</v>
      </c>
      <c r="BU115" s="2" t="e">
        <f t="shared" si="12"/>
        <v>#REF!</v>
      </c>
      <c r="BV115" s="2" t="e">
        <f t="shared" si="13"/>
        <v>#REF!</v>
      </c>
      <c r="BW115" s="2" t="e">
        <f t="shared" si="14"/>
        <v>#REF!</v>
      </c>
      <c r="BX115" s="121" t="e">
        <f>IF(AND(IF(OOC!G115="",0,OOC!G115) &gt;= IF(O115="",0,O115), IF(O115="",0,O115) &gt; IF(L115="",0,L115)), "OOC",
IF(AND(IF(M115="",0,M115) &gt; IF(P115="",0,P115), IF(P115="",0,P115) &gt;= IF(OOC!H115="",0,OOC!H115)), "OOC",
IF(IF(O115="",0,O115) &gt; IF(OOC!G115="",0,OOC!G115), "OOS",
IF(IF(OOC!H115="",0,OOC!H115) &gt; IF(P115="",0,P115), "OOS", "OK"))))</f>
        <v>#REF!</v>
      </c>
    </row>
    <row r="116" spans="1:76" ht="15" customHeight="1">
      <c r="A116" s="13"/>
      <c r="B116" s="88"/>
      <c r="C116" s="94" t="s">
        <v>153</v>
      </c>
      <c r="D116" s="89" t="s">
        <v>117</v>
      </c>
      <c r="E116" s="90"/>
      <c r="F116" s="66" t="s">
        <v>44</v>
      </c>
      <c r="G116" s="67">
        <v>1.718</v>
      </c>
      <c r="H116" s="92" t="str">
        <f>IF(OOC!S116=0,"",OOC!S116)</f>
        <v/>
      </c>
      <c r="I116" s="92" t="str">
        <f>IF(OOC!T116=0,"",OOC!T116)</f>
        <v/>
      </c>
      <c r="J116" s="68" t="s">
        <v>12</v>
      </c>
      <c r="K116" s="69" t="s">
        <v>80</v>
      </c>
      <c r="L116" s="70" t="e">
        <f>IF(AND(G116="",H116=""),"",IF(G116="",H116,G116+H116))</f>
        <v>#VALUE!</v>
      </c>
      <c r="M116" s="70" t="e">
        <f>IF(AND(G116="",I116=""),"",IF(G116="",I116,G116+I116))</f>
        <v>#VALUE!</v>
      </c>
      <c r="N116" s="71"/>
      <c r="O116" s="2" t="e">
        <f t="shared" si="43"/>
        <v>#REF!</v>
      </c>
      <c r="P116" s="2" t="e">
        <f t="shared" si="44"/>
        <v>#REF!</v>
      </c>
      <c r="Q116" s="2" t="e">
        <f t="shared" si="45"/>
        <v>#REF!</v>
      </c>
      <c r="R116" s="3" t="e">
        <f t="shared" si="46"/>
        <v>#REF!</v>
      </c>
      <c r="S116" s="4" t="e">
        <f t="shared" si="10"/>
        <v>#REF!</v>
      </c>
      <c r="T116" s="84" t="e">
        <f t="shared" si="47"/>
        <v>#REF!</v>
      </c>
      <c r="U116" s="85" t="e">
        <f t="shared" si="48"/>
        <v>#REF!</v>
      </c>
      <c r="V116" s="4" t="e">
        <f t="shared" si="49"/>
        <v>#REF!</v>
      </c>
      <c r="W116" s="4" t="e">
        <f t="shared" si="50"/>
        <v>#REF!</v>
      </c>
      <c r="X116" s="4" t="e">
        <f t="shared" si="51"/>
        <v>#REF!</v>
      </c>
      <c r="Y116" s="62" t="e">
        <f t="shared" si="52"/>
        <v>#REF!</v>
      </c>
      <c r="Z116" s="22"/>
      <c r="AA116" s="22"/>
      <c r="AB116" s="22"/>
      <c r="AC116" s="22"/>
      <c r="AD116" s="19"/>
      <c r="AE116" s="14"/>
      <c r="AF116" s="72"/>
      <c r="AG116" s="49"/>
      <c r="AH116" s="49"/>
      <c r="AI116" s="50"/>
      <c r="AJ116" s="15"/>
      <c r="AK116" s="77" t="e">
        <f>#REF!</f>
        <v>#REF!</v>
      </c>
      <c r="AL116" s="77" t="e">
        <f>#REF!</f>
        <v>#REF!</v>
      </c>
      <c r="AM116" s="77" t="e">
        <f>#REF!</f>
        <v>#REF!</v>
      </c>
      <c r="AN116" s="77"/>
      <c r="AO116" s="77"/>
      <c r="AP116" s="77"/>
      <c r="AQ116" s="77"/>
      <c r="AR116" s="77"/>
      <c r="AS116" s="77"/>
      <c r="AT116" s="77"/>
      <c r="AU116" s="77"/>
      <c r="AV116" s="77"/>
      <c r="AW116" s="77"/>
      <c r="AX116" s="77"/>
      <c r="AY116" s="77"/>
      <c r="AZ116" s="77"/>
      <c r="BA116" s="77"/>
      <c r="BB116" s="77"/>
      <c r="BC116" s="77"/>
      <c r="BD116" s="77"/>
      <c r="BE116" s="77"/>
      <c r="BF116" s="77"/>
      <c r="BG116" s="77"/>
      <c r="BH116" s="77"/>
      <c r="BI116" s="77"/>
      <c r="BJ116" s="77"/>
      <c r="BK116" s="77"/>
      <c r="BL116" s="77"/>
      <c r="BM116" s="77"/>
      <c r="BN116" s="77"/>
      <c r="BO116" s="77"/>
      <c r="BP116" s="77"/>
      <c r="BR116" s="123" t="str">
        <f t="shared" si="11"/>
        <v>FAI 63</v>
      </c>
      <c r="BS116" s="120">
        <f>OOC!G116</f>
        <v>1.738</v>
      </c>
      <c r="BT116" s="120">
        <f>OOC!H116</f>
        <v>1.698</v>
      </c>
      <c r="BU116" s="2" t="e">
        <f t="shared" si="12"/>
        <v>#REF!</v>
      </c>
      <c r="BV116" s="2" t="e">
        <f t="shared" si="13"/>
        <v>#REF!</v>
      </c>
      <c r="BW116" s="2" t="e">
        <f t="shared" si="14"/>
        <v>#REF!</v>
      </c>
      <c r="BX116" s="121" t="e">
        <f>IF(AND(IF(OOC!G116="",0,OOC!G116) &gt;= IF(O116="",0,O116), IF(O116="",0,O116) &gt; IF(L116="",0,L116)), "OOC",
IF(AND(IF(M116="",0,M116) &gt; IF(P116="",0,P116), IF(P116="",0,P116) &gt;= IF(OOC!H116="",0,OOC!H116)), "OOC",
IF(IF(O116="",0,O116) &gt; IF(OOC!G116="",0,OOC!G116), "OOS",
IF(IF(OOC!H116="",0,OOC!H116) &gt; IF(P116="",0,P116), "OOS", "OK"))))</f>
        <v>#REF!</v>
      </c>
    </row>
    <row r="117" spans="1:76" ht="15" customHeight="1">
      <c r="A117" s="13"/>
      <c r="B117" s="73"/>
      <c r="C117" s="78" t="s">
        <v>155</v>
      </c>
      <c r="D117" s="64" t="s">
        <v>117</v>
      </c>
      <c r="E117" s="65"/>
      <c r="F117" s="66" t="s">
        <v>44</v>
      </c>
      <c r="G117" s="67">
        <v>0.38500000000000001</v>
      </c>
      <c r="H117" s="92" t="str">
        <f>IF(OOC!S117=0,"",OOC!S117)</f>
        <v/>
      </c>
      <c r="I117" s="92" t="str">
        <f>IF(OOC!T117=0,"",OOC!T117)</f>
        <v/>
      </c>
      <c r="J117" s="68" t="s">
        <v>12</v>
      </c>
      <c r="K117" s="69" t="s">
        <v>80</v>
      </c>
      <c r="L117" s="70" t="e">
        <f>IF(AND(G117="",H117=""),"",IF(G117="",H117,G117+H117))</f>
        <v>#VALUE!</v>
      </c>
      <c r="M117" s="70" t="e">
        <f>IF(AND(G117="",I117=""),"",IF(G117="",I117,G117+I117))</f>
        <v>#VALUE!</v>
      </c>
      <c r="N117" s="71"/>
      <c r="O117" s="2" t="e">
        <f t="shared" si="43"/>
        <v>#REF!</v>
      </c>
      <c r="P117" s="2" t="e">
        <f t="shared" si="44"/>
        <v>#REF!</v>
      </c>
      <c r="Q117" s="2" t="e">
        <f t="shared" si="45"/>
        <v>#REF!</v>
      </c>
      <c r="R117" s="3" t="e">
        <f t="shared" si="46"/>
        <v>#REF!</v>
      </c>
      <c r="S117" s="4" t="e">
        <f t="shared" si="10"/>
        <v>#REF!</v>
      </c>
      <c r="T117" s="84" t="e">
        <f t="shared" ref="T117:T126" si="53">IF(OR($AK117="",ISNUMBER($AK117)=FALSE),"",IF(AND($F117="Tolerance",$G117&lt;&gt;""),($Q117-$G117)/(($L117-$M117)/2),IF(AND($F117="GD&amp;T",$H117&lt;&gt;""),$Q117/$H117,"")))</f>
        <v>#REF!</v>
      </c>
      <c r="U117" s="85" t="e">
        <f t="shared" ref="U117:U126" si="54">IF($T117="","",IF(ABS($T117)&lt;=0.125, "Level A",IF(AND(ABS($T117)&gt;0.125,ABS($T117)&lt;=0.25), "Level B",IF(AND(ABS($T117)&gt;0.25,ABS($T117)&lt;=0.5), "Level C", IF(ABS($T117)&gt;0.5, "Level D")))))</f>
        <v>#REF!</v>
      </c>
      <c r="V117" s="4" t="e">
        <f t="shared" si="49"/>
        <v>#REF!</v>
      </c>
      <c r="W117" s="4" t="e">
        <f t="shared" si="50"/>
        <v>#REF!</v>
      </c>
      <c r="X117" s="4" t="e">
        <f t="shared" si="51"/>
        <v>#REF!</v>
      </c>
      <c r="Y117" s="62" t="e">
        <f t="shared" si="52"/>
        <v>#REF!</v>
      </c>
      <c r="Z117" s="22"/>
      <c r="AA117" s="22"/>
      <c r="AB117" s="22"/>
      <c r="AC117" s="22"/>
      <c r="AD117" s="19"/>
      <c r="AE117" s="14"/>
      <c r="AF117" s="72"/>
      <c r="AG117" s="49"/>
      <c r="AH117" s="49"/>
      <c r="AI117" s="50"/>
      <c r="AJ117" s="15"/>
      <c r="AK117" s="77" t="e">
        <f>#REF!</f>
        <v>#REF!</v>
      </c>
      <c r="AL117" s="77" t="e">
        <f>#REF!</f>
        <v>#REF!</v>
      </c>
      <c r="AM117" s="77" t="e">
        <f>#REF!</f>
        <v>#REF!</v>
      </c>
      <c r="AN117" s="77"/>
      <c r="AO117" s="77"/>
      <c r="AP117" s="77"/>
      <c r="AQ117" s="77"/>
      <c r="AR117" s="77"/>
      <c r="AS117" s="77"/>
      <c r="AT117" s="77"/>
      <c r="AU117" s="77"/>
      <c r="AV117" s="77"/>
      <c r="AW117" s="77"/>
      <c r="AX117" s="77"/>
      <c r="AY117" s="77"/>
      <c r="AZ117" s="77"/>
      <c r="BA117" s="77"/>
      <c r="BB117" s="77"/>
      <c r="BC117" s="77"/>
      <c r="BD117" s="77"/>
      <c r="BE117" s="77"/>
      <c r="BF117" s="77"/>
      <c r="BG117" s="77"/>
      <c r="BH117" s="77"/>
      <c r="BI117" s="77"/>
      <c r="BJ117" s="77"/>
      <c r="BK117" s="77"/>
      <c r="BL117" s="77"/>
      <c r="BM117" s="77"/>
      <c r="BN117" s="77"/>
      <c r="BO117" s="77"/>
      <c r="BP117" s="77"/>
      <c r="BR117" s="123" t="str">
        <f t="shared" si="11"/>
        <v>FAI 64</v>
      </c>
      <c r="BS117" s="120">
        <f>OOC!G117</f>
        <v>0.60499999999999998</v>
      </c>
      <c r="BT117" s="120">
        <f>OOC!H117</f>
        <v>0.16500000000000001</v>
      </c>
      <c r="BU117" s="2" t="e">
        <f t="shared" si="12"/>
        <v>#REF!</v>
      </c>
      <c r="BV117" s="2" t="e">
        <f t="shared" si="13"/>
        <v>#REF!</v>
      </c>
      <c r="BW117" s="2" t="e">
        <f t="shared" si="14"/>
        <v>#REF!</v>
      </c>
      <c r="BX117" s="121" t="e">
        <f>IF(AND(IF(OOC!G117="",0,OOC!G117) &gt;= IF(O117="",0,O117), IF(O117="",0,O117) &gt; IF(L117="",0,L117)), "OOC",
IF(AND(IF(M117="",0,M117) &gt; IF(P117="",0,P117), IF(P117="",0,P117) &gt;= IF(OOC!H117="",0,OOC!H117)), "OOC",
IF(IF(O117="",0,O117) &gt; IF(OOC!G117="",0,OOC!G117), "OOS",
IF(IF(OOC!H117="",0,OOC!H117) &gt; IF(P117="",0,P117), "OOS", "OK"))))</f>
        <v>#REF!</v>
      </c>
    </row>
    <row r="118" spans="1:76" ht="15" customHeight="1">
      <c r="A118" s="13"/>
      <c r="B118" s="73"/>
      <c r="C118" s="78" t="s">
        <v>156</v>
      </c>
      <c r="D118" s="64" t="s">
        <v>117</v>
      </c>
      <c r="E118" s="65"/>
      <c r="F118" s="66" t="s">
        <v>44</v>
      </c>
      <c r="G118" s="67">
        <v>5.2779999999999996</v>
      </c>
      <c r="H118" s="92" t="str">
        <f>IF(OOC!S118=0,"",OOC!S118)</f>
        <v/>
      </c>
      <c r="I118" s="92" t="str">
        <f>IF(OOC!T118=0,"",OOC!T118)</f>
        <v/>
      </c>
      <c r="J118" s="68" t="s">
        <v>12</v>
      </c>
      <c r="K118" s="69" t="s">
        <v>80</v>
      </c>
      <c r="L118" s="70" t="e">
        <f>IF(AND(G118="",H118=""),"",IF(G118="",H118,G118+H118))</f>
        <v>#VALUE!</v>
      </c>
      <c r="M118" s="70" t="e">
        <f>IF(AND(G118="",I118=""),"",IF(G118="",I118,G118+I118))</f>
        <v>#VALUE!</v>
      </c>
      <c r="N118" s="71"/>
      <c r="O118" s="2" t="e">
        <f t="shared" si="43"/>
        <v>#REF!</v>
      </c>
      <c r="P118" s="2" t="e">
        <f t="shared" si="44"/>
        <v>#REF!</v>
      </c>
      <c r="Q118" s="2" t="e">
        <f t="shared" si="45"/>
        <v>#REF!</v>
      </c>
      <c r="R118" s="3" t="e">
        <f t="shared" si="46"/>
        <v>#REF!</v>
      </c>
      <c r="S118" s="4" t="e">
        <f t="shared" si="10"/>
        <v>#REF!</v>
      </c>
      <c r="T118" s="84" t="e">
        <f t="shared" si="53"/>
        <v>#REF!</v>
      </c>
      <c r="U118" s="85" t="e">
        <f t="shared" si="54"/>
        <v>#REF!</v>
      </c>
      <c r="V118" s="4" t="e">
        <f t="shared" si="49"/>
        <v>#REF!</v>
      </c>
      <c r="W118" s="4" t="e">
        <f t="shared" si="50"/>
        <v>#REF!</v>
      </c>
      <c r="X118" s="4" t="e">
        <f t="shared" si="51"/>
        <v>#REF!</v>
      </c>
      <c r="Y118" s="62" t="e">
        <f t="shared" si="52"/>
        <v>#REF!</v>
      </c>
      <c r="Z118" s="22"/>
      <c r="AA118" s="22"/>
      <c r="AB118" s="22"/>
      <c r="AC118" s="22"/>
      <c r="AD118" s="19"/>
      <c r="AE118" s="14"/>
      <c r="AF118" s="72"/>
      <c r="AG118" s="49"/>
      <c r="AH118" s="49"/>
      <c r="AI118" s="50"/>
      <c r="AJ118" s="15"/>
      <c r="AK118" s="77" t="e">
        <f>#REF!</f>
        <v>#REF!</v>
      </c>
      <c r="AL118" s="77" t="e">
        <f>#REF!</f>
        <v>#REF!</v>
      </c>
      <c r="AM118" s="77" t="e">
        <f>#REF!</f>
        <v>#REF!</v>
      </c>
      <c r="AN118" s="77"/>
      <c r="AO118" s="77"/>
      <c r="AP118" s="77"/>
      <c r="AQ118" s="77"/>
      <c r="AR118" s="77"/>
      <c r="AS118" s="77"/>
      <c r="AT118" s="77"/>
      <c r="AU118" s="77"/>
      <c r="AV118" s="77"/>
      <c r="AW118" s="77"/>
      <c r="AX118" s="77"/>
      <c r="AY118" s="77"/>
      <c r="AZ118" s="77"/>
      <c r="BA118" s="77"/>
      <c r="BB118" s="77"/>
      <c r="BC118" s="77"/>
      <c r="BD118" s="77"/>
      <c r="BE118" s="77"/>
      <c r="BF118" s="77"/>
      <c r="BG118" s="77"/>
      <c r="BH118" s="77"/>
      <c r="BI118" s="77"/>
      <c r="BJ118" s="77"/>
      <c r="BK118" s="77"/>
      <c r="BL118" s="77"/>
      <c r="BM118" s="77"/>
      <c r="BN118" s="77"/>
      <c r="BO118" s="77"/>
      <c r="BP118" s="77"/>
      <c r="BR118" s="123" t="str">
        <f t="shared" si="11"/>
        <v>FAI 65</v>
      </c>
      <c r="BS118" s="120">
        <f>OOC!G118</f>
        <v>5.5779999999999994</v>
      </c>
      <c r="BT118" s="120">
        <f>OOC!H118</f>
        <v>4.9779999999999998</v>
      </c>
      <c r="BU118" s="2" t="e">
        <f t="shared" si="12"/>
        <v>#REF!</v>
      </c>
      <c r="BV118" s="2" t="e">
        <f t="shared" si="13"/>
        <v>#REF!</v>
      </c>
      <c r="BW118" s="2" t="e">
        <f t="shared" si="14"/>
        <v>#REF!</v>
      </c>
      <c r="BX118" s="121" t="e">
        <f>IF(AND(IF(OOC!G118="",0,OOC!G118) &gt;= IF(O118="",0,O118), IF(O118="",0,O118) &gt; IF(L118="",0,L118)), "OOC",
IF(AND(IF(M118="",0,M118) &gt; IF(P118="",0,P118), IF(P118="",0,P118) &gt;= IF(OOC!H118="",0,OOC!H118)), "OOC",
IF(IF(O118="",0,O118) &gt; IF(OOC!G118="",0,OOC!G118), "OOS",
IF(IF(OOC!H118="",0,OOC!H118) &gt; IF(P118="",0,P118), "OOS", "OK"))))</f>
        <v>#REF!</v>
      </c>
    </row>
    <row r="119" spans="1:76" ht="15" customHeight="1">
      <c r="A119" s="13"/>
      <c r="B119" s="73"/>
      <c r="C119" s="78" t="s">
        <v>157</v>
      </c>
      <c r="D119" s="64" t="s">
        <v>117</v>
      </c>
      <c r="E119" s="65"/>
      <c r="F119" s="66" t="s">
        <v>44</v>
      </c>
      <c r="G119" s="67">
        <v>0</v>
      </c>
      <c r="H119" s="92" t="str">
        <f>IF(OOC!S119=0,"",OOC!S119)</f>
        <v/>
      </c>
      <c r="I119" s="92" t="str">
        <f>IF(OOC!T119=0,"",OOC!T119)</f>
        <v/>
      </c>
      <c r="J119" s="68" t="s">
        <v>12</v>
      </c>
      <c r="K119" s="69" t="s">
        <v>80</v>
      </c>
      <c r="L119" s="70" t="e">
        <f>IF(AND(G119="",H119=""),"",IF(G119="",H119,G119+H119))</f>
        <v>#VALUE!</v>
      </c>
      <c r="M119" s="70" t="e">
        <f>IF(AND(G119="",I119=""),"",IF(G119="",I119,G119+I119))</f>
        <v>#VALUE!</v>
      </c>
      <c r="N119" s="71"/>
      <c r="O119" s="2" t="e">
        <f t="shared" si="43"/>
        <v>#REF!</v>
      </c>
      <c r="P119" s="2" t="e">
        <f t="shared" si="44"/>
        <v>#REF!</v>
      </c>
      <c r="Q119" s="2" t="e">
        <f t="shared" si="45"/>
        <v>#REF!</v>
      </c>
      <c r="R119" s="3" t="e">
        <f t="shared" si="46"/>
        <v>#REF!</v>
      </c>
      <c r="S119" s="4" t="e">
        <f t="shared" si="10"/>
        <v>#REF!</v>
      </c>
      <c r="T119" s="84" t="e">
        <f t="shared" si="53"/>
        <v>#REF!</v>
      </c>
      <c r="U119" s="85" t="e">
        <f t="shared" si="54"/>
        <v>#REF!</v>
      </c>
      <c r="V119" s="4" t="e">
        <f t="shared" si="49"/>
        <v>#REF!</v>
      </c>
      <c r="W119" s="4" t="e">
        <f t="shared" si="50"/>
        <v>#REF!</v>
      </c>
      <c r="X119" s="4" t="e">
        <f t="shared" si="51"/>
        <v>#REF!</v>
      </c>
      <c r="Y119" s="62" t="e">
        <f t="shared" si="52"/>
        <v>#REF!</v>
      </c>
      <c r="Z119" s="22"/>
      <c r="AA119" s="22"/>
      <c r="AB119" s="22"/>
      <c r="AC119" s="22"/>
      <c r="AD119" s="19"/>
      <c r="AE119" s="14"/>
      <c r="AF119" s="72"/>
      <c r="AG119" s="49"/>
      <c r="AH119" s="49"/>
      <c r="AI119" s="50"/>
      <c r="AJ119" s="15"/>
      <c r="AK119" s="77" t="e">
        <f>#REF!</f>
        <v>#REF!</v>
      </c>
      <c r="AL119" s="77" t="e">
        <f>#REF!</f>
        <v>#REF!</v>
      </c>
      <c r="AM119" s="77" t="e">
        <f>#REF!</f>
        <v>#REF!</v>
      </c>
      <c r="AN119" s="77"/>
      <c r="AO119" s="77"/>
      <c r="AP119" s="77"/>
      <c r="AQ119" s="77"/>
      <c r="AR119" s="77"/>
      <c r="AS119" s="77"/>
      <c r="AT119" s="77"/>
      <c r="AU119" s="77"/>
      <c r="AV119" s="77"/>
      <c r="AW119" s="77"/>
      <c r="AX119" s="77"/>
      <c r="AY119" s="77"/>
      <c r="AZ119" s="77"/>
      <c r="BA119" s="77"/>
      <c r="BB119" s="77"/>
      <c r="BC119" s="77"/>
      <c r="BD119" s="77"/>
      <c r="BE119" s="77"/>
      <c r="BF119" s="77"/>
      <c r="BG119" s="77"/>
      <c r="BH119" s="77"/>
      <c r="BI119" s="77"/>
      <c r="BJ119" s="77"/>
      <c r="BK119" s="77"/>
      <c r="BL119" s="77"/>
      <c r="BM119" s="77"/>
      <c r="BN119" s="77"/>
      <c r="BO119" s="77"/>
      <c r="BP119" s="77"/>
      <c r="BR119" s="123" t="str">
        <f t="shared" si="11"/>
        <v>FAI 66</v>
      </c>
      <c r="BS119" s="120">
        <f>OOC!G119</f>
        <v>3</v>
      </c>
      <c r="BT119" s="120">
        <f>OOC!H119</f>
        <v>-3</v>
      </c>
      <c r="BU119" s="2" t="e">
        <f t="shared" si="12"/>
        <v>#REF!</v>
      </c>
      <c r="BV119" s="2" t="e">
        <f t="shared" si="13"/>
        <v>#REF!</v>
      </c>
      <c r="BW119" s="2" t="e">
        <f t="shared" si="14"/>
        <v>#REF!</v>
      </c>
      <c r="BX119" s="121" t="e">
        <f>IF(AND(IF(OOC!G119="",0,OOC!G119) &gt;= IF(O119="",0,O119), IF(O119="",0,O119) &gt; IF(L119="",0,L119)), "OOC",
IF(AND(IF(M119="",0,M119) &gt; IF(P119="",0,P119), IF(P119="",0,P119) &gt;= IF(OOC!H119="",0,OOC!H119)), "OOC",
IF(IF(O119="",0,O119) &gt; IF(OOC!G119="",0,OOC!G119), "OOS",
IF(IF(OOC!H119="",0,OOC!H119) &gt; IF(P119="",0,P119), "OOS", "OK"))))</f>
        <v>#REF!</v>
      </c>
    </row>
    <row r="120" spans="1:76" ht="15" customHeight="1">
      <c r="A120" s="13">
        <v>1</v>
      </c>
      <c r="B120" s="88"/>
      <c r="C120" s="78"/>
      <c r="D120" s="89"/>
      <c r="E120" s="90"/>
      <c r="F120" s="66"/>
      <c r="G120" s="91"/>
      <c r="H120" s="92"/>
      <c r="I120" s="92"/>
      <c r="J120" s="68"/>
      <c r="K120" s="69"/>
      <c r="L120" s="70"/>
      <c r="M120" s="70"/>
      <c r="N120" s="71"/>
      <c r="O120" s="2"/>
      <c r="P120" s="2"/>
      <c r="Q120" s="2"/>
      <c r="R120" s="3"/>
      <c r="S120" s="4"/>
      <c r="T120" s="84"/>
      <c r="U120" s="85"/>
      <c r="V120" s="4"/>
      <c r="W120" s="4"/>
      <c r="X120" s="4"/>
      <c r="Y120" s="62"/>
      <c r="Z120" s="22"/>
      <c r="AA120" s="22"/>
      <c r="AB120" s="22"/>
      <c r="AC120" s="22"/>
      <c r="AD120" s="19"/>
      <c r="AE120" s="14"/>
      <c r="AF120" s="72"/>
      <c r="AG120" s="49"/>
      <c r="AH120" s="49"/>
      <c r="AI120" s="50"/>
      <c r="AJ120" s="15"/>
      <c r="AK120" s="77"/>
      <c r="AL120" s="77"/>
      <c r="AM120" s="77"/>
      <c r="AN120" s="77"/>
      <c r="AO120" s="77"/>
      <c r="AP120" s="77"/>
      <c r="AQ120" s="77"/>
      <c r="AR120" s="77"/>
      <c r="AS120" s="77"/>
      <c r="AT120" s="77"/>
      <c r="AU120" s="77"/>
      <c r="AV120" s="77"/>
      <c r="AW120" s="77"/>
      <c r="AX120" s="77"/>
      <c r="AY120" s="77"/>
      <c r="AZ120" s="77"/>
      <c r="BA120" s="77"/>
      <c r="BB120" s="77"/>
      <c r="BC120" s="77"/>
      <c r="BD120" s="77"/>
      <c r="BE120" s="77"/>
      <c r="BF120" s="77"/>
      <c r="BG120" s="77"/>
      <c r="BH120" s="77"/>
      <c r="BI120" s="77"/>
      <c r="BJ120" s="77"/>
      <c r="BK120" s="77"/>
      <c r="BL120" s="77"/>
      <c r="BM120" s="77"/>
      <c r="BN120" s="77"/>
      <c r="BO120" s="77"/>
      <c r="BP120" s="77"/>
      <c r="BR120" s="123"/>
      <c r="BS120" s="120"/>
      <c r="BT120" s="120"/>
      <c r="BU120" s="2"/>
      <c r="BV120" s="2"/>
      <c r="BW120" s="2"/>
      <c r="BX120" s="121"/>
    </row>
    <row r="121" spans="1:76" ht="15" customHeight="1">
      <c r="A121" s="13"/>
      <c r="B121" s="73" t="s">
        <v>170</v>
      </c>
      <c r="C121" s="78" t="s">
        <v>164</v>
      </c>
      <c r="D121" s="64" t="s">
        <v>117</v>
      </c>
      <c r="E121" s="65">
        <v>1.33</v>
      </c>
      <c r="F121" s="66" t="s">
        <v>44</v>
      </c>
      <c r="G121" s="67">
        <v>1.03</v>
      </c>
      <c r="H121" s="92" t="str">
        <f>IF(OOC!S121=0,"",OOC!S121)</f>
        <v/>
      </c>
      <c r="I121" s="92" t="str">
        <f>IF(OOC!T121=0,"",OOC!T121)</f>
        <v/>
      </c>
      <c r="J121" s="68" t="s">
        <v>12</v>
      </c>
      <c r="K121" s="69" t="s">
        <v>80</v>
      </c>
      <c r="L121" s="70" t="e">
        <f t="shared" ref="L121:L126" si="55">IF(AND(G121="",H121=""),"",IF(G121="",H121,G121+H121))</f>
        <v>#VALUE!</v>
      </c>
      <c r="M121" s="70" t="e">
        <f t="shared" ref="M121:M126" si="56">IF(AND(G121="",I121=""),"",IF(G121="",I121,G121+I121))</f>
        <v>#VALUE!</v>
      </c>
      <c r="N121" s="71"/>
      <c r="O121" s="2" t="e">
        <f t="shared" ref="O121:O126" si="57">IF(OR($AK121="",ISNUMBER($AK121)=FALSE),"",MAX(AK121:BP121))</f>
        <v>#REF!</v>
      </c>
      <c r="P121" s="2" t="e">
        <f t="shared" ref="P121:P126" si="58">IF(OR($AK121="",ISNUMBER($AK121)=FALSE),"",MIN(AK121:BP121))</f>
        <v>#REF!</v>
      </c>
      <c r="Q121" s="2" t="e">
        <f t="shared" ref="Q121:Q126" si="59">IF(OR($AK121="",ISNUMBER($AK121)=FALSE),"",AVERAGE(AK121:BP121))</f>
        <v>#REF!</v>
      </c>
      <c r="R121" s="3" t="e">
        <f t="shared" ref="R121:R126" si="60">IF(OR($AK121="",ISNUMBER($AK121)=FALSE),"",STDEV(AK121:BP121))</f>
        <v>#REF!</v>
      </c>
      <c r="S121" s="4" t="e">
        <f t="shared" si="10"/>
        <v>#REF!</v>
      </c>
      <c r="T121" s="84" t="e">
        <f t="shared" si="53"/>
        <v>#REF!</v>
      </c>
      <c r="U121" s="85" t="e">
        <f t="shared" si="54"/>
        <v>#REF!</v>
      </c>
      <c r="V121" s="4" t="e">
        <f t="shared" ref="V121:V126" si="61">IF(OR($AK121="",ISNUMBER($AK121)=FALSE),"",IF(H121="","",(L121-Q121)/(3*R121)))</f>
        <v>#REF!</v>
      </c>
      <c r="W121" s="4" t="e">
        <f t="shared" ref="W121:W126" si="62">IF(OR($AK121="",ISNUMBER($AK121)=FALSE),"",IF(I121="","",(Q121-M121)/(3*R121)))</f>
        <v>#REF!</v>
      </c>
      <c r="X121" s="4" t="e">
        <f t="shared" ref="X121:X126" si="63">IF(OR($AK121="",ISNUMBER($AK121)=FALSE),"",IF(AND(G121=0,I121=0),((H121)-(Q121))/(3*R121),MIN(V121:W121)))</f>
        <v>#REF!</v>
      </c>
      <c r="Y121" s="62" t="e">
        <f t="shared" ref="Y121:Y126" si="64">IF(OR($AK121="",ISNUMBER($AK121)=FALSE),"",IF(AND(G121=0,I121=0),NORMSDIST(3*X121),NORMSDIST(3*X121)+NORMSDIST(6*S121-3*X121)-1))</f>
        <v>#REF!</v>
      </c>
      <c r="Z121" s="22"/>
      <c r="AA121" s="22"/>
      <c r="AB121" s="22"/>
      <c r="AC121" s="22"/>
      <c r="AD121" s="19"/>
      <c r="AE121" s="14"/>
      <c r="AF121" s="72"/>
      <c r="AG121" s="49"/>
      <c r="AH121" s="49"/>
      <c r="AI121" s="50"/>
      <c r="AJ121" s="15"/>
      <c r="AK121" s="77" t="e">
        <f>#REF!</f>
        <v>#REF!</v>
      </c>
      <c r="AL121" s="77" t="e">
        <f>#REF!</f>
        <v>#REF!</v>
      </c>
      <c r="AM121" s="77" t="e">
        <f>#REF!</f>
        <v>#REF!</v>
      </c>
      <c r="AN121" s="77" t="e">
        <f>#REF!</f>
        <v>#REF!</v>
      </c>
      <c r="AO121" s="77" t="e">
        <f>#REF!</f>
        <v>#REF!</v>
      </c>
      <c r="AP121" s="77" t="e">
        <f>#REF!</f>
        <v>#REF!</v>
      </c>
      <c r="AQ121" s="77" t="e">
        <f>#REF!</f>
        <v>#REF!</v>
      </c>
      <c r="AR121" s="77" t="e">
        <f>#REF!</f>
        <v>#REF!</v>
      </c>
      <c r="AS121" s="77" t="e">
        <f>#REF!</f>
        <v>#REF!</v>
      </c>
      <c r="AT121" s="77" t="e">
        <f>#REF!</f>
        <v>#REF!</v>
      </c>
      <c r="AU121" s="77" t="e">
        <f>#REF!</f>
        <v>#REF!</v>
      </c>
      <c r="AV121" s="77" t="e">
        <f>#REF!</f>
        <v>#REF!</v>
      </c>
      <c r="AW121" s="77" t="e">
        <f>#REF!</f>
        <v>#REF!</v>
      </c>
      <c r="AX121" s="77" t="e">
        <f>#REF!</f>
        <v>#REF!</v>
      </c>
      <c r="AY121" s="77" t="e">
        <f>#REF!</f>
        <v>#REF!</v>
      </c>
      <c r="AZ121" s="77" t="e">
        <f>#REF!</f>
        <v>#REF!</v>
      </c>
      <c r="BA121" s="77" t="e">
        <f>#REF!</f>
        <v>#REF!</v>
      </c>
      <c r="BB121" s="77" t="e">
        <f>#REF!</f>
        <v>#REF!</v>
      </c>
      <c r="BC121" s="77" t="e">
        <f>#REF!</f>
        <v>#REF!</v>
      </c>
      <c r="BD121" s="77" t="e">
        <f>#REF!</f>
        <v>#REF!</v>
      </c>
      <c r="BE121" s="77" t="e">
        <f>#REF!</f>
        <v>#REF!</v>
      </c>
      <c r="BF121" s="77" t="e">
        <f>#REF!</f>
        <v>#REF!</v>
      </c>
      <c r="BG121" s="77" t="e">
        <f>#REF!</f>
        <v>#REF!</v>
      </c>
      <c r="BH121" s="77" t="e">
        <f>#REF!</f>
        <v>#REF!</v>
      </c>
      <c r="BI121" s="77" t="e">
        <f>#REF!</f>
        <v>#REF!</v>
      </c>
      <c r="BJ121" s="77" t="e">
        <f>#REF!</f>
        <v>#REF!</v>
      </c>
      <c r="BK121" s="77" t="e">
        <f>#REF!</f>
        <v>#REF!</v>
      </c>
      <c r="BL121" s="77" t="e">
        <f>#REF!</f>
        <v>#REF!</v>
      </c>
      <c r="BM121" s="77" t="e">
        <f>#REF!</f>
        <v>#REF!</v>
      </c>
      <c r="BN121" s="77" t="e">
        <f>#REF!</f>
        <v>#REF!</v>
      </c>
      <c r="BO121" s="77" t="e">
        <f>#REF!</f>
        <v>#REF!</v>
      </c>
      <c r="BP121" s="77" t="e">
        <f>#REF!</f>
        <v>#REF!</v>
      </c>
      <c r="BR121" s="123" t="str">
        <f t="shared" si="11"/>
        <v>FAI 68-1</v>
      </c>
      <c r="BS121" s="120">
        <f>OOC!G121</f>
        <v>1.05</v>
      </c>
      <c r="BT121" s="120">
        <f>OOC!H121</f>
        <v>1.01</v>
      </c>
      <c r="BU121" s="2" t="e">
        <f t="shared" si="12"/>
        <v>#REF!</v>
      </c>
      <c r="BV121" s="2" t="e">
        <f t="shared" si="13"/>
        <v>#REF!</v>
      </c>
      <c r="BW121" s="2" t="e">
        <f t="shared" si="14"/>
        <v>#REF!</v>
      </c>
      <c r="BX121" s="121" t="e">
        <f>IF(AND(IF(OOC!G121="",0,OOC!G121) &gt;= IF(O121="",0,O121), IF(O121="",0,O121) &gt; IF(L121="",0,L121)), "OOC",
IF(AND(IF(M121="",0,M121) &gt; IF(P121="",0,P121), IF(P121="",0,P121) &gt;= IF(OOC!H121="",0,OOC!H121)), "OOC",
IF(IF(O121="",0,O121) &gt; IF(OOC!G121="",0,OOC!G121), "OOS",
IF(IF(OOC!H121="",0,OOC!H121) &gt; IF(P121="",0,P121), "OOS", "OK"))))</f>
        <v>#REF!</v>
      </c>
    </row>
    <row r="122" spans="1:76" ht="15" customHeight="1">
      <c r="A122" s="13"/>
      <c r="B122" s="73" t="s">
        <v>170</v>
      </c>
      <c r="C122" s="78" t="s">
        <v>165</v>
      </c>
      <c r="D122" s="64" t="s">
        <v>117</v>
      </c>
      <c r="E122" s="65">
        <v>1.33</v>
      </c>
      <c r="F122" s="66" t="s">
        <v>44</v>
      </c>
      <c r="G122" s="67">
        <v>1.03</v>
      </c>
      <c r="H122" s="92" t="str">
        <f>IF(OOC!S122=0,"",OOC!S122)</f>
        <v/>
      </c>
      <c r="I122" s="92" t="str">
        <f>IF(OOC!T122=0,"",OOC!T122)</f>
        <v/>
      </c>
      <c r="J122" s="68" t="s">
        <v>12</v>
      </c>
      <c r="K122" s="69" t="s">
        <v>80</v>
      </c>
      <c r="L122" s="70" t="e">
        <f t="shared" si="55"/>
        <v>#VALUE!</v>
      </c>
      <c r="M122" s="70" t="e">
        <f t="shared" si="56"/>
        <v>#VALUE!</v>
      </c>
      <c r="N122" s="71"/>
      <c r="O122" s="2" t="e">
        <f t="shared" si="57"/>
        <v>#REF!</v>
      </c>
      <c r="P122" s="2" t="e">
        <f t="shared" si="58"/>
        <v>#REF!</v>
      </c>
      <c r="Q122" s="2" t="e">
        <f t="shared" si="59"/>
        <v>#REF!</v>
      </c>
      <c r="R122" s="3" t="e">
        <f t="shared" si="60"/>
        <v>#REF!</v>
      </c>
      <c r="S122" s="4" t="e">
        <f t="shared" si="10"/>
        <v>#REF!</v>
      </c>
      <c r="T122" s="84" t="e">
        <f t="shared" si="53"/>
        <v>#REF!</v>
      </c>
      <c r="U122" s="85" t="e">
        <f t="shared" si="54"/>
        <v>#REF!</v>
      </c>
      <c r="V122" s="4" t="e">
        <f t="shared" si="61"/>
        <v>#REF!</v>
      </c>
      <c r="W122" s="4" t="e">
        <f t="shared" si="62"/>
        <v>#REF!</v>
      </c>
      <c r="X122" s="4" t="e">
        <f t="shared" si="63"/>
        <v>#REF!</v>
      </c>
      <c r="Y122" s="62" t="e">
        <f t="shared" si="64"/>
        <v>#REF!</v>
      </c>
      <c r="Z122" s="22"/>
      <c r="AA122" s="22"/>
      <c r="AB122" s="22"/>
      <c r="AC122" s="22"/>
      <c r="AD122" s="19"/>
      <c r="AE122" s="14"/>
      <c r="AF122" s="72"/>
      <c r="AG122" s="49"/>
      <c r="AH122" s="49"/>
      <c r="AI122" s="50"/>
      <c r="AJ122" s="15"/>
      <c r="AK122" s="77" t="e">
        <f>#REF!</f>
        <v>#REF!</v>
      </c>
      <c r="AL122" s="77" t="e">
        <f>#REF!</f>
        <v>#REF!</v>
      </c>
      <c r="AM122" s="77" t="e">
        <f>#REF!</f>
        <v>#REF!</v>
      </c>
      <c r="AN122" s="77" t="e">
        <f>#REF!</f>
        <v>#REF!</v>
      </c>
      <c r="AO122" s="77" t="e">
        <f>#REF!</f>
        <v>#REF!</v>
      </c>
      <c r="AP122" s="77" t="e">
        <f>#REF!</f>
        <v>#REF!</v>
      </c>
      <c r="AQ122" s="77" t="e">
        <f>#REF!</f>
        <v>#REF!</v>
      </c>
      <c r="AR122" s="77" t="e">
        <f>#REF!</f>
        <v>#REF!</v>
      </c>
      <c r="AS122" s="77" t="e">
        <f>#REF!</f>
        <v>#REF!</v>
      </c>
      <c r="AT122" s="77" t="e">
        <f>#REF!</f>
        <v>#REF!</v>
      </c>
      <c r="AU122" s="77" t="e">
        <f>#REF!</f>
        <v>#REF!</v>
      </c>
      <c r="AV122" s="77" t="e">
        <f>#REF!</f>
        <v>#REF!</v>
      </c>
      <c r="AW122" s="77" t="e">
        <f>#REF!</f>
        <v>#REF!</v>
      </c>
      <c r="AX122" s="77" t="e">
        <f>#REF!</f>
        <v>#REF!</v>
      </c>
      <c r="AY122" s="77" t="e">
        <f>#REF!</f>
        <v>#REF!</v>
      </c>
      <c r="AZ122" s="77" t="e">
        <f>#REF!</f>
        <v>#REF!</v>
      </c>
      <c r="BA122" s="77" t="e">
        <f>#REF!</f>
        <v>#REF!</v>
      </c>
      <c r="BB122" s="77" t="e">
        <f>#REF!</f>
        <v>#REF!</v>
      </c>
      <c r="BC122" s="77" t="e">
        <f>#REF!</f>
        <v>#REF!</v>
      </c>
      <c r="BD122" s="77" t="e">
        <f>#REF!</f>
        <v>#REF!</v>
      </c>
      <c r="BE122" s="77" t="e">
        <f>#REF!</f>
        <v>#REF!</v>
      </c>
      <c r="BF122" s="77" t="e">
        <f>#REF!</f>
        <v>#REF!</v>
      </c>
      <c r="BG122" s="77" t="e">
        <f>#REF!</f>
        <v>#REF!</v>
      </c>
      <c r="BH122" s="77" t="e">
        <f>#REF!</f>
        <v>#REF!</v>
      </c>
      <c r="BI122" s="77" t="e">
        <f>#REF!</f>
        <v>#REF!</v>
      </c>
      <c r="BJ122" s="77" t="e">
        <f>#REF!</f>
        <v>#REF!</v>
      </c>
      <c r="BK122" s="77" t="e">
        <f>#REF!</f>
        <v>#REF!</v>
      </c>
      <c r="BL122" s="77" t="e">
        <f>#REF!</f>
        <v>#REF!</v>
      </c>
      <c r="BM122" s="77" t="e">
        <f>#REF!</f>
        <v>#REF!</v>
      </c>
      <c r="BN122" s="77" t="e">
        <f>#REF!</f>
        <v>#REF!</v>
      </c>
      <c r="BO122" s="77" t="e">
        <f>#REF!</f>
        <v>#REF!</v>
      </c>
      <c r="BP122" s="77" t="e">
        <f>#REF!</f>
        <v>#REF!</v>
      </c>
      <c r="BR122" s="123" t="str">
        <f t="shared" si="11"/>
        <v>FAI 68-2</v>
      </c>
      <c r="BS122" s="120">
        <f>OOC!G122</f>
        <v>1.05</v>
      </c>
      <c r="BT122" s="120">
        <f>OOC!H122</f>
        <v>1.01</v>
      </c>
      <c r="BU122" s="2" t="e">
        <f t="shared" si="12"/>
        <v>#REF!</v>
      </c>
      <c r="BV122" s="2" t="e">
        <f t="shared" si="13"/>
        <v>#REF!</v>
      </c>
      <c r="BW122" s="2" t="e">
        <f t="shared" si="14"/>
        <v>#REF!</v>
      </c>
      <c r="BX122" s="121" t="e">
        <f>IF(AND(IF(OOC!G122="",0,OOC!G122) &gt;= IF(O122="",0,O122), IF(O122="",0,O122) &gt; IF(L122="",0,L122)), "OOC",
IF(AND(IF(M122="",0,M122) &gt; IF(P122="",0,P122), IF(P122="",0,P122) &gt;= IF(OOC!H122="",0,OOC!H122)), "OOC",
IF(IF(O122="",0,O122) &gt; IF(OOC!G122="",0,OOC!G122), "OOS",
IF(IF(OOC!H122="",0,OOC!H122) &gt; IF(P122="",0,P122), "OOS", "OK"))))</f>
        <v>#REF!</v>
      </c>
    </row>
    <row r="123" spans="1:76" ht="15" customHeight="1">
      <c r="A123" s="13"/>
      <c r="B123" s="73" t="s">
        <v>171</v>
      </c>
      <c r="C123" s="78" t="s">
        <v>166</v>
      </c>
      <c r="D123" s="64" t="s">
        <v>117</v>
      </c>
      <c r="E123" s="65">
        <v>1.33</v>
      </c>
      <c r="F123" s="66" t="s">
        <v>44</v>
      </c>
      <c r="G123" s="67">
        <v>14.496</v>
      </c>
      <c r="H123" s="92" t="str">
        <f>IF(OOC!S123=0,"",OOC!S123)</f>
        <v/>
      </c>
      <c r="I123" s="92" t="str">
        <f>IF(OOC!T123=0,"",OOC!T123)</f>
        <v/>
      </c>
      <c r="J123" s="68" t="s">
        <v>12</v>
      </c>
      <c r="K123" s="69" t="s">
        <v>80</v>
      </c>
      <c r="L123" s="70" t="e">
        <f t="shared" si="55"/>
        <v>#VALUE!</v>
      </c>
      <c r="M123" s="70" t="e">
        <f t="shared" si="56"/>
        <v>#VALUE!</v>
      </c>
      <c r="N123" s="71"/>
      <c r="O123" s="2" t="e">
        <f t="shared" si="57"/>
        <v>#REF!</v>
      </c>
      <c r="P123" s="2" t="e">
        <f t="shared" si="58"/>
        <v>#REF!</v>
      </c>
      <c r="Q123" s="2" t="e">
        <f t="shared" si="59"/>
        <v>#REF!</v>
      </c>
      <c r="R123" s="3" t="e">
        <f t="shared" si="60"/>
        <v>#REF!</v>
      </c>
      <c r="S123" s="4" t="e">
        <f t="shared" si="10"/>
        <v>#REF!</v>
      </c>
      <c r="T123" s="84" t="e">
        <f t="shared" si="53"/>
        <v>#REF!</v>
      </c>
      <c r="U123" s="85" t="e">
        <f t="shared" si="54"/>
        <v>#REF!</v>
      </c>
      <c r="V123" s="4" t="e">
        <f t="shared" si="61"/>
        <v>#REF!</v>
      </c>
      <c r="W123" s="4" t="e">
        <f t="shared" si="62"/>
        <v>#REF!</v>
      </c>
      <c r="X123" s="4" t="e">
        <f t="shared" si="63"/>
        <v>#REF!</v>
      </c>
      <c r="Y123" s="62" t="e">
        <f t="shared" si="64"/>
        <v>#REF!</v>
      </c>
      <c r="Z123" s="22"/>
      <c r="AA123" s="22"/>
      <c r="AB123" s="22"/>
      <c r="AC123" s="22"/>
      <c r="AD123" s="19"/>
      <c r="AE123" s="14"/>
      <c r="AF123" s="72"/>
      <c r="AG123" s="49"/>
      <c r="AH123" s="49"/>
      <c r="AI123" s="50"/>
      <c r="AJ123" s="15"/>
      <c r="AK123" s="77" t="e">
        <f>#REF!</f>
        <v>#REF!</v>
      </c>
      <c r="AL123" s="77" t="e">
        <f>#REF!</f>
        <v>#REF!</v>
      </c>
      <c r="AM123" s="77" t="e">
        <f>#REF!</f>
        <v>#REF!</v>
      </c>
      <c r="AN123" s="77" t="e">
        <f>#REF!</f>
        <v>#REF!</v>
      </c>
      <c r="AO123" s="77" t="e">
        <f>#REF!</f>
        <v>#REF!</v>
      </c>
      <c r="AP123" s="77" t="e">
        <f>#REF!</f>
        <v>#REF!</v>
      </c>
      <c r="AQ123" s="77" t="e">
        <f>#REF!</f>
        <v>#REF!</v>
      </c>
      <c r="AR123" s="77" t="e">
        <f>#REF!</f>
        <v>#REF!</v>
      </c>
      <c r="AS123" s="77" t="e">
        <f>#REF!</f>
        <v>#REF!</v>
      </c>
      <c r="AT123" s="77" t="e">
        <f>#REF!</f>
        <v>#REF!</v>
      </c>
      <c r="AU123" s="77" t="e">
        <f>#REF!</f>
        <v>#REF!</v>
      </c>
      <c r="AV123" s="77" t="e">
        <f>#REF!</f>
        <v>#REF!</v>
      </c>
      <c r="AW123" s="77" t="e">
        <f>#REF!</f>
        <v>#REF!</v>
      </c>
      <c r="AX123" s="77" t="e">
        <f>#REF!</f>
        <v>#REF!</v>
      </c>
      <c r="AY123" s="77" t="e">
        <f>#REF!</f>
        <v>#REF!</v>
      </c>
      <c r="AZ123" s="77" t="e">
        <f>#REF!</f>
        <v>#REF!</v>
      </c>
      <c r="BA123" s="77" t="e">
        <f>#REF!</f>
        <v>#REF!</v>
      </c>
      <c r="BB123" s="77" t="e">
        <f>#REF!</f>
        <v>#REF!</v>
      </c>
      <c r="BC123" s="77" t="e">
        <f>#REF!</f>
        <v>#REF!</v>
      </c>
      <c r="BD123" s="77" t="e">
        <f>#REF!</f>
        <v>#REF!</v>
      </c>
      <c r="BE123" s="77" t="e">
        <f>#REF!</f>
        <v>#REF!</v>
      </c>
      <c r="BF123" s="77" t="e">
        <f>#REF!</f>
        <v>#REF!</v>
      </c>
      <c r="BG123" s="77" t="e">
        <f>#REF!</f>
        <v>#REF!</v>
      </c>
      <c r="BH123" s="77" t="e">
        <f>#REF!</f>
        <v>#REF!</v>
      </c>
      <c r="BI123" s="77" t="e">
        <f>#REF!</f>
        <v>#REF!</v>
      </c>
      <c r="BJ123" s="77" t="e">
        <f>#REF!</f>
        <v>#REF!</v>
      </c>
      <c r="BK123" s="77" t="e">
        <f>#REF!</f>
        <v>#REF!</v>
      </c>
      <c r="BL123" s="77" t="e">
        <f>#REF!</f>
        <v>#REF!</v>
      </c>
      <c r="BM123" s="77" t="e">
        <f>#REF!</f>
        <v>#REF!</v>
      </c>
      <c r="BN123" s="77" t="e">
        <f>#REF!</f>
        <v>#REF!</v>
      </c>
      <c r="BO123" s="77" t="e">
        <f>#REF!</f>
        <v>#REF!</v>
      </c>
      <c r="BP123" s="77" t="e">
        <f>#REF!</f>
        <v>#REF!</v>
      </c>
      <c r="BR123" s="123" t="str">
        <f t="shared" si="11"/>
        <v>FAI 69</v>
      </c>
      <c r="BS123" s="120">
        <f>OOC!G123</f>
        <v>14.516</v>
      </c>
      <c r="BT123" s="120">
        <f>OOC!H123</f>
        <v>14.476000000000001</v>
      </c>
      <c r="BU123" s="2" t="e">
        <f t="shared" si="12"/>
        <v>#REF!</v>
      </c>
      <c r="BV123" s="2" t="e">
        <f t="shared" si="13"/>
        <v>#REF!</v>
      </c>
      <c r="BW123" s="2" t="e">
        <f t="shared" si="14"/>
        <v>#REF!</v>
      </c>
      <c r="BX123" s="121" t="e">
        <f>IF(AND(IF(OOC!G123="",0,OOC!G123) &gt;= IF(O123="",0,O123), IF(O123="",0,O123) &gt; IF(L123="",0,L123)), "OOC",
IF(AND(IF(M123="",0,M123) &gt; IF(P123="",0,P123), IF(P123="",0,P123) &gt;= IF(OOC!H123="",0,OOC!H123)), "OOC",
IF(IF(O123="",0,O123) &gt; IF(OOC!G123="",0,OOC!G123), "OOS",
IF(IF(OOC!H123="",0,OOC!H123) &gt; IF(P123="",0,P123), "OOS", "OK"))))</f>
        <v>#REF!</v>
      </c>
    </row>
    <row r="124" spans="1:76" ht="15" customHeight="1">
      <c r="A124" s="13"/>
      <c r="B124" s="73" t="s">
        <v>172</v>
      </c>
      <c r="C124" s="78" t="s">
        <v>167</v>
      </c>
      <c r="D124" s="64" t="s">
        <v>117</v>
      </c>
      <c r="E124" s="65">
        <v>1.33</v>
      </c>
      <c r="F124" s="66" t="s">
        <v>44</v>
      </c>
      <c r="G124" s="67">
        <v>0.77</v>
      </c>
      <c r="H124" s="92" t="str">
        <f>IF(OOC!S124=0,"",OOC!S124)</f>
        <v/>
      </c>
      <c r="I124" s="92" t="str">
        <f>IF(OOC!T124=0,"",OOC!T124)</f>
        <v/>
      </c>
      <c r="J124" s="68" t="s">
        <v>12</v>
      </c>
      <c r="K124" s="69" t="s">
        <v>80</v>
      </c>
      <c r="L124" s="70" t="e">
        <f t="shared" si="55"/>
        <v>#VALUE!</v>
      </c>
      <c r="M124" s="70" t="e">
        <f t="shared" si="56"/>
        <v>#VALUE!</v>
      </c>
      <c r="N124" s="71"/>
      <c r="O124" s="2" t="e">
        <f t="shared" si="57"/>
        <v>#REF!</v>
      </c>
      <c r="P124" s="2" t="e">
        <f t="shared" si="58"/>
        <v>#REF!</v>
      </c>
      <c r="Q124" s="2" t="e">
        <f t="shared" si="59"/>
        <v>#REF!</v>
      </c>
      <c r="R124" s="3" t="e">
        <f t="shared" si="60"/>
        <v>#REF!</v>
      </c>
      <c r="S124" s="4" t="e">
        <f t="shared" si="10"/>
        <v>#REF!</v>
      </c>
      <c r="T124" s="84" t="e">
        <f t="shared" si="53"/>
        <v>#REF!</v>
      </c>
      <c r="U124" s="85" t="e">
        <f t="shared" si="54"/>
        <v>#REF!</v>
      </c>
      <c r="V124" s="4" t="e">
        <f t="shared" si="61"/>
        <v>#REF!</v>
      </c>
      <c r="W124" s="4" t="e">
        <f t="shared" si="62"/>
        <v>#REF!</v>
      </c>
      <c r="X124" s="4" t="e">
        <f t="shared" si="63"/>
        <v>#REF!</v>
      </c>
      <c r="Y124" s="62" t="e">
        <f t="shared" si="64"/>
        <v>#REF!</v>
      </c>
      <c r="Z124" s="22"/>
      <c r="AA124" s="22"/>
      <c r="AB124" s="22"/>
      <c r="AC124" s="22"/>
      <c r="AD124" s="19"/>
      <c r="AE124" s="14"/>
      <c r="AF124" s="72"/>
      <c r="AG124" s="49"/>
      <c r="AH124" s="49"/>
      <c r="AI124" s="50"/>
      <c r="AJ124" s="15"/>
      <c r="AK124" s="77" t="e">
        <f>#REF!</f>
        <v>#REF!</v>
      </c>
      <c r="AL124" s="77" t="e">
        <f>#REF!</f>
        <v>#REF!</v>
      </c>
      <c r="AM124" s="77" t="e">
        <f>#REF!</f>
        <v>#REF!</v>
      </c>
      <c r="AN124" s="77" t="e">
        <f>#REF!</f>
        <v>#REF!</v>
      </c>
      <c r="AO124" s="77" t="e">
        <f>#REF!</f>
        <v>#REF!</v>
      </c>
      <c r="AP124" s="77" t="e">
        <f>#REF!</f>
        <v>#REF!</v>
      </c>
      <c r="AQ124" s="77" t="e">
        <f>#REF!</f>
        <v>#REF!</v>
      </c>
      <c r="AR124" s="77" t="e">
        <f>#REF!</f>
        <v>#REF!</v>
      </c>
      <c r="AS124" s="77" t="e">
        <f>#REF!</f>
        <v>#REF!</v>
      </c>
      <c r="AT124" s="77" t="e">
        <f>#REF!</f>
        <v>#REF!</v>
      </c>
      <c r="AU124" s="77" t="e">
        <f>#REF!</f>
        <v>#REF!</v>
      </c>
      <c r="AV124" s="77" t="e">
        <f>#REF!</f>
        <v>#REF!</v>
      </c>
      <c r="AW124" s="77" t="e">
        <f>#REF!</f>
        <v>#REF!</v>
      </c>
      <c r="AX124" s="77" t="e">
        <f>#REF!</f>
        <v>#REF!</v>
      </c>
      <c r="AY124" s="77" t="e">
        <f>#REF!</f>
        <v>#REF!</v>
      </c>
      <c r="AZ124" s="77" t="e">
        <f>#REF!</f>
        <v>#REF!</v>
      </c>
      <c r="BA124" s="77" t="e">
        <f>#REF!</f>
        <v>#REF!</v>
      </c>
      <c r="BB124" s="77" t="e">
        <f>#REF!</f>
        <v>#REF!</v>
      </c>
      <c r="BC124" s="77" t="e">
        <f>#REF!</f>
        <v>#REF!</v>
      </c>
      <c r="BD124" s="77" t="e">
        <f>#REF!</f>
        <v>#REF!</v>
      </c>
      <c r="BE124" s="77" t="e">
        <f>#REF!</f>
        <v>#REF!</v>
      </c>
      <c r="BF124" s="77" t="e">
        <f>#REF!</f>
        <v>#REF!</v>
      </c>
      <c r="BG124" s="77" t="e">
        <f>#REF!</f>
        <v>#REF!</v>
      </c>
      <c r="BH124" s="77" t="e">
        <f>#REF!</f>
        <v>#REF!</v>
      </c>
      <c r="BI124" s="77" t="e">
        <f>#REF!</f>
        <v>#REF!</v>
      </c>
      <c r="BJ124" s="77" t="e">
        <f>#REF!</f>
        <v>#REF!</v>
      </c>
      <c r="BK124" s="77" t="e">
        <f>#REF!</f>
        <v>#REF!</v>
      </c>
      <c r="BL124" s="77" t="e">
        <f>#REF!</f>
        <v>#REF!</v>
      </c>
      <c r="BM124" s="77" t="e">
        <f>#REF!</f>
        <v>#REF!</v>
      </c>
      <c r="BN124" s="77" t="e">
        <f>#REF!</f>
        <v>#REF!</v>
      </c>
      <c r="BO124" s="77" t="e">
        <f>#REF!</f>
        <v>#REF!</v>
      </c>
      <c r="BP124" s="77" t="e">
        <f>#REF!</f>
        <v>#REF!</v>
      </c>
      <c r="BR124" s="123" t="str">
        <f t="shared" si="11"/>
        <v>FAI 70-1</v>
      </c>
      <c r="BS124" s="120">
        <f>OOC!G124</f>
        <v>0.79</v>
      </c>
      <c r="BT124" s="120">
        <f>OOC!H124</f>
        <v>0.75</v>
      </c>
      <c r="BU124" s="2" t="e">
        <f t="shared" si="12"/>
        <v>#REF!</v>
      </c>
      <c r="BV124" s="2" t="e">
        <f t="shared" si="13"/>
        <v>#REF!</v>
      </c>
      <c r="BW124" s="2" t="e">
        <f t="shared" si="14"/>
        <v>#REF!</v>
      </c>
      <c r="BX124" s="121" t="e">
        <f>IF(AND(IF(OOC!G124="",0,OOC!G124) &gt;= IF(O124="",0,O124), IF(O124="",0,O124) &gt; IF(L124="",0,L124)), "OOC",
IF(AND(IF(M124="",0,M124) &gt; IF(P124="",0,P124), IF(P124="",0,P124) &gt;= IF(OOC!H124="",0,OOC!H124)), "OOC",
IF(IF(O124="",0,O124) &gt; IF(OOC!G124="",0,OOC!G124), "OOS",
IF(IF(OOC!H124="",0,OOC!H124) &gt; IF(P124="",0,P124), "OOS", "OK"))))</f>
        <v>#REF!</v>
      </c>
    </row>
    <row r="125" spans="1:76" ht="15" customHeight="1">
      <c r="A125" s="13"/>
      <c r="B125" s="73" t="s">
        <v>172</v>
      </c>
      <c r="C125" s="78" t="s">
        <v>168</v>
      </c>
      <c r="D125" s="64" t="s">
        <v>117</v>
      </c>
      <c r="E125" s="65">
        <v>1.33</v>
      </c>
      <c r="F125" s="66" t="s">
        <v>44</v>
      </c>
      <c r="G125" s="67">
        <v>0.77</v>
      </c>
      <c r="H125" s="92" t="str">
        <f>IF(OOC!S125=0,"",OOC!S125)</f>
        <v/>
      </c>
      <c r="I125" s="92" t="str">
        <f>IF(OOC!T125=0,"",OOC!T125)</f>
        <v/>
      </c>
      <c r="J125" s="68" t="s">
        <v>12</v>
      </c>
      <c r="K125" s="69" t="s">
        <v>80</v>
      </c>
      <c r="L125" s="70" t="e">
        <f t="shared" si="55"/>
        <v>#VALUE!</v>
      </c>
      <c r="M125" s="70" t="e">
        <f t="shared" si="56"/>
        <v>#VALUE!</v>
      </c>
      <c r="N125" s="71"/>
      <c r="O125" s="2" t="e">
        <f t="shared" si="57"/>
        <v>#REF!</v>
      </c>
      <c r="P125" s="2" t="e">
        <f t="shared" si="58"/>
        <v>#REF!</v>
      </c>
      <c r="Q125" s="2" t="e">
        <f t="shared" si="59"/>
        <v>#REF!</v>
      </c>
      <c r="R125" s="3" t="e">
        <f t="shared" si="60"/>
        <v>#REF!</v>
      </c>
      <c r="S125" s="4" t="e">
        <f t="shared" si="10"/>
        <v>#REF!</v>
      </c>
      <c r="T125" s="84" t="e">
        <f t="shared" si="53"/>
        <v>#REF!</v>
      </c>
      <c r="U125" s="85" t="e">
        <f t="shared" si="54"/>
        <v>#REF!</v>
      </c>
      <c r="V125" s="4" t="e">
        <f t="shared" si="61"/>
        <v>#REF!</v>
      </c>
      <c r="W125" s="4" t="e">
        <f t="shared" si="62"/>
        <v>#REF!</v>
      </c>
      <c r="X125" s="4" t="e">
        <f t="shared" si="63"/>
        <v>#REF!</v>
      </c>
      <c r="Y125" s="62" t="e">
        <f t="shared" si="64"/>
        <v>#REF!</v>
      </c>
      <c r="Z125" s="22"/>
      <c r="AA125" s="22"/>
      <c r="AB125" s="22"/>
      <c r="AC125" s="22"/>
      <c r="AD125" s="19"/>
      <c r="AE125" s="14"/>
      <c r="AF125" s="72"/>
      <c r="AG125" s="49"/>
      <c r="AH125" s="49"/>
      <c r="AI125" s="50"/>
      <c r="AJ125" s="15"/>
      <c r="AK125" s="77" t="e">
        <f>#REF!</f>
        <v>#REF!</v>
      </c>
      <c r="AL125" s="77" t="e">
        <f>#REF!</f>
        <v>#REF!</v>
      </c>
      <c r="AM125" s="77" t="e">
        <f>#REF!</f>
        <v>#REF!</v>
      </c>
      <c r="AN125" s="77" t="e">
        <f>#REF!</f>
        <v>#REF!</v>
      </c>
      <c r="AO125" s="77" t="e">
        <f>#REF!</f>
        <v>#REF!</v>
      </c>
      <c r="AP125" s="77" t="e">
        <f>#REF!</f>
        <v>#REF!</v>
      </c>
      <c r="AQ125" s="77" t="e">
        <f>#REF!</f>
        <v>#REF!</v>
      </c>
      <c r="AR125" s="77" t="e">
        <f>#REF!</f>
        <v>#REF!</v>
      </c>
      <c r="AS125" s="77" t="e">
        <f>#REF!</f>
        <v>#REF!</v>
      </c>
      <c r="AT125" s="77" t="e">
        <f>#REF!</f>
        <v>#REF!</v>
      </c>
      <c r="AU125" s="77" t="e">
        <f>#REF!</f>
        <v>#REF!</v>
      </c>
      <c r="AV125" s="77" t="e">
        <f>#REF!</f>
        <v>#REF!</v>
      </c>
      <c r="AW125" s="77" t="e">
        <f>#REF!</f>
        <v>#REF!</v>
      </c>
      <c r="AX125" s="77" t="e">
        <f>#REF!</f>
        <v>#REF!</v>
      </c>
      <c r="AY125" s="77" t="e">
        <f>#REF!</f>
        <v>#REF!</v>
      </c>
      <c r="AZ125" s="77" t="e">
        <f>#REF!</f>
        <v>#REF!</v>
      </c>
      <c r="BA125" s="77" t="e">
        <f>#REF!</f>
        <v>#REF!</v>
      </c>
      <c r="BB125" s="77" t="e">
        <f>#REF!</f>
        <v>#REF!</v>
      </c>
      <c r="BC125" s="77" t="e">
        <f>#REF!</f>
        <v>#REF!</v>
      </c>
      <c r="BD125" s="77" t="e">
        <f>#REF!</f>
        <v>#REF!</v>
      </c>
      <c r="BE125" s="77" t="e">
        <f>#REF!</f>
        <v>#REF!</v>
      </c>
      <c r="BF125" s="77" t="e">
        <f>#REF!</f>
        <v>#REF!</v>
      </c>
      <c r="BG125" s="77" t="e">
        <f>#REF!</f>
        <v>#REF!</v>
      </c>
      <c r="BH125" s="77" t="e">
        <f>#REF!</f>
        <v>#REF!</v>
      </c>
      <c r="BI125" s="77" t="e">
        <f>#REF!</f>
        <v>#REF!</v>
      </c>
      <c r="BJ125" s="77" t="e">
        <f>#REF!</f>
        <v>#REF!</v>
      </c>
      <c r="BK125" s="77" t="e">
        <f>#REF!</f>
        <v>#REF!</v>
      </c>
      <c r="BL125" s="77" t="e">
        <f>#REF!</f>
        <v>#REF!</v>
      </c>
      <c r="BM125" s="77" t="e">
        <f>#REF!</f>
        <v>#REF!</v>
      </c>
      <c r="BN125" s="77" t="e">
        <f>#REF!</f>
        <v>#REF!</v>
      </c>
      <c r="BO125" s="77" t="e">
        <f>#REF!</f>
        <v>#REF!</v>
      </c>
      <c r="BP125" s="77" t="e">
        <f>#REF!</f>
        <v>#REF!</v>
      </c>
      <c r="BR125" s="123" t="str">
        <f t="shared" si="11"/>
        <v>FAI 70-2</v>
      </c>
      <c r="BS125" s="120">
        <f>OOC!G125</f>
        <v>0.79</v>
      </c>
      <c r="BT125" s="120">
        <f>OOC!H125</f>
        <v>0.75</v>
      </c>
      <c r="BU125" s="2" t="e">
        <f t="shared" si="12"/>
        <v>#REF!</v>
      </c>
      <c r="BV125" s="2" t="e">
        <f t="shared" si="13"/>
        <v>#REF!</v>
      </c>
      <c r="BW125" s="2" t="e">
        <f t="shared" si="14"/>
        <v>#REF!</v>
      </c>
      <c r="BX125" s="121" t="e">
        <f>IF(AND(IF(OOC!G125="",0,OOC!G125) &gt;= IF(O125="",0,O125), IF(O125="",0,O125) &gt; IF(L125="",0,L125)), "OOC",
IF(AND(IF(M125="",0,M125) &gt; IF(P125="",0,P125), IF(P125="",0,P125) &gt;= IF(OOC!H125="",0,OOC!H125)), "OOC",
IF(IF(O125="",0,O125) &gt; IF(OOC!G125="",0,OOC!G125), "OOS",
IF(IF(OOC!H125="",0,OOC!H125) &gt; IF(P125="",0,P125), "OOS", "OK"))))</f>
        <v>#REF!</v>
      </c>
    </row>
    <row r="126" spans="1:76" ht="15" customHeight="1">
      <c r="A126" s="13"/>
      <c r="B126" s="73" t="s">
        <v>173</v>
      </c>
      <c r="C126" s="78" t="s">
        <v>169</v>
      </c>
      <c r="D126" s="64" t="s">
        <v>117</v>
      </c>
      <c r="E126" s="65">
        <v>1.33</v>
      </c>
      <c r="F126" s="66" t="s">
        <v>44</v>
      </c>
      <c r="G126" s="67">
        <v>11.776999999999999</v>
      </c>
      <c r="H126" s="92" t="str">
        <f>IF(OOC!S126=0,"",OOC!S126)</f>
        <v/>
      </c>
      <c r="I126" s="92" t="str">
        <f>IF(OOC!T126=0,"",OOC!T126)</f>
        <v/>
      </c>
      <c r="J126" s="68" t="s">
        <v>12</v>
      </c>
      <c r="K126" s="69" t="s">
        <v>80</v>
      </c>
      <c r="L126" s="70" t="e">
        <f t="shared" si="55"/>
        <v>#VALUE!</v>
      </c>
      <c r="M126" s="70" t="e">
        <f t="shared" si="56"/>
        <v>#VALUE!</v>
      </c>
      <c r="N126" s="71"/>
      <c r="O126" s="2" t="e">
        <f t="shared" si="57"/>
        <v>#REF!</v>
      </c>
      <c r="P126" s="2" t="e">
        <f t="shared" si="58"/>
        <v>#REF!</v>
      </c>
      <c r="Q126" s="2" t="e">
        <f t="shared" si="59"/>
        <v>#REF!</v>
      </c>
      <c r="R126" s="3" t="e">
        <f t="shared" si="60"/>
        <v>#REF!</v>
      </c>
      <c r="S126" s="4" t="e">
        <f t="shared" si="10"/>
        <v>#REF!</v>
      </c>
      <c r="T126" s="84" t="e">
        <f t="shared" si="53"/>
        <v>#REF!</v>
      </c>
      <c r="U126" s="85" t="e">
        <f t="shared" si="54"/>
        <v>#REF!</v>
      </c>
      <c r="V126" s="4" t="e">
        <f t="shared" si="61"/>
        <v>#REF!</v>
      </c>
      <c r="W126" s="4" t="e">
        <f t="shared" si="62"/>
        <v>#REF!</v>
      </c>
      <c r="X126" s="4" t="e">
        <f t="shared" si="63"/>
        <v>#REF!</v>
      </c>
      <c r="Y126" s="62" t="e">
        <f t="shared" si="64"/>
        <v>#REF!</v>
      </c>
      <c r="Z126" s="22"/>
      <c r="AA126" s="22"/>
      <c r="AB126" s="22"/>
      <c r="AC126" s="22"/>
      <c r="AD126" s="19"/>
      <c r="AE126" s="14"/>
      <c r="AF126" s="72"/>
      <c r="AG126" s="49"/>
      <c r="AH126" s="49"/>
      <c r="AI126" s="50"/>
      <c r="AJ126" s="15"/>
      <c r="AK126" s="77" t="e">
        <f>#REF!</f>
        <v>#REF!</v>
      </c>
      <c r="AL126" s="77" t="e">
        <f>#REF!</f>
        <v>#REF!</v>
      </c>
      <c r="AM126" s="77" t="e">
        <f>#REF!</f>
        <v>#REF!</v>
      </c>
      <c r="AN126" s="77" t="e">
        <f>#REF!</f>
        <v>#REF!</v>
      </c>
      <c r="AO126" s="77" t="e">
        <f>#REF!</f>
        <v>#REF!</v>
      </c>
      <c r="AP126" s="77" t="e">
        <f>#REF!</f>
        <v>#REF!</v>
      </c>
      <c r="AQ126" s="77" t="e">
        <f>#REF!</f>
        <v>#REF!</v>
      </c>
      <c r="AR126" s="77" t="e">
        <f>#REF!</f>
        <v>#REF!</v>
      </c>
      <c r="AS126" s="77" t="e">
        <f>#REF!</f>
        <v>#REF!</v>
      </c>
      <c r="AT126" s="77" t="e">
        <f>#REF!</f>
        <v>#REF!</v>
      </c>
      <c r="AU126" s="77" t="e">
        <f>#REF!</f>
        <v>#REF!</v>
      </c>
      <c r="AV126" s="77" t="e">
        <f>#REF!</f>
        <v>#REF!</v>
      </c>
      <c r="AW126" s="77" t="e">
        <f>#REF!</f>
        <v>#REF!</v>
      </c>
      <c r="AX126" s="77" t="e">
        <f>#REF!</f>
        <v>#REF!</v>
      </c>
      <c r="AY126" s="77" t="e">
        <f>#REF!</f>
        <v>#REF!</v>
      </c>
      <c r="AZ126" s="77" t="e">
        <f>#REF!</f>
        <v>#REF!</v>
      </c>
      <c r="BA126" s="77" t="e">
        <f>#REF!</f>
        <v>#REF!</v>
      </c>
      <c r="BB126" s="77" t="e">
        <f>#REF!</f>
        <v>#REF!</v>
      </c>
      <c r="BC126" s="77" t="e">
        <f>#REF!</f>
        <v>#REF!</v>
      </c>
      <c r="BD126" s="77" t="e">
        <f>#REF!</f>
        <v>#REF!</v>
      </c>
      <c r="BE126" s="77" t="e">
        <f>#REF!</f>
        <v>#REF!</v>
      </c>
      <c r="BF126" s="77" t="e">
        <f>#REF!</f>
        <v>#REF!</v>
      </c>
      <c r="BG126" s="77" t="e">
        <f>#REF!</f>
        <v>#REF!</v>
      </c>
      <c r="BH126" s="77" t="e">
        <f>#REF!</f>
        <v>#REF!</v>
      </c>
      <c r="BI126" s="77" t="e">
        <f>#REF!</f>
        <v>#REF!</v>
      </c>
      <c r="BJ126" s="77" t="e">
        <f>#REF!</f>
        <v>#REF!</v>
      </c>
      <c r="BK126" s="77" t="e">
        <f>#REF!</f>
        <v>#REF!</v>
      </c>
      <c r="BL126" s="77" t="e">
        <f>#REF!</f>
        <v>#REF!</v>
      </c>
      <c r="BM126" s="77" t="e">
        <f>#REF!</f>
        <v>#REF!</v>
      </c>
      <c r="BN126" s="77" t="e">
        <f>#REF!</f>
        <v>#REF!</v>
      </c>
      <c r="BO126" s="77" t="e">
        <f>#REF!</f>
        <v>#REF!</v>
      </c>
      <c r="BP126" s="77" t="e">
        <f>#REF!</f>
        <v>#REF!</v>
      </c>
      <c r="BR126" s="123" t="str">
        <f t="shared" si="11"/>
        <v>FAI 71</v>
      </c>
      <c r="BS126" s="120">
        <f>OOC!G126</f>
        <v>11.796999999999999</v>
      </c>
      <c r="BT126" s="120">
        <f>OOC!H126</f>
        <v>11.757</v>
      </c>
      <c r="BU126" s="2" t="e">
        <f t="shared" si="12"/>
        <v>#REF!</v>
      </c>
      <c r="BV126" s="2" t="e">
        <f t="shared" si="13"/>
        <v>#REF!</v>
      </c>
      <c r="BW126" s="2" t="e">
        <f t="shared" si="14"/>
        <v>#REF!</v>
      </c>
      <c r="BX126" s="121" t="e">
        <f>IF(AND(IF(OOC!G126="",0,OOC!G126) &gt;= IF(O126="",0,O126), IF(O126="",0,O126) &gt; IF(L126="",0,L126)), "OOC",
IF(AND(IF(M126="",0,M126) &gt; IF(P126="",0,P126), IF(P126="",0,P126) &gt;= IF(OOC!H126="",0,OOC!H126)), "OOC",
IF(IF(O126="",0,O126) &gt; IF(OOC!G126="",0,OOC!G126), "OOS",
IF(IF(OOC!H126="",0,OOC!H126) &gt; IF(P126="",0,P126), "OOS", "OK"))))</f>
        <v>#REF!</v>
      </c>
    </row>
    <row r="127" spans="1:76">
      <c r="T127"/>
      <c r="U127"/>
    </row>
    <row r="128" spans="1:76">
      <c r="T128"/>
      <c r="U128"/>
    </row>
    <row r="129" spans="20:21">
      <c r="T129"/>
      <c r="U129"/>
    </row>
    <row r="130" spans="20:21">
      <c r="T130"/>
      <c r="U130"/>
    </row>
    <row r="131" spans="20:21">
      <c r="T131"/>
      <c r="U131"/>
    </row>
    <row r="132" spans="20:21">
      <c r="T132"/>
      <c r="U132"/>
    </row>
    <row r="133" spans="20:21">
      <c r="T133"/>
      <c r="U133"/>
    </row>
    <row r="134" spans="20:21">
      <c r="T134"/>
      <c r="U134"/>
    </row>
    <row r="135" spans="20:21">
      <c r="T135"/>
      <c r="U135"/>
    </row>
    <row r="136" spans="20:21">
      <c r="T136"/>
      <c r="U136"/>
    </row>
    <row r="137" spans="20:21">
      <c r="T137"/>
      <c r="U137"/>
    </row>
    <row r="138" spans="20:21">
      <c r="T138"/>
      <c r="U138"/>
    </row>
    <row r="139" spans="20:21">
      <c r="T139"/>
      <c r="U139"/>
    </row>
    <row r="140" spans="20:21">
      <c r="T140"/>
      <c r="U140"/>
    </row>
    <row r="141" spans="20:21">
      <c r="T141"/>
      <c r="U141"/>
    </row>
    <row r="142" spans="20:21">
      <c r="T142"/>
      <c r="U142"/>
    </row>
    <row r="143" spans="20:21">
      <c r="T143"/>
      <c r="U143"/>
    </row>
    <row r="144" spans="20:21">
      <c r="T144"/>
      <c r="U144"/>
    </row>
    <row r="145" spans="20:21">
      <c r="T145"/>
      <c r="U145"/>
    </row>
    <row r="146" spans="20:21">
      <c r="T146"/>
      <c r="U146"/>
    </row>
    <row r="147" spans="20:21">
      <c r="T147"/>
      <c r="U147"/>
    </row>
    <row r="148" spans="20:21">
      <c r="T148"/>
      <c r="U148"/>
    </row>
    <row r="149" spans="20:21">
      <c r="T149"/>
      <c r="U149"/>
    </row>
    <row r="150" spans="20:21">
      <c r="T150"/>
      <c r="U150"/>
    </row>
    <row r="151" spans="20:21">
      <c r="T151"/>
      <c r="U151"/>
    </row>
    <row r="152" spans="20:21">
      <c r="T152"/>
      <c r="U152"/>
    </row>
    <row r="153" spans="20:21">
      <c r="T153"/>
      <c r="U153"/>
    </row>
    <row r="154" spans="20:21">
      <c r="T154"/>
      <c r="U154"/>
    </row>
    <row r="155" spans="20:21">
      <c r="T155"/>
      <c r="U155"/>
    </row>
    <row r="156" spans="20:21">
      <c r="T156"/>
      <c r="U156"/>
    </row>
    <row r="157" spans="20:21">
      <c r="T157"/>
      <c r="U157"/>
    </row>
    <row r="158" spans="20:21">
      <c r="T158"/>
      <c r="U158"/>
    </row>
    <row r="159" spans="20:21">
      <c r="T159"/>
      <c r="U159"/>
    </row>
    <row r="160" spans="20:21">
      <c r="T160"/>
      <c r="U160"/>
    </row>
    <row r="161" spans="20:21">
      <c r="T161"/>
      <c r="U161"/>
    </row>
    <row r="162" spans="20:21">
      <c r="T162"/>
      <c r="U162"/>
    </row>
    <row r="163" spans="20:21">
      <c r="T163"/>
      <c r="U163"/>
    </row>
    <row r="164" spans="20:21">
      <c r="T164"/>
      <c r="U164"/>
    </row>
    <row r="165" spans="20:21">
      <c r="T165"/>
      <c r="U165"/>
    </row>
    <row r="166" spans="20:21">
      <c r="T166"/>
      <c r="U166"/>
    </row>
    <row r="167" spans="20:21">
      <c r="T167"/>
      <c r="U167"/>
    </row>
    <row r="168" spans="20:21">
      <c r="T168"/>
      <c r="U168"/>
    </row>
    <row r="169" spans="20:21">
      <c r="T169"/>
      <c r="U169"/>
    </row>
    <row r="170" spans="20:21">
      <c r="T170"/>
      <c r="U170"/>
    </row>
    <row r="171" spans="20:21">
      <c r="T171"/>
      <c r="U171"/>
    </row>
    <row r="172" spans="20:21">
      <c r="T172"/>
      <c r="U172"/>
    </row>
    <row r="173" spans="20:21">
      <c r="T173"/>
      <c r="U173"/>
    </row>
    <row r="174" spans="20:21">
      <c r="T174"/>
      <c r="U174"/>
    </row>
    <row r="175" spans="20:21">
      <c r="T175"/>
      <c r="U175"/>
    </row>
    <row r="176" spans="20:21">
      <c r="T176"/>
      <c r="U176"/>
    </row>
    <row r="177" spans="20:21">
      <c r="T177"/>
      <c r="U177"/>
    </row>
    <row r="178" spans="20:21">
      <c r="T178"/>
      <c r="U178"/>
    </row>
    <row r="179" spans="20:21">
      <c r="T179"/>
      <c r="U179"/>
    </row>
    <row r="180" spans="20:21">
      <c r="T180"/>
      <c r="U180"/>
    </row>
    <row r="181" spans="20:21">
      <c r="T181"/>
      <c r="U181"/>
    </row>
    <row r="182" spans="20:21">
      <c r="T182"/>
      <c r="U182"/>
    </row>
    <row r="183" spans="20:21">
      <c r="T183"/>
      <c r="U183"/>
    </row>
    <row r="184" spans="20:21">
      <c r="T184"/>
      <c r="U184"/>
    </row>
    <row r="185" spans="20:21">
      <c r="T185"/>
      <c r="U185"/>
    </row>
    <row r="186" spans="20:21">
      <c r="T186"/>
      <c r="U186"/>
    </row>
    <row r="187" spans="20:21">
      <c r="T187"/>
      <c r="U187"/>
    </row>
    <row r="188" spans="20:21">
      <c r="T188"/>
      <c r="U188"/>
    </row>
    <row r="189" spans="20:21">
      <c r="T189"/>
      <c r="U189"/>
    </row>
    <row r="190" spans="20:21">
      <c r="T190"/>
      <c r="U190"/>
    </row>
    <row r="191" spans="20:21">
      <c r="T191"/>
      <c r="U191"/>
    </row>
    <row r="192" spans="20:21">
      <c r="T192"/>
      <c r="U192"/>
    </row>
    <row r="193" spans="20:21">
      <c r="T193"/>
      <c r="U193"/>
    </row>
    <row r="194" spans="20:21">
      <c r="T194"/>
      <c r="U194"/>
    </row>
    <row r="195" spans="20:21">
      <c r="T195"/>
      <c r="U195"/>
    </row>
    <row r="196" spans="20:21">
      <c r="T196"/>
      <c r="U196"/>
    </row>
    <row r="197" spans="20:21">
      <c r="T197"/>
      <c r="U197"/>
    </row>
  </sheetData>
  <sheetProtection formatCells="0"/>
  <mergeCells count="29">
    <mergeCell ref="BW8:BW9"/>
    <mergeCell ref="BX8:BX10"/>
    <mergeCell ref="BR8:BR9"/>
    <mergeCell ref="BS8:BS9"/>
    <mergeCell ref="BT8:BT9"/>
    <mergeCell ref="BU8:BU9"/>
    <mergeCell ref="BV8:BV9"/>
    <mergeCell ref="O8:AE8"/>
    <mergeCell ref="O5:Q5"/>
    <mergeCell ref="Z9:AA9"/>
    <mergeCell ref="R5:W5"/>
    <mergeCell ref="O6:Q6"/>
    <mergeCell ref="R6:W6"/>
    <mergeCell ref="AK8:BP9"/>
    <mergeCell ref="A1:AE1"/>
    <mergeCell ref="R4:W4"/>
    <mergeCell ref="V2:W2"/>
    <mergeCell ref="F4:G4"/>
    <mergeCell ref="H4:M4"/>
    <mergeCell ref="O4:Q4"/>
    <mergeCell ref="B4:C4"/>
    <mergeCell ref="F5:G5"/>
    <mergeCell ref="H5:M5"/>
    <mergeCell ref="F6:G6"/>
    <mergeCell ref="H6:M6"/>
    <mergeCell ref="B8:M8"/>
    <mergeCell ref="B6:C6"/>
    <mergeCell ref="B5:C5"/>
    <mergeCell ref="AG8:AI8"/>
  </mergeCells>
  <phoneticPr fontId="21" type="noConversion"/>
  <conditionalFormatting sqref="G11:G126">
    <cfRule type="containsBlanks" dxfId="155" priority="7735">
      <formula>LEN(TRIM(G11))=0</formula>
    </cfRule>
    <cfRule type="expression" dxfId="154" priority="7734">
      <formula>AND(OR($F11="GD&amp;T",$F11="MAX",$F11="MIN"),$G11="")</formula>
    </cfRule>
    <cfRule type="expression" dxfId="153" priority="7733">
      <formula>AND($F11&lt;&gt;"Tolerance",$G11&lt;&gt;"")</formula>
    </cfRule>
    <cfRule type="containsBlanks" dxfId="152" priority="7732">
      <formula>LEN(TRIM(G11))=0</formula>
    </cfRule>
    <cfRule type="expression" dxfId="151" priority="7731">
      <formula>AND(OR($F11="GD&amp;T",$F11="MAX",$F11="MIN"),$G11="")</formula>
    </cfRule>
    <cfRule type="expression" dxfId="150" priority="7730">
      <formula>AND($F11&lt;&gt;"Tolerance",$G11&lt;&gt;"")</formula>
    </cfRule>
  </conditionalFormatting>
  <conditionalFormatting sqref="H11:H126">
    <cfRule type="expression" dxfId="149" priority="71">
      <formula>AND($D11="MIN",$F11&lt;&gt;"")</formula>
    </cfRule>
    <cfRule type="containsBlanks" dxfId="148" priority="73">
      <formula>LEN(TRIM(H11))=0</formula>
    </cfRule>
    <cfRule type="expression" dxfId="147" priority="72">
      <formula>AND($D11="MIN",$F11="")</formula>
    </cfRule>
  </conditionalFormatting>
  <conditionalFormatting sqref="I11:I126">
    <cfRule type="containsBlanks" dxfId="146" priority="82">
      <formula>LEN(TRIM(I11))=0</formula>
    </cfRule>
    <cfRule type="expression" dxfId="145" priority="81">
      <formula>AND(OR($D11="GD&amp;T",$D11="MAX"),$G11="")</formula>
    </cfRule>
    <cfRule type="expression" dxfId="144" priority="80">
      <formula>AND(OR($D11="GD&amp;T",$D11="MAX"),$G11&lt;&gt;"")</formula>
    </cfRule>
  </conditionalFormatting>
  <conditionalFormatting sqref="O11:Q16 AK11:BP16 O20:Q20 AK20:BP20 O24:Q50 AK24:BP50 O54:Q126 AK54:BP126">
    <cfRule type="expression" dxfId="143" priority="39">
      <formula>AND($L11&lt;&gt;"",$AK11&lt;&gt;"",O11&gt;$L11)</formula>
    </cfRule>
    <cfRule type="notContainsBlanks" dxfId="142" priority="40">
      <formula>LEN(TRIM(O11))&gt;0</formula>
    </cfRule>
  </conditionalFormatting>
  <conditionalFormatting sqref="R11:S11 V11:AC16 S12:S56 V20:AC20 V24:AC24 V54:AC56 V73:AC95 V107:AC116 V121:AC126 R12:R16 R20">
    <cfRule type="expression" dxfId="141" priority="8019">
      <formula>AND($AD11&lt;0.966,$AD11&lt;&gt;"")</formula>
    </cfRule>
  </conditionalFormatting>
  <conditionalFormatting sqref="V11:X16 S11:S126 V20:X20 V24:X50 V54:X126">
    <cfRule type="notContainsBlanks" dxfId="140" priority="8032">
      <formula>LEN(TRIM(S11))&gt;0</formula>
    </cfRule>
    <cfRule type="cellIs" dxfId="139" priority="8023" operator="lessThan">
      <formula>$E11</formula>
    </cfRule>
  </conditionalFormatting>
  <conditionalFormatting sqref="V54:Y126 S11:S126 V24:Y50 V11:Y16 V20:Y20">
    <cfRule type="expression" dxfId="138" priority="7598">
      <formula>$K11="Yes"</formula>
    </cfRule>
  </conditionalFormatting>
  <conditionalFormatting sqref="V117:AC120 R24:R50 V25:AC50 R54:R56 V57:AC72 R57:S126 V96:AC106">
    <cfRule type="expression" dxfId="137" priority="32">
      <formula>AND($AD24&lt;0.966,$AD24&lt;&gt;"")</formula>
    </cfRule>
  </conditionalFormatting>
  <conditionalFormatting sqref="Y11:Y16 Y20 Y24:Y50 Y54:Y126">
    <cfRule type="notContainsBlanks" dxfId="136" priority="8027">
      <formula>LEN(TRIM(Y11))&gt;0</formula>
    </cfRule>
  </conditionalFormatting>
  <conditionalFormatting sqref="Y11:AC16 Y20:AC20 Y24:AC50 Y54:AC116">
    <cfRule type="containsBlanks" dxfId="135" priority="8020">
      <formula>LEN(TRIM(Y11))=0</formula>
    </cfRule>
    <cfRule type="cellIs" dxfId="134" priority="8021" operator="between">
      <formula>0.9</formula>
      <formula>0.998</formula>
    </cfRule>
    <cfRule type="cellIs" dxfId="133" priority="8022" operator="greaterThanOrEqual">
      <formula>0.998</formula>
    </cfRule>
  </conditionalFormatting>
  <conditionalFormatting sqref="Y117:AC119">
    <cfRule type="cellIs" dxfId="132" priority="35" operator="greaterThanOrEqual">
      <formula>0.998</formula>
    </cfRule>
    <cfRule type="cellIs" dxfId="131" priority="34" operator="between">
      <formula>0.9</formula>
      <formula>0.998</formula>
    </cfRule>
    <cfRule type="containsBlanks" dxfId="130" priority="33">
      <formula>LEN(TRIM(Y117))=0</formula>
    </cfRule>
  </conditionalFormatting>
  <conditionalFormatting sqref="Y120:AC126">
    <cfRule type="containsBlanks" dxfId="129" priority="2">
      <formula>LEN(TRIM(Y120))=0</formula>
    </cfRule>
    <cfRule type="cellIs" dxfId="128" priority="3" operator="between">
      <formula>0.9</formula>
      <formula>0.998</formula>
    </cfRule>
    <cfRule type="cellIs" dxfId="127" priority="4" operator="greaterThanOrEqual">
      <formula>0.998</formula>
    </cfRule>
  </conditionalFormatting>
  <conditionalFormatting sqref="AD11:AE16 AD20:AE20 AD24:AE50 AD54:AE126">
    <cfRule type="expression" dxfId="126" priority="37">
      <formula>AND($AD11&lt;0.966,$AD11&lt;&gt;"")</formula>
    </cfRule>
  </conditionalFormatting>
  <conditionalFormatting sqref="AK11:BP16 AK20:BP20 AK24:BP50 AK54:BP126 O11:Q16 O20:Q20 O24:Q50 O54:Q126">
    <cfRule type="expression" dxfId="125" priority="38">
      <formula>AND($M11&lt;&gt;"",$AK11&lt;&gt;"",O11&lt;$M11)</formula>
    </cfRule>
  </conditionalFormatting>
  <conditionalFormatting sqref="AK11:BP16 AK20:BP20 AK24:BP50">
    <cfRule type="containsBlanks" dxfId="124" priority="36">
      <formula>LEN(TRIM(AK11))=0</formula>
    </cfRule>
  </conditionalFormatting>
  <conditionalFormatting sqref="AK54:BP126">
    <cfRule type="containsBlanks" dxfId="123" priority="1">
      <formula>LEN(TRIM(AK54))=0</formula>
    </cfRule>
  </conditionalFormatting>
  <conditionalFormatting sqref="BU11:BW16 BU20:BW20 BU24:BW50 BU54:BW126">
    <cfRule type="notContainsBlanks" dxfId="122" priority="12">
      <formula>LEN(TRIM(BU11))&gt;0</formula>
    </cfRule>
    <cfRule type="expression" dxfId="121" priority="11">
      <formula>AND($L11&lt;&gt;"",$AK11&lt;&gt;"",BU11&gt;$L11)</formula>
    </cfRule>
    <cfRule type="expression" dxfId="120" priority="10">
      <formula>AND($M11&lt;&gt;"",$AK11&lt;&gt;"",BU11&lt;$M11)</formula>
    </cfRule>
  </conditionalFormatting>
  <conditionalFormatting sqref="BX11:BX16 BX20 BX24:BX50 BX54:BX126">
    <cfRule type="endsWith" dxfId="119" priority="7" operator="endsWith" text="OK">
      <formula>RIGHT(BX11,LEN("OK"))="OK"</formula>
    </cfRule>
    <cfRule type="endsWith" dxfId="118" priority="9" operator="endsWith" text="OOC">
      <formula>RIGHT(BX11,LEN("OOC"))="OOC"</formula>
    </cfRule>
    <cfRule type="endsWith" dxfId="117" priority="8" operator="endsWith" text="OOS">
      <formula>RIGHT(BX11,LEN("OOS"))="OOS"</formula>
    </cfRule>
  </conditionalFormatting>
  <dataValidations count="3">
    <dataValidation type="list" allowBlank="1" showInputMessage="1" showErrorMessage="1" sqref="J11:J126" xr:uid="{00000000-0002-0000-0000-000000000000}">
      <formula1>insp_meth</formula1>
    </dataValidation>
    <dataValidation type="list" allowBlank="1" showInputMessage="1" showErrorMessage="1" sqref="F11:F126" xr:uid="{00000000-0002-0000-0000-000001000000}">
      <formula1>dim_type</formula1>
    </dataValidation>
    <dataValidation type="list" allowBlank="1" showInputMessage="1" showErrorMessage="1" sqref="K11:K126" xr:uid="{00000000-0002-0000-0000-000002000000}">
      <formula1>gauging</formula1>
    </dataValidation>
  </dataValidations>
  <pageMargins left="0.75" right="0.75" top="1" bottom="1" header="0.5" footer="0.5"/>
  <pageSetup orientation="portrait" horizontalDpi="4294967292" verticalDpi="4294967292" r:id="rId1"/>
  <ignoredErrors>
    <ignoredError sqref="N28" unlocked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77" r:id="rId4" name="Button 29">
              <controlPr defaultSize="0" print="0" autoFill="0" autoPict="0" macro="[0]!updateNormality">
                <anchor moveWithCells="1" sizeWithCells="1">
                  <from>
                    <xdr:col>2</xdr:col>
                    <xdr:colOff>28575</xdr:colOff>
                    <xdr:row>1</xdr:row>
                    <xdr:rowOff>28575</xdr:rowOff>
                  </from>
                  <to>
                    <xdr:col>3</xdr:col>
                    <xdr:colOff>828675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5" name="Button 30">
              <controlPr defaultSize="0" print="0" autoFill="0" autoPict="0" macro="[0]!showAddShtFrm">
                <anchor moveWithCells="1" sizeWithCells="1">
                  <from>
                    <xdr:col>3</xdr:col>
                    <xdr:colOff>866775</xdr:colOff>
                    <xdr:row>1</xdr:row>
                    <xdr:rowOff>28575</xdr:rowOff>
                  </from>
                  <to>
                    <xdr:col>5</xdr:col>
                    <xdr:colOff>314325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6" name="Button 31">
              <controlPr defaultSize="0" print="0" autoFill="0" autoPict="0" macro="[0]!showExportFrm">
                <anchor moveWithCells="1" sizeWithCells="1">
                  <from>
                    <xdr:col>5</xdr:col>
                    <xdr:colOff>342900</xdr:colOff>
                    <xdr:row>1</xdr:row>
                    <xdr:rowOff>28575</xdr:rowOff>
                  </from>
                  <to>
                    <xdr:col>7</xdr:col>
                    <xdr:colOff>257175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7" name="Button 39">
              <controlPr defaultSize="0" print="0" autoFill="0" autoPict="0" macro="[0]!showImport">
                <anchor moveWithCells="1" sizeWithCells="1">
                  <from>
                    <xdr:col>7</xdr:col>
                    <xdr:colOff>295275</xdr:colOff>
                    <xdr:row>1</xdr:row>
                    <xdr:rowOff>28575</xdr:rowOff>
                  </from>
                  <to>
                    <xdr:col>9</xdr:col>
                    <xdr:colOff>295275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8" name="Button 41">
              <controlPr defaultSize="0" print="0" autoFill="0" autoPict="0" macro="[0]!detectOutliers">
                <anchor moveWithCells="1" sizeWithCells="1">
                  <from>
                    <xdr:col>10</xdr:col>
                    <xdr:colOff>28575</xdr:colOff>
                    <xdr:row>1</xdr:row>
                    <xdr:rowOff>28575</xdr:rowOff>
                  </from>
                  <to>
                    <xdr:col>12</xdr:col>
                    <xdr:colOff>228600</xdr:colOff>
                    <xdr:row>3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D2E4C-FFA1-4B50-B0F4-74C767F134E8}">
  <sheetPr codeName="Sheet7"/>
  <dimension ref="A1:BX197"/>
  <sheetViews>
    <sheetView zoomScale="40" zoomScaleNormal="40" workbookViewId="0">
      <pane xSplit="3" ySplit="10" topLeftCell="BA11" activePane="bottomRight" state="frozen"/>
      <selection activeCell="B47" sqref="B47"/>
      <selection pane="topRight" activeCell="B47" sqref="B47"/>
      <selection pane="bottomLeft" activeCell="B47" sqref="B47"/>
      <selection pane="bottomRight" activeCell="B47" sqref="B47"/>
    </sheetView>
  </sheetViews>
  <sheetFormatPr defaultColWidth="8.6640625" defaultRowHeight="17.25"/>
  <cols>
    <col min="1" max="1" width="0.44140625" customWidth="1"/>
    <col min="2" max="2" width="11" customWidth="1"/>
    <col min="3" max="3" width="7.77734375" bestFit="1" customWidth="1"/>
    <col min="4" max="4" width="24" customWidth="1"/>
    <col min="5" max="5" width="7.44140625" customWidth="1"/>
    <col min="6" max="6" width="9" customWidth="1"/>
    <col min="7" max="7" width="7.44140625" customWidth="1"/>
    <col min="8" max="9" width="8" customWidth="1"/>
    <col min="10" max="13" width="7.44140625" customWidth="1"/>
    <col min="14" max="14" width="0.44140625" customWidth="1"/>
    <col min="15" max="19" width="7.44140625" customWidth="1"/>
    <col min="20" max="21" width="8" style="86" customWidth="1"/>
    <col min="22" max="25" width="7.44140625" customWidth="1"/>
    <col min="26" max="26" width="10" hidden="1" customWidth="1"/>
    <col min="27" max="29" width="9.44140625" hidden="1" customWidth="1"/>
    <col min="30" max="30" width="7.44140625" hidden="1" customWidth="1"/>
    <col min="31" max="31" width="9" hidden="1" customWidth="1"/>
    <col min="32" max="32" width="28" hidden="1" customWidth="1"/>
    <col min="33" max="35" width="9" hidden="1" customWidth="1"/>
    <col min="36" max="36" width="0.44140625" customWidth="1"/>
    <col min="37" max="68" width="7.44140625" customWidth="1"/>
  </cols>
  <sheetData>
    <row r="1" spans="1:76" s="1" customFormat="1" ht="22.5" customHeight="1">
      <c r="A1" s="228" t="s">
        <v>48</v>
      </c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228"/>
      <c r="Y1" s="228"/>
      <c r="Z1" s="228"/>
      <c r="AA1" s="228"/>
      <c r="AB1" s="228"/>
      <c r="AC1" s="228"/>
      <c r="AD1" s="228"/>
      <c r="AE1" s="228"/>
      <c r="AF1" s="27"/>
      <c r="AG1" s="27"/>
      <c r="AH1" s="27"/>
      <c r="AI1" s="27"/>
      <c r="AJ1" s="10"/>
    </row>
    <row r="2" spans="1:76" s="1" customFormat="1" ht="14.25" customHeight="1">
      <c r="B2" s="8" t="s">
        <v>96</v>
      </c>
      <c r="C2" s="8"/>
      <c r="D2" s="7"/>
      <c r="E2" s="7"/>
      <c r="F2" s="7"/>
      <c r="I2" s="7"/>
      <c r="J2" s="7"/>
      <c r="K2" s="7"/>
      <c r="L2" s="7"/>
      <c r="M2" s="7"/>
      <c r="O2" s="7"/>
      <c r="P2" s="7"/>
      <c r="Q2" s="7"/>
      <c r="R2" s="7"/>
      <c r="S2" s="6"/>
      <c r="T2" s="81"/>
      <c r="U2" s="81"/>
      <c r="V2" s="241" t="s">
        <v>13</v>
      </c>
      <c r="W2" s="241"/>
      <c r="X2" s="6"/>
      <c r="AB2" s="7"/>
      <c r="AE2" s="7"/>
      <c r="AF2" s="7"/>
      <c r="AG2" s="7"/>
      <c r="AH2" s="7"/>
      <c r="AI2" s="7"/>
      <c r="AJ2" s="7"/>
    </row>
    <row r="3" spans="1:76" s="1" customFormat="1" ht="9" customHeight="1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O3" s="7"/>
      <c r="P3" s="7"/>
      <c r="Q3" s="7"/>
      <c r="R3" s="7"/>
      <c r="S3" s="7"/>
      <c r="T3" s="82"/>
      <c r="U3" s="82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</row>
    <row r="4" spans="1:76" s="1" customFormat="1" ht="18.75" customHeight="1">
      <c r="B4" s="206" t="s">
        <v>14</v>
      </c>
      <c r="C4" s="208"/>
      <c r="D4" s="11" t="s">
        <v>174</v>
      </c>
      <c r="E4" s="25"/>
      <c r="F4" s="242" t="s">
        <v>15</v>
      </c>
      <c r="G4" s="243"/>
      <c r="H4" s="229" t="s">
        <v>141</v>
      </c>
      <c r="I4" s="230"/>
      <c r="J4" s="230"/>
      <c r="K4" s="230"/>
      <c r="L4" s="230"/>
      <c r="M4" s="231"/>
      <c r="N4" s="26"/>
      <c r="O4" s="206" t="s">
        <v>81</v>
      </c>
      <c r="P4" s="207"/>
      <c r="Q4" s="208"/>
      <c r="R4" s="232" t="s">
        <v>214</v>
      </c>
      <c r="S4" s="230"/>
      <c r="T4" s="230"/>
      <c r="U4" s="230"/>
      <c r="V4" s="230"/>
      <c r="W4" s="231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</row>
    <row r="5" spans="1:76" s="1" customFormat="1" ht="18.75" customHeight="1">
      <c r="B5" s="206" t="s">
        <v>16</v>
      </c>
      <c r="C5" s="208"/>
      <c r="D5" s="11" t="s">
        <v>86</v>
      </c>
      <c r="E5" s="25"/>
      <c r="F5" s="242" t="s">
        <v>17</v>
      </c>
      <c r="G5" s="243"/>
      <c r="H5" s="232" t="s">
        <v>154</v>
      </c>
      <c r="I5" s="230"/>
      <c r="J5" s="230"/>
      <c r="K5" s="230"/>
      <c r="L5" s="230"/>
      <c r="M5" s="231"/>
      <c r="N5" s="26"/>
      <c r="O5" s="206" t="s">
        <v>57</v>
      </c>
      <c r="P5" s="207"/>
      <c r="Q5" s="208"/>
      <c r="R5" s="247"/>
      <c r="S5" s="248"/>
      <c r="T5" s="248"/>
      <c r="U5" s="248"/>
      <c r="V5" s="248"/>
      <c r="W5" s="249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</row>
    <row r="6" spans="1:76" s="1" customFormat="1" ht="18.75" customHeight="1">
      <c r="B6" s="206" t="s">
        <v>18</v>
      </c>
      <c r="C6" s="208"/>
      <c r="D6" s="75" t="s">
        <v>215</v>
      </c>
      <c r="E6" s="25"/>
      <c r="F6" s="242" t="s">
        <v>45</v>
      </c>
      <c r="G6" s="243"/>
      <c r="H6" s="232" t="s">
        <v>213</v>
      </c>
      <c r="I6" s="230"/>
      <c r="J6" s="230"/>
      <c r="K6" s="230"/>
      <c r="L6" s="230"/>
      <c r="M6" s="231"/>
      <c r="N6" s="26"/>
      <c r="O6" s="206" t="s">
        <v>56</v>
      </c>
      <c r="P6" s="207"/>
      <c r="Q6" s="208"/>
      <c r="R6" s="250" t="s">
        <v>179</v>
      </c>
      <c r="S6" s="248"/>
      <c r="T6" s="248"/>
      <c r="U6" s="248"/>
      <c r="V6" s="248"/>
      <c r="W6" s="249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</row>
    <row r="7" spans="1:76" s="1" customFormat="1" ht="9" customHeight="1"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O7" s="9"/>
      <c r="P7" s="9"/>
      <c r="Q7" s="9"/>
      <c r="R7" s="9"/>
      <c r="S7" s="9"/>
      <c r="T7" s="83"/>
      <c r="U7" s="83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7"/>
    </row>
    <row r="8" spans="1:76" s="12" customFormat="1" ht="15" customHeight="1">
      <c r="A8" s="17"/>
      <c r="B8" s="235" t="s">
        <v>19</v>
      </c>
      <c r="C8" s="233"/>
      <c r="D8" s="233"/>
      <c r="E8" s="233"/>
      <c r="F8" s="233"/>
      <c r="G8" s="233"/>
      <c r="H8" s="233"/>
      <c r="I8" s="233"/>
      <c r="J8" s="233"/>
      <c r="K8" s="233"/>
      <c r="L8" s="233"/>
      <c r="M8" s="234"/>
      <c r="N8" s="17"/>
      <c r="O8" s="235" t="s">
        <v>25</v>
      </c>
      <c r="P8" s="233"/>
      <c r="Q8" s="233"/>
      <c r="R8" s="233"/>
      <c r="S8" s="233"/>
      <c r="T8" s="233"/>
      <c r="U8" s="233"/>
      <c r="V8" s="233"/>
      <c r="W8" s="233"/>
      <c r="X8" s="233"/>
      <c r="Y8" s="233"/>
      <c r="Z8" s="233"/>
      <c r="AA8" s="233"/>
      <c r="AB8" s="233"/>
      <c r="AC8" s="233"/>
      <c r="AD8" s="233"/>
      <c r="AE8" s="234"/>
      <c r="AG8" s="244" t="s">
        <v>68</v>
      </c>
      <c r="AH8" s="244"/>
      <c r="AI8" s="244"/>
      <c r="AJ8" s="17"/>
      <c r="AK8" s="237" t="s">
        <v>176</v>
      </c>
      <c r="AL8" s="238"/>
      <c r="AM8" s="238"/>
      <c r="AN8" s="238"/>
      <c r="AO8" s="238"/>
      <c r="AP8" s="238"/>
      <c r="AQ8" s="238"/>
      <c r="AR8" s="238"/>
      <c r="AS8" s="238"/>
      <c r="AT8" s="238"/>
      <c r="AU8" s="238"/>
      <c r="AV8" s="238"/>
      <c r="AW8" s="238"/>
      <c r="AX8" s="238"/>
      <c r="AY8" s="238"/>
      <c r="AZ8" s="238"/>
      <c r="BA8" s="238"/>
      <c r="BB8" s="238"/>
      <c r="BC8" s="238"/>
      <c r="BD8" s="238"/>
      <c r="BE8" s="238"/>
      <c r="BF8" s="238"/>
      <c r="BG8" s="238"/>
      <c r="BH8" s="238"/>
      <c r="BI8" s="238"/>
      <c r="BJ8" s="238"/>
      <c r="BK8" s="238"/>
      <c r="BL8" s="238"/>
      <c r="BM8" s="238"/>
      <c r="BN8" s="238"/>
      <c r="BO8" s="238"/>
      <c r="BP8" s="238"/>
      <c r="BR8" s="251"/>
      <c r="BS8" s="251"/>
      <c r="BT8" s="251"/>
      <c r="BU8" s="251"/>
      <c r="BV8" s="251"/>
      <c r="BW8" s="251"/>
      <c r="BX8" s="253" t="s">
        <v>211</v>
      </c>
    </row>
    <row r="9" spans="1:76" s="12" customFormat="1" ht="32.25" customHeight="1">
      <c r="A9" s="21"/>
      <c r="B9" s="38"/>
      <c r="C9" s="38"/>
      <c r="D9" s="38"/>
      <c r="E9" s="38"/>
      <c r="F9" s="38"/>
      <c r="G9" s="39"/>
      <c r="H9" s="43" t="s">
        <v>61</v>
      </c>
      <c r="I9" s="43" t="s">
        <v>62</v>
      </c>
      <c r="J9" s="37"/>
      <c r="K9" s="37"/>
      <c r="L9" s="56"/>
      <c r="M9" s="56"/>
      <c r="N9" s="21"/>
      <c r="O9" s="29"/>
      <c r="P9" s="29"/>
      <c r="Q9" s="30"/>
      <c r="R9" s="29"/>
      <c r="S9" s="28"/>
      <c r="T9" s="28"/>
      <c r="U9" s="28"/>
      <c r="V9" s="28"/>
      <c r="W9" s="28"/>
      <c r="X9" s="28"/>
      <c r="Y9" s="28"/>
      <c r="Z9" s="245" t="s">
        <v>76</v>
      </c>
      <c r="AA9" s="246"/>
      <c r="AB9" s="36" t="s">
        <v>64</v>
      </c>
      <c r="AC9" s="61">
        <v>1.5</v>
      </c>
      <c r="AD9" s="35"/>
      <c r="AE9" s="35"/>
      <c r="AF9" s="59"/>
      <c r="AG9" s="57"/>
      <c r="AH9" s="57"/>
      <c r="AI9" s="58"/>
      <c r="AJ9" s="47"/>
      <c r="AK9" s="239"/>
      <c r="AL9" s="240"/>
      <c r="AM9" s="240"/>
      <c r="AN9" s="240"/>
      <c r="AO9" s="240"/>
      <c r="AP9" s="240"/>
      <c r="AQ9" s="240"/>
      <c r="AR9" s="240"/>
      <c r="AS9" s="240"/>
      <c r="AT9" s="240"/>
      <c r="AU9" s="240"/>
      <c r="AV9" s="240"/>
      <c r="AW9" s="240"/>
      <c r="AX9" s="240"/>
      <c r="AY9" s="240"/>
      <c r="AZ9" s="240"/>
      <c r="BA9" s="240"/>
      <c r="BB9" s="240"/>
      <c r="BC9" s="240"/>
      <c r="BD9" s="240"/>
      <c r="BE9" s="240"/>
      <c r="BF9" s="240"/>
      <c r="BG9" s="240"/>
      <c r="BH9" s="240"/>
      <c r="BI9" s="240"/>
      <c r="BJ9" s="240"/>
      <c r="BK9" s="240"/>
      <c r="BL9" s="240"/>
      <c r="BM9" s="240"/>
      <c r="BN9" s="240"/>
      <c r="BO9" s="240"/>
      <c r="BP9" s="240"/>
      <c r="BR9" s="252"/>
      <c r="BS9" s="252"/>
      <c r="BT9" s="252"/>
      <c r="BU9" s="252"/>
      <c r="BV9" s="252"/>
      <c r="BW9" s="252"/>
      <c r="BX9" s="254"/>
    </row>
    <row r="10" spans="1:76" s="16" customFormat="1" ht="52.5">
      <c r="A10" s="18"/>
      <c r="B10" s="40" t="s">
        <v>1</v>
      </c>
      <c r="C10" s="40" t="s">
        <v>22</v>
      </c>
      <c r="D10" s="40" t="s">
        <v>2</v>
      </c>
      <c r="E10" s="40" t="s">
        <v>75</v>
      </c>
      <c r="F10" s="40" t="s">
        <v>26</v>
      </c>
      <c r="G10" s="41" t="s">
        <v>21</v>
      </c>
      <c r="H10" s="60" t="s">
        <v>71</v>
      </c>
      <c r="I10" s="60" t="s">
        <v>72</v>
      </c>
      <c r="J10" s="42" t="s">
        <v>20</v>
      </c>
      <c r="K10" s="42" t="s">
        <v>77</v>
      </c>
      <c r="L10" s="44" t="s">
        <v>3</v>
      </c>
      <c r="M10" s="44" t="s">
        <v>4</v>
      </c>
      <c r="N10" s="18"/>
      <c r="O10" s="32" t="s">
        <v>5</v>
      </c>
      <c r="P10" s="32" t="s">
        <v>6</v>
      </c>
      <c r="Q10" s="33" t="s">
        <v>0</v>
      </c>
      <c r="R10" s="32" t="s">
        <v>7</v>
      </c>
      <c r="S10" s="34" t="s">
        <v>8</v>
      </c>
      <c r="T10" s="34" t="s">
        <v>142</v>
      </c>
      <c r="U10" s="34" t="s">
        <v>143</v>
      </c>
      <c r="V10" s="34" t="s">
        <v>9</v>
      </c>
      <c r="W10" s="34" t="s">
        <v>10</v>
      </c>
      <c r="X10" s="34" t="s">
        <v>11</v>
      </c>
      <c r="Y10" s="34" t="s">
        <v>58</v>
      </c>
      <c r="Z10" s="63" t="s">
        <v>59</v>
      </c>
      <c r="AA10" s="63" t="s">
        <v>60</v>
      </c>
      <c r="AB10" s="45" t="s">
        <v>63</v>
      </c>
      <c r="AC10" s="46" t="s">
        <v>65</v>
      </c>
      <c r="AD10" s="31" t="s">
        <v>23</v>
      </c>
      <c r="AE10" s="31" t="s">
        <v>24</v>
      </c>
      <c r="AF10" s="31" t="s">
        <v>67</v>
      </c>
      <c r="AG10" s="57"/>
      <c r="AH10" s="57"/>
      <c r="AI10" s="58"/>
      <c r="AJ10" s="48"/>
      <c r="AK10" s="87">
        <v>1</v>
      </c>
      <c r="AL10" s="87">
        <v>2</v>
      </c>
      <c r="AM10" s="87">
        <v>3</v>
      </c>
      <c r="AN10" s="87">
        <v>4</v>
      </c>
      <c r="AO10" s="87">
        <v>5</v>
      </c>
      <c r="AP10" s="87">
        <v>6</v>
      </c>
      <c r="AQ10" s="87">
        <v>7</v>
      </c>
      <c r="AR10" s="87">
        <v>8</v>
      </c>
      <c r="AS10" s="87">
        <v>9</v>
      </c>
      <c r="AT10" s="87">
        <v>10</v>
      </c>
      <c r="AU10" s="87">
        <v>11</v>
      </c>
      <c r="AV10" s="87">
        <v>12</v>
      </c>
      <c r="AW10" s="87">
        <v>13</v>
      </c>
      <c r="AX10" s="87">
        <v>14</v>
      </c>
      <c r="AY10" s="87">
        <v>15</v>
      </c>
      <c r="AZ10" s="87">
        <v>16</v>
      </c>
      <c r="BA10" s="87">
        <v>17</v>
      </c>
      <c r="BB10" s="87">
        <v>18</v>
      </c>
      <c r="BC10" s="87">
        <v>19</v>
      </c>
      <c r="BD10" s="87">
        <v>20</v>
      </c>
      <c r="BE10" s="87">
        <v>21</v>
      </c>
      <c r="BF10" s="87">
        <v>22</v>
      </c>
      <c r="BG10" s="87">
        <v>23</v>
      </c>
      <c r="BH10" s="87">
        <v>24</v>
      </c>
      <c r="BI10" s="87">
        <v>25</v>
      </c>
      <c r="BJ10" s="87">
        <v>26</v>
      </c>
      <c r="BK10" s="87">
        <v>27</v>
      </c>
      <c r="BL10" s="87">
        <v>28</v>
      </c>
      <c r="BM10" s="87">
        <v>29</v>
      </c>
      <c r="BN10" s="87">
        <v>30</v>
      </c>
      <c r="BO10" s="87">
        <v>31</v>
      </c>
      <c r="BP10" s="87">
        <v>32</v>
      </c>
      <c r="BR10" s="118" t="s">
        <v>212</v>
      </c>
      <c r="BS10" s="118" t="s">
        <v>3</v>
      </c>
      <c r="BT10" s="118" t="s">
        <v>4</v>
      </c>
      <c r="BU10" s="118" t="s">
        <v>5</v>
      </c>
      <c r="BV10" s="118" t="s">
        <v>6</v>
      </c>
      <c r="BW10" s="118" t="s">
        <v>0</v>
      </c>
      <c r="BX10" s="255"/>
    </row>
    <row r="11" spans="1:76" ht="15" customHeight="1">
      <c r="A11" s="13"/>
      <c r="B11" s="88" t="s">
        <v>110</v>
      </c>
      <c r="C11" s="78" t="s">
        <v>97</v>
      </c>
      <c r="D11" s="89" t="s">
        <v>114</v>
      </c>
      <c r="E11" s="90">
        <v>1.5</v>
      </c>
      <c r="F11" s="66" t="s">
        <v>44</v>
      </c>
      <c r="G11" s="91">
        <v>0.5</v>
      </c>
      <c r="H11" s="92" t="str">
        <f>IF(OOC!S11=0,"",OOC!S11)</f>
        <v/>
      </c>
      <c r="I11" s="92" t="str">
        <f>IF(OOC!T11=0,"",OOC!T11)</f>
        <v/>
      </c>
      <c r="J11" s="68" t="s">
        <v>12</v>
      </c>
      <c r="K11" s="69" t="s">
        <v>80</v>
      </c>
      <c r="L11" s="70" t="e">
        <f t="shared" ref="L11:L126" si="0">IF(AND(G11="",H11=""),"",IF(G11="",H11,G11+H11))</f>
        <v>#VALUE!</v>
      </c>
      <c r="M11" s="70" t="e">
        <f t="shared" ref="M11:M126" si="1">IF(AND(G11="",I11=""),"",IF(G11="",I11,G11+I11))</f>
        <v>#VALUE!</v>
      </c>
      <c r="N11" s="71"/>
      <c r="O11" s="2" t="e">
        <f t="shared" ref="O11:O126" si="2">IF(OR($AK11="",ISNUMBER($AK11)=FALSE),"",MAX(AK11:BP11))</f>
        <v>#REF!</v>
      </c>
      <c r="P11" s="2" t="e">
        <f t="shared" ref="P11:P126" si="3">IF(OR($AK11="",ISNUMBER($AK11)=FALSE),"",MIN(AK11:BP11))</f>
        <v>#REF!</v>
      </c>
      <c r="Q11" s="2" t="e">
        <f t="shared" ref="Q11:Q126" si="4">IF(OR($AK11="",ISNUMBER($AK11)=FALSE),"",AVERAGE(AK11:BP11))</f>
        <v>#REF!</v>
      </c>
      <c r="R11" s="3" t="e">
        <f t="shared" ref="R11:R126" si="5">IF(OR($AK11="",ISNUMBER($AK11)=FALSE),"",STDEV(AK11:BP11))</f>
        <v>#REF!</v>
      </c>
      <c r="S11" s="4" t="e">
        <f>IF(OR($AK11="",ISNUMBER($AK11)=FALSE),"",IF(AND(G11=0,I11=""),V11,IF(AND(G11="",H11=""),W11,(H11+ABS(I11))/(6*R11))))</f>
        <v>#REF!</v>
      </c>
      <c r="T11" s="84" t="e">
        <f>IF(OR($AK11="",ISNUMBER($AK11)=FALSE),"",IF(AND($F11="Tolerance",$G11&lt;&gt;""),($Q11-$G11)/(($L11-$M11)/2),IF(AND($F11="GD&amp;T",$H11&lt;&gt;""),$Q11/$H11,"")))</f>
        <v>#REF!</v>
      </c>
      <c r="U11" s="85" t="e">
        <f>IF($T11="","",IF(ABS($T11)&lt;=0.125, "Level A",IF(AND(ABS($T11)&gt;0.125,ABS($T11)&lt;=0.25), "Level B",IF(AND(ABS($T11)&gt;0.25,ABS($T11)&lt;=0.5), "Level C", IF(ABS($T11)&gt;0.5, "Level D")))))</f>
        <v>#REF!</v>
      </c>
      <c r="V11" s="4" t="e">
        <f t="shared" ref="V11:V126" si="6">IF(OR($AK11="",ISNUMBER($AK11)=FALSE),"",IF(H11="","",(L11-Q11)/(3*R11)))</f>
        <v>#REF!</v>
      </c>
      <c r="W11" s="4" t="e">
        <f t="shared" ref="W11:W126" si="7">IF(OR($AK11="",ISNUMBER($AK11)=FALSE),"",IF(I11="","",(Q11-M11)/(3*R11)))</f>
        <v>#REF!</v>
      </c>
      <c r="X11" s="4" t="e">
        <f t="shared" ref="X11:X126" si="8">IF(OR($AK11="",ISNUMBER($AK11)=FALSE),"",IF(AND(G11=0,I11=0),((H11)-(Q11))/(3*R11),MIN(V11:W11)))</f>
        <v>#REF!</v>
      </c>
      <c r="Y11" s="62" t="e">
        <f t="shared" ref="Y11:Y126" si="9">IF(OR($AK11="",ISNUMBER($AK11)=FALSE),"",IF(AND(G11=0,I11=0),NORMSDIST(3*X11),NORMSDIST(3*X11)+NORMSDIST(6*S11-3*X11)-1))</f>
        <v>#REF!</v>
      </c>
      <c r="Z11" s="22"/>
      <c r="AA11" s="22"/>
      <c r="AB11" s="22"/>
      <c r="AC11" s="22"/>
      <c r="AD11" s="19"/>
      <c r="AE11" s="14"/>
      <c r="AF11" s="74"/>
      <c r="AG11" s="49"/>
      <c r="AH11" s="49"/>
      <c r="AI11" s="50"/>
      <c r="AJ11" s="15"/>
      <c r="AK11" s="77" t="e">
        <f>#REF!</f>
        <v>#REF!</v>
      </c>
      <c r="AL11" s="77" t="e">
        <f>#REF!</f>
        <v>#REF!</v>
      </c>
      <c r="AM11" s="77" t="e">
        <f>#REF!</f>
        <v>#REF!</v>
      </c>
      <c r="AN11" s="77" t="e">
        <f>#REF!</f>
        <v>#REF!</v>
      </c>
      <c r="AO11" s="77" t="e">
        <f>#REF!</f>
        <v>#REF!</v>
      </c>
      <c r="AP11" s="77" t="e">
        <f>#REF!</f>
        <v>#REF!</v>
      </c>
      <c r="AQ11" s="77" t="e">
        <f>#REF!</f>
        <v>#REF!</v>
      </c>
      <c r="AR11" s="77" t="e">
        <f>#REF!</f>
        <v>#REF!</v>
      </c>
      <c r="AS11" s="77" t="e">
        <f>#REF!</f>
        <v>#REF!</v>
      </c>
      <c r="AT11" s="77" t="e">
        <f>#REF!</f>
        <v>#REF!</v>
      </c>
      <c r="AU11" s="77" t="e">
        <f>#REF!</f>
        <v>#REF!</v>
      </c>
      <c r="AV11" s="77" t="e">
        <f>#REF!</f>
        <v>#REF!</v>
      </c>
      <c r="AW11" s="77" t="e">
        <f>#REF!</f>
        <v>#REF!</v>
      </c>
      <c r="AX11" s="77" t="e">
        <f>#REF!</f>
        <v>#REF!</v>
      </c>
      <c r="AY11" s="77" t="e">
        <f>#REF!</f>
        <v>#REF!</v>
      </c>
      <c r="AZ11" s="77" t="e">
        <f>#REF!</f>
        <v>#REF!</v>
      </c>
      <c r="BA11" s="77" t="e">
        <f>#REF!</f>
        <v>#REF!</v>
      </c>
      <c r="BB11" s="77" t="e">
        <f>#REF!</f>
        <v>#REF!</v>
      </c>
      <c r="BC11" s="77" t="e">
        <f>#REF!</f>
        <v>#REF!</v>
      </c>
      <c r="BD11" s="77" t="e">
        <f>#REF!</f>
        <v>#REF!</v>
      </c>
      <c r="BE11" s="77" t="e">
        <f>#REF!</f>
        <v>#REF!</v>
      </c>
      <c r="BF11" s="77" t="e">
        <f>#REF!</f>
        <v>#REF!</v>
      </c>
      <c r="BG11" s="77" t="e">
        <f>#REF!</f>
        <v>#REF!</v>
      </c>
      <c r="BH11" s="77" t="e">
        <f>#REF!</f>
        <v>#REF!</v>
      </c>
      <c r="BI11" s="77" t="e">
        <f>#REF!</f>
        <v>#REF!</v>
      </c>
      <c r="BJ11" s="77" t="e">
        <f>#REF!</f>
        <v>#REF!</v>
      </c>
      <c r="BK11" s="77" t="e">
        <f>#REF!</f>
        <v>#REF!</v>
      </c>
      <c r="BL11" s="77" t="e">
        <f>#REF!</f>
        <v>#REF!</v>
      </c>
      <c r="BM11" s="77" t="e">
        <f>#REF!</f>
        <v>#REF!</v>
      </c>
      <c r="BN11" s="77" t="e">
        <f>#REF!</f>
        <v>#REF!</v>
      </c>
      <c r="BO11" s="77" t="e">
        <f>#REF!</f>
        <v>#REF!</v>
      </c>
      <c r="BP11" s="77" t="e">
        <f>#REF!</f>
        <v>#REF!</v>
      </c>
      <c r="BR11" s="119" t="str">
        <f>IF(ISNUMBER(SEARCH("(DC)", B11)), C11 &amp; B11, C11)</f>
        <v>FAI4-1</v>
      </c>
      <c r="BS11" s="120">
        <f>OOC!G11</f>
        <v>0.51</v>
      </c>
      <c r="BT11" s="120">
        <f>OOC!H11</f>
        <v>0.49</v>
      </c>
      <c r="BU11" s="2" t="e">
        <f>IF(OR($AK11="",ISNUMBER($AK11)=FALSE),"",MAX(AK11:BP11))</f>
        <v>#REF!</v>
      </c>
      <c r="BV11" s="2" t="e">
        <f>IF(OR($AK11="",ISNUMBER($AK11)=FALSE),"",MIN(AK11:BP11))</f>
        <v>#REF!</v>
      </c>
      <c r="BW11" s="2" t="e">
        <f>IF(OR($AK11="",ISNUMBER($AK11)=FALSE),"",AVERAGE(AK11:BP11))</f>
        <v>#REF!</v>
      </c>
      <c r="BX11" s="121" t="e">
        <f>IF(AND(IF(OOC!G11="",0,OOC!G11) &gt;= IF(O11="",0,O11), IF(O11="",0,O11) &gt; IF(L11="",0,L11)), "OOC",
IF(AND(IF(M11="",0,M11) &gt; IF(P11="",0,P11), IF(P11="",0,P11) &gt;= IF(OOC!H11="",0,OOC!H11)), "OOC",
IF(IF(O11="",0,O11) &gt; IF(OOC!G11="",0,OOC!G11), "OOS",
IF(IF(OOC!H11="",0,OOC!H11) &gt; IF(P11="",0,P11), "OOS", "OK"))))</f>
        <v>#REF!</v>
      </c>
    </row>
    <row r="12" spans="1:76" ht="15" customHeight="1">
      <c r="A12" s="13"/>
      <c r="B12" s="88" t="s">
        <v>110</v>
      </c>
      <c r="C12" s="78" t="s">
        <v>98</v>
      </c>
      <c r="D12" s="89" t="s">
        <v>114</v>
      </c>
      <c r="E12" s="90">
        <v>1.5</v>
      </c>
      <c r="F12" s="66" t="s">
        <v>44</v>
      </c>
      <c r="G12" s="91">
        <v>0.5</v>
      </c>
      <c r="H12" s="92" t="str">
        <f>IF(OOC!S12=0,"",OOC!S12)</f>
        <v/>
      </c>
      <c r="I12" s="92" t="str">
        <f>IF(OOC!T12=0,"",OOC!T12)</f>
        <v/>
      </c>
      <c r="J12" s="68" t="s">
        <v>12</v>
      </c>
      <c r="K12" s="69" t="s">
        <v>80</v>
      </c>
      <c r="L12" s="70" t="e">
        <f t="shared" si="0"/>
        <v>#VALUE!</v>
      </c>
      <c r="M12" s="70" t="e">
        <f t="shared" si="1"/>
        <v>#VALUE!</v>
      </c>
      <c r="N12" s="71"/>
      <c r="O12" s="2" t="e">
        <f t="shared" si="2"/>
        <v>#REF!</v>
      </c>
      <c r="P12" s="2" t="e">
        <f t="shared" si="3"/>
        <v>#REF!</v>
      </c>
      <c r="Q12" s="2" t="e">
        <f t="shared" si="4"/>
        <v>#REF!</v>
      </c>
      <c r="R12" s="3" t="e">
        <f t="shared" si="5"/>
        <v>#REF!</v>
      </c>
      <c r="S12" s="4" t="e">
        <f t="shared" ref="S12:S126" si="10">IF(OR($AK12="",ISNUMBER($AK12)=FALSE),"",IF(AND(G12=0,I12=""),V12,IF(AND(G12="",H12=""),W12,(H12+ABS(I12))/(6*R12))))</f>
        <v>#REF!</v>
      </c>
      <c r="T12" s="84" t="e">
        <f t="shared" ref="T12:T126" si="11">IF(OR($AK12="",ISNUMBER($AK12)=FALSE),"",IF(AND($F12="Tolerance",$G12&lt;&gt;""),($Q12-$G12)/(($L12-$M12)/2),IF(AND($F12="GD&amp;T",$H12&lt;&gt;""),$Q12/$H12,"")))</f>
        <v>#REF!</v>
      </c>
      <c r="U12" s="85" t="e">
        <f t="shared" ref="U12:U126" si="12">IF($T12="","",IF(ABS($T12)&lt;=0.125, "Level A",IF(AND(ABS($T12)&gt;0.125,ABS($T12)&lt;=0.25), "Level B",IF(AND(ABS($T12)&gt;0.25,ABS($T12)&lt;=0.5), "Level C", IF(ABS($T12)&gt;0.5, "Level D")))))</f>
        <v>#REF!</v>
      </c>
      <c r="V12" s="4" t="e">
        <f t="shared" si="6"/>
        <v>#REF!</v>
      </c>
      <c r="W12" s="4" t="e">
        <f t="shared" si="7"/>
        <v>#REF!</v>
      </c>
      <c r="X12" s="4" t="e">
        <f t="shared" si="8"/>
        <v>#REF!</v>
      </c>
      <c r="Y12" s="62" t="e">
        <f t="shared" si="9"/>
        <v>#REF!</v>
      </c>
      <c r="Z12" s="22"/>
      <c r="AA12" s="22"/>
      <c r="AB12" s="22"/>
      <c r="AC12" s="22"/>
      <c r="AD12" s="19"/>
      <c r="AE12" s="14"/>
      <c r="AF12" s="74"/>
      <c r="AG12" s="49"/>
      <c r="AH12" s="49"/>
      <c r="AI12" s="50"/>
      <c r="AJ12" s="15"/>
      <c r="AK12" s="77" t="e">
        <f>#REF!</f>
        <v>#REF!</v>
      </c>
      <c r="AL12" s="77" t="e">
        <f>#REF!</f>
        <v>#REF!</v>
      </c>
      <c r="AM12" s="77" t="e">
        <f>#REF!</f>
        <v>#REF!</v>
      </c>
      <c r="AN12" s="77" t="e">
        <f>#REF!</f>
        <v>#REF!</v>
      </c>
      <c r="AO12" s="77" t="e">
        <f>#REF!</f>
        <v>#REF!</v>
      </c>
      <c r="AP12" s="77" t="e">
        <f>#REF!</f>
        <v>#REF!</v>
      </c>
      <c r="AQ12" s="77" t="e">
        <f>#REF!</f>
        <v>#REF!</v>
      </c>
      <c r="AR12" s="77" t="e">
        <f>#REF!</f>
        <v>#REF!</v>
      </c>
      <c r="AS12" s="77" t="e">
        <f>#REF!</f>
        <v>#REF!</v>
      </c>
      <c r="AT12" s="77" t="e">
        <f>#REF!</f>
        <v>#REF!</v>
      </c>
      <c r="AU12" s="77" t="e">
        <f>#REF!</f>
        <v>#REF!</v>
      </c>
      <c r="AV12" s="77" t="e">
        <f>#REF!</f>
        <v>#REF!</v>
      </c>
      <c r="AW12" s="77" t="e">
        <f>#REF!</f>
        <v>#REF!</v>
      </c>
      <c r="AX12" s="77" t="e">
        <f>#REF!</f>
        <v>#REF!</v>
      </c>
      <c r="AY12" s="77" t="e">
        <f>#REF!</f>
        <v>#REF!</v>
      </c>
      <c r="AZ12" s="77" t="e">
        <f>#REF!</f>
        <v>#REF!</v>
      </c>
      <c r="BA12" s="77" t="e">
        <f>#REF!</f>
        <v>#REF!</v>
      </c>
      <c r="BB12" s="77" t="e">
        <f>#REF!</f>
        <v>#REF!</v>
      </c>
      <c r="BC12" s="77" t="e">
        <f>#REF!</f>
        <v>#REF!</v>
      </c>
      <c r="BD12" s="77" t="e">
        <f>#REF!</f>
        <v>#REF!</v>
      </c>
      <c r="BE12" s="77" t="e">
        <f>#REF!</f>
        <v>#REF!</v>
      </c>
      <c r="BF12" s="77" t="e">
        <f>#REF!</f>
        <v>#REF!</v>
      </c>
      <c r="BG12" s="77" t="e">
        <f>#REF!</f>
        <v>#REF!</v>
      </c>
      <c r="BH12" s="77" t="e">
        <f>#REF!</f>
        <v>#REF!</v>
      </c>
      <c r="BI12" s="77" t="e">
        <f>#REF!</f>
        <v>#REF!</v>
      </c>
      <c r="BJ12" s="77" t="e">
        <f>#REF!</f>
        <v>#REF!</v>
      </c>
      <c r="BK12" s="77" t="e">
        <f>#REF!</f>
        <v>#REF!</v>
      </c>
      <c r="BL12" s="77" t="e">
        <f>#REF!</f>
        <v>#REF!</v>
      </c>
      <c r="BM12" s="77" t="e">
        <f>#REF!</f>
        <v>#REF!</v>
      </c>
      <c r="BN12" s="77" t="e">
        <f>#REF!</f>
        <v>#REF!</v>
      </c>
      <c r="BO12" s="77" t="e">
        <f>#REF!</f>
        <v>#REF!</v>
      </c>
      <c r="BP12" s="77" t="e">
        <f>#REF!</f>
        <v>#REF!</v>
      </c>
      <c r="BR12" s="119" t="str">
        <f t="shared" ref="BR12:BR126" si="13">IF(ISNUMBER(SEARCH("(DC)", B12)), C12 &amp; B12, C12)</f>
        <v>FAI4-2</v>
      </c>
      <c r="BS12" s="120">
        <f>OOC!G12</f>
        <v>0.51</v>
      </c>
      <c r="BT12" s="120">
        <f>OOC!H12</f>
        <v>0.49</v>
      </c>
      <c r="BU12" s="2" t="e">
        <f t="shared" ref="BU12:BU126" si="14">IF(OR($AK12="",ISNUMBER($AK12)=FALSE),"",MAX(AK12:BP12))</f>
        <v>#REF!</v>
      </c>
      <c r="BV12" s="2" t="e">
        <f t="shared" ref="BV12:BV126" si="15">IF(OR($AK12="",ISNUMBER($AK12)=FALSE),"",MIN(AK12:BP12))</f>
        <v>#REF!</v>
      </c>
      <c r="BW12" s="2" t="e">
        <f t="shared" ref="BW12:BW126" si="16">IF(OR($AK12="",ISNUMBER($AK12)=FALSE),"",AVERAGE(AK12:BP12))</f>
        <v>#REF!</v>
      </c>
      <c r="BX12" s="121" t="e">
        <f>IF(AND(IF(OOC!G12="",0,OOC!G12) &gt;= IF(O12="",0,O12), IF(O12="",0,O12) &gt; IF(L12="",0,L12)), "OOC",
IF(AND(IF(M12="",0,M12) &gt; IF(P12="",0,P12), IF(P12="",0,P12) &gt;= IF(OOC!H12="",0,OOC!H12)), "OOC",
IF(IF(O12="",0,O12) &gt; IF(OOC!G12="",0,OOC!G12), "OOS",
IF(IF(OOC!H12="",0,OOC!H12) &gt; IF(P12="",0,P12), "OOS", "OK"))))</f>
        <v>#REF!</v>
      </c>
    </row>
    <row r="13" spans="1:76" ht="15" customHeight="1">
      <c r="A13" s="13"/>
      <c r="B13" s="88" t="s">
        <v>110</v>
      </c>
      <c r="C13" s="78" t="s">
        <v>99</v>
      </c>
      <c r="D13" s="89" t="s">
        <v>114</v>
      </c>
      <c r="E13" s="90">
        <v>1.5</v>
      </c>
      <c r="F13" s="66" t="s">
        <v>44</v>
      </c>
      <c r="G13" s="91">
        <v>0.5</v>
      </c>
      <c r="H13" s="92" t="str">
        <f>IF(OOC!S13=0,"",OOC!S13)</f>
        <v/>
      </c>
      <c r="I13" s="92" t="str">
        <f>IF(OOC!T13=0,"",OOC!T13)</f>
        <v/>
      </c>
      <c r="J13" s="68" t="s">
        <v>12</v>
      </c>
      <c r="K13" s="69" t="s">
        <v>80</v>
      </c>
      <c r="L13" s="70" t="e">
        <f t="shared" si="0"/>
        <v>#VALUE!</v>
      </c>
      <c r="M13" s="70" t="e">
        <f t="shared" si="1"/>
        <v>#VALUE!</v>
      </c>
      <c r="N13" s="71"/>
      <c r="O13" s="2" t="e">
        <f t="shared" si="2"/>
        <v>#REF!</v>
      </c>
      <c r="P13" s="2" t="e">
        <f t="shared" si="3"/>
        <v>#REF!</v>
      </c>
      <c r="Q13" s="2" t="e">
        <f t="shared" si="4"/>
        <v>#REF!</v>
      </c>
      <c r="R13" s="3" t="e">
        <f t="shared" si="5"/>
        <v>#REF!</v>
      </c>
      <c r="S13" s="4" t="e">
        <f t="shared" si="10"/>
        <v>#REF!</v>
      </c>
      <c r="T13" s="84" t="e">
        <f t="shared" si="11"/>
        <v>#REF!</v>
      </c>
      <c r="U13" s="85" t="e">
        <f t="shared" si="12"/>
        <v>#REF!</v>
      </c>
      <c r="V13" s="4" t="e">
        <f t="shared" si="6"/>
        <v>#REF!</v>
      </c>
      <c r="W13" s="4" t="e">
        <f t="shared" si="7"/>
        <v>#REF!</v>
      </c>
      <c r="X13" s="4" t="e">
        <f t="shared" si="8"/>
        <v>#REF!</v>
      </c>
      <c r="Y13" s="62" t="e">
        <f t="shared" si="9"/>
        <v>#REF!</v>
      </c>
      <c r="Z13" s="22"/>
      <c r="AA13" s="22"/>
      <c r="AB13" s="22"/>
      <c r="AC13" s="22"/>
      <c r="AD13" s="19"/>
      <c r="AE13" s="14"/>
      <c r="AF13" s="74"/>
      <c r="AG13" s="49"/>
      <c r="AH13" s="49"/>
      <c r="AI13" s="50"/>
      <c r="AJ13" s="15"/>
      <c r="AK13" s="77" t="e">
        <f>#REF!</f>
        <v>#REF!</v>
      </c>
      <c r="AL13" s="77" t="e">
        <f>#REF!</f>
        <v>#REF!</v>
      </c>
      <c r="AM13" s="77" t="e">
        <f>#REF!</f>
        <v>#REF!</v>
      </c>
      <c r="AN13" s="77" t="e">
        <f>#REF!</f>
        <v>#REF!</v>
      </c>
      <c r="AO13" s="77" t="e">
        <f>#REF!</f>
        <v>#REF!</v>
      </c>
      <c r="AP13" s="77" t="e">
        <f>#REF!</f>
        <v>#REF!</v>
      </c>
      <c r="AQ13" s="77" t="e">
        <f>#REF!</f>
        <v>#REF!</v>
      </c>
      <c r="AR13" s="77" t="e">
        <f>#REF!</f>
        <v>#REF!</v>
      </c>
      <c r="AS13" s="77" t="e">
        <f>#REF!</f>
        <v>#REF!</v>
      </c>
      <c r="AT13" s="77" t="e">
        <f>#REF!</f>
        <v>#REF!</v>
      </c>
      <c r="AU13" s="77" t="e">
        <f>#REF!</f>
        <v>#REF!</v>
      </c>
      <c r="AV13" s="77" t="e">
        <f>#REF!</f>
        <v>#REF!</v>
      </c>
      <c r="AW13" s="77" t="e">
        <f>#REF!</f>
        <v>#REF!</v>
      </c>
      <c r="AX13" s="77" t="e">
        <f>#REF!</f>
        <v>#REF!</v>
      </c>
      <c r="AY13" s="77" t="e">
        <f>#REF!</f>
        <v>#REF!</v>
      </c>
      <c r="AZ13" s="77" t="e">
        <f>#REF!</f>
        <v>#REF!</v>
      </c>
      <c r="BA13" s="77" t="e">
        <f>#REF!</f>
        <v>#REF!</v>
      </c>
      <c r="BB13" s="77" t="e">
        <f>#REF!</f>
        <v>#REF!</v>
      </c>
      <c r="BC13" s="77" t="e">
        <f>#REF!</f>
        <v>#REF!</v>
      </c>
      <c r="BD13" s="77" t="e">
        <f>#REF!</f>
        <v>#REF!</v>
      </c>
      <c r="BE13" s="77" t="e">
        <f>#REF!</f>
        <v>#REF!</v>
      </c>
      <c r="BF13" s="77" t="e">
        <f>#REF!</f>
        <v>#REF!</v>
      </c>
      <c r="BG13" s="77" t="e">
        <f>#REF!</f>
        <v>#REF!</v>
      </c>
      <c r="BH13" s="77" t="e">
        <f>#REF!</f>
        <v>#REF!</v>
      </c>
      <c r="BI13" s="77" t="e">
        <f>#REF!</f>
        <v>#REF!</v>
      </c>
      <c r="BJ13" s="77" t="e">
        <f>#REF!</f>
        <v>#REF!</v>
      </c>
      <c r="BK13" s="77" t="e">
        <f>#REF!</f>
        <v>#REF!</v>
      </c>
      <c r="BL13" s="77" t="e">
        <f>#REF!</f>
        <v>#REF!</v>
      </c>
      <c r="BM13" s="77" t="e">
        <f>#REF!</f>
        <v>#REF!</v>
      </c>
      <c r="BN13" s="77" t="e">
        <f>#REF!</f>
        <v>#REF!</v>
      </c>
      <c r="BO13" s="77" t="e">
        <f>#REF!</f>
        <v>#REF!</v>
      </c>
      <c r="BP13" s="77" t="e">
        <f>#REF!</f>
        <v>#REF!</v>
      </c>
      <c r="BR13" s="119" t="str">
        <f t="shared" si="13"/>
        <v>FAI4-3</v>
      </c>
      <c r="BS13" s="120">
        <f>OOC!G13</f>
        <v>0.51</v>
      </c>
      <c r="BT13" s="120">
        <f>OOC!H13</f>
        <v>0.49</v>
      </c>
      <c r="BU13" s="2" t="e">
        <f t="shared" si="14"/>
        <v>#REF!</v>
      </c>
      <c r="BV13" s="2" t="e">
        <f t="shared" si="15"/>
        <v>#REF!</v>
      </c>
      <c r="BW13" s="2" t="e">
        <f t="shared" si="16"/>
        <v>#REF!</v>
      </c>
      <c r="BX13" s="121" t="e">
        <f>IF(AND(IF(OOC!G13="",0,OOC!G13) &gt;= IF(O13="",0,O13), IF(O13="",0,O13) &gt; IF(L13="",0,L13)), "OOC",
IF(AND(IF(M13="",0,M13) &gt; IF(P13="",0,P13), IF(P13="",0,P13) &gt;= IF(OOC!H13="",0,OOC!H13)), "OOC",
IF(IF(O13="",0,O13) &gt; IF(OOC!G13="",0,OOC!G13), "OOS",
IF(IF(OOC!H13="",0,OOC!H13) &gt; IF(P13="",0,P13), "OOS", "OK"))))</f>
        <v>#REF!</v>
      </c>
    </row>
    <row r="14" spans="1:76" ht="15" customHeight="1">
      <c r="A14" s="13"/>
      <c r="B14" s="88" t="s">
        <v>111</v>
      </c>
      <c r="C14" s="78" t="s">
        <v>100</v>
      </c>
      <c r="D14" s="89" t="s">
        <v>114</v>
      </c>
      <c r="E14" s="90">
        <v>1.5</v>
      </c>
      <c r="F14" s="66" t="s">
        <v>44</v>
      </c>
      <c r="G14" s="91">
        <v>0.5</v>
      </c>
      <c r="H14" s="92" t="str">
        <f>IF(OOC!S14=0,"",OOC!S14)</f>
        <v/>
      </c>
      <c r="I14" s="92" t="str">
        <f>IF(OOC!T14=0,"",OOC!T14)</f>
        <v/>
      </c>
      <c r="J14" s="68" t="s">
        <v>12</v>
      </c>
      <c r="K14" s="69" t="s">
        <v>80</v>
      </c>
      <c r="L14" s="70" t="e">
        <f t="shared" si="0"/>
        <v>#VALUE!</v>
      </c>
      <c r="M14" s="70" t="e">
        <f t="shared" si="1"/>
        <v>#VALUE!</v>
      </c>
      <c r="N14" s="71"/>
      <c r="O14" s="2" t="e">
        <f t="shared" si="2"/>
        <v>#REF!</v>
      </c>
      <c r="P14" s="2" t="e">
        <f t="shared" si="3"/>
        <v>#REF!</v>
      </c>
      <c r="Q14" s="2" t="e">
        <f t="shared" si="4"/>
        <v>#REF!</v>
      </c>
      <c r="R14" s="3" t="e">
        <f t="shared" si="5"/>
        <v>#REF!</v>
      </c>
      <c r="S14" s="4" t="e">
        <f t="shared" si="10"/>
        <v>#REF!</v>
      </c>
      <c r="T14" s="84" t="e">
        <f t="shared" si="11"/>
        <v>#REF!</v>
      </c>
      <c r="U14" s="85" t="e">
        <f t="shared" si="12"/>
        <v>#REF!</v>
      </c>
      <c r="V14" s="4" t="e">
        <f t="shared" si="6"/>
        <v>#REF!</v>
      </c>
      <c r="W14" s="4" t="e">
        <f t="shared" si="7"/>
        <v>#REF!</v>
      </c>
      <c r="X14" s="4" t="e">
        <f t="shared" si="8"/>
        <v>#REF!</v>
      </c>
      <c r="Y14" s="62" t="e">
        <f t="shared" si="9"/>
        <v>#REF!</v>
      </c>
      <c r="Z14" s="22"/>
      <c r="AA14" s="22"/>
      <c r="AB14" s="22"/>
      <c r="AC14" s="22"/>
      <c r="AD14" s="19"/>
      <c r="AE14" s="14"/>
      <c r="AF14" s="74"/>
      <c r="AG14" s="49"/>
      <c r="AH14" s="49"/>
      <c r="AI14" s="50"/>
      <c r="AJ14" s="15"/>
      <c r="AK14" s="77" t="e">
        <f>#REF!</f>
        <v>#REF!</v>
      </c>
      <c r="AL14" s="77" t="e">
        <f>#REF!</f>
        <v>#REF!</v>
      </c>
      <c r="AM14" s="77" t="e">
        <f>#REF!</f>
        <v>#REF!</v>
      </c>
      <c r="AN14" s="77" t="e">
        <f>#REF!</f>
        <v>#REF!</v>
      </c>
      <c r="AO14" s="77" t="e">
        <f>#REF!</f>
        <v>#REF!</v>
      </c>
      <c r="AP14" s="77" t="e">
        <f>#REF!</f>
        <v>#REF!</v>
      </c>
      <c r="AQ14" s="77" t="e">
        <f>#REF!</f>
        <v>#REF!</v>
      </c>
      <c r="AR14" s="77" t="e">
        <f>#REF!</f>
        <v>#REF!</v>
      </c>
      <c r="AS14" s="77" t="e">
        <f>#REF!</f>
        <v>#REF!</v>
      </c>
      <c r="AT14" s="77" t="e">
        <f>#REF!</f>
        <v>#REF!</v>
      </c>
      <c r="AU14" s="77" t="e">
        <f>#REF!</f>
        <v>#REF!</v>
      </c>
      <c r="AV14" s="77" t="e">
        <f>#REF!</f>
        <v>#REF!</v>
      </c>
      <c r="AW14" s="77" t="e">
        <f>#REF!</f>
        <v>#REF!</v>
      </c>
      <c r="AX14" s="77" t="e">
        <f>#REF!</f>
        <v>#REF!</v>
      </c>
      <c r="AY14" s="77" t="e">
        <f>#REF!</f>
        <v>#REF!</v>
      </c>
      <c r="AZ14" s="77" t="e">
        <f>#REF!</f>
        <v>#REF!</v>
      </c>
      <c r="BA14" s="77" t="e">
        <f>#REF!</f>
        <v>#REF!</v>
      </c>
      <c r="BB14" s="77" t="e">
        <f>#REF!</f>
        <v>#REF!</v>
      </c>
      <c r="BC14" s="77" t="e">
        <f>#REF!</f>
        <v>#REF!</v>
      </c>
      <c r="BD14" s="77" t="e">
        <f>#REF!</f>
        <v>#REF!</v>
      </c>
      <c r="BE14" s="77" t="e">
        <f>#REF!</f>
        <v>#REF!</v>
      </c>
      <c r="BF14" s="77" t="e">
        <f>#REF!</f>
        <v>#REF!</v>
      </c>
      <c r="BG14" s="77" t="e">
        <f>#REF!</f>
        <v>#REF!</v>
      </c>
      <c r="BH14" s="77" t="e">
        <f>#REF!</f>
        <v>#REF!</v>
      </c>
      <c r="BI14" s="77" t="e">
        <f>#REF!</f>
        <v>#REF!</v>
      </c>
      <c r="BJ14" s="77" t="e">
        <f>#REF!</f>
        <v>#REF!</v>
      </c>
      <c r="BK14" s="77" t="e">
        <f>#REF!</f>
        <v>#REF!</v>
      </c>
      <c r="BL14" s="77" t="e">
        <f>#REF!</f>
        <v>#REF!</v>
      </c>
      <c r="BM14" s="77" t="e">
        <f>#REF!</f>
        <v>#REF!</v>
      </c>
      <c r="BN14" s="77" t="e">
        <f>#REF!</f>
        <v>#REF!</v>
      </c>
      <c r="BO14" s="77" t="e">
        <f>#REF!</f>
        <v>#REF!</v>
      </c>
      <c r="BP14" s="77" t="e">
        <f>#REF!</f>
        <v>#REF!</v>
      </c>
      <c r="BR14" s="122" t="str">
        <f t="shared" si="13"/>
        <v>FAI6-1</v>
      </c>
      <c r="BS14" s="120">
        <f>OOC!G14</f>
        <v>0.51</v>
      </c>
      <c r="BT14" s="120">
        <f>OOC!H14</f>
        <v>0.49</v>
      </c>
      <c r="BU14" s="2" t="e">
        <f t="shared" si="14"/>
        <v>#REF!</v>
      </c>
      <c r="BV14" s="2" t="e">
        <f t="shared" si="15"/>
        <v>#REF!</v>
      </c>
      <c r="BW14" s="2" t="e">
        <f t="shared" si="16"/>
        <v>#REF!</v>
      </c>
      <c r="BX14" s="121" t="e">
        <f>IF(AND(IF(OOC!G14="",0,OOC!G14) &gt;= IF(O14="",0,O14), IF(O14="",0,O14) &gt; IF(L14="",0,L14)), "OOC",
IF(AND(IF(M14="",0,M14) &gt; IF(P14="",0,P14), IF(P14="",0,P14) &gt;= IF(OOC!H14="",0,OOC!H14)), "OOC",
IF(IF(O14="",0,O14) &gt; IF(OOC!G14="",0,OOC!G14), "OOS",
IF(IF(OOC!H14="",0,OOC!H14) &gt; IF(P14="",0,P14), "OOS", "OK"))))</f>
        <v>#REF!</v>
      </c>
    </row>
    <row r="15" spans="1:76" ht="15" customHeight="1">
      <c r="A15" s="13"/>
      <c r="B15" s="88" t="s">
        <v>111</v>
      </c>
      <c r="C15" s="78" t="s">
        <v>101</v>
      </c>
      <c r="D15" s="89" t="s">
        <v>114</v>
      </c>
      <c r="E15" s="90">
        <v>1.5</v>
      </c>
      <c r="F15" s="66" t="s">
        <v>44</v>
      </c>
      <c r="G15" s="91">
        <v>0.5</v>
      </c>
      <c r="H15" s="92" t="str">
        <f>IF(OOC!S15=0,"",OOC!S15)</f>
        <v/>
      </c>
      <c r="I15" s="92" t="str">
        <f>IF(OOC!T15=0,"",OOC!T15)</f>
        <v/>
      </c>
      <c r="J15" s="68" t="s">
        <v>12</v>
      </c>
      <c r="K15" s="69" t="s">
        <v>80</v>
      </c>
      <c r="L15" s="70" t="e">
        <f t="shared" si="0"/>
        <v>#VALUE!</v>
      </c>
      <c r="M15" s="70" t="e">
        <f t="shared" si="1"/>
        <v>#VALUE!</v>
      </c>
      <c r="N15" s="71"/>
      <c r="O15" s="2" t="e">
        <f t="shared" si="2"/>
        <v>#REF!</v>
      </c>
      <c r="P15" s="2" t="e">
        <f t="shared" si="3"/>
        <v>#REF!</v>
      </c>
      <c r="Q15" s="2" t="e">
        <f t="shared" si="4"/>
        <v>#REF!</v>
      </c>
      <c r="R15" s="3" t="e">
        <f t="shared" si="5"/>
        <v>#REF!</v>
      </c>
      <c r="S15" s="4" t="e">
        <f t="shared" si="10"/>
        <v>#REF!</v>
      </c>
      <c r="T15" s="84" t="e">
        <f t="shared" si="11"/>
        <v>#REF!</v>
      </c>
      <c r="U15" s="85" t="e">
        <f t="shared" si="12"/>
        <v>#REF!</v>
      </c>
      <c r="V15" s="4" t="e">
        <f t="shared" si="6"/>
        <v>#REF!</v>
      </c>
      <c r="W15" s="4" t="e">
        <f t="shared" si="7"/>
        <v>#REF!</v>
      </c>
      <c r="X15" s="4" t="e">
        <f t="shared" si="8"/>
        <v>#REF!</v>
      </c>
      <c r="Y15" s="62" t="e">
        <f t="shared" si="9"/>
        <v>#REF!</v>
      </c>
      <c r="Z15" s="22"/>
      <c r="AA15" s="22"/>
      <c r="AB15" s="22"/>
      <c r="AC15" s="22"/>
      <c r="AD15" s="19"/>
      <c r="AE15" s="14"/>
      <c r="AF15" s="74"/>
      <c r="AG15" s="49"/>
      <c r="AH15" s="49"/>
      <c r="AI15" s="50"/>
      <c r="AJ15" s="15"/>
      <c r="AK15" s="77" t="e">
        <f>#REF!</f>
        <v>#REF!</v>
      </c>
      <c r="AL15" s="77" t="e">
        <f>#REF!</f>
        <v>#REF!</v>
      </c>
      <c r="AM15" s="77" t="e">
        <f>#REF!</f>
        <v>#REF!</v>
      </c>
      <c r="AN15" s="77" t="e">
        <f>#REF!</f>
        <v>#REF!</v>
      </c>
      <c r="AO15" s="77" t="e">
        <f>#REF!</f>
        <v>#REF!</v>
      </c>
      <c r="AP15" s="77" t="e">
        <f>#REF!</f>
        <v>#REF!</v>
      </c>
      <c r="AQ15" s="77" t="e">
        <f>#REF!</f>
        <v>#REF!</v>
      </c>
      <c r="AR15" s="77" t="e">
        <f>#REF!</f>
        <v>#REF!</v>
      </c>
      <c r="AS15" s="77" t="e">
        <f>#REF!</f>
        <v>#REF!</v>
      </c>
      <c r="AT15" s="77" t="e">
        <f>#REF!</f>
        <v>#REF!</v>
      </c>
      <c r="AU15" s="77" t="e">
        <f>#REF!</f>
        <v>#REF!</v>
      </c>
      <c r="AV15" s="77" t="e">
        <f>#REF!</f>
        <v>#REF!</v>
      </c>
      <c r="AW15" s="77" t="e">
        <f>#REF!</f>
        <v>#REF!</v>
      </c>
      <c r="AX15" s="77" t="e">
        <f>#REF!</f>
        <v>#REF!</v>
      </c>
      <c r="AY15" s="77" t="e">
        <f>#REF!</f>
        <v>#REF!</v>
      </c>
      <c r="AZ15" s="77" t="e">
        <f>#REF!</f>
        <v>#REF!</v>
      </c>
      <c r="BA15" s="77" t="e">
        <f>#REF!</f>
        <v>#REF!</v>
      </c>
      <c r="BB15" s="77" t="e">
        <f>#REF!</f>
        <v>#REF!</v>
      </c>
      <c r="BC15" s="77" t="e">
        <f>#REF!</f>
        <v>#REF!</v>
      </c>
      <c r="BD15" s="77" t="e">
        <f>#REF!</f>
        <v>#REF!</v>
      </c>
      <c r="BE15" s="77" t="e">
        <f>#REF!</f>
        <v>#REF!</v>
      </c>
      <c r="BF15" s="77" t="e">
        <f>#REF!</f>
        <v>#REF!</v>
      </c>
      <c r="BG15" s="77" t="e">
        <f>#REF!</f>
        <v>#REF!</v>
      </c>
      <c r="BH15" s="77" t="e">
        <f>#REF!</f>
        <v>#REF!</v>
      </c>
      <c r="BI15" s="77" t="e">
        <f>#REF!</f>
        <v>#REF!</v>
      </c>
      <c r="BJ15" s="77" t="e">
        <f>#REF!</f>
        <v>#REF!</v>
      </c>
      <c r="BK15" s="77" t="e">
        <f>#REF!</f>
        <v>#REF!</v>
      </c>
      <c r="BL15" s="77" t="e">
        <f>#REF!</f>
        <v>#REF!</v>
      </c>
      <c r="BM15" s="77" t="e">
        <f>#REF!</f>
        <v>#REF!</v>
      </c>
      <c r="BN15" s="77" t="e">
        <f>#REF!</f>
        <v>#REF!</v>
      </c>
      <c r="BO15" s="77" t="e">
        <f>#REF!</f>
        <v>#REF!</v>
      </c>
      <c r="BP15" s="77" t="e">
        <f>#REF!</f>
        <v>#REF!</v>
      </c>
      <c r="BR15" s="119" t="str">
        <f t="shared" si="13"/>
        <v>FAI6-2</v>
      </c>
      <c r="BS15" s="120">
        <f>OOC!G15</f>
        <v>0.51</v>
      </c>
      <c r="BT15" s="120">
        <f>OOC!H15</f>
        <v>0.49</v>
      </c>
      <c r="BU15" s="2" t="e">
        <f t="shared" si="14"/>
        <v>#REF!</v>
      </c>
      <c r="BV15" s="2" t="e">
        <f t="shared" si="15"/>
        <v>#REF!</v>
      </c>
      <c r="BW15" s="2" t="e">
        <f t="shared" si="16"/>
        <v>#REF!</v>
      </c>
      <c r="BX15" s="121" t="e">
        <f>IF(AND(IF(OOC!G15="",0,OOC!G15) &gt;= IF(O15="",0,O15), IF(O15="",0,O15) &gt; IF(L15="",0,L15)), "OOC",
IF(AND(IF(M15="",0,M15) &gt; IF(P15="",0,P15), IF(P15="",0,P15) &gt;= IF(OOC!H15="",0,OOC!H15)), "OOC",
IF(IF(O15="",0,O15) &gt; IF(OOC!G15="",0,OOC!G15), "OOS",
IF(IF(OOC!H15="",0,OOC!H15) &gt; IF(P15="",0,P15), "OOS", "OK"))))</f>
        <v>#REF!</v>
      </c>
    </row>
    <row r="16" spans="1:76" ht="15" customHeight="1">
      <c r="A16" s="13"/>
      <c r="B16" s="88" t="s">
        <v>111</v>
      </c>
      <c r="C16" s="78" t="s">
        <v>102</v>
      </c>
      <c r="D16" s="89" t="s">
        <v>114</v>
      </c>
      <c r="E16" s="90">
        <v>1.5</v>
      </c>
      <c r="F16" s="66" t="s">
        <v>44</v>
      </c>
      <c r="G16" s="91">
        <v>0.5</v>
      </c>
      <c r="H16" s="92" t="str">
        <f>IF(OOC!S16=0,"",OOC!S16)</f>
        <v/>
      </c>
      <c r="I16" s="92" t="str">
        <f>IF(OOC!T16=0,"",OOC!T16)</f>
        <v/>
      </c>
      <c r="J16" s="68" t="s">
        <v>12</v>
      </c>
      <c r="K16" s="69" t="s">
        <v>80</v>
      </c>
      <c r="L16" s="70" t="e">
        <f t="shared" si="0"/>
        <v>#VALUE!</v>
      </c>
      <c r="M16" s="70" t="e">
        <f t="shared" si="1"/>
        <v>#VALUE!</v>
      </c>
      <c r="N16" s="71"/>
      <c r="O16" s="2" t="e">
        <f t="shared" si="2"/>
        <v>#REF!</v>
      </c>
      <c r="P16" s="2" t="e">
        <f t="shared" si="3"/>
        <v>#REF!</v>
      </c>
      <c r="Q16" s="2" t="e">
        <f t="shared" si="4"/>
        <v>#REF!</v>
      </c>
      <c r="R16" s="3" t="e">
        <f t="shared" si="5"/>
        <v>#REF!</v>
      </c>
      <c r="S16" s="4" t="e">
        <f t="shared" si="10"/>
        <v>#REF!</v>
      </c>
      <c r="T16" s="84" t="e">
        <f t="shared" si="11"/>
        <v>#REF!</v>
      </c>
      <c r="U16" s="85" t="e">
        <f t="shared" si="12"/>
        <v>#REF!</v>
      </c>
      <c r="V16" s="4" t="e">
        <f t="shared" si="6"/>
        <v>#REF!</v>
      </c>
      <c r="W16" s="4" t="e">
        <f t="shared" si="7"/>
        <v>#REF!</v>
      </c>
      <c r="X16" s="4" t="e">
        <f t="shared" si="8"/>
        <v>#REF!</v>
      </c>
      <c r="Y16" s="62" t="e">
        <f t="shared" si="9"/>
        <v>#REF!</v>
      </c>
      <c r="Z16" s="22"/>
      <c r="AA16" s="22"/>
      <c r="AB16" s="22"/>
      <c r="AC16" s="22"/>
      <c r="AD16" s="19"/>
      <c r="AE16" s="14"/>
      <c r="AF16" s="74"/>
      <c r="AG16" s="49"/>
      <c r="AH16" s="49"/>
      <c r="AI16" s="50"/>
      <c r="AJ16" s="15"/>
      <c r="AK16" s="77" t="e">
        <f>#REF!</f>
        <v>#REF!</v>
      </c>
      <c r="AL16" s="77" t="e">
        <f>#REF!</f>
        <v>#REF!</v>
      </c>
      <c r="AM16" s="77" t="e">
        <f>#REF!</f>
        <v>#REF!</v>
      </c>
      <c r="AN16" s="77" t="e">
        <f>#REF!</f>
        <v>#REF!</v>
      </c>
      <c r="AO16" s="77" t="e">
        <f>#REF!</f>
        <v>#REF!</v>
      </c>
      <c r="AP16" s="77" t="e">
        <f>#REF!</f>
        <v>#REF!</v>
      </c>
      <c r="AQ16" s="77" t="e">
        <f>#REF!</f>
        <v>#REF!</v>
      </c>
      <c r="AR16" s="77" t="e">
        <f>#REF!</f>
        <v>#REF!</v>
      </c>
      <c r="AS16" s="77" t="e">
        <f>#REF!</f>
        <v>#REF!</v>
      </c>
      <c r="AT16" s="77" t="e">
        <f>#REF!</f>
        <v>#REF!</v>
      </c>
      <c r="AU16" s="77" t="e">
        <f>#REF!</f>
        <v>#REF!</v>
      </c>
      <c r="AV16" s="77" t="e">
        <f>#REF!</f>
        <v>#REF!</v>
      </c>
      <c r="AW16" s="77" t="e">
        <f>#REF!</f>
        <v>#REF!</v>
      </c>
      <c r="AX16" s="77" t="e">
        <f>#REF!</f>
        <v>#REF!</v>
      </c>
      <c r="AY16" s="77" t="e">
        <f>#REF!</f>
        <v>#REF!</v>
      </c>
      <c r="AZ16" s="77" t="e">
        <f>#REF!</f>
        <v>#REF!</v>
      </c>
      <c r="BA16" s="77" t="e">
        <f>#REF!</f>
        <v>#REF!</v>
      </c>
      <c r="BB16" s="77" t="e">
        <f>#REF!</f>
        <v>#REF!</v>
      </c>
      <c r="BC16" s="77" t="e">
        <f>#REF!</f>
        <v>#REF!</v>
      </c>
      <c r="BD16" s="77" t="e">
        <f>#REF!</f>
        <v>#REF!</v>
      </c>
      <c r="BE16" s="77" t="e">
        <f>#REF!</f>
        <v>#REF!</v>
      </c>
      <c r="BF16" s="77" t="e">
        <f>#REF!</f>
        <v>#REF!</v>
      </c>
      <c r="BG16" s="77" t="e">
        <f>#REF!</f>
        <v>#REF!</v>
      </c>
      <c r="BH16" s="77" t="e">
        <f>#REF!</f>
        <v>#REF!</v>
      </c>
      <c r="BI16" s="77" t="e">
        <f>#REF!</f>
        <v>#REF!</v>
      </c>
      <c r="BJ16" s="77" t="e">
        <f>#REF!</f>
        <v>#REF!</v>
      </c>
      <c r="BK16" s="77" t="e">
        <f>#REF!</f>
        <v>#REF!</v>
      </c>
      <c r="BL16" s="77" t="e">
        <f>#REF!</f>
        <v>#REF!</v>
      </c>
      <c r="BM16" s="77" t="e">
        <f>#REF!</f>
        <v>#REF!</v>
      </c>
      <c r="BN16" s="77" t="e">
        <f>#REF!</f>
        <v>#REF!</v>
      </c>
      <c r="BO16" s="77" t="e">
        <f>#REF!</f>
        <v>#REF!</v>
      </c>
      <c r="BP16" s="77" t="e">
        <f>#REF!</f>
        <v>#REF!</v>
      </c>
      <c r="BR16" s="119" t="str">
        <f t="shared" si="13"/>
        <v>FAI6-3</v>
      </c>
      <c r="BS16" s="120">
        <f>OOC!G16</f>
        <v>0.51</v>
      </c>
      <c r="BT16" s="120">
        <f>OOC!H16</f>
        <v>0.49</v>
      </c>
      <c r="BU16" s="2" t="e">
        <f t="shared" si="14"/>
        <v>#REF!</v>
      </c>
      <c r="BV16" s="2" t="e">
        <f t="shared" si="15"/>
        <v>#REF!</v>
      </c>
      <c r="BW16" s="2" t="e">
        <f t="shared" si="16"/>
        <v>#REF!</v>
      </c>
      <c r="BX16" s="121" t="e">
        <f>IF(AND(IF(OOC!G16="",0,OOC!G16) &gt;= IF(O16="",0,O16), IF(O16="",0,O16) &gt; IF(L16="",0,L16)), "OOC",
IF(AND(IF(M16="",0,M16) &gt; IF(P16="",0,P16), IF(P16="",0,P16) &gt;= IF(OOC!H16="",0,OOC!H16)), "OOC",
IF(IF(O16="",0,O16) &gt; IF(OOC!G16="",0,OOC!G16), "OOS",
IF(IF(OOC!H16="",0,OOC!H16) &gt; IF(P16="",0,P16), "OOS", "OK"))))</f>
        <v>#REF!</v>
      </c>
    </row>
    <row r="17" spans="1:76" ht="15" customHeight="1">
      <c r="A17" s="13"/>
      <c r="B17" s="88" t="s">
        <v>162</v>
      </c>
      <c r="C17" s="78" t="s">
        <v>100</v>
      </c>
      <c r="D17" s="89" t="s">
        <v>114</v>
      </c>
      <c r="E17" s="90"/>
      <c r="F17" s="66" t="s">
        <v>44</v>
      </c>
      <c r="G17" s="91">
        <v>0.5</v>
      </c>
      <c r="H17" s="92">
        <f>IF(OOC!S17=0,"",OOC!S17)</f>
        <v>0.01</v>
      </c>
      <c r="I17" s="92">
        <f>IF(OOC!T17=0,"",OOC!T17)</f>
        <v>-0.01</v>
      </c>
      <c r="J17" s="68" t="s">
        <v>12</v>
      </c>
      <c r="K17" s="69" t="s">
        <v>80</v>
      </c>
      <c r="L17" s="70">
        <f t="shared" si="0"/>
        <v>0.51</v>
      </c>
      <c r="M17" s="70">
        <f t="shared" si="1"/>
        <v>0.49</v>
      </c>
      <c r="N17" s="71"/>
      <c r="O17" s="2" t="e">
        <f t="shared" si="2"/>
        <v>#REF!</v>
      </c>
      <c r="P17" s="2" t="e">
        <f t="shared" si="3"/>
        <v>#REF!</v>
      </c>
      <c r="Q17" s="2" t="e">
        <f t="shared" si="4"/>
        <v>#REF!</v>
      </c>
      <c r="R17" s="3" t="e">
        <f t="shared" si="5"/>
        <v>#REF!</v>
      </c>
      <c r="S17" s="4" t="e">
        <f t="shared" si="10"/>
        <v>#REF!</v>
      </c>
      <c r="T17" s="84" t="e">
        <f t="shared" si="11"/>
        <v>#REF!</v>
      </c>
      <c r="U17" s="85" t="e">
        <f t="shared" si="12"/>
        <v>#REF!</v>
      </c>
      <c r="V17" s="4" t="e">
        <f t="shared" si="6"/>
        <v>#REF!</v>
      </c>
      <c r="W17" s="4" t="e">
        <f t="shared" si="7"/>
        <v>#REF!</v>
      </c>
      <c r="X17" s="4" t="e">
        <f t="shared" si="8"/>
        <v>#REF!</v>
      </c>
      <c r="Y17" s="62" t="e">
        <f t="shared" si="9"/>
        <v>#REF!</v>
      </c>
      <c r="Z17" s="22"/>
      <c r="AA17" s="22"/>
      <c r="AB17" s="22"/>
      <c r="AC17" s="22"/>
      <c r="AD17" s="19"/>
      <c r="AE17" s="14"/>
      <c r="AF17" s="74"/>
      <c r="AG17" s="49"/>
      <c r="AH17" s="49"/>
      <c r="AI17" s="50"/>
      <c r="AJ17" s="15"/>
      <c r="AK17" s="77" t="e">
        <f>#REF!</f>
        <v>#REF!</v>
      </c>
      <c r="AL17" s="77" t="e">
        <f>#REF!</f>
        <v>#REF!</v>
      </c>
      <c r="AM17" s="77" t="e">
        <f>#REF!</f>
        <v>#REF!</v>
      </c>
      <c r="AN17" s="77" t="e">
        <f>#REF!</f>
        <v>#REF!</v>
      </c>
      <c r="AO17" s="77" t="e">
        <f>#REF!</f>
        <v>#REF!</v>
      </c>
      <c r="AP17" s="77" t="e">
        <f>#REF!</f>
        <v>#REF!</v>
      </c>
      <c r="AQ17" s="77" t="e">
        <f>#REF!</f>
        <v>#REF!</v>
      </c>
      <c r="AR17" s="77" t="e">
        <f>#REF!</f>
        <v>#REF!</v>
      </c>
      <c r="AS17" s="77" t="e">
        <f>#REF!</f>
        <v>#REF!</v>
      </c>
      <c r="AT17" s="77" t="e">
        <f>#REF!</f>
        <v>#REF!</v>
      </c>
      <c r="AU17" s="77" t="e">
        <f>#REF!</f>
        <v>#REF!</v>
      </c>
      <c r="AV17" s="77" t="e">
        <f>#REF!</f>
        <v>#REF!</v>
      </c>
      <c r="AW17" s="77" t="e">
        <f>#REF!</f>
        <v>#REF!</v>
      </c>
      <c r="AX17" s="77" t="e">
        <f>#REF!</f>
        <v>#REF!</v>
      </c>
      <c r="AY17" s="77" t="e">
        <f>#REF!</f>
        <v>#REF!</v>
      </c>
      <c r="AZ17" s="77" t="e">
        <f>#REF!</f>
        <v>#REF!</v>
      </c>
      <c r="BA17" s="77" t="e">
        <f>#REF!</f>
        <v>#REF!</v>
      </c>
      <c r="BB17" s="77" t="e">
        <f>#REF!</f>
        <v>#REF!</v>
      </c>
      <c r="BC17" s="77" t="e">
        <f>#REF!</f>
        <v>#REF!</v>
      </c>
      <c r="BD17" s="77" t="e">
        <f>#REF!</f>
        <v>#REF!</v>
      </c>
      <c r="BE17" s="77" t="e">
        <f>#REF!</f>
        <v>#REF!</v>
      </c>
      <c r="BF17" s="77" t="e">
        <f>#REF!</f>
        <v>#REF!</v>
      </c>
      <c r="BG17" s="77" t="e">
        <f>#REF!</f>
        <v>#REF!</v>
      </c>
      <c r="BH17" s="77" t="e">
        <f>#REF!</f>
        <v>#REF!</v>
      </c>
      <c r="BI17" s="77" t="e">
        <f>#REF!</f>
        <v>#REF!</v>
      </c>
      <c r="BJ17" s="77" t="e">
        <f>#REF!</f>
        <v>#REF!</v>
      </c>
      <c r="BK17" s="77" t="e">
        <f>#REF!</f>
        <v>#REF!</v>
      </c>
      <c r="BL17" s="77" t="e">
        <f>#REF!</f>
        <v>#REF!</v>
      </c>
      <c r="BM17" s="77" t="e">
        <f>#REF!</f>
        <v>#REF!</v>
      </c>
      <c r="BN17" s="77" t="e">
        <f>#REF!</f>
        <v>#REF!</v>
      </c>
      <c r="BO17" s="77" t="e">
        <f>#REF!</f>
        <v>#REF!</v>
      </c>
      <c r="BP17" s="77" t="e">
        <f>#REF!</f>
        <v>#REF!</v>
      </c>
      <c r="BR17" s="119" t="str">
        <f t="shared" si="13"/>
        <v>FAI6-1(DC)</v>
      </c>
      <c r="BS17" s="120">
        <f>OOC!G17</f>
        <v>0.51</v>
      </c>
      <c r="BT17" s="120">
        <f>OOC!H17</f>
        <v>0.49</v>
      </c>
      <c r="BU17" s="2" t="e">
        <f t="shared" si="14"/>
        <v>#REF!</v>
      </c>
      <c r="BV17" s="2" t="e">
        <f t="shared" si="15"/>
        <v>#REF!</v>
      </c>
      <c r="BW17" s="2" t="e">
        <f t="shared" si="16"/>
        <v>#REF!</v>
      </c>
      <c r="BX17" s="121"/>
    </row>
    <row r="18" spans="1:76" ht="15" customHeight="1">
      <c r="A18" s="13"/>
      <c r="B18" s="88" t="s">
        <v>162</v>
      </c>
      <c r="C18" s="78" t="s">
        <v>101</v>
      </c>
      <c r="D18" s="89" t="s">
        <v>114</v>
      </c>
      <c r="E18" s="90"/>
      <c r="F18" s="66" t="s">
        <v>44</v>
      </c>
      <c r="G18" s="91">
        <v>0.5</v>
      </c>
      <c r="H18" s="92">
        <f>IF(OOC!S18=0,"",OOC!S18)</f>
        <v>0.01</v>
      </c>
      <c r="I18" s="92">
        <f>IF(OOC!T18=0,"",OOC!T18)</f>
        <v>-0.01</v>
      </c>
      <c r="J18" s="68" t="s">
        <v>12</v>
      </c>
      <c r="K18" s="69" t="s">
        <v>80</v>
      </c>
      <c r="L18" s="70">
        <f t="shared" si="0"/>
        <v>0.51</v>
      </c>
      <c r="M18" s="70">
        <f t="shared" si="1"/>
        <v>0.49</v>
      </c>
      <c r="N18" s="71"/>
      <c r="O18" s="2" t="e">
        <f t="shared" si="2"/>
        <v>#REF!</v>
      </c>
      <c r="P18" s="2" t="e">
        <f t="shared" si="3"/>
        <v>#REF!</v>
      </c>
      <c r="Q18" s="2" t="e">
        <f t="shared" si="4"/>
        <v>#REF!</v>
      </c>
      <c r="R18" s="3" t="e">
        <f t="shared" si="5"/>
        <v>#REF!</v>
      </c>
      <c r="S18" s="4" t="e">
        <f t="shared" si="10"/>
        <v>#REF!</v>
      </c>
      <c r="T18" s="84" t="e">
        <f t="shared" si="11"/>
        <v>#REF!</v>
      </c>
      <c r="U18" s="85" t="e">
        <f t="shared" si="12"/>
        <v>#REF!</v>
      </c>
      <c r="V18" s="4" t="e">
        <f t="shared" si="6"/>
        <v>#REF!</v>
      </c>
      <c r="W18" s="4" t="e">
        <f t="shared" si="7"/>
        <v>#REF!</v>
      </c>
      <c r="X18" s="4" t="e">
        <f t="shared" si="8"/>
        <v>#REF!</v>
      </c>
      <c r="Y18" s="62" t="e">
        <f t="shared" si="9"/>
        <v>#REF!</v>
      </c>
      <c r="Z18" s="22"/>
      <c r="AA18" s="22"/>
      <c r="AB18" s="22"/>
      <c r="AC18" s="22"/>
      <c r="AD18" s="19"/>
      <c r="AE18" s="14"/>
      <c r="AF18" s="74"/>
      <c r="AG18" s="49"/>
      <c r="AH18" s="49"/>
      <c r="AI18" s="50"/>
      <c r="AJ18" s="15"/>
      <c r="AK18" s="77" t="e">
        <f>#REF!</f>
        <v>#REF!</v>
      </c>
      <c r="AL18" s="77" t="e">
        <f>#REF!</f>
        <v>#REF!</v>
      </c>
      <c r="AM18" s="77" t="e">
        <f>#REF!</f>
        <v>#REF!</v>
      </c>
      <c r="AN18" s="77" t="e">
        <f>#REF!</f>
        <v>#REF!</v>
      </c>
      <c r="AO18" s="77" t="e">
        <f>#REF!</f>
        <v>#REF!</v>
      </c>
      <c r="AP18" s="77" t="e">
        <f>#REF!</f>
        <v>#REF!</v>
      </c>
      <c r="AQ18" s="77" t="e">
        <f>#REF!</f>
        <v>#REF!</v>
      </c>
      <c r="AR18" s="77" t="e">
        <f>#REF!</f>
        <v>#REF!</v>
      </c>
      <c r="AS18" s="77" t="e">
        <f>#REF!</f>
        <v>#REF!</v>
      </c>
      <c r="AT18" s="77" t="e">
        <f>#REF!</f>
        <v>#REF!</v>
      </c>
      <c r="AU18" s="77" t="e">
        <f>#REF!</f>
        <v>#REF!</v>
      </c>
      <c r="AV18" s="77" t="e">
        <f>#REF!</f>
        <v>#REF!</v>
      </c>
      <c r="AW18" s="77" t="e">
        <f>#REF!</f>
        <v>#REF!</v>
      </c>
      <c r="AX18" s="77" t="e">
        <f>#REF!</f>
        <v>#REF!</v>
      </c>
      <c r="AY18" s="77" t="e">
        <f>#REF!</f>
        <v>#REF!</v>
      </c>
      <c r="AZ18" s="77" t="e">
        <f>#REF!</f>
        <v>#REF!</v>
      </c>
      <c r="BA18" s="77" t="e">
        <f>#REF!</f>
        <v>#REF!</v>
      </c>
      <c r="BB18" s="77" t="e">
        <f>#REF!</f>
        <v>#REF!</v>
      </c>
      <c r="BC18" s="77" t="e">
        <f>#REF!</f>
        <v>#REF!</v>
      </c>
      <c r="BD18" s="77" t="e">
        <f>#REF!</f>
        <v>#REF!</v>
      </c>
      <c r="BE18" s="77" t="e">
        <f>#REF!</f>
        <v>#REF!</v>
      </c>
      <c r="BF18" s="77" t="e">
        <f>#REF!</f>
        <v>#REF!</v>
      </c>
      <c r="BG18" s="77" t="e">
        <f>#REF!</f>
        <v>#REF!</v>
      </c>
      <c r="BH18" s="77" t="e">
        <f>#REF!</f>
        <v>#REF!</v>
      </c>
      <c r="BI18" s="77" t="e">
        <f>#REF!</f>
        <v>#REF!</v>
      </c>
      <c r="BJ18" s="77" t="e">
        <f>#REF!</f>
        <v>#REF!</v>
      </c>
      <c r="BK18" s="77" t="e">
        <f>#REF!</f>
        <v>#REF!</v>
      </c>
      <c r="BL18" s="77" t="e">
        <f>#REF!</f>
        <v>#REF!</v>
      </c>
      <c r="BM18" s="77" t="e">
        <f>#REF!</f>
        <v>#REF!</v>
      </c>
      <c r="BN18" s="77" t="e">
        <f>#REF!</f>
        <v>#REF!</v>
      </c>
      <c r="BO18" s="77" t="e">
        <f>#REF!</f>
        <v>#REF!</v>
      </c>
      <c r="BP18" s="77" t="e">
        <f>#REF!</f>
        <v>#REF!</v>
      </c>
      <c r="BR18" s="119" t="str">
        <f t="shared" si="13"/>
        <v>FAI6-2(DC)</v>
      </c>
      <c r="BS18" s="120">
        <f>OOC!G18</f>
        <v>0.51</v>
      </c>
      <c r="BT18" s="120">
        <f>OOC!H18</f>
        <v>0.49</v>
      </c>
      <c r="BU18" s="2" t="e">
        <f t="shared" si="14"/>
        <v>#REF!</v>
      </c>
      <c r="BV18" s="2" t="e">
        <f t="shared" si="15"/>
        <v>#REF!</v>
      </c>
      <c r="BW18" s="2" t="e">
        <f t="shared" si="16"/>
        <v>#REF!</v>
      </c>
      <c r="BX18" s="121"/>
    </row>
    <row r="19" spans="1:76" ht="15" customHeight="1">
      <c r="A19" s="13"/>
      <c r="B19" s="88" t="s">
        <v>162</v>
      </c>
      <c r="C19" s="78" t="s">
        <v>102</v>
      </c>
      <c r="D19" s="89" t="s">
        <v>114</v>
      </c>
      <c r="E19" s="90"/>
      <c r="F19" s="66" t="s">
        <v>44</v>
      </c>
      <c r="G19" s="91">
        <v>0.5</v>
      </c>
      <c r="H19" s="92">
        <f>IF(OOC!S19=0,"",OOC!S19)</f>
        <v>0.01</v>
      </c>
      <c r="I19" s="92">
        <f>IF(OOC!T19=0,"",OOC!T19)</f>
        <v>-0.01</v>
      </c>
      <c r="J19" s="68" t="s">
        <v>12</v>
      </c>
      <c r="K19" s="69" t="s">
        <v>80</v>
      </c>
      <c r="L19" s="70">
        <f t="shared" si="0"/>
        <v>0.51</v>
      </c>
      <c r="M19" s="70">
        <f t="shared" si="1"/>
        <v>0.49</v>
      </c>
      <c r="N19" s="71"/>
      <c r="O19" s="2" t="e">
        <f t="shared" si="2"/>
        <v>#REF!</v>
      </c>
      <c r="P19" s="2" t="e">
        <f t="shared" si="3"/>
        <v>#REF!</v>
      </c>
      <c r="Q19" s="2" t="e">
        <f t="shared" si="4"/>
        <v>#REF!</v>
      </c>
      <c r="R19" s="3" t="e">
        <f t="shared" si="5"/>
        <v>#REF!</v>
      </c>
      <c r="S19" s="4" t="e">
        <f t="shared" si="10"/>
        <v>#REF!</v>
      </c>
      <c r="T19" s="84" t="e">
        <f t="shared" si="11"/>
        <v>#REF!</v>
      </c>
      <c r="U19" s="85" t="e">
        <f t="shared" si="12"/>
        <v>#REF!</v>
      </c>
      <c r="V19" s="4" t="e">
        <f t="shared" si="6"/>
        <v>#REF!</v>
      </c>
      <c r="W19" s="4" t="e">
        <f t="shared" si="7"/>
        <v>#REF!</v>
      </c>
      <c r="X19" s="4" t="e">
        <f t="shared" si="8"/>
        <v>#REF!</v>
      </c>
      <c r="Y19" s="62" t="e">
        <f t="shared" si="9"/>
        <v>#REF!</v>
      </c>
      <c r="Z19" s="22"/>
      <c r="AA19" s="22"/>
      <c r="AB19" s="22"/>
      <c r="AC19" s="22"/>
      <c r="AD19" s="19"/>
      <c r="AE19" s="14"/>
      <c r="AF19" s="74"/>
      <c r="AG19" s="49"/>
      <c r="AH19" s="49"/>
      <c r="AI19" s="50"/>
      <c r="AJ19" s="15"/>
      <c r="AK19" s="77" t="e">
        <f>#REF!</f>
        <v>#REF!</v>
      </c>
      <c r="AL19" s="77" t="e">
        <f>#REF!</f>
        <v>#REF!</v>
      </c>
      <c r="AM19" s="77" t="e">
        <f>#REF!</f>
        <v>#REF!</v>
      </c>
      <c r="AN19" s="77" t="e">
        <f>#REF!</f>
        <v>#REF!</v>
      </c>
      <c r="AO19" s="77" t="e">
        <f>#REF!</f>
        <v>#REF!</v>
      </c>
      <c r="AP19" s="77" t="e">
        <f>#REF!</f>
        <v>#REF!</v>
      </c>
      <c r="AQ19" s="77" t="e">
        <f>#REF!</f>
        <v>#REF!</v>
      </c>
      <c r="AR19" s="77" t="e">
        <f>#REF!</f>
        <v>#REF!</v>
      </c>
      <c r="AS19" s="77" t="e">
        <f>#REF!</f>
        <v>#REF!</v>
      </c>
      <c r="AT19" s="77" t="e">
        <f>#REF!</f>
        <v>#REF!</v>
      </c>
      <c r="AU19" s="77" t="e">
        <f>#REF!</f>
        <v>#REF!</v>
      </c>
      <c r="AV19" s="77" t="e">
        <f>#REF!</f>
        <v>#REF!</v>
      </c>
      <c r="AW19" s="77" t="e">
        <f>#REF!</f>
        <v>#REF!</v>
      </c>
      <c r="AX19" s="77" t="e">
        <f>#REF!</f>
        <v>#REF!</v>
      </c>
      <c r="AY19" s="77" t="e">
        <f>#REF!</f>
        <v>#REF!</v>
      </c>
      <c r="AZ19" s="77" t="e">
        <f>#REF!</f>
        <v>#REF!</v>
      </c>
      <c r="BA19" s="77" t="e">
        <f>#REF!</f>
        <v>#REF!</v>
      </c>
      <c r="BB19" s="77" t="e">
        <f>#REF!</f>
        <v>#REF!</v>
      </c>
      <c r="BC19" s="77" t="e">
        <f>#REF!</f>
        <v>#REF!</v>
      </c>
      <c r="BD19" s="77" t="e">
        <f>#REF!</f>
        <v>#REF!</v>
      </c>
      <c r="BE19" s="77" t="e">
        <f>#REF!</f>
        <v>#REF!</v>
      </c>
      <c r="BF19" s="77" t="e">
        <f>#REF!</f>
        <v>#REF!</v>
      </c>
      <c r="BG19" s="77" t="e">
        <f>#REF!</f>
        <v>#REF!</v>
      </c>
      <c r="BH19" s="77" t="e">
        <f>#REF!</f>
        <v>#REF!</v>
      </c>
      <c r="BI19" s="77" t="e">
        <f>#REF!</f>
        <v>#REF!</v>
      </c>
      <c r="BJ19" s="77" t="e">
        <f>#REF!</f>
        <v>#REF!</v>
      </c>
      <c r="BK19" s="77" t="e">
        <f>#REF!</f>
        <v>#REF!</v>
      </c>
      <c r="BL19" s="77" t="e">
        <f>#REF!</f>
        <v>#REF!</v>
      </c>
      <c r="BM19" s="77" t="e">
        <f>#REF!</f>
        <v>#REF!</v>
      </c>
      <c r="BN19" s="77" t="e">
        <f>#REF!</f>
        <v>#REF!</v>
      </c>
      <c r="BO19" s="77" t="e">
        <f>#REF!</f>
        <v>#REF!</v>
      </c>
      <c r="BP19" s="77" t="e">
        <f>#REF!</f>
        <v>#REF!</v>
      </c>
      <c r="BR19" s="123" t="str">
        <f t="shared" si="13"/>
        <v>FAI6-3(DC)</v>
      </c>
      <c r="BS19" s="120">
        <f>OOC!G19</f>
        <v>0.51</v>
      </c>
      <c r="BT19" s="120">
        <f>OOC!H19</f>
        <v>0.49</v>
      </c>
      <c r="BU19" s="2" t="e">
        <f t="shared" si="14"/>
        <v>#REF!</v>
      </c>
      <c r="BV19" s="2" t="e">
        <f t="shared" si="15"/>
        <v>#REF!</v>
      </c>
      <c r="BW19" s="2" t="e">
        <f t="shared" si="16"/>
        <v>#REF!</v>
      </c>
      <c r="BX19" s="121"/>
    </row>
    <row r="20" spans="1:76" ht="15" customHeight="1">
      <c r="A20" s="13"/>
      <c r="B20" s="88" t="s">
        <v>112</v>
      </c>
      <c r="C20" s="78" t="s">
        <v>103</v>
      </c>
      <c r="D20" s="89" t="s">
        <v>115</v>
      </c>
      <c r="E20" s="90">
        <v>1.5</v>
      </c>
      <c r="F20" s="66" t="s">
        <v>41</v>
      </c>
      <c r="G20" s="67"/>
      <c r="H20" s="92" t="str">
        <f>IF(OOC!S20=0,"",OOC!S20)</f>
        <v/>
      </c>
      <c r="I20" s="92" t="str">
        <f>IF(OOC!T20=0,"",OOC!T20)</f>
        <v/>
      </c>
      <c r="J20" s="68" t="s">
        <v>12</v>
      </c>
      <c r="K20" s="69" t="s">
        <v>80</v>
      </c>
      <c r="L20" s="70" t="str">
        <f t="shared" si="0"/>
        <v/>
      </c>
      <c r="M20" s="70" t="str">
        <f t="shared" si="1"/>
        <v/>
      </c>
      <c r="N20" s="71"/>
      <c r="O20" s="2" t="e">
        <f t="shared" si="2"/>
        <v>#REF!</v>
      </c>
      <c r="P20" s="2" t="e">
        <f t="shared" si="3"/>
        <v>#REF!</v>
      </c>
      <c r="Q20" s="2" t="e">
        <f t="shared" si="4"/>
        <v>#REF!</v>
      </c>
      <c r="R20" s="3" t="e">
        <f t="shared" si="5"/>
        <v>#REF!</v>
      </c>
      <c r="S20" s="4" t="e">
        <f t="shared" si="10"/>
        <v>#REF!</v>
      </c>
      <c r="T20" s="84" t="e">
        <f t="shared" si="11"/>
        <v>#REF!</v>
      </c>
      <c r="U20" s="85" t="e">
        <f t="shared" si="12"/>
        <v>#REF!</v>
      </c>
      <c r="V20" s="4" t="e">
        <f t="shared" si="6"/>
        <v>#REF!</v>
      </c>
      <c r="W20" s="4" t="e">
        <f t="shared" si="7"/>
        <v>#REF!</v>
      </c>
      <c r="X20" s="4" t="e">
        <f t="shared" si="8"/>
        <v>#REF!</v>
      </c>
      <c r="Y20" s="62" t="e">
        <f t="shared" si="9"/>
        <v>#REF!</v>
      </c>
      <c r="Z20" s="22"/>
      <c r="AA20" s="22"/>
      <c r="AB20" s="22"/>
      <c r="AC20" s="22"/>
      <c r="AD20" s="19"/>
      <c r="AE20" s="14"/>
      <c r="AF20" s="72"/>
      <c r="AG20" s="49"/>
      <c r="AH20" s="49"/>
      <c r="AI20" s="50"/>
      <c r="AJ20" s="15"/>
      <c r="AK20" s="77" t="e">
        <f>#REF!</f>
        <v>#REF!</v>
      </c>
      <c r="AL20" s="77" t="e">
        <f>#REF!</f>
        <v>#REF!</v>
      </c>
      <c r="AM20" s="77" t="e">
        <f>#REF!</f>
        <v>#REF!</v>
      </c>
      <c r="AN20" s="77" t="e">
        <f>#REF!</f>
        <v>#REF!</v>
      </c>
      <c r="AO20" s="77" t="e">
        <f>#REF!</f>
        <v>#REF!</v>
      </c>
      <c r="AP20" s="77" t="e">
        <f>#REF!</f>
        <v>#REF!</v>
      </c>
      <c r="AQ20" s="77" t="e">
        <f>#REF!</f>
        <v>#REF!</v>
      </c>
      <c r="AR20" s="77" t="e">
        <f>#REF!</f>
        <v>#REF!</v>
      </c>
      <c r="AS20" s="77" t="e">
        <f>#REF!</f>
        <v>#REF!</v>
      </c>
      <c r="AT20" s="77" t="e">
        <f>#REF!</f>
        <v>#REF!</v>
      </c>
      <c r="AU20" s="77" t="e">
        <f>#REF!</f>
        <v>#REF!</v>
      </c>
      <c r="AV20" s="77" t="e">
        <f>#REF!</f>
        <v>#REF!</v>
      </c>
      <c r="AW20" s="77" t="e">
        <f>#REF!</f>
        <v>#REF!</v>
      </c>
      <c r="AX20" s="77" t="e">
        <f>#REF!</f>
        <v>#REF!</v>
      </c>
      <c r="AY20" s="77" t="e">
        <f>#REF!</f>
        <v>#REF!</v>
      </c>
      <c r="AZ20" s="77" t="e">
        <f>#REF!</f>
        <v>#REF!</v>
      </c>
      <c r="BA20" s="77" t="e">
        <f>#REF!</f>
        <v>#REF!</v>
      </c>
      <c r="BB20" s="77" t="e">
        <f>#REF!</f>
        <v>#REF!</v>
      </c>
      <c r="BC20" s="77" t="e">
        <f>#REF!</f>
        <v>#REF!</v>
      </c>
      <c r="BD20" s="77" t="e">
        <f>#REF!</f>
        <v>#REF!</v>
      </c>
      <c r="BE20" s="77" t="e">
        <f>#REF!</f>
        <v>#REF!</v>
      </c>
      <c r="BF20" s="77" t="e">
        <f>#REF!</f>
        <v>#REF!</v>
      </c>
      <c r="BG20" s="77" t="e">
        <f>#REF!</f>
        <v>#REF!</v>
      </c>
      <c r="BH20" s="77" t="e">
        <f>#REF!</f>
        <v>#REF!</v>
      </c>
      <c r="BI20" s="77" t="e">
        <f>#REF!</f>
        <v>#REF!</v>
      </c>
      <c r="BJ20" s="77" t="e">
        <f>#REF!</f>
        <v>#REF!</v>
      </c>
      <c r="BK20" s="77" t="e">
        <f>#REF!</f>
        <v>#REF!</v>
      </c>
      <c r="BL20" s="77" t="e">
        <f>#REF!</f>
        <v>#REF!</v>
      </c>
      <c r="BM20" s="77" t="e">
        <f>#REF!</f>
        <v>#REF!</v>
      </c>
      <c r="BN20" s="77" t="e">
        <f>#REF!</f>
        <v>#REF!</v>
      </c>
      <c r="BO20" s="77" t="e">
        <f>#REF!</f>
        <v>#REF!</v>
      </c>
      <c r="BP20" s="77" t="e">
        <f>#REF!</f>
        <v>#REF!</v>
      </c>
      <c r="BR20" s="123" t="str">
        <f t="shared" si="13"/>
        <v>FAI8</v>
      </c>
      <c r="BS20" s="120">
        <f>OOC!G20</f>
        <v>0.03</v>
      </c>
      <c r="BT20" s="120" t="str">
        <f>OOC!H20</f>
        <v/>
      </c>
      <c r="BU20" s="2" t="e">
        <f t="shared" si="14"/>
        <v>#REF!</v>
      </c>
      <c r="BV20" s="2" t="e">
        <f t="shared" si="15"/>
        <v>#REF!</v>
      </c>
      <c r="BW20" s="2" t="e">
        <f t="shared" si="16"/>
        <v>#REF!</v>
      </c>
      <c r="BX20" s="121" t="e">
        <f>IF(AND(IF(OOC!G20="",0,OOC!G20) &gt;= IF(O20="",0,O20), IF(O20="",0,O20) &gt; IF(L20="",0,L20)), "OOC",
IF(AND(IF(M20="",0,M20) &gt; IF(P20="",0,P20), IF(P20="",0,P20) &gt;= IF(OOC!H20="",0,OOC!H20)), "OOC",
IF(IF(O20="",0,O20) &gt; IF(OOC!G20="",0,OOC!G20), "OOS",
IF(IF(OOC!H20="",0,OOC!H20) &gt; IF(P20="",0,P20), "OOS", "OK"))))</f>
        <v>#REF!</v>
      </c>
    </row>
    <row r="21" spans="1:76" ht="15" customHeight="1">
      <c r="A21" s="13"/>
      <c r="B21" s="88" t="s">
        <v>162</v>
      </c>
      <c r="C21" s="78" t="s">
        <v>103</v>
      </c>
      <c r="D21" s="89" t="s">
        <v>115</v>
      </c>
      <c r="E21" s="90"/>
      <c r="F21" s="66" t="s">
        <v>41</v>
      </c>
      <c r="G21" s="67"/>
      <c r="H21" s="92">
        <f>IF(OOC!S21=0,"",OOC!S21)</f>
        <v>0.03</v>
      </c>
      <c r="I21" s="92" t="str">
        <f>IF(OOC!T21=0,"",OOC!T21)</f>
        <v/>
      </c>
      <c r="J21" s="68" t="s">
        <v>12</v>
      </c>
      <c r="K21" s="69" t="s">
        <v>80</v>
      </c>
      <c r="L21" s="70">
        <f t="shared" si="0"/>
        <v>0.03</v>
      </c>
      <c r="M21" s="70" t="str">
        <f t="shared" si="1"/>
        <v/>
      </c>
      <c r="N21" s="71"/>
      <c r="O21" s="2" t="e">
        <f t="shared" si="2"/>
        <v>#REF!</v>
      </c>
      <c r="P21" s="2" t="e">
        <f t="shared" si="3"/>
        <v>#REF!</v>
      </c>
      <c r="Q21" s="2" t="e">
        <f t="shared" si="4"/>
        <v>#REF!</v>
      </c>
      <c r="R21" s="3" t="e">
        <f t="shared" si="5"/>
        <v>#REF!</v>
      </c>
      <c r="S21" s="4" t="e">
        <f t="shared" si="10"/>
        <v>#REF!</v>
      </c>
      <c r="T21" s="84" t="e">
        <f t="shared" si="11"/>
        <v>#REF!</v>
      </c>
      <c r="U21" s="85" t="e">
        <f t="shared" si="12"/>
        <v>#REF!</v>
      </c>
      <c r="V21" s="4" t="e">
        <f t="shared" si="6"/>
        <v>#REF!</v>
      </c>
      <c r="W21" s="4" t="e">
        <f t="shared" si="7"/>
        <v>#REF!</v>
      </c>
      <c r="X21" s="4" t="e">
        <f t="shared" si="8"/>
        <v>#REF!</v>
      </c>
      <c r="Y21" s="62" t="e">
        <f t="shared" si="9"/>
        <v>#REF!</v>
      </c>
      <c r="Z21" s="22"/>
      <c r="AA21" s="22"/>
      <c r="AB21" s="22"/>
      <c r="AC21" s="22"/>
      <c r="AD21" s="19"/>
      <c r="AE21" s="14"/>
      <c r="AF21" s="72"/>
      <c r="AG21" s="49"/>
      <c r="AH21" s="49"/>
      <c r="AI21" s="50"/>
      <c r="AJ21" s="15"/>
      <c r="AK21" s="77" t="e">
        <f>#REF!</f>
        <v>#REF!</v>
      </c>
      <c r="AL21" s="77" t="e">
        <f>#REF!</f>
        <v>#REF!</v>
      </c>
      <c r="AM21" s="77" t="e">
        <f>#REF!</f>
        <v>#REF!</v>
      </c>
      <c r="AN21" s="77" t="e">
        <f>#REF!</f>
        <v>#REF!</v>
      </c>
      <c r="AO21" s="77" t="e">
        <f>#REF!</f>
        <v>#REF!</v>
      </c>
      <c r="AP21" s="77" t="e">
        <f>#REF!</f>
        <v>#REF!</v>
      </c>
      <c r="AQ21" s="77" t="e">
        <f>#REF!</f>
        <v>#REF!</v>
      </c>
      <c r="AR21" s="77" t="e">
        <f>#REF!</f>
        <v>#REF!</v>
      </c>
      <c r="AS21" s="77" t="e">
        <f>#REF!</f>
        <v>#REF!</v>
      </c>
      <c r="AT21" s="77" t="e">
        <f>#REF!</f>
        <v>#REF!</v>
      </c>
      <c r="AU21" s="77" t="e">
        <f>#REF!</f>
        <v>#REF!</v>
      </c>
      <c r="AV21" s="77" t="e">
        <f>#REF!</f>
        <v>#REF!</v>
      </c>
      <c r="AW21" s="77" t="e">
        <f>#REF!</f>
        <v>#REF!</v>
      </c>
      <c r="AX21" s="77" t="e">
        <f>#REF!</f>
        <v>#REF!</v>
      </c>
      <c r="AY21" s="77" t="e">
        <f>#REF!</f>
        <v>#REF!</v>
      </c>
      <c r="AZ21" s="77" t="e">
        <f>#REF!</f>
        <v>#REF!</v>
      </c>
      <c r="BA21" s="77" t="e">
        <f>#REF!</f>
        <v>#REF!</v>
      </c>
      <c r="BB21" s="77" t="e">
        <f>#REF!</f>
        <v>#REF!</v>
      </c>
      <c r="BC21" s="77" t="e">
        <f>#REF!</f>
        <v>#REF!</v>
      </c>
      <c r="BD21" s="77" t="e">
        <f>#REF!</f>
        <v>#REF!</v>
      </c>
      <c r="BE21" s="77" t="e">
        <f>#REF!</f>
        <v>#REF!</v>
      </c>
      <c r="BF21" s="77" t="e">
        <f>#REF!</f>
        <v>#REF!</v>
      </c>
      <c r="BG21" s="77" t="e">
        <f>#REF!</f>
        <v>#REF!</v>
      </c>
      <c r="BH21" s="77" t="e">
        <f>#REF!</f>
        <v>#REF!</v>
      </c>
      <c r="BI21" s="77" t="e">
        <f>#REF!</f>
        <v>#REF!</v>
      </c>
      <c r="BJ21" s="77" t="e">
        <f>#REF!</f>
        <v>#REF!</v>
      </c>
      <c r="BK21" s="77" t="e">
        <f>#REF!</f>
        <v>#REF!</v>
      </c>
      <c r="BL21" s="77" t="e">
        <f>#REF!</f>
        <v>#REF!</v>
      </c>
      <c r="BM21" s="77" t="e">
        <f>#REF!</f>
        <v>#REF!</v>
      </c>
      <c r="BN21" s="77" t="e">
        <f>#REF!</f>
        <v>#REF!</v>
      </c>
      <c r="BO21" s="77" t="e">
        <f>#REF!</f>
        <v>#REF!</v>
      </c>
      <c r="BP21" s="77" t="e">
        <f>#REF!</f>
        <v>#REF!</v>
      </c>
      <c r="BR21" s="123" t="str">
        <f t="shared" si="13"/>
        <v>FAI8(DC)</v>
      </c>
      <c r="BS21" s="120">
        <f>OOC!G21</f>
        <v>0.03</v>
      </c>
      <c r="BT21" s="120" t="str">
        <f>OOC!H21</f>
        <v/>
      </c>
      <c r="BU21" s="2" t="e">
        <f t="shared" si="14"/>
        <v>#REF!</v>
      </c>
      <c r="BV21" s="2" t="e">
        <f t="shared" si="15"/>
        <v>#REF!</v>
      </c>
      <c r="BW21" s="2" t="e">
        <f t="shared" si="16"/>
        <v>#REF!</v>
      </c>
      <c r="BX21" s="121"/>
    </row>
    <row r="22" spans="1:76" ht="15" customHeight="1">
      <c r="A22" s="13"/>
      <c r="B22" s="88"/>
      <c r="C22" s="78"/>
      <c r="D22" s="89"/>
      <c r="E22" s="90"/>
      <c r="F22" s="66"/>
      <c r="G22" s="67"/>
      <c r="H22" s="92"/>
      <c r="I22" s="92"/>
      <c r="J22" s="68"/>
      <c r="K22" s="69"/>
      <c r="L22" s="70"/>
      <c r="M22" s="70"/>
      <c r="N22" s="71"/>
      <c r="O22" s="2"/>
      <c r="P22" s="2"/>
      <c r="Q22" s="2"/>
      <c r="R22" s="3"/>
      <c r="S22" s="4"/>
      <c r="T22" s="84"/>
      <c r="U22" s="85"/>
      <c r="V22" s="4"/>
      <c r="W22" s="4"/>
      <c r="X22" s="4"/>
      <c r="Y22" s="62"/>
      <c r="Z22" s="22"/>
      <c r="AA22" s="22"/>
      <c r="AB22" s="22"/>
      <c r="AC22" s="22"/>
      <c r="AD22" s="19"/>
      <c r="AE22" s="14"/>
      <c r="AF22" s="72"/>
      <c r="AG22" s="49"/>
      <c r="AH22" s="49"/>
      <c r="AI22" s="50"/>
      <c r="AJ22" s="15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77"/>
      <c r="BR22" s="123"/>
      <c r="BS22" s="120"/>
      <c r="BT22" s="120"/>
      <c r="BU22" s="2"/>
      <c r="BV22" s="2"/>
      <c r="BW22" s="2"/>
      <c r="BX22" s="121"/>
    </row>
    <row r="23" spans="1:76" ht="15" customHeight="1">
      <c r="A23" s="13"/>
      <c r="B23" s="88"/>
      <c r="C23" s="78"/>
      <c r="D23" s="89"/>
      <c r="E23" s="90"/>
      <c r="F23" s="66"/>
      <c r="G23" s="67"/>
      <c r="H23" s="92"/>
      <c r="I23" s="92"/>
      <c r="J23" s="68"/>
      <c r="K23" s="69"/>
      <c r="L23" s="70"/>
      <c r="M23" s="70"/>
      <c r="N23" s="71"/>
      <c r="O23" s="2"/>
      <c r="P23" s="2"/>
      <c r="Q23" s="2"/>
      <c r="R23" s="3"/>
      <c r="S23" s="4"/>
      <c r="T23" s="84"/>
      <c r="U23" s="85"/>
      <c r="V23" s="4"/>
      <c r="W23" s="4"/>
      <c r="X23" s="4"/>
      <c r="Y23" s="62"/>
      <c r="Z23" s="22"/>
      <c r="AA23" s="22"/>
      <c r="AB23" s="22"/>
      <c r="AC23" s="22"/>
      <c r="AD23" s="19"/>
      <c r="AE23" s="14"/>
      <c r="AF23" s="72"/>
      <c r="AG23" s="49"/>
      <c r="AH23" s="49"/>
      <c r="AI23" s="50"/>
      <c r="AJ23" s="15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77"/>
      <c r="BR23" s="123"/>
      <c r="BS23" s="120"/>
      <c r="BT23" s="120"/>
      <c r="BU23" s="2"/>
      <c r="BV23" s="2"/>
      <c r="BW23" s="2"/>
      <c r="BX23" s="121"/>
    </row>
    <row r="24" spans="1:76" ht="15" customHeight="1">
      <c r="A24" s="13"/>
      <c r="B24" s="88" t="s">
        <v>113</v>
      </c>
      <c r="C24" s="78" t="s">
        <v>104</v>
      </c>
      <c r="D24" s="89" t="s">
        <v>116</v>
      </c>
      <c r="E24" s="90">
        <v>1.5</v>
      </c>
      <c r="F24" s="66" t="s">
        <v>41</v>
      </c>
      <c r="G24" s="67"/>
      <c r="H24" s="92" t="str">
        <f>IF(OOC!S24=0,"",OOC!S24)</f>
        <v/>
      </c>
      <c r="I24" s="92" t="str">
        <f>IF(OOC!T24=0,"",OOC!T24)</f>
        <v/>
      </c>
      <c r="J24" s="68" t="s">
        <v>12</v>
      </c>
      <c r="K24" s="69" t="s">
        <v>80</v>
      </c>
      <c r="L24" s="70" t="str">
        <f t="shared" si="0"/>
        <v/>
      </c>
      <c r="M24" s="70" t="str">
        <f t="shared" si="1"/>
        <v/>
      </c>
      <c r="N24" s="71"/>
      <c r="O24" s="2" t="e">
        <f t="shared" si="2"/>
        <v>#REF!</v>
      </c>
      <c r="P24" s="2" t="e">
        <f t="shared" si="3"/>
        <v>#REF!</v>
      </c>
      <c r="Q24" s="2" t="e">
        <f t="shared" si="4"/>
        <v>#REF!</v>
      </c>
      <c r="R24" s="3" t="e">
        <f t="shared" si="5"/>
        <v>#REF!</v>
      </c>
      <c r="S24" s="4" t="e">
        <f t="shared" si="10"/>
        <v>#REF!</v>
      </c>
      <c r="T24" s="84" t="e">
        <f t="shared" si="11"/>
        <v>#REF!</v>
      </c>
      <c r="U24" s="85" t="e">
        <f t="shared" si="12"/>
        <v>#REF!</v>
      </c>
      <c r="V24" s="4" t="e">
        <f t="shared" si="6"/>
        <v>#REF!</v>
      </c>
      <c r="W24" s="4" t="e">
        <f t="shared" si="7"/>
        <v>#REF!</v>
      </c>
      <c r="X24" s="4" t="e">
        <f t="shared" si="8"/>
        <v>#REF!</v>
      </c>
      <c r="Y24" s="62" t="e">
        <f t="shared" si="9"/>
        <v>#REF!</v>
      </c>
      <c r="Z24" s="22"/>
      <c r="AA24" s="22"/>
      <c r="AB24" s="22"/>
      <c r="AC24" s="22"/>
      <c r="AD24" s="19"/>
      <c r="AE24" s="14"/>
      <c r="AF24" s="72"/>
      <c r="AG24" s="49"/>
      <c r="AH24" s="49"/>
      <c r="AI24" s="50"/>
      <c r="AJ24" s="15"/>
      <c r="AK24" s="77" t="e">
        <f>#REF!</f>
        <v>#REF!</v>
      </c>
      <c r="AL24" s="77" t="e">
        <f>#REF!</f>
        <v>#REF!</v>
      </c>
      <c r="AM24" s="77" t="e">
        <f>#REF!</f>
        <v>#REF!</v>
      </c>
      <c r="AN24" s="77" t="e">
        <f>#REF!</f>
        <v>#REF!</v>
      </c>
      <c r="AO24" s="77" t="e">
        <f>#REF!</f>
        <v>#REF!</v>
      </c>
      <c r="AP24" s="77" t="e">
        <f>#REF!</f>
        <v>#REF!</v>
      </c>
      <c r="AQ24" s="77" t="e">
        <f>#REF!</f>
        <v>#REF!</v>
      </c>
      <c r="AR24" s="77" t="e">
        <f>#REF!</f>
        <v>#REF!</v>
      </c>
      <c r="AS24" s="77" t="e">
        <f>#REF!</f>
        <v>#REF!</v>
      </c>
      <c r="AT24" s="77" t="e">
        <f>#REF!</f>
        <v>#REF!</v>
      </c>
      <c r="AU24" s="77" t="e">
        <f>#REF!</f>
        <v>#REF!</v>
      </c>
      <c r="AV24" s="77" t="e">
        <f>#REF!</f>
        <v>#REF!</v>
      </c>
      <c r="AW24" s="77" t="e">
        <f>#REF!</f>
        <v>#REF!</v>
      </c>
      <c r="AX24" s="77" t="e">
        <f>#REF!</f>
        <v>#REF!</v>
      </c>
      <c r="AY24" s="77" t="e">
        <f>#REF!</f>
        <v>#REF!</v>
      </c>
      <c r="AZ24" s="77" t="e">
        <f>#REF!</f>
        <v>#REF!</v>
      </c>
      <c r="BA24" s="77" t="e">
        <f>#REF!</f>
        <v>#REF!</v>
      </c>
      <c r="BB24" s="77" t="e">
        <f>#REF!</f>
        <v>#REF!</v>
      </c>
      <c r="BC24" s="77" t="e">
        <f>#REF!</f>
        <v>#REF!</v>
      </c>
      <c r="BD24" s="77" t="e">
        <f>#REF!</f>
        <v>#REF!</v>
      </c>
      <c r="BE24" s="77" t="e">
        <f>#REF!</f>
        <v>#REF!</v>
      </c>
      <c r="BF24" s="77" t="e">
        <f>#REF!</f>
        <v>#REF!</v>
      </c>
      <c r="BG24" s="77" t="e">
        <f>#REF!</f>
        <v>#REF!</v>
      </c>
      <c r="BH24" s="77" t="e">
        <f>#REF!</f>
        <v>#REF!</v>
      </c>
      <c r="BI24" s="77" t="e">
        <f>#REF!</f>
        <v>#REF!</v>
      </c>
      <c r="BJ24" s="77" t="e">
        <f>#REF!</f>
        <v>#REF!</v>
      </c>
      <c r="BK24" s="77" t="e">
        <f>#REF!</f>
        <v>#REF!</v>
      </c>
      <c r="BL24" s="77" t="e">
        <f>#REF!</f>
        <v>#REF!</v>
      </c>
      <c r="BM24" s="77" t="e">
        <f>#REF!</f>
        <v>#REF!</v>
      </c>
      <c r="BN24" s="77" t="e">
        <f>#REF!</f>
        <v>#REF!</v>
      </c>
      <c r="BO24" s="77" t="e">
        <f>#REF!</f>
        <v>#REF!</v>
      </c>
      <c r="BP24" s="77" t="e">
        <f>#REF!</f>
        <v>#REF!</v>
      </c>
      <c r="BR24" s="123" t="str">
        <f t="shared" si="13"/>
        <v>FAI9</v>
      </c>
      <c r="BS24" s="120">
        <f>OOC!G24</f>
        <v>0.03</v>
      </c>
      <c r="BT24" s="120" t="str">
        <f>OOC!H24</f>
        <v/>
      </c>
      <c r="BU24" s="2" t="e">
        <f t="shared" si="14"/>
        <v>#REF!</v>
      </c>
      <c r="BV24" s="2" t="e">
        <f t="shared" si="15"/>
        <v>#REF!</v>
      </c>
      <c r="BW24" s="2" t="e">
        <f t="shared" si="16"/>
        <v>#REF!</v>
      </c>
      <c r="BX24" s="121" t="e">
        <f>IF(AND(IF(OOC!G24="",0,OOC!G24) &gt;= IF(O24="",0,O24), IF(O24="",0,O24) &gt; IF(L24="",0,L24)), "OOC",
IF(AND(IF(M24="",0,M24) &gt; IF(P24="",0,P24), IF(P24="",0,P24) &gt;= IF(OOC!H24="",0,OOC!H24)), "OOC",
IF(IF(O24="",0,O24) &gt; IF(OOC!G24="",0,OOC!G24), "OOS",
IF(IF(OOC!H24="",0,OOC!H24) &gt; IF(P24="",0,P24), "OOS", "OK"))))</f>
        <v>#REF!</v>
      </c>
    </row>
    <row r="25" spans="1:76" ht="15" customHeight="1">
      <c r="A25" s="13"/>
      <c r="B25" s="88" t="s">
        <v>150</v>
      </c>
      <c r="C25" s="78" t="s">
        <v>105</v>
      </c>
      <c r="D25" s="89" t="s">
        <v>117</v>
      </c>
      <c r="E25" s="90">
        <v>1.33</v>
      </c>
      <c r="F25" s="66" t="s">
        <v>44</v>
      </c>
      <c r="G25" s="91">
        <v>1.0900000000000001</v>
      </c>
      <c r="H25" s="92" t="str">
        <f>IF(OOC!S25=0,"",OOC!S25)</f>
        <v/>
      </c>
      <c r="I25" s="92" t="str">
        <f>IF(OOC!T25=0,"",OOC!T25)</f>
        <v/>
      </c>
      <c r="J25" s="68" t="s">
        <v>12</v>
      </c>
      <c r="K25" s="69" t="s">
        <v>80</v>
      </c>
      <c r="L25" s="70" t="e">
        <f t="shared" si="0"/>
        <v>#VALUE!</v>
      </c>
      <c r="M25" s="70" t="e">
        <f t="shared" si="1"/>
        <v>#VALUE!</v>
      </c>
      <c r="N25" s="71"/>
      <c r="O25" s="2" t="e">
        <f t="shared" si="2"/>
        <v>#REF!</v>
      </c>
      <c r="P25" s="2" t="e">
        <f t="shared" si="3"/>
        <v>#REF!</v>
      </c>
      <c r="Q25" s="2" t="e">
        <f t="shared" si="4"/>
        <v>#REF!</v>
      </c>
      <c r="R25" s="3" t="e">
        <f t="shared" si="5"/>
        <v>#REF!</v>
      </c>
      <c r="S25" s="4" t="e">
        <f t="shared" si="10"/>
        <v>#REF!</v>
      </c>
      <c r="T25" s="84" t="e">
        <f t="shared" si="11"/>
        <v>#REF!</v>
      </c>
      <c r="U25" s="85" t="e">
        <f t="shared" si="12"/>
        <v>#REF!</v>
      </c>
      <c r="V25" s="4" t="e">
        <f t="shared" si="6"/>
        <v>#REF!</v>
      </c>
      <c r="W25" s="4" t="e">
        <f t="shared" si="7"/>
        <v>#REF!</v>
      </c>
      <c r="X25" s="4" t="e">
        <f t="shared" si="8"/>
        <v>#REF!</v>
      </c>
      <c r="Y25" s="62" t="e">
        <f t="shared" si="9"/>
        <v>#REF!</v>
      </c>
      <c r="Z25" s="22"/>
      <c r="AA25" s="22"/>
      <c r="AB25" s="22"/>
      <c r="AC25" s="22"/>
      <c r="AD25" s="19"/>
      <c r="AE25" s="14"/>
      <c r="AF25" s="72"/>
      <c r="AG25" s="49"/>
      <c r="AH25" s="49"/>
      <c r="AI25" s="50"/>
      <c r="AJ25" s="15"/>
      <c r="AK25" s="77" t="e">
        <f>#REF!</f>
        <v>#REF!</v>
      </c>
      <c r="AL25" s="77" t="e">
        <f>#REF!</f>
        <v>#REF!</v>
      </c>
      <c r="AM25" s="77" t="e">
        <f>#REF!</f>
        <v>#REF!</v>
      </c>
      <c r="AN25" s="77" t="e">
        <f>#REF!</f>
        <v>#REF!</v>
      </c>
      <c r="AO25" s="77" t="e">
        <f>#REF!</f>
        <v>#REF!</v>
      </c>
      <c r="AP25" s="77" t="e">
        <f>#REF!</f>
        <v>#REF!</v>
      </c>
      <c r="AQ25" s="77" t="e">
        <f>#REF!</f>
        <v>#REF!</v>
      </c>
      <c r="AR25" s="77" t="e">
        <f>#REF!</f>
        <v>#REF!</v>
      </c>
      <c r="AS25" s="77" t="e">
        <f>#REF!</f>
        <v>#REF!</v>
      </c>
      <c r="AT25" s="77" t="e">
        <f>#REF!</f>
        <v>#REF!</v>
      </c>
      <c r="AU25" s="77" t="e">
        <f>#REF!</f>
        <v>#REF!</v>
      </c>
      <c r="AV25" s="77" t="e">
        <f>#REF!</f>
        <v>#REF!</v>
      </c>
      <c r="AW25" s="77" t="e">
        <f>#REF!</f>
        <v>#REF!</v>
      </c>
      <c r="AX25" s="77" t="e">
        <f>#REF!</f>
        <v>#REF!</v>
      </c>
      <c r="AY25" s="77" t="e">
        <f>#REF!</f>
        <v>#REF!</v>
      </c>
      <c r="AZ25" s="77" t="e">
        <f>#REF!</f>
        <v>#REF!</v>
      </c>
      <c r="BA25" s="77" t="e">
        <f>#REF!</f>
        <v>#REF!</v>
      </c>
      <c r="BB25" s="77" t="e">
        <f>#REF!</f>
        <v>#REF!</v>
      </c>
      <c r="BC25" s="77" t="e">
        <f>#REF!</f>
        <v>#REF!</v>
      </c>
      <c r="BD25" s="77" t="e">
        <f>#REF!</f>
        <v>#REF!</v>
      </c>
      <c r="BE25" s="77" t="e">
        <f>#REF!</f>
        <v>#REF!</v>
      </c>
      <c r="BF25" s="77" t="e">
        <f>#REF!</f>
        <v>#REF!</v>
      </c>
      <c r="BG25" s="77" t="e">
        <f>#REF!</f>
        <v>#REF!</v>
      </c>
      <c r="BH25" s="77" t="e">
        <f>#REF!</f>
        <v>#REF!</v>
      </c>
      <c r="BI25" s="77" t="e">
        <f>#REF!</f>
        <v>#REF!</v>
      </c>
      <c r="BJ25" s="77" t="e">
        <f>#REF!</f>
        <v>#REF!</v>
      </c>
      <c r="BK25" s="77" t="e">
        <f>#REF!</f>
        <v>#REF!</v>
      </c>
      <c r="BL25" s="77" t="e">
        <f>#REF!</f>
        <v>#REF!</v>
      </c>
      <c r="BM25" s="77" t="e">
        <f>#REF!</f>
        <v>#REF!</v>
      </c>
      <c r="BN25" s="77" t="e">
        <f>#REF!</f>
        <v>#REF!</v>
      </c>
      <c r="BO25" s="77" t="e">
        <f>#REF!</f>
        <v>#REF!</v>
      </c>
      <c r="BP25" s="77" t="e">
        <f>#REF!</f>
        <v>#REF!</v>
      </c>
      <c r="BR25" s="123" t="str">
        <f t="shared" si="13"/>
        <v>FAI10-1</v>
      </c>
      <c r="BS25" s="120">
        <f>OOC!G25</f>
        <v>1.105</v>
      </c>
      <c r="BT25" s="120">
        <f>OOC!H25</f>
        <v>1.08</v>
      </c>
      <c r="BU25" s="2" t="e">
        <f t="shared" si="14"/>
        <v>#REF!</v>
      </c>
      <c r="BV25" s="2" t="e">
        <f t="shared" si="15"/>
        <v>#REF!</v>
      </c>
      <c r="BW25" s="2" t="e">
        <f t="shared" si="16"/>
        <v>#REF!</v>
      </c>
      <c r="BX25" s="121" t="e">
        <f>IF(AND(IF(OOC!G25="",0,OOC!G25) &gt;= IF(O25="",0,O25), IF(O25="",0,O25) &gt; IF(L25="",0,L25)), "OOC",
IF(AND(IF(M25="",0,M25) &gt; IF(P25="",0,P25), IF(P25="",0,P25) &gt;= IF(OOC!H25="",0,OOC!H25)), "OOC",
IF(IF(O25="",0,O25) &gt; IF(OOC!G25="",0,OOC!G25), "OOS",
IF(IF(OOC!H25="",0,OOC!H25) &gt; IF(P25="",0,P25), "OOS", "OK"))))</f>
        <v>#REF!</v>
      </c>
    </row>
    <row r="26" spans="1:76" ht="15" customHeight="1">
      <c r="A26" s="13"/>
      <c r="B26" s="88"/>
      <c r="C26" s="78"/>
      <c r="D26" s="89"/>
      <c r="E26" s="90"/>
      <c r="F26" s="66"/>
      <c r="G26" s="91"/>
      <c r="H26" s="92"/>
      <c r="I26" s="92"/>
      <c r="J26" s="68"/>
      <c r="K26" s="69"/>
      <c r="L26" s="70"/>
      <c r="M26" s="70"/>
      <c r="N26" s="71"/>
      <c r="O26" s="2"/>
      <c r="P26" s="2"/>
      <c r="Q26" s="2"/>
      <c r="R26" s="3"/>
      <c r="S26" s="4"/>
      <c r="T26" s="84"/>
      <c r="U26" s="85"/>
      <c r="V26" s="4"/>
      <c r="W26" s="4"/>
      <c r="X26" s="4"/>
      <c r="Y26" s="62"/>
      <c r="Z26" s="22"/>
      <c r="AA26" s="22"/>
      <c r="AB26" s="22"/>
      <c r="AC26" s="22"/>
      <c r="AD26" s="19"/>
      <c r="AE26" s="14"/>
      <c r="AF26" s="72"/>
      <c r="AG26" s="49"/>
      <c r="AH26" s="49"/>
      <c r="AI26" s="50"/>
      <c r="AJ26" s="15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77"/>
      <c r="BR26" s="123"/>
      <c r="BS26" s="120"/>
      <c r="BT26" s="120"/>
      <c r="BU26" s="2"/>
      <c r="BV26" s="2"/>
      <c r="BW26" s="2"/>
      <c r="BX26" s="121"/>
    </row>
    <row r="27" spans="1:76" ht="15" customHeight="1">
      <c r="A27" s="13"/>
      <c r="B27" s="88"/>
      <c r="C27" s="78"/>
      <c r="D27" s="89"/>
      <c r="E27" s="90"/>
      <c r="F27" s="66"/>
      <c r="G27" s="91"/>
      <c r="H27" s="92"/>
      <c r="I27" s="92"/>
      <c r="J27" s="68"/>
      <c r="K27" s="69"/>
      <c r="L27" s="70"/>
      <c r="M27" s="70"/>
      <c r="N27" s="71"/>
      <c r="O27" s="2"/>
      <c r="P27" s="2"/>
      <c r="Q27" s="2"/>
      <c r="R27" s="3"/>
      <c r="S27" s="4"/>
      <c r="T27" s="84"/>
      <c r="U27" s="85"/>
      <c r="V27" s="4"/>
      <c r="W27" s="4"/>
      <c r="X27" s="4"/>
      <c r="Y27" s="62"/>
      <c r="Z27" s="22"/>
      <c r="AA27" s="22"/>
      <c r="AB27" s="22"/>
      <c r="AC27" s="22"/>
      <c r="AD27" s="19"/>
      <c r="AE27" s="14"/>
      <c r="AF27" s="72"/>
      <c r="AG27" s="49"/>
      <c r="AH27" s="49"/>
      <c r="AI27" s="50"/>
      <c r="AJ27" s="15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77"/>
      <c r="BR27" s="123"/>
      <c r="BS27" s="120"/>
      <c r="BT27" s="120"/>
      <c r="BU27" s="2"/>
      <c r="BV27" s="2"/>
      <c r="BW27" s="2"/>
      <c r="BX27" s="121"/>
    </row>
    <row r="28" spans="1:76" ht="15" customHeight="1">
      <c r="A28" s="13">
        <v>4</v>
      </c>
      <c r="B28" s="88" t="s">
        <v>150</v>
      </c>
      <c r="C28" s="78" t="s">
        <v>106</v>
      </c>
      <c r="D28" s="89" t="s">
        <v>117</v>
      </c>
      <c r="E28" s="90">
        <v>1.33</v>
      </c>
      <c r="F28" s="66" t="s">
        <v>44</v>
      </c>
      <c r="G28" s="91">
        <v>1.0900000000000001</v>
      </c>
      <c r="H28" s="92" t="str">
        <f>IF(OOC!S28=0,"",OOC!S28)</f>
        <v/>
      </c>
      <c r="I28" s="92" t="str">
        <f>IF(OOC!T28=0,"",OOC!T28)</f>
        <v/>
      </c>
      <c r="J28" s="68" t="s">
        <v>12</v>
      </c>
      <c r="K28" s="69" t="s">
        <v>80</v>
      </c>
      <c r="L28" s="70" t="e">
        <f t="shared" si="0"/>
        <v>#VALUE!</v>
      </c>
      <c r="M28" s="70" t="e">
        <f t="shared" si="1"/>
        <v>#VALUE!</v>
      </c>
      <c r="N28" s="71"/>
      <c r="O28" s="2" t="e">
        <f t="shared" si="2"/>
        <v>#REF!</v>
      </c>
      <c r="P28" s="2" t="e">
        <f t="shared" si="3"/>
        <v>#REF!</v>
      </c>
      <c r="Q28" s="2" t="e">
        <f t="shared" si="4"/>
        <v>#REF!</v>
      </c>
      <c r="R28" s="3" t="e">
        <f t="shared" si="5"/>
        <v>#REF!</v>
      </c>
      <c r="S28" s="4" t="e">
        <f t="shared" si="10"/>
        <v>#REF!</v>
      </c>
      <c r="T28" s="84" t="e">
        <f t="shared" si="11"/>
        <v>#REF!</v>
      </c>
      <c r="U28" s="85" t="e">
        <f t="shared" si="12"/>
        <v>#REF!</v>
      </c>
      <c r="V28" s="4" t="e">
        <f t="shared" si="6"/>
        <v>#REF!</v>
      </c>
      <c r="W28" s="4" t="e">
        <f t="shared" si="7"/>
        <v>#REF!</v>
      </c>
      <c r="X28" s="4" t="e">
        <f t="shared" si="8"/>
        <v>#REF!</v>
      </c>
      <c r="Y28" s="62" t="e">
        <f t="shared" si="9"/>
        <v>#REF!</v>
      </c>
      <c r="Z28" s="22" t="e">
        <f>IF($Q28="","",IF(F28="Tolerance",IF(($E28*3*R28+Q28)-G28&lt;H28,"",($E28*3*R28+Q28)-G28),IF(OR(F28="GD&amp;T",F28="MAX"),IF(($E28*3*R28+Q28)&lt;H28,"",($E28*3*R28+Q28)),"")))</f>
        <v>#REF!</v>
      </c>
      <c r="AA28" s="22" t="e">
        <f>IF(Q28="","",IF(F28="Tolerance",IF(-(($E28*3*R28)-Q28)-G28&gt;I28,"",-(($E28*3*R28)-Q28)-G28),IF(F28="MIN",IF(-(($E28*3*R28)-Q28)&gt;I28,"",-(($E28*3*R28)-Q28)),"")))</f>
        <v>#REF!</v>
      </c>
      <c r="AB28" s="22" t="e">
        <f>IF(OR(G28="",Q28=""),"",(L28+M28)/2-Q28)</f>
        <v>#REF!</v>
      </c>
      <c r="AC28" s="22" t="e">
        <f>IF(OR($S28&gt;$AC$9,$R28=""),"",$AC$9*6*$R28)</f>
        <v>#REF!</v>
      </c>
      <c r="AD28" s="19"/>
      <c r="AE28" s="14"/>
      <c r="AF28" s="72"/>
      <c r="AG28" s="49"/>
      <c r="AH28" s="49"/>
      <c r="AI28" s="50"/>
      <c r="AJ28" s="15"/>
      <c r="AK28" s="77" t="e">
        <f>#REF!</f>
        <v>#REF!</v>
      </c>
      <c r="AL28" s="77" t="e">
        <f>#REF!</f>
        <v>#REF!</v>
      </c>
      <c r="AM28" s="77" t="e">
        <f>#REF!</f>
        <v>#REF!</v>
      </c>
      <c r="AN28" s="77" t="e">
        <f>#REF!</f>
        <v>#REF!</v>
      </c>
      <c r="AO28" s="77" t="e">
        <f>#REF!</f>
        <v>#REF!</v>
      </c>
      <c r="AP28" s="77" t="e">
        <f>#REF!</f>
        <v>#REF!</v>
      </c>
      <c r="AQ28" s="77" t="e">
        <f>#REF!</f>
        <v>#REF!</v>
      </c>
      <c r="AR28" s="77" t="e">
        <f>#REF!</f>
        <v>#REF!</v>
      </c>
      <c r="AS28" s="77" t="e">
        <f>#REF!</f>
        <v>#REF!</v>
      </c>
      <c r="AT28" s="77" t="e">
        <f>#REF!</f>
        <v>#REF!</v>
      </c>
      <c r="AU28" s="77" t="e">
        <f>#REF!</f>
        <v>#REF!</v>
      </c>
      <c r="AV28" s="77" t="e">
        <f>#REF!</f>
        <v>#REF!</v>
      </c>
      <c r="AW28" s="77" t="e">
        <f>#REF!</f>
        <v>#REF!</v>
      </c>
      <c r="AX28" s="77" t="e">
        <f>#REF!</f>
        <v>#REF!</v>
      </c>
      <c r="AY28" s="77" t="e">
        <f>#REF!</f>
        <v>#REF!</v>
      </c>
      <c r="AZ28" s="77" t="e">
        <f>#REF!</f>
        <v>#REF!</v>
      </c>
      <c r="BA28" s="77" t="e">
        <f>#REF!</f>
        <v>#REF!</v>
      </c>
      <c r="BB28" s="77" t="e">
        <f>#REF!</f>
        <v>#REF!</v>
      </c>
      <c r="BC28" s="77" t="e">
        <f>#REF!</f>
        <v>#REF!</v>
      </c>
      <c r="BD28" s="77" t="e">
        <f>#REF!</f>
        <v>#REF!</v>
      </c>
      <c r="BE28" s="77" t="e">
        <f>#REF!</f>
        <v>#REF!</v>
      </c>
      <c r="BF28" s="77" t="e">
        <f>#REF!</f>
        <v>#REF!</v>
      </c>
      <c r="BG28" s="77" t="e">
        <f>#REF!</f>
        <v>#REF!</v>
      </c>
      <c r="BH28" s="77" t="e">
        <f>#REF!</f>
        <v>#REF!</v>
      </c>
      <c r="BI28" s="77" t="e">
        <f>#REF!</f>
        <v>#REF!</v>
      </c>
      <c r="BJ28" s="77" t="e">
        <f>#REF!</f>
        <v>#REF!</v>
      </c>
      <c r="BK28" s="77" t="e">
        <f>#REF!</f>
        <v>#REF!</v>
      </c>
      <c r="BL28" s="77" t="e">
        <f>#REF!</f>
        <v>#REF!</v>
      </c>
      <c r="BM28" s="77" t="e">
        <f>#REF!</f>
        <v>#REF!</v>
      </c>
      <c r="BN28" s="77" t="e">
        <f>#REF!</f>
        <v>#REF!</v>
      </c>
      <c r="BO28" s="77" t="e">
        <f>#REF!</f>
        <v>#REF!</v>
      </c>
      <c r="BP28" s="77" t="e">
        <f>#REF!</f>
        <v>#REF!</v>
      </c>
      <c r="BR28" s="123" t="str">
        <f t="shared" si="13"/>
        <v>FAI10-2</v>
      </c>
      <c r="BS28" s="120">
        <f>OOC!G28</f>
        <v>1.105</v>
      </c>
      <c r="BT28" s="120">
        <f>OOC!H28</f>
        <v>1.08</v>
      </c>
      <c r="BU28" s="2" t="e">
        <f t="shared" si="14"/>
        <v>#REF!</v>
      </c>
      <c r="BV28" s="2" t="e">
        <f t="shared" si="15"/>
        <v>#REF!</v>
      </c>
      <c r="BW28" s="2" t="e">
        <f t="shared" si="16"/>
        <v>#REF!</v>
      </c>
      <c r="BX28" s="121" t="e">
        <f>IF(AND(IF(OOC!G28="",0,OOC!G28) &gt;= IF(O28="",0,O28), IF(O28="",0,O28) &gt; IF(L28="",0,L28)), "OOC",
IF(AND(IF(M28="",0,M28) &gt; IF(P28="",0,P28), IF(P28="",0,P28) &gt;= IF(OOC!H28="",0,OOC!H28)), "OOC",
IF(IF(O28="",0,O28) &gt; IF(OOC!G28="",0,OOC!G28), "OOS",
IF(IF(OOC!H28="",0,OOC!H28) &gt; IF(P28="",0,P28), "OOS", "OK"))))</f>
        <v>#REF!</v>
      </c>
    </row>
    <row r="29" spans="1:76" ht="15" customHeight="1">
      <c r="A29" s="13"/>
      <c r="B29" s="88"/>
      <c r="C29" s="78"/>
      <c r="D29" s="89"/>
      <c r="E29" s="90"/>
      <c r="F29" s="66"/>
      <c r="G29" s="91"/>
      <c r="H29" s="92"/>
      <c r="I29" s="92"/>
      <c r="J29" s="68"/>
      <c r="K29" s="69"/>
      <c r="L29" s="70"/>
      <c r="M29" s="70"/>
      <c r="N29" s="71"/>
      <c r="O29" s="2"/>
      <c r="P29" s="2"/>
      <c r="Q29" s="2"/>
      <c r="R29" s="3"/>
      <c r="S29" s="4"/>
      <c r="T29" s="84"/>
      <c r="U29" s="85"/>
      <c r="V29" s="4"/>
      <c r="W29" s="4"/>
      <c r="X29" s="4"/>
      <c r="Y29" s="62"/>
      <c r="Z29" s="22"/>
      <c r="AA29" s="22"/>
      <c r="AB29" s="22"/>
      <c r="AC29" s="22"/>
      <c r="AD29" s="19"/>
      <c r="AE29" s="14"/>
      <c r="AF29" s="72"/>
      <c r="AG29" s="49"/>
      <c r="AH29" s="49"/>
      <c r="AI29" s="50"/>
      <c r="AJ29" s="15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77"/>
      <c r="BR29" s="123"/>
      <c r="BS29" s="120"/>
      <c r="BT29" s="120"/>
      <c r="BU29" s="2"/>
      <c r="BV29" s="2"/>
      <c r="BW29" s="2"/>
      <c r="BX29" s="121"/>
    </row>
    <row r="30" spans="1:76" ht="15" customHeight="1">
      <c r="A30" s="13"/>
      <c r="B30" s="88"/>
      <c r="C30" s="78"/>
      <c r="D30" s="89"/>
      <c r="E30" s="90"/>
      <c r="F30" s="66"/>
      <c r="G30" s="91"/>
      <c r="H30" s="92"/>
      <c r="I30" s="92"/>
      <c r="J30" s="68"/>
      <c r="K30" s="69"/>
      <c r="L30" s="70"/>
      <c r="M30" s="70"/>
      <c r="N30" s="71"/>
      <c r="O30" s="2"/>
      <c r="P30" s="2"/>
      <c r="Q30" s="2"/>
      <c r="R30" s="3"/>
      <c r="S30" s="4"/>
      <c r="T30" s="84"/>
      <c r="U30" s="85"/>
      <c r="V30" s="4"/>
      <c r="W30" s="4"/>
      <c r="X30" s="4"/>
      <c r="Y30" s="62"/>
      <c r="Z30" s="22"/>
      <c r="AA30" s="22"/>
      <c r="AB30" s="22"/>
      <c r="AC30" s="22"/>
      <c r="AD30" s="19"/>
      <c r="AE30" s="14"/>
      <c r="AF30" s="72"/>
      <c r="AG30" s="49"/>
      <c r="AH30" s="49"/>
      <c r="AI30" s="50"/>
      <c r="AJ30" s="15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77"/>
      <c r="BR30" s="123"/>
      <c r="BS30" s="120"/>
      <c r="BT30" s="120"/>
      <c r="BU30" s="2"/>
      <c r="BV30" s="2"/>
      <c r="BW30" s="2"/>
      <c r="BX30" s="121"/>
    </row>
    <row r="31" spans="1:76" ht="15" customHeight="1">
      <c r="A31" s="13">
        <v>5</v>
      </c>
      <c r="B31" s="88" t="s">
        <v>150</v>
      </c>
      <c r="C31" s="78" t="s">
        <v>107</v>
      </c>
      <c r="D31" s="89" t="s">
        <v>117</v>
      </c>
      <c r="E31" s="90">
        <v>1.33</v>
      </c>
      <c r="F31" s="66" t="s">
        <v>44</v>
      </c>
      <c r="G31" s="91">
        <v>1.0900000000000001</v>
      </c>
      <c r="H31" s="92" t="str">
        <f>IF(OOC!S31=0,"",OOC!S31)</f>
        <v/>
      </c>
      <c r="I31" s="92" t="str">
        <f>IF(OOC!T31=0,"",OOC!T31)</f>
        <v/>
      </c>
      <c r="J31" s="68" t="s">
        <v>12</v>
      </c>
      <c r="K31" s="69" t="s">
        <v>80</v>
      </c>
      <c r="L31" s="70" t="e">
        <f t="shared" si="0"/>
        <v>#VALUE!</v>
      </c>
      <c r="M31" s="70" t="e">
        <f t="shared" si="1"/>
        <v>#VALUE!</v>
      </c>
      <c r="N31" s="71"/>
      <c r="O31" s="2" t="e">
        <f t="shared" si="2"/>
        <v>#REF!</v>
      </c>
      <c r="P31" s="2" t="e">
        <f t="shared" si="3"/>
        <v>#REF!</v>
      </c>
      <c r="Q31" s="2" t="e">
        <f t="shared" si="4"/>
        <v>#REF!</v>
      </c>
      <c r="R31" s="3" t="e">
        <f t="shared" si="5"/>
        <v>#REF!</v>
      </c>
      <c r="S31" s="4" t="e">
        <f t="shared" si="10"/>
        <v>#REF!</v>
      </c>
      <c r="T31" s="84" t="e">
        <f t="shared" si="11"/>
        <v>#REF!</v>
      </c>
      <c r="U31" s="85" t="e">
        <f t="shared" si="12"/>
        <v>#REF!</v>
      </c>
      <c r="V31" s="4" t="e">
        <f t="shared" si="6"/>
        <v>#REF!</v>
      </c>
      <c r="W31" s="4" t="e">
        <f t="shared" si="7"/>
        <v>#REF!</v>
      </c>
      <c r="X31" s="4" t="e">
        <f t="shared" si="8"/>
        <v>#REF!</v>
      </c>
      <c r="Y31" s="62" t="e">
        <f t="shared" si="9"/>
        <v>#REF!</v>
      </c>
      <c r="Z31" s="22" t="e">
        <f>IF($Q31="","",IF(F31="Tolerance",IF(($E31*3*R31+Q31)-G31&lt;H31,"",($E31*3*R31+Q31)-G31),IF(OR(F31="GD&amp;T",F31="MAX"),IF(($E31*3*R31+Q31)&lt;H31,"",($E31*3*R31+Q31)),"")))</f>
        <v>#REF!</v>
      </c>
      <c r="AA31" s="22" t="e">
        <f>IF(Q31="","",IF(F31="Tolerance",IF(-(($E31*3*R31)-Q31)-G31&gt;I31,"",-(($E31*3*R31)-Q31)-G31),IF(F31="MIN",IF(-(($E31*3*R31)-Q31)&gt;I31,"",-(($E31*3*R31)-Q31)),"")))</f>
        <v>#REF!</v>
      </c>
      <c r="AB31" s="22" t="e">
        <f>IF(OR(G31="",Q31=""),"",(L31+M31)/2-Q31)</f>
        <v>#REF!</v>
      </c>
      <c r="AC31" s="22" t="e">
        <f>IF(OR($S31&gt;$AC$9,$R31=""),"",$AC$9*6*$R31)</f>
        <v>#REF!</v>
      </c>
      <c r="AD31" s="19"/>
      <c r="AE31" s="14"/>
      <c r="AF31" s="72"/>
      <c r="AG31" s="49"/>
      <c r="AH31" s="49"/>
      <c r="AI31" s="50"/>
      <c r="AJ31" s="15"/>
      <c r="AK31" s="77" t="e">
        <f>#REF!</f>
        <v>#REF!</v>
      </c>
      <c r="AL31" s="77" t="e">
        <f>#REF!</f>
        <v>#REF!</v>
      </c>
      <c r="AM31" s="77" t="e">
        <f>#REF!</f>
        <v>#REF!</v>
      </c>
      <c r="AN31" s="77" t="e">
        <f>#REF!</f>
        <v>#REF!</v>
      </c>
      <c r="AO31" s="77" t="e">
        <f>#REF!</f>
        <v>#REF!</v>
      </c>
      <c r="AP31" s="77" t="e">
        <f>#REF!</f>
        <v>#REF!</v>
      </c>
      <c r="AQ31" s="77" t="e">
        <f>#REF!</f>
        <v>#REF!</v>
      </c>
      <c r="AR31" s="77" t="e">
        <f>#REF!</f>
        <v>#REF!</v>
      </c>
      <c r="AS31" s="77" t="e">
        <f>#REF!</f>
        <v>#REF!</v>
      </c>
      <c r="AT31" s="77" t="e">
        <f>#REF!</f>
        <v>#REF!</v>
      </c>
      <c r="AU31" s="77" t="e">
        <f>#REF!</f>
        <v>#REF!</v>
      </c>
      <c r="AV31" s="77" t="e">
        <f>#REF!</f>
        <v>#REF!</v>
      </c>
      <c r="AW31" s="77" t="e">
        <f>#REF!</f>
        <v>#REF!</v>
      </c>
      <c r="AX31" s="77" t="e">
        <f>#REF!</f>
        <v>#REF!</v>
      </c>
      <c r="AY31" s="77" t="e">
        <f>#REF!</f>
        <v>#REF!</v>
      </c>
      <c r="AZ31" s="77" t="e">
        <f>#REF!</f>
        <v>#REF!</v>
      </c>
      <c r="BA31" s="77" t="e">
        <f>#REF!</f>
        <v>#REF!</v>
      </c>
      <c r="BB31" s="77" t="e">
        <f>#REF!</f>
        <v>#REF!</v>
      </c>
      <c r="BC31" s="77" t="e">
        <f>#REF!</f>
        <v>#REF!</v>
      </c>
      <c r="BD31" s="77" t="e">
        <f>#REF!</f>
        <v>#REF!</v>
      </c>
      <c r="BE31" s="77" t="e">
        <f>#REF!</f>
        <v>#REF!</v>
      </c>
      <c r="BF31" s="77" t="e">
        <f>#REF!</f>
        <v>#REF!</v>
      </c>
      <c r="BG31" s="77" t="e">
        <f>#REF!</f>
        <v>#REF!</v>
      </c>
      <c r="BH31" s="77" t="e">
        <f>#REF!</f>
        <v>#REF!</v>
      </c>
      <c r="BI31" s="77" t="e">
        <f>#REF!</f>
        <v>#REF!</v>
      </c>
      <c r="BJ31" s="77" t="e">
        <f>#REF!</f>
        <v>#REF!</v>
      </c>
      <c r="BK31" s="77" t="e">
        <f>#REF!</f>
        <v>#REF!</v>
      </c>
      <c r="BL31" s="77" t="e">
        <f>#REF!</f>
        <v>#REF!</v>
      </c>
      <c r="BM31" s="77" t="e">
        <f>#REF!</f>
        <v>#REF!</v>
      </c>
      <c r="BN31" s="77" t="e">
        <f>#REF!</f>
        <v>#REF!</v>
      </c>
      <c r="BO31" s="77" t="e">
        <f>#REF!</f>
        <v>#REF!</v>
      </c>
      <c r="BP31" s="77" t="e">
        <f>#REF!</f>
        <v>#REF!</v>
      </c>
      <c r="BR31" s="123" t="str">
        <f t="shared" si="13"/>
        <v>FAI10-3</v>
      </c>
      <c r="BS31" s="120">
        <f>OOC!G31</f>
        <v>1.105</v>
      </c>
      <c r="BT31" s="120">
        <f>OOC!H31</f>
        <v>1.08</v>
      </c>
      <c r="BU31" s="2" t="e">
        <f t="shared" si="14"/>
        <v>#REF!</v>
      </c>
      <c r="BV31" s="2" t="e">
        <f t="shared" si="15"/>
        <v>#REF!</v>
      </c>
      <c r="BW31" s="2" t="e">
        <f t="shared" si="16"/>
        <v>#REF!</v>
      </c>
      <c r="BX31" s="121" t="e">
        <f>IF(AND(IF(OOC!G31="",0,OOC!G31) &gt;= IF(O31="",0,O31), IF(O31="",0,O31) &gt; IF(L31="",0,L31)), "OOC",
IF(AND(IF(M31="",0,M31) &gt; IF(P31="",0,P31), IF(P31="",0,P31) &gt;= IF(OOC!H31="",0,OOC!H31)), "OOC",
IF(IF(O31="",0,O31) &gt; IF(OOC!G31="",0,OOC!G31), "OOS",
IF(IF(OOC!H31="",0,OOC!H31) &gt; IF(P31="",0,P31), "OOS", "OK"))))</f>
        <v>#REF!</v>
      </c>
    </row>
    <row r="32" spans="1:76" ht="15" customHeight="1">
      <c r="A32" s="13">
        <v>1</v>
      </c>
      <c r="B32" s="88"/>
      <c r="C32" s="78"/>
      <c r="D32" s="89"/>
      <c r="E32" s="90"/>
      <c r="F32" s="66"/>
      <c r="G32" s="91"/>
      <c r="H32" s="92"/>
      <c r="I32" s="92"/>
      <c r="J32" s="68"/>
      <c r="K32" s="69"/>
      <c r="L32" s="70"/>
      <c r="M32" s="70"/>
      <c r="N32" s="71"/>
      <c r="O32" s="2"/>
      <c r="P32" s="2"/>
      <c r="Q32" s="2"/>
      <c r="R32" s="3"/>
      <c r="S32" s="4"/>
      <c r="T32" s="84"/>
      <c r="U32" s="85"/>
      <c r="V32" s="4"/>
      <c r="W32" s="4"/>
      <c r="X32" s="4"/>
      <c r="Y32" s="62"/>
      <c r="Z32" s="22"/>
      <c r="AA32" s="22"/>
      <c r="AB32" s="22"/>
      <c r="AC32" s="22"/>
      <c r="AD32" s="19"/>
      <c r="AE32" s="14"/>
      <c r="AF32" s="72"/>
      <c r="AG32" s="49"/>
      <c r="AH32" s="49"/>
      <c r="AI32" s="50"/>
      <c r="AJ32" s="15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7"/>
      <c r="BO32" s="77"/>
      <c r="BP32" s="77"/>
      <c r="BR32" s="123"/>
      <c r="BS32" s="120"/>
      <c r="BT32" s="120"/>
      <c r="BU32" s="2"/>
      <c r="BV32" s="2"/>
      <c r="BW32" s="2"/>
      <c r="BX32" s="121"/>
    </row>
    <row r="33" spans="1:76" ht="15" customHeight="1">
      <c r="A33" s="13">
        <v>2</v>
      </c>
      <c r="B33" s="88"/>
      <c r="C33" s="78"/>
      <c r="D33" s="89"/>
      <c r="E33" s="90"/>
      <c r="F33" s="66"/>
      <c r="G33" s="91"/>
      <c r="H33" s="92"/>
      <c r="I33" s="92"/>
      <c r="J33" s="68"/>
      <c r="K33" s="69"/>
      <c r="L33" s="70"/>
      <c r="M33" s="70"/>
      <c r="N33" s="71"/>
      <c r="O33" s="2"/>
      <c r="P33" s="2"/>
      <c r="Q33" s="2"/>
      <c r="R33" s="3"/>
      <c r="S33" s="4"/>
      <c r="T33" s="84"/>
      <c r="U33" s="85"/>
      <c r="V33" s="4"/>
      <c r="W33" s="4"/>
      <c r="X33" s="4"/>
      <c r="Y33" s="62"/>
      <c r="Z33" s="22"/>
      <c r="AA33" s="22"/>
      <c r="AB33" s="22"/>
      <c r="AC33" s="22"/>
      <c r="AD33" s="19"/>
      <c r="AE33" s="14"/>
      <c r="AF33" s="72"/>
      <c r="AG33" s="49"/>
      <c r="AH33" s="49"/>
      <c r="AI33" s="50"/>
      <c r="AJ33" s="15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77"/>
      <c r="BR33" s="123"/>
      <c r="BS33" s="120"/>
      <c r="BT33" s="120"/>
      <c r="BU33" s="2"/>
      <c r="BV33" s="2"/>
      <c r="BW33" s="2"/>
      <c r="BX33" s="121"/>
    </row>
    <row r="34" spans="1:76" ht="15" customHeight="1">
      <c r="A34" s="13">
        <v>1</v>
      </c>
      <c r="B34" s="88"/>
      <c r="C34" s="78"/>
      <c r="D34" s="89"/>
      <c r="E34" s="90"/>
      <c r="F34" s="66"/>
      <c r="G34" s="91"/>
      <c r="H34" s="92"/>
      <c r="I34" s="92"/>
      <c r="J34" s="68"/>
      <c r="K34" s="69"/>
      <c r="L34" s="70"/>
      <c r="M34" s="70"/>
      <c r="N34" s="71"/>
      <c r="O34" s="2"/>
      <c r="P34" s="2"/>
      <c r="Q34" s="2"/>
      <c r="R34" s="3"/>
      <c r="S34" s="4"/>
      <c r="T34" s="84"/>
      <c r="U34" s="85"/>
      <c r="V34" s="4"/>
      <c r="W34" s="4"/>
      <c r="X34" s="4"/>
      <c r="Y34" s="62"/>
      <c r="Z34" s="22"/>
      <c r="AA34" s="22"/>
      <c r="AB34" s="22"/>
      <c r="AC34" s="22"/>
      <c r="AD34" s="19"/>
      <c r="AE34" s="14"/>
      <c r="AF34" s="72"/>
      <c r="AG34" s="49"/>
      <c r="AH34" s="49"/>
      <c r="AI34" s="50"/>
      <c r="AJ34" s="15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77"/>
      <c r="BR34" s="123"/>
      <c r="BS34" s="120"/>
      <c r="BT34" s="120"/>
      <c r="BU34" s="2"/>
      <c r="BV34" s="2"/>
      <c r="BW34" s="2"/>
      <c r="BX34" s="121"/>
    </row>
    <row r="35" spans="1:76" ht="15" customHeight="1">
      <c r="A35" s="13">
        <v>2</v>
      </c>
      <c r="B35" s="88"/>
      <c r="C35" s="78"/>
      <c r="D35" s="89"/>
      <c r="E35" s="90"/>
      <c r="F35" s="66"/>
      <c r="G35" s="91"/>
      <c r="H35" s="92"/>
      <c r="I35" s="92"/>
      <c r="J35" s="68"/>
      <c r="K35" s="69"/>
      <c r="L35" s="70"/>
      <c r="M35" s="70"/>
      <c r="N35" s="71"/>
      <c r="O35" s="2"/>
      <c r="P35" s="2"/>
      <c r="Q35" s="2"/>
      <c r="R35" s="3"/>
      <c r="S35" s="4"/>
      <c r="T35" s="84"/>
      <c r="U35" s="85"/>
      <c r="V35" s="4"/>
      <c r="W35" s="4"/>
      <c r="X35" s="4"/>
      <c r="Y35" s="62"/>
      <c r="Z35" s="22"/>
      <c r="AA35" s="22"/>
      <c r="AB35" s="22"/>
      <c r="AC35" s="22"/>
      <c r="AD35" s="19"/>
      <c r="AE35" s="14"/>
      <c r="AF35" s="72"/>
      <c r="AG35" s="49"/>
      <c r="AH35" s="49"/>
      <c r="AI35" s="50"/>
      <c r="AJ35" s="15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77"/>
      <c r="BR35" s="123"/>
      <c r="BS35" s="120"/>
      <c r="BT35" s="120"/>
      <c r="BU35" s="2"/>
      <c r="BV35" s="2"/>
      <c r="BW35" s="2"/>
      <c r="BX35" s="121"/>
    </row>
    <row r="36" spans="1:76" ht="15" customHeight="1">
      <c r="A36" s="13">
        <v>3</v>
      </c>
      <c r="B36" s="88"/>
      <c r="C36" s="78"/>
      <c r="D36" s="89"/>
      <c r="E36" s="90"/>
      <c r="F36" s="66"/>
      <c r="G36" s="91"/>
      <c r="H36" s="92"/>
      <c r="I36" s="92"/>
      <c r="J36" s="68"/>
      <c r="K36" s="69"/>
      <c r="L36" s="70"/>
      <c r="M36" s="70"/>
      <c r="N36" s="71"/>
      <c r="O36" s="2"/>
      <c r="P36" s="2"/>
      <c r="Q36" s="2"/>
      <c r="R36" s="3"/>
      <c r="S36" s="4"/>
      <c r="T36" s="84"/>
      <c r="U36" s="85"/>
      <c r="V36" s="4"/>
      <c r="W36" s="4"/>
      <c r="X36" s="4"/>
      <c r="Y36" s="62"/>
      <c r="Z36" s="22"/>
      <c r="AA36" s="22"/>
      <c r="AB36" s="22"/>
      <c r="AC36" s="22"/>
      <c r="AD36" s="19"/>
      <c r="AE36" s="14"/>
      <c r="AF36" s="72"/>
      <c r="AG36" s="49"/>
      <c r="AH36" s="49"/>
      <c r="AI36" s="50"/>
      <c r="AJ36" s="15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77"/>
      <c r="BN36" s="77"/>
      <c r="BO36" s="77"/>
      <c r="BP36" s="77"/>
      <c r="BR36" s="123"/>
      <c r="BS36" s="120"/>
      <c r="BT36" s="120"/>
      <c r="BU36" s="2"/>
      <c r="BV36" s="2"/>
      <c r="BW36" s="2"/>
      <c r="BX36" s="121"/>
    </row>
    <row r="37" spans="1:76" ht="15" customHeight="1">
      <c r="A37" s="13">
        <v>4</v>
      </c>
      <c r="B37" s="88"/>
      <c r="C37" s="78"/>
      <c r="D37" s="89"/>
      <c r="E37" s="90"/>
      <c r="F37" s="66"/>
      <c r="G37" s="91"/>
      <c r="H37" s="92"/>
      <c r="I37" s="92"/>
      <c r="J37" s="68"/>
      <c r="K37" s="69"/>
      <c r="L37" s="70"/>
      <c r="M37" s="70"/>
      <c r="N37" s="71"/>
      <c r="O37" s="2"/>
      <c r="P37" s="2"/>
      <c r="Q37" s="2"/>
      <c r="R37" s="3"/>
      <c r="S37" s="4"/>
      <c r="T37" s="84"/>
      <c r="U37" s="85"/>
      <c r="V37" s="4"/>
      <c r="W37" s="4"/>
      <c r="X37" s="4"/>
      <c r="Y37" s="62"/>
      <c r="Z37" s="22"/>
      <c r="AA37" s="22"/>
      <c r="AB37" s="22"/>
      <c r="AC37" s="22"/>
      <c r="AD37" s="19"/>
      <c r="AE37" s="14"/>
      <c r="AF37" s="72"/>
      <c r="AG37" s="49"/>
      <c r="AH37" s="49"/>
      <c r="AI37" s="50"/>
      <c r="AJ37" s="15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77"/>
      <c r="BN37" s="77"/>
      <c r="BO37" s="77"/>
      <c r="BP37" s="77"/>
      <c r="BR37" s="123"/>
      <c r="BS37" s="120"/>
      <c r="BT37" s="120"/>
      <c r="BU37" s="2"/>
      <c r="BV37" s="2"/>
      <c r="BW37" s="2"/>
      <c r="BX37" s="121"/>
    </row>
    <row r="38" spans="1:76" ht="15" customHeight="1">
      <c r="A38" s="13">
        <v>5</v>
      </c>
      <c r="B38" s="88"/>
      <c r="C38" s="78"/>
      <c r="D38" s="89"/>
      <c r="E38" s="90"/>
      <c r="F38" s="66"/>
      <c r="G38" s="91"/>
      <c r="H38" s="92"/>
      <c r="I38" s="92"/>
      <c r="J38" s="68"/>
      <c r="K38" s="69"/>
      <c r="L38" s="70"/>
      <c r="M38" s="70"/>
      <c r="N38" s="71"/>
      <c r="O38" s="2"/>
      <c r="P38" s="2"/>
      <c r="Q38" s="2"/>
      <c r="R38" s="3"/>
      <c r="S38" s="4"/>
      <c r="T38" s="84"/>
      <c r="U38" s="85"/>
      <c r="V38" s="4"/>
      <c r="W38" s="4"/>
      <c r="X38" s="4"/>
      <c r="Y38" s="62"/>
      <c r="Z38" s="22"/>
      <c r="AA38" s="22"/>
      <c r="AB38" s="22"/>
      <c r="AC38" s="22"/>
      <c r="AD38" s="19"/>
      <c r="AE38" s="14"/>
      <c r="AF38" s="72"/>
      <c r="AG38" s="49"/>
      <c r="AH38" s="49"/>
      <c r="AI38" s="50"/>
      <c r="AJ38" s="15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77"/>
      <c r="BR38" s="123"/>
      <c r="BS38" s="120"/>
      <c r="BT38" s="120"/>
      <c r="BU38" s="2"/>
      <c r="BV38" s="2"/>
      <c r="BW38" s="2"/>
      <c r="BX38" s="121"/>
    </row>
    <row r="39" spans="1:76" ht="15" customHeight="1">
      <c r="A39" s="13">
        <v>6</v>
      </c>
      <c r="B39" s="88"/>
      <c r="C39" s="78"/>
      <c r="D39" s="89"/>
      <c r="E39" s="90"/>
      <c r="F39" s="66"/>
      <c r="G39" s="91"/>
      <c r="H39" s="92"/>
      <c r="I39" s="92"/>
      <c r="J39" s="68"/>
      <c r="K39" s="69"/>
      <c r="L39" s="70"/>
      <c r="M39" s="70"/>
      <c r="N39" s="71"/>
      <c r="O39" s="2"/>
      <c r="P39" s="2"/>
      <c r="Q39" s="2"/>
      <c r="R39" s="3"/>
      <c r="S39" s="4"/>
      <c r="T39" s="84"/>
      <c r="U39" s="85"/>
      <c r="V39" s="4"/>
      <c r="W39" s="4"/>
      <c r="X39" s="4"/>
      <c r="Y39" s="62"/>
      <c r="Z39" s="22"/>
      <c r="AA39" s="22"/>
      <c r="AB39" s="22"/>
      <c r="AC39" s="22"/>
      <c r="AD39" s="19"/>
      <c r="AE39" s="14"/>
      <c r="AF39" s="72"/>
      <c r="AG39" s="49"/>
      <c r="AH39" s="49"/>
      <c r="AI39" s="50"/>
      <c r="AJ39" s="15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77"/>
      <c r="BR39" s="123"/>
      <c r="BS39" s="120"/>
      <c r="BT39" s="120"/>
      <c r="BU39" s="2"/>
      <c r="BV39" s="2"/>
      <c r="BW39" s="2"/>
      <c r="BX39" s="121"/>
    </row>
    <row r="40" spans="1:76" ht="15" customHeight="1">
      <c r="A40" s="13">
        <v>7</v>
      </c>
      <c r="B40" s="88"/>
      <c r="C40" s="78"/>
      <c r="D40" s="89"/>
      <c r="E40" s="90"/>
      <c r="F40" s="66"/>
      <c r="G40" s="91"/>
      <c r="H40" s="92"/>
      <c r="I40" s="92"/>
      <c r="J40" s="68"/>
      <c r="K40" s="69"/>
      <c r="L40" s="70"/>
      <c r="M40" s="70"/>
      <c r="N40" s="71"/>
      <c r="O40" s="2"/>
      <c r="P40" s="2"/>
      <c r="Q40" s="2"/>
      <c r="R40" s="3"/>
      <c r="S40" s="4"/>
      <c r="T40" s="84"/>
      <c r="U40" s="85"/>
      <c r="V40" s="4"/>
      <c r="W40" s="4"/>
      <c r="X40" s="4"/>
      <c r="Y40" s="62"/>
      <c r="Z40" s="22"/>
      <c r="AA40" s="22"/>
      <c r="AB40" s="22"/>
      <c r="AC40" s="22"/>
      <c r="AD40" s="19"/>
      <c r="AE40" s="14"/>
      <c r="AF40" s="72"/>
      <c r="AG40" s="49"/>
      <c r="AH40" s="49"/>
      <c r="AI40" s="50"/>
      <c r="AJ40" s="15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7"/>
      <c r="BN40" s="77"/>
      <c r="BO40" s="77"/>
      <c r="BP40" s="77"/>
      <c r="BR40" s="123"/>
      <c r="BS40" s="120"/>
      <c r="BT40" s="120"/>
      <c r="BU40" s="2"/>
      <c r="BV40" s="2"/>
      <c r="BW40" s="2"/>
      <c r="BX40" s="121"/>
    </row>
    <row r="41" spans="1:76" ht="15" customHeight="1">
      <c r="A41" s="13">
        <v>8</v>
      </c>
      <c r="B41" s="88"/>
      <c r="C41" s="78"/>
      <c r="D41" s="89"/>
      <c r="E41" s="90"/>
      <c r="F41" s="66"/>
      <c r="G41" s="91"/>
      <c r="H41" s="92"/>
      <c r="I41" s="92"/>
      <c r="J41" s="68"/>
      <c r="K41" s="69"/>
      <c r="L41" s="70"/>
      <c r="M41" s="70"/>
      <c r="N41" s="71"/>
      <c r="O41" s="2"/>
      <c r="P41" s="2"/>
      <c r="Q41" s="2"/>
      <c r="R41" s="3"/>
      <c r="S41" s="4"/>
      <c r="T41" s="84"/>
      <c r="U41" s="85"/>
      <c r="V41" s="4"/>
      <c r="W41" s="4"/>
      <c r="X41" s="4"/>
      <c r="Y41" s="62"/>
      <c r="Z41" s="22"/>
      <c r="AA41" s="22"/>
      <c r="AB41" s="22"/>
      <c r="AC41" s="22"/>
      <c r="AD41" s="19"/>
      <c r="AE41" s="14"/>
      <c r="AF41" s="72"/>
      <c r="AG41" s="49"/>
      <c r="AH41" s="49"/>
      <c r="AI41" s="50"/>
      <c r="AJ41" s="15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77"/>
      <c r="BN41" s="77"/>
      <c r="BO41" s="77"/>
      <c r="BP41" s="77"/>
      <c r="BR41" s="123"/>
      <c r="BS41" s="120"/>
      <c r="BT41" s="120"/>
      <c r="BU41" s="2"/>
      <c r="BV41" s="2"/>
      <c r="BW41" s="2"/>
      <c r="BX41" s="121"/>
    </row>
    <row r="42" spans="1:76" ht="15" customHeight="1">
      <c r="A42" s="13">
        <v>9</v>
      </c>
      <c r="B42" s="88"/>
      <c r="C42" s="78"/>
      <c r="D42" s="89"/>
      <c r="E42" s="90"/>
      <c r="F42" s="66"/>
      <c r="G42" s="91"/>
      <c r="H42" s="92"/>
      <c r="I42" s="92"/>
      <c r="J42" s="68"/>
      <c r="K42" s="69"/>
      <c r="L42" s="70"/>
      <c r="M42" s="70"/>
      <c r="N42" s="71"/>
      <c r="O42" s="2"/>
      <c r="P42" s="2"/>
      <c r="Q42" s="2"/>
      <c r="R42" s="3"/>
      <c r="S42" s="4"/>
      <c r="T42" s="84"/>
      <c r="U42" s="85"/>
      <c r="V42" s="4"/>
      <c r="W42" s="4"/>
      <c r="X42" s="4"/>
      <c r="Y42" s="62"/>
      <c r="Z42" s="22"/>
      <c r="AA42" s="22"/>
      <c r="AB42" s="22"/>
      <c r="AC42" s="22"/>
      <c r="AD42" s="19"/>
      <c r="AE42" s="14"/>
      <c r="AF42" s="72"/>
      <c r="AG42" s="49"/>
      <c r="AH42" s="49"/>
      <c r="AI42" s="50"/>
      <c r="AJ42" s="15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77"/>
      <c r="BR42" s="123"/>
      <c r="BS42" s="120"/>
      <c r="BT42" s="120"/>
      <c r="BU42" s="2"/>
      <c r="BV42" s="2"/>
      <c r="BW42" s="2"/>
      <c r="BX42" s="121"/>
    </row>
    <row r="43" spans="1:76" ht="15" customHeight="1">
      <c r="A43" s="13">
        <v>10</v>
      </c>
      <c r="B43" s="88"/>
      <c r="C43" s="78"/>
      <c r="D43" s="89"/>
      <c r="E43" s="90"/>
      <c r="F43" s="66"/>
      <c r="G43" s="91"/>
      <c r="H43" s="92"/>
      <c r="I43" s="92"/>
      <c r="J43" s="68"/>
      <c r="K43" s="69"/>
      <c r="L43" s="70"/>
      <c r="M43" s="70"/>
      <c r="N43" s="71"/>
      <c r="O43" s="2"/>
      <c r="P43" s="2"/>
      <c r="Q43" s="2"/>
      <c r="R43" s="3"/>
      <c r="S43" s="4"/>
      <c r="T43" s="84"/>
      <c r="U43" s="85"/>
      <c r="V43" s="4"/>
      <c r="W43" s="4"/>
      <c r="X43" s="4"/>
      <c r="Y43" s="62"/>
      <c r="Z43" s="22"/>
      <c r="AA43" s="22"/>
      <c r="AB43" s="22"/>
      <c r="AC43" s="22"/>
      <c r="AD43" s="19"/>
      <c r="AE43" s="14"/>
      <c r="AF43" s="72"/>
      <c r="AG43" s="49"/>
      <c r="AH43" s="49"/>
      <c r="AI43" s="50"/>
      <c r="AJ43" s="15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77"/>
      <c r="BN43" s="77"/>
      <c r="BO43" s="77"/>
      <c r="BP43" s="77"/>
      <c r="BR43" s="123"/>
      <c r="BS43" s="120"/>
      <c r="BT43" s="120"/>
      <c r="BU43" s="2"/>
      <c r="BV43" s="2"/>
      <c r="BW43" s="2"/>
      <c r="BX43" s="121"/>
    </row>
    <row r="44" spans="1:76" ht="15" customHeight="1">
      <c r="A44" s="13">
        <v>11</v>
      </c>
      <c r="B44" s="88"/>
      <c r="C44" s="78"/>
      <c r="D44" s="89"/>
      <c r="E44" s="90"/>
      <c r="F44" s="66"/>
      <c r="G44" s="91"/>
      <c r="H44" s="92"/>
      <c r="I44" s="92"/>
      <c r="J44" s="68"/>
      <c r="K44" s="69"/>
      <c r="L44" s="70"/>
      <c r="M44" s="70"/>
      <c r="N44" s="71"/>
      <c r="O44" s="2"/>
      <c r="P44" s="2"/>
      <c r="Q44" s="2"/>
      <c r="R44" s="3"/>
      <c r="S44" s="4"/>
      <c r="T44" s="84"/>
      <c r="U44" s="85"/>
      <c r="V44" s="4"/>
      <c r="W44" s="4"/>
      <c r="X44" s="4"/>
      <c r="Y44" s="62"/>
      <c r="Z44" s="22"/>
      <c r="AA44" s="22"/>
      <c r="AB44" s="22"/>
      <c r="AC44" s="22"/>
      <c r="AD44" s="19"/>
      <c r="AE44" s="14"/>
      <c r="AF44" s="72"/>
      <c r="AG44" s="49"/>
      <c r="AH44" s="49"/>
      <c r="AI44" s="50"/>
      <c r="AJ44" s="15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77"/>
      <c r="BR44" s="123"/>
      <c r="BS44" s="120"/>
      <c r="BT44" s="120"/>
      <c r="BU44" s="2"/>
      <c r="BV44" s="2"/>
      <c r="BW44" s="2"/>
      <c r="BX44" s="121"/>
    </row>
    <row r="45" spans="1:76" ht="15" customHeight="1">
      <c r="A45" s="13">
        <v>12</v>
      </c>
      <c r="B45" s="88"/>
      <c r="C45" s="78"/>
      <c r="D45" s="89"/>
      <c r="E45" s="90"/>
      <c r="F45" s="66"/>
      <c r="G45" s="91"/>
      <c r="H45" s="92"/>
      <c r="I45" s="92"/>
      <c r="J45" s="68"/>
      <c r="K45" s="69"/>
      <c r="L45" s="70"/>
      <c r="M45" s="70"/>
      <c r="N45" s="71"/>
      <c r="O45" s="2"/>
      <c r="P45" s="2"/>
      <c r="Q45" s="2"/>
      <c r="R45" s="3"/>
      <c r="S45" s="4"/>
      <c r="T45" s="84"/>
      <c r="U45" s="85"/>
      <c r="V45" s="4"/>
      <c r="W45" s="4"/>
      <c r="X45" s="4"/>
      <c r="Y45" s="62"/>
      <c r="Z45" s="22"/>
      <c r="AA45" s="22"/>
      <c r="AB45" s="22"/>
      <c r="AC45" s="22"/>
      <c r="AD45" s="19"/>
      <c r="AE45" s="14"/>
      <c r="AF45" s="72"/>
      <c r="AG45" s="49"/>
      <c r="AH45" s="49"/>
      <c r="AI45" s="50"/>
      <c r="AJ45" s="15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77"/>
      <c r="BR45" s="123"/>
      <c r="BS45" s="120"/>
      <c r="BT45" s="120"/>
      <c r="BU45" s="2"/>
      <c r="BV45" s="2"/>
      <c r="BW45" s="2"/>
      <c r="BX45" s="121"/>
    </row>
    <row r="46" spans="1:76" ht="15" customHeight="1">
      <c r="A46" s="13">
        <v>6</v>
      </c>
      <c r="B46" s="88" t="s">
        <v>151</v>
      </c>
      <c r="C46" s="78" t="s">
        <v>108</v>
      </c>
      <c r="D46" s="89" t="s">
        <v>117</v>
      </c>
      <c r="E46" s="90">
        <v>1.33</v>
      </c>
      <c r="F46" s="66" t="s">
        <v>44</v>
      </c>
      <c r="G46" s="91">
        <v>1.8520000000000001</v>
      </c>
      <c r="H46" s="92" t="str">
        <f>IF(OOC!S46=0,"",OOC!S46)</f>
        <v/>
      </c>
      <c r="I46" s="92" t="str">
        <f>IF(OOC!T46=0,"",OOC!T46)</f>
        <v/>
      </c>
      <c r="J46" s="68" t="s">
        <v>12</v>
      </c>
      <c r="K46" s="69" t="s">
        <v>80</v>
      </c>
      <c r="L46" s="70" t="e">
        <f t="shared" si="0"/>
        <v>#VALUE!</v>
      </c>
      <c r="M46" s="70" t="e">
        <f t="shared" si="1"/>
        <v>#VALUE!</v>
      </c>
      <c r="N46" s="71"/>
      <c r="O46" s="2" t="e">
        <f t="shared" si="2"/>
        <v>#REF!</v>
      </c>
      <c r="P46" s="2" t="e">
        <f t="shared" si="3"/>
        <v>#REF!</v>
      </c>
      <c r="Q46" s="2" t="e">
        <f t="shared" si="4"/>
        <v>#REF!</v>
      </c>
      <c r="R46" s="3" t="e">
        <f t="shared" si="5"/>
        <v>#REF!</v>
      </c>
      <c r="S46" s="4" t="e">
        <f t="shared" si="10"/>
        <v>#REF!</v>
      </c>
      <c r="T46" s="84" t="e">
        <f t="shared" si="11"/>
        <v>#REF!</v>
      </c>
      <c r="U46" s="85" t="e">
        <f t="shared" si="12"/>
        <v>#REF!</v>
      </c>
      <c r="V46" s="4" t="e">
        <f t="shared" si="6"/>
        <v>#REF!</v>
      </c>
      <c r="W46" s="4" t="e">
        <f t="shared" si="7"/>
        <v>#REF!</v>
      </c>
      <c r="X46" s="4" t="e">
        <f t="shared" si="8"/>
        <v>#REF!</v>
      </c>
      <c r="Y46" s="62" t="e">
        <f t="shared" si="9"/>
        <v>#REF!</v>
      </c>
      <c r="Z46" s="22" t="e">
        <f>IF($Q46="","",IF(F46="Tolerance",IF(($E46*3*R46+Q46)-G46&lt;H46,"",($E46*3*R46+Q46)-G46),IF(OR(F46="GD&amp;T",F46="MAX"),IF(($E46*3*R46+Q46)&lt;H46,"",($E46*3*R46+Q46)),"")))</f>
        <v>#REF!</v>
      </c>
      <c r="AA46" s="22" t="e">
        <f>IF(Q46="","",IF(F46="Tolerance",IF(-(($E46*3*R46)-Q46)-G46&gt;I46,"",-(($E46*3*R46)-Q46)-G46),IF(F46="MIN",IF(-(($E46*3*R46)-Q46)&gt;I46,"",-(($E46*3*R46)-Q46)),"")))</f>
        <v>#REF!</v>
      </c>
      <c r="AB46" s="22" t="e">
        <f>IF(OR(G46="",Q46=""),"",(L46+M46)/2-Q46)</f>
        <v>#REF!</v>
      </c>
      <c r="AC46" s="22" t="e">
        <f>IF(OR($S46&gt;$AC$9,$R46=""),"",$AC$9*6*$R46)</f>
        <v>#REF!</v>
      </c>
      <c r="AD46" s="19"/>
      <c r="AE46" s="14"/>
      <c r="AF46" s="72"/>
      <c r="AG46" s="49"/>
      <c r="AH46" s="49"/>
      <c r="AI46" s="50"/>
      <c r="AJ46" s="15"/>
      <c r="AK46" s="77" t="e">
        <f>#REF!</f>
        <v>#REF!</v>
      </c>
      <c r="AL46" s="77" t="e">
        <f>#REF!</f>
        <v>#REF!</v>
      </c>
      <c r="AM46" s="77" t="e">
        <f>#REF!</f>
        <v>#REF!</v>
      </c>
      <c r="AN46" s="77" t="e">
        <f>#REF!</f>
        <v>#REF!</v>
      </c>
      <c r="AO46" s="77" t="e">
        <f>#REF!</f>
        <v>#REF!</v>
      </c>
      <c r="AP46" s="77" t="e">
        <f>#REF!</f>
        <v>#REF!</v>
      </c>
      <c r="AQ46" s="77" t="e">
        <f>#REF!</f>
        <v>#REF!</v>
      </c>
      <c r="AR46" s="77" t="e">
        <f>#REF!</f>
        <v>#REF!</v>
      </c>
      <c r="AS46" s="77" t="e">
        <f>#REF!</f>
        <v>#REF!</v>
      </c>
      <c r="AT46" s="77" t="e">
        <f>#REF!</f>
        <v>#REF!</v>
      </c>
      <c r="AU46" s="77" t="e">
        <f>#REF!</f>
        <v>#REF!</v>
      </c>
      <c r="AV46" s="77" t="e">
        <f>#REF!</f>
        <v>#REF!</v>
      </c>
      <c r="AW46" s="77" t="e">
        <f>#REF!</f>
        <v>#REF!</v>
      </c>
      <c r="AX46" s="77" t="e">
        <f>#REF!</f>
        <v>#REF!</v>
      </c>
      <c r="AY46" s="77" t="e">
        <f>#REF!</f>
        <v>#REF!</v>
      </c>
      <c r="AZ46" s="77" t="e">
        <f>#REF!</f>
        <v>#REF!</v>
      </c>
      <c r="BA46" s="77" t="e">
        <f>#REF!</f>
        <v>#REF!</v>
      </c>
      <c r="BB46" s="77" t="e">
        <f>#REF!</f>
        <v>#REF!</v>
      </c>
      <c r="BC46" s="77" t="e">
        <f>#REF!</f>
        <v>#REF!</v>
      </c>
      <c r="BD46" s="77" t="e">
        <f>#REF!</f>
        <v>#REF!</v>
      </c>
      <c r="BE46" s="77" t="e">
        <f>#REF!</f>
        <v>#REF!</v>
      </c>
      <c r="BF46" s="77" t="e">
        <f>#REF!</f>
        <v>#REF!</v>
      </c>
      <c r="BG46" s="77" t="e">
        <f>#REF!</f>
        <v>#REF!</v>
      </c>
      <c r="BH46" s="77" t="e">
        <f>#REF!</f>
        <v>#REF!</v>
      </c>
      <c r="BI46" s="77" t="e">
        <f>#REF!</f>
        <v>#REF!</v>
      </c>
      <c r="BJ46" s="77" t="e">
        <f>#REF!</f>
        <v>#REF!</v>
      </c>
      <c r="BK46" s="77" t="e">
        <f>#REF!</f>
        <v>#REF!</v>
      </c>
      <c r="BL46" s="77" t="e">
        <f>#REF!</f>
        <v>#REF!</v>
      </c>
      <c r="BM46" s="77" t="e">
        <f>#REF!</f>
        <v>#REF!</v>
      </c>
      <c r="BN46" s="77" t="e">
        <f>#REF!</f>
        <v>#REF!</v>
      </c>
      <c r="BO46" s="77" t="e">
        <f>#REF!</f>
        <v>#REF!</v>
      </c>
      <c r="BP46" s="77" t="e">
        <f>#REF!</f>
        <v>#REF!</v>
      </c>
      <c r="BR46" s="123" t="str">
        <f t="shared" si="13"/>
        <v>FAI23</v>
      </c>
      <c r="BS46" s="120">
        <f>OOC!G46</f>
        <v>1.8720000000000001</v>
      </c>
      <c r="BT46" s="120">
        <f>OOC!H46</f>
        <v>1.8320000000000001</v>
      </c>
      <c r="BU46" s="2" t="e">
        <f t="shared" si="14"/>
        <v>#REF!</v>
      </c>
      <c r="BV46" s="2" t="e">
        <f t="shared" si="15"/>
        <v>#REF!</v>
      </c>
      <c r="BW46" s="2" t="e">
        <f t="shared" si="16"/>
        <v>#REF!</v>
      </c>
      <c r="BX46" s="121" t="e">
        <f>IF(AND(IF(OOC!G46="",0,OOC!G46) &gt;= IF(O46="",0,O46), IF(O46="",0,O46) &gt; IF(L46="",0,L46)), "OOC",
IF(AND(IF(M46="",0,M46) &gt; IF(P46="",0,P46), IF(P46="",0,P46) &gt;= IF(OOC!H46="",0,OOC!H46)), "OOC",
IF(IF(O46="",0,O46) &gt; IF(OOC!G46="",0,OOC!G46), "OOS",
IF(IF(OOC!H46="",0,OOC!H46) &gt; IF(P46="",0,P46), "OOS", "OK"))))</f>
        <v>#REF!</v>
      </c>
    </row>
    <row r="47" spans="1:76" ht="15" customHeight="1">
      <c r="A47" s="13"/>
      <c r="B47" s="93" t="s">
        <v>256</v>
      </c>
      <c r="C47" s="94" t="s">
        <v>109</v>
      </c>
      <c r="D47" s="89" t="s">
        <v>117</v>
      </c>
      <c r="E47" s="90">
        <v>1.33</v>
      </c>
      <c r="F47" s="66" t="s">
        <v>44</v>
      </c>
      <c r="G47" s="67">
        <v>0.214</v>
      </c>
      <c r="H47" s="92" t="str">
        <f>IF(OOC!S47=0,"",OOC!S47)</f>
        <v/>
      </c>
      <c r="I47" s="92" t="str">
        <f>IF(OOC!T47=0,"",OOC!T47)</f>
        <v/>
      </c>
      <c r="J47" s="68" t="s">
        <v>12</v>
      </c>
      <c r="K47" s="69" t="s">
        <v>80</v>
      </c>
      <c r="L47" s="70" t="e">
        <f t="shared" si="0"/>
        <v>#VALUE!</v>
      </c>
      <c r="M47" s="70" t="e">
        <f t="shared" si="1"/>
        <v>#VALUE!</v>
      </c>
      <c r="N47" s="71"/>
      <c r="O47" s="2" t="e">
        <f t="shared" si="2"/>
        <v>#REF!</v>
      </c>
      <c r="P47" s="2" t="e">
        <f t="shared" si="3"/>
        <v>#REF!</v>
      </c>
      <c r="Q47" s="2" t="e">
        <f t="shared" si="4"/>
        <v>#REF!</v>
      </c>
      <c r="R47" s="3" t="e">
        <f t="shared" si="5"/>
        <v>#REF!</v>
      </c>
      <c r="S47" s="4" t="e">
        <f t="shared" si="10"/>
        <v>#REF!</v>
      </c>
      <c r="T47" s="84" t="e">
        <f t="shared" si="11"/>
        <v>#REF!</v>
      </c>
      <c r="U47" s="85" t="e">
        <f t="shared" si="12"/>
        <v>#REF!</v>
      </c>
      <c r="V47" s="4" t="e">
        <f t="shared" si="6"/>
        <v>#REF!</v>
      </c>
      <c r="W47" s="4" t="e">
        <f t="shared" si="7"/>
        <v>#REF!</v>
      </c>
      <c r="X47" s="4" t="e">
        <f t="shared" si="8"/>
        <v>#REF!</v>
      </c>
      <c r="Y47" s="62" t="e">
        <f t="shared" si="9"/>
        <v>#REF!</v>
      </c>
      <c r="Z47" s="22"/>
      <c r="AA47" s="22"/>
      <c r="AB47" s="22"/>
      <c r="AC47" s="22"/>
      <c r="AD47" s="19"/>
      <c r="AE47" s="14"/>
      <c r="AF47" s="74"/>
      <c r="AG47" s="49"/>
      <c r="AH47" s="49"/>
      <c r="AI47" s="50"/>
      <c r="AJ47" s="15"/>
      <c r="AK47" s="77" t="e">
        <f>#REF!</f>
        <v>#REF!</v>
      </c>
      <c r="AL47" s="77" t="e">
        <f>#REF!</f>
        <v>#REF!</v>
      </c>
      <c r="AM47" s="77" t="e">
        <f>#REF!</f>
        <v>#REF!</v>
      </c>
      <c r="AN47" s="77" t="e">
        <f>#REF!</f>
        <v>#REF!</v>
      </c>
      <c r="AO47" s="77" t="e">
        <f>#REF!</f>
        <v>#REF!</v>
      </c>
      <c r="AP47" s="77" t="e">
        <f>#REF!</f>
        <v>#REF!</v>
      </c>
      <c r="AQ47" s="77" t="e">
        <f>#REF!</f>
        <v>#REF!</v>
      </c>
      <c r="AR47" s="77" t="e">
        <f>#REF!</f>
        <v>#REF!</v>
      </c>
      <c r="AS47" s="77" t="e">
        <f>#REF!</f>
        <v>#REF!</v>
      </c>
      <c r="AT47" s="77" t="e">
        <f>#REF!</f>
        <v>#REF!</v>
      </c>
      <c r="AU47" s="77" t="e">
        <f>#REF!</f>
        <v>#REF!</v>
      </c>
      <c r="AV47" s="77" t="e">
        <f>#REF!</f>
        <v>#REF!</v>
      </c>
      <c r="AW47" s="77" t="e">
        <f>#REF!</f>
        <v>#REF!</v>
      </c>
      <c r="AX47" s="77" t="e">
        <f>#REF!</f>
        <v>#REF!</v>
      </c>
      <c r="AY47" s="77" t="e">
        <f>#REF!</f>
        <v>#REF!</v>
      </c>
      <c r="AZ47" s="77" t="e">
        <f>#REF!</f>
        <v>#REF!</v>
      </c>
      <c r="BA47" s="77" t="e">
        <f>#REF!</f>
        <v>#REF!</v>
      </c>
      <c r="BB47" s="77" t="e">
        <f>#REF!</f>
        <v>#REF!</v>
      </c>
      <c r="BC47" s="77" t="e">
        <f>#REF!</f>
        <v>#REF!</v>
      </c>
      <c r="BD47" s="77" t="e">
        <f>#REF!</f>
        <v>#REF!</v>
      </c>
      <c r="BE47" s="77" t="e">
        <f>#REF!</f>
        <v>#REF!</v>
      </c>
      <c r="BF47" s="77" t="e">
        <f>#REF!</f>
        <v>#REF!</v>
      </c>
      <c r="BG47" s="77" t="e">
        <f>#REF!</f>
        <v>#REF!</v>
      </c>
      <c r="BH47" s="77" t="e">
        <f>#REF!</f>
        <v>#REF!</v>
      </c>
      <c r="BI47" s="77" t="e">
        <f>#REF!</f>
        <v>#REF!</v>
      </c>
      <c r="BJ47" s="77" t="e">
        <f>#REF!</f>
        <v>#REF!</v>
      </c>
      <c r="BK47" s="77" t="e">
        <f>#REF!</f>
        <v>#REF!</v>
      </c>
      <c r="BL47" s="77" t="e">
        <f>#REF!</f>
        <v>#REF!</v>
      </c>
      <c r="BM47" s="77" t="e">
        <f>#REF!</f>
        <v>#REF!</v>
      </c>
      <c r="BN47" s="77" t="e">
        <f>#REF!</f>
        <v>#REF!</v>
      </c>
      <c r="BO47" s="77" t="e">
        <f>#REF!</f>
        <v>#REF!</v>
      </c>
      <c r="BP47" s="77" t="e">
        <f>#REF!</f>
        <v>#REF!</v>
      </c>
      <c r="BR47" s="123" t="str">
        <f t="shared" si="13"/>
        <v>FAI24</v>
      </c>
      <c r="BS47" s="120">
        <f>OOC!G47</f>
        <v>0.23399999999999999</v>
      </c>
      <c r="BT47" s="120">
        <f>OOC!H47</f>
        <v>0.19400000000000001</v>
      </c>
      <c r="BU47" s="2" t="e">
        <f t="shared" si="14"/>
        <v>#REF!</v>
      </c>
      <c r="BV47" s="2" t="e">
        <f t="shared" si="15"/>
        <v>#REF!</v>
      </c>
      <c r="BW47" s="2" t="e">
        <f t="shared" si="16"/>
        <v>#REF!</v>
      </c>
      <c r="BX47" s="121" t="e">
        <f>IF(AND(IF(OOC!G47="",0,OOC!G47) &gt;= IF(O47="",0,O47), IF(O47="",0,O47) &gt; IF(L47="",0,L47)), "OOC",
IF(AND(IF(M47="",0,M47) &gt; IF(P47="",0,P47), IF(P47="",0,P47) &gt;= IF(OOC!H47="",0,OOC!H47)), "OOC",
IF(IF(O47="",0,O47) &gt; IF(OOC!G47="",0,OOC!G47), "OOS",
IF(IF(OOC!H47="",0,OOC!H47) &gt; IF(P47="",0,P47), "OOS", "OK"))))</f>
        <v>#REF!</v>
      </c>
    </row>
    <row r="48" spans="1:76" ht="15" customHeight="1">
      <c r="A48" s="13"/>
      <c r="B48" s="88"/>
      <c r="C48" s="78" t="s">
        <v>147</v>
      </c>
      <c r="D48" s="89" t="s">
        <v>117</v>
      </c>
      <c r="E48" s="90"/>
      <c r="F48" s="66" t="s">
        <v>44</v>
      </c>
      <c r="G48" s="91">
        <v>1.29</v>
      </c>
      <c r="H48" s="92" t="str">
        <f>IF(OOC!S48=0,"",OOC!S48)</f>
        <v/>
      </c>
      <c r="I48" s="92" t="str">
        <f>IF(OOC!T48=0,"",OOC!T48)</f>
        <v/>
      </c>
      <c r="J48" s="68" t="s">
        <v>12</v>
      </c>
      <c r="K48" s="69" t="s">
        <v>80</v>
      </c>
      <c r="L48" s="70" t="e">
        <f t="shared" si="0"/>
        <v>#VALUE!</v>
      </c>
      <c r="M48" s="70" t="e">
        <f t="shared" si="1"/>
        <v>#VALUE!</v>
      </c>
      <c r="N48" s="71"/>
      <c r="O48" s="2" t="e">
        <f t="shared" si="2"/>
        <v>#REF!</v>
      </c>
      <c r="P48" s="2" t="e">
        <f t="shared" si="3"/>
        <v>#REF!</v>
      </c>
      <c r="Q48" s="2" t="e">
        <f t="shared" si="4"/>
        <v>#REF!</v>
      </c>
      <c r="R48" s="3" t="e">
        <f t="shared" si="5"/>
        <v>#REF!</v>
      </c>
      <c r="S48" s="4" t="e">
        <f t="shared" si="10"/>
        <v>#REF!</v>
      </c>
      <c r="T48" s="84" t="e">
        <f t="shared" si="11"/>
        <v>#REF!</v>
      </c>
      <c r="U48" s="85" t="e">
        <f t="shared" si="12"/>
        <v>#REF!</v>
      </c>
      <c r="V48" s="4" t="e">
        <f t="shared" si="6"/>
        <v>#REF!</v>
      </c>
      <c r="W48" s="4" t="e">
        <f t="shared" si="7"/>
        <v>#REF!</v>
      </c>
      <c r="X48" s="4" t="e">
        <f t="shared" si="8"/>
        <v>#REF!</v>
      </c>
      <c r="Y48" s="62" t="e">
        <f t="shared" si="9"/>
        <v>#REF!</v>
      </c>
      <c r="Z48" s="22"/>
      <c r="AA48" s="22"/>
      <c r="AB48" s="22"/>
      <c r="AC48" s="22"/>
      <c r="AD48" s="19"/>
      <c r="AE48" s="14"/>
      <c r="AF48" s="74"/>
      <c r="AG48" s="49"/>
      <c r="AH48" s="49"/>
      <c r="AI48" s="50"/>
      <c r="AJ48" s="15"/>
      <c r="AK48" s="77" t="e">
        <f>#REF!</f>
        <v>#REF!</v>
      </c>
      <c r="AL48" s="77" t="e">
        <f>#REF!</f>
        <v>#REF!</v>
      </c>
      <c r="AM48" s="77" t="e">
        <f>#REF!</f>
        <v>#REF!</v>
      </c>
      <c r="AN48" s="77"/>
      <c r="AO48" s="77"/>
      <c r="AP48" s="77"/>
      <c r="AQ48" s="77"/>
      <c r="AR48" s="77"/>
      <c r="AS48" s="77"/>
      <c r="AT48" s="77"/>
      <c r="AU48" s="77"/>
      <c r="AV48" s="77"/>
      <c r="AW48" s="77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77"/>
      <c r="BN48" s="77"/>
      <c r="BO48" s="77"/>
      <c r="BP48" s="77"/>
      <c r="BR48" s="123" t="str">
        <f t="shared" si="13"/>
        <v>FAI25A-1</v>
      </c>
      <c r="BS48" s="120">
        <f>OOC!G48</f>
        <v>1.32</v>
      </c>
      <c r="BT48" s="120">
        <f>OOC!H48</f>
        <v>1.26</v>
      </c>
      <c r="BU48" s="2" t="e">
        <f t="shared" si="14"/>
        <v>#REF!</v>
      </c>
      <c r="BV48" s="2" t="e">
        <f t="shared" si="15"/>
        <v>#REF!</v>
      </c>
      <c r="BW48" s="2" t="e">
        <f t="shared" si="16"/>
        <v>#REF!</v>
      </c>
      <c r="BX48" s="121" t="e">
        <f>IF(AND(IF(OOC!G48="",0,OOC!G48) &gt;= IF(O48="",0,O48), IF(O48="",0,O48) &gt; IF(L48="",0,L48)), "OOC",
IF(AND(IF(M48="",0,M48) &gt; IF(P48="",0,P48), IF(P48="",0,P48) &gt;= IF(OOC!H48="",0,OOC!H48)), "OOC",
IF(IF(O48="",0,O48) &gt; IF(OOC!G48="",0,OOC!G48), "OOS",
IF(IF(OOC!H48="",0,OOC!H48) &gt; IF(P48="",0,P48), "OOS", "OK"))))</f>
        <v>#REF!</v>
      </c>
    </row>
    <row r="49" spans="1:76" ht="15" customHeight="1">
      <c r="A49" s="13"/>
      <c r="B49" s="88"/>
      <c r="C49" s="78" t="s">
        <v>148</v>
      </c>
      <c r="D49" s="89" t="s">
        <v>117</v>
      </c>
      <c r="E49" s="90"/>
      <c r="F49" s="66" t="s">
        <v>44</v>
      </c>
      <c r="G49" s="91">
        <v>1.29</v>
      </c>
      <c r="H49" s="92" t="str">
        <f>IF(OOC!S49=0,"",OOC!S49)</f>
        <v/>
      </c>
      <c r="I49" s="92" t="str">
        <f>IF(OOC!T49=0,"",OOC!T49)</f>
        <v/>
      </c>
      <c r="J49" s="68" t="s">
        <v>12</v>
      </c>
      <c r="K49" s="69" t="s">
        <v>80</v>
      </c>
      <c r="L49" s="70" t="e">
        <f t="shared" si="0"/>
        <v>#VALUE!</v>
      </c>
      <c r="M49" s="70" t="e">
        <f t="shared" si="1"/>
        <v>#VALUE!</v>
      </c>
      <c r="N49" s="71"/>
      <c r="O49" s="2" t="e">
        <f t="shared" si="2"/>
        <v>#REF!</v>
      </c>
      <c r="P49" s="2" t="e">
        <f t="shared" si="3"/>
        <v>#REF!</v>
      </c>
      <c r="Q49" s="2" t="e">
        <f t="shared" si="4"/>
        <v>#REF!</v>
      </c>
      <c r="R49" s="3" t="e">
        <f t="shared" si="5"/>
        <v>#REF!</v>
      </c>
      <c r="S49" s="4" t="e">
        <f t="shared" si="10"/>
        <v>#REF!</v>
      </c>
      <c r="T49" s="84" t="e">
        <f t="shared" si="11"/>
        <v>#REF!</v>
      </c>
      <c r="U49" s="85" t="e">
        <f t="shared" si="12"/>
        <v>#REF!</v>
      </c>
      <c r="V49" s="4" t="e">
        <f t="shared" si="6"/>
        <v>#REF!</v>
      </c>
      <c r="W49" s="4" t="e">
        <f t="shared" si="7"/>
        <v>#REF!</v>
      </c>
      <c r="X49" s="4" t="e">
        <f t="shared" si="8"/>
        <v>#REF!</v>
      </c>
      <c r="Y49" s="62" t="e">
        <f t="shared" si="9"/>
        <v>#REF!</v>
      </c>
      <c r="Z49" s="22"/>
      <c r="AA49" s="22"/>
      <c r="AB49" s="22"/>
      <c r="AC49" s="22"/>
      <c r="AD49" s="19"/>
      <c r="AE49" s="14"/>
      <c r="AF49" s="74"/>
      <c r="AG49" s="49"/>
      <c r="AH49" s="49"/>
      <c r="AI49" s="50"/>
      <c r="AJ49" s="15"/>
      <c r="AK49" s="77" t="e">
        <f>#REF!</f>
        <v>#REF!</v>
      </c>
      <c r="AL49" s="77" t="e">
        <f>#REF!</f>
        <v>#REF!</v>
      </c>
      <c r="AM49" s="77" t="e">
        <f>#REF!</f>
        <v>#REF!</v>
      </c>
      <c r="AN49" s="77"/>
      <c r="AO49" s="77"/>
      <c r="AP49" s="77"/>
      <c r="AQ49" s="77"/>
      <c r="AR49" s="77"/>
      <c r="AS49" s="77"/>
      <c r="AT49" s="77"/>
      <c r="AU49" s="77"/>
      <c r="AV49" s="77"/>
      <c r="AW49" s="77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77"/>
      <c r="BM49" s="77"/>
      <c r="BN49" s="77"/>
      <c r="BO49" s="77"/>
      <c r="BP49" s="77"/>
      <c r="BR49" s="123" t="str">
        <f t="shared" si="13"/>
        <v>FAI25A-2</v>
      </c>
      <c r="BS49" s="120">
        <f>OOC!G49</f>
        <v>1.32</v>
      </c>
      <c r="BT49" s="120">
        <f>OOC!H49</f>
        <v>1.26</v>
      </c>
      <c r="BU49" s="2" t="e">
        <f t="shared" si="14"/>
        <v>#REF!</v>
      </c>
      <c r="BV49" s="2" t="e">
        <f t="shared" si="15"/>
        <v>#REF!</v>
      </c>
      <c r="BW49" s="2" t="e">
        <f t="shared" si="16"/>
        <v>#REF!</v>
      </c>
      <c r="BX49" s="121" t="e">
        <f>IF(AND(IF(OOC!G49="",0,OOC!G49) &gt;= IF(O49="",0,O49), IF(O49="",0,O49) &gt; IF(L49="",0,L49)), "OOC",
IF(AND(IF(M49="",0,M49) &gt; IF(P49="",0,P49), IF(P49="",0,P49) &gt;= IF(OOC!H49="",0,OOC!H49)), "OOC",
IF(IF(O49="",0,O49) &gt; IF(OOC!G49="",0,OOC!G49), "OOS",
IF(IF(OOC!H49="",0,OOC!H49) &gt; IF(P49="",0,P49), "OOS", "OK"))))</f>
        <v>#REF!</v>
      </c>
    </row>
    <row r="50" spans="1:76" ht="15" customHeight="1">
      <c r="A50" s="13"/>
      <c r="B50" s="88"/>
      <c r="C50" s="78" t="s">
        <v>149</v>
      </c>
      <c r="D50" s="89" t="s">
        <v>117</v>
      </c>
      <c r="E50" s="90"/>
      <c r="F50" s="66" t="s">
        <v>44</v>
      </c>
      <c r="G50" s="91">
        <v>1.29</v>
      </c>
      <c r="H50" s="92" t="str">
        <f>IF(OOC!S50=0,"",OOC!S50)</f>
        <v/>
      </c>
      <c r="I50" s="92" t="str">
        <f>IF(OOC!T50=0,"",OOC!T50)</f>
        <v/>
      </c>
      <c r="J50" s="68" t="s">
        <v>12</v>
      </c>
      <c r="K50" s="69" t="s">
        <v>80</v>
      </c>
      <c r="L50" s="70" t="e">
        <f t="shared" si="0"/>
        <v>#VALUE!</v>
      </c>
      <c r="M50" s="70" t="e">
        <f t="shared" si="1"/>
        <v>#VALUE!</v>
      </c>
      <c r="N50" s="71"/>
      <c r="O50" s="2" t="e">
        <f t="shared" si="2"/>
        <v>#REF!</v>
      </c>
      <c r="P50" s="2" t="e">
        <f t="shared" si="3"/>
        <v>#REF!</v>
      </c>
      <c r="Q50" s="2" t="e">
        <f t="shared" si="4"/>
        <v>#REF!</v>
      </c>
      <c r="R50" s="3" t="e">
        <f t="shared" si="5"/>
        <v>#REF!</v>
      </c>
      <c r="S50" s="4" t="e">
        <f t="shared" si="10"/>
        <v>#REF!</v>
      </c>
      <c r="T50" s="84" t="e">
        <f t="shared" si="11"/>
        <v>#REF!</v>
      </c>
      <c r="U50" s="85" t="e">
        <f t="shared" si="12"/>
        <v>#REF!</v>
      </c>
      <c r="V50" s="4" t="e">
        <f t="shared" si="6"/>
        <v>#REF!</v>
      </c>
      <c r="W50" s="4" t="e">
        <f t="shared" si="7"/>
        <v>#REF!</v>
      </c>
      <c r="X50" s="4" t="e">
        <f t="shared" si="8"/>
        <v>#REF!</v>
      </c>
      <c r="Y50" s="62" t="e">
        <f t="shared" si="9"/>
        <v>#REF!</v>
      </c>
      <c r="Z50" s="22"/>
      <c r="AA50" s="22"/>
      <c r="AB50" s="22"/>
      <c r="AC50" s="22"/>
      <c r="AD50" s="19"/>
      <c r="AE50" s="14"/>
      <c r="AF50" s="74"/>
      <c r="AG50" s="49"/>
      <c r="AH50" s="49"/>
      <c r="AI50" s="50"/>
      <c r="AJ50" s="15"/>
      <c r="AK50" s="77" t="e">
        <f>#REF!</f>
        <v>#REF!</v>
      </c>
      <c r="AL50" s="77" t="e">
        <f>#REF!</f>
        <v>#REF!</v>
      </c>
      <c r="AM50" s="77" t="e">
        <f>#REF!</f>
        <v>#REF!</v>
      </c>
      <c r="AN50" s="77"/>
      <c r="AO50" s="77"/>
      <c r="AP50" s="77"/>
      <c r="AQ50" s="77"/>
      <c r="AR50" s="77"/>
      <c r="AS50" s="77"/>
      <c r="AT50" s="77"/>
      <c r="AU50" s="77"/>
      <c r="AV50" s="77"/>
      <c r="AW50" s="77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77"/>
      <c r="BM50" s="77"/>
      <c r="BN50" s="77"/>
      <c r="BO50" s="77"/>
      <c r="BP50" s="77"/>
      <c r="BR50" s="123" t="str">
        <f t="shared" si="13"/>
        <v>FAI25A-3</v>
      </c>
      <c r="BS50" s="120">
        <f>OOC!G50</f>
        <v>1.32</v>
      </c>
      <c r="BT50" s="120">
        <f>OOC!H50</f>
        <v>1.26</v>
      </c>
      <c r="BU50" s="2" t="e">
        <f t="shared" si="14"/>
        <v>#REF!</v>
      </c>
      <c r="BV50" s="2" t="e">
        <f t="shared" si="15"/>
        <v>#REF!</v>
      </c>
      <c r="BW50" s="2" t="e">
        <f t="shared" si="16"/>
        <v>#REF!</v>
      </c>
      <c r="BX50" s="121" t="e">
        <f>IF(AND(IF(OOC!G50="",0,OOC!G50) &gt;= IF(O50="",0,O50), IF(O50="",0,O50) &gt; IF(L50="",0,L50)), "OOC",
IF(AND(IF(M50="",0,M50) &gt; IF(P50="",0,P50), IF(P50="",0,P50) &gt;= IF(OOC!H50="",0,OOC!H50)), "OOC",
IF(IF(O50="",0,O50) &gt; IF(OOC!G50="",0,OOC!G50), "OOS",
IF(IF(OOC!H50="",0,OOC!H50) &gt; IF(P50="",0,P50), "OOS", "OK"))))</f>
        <v>#REF!</v>
      </c>
    </row>
    <row r="51" spans="1:76" ht="15" customHeight="1">
      <c r="A51" s="13"/>
      <c r="B51" s="88" t="s">
        <v>162</v>
      </c>
      <c r="C51" s="78" t="s">
        <v>144</v>
      </c>
      <c r="D51" s="89" t="s">
        <v>117</v>
      </c>
      <c r="E51" s="90"/>
      <c r="F51" s="66" t="s">
        <v>44</v>
      </c>
      <c r="G51" s="91">
        <v>1.29</v>
      </c>
      <c r="H51" s="92">
        <f>IF(OOC!S51=0,"",OOC!S51)</f>
        <v>0.03</v>
      </c>
      <c r="I51" s="92">
        <f>IF(OOC!T51=0,"",OOC!T51)</f>
        <v>-0.03</v>
      </c>
      <c r="J51" s="68" t="s">
        <v>12</v>
      </c>
      <c r="K51" s="69" t="s">
        <v>80</v>
      </c>
      <c r="L51" s="70">
        <f t="shared" si="0"/>
        <v>1.32</v>
      </c>
      <c r="M51" s="70">
        <f t="shared" si="1"/>
        <v>1.26</v>
      </c>
      <c r="N51" s="71"/>
      <c r="O51" s="2" t="e">
        <f t="shared" si="2"/>
        <v>#REF!</v>
      </c>
      <c r="P51" s="2" t="e">
        <f t="shared" si="3"/>
        <v>#REF!</v>
      </c>
      <c r="Q51" s="2" t="e">
        <f t="shared" si="4"/>
        <v>#REF!</v>
      </c>
      <c r="R51" s="3" t="e">
        <f t="shared" si="5"/>
        <v>#REF!</v>
      </c>
      <c r="S51" s="4" t="e">
        <f t="shared" si="10"/>
        <v>#REF!</v>
      </c>
      <c r="T51" s="84" t="e">
        <f t="shared" si="11"/>
        <v>#REF!</v>
      </c>
      <c r="U51" s="85" t="e">
        <f t="shared" si="12"/>
        <v>#REF!</v>
      </c>
      <c r="V51" s="4" t="e">
        <f t="shared" si="6"/>
        <v>#REF!</v>
      </c>
      <c r="W51" s="4" t="e">
        <f t="shared" si="7"/>
        <v>#REF!</v>
      </c>
      <c r="X51" s="4" t="e">
        <f t="shared" si="8"/>
        <v>#REF!</v>
      </c>
      <c r="Y51" s="62" t="e">
        <f t="shared" si="9"/>
        <v>#REF!</v>
      </c>
      <c r="Z51" s="22"/>
      <c r="AA51" s="22"/>
      <c r="AB51" s="22"/>
      <c r="AC51" s="22"/>
      <c r="AD51" s="19"/>
      <c r="AE51" s="14"/>
      <c r="AF51" s="74"/>
      <c r="AG51" s="49"/>
      <c r="AH51" s="49"/>
      <c r="AI51" s="50"/>
      <c r="AJ51" s="15"/>
      <c r="AK51" s="77" t="e">
        <f>#REF!</f>
        <v>#REF!</v>
      </c>
      <c r="AL51" s="77" t="e">
        <f>#REF!</f>
        <v>#REF!</v>
      </c>
      <c r="AM51" s="77" t="e">
        <f>#REF!</f>
        <v>#REF!</v>
      </c>
      <c r="AN51" s="77" t="e">
        <f>#REF!</f>
        <v>#REF!</v>
      </c>
      <c r="AO51" s="77" t="e">
        <f>#REF!</f>
        <v>#REF!</v>
      </c>
      <c r="AP51" s="77" t="e">
        <f>#REF!</f>
        <v>#REF!</v>
      </c>
      <c r="AQ51" s="77" t="e">
        <f>#REF!</f>
        <v>#REF!</v>
      </c>
      <c r="AR51" s="77" t="e">
        <f>#REF!</f>
        <v>#REF!</v>
      </c>
      <c r="AS51" s="77" t="e">
        <f>#REF!</f>
        <v>#REF!</v>
      </c>
      <c r="AT51" s="77" t="e">
        <f>#REF!</f>
        <v>#REF!</v>
      </c>
      <c r="AU51" s="77" t="e">
        <f>#REF!</f>
        <v>#REF!</v>
      </c>
      <c r="AV51" s="77" t="e">
        <f>#REF!</f>
        <v>#REF!</v>
      </c>
      <c r="AW51" s="77" t="e">
        <f>#REF!</f>
        <v>#REF!</v>
      </c>
      <c r="AX51" s="77" t="e">
        <f>#REF!</f>
        <v>#REF!</v>
      </c>
      <c r="AY51" s="77" t="e">
        <f>#REF!</f>
        <v>#REF!</v>
      </c>
      <c r="AZ51" s="77" t="e">
        <f>#REF!</f>
        <v>#REF!</v>
      </c>
      <c r="BA51" s="77" t="e">
        <f>#REF!</f>
        <v>#REF!</v>
      </c>
      <c r="BB51" s="77" t="e">
        <f>#REF!</f>
        <v>#REF!</v>
      </c>
      <c r="BC51" s="77" t="e">
        <f>#REF!</f>
        <v>#REF!</v>
      </c>
      <c r="BD51" s="77" t="e">
        <f>#REF!</f>
        <v>#REF!</v>
      </c>
      <c r="BE51" s="77" t="e">
        <f>#REF!</f>
        <v>#REF!</v>
      </c>
      <c r="BF51" s="77" t="e">
        <f>#REF!</f>
        <v>#REF!</v>
      </c>
      <c r="BG51" s="77" t="e">
        <f>#REF!</f>
        <v>#REF!</v>
      </c>
      <c r="BH51" s="77" t="e">
        <f>#REF!</f>
        <v>#REF!</v>
      </c>
      <c r="BI51" s="77" t="e">
        <f>#REF!</f>
        <v>#REF!</v>
      </c>
      <c r="BJ51" s="77" t="e">
        <f>#REF!</f>
        <v>#REF!</v>
      </c>
      <c r="BK51" s="77" t="e">
        <f>#REF!</f>
        <v>#REF!</v>
      </c>
      <c r="BL51" s="77" t="e">
        <f>#REF!</f>
        <v>#REF!</v>
      </c>
      <c r="BM51" s="77" t="e">
        <f>#REF!</f>
        <v>#REF!</v>
      </c>
      <c r="BN51" s="77" t="e">
        <f>#REF!</f>
        <v>#REF!</v>
      </c>
      <c r="BO51" s="77" t="e">
        <f>#REF!</f>
        <v>#REF!</v>
      </c>
      <c r="BP51" s="77" t="e">
        <f>#REF!</f>
        <v>#REF!</v>
      </c>
      <c r="BR51" s="123" t="str">
        <f t="shared" si="13"/>
        <v>FAI25B-1(DC)</v>
      </c>
      <c r="BS51" s="120">
        <f>OOC!G51</f>
        <v>1.32</v>
      </c>
      <c r="BT51" s="120">
        <f>OOC!H51</f>
        <v>1.26</v>
      </c>
      <c r="BU51" s="2" t="e">
        <f t="shared" si="14"/>
        <v>#REF!</v>
      </c>
      <c r="BV51" s="2" t="e">
        <f t="shared" si="15"/>
        <v>#REF!</v>
      </c>
      <c r="BW51" s="2" t="e">
        <f t="shared" si="16"/>
        <v>#REF!</v>
      </c>
      <c r="BX51" s="121"/>
    </row>
    <row r="52" spans="1:76" ht="15" customHeight="1">
      <c r="A52" s="13"/>
      <c r="B52" s="88" t="s">
        <v>162</v>
      </c>
      <c r="C52" s="78" t="s">
        <v>145</v>
      </c>
      <c r="D52" s="89" t="s">
        <v>117</v>
      </c>
      <c r="E52" s="90"/>
      <c r="F52" s="66" t="s">
        <v>44</v>
      </c>
      <c r="G52" s="91">
        <v>1.29</v>
      </c>
      <c r="H52" s="92">
        <f>IF(OOC!S52=0,"",OOC!S52)</f>
        <v>0.03</v>
      </c>
      <c r="I52" s="92">
        <f>IF(OOC!T52=0,"",OOC!T52)</f>
        <v>-0.03</v>
      </c>
      <c r="J52" s="68" t="s">
        <v>12</v>
      </c>
      <c r="K52" s="69" t="s">
        <v>80</v>
      </c>
      <c r="L52" s="70">
        <f t="shared" si="0"/>
        <v>1.32</v>
      </c>
      <c r="M52" s="70">
        <f t="shared" si="1"/>
        <v>1.26</v>
      </c>
      <c r="N52" s="71"/>
      <c r="O52" s="2" t="e">
        <f t="shared" si="2"/>
        <v>#REF!</v>
      </c>
      <c r="P52" s="2" t="e">
        <f t="shared" si="3"/>
        <v>#REF!</v>
      </c>
      <c r="Q52" s="2" t="e">
        <f t="shared" si="4"/>
        <v>#REF!</v>
      </c>
      <c r="R52" s="3" t="e">
        <f t="shared" si="5"/>
        <v>#REF!</v>
      </c>
      <c r="S52" s="4" t="e">
        <f t="shared" si="10"/>
        <v>#REF!</v>
      </c>
      <c r="T52" s="84" t="e">
        <f t="shared" si="11"/>
        <v>#REF!</v>
      </c>
      <c r="U52" s="85" t="e">
        <f t="shared" si="12"/>
        <v>#REF!</v>
      </c>
      <c r="V52" s="4" t="e">
        <f t="shared" si="6"/>
        <v>#REF!</v>
      </c>
      <c r="W52" s="4" t="e">
        <f t="shared" si="7"/>
        <v>#REF!</v>
      </c>
      <c r="X52" s="4" t="e">
        <f t="shared" si="8"/>
        <v>#REF!</v>
      </c>
      <c r="Y52" s="62" t="e">
        <f t="shared" si="9"/>
        <v>#REF!</v>
      </c>
      <c r="Z52" s="22"/>
      <c r="AA52" s="22"/>
      <c r="AB52" s="22"/>
      <c r="AC52" s="22"/>
      <c r="AD52" s="19"/>
      <c r="AE52" s="14"/>
      <c r="AF52" s="74"/>
      <c r="AG52" s="49"/>
      <c r="AH52" s="49"/>
      <c r="AI52" s="50"/>
      <c r="AJ52" s="15"/>
      <c r="AK52" s="77" t="e">
        <f>#REF!</f>
        <v>#REF!</v>
      </c>
      <c r="AL52" s="77" t="e">
        <f>#REF!</f>
        <v>#REF!</v>
      </c>
      <c r="AM52" s="77" t="e">
        <f>#REF!</f>
        <v>#REF!</v>
      </c>
      <c r="AN52" s="77" t="e">
        <f>#REF!</f>
        <v>#REF!</v>
      </c>
      <c r="AO52" s="77" t="e">
        <f>#REF!</f>
        <v>#REF!</v>
      </c>
      <c r="AP52" s="77" t="e">
        <f>#REF!</f>
        <v>#REF!</v>
      </c>
      <c r="AQ52" s="77" t="e">
        <f>#REF!</f>
        <v>#REF!</v>
      </c>
      <c r="AR52" s="77" t="e">
        <f>#REF!</f>
        <v>#REF!</v>
      </c>
      <c r="AS52" s="77" t="e">
        <f>#REF!</f>
        <v>#REF!</v>
      </c>
      <c r="AT52" s="77" t="e">
        <f>#REF!</f>
        <v>#REF!</v>
      </c>
      <c r="AU52" s="77" t="e">
        <f>#REF!</f>
        <v>#REF!</v>
      </c>
      <c r="AV52" s="77" t="e">
        <f>#REF!</f>
        <v>#REF!</v>
      </c>
      <c r="AW52" s="77" t="e">
        <f>#REF!</f>
        <v>#REF!</v>
      </c>
      <c r="AX52" s="77" t="e">
        <f>#REF!</f>
        <v>#REF!</v>
      </c>
      <c r="AY52" s="77" t="e">
        <f>#REF!</f>
        <v>#REF!</v>
      </c>
      <c r="AZ52" s="77" t="e">
        <f>#REF!</f>
        <v>#REF!</v>
      </c>
      <c r="BA52" s="77" t="e">
        <f>#REF!</f>
        <v>#REF!</v>
      </c>
      <c r="BB52" s="77" t="e">
        <f>#REF!</f>
        <v>#REF!</v>
      </c>
      <c r="BC52" s="77" t="e">
        <f>#REF!</f>
        <v>#REF!</v>
      </c>
      <c r="BD52" s="77" t="e">
        <f>#REF!</f>
        <v>#REF!</v>
      </c>
      <c r="BE52" s="77" t="e">
        <f>#REF!</f>
        <v>#REF!</v>
      </c>
      <c r="BF52" s="77" t="e">
        <f>#REF!</f>
        <v>#REF!</v>
      </c>
      <c r="BG52" s="77" t="e">
        <f>#REF!</f>
        <v>#REF!</v>
      </c>
      <c r="BH52" s="77" t="e">
        <f>#REF!</f>
        <v>#REF!</v>
      </c>
      <c r="BI52" s="77" t="e">
        <f>#REF!</f>
        <v>#REF!</v>
      </c>
      <c r="BJ52" s="77" t="e">
        <f>#REF!</f>
        <v>#REF!</v>
      </c>
      <c r="BK52" s="77" t="e">
        <f>#REF!</f>
        <v>#REF!</v>
      </c>
      <c r="BL52" s="77" t="e">
        <f>#REF!</f>
        <v>#REF!</v>
      </c>
      <c r="BM52" s="77" t="e">
        <f>#REF!</f>
        <v>#REF!</v>
      </c>
      <c r="BN52" s="77" t="e">
        <f>#REF!</f>
        <v>#REF!</v>
      </c>
      <c r="BO52" s="77" t="e">
        <f>#REF!</f>
        <v>#REF!</v>
      </c>
      <c r="BP52" s="77" t="e">
        <f>#REF!</f>
        <v>#REF!</v>
      </c>
      <c r="BR52" s="123" t="str">
        <f t="shared" si="13"/>
        <v>FAI25B-2(DC)</v>
      </c>
      <c r="BS52" s="120">
        <f>OOC!G52</f>
        <v>1.32</v>
      </c>
      <c r="BT52" s="120">
        <f>OOC!H52</f>
        <v>1.26</v>
      </c>
      <c r="BU52" s="2" t="e">
        <f t="shared" si="14"/>
        <v>#REF!</v>
      </c>
      <c r="BV52" s="2" t="e">
        <f t="shared" si="15"/>
        <v>#REF!</v>
      </c>
      <c r="BW52" s="2" t="e">
        <f t="shared" si="16"/>
        <v>#REF!</v>
      </c>
      <c r="BX52" s="121"/>
    </row>
    <row r="53" spans="1:76" ht="15" customHeight="1">
      <c r="A53" s="13"/>
      <c r="B53" s="88" t="s">
        <v>162</v>
      </c>
      <c r="C53" s="78" t="s">
        <v>146</v>
      </c>
      <c r="D53" s="89" t="s">
        <v>117</v>
      </c>
      <c r="E53" s="90"/>
      <c r="F53" s="66" t="s">
        <v>44</v>
      </c>
      <c r="G53" s="91">
        <v>1.29</v>
      </c>
      <c r="H53" s="92">
        <f>IF(OOC!S53=0,"",OOC!S53)</f>
        <v>0.03</v>
      </c>
      <c r="I53" s="92">
        <f>IF(OOC!T53=0,"",OOC!T53)</f>
        <v>-0.03</v>
      </c>
      <c r="J53" s="68" t="s">
        <v>12</v>
      </c>
      <c r="K53" s="69" t="s">
        <v>80</v>
      </c>
      <c r="L53" s="70">
        <f t="shared" si="0"/>
        <v>1.32</v>
      </c>
      <c r="M53" s="70">
        <f t="shared" si="1"/>
        <v>1.26</v>
      </c>
      <c r="N53" s="71"/>
      <c r="O53" s="2" t="e">
        <f t="shared" si="2"/>
        <v>#REF!</v>
      </c>
      <c r="P53" s="2" t="e">
        <f t="shared" si="3"/>
        <v>#REF!</v>
      </c>
      <c r="Q53" s="2" t="e">
        <f t="shared" si="4"/>
        <v>#REF!</v>
      </c>
      <c r="R53" s="3" t="e">
        <f t="shared" si="5"/>
        <v>#REF!</v>
      </c>
      <c r="S53" s="4" t="e">
        <f t="shared" si="10"/>
        <v>#REF!</v>
      </c>
      <c r="T53" s="84" t="e">
        <f t="shared" si="11"/>
        <v>#REF!</v>
      </c>
      <c r="U53" s="85" t="e">
        <f t="shared" si="12"/>
        <v>#REF!</v>
      </c>
      <c r="V53" s="4" t="e">
        <f t="shared" si="6"/>
        <v>#REF!</v>
      </c>
      <c r="W53" s="4" t="e">
        <f t="shared" si="7"/>
        <v>#REF!</v>
      </c>
      <c r="X53" s="4" t="e">
        <f t="shared" si="8"/>
        <v>#REF!</v>
      </c>
      <c r="Y53" s="62" t="e">
        <f t="shared" si="9"/>
        <v>#REF!</v>
      </c>
      <c r="Z53" s="22"/>
      <c r="AA53" s="22"/>
      <c r="AB53" s="22"/>
      <c r="AC53" s="22"/>
      <c r="AD53" s="19"/>
      <c r="AE53" s="14"/>
      <c r="AF53" s="74"/>
      <c r="AG53" s="49"/>
      <c r="AH53" s="49"/>
      <c r="AI53" s="50"/>
      <c r="AJ53" s="15"/>
      <c r="AK53" s="77" t="e">
        <f>#REF!</f>
        <v>#REF!</v>
      </c>
      <c r="AL53" s="77" t="e">
        <f>#REF!</f>
        <v>#REF!</v>
      </c>
      <c r="AM53" s="77" t="e">
        <f>#REF!</f>
        <v>#REF!</v>
      </c>
      <c r="AN53" s="77" t="e">
        <f>#REF!</f>
        <v>#REF!</v>
      </c>
      <c r="AO53" s="77" t="e">
        <f>#REF!</f>
        <v>#REF!</v>
      </c>
      <c r="AP53" s="77" t="e">
        <f>#REF!</f>
        <v>#REF!</v>
      </c>
      <c r="AQ53" s="77" t="e">
        <f>#REF!</f>
        <v>#REF!</v>
      </c>
      <c r="AR53" s="77" t="e">
        <f>#REF!</f>
        <v>#REF!</v>
      </c>
      <c r="AS53" s="77" t="e">
        <f>#REF!</f>
        <v>#REF!</v>
      </c>
      <c r="AT53" s="77" t="e">
        <f>#REF!</f>
        <v>#REF!</v>
      </c>
      <c r="AU53" s="77" t="e">
        <f>#REF!</f>
        <v>#REF!</v>
      </c>
      <c r="AV53" s="77" t="e">
        <f>#REF!</f>
        <v>#REF!</v>
      </c>
      <c r="AW53" s="77" t="e">
        <f>#REF!</f>
        <v>#REF!</v>
      </c>
      <c r="AX53" s="77" t="e">
        <f>#REF!</f>
        <v>#REF!</v>
      </c>
      <c r="AY53" s="77" t="e">
        <f>#REF!</f>
        <v>#REF!</v>
      </c>
      <c r="AZ53" s="77" t="e">
        <f>#REF!</f>
        <v>#REF!</v>
      </c>
      <c r="BA53" s="77" t="e">
        <f>#REF!</f>
        <v>#REF!</v>
      </c>
      <c r="BB53" s="77" t="e">
        <f>#REF!</f>
        <v>#REF!</v>
      </c>
      <c r="BC53" s="77" t="e">
        <f>#REF!</f>
        <v>#REF!</v>
      </c>
      <c r="BD53" s="77" t="e">
        <f>#REF!</f>
        <v>#REF!</v>
      </c>
      <c r="BE53" s="77" t="e">
        <f>#REF!</f>
        <v>#REF!</v>
      </c>
      <c r="BF53" s="77" t="e">
        <f>#REF!</f>
        <v>#REF!</v>
      </c>
      <c r="BG53" s="77" t="e">
        <f>#REF!</f>
        <v>#REF!</v>
      </c>
      <c r="BH53" s="77" t="e">
        <f>#REF!</f>
        <v>#REF!</v>
      </c>
      <c r="BI53" s="77" t="e">
        <f>#REF!</f>
        <v>#REF!</v>
      </c>
      <c r="BJ53" s="77" t="e">
        <f>#REF!</f>
        <v>#REF!</v>
      </c>
      <c r="BK53" s="77" t="e">
        <f>#REF!</f>
        <v>#REF!</v>
      </c>
      <c r="BL53" s="77" t="e">
        <f>#REF!</f>
        <v>#REF!</v>
      </c>
      <c r="BM53" s="77" t="e">
        <f>#REF!</f>
        <v>#REF!</v>
      </c>
      <c r="BN53" s="77" t="e">
        <f>#REF!</f>
        <v>#REF!</v>
      </c>
      <c r="BO53" s="77" t="e">
        <f>#REF!</f>
        <v>#REF!</v>
      </c>
      <c r="BP53" s="77" t="e">
        <f>#REF!</f>
        <v>#REF!</v>
      </c>
      <c r="BR53" s="123" t="str">
        <f t="shared" si="13"/>
        <v>FAI25B-3(DC)</v>
      </c>
      <c r="BS53" s="120">
        <f>OOC!G53</f>
        <v>1.32</v>
      </c>
      <c r="BT53" s="120">
        <f>OOC!H53</f>
        <v>1.26</v>
      </c>
      <c r="BU53" s="2" t="e">
        <f t="shared" si="14"/>
        <v>#REF!</v>
      </c>
      <c r="BV53" s="2" t="e">
        <f t="shared" si="15"/>
        <v>#REF!</v>
      </c>
      <c r="BW53" s="2" t="e">
        <f t="shared" si="16"/>
        <v>#REF!</v>
      </c>
      <c r="BX53" s="121"/>
    </row>
    <row r="54" spans="1:76" ht="15" customHeight="1">
      <c r="A54" s="13"/>
      <c r="B54" s="88"/>
      <c r="C54" s="78" t="s">
        <v>118</v>
      </c>
      <c r="D54" s="89" t="s">
        <v>117</v>
      </c>
      <c r="E54" s="90"/>
      <c r="F54" s="66" t="s">
        <v>44</v>
      </c>
      <c r="G54" s="91">
        <v>15.262</v>
      </c>
      <c r="H54" s="92" t="str">
        <f>IF(OOC!S54=0,"",OOC!S54)</f>
        <v/>
      </c>
      <c r="I54" s="92" t="str">
        <f>IF(OOC!T54=0,"",OOC!T54)</f>
        <v/>
      </c>
      <c r="J54" s="68" t="s">
        <v>12</v>
      </c>
      <c r="K54" s="69" t="s">
        <v>80</v>
      </c>
      <c r="L54" s="70" t="e">
        <f t="shared" si="0"/>
        <v>#VALUE!</v>
      </c>
      <c r="M54" s="70" t="e">
        <f t="shared" si="1"/>
        <v>#VALUE!</v>
      </c>
      <c r="N54" s="71"/>
      <c r="O54" s="2" t="e">
        <f t="shared" si="2"/>
        <v>#REF!</v>
      </c>
      <c r="P54" s="2" t="e">
        <f t="shared" si="3"/>
        <v>#REF!</v>
      </c>
      <c r="Q54" s="2" t="e">
        <f t="shared" si="4"/>
        <v>#REF!</v>
      </c>
      <c r="R54" s="3" t="e">
        <f t="shared" si="5"/>
        <v>#REF!</v>
      </c>
      <c r="S54" s="4" t="e">
        <f t="shared" si="10"/>
        <v>#REF!</v>
      </c>
      <c r="T54" s="84" t="e">
        <f t="shared" si="11"/>
        <v>#REF!</v>
      </c>
      <c r="U54" s="85" t="e">
        <f t="shared" si="12"/>
        <v>#REF!</v>
      </c>
      <c r="V54" s="4" t="e">
        <f t="shared" si="6"/>
        <v>#REF!</v>
      </c>
      <c r="W54" s="4" t="e">
        <f t="shared" si="7"/>
        <v>#REF!</v>
      </c>
      <c r="X54" s="4" t="e">
        <f t="shared" si="8"/>
        <v>#REF!</v>
      </c>
      <c r="Y54" s="62" t="e">
        <f t="shared" si="9"/>
        <v>#REF!</v>
      </c>
      <c r="Z54" s="22"/>
      <c r="AA54" s="22"/>
      <c r="AB54" s="22"/>
      <c r="AC54" s="22"/>
      <c r="AD54" s="19"/>
      <c r="AE54" s="14"/>
      <c r="AF54" s="74"/>
      <c r="AG54" s="49"/>
      <c r="AH54" s="49"/>
      <c r="AI54" s="50"/>
      <c r="AJ54" s="15"/>
      <c r="AK54" s="79" t="e">
        <f>#REF!</f>
        <v>#REF!</v>
      </c>
      <c r="AL54" s="79" t="e">
        <f>#REF!</f>
        <v>#REF!</v>
      </c>
      <c r="AM54" s="79" t="e">
        <f>#REF!</f>
        <v>#REF!</v>
      </c>
      <c r="AN54" s="79"/>
      <c r="AO54" s="79"/>
      <c r="AP54" s="79"/>
      <c r="AQ54" s="79"/>
      <c r="AR54" s="79"/>
      <c r="AS54" s="79"/>
      <c r="AT54" s="79"/>
      <c r="AU54" s="79"/>
      <c r="AV54" s="79"/>
      <c r="AW54" s="79"/>
      <c r="AX54" s="79"/>
      <c r="AY54" s="79"/>
      <c r="AZ54" s="79"/>
      <c r="BA54" s="79"/>
      <c r="BB54" s="79"/>
      <c r="BC54" s="79"/>
      <c r="BD54" s="79"/>
      <c r="BE54" s="79"/>
      <c r="BF54" s="79"/>
      <c r="BG54" s="79"/>
      <c r="BH54" s="79"/>
      <c r="BI54" s="79"/>
      <c r="BJ54" s="79"/>
      <c r="BK54" s="79"/>
      <c r="BL54" s="79"/>
      <c r="BM54" s="79"/>
      <c r="BN54" s="79"/>
      <c r="BO54" s="79"/>
      <c r="BP54" s="79"/>
      <c r="BR54" s="123" t="str">
        <f t="shared" si="13"/>
        <v>FAI26</v>
      </c>
      <c r="BS54" s="120">
        <f>OOC!G54</f>
        <v>15.292</v>
      </c>
      <c r="BT54" s="120">
        <f>OOC!H54</f>
        <v>15.232000000000001</v>
      </c>
      <c r="BU54" s="2" t="e">
        <f t="shared" si="14"/>
        <v>#REF!</v>
      </c>
      <c r="BV54" s="2" t="e">
        <f t="shared" si="15"/>
        <v>#REF!</v>
      </c>
      <c r="BW54" s="2" t="e">
        <f t="shared" si="16"/>
        <v>#REF!</v>
      </c>
      <c r="BX54" s="121" t="e">
        <f>IF(AND(IF(OOC!G54="",0,OOC!G54) &gt;= IF(O54="",0,O54), IF(O54="",0,O54) &gt; IF(L54="",0,L54)), "OOC",
IF(AND(IF(M54="",0,M54) &gt; IF(P54="",0,P54), IF(P54="",0,P54) &gt;= IF(OOC!H54="",0,OOC!H54)), "OOC",
IF(IF(O54="",0,O54) &gt; IF(OOC!G54="",0,OOC!G54), "OOS",
IF(IF(OOC!H54="",0,OOC!H54) &gt; IF(P54="",0,P54), "OOS", "OK"))))</f>
        <v>#REF!</v>
      </c>
    </row>
    <row r="55" spans="1:76" ht="15" customHeight="1">
      <c r="A55" s="13"/>
      <c r="B55" s="88"/>
      <c r="C55" s="78" t="s">
        <v>119</v>
      </c>
      <c r="D55" s="89" t="s">
        <v>117</v>
      </c>
      <c r="E55" s="90"/>
      <c r="F55" s="66" t="s">
        <v>44</v>
      </c>
      <c r="G55" s="91">
        <v>12.839</v>
      </c>
      <c r="H55" s="92" t="str">
        <f>IF(OOC!S55=0,"",OOC!S55)</f>
        <v/>
      </c>
      <c r="I55" s="92" t="str">
        <f>IF(OOC!T55=0,"",OOC!T55)</f>
        <v/>
      </c>
      <c r="J55" s="68" t="s">
        <v>12</v>
      </c>
      <c r="K55" s="69" t="s">
        <v>80</v>
      </c>
      <c r="L55" s="70" t="e">
        <f t="shared" si="0"/>
        <v>#VALUE!</v>
      </c>
      <c r="M55" s="70" t="e">
        <f t="shared" si="1"/>
        <v>#VALUE!</v>
      </c>
      <c r="N55" s="71"/>
      <c r="O55" s="2" t="e">
        <f t="shared" si="2"/>
        <v>#REF!</v>
      </c>
      <c r="P55" s="2" t="e">
        <f t="shared" si="3"/>
        <v>#REF!</v>
      </c>
      <c r="Q55" s="2" t="e">
        <f t="shared" si="4"/>
        <v>#REF!</v>
      </c>
      <c r="R55" s="3" t="e">
        <f t="shared" si="5"/>
        <v>#REF!</v>
      </c>
      <c r="S55" s="4" t="e">
        <f t="shared" si="10"/>
        <v>#REF!</v>
      </c>
      <c r="T55" s="84" t="e">
        <f t="shared" si="11"/>
        <v>#REF!</v>
      </c>
      <c r="U55" s="85" t="e">
        <f t="shared" si="12"/>
        <v>#REF!</v>
      </c>
      <c r="V55" s="4" t="e">
        <f t="shared" si="6"/>
        <v>#REF!</v>
      </c>
      <c r="W55" s="4" t="e">
        <f t="shared" si="7"/>
        <v>#REF!</v>
      </c>
      <c r="X55" s="4" t="e">
        <f t="shared" si="8"/>
        <v>#REF!</v>
      </c>
      <c r="Y55" s="62" t="e">
        <f t="shared" si="9"/>
        <v>#REF!</v>
      </c>
      <c r="Z55" s="22"/>
      <c r="AA55" s="22"/>
      <c r="AB55" s="22"/>
      <c r="AC55" s="22"/>
      <c r="AD55" s="19"/>
      <c r="AE55" s="14"/>
      <c r="AF55" s="74"/>
      <c r="AG55" s="49"/>
      <c r="AH55" s="49"/>
      <c r="AI55" s="50"/>
      <c r="AJ55" s="15"/>
      <c r="AK55" s="79" t="e">
        <f>#REF!</f>
        <v>#REF!</v>
      </c>
      <c r="AL55" s="79" t="e">
        <f>#REF!</f>
        <v>#REF!</v>
      </c>
      <c r="AM55" s="79" t="e">
        <f>#REF!</f>
        <v>#REF!</v>
      </c>
      <c r="AN55" s="77"/>
      <c r="AO55" s="77"/>
      <c r="AP55" s="77"/>
      <c r="AQ55" s="77"/>
      <c r="AR55" s="77"/>
      <c r="AS55" s="77"/>
      <c r="AT55" s="77"/>
      <c r="AU55" s="77"/>
      <c r="AV55" s="77"/>
      <c r="AW55" s="77"/>
      <c r="AX55" s="77"/>
      <c r="AY55" s="77"/>
      <c r="AZ55" s="77"/>
      <c r="BA55" s="77"/>
      <c r="BB55" s="77"/>
      <c r="BC55" s="77"/>
      <c r="BD55" s="77"/>
      <c r="BE55" s="77"/>
      <c r="BF55" s="77"/>
      <c r="BG55" s="77"/>
      <c r="BH55" s="77"/>
      <c r="BI55" s="77"/>
      <c r="BJ55" s="77"/>
      <c r="BK55" s="77"/>
      <c r="BL55" s="77"/>
      <c r="BM55" s="77"/>
      <c r="BN55" s="77"/>
      <c r="BO55" s="77"/>
      <c r="BP55" s="77"/>
      <c r="BR55" s="123" t="str">
        <f t="shared" si="13"/>
        <v>FAI27</v>
      </c>
      <c r="BS55" s="120">
        <f>OOC!G55</f>
        <v>12.869</v>
      </c>
      <c r="BT55" s="120">
        <f>OOC!H55</f>
        <v>12.809000000000001</v>
      </c>
      <c r="BU55" s="2" t="e">
        <f t="shared" si="14"/>
        <v>#REF!</v>
      </c>
      <c r="BV55" s="2" t="e">
        <f t="shared" si="15"/>
        <v>#REF!</v>
      </c>
      <c r="BW55" s="2" t="e">
        <f t="shared" si="16"/>
        <v>#REF!</v>
      </c>
      <c r="BX55" s="121" t="e">
        <f>IF(AND(IF(OOC!G55="",0,OOC!G55) &gt;= IF(O55="",0,O55), IF(O55="",0,O55) &gt; IF(L55="",0,L55)), "OOC",
IF(AND(IF(M55="",0,M55) &gt; IF(P55="",0,P55), IF(P55="",0,P55) &gt;= IF(OOC!H55="",0,OOC!H55)), "OOC",
IF(IF(O55="",0,O55) &gt; IF(OOC!G55="",0,OOC!G55), "OOS",
IF(IF(OOC!H55="",0,OOC!H55) &gt; IF(P55="",0,P55), "OOS", "OK"))))</f>
        <v>#REF!</v>
      </c>
    </row>
    <row r="56" spans="1:76" ht="15" customHeight="1">
      <c r="A56" s="13"/>
      <c r="B56" s="88"/>
      <c r="C56" s="78" t="s">
        <v>120</v>
      </c>
      <c r="D56" s="89" t="s">
        <v>117</v>
      </c>
      <c r="E56" s="90"/>
      <c r="F56" s="66" t="s">
        <v>44</v>
      </c>
      <c r="G56" s="91">
        <v>2.6269999999999998</v>
      </c>
      <c r="H56" s="92" t="str">
        <f>IF(OOC!S56=0,"",OOC!S56)</f>
        <v/>
      </c>
      <c r="I56" s="92" t="str">
        <f>IF(OOC!T56=0,"",OOC!T56)</f>
        <v/>
      </c>
      <c r="J56" s="68" t="s">
        <v>12</v>
      </c>
      <c r="K56" s="69" t="s">
        <v>80</v>
      </c>
      <c r="L56" s="70" t="e">
        <f t="shared" si="0"/>
        <v>#VALUE!</v>
      </c>
      <c r="M56" s="70" t="e">
        <f t="shared" si="1"/>
        <v>#VALUE!</v>
      </c>
      <c r="N56" s="71"/>
      <c r="O56" s="2" t="e">
        <f t="shared" si="2"/>
        <v>#REF!</v>
      </c>
      <c r="P56" s="2" t="e">
        <f t="shared" si="3"/>
        <v>#REF!</v>
      </c>
      <c r="Q56" s="2" t="e">
        <f t="shared" si="4"/>
        <v>#REF!</v>
      </c>
      <c r="R56" s="3" t="e">
        <f t="shared" si="5"/>
        <v>#REF!</v>
      </c>
      <c r="S56" s="4" t="e">
        <f t="shared" si="10"/>
        <v>#REF!</v>
      </c>
      <c r="T56" s="84" t="e">
        <f t="shared" si="11"/>
        <v>#REF!</v>
      </c>
      <c r="U56" s="85" t="e">
        <f t="shared" si="12"/>
        <v>#REF!</v>
      </c>
      <c r="V56" s="4" t="e">
        <f t="shared" si="6"/>
        <v>#REF!</v>
      </c>
      <c r="W56" s="4" t="e">
        <f t="shared" si="7"/>
        <v>#REF!</v>
      </c>
      <c r="X56" s="4" t="e">
        <f t="shared" si="8"/>
        <v>#REF!</v>
      </c>
      <c r="Y56" s="62" t="e">
        <f t="shared" si="9"/>
        <v>#REF!</v>
      </c>
      <c r="Z56" s="22"/>
      <c r="AA56" s="22"/>
      <c r="AB56" s="22"/>
      <c r="AC56" s="22"/>
      <c r="AD56" s="19"/>
      <c r="AE56" s="14"/>
      <c r="AF56" s="72"/>
      <c r="AG56" s="49"/>
      <c r="AH56" s="49"/>
      <c r="AI56" s="50"/>
      <c r="AJ56" s="15"/>
      <c r="AK56" s="79" t="e">
        <f>#REF!</f>
        <v>#REF!</v>
      </c>
      <c r="AL56" s="79" t="e">
        <f>#REF!</f>
        <v>#REF!</v>
      </c>
      <c r="AM56" s="79" t="e">
        <f>#REF!</f>
        <v>#REF!</v>
      </c>
      <c r="AN56" s="80"/>
      <c r="AO56" s="80"/>
      <c r="AP56" s="80"/>
      <c r="AQ56" s="80"/>
      <c r="AR56" s="80"/>
      <c r="AS56" s="80"/>
      <c r="AT56" s="80"/>
      <c r="AU56" s="80"/>
      <c r="AV56" s="80"/>
      <c r="AW56" s="80"/>
      <c r="AX56" s="80"/>
      <c r="AY56" s="80"/>
      <c r="AZ56" s="80"/>
      <c r="BA56" s="80"/>
      <c r="BB56" s="80"/>
      <c r="BC56" s="80"/>
      <c r="BD56" s="80"/>
      <c r="BE56" s="80"/>
      <c r="BF56" s="80"/>
      <c r="BG56" s="80"/>
      <c r="BH56" s="80"/>
      <c r="BI56" s="80"/>
      <c r="BJ56" s="80"/>
      <c r="BK56" s="80"/>
      <c r="BL56" s="80"/>
      <c r="BM56" s="80"/>
      <c r="BN56" s="80"/>
      <c r="BO56" s="80"/>
      <c r="BP56" s="80"/>
      <c r="BR56" s="123" t="str">
        <f t="shared" si="13"/>
        <v>FAI28</v>
      </c>
      <c r="BS56" s="120">
        <f>OOC!G56</f>
        <v>2.6569999999999996</v>
      </c>
      <c r="BT56" s="120">
        <f>OOC!H56</f>
        <v>2.597</v>
      </c>
      <c r="BU56" s="2" t="e">
        <f t="shared" si="14"/>
        <v>#REF!</v>
      </c>
      <c r="BV56" s="2" t="e">
        <f t="shared" si="15"/>
        <v>#REF!</v>
      </c>
      <c r="BW56" s="2" t="e">
        <f t="shared" si="16"/>
        <v>#REF!</v>
      </c>
      <c r="BX56" s="121" t="e">
        <f>IF(AND(IF(OOC!G56="",0,OOC!G56) &gt;= IF(O56="",0,O56), IF(O56="",0,O56) &gt; IF(L56="",0,L56)), "OOC",
IF(AND(IF(M56="",0,M56) &gt; IF(P56="",0,P56), IF(P56="",0,P56) &gt;= IF(OOC!H56="",0,OOC!H56)), "OOC",
IF(IF(O56="",0,O56) &gt; IF(OOC!G56="",0,OOC!G56), "OOS",
IF(IF(OOC!H56="",0,OOC!H56) &gt; IF(P56="",0,P56), "OOS", "OK"))))</f>
        <v>#REF!</v>
      </c>
    </row>
    <row r="57" spans="1:76" ht="15" customHeight="1">
      <c r="A57" s="13"/>
      <c r="B57" s="88"/>
      <c r="C57" s="78"/>
      <c r="D57" s="89"/>
      <c r="E57" s="90"/>
      <c r="F57" s="66"/>
      <c r="G57" s="91"/>
      <c r="H57" s="92"/>
      <c r="I57" s="92"/>
      <c r="J57" s="68"/>
      <c r="K57" s="69"/>
      <c r="L57" s="70"/>
      <c r="M57" s="70"/>
      <c r="N57" s="71"/>
      <c r="O57" s="2"/>
      <c r="P57" s="2"/>
      <c r="Q57" s="2"/>
      <c r="R57" s="3"/>
      <c r="S57" s="4"/>
      <c r="T57" s="84"/>
      <c r="U57" s="85"/>
      <c r="V57" s="4"/>
      <c r="W57" s="4"/>
      <c r="X57" s="4"/>
      <c r="Y57" s="62"/>
      <c r="Z57" s="22"/>
      <c r="AA57" s="22"/>
      <c r="AB57" s="22"/>
      <c r="AC57" s="22"/>
      <c r="AD57" s="19"/>
      <c r="AE57" s="14"/>
      <c r="AF57" s="72"/>
      <c r="AG57" s="49"/>
      <c r="AH57" s="49"/>
      <c r="AI57" s="50"/>
      <c r="AJ57" s="15"/>
      <c r="AK57" s="77"/>
      <c r="AL57" s="77"/>
      <c r="AM57" s="77"/>
      <c r="AN57" s="77"/>
      <c r="AO57" s="77"/>
      <c r="AP57" s="77"/>
      <c r="AQ57" s="77"/>
      <c r="AR57" s="77"/>
      <c r="AS57" s="77"/>
      <c r="AT57" s="77"/>
      <c r="AU57" s="77"/>
      <c r="AV57" s="77"/>
      <c r="AW57" s="77"/>
      <c r="AX57" s="77"/>
      <c r="AY57" s="77"/>
      <c r="AZ57" s="77"/>
      <c r="BA57" s="77"/>
      <c r="BB57" s="77"/>
      <c r="BC57" s="77"/>
      <c r="BD57" s="77"/>
      <c r="BE57" s="77"/>
      <c r="BF57" s="77"/>
      <c r="BG57" s="77"/>
      <c r="BH57" s="77"/>
      <c r="BI57" s="77"/>
      <c r="BJ57" s="77"/>
      <c r="BK57" s="77"/>
      <c r="BL57" s="77"/>
      <c r="BM57" s="77"/>
      <c r="BN57" s="77"/>
      <c r="BO57" s="77"/>
      <c r="BP57" s="77"/>
      <c r="BR57" s="123"/>
      <c r="BS57" s="120"/>
      <c r="BT57" s="120"/>
      <c r="BU57" s="2"/>
      <c r="BV57" s="2"/>
      <c r="BW57" s="2"/>
      <c r="BX57" s="121"/>
    </row>
    <row r="58" spans="1:76" ht="15" customHeight="1">
      <c r="A58" s="13"/>
      <c r="B58" s="88"/>
      <c r="C58" s="78"/>
      <c r="D58" s="89"/>
      <c r="E58" s="90"/>
      <c r="F58" s="66"/>
      <c r="G58" s="91"/>
      <c r="H58" s="92"/>
      <c r="I58" s="92"/>
      <c r="J58" s="68"/>
      <c r="K58" s="69"/>
      <c r="L58" s="70"/>
      <c r="M58" s="70"/>
      <c r="N58" s="71"/>
      <c r="O58" s="2"/>
      <c r="P58" s="2"/>
      <c r="Q58" s="2"/>
      <c r="R58" s="3"/>
      <c r="S58" s="4"/>
      <c r="T58" s="84"/>
      <c r="U58" s="85"/>
      <c r="V58" s="4"/>
      <c r="W58" s="4"/>
      <c r="X58" s="4"/>
      <c r="Y58" s="62"/>
      <c r="Z58" s="22"/>
      <c r="AA58" s="22"/>
      <c r="AB58" s="22"/>
      <c r="AC58" s="22"/>
      <c r="AD58" s="19"/>
      <c r="AE58" s="14"/>
      <c r="AF58" s="72"/>
      <c r="AG58" s="49"/>
      <c r="AH58" s="49"/>
      <c r="AI58" s="50"/>
      <c r="AJ58" s="15"/>
      <c r="AK58" s="77"/>
      <c r="AL58" s="77"/>
      <c r="AM58" s="77"/>
      <c r="AN58" s="77"/>
      <c r="AO58" s="77"/>
      <c r="AP58" s="77"/>
      <c r="AQ58" s="77"/>
      <c r="AR58" s="77"/>
      <c r="AS58" s="77"/>
      <c r="AT58" s="77"/>
      <c r="AU58" s="77"/>
      <c r="AV58" s="77"/>
      <c r="AW58" s="77"/>
      <c r="AX58" s="77"/>
      <c r="AY58" s="77"/>
      <c r="AZ58" s="77"/>
      <c r="BA58" s="77"/>
      <c r="BB58" s="77"/>
      <c r="BC58" s="77"/>
      <c r="BD58" s="77"/>
      <c r="BE58" s="77"/>
      <c r="BF58" s="77"/>
      <c r="BG58" s="77"/>
      <c r="BH58" s="77"/>
      <c r="BI58" s="77"/>
      <c r="BJ58" s="77"/>
      <c r="BK58" s="77"/>
      <c r="BL58" s="77"/>
      <c r="BM58" s="77"/>
      <c r="BN58" s="77"/>
      <c r="BO58" s="77"/>
      <c r="BP58" s="77"/>
      <c r="BR58" s="123"/>
      <c r="BS58" s="120"/>
      <c r="BT58" s="120"/>
      <c r="BU58" s="2"/>
      <c r="BV58" s="2"/>
      <c r="BW58" s="2"/>
      <c r="BX58" s="121"/>
    </row>
    <row r="59" spans="1:76" ht="15" customHeight="1">
      <c r="A59" s="13"/>
      <c r="B59" s="88"/>
      <c r="C59" s="78"/>
      <c r="D59" s="89"/>
      <c r="E59" s="90"/>
      <c r="F59" s="66"/>
      <c r="G59" s="91"/>
      <c r="H59" s="92"/>
      <c r="I59" s="92"/>
      <c r="J59" s="68"/>
      <c r="K59" s="69"/>
      <c r="L59" s="70"/>
      <c r="M59" s="70"/>
      <c r="N59" s="71"/>
      <c r="O59" s="2"/>
      <c r="P59" s="2"/>
      <c r="Q59" s="2"/>
      <c r="R59" s="3"/>
      <c r="S59" s="4"/>
      <c r="T59" s="84"/>
      <c r="U59" s="85"/>
      <c r="V59" s="4"/>
      <c r="W59" s="4"/>
      <c r="X59" s="4"/>
      <c r="Y59" s="62"/>
      <c r="Z59" s="22"/>
      <c r="AA59" s="22"/>
      <c r="AB59" s="22"/>
      <c r="AC59" s="22"/>
      <c r="AD59" s="19"/>
      <c r="AE59" s="14"/>
      <c r="AF59" s="72"/>
      <c r="AG59" s="49"/>
      <c r="AH59" s="49"/>
      <c r="AI59" s="50"/>
      <c r="AJ59" s="15"/>
      <c r="AK59" s="77"/>
      <c r="AL59" s="77"/>
      <c r="AM59" s="77"/>
      <c r="AN59" s="77"/>
      <c r="AO59" s="77"/>
      <c r="AP59" s="77"/>
      <c r="AQ59" s="77"/>
      <c r="AR59" s="77"/>
      <c r="AS59" s="77"/>
      <c r="AT59" s="77"/>
      <c r="AU59" s="77"/>
      <c r="AV59" s="77"/>
      <c r="AW59" s="77"/>
      <c r="AX59" s="77"/>
      <c r="AY59" s="77"/>
      <c r="AZ59" s="77"/>
      <c r="BA59" s="77"/>
      <c r="BB59" s="77"/>
      <c r="BC59" s="77"/>
      <c r="BD59" s="77"/>
      <c r="BE59" s="77"/>
      <c r="BF59" s="77"/>
      <c r="BG59" s="77"/>
      <c r="BH59" s="77"/>
      <c r="BI59" s="77"/>
      <c r="BJ59" s="77"/>
      <c r="BK59" s="77"/>
      <c r="BL59" s="77"/>
      <c r="BM59" s="77"/>
      <c r="BN59" s="77"/>
      <c r="BO59" s="77"/>
      <c r="BP59" s="77"/>
      <c r="BR59" s="123"/>
      <c r="BS59" s="120"/>
      <c r="BT59" s="120"/>
      <c r="BU59" s="2"/>
      <c r="BV59" s="2"/>
      <c r="BW59" s="2"/>
      <c r="BX59" s="121"/>
    </row>
    <row r="60" spans="1:76" ht="15" customHeight="1">
      <c r="A60" s="13"/>
      <c r="B60" s="88"/>
      <c r="C60" s="78"/>
      <c r="D60" s="89"/>
      <c r="E60" s="90"/>
      <c r="F60" s="66"/>
      <c r="G60" s="91"/>
      <c r="H60" s="92"/>
      <c r="I60" s="92"/>
      <c r="J60" s="68"/>
      <c r="K60" s="69"/>
      <c r="L60" s="70"/>
      <c r="M60" s="70"/>
      <c r="N60" s="71"/>
      <c r="O60" s="2"/>
      <c r="P60" s="2"/>
      <c r="Q60" s="2"/>
      <c r="R60" s="3"/>
      <c r="S60" s="4"/>
      <c r="T60" s="84"/>
      <c r="U60" s="85"/>
      <c r="V60" s="4"/>
      <c r="W60" s="4"/>
      <c r="X60" s="4"/>
      <c r="Y60" s="62"/>
      <c r="Z60" s="22"/>
      <c r="AA60" s="22"/>
      <c r="AB60" s="22"/>
      <c r="AC60" s="22"/>
      <c r="AD60" s="19"/>
      <c r="AE60" s="14"/>
      <c r="AF60" s="72"/>
      <c r="AG60" s="49"/>
      <c r="AH60" s="49"/>
      <c r="AI60" s="50"/>
      <c r="AJ60" s="15"/>
      <c r="AK60" s="77"/>
      <c r="AL60" s="77"/>
      <c r="AM60" s="77"/>
      <c r="AN60" s="77"/>
      <c r="AO60" s="77"/>
      <c r="AP60" s="77"/>
      <c r="AQ60" s="77"/>
      <c r="AR60" s="77"/>
      <c r="AS60" s="77"/>
      <c r="AT60" s="77"/>
      <c r="AU60" s="77"/>
      <c r="AV60" s="77"/>
      <c r="AW60" s="77"/>
      <c r="AX60" s="77"/>
      <c r="AY60" s="77"/>
      <c r="AZ60" s="77"/>
      <c r="BA60" s="77"/>
      <c r="BB60" s="77"/>
      <c r="BC60" s="77"/>
      <c r="BD60" s="77"/>
      <c r="BE60" s="77"/>
      <c r="BF60" s="77"/>
      <c r="BG60" s="77"/>
      <c r="BH60" s="77"/>
      <c r="BI60" s="77"/>
      <c r="BJ60" s="77"/>
      <c r="BK60" s="77"/>
      <c r="BL60" s="77"/>
      <c r="BM60" s="77"/>
      <c r="BN60" s="77"/>
      <c r="BO60" s="77"/>
      <c r="BP60" s="77"/>
      <c r="BR60" s="123"/>
      <c r="BS60" s="120"/>
      <c r="BT60" s="120"/>
      <c r="BU60" s="2"/>
      <c r="BV60" s="2"/>
      <c r="BW60" s="2"/>
      <c r="BX60" s="121"/>
    </row>
    <row r="61" spans="1:76" ht="15" customHeight="1">
      <c r="A61" s="13"/>
      <c r="B61" s="88"/>
      <c r="C61" s="78"/>
      <c r="D61" s="89"/>
      <c r="E61" s="90"/>
      <c r="F61" s="66"/>
      <c r="G61" s="91"/>
      <c r="H61" s="92"/>
      <c r="I61" s="92"/>
      <c r="J61" s="68"/>
      <c r="K61" s="69"/>
      <c r="L61" s="70"/>
      <c r="M61" s="70"/>
      <c r="N61" s="71"/>
      <c r="O61" s="2"/>
      <c r="P61" s="2"/>
      <c r="Q61" s="2"/>
      <c r="R61" s="3"/>
      <c r="S61" s="4"/>
      <c r="T61" s="84"/>
      <c r="U61" s="85"/>
      <c r="V61" s="4"/>
      <c r="W61" s="4"/>
      <c r="X61" s="4"/>
      <c r="Y61" s="62"/>
      <c r="Z61" s="22"/>
      <c r="AA61" s="22"/>
      <c r="AB61" s="22"/>
      <c r="AC61" s="22"/>
      <c r="AD61" s="19"/>
      <c r="AE61" s="14"/>
      <c r="AF61" s="72"/>
      <c r="AG61" s="49"/>
      <c r="AH61" s="49"/>
      <c r="AI61" s="50"/>
      <c r="AJ61" s="15"/>
      <c r="AK61" s="77"/>
      <c r="AL61" s="77"/>
      <c r="AM61" s="77"/>
      <c r="AN61" s="77"/>
      <c r="AO61" s="77"/>
      <c r="AP61" s="77"/>
      <c r="AQ61" s="77"/>
      <c r="AR61" s="77"/>
      <c r="AS61" s="77"/>
      <c r="AT61" s="77"/>
      <c r="AU61" s="77"/>
      <c r="AV61" s="77"/>
      <c r="AW61" s="77"/>
      <c r="AX61" s="77"/>
      <c r="AY61" s="77"/>
      <c r="AZ61" s="77"/>
      <c r="BA61" s="77"/>
      <c r="BB61" s="77"/>
      <c r="BC61" s="77"/>
      <c r="BD61" s="77"/>
      <c r="BE61" s="77"/>
      <c r="BF61" s="77"/>
      <c r="BG61" s="77"/>
      <c r="BH61" s="77"/>
      <c r="BI61" s="77"/>
      <c r="BJ61" s="77"/>
      <c r="BK61" s="77"/>
      <c r="BL61" s="77"/>
      <c r="BM61" s="77"/>
      <c r="BN61" s="77"/>
      <c r="BO61" s="77"/>
      <c r="BP61" s="77"/>
      <c r="BR61" s="123"/>
      <c r="BS61" s="120"/>
      <c r="BT61" s="120"/>
      <c r="BU61" s="2"/>
      <c r="BV61" s="2"/>
      <c r="BW61" s="2"/>
      <c r="BX61" s="121"/>
    </row>
    <row r="62" spans="1:76" ht="15" customHeight="1">
      <c r="A62" s="13"/>
      <c r="B62" s="88"/>
      <c r="C62" s="78"/>
      <c r="D62" s="89"/>
      <c r="E62" s="90"/>
      <c r="F62" s="66"/>
      <c r="G62" s="91"/>
      <c r="H62" s="92"/>
      <c r="I62" s="92"/>
      <c r="J62" s="68"/>
      <c r="K62" s="69"/>
      <c r="L62" s="70"/>
      <c r="M62" s="70"/>
      <c r="N62" s="71"/>
      <c r="O62" s="2"/>
      <c r="P62" s="2"/>
      <c r="Q62" s="2"/>
      <c r="R62" s="3"/>
      <c r="S62" s="4"/>
      <c r="T62" s="84"/>
      <c r="U62" s="85"/>
      <c r="V62" s="4"/>
      <c r="W62" s="4"/>
      <c r="X62" s="4"/>
      <c r="Y62" s="62"/>
      <c r="Z62" s="22"/>
      <c r="AA62" s="22"/>
      <c r="AB62" s="22"/>
      <c r="AC62" s="22"/>
      <c r="AD62" s="19"/>
      <c r="AE62" s="14"/>
      <c r="AF62" s="72"/>
      <c r="AG62" s="49"/>
      <c r="AH62" s="49"/>
      <c r="AI62" s="50"/>
      <c r="AJ62" s="15"/>
      <c r="AK62" s="77"/>
      <c r="AL62" s="77"/>
      <c r="AM62" s="77"/>
      <c r="AN62" s="77"/>
      <c r="AO62" s="77"/>
      <c r="AP62" s="77"/>
      <c r="AQ62" s="77"/>
      <c r="AR62" s="77"/>
      <c r="AS62" s="77"/>
      <c r="AT62" s="77"/>
      <c r="AU62" s="77"/>
      <c r="AV62" s="77"/>
      <c r="AW62" s="77"/>
      <c r="AX62" s="77"/>
      <c r="AY62" s="77"/>
      <c r="AZ62" s="77"/>
      <c r="BA62" s="77"/>
      <c r="BB62" s="77"/>
      <c r="BC62" s="77"/>
      <c r="BD62" s="77"/>
      <c r="BE62" s="77"/>
      <c r="BF62" s="77"/>
      <c r="BG62" s="77"/>
      <c r="BH62" s="77"/>
      <c r="BI62" s="77"/>
      <c r="BJ62" s="77"/>
      <c r="BK62" s="77"/>
      <c r="BL62" s="77"/>
      <c r="BM62" s="77"/>
      <c r="BN62" s="77"/>
      <c r="BO62" s="77"/>
      <c r="BP62" s="77"/>
      <c r="BR62" s="123"/>
      <c r="BS62" s="120"/>
      <c r="BT62" s="120"/>
      <c r="BU62" s="2"/>
      <c r="BV62" s="2"/>
      <c r="BW62" s="2"/>
      <c r="BX62" s="121"/>
    </row>
    <row r="63" spans="1:76" ht="15" customHeight="1">
      <c r="A63" s="13"/>
      <c r="B63" s="88"/>
      <c r="C63" s="78"/>
      <c r="D63" s="89"/>
      <c r="E63" s="90"/>
      <c r="F63" s="66"/>
      <c r="G63" s="91"/>
      <c r="H63" s="92"/>
      <c r="I63" s="92"/>
      <c r="J63" s="68"/>
      <c r="K63" s="69"/>
      <c r="L63" s="70"/>
      <c r="M63" s="70"/>
      <c r="N63" s="71"/>
      <c r="O63" s="2"/>
      <c r="P63" s="2"/>
      <c r="Q63" s="2"/>
      <c r="R63" s="3"/>
      <c r="S63" s="4"/>
      <c r="T63" s="84"/>
      <c r="U63" s="85"/>
      <c r="V63" s="4"/>
      <c r="W63" s="4"/>
      <c r="X63" s="4"/>
      <c r="Y63" s="62"/>
      <c r="Z63" s="22"/>
      <c r="AA63" s="22"/>
      <c r="AB63" s="22"/>
      <c r="AC63" s="22"/>
      <c r="AD63" s="19"/>
      <c r="AE63" s="14"/>
      <c r="AF63" s="72"/>
      <c r="AG63" s="49"/>
      <c r="AH63" s="49"/>
      <c r="AI63" s="50"/>
      <c r="AJ63" s="15"/>
      <c r="AK63" s="77"/>
      <c r="AL63" s="77"/>
      <c r="AM63" s="77"/>
      <c r="AN63" s="77"/>
      <c r="AO63" s="77"/>
      <c r="AP63" s="77"/>
      <c r="AQ63" s="77"/>
      <c r="AR63" s="77"/>
      <c r="AS63" s="77"/>
      <c r="AT63" s="77"/>
      <c r="AU63" s="77"/>
      <c r="AV63" s="77"/>
      <c r="AW63" s="77"/>
      <c r="AX63" s="77"/>
      <c r="AY63" s="77"/>
      <c r="AZ63" s="77"/>
      <c r="BA63" s="77"/>
      <c r="BB63" s="77"/>
      <c r="BC63" s="77"/>
      <c r="BD63" s="77"/>
      <c r="BE63" s="77"/>
      <c r="BF63" s="77"/>
      <c r="BG63" s="77"/>
      <c r="BH63" s="77"/>
      <c r="BI63" s="77"/>
      <c r="BJ63" s="77"/>
      <c r="BK63" s="77"/>
      <c r="BL63" s="77"/>
      <c r="BM63" s="77"/>
      <c r="BN63" s="77"/>
      <c r="BO63" s="77"/>
      <c r="BP63" s="77"/>
      <c r="BR63" s="123"/>
      <c r="BS63" s="120"/>
      <c r="BT63" s="120"/>
      <c r="BU63" s="2"/>
      <c r="BV63" s="2"/>
      <c r="BW63" s="2"/>
      <c r="BX63" s="121"/>
    </row>
    <row r="64" spans="1:76" ht="15" customHeight="1">
      <c r="A64" s="13"/>
      <c r="B64" s="88"/>
      <c r="C64" s="78"/>
      <c r="D64" s="89"/>
      <c r="E64" s="90"/>
      <c r="F64" s="66"/>
      <c r="G64" s="91"/>
      <c r="H64" s="92"/>
      <c r="I64" s="92"/>
      <c r="J64" s="68"/>
      <c r="K64" s="69"/>
      <c r="L64" s="70"/>
      <c r="M64" s="70"/>
      <c r="N64" s="71"/>
      <c r="O64" s="2"/>
      <c r="P64" s="2"/>
      <c r="Q64" s="2"/>
      <c r="R64" s="3"/>
      <c r="S64" s="4"/>
      <c r="T64" s="84"/>
      <c r="U64" s="85"/>
      <c r="V64" s="4"/>
      <c r="W64" s="4"/>
      <c r="X64" s="4"/>
      <c r="Y64" s="62"/>
      <c r="Z64" s="22"/>
      <c r="AA64" s="22"/>
      <c r="AB64" s="22"/>
      <c r="AC64" s="22"/>
      <c r="AD64" s="19"/>
      <c r="AE64" s="14"/>
      <c r="AF64" s="72"/>
      <c r="AG64" s="49"/>
      <c r="AH64" s="49"/>
      <c r="AI64" s="50"/>
      <c r="AJ64" s="15"/>
      <c r="AK64" s="77"/>
      <c r="AL64" s="77"/>
      <c r="AM64" s="77"/>
      <c r="AN64" s="77"/>
      <c r="AO64" s="77"/>
      <c r="AP64" s="77"/>
      <c r="AQ64" s="77"/>
      <c r="AR64" s="77"/>
      <c r="AS64" s="77"/>
      <c r="AT64" s="77"/>
      <c r="AU64" s="77"/>
      <c r="AV64" s="77"/>
      <c r="AW64" s="77"/>
      <c r="AX64" s="77"/>
      <c r="AY64" s="77"/>
      <c r="AZ64" s="77"/>
      <c r="BA64" s="77"/>
      <c r="BB64" s="77"/>
      <c r="BC64" s="77"/>
      <c r="BD64" s="77"/>
      <c r="BE64" s="77"/>
      <c r="BF64" s="77"/>
      <c r="BG64" s="77"/>
      <c r="BH64" s="77"/>
      <c r="BI64" s="77"/>
      <c r="BJ64" s="77"/>
      <c r="BK64" s="77"/>
      <c r="BL64" s="77"/>
      <c r="BM64" s="77"/>
      <c r="BN64" s="77"/>
      <c r="BO64" s="77"/>
      <c r="BP64" s="77"/>
      <c r="BR64" s="123"/>
      <c r="BS64" s="120"/>
      <c r="BT64" s="120"/>
      <c r="BU64" s="2"/>
      <c r="BV64" s="2"/>
      <c r="BW64" s="2"/>
      <c r="BX64" s="121"/>
    </row>
    <row r="65" spans="1:76" ht="15" customHeight="1">
      <c r="A65" s="13"/>
      <c r="B65" s="88"/>
      <c r="C65" s="78"/>
      <c r="D65" s="89"/>
      <c r="E65" s="90"/>
      <c r="F65" s="66"/>
      <c r="G65" s="91"/>
      <c r="H65" s="92"/>
      <c r="I65" s="92"/>
      <c r="J65" s="68"/>
      <c r="K65" s="69"/>
      <c r="L65" s="70"/>
      <c r="M65" s="70"/>
      <c r="N65" s="71"/>
      <c r="O65" s="2"/>
      <c r="P65" s="2"/>
      <c r="Q65" s="2"/>
      <c r="R65" s="3"/>
      <c r="S65" s="4"/>
      <c r="T65" s="84"/>
      <c r="U65" s="85"/>
      <c r="V65" s="4"/>
      <c r="W65" s="4"/>
      <c r="X65" s="4"/>
      <c r="Y65" s="62"/>
      <c r="Z65" s="22"/>
      <c r="AA65" s="22"/>
      <c r="AB65" s="22"/>
      <c r="AC65" s="22"/>
      <c r="AD65" s="19"/>
      <c r="AE65" s="14"/>
      <c r="AF65" s="72"/>
      <c r="AG65" s="49"/>
      <c r="AH65" s="49"/>
      <c r="AI65" s="50"/>
      <c r="AJ65" s="15"/>
      <c r="AK65" s="77"/>
      <c r="AL65" s="77"/>
      <c r="AM65" s="77"/>
      <c r="AN65" s="77"/>
      <c r="AO65" s="77"/>
      <c r="AP65" s="77"/>
      <c r="AQ65" s="77"/>
      <c r="AR65" s="77"/>
      <c r="AS65" s="77"/>
      <c r="AT65" s="77"/>
      <c r="AU65" s="77"/>
      <c r="AV65" s="77"/>
      <c r="AW65" s="77"/>
      <c r="AX65" s="77"/>
      <c r="AY65" s="77"/>
      <c r="AZ65" s="77"/>
      <c r="BA65" s="77"/>
      <c r="BB65" s="77"/>
      <c r="BC65" s="77"/>
      <c r="BD65" s="77"/>
      <c r="BE65" s="77"/>
      <c r="BF65" s="77"/>
      <c r="BG65" s="77"/>
      <c r="BH65" s="77"/>
      <c r="BI65" s="77"/>
      <c r="BJ65" s="77"/>
      <c r="BK65" s="77"/>
      <c r="BL65" s="77"/>
      <c r="BM65" s="77"/>
      <c r="BN65" s="77"/>
      <c r="BO65" s="77"/>
      <c r="BP65" s="77"/>
      <c r="BR65" s="123"/>
      <c r="BS65" s="120"/>
      <c r="BT65" s="120"/>
      <c r="BU65" s="2"/>
      <c r="BV65" s="2"/>
      <c r="BW65" s="2"/>
      <c r="BX65" s="121"/>
    </row>
    <row r="66" spans="1:76" ht="15" customHeight="1">
      <c r="A66" s="13"/>
      <c r="B66" s="88"/>
      <c r="C66" s="78"/>
      <c r="D66" s="89"/>
      <c r="E66" s="90"/>
      <c r="F66" s="66"/>
      <c r="G66" s="91"/>
      <c r="H66" s="92"/>
      <c r="I66" s="92"/>
      <c r="J66" s="68"/>
      <c r="K66" s="69"/>
      <c r="L66" s="70"/>
      <c r="M66" s="70"/>
      <c r="N66" s="71"/>
      <c r="O66" s="2"/>
      <c r="P66" s="2"/>
      <c r="Q66" s="2"/>
      <c r="R66" s="3"/>
      <c r="S66" s="4"/>
      <c r="T66" s="84"/>
      <c r="U66" s="85"/>
      <c r="V66" s="4"/>
      <c r="W66" s="4"/>
      <c r="X66" s="4"/>
      <c r="Y66" s="62"/>
      <c r="Z66" s="22"/>
      <c r="AA66" s="22"/>
      <c r="AB66" s="22"/>
      <c r="AC66" s="22"/>
      <c r="AD66" s="19"/>
      <c r="AE66" s="14"/>
      <c r="AF66" s="72"/>
      <c r="AG66" s="49"/>
      <c r="AH66" s="49"/>
      <c r="AI66" s="50"/>
      <c r="AJ66" s="15"/>
      <c r="AK66" s="77"/>
      <c r="AL66" s="77"/>
      <c r="AM66" s="77"/>
      <c r="AN66" s="77"/>
      <c r="AO66" s="77"/>
      <c r="AP66" s="77"/>
      <c r="AQ66" s="77"/>
      <c r="AR66" s="77"/>
      <c r="AS66" s="77"/>
      <c r="AT66" s="77"/>
      <c r="AU66" s="77"/>
      <c r="AV66" s="77"/>
      <c r="AW66" s="77"/>
      <c r="AX66" s="77"/>
      <c r="AY66" s="77"/>
      <c r="AZ66" s="77"/>
      <c r="BA66" s="77"/>
      <c r="BB66" s="77"/>
      <c r="BC66" s="77"/>
      <c r="BD66" s="77"/>
      <c r="BE66" s="77"/>
      <c r="BF66" s="77"/>
      <c r="BG66" s="77"/>
      <c r="BH66" s="77"/>
      <c r="BI66" s="77"/>
      <c r="BJ66" s="77"/>
      <c r="BK66" s="77"/>
      <c r="BL66" s="77"/>
      <c r="BM66" s="77"/>
      <c r="BN66" s="77"/>
      <c r="BO66" s="77"/>
      <c r="BP66" s="77"/>
      <c r="BR66" s="123"/>
      <c r="BS66" s="120"/>
      <c r="BT66" s="120"/>
      <c r="BU66" s="2"/>
      <c r="BV66" s="2"/>
      <c r="BW66" s="2"/>
      <c r="BX66" s="121"/>
    </row>
    <row r="67" spans="1:76" ht="15" customHeight="1">
      <c r="A67" s="13"/>
      <c r="B67" s="88"/>
      <c r="C67" s="78"/>
      <c r="D67" s="89"/>
      <c r="E67" s="90"/>
      <c r="F67" s="66"/>
      <c r="G67" s="91"/>
      <c r="H67" s="92"/>
      <c r="I67" s="92"/>
      <c r="J67" s="68"/>
      <c r="K67" s="69"/>
      <c r="L67" s="70"/>
      <c r="M67" s="70"/>
      <c r="N67" s="71"/>
      <c r="O67" s="2"/>
      <c r="P67" s="2"/>
      <c r="Q67" s="2"/>
      <c r="R67" s="3"/>
      <c r="S67" s="4"/>
      <c r="T67" s="84"/>
      <c r="U67" s="85"/>
      <c r="V67" s="4"/>
      <c r="W67" s="4"/>
      <c r="X67" s="4"/>
      <c r="Y67" s="62"/>
      <c r="Z67" s="22"/>
      <c r="AA67" s="22"/>
      <c r="AB67" s="22"/>
      <c r="AC67" s="22"/>
      <c r="AD67" s="19"/>
      <c r="AE67" s="14"/>
      <c r="AF67" s="72"/>
      <c r="AG67" s="49"/>
      <c r="AH67" s="49"/>
      <c r="AI67" s="50"/>
      <c r="AJ67" s="15"/>
      <c r="AK67" s="77"/>
      <c r="AL67" s="77"/>
      <c r="AM67" s="77"/>
      <c r="AN67" s="77"/>
      <c r="AO67" s="77"/>
      <c r="AP67" s="77"/>
      <c r="AQ67" s="77"/>
      <c r="AR67" s="77"/>
      <c r="AS67" s="77"/>
      <c r="AT67" s="77"/>
      <c r="AU67" s="77"/>
      <c r="AV67" s="77"/>
      <c r="AW67" s="77"/>
      <c r="AX67" s="77"/>
      <c r="AY67" s="77"/>
      <c r="AZ67" s="77"/>
      <c r="BA67" s="77"/>
      <c r="BB67" s="77"/>
      <c r="BC67" s="77"/>
      <c r="BD67" s="77"/>
      <c r="BE67" s="77"/>
      <c r="BF67" s="77"/>
      <c r="BG67" s="77"/>
      <c r="BH67" s="77"/>
      <c r="BI67" s="77"/>
      <c r="BJ67" s="77"/>
      <c r="BK67" s="77"/>
      <c r="BL67" s="77"/>
      <c r="BM67" s="77"/>
      <c r="BN67" s="77"/>
      <c r="BO67" s="77"/>
      <c r="BP67" s="77"/>
      <c r="BR67" s="123"/>
      <c r="BS67" s="120"/>
      <c r="BT67" s="120"/>
      <c r="BU67" s="2"/>
      <c r="BV67" s="2"/>
      <c r="BW67" s="2"/>
      <c r="BX67" s="121"/>
    </row>
    <row r="68" spans="1:76" ht="15" customHeight="1">
      <c r="A68" s="13"/>
      <c r="B68" s="88"/>
      <c r="C68" s="78"/>
      <c r="D68" s="89"/>
      <c r="E68" s="90"/>
      <c r="F68" s="66"/>
      <c r="G68" s="91"/>
      <c r="H68" s="92"/>
      <c r="I68" s="92"/>
      <c r="J68" s="68"/>
      <c r="K68" s="69"/>
      <c r="L68" s="70"/>
      <c r="M68" s="70"/>
      <c r="N68" s="71"/>
      <c r="O68" s="2"/>
      <c r="P68" s="2"/>
      <c r="Q68" s="2"/>
      <c r="R68" s="3"/>
      <c r="S68" s="4"/>
      <c r="T68" s="84"/>
      <c r="U68" s="85"/>
      <c r="V68" s="4"/>
      <c r="W68" s="4"/>
      <c r="X68" s="4"/>
      <c r="Y68" s="62"/>
      <c r="Z68" s="22"/>
      <c r="AA68" s="22"/>
      <c r="AB68" s="22"/>
      <c r="AC68" s="22"/>
      <c r="AD68" s="19"/>
      <c r="AE68" s="14"/>
      <c r="AF68" s="72"/>
      <c r="AG68" s="49"/>
      <c r="AH68" s="49"/>
      <c r="AI68" s="50"/>
      <c r="AJ68" s="15"/>
      <c r="AK68" s="77"/>
      <c r="AL68" s="77"/>
      <c r="AM68" s="77"/>
      <c r="AN68" s="77"/>
      <c r="AO68" s="77"/>
      <c r="AP68" s="77"/>
      <c r="AQ68" s="77"/>
      <c r="AR68" s="77"/>
      <c r="AS68" s="77"/>
      <c r="AT68" s="77"/>
      <c r="AU68" s="77"/>
      <c r="AV68" s="77"/>
      <c r="AW68" s="77"/>
      <c r="AX68" s="77"/>
      <c r="AY68" s="77"/>
      <c r="AZ68" s="77"/>
      <c r="BA68" s="77"/>
      <c r="BB68" s="77"/>
      <c r="BC68" s="77"/>
      <c r="BD68" s="77"/>
      <c r="BE68" s="77"/>
      <c r="BF68" s="77"/>
      <c r="BG68" s="77"/>
      <c r="BH68" s="77"/>
      <c r="BI68" s="77"/>
      <c r="BJ68" s="77"/>
      <c r="BK68" s="77"/>
      <c r="BL68" s="77"/>
      <c r="BM68" s="77"/>
      <c r="BN68" s="77"/>
      <c r="BO68" s="77"/>
      <c r="BP68" s="77"/>
      <c r="BR68" s="123"/>
      <c r="BS68" s="120"/>
      <c r="BT68" s="120"/>
      <c r="BU68" s="2"/>
      <c r="BV68" s="2"/>
      <c r="BW68" s="2"/>
      <c r="BX68" s="121"/>
    </row>
    <row r="69" spans="1:76" ht="15" customHeight="1">
      <c r="A69" s="13"/>
      <c r="B69" s="88"/>
      <c r="C69" s="78"/>
      <c r="D69" s="89"/>
      <c r="E69" s="90"/>
      <c r="F69" s="66"/>
      <c r="G69" s="91"/>
      <c r="H69" s="92"/>
      <c r="I69" s="92"/>
      <c r="J69" s="68"/>
      <c r="K69" s="69"/>
      <c r="L69" s="70"/>
      <c r="M69" s="70"/>
      <c r="N69" s="71"/>
      <c r="O69" s="2"/>
      <c r="P69" s="2"/>
      <c r="Q69" s="2"/>
      <c r="R69" s="3"/>
      <c r="S69" s="4"/>
      <c r="T69" s="84"/>
      <c r="U69" s="85"/>
      <c r="V69" s="4"/>
      <c r="W69" s="4"/>
      <c r="X69" s="4"/>
      <c r="Y69" s="62"/>
      <c r="Z69" s="22"/>
      <c r="AA69" s="22"/>
      <c r="AB69" s="22"/>
      <c r="AC69" s="22"/>
      <c r="AD69" s="19"/>
      <c r="AE69" s="14"/>
      <c r="AF69" s="72"/>
      <c r="AG69" s="49"/>
      <c r="AH69" s="49"/>
      <c r="AI69" s="50"/>
      <c r="AJ69" s="15"/>
      <c r="AK69" s="77"/>
      <c r="AL69" s="77"/>
      <c r="AM69" s="77"/>
      <c r="AN69" s="77"/>
      <c r="AO69" s="77"/>
      <c r="AP69" s="77"/>
      <c r="AQ69" s="77"/>
      <c r="AR69" s="77"/>
      <c r="AS69" s="77"/>
      <c r="AT69" s="77"/>
      <c r="AU69" s="77"/>
      <c r="AV69" s="77"/>
      <c r="AW69" s="77"/>
      <c r="AX69" s="77"/>
      <c r="AY69" s="77"/>
      <c r="AZ69" s="77"/>
      <c r="BA69" s="77"/>
      <c r="BB69" s="77"/>
      <c r="BC69" s="77"/>
      <c r="BD69" s="77"/>
      <c r="BE69" s="77"/>
      <c r="BF69" s="77"/>
      <c r="BG69" s="77"/>
      <c r="BH69" s="77"/>
      <c r="BI69" s="77"/>
      <c r="BJ69" s="77"/>
      <c r="BK69" s="77"/>
      <c r="BL69" s="77"/>
      <c r="BM69" s="77"/>
      <c r="BN69" s="77"/>
      <c r="BO69" s="77"/>
      <c r="BP69" s="77"/>
      <c r="BR69" s="123"/>
      <c r="BS69" s="120"/>
      <c r="BT69" s="120"/>
      <c r="BU69" s="2"/>
      <c r="BV69" s="2"/>
      <c r="BW69" s="2"/>
      <c r="BX69" s="121"/>
    </row>
    <row r="70" spans="1:76" ht="15" customHeight="1">
      <c r="A70" s="13"/>
      <c r="B70" s="88"/>
      <c r="C70" s="78"/>
      <c r="D70" s="89"/>
      <c r="E70" s="90"/>
      <c r="F70" s="66"/>
      <c r="G70" s="91"/>
      <c r="H70" s="92"/>
      <c r="I70" s="92"/>
      <c r="J70" s="68"/>
      <c r="K70" s="69"/>
      <c r="L70" s="70"/>
      <c r="M70" s="70"/>
      <c r="N70" s="71"/>
      <c r="O70" s="2"/>
      <c r="P70" s="2"/>
      <c r="Q70" s="2"/>
      <c r="R70" s="3"/>
      <c r="S70" s="4"/>
      <c r="T70" s="84"/>
      <c r="U70" s="85"/>
      <c r="V70" s="4"/>
      <c r="W70" s="4"/>
      <c r="X70" s="4"/>
      <c r="Y70" s="62"/>
      <c r="Z70" s="22"/>
      <c r="AA70" s="22"/>
      <c r="AB70" s="22"/>
      <c r="AC70" s="22"/>
      <c r="AD70" s="19"/>
      <c r="AE70" s="14"/>
      <c r="AF70" s="72"/>
      <c r="AG70" s="49"/>
      <c r="AH70" s="49"/>
      <c r="AI70" s="50"/>
      <c r="AJ70" s="15"/>
      <c r="AK70" s="77"/>
      <c r="AL70" s="77"/>
      <c r="AM70" s="77"/>
      <c r="AN70" s="77"/>
      <c r="AO70" s="77"/>
      <c r="AP70" s="77"/>
      <c r="AQ70" s="77"/>
      <c r="AR70" s="77"/>
      <c r="AS70" s="77"/>
      <c r="AT70" s="77"/>
      <c r="AU70" s="77"/>
      <c r="AV70" s="77"/>
      <c r="AW70" s="77"/>
      <c r="AX70" s="77"/>
      <c r="AY70" s="77"/>
      <c r="AZ70" s="77"/>
      <c r="BA70" s="77"/>
      <c r="BB70" s="77"/>
      <c r="BC70" s="77"/>
      <c r="BD70" s="77"/>
      <c r="BE70" s="77"/>
      <c r="BF70" s="77"/>
      <c r="BG70" s="77"/>
      <c r="BH70" s="77"/>
      <c r="BI70" s="77"/>
      <c r="BJ70" s="77"/>
      <c r="BK70" s="77"/>
      <c r="BL70" s="77"/>
      <c r="BM70" s="77"/>
      <c r="BN70" s="77"/>
      <c r="BO70" s="77"/>
      <c r="BP70" s="77"/>
      <c r="BR70" s="123"/>
      <c r="BS70" s="120"/>
      <c r="BT70" s="120"/>
      <c r="BU70" s="2"/>
      <c r="BV70" s="2"/>
      <c r="BW70" s="2"/>
      <c r="BX70" s="121"/>
    </row>
    <row r="71" spans="1:76" ht="15" customHeight="1">
      <c r="A71" s="13"/>
      <c r="B71" s="88"/>
      <c r="C71" s="78"/>
      <c r="D71" s="89"/>
      <c r="E71" s="90"/>
      <c r="F71" s="66"/>
      <c r="G71" s="91"/>
      <c r="H71" s="92"/>
      <c r="I71" s="92"/>
      <c r="J71" s="68"/>
      <c r="K71" s="69"/>
      <c r="L71" s="70"/>
      <c r="M71" s="70"/>
      <c r="N71" s="71"/>
      <c r="O71" s="2"/>
      <c r="P71" s="2"/>
      <c r="Q71" s="2"/>
      <c r="R71" s="3"/>
      <c r="S71" s="4"/>
      <c r="T71" s="84"/>
      <c r="U71" s="85"/>
      <c r="V71" s="4"/>
      <c r="W71" s="4"/>
      <c r="X71" s="4"/>
      <c r="Y71" s="62"/>
      <c r="Z71" s="22"/>
      <c r="AA71" s="22"/>
      <c r="AB71" s="22"/>
      <c r="AC71" s="22"/>
      <c r="AD71" s="19"/>
      <c r="AE71" s="14"/>
      <c r="AF71" s="72"/>
      <c r="AG71" s="49"/>
      <c r="AH71" s="49"/>
      <c r="AI71" s="50"/>
      <c r="AJ71" s="15"/>
      <c r="AK71" s="77"/>
      <c r="AL71" s="77"/>
      <c r="AM71" s="77"/>
      <c r="AN71" s="77"/>
      <c r="AO71" s="77"/>
      <c r="AP71" s="77"/>
      <c r="AQ71" s="77"/>
      <c r="AR71" s="77"/>
      <c r="AS71" s="77"/>
      <c r="AT71" s="77"/>
      <c r="AU71" s="77"/>
      <c r="AV71" s="77"/>
      <c r="AW71" s="77"/>
      <c r="AX71" s="77"/>
      <c r="AY71" s="77"/>
      <c r="AZ71" s="77"/>
      <c r="BA71" s="77"/>
      <c r="BB71" s="77"/>
      <c r="BC71" s="77"/>
      <c r="BD71" s="77"/>
      <c r="BE71" s="77"/>
      <c r="BF71" s="77"/>
      <c r="BG71" s="77"/>
      <c r="BH71" s="77"/>
      <c r="BI71" s="77"/>
      <c r="BJ71" s="77"/>
      <c r="BK71" s="77"/>
      <c r="BL71" s="77"/>
      <c r="BM71" s="77"/>
      <c r="BN71" s="77"/>
      <c r="BO71" s="77"/>
      <c r="BP71" s="77"/>
      <c r="BR71" s="123"/>
      <c r="BS71" s="120"/>
      <c r="BT71" s="120"/>
      <c r="BU71" s="2"/>
      <c r="BV71" s="2"/>
      <c r="BW71" s="2"/>
      <c r="BX71" s="121"/>
    </row>
    <row r="72" spans="1:76" ht="15" customHeight="1">
      <c r="A72" s="13"/>
      <c r="B72" s="88"/>
      <c r="C72" s="78"/>
      <c r="D72" s="89"/>
      <c r="E72" s="90"/>
      <c r="F72" s="66"/>
      <c r="G72" s="91"/>
      <c r="H72" s="92"/>
      <c r="I72" s="92"/>
      <c r="J72" s="68"/>
      <c r="K72" s="69"/>
      <c r="L72" s="70"/>
      <c r="M72" s="70"/>
      <c r="N72" s="71"/>
      <c r="O72" s="2"/>
      <c r="P72" s="2"/>
      <c r="Q72" s="2"/>
      <c r="R72" s="3"/>
      <c r="S72" s="4"/>
      <c r="T72" s="84"/>
      <c r="U72" s="85"/>
      <c r="V72" s="4"/>
      <c r="W72" s="4"/>
      <c r="X72" s="4"/>
      <c r="Y72" s="62"/>
      <c r="Z72" s="22"/>
      <c r="AA72" s="22"/>
      <c r="AB72" s="22"/>
      <c r="AC72" s="22"/>
      <c r="AD72" s="19"/>
      <c r="AE72" s="14"/>
      <c r="AF72" s="72"/>
      <c r="AG72" s="49"/>
      <c r="AH72" s="49"/>
      <c r="AI72" s="50"/>
      <c r="AJ72" s="15"/>
      <c r="AK72" s="77"/>
      <c r="AL72" s="77"/>
      <c r="AM72" s="77"/>
      <c r="AN72" s="77"/>
      <c r="AO72" s="77"/>
      <c r="AP72" s="77"/>
      <c r="AQ72" s="77"/>
      <c r="AR72" s="77"/>
      <c r="AS72" s="77"/>
      <c r="AT72" s="77"/>
      <c r="AU72" s="77"/>
      <c r="AV72" s="77"/>
      <c r="AW72" s="77"/>
      <c r="AX72" s="77"/>
      <c r="AY72" s="77"/>
      <c r="AZ72" s="77"/>
      <c r="BA72" s="77"/>
      <c r="BB72" s="77"/>
      <c r="BC72" s="77"/>
      <c r="BD72" s="77"/>
      <c r="BE72" s="77"/>
      <c r="BF72" s="77"/>
      <c r="BG72" s="77"/>
      <c r="BH72" s="77"/>
      <c r="BI72" s="77"/>
      <c r="BJ72" s="77"/>
      <c r="BK72" s="77"/>
      <c r="BL72" s="77"/>
      <c r="BM72" s="77"/>
      <c r="BN72" s="77"/>
      <c r="BO72" s="77"/>
      <c r="BP72" s="77"/>
      <c r="BR72" s="123"/>
      <c r="BS72" s="120"/>
      <c r="BT72" s="120"/>
      <c r="BU72" s="2"/>
      <c r="BV72" s="2"/>
      <c r="BW72" s="2"/>
      <c r="BX72" s="121"/>
    </row>
    <row r="73" spans="1:76" ht="15" customHeight="1">
      <c r="A73" s="13"/>
      <c r="B73" s="88"/>
      <c r="C73" s="94" t="s">
        <v>121</v>
      </c>
      <c r="D73" s="89" t="s">
        <v>117</v>
      </c>
      <c r="E73" s="90"/>
      <c r="F73" s="66" t="s">
        <v>44</v>
      </c>
      <c r="G73" s="67">
        <v>12.481999999999999</v>
      </c>
      <c r="H73" s="92" t="str">
        <f>IF(OOC!S73=0,"",OOC!S73)</f>
        <v/>
      </c>
      <c r="I73" s="92" t="str">
        <f>IF(OOC!T73=0,"",OOC!T73)</f>
        <v/>
      </c>
      <c r="J73" s="68" t="s">
        <v>12</v>
      </c>
      <c r="K73" s="69" t="s">
        <v>80</v>
      </c>
      <c r="L73" s="70" t="e">
        <f t="shared" si="0"/>
        <v>#VALUE!</v>
      </c>
      <c r="M73" s="70" t="e">
        <f t="shared" si="1"/>
        <v>#VALUE!</v>
      </c>
      <c r="N73" s="71"/>
      <c r="O73" s="2" t="e">
        <f t="shared" si="2"/>
        <v>#REF!</v>
      </c>
      <c r="P73" s="2" t="e">
        <f t="shared" si="3"/>
        <v>#REF!</v>
      </c>
      <c r="Q73" s="2" t="e">
        <f t="shared" si="4"/>
        <v>#REF!</v>
      </c>
      <c r="R73" s="3" t="e">
        <f t="shared" si="5"/>
        <v>#REF!</v>
      </c>
      <c r="S73" s="4" t="e">
        <f t="shared" si="10"/>
        <v>#REF!</v>
      </c>
      <c r="T73" s="84" t="e">
        <f t="shared" si="11"/>
        <v>#REF!</v>
      </c>
      <c r="U73" s="85" t="e">
        <f t="shared" si="12"/>
        <v>#REF!</v>
      </c>
      <c r="V73" s="4" t="e">
        <f t="shared" si="6"/>
        <v>#REF!</v>
      </c>
      <c r="W73" s="4" t="e">
        <f t="shared" si="7"/>
        <v>#REF!</v>
      </c>
      <c r="X73" s="4" t="e">
        <f t="shared" si="8"/>
        <v>#REF!</v>
      </c>
      <c r="Y73" s="62" t="e">
        <f t="shared" si="9"/>
        <v>#REF!</v>
      </c>
      <c r="Z73" s="22"/>
      <c r="AA73" s="22"/>
      <c r="AB73" s="22"/>
      <c r="AC73" s="22"/>
      <c r="AD73" s="19"/>
      <c r="AE73" s="14"/>
      <c r="AF73" s="72"/>
      <c r="AG73" s="49"/>
      <c r="AH73" s="49"/>
      <c r="AI73" s="50"/>
      <c r="AJ73" s="15"/>
      <c r="AK73" s="79" t="e">
        <f>#REF!</f>
        <v>#REF!</v>
      </c>
      <c r="AL73" s="79" t="e">
        <f>#REF!</f>
        <v>#REF!</v>
      </c>
      <c r="AM73" s="79" t="e">
        <f>#REF!</f>
        <v>#REF!</v>
      </c>
      <c r="AN73" s="77"/>
      <c r="AO73" s="77"/>
      <c r="AP73" s="77"/>
      <c r="AQ73" s="77"/>
      <c r="AR73" s="77"/>
      <c r="AS73" s="77"/>
      <c r="AT73" s="77"/>
      <c r="AU73" s="77"/>
      <c r="AV73" s="77"/>
      <c r="AW73" s="77"/>
      <c r="AX73" s="77"/>
      <c r="AY73" s="77"/>
      <c r="AZ73" s="77"/>
      <c r="BA73" s="77"/>
      <c r="BB73" s="77"/>
      <c r="BC73" s="77"/>
      <c r="BD73" s="77"/>
      <c r="BE73" s="77"/>
      <c r="BF73" s="77"/>
      <c r="BG73" s="77"/>
      <c r="BH73" s="77"/>
      <c r="BI73" s="77"/>
      <c r="BJ73" s="77"/>
      <c r="BK73" s="77"/>
      <c r="BL73" s="77"/>
      <c r="BM73" s="77"/>
      <c r="BN73" s="77"/>
      <c r="BO73" s="77"/>
      <c r="BP73" s="77"/>
      <c r="BR73" s="123" t="str">
        <f t="shared" si="13"/>
        <v>FAI30</v>
      </c>
      <c r="BS73" s="120">
        <f>OOC!G73</f>
        <v>12.511999999999999</v>
      </c>
      <c r="BT73" s="120">
        <f>OOC!H73</f>
        <v>12.452</v>
      </c>
      <c r="BU73" s="2" t="e">
        <f t="shared" si="14"/>
        <v>#REF!</v>
      </c>
      <c r="BV73" s="2" t="e">
        <f t="shared" si="15"/>
        <v>#REF!</v>
      </c>
      <c r="BW73" s="2" t="e">
        <f t="shared" si="16"/>
        <v>#REF!</v>
      </c>
      <c r="BX73" s="121" t="e">
        <f>IF(AND(IF(OOC!G73="",0,OOC!G73) &gt;= IF(O73="",0,O73), IF(O73="",0,O73) &gt; IF(L73="",0,L73)), "OOC",
IF(AND(IF(M73="",0,M73) &gt; IF(P73="",0,P73), IF(P73="",0,P73) &gt;= IF(OOC!H73="",0,OOC!H73)), "OOC",
IF(IF(O73="",0,O73) &gt; IF(OOC!G73="",0,OOC!G73), "OOS",
IF(IF(OOC!H73="",0,OOC!H73) &gt; IF(P73="",0,P73), "OOS", "OK"))))</f>
        <v>#REF!</v>
      </c>
    </row>
    <row r="74" spans="1:76" ht="15" customHeight="1">
      <c r="A74" s="13">
        <v>4</v>
      </c>
      <c r="B74" s="88"/>
      <c r="C74" s="94" t="s">
        <v>122</v>
      </c>
      <c r="D74" s="89" t="s">
        <v>117</v>
      </c>
      <c r="E74" s="90"/>
      <c r="F74" s="66" t="s">
        <v>44</v>
      </c>
      <c r="G74" s="67">
        <v>11.089</v>
      </c>
      <c r="H74" s="92" t="str">
        <f>IF(OOC!S74=0,"",OOC!S74)</f>
        <v/>
      </c>
      <c r="I74" s="92" t="str">
        <f>IF(OOC!T74=0,"",OOC!T74)</f>
        <v/>
      </c>
      <c r="J74" s="68" t="s">
        <v>12</v>
      </c>
      <c r="K74" s="69" t="s">
        <v>80</v>
      </c>
      <c r="L74" s="70" t="e">
        <f t="shared" si="0"/>
        <v>#VALUE!</v>
      </c>
      <c r="M74" s="70" t="e">
        <f t="shared" si="1"/>
        <v>#VALUE!</v>
      </c>
      <c r="N74" s="71"/>
      <c r="O74" s="2" t="e">
        <f t="shared" si="2"/>
        <v>#REF!</v>
      </c>
      <c r="P74" s="2" t="e">
        <f t="shared" si="3"/>
        <v>#REF!</v>
      </c>
      <c r="Q74" s="2" t="e">
        <f t="shared" si="4"/>
        <v>#REF!</v>
      </c>
      <c r="R74" s="3" t="e">
        <f t="shared" si="5"/>
        <v>#REF!</v>
      </c>
      <c r="S74" s="4" t="e">
        <f t="shared" si="10"/>
        <v>#REF!</v>
      </c>
      <c r="T74" s="84" t="e">
        <f t="shared" si="11"/>
        <v>#REF!</v>
      </c>
      <c r="U74" s="85" t="e">
        <f t="shared" si="12"/>
        <v>#REF!</v>
      </c>
      <c r="V74" s="4" t="e">
        <f t="shared" si="6"/>
        <v>#REF!</v>
      </c>
      <c r="W74" s="4" t="e">
        <f t="shared" si="7"/>
        <v>#REF!</v>
      </c>
      <c r="X74" s="4" t="e">
        <f t="shared" si="8"/>
        <v>#REF!</v>
      </c>
      <c r="Y74" s="62" t="e">
        <f t="shared" si="9"/>
        <v>#REF!</v>
      </c>
      <c r="Z74" s="22" t="e">
        <f>IF($Q74="","",IF(F74="Tolerance",IF(($E74*3*R74+Q74)-G74&lt;H74,"",($E74*3*R74+Q74)-G74),IF(OR(F74="GD&amp;T",F74="MAX"),IF(($E74*3*R74+Q74)&lt;H74,"",($E74*3*R74+Q74)),"")))</f>
        <v>#REF!</v>
      </c>
      <c r="AA74" s="22" t="e">
        <f>IF(Q74="","",IF(F74="Tolerance",IF(-(($E74*3*R74)-Q74)-G74&gt;I74,"",-(($E74*3*R74)-Q74)-G74),IF(F74="MIN",IF(-(($E74*3*R74)-Q74)&gt;I74,"",-(($E74*3*R74)-Q74)),"")))</f>
        <v>#REF!</v>
      </c>
      <c r="AB74" s="22" t="e">
        <f>IF(OR(G74="",Q74=""),"",(L74+M74)/2-Q74)</f>
        <v>#REF!</v>
      </c>
      <c r="AC74" s="22" t="e">
        <f>IF(OR($S74&gt;$AC$9,$R74=""),"",$AC$9*6*$R74)</f>
        <v>#REF!</v>
      </c>
      <c r="AD74" s="19"/>
      <c r="AE74" s="14"/>
      <c r="AF74" s="72"/>
      <c r="AG74" s="49"/>
      <c r="AH74" s="49"/>
      <c r="AI74" s="50"/>
      <c r="AJ74" s="15"/>
      <c r="AK74" s="79" t="e">
        <f>#REF!</f>
        <v>#REF!</v>
      </c>
      <c r="AL74" s="79" t="e">
        <f>#REF!</f>
        <v>#REF!</v>
      </c>
      <c r="AM74" s="79" t="e">
        <f>#REF!</f>
        <v>#REF!</v>
      </c>
      <c r="AN74" s="77"/>
      <c r="AO74" s="77"/>
      <c r="AP74" s="77"/>
      <c r="AQ74" s="77"/>
      <c r="AR74" s="77"/>
      <c r="AS74" s="77"/>
      <c r="AT74" s="77"/>
      <c r="AU74" s="77"/>
      <c r="AV74" s="77"/>
      <c r="AW74" s="77"/>
      <c r="AX74" s="77"/>
      <c r="AY74" s="77"/>
      <c r="AZ74" s="77"/>
      <c r="BA74" s="77"/>
      <c r="BB74" s="77"/>
      <c r="BC74" s="77"/>
      <c r="BD74" s="77"/>
      <c r="BE74" s="77"/>
      <c r="BF74" s="77"/>
      <c r="BG74" s="77"/>
      <c r="BH74" s="77"/>
      <c r="BI74" s="77"/>
      <c r="BJ74" s="77"/>
      <c r="BK74" s="77"/>
      <c r="BL74" s="77"/>
      <c r="BM74" s="77"/>
      <c r="BN74" s="77"/>
      <c r="BO74" s="77"/>
      <c r="BP74" s="77"/>
      <c r="BR74" s="123" t="str">
        <f t="shared" si="13"/>
        <v>FAI31</v>
      </c>
      <c r="BS74" s="120">
        <f>OOC!G74</f>
        <v>11.119</v>
      </c>
      <c r="BT74" s="120">
        <f>OOC!H74</f>
        <v>11.059000000000001</v>
      </c>
      <c r="BU74" s="2" t="e">
        <f t="shared" si="14"/>
        <v>#REF!</v>
      </c>
      <c r="BV74" s="2" t="e">
        <f t="shared" si="15"/>
        <v>#REF!</v>
      </c>
      <c r="BW74" s="2" t="e">
        <f t="shared" si="16"/>
        <v>#REF!</v>
      </c>
      <c r="BX74" s="121" t="e">
        <f>IF(AND(IF(OOC!G74="",0,OOC!G74) &gt;= IF(O74="",0,O74), IF(O74="",0,O74) &gt; IF(L74="",0,L74)), "OOC",
IF(AND(IF(M74="",0,M74) &gt; IF(P74="",0,P74), IF(P74="",0,P74) &gt;= IF(OOC!H74="",0,OOC!H74)), "OOC",
IF(IF(O74="",0,O74) &gt; IF(OOC!G74="",0,OOC!G74), "OOS",
IF(IF(OOC!H74="",0,OOC!H74) &gt; IF(P74="",0,P74), "OOS", "OK"))))</f>
        <v>#REF!</v>
      </c>
    </row>
    <row r="75" spans="1:76" ht="15" customHeight="1">
      <c r="A75" s="13">
        <v>5</v>
      </c>
      <c r="B75" s="88"/>
      <c r="C75" s="78" t="s">
        <v>123</v>
      </c>
      <c r="D75" s="89" t="s">
        <v>117</v>
      </c>
      <c r="E75" s="90"/>
      <c r="F75" s="66" t="s">
        <v>44</v>
      </c>
      <c r="G75" s="67">
        <v>2.0920000000000001</v>
      </c>
      <c r="H75" s="92" t="str">
        <f>IF(OOC!S75=0,"",OOC!S75)</f>
        <v/>
      </c>
      <c r="I75" s="92" t="str">
        <f>IF(OOC!T75=0,"",OOC!T75)</f>
        <v/>
      </c>
      <c r="J75" s="68" t="s">
        <v>12</v>
      </c>
      <c r="K75" s="69" t="s">
        <v>80</v>
      </c>
      <c r="L75" s="70" t="e">
        <f t="shared" si="0"/>
        <v>#VALUE!</v>
      </c>
      <c r="M75" s="70" t="e">
        <f t="shared" si="1"/>
        <v>#VALUE!</v>
      </c>
      <c r="N75" s="71"/>
      <c r="O75" s="2" t="e">
        <f t="shared" si="2"/>
        <v>#REF!</v>
      </c>
      <c r="P75" s="2" t="e">
        <f t="shared" si="3"/>
        <v>#REF!</v>
      </c>
      <c r="Q75" s="2" t="e">
        <f t="shared" si="4"/>
        <v>#REF!</v>
      </c>
      <c r="R75" s="3" t="e">
        <f t="shared" si="5"/>
        <v>#REF!</v>
      </c>
      <c r="S75" s="4" t="e">
        <f t="shared" si="10"/>
        <v>#REF!</v>
      </c>
      <c r="T75" s="84" t="e">
        <f t="shared" si="11"/>
        <v>#REF!</v>
      </c>
      <c r="U75" s="85" t="e">
        <f t="shared" si="12"/>
        <v>#REF!</v>
      </c>
      <c r="V75" s="4" t="e">
        <f t="shared" si="6"/>
        <v>#REF!</v>
      </c>
      <c r="W75" s="4" t="e">
        <f t="shared" si="7"/>
        <v>#REF!</v>
      </c>
      <c r="X75" s="4" t="e">
        <f t="shared" si="8"/>
        <v>#REF!</v>
      </c>
      <c r="Y75" s="62" t="e">
        <f t="shared" si="9"/>
        <v>#REF!</v>
      </c>
      <c r="Z75" s="22" t="e">
        <f>IF($Q75="","",IF(F75="Tolerance",IF(($E75*3*R75+Q75)-G75&lt;H75,"",($E75*3*R75+Q75)-G75),IF(OR(F75="GD&amp;T",F75="MAX"),IF(($E75*3*R75+Q75)&lt;H75,"",($E75*3*R75+Q75)),"")))</f>
        <v>#REF!</v>
      </c>
      <c r="AA75" s="22" t="e">
        <f>IF(Q75="","",IF(F75="Tolerance",IF(-(($E75*3*R75)-Q75)-G75&gt;I75,"",-(($E75*3*R75)-Q75)-G75),IF(F75="MIN",IF(-(($E75*3*R75)-Q75)&gt;I75,"",-(($E75*3*R75)-Q75)),"")))</f>
        <v>#REF!</v>
      </c>
      <c r="AB75" s="22" t="e">
        <f>IF(OR(G75="",Q75=""),"",(L75+M75)/2-Q75)</f>
        <v>#REF!</v>
      </c>
      <c r="AC75" s="22" t="e">
        <f>IF(OR($S75&gt;$AC$9,$R75=""),"",$AC$9*6*$R75)</f>
        <v>#REF!</v>
      </c>
      <c r="AD75" s="19"/>
      <c r="AE75" s="14"/>
      <c r="AF75" s="72"/>
      <c r="AG75" s="49"/>
      <c r="AH75" s="49"/>
      <c r="AI75" s="50"/>
      <c r="AJ75" s="15"/>
      <c r="AK75" s="79" t="e">
        <f>#REF!</f>
        <v>#REF!</v>
      </c>
      <c r="AL75" s="79" t="e">
        <f>#REF!</f>
        <v>#REF!</v>
      </c>
      <c r="AM75" s="79" t="e">
        <f>#REF!</f>
        <v>#REF!</v>
      </c>
      <c r="AN75" s="77"/>
      <c r="AO75" s="77"/>
      <c r="AP75" s="77"/>
      <c r="AQ75" s="77"/>
      <c r="AR75" s="77"/>
      <c r="AS75" s="77"/>
      <c r="AT75" s="77"/>
      <c r="AU75" s="77"/>
      <c r="AV75" s="77"/>
      <c r="AW75" s="77"/>
      <c r="AX75" s="77"/>
      <c r="AY75" s="77"/>
      <c r="AZ75" s="77"/>
      <c r="BA75" s="77"/>
      <c r="BB75" s="77"/>
      <c r="BC75" s="77"/>
      <c r="BD75" s="77"/>
      <c r="BE75" s="77"/>
      <c r="BF75" s="77"/>
      <c r="BG75" s="77"/>
      <c r="BH75" s="77"/>
      <c r="BI75" s="77"/>
      <c r="BJ75" s="77"/>
      <c r="BK75" s="77"/>
      <c r="BL75" s="77"/>
      <c r="BM75" s="77"/>
      <c r="BN75" s="77"/>
      <c r="BO75" s="77"/>
      <c r="BP75" s="77"/>
      <c r="BR75" s="123" t="str">
        <f t="shared" si="13"/>
        <v>FAI32</v>
      </c>
      <c r="BS75" s="120">
        <f>OOC!G75</f>
        <v>2.1219999999999999</v>
      </c>
      <c r="BT75" s="120">
        <f>OOC!H75</f>
        <v>2.0620000000000003</v>
      </c>
      <c r="BU75" s="2" t="e">
        <f t="shared" si="14"/>
        <v>#REF!</v>
      </c>
      <c r="BV75" s="2" t="e">
        <f t="shared" si="15"/>
        <v>#REF!</v>
      </c>
      <c r="BW75" s="2" t="e">
        <f t="shared" si="16"/>
        <v>#REF!</v>
      </c>
      <c r="BX75" s="121" t="e">
        <f>IF(AND(IF(OOC!G75="",0,OOC!G75) &gt;= IF(O75="",0,O75), IF(O75="",0,O75) &gt; IF(L75="",0,L75)), "OOC",
IF(AND(IF(M75="",0,M75) &gt; IF(P75="",0,P75), IF(P75="",0,P75) &gt;= IF(OOC!H75="",0,OOC!H75)), "OOC",
IF(IF(O75="",0,O75) &gt; IF(OOC!G75="",0,OOC!G75), "OOS",
IF(IF(OOC!H75="",0,OOC!H75) &gt; IF(P75="",0,P75), "OOS", "OK"))))</f>
        <v>#REF!</v>
      </c>
    </row>
    <row r="76" spans="1:76" ht="15" customHeight="1">
      <c r="A76" s="13">
        <v>6</v>
      </c>
      <c r="B76" s="88"/>
      <c r="C76" s="78" t="s">
        <v>124</v>
      </c>
      <c r="D76" s="89" t="s">
        <v>158</v>
      </c>
      <c r="E76" s="90"/>
      <c r="F76" s="66" t="s">
        <v>41</v>
      </c>
      <c r="G76" s="67"/>
      <c r="H76" s="92" t="str">
        <f>IF(OOC!S76=0,"",OOC!S76)</f>
        <v/>
      </c>
      <c r="I76" s="92" t="str">
        <f>IF(OOC!T76=0,"",OOC!T76)</f>
        <v/>
      </c>
      <c r="J76" s="68" t="s">
        <v>12</v>
      </c>
      <c r="K76" s="69" t="s">
        <v>80</v>
      </c>
      <c r="L76" s="70" t="str">
        <f t="shared" si="0"/>
        <v/>
      </c>
      <c r="M76" s="70" t="str">
        <f t="shared" si="1"/>
        <v/>
      </c>
      <c r="N76" s="71"/>
      <c r="O76" s="2" t="e">
        <f t="shared" si="2"/>
        <v>#REF!</v>
      </c>
      <c r="P76" s="2" t="e">
        <f t="shared" si="3"/>
        <v>#REF!</v>
      </c>
      <c r="Q76" s="2" t="e">
        <f t="shared" si="4"/>
        <v>#REF!</v>
      </c>
      <c r="R76" s="3" t="e">
        <f t="shared" si="5"/>
        <v>#REF!</v>
      </c>
      <c r="S76" s="4" t="e">
        <f t="shared" si="10"/>
        <v>#REF!</v>
      </c>
      <c r="T76" s="84" t="e">
        <f t="shared" si="11"/>
        <v>#REF!</v>
      </c>
      <c r="U76" s="85" t="e">
        <f t="shared" si="12"/>
        <v>#REF!</v>
      </c>
      <c r="V76" s="4" t="e">
        <f t="shared" si="6"/>
        <v>#REF!</v>
      </c>
      <c r="W76" s="4" t="e">
        <f t="shared" si="7"/>
        <v>#REF!</v>
      </c>
      <c r="X76" s="4" t="e">
        <f t="shared" si="8"/>
        <v>#REF!</v>
      </c>
      <c r="Y76" s="62" t="e">
        <f t="shared" si="9"/>
        <v>#REF!</v>
      </c>
      <c r="Z76" s="22" t="e">
        <f>IF($Q76="","",IF(F76="Tolerance",IF(($E76*3*R76+Q76)-G76&lt;H76,"",($E76*3*R76+Q76)-G76),IF(OR(F76="GD&amp;T",F76="MAX"),IF(($E76*3*R76+Q76)&lt;H76,"",($E76*3*R76+Q76)),"")))</f>
        <v>#REF!</v>
      </c>
      <c r="AA76" s="22" t="e">
        <f>IF(Q76="","",IF(F76="Tolerance",IF(-(($E76*3*R76)-Q76)-G76&gt;I76,"",-(($E76*3*R76)-Q76)-G76),IF(F76="MIN",IF(-(($E76*3*R76)-Q76)&gt;I76,"",-(($E76*3*R76)-Q76)),"")))</f>
        <v>#REF!</v>
      </c>
      <c r="AB76" s="22" t="e">
        <f>IF(OR(G76="",Q76=""),"",(L76+M76)/2-Q76)</f>
        <v>#REF!</v>
      </c>
      <c r="AC76" s="22" t="e">
        <f>IF(OR($S76&gt;$AC$9,$R76=""),"",$AC$9*6*$R76)</f>
        <v>#REF!</v>
      </c>
      <c r="AD76" s="19"/>
      <c r="AE76" s="14"/>
      <c r="AF76" s="72"/>
      <c r="AG76" s="49"/>
      <c r="AH76" s="49"/>
      <c r="AI76" s="50"/>
      <c r="AJ76" s="15"/>
      <c r="AK76" s="79" t="e">
        <f>#REF!</f>
        <v>#REF!</v>
      </c>
      <c r="AL76" s="79" t="e">
        <f>#REF!</f>
        <v>#REF!</v>
      </c>
      <c r="AM76" s="79" t="e">
        <f>#REF!</f>
        <v>#REF!</v>
      </c>
      <c r="AN76" s="77"/>
      <c r="AO76" s="77"/>
      <c r="AP76" s="77"/>
      <c r="AQ76" s="77"/>
      <c r="AR76" s="77"/>
      <c r="AS76" s="77"/>
      <c r="AT76" s="77"/>
      <c r="AU76" s="77"/>
      <c r="AV76" s="77"/>
      <c r="AW76" s="77"/>
      <c r="AX76" s="77"/>
      <c r="AY76" s="77"/>
      <c r="AZ76" s="77"/>
      <c r="BA76" s="77"/>
      <c r="BB76" s="77"/>
      <c r="BC76" s="77"/>
      <c r="BD76" s="77"/>
      <c r="BE76" s="77"/>
      <c r="BF76" s="77"/>
      <c r="BG76" s="77"/>
      <c r="BH76" s="77"/>
      <c r="BI76" s="77"/>
      <c r="BJ76" s="77"/>
      <c r="BK76" s="77"/>
      <c r="BL76" s="77"/>
      <c r="BM76" s="77"/>
      <c r="BN76" s="77"/>
      <c r="BO76" s="77"/>
      <c r="BP76" s="77"/>
      <c r="BR76" s="123" t="str">
        <f t="shared" si="13"/>
        <v>FAI33</v>
      </c>
      <c r="BS76" s="120">
        <f>OOC!G76</f>
        <v>0.03</v>
      </c>
      <c r="BT76" s="120" t="str">
        <f>OOC!H76</f>
        <v/>
      </c>
      <c r="BU76" s="2" t="e">
        <f t="shared" si="14"/>
        <v>#REF!</v>
      </c>
      <c r="BV76" s="2" t="e">
        <f t="shared" si="15"/>
        <v>#REF!</v>
      </c>
      <c r="BW76" s="2" t="e">
        <f t="shared" si="16"/>
        <v>#REF!</v>
      </c>
      <c r="BX76" s="121" t="e">
        <f>IF(AND(IF(OOC!G76="",0,OOC!G76) &gt;= IF(O76="",0,O76), IF(O76="",0,O76) &gt; IF(L76="",0,L76)), "OOC",
IF(AND(IF(M76="",0,M76) &gt; IF(P76="",0,P76), IF(P76="",0,P76) &gt;= IF(OOC!H76="",0,OOC!H76)), "OOC",
IF(IF(O76="",0,O76) &gt; IF(OOC!G76="",0,OOC!G76), "OOS",
IF(IF(OOC!H76="",0,OOC!H76) &gt; IF(P76="",0,P76), "OOS", "OK"))))</f>
        <v>#REF!</v>
      </c>
    </row>
    <row r="77" spans="1:76" ht="15" customHeight="1">
      <c r="A77" s="13"/>
      <c r="B77" s="88"/>
      <c r="C77" s="78"/>
      <c r="D77" s="89"/>
      <c r="E77" s="90"/>
      <c r="F77" s="66"/>
      <c r="G77" s="67"/>
      <c r="H77" s="92"/>
      <c r="I77" s="92"/>
      <c r="J77" s="68"/>
      <c r="K77" s="69"/>
      <c r="L77" s="70"/>
      <c r="M77" s="70"/>
      <c r="N77" s="71"/>
      <c r="O77" s="2"/>
      <c r="P77" s="2"/>
      <c r="Q77" s="2"/>
      <c r="R77" s="3"/>
      <c r="S77" s="4"/>
      <c r="T77" s="84"/>
      <c r="U77" s="85"/>
      <c r="V77" s="4"/>
      <c r="W77" s="4"/>
      <c r="X77" s="4"/>
      <c r="Y77" s="62"/>
      <c r="Z77" s="22"/>
      <c r="AA77" s="22"/>
      <c r="AB77" s="22"/>
      <c r="AC77" s="22"/>
      <c r="AD77" s="19"/>
      <c r="AE77" s="14"/>
      <c r="AF77" s="72"/>
      <c r="AG77" s="49"/>
      <c r="AH77" s="49"/>
      <c r="AI77" s="50"/>
      <c r="AJ77" s="15"/>
      <c r="AK77" s="79"/>
      <c r="AL77" s="79"/>
      <c r="AM77" s="79"/>
      <c r="AN77" s="77"/>
      <c r="AO77" s="77"/>
      <c r="AP77" s="77"/>
      <c r="AQ77" s="77"/>
      <c r="AR77" s="77"/>
      <c r="AS77" s="77"/>
      <c r="AT77" s="77"/>
      <c r="AU77" s="77"/>
      <c r="AV77" s="77"/>
      <c r="AW77" s="77"/>
      <c r="AX77" s="77"/>
      <c r="AY77" s="77"/>
      <c r="AZ77" s="77"/>
      <c r="BA77" s="77"/>
      <c r="BB77" s="77"/>
      <c r="BC77" s="77"/>
      <c r="BD77" s="77"/>
      <c r="BE77" s="77"/>
      <c r="BF77" s="77"/>
      <c r="BG77" s="77"/>
      <c r="BH77" s="77"/>
      <c r="BI77" s="77"/>
      <c r="BJ77" s="77"/>
      <c r="BK77" s="77"/>
      <c r="BL77" s="77"/>
      <c r="BM77" s="77"/>
      <c r="BN77" s="77"/>
      <c r="BO77" s="77"/>
      <c r="BP77" s="77"/>
      <c r="BR77" s="123"/>
      <c r="BS77" s="120"/>
      <c r="BT77" s="120"/>
      <c r="BU77" s="2"/>
      <c r="BV77" s="2"/>
      <c r="BW77" s="2"/>
      <c r="BX77" s="121"/>
    </row>
    <row r="78" spans="1:76" ht="15" customHeight="1">
      <c r="A78" s="13"/>
      <c r="B78" s="88"/>
      <c r="C78" s="78"/>
      <c r="D78" s="89"/>
      <c r="E78" s="90"/>
      <c r="F78" s="66"/>
      <c r="G78" s="67"/>
      <c r="H78" s="92"/>
      <c r="I78" s="92"/>
      <c r="J78" s="68"/>
      <c r="K78" s="69"/>
      <c r="L78" s="70"/>
      <c r="M78" s="70"/>
      <c r="N78" s="71"/>
      <c r="O78" s="2"/>
      <c r="P78" s="2"/>
      <c r="Q78" s="2"/>
      <c r="R78" s="3"/>
      <c r="S78" s="4"/>
      <c r="T78" s="84"/>
      <c r="U78" s="85"/>
      <c r="V78" s="4"/>
      <c r="W78" s="4"/>
      <c r="X78" s="4"/>
      <c r="Y78" s="62"/>
      <c r="Z78" s="22"/>
      <c r="AA78" s="22"/>
      <c r="AB78" s="22"/>
      <c r="AC78" s="22"/>
      <c r="AD78" s="19"/>
      <c r="AE78" s="14"/>
      <c r="AF78" s="72"/>
      <c r="AG78" s="49"/>
      <c r="AH78" s="49"/>
      <c r="AI78" s="50"/>
      <c r="AJ78" s="15"/>
      <c r="AK78" s="79"/>
      <c r="AL78" s="79"/>
      <c r="AM78" s="79"/>
      <c r="AN78" s="77"/>
      <c r="AO78" s="77"/>
      <c r="AP78" s="77"/>
      <c r="AQ78" s="77"/>
      <c r="AR78" s="77"/>
      <c r="AS78" s="77"/>
      <c r="AT78" s="77"/>
      <c r="AU78" s="77"/>
      <c r="AV78" s="77"/>
      <c r="AW78" s="77"/>
      <c r="AX78" s="77"/>
      <c r="AY78" s="77"/>
      <c r="AZ78" s="77"/>
      <c r="BA78" s="77"/>
      <c r="BB78" s="77"/>
      <c r="BC78" s="77"/>
      <c r="BD78" s="77"/>
      <c r="BE78" s="77"/>
      <c r="BF78" s="77"/>
      <c r="BG78" s="77"/>
      <c r="BH78" s="77"/>
      <c r="BI78" s="77"/>
      <c r="BJ78" s="77"/>
      <c r="BK78" s="77"/>
      <c r="BL78" s="77"/>
      <c r="BM78" s="77"/>
      <c r="BN78" s="77"/>
      <c r="BO78" s="77"/>
      <c r="BP78" s="77"/>
      <c r="BR78" s="123"/>
      <c r="BS78" s="120"/>
      <c r="BT78" s="120"/>
      <c r="BU78" s="2"/>
      <c r="BV78" s="2"/>
      <c r="BW78" s="2"/>
      <c r="BX78" s="121"/>
    </row>
    <row r="79" spans="1:76" ht="15" customHeight="1">
      <c r="A79" s="13"/>
      <c r="B79" s="88"/>
      <c r="C79" s="78"/>
      <c r="D79" s="89"/>
      <c r="E79" s="90"/>
      <c r="F79" s="66"/>
      <c r="G79" s="67"/>
      <c r="H79" s="92"/>
      <c r="I79" s="92"/>
      <c r="J79" s="68"/>
      <c r="K79" s="69"/>
      <c r="L79" s="70"/>
      <c r="M79" s="70"/>
      <c r="N79" s="71"/>
      <c r="O79" s="2"/>
      <c r="P79" s="2"/>
      <c r="Q79" s="2"/>
      <c r="R79" s="3"/>
      <c r="S79" s="4"/>
      <c r="T79" s="84"/>
      <c r="U79" s="85"/>
      <c r="V79" s="4"/>
      <c r="W79" s="4"/>
      <c r="X79" s="4"/>
      <c r="Y79" s="62"/>
      <c r="Z79" s="22"/>
      <c r="AA79" s="22"/>
      <c r="AB79" s="22"/>
      <c r="AC79" s="22"/>
      <c r="AD79" s="19"/>
      <c r="AE79" s="14"/>
      <c r="AF79" s="72"/>
      <c r="AG79" s="49"/>
      <c r="AH79" s="49"/>
      <c r="AI79" s="50"/>
      <c r="AJ79" s="15"/>
      <c r="AK79" s="79"/>
      <c r="AL79" s="79"/>
      <c r="AM79" s="79"/>
      <c r="AN79" s="77"/>
      <c r="AO79" s="77"/>
      <c r="AP79" s="77"/>
      <c r="AQ79" s="77"/>
      <c r="AR79" s="77"/>
      <c r="AS79" s="77"/>
      <c r="AT79" s="77"/>
      <c r="AU79" s="77"/>
      <c r="AV79" s="77"/>
      <c r="AW79" s="77"/>
      <c r="AX79" s="77"/>
      <c r="AY79" s="77"/>
      <c r="AZ79" s="77"/>
      <c r="BA79" s="77"/>
      <c r="BB79" s="77"/>
      <c r="BC79" s="77"/>
      <c r="BD79" s="77"/>
      <c r="BE79" s="77"/>
      <c r="BF79" s="77"/>
      <c r="BG79" s="77"/>
      <c r="BH79" s="77"/>
      <c r="BI79" s="77"/>
      <c r="BJ79" s="77"/>
      <c r="BK79" s="77"/>
      <c r="BL79" s="77"/>
      <c r="BM79" s="77"/>
      <c r="BN79" s="77"/>
      <c r="BO79" s="77"/>
      <c r="BP79" s="77"/>
      <c r="BR79" s="123"/>
      <c r="BS79" s="120"/>
      <c r="BT79" s="120"/>
      <c r="BU79" s="2"/>
      <c r="BV79" s="2"/>
      <c r="BW79" s="2"/>
      <c r="BX79" s="121"/>
    </row>
    <row r="80" spans="1:76" ht="15" customHeight="1">
      <c r="A80" s="13"/>
      <c r="B80" s="88"/>
      <c r="C80" s="78"/>
      <c r="D80" s="89"/>
      <c r="E80" s="90"/>
      <c r="F80" s="66"/>
      <c r="G80" s="67"/>
      <c r="H80" s="92"/>
      <c r="I80" s="92"/>
      <c r="J80" s="68"/>
      <c r="K80" s="69"/>
      <c r="L80" s="70"/>
      <c r="M80" s="70"/>
      <c r="N80" s="71"/>
      <c r="O80" s="2"/>
      <c r="P80" s="2"/>
      <c r="Q80" s="2"/>
      <c r="R80" s="3"/>
      <c r="S80" s="4"/>
      <c r="T80" s="84"/>
      <c r="U80" s="85"/>
      <c r="V80" s="4"/>
      <c r="W80" s="4"/>
      <c r="X80" s="4"/>
      <c r="Y80" s="62"/>
      <c r="Z80" s="22"/>
      <c r="AA80" s="22"/>
      <c r="AB80" s="22"/>
      <c r="AC80" s="22"/>
      <c r="AD80" s="19"/>
      <c r="AE80" s="14"/>
      <c r="AF80" s="72"/>
      <c r="AG80" s="49"/>
      <c r="AH80" s="49"/>
      <c r="AI80" s="50"/>
      <c r="AJ80" s="15"/>
      <c r="AK80" s="79"/>
      <c r="AL80" s="79"/>
      <c r="AM80" s="79"/>
      <c r="AN80" s="77"/>
      <c r="AO80" s="77"/>
      <c r="AP80" s="77"/>
      <c r="AQ80" s="77"/>
      <c r="AR80" s="77"/>
      <c r="AS80" s="77"/>
      <c r="AT80" s="77"/>
      <c r="AU80" s="77"/>
      <c r="AV80" s="77"/>
      <c r="AW80" s="77"/>
      <c r="AX80" s="77"/>
      <c r="AY80" s="77"/>
      <c r="AZ80" s="77"/>
      <c r="BA80" s="77"/>
      <c r="BB80" s="77"/>
      <c r="BC80" s="77"/>
      <c r="BD80" s="77"/>
      <c r="BE80" s="77"/>
      <c r="BF80" s="77"/>
      <c r="BG80" s="77"/>
      <c r="BH80" s="77"/>
      <c r="BI80" s="77"/>
      <c r="BJ80" s="77"/>
      <c r="BK80" s="77"/>
      <c r="BL80" s="77"/>
      <c r="BM80" s="77"/>
      <c r="BN80" s="77"/>
      <c r="BO80" s="77"/>
      <c r="BP80" s="77"/>
      <c r="BR80" s="123"/>
      <c r="BS80" s="120"/>
      <c r="BT80" s="120"/>
      <c r="BU80" s="2"/>
      <c r="BV80" s="2"/>
      <c r="BW80" s="2"/>
      <c r="BX80" s="121"/>
    </row>
    <row r="81" spans="1:76" ht="15" customHeight="1">
      <c r="A81" s="13"/>
      <c r="B81" s="88"/>
      <c r="C81" s="78" t="s">
        <v>125</v>
      </c>
      <c r="D81" s="89" t="s">
        <v>117</v>
      </c>
      <c r="E81" s="90"/>
      <c r="F81" s="66" t="s">
        <v>41</v>
      </c>
      <c r="G81" s="67"/>
      <c r="H81" s="92" t="str">
        <f>IF(OOC!S81=0,"",OOC!S81)</f>
        <v/>
      </c>
      <c r="I81" s="92" t="str">
        <f>IF(OOC!T81=0,"",OOC!T81)</f>
        <v/>
      </c>
      <c r="J81" s="68" t="s">
        <v>12</v>
      </c>
      <c r="K81" s="69" t="s">
        <v>80</v>
      </c>
      <c r="L81" s="70" t="str">
        <f t="shared" si="0"/>
        <v/>
      </c>
      <c r="M81" s="70" t="str">
        <f t="shared" si="1"/>
        <v/>
      </c>
      <c r="N81" s="71"/>
      <c r="O81" s="2" t="e">
        <f t="shared" si="2"/>
        <v>#REF!</v>
      </c>
      <c r="P81" s="2" t="e">
        <f t="shared" si="3"/>
        <v>#REF!</v>
      </c>
      <c r="Q81" s="2" t="e">
        <f t="shared" si="4"/>
        <v>#REF!</v>
      </c>
      <c r="R81" s="3" t="e">
        <f t="shared" si="5"/>
        <v>#REF!</v>
      </c>
      <c r="S81" s="4" t="e">
        <f t="shared" si="10"/>
        <v>#REF!</v>
      </c>
      <c r="T81" s="84" t="e">
        <f t="shared" si="11"/>
        <v>#REF!</v>
      </c>
      <c r="U81" s="85" t="e">
        <f t="shared" si="12"/>
        <v>#REF!</v>
      </c>
      <c r="V81" s="4" t="e">
        <f t="shared" si="6"/>
        <v>#REF!</v>
      </c>
      <c r="W81" s="4" t="e">
        <f t="shared" si="7"/>
        <v>#REF!</v>
      </c>
      <c r="X81" s="4" t="e">
        <f t="shared" si="8"/>
        <v>#REF!</v>
      </c>
      <c r="Y81" s="62" t="e">
        <f t="shared" si="9"/>
        <v>#REF!</v>
      </c>
      <c r="Z81" s="22"/>
      <c r="AA81" s="22"/>
      <c r="AB81" s="22"/>
      <c r="AC81" s="22"/>
      <c r="AD81" s="19"/>
      <c r="AE81" s="14"/>
      <c r="AF81" s="74"/>
      <c r="AG81" s="49"/>
      <c r="AH81" s="49"/>
      <c r="AI81" s="50"/>
      <c r="AJ81" s="15"/>
      <c r="AK81" s="79" t="e">
        <f>#REF!</f>
        <v>#REF!</v>
      </c>
      <c r="AL81" s="79" t="e">
        <f>#REF!</f>
        <v>#REF!</v>
      </c>
      <c r="AM81" s="79" t="e">
        <f>#REF!</f>
        <v>#REF!</v>
      </c>
      <c r="AN81" s="77"/>
      <c r="AO81" s="77"/>
      <c r="AP81" s="77"/>
      <c r="AQ81" s="77"/>
      <c r="AR81" s="77"/>
      <c r="AS81" s="77"/>
      <c r="AT81" s="77"/>
      <c r="AU81" s="77"/>
      <c r="AV81" s="77"/>
      <c r="AW81" s="77"/>
      <c r="AX81" s="77"/>
      <c r="AY81" s="77"/>
      <c r="AZ81" s="77"/>
      <c r="BA81" s="77"/>
      <c r="BB81" s="77"/>
      <c r="BC81" s="77"/>
      <c r="BD81" s="77"/>
      <c r="BE81" s="77"/>
      <c r="BF81" s="77"/>
      <c r="BG81" s="77"/>
      <c r="BH81" s="77"/>
      <c r="BI81" s="77"/>
      <c r="BJ81" s="77"/>
      <c r="BK81" s="77"/>
      <c r="BL81" s="77"/>
      <c r="BM81" s="77"/>
      <c r="BN81" s="77"/>
      <c r="BO81" s="77"/>
      <c r="BP81" s="77"/>
      <c r="BR81" s="123" t="str">
        <f t="shared" si="13"/>
        <v>FAI34</v>
      </c>
      <c r="BS81" s="120">
        <f>OOC!G81</f>
        <v>0.02</v>
      </c>
      <c r="BT81" s="120" t="str">
        <f>OOC!H81</f>
        <v/>
      </c>
      <c r="BU81" s="2" t="e">
        <f t="shared" si="14"/>
        <v>#REF!</v>
      </c>
      <c r="BV81" s="2" t="e">
        <f t="shared" si="15"/>
        <v>#REF!</v>
      </c>
      <c r="BW81" s="2" t="e">
        <f t="shared" si="16"/>
        <v>#REF!</v>
      </c>
      <c r="BX81" s="121" t="e">
        <f>IF(AND(IF(OOC!G81="",0,OOC!G81) &gt;= IF(O81="",0,O81), IF(O81="",0,O81) &gt; IF(L81="",0,L81)), "OOC",
IF(AND(IF(M81="",0,M81) &gt; IF(P81="",0,P81), IF(P81="",0,P81) &gt;= IF(OOC!H81="",0,OOC!H81)), "OOC",
IF(IF(O81="",0,O81) &gt; IF(OOC!G81="",0,OOC!G81), "OOS",
IF(IF(OOC!H81="",0,OOC!H81) &gt; IF(P81="",0,P81), "OOS", "OK"))))</f>
        <v>#REF!</v>
      </c>
    </row>
    <row r="82" spans="1:76" ht="15" customHeight="1">
      <c r="A82" s="13"/>
      <c r="B82" s="88"/>
      <c r="C82" s="78"/>
      <c r="D82" s="89"/>
      <c r="E82" s="90"/>
      <c r="F82" s="66"/>
      <c r="G82" s="67"/>
      <c r="H82" s="92"/>
      <c r="I82" s="92"/>
      <c r="J82" s="68"/>
      <c r="K82" s="69"/>
      <c r="L82" s="70"/>
      <c r="M82" s="70"/>
      <c r="N82" s="71"/>
      <c r="O82" s="2"/>
      <c r="P82" s="2"/>
      <c r="Q82" s="2"/>
      <c r="R82" s="3"/>
      <c r="S82" s="4"/>
      <c r="T82" s="84"/>
      <c r="U82" s="85"/>
      <c r="V82" s="4"/>
      <c r="W82" s="4"/>
      <c r="X82" s="4"/>
      <c r="Y82" s="62"/>
      <c r="Z82" s="22"/>
      <c r="AA82" s="22"/>
      <c r="AB82" s="22"/>
      <c r="AC82" s="22"/>
      <c r="AD82" s="19"/>
      <c r="AE82" s="14"/>
      <c r="AF82" s="74"/>
      <c r="AG82" s="49"/>
      <c r="AH82" s="49"/>
      <c r="AI82" s="50"/>
      <c r="AJ82" s="15"/>
      <c r="AK82" s="79"/>
      <c r="AL82" s="79"/>
      <c r="AM82" s="79"/>
      <c r="AN82" s="77"/>
      <c r="AO82" s="77"/>
      <c r="AP82" s="77"/>
      <c r="AQ82" s="77"/>
      <c r="AR82" s="77"/>
      <c r="AS82" s="77"/>
      <c r="AT82" s="77"/>
      <c r="AU82" s="77"/>
      <c r="AV82" s="77"/>
      <c r="AW82" s="77"/>
      <c r="AX82" s="77"/>
      <c r="AY82" s="77"/>
      <c r="AZ82" s="77"/>
      <c r="BA82" s="77"/>
      <c r="BB82" s="77"/>
      <c r="BC82" s="77"/>
      <c r="BD82" s="77"/>
      <c r="BE82" s="77"/>
      <c r="BF82" s="77"/>
      <c r="BG82" s="77"/>
      <c r="BH82" s="77"/>
      <c r="BI82" s="77"/>
      <c r="BJ82" s="77"/>
      <c r="BK82" s="77"/>
      <c r="BL82" s="77"/>
      <c r="BM82" s="77"/>
      <c r="BN82" s="77"/>
      <c r="BO82" s="77"/>
      <c r="BP82" s="77"/>
      <c r="BR82" s="123"/>
      <c r="BS82" s="120"/>
      <c r="BT82" s="120"/>
      <c r="BU82" s="2"/>
      <c r="BV82" s="2"/>
      <c r="BW82" s="2"/>
      <c r="BX82" s="121"/>
    </row>
    <row r="83" spans="1:76" ht="15" customHeight="1">
      <c r="A83" s="13"/>
      <c r="B83" s="88"/>
      <c r="C83" s="78"/>
      <c r="D83" s="89"/>
      <c r="E83" s="90"/>
      <c r="F83" s="66"/>
      <c r="G83" s="67"/>
      <c r="H83" s="92"/>
      <c r="I83" s="92"/>
      <c r="J83" s="68"/>
      <c r="K83" s="69"/>
      <c r="L83" s="70"/>
      <c r="M83" s="70"/>
      <c r="N83" s="71"/>
      <c r="O83" s="2"/>
      <c r="P83" s="2"/>
      <c r="Q83" s="2"/>
      <c r="R83" s="3"/>
      <c r="S83" s="4"/>
      <c r="T83" s="84"/>
      <c r="U83" s="85"/>
      <c r="V83" s="4"/>
      <c r="W83" s="4"/>
      <c r="X83" s="4"/>
      <c r="Y83" s="62"/>
      <c r="Z83" s="22"/>
      <c r="AA83" s="22"/>
      <c r="AB83" s="22"/>
      <c r="AC83" s="22"/>
      <c r="AD83" s="19"/>
      <c r="AE83" s="14"/>
      <c r="AF83" s="74"/>
      <c r="AG83" s="49"/>
      <c r="AH83" s="49"/>
      <c r="AI83" s="50"/>
      <c r="AJ83" s="15"/>
      <c r="AK83" s="79"/>
      <c r="AL83" s="79"/>
      <c r="AM83" s="79"/>
      <c r="AN83" s="77"/>
      <c r="AO83" s="77"/>
      <c r="AP83" s="77"/>
      <c r="AQ83" s="77"/>
      <c r="AR83" s="77"/>
      <c r="AS83" s="77"/>
      <c r="AT83" s="77"/>
      <c r="AU83" s="77"/>
      <c r="AV83" s="77"/>
      <c r="AW83" s="77"/>
      <c r="AX83" s="77"/>
      <c r="AY83" s="77"/>
      <c r="AZ83" s="77"/>
      <c r="BA83" s="77"/>
      <c r="BB83" s="77"/>
      <c r="BC83" s="77"/>
      <c r="BD83" s="77"/>
      <c r="BE83" s="77"/>
      <c r="BF83" s="77"/>
      <c r="BG83" s="77"/>
      <c r="BH83" s="77"/>
      <c r="BI83" s="77"/>
      <c r="BJ83" s="77"/>
      <c r="BK83" s="77"/>
      <c r="BL83" s="77"/>
      <c r="BM83" s="77"/>
      <c r="BN83" s="77"/>
      <c r="BO83" s="77"/>
      <c r="BP83" s="77"/>
      <c r="BR83" s="123"/>
      <c r="BS83" s="120"/>
      <c r="BT83" s="120"/>
      <c r="BU83" s="2"/>
      <c r="BV83" s="2"/>
      <c r="BW83" s="2"/>
      <c r="BX83" s="121"/>
    </row>
    <row r="84" spans="1:76" ht="15" customHeight="1">
      <c r="A84" s="13"/>
      <c r="B84" s="88"/>
      <c r="C84" s="78"/>
      <c r="D84" s="89"/>
      <c r="E84" s="90"/>
      <c r="F84" s="66"/>
      <c r="G84" s="67"/>
      <c r="H84" s="92"/>
      <c r="I84" s="92"/>
      <c r="J84" s="68"/>
      <c r="K84" s="69"/>
      <c r="L84" s="70"/>
      <c r="M84" s="70"/>
      <c r="N84" s="71"/>
      <c r="O84" s="2"/>
      <c r="P84" s="2"/>
      <c r="Q84" s="2"/>
      <c r="R84" s="3"/>
      <c r="S84" s="4"/>
      <c r="T84" s="84"/>
      <c r="U84" s="85"/>
      <c r="V84" s="4"/>
      <c r="W84" s="4"/>
      <c r="X84" s="4"/>
      <c r="Y84" s="62"/>
      <c r="Z84" s="22"/>
      <c r="AA84" s="22"/>
      <c r="AB84" s="22"/>
      <c r="AC84" s="22"/>
      <c r="AD84" s="19"/>
      <c r="AE84" s="14"/>
      <c r="AF84" s="74"/>
      <c r="AG84" s="49"/>
      <c r="AH84" s="49"/>
      <c r="AI84" s="50"/>
      <c r="AJ84" s="15"/>
      <c r="AK84" s="79"/>
      <c r="AL84" s="79"/>
      <c r="AM84" s="79"/>
      <c r="AN84" s="77"/>
      <c r="AO84" s="77"/>
      <c r="AP84" s="77"/>
      <c r="AQ84" s="77"/>
      <c r="AR84" s="77"/>
      <c r="AS84" s="77"/>
      <c r="AT84" s="77"/>
      <c r="AU84" s="77"/>
      <c r="AV84" s="77"/>
      <c r="AW84" s="77"/>
      <c r="AX84" s="77"/>
      <c r="AY84" s="77"/>
      <c r="AZ84" s="77"/>
      <c r="BA84" s="77"/>
      <c r="BB84" s="77"/>
      <c r="BC84" s="77"/>
      <c r="BD84" s="77"/>
      <c r="BE84" s="77"/>
      <c r="BF84" s="77"/>
      <c r="BG84" s="77"/>
      <c r="BH84" s="77"/>
      <c r="BI84" s="77"/>
      <c r="BJ84" s="77"/>
      <c r="BK84" s="77"/>
      <c r="BL84" s="77"/>
      <c r="BM84" s="77"/>
      <c r="BN84" s="77"/>
      <c r="BO84" s="77"/>
      <c r="BP84" s="77"/>
      <c r="BR84" s="123"/>
      <c r="BS84" s="120"/>
      <c r="BT84" s="120"/>
      <c r="BU84" s="2"/>
      <c r="BV84" s="2"/>
      <c r="BW84" s="2"/>
      <c r="BX84" s="121"/>
    </row>
    <row r="85" spans="1:76" ht="15" customHeight="1">
      <c r="A85" s="13"/>
      <c r="B85" s="88"/>
      <c r="C85" s="78"/>
      <c r="D85" s="89"/>
      <c r="E85" s="90"/>
      <c r="F85" s="66"/>
      <c r="G85" s="67"/>
      <c r="H85" s="92"/>
      <c r="I85" s="92"/>
      <c r="J85" s="68"/>
      <c r="K85" s="69"/>
      <c r="L85" s="70"/>
      <c r="M85" s="70"/>
      <c r="N85" s="71"/>
      <c r="O85" s="2"/>
      <c r="P85" s="2"/>
      <c r="Q85" s="2"/>
      <c r="R85" s="3"/>
      <c r="S85" s="4"/>
      <c r="T85" s="84"/>
      <c r="U85" s="85"/>
      <c r="V85" s="4"/>
      <c r="W85" s="4"/>
      <c r="X85" s="4"/>
      <c r="Y85" s="62"/>
      <c r="Z85" s="22"/>
      <c r="AA85" s="22"/>
      <c r="AB85" s="22"/>
      <c r="AC85" s="22"/>
      <c r="AD85" s="19"/>
      <c r="AE85" s="14"/>
      <c r="AF85" s="74"/>
      <c r="AG85" s="49"/>
      <c r="AH85" s="49"/>
      <c r="AI85" s="50"/>
      <c r="AJ85" s="15"/>
      <c r="AK85" s="79"/>
      <c r="AL85" s="79"/>
      <c r="AM85" s="79"/>
      <c r="AN85" s="77"/>
      <c r="AO85" s="77"/>
      <c r="AP85" s="77"/>
      <c r="AQ85" s="77"/>
      <c r="AR85" s="77"/>
      <c r="AS85" s="77"/>
      <c r="AT85" s="77"/>
      <c r="AU85" s="77"/>
      <c r="AV85" s="77"/>
      <c r="AW85" s="77"/>
      <c r="AX85" s="77"/>
      <c r="AY85" s="77"/>
      <c r="AZ85" s="77"/>
      <c r="BA85" s="77"/>
      <c r="BB85" s="77"/>
      <c r="BC85" s="77"/>
      <c r="BD85" s="77"/>
      <c r="BE85" s="77"/>
      <c r="BF85" s="77"/>
      <c r="BG85" s="77"/>
      <c r="BH85" s="77"/>
      <c r="BI85" s="77"/>
      <c r="BJ85" s="77"/>
      <c r="BK85" s="77"/>
      <c r="BL85" s="77"/>
      <c r="BM85" s="77"/>
      <c r="BN85" s="77"/>
      <c r="BO85" s="77"/>
      <c r="BP85" s="77"/>
      <c r="BR85" s="123"/>
      <c r="BS85" s="120"/>
      <c r="BT85" s="120"/>
      <c r="BU85" s="2"/>
      <c r="BV85" s="2"/>
      <c r="BW85" s="2"/>
      <c r="BX85" s="121"/>
    </row>
    <row r="86" spans="1:76" ht="15" customHeight="1">
      <c r="A86" s="13"/>
      <c r="B86" s="88"/>
      <c r="C86" s="78" t="s">
        <v>126</v>
      </c>
      <c r="D86" s="89" t="s">
        <v>117</v>
      </c>
      <c r="E86" s="90"/>
      <c r="F86" s="66" t="s">
        <v>44</v>
      </c>
      <c r="G86" s="91">
        <v>13.614000000000001</v>
      </c>
      <c r="H86" s="92" t="str">
        <f>IF(OOC!S86=0,"",OOC!S86)</f>
        <v/>
      </c>
      <c r="I86" s="92" t="str">
        <f>IF(OOC!T86=0,"",OOC!T86)</f>
        <v/>
      </c>
      <c r="J86" s="68" t="s">
        <v>12</v>
      </c>
      <c r="K86" s="69" t="s">
        <v>80</v>
      </c>
      <c r="L86" s="70" t="e">
        <f t="shared" si="0"/>
        <v>#VALUE!</v>
      </c>
      <c r="M86" s="70" t="e">
        <f t="shared" si="1"/>
        <v>#VALUE!</v>
      </c>
      <c r="N86" s="71"/>
      <c r="O86" s="2" t="e">
        <f t="shared" si="2"/>
        <v>#REF!</v>
      </c>
      <c r="P86" s="2" t="e">
        <f t="shared" si="3"/>
        <v>#REF!</v>
      </c>
      <c r="Q86" s="2" t="e">
        <f t="shared" si="4"/>
        <v>#REF!</v>
      </c>
      <c r="R86" s="3" t="e">
        <f t="shared" si="5"/>
        <v>#REF!</v>
      </c>
      <c r="S86" s="4" t="e">
        <f t="shared" si="10"/>
        <v>#REF!</v>
      </c>
      <c r="T86" s="84" t="e">
        <f t="shared" si="11"/>
        <v>#REF!</v>
      </c>
      <c r="U86" s="85" t="e">
        <f t="shared" si="12"/>
        <v>#REF!</v>
      </c>
      <c r="V86" s="4" t="e">
        <f t="shared" si="6"/>
        <v>#REF!</v>
      </c>
      <c r="W86" s="4" t="e">
        <f t="shared" si="7"/>
        <v>#REF!</v>
      </c>
      <c r="X86" s="4" t="e">
        <f t="shared" si="8"/>
        <v>#REF!</v>
      </c>
      <c r="Y86" s="62" t="e">
        <f t="shared" si="9"/>
        <v>#REF!</v>
      </c>
      <c r="Z86" s="22"/>
      <c r="AA86" s="22"/>
      <c r="AB86" s="22"/>
      <c r="AC86" s="22"/>
      <c r="AD86" s="19"/>
      <c r="AE86" s="14"/>
      <c r="AF86" s="74"/>
      <c r="AG86" s="49"/>
      <c r="AH86" s="49"/>
      <c r="AI86" s="50"/>
      <c r="AJ86" s="15"/>
      <c r="AK86" s="79" t="e">
        <f>#REF!</f>
        <v>#REF!</v>
      </c>
      <c r="AL86" s="79" t="e">
        <f>#REF!</f>
        <v>#REF!</v>
      </c>
      <c r="AM86" s="79" t="e">
        <f>#REF!</f>
        <v>#REF!</v>
      </c>
      <c r="AN86" s="77"/>
      <c r="AO86" s="77"/>
      <c r="AP86" s="77"/>
      <c r="AQ86" s="77"/>
      <c r="AR86" s="77"/>
      <c r="AS86" s="77"/>
      <c r="AT86" s="77"/>
      <c r="AU86" s="77"/>
      <c r="AV86" s="77"/>
      <c r="AW86" s="77"/>
      <c r="AX86" s="77"/>
      <c r="AY86" s="77"/>
      <c r="AZ86" s="77"/>
      <c r="BA86" s="77"/>
      <c r="BB86" s="77"/>
      <c r="BC86" s="77"/>
      <c r="BD86" s="77"/>
      <c r="BE86" s="77"/>
      <c r="BF86" s="77"/>
      <c r="BG86" s="77"/>
      <c r="BH86" s="77"/>
      <c r="BI86" s="77"/>
      <c r="BJ86" s="77"/>
      <c r="BK86" s="77"/>
      <c r="BL86" s="77"/>
      <c r="BM86" s="77"/>
      <c r="BN86" s="77"/>
      <c r="BO86" s="77"/>
      <c r="BP86" s="77"/>
      <c r="BR86" s="123" t="str">
        <f t="shared" si="13"/>
        <v>FAI35</v>
      </c>
      <c r="BS86" s="120">
        <f>OOC!G86</f>
        <v>13.644</v>
      </c>
      <c r="BT86" s="120">
        <f>OOC!H86</f>
        <v>13.584000000000001</v>
      </c>
      <c r="BU86" s="2" t="e">
        <f t="shared" si="14"/>
        <v>#REF!</v>
      </c>
      <c r="BV86" s="2" t="e">
        <f t="shared" si="15"/>
        <v>#REF!</v>
      </c>
      <c r="BW86" s="2" t="e">
        <f t="shared" si="16"/>
        <v>#REF!</v>
      </c>
      <c r="BX86" s="121" t="e">
        <f>IF(AND(IF(OOC!G86="",0,OOC!G86) &gt;= IF(O86="",0,O86), IF(O86="",0,O86) &gt; IF(L86="",0,L86)), "OOC",
IF(AND(IF(M86="",0,M86) &gt; IF(P86="",0,P86), IF(P86="",0,P86) &gt;= IF(OOC!H86="",0,OOC!H86)), "OOC",
IF(IF(O86="",0,O86) &gt; IF(OOC!G86="",0,OOC!G86), "OOS",
IF(IF(OOC!H86="",0,OOC!H86) &gt; IF(P86="",0,P86), "OOS", "OK"))))</f>
        <v>#REF!</v>
      </c>
    </row>
    <row r="87" spans="1:76" ht="15" customHeight="1">
      <c r="A87" s="13"/>
      <c r="B87" s="88"/>
      <c r="C87" s="78" t="s">
        <v>127</v>
      </c>
      <c r="D87" s="89" t="s">
        <v>117</v>
      </c>
      <c r="E87" s="90"/>
      <c r="F87" s="66" t="s">
        <v>44</v>
      </c>
      <c r="G87" s="91">
        <v>1.9510000000000001</v>
      </c>
      <c r="H87" s="92" t="str">
        <f>IF(OOC!S87=0,"",OOC!S87)</f>
        <v/>
      </c>
      <c r="I87" s="92" t="str">
        <f>IF(OOC!T87=0,"",OOC!T87)</f>
        <v/>
      </c>
      <c r="J87" s="68" t="s">
        <v>12</v>
      </c>
      <c r="K87" s="69" t="s">
        <v>80</v>
      </c>
      <c r="L87" s="70" t="e">
        <f t="shared" si="0"/>
        <v>#VALUE!</v>
      </c>
      <c r="M87" s="70" t="e">
        <f t="shared" si="1"/>
        <v>#VALUE!</v>
      </c>
      <c r="N87" s="71"/>
      <c r="O87" s="2" t="e">
        <f t="shared" si="2"/>
        <v>#REF!</v>
      </c>
      <c r="P87" s="2" t="e">
        <f t="shared" si="3"/>
        <v>#REF!</v>
      </c>
      <c r="Q87" s="2" t="e">
        <f t="shared" si="4"/>
        <v>#REF!</v>
      </c>
      <c r="R87" s="3" t="e">
        <f t="shared" si="5"/>
        <v>#REF!</v>
      </c>
      <c r="S87" s="4" t="e">
        <f t="shared" si="10"/>
        <v>#REF!</v>
      </c>
      <c r="T87" s="84" t="e">
        <f t="shared" si="11"/>
        <v>#REF!</v>
      </c>
      <c r="U87" s="85" t="e">
        <f t="shared" si="12"/>
        <v>#REF!</v>
      </c>
      <c r="V87" s="4" t="e">
        <f t="shared" si="6"/>
        <v>#REF!</v>
      </c>
      <c r="W87" s="4" t="e">
        <f t="shared" si="7"/>
        <v>#REF!</v>
      </c>
      <c r="X87" s="4" t="e">
        <f t="shared" si="8"/>
        <v>#REF!</v>
      </c>
      <c r="Y87" s="62" t="e">
        <f t="shared" si="9"/>
        <v>#REF!</v>
      </c>
      <c r="Z87" s="22"/>
      <c r="AA87" s="22"/>
      <c r="AB87" s="22"/>
      <c r="AC87" s="22"/>
      <c r="AD87" s="19"/>
      <c r="AE87" s="14"/>
      <c r="AF87" s="74"/>
      <c r="AG87" s="49"/>
      <c r="AH87" s="49"/>
      <c r="AI87" s="50"/>
      <c r="AJ87" s="15"/>
      <c r="AK87" s="79" t="e">
        <f>#REF!</f>
        <v>#REF!</v>
      </c>
      <c r="AL87" s="79" t="e">
        <f>#REF!</f>
        <v>#REF!</v>
      </c>
      <c r="AM87" s="79" t="e">
        <f>#REF!</f>
        <v>#REF!</v>
      </c>
      <c r="AN87" s="77"/>
      <c r="AO87" s="77"/>
      <c r="AP87" s="77"/>
      <c r="AQ87" s="77"/>
      <c r="AR87" s="77"/>
      <c r="AS87" s="77"/>
      <c r="AT87" s="77"/>
      <c r="AU87" s="77"/>
      <c r="AV87" s="77"/>
      <c r="AW87" s="77"/>
      <c r="AX87" s="77"/>
      <c r="AY87" s="77"/>
      <c r="AZ87" s="77"/>
      <c r="BA87" s="77"/>
      <c r="BB87" s="77"/>
      <c r="BC87" s="77"/>
      <c r="BD87" s="77"/>
      <c r="BE87" s="77"/>
      <c r="BF87" s="77"/>
      <c r="BG87" s="77"/>
      <c r="BH87" s="77"/>
      <c r="BI87" s="77"/>
      <c r="BJ87" s="77"/>
      <c r="BK87" s="77"/>
      <c r="BL87" s="77"/>
      <c r="BM87" s="77"/>
      <c r="BN87" s="77"/>
      <c r="BO87" s="77"/>
      <c r="BP87" s="77"/>
      <c r="BR87" s="123" t="str">
        <f t="shared" si="13"/>
        <v>FAI36</v>
      </c>
      <c r="BS87" s="120">
        <f>OOC!G87</f>
        <v>1.9810000000000001</v>
      </c>
      <c r="BT87" s="120">
        <f>OOC!H87</f>
        <v>1.921</v>
      </c>
      <c r="BU87" s="2" t="e">
        <f t="shared" si="14"/>
        <v>#REF!</v>
      </c>
      <c r="BV87" s="2" t="e">
        <f t="shared" si="15"/>
        <v>#REF!</v>
      </c>
      <c r="BW87" s="2" t="e">
        <f t="shared" si="16"/>
        <v>#REF!</v>
      </c>
      <c r="BX87" s="121" t="e">
        <f>IF(AND(IF(OOC!G87="",0,OOC!G87) &gt;= IF(O87="",0,O87), IF(O87="",0,O87) &gt; IF(L87="",0,L87)), "OOC",
IF(AND(IF(M87="",0,M87) &gt; IF(P87="",0,P87), IF(P87="",0,P87) &gt;= IF(OOC!H87="",0,OOC!H87)), "OOC",
IF(IF(O87="",0,O87) &gt; IF(OOC!G87="",0,OOC!G87), "OOS",
IF(IF(OOC!H87="",0,OOC!H87) &gt; IF(P87="",0,P87), "OOS", "OK"))))</f>
        <v>#REF!</v>
      </c>
    </row>
    <row r="88" spans="1:76" ht="15" customHeight="1">
      <c r="A88" s="13"/>
      <c r="B88" s="88"/>
      <c r="C88" s="78" t="s">
        <v>128</v>
      </c>
      <c r="D88" s="89" t="s">
        <v>117</v>
      </c>
      <c r="E88" s="90"/>
      <c r="F88" s="66" t="s">
        <v>44</v>
      </c>
      <c r="G88" s="91">
        <v>2.355</v>
      </c>
      <c r="H88" s="92" t="str">
        <f>IF(OOC!S88=0,"",OOC!S88)</f>
        <v/>
      </c>
      <c r="I88" s="92" t="str">
        <f>IF(OOC!T88=0,"",OOC!T88)</f>
        <v/>
      </c>
      <c r="J88" s="68" t="s">
        <v>12</v>
      </c>
      <c r="K88" s="69" t="s">
        <v>80</v>
      </c>
      <c r="L88" s="70" t="e">
        <f t="shared" si="0"/>
        <v>#VALUE!</v>
      </c>
      <c r="M88" s="70" t="e">
        <f t="shared" si="1"/>
        <v>#VALUE!</v>
      </c>
      <c r="N88" s="71"/>
      <c r="O88" s="2" t="e">
        <f t="shared" si="2"/>
        <v>#REF!</v>
      </c>
      <c r="P88" s="2" t="e">
        <f t="shared" si="3"/>
        <v>#REF!</v>
      </c>
      <c r="Q88" s="2" t="e">
        <f t="shared" si="4"/>
        <v>#REF!</v>
      </c>
      <c r="R88" s="3" t="e">
        <f t="shared" si="5"/>
        <v>#REF!</v>
      </c>
      <c r="S88" s="4" t="e">
        <f t="shared" si="10"/>
        <v>#REF!</v>
      </c>
      <c r="T88" s="84" t="e">
        <f t="shared" si="11"/>
        <v>#REF!</v>
      </c>
      <c r="U88" s="85" t="e">
        <f t="shared" si="12"/>
        <v>#REF!</v>
      </c>
      <c r="V88" s="4" t="e">
        <f t="shared" si="6"/>
        <v>#REF!</v>
      </c>
      <c r="W88" s="4" t="e">
        <f t="shared" si="7"/>
        <v>#REF!</v>
      </c>
      <c r="X88" s="4" t="e">
        <f t="shared" si="8"/>
        <v>#REF!</v>
      </c>
      <c r="Y88" s="62" t="e">
        <f t="shared" si="9"/>
        <v>#REF!</v>
      </c>
      <c r="Z88" s="22"/>
      <c r="AA88" s="22"/>
      <c r="AB88" s="22"/>
      <c r="AC88" s="22"/>
      <c r="AD88" s="19"/>
      <c r="AE88" s="14"/>
      <c r="AF88" s="74"/>
      <c r="AG88" s="49"/>
      <c r="AH88" s="49"/>
      <c r="AI88" s="50"/>
      <c r="AJ88" s="15"/>
      <c r="AK88" s="79" t="e">
        <f>#REF!</f>
        <v>#REF!</v>
      </c>
      <c r="AL88" s="79" t="e">
        <f>#REF!</f>
        <v>#REF!</v>
      </c>
      <c r="AM88" s="79" t="e">
        <f>#REF!</f>
        <v>#REF!</v>
      </c>
      <c r="AN88" s="77"/>
      <c r="AO88" s="77"/>
      <c r="AP88" s="77"/>
      <c r="AQ88" s="77"/>
      <c r="AR88" s="77"/>
      <c r="AS88" s="77"/>
      <c r="AT88" s="77"/>
      <c r="AU88" s="77"/>
      <c r="AV88" s="77"/>
      <c r="AW88" s="77"/>
      <c r="AX88" s="77"/>
      <c r="AY88" s="77"/>
      <c r="AZ88" s="77"/>
      <c r="BA88" s="77"/>
      <c r="BB88" s="77"/>
      <c r="BC88" s="77"/>
      <c r="BD88" s="77"/>
      <c r="BE88" s="77"/>
      <c r="BF88" s="77"/>
      <c r="BG88" s="77"/>
      <c r="BH88" s="77"/>
      <c r="BI88" s="77"/>
      <c r="BJ88" s="77"/>
      <c r="BK88" s="77"/>
      <c r="BL88" s="77"/>
      <c r="BM88" s="77"/>
      <c r="BN88" s="77"/>
      <c r="BO88" s="77"/>
      <c r="BP88" s="77"/>
      <c r="BR88" s="123" t="str">
        <f t="shared" si="13"/>
        <v>FAI37</v>
      </c>
      <c r="BS88" s="120">
        <f>OOC!G88</f>
        <v>2.3849999999999998</v>
      </c>
      <c r="BT88" s="120">
        <f>OOC!H88</f>
        <v>2.3250000000000002</v>
      </c>
      <c r="BU88" s="2" t="e">
        <f t="shared" si="14"/>
        <v>#REF!</v>
      </c>
      <c r="BV88" s="2" t="e">
        <f t="shared" si="15"/>
        <v>#REF!</v>
      </c>
      <c r="BW88" s="2" t="e">
        <f t="shared" si="16"/>
        <v>#REF!</v>
      </c>
      <c r="BX88" s="121" t="e">
        <f>IF(AND(IF(OOC!G88="",0,OOC!G88) &gt;= IF(O88="",0,O88), IF(O88="",0,O88) &gt; IF(L88="",0,L88)), "OOC",
IF(AND(IF(M88="",0,M88) &gt; IF(P88="",0,P88), IF(P88="",0,P88) &gt;= IF(OOC!H88="",0,OOC!H88)), "OOC",
IF(IF(O88="",0,O88) &gt; IF(OOC!G88="",0,OOC!G88), "OOS",
IF(IF(OOC!H88="",0,OOC!H88) &gt; IF(P88="",0,P88), "OOS", "OK"))))</f>
        <v>#REF!</v>
      </c>
    </row>
    <row r="89" spans="1:76" ht="15" customHeight="1">
      <c r="A89" s="13"/>
      <c r="B89" s="88"/>
      <c r="C89" s="78" t="s">
        <v>129</v>
      </c>
      <c r="D89" s="89" t="s">
        <v>117</v>
      </c>
      <c r="E89" s="90"/>
      <c r="F89" s="66" t="s">
        <v>44</v>
      </c>
      <c r="G89" s="91">
        <v>10.182</v>
      </c>
      <c r="H89" s="92" t="str">
        <f>IF(OOC!S89=0,"",OOC!S89)</f>
        <v/>
      </c>
      <c r="I89" s="92" t="str">
        <f>IF(OOC!T89=0,"",OOC!T89)</f>
        <v/>
      </c>
      <c r="J89" s="68" t="s">
        <v>12</v>
      </c>
      <c r="K89" s="69" t="s">
        <v>80</v>
      </c>
      <c r="L89" s="70" t="e">
        <f t="shared" si="0"/>
        <v>#VALUE!</v>
      </c>
      <c r="M89" s="70" t="e">
        <f t="shared" si="1"/>
        <v>#VALUE!</v>
      </c>
      <c r="N89" s="71"/>
      <c r="O89" s="2" t="e">
        <f t="shared" si="2"/>
        <v>#REF!</v>
      </c>
      <c r="P89" s="2" t="e">
        <f t="shared" si="3"/>
        <v>#REF!</v>
      </c>
      <c r="Q89" s="2" t="e">
        <f t="shared" si="4"/>
        <v>#REF!</v>
      </c>
      <c r="R89" s="3" t="e">
        <f t="shared" si="5"/>
        <v>#REF!</v>
      </c>
      <c r="S89" s="4" t="e">
        <f t="shared" si="10"/>
        <v>#REF!</v>
      </c>
      <c r="T89" s="84" t="e">
        <f t="shared" si="11"/>
        <v>#REF!</v>
      </c>
      <c r="U89" s="85" t="e">
        <f t="shared" si="12"/>
        <v>#REF!</v>
      </c>
      <c r="V89" s="4" t="e">
        <f t="shared" si="6"/>
        <v>#REF!</v>
      </c>
      <c r="W89" s="4" t="e">
        <f t="shared" si="7"/>
        <v>#REF!</v>
      </c>
      <c r="X89" s="4" t="e">
        <f t="shared" si="8"/>
        <v>#REF!</v>
      </c>
      <c r="Y89" s="62" t="e">
        <f t="shared" si="9"/>
        <v>#REF!</v>
      </c>
      <c r="Z89" s="22"/>
      <c r="AA89" s="22"/>
      <c r="AB89" s="22"/>
      <c r="AC89" s="22"/>
      <c r="AD89" s="19"/>
      <c r="AE89" s="14"/>
      <c r="AF89" s="72"/>
      <c r="AG89" s="49"/>
      <c r="AH89" s="49"/>
      <c r="AI89" s="50"/>
      <c r="AJ89" s="15"/>
      <c r="AK89" s="79" t="e">
        <f>#REF!</f>
        <v>#REF!</v>
      </c>
      <c r="AL89" s="79" t="e">
        <f>#REF!</f>
        <v>#REF!</v>
      </c>
      <c r="AM89" s="79" t="e">
        <f>#REF!</f>
        <v>#REF!</v>
      </c>
      <c r="AN89" s="77"/>
      <c r="AO89" s="77"/>
      <c r="AP89" s="77"/>
      <c r="AQ89" s="77"/>
      <c r="AR89" s="77"/>
      <c r="AS89" s="77"/>
      <c r="AT89" s="77"/>
      <c r="AU89" s="77"/>
      <c r="AV89" s="77"/>
      <c r="AW89" s="77"/>
      <c r="AX89" s="77"/>
      <c r="AY89" s="77"/>
      <c r="AZ89" s="77"/>
      <c r="BA89" s="77"/>
      <c r="BB89" s="77"/>
      <c r="BC89" s="77"/>
      <c r="BD89" s="77"/>
      <c r="BE89" s="77"/>
      <c r="BF89" s="77"/>
      <c r="BG89" s="77"/>
      <c r="BH89" s="77"/>
      <c r="BI89" s="77"/>
      <c r="BJ89" s="77"/>
      <c r="BK89" s="77"/>
      <c r="BL89" s="77"/>
      <c r="BM89" s="77"/>
      <c r="BN89" s="77"/>
      <c r="BO89" s="77"/>
      <c r="BP89" s="77"/>
      <c r="BR89" s="123" t="str">
        <f t="shared" si="13"/>
        <v>FAI38</v>
      </c>
      <c r="BS89" s="120">
        <f>OOC!G89</f>
        <v>10.212</v>
      </c>
      <c r="BT89" s="120">
        <f>OOC!H89</f>
        <v>10.152000000000001</v>
      </c>
      <c r="BU89" s="2" t="e">
        <f t="shared" si="14"/>
        <v>#REF!</v>
      </c>
      <c r="BV89" s="2" t="e">
        <f t="shared" si="15"/>
        <v>#REF!</v>
      </c>
      <c r="BW89" s="2" t="e">
        <f t="shared" si="16"/>
        <v>#REF!</v>
      </c>
      <c r="BX89" s="121" t="e">
        <f>IF(AND(IF(OOC!G89="",0,OOC!G89) &gt;= IF(O89="",0,O89), IF(O89="",0,O89) &gt; IF(L89="",0,L89)), "OOC",
IF(AND(IF(M89="",0,M89) &gt; IF(P89="",0,P89), IF(P89="",0,P89) &gt;= IF(OOC!H89="",0,OOC!H89)), "OOC",
IF(IF(O89="",0,O89) &gt; IF(OOC!G89="",0,OOC!G89), "OOS",
IF(IF(OOC!H89="",0,OOC!H89) &gt; IF(P89="",0,P89), "OOS", "OK"))))</f>
        <v>#REF!</v>
      </c>
    </row>
    <row r="90" spans="1:76" ht="15" customHeight="1">
      <c r="A90" s="13"/>
      <c r="B90" s="88"/>
      <c r="C90" s="78" t="s">
        <v>130</v>
      </c>
      <c r="D90" s="89" t="s">
        <v>117</v>
      </c>
      <c r="E90" s="90"/>
      <c r="F90" s="66" t="s">
        <v>44</v>
      </c>
      <c r="G90" s="91">
        <v>0.2</v>
      </c>
      <c r="H90" s="92" t="str">
        <f>IF(OOC!S90=0,"",OOC!S90)</f>
        <v/>
      </c>
      <c r="I90" s="92" t="str">
        <f>IF(OOC!T90=0,"",OOC!T90)</f>
        <v/>
      </c>
      <c r="J90" s="68" t="s">
        <v>12</v>
      </c>
      <c r="K90" s="69" t="s">
        <v>80</v>
      </c>
      <c r="L90" s="70" t="e">
        <f t="shared" si="0"/>
        <v>#VALUE!</v>
      </c>
      <c r="M90" s="70" t="e">
        <f t="shared" si="1"/>
        <v>#VALUE!</v>
      </c>
      <c r="N90" s="71"/>
      <c r="O90" s="2" t="e">
        <f t="shared" si="2"/>
        <v>#REF!</v>
      </c>
      <c r="P90" s="2" t="e">
        <f t="shared" si="3"/>
        <v>#REF!</v>
      </c>
      <c r="Q90" s="2" t="e">
        <f t="shared" si="4"/>
        <v>#REF!</v>
      </c>
      <c r="R90" s="3" t="e">
        <f t="shared" si="5"/>
        <v>#REF!</v>
      </c>
      <c r="S90" s="4" t="e">
        <f t="shared" si="10"/>
        <v>#REF!</v>
      </c>
      <c r="T90" s="84" t="e">
        <f t="shared" si="11"/>
        <v>#REF!</v>
      </c>
      <c r="U90" s="85" t="e">
        <f t="shared" si="12"/>
        <v>#REF!</v>
      </c>
      <c r="V90" s="4" t="e">
        <f t="shared" si="6"/>
        <v>#REF!</v>
      </c>
      <c r="W90" s="4" t="e">
        <f t="shared" si="7"/>
        <v>#REF!</v>
      </c>
      <c r="X90" s="4" t="e">
        <f t="shared" si="8"/>
        <v>#REF!</v>
      </c>
      <c r="Y90" s="62" t="e">
        <f t="shared" si="9"/>
        <v>#REF!</v>
      </c>
      <c r="Z90" s="22"/>
      <c r="AA90" s="22"/>
      <c r="AB90" s="22"/>
      <c r="AC90" s="22"/>
      <c r="AD90" s="19"/>
      <c r="AE90" s="14"/>
      <c r="AF90" s="72"/>
      <c r="AG90" s="49"/>
      <c r="AH90" s="49"/>
      <c r="AI90" s="50"/>
      <c r="AJ90" s="15"/>
      <c r="AK90" s="79" t="e">
        <f>#REF!</f>
        <v>#REF!</v>
      </c>
      <c r="AL90" s="79" t="e">
        <f>#REF!</f>
        <v>#REF!</v>
      </c>
      <c r="AM90" s="79" t="e">
        <f>#REF!</f>
        <v>#REF!</v>
      </c>
      <c r="AN90" s="77"/>
      <c r="AO90" s="77"/>
      <c r="AP90" s="77"/>
      <c r="AQ90" s="77"/>
      <c r="AR90" s="77"/>
      <c r="AS90" s="77"/>
      <c r="AT90" s="77"/>
      <c r="AU90" s="77"/>
      <c r="AV90" s="77"/>
      <c r="AW90" s="77"/>
      <c r="AX90" s="77"/>
      <c r="AY90" s="77"/>
      <c r="AZ90" s="77"/>
      <c r="BA90" s="77"/>
      <c r="BB90" s="77"/>
      <c r="BC90" s="77"/>
      <c r="BD90" s="77"/>
      <c r="BE90" s="77"/>
      <c r="BF90" s="77"/>
      <c r="BG90" s="77"/>
      <c r="BH90" s="77"/>
      <c r="BI90" s="77"/>
      <c r="BJ90" s="77"/>
      <c r="BK90" s="77"/>
      <c r="BL90" s="77"/>
      <c r="BM90" s="77"/>
      <c r="BN90" s="77"/>
      <c r="BO90" s="77"/>
      <c r="BP90" s="77"/>
      <c r="BR90" s="123" t="str">
        <f t="shared" si="13"/>
        <v>FAI39</v>
      </c>
      <c r="BS90" s="120">
        <f>OOC!G90</f>
        <v>0.23</v>
      </c>
      <c r="BT90" s="120">
        <f>OOC!H90</f>
        <v>0.17</v>
      </c>
      <c r="BU90" s="2" t="e">
        <f t="shared" si="14"/>
        <v>#REF!</v>
      </c>
      <c r="BV90" s="2" t="e">
        <f t="shared" si="15"/>
        <v>#REF!</v>
      </c>
      <c r="BW90" s="2" t="e">
        <f t="shared" si="16"/>
        <v>#REF!</v>
      </c>
      <c r="BX90" s="121" t="e">
        <f>IF(AND(IF(OOC!G90="",0,OOC!G90) &gt;= IF(O90="",0,O90), IF(O90="",0,O90) &gt; IF(L90="",0,L90)), "OOC",
IF(AND(IF(M90="",0,M90) &gt; IF(P90="",0,P90), IF(P90="",0,P90) &gt;= IF(OOC!H90="",0,OOC!H90)), "OOC",
IF(IF(O90="",0,O90) &gt; IF(OOC!G90="",0,OOC!G90), "OOS",
IF(IF(OOC!H90="",0,OOC!H90) &gt; IF(P90="",0,P90), "OOS", "OK"))))</f>
        <v>#REF!</v>
      </c>
    </row>
    <row r="91" spans="1:76" ht="15" customHeight="1">
      <c r="A91" s="13"/>
      <c r="B91" s="88"/>
      <c r="C91" s="78" t="s">
        <v>131</v>
      </c>
      <c r="D91" s="89" t="s">
        <v>117</v>
      </c>
      <c r="E91" s="90"/>
      <c r="F91" s="66" t="s">
        <v>44</v>
      </c>
      <c r="G91" s="91">
        <v>0.35</v>
      </c>
      <c r="H91" s="92" t="str">
        <f>IF(OOC!S91=0,"",OOC!S91)</f>
        <v/>
      </c>
      <c r="I91" s="92" t="str">
        <f>IF(OOC!T91=0,"",OOC!T91)</f>
        <v/>
      </c>
      <c r="J91" s="68" t="s">
        <v>30</v>
      </c>
      <c r="K91" s="69" t="s">
        <v>80</v>
      </c>
      <c r="L91" s="70" t="e">
        <f t="shared" si="0"/>
        <v>#VALUE!</v>
      </c>
      <c r="M91" s="70" t="e">
        <f t="shared" si="1"/>
        <v>#VALUE!</v>
      </c>
      <c r="N91" s="71"/>
      <c r="O91" s="2" t="str">
        <f t="shared" si="2"/>
        <v/>
      </c>
      <c r="P91" s="2" t="str">
        <f t="shared" si="3"/>
        <v/>
      </c>
      <c r="Q91" s="2" t="str">
        <f t="shared" si="4"/>
        <v/>
      </c>
      <c r="R91" s="3" t="str">
        <f t="shared" si="5"/>
        <v/>
      </c>
      <c r="S91" s="4" t="str">
        <f t="shared" si="10"/>
        <v/>
      </c>
      <c r="T91" s="84" t="str">
        <f t="shared" si="11"/>
        <v/>
      </c>
      <c r="U91" s="85" t="str">
        <f t="shared" si="12"/>
        <v/>
      </c>
      <c r="V91" s="4" t="str">
        <f t="shared" si="6"/>
        <v/>
      </c>
      <c r="W91" s="4" t="str">
        <f t="shared" si="7"/>
        <v/>
      </c>
      <c r="X91" s="4" t="str">
        <f t="shared" si="8"/>
        <v/>
      </c>
      <c r="Y91" s="62" t="str">
        <f t="shared" si="9"/>
        <v/>
      </c>
      <c r="Z91" s="22"/>
      <c r="AA91" s="22"/>
      <c r="AB91" s="22"/>
      <c r="AC91" s="22"/>
      <c r="AD91" s="19"/>
      <c r="AE91" s="14"/>
      <c r="AF91" s="72"/>
      <c r="AG91" s="49"/>
      <c r="AH91" s="49"/>
      <c r="AI91" s="50"/>
      <c r="AJ91" s="15"/>
      <c r="AK91" s="79"/>
      <c r="AL91" s="79"/>
      <c r="AM91" s="79"/>
      <c r="AN91" s="77"/>
      <c r="AO91" s="77"/>
      <c r="AP91" s="77"/>
      <c r="AQ91" s="77"/>
      <c r="AR91" s="77"/>
      <c r="AS91" s="77"/>
      <c r="AT91" s="77"/>
      <c r="AU91" s="77"/>
      <c r="AV91" s="77"/>
      <c r="AW91" s="77"/>
      <c r="AX91" s="77"/>
      <c r="AY91" s="77"/>
      <c r="AZ91" s="77"/>
      <c r="BA91" s="77"/>
      <c r="BB91" s="77"/>
      <c r="BC91" s="77"/>
      <c r="BD91" s="77"/>
      <c r="BE91" s="77"/>
      <c r="BF91" s="77"/>
      <c r="BG91" s="77"/>
      <c r="BH91" s="77"/>
      <c r="BI91" s="77"/>
      <c r="BJ91" s="77"/>
      <c r="BK91" s="77"/>
      <c r="BL91" s="77"/>
      <c r="BM91" s="77"/>
      <c r="BN91" s="77"/>
      <c r="BO91" s="77"/>
      <c r="BP91" s="77"/>
      <c r="BR91" s="123" t="str">
        <f t="shared" si="13"/>
        <v>FAI40</v>
      </c>
      <c r="BS91" s="120">
        <f>OOC!G91</f>
        <v>0.38</v>
      </c>
      <c r="BT91" s="120">
        <f>OOC!H91</f>
        <v>0.31999999999999995</v>
      </c>
      <c r="BU91" s="2" t="str">
        <f t="shared" si="14"/>
        <v/>
      </c>
      <c r="BV91" s="2" t="str">
        <f t="shared" si="15"/>
        <v/>
      </c>
      <c r="BW91" s="2" t="str">
        <f t="shared" si="16"/>
        <v/>
      </c>
      <c r="BX91" s="121" t="e">
        <f>IF(AND(IF(OOC!G91="",0,OOC!G91) &gt;= IF(O91="",0,O91), IF(O91="",0,O91) &gt; IF(L91="",0,L91)), "OOC",
IF(AND(IF(M91="",0,M91) &gt; IF(P91="",0,P91), IF(P91="",0,P91) &gt;= IF(OOC!H91="",0,OOC!H91)), "OOC",
IF(IF(O91="",0,O91) &gt; IF(OOC!G91="",0,OOC!G91), "OOS",
IF(IF(OOC!H91="",0,OOC!H91) &gt; IF(P91="",0,P91), "OOS", "OK"))))</f>
        <v>#VALUE!</v>
      </c>
    </row>
    <row r="92" spans="1:76" ht="15" customHeight="1">
      <c r="A92" s="13"/>
      <c r="B92" s="88"/>
      <c r="C92" s="78" t="s">
        <v>131</v>
      </c>
      <c r="D92" s="89" t="s">
        <v>117</v>
      </c>
      <c r="E92" s="90"/>
      <c r="F92" s="66" t="s">
        <v>44</v>
      </c>
      <c r="G92" s="91">
        <v>0.35</v>
      </c>
      <c r="H92" s="92" t="str">
        <f>IF(OOC!S92=0,"",OOC!S92)</f>
        <v/>
      </c>
      <c r="I92" s="92" t="str">
        <f>IF(OOC!T92=0,"",OOC!T92)</f>
        <v/>
      </c>
      <c r="J92" s="68" t="s">
        <v>30</v>
      </c>
      <c r="K92" s="69" t="s">
        <v>80</v>
      </c>
      <c r="L92" s="70" t="e">
        <f t="shared" si="0"/>
        <v>#VALUE!</v>
      </c>
      <c r="M92" s="70" t="e">
        <f t="shared" si="1"/>
        <v>#VALUE!</v>
      </c>
      <c r="N92" s="71"/>
      <c r="O92" s="2" t="str">
        <f t="shared" si="2"/>
        <v/>
      </c>
      <c r="P92" s="2" t="str">
        <f t="shared" si="3"/>
        <v/>
      </c>
      <c r="Q92" s="2" t="str">
        <f t="shared" si="4"/>
        <v/>
      </c>
      <c r="R92" s="3" t="str">
        <f t="shared" si="5"/>
        <v/>
      </c>
      <c r="S92" s="4" t="str">
        <f t="shared" si="10"/>
        <v/>
      </c>
      <c r="T92" s="84" t="str">
        <f t="shared" si="11"/>
        <v/>
      </c>
      <c r="U92" s="85" t="str">
        <f t="shared" si="12"/>
        <v/>
      </c>
      <c r="V92" s="4" t="str">
        <f t="shared" si="6"/>
        <v/>
      </c>
      <c r="W92" s="4" t="str">
        <f t="shared" si="7"/>
        <v/>
      </c>
      <c r="X92" s="4" t="str">
        <f t="shared" si="8"/>
        <v/>
      </c>
      <c r="Y92" s="62" t="str">
        <f t="shared" si="9"/>
        <v/>
      </c>
      <c r="Z92" s="22"/>
      <c r="AA92" s="22"/>
      <c r="AB92" s="22"/>
      <c r="AC92" s="22"/>
      <c r="AD92" s="19"/>
      <c r="AE92" s="14"/>
      <c r="AF92" s="72"/>
      <c r="AG92" s="49"/>
      <c r="AH92" s="49"/>
      <c r="AI92" s="50"/>
      <c r="AJ92" s="15"/>
      <c r="AK92" s="79"/>
      <c r="AL92" s="79"/>
      <c r="AM92" s="79"/>
      <c r="AN92" s="77"/>
      <c r="AO92" s="77"/>
      <c r="AP92" s="77"/>
      <c r="AQ92" s="77"/>
      <c r="AR92" s="77"/>
      <c r="AS92" s="77"/>
      <c r="AT92" s="77"/>
      <c r="AU92" s="77"/>
      <c r="AV92" s="77"/>
      <c r="AW92" s="77"/>
      <c r="AX92" s="77"/>
      <c r="AY92" s="77"/>
      <c r="AZ92" s="77"/>
      <c r="BA92" s="77"/>
      <c r="BB92" s="77"/>
      <c r="BC92" s="77"/>
      <c r="BD92" s="77"/>
      <c r="BE92" s="77"/>
      <c r="BF92" s="77"/>
      <c r="BG92" s="77"/>
      <c r="BH92" s="77"/>
      <c r="BI92" s="77"/>
      <c r="BJ92" s="77"/>
      <c r="BK92" s="77"/>
      <c r="BL92" s="77"/>
      <c r="BM92" s="77"/>
      <c r="BN92" s="77"/>
      <c r="BO92" s="77"/>
      <c r="BP92" s="77"/>
      <c r="BR92" s="123" t="str">
        <f t="shared" si="13"/>
        <v>FAI40</v>
      </c>
      <c r="BS92" s="120">
        <f>OOC!G92</f>
        <v>0.38</v>
      </c>
      <c r="BT92" s="120">
        <f>OOC!H92</f>
        <v>0.31999999999999995</v>
      </c>
      <c r="BU92" s="2" t="str">
        <f t="shared" si="14"/>
        <v/>
      </c>
      <c r="BV92" s="2" t="str">
        <f t="shared" si="15"/>
        <v/>
      </c>
      <c r="BW92" s="2" t="str">
        <f t="shared" si="16"/>
        <v/>
      </c>
      <c r="BX92" s="121" t="e">
        <f>IF(AND(IF(OOC!G92="",0,OOC!G92) &gt;= IF(O92="",0,O92), IF(O92="",0,O92) &gt; IF(L92="",0,L92)), "OOC",
IF(AND(IF(M92="",0,M92) &gt; IF(P92="",0,P92), IF(P92="",0,P92) &gt;= IF(OOC!H92="",0,OOC!H92)), "OOC",
IF(IF(O92="",0,O92) &gt; IF(OOC!G92="",0,OOC!G92), "OOS",
IF(IF(OOC!H92="",0,OOC!H92) &gt; IF(P92="",0,P92), "OOS", "OK"))))</f>
        <v>#VALUE!</v>
      </c>
    </row>
    <row r="93" spans="1:76" ht="15" customHeight="1">
      <c r="A93" s="13"/>
      <c r="B93" s="88"/>
      <c r="C93" s="78" t="s">
        <v>131</v>
      </c>
      <c r="D93" s="89" t="s">
        <v>117</v>
      </c>
      <c r="E93" s="90"/>
      <c r="F93" s="66" t="s">
        <v>44</v>
      </c>
      <c r="G93" s="91">
        <v>0.35</v>
      </c>
      <c r="H93" s="92" t="str">
        <f>IF(OOC!S93=0,"",OOC!S93)</f>
        <v/>
      </c>
      <c r="I93" s="92" t="str">
        <f>IF(OOC!T93=0,"",OOC!T93)</f>
        <v/>
      </c>
      <c r="J93" s="68" t="s">
        <v>30</v>
      </c>
      <c r="K93" s="69" t="s">
        <v>80</v>
      </c>
      <c r="L93" s="70" t="e">
        <f t="shared" si="0"/>
        <v>#VALUE!</v>
      </c>
      <c r="M93" s="70" t="e">
        <f t="shared" si="1"/>
        <v>#VALUE!</v>
      </c>
      <c r="N93" s="71"/>
      <c r="O93" s="2" t="str">
        <f t="shared" si="2"/>
        <v/>
      </c>
      <c r="P93" s="2" t="str">
        <f t="shared" si="3"/>
        <v/>
      </c>
      <c r="Q93" s="2" t="str">
        <f t="shared" si="4"/>
        <v/>
      </c>
      <c r="R93" s="3" t="str">
        <f t="shared" si="5"/>
        <v/>
      </c>
      <c r="S93" s="4" t="str">
        <f t="shared" si="10"/>
        <v/>
      </c>
      <c r="T93" s="84" t="str">
        <f t="shared" si="11"/>
        <v/>
      </c>
      <c r="U93" s="85" t="str">
        <f t="shared" si="12"/>
        <v/>
      </c>
      <c r="V93" s="4" t="str">
        <f t="shared" si="6"/>
        <v/>
      </c>
      <c r="W93" s="4" t="str">
        <f t="shared" si="7"/>
        <v/>
      </c>
      <c r="X93" s="4" t="str">
        <f t="shared" si="8"/>
        <v/>
      </c>
      <c r="Y93" s="62" t="str">
        <f t="shared" si="9"/>
        <v/>
      </c>
      <c r="Z93" s="22"/>
      <c r="AA93" s="22"/>
      <c r="AB93" s="22"/>
      <c r="AC93" s="22"/>
      <c r="AD93" s="19"/>
      <c r="AE93" s="14"/>
      <c r="AF93" s="72"/>
      <c r="AG93" s="49"/>
      <c r="AH93" s="49"/>
      <c r="AI93" s="50"/>
      <c r="AJ93" s="15"/>
      <c r="AK93" s="79"/>
      <c r="AL93" s="79"/>
      <c r="AM93" s="79"/>
      <c r="AN93" s="77"/>
      <c r="AO93" s="77"/>
      <c r="AP93" s="77"/>
      <c r="AQ93" s="77"/>
      <c r="AR93" s="77"/>
      <c r="AS93" s="77"/>
      <c r="AT93" s="77"/>
      <c r="AU93" s="77"/>
      <c r="AV93" s="77"/>
      <c r="AW93" s="77"/>
      <c r="AX93" s="77"/>
      <c r="AY93" s="77"/>
      <c r="AZ93" s="77"/>
      <c r="BA93" s="77"/>
      <c r="BB93" s="77"/>
      <c r="BC93" s="77"/>
      <c r="BD93" s="77"/>
      <c r="BE93" s="77"/>
      <c r="BF93" s="77"/>
      <c r="BG93" s="77"/>
      <c r="BH93" s="77"/>
      <c r="BI93" s="77"/>
      <c r="BJ93" s="77"/>
      <c r="BK93" s="77"/>
      <c r="BL93" s="77"/>
      <c r="BM93" s="77"/>
      <c r="BN93" s="77"/>
      <c r="BO93" s="77"/>
      <c r="BP93" s="77"/>
      <c r="BR93" s="123" t="str">
        <f t="shared" si="13"/>
        <v>FAI40</v>
      </c>
      <c r="BS93" s="120">
        <f>OOC!G93</f>
        <v>0.38</v>
      </c>
      <c r="BT93" s="120">
        <f>OOC!H93</f>
        <v>0.31999999999999995</v>
      </c>
      <c r="BU93" s="2" t="str">
        <f t="shared" si="14"/>
        <v/>
      </c>
      <c r="BV93" s="2" t="str">
        <f t="shared" si="15"/>
        <v/>
      </c>
      <c r="BW93" s="2" t="str">
        <f t="shared" si="16"/>
        <v/>
      </c>
      <c r="BX93" s="121" t="e">
        <f>IF(AND(IF(OOC!G93="",0,OOC!G93) &gt;= IF(O93="",0,O93), IF(O93="",0,O93) &gt; IF(L93="",0,L93)), "OOC",
IF(AND(IF(M93="",0,M93) &gt; IF(P93="",0,P93), IF(P93="",0,P93) &gt;= IF(OOC!H93="",0,OOC!H93)), "OOC",
IF(IF(O93="",0,O93) &gt; IF(OOC!G93="",0,OOC!G93), "OOS",
IF(IF(OOC!H93="",0,OOC!H93) &gt; IF(P93="",0,P93), "OOS", "OK"))))</f>
        <v>#VALUE!</v>
      </c>
    </row>
    <row r="94" spans="1:76" ht="15" customHeight="1">
      <c r="A94" s="13"/>
      <c r="B94" s="88"/>
      <c r="C94" s="78" t="s">
        <v>131</v>
      </c>
      <c r="D94" s="89" t="s">
        <v>117</v>
      </c>
      <c r="E94" s="90"/>
      <c r="F94" s="66" t="s">
        <v>44</v>
      </c>
      <c r="G94" s="91">
        <v>0.35</v>
      </c>
      <c r="H94" s="92" t="str">
        <f>IF(OOC!S94=0,"",OOC!S94)</f>
        <v/>
      </c>
      <c r="I94" s="92" t="str">
        <f>IF(OOC!T94=0,"",OOC!T94)</f>
        <v/>
      </c>
      <c r="J94" s="68" t="s">
        <v>30</v>
      </c>
      <c r="K94" s="69" t="s">
        <v>80</v>
      </c>
      <c r="L94" s="70" t="e">
        <f t="shared" si="0"/>
        <v>#VALUE!</v>
      </c>
      <c r="M94" s="70" t="e">
        <f t="shared" si="1"/>
        <v>#VALUE!</v>
      </c>
      <c r="N94" s="71"/>
      <c r="O94" s="2" t="str">
        <f t="shared" si="2"/>
        <v/>
      </c>
      <c r="P94" s="2" t="str">
        <f t="shared" si="3"/>
        <v/>
      </c>
      <c r="Q94" s="2" t="str">
        <f t="shared" si="4"/>
        <v/>
      </c>
      <c r="R94" s="3" t="str">
        <f t="shared" si="5"/>
        <v/>
      </c>
      <c r="S94" s="4" t="str">
        <f t="shared" si="10"/>
        <v/>
      </c>
      <c r="T94" s="84" t="str">
        <f t="shared" si="11"/>
        <v/>
      </c>
      <c r="U94" s="85" t="str">
        <f t="shared" si="12"/>
        <v/>
      </c>
      <c r="V94" s="4" t="str">
        <f t="shared" si="6"/>
        <v/>
      </c>
      <c r="W94" s="4" t="str">
        <f t="shared" si="7"/>
        <v/>
      </c>
      <c r="X94" s="4" t="str">
        <f t="shared" si="8"/>
        <v/>
      </c>
      <c r="Y94" s="62" t="str">
        <f t="shared" si="9"/>
        <v/>
      </c>
      <c r="Z94" s="22"/>
      <c r="AA94" s="22"/>
      <c r="AB94" s="22"/>
      <c r="AC94" s="22"/>
      <c r="AD94" s="19"/>
      <c r="AE94" s="14"/>
      <c r="AF94" s="72"/>
      <c r="AG94" s="49"/>
      <c r="AH94" s="49"/>
      <c r="AI94" s="50"/>
      <c r="AJ94" s="15"/>
      <c r="AK94" s="79"/>
      <c r="AL94" s="79"/>
      <c r="AM94" s="79"/>
      <c r="AN94" s="77"/>
      <c r="AO94" s="77"/>
      <c r="AP94" s="77"/>
      <c r="AQ94" s="77"/>
      <c r="AR94" s="77"/>
      <c r="AS94" s="77"/>
      <c r="AT94" s="77"/>
      <c r="AU94" s="77"/>
      <c r="AV94" s="77"/>
      <c r="AW94" s="77"/>
      <c r="AX94" s="77"/>
      <c r="AY94" s="77"/>
      <c r="AZ94" s="77"/>
      <c r="BA94" s="77"/>
      <c r="BB94" s="77"/>
      <c r="BC94" s="77"/>
      <c r="BD94" s="77"/>
      <c r="BE94" s="77"/>
      <c r="BF94" s="77"/>
      <c r="BG94" s="77"/>
      <c r="BH94" s="77"/>
      <c r="BI94" s="77"/>
      <c r="BJ94" s="77"/>
      <c r="BK94" s="77"/>
      <c r="BL94" s="77"/>
      <c r="BM94" s="77"/>
      <c r="BN94" s="77"/>
      <c r="BO94" s="77"/>
      <c r="BP94" s="77"/>
      <c r="BR94" s="123" t="str">
        <f t="shared" si="13"/>
        <v>FAI40</v>
      </c>
      <c r="BS94" s="120">
        <f>OOC!G94</f>
        <v>0.38</v>
      </c>
      <c r="BT94" s="120">
        <f>OOC!H94</f>
        <v>0.31999999999999995</v>
      </c>
      <c r="BU94" s="2" t="str">
        <f t="shared" si="14"/>
        <v/>
      </c>
      <c r="BV94" s="2" t="str">
        <f t="shared" si="15"/>
        <v/>
      </c>
      <c r="BW94" s="2" t="str">
        <f t="shared" si="16"/>
        <v/>
      </c>
      <c r="BX94" s="121" t="e">
        <f>IF(AND(IF(OOC!G94="",0,OOC!G94) &gt;= IF(O94="",0,O94), IF(O94="",0,O94) &gt; IF(L94="",0,L94)), "OOC",
IF(AND(IF(M94="",0,M94) &gt; IF(P94="",0,P94), IF(P94="",0,P94) &gt;= IF(OOC!H94="",0,OOC!H94)), "OOC",
IF(IF(O94="",0,O94) &gt; IF(OOC!G94="",0,OOC!G94), "OOS",
IF(IF(OOC!H94="",0,OOC!H94) &gt; IF(P94="",0,P94), "OOS", "OK"))))</f>
        <v>#VALUE!</v>
      </c>
    </row>
    <row r="95" spans="1:76" ht="15" customHeight="1">
      <c r="A95" s="13"/>
      <c r="B95" s="88"/>
      <c r="C95" s="78" t="s">
        <v>152</v>
      </c>
      <c r="D95" s="89" t="s">
        <v>117</v>
      </c>
      <c r="E95" s="90"/>
      <c r="F95" s="66" t="s">
        <v>44</v>
      </c>
      <c r="G95" s="91">
        <v>1.9019999999999999</v>
      </c>
      <c r="H95" s="92" t="str">
        <f>IF(OOC!S95=0,"",OOC!S95)</f>
        <v/>
      </c>
      <c r="I95" s="92" t="str">
        <f>IF(OOC!T95=0,"",OOC!T95)</f>
        <v/>
      </c>
      <c r="J95" s="68" t="s">
        <v>12</v>
      </c>
      <c r="K95" s="69" t="s">
        <v>80</v>
      </c>
      <c r="L95" s="70" t="e">
        <f t="shared" si="0"/>
        <v>#VALUE!</v>
      </c>
      <c r="M95" s="70" t="e">
        <f t="shared" si="1"/>
        <v>#VALUE!</v>
      </c>
      <c r="N95" s="71"/>
      <c r="O95" s="2" t="e">
        <f t="shared" si="2"/>
        <v>#REF!</v>
      </c>
      <c r="P95" s="2" t="e">
        <f t="shared" si="3"/>
        <v>#REF!</v>
      </c>
      <c r="Q95" s="2" t="e">
        <f t="shared" si="4"/>
        <v>#REF!</v>
      </c>
      <c r="R95" s="3" t="e">
        <f t="shared" si="5"/>
        <v>#REF!</v>
      </c>
      <c r="S95" s="4" t="e">
        <f t="shared" si="10"/>
        <v>#REF!</v>
      </c>
      <c r="T95" s="84" t="e">
        <f t="shared" si="11"/>
        <v>#REF!</v>
      </c>
      <c r="U95" s="85" t="e">
        <f t="shared" si="12"/>
        <v>#REF!</v>
      </c>
      <c r="V95" s="4" t="e">
        <f t="shared" si="6"/>
        <v>#REF!</v>
      </c>
      <c r="W95" s="4" t="e">
        <f t="shared" si="7"/>
        <v>#REF!</v>
      </c>
      <c r="X95" s="4" t="e">
        <f t="shared" si="8"/>
        <v>#REF!</v>
      </c>
      <c r="Y95" s="62" t="e">
        <f t="shared" si="9"/>
        <v>#REF!</v>
      </c>
      <c r="Z95" s="22"/>
      <c r="AA95" s="22"/>
      <c r="AB95" s="22"/>
      <c r="AC95" s="22"/>
      <c r="AD95" s="19"/>
      <c r="AE95" s="14"/>
      <c r="AF95" s="72"/>
      <c r="AG95" s="49"/>
      <c r="AH95" s="49"/>
      <c r="AI95" s="50"/>
      <c r="AJ95" s="15"/>
      <c r="AK95" s="77" t="e">
        <f>#REF!</f>
        <v>#REF!</v>
      </c>
      <c r="AL95" s="77" t="e">
        <f>#REF!</f>
        <v>#REF!</v>
      </c>
      <c r="AM95" s="77" t="e">
        <f>#REF!</f>
        <v>#REF!</v>
      </c>
      <c r="AN95" s="77"/>
      <c r="AO95" s="77"/>
      <c r="AP95" s="77"/>
      <c r="AQ95" s="77"/>
      <c r="AR95" s="77"/>
      <c r="AS95" s="77"/>
      <c r="AT95" s="77"/>
      <c r="AU95" s="77"/>
      <c r="AV95" s="77"/>
      <c r="AW95" s="77"/>
      <c r="AX95" s="77"/>
      <c r="AY95" s="77"/>
      <c r="AZ95" s="77"/>
      <c r="BA95" s="77"/>
      <c r="BB95" s="77"/>
      <c r="BC95" s="77"/>
      <c r="BD95" s="77"/>
      <c r="BE95" s="77"/>
      <c r="BF95" s="77"/>
      <c r="BG95" s="77"/>
      <c r="BH95" s="77"/>
      <c r="BI95" s="77"/>
      <c r="BJ95" s="77"/>
      <c r="BK95" s="77"/>
      <c r="BL95" s="77"/>
      <c r="BM95" s="77"/>
      <c r="BN95" s="77"/>
      <c r="BO95" s="77"/>
      <c r="BP95" s="77"/>
      <c r="BR95" s="123" t="str">
        <f t="shared" si="13"/>
        <v>FAI41</v>
      </c>
      <c r="BS95" s="120">
        <f>OOC!G95</f>
        <v>1.9219999999999999</v>
      </c>
      <c r="BT95" s="120">
        <f>OOC!H95</f>
        <v>1.8819999999999999</v>
      </c>
      <c r="BU95" s="2" t="e">
        <f t="shared" si="14"/>
        <v>#REF!</v>
      </c>
      <c r="BV95" s="2" t="e">
        <f t="shared" si="15"/>
        <v>#REF!</v>
      </c>
      <c r="BW95" s="2" t="e">
        <f t="shared" si="16"/>
        <v>#REF!</v>
      </c>
      <c r="BX95" s="121" t="e">
        <f>IF(AND(IF(OOC!G95="",0,OOC!G95) &gt;= IF(O95="",0,O95), IF(O95="",0,O95) &gt; IF(L95="",0,L95)), "OOC",
IF(AND(IF(M95="",0,M95) &gt; IF(P95="",0,P95), IF(P95="",0,P95) &gt;= IF(OOC!H95="",0,OOC!H95)), "OOC",
IF(IF(O95="",0,O95) &gt; IF(OOC!G95="",0,OOC!G95), "OOS",
IF(IF(OOC!H95="",0,OOC!H95) &gt; IF(P95="",0,P95), "OOS", "OK"))))</f>
        <v>#REF!</v>
      </c>
    </row>
    <row r="96" spans="1:76" ht="15" customHeight="1">
      <c r="A96" s="13">
        <v>1</v>
      </c>
      <c r="B96" s="88"/>
      <c r="C96" s="78"/>
      <c r="D96" s="89"/>
      <c r="E96" s="90"/>
      <c r="F96" s="66"/>
      <c r="G96" s="91"/>
      <c r="H96" s="92"/>
      <c r="I96" s="92"/>
      <c r="J96" s="68"/>
      <c r="K96" s="69"/>
      <c r="L96" s="70"/>
      <c r="M96" s="70"/>
      <c r="N96" s="71"/>
      <c r="O96" s="2"/>
      <c r="P96" s="2"/>
      <c r="Q96" s="2"/>
      <c r="R96" s="3"/>
      <c r="S96" s="4"/>
      <c r="T96" s="84"/>
      <c r="U96" s="85"/>
      <c r="V96" s="4"/>
      <c r="W96" s="4"/>
      <c r="X96" s="4"/>
      <c r="Y96" s="62"/>
      <c r="Z96" s="22"/>
      <c r="AA96" s="22"/>
      <c r="AB96" s="22"/>
      <c r="AC96" s="22"/>
      <c r="AD96" s="19"/>
      <c r="AE96" s="14"/>
      <c r="AF96" s="72"/>
      <c r="AG96" s="49"/>
      <c r="AH96" s="49"/>
      <c r="AI96" s="50"/>
      <c r="AJ96" s="15"/>
      <c r="AK96" s="77"/>
      <c r="AL96" s="77"/>
      <c r="AM96" s="77"/>
      <c r="AN96" s="77"/>
      <c r="AO96" s="77"/>
      <c r="AP96" s="77"/>
      <c r="AQ96" s="77"/>
      <c r="AR96" s="77"/>
      <c r="AS96" s="77"/>
      <c r="AT96" s="77"/>
      <c r="AU96" s="77"/>
      <c r="AV96" s="77"/>
      <c r="AW96" s="77"/>
      <c r="AX96" s="77"/>
      <c r="AY96" s="77"/>
      <c r="AZ96" s="77"/>
      <c r="BA96" s="77"/>
      <c r="BB96" s="77"/>
      <c r="BC96" s="77"/>
      <c r="BD96" s="77"/>
      <c r="BE96" s="77"/>
      <c r="BF96" s="77"/>
      <c r="BG96" s="77"/>
      <c r="BH96" s="77"/>
      <c r="BI96" s="77"/>
      <c r="BJ96" s="77"/>
      <c r="BK96" s="77"/>
      <c r="BL96" s="77"/>
      <c r="BM96" s="77"/>
      <c r="BN96" s="77"/>
      <c r="BO96" s="77"/>
      <c r="BP96" s="77"/>
      <c r="BR96" s="123"/>
      <c r="BS96" s="120"/>
      <c r="BT96" s="120"/>
      <c r="BU96" s="2"/>
      <c r="BV96" s="2"/>
      <c r="BW96" s="2"/>
      <c r="BX96" s="121"/>
    </row>
    <row r="97" spans="1:76" ht="15" customHeight="1">
      <c r="A97" s="13">
        <v>2</v>
      </c>
      <c r="B97" s="88"/>
      <c r="C97" s="78"/>
      <c r="D97" s="89"/>
      <c r="E97" s="90"/>
      <c r="F97" s="66"/>
      <c r="G97" s="91"/>
      <c r="H97" s="92"/>
      <c r="I97" s="92"/>
      <c r="J97" s="68"/>
      <c r="K97" s="69"/>
      <c r="L97" s="70"/>
      <c r="M97" s="70"/>
      <c r="N97" s="71"/>
      <c r="O97" s="2"/>
      <c r="P97" s="2"/>
      <c r="Q97" s="2"/>
      <c r="R97" s="3"/>
      <c r="S97" s="4"/>
      <c r="T97" s="84"/>
      <c r="U97" s="85"/>
      <c r="V97" s="4"/>
      <c r="W97" s="4"/>
      <c r="X97" s="4"/>
      <c r="Y97" s="62"/>
      <c r="Z97" s="22"/>
      <c r="AA97" s="22"/>
      <c r="AB97" s="22"/>
      <c r="AC97" s="22"/>
      <c r="AD97" s="19"/>
      <c r="AE97" s="14"/>
      <c r="AF97" s="72"/>
      <c r="AG97" s="49"/>
      <c r="AH97" s="49"/>
      <c r="AI97" s="50"/>
      <c r="AJ97" s="15"/>
      <c r="AK97" s="77"/>
      <c r="AL97" s="77"/>
      <c r="AM97" s="77"/>
      <c r="AN97" s="77"/>
      <c r="AO97" s="77"/>
      <c r="AP97" s="77"/>
      <c r="AQ97" s="77"/>
      <c r="AR97" s="77"/>
      <c r="AS97" s="77"/>
      <c r="AT97" s="77"/>
      <c r="AU97" s="77"/>
      <c r="AV97" s="77"/>
      <c r="AW97" s="77"/>
      <c r="AX97" s="77"/>
      <c r="AY97" s="77"/>
      <c r="AZ97" s="77"/>
      <c r="BA97" s="77"/>
      <c r="BB97" s="77"/>
      <c r="BC97" s="77"/>
      <c r="BD97" s="77"/>
      <c r="BE97" s="77"/>
      <c r="BF97" s="77"/>
      <c r="BG97" s="77"/>
      <c r="BH97" s="77"/>
      <c r="BI97" s="77"/>
      <c r="BJ97" s="77"/>
      <c r="BK97" s="77"/>
      <c r="BL97" s="77"/>
      <c r="BM97" s="77"/>
      <c r="BN97" s="77"/>
      <c r="BO97" s="77"/>
      <c r="BP97" s="77"/>
      <c r="BR97" s="123"/>
      <c r="BS97" s="120"/>
      <c r="BT97" s="120"/>
      <c r="BU97" s="2"/>
      <c r="BV97" s="2"/>
      <c r="BW97" s="2"/>
      <c r="BX97" s="121"/>
    </row>
    <row r="98" spans="1:76" ht="15" customHeight="1">
      <c r="A98" s="13">
        <v>3</v>
      </c>
      <c r="B98" s="88"/>
      <c r="C98" s="78"/>
      <c r="D98" s="89"/>
      <c r="E98" s="90"/>
      <c r="F98" s="66"/>
      <c r="G98" s="91"/>
      <c r="H98" s="92"/>
      <c r="I98" s="92"/>
      <c r="J98" s="68"/>
      <c r="K98" s="69"/>
      <c r="L98" s="70"/>
      <c r="M98" s="70"/>
      <c r="N98" s="71"/>
      <c r="O98" s="2"/>
      <c r="P98" s="2"/>
      <c r="Q98" s="2"/>
      <c r="R98" s="3"/>
      <c r="S98" s="4"/>
      <c r="T98" s="84"/>
      <c r="U98" s="85"/>
      <c r="V98" s="4"/>
      <c r="W98" s="4"/>
      <c r="X98" s="4"/>
      <c r="Y98" s="62"/>
      <c r="Z98" s="22"/>
      <c r="AA98" s="22"/>
      <c r="AB98" s="22"/>
      <c r="AC98" s="22"/>
      <c r="AD98" s="19"/>
      <c r="AE98" s="14"/>
      <c r="AF98" s="72"/>
      <c r="AG98" s="49"/>
      <c r="AH98" s="49"/>
      <c r="AI98" s="50"/>
      <c r="AJ98" s="15"/>
      <c r="AK98" s="77"/>
      <c r="AL98" s="77"/>
      <c r="AM98" s="77"/>
      <c r="AN98" s="77"/>
      <c r="AO98" s="77"/>
      <c r="AP98" s="77"/>
      <c r="AQ98" s="77"/>
      <c r="AR98" s="77"/>
      <c r="AS98" s="77"/>
      <c r="AT98" s="77"/>
      <c r="AU98" s="77"/>
      <c r="AV98" s="77"/>
      <c r="AW98" s="77"/>
      <c r="AX98" s="77"/>
      <c r="AY98" s="77"/>
      <c r="AZ98" s="77"/>
      <c r="BA98" s="77"/>
      <c r="BB98" s="77"/>
      <c r="BC98" s="77"/>
      <c r="BD98" s="77"/>
      <c r="BE98" s="77"/>
      <c r="BF98" s="77"/>
      <c r="BG98" s="77"/>
      <c r="BH98" s="77"/>
      <c r="BI98" s="77"/>
      <c r="BJ98" s="77"/>
      <c r="BK98" s="77"/>
      <c r="BL98" s="77"/>
      <c r="BM98" s="77"/>
      <c r="BN98" s="77"/>
      <c r="BO98" s="77"/>
      <c r="BP98" s="77"/>
      <c r="BR98" s="123"/>
      <c r="BS98" s="120"/>
      <c r="BT98" s="120"/>
      <c r="BU98" s="2"/>
      <c r="BV98" s="2"/>
      <c r="BW98" s="2"/>
      <c r="BX98" s="121"/>
    </row>
    <row r="99" spans="1:76" ht="15" customHeight="1">
      <c r="A99" s="13">
        <v>4</v>
      </c>
      <c r="B99" s="88"/>
      <c r="C99" s="78"/>
      <c r="D99" s="89"/>
      <c r="E99" s="90"/>
      <c r="F99" s="66"/>
      <c r="G99" s="91"/>
      <c r="H99" s="92"/>
      <c r="I99" s="92"/>
      <c r="J99" s="68"/>
      <c r="K99" s="69"/>
      <c r="L99" s="70"/>
      <c r="M99" s="70"/>
      <c r="N99" s="71"/>
      <c r="O99" s="2"/>
      <c r="P99" s="2"/>
      <c r="Q99" s="2"/>
      <c r="R99" s="3"/>
      <c r="S99" s="4"/>
      <c r="T99" s="84"/>
      <c r="U99" s="85"/>
      <c r="V99" s="4"/>
      <c r="W99" s="4"/>
      <c r="X99" s="4"/>
      <c r="Y99" s="62"/>
      <c r="Z99" s="22"/>
      <c r="AA99" s="22"/>
      <c r="AB99" s="22"/>
      <c r="AC99" s="22"/>
      <c r="AD99" s="19"/>
      <c r="AE99" s="14"/>
      <c r="AF99" s="72"/>
      <c r="AG99" s="49"/>
      <c r="AH99" s="49"/>
      <c r="AI99" s="50"/>
      <c r="AJ99" s="15"/>
      <c r="AK99" s="77"/>
      <c r="AL99" s="77"/>
      <c r="AM99" s="77"/>
      <c r="AN99" s="77"/>
      <c r="AO99" s="77"/>
      <c r="AP99" s="77"/>
      <c r="AQ99" s="77"/>
      <c r="AR99" s="77"/>
      <c r="AS99" s="77"/>
      <c r="AT99" s="77"/>
      <c r="AU99" s="77"/>
      <c r="AV99" s="77"/>
      <c r="AW99" s="77"/>
      <c r="AX99" s="77"/>
      <c r="AY99" s="77"/>
      <c r="AZ99" s="77"/>
      <c r="BA99" s="77"/>
      <c r="BB99" s="77"/>
      <c r="BC99" s="77"/>
      <c r="BD99" s="77"/>
      <c r="BE99" s="77"/>
      <c r="BF99" s="77"/>
      <c r="BG99" s="77"/>
      <c r="BH99" s="77"/>
      <c r="BI99" s="77"/>
      <c r="BJ99" s="77"/>
      <c r="BK99" s="77"/>
      <c r="BL99" s="77"/>
      <c r="BM99" s="77"/>
      <c r="BN99" s="77"/>
      <c r="BO99" s="77"/>
      <c r="BP99" s="77"/>
      <c r="BR99" s="123"/>
      <c r="BS99" s="120"/>
      <c r="BT99" s="120"/>
      <c r="BU99" s="2"/>
      <c r="BV99" s="2"/>
      <c r="BW99" s="2"/>
      <c r="BX99" s="121"/>
    </row>
    <row r="100" spans="1:76" ht="15" customHeight="1">
      <c r="A100" s="13">
        <v>5</v>
      </c>
      <c r="B100" s="88"/>
      <c r="C100" s="78"/>
      <c r="D100" s="89"/>
      <c r="E100" s="90"/>
      <c r="F100" s="66"/>
      <c r="G100" s="91"/>
      <c r="H100" s="92"/>
      <c r="I100" s="92"/>
      <c r="J100" s="68"/>
      <c r="K100" s="69"/>
      <c r="L100" s="70"/>
      <c r="M100" s="70"/>
      <c r="N100" s="71"/>
      <c r="O100" s="2"/>
      <c r="P100" s="2"/>
      <c r="Q100" s="2"/>
      <c r="R100" s="3"/>
      <c r="S100" s="4"/>
      <c r="T100" s="84"/>
      <c r="U100" s="85"/>
      <c r="V100" s="4"/>
      <c r="W100" s="4"/>
      <c r="X100" s="4"/>
      <c r="Y100" s="62"/>
      <c r="Z100" s="22"/>
      <c r="AA100" s="22"/>
      <c r="AB100" s="22"/>
      <c r="AC100" s="22"/>
      <c r="AD100" s="19"/>
      <c r="AE100" s="14"/>
      <c r="AF100" s="72"/>
      <c r="AG100" s="49"/>
      <c r="AH100" s="49"/>
      <c r="AI100" s="50"/>
      <c r="AJ100" s="15"/>
      <c r="AK100" s="77"/>
      <c r="AL100" s="77"/>
      <c r="AM100" s="77"/>
      <c r="AN100" s="77"/>
      <c r="AO100" s="77"/>
      <c r="AP100" s="77"/>
      <c r="AQ100" s="77"/>
      <c r="AR100" s="77"/>
      <c r="AS100" s="77"/>
      <c r="AT100" s="77"/>
      <c r="AU100" s="77"/>
      <c r="AV100" s="77"/>
      <c r="AW100" s="77"/>
      <c r="AX100" s="77"/>
      <c r="AY100" s="77"/>
      <c r="AZ100" s="77"/>
      <c r="BA100" s="77"/>
      <c r="BB100" s="77"/>
      <c r="BC100" s="77"/>
      <c r="BD100" s="77"/>
      <c r="BE100" s="77"/>
      <c r="BF100" s="77"/>
      <c r="BG100" s="77"/>
      <c r="BH100" s="77"/>
      <c r="BI100" s="77"/>
      <c r="BJ100" s="77"/>
      <c r="BK100" s="77"/>
      <c r="BL100" s="77"/>
      <c r="BM100" s="77"/>
      <c r="BN100" s="77"/>
      <c r="BO100" s="77"/>
      <c r="BP100" s="77"/>
      <c r="BR100" s="123"/>
      <c r="BS100" s="120"/>
      <c r="BT100" s="120"/>
      <c r="BU100" s="2"/>
      <c r="BV100" s="2"/>
      <c r="BW100" s="2"/>
      <c r="BX100" s="121"/>
    </row>
    <row r="101" spans="1:76" ht="15" customHeight="1">
      <c r="A101" s="13">
        <v>6</v>
      </c>
      <c r="B101" s="88"/>
      <c r="C101" s="78"/>
      <c r="D101" s="89"/>
      <c r="E101" s="90"/>
      <c r="F101" s="66"/>
      <c r="G101" s="91"/>
      <c r="H101" s="92"/>
      <c r="I101" s="92"/>
      <c r="J101" s="68"/>
      <c r="K101" s="69"/>
      <c r="L101" s="70"/>
      <c r="M101" s="70"/>
      <c r="N101" s="71"/>
      <c r="O101" s="2"/>
      <c r="P101" s="2"/>
      <c r="Q101" s="2"/>
      <c r="R101" s="3"/>
      <c r="S101" s="4"/>
      <c r="T101" s="84"/>
      <c r="U101" s="85"/>
      <c r="V101" s="4"/>
      <c r="W101" s="4"/>
      <c r="X101" s="4"/>
      <c r="Y101" s="62"/>
      <c r="Z101" s="22"/>
      <c r="AA101" s="22"/>
      <c r="AB101" s="22"/>
      <c r="AC101" s="22"/>
      <c r="AD101" s="19"/>
      <c r="AE101" s="14"/>
      <c r="AF101" s="72"/>
      <c r="AG101" s="49"/>
      <c r="AH101" s="49"/>
      <c r="AI101" s="50"/>
      <c r="AJ101" s="15"/>
      <c r="AK101" s="77"/>
      <c r="AL101" s="77"/>
      <c r="AM101" s="77"/>
      <c r="AN101" s="77"/>
      <c r="AO101" s="77"/>
      <c r="AP101" s="77"/>
      <c r="AQ101" s="77"/>
      <c r="AR101" s="77"/>
      <c r="AS101" s="77"/>
      <c r="AT101" s="77"/>
      <c r="AU101" s="77"/>
      <c r="AV101" s="77"/>
      <c r="AW101" s="77"/>
      <c r="AX101" s="77"/>
      <c r="AY101" s="77"/>
      <c r="AZ101" s="77"/>
      <c r="BA101" s="77"/>
      <c r="BB101" s="77"/>
      <c r="BC101" s="77"/>
      <c r="BD101" s="77"/>
      <c r="BE101" s="77"/>
      <c r="BF101" s="77"/>
      <c r="BG101" s="77"/>
      <c r="BH101" s="77"/>
      <c r="BI101" s="77"/>
      <c r="BJ101" s="77"/>
      <c r="BK101" s="77"/>
      <c r="BL101" s="77"/>
      <c r="BM101" s="77"/>
      <c r="BN101" s="77"/>
      <c r="BO101" s="77"/>
      <c r="BP101" s="77"/>
      <c r="BR101" s="123"/>
      <c r="BS101" s="120"/>
      <c r="BT101" s="120"/>
      <c r="BU101" s="2"/>
      <c r="BV101" s="2"/>
      <c r="BW101" s="2"/>
      <c r="BX101" s="121"/>
    </row>
    <row r="102" spans="1:76" ht="15" customHeight="1">
      <c r="A102" s="13">
        <v>7</v>
      </c>
      <c r="B102" s="88"/>
      <c r="C102" s="78"/>
      <c r="D102" s="89"/>
      <c r="E102" s="90"/>
      <c r="F102" s="66"/>
      <c r="G102" s="91"/>
      <c r="H102" s="92"/>
      <c r="I102" s="92"/>
      <c r="J102" s="68"/>
      <c r="K102" s="69"/>
      <c r="L102" s="70"/>
      <c r="M102" s="70"/>
      <c r="N102" s="71"/>
      <c r="O102" s="2"/>
      <c r="P102" s="2"/>
      <c r="Q102" s="2"/>
      <c r="R102" s="3"/>
      <c r="S102" s="4"/>
      <c r="T102" s="84"/>
      <c r="U102" s="85"/>
      <c r="V102" s="4"/>
      <c r="W102" s="4"/>
      <c r="X102" s="4"/>
      <c r="Y102" s="62"/>
      <c r="Z102" s="22"/>
      <c r="AA102" s="22"/>
      <c r="AB102" s="22"/>
      <c r="AC102" s="22"/>
      <c r="AD102" s="19"/>
      <c r="AE102" s="14"/>
      <c r="AF102" s="72"/>
      <c r="AG102" s="49"/>
      <c r="AH102" s="49"/>
      <c r="AI102" s="50"/>
      <c r="AJ102" s="15"/>
      <c r="AK102" s="77"/>
      <c r="AL102" s="77"/>
      <c r="AM102" s="77"/>
      <c r="AN102" s="77"/>
      <c r="AO102" s="77"/>
      <c r="AP102" s="77"/>
      <c r="AQ102" s="77"/>
      <c r="AR102" s="77"/>
      <c r="AS102" s="77"/>
      <c r="AT102" s="77"/>
      <c r="AU102" s="77"/>
      <c r="AV102" s="77"/>
      <c r="AW102" s="77"/>
      <c r="AX102" s="77"/>
      <c r="AY102" s="77"/>
      <c r="AZ102" s="77"/>
      <c r="BA102" s="77"/>
      <c r="BB102" s="77"/>
      <c r="BC102" s="77"/>
      <c r="BD102" s="77"/>
      <c r="BE102" s="77"/>
      <c r="BF102" s="77"/>
      <c r="BG102" s="77"/>
      <c r="BH102" s="77"/>
      <c r="BI102" s="77"/>
      <c r="BJ102" s="77"/>
      <c r="BK102" s="77"/>
      <c r="BL102" s="77"/>
      <c r="BM102" s="77"/>
      <c r="BN102" s="77"/>
      <c r="BO102" s="77"/>
      <c r="BP102" s="77"/>
      <c r="BR102" s="123"/>
      <c r="BS102" s="120"/>
      <c r="BT102" s="120"/>
      <c r="BU102" s="2"/>
      <c r="BV102" s="2"/>
      <c r="BW102" s="2"/>
      <c r="BX102" s="121"/>
    </row>
    <row r="103" spans="1:76" ht="15" customHeight="1">
      <c r="A103" s="13">
        <v>8</v>
      </c>
      <c r="B103" s="88"/>
      <c r="C103" s="78"/>
      <c r="D103" s="89"/>
      <c r="E103" s="90"/>
      <c r="F103" s="66"/>
      <c r="G103" s="91"/>
      <c r="H103" s="92"/>
      <c r="I103" s="92"/>
      <c r="J103" s="68"/>
      <c r="K103" s="69"/>
      <c r="L103" s="70"/>
      <c r="M103" s="70"/>
      <c r="N103" s="71"/>
      <c r="O103" s="2"/>
      <c r="P103" s="2"/>
      <c r="Q103" s="2"/>
      <c r="R103" s="3"/>
      <c r="S103" s="4"/>
      <c r="T103" s="84"/>
      <c r="U103" s="85"/>
      <c r="V103" s="4"/>
      <c r="W103" s="4"/>
      <c r="X103" s="4"/>
      <c r="Y103" s="62"/>
      <c r="Z103" s="22"/>
      <c r="AA103" s="22"/>
      <c r="AB103" s="22"/>
      <c r="AC103" s="22"/>
      <c r="AD103" s="19"/>
      <c r="AE103" s="14"/>
      <c r="AF103" s="72"/>
      <c r="AG103" s="49"/>
      <c r="AH103" s="49"/>
      <c r="AI103" s="50"/>
      <c r="AJ103" s="15"/>
      <c r="AK103" s="77"/>
      <c r="AL103" s="77"/>
      <c r="AM103" s="77"/>
      <c r="AN103" s="77"/>
      <c r="AO103" s="77"/>
      <c r="AP103" s="77"/>
      <c r="AQ103" s="77"/>
      <c r="AR103" s="77"/>
      <c r="AS103" s="77"/>
      <c r="AT103" s="77"/>
      <c r="AU103" s="77"/>
      <c r="AV103" s="77"/>
      <c r="AW103" s="77"/>
      <c r="AX103" s="77"/>
      <c r="AY103" s="77"/>
      <c r="AZ103" s="77"/>
      <c r="BA103" s="77"/>
      <c r="BB103" s="77"/>
      <c r="BC103" s="77"/>
      <c r="BD103" s="77"/>
      <c r="BE103" s="77"/>
      <c r="BF103" s="77"/>
      <c r="BG103" s="77"/>
      <c r="BH103" s="77"/>
      <c r="BI103" s="77"/>
      <c r="BJ103" s="77"/>
      <c r="BK103" s="77"/>
      <c r="BL103" s="77"/>
      <c r="BM103" s="77"/>
      <c r="BN103" s="77"/>
      <c r="BO103" s="77"/>
      <c r="BP103" s="77"/>
      <c r="BR103" s="123"/>
      <c r="BS103" s="120"/>
      <c r="BT103" s="120"/>
      <c r="BU103" s="2"/>
      <c r="BV103" s="2"/>
      <c r="BW103" s="2"/>
      <c r="BX103" s="121"/>
    </row>
    <row r="104" spans="1:76" ht="15" customHeight="1">
      <c r="A104" s="13">
        <v>9</v>
      </c>
      <c r="B104" s="88"/>
      <c r="C104" s="78"/>
      <c r="D104" s="89"/>
      <c r="E104" s="90"/>
      <c r="F104" s="66"/>
      <c r="G104" s="91"/>
      <c r="H104" s="92"/>
      <c r="I104" s="92"/>
      <c r="J104" s="68"/>
      <c r="K104" s="69"/>
      <c r="L104" s="70"/>
      <c r="M104" s="70"/>
      <c r="N104" s="71"/>
      <c r="O104" s="2"/>
      <c r="P104" s="2"/>
      <c r="Q104" s="2"/>
      <c r="R104" s="3"/>
      <c r="S104" s="4"/>
      <c r="T104" s="84"/>
      <c r="U104" s="85"/>
      <c r="V104" s="4"/>
      <c r="W104" s="4"/>
      <c r="X104" s="4"/>
      <c r="Y104" s="62"/>
      <c r="Z104" s="22"/>
      <c r="AA104" s="22"/>
      <c r="AB104" s="22"/>
      <c r="AC104" s="22"/>
      <c r="AD104" s="19"/>
      <c r="AE104" s="14"/>
      <c r="AF104" s="72"/>
      <c r="AG104" s="49"/>
      <c r="AH104" s="49"/>
      <c r="AI104" s="50"/>
      <c r="AJ104" s="15"/>
      <c r="AK104" s="77"/>
      <c r="AL104" s="77"/>
      <c r="AM104" s="77"/>
      <c r="AN104" s="77"/>
      <c r="AO104" s="77"/>
      <c r="AP104" s="77"/>
      <c r="AQ104" s="77"/>
      <c r="AR104" s="77"/>
      <c r="AS104" s="77"/>
      <c r="AT104" s="77"/>
      <c r="AU104" s="77"/>
      <c r="AV104" s="77"/>
      <c r="AW104" s="77"/>
      <c r="AX104" s="77"/>
      <c r="AY104" s="77"/>
      <c r="AZ104" s="77"/>
      <c r="BA104" s="77"/>
      <c r="BB104" s="77"/>
      <c r="BC104" s="77"/>
      <c r="BD104" s="77"/>
      <c r="BE104" s="77"/>
      <c r="BF104" s="77"/>
      <c r="BG104" s="77"/>
      <c r="BH104" s="77"/>
      <c r="BI104" s="77"/>
      <c r="BJ104" s="77"/>
      <c r="BK104" s="77"/>
      <c r="BL104" s="77"/>
      <c r="BM104" s="77"/>
      <c r="BN104" s="77"/>
      <c r="BO104" s="77"/>
      <c r="BP104" s="77"/>
      <c r="BR104" s="123"/>
      <c r="BS104" s="120"/>
      <c r="BT104" s="120"/>
      <c r="BU104" s="2"/>
      <c r="BV104" s="2"/>
      <c r="BW104" s="2"/>
      <c r="BX104" s="121"/>
    </row>
    <row r="105" spans="1:76" ht="15" customHeight="1">
      <c r="A105" s="13">
        <v>10</v>
      </c>
      <c r="B105" s="88"/>
      <c r="C105" s="78"/>
      <c r="D105" s="89"/>
      <c r="E105" s="90"/>
      <c r="F105" s="66"/>
      <c r="G105" s="91"/>
      <c r="H105" s="92"/>
      <c r="I105" s="92"/>
      <c r="J105" s="68"/>
      <c r="K105" s="69"/>
      <c r="L105" s="70"/>
      <c r="M105" s="70"/>
      <c r="N105" s="71"/>
      <c r="O105" s="2"/>
      <c r="P105" s="2"/>
      <c r="Q105" s="2"/>
      <c r="R105" s="3"/>
      <c r="S105" s="4"/>
      <c r="T105" s="84"/>
      <c r="U105" s="85"/>
      <c r="V105" s="4"/>
      <c r="W105" s="4"/>
      <c r="X105" s="4"/>
      <c r="Y105" s="62"/>
      <c r="Z105" s="22"/>
      <c r="AA105" s="22"/>
      <c r="AB105" s="22"/>
      <c r="AC105" s="22"/>
      <c r="AD105" s="19"/>
      <c r="AE105" s="14"/>
      <c r="AF105" s="72"/>
      <c r="AG105" s="49"/>
      <c r="AH105" s="49"/>
      <c r="AI105" s="50"/>
      <c r="AJ105" s="15"/>
      <c r="AK105" s="77"/>
      <c r="AL105" s="77"/>
      <c r="AM105" s="77"/>
      <c r="AN105" s="77"/>
      <c r="AO105" s="77"/>
      <c r="AP105" s="77"/>
      <c r="AQ105" s="77"/>
      <c r="AR105" s="77"/>
      <c r="AS105" s="77"/>
      <c r="AT105" s="77"/>
      <c r="AU105" s="77"/>
      <c r="AV105" s="77"/>
      <c r="AW105" s="77"/>
      <c r="AX105" s="77"/>
      <c r="AY105" s="77"/>
      <c r="AZ105" s="77"/>
      <c r="BA105" s="77"/>
      <c r="BB105" s="77"/>
      <c r="BC105" s="77"/>
      <c r="BD105" s="77"/>
      <c r="BE105" s="77"/>
      <c r="BF105" s="77"/>
      <c r="BG105" s="77"/>
      <c r="BH105" s="77"/>
      <c r="BI105" s="77"/>
      <c r="BJ105" s="77"/>
      <c r="BK105" s="77"/>
      <c r="BL105" s="77"/>
      <c r="BM105" s="77"/>
      <c r="BN105" s="77"/>
      <c r="BO105" s="77"/>
      <c r="BP105" s="77"/>
      <c r="BR105" s="123"/>
      <c r="BS105" s="120"/>
      <c r="BT105" s="120"/>
      <c r="BU105" s="2"/>
      <c r="BV105" s="2"/>
      <c r="BW105" s="2"/>
      <c r="BX105" s="121"/>
    </row>
    <row r="106" spans="1:76" ht="15" customHeight="1">
      <c r="A106" s="13">
        <v>11</v>
      </c>
      <c r="B106" s="88"/>
      <c r="C106" s="78"/>
      <c r="D106" s="89"/>
      <c r="E106" s="90"/>
      <c r="F106" s="66"/>
      <c r="G106" s="91"/>
      <c r="H106" s="92"/>
      <c r="I106" s="92"/>
      <c r="J106" s="68"/>
      <c r="K106" s="69"/>
      <c r="L106" s="70"/>
      <c r="M106" s="70"/>
      <c r="N106" s="71"/>
      <c r="O106" s="2"/>
      <c r="P106" s="2"/>
      <c r="Q106" s="2"/>
      <c r="R106" s="3"/>
      <c r="S106" s="4"/>
      <c r="T106" s="84"/>
      <c r="U106" s="85"/>
      <c r="V106" s="4"/>
      <c r="W106" s="4"/>
      <c r="X106" s="4"/>
      <c r="Y106" s="62"/>
      <c r="Z106" s="22"/>
      <c r="AA106" s="22"/>
      <c r="AB106" s="22"/>
      <c r="AC106" s="22"/>
      <c r="AD106" s="19"/>
      <c r="AE106" s="14"/>
      <c r="AF106" s="72"/>
      <c r="AG106" s="49"/>
      <c r="AH106" s="49"/>
      <c r="AI106" s="50"/>
      <c r="AJ106" s="15"/>
      <c r="AK106" s="77"/>
      <c r="AL106" s="77"/>
      <c r="AM106" s="77"/>
      <c r="AN106" s="77"/>
      <c r="AO106" s="77"/>
      <c r="AP106" s="77"/>
      <c r="AQ106" s="77"/>
      <c r="AR106" s="77"/>
      <c r="AS106" s="77"/>
      <c r="AT106" s="77"/>
      <c r="AU106" s="77"/>
      <c r="AV106" s="77"/>
      <c r="AW106" s="77"/>
      <c r="AX106" s="77"/>
      <c r="AY106" s="77"/>
      <c r="AZ106" s="77"/>
      <c r="BA106" s="77"/>
      <c r="BB106" s="77"/>
      <c r="BC106" s="77"/>
      <c r="BD106" s="77"/>
      <c r="BE106" s="77"/>
      <c r="BF106" s="77"/>
      <c r="BG106" s="77"/>
      <c r="BH106" s="77"/>
      <c r="BI106" s="77"/>
      <c r="BJ106" s="77"/>
      <c r="BK106" s="77"/>
      <c r="BL106" s="77"/>
      <c r="BM106" s="77"/>
      <c r="BN106" s="77"/>
      <c r="BO106" s="77"/>
      <c r="BP106" s="77"/>
      <c r="BR106" s="123"/>
      <c r="BS106" s="120"/>
      <c r="BT106" s="120"/>
      <c r="BU106" s="2"/>
      <c r="BV106" s="2"/>
      <c r="BW106" s="2"/>
      <c r="BX106" s="121"/>
    </row>
    <row r="107" spans="1:76" ht="15" customHeight="1">
      <c r="A107" s="13"/>
      <c r="B107" s="88"/>
      <c r="C107" s="78" t="s">
        <v>132</v>
      </c>
      <c r="D107" s="89" t="s">
        <v>117</v>
      </c>
      <c r="E107" s="90"/>
      <c r="F107" s="66" t="s">
        <v>44</v>
      </c>
      <c r="G107" s="91">
        <v>1.74</v>
      </c>
      <c r="H107" s="92" t="str">
        <f>IF(OOC!S107=0,"",OOC!S107)</f>
        <v/>
      </c>
      <c r="I107" s="92" t="str">
        <f>IF(OOC!T107=0,"",OOC!T107)</f>
        <v/>
      </c>
      <c r="J107" s="68" t="s">
        <v>12</v>
      </c>
      <c r="K107" s="69" t="s">
        <v>80</v>
      </c>
      <c r="L107" s="70" t="e">
        <f t="shared" si="0"/>
        <v>#VALUE!</v>
      </c>
      <c r="M107" s="70" t="e">
        <f t="shared" si="1"/>
        <v>#VALUE!</v>
      </c>
      <c r="N107" s="71"/>
      <c r="O107" s="2" t="e">
        <f t="shared" si="2"/>
        <v>#REF!</v>
      </c>
      <c r="P107" s="2" t="e">
        <f t="shared" si="3"/>
        <v>#REF!</v>
      </c>
      <c r="Q107" s="2" t="e">
        <f t="shared" si="4"/>
        <v>#REF!</v>
      </c>
      <c r="R107" s="3" t="e">
        <f t="shared" si="5"/>
        <v>#REF!</v>
      </c>
      <c r="S107" s="4" t="e">
        <f t="shared" si="10"/>
        <v>#REF!</v>
      </c>
      <c r="T107" s="84" t="e">
        <f t="shared" si="11"/>
        <v>#REF!</v>
      </c>
      <c r="U107" s="85" t="e">
        <f t="shared" si="12"/>
        <v>#REF!</v>
      </c>
      <c r="V107" s="4" t="e">
        <f t="shared" si="6"/>
        <v>#REF!</v>
      </c>
      <c r="W107" s="4" t="e">
        <f t="shared" si="7"/>
        <v>#REF!</v>
      </c>
      <c r="X107" s="4" t="e">
        <f t="shared" si="8"/>
        <v>#REF!</v>
      </c>
      <c r="Y107" s="62" t="e">
        <f t="shared" si="9"/>
        <v>#REF!</v>
      </c>
      <c r="Z107" s="22"/>
      <c r="AA107" s="22"/>
      <c r="AB107" s="22"/>
      <c r="AC107" s="22"/>
      <c r="AD107" s="19"/>
      <c r="AE107" s="14"/>
      <c r="AF107" s="74"/>
      <c r="AG107" s="49"/>
      <c r="AH107" s="49"/>
      <c r="AI107" s="50"/>
      <c r="AJ107" s="15"/>
      <c r="AK107" s="77" t="e">
        <f>#REF!</f>
        <v>#REF!</v>
      </c>
      <c r="AL107" s="77" t="e">
        <f>#REF!</f>
        <v>#REF!</v>
      </c>
      <c r="AM107" s="77" t="e">
        <f>#REF!</f>
        <v>#REF!</v>
      </c>
      <c r="AN107" s="77"/>
      <c r="AO107" s="77"/>
      <c r="AP107" s="77"/>
      <c r="AQ107" s="77"/>
      <c r="AR107" s="77"/>
      <c r="AS107" s="77"/>
      <c r="AT107" s="77"/>
      <c r="AU107" s="77"/>
      <c r="AV107" s="77"/>
      <c r="AW107" s="77"/>
      <c r="AX107" s="77"/>
      <c r="AY107" s="77"/>
      <c r="AZ107" s="77"/>
      <c r="BA107" s="77"/>
      <c r="BB107" s="77"/>
      <c r="BC107" s="77"/>
      <c r="BD107" s="77"/>
      <c r="BE107" s="77"/>
      <c r="BF107" s="77"/>
      <c r="BG107" s="77"/>
      <c r="BH107" s="77"/>
      <c r="BI107" s="77"/>
      <c r="BJ107" s="77"/>
      <c r="BK107" s="77"/>
      <c r="BL107" s="77"/>
      <c r="BM107" s="77"/>
      <c r="BN107" s="77"/>
      <c r="BO107" s="77"/>
      <c r="BP107" s="77"/>
      <c r="BR107" s="123" t="str">
        <f t="shared" si="13"/>
        <v>FAI 54</v>
      </c>
      <c r="BS107" s="120">
        <f>OOC!G107</f>
        <v>1.77</v>
      </c>
      <c r="BT107" s="120">
        <f>OOC!H107</f>
        <v>1.71</v>
      </c>
      <c r="BU107" s="2" t="e">
        <f t="shared" si="14"/>
        <v>#REF!</v>
      </c>
      <c r="BV107" s="2" t="e">
        <f t="shared" si="15"/>
        <v>#REF!</v>
      </c>
      <c r="BW107" s="2" t="e">
        <f t="shared" si="16"/>
        <v>#REF!</v>
      </c>
      <c r="BX107" s="121" t="e">
        <f>IF(AND(IF(OOC!G107="",0,OOC!G107) &gt;= IF(O107="",0,O107), IF(O107="",0,O107) &gt; IF(L107="",0,L107)), "OOC",
IF(AND(IF(M107="",0,M107) &gt; IF(P107="",0,P107), IF(P107="",0,P107) &gt;= IF(OOC!H107="",0,OOC!H107)), "OOC",
IF(IF(O107="",0,O107) &gt; IF(OOC!G107="",0,OOC!G107), "OOS",
IF(IF(OOC!H107="",0,OOC!H107) &gt; IF(P107="",0,P107), "OOS", "OK"))))</f>
        <v>#REF!</v>
      </c>
    </row>
    <row r="108" spans="1:76" ht="15" customHeight="1">
      <c r="A108" s="13"/>
      <c r="B108" s="88"/>
      <c r="C108" s="78" t="s">
        <v>133</v>
      </c>
      <c r="D108" s="89" t="s">
        <v>117</v>
      </c>
      <c r="E108" s="90"/>
      <c r="F108" s="66" t="s">
        <v>44</v>
      </c>
      <c r="G108" s="91">
        <v>1.74</v>
      </c>
      <c r="H108" s="92" t="str">
        <f>IF(OOC!S108=0,"",OOC!S108)</f>
        <v/>
      </c>
      <c r="I108" s="92" t="str">
        <f>IF(OOC!T108=0,"",OOC!T108)</f>
        <v/>
      </c>
      <c r="J108" s="68" t="s">
        <v>12</v>
      </c>
      <c r="K108" s="69" t="s">
        <v>80</v>
      </c>
      <c r="L108" s="70" t="e">
        <f t="shared" si="0"/>
        <v>#VALUE!</v>
      </c>
      <c r="M108" s="70" t="e">
        <f t="shared" si="1"/>
        <v>#VALUE!</v>
      </c>
      <c r="N108" s="71"/>
      <c r="O108" s="2" t="e">
        <f t="shared" si="2"/>
        <v>#REF!</v>
      </c>
      <c r="P108" s="2" t="e">
        <f t="shared" si="3"/>
        <v>#REF!</v>
      </c>
      <c r="Q108" s="2" t="e">
        <f t="shared" si="4"/>
        <v>#REF!</v>
      </c>
      <c r="R108" s="3" t="e">
        <f t="shared" si="5"/>
        <v>#REF!</v>
      </c>
      <c r="S108" s="4" t="e">
        <f t="shared" si="10"/>
        <v>#REF!</v>
      </c>
      <c r="T108" s="84" t="e">
        <f t="shared" si="11"/>
        <v>#REF!</v>
      </c>
      <c r="U108" s="85" t="e">
        <f t="shared" si="12"/>
        <v>#REF!</v>
      </c>
      <c r="V108" s="4" t="e">
        <f t="shared" si="6"/>
        <v>#REF!</v>
      </c>
      <c r="W108" s="4" t="e">
        <f t="shared" si="7"/>
        <v>#REF!</v>
      </c>
      <c r="X108" s="4" t="e">
        <f t="shared" si="8"/>
        <v>#REF!</v>
      </c>
      <c r="Y108" s="62" t="e">
        <f t="shared" si="9"/>
        <v>#REF!</v>
      </c>
      <c r="Z108" s="22"/>
      <c r="AA108" s="22"/>
      <c r="AB108" s="22"/>
      <c r="AC108" s="22"/>
      <c r="AD108" s="19"/>
      <c r="AE108" s="14"/>
      <c r="AF108" s="74"/>
      <c r="AG108" s="49"/>
      <c r="AH108" s="49"/>
      <c r="AI108" s="50"/>
      <c r="AJ108" s="15"/>
      <c r="AK108" s="77" t="e">
        <f>#REF!</f>
        <v>#REF!</v>
      </c>
      <c r="AL108" s="77" t="e">
        <f>#REF!</f>
        <v>#REF!</v>
      </c>
      <c r="AM108" s="77" t="e">
        <f>#REF!</f>
        <v>#REF!</v>
      </c>
      <c r="AN108" s="77"/>
      <c r="AO108" s="77"/>
      <c r="AP108" s="77"/>
      <c r="AQ108" s="77"/>
      <c r="AR108" s="77"/>
      <c r="AS108" s="77"/>
      <c r="AT108" s="77"/>
      <c r="AU108" s="77"/>
      <c r="AV108" s="77"/>
      <c r="AW108" s="77"/>
      <c r="AX108" s="77"/>
      <c r="AY108" s="77"/>
      <c r="AZ108" s="77"/>
      <c r="BA108" s="77"/>
      <c r="BB108" s="77"/>
      <c r="BC108" s="77"/>
      <c r="BD108" s="77"/>
      <c r="BE108" s="77"/>
      <c r="BF108" s="77"/>
      <c r="BG108" s="77"/>
      <c r="BH108" s="77"/>
      <c r="BI108" s="77"/>
      <c r="BJ108" s="77"/>
      <c r="BK108" s="77"/>
      <c r="BL108" s="77"/>
      <c r="BM108" s="77"/>
      <c r="BN108" s="77"/>
      <c r="BO108" s="77"/>
      <c r="BP108" s="77"/>
      <c r="BR108" s="123" t="str">
        <f t="shared" si="13"/>
        <v>FAI 55</v>
      </c>
      <c r="BS108" s="120">
        <f>OOC!G108</f>
        <v>1.77</v>
      </c>
      <c r="BT108" s="120">
        <f>OOC!H108</f>
        <v>1.71</v>
      </c>
      <c r="BU108" s="2" t="e">
        <f t="shared" si="14"/>
        <v>#REF!</v>
      </c>
      <c r="BV108" s="2" t="e">
        <f t="shared" si="15"/>
        <v>#REF!</v>
      </c>
      <c r="BW108" s="2" t="e">
        <f t="shared" si="16"/>
        <v>#REF!</v>
      </c>
      <c r="BX108" s="121" t="e">
        <f>IF(AND(IF(OOC!G108="",0,OOC!G108) &gt;= IF(O108="",0,O108), IF(O108="",0,O108) &gt; IF(L108="",0,L108)), "OOC",
IF(AND(IF(M108="",0,M108) &gt; IF(P108="",0,P108), IF(P108="",0,P108) &gt;= IF(OOC!H108="",0,OOC!H108)), "OOC",
IF(IF(O108="",0,O108) &gt; IF(OOC!G108="",0,OOC!G108), "OOS",
IF(IF(OOC!H108="",0,OOC!H108) &gt; IF(P108="",0,P108), "OOS", "OK"))))</f>
        <v>#REF!</v>
      </c>
    </row>
    <row r="109" spans="1:76" ht="15" customHeight="1">
      <c r="A109" s="13"/>
      <c r="B109" s="88"/>
      <c r="C109" s="78" t="s">
        <v>134</v>
      </c>
      <c r="D109" s="89" t="s">
        <v>117</v>
      </c>
      <c r="E109" s="90"/>
      <c r="F109" s="66" t="s">
        <v>44</v>
      </c>
      <c r="G109" s="91">
        <v>10.772</v>
      </c>
      <c r="H109" s="92" t="str">
        <f>IF(OOC!S109=0,"",OOC!S109)</f>
        <v/>
      </c>
      <c r="I109" s="92" t="str">
        <f>IF(OOC!T109=0,"",OOC!T109)</f>
        <v/>
      </c>
      <c r="J109" s="68" t="s">
        <v>12</v>
      </c>
      <c r="K109" s="69" t="s">
        <v>80</v>
      </c>
      <c r="L109" s="70" t="e">
        <f t="shared" si="0"/>
        <v>#VALUE!</v>
      </c>
      <c r="M109" s="70" t="e">
        <f t="shared" si="1"/>
        <v>#VALUE!</v>
      </c>
      <c r="N109" s="71"/>
      <c r="O109" s="2" t="e">
        <f t="shared" si="2"/>
        <v>#REF!</v>
      </c>
      <c r="P109" s="2" t="e">
        <f t="shared" si="3"/>
        <v>#REF!</v>
      </c>
      <c r="Q109" s="2" t="e">
        <f t="shared" si="4"/>
        <v>#REF!</v>
      </c>
      <c r="R109" s="3" t="e">
        <f t="shared" si="5"/>
        <v>#REF!</v>
      </c>
      <c r="S109" s="4" t="e">
        <f t="shared" si="10"/>
        <v>#REF!</v>
      </c>
      <c r="T109" s="84" t="e">
        <f t="shared" si="11"/>
        <v>#REF!</v>
      </c>
      <c r="U109" s="85" t="e">
        <f t="shared" si="12"/>
        <v>#REF!</v>
      </c>
      <c r="V109" s="4" t="e">
        <f t="shared" si="6"/>
        <v>#REF!</v>
      </c>
      <c r="W109" s="4" t="e">
        <f t="shared" si="7"/>
        <v>#REF!</v>
      </c>
      <c r="X109" s="4" t="e">
        <f t="shared" si="8"/>
        <v>#REF!</v>
      </c>
      <c r="Y109" s="62" t="e">
        <f t="shared" si="9"/>
        <v>#REF!</v>
      </c>
      <c r="Z109" s="22"/>
      <c r="AA109" s="22"/>
      <c r="AB109" s="22"/>
      <c r="AC109" s="22"/>
      <c r="AD109" s="19"/>
      <c r="AE109" s="14"/>
      <c r="AF109" s="72"/>
      <c r="AG109" s="49"/>
      <c r="AH109" s="49"/>
      <c r="AI109" s="50"/>
      <c r="AJ109" s="15"/>
      <c r="AK109" s="77" t="e">
        <f>#REF!</f>
        <v>#REF!</v>
      </c>
      <c r="AL109" s="77" t="e">
        <f>#REF!</f>
        <v>#REF!</v>
      </c>
      <c r="AM109" s="77" t="e">
        <f>#REF!</f>
        <v>#REF!</v>
      </c>
      <c r="AN109" s="77"/>
      <c r="AO109" s="77"/>
      <c r="AP109" s="77"/>
      <c r="AQ109" s="77"/>
      <c r="AR109" s="77"/>
      <c r="AS109" s="77"/>
      <c r="AT109" s="77"/>
      <c r="AU109" s="77"/>
      <c r="AV109" s="77"/>
      <c r="AW109" s="77"/>
      <c r="AX109" s="77"/>
      <c r="AY109" s="77"/>
      <c r="AZ109" s="77"/>
      <c r="BA109" s="77"/>
      <c r="BB109" s="77"/>
      <c r="BC109" s="77"/>
      <c r="BD109" s="77"/>
      <c r="BE109" s="77"/>
      <c r="BF109" s="77"/>
      <c r="BG109" s="77"/>
      <c r="BH109" s="77"/>
      <c r="BI109" s="77"/>
      <c r="BJ109" s="77"/>
      <c r="BK109" s="77"/>
      <c r="BL109" s="77"/>
      <c r="BM109" s="77"/>
      <c r="BN109" s="77"/>
      <c r="BO109" s="77"/>
      <c r="BP109" s="77"/>
      <c r="BR109" s="123" t="str">
        <f t="shared" si="13"/>
        <v>FAI 56</v>
      </c>
      <c r="BS109" s="120">
        <f>OOC!G109</f>
        <v>10.802</v>
      </c>
      <c r="BT109" s="120">
        <f>OOC!H109</f>
        <v>10.742000000000001</v>
      </c>
      <c r="BU109" s="2" t="e">
        <f t="shared" si="14"/>
        <v>#REF!</v>
      </c>
      <c r="BV109" s="2" t="e">
        <f t="shared" si="15"/>
        <v>#REF!</v>
      </c>
      <c r="BW109" s="2" t="e">
        <f t="shared" si="16"/>
        <v>#REF!</v>
      </c>
      <c r="BX109" s="121" t="e">
        <f>IF(AND(IF(OOC!G109="",0,OOC!G109) &gt;= IF(O109="",0,O109), IF(O109="",0,O109) &gt; IF(L109="",0,L109)), "OOC",
IF(AND(IF(M109="",0,M109) &gt; IF(P109="",0,P109), IF(P109="",0,P109) &gt;= IF(OOC!H109="",0,OOC!H109)), "OOC",
IF(IF(O109="",0,O109) &gt; IF(OOC!G109="",0,OOC!G109), "OOS",
IF(IF(OOC!H109="",0,OOC!H109) &gt; IF(P109="",0,P109), "OOS", "OK"))))</f>
        <v>#REF!</v>
      </c>
    </row>
    <row r="110" spans="1:76" ht="15" customHeight="1">
      <c r="A110" s="13"/>
      <c r="B110" s="88"/>
      <c r="C110" s="78" t="s">
        <v>135</v>
      </c>
      <c r="D110" s="89" t="s">
        <v>117</v>
      </c>
      <c r="E110" s="90"/>
      <c r="F110" s="66" t="s">
        <v>44</v>
      </c>
      <c r="G110" s="91">
        <v>14.853999999999999</v>
      </c>
      <c r="H110" s="92" t="str">
        <f>IF(OOC!S110=0,"",OOC!S110)</f>
        <v/>
      </c>
      <c r="I110" s="92" t="str">
        <f>IF(OOC!T110=0,"",OOC!T110)</f>
        <v/>
      </c>
      <c r="J110" s="68" t="s">
        <v>12</v>
      </c>
      <c r="K110" s="69" t="s">
        <v>80</v>
      </c>
      <c r="L110" s="70" t="e">
        <f t="shared" si="0"/>
        <v>#VALUE!</v>
      </c>
      <c r="M110" s="70" t="e">
        <f t="shared" si="1"/>
        <v>#VALUE!</v>
      </c>
      <c r="N110" s="71"/>
      <c r="O110" s="2" t="e">
        <f t="shared" si="2"/>
        <v>#REF!</v>
      </c>
      <c r="P110" s="2" t="e">
        <f t="shared" si="3"/>
        <v>#REF!</v>
      </c>
      <c r="Q110" s="2" t="e">
        <f t="shared" si="4"/>
        <v>#REF!</v>
      </c>
      <c r="R110" s="3" t="e">
        <f t="shared" si="5"/>
        <v>#REF!</v>
      </c>
      <c r="S110" s="4" t="e">
        <f t="shared" si="10"/>
        <v>#REF!</v>
      </c>
      <c r="T110" s="84" t="e">
        <f t="shared" si="11"/>
        <v>#REF!</v>
      </c>
      <c r="U110" s="85" t="e">
        <f t="shared" si="12"/>
        <v>#REF!</v>
      </c>
      <c r="V110" s="4" t="e">
        <f t="shared" si="6"/>
        <v>#REF!</v>
      </c>
      <c r="W110" s="4" t="e">
        <f t="shared" si="7"/>
        <v>#REF!</v>
      </c>
      <c r="X110" s="4" t="e">
        <f t="shared" si="8"/>
        <v>#REF!</v>
      </c>
      <c r="Y110" s="62" t="e">
        <f t="shared" si="9"/>
        <v>#REF!</v>
      </c>
      <c r="Z110" s="22"/>
      <c r="AA110" s="22"/>
      <c r="AB110" s="22"/>
      <c r="AC110" s="22"/>
      <c r="AD110" s="19"/>
      <c r="AE110" s="14"/>
      <c r="AF110" s="72"/>
      <c r="AG110" s="49"/>
      <c r="AH110" s="49"/>
      <c r="AI110" s="50"/>
      <c r="AJ110" s="15"/>
      <c r="AK110" s="77" t="e">
        <f>#REF!</f>
        <v>#REF!</v>
      </c>
      <c r="AL110" s="77" t="e">
        <f>#REF!</f>
        <v>#REF!</v>
      </c>
      <c r="AM110" s="77" t="e">
        <f>#REF!</f>
        <v>#REF!</v>
      </c>
      <c r="AN110" s="77"/>
      <c r="AO110" s="77"/>
      <c r="AP110" s="77"/>
      <c r="AQ110" s="77"/>
      <c r="AR110" s="77"/>
      <c r="AS110" s="77"/>
      <c r="AT110" s="77"/>
      <c r="AU110" s="77"/>
      <c r="AV110" s="77"/>
      <c r="AW110" s="77"/>
      <c r="AX110" s="77"/>
      <c r="AY110" s="77"/>
      <c r="AZ110" s="77"/>
      <c r="BA110" s="77"/>
      <c r="BB110" s="77"/>
      <c r="BC110" s="77"/>
      <c r="BD110" s="77"/>
      <c r="BE110" s="77"/>
      <c r="BF110" s="77"/>
      <c r="BG110" s="77"/>
      <c r="BH110" s="77"/>
      <c r="BI110" s="77"/>
      <c r="BJ110" s="77"/>
      <c r="BK110" s="77"/>
      <c r="BL110" s="77"/>
      <c r="BM110" s="77"/>
      <c r="BN110" s="77"/>
      <c r="BO110" s="77"/>
      <c r="BP110" s="77"/>
      <c r="BR110" s="123" t="str">
        <f t="shared" si="13"/>
        <v>FAI 57</v>
      </c>
      <c r="BS110" s="120">
        <f>OOC!G110</f>
        <v>14.883999999999999</v>
      </c>
      <c r="BT110" s="120">
        <f>OOC!H110</f>
        <v>14.824</v>
      </c>
      <c r="BU110" s="2" t="e">
        <f t="shared" si="14"/>
        <v>#REF!</v>
      </c>
      <c r="BV110" s="2" t="e">
        <f t="shared" si="15"/>
        <v>#REF!</v>
      </c>
      <c r="BW110" s="2" t="e">
        <f t="shared" si="16"/>
        <v>#REF!</v>
      </c>
      <c r="BX110" s="121" t="e">
        <f>IF(AND(IF(OOC!G110="",0,OOC!G110) &gt;= IF(O110="",0,O110), IF(O110="",0,O110) &gt; IF(L110="",0,L110)), "OOC",
IF(AND(IF(M110="",0,M110) &gt; IF(P110="",0,P110), IF(P110="",0,P110) &gt;= IF(OOC!H110="",0,OOC!H110)), "OOC",
IF(IF(O110="",0,O110) &gt; IF(OOC!G110="",0,OOC!G110), "OOS",
IF(IF(OOC!H110="",0,OOC!H110) &gt; IF(P110="",0,P110), "OOS", "OK"))))</f>
        <v>#REF!</v>
      </c>
    </row>
    <row r="111" spans="1:76" ht="15" customHeight="1">
      <c r="A111" s="13"/>
      <c r="B111" s="88"/>
      <c r="C111" s="78" t="s">
        <v>136</v>
      </c>
      <c r="D111" s="89" t="s">
        <v>117</v>
      </c>
      <c r="E111" s="90"/>
      <c r="F111" s="66" t="s">
        <v>44</v>
      </c>
      <c r="G111" s="91">
        <v>13.27</v>
      </c>
      <c r="H111" s="92" t="str">
        <f>IF(OOC!S111=0,"",OOC!S111)</f>
        <v/>
      </c>
      <c r="I111" s="92" t="str">
        <f>IF(OOC!T111=0,"",OOC!T111)</f>
        <v/>
      </c>
      <c r="J111" s="68" t="s">
        <v>12</v>
      </c>
      <c r="K111" s="69" t="s">
        <v>80</v>
      </c>
      <c r="L111" s="70" t="e">
        <f t="shared" si="0"/>
        <v>#VALUE!</v>
      </c>
      <c r="M111" s="70" t="e">
        <f t="shared" si="1"/>
        <v>#VALUE!</v>
      </c>
      <c r="N111" s="71"/>
      <c r="O111" s="2" t="e">
        <f t="shared" si="2"/>
        <v>#REF!</v>
      </c>
      <c r="P111" s="2" t="e">
        <f t="shared" si="3"/>
        <v>#REF!</v>
      </c>
      <c r="Q111" s="2" t="e">
        <f t="shared" si="4"/>
        <v>#REF!</v>
      </c>
      <c r="R111" s="3" t="e">
        <f t="shared" si="5"/>
        <v>#REF!</v>
      </c>
      <c r="S111" s="4" t="e">
        <f t="shared" si="10"/>
        <v>#REF!</v>
      </c>
      <c r="T111" s="84" t="e">
        <f t="shared" si="11"/>
        <v>#REF!</v>
      </c>
      <c r="U111" s="85" t="e">
        <f t="shared" si="12"/>
        <v>#REF!</v>
      </c>
      <c r="V111" s="4" t="e">
        <f t="shared" si="6"/>
        <v>#REF!</v>
      </c>
      <c r="W111" s="4" t="e">
        <f t="shared" si="7"/>
        <v>#REF!</v>
      </c>
      <c r="X111" s="4" t="e">
        <f t="shared" si="8"/>
        <v>#REF!</v>
      </c>
      <c r="Y111" s="62" t="e">
        <f t="shared" si="9"/>
        <v>#REF!</v>
      </c>
      <c r="Z111" s="22"/>
      <c r="AA111" s="22"/>
      <c r="AB111" s="22"/>
      <c r="AC111" s="22"/>
      <c r="AD111" s="19"/>
      <c r="AE111" s="14"/>
      <c r="AF111" s="72"/>
      <c r="AG111" s="49"/>
      <c r="AH111" s="49"/>
      <c r="AI111" s="50"/>
      <c r="AJ111" s="15"/>
      <c r="AK111" s="77" t="e">
        <f>#REF!</f>
        <v>#REF!</v>
      </c>
      <c r="AL111" s="77" t="e">
        <f>#REF!</f>
        <v>#REF!</v>
      </c>
      <c r="AM111" s="77" t="e">
        <f>#REF!</f>
        <v>#REF!</v>
      </c>
      <c r="AN111" s="77"/>
      <c r="AO111" s="77"/>
      <c r="AP111" s="77"/>
      <c r="AQ111" s="77"/>
      <c r="AR111" s="77"/>
      <c r="AS111" s="77"/>
      <c r="AT111" s="77"/>
      <c r="AU111" s="77"/>
      <c r="AV111" s="77"/>
      <c r="AW111" s="77"/>
      <c r="AX111" s="77"/>
      <c r="AY111" s="77"/>
      <c r="AZ111" s="77"/>
      <c r="BA111" s="77"/>
      <c r="BB111" s="77"/>
      <c r="BC111" s="77"/>
      <c r="BD111" s="77"/>
      <c r="BE111" s="77"/>
      <c r="BF111" s="77"/>
      <c r="BG111" s="77"/>
      <c r="BH111" s="77"/>
      <c r="BI111" s="77"/>
      <c r="BJ111" s="77"/>
      <c r="BK111" s="77"/>
      <c r="BL111" s="77"/>
      <c r="BM111" s="77"/>
      <c r="BN111" s="77"/>
      <c r="BO111" s="77"/>
      <c r="BP111" s="77"/>
      <c r="BR111" s="123" t="str">
        <f t="shared" si="13"/>
        <v>FAI 58</v>
      </c>
      <c r="BS111" s="120">
        <f>OOC!G111</f>
        <v>13.299999999999999</v>
      </c>
      <c r="BT111" s="120">
        <f>OOC!H111</f>
        <v>13.24</v>
      </c>
      <c r="BU111" s="2" t="e">
        <f t="shared" si="14"/>
        <v>#REF!</v>
      </c>
      <c r="BV111" s="2" t="e">
        <f t="shared" si="15"/>
        <v>#REF!</v>
      </c>
      <c r="BW111" s="2" t="e">
        <f t="shared" si="16"/>
        <v>#REF!</v>
      </c>
      <c r="BX111" s="121" t="e">
        <f>IF(AND(IF(OOC!G111="",0,OOC!G111) &gt;= IF(O111="",0,O111), IF(O111="",0,O111) &gt; IF(L111="",0,L111)), "OOC",
IF(AND(IF(M111="",0,M111) &gt; IF(P111="",0,P111), IF(P111="",0,P111) &gt;= IF(OOC!H111="",0,OOC!H111)), "OOC",
IF(IF(O111="",0,O111) &gt; IF(OOC!G111="",0,OOC!G111), "OOS",
IF(IF(OOC!H111="",0,OOC!H111) &gt; IF(P111="",0,P111), "OOS", "OK"))))</f>
        <v>#REF!</v>
      </c>
    </row>
    <row r="112" spans="1:76" ht="15" customHeight="1">
      <c r="A112" s="13"/>
      <c r="B112" s="88"/>
      <c r="C112" s="94" t="s">
        <v>137</v>
      </c>
      <c r="D112" s="89" t="s">
        <v>117</v>
      </c>
      <c r="E112" s="90"/>
      <c r="F112" s="66" t="s">
        <v>44</v>
      </c>
      <c r="G112" s="67">
        <v>0.64200000000000002</v>
      </c>
      <c r="H112" s="92" t="str">
        <f>IF(OOC!S112=0,"",OOC!S112)</f>
        <v/>
      </c>
      <c r="I112" s="92" t="str">
        <f>IF(OOC!T112=0,"",OOC!T112)</f>
        <v/>
      </c>
      <c r="J112" s="68" t="s">
        <v>12</v>
      </c>
      <c r="K112" s="69" t="s">
        <v>80</v>
      </c>
      <c r="L112" s="70" t="e">
        <f t="shared" si="0"/>
        <v>#VALUE!</v>
      </c>
      <c r="M112" s="70" t="e">
        <f t="shared" si="1"/>
        <v>#VALUE!</v>
      </c>
      <c r="N112" s="71"/>
      <c r="O112" s="2" t="e">
        <f t="shared" si="2"/>
        <v>#REF!</v>
      </c>
      <c r="P112" s="2" t="e">
        <f t="shared" si="3"/>
        <v>#REF!</v>
      </c>
      <c r="Q112" s="2" t="e">
        <f t="shared" si="4"/>
        <v>#REF!</v>
      </c>
      <c r="R112" s="3" t="e">
        <f t="shared" si="5"/>
        <v>#REF!</v>
      </c>
      <c r="S112" s="4" t="e">
        <f t="shared" si="10"/>
        <v>#REF!</v>
      </c>
      <c r="T112" s="84" t="e">
        <f t="shared" si="11"/>
        <v>#REF!</v>
      </c>
      <c r="U112" s="85" t="e">
        <f t="shared" si="12"/>
        <v>#REF!</v>
      </c>
      <c r="V112" s="4" t="e">
        <f t="shared" si="6"/>
        <v>#REF!</v>
      </c>
      <c r="W112" s="4" t="e">
        <f t="shared" si="7"/>
        <v>#REF!</v>
      </c>
      <c r="X112" s="4" t="e">
        <f t="shared" si="8"/>
        <v>#REF!</v>
      </c>
      <c r="Y112" s="62" t="e">
        <f t="shared" si="9"/>
        <v>#REF!</v>
      </c>
      <c r="Z112" s="22"/>
      <c r="AA112" s="22"/>
      <c r="AB112" s="22"/>
      <c r="AC112" s="22"/>
      <c r="AD112" s="19"/>
      <c r="AE112" s="14"/>
      <c r="AF112" s="72"/>
      <c r="AG112" s="49"/>
      <c r="AH112" s="49"/>
      <c r="AI112" s="50"/>
      <c r="AJ112" s="15"/>
      <c r="AK112" s="77" t="e">
        <f>#REF!</f>
        <v>#REF!</v>
      </c>
      <c r="AL112" s="77" t="e">
        <f>#REF!</f>
        <v>#REF!</v>
      </c>
      <c r="AM112" s="77" t="e">
        <f>#REF!</f>
        <v>#REF!</v>
      </c>
      <c r="AN112" s="77"/>
      <c r="AO112" s="77"/>
      <c r="AP112" s="77"/>
      <c r="AQ112" s="77"/>
      <c r="AR112" s="77"/>
      <c r="AS112" s="77"/>
      <c r="AT112" s="77"/>
      <c r="AU112" s="77"/>
      <c r="AV112" s="77"/>
      <c r="AW112" s="77"/>
      <c r="AX112" s="77"/>
      <c r="AY112" s="77"/>
      <c r="AZ112" s="77"/>
      <c r="BA112" s="77"/>
      <c r="BB112" s="77"/>
      <c r="BC112" s="77"/>
      <c r="BD112" s="77"/>
      <c r="BE112" s="77"/>
      <c r="BF112" s="77"/>
      <c r="BG112" s="77"/>
      <c r="BH112" s="77"/>
      <c r="BI112" s="77"/>
      <c r="BJ112" s="77"/>
      <c r="BK112" s="77"/>
      <c r="BL112" s="77"/>
      <c r="BM112" s="77"/>
      <c r="BN112" s="77"/>
      <c r="BO112" s="77"/>
      <c r="BP112" s="77"/>
      <c r="BR112" s="123" t="str">
        <f t="shared" si="13"/>
        <v>FAI 59</v>
      </c>
      <c r="BS112" s="120">
        <f>OOC!G112</f>
        <v>0.67200000000000004</v>
      </c>
      <c r="BT112" s="120">
        <f>OOC!H112</f>
        <v>0.61199999999999999</v>
      </c>
      <c r="BU112" s="2" t="e">
        <f t="shared" si="14"/>
        <v>#REF!</v>
      </c>
      <c r="BV112" s="2" t="e">
        <f t="shared" si="15"/>
        <v>#REF!</v>
      </c>
      <c r="BW112" s="2" t="e">
        <f t="shared" si="16"/>
        <v>#REF!</v>
      </c>
      <c r="BX112" s="121" t="e">
        <f>IF(AND(IF(OOC!G112="",0,OOC!G112) &gt;= IF(O112="",0,O112), IF(O112="",0,O112) &gt; IF(L112="",0,L112)), "OOC",
IF(AND(IF(M112="",0,M112) &gt; IF(P112="",0,P112), IF(P112="",0,P112) &gt;= IF(OOC!H112="",0,OOC!H112)), "OOC",
IF(IF(O112="",0,O112) &gt; IF(OOC!G112="",0,OOC!G112), "OOS",
IF(IF(OOC!H112="",0,OOC!H112) &gt; IF(P112="",0,P112), "OOS", "OK"))))</f>
        <v>#REF!</v>
      </c>
    </row>
    <row r="113" spans="1:76" ht="15" customHeight="1">
      <c r="A113" s="13"/>
      <c r="B113" s="88"/>
      <c r="C113" s="94" t="s">
        <v>138</v>
      </c>
      <c r="D113" s="89" t="s">
        <v>117</v>
      </c>
      <c r="E113" s="90"/>
      <c r="F113" s="66" t="s">
        <v>44</v>
      </c>
      <c r="G113" s="67">
        <v>0.40300000000000002</v>
      </c>
      <c r="H113" s="92" t="str">
        <f>IF(OOC!S113=0,"",OOC!S113)</f>
        <v/>
      </c>
      <c r="I113" s="92" t="str">
        <f>IF(OOC!T113=0,"",OOC!T113)</f>
        <v/>
      </c>
      <c r="J113" s="68" t="s">
        <v>12</v>
      </c>
      <c r="K113" s="69" t="s">
        <v>80</v>
      </c>
      <c r="L113" s="70" t="e">
        <f t="shared" si="0"/>
        <v>#VALUE!</v>
      </c>
      <c r="M113" s="70" t="e">
        <f t="shared" si="1"/>
        <v>#VALUE!</v>
      </c>
      <c r="N113" s="71"/>
      <c r="O113" s="2" t="e">
        <f t="shared" si="2"/>
        <v>#REF!</v>
      </c>
      <c r="P113" s="2" t="e">
        <f t="shared" si="3"/>
        <v>#REF!</v>
      </c>
      <c r="Q113" s="2" t="e">
        <f t="shared" si="4"/>
        <v>#REF!</v>
      </c>
      <c r="R113" s="3" t="e">
        <f t="shared" si="5"/>
        <v>#REF!</v>
      </c>
      <c r="S113" s="4" t="e">
        <f t="shared" si="10"/>
        <v>#REF!</v>
      </c>
      <c r="T113" s="84" t="e">
        <f t="shared" si="11"/>
        <v>#REF!</v>
      </c>
      <c r="U113" s="85" t="e">
        <f t="shared" si="12"/>
        <v>#REF!</v>
      </c>
      <c r="V113" s="4" t="e">
        <f t="shared" si="6"/>
        <v>#REF!</v>
      </c>
      <c r="W113" s="4" t="e">
        <f t="shared" si="7"/>
        <v>#REF!</v>
      </c>
      <c r="X113" s="4" t="e">
        <f t="shared" si="8"/>
        <v>#REF!</v>
      </c>
      <c r="Y113" s="62" t="e">
        <f t="shared" si="9"/>
        <v>#REF!</v>
      </c>
      <c r="Z113" s="22"/>
      <c r="AA113" s="22"/>
      <c r="AB113" s="22"/>
      <c r="AC113" s="22"/>
      <c r="AD113" s="19"/>
      <c r="AE113" s="14"/>
      <c r="AF113" s="72"/>
      <c r="AG113" s="49"/>
      <c r="AH113" s="49"/>
      <c r="AI113" s="50"/>
      <c r="AJ113" s="15"/>
      <c r="AK113" s="77" t="e">
        <f>#REF!</f>
        <v>#REF!</v>
      </c>
      <c r="AL113" s="77" t="e">
        <f>#REF!</f>
        <v>#REF!</v>
      </c>
      <c r="AM113" s="77" t="e">
        <f>#REF!</f>
        <v>#REF!</v>
      </c>
      <c r="AN113" s="77"/>
      <c r="AO113" s="77"/>
      <c r="AP113" s="77"/>
      <c r="AQ113" s="77"/>
      <c r="AR113" s="77"/>
      <c r="AS113" s="77"/>
      <c r="AT113" s="77"/>
      <c r="AU113" s="77"/>
      <c r="AV113" s="77"/>
      <c r="AW113" s="77"/>
      <c r="AX113" s="77"/>
      <c r="AY113" s="77"/>
      <c r="AZ113" s="77"/>
      <c r="BA113" s="77"/>
      <c r="BB113" s="77"/>
      <c r="BC113" s="77"/>
      <c r="BD113" s="77"/>
      <c r="BE113" s="77"/>
      <c r="BF113" s="77"/>
      <c r="BG113" s="77"/>
      <c r="BH113" s="77"/>
      <c r="BI113" s="77"/>
      <c r="BJ113" s="77"/>
      <c r="BK113" s="77"/>
      <c r="BL113" s="77"/>
      <c r="BM113" s="77"/>
      <c r="BN113" s="77"/>
      <c r="BO113" s="77"/>
      <c r="BP113" s="77"/>
      <c r="BR113" s="123" t="str">
        <f t="shared" si="13"/>
        <v>FAI 60</v>
      </c>
      <c r="BS113" s="120">
        <f>OOC!G113</f>
        <v>0.43300000000000005</v>
      </c>
      <c r="BT113" s="120">
        <f>OOC!H113</f>
        <v>0.373</v>
      </c>
      <c r="BU113" s="2" t="e">
        <f t="shared" si="14"/>
        <v>#REF!</v>
      </c>
      <c r="BV113" s="2" t="e">
        <f t="shared" si="15"/>
        <v>#REF!</v>
      </c>
      <c r="BW113" s="2" t="e">
        <f t="shared" si="16"/>
        <v>#REF!</v>
      </c>
      <c r="BX113" s="121" t="e">
        <f>IF(AND(IF(OOC!G113="",0,OOC!G113) &gt;= IF(O113="",0,O113), IF(O113="",0,O113) &gt; IF(L113="",0,L113)), "OOC",
IF(AND(IF(M113="",0,M113) &gt; IF(P113="",0,P113), IF(P113="",0,P113) &gt;= IF(OOC!H113="",0,OOC!H113)), "OOC",
IF(IF(O113="",0,O113) &gt; IF(OOC!G113="",0,OOC!G113), "OOS",
IF(IF(OOC!H113="",0,OOC!H113) &gt; IF(P113="",0,P113), "OOS", "OK"))))</f>
        <v>#REF!</v>
      </c>
    </row>
    <row r="114" spans="1:76" ht="15" customHeight="1">
      <c r="A114" s="13"/>
      <c r="B114" s="88"/>
      <c r="C114" s="94" t="s">
        <v>139</v>
      </c>
      <c r="D114" s="89" t="s">
        <v>117</v>
      </c>
      <c r="E114" s="90"/>
      <c r="F114" s="66" t="s">
        <v>44</v>
      </c>
      <c r="G114" s="67">
        <v>1.986</v>
      </c>
      <c r="H114" s="92" t="str">
        <f>IF(OOC!S114=0,"",OOC!S114)</f>
        <v/>
      </c>
      <c r="I114" s="92" t="str">
        <f>IF(OOC!T114=0,"",OOC!T114)</f>
        <v/>
      </c>
      <c r="J114" s="68" t="s">
        <v>12</v>
      </c>
      <c r="K114" s="69" t="s">
        <v>80</v>
      </c>
      <c r="L114" s="70" t="e">
        <f t="shared" si="0"/>
        <v>#VALUE!</v>
      </c>
      <c r="M114" s="70" t="e">
        <f t="shared" si="1"/>
        <v>#VALUE!</v>
      </c>
      <c r="N114" s="71"/>
      <c r="O114" s="2" t="e">
        <f t="shared" si="2"/>
        <v>#REF!</v>
      </c>
      <c r="P114" s="2" t="e">
        <f t="shared" si="3"/>
        <v>#REF!</v>
      </c>
      <c r="Q114" s="2" t="e">
        <f t="shared" si="4"/>
        <v>#REF!</v>
      </c>
      <c r="R114" s="3" t="e">
        <f t="shared" si="5"/>
        <v>#REF!</v>
      </c>
      <c r="S114" s="4" t="e">
        <f t="shared" si="10"/>
        <v>#REF!</v>
      </c>
      <c r="T114" s="84" t="e">
        <f t="shared" si="11"/>
        <v>#REF!</v>
      </c>
      <c r="U114" s="85" t="e">
        <f t="shared" si="12"/>
        <v>#REF!</v>
      </c>
      <c r="V114" s="4" t="e">
        <f t="shared" si="6"/>
        <v>#REF!</v>
      </c>
      <c r="W114" s="4" t="e">
        <f t="shared" si="7"/>
        <v>#REF!</v>
      </c>
      <c r="X114" s="4" t="e">
        <f t="shared" si="8"/>
        <v>#REF!</v>
      </c>
      <c r="Y114" s="62" t="e">
        <f t="shared" si="9"/>
        <v>#REF!</v>
      </c>
      <c r="Z114" s="22"/>
      <c r="AA114" s="22"/>
      <c r="AB114" s="22"/>
      <c r="AC114" s="22"/>
      <c r="AD114" s="19"/>
      <c r="AE114" s="14"/>
      <c r="AF114" s="72"/>
      <c r="AG114" s="49"/>
      <c r="AH114" s="49"/>
      <c r="AI114" s="50"/>
      <c r="AJ114" s="15"/>
      <c r="AK114" s="77" t="e">
        <f>#REF!</f>
        <v>#REF!</v>
      </c>
      <c r="AL114" s="77" t="e">
        <f>#REF!</f>
        <v>#REF!</v>
      </c>
      <c r="AM114" s="77" t="e">
        <f>#REF!</f>
        <v>#REF!</v>
      </c>
      <c r="AN114" s="77"/>
      <c r="AO114" s="77"/>
      <c r="AP114" s="77"/>
      <c r="AQ114" s="77"/>
      <c r="AR114" s="77"/>
      <c r="AS114" s="77"/>
      <c r="AT114" s="77"/>
      <c r="AU114" s="77"/>
      <c r="AV114" s="77"/>
      <c r="AW114" s="77"/>
      <c r="AX114" s="77"/>
      <c r="AY114" s="77"/>
      <c r="AZ114" s="77"/>
      <c r="BA114" s="77"/>
      <c r="BB114" s="77"/>
      <c r="BC114" s="77"/>
      <c r="BD114" s="77"/>
      <c r="BE114" s="77"/>
      <c r="BF114" s="77"/>
      <c r="BG114" s="77"/>
      <c r="BH114" s="77"/>
      <c r="BI114" s="77"/>
      <c r="BJ114" s="77"/>
      <c r="BK114" s="77"/>
      <c r="BL114" s="77"/>
      <c r="BM114" s="77"/>
      <c r="BN114" s="77"/>
      <c r="BO114" s="77"/>
      <c r="BP114" s="77"/>
      <c r="BR114" s="123" t="str">
        <f t="shared" si="13"/>
        <v>FAI 61</v>
      </c>
      <c r="BS114" s="120">
        <f>OOC!G114</f>
        <v>2.016</v>
      </c>
      <c r="BT114" s="120">
        <f>OOC!H114</f>
        <v>1.956</v>
      </c>
      <c r="BU114" s="2" t="e">
        <f t="shared" si="14"/>
        <v>#REF!</v>
      </c>
      <c r="BV114" s="2" t="e">
        <f t="shared" si="15"/>
        <v>#REF!</v>
      </c>
      <c r="BW114" s="2" t="e">
        <f t="shared" si="16"/>
        <v>#REF!</v>
      </c>
      <c r="BX114" s="121" t="e">
        <f>IF(AND(IF(OOC!G114="",0,OOC!G114) &gt;= IF(O114="",0,O114), IF(O114="",0,O114) &gt; IF(L114="",0,L114)), "OOC",
IF(AND(IF(M114="",0,M114) &gt; IF(P114="",0,P114), IF(P114="",0,P114) &gt;= IF(OOC!H114="",0,OOC!H114)), "OOC",
IF(IF(O114="",0,O114) &gt; IF(OOC!G114="",0,OOC!G114), "OOS",
IF(IF(OOC!H114="",0,OOC!H114) &gt; IF(P114="",0,P114), "OOS", "OK"))))</f>
        <v>#REF!</v>
      </c>
    </row>
    <row r="115" spans="1:76" ht="15" customHeight="1">
      <c r="A115" s="13"/>
      <c r="B115" s="88"/>
      <c r="C115" s="94" t="s">
        <v>140</v>
      </c>
      <c r="D115" s="89" t="s">
        <v>117</v>
      </c>
      <c r="E115" s="90"/>
      <c r="F115" s="66" t="s">
        <v>44</v>
      </c>
      <c r="G115" s="67">
        <v>2.226</v>
      </c>
      <c r="H115" s="92" t="str">
        <f>IF(OOC!S115=0,"",OOC!S115)</f>
        <v/>
      </c>
      <c r="I115" s="92" t="str">
        <f>IF(OOC!T115=0,"",OOC!T115)</f>
        <v/>
      </c>
      <c r="J115" s="68" t="s">
        <v>12</v>
      </c>
      <c r="K115" s="69" t="s">
        <v>80</v>
      </c>
      <c r="L115" s="70" t="e">
        <f t="shared" si="0"/>
        <v>#VALUE!</v>
      </c>
      <c r="M115" s="70" t="e">
        <f t="shared" si="1"/>
        <v>#VALUE!</v>
      </c>
      <c r="N115" s="71"/>
      <c r="O115" s="2" t="e">
        <f t="shared" si="2"/>
        <v>#REF!</v>
      </c>
      <c r="P115" s="2" t="e">
        <f t="shared" si="3"/>
        <v>#REF!</v>
      </c>
      <c r="Q115" s="2" t="e">
        <f t="shared" si="4"/>
        <v>#REF!</v>
      </c>
      <c r="R115" s="3" t="e">
        <f t="shared" si="5"/>
        <v>#REF!</v>
      </c>
      <c r="S115" s="4" t="e">
        <f t="shared" si="10"/>
        <v>#REF!</v>
      </c>
      <c r="T115" s="84" t="e">
        <f t="shared" si="11"/>
        <v>#REF!</v>
      </c>
      <c r="U115" s="85" t="e">
        <f t="shared" si="12"/>
        <v>#REF!</v>
      </c>
      <c r="V115" s="4" t="e">
        <f t="shared" si="6"/>
        <v>#REF!</v>
      </c>
      <c r="W115" s="4" t="e">
        <f t="shared" si="7"/>
        <v>#REF!</v>
      </c>
      <c r="X115" s="4" t="e">
        <f t="shared" si="8"/>
        <v>#REF!</v>
      </c>
      <c r="Y115" s="62" t="e">
        <f t="shared" si="9"/>
        <v>#REF!</v>
      </c>
      <c r="Z115" s="22"/>
      <c r="AA115" s="22"/>
      <c r="AB115" s="22"/>
      <c r="AC115" s="22"/>
      <c r="AD115" s="19"/>
      <c r="AE115" s="14"/>
      <c r="AF115" s="72"/>
      <c r="AG115" s="49"/>
      <c r="AH115" s="49"/>
      <c r="AI115" s="50"/>
      <c r="AJ115" s="15"/>
      <c r="AK115" s="77" t="e">
        <f>#REF!</f>
        <v>#REF!</v>
      </c>
      <c r="AL115" s="77" t="e">
        <f>#REF!</f>
        <v>#REF!</v>
      </c>
      <c r="AM115" s="77" t="e">
        <f>#REF!</f>
        <v>#REF!</v>
      </c>
      <c r="AN115" s="77"/>
      <c r="AO115" s="77"/>
      <c r="AP115" s="77"/>
      <c r="AQ115" s="77"/>
      <c r="AR115" s="77"/>
      <c r="AS115" s="77"/>
      <c r="AT115" s="77"/>
      <c r="AU115" s="77"/>
      <c r="AV115" s="77"/>
      <c r="AW115" s="77"/>
      <c r="AX115" s="77"/>
      <c r="AY115" s="77"/>
      <c r="AZ115" s="77"/>
      <c r="BA115" s="77"/>
      <c r="BB115" s="77"/>
      <c r="BC115" s="77"/>
      <c r="BD115" s="77"/>
      <c r="BE115" s="77"/>
      <c r="BF115" s="77"/>
      <c r="BG115" s="77"/>
      <c r="BH115" s="77"/>
      <c r="BI115" s="77"/>
      <c r="BJ115" s="77"/>
      <c r="BK115" s="77"/>
      <c r="BL115" s="77"/>
      <c r="BM115" s="77"/>
      <c r="BN115" s="77"/>
      <c r="BO115" s="77"/>
      <c r="BP115" s="77"/>
      <c r="BR115" s="123" t="str">
        <f t="shared" si="13"/>
        <v>FAI 62</v>
      </c>
      <c r="BS115" s="120">
        <f>OOC!G115</f>
        <v>2.2559999999999998</v>
      </c>
      <c r="BT115" s="120">
        <f>OOC!H115</f>
        <v>2.1960000000000002</v>
      </c>
      <c r="BU115" s="2" t="e">
        <f t="shared" si="14"/>
        <v>#REF!</v>
      </c>
      <c r="BV115" s="2" t="e">
        <f t="shared" si="15"/>
        <v>#REF!</v>
      </c>
      <c r="BW115" s="2" t="e">
        <f t="shared" si="16"/>
        <v>#REF!</v>
      </c>
      <c r="BX115" s="121" t="e">
        <f>IF(AND(IF(OOC!G115="",0,OOC!G115) &gt;= IF(O115="",0,O115), IF(O115="",0,O115) &gt; IF(L115="",0,L115)), "OOC",
IF(AND(IF(M115="",0,M115) &gt; IF(P115="",0,P115), IF(P115="",0,P115) &gt;= IF(OOC!H115="",0,OOC!H115)), "OOC",
IF(IF(O115="",0,O115) &gt; IF(OOC!G115="",0,OOC!G115), "OOS",
IF(IF(OOC!H115="",0,OOC!H115) &gt; IF(P115="",0,P115), "OOS", "OK"))))</f>
        <v>#REF!</v>
      </c>
    </row>
    <row r="116" spans="1:76" ht="15" customHeight="1">
      <c r="A116" s="13"/>
      <c r="B116" s="88"/>
      <c r="C116" s="94" t="s">
        <v>153</v>
      </c>
      <c r="D116" s="89" t="s">
        <v>117</v>
      </c>
      <c r="E116" s="90"/>
      <c r="F116" s="66" t="s">
        <v>44</v>
      </c>
      <c r="G116" s="67">
        <v>1.718</v>
      </c>
      <c r="H116" s="92" t="str">
        <f>IF(OOC!S116=0,"",OOC!S116)</f>
        <v/>
      </c>
      <c r="I116" s="92" t="str">
        <f>IF(OOC!T116=0,"",OOC!T116)</f>
        <v/>
      </c>
      <c r="J116" s="68" t="s">
        <v>12</v>
      </c>
      <c r="K116" s="69" t="s">
        <v>80</v>
      </c>
      <c r="L116" s="70" t="e">
        <f t="shared" si="0"/>
        <v>#VALUE!</v>
      </c>
      <c r="M116" s="70" t="e">
        <f t="shared" si="1"/>
        <v>#VALUE!</v>
      </c>
      <c r="N116" s="71"/>
      <c r="O116" s="2" t="e">
        <f t="shared" si="2"/>
        <v>#REF!</v>
      </c>
      <c r="P116" s="2" t="e">
        <f t="shared" si="3"/>
        <v>#REF!</v>
      </c>
      <c r="Q116" s="2" t="e">
        <f t="shared" si="4"/>
        <v>#REF!</v>
      </c>
      <c r="R116" s="3" t="e">
        <f t="shared" si="5"/>
        <v>#REF!</v>
      </c>
      <c r="S116" s="4" t="e">
        <f t="shared" si="10"/>
        <v>#REF!</v>
      </c>
      <c r="T116" s="84" t="e">
        <f t="shared" si="11"/>
        <v>#REF!</v>
      </c>
      <c r="U116" s="85" t="e">
        <f t="shared" si="12"/>
        <v>#REF!</v>
      </c>
      <c r="V116" s="4" t="e">
        <f t="shared" si="6"/>
        <v>#REF!</v>
      </c>
      <c r="W116" s="4" t="e">
        <f t="shared" si="7"/>
        <v>#REF!</v>
      </c>
      <c r="X116" s="4" t="e">
        <f t="shared" si="8"/>
        <v>#REF!</v>
      </c>
      <c r="Y116" s="62" t="e">
        <f t="shared" si="9"/>
        <v>#REF!</v>
      </c>
      <c r="Z116" s="22"/>
      <c r="AA116" s="22"/>
      <c r="AB116" s="22"/>
      <c r="AC116" s="22"/>
      <c r="AD116" s="19"/>
      <c r="AE116" s="14"/>
      <c r="AF116" s="72"/>
      <c r="AG116" s="49"/>
      <c r="AH116" s="49"/>
      <c r="AI116" s="50"/>
      <c r="AJ116" s="15"/>
      <c r="AK116" s="77" t="e">
        <f>#REF!</f>
        <v>#REF!</v>
      </c>
      <c r="AL116" s="77" t="e">
        <f>#REF!</f>
        <v>#REF!</v>
      </c>
      <c r="AM116" s="77" t="e">
        <f>#REF!</f>
        <v>#REF!</v>
      </c>
      <c r="AN116" s="77"/>
      <c r="AO116" s="77"/>
      <c r="AP116" s="77"/>
      <c r="AQ116" s="77"/>
      <c r="AR116" s="77"/>
      <c r="AS116" s="77"/>
      <c r="AT116" s="77"/>
      <c r="AU116" s="77"/>
      <c r="AV116" s="77"/>
      <c r="AW116" s="77"/>
      <c r="AX116" s="77"/>
      <c r="AY116" s="77"/>
      <c r="AZ116" s="77"/>
      <c r="BA116" s="77"/>
      <c r="BB116" s="77"/>
      <c r="BC116" s="77"/>
      <c r="BD116" s="77"/>
      <c r="BE116" s="77"/>
      <c r="BF116" s="77"/>
      <c r="BG116" s="77"/>
      <c r="BH116" s="77"/>
      <c r="BI116" s="77"/>
      <c r="BJ116" s="77"/>
      <c r="BK116" s="77"/>
      <c r="BL116" s="77"/>
      <c r="BM116" s="77"/>
      <c r="BN116" s="77"/>
      <c r="BO116" s="77"/>
      <c r="BP116" s="77"/>
      <c r="BR116" s="123" t="str">
        <f t="shared" si="13"/>
        <v>FAI 63</v>
      </c>
      <c r="BS116" s="120">
        <f>OOC!G116</f>
        <v>1.738</v>
      </c>
      <c r="BT116" s="120">
        <f>OOC!H116</f>
        <v>1.698</v>
      </c>
      <c r="BU116" s="2" t="e">
        <f t="shared" si="14"/>
        <v>#REF!</v>
      </c>
      <c r="BV116" s="2" t="e">
        <f t="shared" si="15"/>
        <v>#REF!</v>
      </c>
      <c r="BW116" s="2" t="e">
        <f t="shared" si="16"/>
        <v>#REF!</v>
      </c>
      <c r="BX116" s="121" t="e">
        <f>IF(AND(IF(OOC!G116="",0,OOC!G116) &gt;= IF(O116="",0,O116), IF(O116="",0,O116) &gt; IF(L116="",0,L116)), "OOC",
IF(AND(IF(M116="",0,M116) &gt; IF(P116="",0,P116), IF(P116="",0,P116) &gt;= IF(OOC!H116="",0,OOC!H116)), "OOC",
IF(IF(O116="",0,O116) &gt; IF(OOC!G116="",0,OOC!G116), "OOS",
IF(IF(OOC!H116="",0,OOC!H116) &gt; IF(P116="",0,P116), "OOS", "OK"))))</f>
        <v>#REF!</v>
      </c>
    </row>
    <row r="117" spans="1:76" ht="15" customHeight="1">
      <c r="A117" s="13"/>
      <c r="B117" s="73"/>
      <c r="C117" s="78" t="s">
        <v>155</v>
      </c>
      <c r="D117" s="64" t="s">
        <v>117</v>
      </c>
      <c r="E117" s="65"/>
      <c r="F117" s="66" t="s">
        <v>44</v>
      </c>
      <c r="G117" s="67">
        <v>0.38500000000000001</v>
      </c>
      <c r="H117" s="92" t="str">
        <f>IF(OOC!S117=0,"",OOC!S117)</f>
        <v/>
      </c>
      <c r="I117" s="92" t="str">
        <f>IF(OOC!T117=0,"",OOC!T117)</f>
        <v/>
      </c>
      <c r="J117" s="68" t="s">
        <v>12</v>
      </c>
      <c r="K117" s="69" t="s">
        <v>80</v>
      </c>
      <c r="L117" s="70" t="e">
        <f t="shared" si="0"/>
        <v>#VALUE!</v>
      </c>
      <c r="M117" s="70" t="e">
        <f t="shared" si="1"/>
        <v>#VALUE!</v>
      </c>
      <c r="N117" s="71"/>
      <c r="O117" s="2" t="e">
        <f t="shared" si="2"/>
        <v>#REF!</v>
      </c>
      <c r="P117" s="2" t="e">
        <f t="shared" si="3"/>
        <v>#REF!</v>
      </c>
      <c r="Q117" s="2" t="e">
        <f t="shared" si="4"/>
        <v>#REF!</v>
      </c>
      <c r="R117" s="3" t="e">
        <f t="shared" si="5"/>
        <v>#REF!</v>
      </c>
      <c r="S117" s="4" t="e">
        <f t="shared" si="10"/>
        <v>#REF!</v>
      </c>
      <c r="T117" s="84" t="e">
        <f t="shared" si="11"/>
        <v>#REF!</v>
      </c>
      <c r="U117" s="85" t="e">
        <f t="shared" si="12"/>
        <v>#REF!</v>
      </c>
      <c r="V117" s="4" t="e">
        <f t="shared" si="6"/>
        <v>#REF!</v>
      </c>
      <c r="W117" s="4" t="e">
        <f t="shared" si="7"/>
        <v>#REF!</v>
      </c>
      <c r="X117" s="4" t="e">
        <f t="shared" si="8"/>
        <v>#REF!</v>
      </c>
      <c r="Y117" s="62" t="e">
        <f t="shared" si="9"/>
        <v>#REF!</v>
      </c>
      <c r="Z117" s="22"/>
      <c r="AA117" s="22"/>
      <c r="AB117" s="22"/>
      <c r="AC117" s="22"/>
      <c r="AD117" s="19"/>
      <c r="AE117" s="14"/>
      <c r="AF117" s="72"/>
      <c r="AG117" s="49"/>
      <c r="AH117" s="49"/>
      <c r="AI117" s="50"/>
      <c r="AJ117" s="15"/>
      <c r="AK117" s="77" t="e">
        <f>#REF!</f>
        <v>#REF!</v>
      </c>
      <c r="AL117" s="77" t="e">
        <f>#REF!</f>
        <v>#REF!</v>
      </c>
      <c r="AM117" s="77" t="e">
        <f>#REF!</f>
        <v>#REF!</v>
      </c>
      <c r="AN117" s="77"/>
      <c r="AO117" s="77"/>
      <c r="AP117" s="77"/>
      <c r="AQ117" s="77"/>
      <c r="AR117" s="77"/>
      <c r="AS117" s="77"/>
      <c r="AT117" s="77"/>
      <c r="AU117" s="77"/>
      <c r="AV117" s="77"/>
      <c r="AW117" s="77"/>
      <c r="AX117" s="77"/>
      <c r="AY117" s="77"/>
      <c r="AZ117" s="77"/>
      <c r="BA117" s="77"/>
      <c r="BB117" s="77"/>
      <c r="BC117" s="77"/>
      <c r="BD117" s="77"/>
      <c r="BE117" s="77"/>
      <c r="BF117" s="77"/>
      <c r="BG117" s="77"/>
      <c r="BH117" s="77"/>
      <c r="BI117" s="77"/>
      <c r="BJ117" s="77"/>
      <c r="BK117" s="77"/>
      <c r="BL117" s="77"/>
      <c r="BM117" s="77"/>
      <c r="BN117" s="77"/>
      <c r="BO117" s="77"/>
      <c r="BP117" s="77"/>
      <c r="BR117" s="123" t="str">
        <f t="shared" si="13"/>
        <v>FAI 64</v>
      </c>
      <c r="BS117" s="120">
        <f>OOC!G117</f>
        <v>0.60499999999999998</v>
      </c>
      <c r="BT117" s="120">
        <f>OOC!H117</f>
        <v>0.16500000000000001</v>
      </c>
      <c r="BU117" s="2" t="e">
        <f t="shared" si="14"/>
        <v>#REF!</v>
      </c>
      <c r="BV117" s="2" t="e">
        <f t="shared" si="15"/>
        <v>#REF!</v>
      </c>
      <c r="BW117" s="2" t="e">
        <f t="shared" si="16"/>
        <v>#REF!</v>
      </c>
      <c r="BX117" s="121" t="e">
        <f>IF(AND(IF(OOC!G117="",0,OOC!G117) &gt;= IF(O117="",0,O117), IF(O117="",0,O117) &gt; IF(L117="",0,L117)), "OOC",
IF(AND(IF(M117="",0,M117) &gt; IF(P117="",0,P117), IF(P117="",0,P117) &gt;= IF(OOC!H117="",0,OOC!H117)), "OOC",
IF(IF(O117="",0,O117) &gt; IF(OOC!G117="",0,OOC!G117), "OOS",
IF(IF(OOC!H117="",0,OOC!H117) &gt; IF(P117="",0,P117), "OOS", "OK"))))</f>
        <v>#REF!</v>
      </c>
    </row>
    <row r="118" spans="1:76" ht="15" customHeight="1">
      <c r="A118" s="13"/>
      <c r="B118" s="73"/>
      <c r="C118" s="78" t="s">
        <v>156</v>
      </c>
      <c r="D118" s="64" t="s">
        <v>117</v>
      </c>
      <c r="E118" s="65"/>
      <c r="F118" s="66" t="s">
        <v>44</v>
      </c>
      <c r="G118" s="67">
        <v>5.2779999999999996</v>
      </c>
      <c r="H118" s="92" t="str">
        <f>IF(OOC!S118=0,"",OOC!S118)</f>
        <v/>
      </c>
      <c r="I118" s="92" t="str">
        <f>IF(OOC!T118=0,"",OOC!T118)</f>
        <v/>
      </c>
      <c r="J118" s="68" t="s">
        <v>12</v>
      </c>
      <c r="K118" s="69" t="s">
        <v>80</v>
      </c>
      <c r="L118" s="70" t="e">
        <f t="shared" si="0"/>
        <v>#VALUE!</v>
      </c>
      <c r="M118" s="70" t="e">
        <f t="shared" si="1"/>
        <v>#VALUE!</v>
      </c>
      <c r="N118" s="71"/>
      <c r="O118" s="2" t="e">
        <f t="shared" si="2"/>
        <v>#REF!</v>
      </c>
      <c r="P118" s="2" t="e">
        <f t="shared" si="3"/>
        <v>#REF!</v>
      </c>
      <c r="Q118" s="2" t="e">
        <f t="shared" si="4"/>
        <v>#REF!</v>
      </c>
      <c r="R118" s="3" t="e">
        <f t="shared" si="5"/>
        <v>#REF!</v>
      </c>
      <c r="S118" s="4" t="e">
        <f t="shared" si="10"/>
        <v>#REF!</v>
      </c>
      <c r="T118" s="84" t="e">
        <f t="shared" si="11"/>
        <v>#REF!</v>
      </c>
      <c r="U118" s="85" t="e">
        <f t="shared" si="12"/>
        <v>#REF!</v>
      </c>
      <c r="V118" s="4" t="e">
        <f t="shared" si="6"/>
        <v>#REF!</v>
      </c>
      <c r="W118" s="4" t="e">
        <f t="shared" si="7"/>
        <v>#REF!</v>
      </c>
      <c r="X118" s="4" t="e">
        <f t="shared" si="8"/>
        <v>#REF!</v>
      </c>
      <c r="Y118" s="62" t="e">
        <f t="shared" si="9"/>
        <v>#REF!</v>
      </c>
      <c r="Z118" s="22"/>
      <c r="AA118" s="22"/>
      <c r="AB118" s="22"/>
      <c r="AC118" s="22"/>
      <c r="AD118" s="19"/>
      <c r="AE118" s="14"/>
      <c r="AF118" s="72"/>
      <c r="AG118" s="49"/>
      <c r="AH118" s="49"/>
      <c r="AI118" s="50"/>
      <c r="AJ118" s="15"/>
      <c r="AK118" s="77" t="e">
        <f>#REF!</f>
        <v>#REF!</v>
      </c>
      <c r="AL118" s="77" t="e">
        <f>#REF!</f>
        <v>#REF!</v>
      </c>
      <c r="AM118" s="77" t="e">
        <f>#REF!</f>
        <v>#REF!</v>
      </c>
      <c r="AN118" s="77"/>
      <c r="AO118" s="77"/>
      <c r="AP118" s="77"/>
      <c r="AQ118" s="77"/>
      <c r="AR118" s="77"/>
      <c r="AS118" s="77"/>
      <c r="AT118" s="77"/>
      <c r="AU118" s="77"/>
      <c r="AV118" s="77"/>
      <c r="AW118" s="77"/>
      <c r="AX118" s="77"/>
      <c r="AY118" s="77"/>
      <c r="AZ118" s="77"/>
      <c r="BA118" s="77"/>
      <c r="BB118" s="77"/>
      <c r="BC118" s="77"/>
      <c r="BD118" s="77"/>
      <c r="BE118" s="77"/>
      <c r="BF118" s="77"/>
      <c r="BG118" s="77"/>
      <c r="BH118" s="77"/>
      <c r="BI118" s="77"/>
      <c r="BJ118" s="77"/>
      <c r="BK118" s="77"/>
      <c r="BL118" s="77"/>
      <c r="BM118" s="77"/>
      <c r="BN118" s="77"/>
      <c r="BO118" s="77"/>
      <c r="BP118" s="77"/>
      <c r="BR118" s="123" t="str">
        <f t="shared" si="13"/>
        <v>FAI 65</v>
      </c>
      <c r="BS118" s="120">
        <f>OOC!G118</f>
        <v>5.5779999999999994</v>
      </c>
      <c r="BT118" s="120">
        <f>OOC!H118</f>
        <v>4.9779999999999998</v>
      </c>
      <c r="BU118" s="2" t="e">
        <f t="shared" si="14"/>
        <v>#REF!</v>
      </c>
      <c r="BV118" s="2" t="e">
        <f t="shared" si="15"/>
        <v>#REF!</v>
      </c>
      <c r="BW118" s="2" t="e">
        <f t="shared" si="16"/>
        <v>#REF!</v>
      </c>
      <c r="BX118" s="121" t="e">
        <f>IF(AND(IF(OOC!G118="",0,OOC!G118) &gt;= IF(O118="",0,O118), IF(O118="",0,O118) &gt; IF(L118="",0,L118)), "OOC",
IF(AND(IF(M118="",0,M118) &gt; IF(P118="",0,P118), IF(P118="",0,P118) &gt;= IF(OOC!H118="",0,OOC!H118)), "OOC",
IF(IF(O118="",0,O118) &gt; IF(OOC!G118="",0,OOC!G118), "OOS",
IF(IF(OOC!H118="",0,OOC!H118) &gt; IF(P118="",0,P118), "OOS", "OK"))))</f>
        <v>#REF!</v>
      </c>
    </row>
    <row r="119" spans="1:76" ht="15" customHeight="1">
      <c r="A119" s="13"/>
      <c r="B119" s="73"/>
      <c r="C119" s="78" t="s">
        <v>157</v>
      </c>
      <c r="D119" s="64" t="s">
        <v>117</v>
      </c>
      <c r="E119" s="65"/>
      <c r="F119" s="66" t="s">
        <v>44</v>
      </c>
      <c r="G119" s="67">
        <v>0</v>
      </c>
      <c r="H119" s="92" t="str">
        <f>IF(OOC!S119=0,"",OOC!S119)</f>
        <v/>
      </c>
      <c r="I119" s="92" t="str">
        <f>IF(OOC!T119=0,"",OOC!T119)</f>
        <v/>
      </c>
      <c r="J119" s="68" t="s">
        <v>12</v>
      </c>
      <c r="K119" s="69" t="s">
        <v>80</v>
      </c>
      <c r="L119" s="70" t="e">
        <f t="shared" si="0"/>
        <v>#VALUE!</v>
      </c>
      <c r="M119" s="70" t="e">
        <f t="shared" si="1"/>
        <v>#VALUE!</v>
      </c>
      <c r="N119" s="71"/>
      <c r="O119" s="2" t="e">
        <f t="shared" si="2"/>
        <v>#REF!</v>
      </c>
      <c r="P119" s="2" t="e">
        <f t="shared" si="3"/>
        <v>#REF!</v>
      </c>
      <c r="Q119" s="2" t="e">
        <f t="shared" si="4"/>
        <v>#REF!</v>
      </c>
      <c r="R119" s="3" t="e">
        <f t="shared" si="5"/>
        <v>#REF!</v>
      </c>
      <c r="S119" s="4" t="e">
        <f t="shared" si="10"/>
        <v>#REF!</v>
      </c>
      <c r="T119" s="84" t="e">
        <f t="shared" si="11"/>
        <v>#REF!</v>
      </c>
      <c r="U119" s="85" t="e">
        <f t="shared" si="12"/>
        <v>#REF!</v>
      </c>
      <c r="V119" s="4" t="e">
        <f t="shared" si="6"/>
        <v>#REF!</v>
      </c>
      <c r="W119" s="4" t="e">
        <f t="shared" si="7"/>
        <v>#REF!</v>
      </c>
      <c r="X119" s="4" t="e">
        <f t="shared" si="8"/>
        <v>#REF!</v>
      </c>
      <c r="Y119" s="62" t="e">
        <f t="shared" si="9"/>
        <v>#REF!</v>
      </c>
      <c r="Z119" s="22"/>
      <c r="AA119" s="22"/>
      <c r="AB119" s="22"/>
      <c r="AC119" s="22"/>
      <c r="AD119" s="19"/>
      <c r="AE119" s="14"/>
      <c r="AF119" s="72"/>
      <c r="AG119" s="49"/>
      <c r="AH119" s="49"/>
      <c r="AI119" s="50"/>
      <c r="AJ119" s="15"/>
      <c r="AK119" s="77" t="e">
        <f>#REF!</f>
        <v>#REF!</v>
      </c>
      <c r="AL119" s="77" t="e">
        <f>#REF!</f>
        <v>#REF!</v>
      </c>
      <c r="AM119" s="77" t="e">
        <f>#REF!</f>
        <v>#REF!</v>
      </c>
      <c r="AN119" s="77"/>
      <c r="AO119" s="77"/>
      <c r="AP119" s="77"/>
      <c r="AQ119" s="77"/>
      <c r="AR119" s="77"/>
      <c r="AS119" s="77"/>
      <c r="AT119" s="77"/>
      <c r="AU119" s="77"/>
      <c r="AV119" s="77"/>
      <c r="AW119" s="77"/>
      <c r="AX119" s="77"/>
      <c r="AY119" s="77"/>
      <c r="AZ119" s="77"/>
      <c r="BA119" s="77"/>
      <c r="BB119" s="77"/>
      <c r="BC119" s="77"/>
      <c r="BD119" s="77"/>
      <c r="BE119" s="77"/>
      <c r="BF119" s="77"/>
      <c r="BG119" s="77"/>
      <c r="BH119" s="77"/>
      <c r="BI119" s="77"/>
      <c r="BJ119" s="77"/>
      <c r="BK119" s="77"/>
      <c r="BL119" s="77"/>
      <c r="BM119" s="77"/>
      <c r="BN119" s="77"/>
      <c r="BO119" s="77"/>
      <c r="BP119" s="77"/>
      <c r="BR119" s="123" t="str">
        <f t="shared" si="13"/>
        <v>FAI 66</v>
      </c>
      <c r="BS119" s="120">
        <f>OOC!G119</f>
        <v>3</v>
      </c>
      <c r="BT119" s="120">
        <f>OOC!H119</f>
        <v>-3</v>
      </c>
      <c r="BU119" s="2" t="e">
        <f t="shared" si="14"/>
        <v>#REF!</v>
      </c>
      <c r="BV119" s="2" t="e">
        <f t="shared" si="15"/>
        <v>#REF!</v>
      </c>
      <c r="BW119" s="2" t="e">
        <f t="shared" si="16"/>
        <v>#REF!</v>
      </c>
      <c r="BX119" s="121" t="e">
        <f>IF(AND(IF(OOC!G119="",0,OOC!G119) &gt;= IF(O119="",0,O119), IF(O119="",0,O119) &gt; IF(L119="",0,L119)), "OOC",
IF(AND(IF(M119="",0,M119) &gt; IF(P119="",0,P119), IF(P119="",0,P119) &gt;= IF(OOC!H119="",0,OOC!H119)), "OOC",
IF(IF(O119="",0,O119) &gt; IF(OOC!G119="",0,OOC!G119), "OOS",
IF(IF(OOC!H119="",0,OOC!H119) &gt; IF(P119="",0,P119), "OOS", "OK"))))</f>
        <v>#REF!</v>
      </c>
    </row>
    <row r="120" spans="1:76" ht="15" customHeight="1">
      <c r="A120" s="13">
        <v>1</v>
      </c>
      <c r="B120" s="88"/>
      <c r="C120" s="78"/>
      <c r="D120" s="89"/>
      <c r="E120" s="90"/>
      <c r="F120" s="66"/>
      <c r="G120" s="91"/>
      <c r="H120" s="92"/>
      <c r="I120" s="92"/>
      <c r="J120" s="68"/>
      <c r="K120" s="69"/>
      <c r="L120" s="70"/>
      <c r="M120" s="70"/>
      <c r="N120" s="71"/>
      <c r="O120" s="2"/>
      <c r="P120" s="2"/>
      <c r="Q120" s="2"/>
      <c r="R120" s="3"/>
      <c r="S120" s="4"/>
      <c r="T120" s="84"/>
      <c r="U120" s="85"/>
      <c r="V120" s="4"/>
      <c r="W120" s="4"/>
      <c r="X120" s="4"/>
      <c r="Y120" s="62"/>
      <c r="Z120" s="22"/>
      <c r="AA120" s="22"/>
      <c r="AB120" s="22"/>
      <c r="AC120" s="22"/>
      <c r="AD120" s="19"/>
      <c r="AE120" s="14"/>
      <c r="AF120" s="72"/>
      <c r="AG120" s="49"/>
      <c r="AH120" s="49"/>
      <c r="AI120" s="50"/>
      <c r="AJ120" s="15"/>
      <c r="AK120" s="77"/>
      <c r="AL120" s="77"/>
      <c r="AM120" s="77"/>
      <c r="AN120" s="77"/>
      <c r="AO120" s="77"/>
      <c r="AP120" s="77"/>
      <c r="AQ120" s="77"/>
      <c r="AR120" s="77"/>
      <c r="AS120" s="77"/>
      <c r="AT120" s="77"/>
      <c r="AU120" s="77"/>
      <c r="AV120" s="77"/>
      <c r="AW120" s="77"/>
      <c r="AX120" s="77"/>
      <c r="AY120" s="77"/>
      <c r="AZ120" s="77"/>
      <c r="BA120" s="77"/>
      <c r="BB120" s="77"/>
      <c r="BC120" s="77"/>
      <c r="BD120" s="77"/>
      <c r="BE120" s="77"/>
      <c r="BF120" s="77"/>
      <c r="BG120" s="77"/>
      <c r="BH120" s="77"/>
      <c r="BI120" s="77"/>
      <c r="BJ120" s="77"/>
      <c r="BK120" s="77"/>
      <c r="BL120" s="77"/>
      <c r="BM120" s="77"/>
      <c r="BN120" s="77"/>
      <c r="BO120" s="77"/>
      <c r="BP120" s="77"/>
      <c r="BR120" s="123"/>
      <c r="BS120" s="120"/>
      <c r="BT120" s="120"/>
      <c r="BU120" s="2"/>
      <c r="BV120" s="2"/>
      <c r="BW120" s="2"/>
      <c r="BX120" s="121"/>
    </row>
    <row r="121" spans="1:76" ht="15" customHeight="1">
      <c r="A121" s="13"/>
      <c r="B121" s="73" t="s">
        <v>170</v>
      </c>
      <c r="C121" s="78" t="s">
        <v>164</v>
      </c>
      <c r="D121" s="64" t="s">
        <v>117</v>
      </c>
      <c r="E121" s="65">
        <v>1.33</v>
      </c>
      <c r="F121" s="66" t="s">
        <v>44</v>
      </c>
      <c r="G121" s="67">
        <v>1.03</v>
      </c>
      <c r="H121" s="92" t="str">
        <f>IF(OOC!S121=0,"",OOC!S121)</f>
        <v/>
      </c>
      <c r="I121" s="92" t="str">
        <f>IF(OOC!T121=0,"",OOC!T121)</f>
        <v/>
      </c>
      <c r="J121" s="68" t="s">
        <v>12</v>
      </c>
      <c r="K121" s="69" t="s">
        <v>80</v>
      </c>
      <c r="L121" s="70" t="e">
        <f t="shared" si="0"/>
        <v>#VALUE!</v>
      </c>
      <c r="M121" s="70" t="e">
        <f t="shared" si="1"/>
        <v>#VALUE!</v>
      </c>
      <c r="N121" s="71"/>
      <c r="O121" s="2" t="e">
        <f t="shared" si="2"/>
        <v>#REF!</v>
      </c>
      <c r="P121" s="2" t="e">
        <f t="shared" si="3"/>
        <v>#REF!</v>
      </c>
      <c r="Q121" s="2" t="e">
        <f t="shared" si="4"/>
        <v>#REF!</v>
      </c>
      <c r="R121" s="3" t="e">
        <f t="shared" si="5"/>
        <v>#REF!</v>
      </c>
      <c r="S121" s="4" t="e">
        <f t="shared" si="10"/>
        <v>#REF!</v>
      </c>
      <c r="T121" s="84" t="e">
        <f t="shared" si="11"/>
        <v>#REF!</v>
      </c>
      <c r="U121" s="85" t="e">
        <f t="shared" si="12"/>
        <v>#REF!</v>
      </c>
      <c r="V121" s="4" t="e">
        <f t="shared" si="6"/>
        <v>#REF!</v>
      </c>
      <c r="W121" s="4" t="e">
        <f t="shared" si="7"/>
        <v>#REF!</v>
      </c>
      <c r="X121" s="4" t="e">
        <f t="shared" si="8"/>
        <v>#REF!</v>
      </c>
      <c r="Y121" s="62" t="e">
        <f t="shared" si="9"/>
        <v>#REF!</v>
      </c>
      <c r="Z121" s="22"/>
      <c r="AA121" s="22"/>
      <c r="AB121" s="22"/>
      <c r="AC121" s="22"/>
      <c r="AD121" s="19"/>
      <c r="AE121" s="14"/>
      <c r="AF121" s="72"/>
      <c r="AG121" s="49"/>
      <c r="AH121" s="49"/>
      <c r="AI121" s="50"/>
      <c r="AJ121" s="15"/>
      <c r="AK121" s="77" t="e">
        <f>#REF!</f>
        <v>#REF!</v>
      </c>
      <c r="AL121" s="77" t="e">
        <f>#REF!</f>
        <v>#REF!</v>
      </c>
      <c r="AM121" s="77" t="e">
        <f>#REF!</f>
        <v>#REF!</v>
      </c>
      <c r="AN121" s="77" t="e">
        <f>#REF!</f>
        <v>#REF!</v>
      </c>
      <c r="AO121" s="77" t="e">
        <f>#REF!</f>
        <v>#REF!</v>
      </c>
      <c r="AP121" s="77" t="e">
        <f>#REF!</f>
        <v>#REF!</v>
      </c>
      <c r="AQ121" s="77" t="e">
        <f>#REF!</f>
        <v>#REF!</v>
      </c>
      <c r="AR121" s="77" t="e">
        <f>#REF!</f>
        <v>#REF!</v>
      </c>
      <c r="AS121" s="77" t="e">
        <f>#REF!</f>
        <v>#REF!</v>
      </c>
      <c r="AT121" s="77" t="e">
        <f>#REF!</f>
        <v>#REF!</v>
      </c>
      <c r="AU121" s="77" t="e">
        <f>#REF!</f>
        <v>#REF!</v>
      </c>
      <c r="AV121" s="77" t="e">
        <f>#REF!</f>
        <v>#REF!</v>
      </c>
      <c r="AW121" s="77" t="e">
        <f>#REF!</f>
        <v>#REF!</v>
      </c>
      <c r="AX121" s="77" t="e">
        <f>#REF!</f>
        <v>#REF!</v>
      </c>
      <c r="AY121" s="77" t="e">
        <f>#REF!</f>
        <v>#REF!</v>
      </c>
      <c r="AZ121" s="77" t="e">
        <f>#REF!</f>
        <v>#REF!</v>
      </c>
      <c r="BA121" s="77" t="e">
        <f>#REF!</f>
        <v>#REF!</v>
      </c>
      <c r="BB121" s="77" t="e">
        <f>#REF!</f>
        <v>#REF!</v>
      </c>
      <c r="BC121" s="77" t="e">
        <f>#REF!</f>
        <v>#REF!</v>
      </c>
      <c r="BD121" s="77" t="e">
        <f>#REF!</f>
        <v>#REF!</v>
      </c>
      <c r="BE121" s="77" t="e">
        <f>#REF!</f>
        <v>#REF!</v>
      </c>
      <c r="BF121" s="77" t="e">
        <f>#REF!</f>
        <v>#REF!</v>
      </c>
      <c r="BG121" s="77" t="e">
        <f>#REF!</f>
        <v>#REF!</v>
      </c>
      <c r="BH121" s="77" t="e">
        <f>#REF!</f>
        <v>#REF!</v>
      </c>
      <c r="BI121" s="77" t="e">
        <f>#REF!</f>
        <v>#REF!</v>
      </c>
      <c r="BJ121" s="77" t="e">
        <f>#REF!</f>
        <v>#REF!</v>
      </c>
      <c r="BK121" s="77" t="e">
        <f>#REF!</f>
        <v>#REF!</v>
      </c>
      <c r="BL121" s="77" t="e">
        <f>#REF!</f>
        <v>#REF!</v>
      </c>
      <c r="BM121" s="77" t="e">
        <f>#REF!</f>
        <v>#REF!</v>
      </c>
      <c r="BN121" s="77" t="e">
        <f>#REF!</f>
        <v>#REF!</v>
      </c>
      <c r="BO121" s="77" t="e">
        <f>#REF!</f>
        <v>#REF!</v>
      </c>
      <c r="BP121" s="77" t="e">
        <f>#REF!</f>
        <v>#REF!</v>
      </c>
      <c r="BR121" s="123" t="str">
        <f t="shared" si="13"/>
        <v>FAI 68-1</v>
      </c>
      <c r="BS121" s="120">
        <f>OOC!G121</f>
        <v>1.05</v>
      </c>
      <c r="BT121" s="120">
        <f>OOC!H121</f>
        <v>1.01</v>
      </c>
      <c r="BU121" s="2" t="e">
        <f t="shared" si="14"/>
        <v>#REF!</v>
      </c>
      <c r="BV121" s="2" t="e">
        <f t="shared" si="15"/>
        <v>#REF!</v>
      </c>
      <c r="BW121" s="2" t="e">
        <f t="shared" si="16"/>
        <v>#REF!</v>
      </c>
      <c r="BX121" s="121" t="e">
        <f>IF(AND(IF(OOC!G121="",0,OOC!G121) &gt;= IF(O121="",0,O121), IF(O121="",0,O121) &gt; IF(L121="",0,L121)), "OOC",
IF(AND(IF(M121="",0,M121) &gt; IF(P121="",0,P121), IF(P121="",0,P121) &gt;= IF(OOC!H121="",0,OOC!H121)), "OOC",
IF(IF(O121="",0,O121) &gt; IF(OOC!G121="",0,OOC!G121), "OOS",
IF(IF(OOC!H121="",0,OOC!H121) &gt; IF(P121="",0,P121), "OOS", "OK"))))</f>
        <v>#REF!</v>
      </c>
    </row>
    <row r="122" spans="1:76" ht="15" customHeight="1">
      <c r="A122" s="13"/>
      <c r="B122" s="73" t="s">
        <v>170</v>
      </c>
      <c r="C122" s="78" t="s">
        <v>165</v>
      </c>
      <c r="D122" s="64" t="s">
        <v>117</v>
      </c>
      <c r="E122" s="65">
        <v>1.33</v>
      </c>
      <c r="F122" s="66" t="s">
        <v>44</v>
      </c>
      <c r="G122" s="67">
        <v>1.03</v>
      </c>
      <c r="H122" s="92" t="str">
        <f>IF(OOC!S122=0,"",OOC!S122)</f>
        <v/>
      </c>
      <c r="I122" s="92" t="str">
        <f>IF(OOC!T122=0,"",OOC!T122)</f>
        <v/>
      </c>
      <c r="J122" s="68" t="s">
        <v>12</v>
      </c>
      <c r="K122" s="69" t="s">
        <v>80</v>
      </c>
      <c r="L122" s="70" t="e">
        <f t="shared" si="0"/>
        <v>#VALUE!</v>
      </c>
      <c r="M122" s="70" t="e">
        <f t="shared" si="1"/>
        <v>#VALUE!</v>
      </c>
      <c r="N122" s="71"/>
      <c r="O122" s="2" t="e">
        <f t="shared" si="2"/>
        <v>#REF!</v>
      </c>
      <c r="P122" s="2" t="e">
        <f t="shared" si="3"/>
        <v>#REF!</v>
      </c>
      <c r="Q122" s="2" t="e">
        <f t="shared" si="4"/>
        <v>#REF!</v>
      </c>
      <c r="R122" s="3" t="e">
        <f t="shared" si="5"/>
        <v>#REF!</v>
      </c>
      <c r="S122" s="4" t="e">
        <f t="shared" si="10"/>
        <v>#REF!</v>
      </c>
      <c r="T122" s="84" t="e">
        <f t="shared" si="11"/>
        <v>#REF!</v>
      </c>
      <c r="U122" s="85" t="e">
        <f t="shared" si="12"/>
        <v>#REF!</v>
      </c>
      <c r="V122" s="4" t="e">
        <f t="shared" si="6"/>
        <v>#REF!</v>
      </c>
      <c r="W122" s="4" t="e">
        <f t="shared" si="7"/>
        <v>#REF!</v>
      </c>
      <c r="X122" s="4" t="e">
        <f t="shared" si="8"/>
        <v>#REF!</v>
      </c>
      <c r="Y122" s="62" t="e">
        <f t="shared" si="9"/>
        <v>#REF!</v>
      </c>
      <c r="Z122" s="22"/>
      <c r="AA122" s="22"/>
      <c r="AB122" s="22"/>
      <c r="AC122" s="22"/>
      <c r="AD122" s="19"/>
      <c r="AE122" s="14"/>
      <c r="AF122" s="72"/>
      <c r="AG122" s="49"/>
      <c r="AH122" s="49"/>
      <c r="AI122" s="50"/>
      <c r="AJ122" s="15"/>
      <c r="AK122" s="77" t="e">
        <f>#REF!</f>
        <v>#REF!</v>
      </c>
      <c r="AL122" s="77" t="e">
        <f>#REF!</f>
        <v>#REF!</v>
      </c>
      <c r="AM122" s="77" t="e">
        <f>#REF!</f>
        <v>#REF!</v>
      </c>
      <c r="AN122" s="77" t="e">
        <f>#REF!</f>
        <v>#REF!</v>
      </c>
      <c r="AO122" s="77" t="e">
        <f>#REF!</f>
        <v>#REF!</v>
      </c>
      <c r="AP122" s="77" t="e">
        <f>#REF!</f>
        <v>#REF!</v>
      </c>
      <c r="AQ122" s="77" t="e">
        <f>#REF!</f>
        <v>#REF!</v>
      </c>
      <c r="AR122" s="77" t="e">
        <f>#REF!</f>
        <v>#REF!</v>
      </c>
      <c r="AS122" s="77" t="e">
        <f>#REF!</f>
        <v>#REF!</v>
      </c>
      <c r="AT122" s="77" t="e">
        <f>#REF!</f>
        <v>#REF!</v>
      </c>
      <c r="AU122" s="77" t="e">
        <f>#REF!</f>
        <v>#REF!</v>
      </c>
      <c r="AV122" s="77" t="e">
        <f>#REF!</f>
        <v>#REF!</v>
      </c>
      <c r="AW122" s="77" t="e">
        <f>#REF!</f>
        <v>#REF!</v>
      </c>
      <c r="AX122" s="77" t="e">
        <f>#REF!</f>
        <v>#REF!</v>
      </c>
      <c r="AY122" s="77" t="e">
        <f>#REF!</f>
        <v>#REF!</v>
      </c>
      <c r="AZ122" s="77" t="e">
        <f>#REF!</f>
        <v>#REF!</v>
      </c>
      <c r="BA122" s="77" t="e">
        <f>#REF!</f>
        <v>#REF!</v>
      </c>
      <c r="BB122" s="77" t="e">
        <f>#REF!</f>
        <v>#REF!</v>
      </c>
      <c r="BC122" s="77" t="e">
        <f>#REF!</f>
        <v>#REF!</v>
      </c>
      <c r="BD122" s="77" t="e">
        <f>#REF!</f>
        <v>#REF!</v>
      </c>
      <c r="BE122" s="77" t="e">
        <f>#REF!</f>
        <v>#REF!</v>
      </c>
      <c r="BF122" s="77" t="e">
        <f>#REF!</f>
        <v>#REF!</v>
      </c>
      <c r="BG122" s="77" t="e">
        <f>#REF!</f>
        <v>#REF!</v>
      </c>
      <c r="BH122" s="77" t="e">
        <f>#REF!</f>
        <v>#REF!</v>
      </c>
      <c r="BI122" s="77" t="e">
        <f>#REF!</f>
        <v>#REF!</v>
      </c>
      <c r="BJ122" s="77" t="e">
        <f>#REF!</f>
        <v>#REF!</v>
      </c>
      <c r="BK122" s="77" t="e">
        <f>#REF!</f>
        <v>#REF!</v>
      </c>
      <c r="BL122" s="77" t="e">
        <f>#REF!</f>
        <v>#REF!</v>
      </c>
      <c r="BM122" s="77" t="e">
        <f>#REF!</f>
        <v>#REF!</v>
      </c>
      <c r="BN122" s="77" t="e">
        <f>#REF!</f>
        <v>#REF!</v>
      </c>
      <c r="BO122" s="77" t="e">
        <f>#REF!</f>
        <v>#REF!</v>
      </c>
      <c r="BP122" s="77" t="e">
        <f>#REF!</f>
        <v>#REF!</v>
      </c>
      <c r="BR122" s="123" t="str">
        <f t="shared" si="13"/>
        <v>FAI 68-2</v>
      </c>
      <c r="BS122" s="120">
        <f>OOC!G122</f>
        <v>1.05</v>
      </c>
      <c r="BT122" s="120">
        <f>OOC!H122</f>
        <v>1.01</v>
      </c>
      <c r="BU122" s="2" t="e">
        <f t="shared" si="14"/>
        <v>#REF!</v>
      </c>
      <c r="BV122" s="2" t="e">
        <f t="shared" si="15"/>
        <v>#REF!</v>
      </c>
      <c r="BW122" s="2" t="e">
        <f t="shared" si="16"/>
        <v>#REF!</v>
      </c>
      <c r="BX122" s="121" t="e">
        <f>IF(AND(IF(OOC!G122="",0,OOC!G122) &gt;= IF(O122="",0,O122), IF(O122="",0,O122) &gt; IF(L122="",0,L122)), "OOC",
IF(AND(IF(M122="",0,M122) &gt; IF(P122="",0,P122), IF(P122="",0,P122) &gt;= IF(OOC!H122="",0,OOC!H122)), "OOC",
IF(IF(O122="",0,O122) &gt; IF(OOC!G122="",0,OOC!G122), "OOS",
IF(IF(OOC!H122="",0,OOC!H122) &gt; IF(P122="",0,P122), "OOS", "OK"))))</f>
        <v>#REF!</v>
      </c>
    </row>
    <row r="123" spans="1:76" ht="15" customHeight="1">
      <c r="A123" s="13"/>
      <c r="B123" s="73" t="s">
        <v>171</v>
      </c>
      <c r="C123" s="78" t="s">
        <v>166</v>
      </c>
      <c r="D123" s="64" t="s">
        <v>117</v>
      </c>
      <c r="E123" s="65">
        <v>1.33</v>
      </c>
      <c r="F123" s="66" t="s">
        <v>44</v>
      </c>
      <c r="G123" s="67">
        <v>14.496</v>
      </c>
      <c r="H123" s="92" t="str">
        <f>IF(OOC!S123=0,"",OOC!S123)</f>
        <v/>
      </c>
      <c r="I123" s="92" t="str">
        <f>IF(OOC!T123=0,"",OOC!T123)</f>
        <v/>
      </c>
      <c r="J123" s="68" t="s">
        <v>12</v>
      </c>
      <c r="K123" s="69" t="s">
        <v>80</v>
      </c>
      <c r="L123" s="70" t="e">
        <f t="shared" si="0"/>
        <v>#VALUE!</v>
      </c>
      <c r="M123" s="70" t="e">
        <f t="shared" si="1"/>
        <v>#VALUE!</v>
      </c>
      <c r="N123" s="71"/>
      <c r="O123" s="2" t="e">
        <f t="shared" si="2"/>
        <v>#REF!</v>
      </c>
      <c r="P123" s="2" t="e">
        <f t="shared" si="3"/>
        <v>#REF!</v>
      </c>
      <c r="Q123" s="2" t="e">
        <f t="shared" si="4"/>
        <v>#REF!</v>
      </c>
      <c r="R123" s="3" t="e">
        <f t="shared" si="5"/>
        <v>#REF!</v>
      </c>
      <c r="S123" s="4" t="e">
        <f t="shared" si="10"/>
        <v>#REF!</v>
      </c>
      <c r="T123" s="84" t="e">
        <f t="shared" si="11"/>
        <v>#REF!</v>
      </c>
      <c r="U123" s="85" t="e">
        <f t="shared" si="12"/>
        <v>#REF!</v>
      </c>
      <c r="V123" s="4" t="e">
        <f t="shared" si="6"/>
        <v>#REF!</v>
      </c>
      <c r="W123" s="4" t="e">
        <f t="shared" si="7"/>
        <v>#REF!</v>
      </c>
      <c r="X123" s="4" t="e">
        <f t="shared" si="8"/>
        <v>#REF!</v>
      </c>
      <c r="Y123" s="62" t="e">
        <f t="shared" si="9"/>
        <v>#REF!</v>
      </c>
      <c r="Z123" s="22"/>
      <c r="AA123" s="22"/>
      <c r="AB123" s="22"/>
      <c r="AC123" s="22"/>
      <c r="AD123" s="19"/>
      <c r="AE123" s="14"/>
      <c r="AF123" s="72"/>
      <c r="AG123" s="49"/>
      <c r="AH123" s="49"/>
      <c r="AI123" s="50"/>
      <c r="AJ123" s="15"/>
      <c r="AK123" s="77" t="e">
        <f>#REF!</f>
        <v>#REF!</v>
      </c>
      <c r="AL123" s="77" t="e">
        <f>#REF!</f>
        <v>#REF!</v>
      </c>
      <c r="AM123" s="77" t="e">
        <f>#REF!</f>
        <v>#REF!</v>
      </c>
      <c r="AN123" s="77" t="e">
        <f>#REF!</f>
        <v>#REF!</v>
      </c>
      <c r="AO123" s="77" t="e">
        <f>#REF!</f>
        <v>#REF!</v>
      </c>
      <c r="AP123" s="77" t="e">
        <f>#REF!</f>
        <v>#REF!</v>
      </c>
      <c r="AQ123" s="77" t="e">
        <f>#REF!</f>
        <v>#REF!</v>
      </c>
      <c r="AR123" s="77" t="e">
        <f>#REF!</f>
        <v>#REF!</v>
      </c>
      <c r="AS123" s="77" t="e">
        <f>#REF!</f>
        <v>#REF!</v>
      </c>
      <c r="AT123" s="77" t="e">
        <f>#REF!</f>
        <v>#REF!</v>
      </c>
      <c r="AU123" s="77" t="e">
        <f>#REF!</f>
        <v>#REF!</v>
      </c>
      <c r="AV123" s="77" t="e">
        <f>#REF!</f>
        <v>#REF!</v>
      </c>
      <c r="AW123" s="77" t="e">
        <f>#REF!</f>
        <v>#REF!</v>
      </c>
      <c r="AX123" s="77" t="e">
        <f>#REF!</f>
        <v>#REF!</v>
      </c>
      <c r="AY123" s="77" t="e">
        <f>#REF!</f>
        <v>#REF!</v>
      </c>
      <c r="AZ123" s="77" t="e">
        <f>#REF!</f>
        <v>#REF!</v>
      </c>
      <c r="BA123" s="77" t="e">
        <f>#REF!</f>
        <v>#REF!</v>
      </c>
      <c r="BB123" s="77" t="e">
        <f>#REF!</f>
        <v>#REF!</v>
      </c>
      <c r="BC123" s="77" t="e">
        <f>#REF!</f>
        <v>#REF!</v>
      </c>
      <c r="BD123" s="77" t="e">
        <f>#REF!</f>
        <v>#REF!</v>
      </c>
      <c r="BE123" s="77" t="e">
        <f>#REF!</f>
        <v>#REF!</v>
      </c>
      <c r="BF123" s="77" t="e">
        <f>#REF!</f>
        <v>#REF!</v>
      </c>
      <c r="BG123" s="77" t="e">
        <f>#REF!</f>
        <v>#REF!</v>
      </c>
      <c r="BH123" s="77" t="e">
        <f>#REF!</f>
        <v>#REF!</v>
      </c>
      <c r="BI123" s="77" t="e">
        <f>#REF!</f>
        <v>#REF!</v>
      </c>
      <c r="BJ123" s="77" t="e">
        <f>#REF!</f>
        <v>#REF!</v>
      </c>
      <c r="BK123" s="77" t="e">
        <f>#REF!</f>
        <v>#REF!</v>
      </c>
      <c r="BL123" s="77" t="e">
        <f>#REF!</f>
        <v>#REF!</v>
      </c>
      <c r="BM123" s="77" t="e">
        <f>#REF!</f>
        <v>#REF!</v>
      </c>
      <c r="BN123" s="77" t="e">
        <f>#REF!</f>
        <v>#REF!</v>
      </c>
      <c r="BO123" s="77" t="e">
        <f>#REF!</f>
        <v>#REF!</v>
      </c>
      <c r="BP123" s="77" t="e">
        <f>#REF!</f>
        <v>#REF!</v>
      </c>
      <c r="BR123" s="123" t="str">
        <f t="shared" si="13"/>
        <v>FAI 69</v>
      </c>
      <c r="BS123" s="120">
        <f>OOC!G123</f>
        <v>14.516</v>
      </c>
      <c r="BT123" s="120">
        <f>OOC!H123</f>
        <v>14.476000000000001</v>
      </c>
      <c r="BU123" s="2" t="e">
        <f t="shared" si="14"/>
        <v>#REF!</v>
      </c>
      <c r="BV123" s="2" t="e">
        <f t="shared" si="15"/>
        <v>#REF!</v>
      </c>
      <c r="BW123" s="2" t="e">
        <f t="shared" si="16"/>
        <v>#REF!</v>
      </c>
      <c r="BX123" s="121" t="e">
        <f>IF(AND(IF(OOC!G123="",0,OOC!G123) &gt;= IF(O123="",0,O123), IF(O123="",0,O123) &gt; IF(L123="",0,L123)), "OOC",
IF(AND(IF(M123="",0,M123) &gt; IF(P123="",0,P123), IF(P123="",0,P123) &gt;= IF(OOC!H123="",0,OOC!H123)), "OOC",
IF(IF(O123="",0,O123) &gt; IF(OOC!G123="",0,OOC!G123), "OOS",
IF(IF(OOC!H123="",0,OOC!H123) &gt; IF(P123="",0,P123), "OOS", "OK"))))</f>
        <v>#REF!</v>
      </c>
    </row>
    <row r="124" spans="1:76" ht="15" customHeight="1">
      <c r="A124" s="13"/>
      <c r="B124" s="73" t="s">
        <v>172</v>
      </c>
      <c r="C124" s="78" t="s">
        <v>167</v>
      </c>
      <c r="D124" s="64" t="s">
        <v>117</v>
      </c>
      <c r="E124" s="65">
        <v>1.33</v>
      </c>
      <c r="F124" s="66" t="s">
        <v>44</v>
      </c>
      <c r="G124" s="67">
        <v>0.77</v>
      </c>
      <c r="H124" s="92" t="str">
        <f>IF(OOC!S124=0,"",OOC!S124)</f>
        <v/>
      </c>
      <c r="I124" s="92" t="str">
        <f>IF(OOC!T124=0,"",OOC!T124)</f>
        <v/>
      </c>
      <c r="J124" s="68" t="s">
        <v>12</v>
      </c>
      <c r="K124" s="69" t="s">
        <v>80</v>
      </c>
      <c r="L124" s="70" t="e">
        <f t="shared" si="0"/>
        <v>#VALUE!</v>
      </c>
      <c r="M124" s="70" t="e">
        <f t="shared" si="1"/>
        <v>#VALUE!</v>
      </c>
      <c r="N124" s="71"/>
      <c r="O124" s="2" t="e">
        <f t="shared" si="2"/>
        <v>#REF!</v>
      </c>
      <c r="P124" s="2" t="e">
        <f t="shared" si="3"/>
        <v>#REF!</v>
      </c>
      <c r="Q124" s="2" t="e">
        <f t="shared" si="4"/>
        <v>#REF!</v>
      </c>
      <c r="R124" s="3" t="e">
        <f t="shared" si="5"/>
        <v>#REF!</v>
      </c>
      <c r="S124" s="4" t="e">
        <f t="shared" si="10"/>
        <v>#REF!</v>
      </c>
      <c r="T124" s="84" t="e">
        <f t="shared" si="11"/>
        <v>#REF!</v>
      </c>
      <c r="U124" s="85" t="e">
        <f t="shared" si="12"/>
        <v>#REF!</v>
      </c>
      <c r="V124" s="4" t="e">
        <f t="shared" si="6"/>
        <v>#REF!</v>
      </c>
      <c r="W124" s="4" t="e">
        <f t="shared" si="7"/>
        <v>#REF!</v>
      </c>
      <c r="X124" s="4" t="e">
        <f t="shared" si="8"/>
        <v>#REF!</v>
      </c>
      <c r="Y124" s="62" t="e">
        <f t="shared" si="9"/>
        <v>#REF!</v>
      </c>
      <c r="Z124" s="22"/>
      <c r="AA124" s="22"/>
      <c r="AB124" s="22"/>
      <c r="AC124" s="22"/>
      <c r="AD124" s="19"/>
      <c r="AE124" s="14"/>
      <c r="AF124" s="72"/>
      <c r="AG124" s="49"/>
      <c r="AH124" s="49"/>
      <c r="AI124" s="50"/>
      <c r="AJ124" s="15"/>
      <c r="AK124" s="77" t="e">
        <f>#REF!</f>
        <v>#REF!</v>
      </c>
      <c r="AL124" s="77" t="e">
        <f>#REF!</f>
        <v>#REF!</v>
      </c>
      <c r="AM124" s="77" t="e">
        <f>#REF!</f>
        <v>#REF!</v>
      </c>
      <c r="AN124" s="77" t="e">
        <f>#REF!</f>
        <v>#REF!</v>
      </c>
      <c r="AO124" s="77" t="e">
        <f>#REF!</f>
        <v>#REF!</v>
      </c>
      <c r="AP124" s="77" t="e">
        <f>#REF!</f>
        <v>#REF!</v>
      </c>
      <c r="AQ124" s="77" t="e">
        <f>#REF!</f>
        <v>#REF!</v>
      </c>
      <c r="AR124" s="77" t="e">
        <f>#REF!</f>
        <v>#REF!</v>
      </c>
      <c r="AS124" s="77" t="e">
        <f>#REF!</f>
        <v>#REF!</v>
      </c>
      <c r="AT124" s="77" t="e">
        <f>#REF!</f>
        <v>#REF!</v>
      </c>
      <c r="AU124" s="77" t="e">
        <f>#REF!</f>
        <v>#REF!</v>
      </c>
      <c r="AV124" s="77" t="e">
        <f>#REF!</f>
        <v>#REF!</v>
      </c>
      <c r="AW124" s="77" t="e">
        <f>#REF!</f>
        <v>#REF!</v>
      </c>
      <c r="AX124" s="77" t="e">
        <f>#REF!</f>
        <v>#REF!</v>
      </c>
      <c r="AY124" s="77" t="e">
        <f>#REF!</f>
        <v>#REF!</v>
      </c>
      <c r="AZ124" s="77" t="e">
        <f>#REF!</f>
        <v>#REF!</v>
      </c>
      <c r="BA124" s="77" t="e">
        <f>#REF!</f>
        <v>#REF!</v>
      </c>
      <c r="BB124" s="77" t="e">
        <f>#REF!</f>
        <v>#REF!</v>
      </c>
      <c r="BC124" s="77" t="e">
        <f>#REF!</f>
        <v>#REF!</v>
      </c>
      <c r="BD124" s="77" t="e">
        <f>#REF!</f>
        <v>#REF!</v>
      </c>
      <c r="BE124" s="77" t="e">
        <f>#REF!</f>
        <v>#REF!</v>
      </c>
      <c r="BF124" s="77" t="e">
        <f>#REF!</f>
        <v>#REF!</v>
      </c>
      <c r="BG124" s="77" t="e">
        <f>#REF!</f>
        <v>#REF!</v>
      </c>
      <c r="BH124" s="77" t="e">
        <f>#REF!</f>
        <v>#REF!</v>
      </c>
      <c r="BI124" s="77" t="e">
        <f>#REF!</f>
        <v>#REF!</v>
      </c>
      <c r="BJ124" s="77" t="e">
        <f>#REF!</f>
        <v>#REF!</v>
      </c>
      <c r="BK124" s="77" t="e">
        <f>#REF!</f>
        <v>#REF!</v>
      </c>
      <c r="BL124" s="77" t="e">
        <f>#REF!</f>
        <v>#REF!</v>
      </c>
      <c r="BM124" s="77" t="e">
        <f>#REF!</f>
        <v>#REF!</v>
      </c>
      <c r="BN124" s="77" t="e">
        <f>#REF!</f>
        <v>#REF!</v>
      </c>
      <c r="BO124" s="77" t="e">
        <f>#REF!</f>
        <v>#REF!</v>
      </c>
      <c r="BP124" s="77" t="e">
        <f>#REF!</f>
        <v>#REF!</v>
      </c>
      <c r="BR124" s="123" t="str">
        <f t="shared" si="13"/>
        <v>FAI 70-1</v>
      </c>
      <c r="BS124" s="120">
        <f>OOC!G124</f>
        <v>0.79</v>
      </c>
      <c r="BT124" s="120">
        <f>OOC!H124</f>
        <v>0.75</v>
      </c>
      <c r="BU124" s="2" t="e">
        <f t="shared" si="14"/>
        <v>#REF!</v>
      </c>
      <c r="BV124" s="2" t="e">
        <f t="shared" si="15"/>
        <v>#REF!</v>
      </c>
      <c r="BW124" s="2" t="e">
        <f t="shared" si="16"/>
        <v>#REF!</v>
      </c>
      <c r="BX124" s="121" t="e">
        <f>IF(AND(IF(OOC!G124="",0,OOC!G124) &gt;= IF(O124="",0,O124), IF(O124="",0,O124) &gt; IF(L124="",0,L124)), "OOC",
IF(AND(IF(M124="",0,M124) &gt; IF(P124="",0,P124), IF(P124="",0,P124) &gt;= IF(OOC!H124="",0,OOC!H124)), "OOC",
IF(IF(O124="",0,O124) &gt; IF(OOC!G124="",0,OOC!G124), "OOS",
IF(IF(OOC!H124="",0,OOC!H124) &gt; IF(P124="",0,P124), "OOS", "OK"))))</f>
        <v>#REF!</v>
      </c>
    </row>
    <row r="125" spans="1:76" ht="15" customHeight="1">
      <c r="A125" s="13"/>
      <c r="B125" s="73" t="s">
        <v>172</v>
      </c>
      <c r="C125" s="78" t="s">
        <v>168</v>
      </c>
      <c r="D125" s="64" t="s">
        <v>117</v>
      </c>
      <c r="E125" s="65">
        <v>1.33</v>
      </c>
      <c r="F125" s="66" t="s">
        <v>44</v>
      </c>
      <c r="G125" s="67">
        <v>0.77</v>
      </c>
      <c r="H125" s="92" t="str">
        <f>IF(OOC!S125=0,"",OOC!S125)</f>
        <v/>
      </c>
      <c r="I125" s="92" t="str">
        <f>IF(OOC!T125=0,"",OOC!T125)</f>
        <v/>
      </c>
      <c r="J125" s="68" t="s">
        <v>12</v>
      </c>
      <c r="K125" s="69" t="s">
        <v>80</v>
      </c>
      <c r="L125" s="70" t="e">
        <f t="shared" si="0"/>
        <v>#VALUE!</v>
      </c>
      <c r="M125" s="70" t="e">
        <f t="shared" si="1"/>
        <v>#VALUE!</v>
      </c>
      <c r="N125" s="71"/>
      <c r="O125" s="2" t="e">
        <f t="shared" si="2"/>
        <v>#REF!</v>
      </c>
      <c r="P125" s="2" t="e">
        <f t="shared" si="3"/>
        <v>#REF!</v>
      </c>
      <c r="Q125" s="2" t="e">
        <f t="shared" si="4"/>
        <v>#REF!</v>
      </c>
      <c r="R125" s="3" t="e">
        <f t="shared" si="5"/>
        <v>#REF!</v>
      </c>
      <c r="S125" s="4" t="e">
        <f t="shared" si="10"/>
        <v>#REF!</v>
      </c>
      <c r="T125" s="84" t="e">
        <f t="shared" si="11"/>
        <v>#REF!</v>
      </c>
      <c r="U125" s="85" t="e">
        <f t="shared" si="12"/>
        <v>#REF!</v>
      </c>
      <c r="V125" s="4" t="e">
        <f t="shared" si="6"/>
        <v>#REF!</v>
      </c>
      <c r="W125" s="4" t="e">
        <f t="shared" si="7"/>
        <v>#REF!</v>
      </c>
      <c r="X125" s="4" t="e">
        <f t="shared" si="8"/>
        <v>#REF!</v>
      </c>
      <c r="Y125" s="62" t="e">
        <f t="shared" si="9"/>
        <v>#REF!</v>
      </c>
      <c r="Z125" s="22"/>
      <c r="AA125" s="22"/>
      <c r="AB125" s="22"/>
      <c r="AC125" s="22"/>
      <c r="AD125" s="19"/>
      <c r="AE125" s="14"/>
      <c r="AF125" s="72"/>
      <c r="AG125" s="49"/>
      <c r="AH125" s="49"/>
      <c r="AI125" s="50"/>
      <c r="AJ125" s="15"/>
      <c r="AK125" s="77" t="e">
        <f>#REF!</f>
        <v>#REF!</v>
      </c>
      <c r="AL125" s="77" t="e">
        <f>#REF!</f>
        <v>#REF!</v>
      </c>
      <c r="AM125" s="77" t="e">
        <f>#REF!</f>
        <v>#REF!</v>
      </c>
      <c r="AN125" s="77" t="e">
        <f>#REF!</f>
        <v>#REF!</v>
      </c>
      <c r="AO125" s="77" t="e">
        <f>#REF!</f>
        <v>#REF!</v>
      </c>
      <c r="AP125" s="77" t="e">
        <f>#REF!</f>
        <v>#REF!</v>
      </c>
      <c r="AQ125" s="77" t="e">
        <f>#REF!</f>
        <v>#REF!</v>
      </c>
      <c r="AR125" s="77" t="e">
        <f>#REF!</f>
        <v>#REF!</v>
      </c>
      <c r="AS125" s="77" t="e">
        <f>#REF!</f>
        <v>#REF!</v>
      </c>
      <c r="AT125" s="77" t="e">
        <f>#REF!</f>
        <v>#REF!</v>
      </c>
      <c r="AU125" s="77" t="e">
        <f>#REF!</f>
        <v>#REF!</v>
      </c>
      <c r="AV125" s="77" t="e">
        <f>#REF!</f>
        <v>#REF!</v>
      </c>
      <c r="AW125" s="77" t="e">
        <f>#REF!</f>
        <v>#REF!</v>
      </c>
      <c r="AX125" s="77" t="e">
        <f>#REF!</f>
        <v>#REF!</v>
      </c>
      <c r="AY125" s="77" t="e">
        <f>#REF!</f>
        <v>#REF!</v>
      </c>
      <c r="AZ125" s="77" t="e">
        <f>#REF!</f>
        <v>#REF!</v>
      </c>
      <c r="BA125" s="77" t="e">
        <f>#REF!</f>
        <v>#REF!</v>
      </c>
      <c r="BB125" s="77" t="e">
        <f>#REF!</f>
        <v>#REF!</v>
      </c>
      <c r="BC125" s="77" t="e">
        <f>#REF!</f>
        <v>#REF!</v>
      </c>
      <c r="BD125" s="77" t="e">
        <f>#REF!</f>
        <v>#REF!</v>
      </c>
      <c r="BE125" s="77" t="e">
        <f>#REF!</f>
        <v>#REF!</v>
      </c>
      <c r="BF125" s="77" t="e">
        <f>#REF!</f>
        <v>#REF!</v>
      </c>
      <c r="BG125" s="77" t="e">
        <f>#REF!</f>
        <v>#REF!</v>
      </c>
      <c r="BH125" s="77" t="e">
        <f>#REF!</f>
        <v>#REF!</v>
      </c>
      <c r="BI125" s="77" t="e">
        <f>#REF!</f>
        <v>#REF!</v>
      </c>
      <c r="BJ125" s="77" t="e">
        <f>#REF!</f>
        <v>#REF!</v>
      </c>
      <c r="BK125" s="77" t="e">
        <f>#REF!</f>
        <v>#REF!</v>
      </c>
      <c r="BL125" s="77" t="e">
        <f>#REF!</f>
        <v>#REF!</v>
      </c>
      <c r="BM125" s="77" t="e">
        <f>#REF!</f>
        <v>#REF!</v>
      </c>
      <c r="BN125" s="77" t="e">
        <f>#REF!</f>
        <v>#REF!</v>
      </c>
      <c r="BO125" s="77" t="e">
        <f>#REF!</f>
        <v>#REF!</v>
      </c>
      <c r="BP125" s="77" t="e">
        <f>#REF!</f>
        <v>#REF!</v>
      </c>
      <c r="BR125" s="123" t="str">
        <f t="shared" si="13"/>
        <v>FAI 70-2</v>
      </c>
      <c r="BS125" s="120">
        <f>OOC!G125</f>
        <v>0.79</v>
      </c>
      <c r="BT125" s="120">
        <f>OOC!H125</f>
        <v>0.75</v>
      </c>
      <c r="BU125" s="2" t="e">
        <f t="shared" si="14"/>
        <v>#REF!</v>
      </c>
      <c r="BV125" s="2" t="e">
        <f t="shared" si="15"/>
        <v>#REF!</v>
      </c>
      <c r="BW125" s="2" t="e">
        <f t="shared" si="16"/>
        <v>#REF!</v>
      </c>
      <c r="BX125" s="121" t="e">
        <f>IF(AND(IF(OOC!G125="",0,OOC!G125) &gt;= IF(O125="",0,O125), IF(O125="",0,O125) &gt; IF(L125="",0,L125)), "OOC",
IF(AND(IF(M125="",0,M125) &gt; IF(P125="",0,P125), IF(P125="",0,P125) &gt;= IF(OOC!H125="",0,OOC!H125)), "OOC",
IF(IF(O125="",0,O125) &gt; IF(OOC!G125="",0,OOC!G125), "OOS",
IF(IF(OOC!H125="",0,OOC!H125) &gt; IF(P125="",0,P125), "OOS", "OK"))))</f>
        <v>#REF!</v>
      </c>
    </row>
    <row r="126" spans="1:76" ht="15" customHeight="1">
      <c r="A126" s="13"/>
      <c r="B126" s="73" t="s">
        <v>173</v>
      </c>
      <c r="C126" s="78" t="s">
        <v>169</v>
      </c>
      <c r="D126" s="64" t="s">
        <v>117</v>
      </c>
      <c r="E126" s="65">
        <v>1.33</v>
      </c>
      <c r="F126" s="66" t="s">
        <v>44</v>
      </c>
      <c r="G126" s="67">
        <v>11.776999999999999</v>
      </c>
      <c r="H126" s="92" t="str">
        <f>IF(OOC!S126=0,"",OOC!S126)</f>
        <v/>
      </c>
      <c r="I126" s="92" t="str">
        <f>IF(OOC!T126=0,"",OOC!T126)</f>
        <v/>
      </c>
      <c r="J126" s="68" t="s">
        <v>12</v>
      </c>
      <c r="K126" s="69" t="s">
        <v>80</v>
      </c>
      <c r="L126" s="70" t="e">
        <f t="shared" si="0"/>
        <v>#VALUE!</v>
      </c>
      <c r="M126" s="70" t="e">
        <f t="shared" si="1"/>
        <v>#VALUE!</v>
      </c>
      <c r="N126" s="71"/>
      <c r="O126" s="2" t="e">
        <f t="shared" si="2"/>
        <v>#REF!</v>
      </c>
      <c r="P126" s="2" t="e">
        <f t="shared" si="3"/>
        <v>#REF!</v>
      </c>
      <c r="Q126" s="2" t="e">
        <f t="shared" si="4"/>
        <v>#REF!</v>
      </c>
      <c r="R126" s="3" t="e">
        <f t="shared" si="5"/>
        <v>#REF!</v>
      </c>
      <c r="S126" s="4" t="e">
        <f t="shared" si="10"/>
        <v>#REF!</v>
      </c>
      <c r="T126" s="84" t="e">
        <f t="shared" si="11"/>
        <v>#REF!</v>
      </c>
      <c r="U126" s="85" t="e">
        <f t="shared" si="12"/>
        <v>#REF!</v>
      </c>
      <c r="V126" s="4" t="e">
        <f t="shared" si="6"/>
        <v>#REF!</v>
      </c>
      <c r="W126" s="4" t="e">
        <f t="shared" si="7"/>
        <v>#REF!</v>
      </c>
      <c r="X126" s="4" t="e">
        <f t="shared" si="8"/>
        <v>#REF!</v>
      </c>
      <c r="Y126" s="62" t="e">
        <f t="shared" si="9"/>
        <v>#REF!</v>
      </c>
      <c r="Z126" s="22"/>
      <c r="AA126" s="22"/>
      <c r="AB126" s="22"/>
      <c r="AC126" s="22"/>
      <c r="AD126" s="19"/>
      <c r="AE126" s="14"/>
      <c r="AF126" s="72"/>
      <c r="AG126" s="49"/>
      <c r="AH126" s="49"/>
      <c r="AI126" s="50"/>
      <c r="AJ126" s="15"/>
      <c r="AK126" s="77" t="e">
        <f>#REF!</f>
        <v>#REF!</v>
      </c>
      <c r="AL126" s="77" t="e">
        <f>#REF!</f>
        <v>#REF!</v>
      </c>
      <c r="AM126" s="77" t="e">
        <f>#REF!</f>
        <v>#REF!</v>
      </c>
      <c r="AN126" s="77" t="e">
        <f>#REF!</f>
        <v>#REF!</v>
      </c>
      <c r="AO126" s="77" t="e">
        <f>#REF!</f>
        <v>#REF!</v>
      </c>
      <c r="AP126" s="77" t="e">
        <f>#REF!</f>
        <v>#REF!</v>
      </c>
      <c r="AQ126" s="77" t="e">
        <f>#REF!</f>
        <v>#REF!</v>
      </c>
      <c r="AR126" s="77" t="e">
        <f>#REF!</f>
        <v>#REF!</v>
      </c>
      <c r="AS126" s="77" t="e">
        <f>#REF!</f>
        <v>#REF!</v>
      </c>
      <c r="AT126" s="77" t="e">
        <f>#REF!</f>
        <v>#REF!</v>
      </c>
      <c r="AU126" s="77" t="e">
        <f>#REF!</f>
        <v>#REF!</v>
      </c>
      <c r="AV126" s="77" t="e">
        <f>#REF!</f>
        <v>#REF!</v>
      </c>
      <c r="AW126" s="77" t="e">
        <f>#REF!</f>
        <v>#REF!</v>
      </c>
      <c r="AX126" s="77" t="e">
        <f>#REF!</f>
        <v>#REF!</v>
      </c>
      <c r="AY126" s="77" t="e">
        <f>#REF!</f>
        <v>#REF!</v>
      </c>
      <c r="AZ126" s="77" t="e">
        <f>#REF!</f>
        <v>#REF!</v>
      </c>
      <c r="BA126" s="77" t="e">
        <f>#REF!</f>
        <v>#REF!</v>
      </c>
      <c r="BB126" s="77" t="e">
        <f>#REF!</f>
        <v>#REF!</v>
      </c>
      <c r="BC126" s="77" t="e">
        <f>#REF!</f>
        <v>#REF!</v>
      </c>
      <c r="BD126" s="77" t="e">
        <f>#REF!</f>
        <v>#REF!</v>
      </c>
      <c r="BE126" s="77" t="e">
        <f>#REF!</f>
        <v>#REF!</v>
      </c>
      <c r="BF126" s="77" t="e">
        <f>#REF!</f>
        <v>#REF!</v>
      </c>
      <c r="BG126" s="77" t="e">
        <f>#REF!</f>
        <v>#REF!</v>
      </c>
      <c r="BH126" s="77" t="e">
        <f>#REF!</f>
        <v>#REF!</v>
      </c>
      <c r="BI126" s="77" t="e">
        <f>#REF!</f>
        <v>#REF!</v>
      </c>
      <c r="BJ126" s="77" t="e">
        <f>#REF!</f>
        <v>#REF!</v>
      </c>
      <c r="BK126" s="77" t="e">
        <f>#REF!</f>
        <v>#REF!</v>
      </c>
      <c r="BL126" s="77" t="e">
        <f>#REF!</f>
        <v>#REF!</v>
      </c>
      <c r="BM126" s="77" t="e">
        <f>#REF!</f>
        <v>#REF!</v>
      </c>
      <c r="BN126" s="77" t="e">
        <f>#REF!</f>
        <v>#REF!</v>
      </c>
      <c r="BO126" s="77" t="e">
        <f>#REF!</f>
        <v>#REF!</v>
      </c>
      <c r="BP126" s="77" t="e">
        <f>#REF!</f>
        <v>#REF!</v>
      </c>
      <c r="BR126" s="123" t="str">
        <f t="shared" si="13"/>
        <v>FAI 71</v>
      </c>
      <c r="BS126" s="120">
        <f>OOC!G126</f>
        <v>11.796999999999999</v>
      </c>
      <c r="BT126" s="120">
        <f>OOC!H126</f>
        <v>11.757</v>
      </c>
      <c r="BU126" s="2" t="e">
        <f t="shared" si="14"/>
        <v>#REF!</v>
      </c>
      <c r="BV126" s="2" t="e">
        <f t="shared" si="15"/>
        <v>#REF!</v>
      </c>
      <c r="BW126" s="2" t="e">
        <f t="shared" si="16"/>
        <v>#REF!</v>
      </c>
      <c r="BX126" s="121" t="e">
        <f>IF(AND(IF(OOC!G126="",0,OOC!G126) &gt;= IF(O126="",0,O126), IF(O126="",0,O126) &gt; IF(L126="",0,L126)), "OOC",
IF(AND(IF(M126="",0,M126) &gt; IF(P126="",0,P126), IF(P126="",0,P126) &gt;= IF(OOC!H126="",0,OOC!H126)), "OOC",
IF(IF(O126="",0,O126) &gt; IF(OOC!G126="",0,OOC!G126), "OOS",
IF(IF(OOC!H126="",0,OOC!H126) &gt; IF(P126="",0,P126), "OOS", "OK"))))</f>
        <v>#REF!</v>
      </c>
    </row>
    <row r="127" spans="1:76">
      <c r="T127"/>
      <c r="U127"/>
    </row>
    <row r="128" spans="1:76">
      <c r="T128"/>
      <c r="U128"/>
    </row>
    <row r="129" spans="20:21">
      <c r="T129"/>
      <c r="U129"/>
    </row>
    <row r="130" spans="20:21">
      <c r="T130"/>
      <c r="U130"/>
    </row>
    <row r="131" spans="20:21">
      <c r="T131"/>
      <c r="U131"/>
    </row>
    <row r="132" spans="20:21">
      <c r="T132"/>
      <c r="U132"/>
    </row>
    <row r="133" spans="20:21">
      <c r="T133"/>
      <c r="U133"/>
    </row>
    <row r="134" spans="20:21">
      <c r="T134"/>
      <c r="U134"/>
    </row>
    <row r="135" spans="20:21">
      <c r="T135"/>
      <c r="U135"/>
    </row>
    <row r="136" spans="20:21">
      <c r="T136"/>
      <c r="U136"/>
    </row>
    <row r="137" spans="20:21">
      <c r="T137"/>
      <c r="U137"/>
    </row>
    <row r="138" spans="20:21">
      <c r="T138"/>
      <c r="U138"/>
    </row>
    <row r="139" spans="20:21">
      <c r="T139"/>
      <c r="U139"/>
    </row>
    <row r="140" spans="20:21">
      <c r="T140"/>
      <c r="U140"/>
    </row>
    <row r="141" spans="20:21">
      <c r="T141"/>
      <c r="U141"/>
    </row>
    <row r="142" spans="20:21">
      <c r="T142"/>
      <c r="U142"/>
    </row>
    <row r="143" spans="20:21">
      <c r="T143"/>
      <c r="U143"/>
    </row>
    <row r="144" spans="20:21">
      <c r="T144"/>
      <c r="U144"/>
    </row>
    <row r="145" spans="20:21">
      <c r="T145"/>
      <c r="U145"/>
    </row>
    <row r="146" spans="20:21">
      <c r="T146"/>
      <c r="U146"/>
    </row>
    <row r="147" spans="20:21">
      <c r="T147"/>
      <c r="U147"/>
    </row>
    <row r="148" spans="20:21">
      <c r="T148"/>
      <c r="U148"/>
    </row>
    <row r="149" spans="20:21">
      <c r="T149"/>
      <c r="U149"/>
    </row>
    <row r="150" spans="20:21">
      <c r="T150"/>
      <c r="U150"/>
    </row>
    <row r="151" spans="20:21">
      <c r="T151"/>
      <c r="U151"/>
    </row>
    <row r="152" spans="20:21">
      <c r="T152"/>
      <c r="U152"/>
    </row>
    <row r="153" spans="20:21">
      <c r="T153"/>
      <c r="U153"/>
    </row>
    <row r="154" spans="20:21">
      <c r="T154"/>
      <c r="U154"/>
    </row>
    <row r="155" spans="20:21">
      <c r="T155"/>
      <c r="U155"/>
    </row>
    <row r="156" spans="20:21">
      <c r="T156"/>
      <c r="U156"/>
    </row>
    <row r="157" spans="20:21">
      <c r="T157"/>
      <c r="U157"/>
    </row>
    <row r="158" spans="20:21">
      <c r="T158"/>
      <c r="U158"/>
    </row>
    <row r="159" spans="20:21">
      <c r="T159"/>
      <c r="U159"/>
    </row>
    <row r="160" spans="20:21">
      <c r="T160"/>
      <c r="U160"/>
    </row>
    <row r="161" spans="20:21">
      <c r="T161"/>
      <c r="U161"/>
    </row>
    <row r="162" spans="20:21">
      <c r="T162"/>
      <c r="U162"/>
    </row>
    <row r="163" spans="20:21">
      <c r="T163"/>
      <c r="U163"/>
    </row>
    <row r="164" spans="20:21">
      <c r="T164"/>
      <c r="U164"/>
    </row>
    <row r="165" spans="20:21">
      <c r="T165"/>
      <c r="U165"/>
    </row>
    <row r="166" spans="20:21">
      <c r="T166"/>
      <c r="U166"/>
    </row>
    <row r="167" spans="20:21">
      <c r="T167"/>
      <c r="U167"/>
    </row>
    <row r="168" spans="20:21">
      <c r="T168"/>
      <c r="U168"/>
    </row>
    <row r="169" spans="20:21">
      <c r="T169"/>
      <c r="U169"/>
    </row>
    <row r="170" spans="20:21">
      <c r="T170"/>
      <c r="U170"/>
    </row>
    <row r="171" spans="20:21">
      <c r="T171"/>
      <c r="U171"/>
    </row>
    <row r="172" spans="20:21">
      <c r="T172"/>
      <c r="U172"/>
    </row>
    <row r="173" spans="20:21">
      <c r="T173"/>
      <c r="U173"/>
    </row>
    <row r="174" spans="20:21">
      <c r="T174"/>
      <c r="U174"/>
    </row>
    <row r="175" spans="20:21">
      <c r="T175"/>
      <c r="U175"/>
    </row>
    <row r="176" spans="20:21">
      <c r="T176"/>
      <c r="U176"/>
    </row>
    <row r="177" spans="20:21">
      <c r="T177"/>
      <c r="U177"/>
    </row>
    <row r="178" spans="20:21">
      <c r="T178"/>
      <c r="U178"/>
    </row>
    <row r="179" spans="20:21">
      <c r="T179"/>
      <c r="U179"/>
    </row>
    <row r="180" spans="20:21">
      <c r="T180"/>
      <c r="U180"/>
    </row>
    <row r="181" spans="20:21">
      <c r="T181"/>
      <c r="U181"/>
    </row>
    <row r="182" spans="20:21">
      <c r="T182"/>
      <c r="U182"/>
    </row>
    <row r="183" spans="20:21">
      <c r="T183"/>
      <c r="U183"/>
    </row>
    <row r="184" spans="20:21">
      <c r="T184"/>
      <c r="U184"/>
    </row>
    <row r="185" spans="20:21">
      <c r="T185"/>
      <c r="U185"/>
    </row>
    <row r="186" spans="20:21">
      <c r="T186"/>
      <c r="U186"/>
    </row>
    <row r="187" spans="20:21">
      <c r="T187"/>
      <c r="U187"/>
    </row>
    <row r="188" spans="20:21">
      <c r="T188"/>
      <c r="U188"/>
    </row>
    <row r="189" spans="20:21">
      <c r="T189"/>
      <c r="U189"/>
    </row>
    <row r="190" spans="20:21">
      <c r="T190"/>
      <c r="U190"/>
    </row>
    <row r="191" spans="20:21">
      <c r="T191"/>
      <c r="U191"/>
    </row>
    <row r="192" spans="20:21">
      <c r="T192"/>
      <c r="U192"/>
    </row>
    <row r="193" spans="20:21">
      <c r="T193"/>
      <c r="U193"/>
    </row>
    <row r="194" spans="20:21">
      <c r="T194"/>
      <c r="U194"/>
    </row>
    <row r="195" spans="20:21">
      <c r="T195"/>
      <c r="U195"/>
    </row>
    <row r="196" spans="20:21">
      <c r="T196"/>
      <c r="U196"/>
    </row>
    <row r="197" spans="20:21">
      <c r="T197"/>
      <c r="U197"/>
    </row>
  </sheetData>
  <sheetProtection formatCells="0"/>
  <mergeCells count="29">
    <mergeCell ref="BW8:BW9"/>
    <mergeCell ref="BX8:BX10"/>
    <mergeCell ref="BR8:BR9"/>
    <mergeCell ref="BS8:BS9"/>
    <mergeCell ref="BT8:BT9"/>
    <mergeCell ref="BU8:BU9"/>
    <mergeCell ref="BV8:BV9"/>
    <mergeCell ref="B8:M8"/>
    <mergeCell ref="O8:AE8"/>
    <mergeCell ref="AG8:AI8"/>
    <mergeCell ref="AK8:BP9"/>
    <mergeCell ref="Z9:AA9"/>
    <mergeCell ref="B5:C5"/>
    <mergeCell ref="F5:G5"/>
    <mergeCell ref="H5:M5"/>
    <mergeCell ref="O5:Q5"/>
    <mergeCell ref="R5:W5"/>
    <mergeCell ref="B6:C6"/>
    <mergeCell ref="F6:G6"/>
    <mergeCell ref="H6:M6"/>
    <mergeCell ref="O6:Q6"/>
    <mergeCell ref="R6:W6"/>
    <mergeCell ref="A1:AE1"/>
    <mergeCell ref="V2:W2"/>
    <mergeCell ref="B4:C4"/>
    <mergeCell ref="F4:G4"/>
    <mergeCell ref="H4:M4"/>
    <mergeCell ref="O4:Q4"/>
    <mergeCell ref="R4:W4"/>
  </mergeCells>
  <phoneticPr fontId="63" type="noConversion"/>
  <conditionalFormatting sqref="G11:G126">
    <cfRule type="containsBlanks" dxfId="116" priority="62">
      <formula>LEN(TRIM(G11))=0</formula>
    </cfRule>
    <cfRule type="expression" dxfId="115" priority="61">
      <formula>AND(OR($F11="GD&amp;T",$F11="MAX",$F11="MIN"),$G11="")</formula>
    </cfRule>
    <cfRule type="expression" dxfId="114" priority="60">
      <formula>AND($F11&lt;&gt;"Tolerance",$G11&lt;&gt;"")</formula>
    </cfRule>
    <cfRule type="containsBlanks" dxfId="113" priority="59">
      <formula>LEN(TRIM(G11))=0</formula>
    </cfRule>
    <cfRule type="expression" dxfId="112" priority="58">
      <formula>AND(OR($F11="GD&amp;T",$F11="MAX",$F11="MIN"),$G11="")</formula>
    </cfRule>
    <cfRule type="expression" dxfId="111" priority="57">
      <formula>AND($F11&lt;&gt;"Tolerance",$G11&lt;&gt;"")</formula>
    </cfRule>
  </conditionalFormatting>
  <conditionalFormatting sqref="H11:H126">
    <cfRule type="expression" dxfId="110" priority="38">
      <formula>AND($D11="MIN",$F11&lt;&gt;"")</formula>
    </cfRule>
    <cfRule type="containsBlanks" dxfId="109" priority="40">
      <formula>LEN(TRIM(H11))=0</formula>
    </cfRule>
    <cfRule type="expression" dxfId="108" priority="39">
      <formula>AND($D11="MIN",$F11="")</formula>
    </cfRule>
  </conditionalFormatting>
  <conditionalFormatting sqref="I11:I126">
    <cfRule type="containsBlanks" dxfId="107" priority="49">
      <formula>LEN(TRIM(I11))=0</formula>
    </cfRule>
    <cfRule type="expression" dxfId="106" priority="48">
      <formula>AND(OR($D11="GD&amp;T",$D11="MAX"),$G11="")</formula>
    </cfRule>
    <cfRule type="expression" dxfId="105" priority="47">
      <formula>AND(OR($D11="GD&amp;T",$D11="MAX"),$G11&lt;&gt;"")</formula>
    </cfRule>
  </conditionalFormatting>
  <conditionalFormatting sqref="O11:Q16 AK11:BP16 O20:Q20 AK20:BP20 O24:Q50 AK24:BP50 O54:Q126 AK54:BP126">
    <cfRule type="expression" dxfId="104" priority="33">
      <formula>AND($L11&lt;&gt;"",$AK11&lt;&gt;"",O11&gt;$L11)</formula>
    </cfRule>
    <cfRule type="notContainsBlanks" dxfId="103" priority="34">
      <formula>LEN(TRIM(O11))&gt;0</formula>
    </cfRule>
  </conditionalFormatting>
  <conditionalFormatting sqref="R11:S11 V11:AC16 S12:S56 V20:AC20 V24:AC24 V54:AC56 V73:AC95 V107:AC116 V121:AC126 R12:R16 R20">
    <cfRule type="expression" dxfId="102" priority="63">
      <formula>AND($AD11&lt;0.966,$AD11&lt;&gt;"")</formula>
    </cfRule>
  </conditionalFormatting>
  <conditionalFormatting sqref="V11:X16 S11:S126 V20:X20 V24:X50 V54:X126">
    <cfRule type="notContainsBlanks" dxfId="101" priority="69">
      <formula>LEN(TRIM(S11))&gt;0</formula>
    </cfRule>
    <cfRule type="cellIs" dxfId="100" priority="67" operator="lessThan">
      <formula>$E11</formula>
    </cfRule>
  </conditionalFormatting>
  <conditionalFormatting sqref="V54:Y126 S11:S126 V24:Y50 V11:Y16 V20:Y20">
    <cfRule type="expression" dxfId="99" priority="56">
      <formula>$K11="Yes"</formula>
    </cfRule>
  </conditionalFormatting>
  <conditionalFormatting sqref="V117:AC120 R24:R50 V25:AC50 R54:R56 V57:AC72 R57:S126 V96:AC106">
    <cfRule type="expression" dxfId="98" priority="26">
      <formula>AND($AD24&lt;0.966,$AD24&lt;&gt;"")</formula>
    </cfRule>
  </conditionalFormatting>
  <conditionalFormatting sqref="Y11:Y16 Y20 Y24:Y50 Y54:Y126">
    <cfRule type="notContainsBlanks" dxfId="97" priority="68">
      <formula>LEN(TRIM(Y11))&gt;0</formula>
    </cfRule>
  </conditionalFormatting>
  <conditionalFormatting sqref="Y11:AC16 Y20:AC20 Y24:AC50 Y54:AC116">
    <cfRule type="containsBlanks" dxfId="96" priority="64">
      <formula>LEN(TRIM(Y11))=0</formula>
    </cfRule>
    <cfRule type="cellIs" dxfId="95" priority="65" operator="between">
      <formula>0.9</formula>
      <formula>0.998</formula>
    </cfRule>
    <cfRule type="cellIs" dxfId="94" priority="66" operator="greaterThanOrEqual">
      <formula>0.998</formula>
    </cfRule>
  </conditionalFormatting>
  <conditionalFormatting sqref="Y117:AC119">
    <cfRule type="cellIs" dxfId="93" priority="29" operator="greaterThanOrEqual">
      <formula>0.998</formula>
    </cfRule>
    <cfRule type="cellIs" dxfId="92" priority="28" operator="between">
      <formula>0.9</formula>
      <formula>0.998</formula>
    </cfRule>
    <cfRule type="containsBlanks" dxfId="91" priority="27">
      <formula>LEN(TRIM(Y117))=0</formula>
    </cfRule>
  </conditionalFormatting>
  <conditionalFormatting sqref="Y120:AC126">
    <cfRule type="containsBlanks" dxfId="90" priority="2">
      <formula>LEN(TRIM(Y120))=0</formula>
    </cfRule>
    <cfRule type="cellIs" dxfId="89" priority="3" operator="between">
      <formula>0.9</formula>
      <formula>0.998</formula>
    </cfRule>
    <cfRule type="cellIs" dxfId="88" priority="4" operator="greaterThanOrEqual">
      <formula>0.998</formula>
    </cfRule>
  </conditionalFormatting>
  <conditionalFormatting sqref="AD11:AE16 AD20:AE20 AD24:AE50 AD54:AE126">
    <cfRule type="expression" dxfId="87" priority="31">
      <formula>AND($AD11&lt;0.966,$AD11&lt;&gt;"")</formula>
    </cfRule>
  </conditionalFormatting>
  <conditionalFormatting sqref="AK11:BP16 AK20:BP20 AK24:BP50 AK54:BP126 O11:Q16 O20:Q20 O24:Q50 O54:Q126">
    <cfRule type="expression" dxfId="86" priority="32">
      <formula>AND($M11&lt;&gt;"",$AK11&lt;&gt;"",O11&lt;$M11)</formula>
    </cfRule>
  </conditionalFormatting>
  <conditionalFormatting sqref="AK11:BP16 AK20:BP20 AK24:BP50">
    <cfRule type="containsBlanks" dxfId="85" priority="30">
      <formula>LEN(TRIM(AK11))=0</formula>
    </cfRule>
  </conditionalFormatting>
  <conditionalFormatting sqref="AK54:BP126">
    <cfRule type="containsBlanks" dxfId="84" priority="1">
      <formula>LEN(TRIM(AK54))=0</formula>
    </cfRule>
  </conditionalFormatting>
  <conditionalFormatting sqref="BU11:BW16 BU20:BW20 BU24:BW50 BU54:BW126">
    <cfRule type="notContainsBlanks" dxfId="83" priority="12">
      <formula>LEN(TRIM(BU11))&gt;0</formula>
    </cfRule>
    <cfRule type="expression" dxfId="82" priority="11">
      <formula>AND($L11&lt;&gt;"",$AK11&lt;&gt;"",BU11&gt;$L11)</formula>
    </cfRule>
    <cfRule type="expression" dxfId="81" priority="10">
      <formula>AND($M11&lt;&gt;"",$AK11&lt;&gt;"",BU11&lt;$M11)</formula>
    </cfRule>
  </conditionalFormatting>
  <conditionalFormatting sqref="BX11:BX16 BX20 BX24:BX50 BX54:BX126">
    <cfRule type="endsWith" dxfId="80" priority="7" operator="endsWith" text="OK">
      <formula>RIGHT(BX11,LEN("OK"))="OK"</formula>
    </cfRule>
    <cfRule type="endsWith" dxfId="79" priority="9" operator="endsWith" text="OOC">
      <formula>RIGHT(BX11,LEN("OOC"))="OOC"</formula>
    </cfRule>
    <cfRule type="endsWith" dxfId="78" priority="8" operator="endsWith" text="OOS">
      <formula>RIGHT(BX11,LEN("OOS"))="OOS"</formula>
    </cfRule>
  </conditionalFormatting>
  <dataValidations count="3">
    <dataValidation type="list" allowBlank="1" showInputMessage="1" showErrorMessage="1" sqref="K11:K126" xr:uid="{6E902A85-A658-40A6-AE8F-D131D71E4B0B}">
      <formula1>gauging</formula1>
    </dataValidation>
    <dataValidation type="list" allowBlank="1" showInputMessage="1" showErrorMessage="1" sqref="F11:F126" xr:uid="{96C9D094-3488-417C-88C4-935151BB7423}">
      <formula1>dim_type</formula1>
    </dataValidation>
    <dataValidation type="list" allowBlank="1" showInputMessage="1" showErrorMessage="1" sqref="J11:J126" xr:uid="{4DB6A263-855C-49D5-83A7-C59C6EB071F0}">
      <formula1>insp_meth</formula1>
    </dataValidation>
  </dataValidations>
  <pageMargins left="0.75" right="0.75" top="1" bottom="1" header="0.5" footer="0.5"/>
  <pageSetup orientation="portrait" horizontalDpi="4294967292" verticalDpi="4294967292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577" r:id="rId4" name="Button 1">
              <controlPr defaultSize="0" print="0" autoFill="0" autoPict="0" macro="[0]!updateNormality">
                <anchor moveWithCells="1" sizeWithCells="1">
                  <from>
                    <xdr:col>2</xdr:col>
                    <xdr:colOff>28575</xdr:colOff>
                    <xdr:row>1</xdr:row>
                    <xdr:rowOff>28575</xdr:rowOff>
                  </from>
                  <to>
                    <xdr:col>3</xdr:col>
                    <xdr:colOff>828675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78" r:id="rId5" name="Button 2">
              <controlPr defaultSize="0" print="0" autoFill="0" autoPict="0" macro="[0]!showAddShtFrm">
                <anchor moveWithCells="1" sizeWithCells="1">
                  <from>
                    <xdr:col>3</xdr:col>
                    <xdr:colOff>866775</xdr:colOff>
                    <xdr:row>1</xdr:row>
                    <xdr:rowOff>28575</xdr:rowOff>
                  </from>
                  <to>
                    <xdr:col>5</xdr:col>
                    <xdr:colOff>314325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79" r:id="rId6" name="Button 3">
              <controlPr defaultSize="0" print="0" autoFill="0" autoPict="0" macro="[0]!showExportFrm">
                <anchor moveWithCells="1" sizeWithCells="1">
                  <from>
                    <xdr:col>5</xdr:col>
                    <xdr:colOff>342900</xdr:colOff>
                    <xdr:row>1</xdr:row>
                    <xdr:rowOff>28575</xdr:rowOff>
                  </from>
                  <to>
                    <xdr:col>7</xdr:col>
                    <xdr:colOff>257175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0" r:id="rId7" name="Button 4">
              <controlPr defaultSize="0" print="0" autoFill="0" autoPict="0" macro="[0]!showImport">
                <anchor moveWithCells="1" sizeWithCells="1">
                  <from>
                    <xdr:col>7</xdr:col>
                    <xdr:colOff>295275</xdr:colOff>
                    <xdr:row>1</xdr:row>
                    <xdr:rowOff>28575</xdr:rowOff>
                  </from>
                  <to>
                    <xdr:col>9</xdr:col>
                    <xdr:colOff>295275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1" r:id="rId8" name="Button 5">
              <controlPr defaultSize="0" print="0" autoFill="0" autoPict="0" macro="[0]!detectOutliers">
                <anchor moveWithCells="1" sizeWithCells="1">
                  <from>
                    <xdr:col>10</xdr:col>
                    <xdr:colOff>28575</xdr:colOff>
                    <xdr:row>1</xdr:row>
                    <xdr:rowOff>28575</xdr:rowOff>
                  </from>
                  <to>
                    <xdr:col>12</xdr:col>
                    <xdr:colOff>228600</xdr:colOff>
                    <xdr:row>3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57E94-2320-4C15-874F-BD7FF0214289}">
  <sheetPr codeName="Sheet8"/>
  <dimension ref="A1:BX197"/>
  <sheetViews>
    <sheetView zoomScale="40" zoomScaleNormal="40" workbookViewId="0">
      <pane xSplit="3" ySplit="10" topLeftCell="BB56" activePane="bottomRight" state="frozen"/>
      <selection activeCell="B47" sqref="B47"/>
      <selection pane="topRight" activeCell="B47" sqref="B47"/>
      <selection pane="bottomLeft" activeCell="B47" sqref="B47"/>
      <selection pane="bottomRight" activeCell="B47" sqref="B47"/>
    </sheetView>
  </sheetViews>
  <sheetFormatPr defaultColWidth="8.6640625" defaultRowHeight="17.25"/>
  <cols>
    <col min="1" max="1" width="0.44140625" customWidth="1"/>
    <col min="2" max="2" width="11" customWidth="1"/>
    <col min="3" max="3" width="7.77734375" bestFit="1" customWidth="1"/>
    <col min="4" max="4" width="24" customWidth="1"/>
    <col min="5" max="5" width="7.44140625" customWidth="1"/>
    <col min="6" max="6" width="9" customWidth="1"/>
    <col min="7" max="7" width="7.44140625" customWidth="1"/>
    <col min="8" max="9" width="8" customWidth="1"/>
    <col min="10" max="13" width="7.44140625" customWidth="1"/>
    <col min="14" max="14" width="0.44140625" customWidth="1"/>
    <col min="15" max="19" width="7.44140625" customWidth="1"/>
    <col min="20" max="21" width="8" style="86" customWidth="1"/>
    <col min="22" max="25" width="7.44140625" customWidth="1"/>
    <col min="26" max="26" width="10" hidden="1" customWidth="1"/>
    <col min="27" max="29" width="9.44140625" hidden="1" customWidth="1"/>
    <col min="30" max="30" width="7.44140625" hidden="1" customWidth="1"/>
    <col min="31" max="31" width="9" hidden="1" customWidth="1"/>
    <col min="32" max="32" width="28" hidden="1" customWidth="1"/>
    <col min="33" max="35" width="9" hidden="1" customWidth="1"/>
    <col min="36" max="36" width="0.44140625" customWidth="1"/>
    <col min="37" max="68" width="7.44140625" customWidth="1"/>
  </cols>
  <sheetData>
    <row r="1" spans="1:76" s="1" customFormat="1" ht="22.5" customHeight="1">
      <c r="A1" s="228" t="s">
        <v>48</v>
      </c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228"/>
      <c r="Y1" s="228"/>
      <c r="Z1" s="228"/>
      <c r="AA1" s="228"/>
      <c r="AB1" s="228"/>
      <c r="AC1" s="228"/>
      <c r="AD1" s="228"/>
      <c r="AE1" s="228"/>
      <c r="AF1" s="27"/>
      <c r="AG1" s="27"/>
      <c r="AH1" s="27"/>
      <c r="AI1" s="27"/>
      <c r="AJ1" s="10"/>
    </row>
    <row r="2" spans="1:76" s="1" customFormat="1" ht="14.25" customHeight="1">
      <c r="B2" s="8" t="s">
        <v>96</v>
      </c>
      <c r="C2" s="8"/>
      <c r="D2" s="7"/>
      <c r="E2" s="7"/>
      <c r="F2" s="7"/>
      <c r="I2" s="7"/>
      <c r="J2" s="7"/>
      <c r="K2" s="7"/>
      <c r="L2" s="7"/>
      <c r="M2" s="7"/>
      <c r="O2" s="7"/>
      <c r="P2" s="7"/>
      <c r="Q2" s="7"/>
      <c r="R2" s="7"/>
      <c r="S2" s="6"/>
      <c r="T2" s="81"/>
      <c r="U2" s="81"/>
      <c r="V2" s="241" t="s">
        <v>13</v>
      </c>
      <c r="W2" s="241"/>
      <c r="X2" s="6"/>
      <c r="AB2" s="7"/>
      <c r="AE2" s="7"/>
      <c r="AF2" s="7"/>
      <c r="AG2" s="7"/>
      <c r="AH2" s="7"/>
      <c r="AI2" s="7"/>
      <c r="AJ2" s="7"/>
    </row>
    <row r="3" spans="1:76" s="1" customFormat="1" ht="9" customHeight="1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O3" s="7"/>
      <c r="P3" s="7"/>
      <c r="Q3" s="7"/>
      <c r="R3" s="7"/>
      <c r="S3" s="7"/>
      <c r="T3" s="82"/>
      <c r="U3" s="82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</row>
    <row r="4" spans="1:76" s="1" customFormat="1" ht="18.75" customHeight="1">
      <c r="B4" s="206" t="s">
        <v>14</v>
      </c>
      <c r="C4" s="208"/>
      <c r="D4" s="11" t="s">
        <v>174</v>
      </c>
      <c r="E4" s="25"/>
      <c r="F4" s="242" t="s">
        <v>15</v>
      </c>
      <c r="G4" s="243"/>
      <c r="H4" s="229" t="s">
        <v>141</v>
      </c>
      <c r="I4" s="230"/>
      <c r="J4" s="230"/>
      <c r="K4" s="230"/>
      <c r="L4" s="230"/>
      <c r="M4" s="231"/>
      <c r="N4" s="26"/>
      <c r="O4" s="206" t="s">
        <v>81</v>
      </c>
      <c r="P4" s="207"/>
      <c r="Q4" s="208"/>
      <c r="R4" s="232" t="s">
        <v>214</v>
      </c>
      <c r="S4" s="230"/>
      <c r="T4" s="230"/>
      <c r="U4" s="230"/>
      <c r="V4" s="230"/>
      <c r="W4" s="231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</row>
    <row r="5" spans="1:76" s="1" customFormat="1" ht="18.75" customHeight="1">
      <c r="B5" s="206" t="s">
        <v>16</v>
      </c>
      <c r="C5" s="208"/>
      <c r="D5" s="11" t="s">
        <v>86</v>
      </c>
      <c r="E5" s="25"/>
      <c r="F5" s="242" t="s">
        <v>17</v>
      </c>
      <c r="G5" s="243"/>
      <c r="H5" s="232" t="s">
        <v>154</v>
      </c>
      <c r="I5" s="230"/>
      <c r="J5" s="230"/>
      <c r="K5" s="230"/>
      <c r="L5" s="230"/>
      <c r="M5" s="231"/>
      <c r="N5" s="26"/>
      <c r="O5" s="206" t="s">
        <v>57</v>
      </c>
      <c r="P5" s="207"/>
      <c r="Q5" s="208"/>
      <c r="R5" s="247"/>
      <c r="S5" s="248"/>
      <c r="T5" s="248"/>
      <c r="U5" s="248"/>
      <c r="V5" s="248"/>
      <c r="W5" s="249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</row>
    <row r="6" spans="1:76" s="1" customFormat="1" ht="18.75" customHeight="1">
      <c r="B6" s="206" t="s">
        <v>18</v>
      </c>
      <c r="C6" s="208"/>
      <c r="D6" s="75" t="s">
        <v>215</v>
      </c>
      <c r="E6" s="25"/>
      <c r="F6" s="242" t="s">
        <v>45</v>
      </c>
      <c r="G6" s="243"/>
      <c r="H6" s="232" t="s">
        <v>213</v>
      </c>
      <c r="I6" s="230"/>
      <c r="J6" s="230"/>
      <c r="K6" s="230"/>
      <c r="L6" s="230"/>
      <c r="M6" s="231"/>
      <c r="N6" s="26"/>
      <c r="O6" s="206" t="s">
        <v>56</v>
      </c>
      <c r="P6" s="207"/>
      <c r="Q6" s="208"/>
      <c r="R6" s="250" t="s">
        <v>179</v>
      </c>
      <c r="S6" s="248"/>
      <c r="T6" s="248"/>
      <c r="U6" s="248"/>
      <c r="V6" s="248"/>
      <c r="W6" s="249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</row>
    <row r="7" spans="1:76" s="1" customFormat="1" ht="9" customHeight="1"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O7" s="9"/>
      <c r="P7" s="9"/>
      <c r="Q7" s="9"/>
      <c r="R7" s="9"/>
      <c r="S7" s="9"/>
      <c r="T7" s="83"/>
      <c r="U7" s="83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7"/>
    </row>
    <row r="8" spans="1:76" s="12" customFormat="1" ht="15" customHeight="1">
      <c r="A8" s="17"/>
      <c r="B8" s="235" t="s">
        <v>19</v>
      </c>
      <c r="C8" s="233"/>
      <c r="D8" s="233"/>
      <c r="E8" s="233"/>
      <c r="F8" s="233"/>
      <c r="G8" s="233"/>
      <c r="H8" s="233"/>
      <c r="I8" s="233"/>
      <c r="J8" s="233"/>
      <c r="K8" s="233"/>
      <c r="L8" s="233"/>
      <c r="M8" s="234"/>
      <c r="N8" s="17"/>
      <c r="O8" s="235" t="s">
        <v>25</v>
      </c>
      <c r="P8" s="233"/>
      <c r="Q8" s="233"/>
      <c r="R8" s="233"/>
      <c r="S8" s="233"/>
      <c r="T8" s="233"/>
      <c r="U8" s="233"/>
      <c r="V8" s="233"/>
      <c r="W8" s="233"/>
      <c r="X8" s="233"/>
      <c r="Y8" s="233"/>
      <c r="Z8" s="233"/>
      <c r="AA8" s="233"/>
      <c r="AB8" s="233"/>
      <c r="AC8" s="233"/>
      <c r="AD8" s="233"/>
      <c r="AE8" s="234"/>
      <c r="AG8" s="244" t="s">
        <v>68</v>
      </c>
      <c r="AH8" s="244"/>
      <c r="AI8" s="244"/>
      <c r="AJ8" s="17"/>
      <c r="AK8" s="237" t="s">
        <v>177</v>
      </c>
      <c r="AL8" s="238"/>
      <c r="AM8" s="238"/>
      <c r="AN8" s="238"/>
      <c r="AO8" s="238"/>
      <c r="AP8" s="238"/>
      <c r="AQ8" s="238"/>
      <c r="AR8" s="238"/>
      <c r="AS8" s="238"/>
      <c r="AT8" s="238"/>
      <c r="AU8" s="238"/>
      <c r="AV8" s="238"/>
      <c r="AW8" s="238"/>
      <c r="AX8" s="238"/>
      <c r="AY8" s="238"/>
      <c r="AZ8" s="238"/>
      <c r="BA8" s="238"/>
      <c r="BB8" s="238"/>
      <c r="BC8" s="238"/>
      <c r="BD8" s="238"/>
      <c r="BE8" s="238"/>
      <c r="BF8" s="238"/>
      <c r="BG8" s="238"/>
      <c r="BH8" s="238"/>
      <c r="BI8" s="238"/>
      <c r="BJ8" s="238"/>
      <c r="BK8" s="238"/>
      <c r="BL8" s="238"/>
      <c r="BM8" s="238"/>
      <c r="BN8" s="238"/>
      <c r="BO8" s="238"/>
      <c r="BP8" s="238"/>
      <c r="BR8" s="251"/>
      <c r="BS8" s="251"/>
      <c r="BT8" s="251"/>
      <c r="BU8" s="251"/>
      <c r="BV8" s="251"/>
      <c r="BW8" s="251"/>
      <c r="BX8" s="253" t="s">
        <v>211</v>
      </c>
    </row>
    <row r="9" spans="1:76" s="12" customFormat="1" ht="32.25" customHeight="1">
      <c r="A9" s="21"/>
      <c r="B9" s="38"/>
      <c r="C9" s="38"/>
      <c r="D9" s="38"/>
      <c r="E9" s="38"/>
      <c r="F9" s="38"/>
      <c r="G9" s="39"/>
      <c r="H9" s="43" t="s">
        <v>61</v>
      </c>
      <c r="I9" s="43" t="s">
        <v>62</v>
      </c>
      <c r="J9" s="37"/>
      <c r="K9" s="37"/>
      <c r="L9" s="56"/>
      <c r="M9" s="56"/>
      <c r="N9" s="21"/>
      <c r="O9" s="29"/>
      <c r="P9" s="29"/>
      <c r="Q9" s="30"/>
      <c r="R9" s="29"/>
      <c r="S9" s="28"/>
      <c r="T9" s="28"/>
      <c r="U9" s="28"/>
      <c r="V9" s="28"/>
      <c r="W9" s="28"/>
      <c r="X9" s="28"/>
      <c r="Y9" s="28"/>
      <c r="Z9" s="245" t="s">
        <v>76</v>
      </c>
      <c r="AA9" s="246"/>
      <c r="AB9" s="36" t="s">
        <v>64</v>
      </c>
      <c r="AC9" s="61">
        <v>1.5</v>
      </c>
      <c r="AD9" s="35"/>
      <c r="AE9" s="35"/>
      <c r="AF9" s="59"/>
      <c r="AG9" s="57"/>
      <c r="AH9" s="57"/>
      <c r="AI9" s="58"/>
      <c r="AJ9" s="47"/>
      <c r="AK9" s="239"/>
      <c r="AL9" s="240"/>
      <c r="AM9" s="240"/>
      <c r="AN9" s="240"/>
      <c r="AO9" s="240"/>
      <c r="AP9" s="240"/>
      <c r="AQ9" s="240"/>
      <c r="AR9" s="240"/>
      <c r="AS9" s="240"/>
      <c r="AT9" s="240"/>
      <c r="AU9" s="240"/>
      <c r="AV9" s="240"/>
      <c r="AW9" s="240"/>
      <c r="AX9" s="240"/>
      <c r="AY9" s="240"/>
      <c r="AZ9" s="240"/>
      <c r="BA9" s="240"/>
      <c r="BB9" s="240"/>
      <c r="BC9" s="240"/>
      <c r="BD9" s="240"/>
      <c r="BE9" s="240"/>
      <c r="BF9" s="240"/>
      <c r="BG9" s="240"/>
      <c r="BH9" s="240"/>
      <c r="BI9" s="240"/>
      <c r="BJ9" s="240"/>
      <c r="BK9" s="240"/>
      <c r="BL9" s="240"/>
      <c r="BM9" s="240"/>
      <c r="BN9" s="240"/>
      <c r="BO9" s="240"/>
      <c r="BP9" s="240"/>
      <c r="BR9" s="252"/>
      <c r="BS9" s="252"/>
      <c r="BT9" s="252"/>
      <c r="BU9" s="252"/>
      <c r="BV9" s="252"/>
      <c r="BW9" s="252"/>
      <c r="BX9" s="254"/>
    </row>
    <row r="10" spans="1:76" s="16" customFormat="1" ht="52.5">
      <c r="A10" s="18"/>
      <c r="B10" s="40" t="s">
        <v>1</v>
      </c>
      <c r="C10" s="40" t="s">
        <v>22</v>
      </c>
      <c r="D10" s="40" t="s">
        <v>2</v>
      </c>
      <c r="E10" s="40" t="s">
        <v>75</v>
      </c>
      <c r="F10" s="40" t="s">
        <v>26</v>
      </c>
      <c r="G10" s="41" t="s">
        <v>21</v>
      </c>
      <c r="H10" s="60" t="s">
        <v>71</v>
      </c>
      <c r="I10" s="60" t="s">
        <v>72</v>
      </c>
      <c r="J10" s="42" t="s">
        <v>20</v>
      </c>
      <c r="K10" s="42" t="s">
        <v>77</v>
      </c>
      <c r="L10" s="44" t="s">
        <v>3</v>
      </c>
      <c r="M10" s="44" t="s">
        <v>4</v>
      </c>
      <c r="N10" s="18"/>
      <c r="O10" s="32" t="s">
        <v>5</v>
      </c>
      <c r="P10" s="32" t="s">
        <v>6</v>
      </c>
      <c r="Q10" s="33" t="s">
        <v>0</v>
      </c>
      <c r="R10" s="32" t="s">
        <v>7</v>
      </c>
      <c r="S10" s="34" t="s">
        <v>8</v>
      </c>
      <c r="T10" s="34" t="s">
        <v>142</v>
      </c>
      <c r="U10" s="34" t="s">
        <v>143</v>
      </c>
      <c r="V10" s="34" t="s">
        <v>9</v>
      </c>
      <c r="W10" s="34" t="s">
        <v>10</v>
      </c>
      <c r="X10" s="34" t="s">
        <v>11</v>
      </c>
      <c r="Y10" s="34" t="s">
        <v>58</v>
      </c>
      <c r="Z10" s="63" t="s">
        <v>59</v>
      </c>
      <c r="AA10" s="63" t="s">
        <v>60</v>
      </c>
      <c r="AB10" s="45" t="s">
        <v>63</v>
      </c>
      <c r="AC10" s="46" t="s">
        <v>65</v>
      </c>
      <c r="AD10" s="31" t="s">
        <v>23</v>
      </c>
      <c r="AE10" s="31" t="s">
        <v>24</v>
      </c>
      <c r="AF10" s="31" t="s">
        <v>67</v>
      </c>
      <c r="AG10" s="57"/>
      <c r="AH10" s="57"/>
      <c r="AI10" s="58"/>
      <c r="AJ10" s="48"/>
      <c r="AK10" s="87">
        <v>1</v>
      </c>
      <c r="AL10" s="87">
        <v>2</v>
      </c>
      <c r="AM10" s="87">
        <v>3</v>
      </c>
      <c r="AN10" s="87">
        <v>4</v>
      </c>
      <c r="AO10" s="87">
        <v>5</v>
      </c>
      <c r="AP10" s="87">
        <v>6</v>
      </c>
      <c r="AQ10" s="87">
        <v>7</v>
      </c>
      <c r="AR10" s="87">
        <v>8</v>
      </c>
      <c r="AS10" s="87">
        <v>9</v>
      </c>
      <c r="AT10" s="87">
        <v>10</v>
      </c>
      <c r="AU10" s="87">
        <v>11</v>
      </c>
      <c r="AV10" s="87">
        <v>12</v>
      </c>
      <c r="AW10" s="87">
        <v>13</v>
      </c>
      <c r="AX10" s="87">
        <v>14</v>
      </c>
      <c r="AY10" s="87">
        <v>15</v>
      </c>
      <c r="AZ10" s="87">
        <v>16</v>
      </c>
      <c r="BA10" s="87">
        <v>17</v>
      </c>
      <c r="BB10" s="87">
        <v>18</v>
      </c>
      <c r="BC10" s="87">
        <v>19</v>
      </c>
      <c r="BD10" s="87">
        <v>20</v>
      </c>
      <c r="BE10" s="87">
        <v>21</v>
      </c>
      <c r="BF10" s="87">
        <v>22</v>
      </c>
      <c r="BG10" s="87">
        <v>23</v>
      </c>
      <c r="BH10" s="87">
        <v>24</v>
      </c>
      <c r="BI10" s="87">
        <v>25</v>
      </c>
      <c r="BJ10" s="87">
        <v>26</v>
      </c>
      <c r="BK10" s="87">
        <v>27</v>
      </c>
      <c r="BL10" s="87">
        <v>28</v>
      </c>
      <c r="BM10" s="87">
        <v>29</v>
      </c>
      <c r="BN10" s="87">
        <v>30</v>
      </c>
      <c r="BO10" s="87">
        <v>31</v>
      </c>
      <c r="BP10" s="87">
        <v>32</v>
      </c>
      <c r="BR10" s="118" t="s">
        <v>212</v>
      </c>
      <c r="BS10" s="118" t="s">
        <v>3</v>
      </c>
      <c r="BT10" s="118" t="s">
        <v>4</v>
      </c>
      <c r="BU10" s="118" t="s">
        <v>5</v>
      </c>
      <c r="BV10" s="118" t="s">
        <v>6</v>
      </c>
      <c r="BW10" s="118" t="s">
        <v>0</v>
      </c>
      <c r="BX10" s="255"/>
    </row>
    <row r="11" spans="1:76" ht="15" customHeight="1">
      <c r="A11" s="13"/>
      <c r="B11" s="88" t="s">
        <v>110</v>
      </c>
      <c r="C11" s="78" t="s">
        <v>97</v>
      </c>
      <c r="D11" s="89" t="s">
        <v>114</v>
      </c>
      <c r="E11" s="90">
        <v>1.5</v>
      </c>
      <c r="F11" s="66" t="s">
        <v>44</v>
      </c>
      <c r="G11" s="91">
        <v>0.5</v>
      </c>
      <c r="H11" s="92" t="str">
        <f>IF(OOC!S11=0,"",OOC!S11)</f>
        <v/>
      </c>
      <c r="I11" s="92" t="str">
        <f>IF(OOC!T11=0,"",OOC!T11)</f>
        <v/>
      </c>
      <c r="J11" s="68" t="s">
        <v>12</v>
      </c>
      <c r="K11" s="69" t="s">
        <v>80</v>
      </c>
      <c r="L11" s="70" t="e">
        <f t="shared" ref="L11:L126" si="0">IF(AND(G11="",H11=""),"",IF(G11="",H11,G11+H11))</f>
        <v>#VALUE!</v>
      </c>
      <c r="M11" s="70" t="e">
        <f t="shared" ref="M11:M126" si="1">IF(AND(G11="",I11=""),"",IF(G11="",I11,G11+I11))</f>
        <v>#VALUE!</v>
      </c>
      <c r="N11" s="71"/>
      <c r="O11" s="2" t="e">
        <f t="shared" ref="O11:O126" si="2">IF(OR($AK11="",ISNUMBER($AK11)=FALSE),"",MAX(AK11:BP11))</f>
        <v>#REF!</v>
      </c>
      <c r="P11" s="2" t="e">
        <f t="shared" ref="P11:P126" si="3">IF(OR($AK11="",ISNUMBER($AK11)=FALSE),"",MIN(AK11:BP11))</f>
        <v>#REF!</v>
      </c>
      <c r="Q11" s="2" t="e">
        <f t="shared" ref="Q11:Q126" si="4">IF(OR($AK11="",ISNUMBER($AK11)=FALSE),"",AVERAGE(AK11:BP11))</f>
        <v>#REF!</v>
      </c>
      <c r="R11" s="3" t="e">
        <f t="shared" ref="R11:R126" si="5">IF(OR($AK11="",ISNUMBER($AK11)=FALSE),"",STDEV(AK11:BP11))</f>
        <v>#REF!</v>
      </c>
      <c r="S11" s="4" t="e">
        <f>IF(OR($AK11="",ISNUMBER($AK11)=FALSE),"",IF(AND(G11=0,I11=""),V11,IF(AND(G11="",H11=""),W11,(H11+ABS(I11))/(6*R11))))</f>
        <v>#REF!</v>
      </c>
      <c r="T11" s="84" t="e">
        <f>IF(OR($AK11="",ISNUMBER($AK11)=FALSE),"",IF(AND($F11="Tolerance",$G11&lt;&gt;""),($Q11-$G11)/(($L11-$M11)/2),IF(AND($F11="GD&amp;T",$H11&lt;&gt;""),$Q11/$H11,"")))</f>
        <v>#REF!</v>
      </c>
      <c r="U11" s="85" t="e">
        <f>IF($T11="","",IF(ABS($T11)&lt;=0.125, "Level A",IF(AND(ABS($T11)&gt;0.125,ABS($T11)&lt;=0.25), "Level B",IF(AND(ABS($T11)&gt;0.25,ABS($T11)&lt;=0.5), "Level C", IF(ABS($T11)&gt;0.5, "Level D")))))</f>
        <v>#REF!</v>
      </c>
      <c r="V11" s="4" t="e">
        <f t="shared" ref="V11:V126" si="6">IF(OR($AK11="",ISNUMBER($AK11)=FALSE),"",IF(H11="","",(L11-Q11)/(3*R11)))</f>
        <v>#REF!</v>
      </c>
      <c r="W11" s="4" t="e">
        <f t="shared" ref="W11:W126" si="7">IF(OR($AK11="",ISNUMBER($AK11)=FALSE),"",IF(I11="","",(Q11-M11)/(3*R11)))</f>
        <v>#REF!</v>
      </c>
      <c r="X11" s="4" t="e">
        <f t="shared" ref="X11:X126" si="8">IF(OR($AK11="",ISNUMBER($AK11)=FALSE),"",IF(AND(G11=0,I11=0),((H11)-(Q11))/(3*R11),MIN(V11:W11)))</f>
        <v>#REF!</v>
      </c>
      <c r="Y11" s="62" t="e">
        <f t="shared" ref="Y11:Y126" si="9">IF(OR($AK11="",ISNUMBER($AK11)=FALSE),"",IF(AND(G11=0,I11=0),NORMSDIST(3*X11),NORMSDIST(3*X11)+NORMSDIST(6*S11-3*X11)-1))</f>
        <v>#REF!</v>
      </c>
      <c r="Z11" s="22"/>
      <c r="AA11" s="22"/>
      <c r="AB11" s="22"/>
      <c r="AC11" s="22"/>
      <c r="AD11" s="19"/>
      <c r="AE11" s="14"/>
      <c r="AF11" s="74"/>
      <c r="AG11" s="49"/>
      <c r="AH11" s="49"/>
      <c r="AI11" s="50"/>
      <c r="AJ11" s="15"/>
      <c r="AK11" s="77" t="e">
        <f>#REF!</f>
        <v>#REF!</v>
      </c>
      <c r="AL11" s="77" t="e">
        <f>#REF!</f>
        <v>#REF!</v>
      </c>
      <c r="AM11" s="77" t="e">
        <f>#REF!</f>
        <v>#REF!</v>
      </c>
      <c r="AN11" s="77" t="e">
        <f>#REF!</f>
        <v>#REF!</v>
      </c>
      <c r="AO11" s="77" t="e">
        <f>#REF!</f>
        <v>#REF!</v>
      </c>
      <c r="AP11" s="77" t="e">
        <f>#REF!</f>
        <v>#REF!</v>
      </c>
      <c r="AQ11" s="77" t="e">
        <f>#REF!</f>
        <v>#REF!</v>
      </c>
      <c r="AR11" s="77" t="e">
        <f>#REF!</f>
        <v>#REF!</v>
      </c>
      <c r="AS11" s="77" t="e">
        <f>#REF!</f>
        <v>#REF!</v>
      </c>
      <c r="AT11" s="77" t="e">
        <f>#REF!</f>
        <v>#REF!</v>
      </c>
      <c r="AU11" s="77" t="e">
        <f>#REF!</f>
        <v>#REF!</v>
      </c>
      <c r="AV11" s="77" t="e">
        <f>#REF!</f>
        <v>#REF!</v>
      </c>
      <c r="AW11" s="77" t="e">
        <f>#REF!</f>
        <v>#REF!</v>
      </c>
      <c r="AX11" s="77" t="e">
        <f>#REF!</f>
        <v>#REF!</v>
      </c>
      <c r="AY11" s="77" t="e">
        <f>#REF!</f>
        <v>#REF!</v>
      </c>
      <c r="AZ11" s="77" t="e">
        <f>#REF!</f>
        <v>#REF!</v>
      </c>
      <c r="BA11" s="77" t="e">
        <f>#REF!</f>
        <v>#REF!</v>
      </c>
      <c r="BB11" s="77" t="e">
        <f>#REF!</f>
        <v>#REF!</v>
      </c>
      <c r="BC11" s="77" t="e">
        <f>#REF!</f>
        <v>#REF!</v>
      </c>
      <c r="BD11" s="77" t="e">
        <f>#REF!</f>
        <v>#REF!</v>
      </c>
      <c r="BE11" s="77" t="e">
        <f>#REF!</f>
        <v>#REF!</v>
      </c>
      <c r="BF11" s="77" t="e">
        <f>#REF!</f>
        <v>#REF!</v>
      </c>
      <c r="BG11" s="77" t="e">
        <f>#REF!</f>
        <v>#REF!</v>
      </c>
      <c r="BH11" s="77" t="e">
        <f>#REF!</f>
        <v>#REF!</v>
      </c>
      <c r="BI11" s="77" t="e">
        <f>#REF!</f>
        <v>#REF!</v>
      </c>
      <c r="BJ11" s="77" t="e">
        <f>#REF!</f>
        <v>#REF!</v>
      </c>
      <c r="BK11" s="77" t="e">
        <f>#REF!</f>
        <v>#REF!</v>
      </c>
      <c r="BL11" s="77" t="e">
        <f>#REF!</f>
        <v>#REF!</v>
      </c>
      <c r="BM11" s="77" t="e">
        <f>#REF!</f>
        <v>#REF!</v>
      </c>
      <c r="BN11" s="77" t="e">
        <f>#REF!</f>
        <v>#REF!</v>
      </c>
      <c r="BO11" s="77" t="e">
        <f>#REF!</f>
        <v>#REF!</v>
      </c>
      <c r="BP11" s="77" t="e">
        <f>#REF!</f>
        <v>#REF!</v>
      </c>
      <c r="BR11" s="119" t="str">
        <f>IF(ISNUMBER(SEARCH("(DC)", B11)), C11 &amp; B11, C11)</f>
        <v>FAI4-1</v>
      </c>
      <c r="BS11" s="120">
        <f>OOC!G11</f>
        <v>0.51</v>
      </c>
      <c r="BT11" s="120">
        <f>OOC!H11</f>
        <v>0.49</v>
      </c>
      <c r="BU11" s="2" t="e">
        <f>IF(OR($AK11="",ISNUMBER($AK11)=FALSE),"",MAX(AK11:BP11))</f>
        <v>#REF!</v>
      </c>
      <c r="BV11" s="2" t="e">
        <f>IF(OR($AK11="",ISNUMBER($AK11)=FALSE),"",MIN(AK11:BP11))</f>
        <v>#REF!</v>
      </c>
      <c r="BW11" s="2" t="e">
        <f>IF(OR($AK11="",ISNUMBER($AK11)=FALSE),"",AVERAGE(AK11:BP11))</f>
        <v>#REF!</v>
      </c>
      <c r="BX11" s="121" t="e">
        <f>IF(AND(IF(OOC!G11="",0,OOC!G11) &gt;= IF(O11="",0,O11), IF(O11="",0,O11) &gt; IF(L11="",0,L11)), "OOC",
IF(AND(IF(M11="",0,M11) &gt; IF(P11="",0,P11), IF(P11="",0,P11) &gt;= IF(OOC!H11="",0,OOC!H11)), "OOC",
IF(IF(O11="",0,O11) &gt; IF(OOC!G11="",0,OOC!G11), "OOS",
IF(IF(OOC!H11="",0,OOC!H11) &gt; IF(P11="",0,P11), "OOS", "OK"))))</f>
        <v>#REF!</v>
      </c>
    </row>
    <row r="12" spans="1:76" ht="15" customHeight="1">
      <c r="A12" s="13"/>
      <c r="B12" s="88" t="s">
        <v>110</v>
      </c>
      <c r="C12" s="78" t="s">
        <v>98</v>
      </c>
      <c r="D12" s="89" t="s">
        <v>114</v>
      </c>
      <c r="E12" s="90">
        <v>1.5</v>
      </c>
      <c r="F12" s="66" t="s">
        <v>44</v>
      </c>
      <c r="G12" s="91">
        <v>0.5</v>
      </c>
      <c r="H12" s="92" t="str">
        <f>IF(OOC!S12=0,"",OOC!S12)</f>
        <v/>
      </c>
      <c r="I12" s="92" t="str">
        <f>IF(OOC!T12=0,"",OOC!T12)</f>
        <v/>
      </c>
      <c r="J12" s="68" t="s">
        <v>12</v>
      </c>
      <c r="K12" s="69" t="s">
        <v>80</v>
      </c>
      <c r="L12" s="70" t="e">
        <f t="shared" si="0"/>
        <v>#VALUE!</v>
      </c>
      <c r="M12" s="70" t="e">
        <f t="shared" si="1"/>
        <v>#VALUE!</v>
      </c>
      <c r="N12" s="71"/>
      <c r="O12" s="2" t="e">
        <f t="shared" si="2"/>
        <v>#REF!</v>
      </c>
      <c r="P12" s="2" t="e">
        <f t="shared" si="3"/>
        <v>#REF!</v>
      </c>
      <c r="Q12" s="2" t="e">
        <f t="shared" si="4"/>
        <v>#REF!</v>
      </c>
      <c r="R12" s="3" t="e">
        <f t="shared" si="5"/>
        <v>#REF!</v>
      </c>
      <c r="S12" s="4" t="e">
        <f t="shared" ref="S12:S126" si="10">IF(OR($AK12="",ISNUMBER($AK12)=FALSE),"",IF(AND(G12=0,I12=""),V12,IF(AND(G12="",H12=""),W12,(H12+ABS(I12))/(6*R12))))</f>
        <v>#REF!</v>
      </c>
      <c r="T12" s="84" t="e">
        <f t="shared" ref="T12:T126" si="11">IF(OR($AK12="",ISNUMBER($AK12)=FALSE),"",IF(AND($F12="Tolerance",$G12&lt;&gt;""),($Q12-$G12)/(($L12-$M12)/2),IF(AND($F12="GD&amp;T",$H12&lt;&gt;""),$Q12/$H12,"")))</f>
        <v>#REF!</v>
      </c>
      <c r="U12" s="85" t="e">
        <f t="shared" ref="U12:U126" si="12">IF($T12="","",IF(ABS($T12)&lt;=0.125, "Level A",IF(AND(ABS($T12)&gt;0.125,ABS($T12)&lt;=0.25), "Level B",IF(AND(ABS($T12)&gt;0.25,ABS($T12)&lt;=0.5), "Level C", IF(ABS($T12)&gt;0.5, "Level D")))))</f>
        <v>#REF!</v>
      </c>
      <c r="V12" s="4" t="e">
        <f t="shared" si="6"/>
        <v>#REF!</v>
      </c>
      <c r="W12" s="4" t="e">
        <f t="shared" si="7"/>
        <v>#REF!</v>
      </c>
      <c r="X12" s="4" t="e">
        <f t="shared" si="8"/>
        <v>#REF!</v>
      </c>
      <c r="Y12" s="62" t="e">
        <f t="shared" si="9"/>
        <v>#REF!</v>
      </c>
      <c r="Z12" s="22"/>
      <c r="AA12" s="22"/>
      <c r="AB12" s="22"/>
      <c r="AC12" s="22"/>
      <c r="AD12" s="19"/>
      <c r="AE12" s="14"/>
      <c r="AF12" s="74"/>
      <c r="AG12" s="49"/>
      <c r="AH12" s="49"/>
      <c r="AI12" s="50"/>
      <c r="AJ12" s="15"/>
      <c r="AK12" s="77" t="e">
        <f>#REF!</f>
        <v>#REF!</v>
      </c>
      <c r="AL12" s="77" t="e">
        <f>#REF!</f>
        <v>#REF!</v>
      </c>
      <c r="AM12" s="77" t="e">
        <f>#REF!</f>
        <v>#REF!</v>
      </c>
      <c r="AN12" s="77" t="e">
        <f>#REF!</f>
        <v>#REF!</v>
      </c>
      <c r="AO12" s="77" t="e">
        <f>#REF!</f>
        <v>#REF!</v>
      </c>
      <c r="AP12" s="77" t="e">
        <f>#REF!</f>
        <v>#REF!</v>
      </c>
      <c r="AQ12" s="77" t="e">
        <f>#REF!</f>
        <v>#REF!</v>
      </c>
      <c r="AR12" s="77" t="e">
        <f>#REF!</f>
        <v>#REF!</v>
      </c>
      <c r="AS12" s="77" t="e">
        <f>#REF!</f>
        <v>#REF!</v>
      </c>
      <c r="AT12" s="77" t="e">
        <f>#REF!</f>
        <v>#REF!</v>
      </c>
      <c r="AU12" s="77" t="e">
        <f>#REF!</f>
        <v>#REF!</v>
      </c>
      <c r="AV12" s="77" t="e">
        <f>#REF!</f>
        <v>#REF!</v>
      </c>
      <c r="AW12" s="77" t="e">
        <f>#REF!</f>
        <v>#REF!</v>
      </c>
      <c r="AX12" s="77" t="e">
        <f>#REF!</f>
        <v>#REF!</v>
      </c>
      <c r="AY12" s="77" t="e">
        <f>#REF!</f>
        <v>#REF!</v>
      </c>
      <c r="AZ12" s="77" t="e">
        <f>#REF!</f>
        <v>#REF!</v>
      </c>
      <c r="BA12" s="77" t="e">
        <f>#REF!</f>
        <v>#REF!</v>
      </c>
      <c r="BB12" s="77" t="e">
        <f>#REF!</f>
        <v>#REF!</v>
      </c>
      <c r="BC12" s="77" t="e">
        <f>#REF!</f>
        <v>#REF!</v>
      </c>
      <c r="BD12" s="77" t="e">
        <f>#REF!</f>
        <v>#REF!</v>
      </c>
      <c r="BE12" s="77" t="e">
        <f>#REF!</f>
        <v>#REF!</v>
      </c>
      <c r="BF12" s="77" t="e">
        <f>#REF!</f>
        <v>#REF!</v>
      </c>
      <c r="BG12" s="77" t="e">
        <f>#REF!</f>
        <v>#REF!</v>
      </c>
      <c r="BH12" s="77" t="e">
        <f>#REF!</f>
        <v>#REF!</v>
      </c>
      <c r="BI12" s="77" t="e">
        <f>#REF!</f>
        <v>#REF!</v>
      </c>
      <c r="BJ12" s="77" t="e">
        <f>#REF!</f>
        <v>#REF!</v>
      </c>
      <c r="BK12" s="77" t="e">
        <f>#REF!</f>
        <v>#REF!</v>
      </c>
      <c r="BL12" s="77" t="e">
        <f>#REF!</f>
        <v>#REF!</v>
      </c>
      <c r="BM12" s="77" t="e">
        <f>#REF!</f>
        <v>#REF!</v>
      </c>
      <c r="BN12" s="77" t="e">
        <f>#REF!</f>
        <v>#REF!</v>
      </c>
      <c r="BO12" s="77" t="e">
        <f>#REF!</f>
        <v>#REF!</v>
      </c>
      <c r="BP12" s="77" t="e">
        <f>#REF!</f>
        <v>#REF!</v>
      </c>
      <c r="BR12" s="119" t="str">
        <f t="shared" ref="BR12:BR126" si="13">IF(ISNUMBER(SEARCH("(DC)", B12)), C12 &amp; B12, C12)</f>
        <v>FAI4-2</v>
      </c>
      <c r="BS12" s="120">
        <f>OOC!G12</f>
        <v>0.51</v>
      </c>
      <c r="BT12" s="120">
        <f>OOC!H12</f>
        <v>0.49</v>
      </c>
      <c r="BU12" s="2" t="e">
        <f t="shared" ref="BU12:BU126" si="14">IF(OR($AK12="",ISNUMBER($AK12)=FALSE),"",MAX(AK12:BP12))</f>
        <v>#REF!</v>
      </c>
      <c r="BV12" s="2" t="e">
        <f t="shared" ref="BV12:BV126" si="15">IF(OR($AK12="",ISNUMBER($AK12)=FALSE),"",MIN(AK12:BP12))</f>
        <v>#REF!</v>
      </c>
      <c r="BW12" s="2" t="e">
        <f t="shared" ref="BW12:BW126" si="16">IF(OR($AK12="",ISNUMBER($AK12)=FALSE),"",AVERAGE(AK12:BP12))</f>
        <v>#REF!</v>
      </c>
      <c r="BX12" s="121" t="e">
        <f>IF(AND(IF(OOC!G12="",0,OOC!G12) &gt;= IF(O12="",0,O12), IF(O12="",0,O12) &gt; IF(L12="",0,L12)), "OOC",
IF(AND(IF(M12="",0,M12) &gt; IF(P12="",0,P12), IF(P12="",0,P12) &gt;= IF(OOC!H12="",0,OOC!H12)), "OOC",
IF(IF(O12="",0,O12) &gt; IF(OOC!G12="",0,OOC!G12), "OOS",
IF(IF(OOC!H12="",0,OOC!H12) &gt; IF(P12="",0,P12), "OOS", "OK"))))</f>
        <v>#REF!</v>
      </c>
    </row>
    <row r="13" spans="1:76" ht="15" customHeight="1">
      <c r="A13" s="13"/>
      <c r="B13" s="88" t="s">
        <v>110</v>
      </c>
      <c r="C13" s="78" t="s">
        <v>99</v>
      </c>
      <c r="D13" s="89" t="s">
        <v>114</v>
      </c>
      <c r="E13" s="90">
        <v>1.5</v>
      </c>
      <c r="F13" s="66" t="s">
        <v>44</v>
      </c>
      <c r="G13" s="91">
        <v>0.5</v>
      </c>
      <c r="H13" s="92" t="str">
        <f>IF(OOC!S13=0,"",OOC!S13)</f>
        <v/>
      </c>
      <c r="I13" s="92" t="str">
        <f>IF(OOC!T13=0,"",OOC!T13)</f>
        <v/>
      </c>
      <c r="J13" s="68" t="s">
        <v>12</v>
      </c>
      <c r="K13" s="69" t="s">
        <v>80</v>
      </c>
      <c r="L13" s="70" t="e">
        <f t="shared" si="0"/>
        <v>#VALUE!</v>
      </c>
      <c r="M13" s="70" t="e">
        <f t="shared" si="1"/>
        <v>#VALUE!</v>
      </c>
      <c r="N13" s="71"/>
      <c r="O13" s="2" t="e">
        <f t="shared" si="2"/>
        <v>#REF!</v>
      </c>
      <c r="P13" s="2" t="e">
        <f t="shared" si="3"/>
        <v>#REF!</v>
      </c>
      <c r="Q13" s="2" t="e">
        <f t="shared" si="4"/>
        <v>#REF!</v>
      </c>
      <c r="R13" s="3" t="e">
        <f t="shared" si="5"/>
        <v>#REF!</v>
      </c>
      <c r="S13" s="4" t="e">
        <f t="shared" si="10"/>
        <v>#REF!</v>
      </c>
      <c r="T13" s="84" t="e">
        <f t="shared" si="11"/>
        <v>#REF!</v>
      </c>
      <c r="U13" s="85" t="e">
        <f t="shared" si="12"/>
        <v>#REF!</v>
      </c>
      <c r="V13" s="4" t="e">
        <f t="shared" si="6"/>
        <v>#REF!</v>
      </c>
      <c r="W13" s="4" t="e">
        <f t="shared" si="7"/>
        <v>#REF!</v>
      </c>
      <c r="X13" s="4" t="e">
        <f t="shared" si="8"/>
        <v>#REF!</v>
      </c>
      <c r="Y13" s="62" t="e">
        <f t="shared" si="9"/>
        <v>#REF!</v>
      </c>
      <c r="Z13" s="22"/>
      <c r="AA13" s="22"/>
      <c r="AB13" s="22"/>
      <c r="AC13" s="22"/>
      <c r="AD13" s="19"/>
      <c r="AE13" s="14"/>
      <c r="AF13" s="74"/>
      <c r="AG13" s="49"/>
      <c r="AH13" s="49"/>
      <c r="AI13" s="50"/>
      <c r="AJ13" s="15"/>
      <c r="AK13" s="77" t="e">
        <f>#REF!</f>
        <v>#REF!</v>
      </c>
      <c r="AL13" s="77" t="e">
        <f>#REF!</f>
        <v>#REF!</v>
      </c>
      <c r="AM13" s="77" t="e">
        <f>#REF!</f>
        <v>#REF!</v>
      </c>
      <c r="AN13" s="77" t="e">
        <f>#REF!</f>
        <v>#REF!</v>
      </c>
      <c r="AO13" s="77" t="e">
        <f>#REF!</f>
        <v>#REF!</v>
      </c>
      <c r="AP13" s="77" t="e">
        <f>#REF!</f>
        <v>#REF!</v>
      </c>
      <c r="AQ13" s="77" t="e">
        <f>#REF!</f>
        <v>#REF!</v>
      </c>
      <c r="AR13" s="77" t="e">
        <f>#REF!</f>
        <v>#REF!</v>
      </c>
      <c r="AS13" s="77" t="e">
        <f>#REF!</f>
        <v>#REF!</v>
      </c>
      <c r="AT13" s="77" t="e">
        <f>#REF!</f>
        <v>#REF!</v>
      </c>
      <c r="AU13" s="77" t="e">
        <f>#REF!</f>
        <v>#REF!</v>
      </c>
      <c r="AV13" s="77" t="e">
        <f>#REF!</f>
        <v>#REF!</v>
      </c>
      <c r="AW13" s="77" t="e">
        <f>#REF!</f>
        <v>#REF!</v>
      </c>
      <c r="AX13" s="77" t="e">
        <f>#REF!</f>
        <v>#REF!</v>
      </c>
      <c r="AY13" s="77" t="e">
        <f>#REF!</f>
        <v>#REF!</v>
      </c>
      <c r="AZ13" s="77" t="e">
        <f>#REF!</f>
        <v>#REF!</v>
      </c>
      <c r="BA13" s="77" t="e">
        <f>#REF!</f>
        <v>#REF!</v>
      </c>
      <c r="BB13" s="77" t="e">
        <f>#REF!</f>
        <v>#REF!</v>
      </c>
      <c r="BC13" s="77" t="e">
        <f>#REF!</f>
        <v>#REF!</v>
      </c>
      <c r="BD13" s="77" t="e">
        <f>#REF!</f>
        <v>#REF!</v>
      </c>
      <c r="BE13" s="77" t="e">
        <f>#REF!</f>
        <v>#REF!</v>
      </c>
      <c r="BF13" s="77" t="e">
        <f>#REF!</f>
        <v>#REF!</v>
      </c>
      <c r="BG13" s="77" t="e">
        <f>#REF!</f>
        <v>#REF!</v>
      </c>
      <c r="BH13" s="77" t="e">
        <f>#REF!</f>
        <v>#REF!</v>
      </c>
      <c r="BI13" s="77" t="e">
        <f>#REF!</f>
        <v>#REF!</v>
      </c>
      <c r="BJ13" s="77" t="e">
        <f>#REF!</f>
        <v>#REF!</v>
      </c>
      <c r="BK13" s="77" t="e">
        <f>#REF!</f>
        <v>#REF!</v>
      </c>
      <c r="BL13" s="77" t="e">
        <f>#REF!</f>
        <v>#REF!</v>
      </c>
      <c r="BM13" s="77" t="e">
        <f>#REF!</f>
        <v>#REF!</v>
      </c>
      <c r="BN13" s="77" t="e">
        <f>#REF!</f>
        <v>#REF!</v>
      </c>
      <c r="BO13" s="77" t="e">
        <f>#REF!</f>
        <v>#REF!</v>
      </c>
      <c r="BP13" s="77" t="e">
        <f>#REF!</f>
        <v>#REF!</v>
      </c>
      <c r="BR13" s="119" t="str">
        <f t="shared" si="13"/>
        <v>FAI4-3</v>
      </c>
      <c r="BS13" s="120">
        <f>OOC!G13</f>
        <v>0.51</v>
      </c>
      <c r="BT13" s="120">
        <f>OOC!H13</f>
        <v>0.49</v>
      </c>
      <c r="BU13" s="2" t="e">
        <f t="shared" si="14"/>
        <v>#REF!</v>
      </c>
      <c r="BV13" s="2" t="e">
        <f t="shared" si="15"/>
        <v>#REF!</v>
      </c>
      <c r="BW13" s="2" t="e">
        <f t="shared" si="16"/>
        <v>#REF!</v>
      </c>
      <c r="BX13" s="121" t="e">
        <f>IF(AND(IF(OOC!G13="",0,OOC!G13) &gt;= IF(O13="",0,O13), IF(O13="",0,O13) &gt; IF(L13="",0,L13)), "OOC",
IF(AND(IF(M13="",0,M13) &gt; IF(P13="",0,P13), IF(P13="",0,P13) &gt;= IF(OOC!H13="",0,OOC!H13)), "OOC",
IF(IF(O13="",0,O13) &gt; IF(OOC!G13="",0,OOC!G13), "OOS",
IF(IF(OOC!H13="",0,OOC!H13) &gt; IF(P13="",0,P13), "OOS", "OK"))))</f>
        <v>#REF!</v>
      </c>
    </row>
    <row r="14" spans="1:76" ht="15" customHeight="1">
      <c r="A14" s="13"/>
      <c r="B14" s="88" t="s">
        <v>111</v>
      </c>
      <c r="C14" s="78" t="s">
        <v>100</v>
      </c>
      <c r="D14" s="89" t="s">
        <v>114</v>
      </c>
      <c r="E14" s="90">
        <v>1.5</v>
      </c>
      <c r="F14" s="66" t="s">
        <v>44</v>
      </c>
      <c r="G14" s="91">
        <v>0.5</v>
      </c>
      <c r="H14" s="92" t="str">
        <f>IF(OOC!S14=0,"",OOC!S14)</f>
        <v/>
      </c>
      <c r="I14" s="92" t="str">
        <f>IF(OOC!T14=0,"",OOC!T14)</f>
        <v/>
      </c>
      <c r="J14" s="68" t="s">
        <v>12</v>
      </c>
      <c r="K14" s="69" t="s">
        <v>80</v>
      </c>
      <c r="L14" s="70" t="e">
        <f t="shared" si="0"/>
        <v>#VALUE!</v>
      </c>
      <c r="M14" s="70" t="e">
        <f t="shared" si="1"/>
        <v>#VALUE!</v>
      </c>
      <c r="N14" s="71"/>
      <c r="O14" s="2" t="e">
        <f t="shared" si="2"/>
        <v>#REF!</v>
      </c>
      <c r="P14" s="2" t="e">
        <f t="shared" si="3"/>
        <v>#REF!</v>
      </c>
      <c r="Q14" s="2" t="e">
        <f t="shared" si="4"/>
        <v>#REF!</v>
      </c>
      <c r="R14" s="3" t="e">
        <f t="shared" si="5"/>
        <v>#REF!</v>
      </c>
      <c r="S14" s="4" t="e">
        <f t="shared" si="10"/>
        <v>#REF!</v>
      </c>
      <c r="T14" s="84" t="e">
        <f t="shared" si="11"/>
        <v>#REF!</v>
      </c>
      <c r="U14" s="85" t="e">
        <f t="shared" si="12"/>
        <v>#REF!</v>
      </c>
      <c r="V14" s="4" t="e">
        <f t="shared" si="6"/>
        <v>#REF!</v>
      </c>
      <c r="W14" s="4" t="e">
        <f t="shared" si="7"/>
        <v>#REF!</v>
      </c>
      <c r="X14" s="4" t="e">
        <f t="shared" si="8"/>
        <v>#REF!</v>
      </c>
      <c r="Y14" s="62" t="e">
        <f t="shared" si="9"/>
        <v>#REF!</v>
      </c>
      <c r="Z14" s="22"/>
      <c r="AA14" s="22"/>
      <c r="AB14" s="22"/>
      <c r="AC14" s="22"/>
      <c r="AD14" s="19"/>
      <c r="AE14" s="14"/>
      <c r="AF14" s="74"/>
      <c r="AG14" s="49"/>
      <c r="AH14" s="49"/>
      <c r="AI14" s="50"/>
      <c r="AJ14" s="15"/>
      <c r="AK14" s="77" t="e">
        <f>#REF!</f>
        <v>#REF!</v>
      </c>
      <c r="AL14" s="77" t="e">
        <f>#REF!</f>
        <v>#REF!</v>
      </c>
      <c r="AM14" s="77" t="e">
        <f>#REF!</f>
        <v>#REF!</v>
      </c>
      <c r="AN14" s="77" t="e">
        <f>#REF!</f>
        <v>#REF!</v>
      </c>
      <c r="AO14" s="77" t="e">
        <f>#REF!</f>
        <v>#REF!</v>
      </c>
      <c r="AP14" s="77" t="e">
        <f>#REF!</f>
        <v>#REF!</v>
      </c>
      <c r="AQ14" s="77" t="e">
        <f>#REF!</f>
        <v>#REF!</v>
      </c>
      <c r="AR14" s="77" t="e">
        <f>#REF!</f>
        <v>#REF!</v>
      </c>
      <c r="AS14" s="77" t="e">
        <f>#REF!</f>
        <v>#REF!</v>
      </c>
      <c r="AT14" s="77" t="e">
        <f>#REF!</f>
        <v>#REF!</v>
      </c>
      <c r="AU14" s="77" t="e">
        <f>#REF!</f>
        <v>#REF!</v>
      </c>
      <c r="AV14" s="77" t="e">
        <f>#REF!</f>
        <v>#REF!</v>
      </c>
      <c r="AW14" s="77" t="e">
        <f>#REF!</f>
        <v>#REF!</v>
      </c>
      <c r="AX14" s="77" t="e">
        <f>#REF!</f>
        <v>#REF!</v>
      </c>
      <c r="AY14" s="77" t="e">
        <f>#REF!</f>
        <v>#REF!</v>
      </c>
      <c r="AZ14" s="77" t="e">
        <f>#REF!</f>
        <v>#REF!</v>
      </c>
      <c r="BA14" s="77" t="e">
        <f>#REF!</f>
        <v>#REF!</v>
      </c>
      <c r="BB14" s="77" t="e">
        <f>#REF!</f>
        <v>#REF!</v>
      </c>
      <c r="BC14" s="77" t="e">
        <f>#REF!</f>
        <v>#REF!</v>
      </c>
      <c r="BD14" s="77" t="e">
        <f>#REF!</f>
        <v>#REF!</v>
      </c>
      <c r="BE14" s="77" t="e">
        <f>#REF!</f>
        <v>#REF!</v>
      </c>
      <c r="BF14" s="77" t="e">
        <f>#REF!</f>
        <v>#REF!</v>
      </c>
      <c r="BG14" s="77" t="e">
        <f>#REF!</f>
        <v>#REF!</v>
      </c>
      <c r="BH14" s="77" t="e">
        <f>#REF!</f>
        <v>#REF!</v>
      </c>
      <c r="BI14" s="77" t="e">
        <f>#REF!</f>
        <v>#REF!</v>
      </c>
      <c r="BJ14" s="77" t="e">
        <f>#REF!</f>
        <v>#REF!</v>
      </c>
      <c r="BK14" s="77" t="e">
        <f>#REF!</f>
        <v>#REF!</v>
      </c>
      <c r="BL14" s="77" t="e">
        <f>#REF!</f>
        <v>#REF!</v>
      </c>
      <c r="BM14" s="77" t="e">
        <f>#REF!</f>
        <v>#REF!</v>
      </c>
      <c r="BN14" s="77" t="e">
        <f>#REF!</f>
        <v>#REF!</v>
      </c>
      <c r="BO14" s="77" t="e">
        <f>#REF!</f>
        <v>#REF!</v>
      </c>
      <c r="BP14" s="77" t="e">
        <f>#REF!</f>
        <v>#REF!</v>
      </c>
      <c r="BR14" s="122" t="str">
        <f t="shared" si="13"/>
        <v>FAI6-1</v>
      </c>
      <c r="BS14" s="120">
        <f>OOC!G14</f>
        <v>0.51</v>
      </c>
      <c r="BT14" s="120">
        <f>OOC!H14</f>
        <v>0.49</v>
      </c>
      <c r="BU14" s="2" t="e">
        <f t="shared" si="14"/>
        <v>#REF!</v>
      </c>
      <c r="BV14" s="2" t="e">
        <f t="shared" si="15"/>
        <v>#REF!</v>
      </c>
      <c r="BW14" s="2" t="e">
        <f t="shared" si="16"/>
        <v>#REF!</v>
      </c>
      <c r="BX14" s="121" t="e">
        <f>IF(AND(IF(OOC!G14="",0,OOC!G14) &gt;= IF(O14="",0,O14), IF(O14="",0,O14) &gt; IF(L14="",0,L14)), "OOC",
IF(AND(IF(M14="",0,M14) &gt; IF(P14="",0,P14), IF(P14="",0,P14) &gt;= IF(OOC!H14="",0,OOC!H14)), "OOC",
IF(IF(O14="",0,O14) &gt; IF(OOC!G14="",0,OOC!G14), "OOS",
IF(IF(OOC!H14="",0,OOC!H14) &gt; IF(P14="",0,P14), "OOS", "OK"))))</f>
        <v>#REF!</v>
      </c>
    </row>
    <row r="15" spans="1:76" ht="15" customHeight="1">
      <c r="A15" s="13"/>
      <c r="B15" s="88" t="s">
        <v>111</v>
      </c>
      <c r="C15" s="78" t="s">
        <v>101</v>
      </c>
      <c r="D15" s="89" t="s">
        <v>114</v>
      </c>
      <c r="E15" s="90">
        <v>1.5</v>
      </c>
      <c r="F15" s="66" t="s">
        <v>44</v>
      </c>
      <c r="G15" s="91">
        <v>0.5</v>
      </c>
      <c r="H15" s="92" t="str">
        <f>IF(OOC!S15=0,"",OOC!S15)</f>
        <v/>
      </c>
      <c r="I15" s="92" t="str">
        <f>IF(OOC!T15=0,"",OOC!T15)</f>
        <v/>
      </c>
      <c r="J15" s="68" t="s">
        <v>12</v>
      </c>
      <c r="K15" s="69" t="s">
        <v>80</v>
      </c>
      <c r="L15" s="70" t="e">
        <f t="shared" si="0"/>
        <v>#VALUE!</v>
      </c>
      <c r="M15" s="70" t="e">
        <f t="shared" si="1"/>
        <v>#VALUE!</v>
      </c>
      <c r="N15" s="71"/>
      <c r="O15" s="2" t="e">
        <f t="shared" si="2"/>
        <v>#REF!</v>
      </c>
      <c r="P15" s="2" t="e">
        <f t="shared" si="3"/>
        <v>#REF!</v>
      </c>
      <c r="Q15" s="2" t="e">
        <f t="shared" si="4"/>
        <v>#REF!</v>
      </c>
      <c r="R15" s="3" t="e">
        <f t="shared" si="5"/>
        <v>#REF!</v>
      </c>
      <c r="S15" s="4" t="e">
        <f t="shared" si="10"/>
        <v>#REF!</v>
      </c>
      <c r="T15" s="84" t="e">
        <f t="shared" si="11"/>
        <v>#REF!</v>
      </c>
      <c r="U15" s="85" t="e">
        <f t="shared" si="12"/>
        <v>#REF!</v>
      </c>
      <c r="V15" s="4" t="e">
        <f t="shared" si="6"/>
        <v>#REF!</v>
      </c>
      <c r="W15" s="4" t="e">
        <f t="shared" si="7"/>
        <v>#REF!</v>
      </c>
      <c r="X15" s="4" t="e">
        <f t="shared" si="8"/>
        <v>#REF!</v>
      </c>
      <c r="Y15" s="62" t="e">
        <f t="shared" si="9"/>
        <v>#REF!</v>
      </c>
      <c r="Z15" s="22"/>
      <c r="AA15" s="22"/>
      <c r="AB15" s="22"/>
      <c r="AC15" s="22"/>
      <c r="AD15" s="19"/>
      <c r="AE15" s="14"/>
      <c r="AF15" s="74"/>
      <c r="AG15" s="49"/>
      <c r="AH15" s="49"/>
      <c r="AI15" s="50"/>
      <c r="AJ15" s="15"/>
      <c r="AK15" s="77" t="e">
        <f>#REF!</f>
        <v>#REF!</v>
      </c>
      <c r="AL15" s="77" t="e">
        <f>#REF!</f>
        <v>#REF!</v>
      </c>
      <c r="AM15" s="77" t="e">
        <f>#REF!</f>
        <v>#REF!</v>
      </c>
      <c r="AN15" s="77" t="e">
        <f>#REF!</f>
        <v>#REF!</v>
      </c>
      <c r="AO15" s="77" t="e">
        <f>#REF!</f>
        <v>#REF!</v>
      </c>
      <c r="AP15" s="77" t="e">
        <f>#REF!</f>
        <v>#REF!</v>
      </c>
      <c r="AQ15" s="77" t="e">
        <f>#REF!</f>
        <v>#REF!</v>
      </c>
      <c r="AR15" s="77" t="e">
        <f>#REF!</f>
        <v>#REF!</v>
      </c>
      <c r="AS15" s="77" t="e">
        <f>#REF!</f>
        <v>#REF!</v>
      </c>
      <c r="AT15" s="77" t="e">
        <f>#REF!</f>
        <v>#REF!</v>
      </c>
      <c r="AU15" s="77" t="e">
        <f>#REF!</f>
        <v>#REF!</v>
      </c>
      <c r="AV15" s="77" t="e">
        <f>#REF!</f>
        <v>#REF!</v>
      </c>
      <c r="AW15" s="77" t="e">
        <f>#REF!</f>
        <v>#REF!</v>
      </c>
      <c r="AX15" s="77" t="e">
        <f>#REF!</f>
        <v>#REF!</v>
      </c>
      <c r="AY15" s="77" t="e">
        <f>#REF!</f>
        <v>#REF!</v>
      </c>
      <c r="AZ15" s="77" t="e">
        <f>#REF!</f>
        <v>#REF!</v>
      </c>
      <c r="BA15" s="77" t="e">
        <f>#REF!</f>
        <v>#REF!</v>
      </c>
      <c r="BB15" s="77" t="e">
        <f>#REF!</f>
        <v>#REF!</v>
      </c>
      <c r="BC15" s="77" t="e">
        <f>#REF!</f>
        <v>#REF!</v>
      </c>
      <c r="BD15" s="77" t="e">
        <f>#REF!</f>
        <v>#REF!</v>
      </c>
      <c r="BE15" s="77" t="e">
        <f>#REF!</f>
        <v>#REF!</v>
      </c>
      <c r="BF15" s="77" t="e">
        <f>#REF!</f>
        <v>#REF!</v>
      </c>
      <c r="BG15" s="77" t="e">
        <f>#REF!</f>
        <v>#REF!</v>
      </c>
      <c r="BH15" s="77" t="e">
        <f>#REF!</f>
        <v>#REF!</v>
      </c>
      <c r="BI15" s="77" t="e">
        <f>#REF!</f>
        <v>#REF!</v>
      </c>
      <c r="BJ15" s="77" t="e">
        <f>#REF!</f>
        <v>#REF!</v>
      </c>
      <c r="BK15" s="77" t="e">
        <f>#REF!</f>
        <v>#REF!</v>
      </c>
      <c r="BL15" s="77" t="e">
        <f>#REF!</f>
        <v>#REF!</v>
      </c>
      <c r="BM15" s="77" t="e">
        <f>#REF!</f>
        <v>#REF!</v>
      </c>
      <c r="BN15" s="77" t="e">
        <f>#REF!</f>
        <v>#REF!</v>
      </c>
      <c r="BO15" s="77" t="e">
        <f>#REF!</f>
        <v>#REF!</v>
      </c>
      <c r="BP15" s="77" t="e">
        <f>#REF!</f>
        <v>#REF!</v>
      </c>
      <c r="BR15" s="119" t="str">
        <f t="shared" si="13"/>
        <v>FAI6-2</v>
      </c>
      <c r="BS15" s="120">
        <f>OOC!G15</f>
        <v>0.51</v>
      </c>
      <c r="BT15" s="120">
        <f>OOC!H15</f>
        <v>0.49</v>
      </c>
      <c r="BU15" s="2" t="e">
        <f t="shared" si="14"/>
        <v>#REF!</v>
      </c>
      <c r="BV15" s="2" t="e">
        <f t="shared" si="15"/>
        <v>#REF!</v>
      </c>
      <c r="BW15" s="2" t="e">
        <f t="shared" si="16"/>
        <v>#REF!</v>
      </c>
      <c r="BX15" s="121" t="e">
        <f>IF(AND(IF(OOC!G15="",0,OOC!G15) &gt;= IF(O15="",0,O15), IF(O15="",0,O15) &gt; IF(L15="",0,L15)), "OOC",
IF(AND(IF(M15="",0,M15) &gt; IF(P15="",0,P15), IF(P15="",0,P15) &gt;= IF(OOC!H15="",0,OOC!H15)), "OOC",
IF(IF(O15="",0,O15) &gt; IF(OOC!G15="",0,OOC!G15), "OOS",
IF(IF(OOC!H15="",0,OOC!H15) &gt; IF(P15="",0,P15), "OOS", "OK"))))</f>
        <v>#REF!</v>
      </c>
    </row>
    <row r="16" spans="1:76" ht="15" customHeight="1">
      <c r="A16" s="13"/>
      <c r="B16" s="88" t="s">
        <v>111</v>
      </c>
      <c r="C16" s="78" t="s">
        <v>102</v>
      </c>
      <c r="D16" s="89" t="s">
        <v>114</v>
      </c>
      <c r="E16" s="90">
        <v>1.5</v>
      </c>
      <c r="F16" s="66" t="s">
        <v>44</v>
      </c>
      <c r="G16" s="91">
        <v>0.5</v>
      </c>
      <c r="H16" s="92" t="str">
        <f>IF(OOC!S16=0,"",OOC!S16)</f>
        <v/>
      </c>
      <c r="I16" s="92" t="str">
        <f>IF(OOC!T16=0,"",OOC!T16)</f>
        <v/>
      </c>
      <c r="J16" s="68" t="s">
        <v>12</v>
      </c>
      <c r="K16" s="69" t="s">
        <v>80</v>
      </c>
      <c r="L16" s="70" t="e">
        <f t="shared" si="0"/>
        <v>#VALUE!</v>
      </c>
      <c r="M16" s="70" t="e">
        <f t="shared" si="1"/>
        <v>#VALUE!</v>
      </c>
      <c r="N16" s="71"/>
      <c r="O16" s="2" t="e">
        <f t="shared" si="2"/>
        <v>#REF!</v>
      </c>
      <c r="P16" s="2" t="e">
        <f t="shared" si="3"/>
        <v>#REF!</v>
      </c>
      <c r="Q16" s="2" t="e">
        <f t="shared" si="4"/>
        <v>#REF!</v>
      </c>
      <c r="R16" s="3" t="e">
        <f t="shared" si="5"/>
        <v>#REF!</v>
      </c>
      <c r="S16" s="4" t="e">
        <f t="shared" si="10"/>
        <v>#REF!</v>
      </c>
      <c r="T16" s="84" t="e">
        <f t="shared" si="11"/>
        <v>#REF!</v>
      </c>
      <c r="U16" s="85" t="e">
        <f t="shared" si="12"/>
        <v>#REF!</v>
      </c>
      <c r="V16" s="4" t="e">
        <f t="shared" si="6"/>
        <v>#REF!</v>
      </c>
      <c r="W16" s="4" t="e">
        <f t="shared" si="7"/>
        <v>#REF!</v>
      </c>
      <c r="X16" s="4" t="e">
        <f t="shared" si="8"/>
        <v>#REF!</v>
      </c>
      <c r="Y16" s="62" t="e">
        <f t="shared" si="9"/>
        <v>#REF!</v>
      </c>
      <c r="Z16" s="22"/>
      <c r="AA16" s="22"/>
      <c r="AB16" s="22"/>
      <c r="AC16" s="22"/>
      <c r="AD16" s="19"/>
      <c r="AE16" s="14"/>
      <c r="AF16" s="74"/>
      <c r="AG16" s="49"/>
      <c r="AH16" s="49"/>
      <c r="AI16" s="50"/>
      <c r="AJ16" s="15"/>
      <c r="AK16" s="77" t="e">
        <f>#REF!</f>
        <v>#REF!</v>
      </c>
      <c r="AL16" s="77" t="e">
        <f>#REF!</f>
        <v>#REF!</v>
      </c>
      <c r="AM16" s="77" t="e">
        <f>#REF!</f>
        <v>#REF!</v>
      </c>
      <c r="AN16" s="77" t="e">
        <f>#REF!</f>
        <v>#REF!</v>
      </c>
      <c r="AO16" s="77" t="e">
        <f>#REF!</f>
        <v>#REF!</v>
      </c>
      <c r="AP16" s="77" t="e">
        <f>#REF!</f>
        <v>#REF!</v>
      </c>
      <c r="AQ16" s="77" t="e">
        <f>#REF!</f>
        <v>#REF!</v>
      </c>
      <c r="AR16" s="77" t="e">
        <f>#REF!</f>
        <v>#REF!</v>
      </c>
      <c r="AS16" s="77" t="e">
        <f>#REF!</f>
        <v>#REF!</v>
      </c>
      <c r="AT16" s="77" t="e">
        <f>#REF!</f>
        <v>#REF!</v>
      </c>
      <c r="AU16" s="77" t="e">
        <f>#REF!</f>
        <v>#REF!</v>
      </c>
      <c r="AV16" s="77" t="e">
        <f>#REF!</f>
        <v>#REF!</v>
      </c>
      <c r="AW16" s="77" t="e">
        <f>#REF!</f>
        <v>#REF!</v>
      </c>
      <c r="AX16" s="77" t="e">
        <f>#REF!</f>
        <v>#REF!</v>
      </c>
      <c r="AY16" s="77" t="e">
        <f>#REF!</f>
        <v>#REF!</v>
      </c>
      <c r="AZ16" s="77" t="e">
        <f>#REF!</f>
        <v>#REF!</v>
      </c>
      <c r="BA16" s="77" t="e">
        <f>#REF!</f>
        <v>#REF!</v>
      </c>
      <c r="BB16" s="77" t="e">
        <f>#REF!</f>
        <v>#REF!</v>
      </c>
      <c r="BC16" s="77" t="e">
        <f>#REF!</f>
        <v>#REF!</v>
      </c>
      <c r="BD16" s="77" t="e">
        <f>#REF!</f>
        <v>#REF!</v>
      </c>
      <c r="BE16" s="77" t="e">
        <f>#REF!</f>
        <v>#REF!</v>
      </c>
      <c r="BF16" s="77" t="e">
        <f>#REF!</f>
        <v>#REF!</v>
      </c>
      <c r="BG16" s="77" t="e">
        <f>#REF!</f>
        <v>#REF!</v>
      </c>
      <c r="BH16" s="77" t="e">
        <f>#REF!</f>
        <v>#REF!</v>
      </c>
      <c r="BI16" s="77" t="e">
        <f>#REF!</f>
        <v>#REF!</v>
      </c>
      <c r="BJ16" s="77" t="e">
        <f>#REF!</f>
        <v>#REF!</v>
      </c>
      <c r="BK16" s="77" t="e">
        <f>#REF!</f>
        <v>#REF!</v>
      </c>
      <c r="BL16" s="77" t="e">
        <f>#REF!</f>
        <v>#REF!</v>
      </c>
      <c r="BM16" s="77" t="e">
        <f>#REF!</f>
        <v>#REF!</v>
      </c>
      <c r="BN16" s="77" t="e">
        <f>#REF!</f>
        <v>#REF!</v>
      </c>
      <c r="BO16" s="77" t="e">
        <f>#REF!</f>
        <v>#REF!</v>
      </c>
      <c r="BP16" s="77" t="e">
        <f>#REF!</f>
        <v>#REF!</v>
      </c>
      <c r="BR16" s="119" t="str">
        <f t="shared" si="13"/>
        <v>FAI6-3</v>
      </c>
      <c r="BS16" s="120">
        <f>OOC!G16</f>
        <v>0.51</v>
      </c>
      <c r="BT16" s="120">
        <f>OOC!H16</f>
        <v>0.49</v>
      </c>
      <c r="BU16" s="2" t="e">
        <f t="shared" si="14"/>
        <v>#REF!</v>
      </c>
      <c r="BV16" s="2" t="e">
        <f t="shared" si="15"/>
        <v>#REF!</v>
      </c>
      <c r="BW16" s="2" t="e">
        <f t="shared" si="16"/>
        <v>#REF!</v>
      </c>
      <c r="BX16" s="121" t="e">
        <f>IF(AND(IF(OOC!G16="",0,OOC!G16) &gt;= IF(O16="",0,O16), IF(O16="",0,O16) &gt; IF(L16="",0,L16)), "OOC",
IF(AND(IF(M16="",0,M16) &gt; IF(P16="",0,P16), IF(P16="",0,P16) &gt;= IF(OOC!H16="",0,OOC!H16)), "OOC",
IF(IF(O16="",0,O16) &gt; IF(OOC!G16="",0,OOC!G16), "OOS",
IF(IF(OOC!H16="",0,OOC!H16) &gt; IF(P16="",0,P16), "OOS", "OK"))))</f>
        <v>#REF!</v>
      </c>
    </row>
    <row r="17" spans="1:76" ht="15" customHeight="1">
      <c r="A17" s="13"/>
      <c r="B17" s="88" t="s">
        <v>162</v>
      </c>
      <c r="C17" s="78" t="s">
        <v>100</v>
      </c>
      <c r="D17" s="89" t="s">
        <v>114</v>
      </c>
      <c r="E17" s="90"/>
      <c r="F17" s="66" t="s">
        <v>44</v>
      </c>
      <c r="G17" s="91">
        <v>0.5</v>
      </c>
      <c r="H17" s="92">
        <f>IF(OOC!S17=0,"",OOC!S17)</f>
        <v>0.01</v>
      </c>
      <c r="I17" s="92">
        <f>IF(OOC!T17=0,"",OOC!T17)</f>
        <v>-0.01</v>
      </c>
      <c r="J17" s="68" t="s">
        <v>12</v>
      </c>
      <c r="K17" s="69" t="s">
        <v>80</v>
      </c>
      <c r="L17" s="70">
        <f t="shared" si="0"/>
        <v>0.51</v>
      </c>
      <c r="M17" s="70">
        <f t="shared" si="1"/>
        <v>0.49</v>
      </c>
      <c r="N17" s="71"/>
      <c r="O17" s="2" t="e">
        <f t="shared" si="2"/>
        <v>#REF!</v>
      </c>
      <c r="P17" s="2" t="e">
        <f t="shared" si="3"/>
        <v>#REF!</v>
      </c>
      <c r="Q17" s="2" t="e">
        <f t="shared" si="4"/>
        <v>#REF!</v>
      </c>
      <c r="R17" s="3" t="e">
        <f t="shared" si="5"/>
        <v>#REF!</v>
      </c>
      <c r="S17" s="4" t="e">
        <f t="shared" si="10"/>
        <v>#REF!</v>
      </c>
      <c r="T17" s="84" t="e">
        <f t="shared" si="11"/>
        <v>#REF!</v>
      </c>
      <c r="U17" s="85" t="e">
        <f t="shared" si="12"/>
        <v>#REF!</v>
      </c>
      <c r="V17" s="4" t="e">
        <f t="shared" si="6"/>
        <v>#REF!</v>
      </c>
      <c r="W17" s="4" t="e">
        <f t="shared" si="7"/>
        <v>#REF!</v>
      </c>
      <c r="X17" s="4" t="e">
        <f t="shared" si="8"/>
        <v>#REF!</v>
      </c>
      <c r="Y17" s="62" t="e">
        <f t="shared" si="9"/>
        <v>#REF!</v>
      </c>
      <c r="Z17" s="22"/>
      <c r="AA17" s="22"/>
      <c r="AB17" s="22"/>
      <c r="AC17" s="22"/>
      <c r="AD17" s="19"/>
      <c r="AE17" s="14"/>
      <c r="AF17" s="74"/>
      <c r="AG17" s="49"/>
      <c r="AH17" s="49"/>
      <c r="AI17" s="50"/>
      <c r="AJ17" s="15"/>
      <c r="AK17" s="77" t="e">
        <f>#REF!</f>
        <v>#REF!</v>
      </c>
      <c r="AL17" s="77" t="e">
        <f>#REF!</f>
        <v>#REF!</v>
      </c>
      <c r="AM17" s="77" t="e">
        <f>#REF!</f>
        <v>#REF!</v>
      </c>
      <c r="AN17" s="77" t="e">
        <f>#REF!</f>
        <v>#REF!</v>
      </c>
      <c r="AO17" s="77" t="e">
        <f>#REF!</f>
        <v>#REF!</v>
      </c>
      <c r="AP17" s="77" t="e">
        <f>#REF!</f>
        <v>#REF!</v>
      </c>
      <c r="AQ17" s="77" t="e">
        <f>#REF!</f>
        <v>#REF!</v>
      </c>
      <c r="AR17" s="77" t="e">
        <f>#REF!</f>
        <v>#REF!</v>
      </c>
      <c r="AS17" s="77" t="e">
        <f>#REF!</f>
        <v>#REF!</v>
      </c>
      <c r="AT17" s="77" t="e">
        <f>#REF!</f>
        <v>#REF!</v>
      </c>
      <c r="AU17" s="77" t="e">
        <f>#REF!</f>
        <v>#REF!</v>
      </c>
      <c r="AV17" s="77" t="e">
        <f>#REF!</f>
        <v>#REF!</v>
      </c>
      <c r="AW17" s="77" t="e">
        <f>#REF!</f>
        <v>#REF!</v>
      </c>
      <c r="AX17" s="77" t="e">
        <f>#REF!</f>
        <v>#REF!</v>
      </c>
      <c r="AY17" s="77" t="e">
        <f>#REF!</f>
        <v>#REF!</v>
      </c>
      <c r="AZ17" s="77" t="e">
        <f>#REF!</f>
        <v>#REF!</v>
      </c>
      <c r="BA17" s="77" t="e">
        <f>#REF!</f>
        <v>#REF!</v>
      </c>
      <c r="BB17" s="77" t="e">
        <f>#REF!</f>
        <v>#REF!</v>
      </c>
      <c r="BC17" s="77" t="e">
        <f>#REF!</f>
        <v>#REF!</v>
      </c>
      <c r="BD17" s="77" t="e">
        <f>#REF!</f>
        <v>#REF!</v>
      </c>
      <c r="BE17" s="77" t="e">
        <f>#REF!</f>
        <v>#REF!</v>
      </c>
      <c r="BF17" s="77" t="e">
        <f>#REF!</f>
        <v>#REF!</v>
      </c>
      <c r="BG17" s="77" t="e">
        <f>#REF!</f>
        <v>#REF!</v>
      </c>
      <c r="BH17" s="77" t="e">
        <f>#REF!</f>
        <v>#REF!</v>
      </c>
      <c r="BI17" s="77" t="e">
        <f>#REF!</f>
        <v>#REF!</v>
      </c>
      <c r="BJ17" s="77" t="e">
        <f>#REF!</f>
        <v>#REF!</v>
      </c>
      <c r="BK17" s="77" t="e">
        <f>#REF!</f>
        <v>#REF!</v>
      </c>
      <c r="BL17" s="77" t="e">
        <f>#REF!</f>
        <v>#REF!</v>
      </c>
      <c r="BM17" s="77" t="e">
        <f>#REF!</f>
        <v>#REF!</v>
      </c>
      <c r="BN17" s="77" t="e">
        <f>#REF!</f>
        <v>#REF!</v>
      </c>
      <c r="BO17" s="77" t="e">
        <f>#REF!</f>
        <v>#REF!</v>
      </c>
      <c r="BP17" s="77" t="e">
        <f>#REF!</f>
        <v>#REF!</v>
      </c>
      <c r="BR17" s="119" t="str">
        <f t="shared" si="13"/>
        <v>FAI6-1(DC)</v>
      </c>
      <c r="BS17" s="120">
        <f>OOC!G17</f>
        <v>0.51</v>
      </c>
      <c r="BT17" s="120">
        <f>OOC!H17</f>
        <v>0.49</v>
      </c>
      <c r="BU17" s="2" t="e">
        <f t="shared" si="14"/>
        <v>#REF!</v>
      </c>
      <c r="BV17" s="2" t="e">
        <f t="shared" si="15"/>
        <v>#REF!</v>
      </c>
      <c r="BW17" s="2" t="e">
        <f t="shared" si="16"/>
        <v>#REF!</v>
      </c>
      <c r="BX17" s="121"/>
    </row>
    <row r="18" spans="1:76" ht="15" customHeight="1">
      <c r="A18" s="13"/>
      <c r="B18" s="88" t="s">
        <v>162</v>
      </c>
      <c r="C18" s="78" t="s">
        <v>101</v>
      </c>
      <c r="D18" s="89" t="s">
        <v>114</v>
      </c>
      <c r="E18" s="90"/>
      <c r="F18" s="66" t="s">
        <v>44</v>
      </c>
      <c r="G18" s="91">
        <v>0.5</v>
      </c>
      <c r="H18" s="92">
        <f>IF(OOC!S18=0,"",OOC!S18)</f>
        <v>0.01</v>
      </c>
      <c r="I18" s="92">
        <f>IF(OOC!T18=0,"",OOC!T18)</f>
        <v>-0.01</v>
      </c>
      <c r="J18" s="68" t="s">
        <v>12</v>
      </c>
      <c r="K18" s="69" t="s">
        <v>80</v>
      </c>
      <c r="L18" s="70">
        <f t="shared" si="0"/>
        <v>0.51</v>
      </c>
      <c r="M18" s="70">
        <f t="shared" si="1"/>
        <v>0.49</v>
      </c>
      <c r="N18" s="71"/>
      <c r="O18" s="2" t="e">
        <f t="shared" si="2"/>
        <v>#REF!</v>
      </c>
      <c r="P18" s="2" t="e">
        <f t="shared" si="3"/>
        <v>#REF!</v>
      </c>
      <c r="Q18" s="2" t="e">
        <f t="shared" si="4"/>
        <v>#REF!</v>
      </c>
      <c r="R18" s="3" t="e">
        <f t="shared" si="5"/>
        <v>#REF!</v>
      </c>
      <c r="S18" s="4" t="e">
        <f t="shared" si="10"/>
        <v>#REF!</v>
      </c>
      <c r="T18" s="84" t="e">
        <f t="shared" si="11"/>
        <v>#REF!</v>
      </c>
      <c r="U18" s="85" t="e">
        <f t="shared" si="12"/>
        <v>#REF!</v>
      </c>
      <c r="V18" s="4" t="e">
        <f t="shared" si="6"/>
        <v>#REF!</v>
      </c>
      <c r="W18" s="4" t="e">
        <f t="shared" si="7"/>
        <v>#REF!</v>
      </c>
      <c r="X18" s="4" t="e">
        <f t="shared" si="8"/>
        <v>#REF!</v>
      </c>
      <c r="Y18" s="62" t="e">
        <f t="shared" si="9"/>
        <v>#REF!</v>
      </c>
      <c r="Z18" s="22"/>
      <c r="AA18" s="22"/>
      <c r="AB18" s="22"/>
      <c r="AC18" s="22"/>
      <c r="AD18" s="19"/>
      <c r="AE18" s="14"/>
      <c r="AF18" s="74"/>
      <c r="AG18" s="49"/>
      <c r="AH18" s="49"/>
      <c r="AI18" s="50"/>
      <c r="AJ18" s="15"/>
      <c r="AK18" s="77" t="e">
        <f>#REF!</f>
        <v>#REF!</v>
      </c>
      <c r="AL18" s="77" t="e">
        <f>#REF!</f>
        <v>#REF!</v>
      </c>
      <c r="AM18" s="77" t="e">
        <f>#REF!</f>
        <v>#REF!</v>
      </c>
      <c r="AN18" s="77" t="e">
        <f>#REF!</f>
        <v>#REF!</v>
      </c>
      <c r="AO18" s="77" t="e">
        <f>#REF!</f>
        <v>#REF!</v>
      </c>
      <c r="AP18" s="77" t="e">
        <f>#REF!</f>
        <v>#REF!</v>
      </c>
      <c r="AQ18" s="77" t="e">
        <f>#REF!</f>
        <v>#REF!</v>
      </c>
      <c r="AR18" s="77" t="e">
        <f>#REF!</f>
        <v>#REF!</v>
      </c>
      <c r="AS18" s="77" t="e">
        <f>#REF!</f>
        <v>#REF!</v>
      </c>
      <c r="AT18" s="77" t="e">
        <f>#REF!</f>
        <v>#REF!</v>
      </c>
      <c r="AU18" s="77" t="e">
        <f>#REF!</f>
        <v>#REF!</v>
      </c>
      <c r="AV18" s="77" t="e">
        <f>#REF!</f>
        <v>#REF!</v>
      </c>
      <c r="AW18" s="77" t="e">
        <f>#REF!</f>
        <v>#REF!</v>
      </c>
      <c r="AX18" s="77" t="e">
        <f>#REF!</f>
        <v>#REF!</v>
      </c>
      <c r="AY18" s="77" t="e">
        <f>#REF!</f>
        <v>#REF!</v>
      </c>
      <c r="AZ18" s="77" t="e">
        <f>#REF!</f>
        <v>#REF!</v>
      </c>
      <c r="BA18" s="77" t="e">
        <f>#REF!</f>
        <v>#REF!</v>
      </c>
      <c r="BB18" s="77" t="e">
        <f>#REF!</f>
        <v>#REF!</v>
      </c>
      <c r="BC18" s="77" t="e">
        <f>#REF!</f>
        <v>#REF!</v>
      </c>
      <c r="BD18" s="77" t="e">
        <f>#REF!</f>
        <v>#REF!</v>
      </c>
      <c r="BE18" s="77" t="e">
        <f>#REF!</f>
        <v>#REF!</v>
      </c>
      <c r="BF18" s="77" t="e">
        <f>#REF!</f>
        <v>#REF!</v>
      </c>
      <c r="BG18" s="77" t="e">
        <f>#REF!</f>
        <v>#REF!</v>
      </c>
      <c r="BH18" s="77" t="e">
        <f>#REF!</f>
        <v>#REF!</v>
      </c>
      <c r="BI18" s="77" t="e">
        <f>#REF!</f>
        <v>#REF!</v>
      </c>
      <c r="BJ18" s="77" t="e">
        <f>#REF!</f>
        <v>#REF!</v>
      </c>
      <c r="BK18" s="77" t="e">
        <f>#REF!</f>
        <v>#REF!</v>
      </c>
      <c r="BL18" s="77" t="e">
        <f>#REF!</f>
        <v>#REF!</v>
      </c>
      <c r="BM18" s="77" t="e">
        <f>#REF!</f>
        <v>#REF!</v>
      </c>
      <c r="BN18" s="77" t="e">
        <f>#REF!</f>
        <v>#REF!</v>
      </c>
      <c r="BO18" s="77" t="e">
        <f>#REF!</f>
        <v>#REF!</v>
      </c>
      <c r="BP18" s="77" t="e">
        <f>#REF!</f>
        <v>#REF!</v>
      </c>
      <c r="BR18" s="119" t="str">
        <f t="shared" si="13"/>
        <v>FAI6-2(DC)</v>
      </c>
      <c r="BS18" s="120">
        <f>OOC!G18</f>
        <v>0.51</v>
      </c>
      <c r="BT18" s="120">
        <f>OOC!H18</f>
        <v>0.49</v>
      </c>
      <c r="BU18" s="2" t="e">
        <f t="shared" si="14"/>
        <v>#REF!</v>
      </c>
      <c r="BV18" s="2" t="e">
        <f t="shared" si="15"/>
        <v>#REF!</v>
      </c>
      <c r="BW18" s="2" t="e">
        <f t="shared" si="16"/>
        <v>#REF!</v>
      </c>
      <c r="BX18" s="121"/>
    </row>
    <row r="19" spans="1:76" ht="15" customHeight="1">
      <c r="A19" s="13"/>
      <c r="B19" s="88" t="s">
        <v>162</v>
      </c>
      <c r="C19" s="78" t="s">
        <v>102</v>
      </c>
      <c r="D19" s="89" t="s">
        <v>114</v>
      </c>
      <c r="E19" s="90"/>
      <c r="F19" s="66" t="s">
        <v>44</v>
      </c>
      <c r="G19" s="91">
        <v>0.5</v>
      </c>
      <c r="H19" s="92">
        <f>IF(OOC!S19=0,"",OOC!S19)</f>
        <v>0.01</v>
      </c>
      <c r="I19" s="92">
        <f>IF(OOC!T19=0,"",OOC!T19)</f>
        <v>-0.01</v>
      </c>
      <c r="J19" s="68" t="s">
        <v>12</v>
      </c>
      <c r="K19" s="69" t="s">
        <v>80</v>
      </c>
      <c r="L19" s="70">
        <f t="shared" si="0"/>
        <v>0.51</v>
      </c>
      <c r="M19" s="70">
        <f t="shared" si="1"/>
        <v>0.49</v>
      </c>
      <c r="N19" s="71"/>
      <c r="O19" s="2" t="e">
        <f t="shared" si="2"/>
        <v>#REF!</v>
      </c>
      <c r="P19" s="2" t="e">
        <f t="shared" si="3"/>
        <v>#REF!</v>
      </c>
      <c r="Q19" s="2" t="e">
        <f t="shared" si="4"/>
        <v>#REF!</v>
      </c>
      <c r="R19" s="3" t="e">
        <f t="shared" si="5"/>
        <v>#REF!</v>
      </c>
      <c r="S19" s="4" t="e">
        <f t="shared" si="10"/>
        <v>#REF!</v>
      </c>
      <c r="T19" s="84" t="e">
        <f t="shared" si="11"/>
        <v>#REF!</v>
      </c>
      <c r="U19" s="85" t="e">
        <f t="shared" si="12"/>
        <v>#REF!</v>
      </c>
      <c r="V19" s="4" t="e">
        <f t="shared" si="6"/>
        <v>#REF!</v>
      </c>
      <c r="W19" s="4" t="e">
        <f t="shared" si="7"/>
        <v>#REF!</v>
      </c>
      <c r="X19" s="4" t="e">
        <f t="shared" si="8"/>
        <v>#REF!</v>
      </c>
      <c r="Y19" s="62" t="e">
        <f t="shared" si="9"/>
        <v>#REF!</v>
      </c>
      <c r="Z19" s="22"/>
      <c r="AA19" s="22"/>
      <c r="AB19" s="22"/>
      <c r="AC19" s="22"/>
      <c r="AD19" s="19"/>
      <c r="AE19" s="14"/>
      <c r="AF19" s="74"/>
      <c r="AG19" s="49"/>
      <c r="AH19" s="49"/>
      <c r="AI19" s="50"/>
      <c r="AJ19" s="15"/>
      <c r="AK19" s="77" t="e">
        <f>#REF!</f>
        <v>#REF!</v>
      </c>
      <c r="AL19" s="77" t="e">
        <f>#REF!</f>
        <v>#REF!</v>
      </c>
      <c r="AM19" s="77" t="e">
        <f>#REF!</f>
        <v>#REF!</v>
      </c>
      <c r="AN19" s="77" t="e">
        <f>#REF!</f>
        <v>#REF!</v>
      </c>
      <c r="AO19" s="77" t="e">
        <f>#REF!</f>
        <v>#REF!</v>
      </c>
      <c r="AP19" s="77" t="e">
        <f>#REF!</f>
        <v>#REF!</v>
      </c>
      <c r="AQ19" s="77" t="e">
        <f>#REF!</f>
        <v>#REF!</v>
      </c>
      <c r="AR19" s="77" t="e">
        <f>#REF!</f>
        <v>#REF!</v>
      </c>
      <c r="AS19" s="77" t="e">
        <f>#REF!</f>
        <v>#REF!</v>
      </c>
      <c r="AT19" s="77" t="e">
        <f>#REF!</f>
        <v>#REF!</v>
      </c>
      <c r="AU19" s="77" t="e">
        <f>#REF!</f>
        <v>#REF!</v>
      </c>
      <c r="AV19" s="77" t="e">
        <f>#REF!</f>
        <v>#REF!</v>
      </c>
      <c r="AW19" s="77" t="e">
        <f>#REF!</f>
        <v>#REF!</v>
      </c>
      <c r="AX19" s="77" t="e">
        <f>#REF!</f>
        <v>#REF!</v>
      </c>
      <c r="AY19" s="77" t="e">
        <f>#REF!</f>
        <v>#REF!</v>
      </c>
      <c r="AZ19" s="77" t="e">
        <f>#REF!</f>
        <v>#REF!</v>
      </c>
      <c r="BA19" s="77" t="e">
        <f>#REF!</f>
        <v>#REF!</v>
      </c>
      <c r="BB19" s="77" t="e">
        <f>#REF!</f>
        <v>#REF!</v>
      </c>
      <c r="BC19" s="77" t="e">
        <f>#REF!</f>
        <v>#REF!</v>
      </c>
      <c r="BD19" s="77" t="e">
        <f>#REF!</f>
        <v>#REF!</v>
      </c>
      <c r="BE19" s="77" t="e">
        <f>#REF!</f>
        <v>#REF!</v>
      </c>
      <c r="BF19" s="77" t="e">
        <f>#REF!</f>
        <v>#REF!</v>
      </c>
      <c r="BG19" s="77" t="e">
        <f>#REF!</f>
        <v>#REF!</v>
      </c>
      <c r="BH19" s="77" t="e">
        <f>#REF!</f>
        <v>#REF!</v>
      </c>
      <c r="BI19" s="77" t="e">
        <f>#REF!</f>
        <v>#REF!</v>
      </c>
      <c r="BJ19" s="77" t="e">
        <f>#REF!</f>
        <v>#REF!</v>
      </c>
      <c r="BK19" s="77" t="e">
        <f>#REF!</f>
        <v>#REF!</v>
      </c>
      <c r="BL19" s="77" t="e">
        <f>#REF!</f>
        <v>#REF!</v>
      </c>
      <c r="BM19" s="77" t="e">
        <f>#REF!</f>
        <v>#REF!</v>
      </c>
      <c r="BN19" s="77" t="e">
        <f>#REF!</f>
        <v>#REF!</v>
      </c>
      <c r="BO19" s="77" t="e">
        <f>#REF!</f>
        <v>#REF!</v>
      </c>
      <c r="BP19" s="77" t="e">
        <f>#REF!</f>
        <v>#REF!</v>
      </c>
      <c r="BR19" s="123" t="str">
        <f t="shared" si="13"/>
        <v>FAI6-3(DC)</v>
      </c>
      <c r="BS19" s="120">
        <f>OOC!G19</f>
        <v>0.51</v>
      </c>
      <c r="BT19" s="120">
        <f>OOC!H19</f>
        <v>0.49</v>
      </c>
      <c r="BU19" s="2" t="e">
        <f t="shared" si="14"/>
        <v>#REF!</v>
      </c>
      <c r="BV19" s="2" t="e">
        <f t="shared" si="15"/>
        <v>#REF!</v>
      </c>
      <c r="BW19" s="2" t="e">
        <f t="shared" si="16"/>
        <v>#REF!</v>
      </c>
      <c r="BX19" s="121"/>
    </row>
    <row r="20" spans="1:76" ht="15" customHeight="1">
      <c r="A20" s="13"/>
      <c r="B20" s="88" t="s">
        <v>112</v>
      </c>
      <c r="C20" s="78" t="s">
        <v>103</v>
      </c>
      <c r="D20" s="89" t="s">
        <v>115</v>
      </c>
      <c r="E20" s="90">
        <v>1.5</v>
      </c>
      <c r="F20" s="66" t="s">
        <v>41</v>
      </c>
      <c r="G20" s="67"/>
      <c r="H20" s="92" t="str">
        <f>IF(OOC!S20=0,"",OOC!S20)</f>
        <v/>
      </c>
      <c r="I20" s="92" t="str">
        <f>IF(OOC!T20=0,"",OOC!T20)</f>
        <v/>
      </c>
      <c r="J20" s="68" t="s">
        <v>12</v>
      </c>
      <c r="K20" s="69" t="s">
        <v>80</v>
      </c>
      <c r="L20" s="70" t="str">
        <f t="shared" si="0"/>
        <v/>
      </c>
      <c r="M20" s="70" t="str">
        <f t="shared" si="1"/>
        <v/>
      </c>
      <c r="N20" s="71"/>
      <c r="O20" s="2" t="e">
        <f t="shared" si="2"/>
        <v>#REF!</v>
      </c>
      <c r="P20" s="2" t="e">
        <f t="shared" si="3"/>
        <v>#REF!</v>
      </c>
      <c r="Q20" s="2" t="e">
        <f t="shared" si="4"/>
        <v>#REF!</v>
      </c>
      <c r="R20" s="3" t="e">
        <f t="shared" si="5"/>
        <v>#REF!</v>
      </c>
      <c r="S20" s="4" t="e">
        <f t="shared" si="10"/>
        <v>#REF!</v>
      </c>
      <c r="T20" s="84" t="e">
        <f t="shared" si="11"/>
        <v>#REF!</v>
      </c>
      <c r="U20" s="85" t="e">
        <f t="shared" si="12"/>
        <v>#REF!</v>
      </c>
      <c r="V20" s="4" t="e">
        <f t="shared" si="6"/>
        <v>#REF!</v>
      </c>
      <c r="W20" s="4" t="e">
        <f t="shared" si="7"/>
        <v>#REF!</v>
      </c>
      <c r="X20" s="4" t="e">
        <f t="shared" si="8"/>
        <v>#REF!</v>
      </c>
      <c r="Y20" s="62" t="e">
        <f t="shared" si="9"/>
        <v>#REF!</v>
      </c>
      <c r="Z20" s="22"/>
      <c r="AA20" s="22"/>
      <c r="AB20" s="22"/>
      <c r="AC20" s="22"/>
      <c r="AD20" s="19"/>
      <c r="AE20" s="14"/>
      <c r="AF20" s="72"/>
      <c r="AG20" s="49"/>
      <c r="AH20" s="49"/>
      <c r="AI20" s="50"/>
      <c r="AJ20" s="15"/>
      <c r="AK20" s="77" t="e">
        <f>#REF!</f>
        <v>#REF!</v>
      </c>
      <c r="AL20" s="77" t="e">
        <f>#REF!</f>
        <v>#REF!</v>
      </c>
      <c r="AM20" s="77" t="e">
        <f>#REF!</f>
        <v>#REF!</v>
      </c>
      <c r="AN20" s="77" t="e">
        <f>#REF!</f>
        <v>#REF!</v>
      </c>
      <c r="AO20" s="77" t="e">
        <f>#REF!</f>
        <v>#REF!</v>
      </c>
      <c r="AP20" s="77" t="e">
        <f>#REF!</f>
        <v>#REF!</v>
      </c>
      <c r="AQ20" s="77" t="e">
        <f>#REF!</f>
        <v>#REF!</v>
      </c>
      <c r="AR20" s="77" t="e">
        <f>#REF!</f>
        <v>#REF!</v>
      </c>
      <c r="AS20" s="77" t="e">
        <f>#REF!</f>
        <v>#REF!</v>
      </c>
      <c r="AT20" s="77" t="e">
        <f>#REF!</f>
        <v>#REF!</v>
      </c>
      <c r="AU20" s="77" t="e">
        <f>#REF!</f>
        <v>#REF!</v>
      </c>
      <c r="AV20" s="77" t="e">
        <f>#REF!</f>
        <v>#REF!</v>
      </c>
      <c r="AW20" s="77" t="e">
        <f>#REF!</f>
        <v>#REF!</v>
      </c>
      <c r="AX20" s="77" t="e">
        <f>#REF!</f>
        <v>#REF!</v>
      </c>
      <c r="AY20" s="77" t="e">
        <f>#REF!</f>
        <v>#REF!</v>
      </c>
      <c r="AZ20" s="77" t="e">
        <f>#REF!</f>
        <v>#REF!</v>
      </c>
      <c r="BA20" s="77" t="e">
        <f>#REF!</f>
        <v>#REF!</v>
      </c>
      <c r="BB20" s="77" t="e">
        <f>#REF!</f>
        <v>#REF!</v>
      </c>
      <c r="BC20" s="77" t="e">
        <f>#REF!</f>
        <v>#REF!</v>
      </c>
      <c r="BD20" s="77" t="e">
        <f>#REF!</f>
        <v>#REF!</v>
      </c>
      <c r="BE20" s="77" t="e">
        <f>#REF!</f>
        <v>#REF!</v>
      </c>
      <c r="BF20" s="77" t="e">
        <f>#REF!</f>
        <v>#REF!</v>
      </c>
      <c r="BG20" s="77" t="e">
        <f>#REF!</f>
        <v>#REF!</v>
      </c>
      <c r="BH20" s="77" t="e">
        <f>#REF!</f>
        <v>#REF!</v>
      </c>
      <c r="BI20" s="77" t="e">
        <f>#REF!</f>
        <v>#REF!</v>
      </c>
      <c r="BJ20" s="77" t="e">
        <f>#REF!</f>
        <v>#REF!</v>
      </c>
      <c r="BK20" s="77" t="e">
        <f>#REF!</f>
        <v>#REF!</v>
      </c>
      <c r="BL20" s="77" t="e">
        <f>#REF!</f>
        <v>#REF!</v>
      </c>
      <c r="BM20" s="77" t="e">
        <f>#REF!</f>
        <v>#REF!</v>
      </c>
      <c r="BN20" s="77" t="e">
        <f>#REF!</f>
        <v>#REF!</v>
      </c>
      <c r="BO20" s="77" t="e">
        <f>#REF!</f>
        <v>#REF!</v>
      </c>
      <c r="BP20" s="77" t="e">
        <f>#REF!</f>
        <v>#REF!</v>
      </c>
      <c r="BR20" s="123" t="str">
        <f t="shared" si="13"/>
        <v>FAI8</v>
      </c>
      <c r="BS20" s="120">
        <f>OOC!G20</f>
        <v>0.03</v>
      </c>
      <c r="BT20" s="120" t="str">
        <f>OOC!H20</f>
        <v/>
      </c>
      <c r="BU20" s="2" t="e">
        <f t="shared" si="14"/>
        <v>#REF!</v>
      </c>
      <c r="BV20" s="2" t="e">
        <f t="shared" si="15"/>
        <v>#REF!</v>
      </c>
      <c r="BW20" s="2" t="e">
        <f t="shared" si="16"/>
        <v>#REF!</v>
      </c>
      <c r="BX20" s="121" t="e">
        <f>IF(AND(IF(OOC!G20="",0,OOC!G20) &gt;= IF(O20="",0,O20), IF(O20="",0,O20) &gt; IF(L20="",0,L20)), "OOC",
IF(AND(IF(M20="",0,M20) &gt; IF(P20="",0,P20), IF(P20="",0,P20) &gt;= IF(OOC!H20="",0,OOC!H20)), "OOC",
IF(IF(O20="",0,O20) &gt; IF(OOC!G20="",0,OOC!G20), "OOS",
IF(IF(OOC!H20="",0,OOC!H20) &gt; IF(P20="",0,P20), "OOS", "OK"))))</f>
        <v>#REF!</v>
      </c>
    </row>
    <row r="21" spans="1:76" ht="15" customHeight="1">
      <c r="A21" s="13"/>
      <c r="B21" s="88" t="s">
        <v>162</v>
      </c>
      <c r="C21" s="78" t="s">
        <v>103</v>
      </c>
      <c r="D21" s="89" t="s">
        <v>115</v>
      </c>
      <c r="E21" s="90"/>
      <c r="F21" s="66" t="s">
        <v>41</v>
      </c>
      <c r="G21" s="67"/>
      <c r="H21" s="92">
        <f>IF(OOC!S21=0,"",OOC!S21)</f>
        <v>0.03</v>
      </c>
      <c r="I21" s="92" t="str">
        <f>IF(OOC!T21=0,"",OOC!T21)</f>
        <v/>
      </c>
      <c r="J21" s="68" t="s">
        <v>12</v>
      </c>
      <c r="K21" s="69" t="s">
        <v>80</v>
      </c>
      <c r="L21" s="70">
        <f t="shared" si="0"/>
        <v>0.03</v>
      </c>
      <c r="M21" s="70" t="str">
        <f t="shared" si="1"/>
        <v/>
      </c>
      <c r="N21" s="71"/>
      <c r="O21" s="2" t="e">
        <f t="shared" si="2"/>
        <v>#REF!</v>
      </c>
      <c r="P21" s="2" t="e">
        <f t="shared" si="3"/>
        <v>#REF!</v>
      </c>
      <c r="Q21" s="2" t="e">
        <f t="shared" si="4"/>
        <v>#REF!</v>
      </c>
      <c r="R21" s="3" t="e">
        <f t="shared" si="5"/>
        <v>#REF!</v>
      </c>
      <c r="S21" s="4" t="e">
        <f t="shared" si="10"/>
        <v>#REF!</v>
      </c>
      <c r="T21" s="84" t="e">
        <f t="shared" si="11"/>
        <v>#REF!</v>
      </c>
      <c r="U21" s="85" t="e">
        <f t="shared" si="12"/>
        <v>#REF!</v>
      </c>
      <c r="V21" s="4" t="e">
        <f t="shared" si="6"/>
        <v>#REF!</v>
      </c>
      <c r="W21" s="4" t="e">
        <f t="shared" si="7"/>
        <v>#REF!</v>
      </c>
      <c r="X21" s="4" t="e">
        <f t="shared" si="8"/>
        <v>#REF!</v>
      </c>
      <c r="Y21" s="62" t="e">
        <f t="shared" si="9"/>
        <v>#REF!</v>
      </c>
      <c r="Z21" s="22"/>
      <c r="AA21" s="22"/>
      <c r="AB21" s="22"/>
      <c r="AC21" s="22"/>
      <c r="AD21" s="19"/>
      <c r="AE21" s="14"/>
      <c r="AF21" s="72"/>
      <c r="AG21" s="49"/>
      <c r="AH21" s="49"/>
      <c r="AI21" s="50"/>
      <c r="AJ21" s="15"/>
      <c r="AK21" s="77" t="e">
        <f>#REF!</f>
        <v>#REF!</v>
      </c>
      <c r="AL21" s="77" t="e">
        <f>#REF!</f>
        <v>#REF!</v>
      </c>
      <c r="AM21" s="77" t="e">
        <f>#REF!</f>
        <v>#REF!</v>
      </c>
      <c r="AN21" s="77" t="e">
        <f>#REF!</f>
        <v>#REF!</v>
      </c>
      <c r="AO21" s="77" t="e">
        <f>#REF!</f>
        <v>#REF!</v>
      </c>
      <c r="AP21" s="77" t="e">
        <f>#REF!</f>
        <v>#REF!</v>
      </c>
      <c r="AQ21" s="77" t="e">
        <f>#REF!</f>
        <v>#REF!</v>
      </c>
      <c r="AR21" s="77" t="e">
        <f>#REF!</f>
        <v>#REF!</v>
      </c>
      <c r="AS21" s="77" t="e">
        <f>#REF!</f>
        <v>#REF!</v>
      </c>
      <c r="AT21" s="77" t="e">
        <f>#REF!</f>
        <v>#REF!</v>
      </c>
      <c r="AU21" s="77" t="e">
        <f>#REF!</f>
        <v>#REF!</v>
      </c>
      <c r="AV21" s="77" t="e">
        <f>#REF!</f>
        <v>#REF!</v>
      </c>
      <c r="AW21" s="77" t="e">
        <f>#REF!</f>
        <v>#REF!</v>
      </c>
      <c r="AX21" s="77" t="e">
        <f>#REF!</f>
        <v>#REF!</v>
      </c>
      <c r="AY21" s="77" t="e">
        <f>#REF!</f>
        <v>#REF!</v>
      </c>
      <c r="AZ21" s="77" t="e">
        <f>#REF!</f>
        <v>#REF!</v>
      </c>
      <c r="BA21" s="77" t="e">
        <f>#REF!</f>
        <v>#REF!</v>
      </c>
      <c r="BB21" s="77" t="e">
        <f>#REF!</f>
        <v>#REF!</v>
      </c>
      <c r="BC21" s="77" t="e">
        <f>#REF!</f>
        <v>#REF!</v>
      </c>
      <c r="BD21" s="77" t="e">
        <f>#REF!</f>
        <v>#REF!</v>
      </c>
      <c r="BE21" s="77" t="e">
        <f>#REF!</f>
        <v>#REF!</v>
      </c>
      <c r="BF21" s="77" t="e">
        <f>#REF!</f>
        <v>#REF!</v>
      </c>
      <c r="BG21" s="77" t="e">
        <f>#REF!</f>
        <v>#REF!</v>
      </c>
      <c r="BH21" s="77" t="e">
        <f>#REF!</f>
        <v>#REF!</v>
      </c>
      <c r="BI21" s="77" t="e">
        <f>#REF!</f>
        <v>#REF!</v>
      </c>
      <c r="BJ21" s="77" t="e">
        <f>#REF!</f>
        <v>#REF!</v>
      </c>
      <c r="BK21" s="77" t="e">
        <f>#REF!</f>
        <v>#REF!</v>
      </c>
      <c r="BL21" s="77" t="e">
        <f>#REF!</f>
        <v>#REF!</v>
      </c>
      <c r="BM21" s="77" t="e">
        <f>#REF!</f>
        <v>#REF!</v>
      </c>
      <c r="BN21" s="77" t="e">
        <f>#REF!</f>
        <v>#REF!</v>
      </c>
      <c r="BO21" s="77" t="e">
        <f>#REF!</f>
        <v>#REF!</v>
      </c>
      <c r="BP21" s="77" t="e">
        <f>#REF!</f>
        <v>#REF!</v>
      </c>
      <c r="BR21" s="123" t="str">
        <f t="shared" si="13"/>
        <v>FAI8(DC)</v>
      </c>
      <c r="BS21" s="120">
        <f>OOC!G21</f>
        <v>0.03</v>
      </c>
      <c r="BT21" s="120" t="str">
        <f>OOC!H21</f>
        <v/>
      </c>
      <c r="BU21" s="2" t="e">
        <f t="shared" si="14"/>
        <v>#REF!</v>
      </c>
      <c r="BV21" s="2" t="e">
        <f t="shared" si="15"/>
        <v>#REF!</v>
      </c>
      <c r="BW21" s="2" t="e">
        <f t="shared" si="16"/>
        <v>#REF!</v>
      </c>
      <c r="BX21" s="121"/>
    </row>
    <row r="22" spans="1:76" ht="15" customHeight="1">
      <c r="A22" s="13"/>
      <c r="B22" s="88"/>
      <c r="C22" s="78"/>
      <c r="D22" s="89"/>
      <c r="E22" s="90"/>
      <c r="F22" s="66"/>
      <c r="G22" s="67"/>
      <c r="H22" s="92"/>
      <c r="I22" s="92"/>
      <c r="J22" s="68"/>
      <c r="K22" s="69"/>
      <c r="L22" s="70"/>
      <c r="M22" s="70"/>
      <c r="N22" s="71"/>
      <c r="O22" s="2"/>
      <c r="P22" s="2"/>
      <c r="Q22" s="2"/>
      <c r="R22" s="3"/>
      <c r="S22" s="4"/>
      <c r="T22" s="84"/>
      <c r="U22" s="85"/>
      <c r="V22" s="4"/>
      <c r="W22" s="4"/>
      <c r="X22" s="4"/>
      <c r="Y22" s="62"/>
      <c r="Z22" s="22"/>
      <c r="AA22" s="22"/>
      <c r="AB22" s="22"/>
      <c r="AC22" s="22"/>
      <c r="AD22" s="19"/>
      <c r="AE22" s="14"/>
      <c r="AF22" s="72"/>
      <c r="AG22" s="49"/>
      <c r="AH22" s="49"/>
      <c r="AI22" s="50"/>
      <c r="AJ22" s="15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77"/>
      <c r="BR22" s="123"/>
      <c r="BS22" s="120"/>
      <c r="BT22" s="120"/>
      <c r="BU22" s="2"/>
      <c r="BV22" s="2"/>
      <c r="BW22" s="2"/>
      <c r="BX22" s="121"/>
    </row>
    <row r="23" spans="1:76" ht="15" customHeight="1">
      <c r="A23" s="13"/>
      <c r="B23" s="88"/>
      <c r="C23" s="78"/>
      <c r="D23" s="89"/>
      <c r="E23" s="90"/>
      <c r="F23" s="66"/>
      <c r="G23" s="67"/>
      <c r="H23" s="92"/>
      <c r="I23" s="92"/>
      <c r="J23" s="68"/>
      <c r="K23" s="69"/>
      <c r="L23" s="70"/>
      <c r="M23" s="70"/>
      <c r="N23" s="71"/>
      <c r="O23" s="2"/>
      <c r="P23" s="2"/>
      <c r="Q23" s="2"/>
      <c r="R23" s="3"/>
      <c r="S23" s="4"/>
      <c r="T23" s="84"/>
      <c r="U23" s="85"/>
      <c r="V23" s="4"/>
      <c r="W23" s="4"/>
      <c r="X23" s="4"/>
      <c r="Y23" s="62"/>
      <c r="Z23" s="22"/>
      <c r="AA23" s="22"/>
      <c r="AB23" s="22"/>
      <c r="AC23" s="22"/>
      <c r="AD23" s="19"/>
      <c r="AE23" s="14"/>
      <c r="AF23" s="72"/>
      <c r="AG23" s="49"/>
      <c r="AH23" s="49"/>
      <c r="AI23" s="50"/>
      <c r="AJ23" s="15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77"/>
      <c r="BR23" s="123"/>
      <c r="BS23" s="120"/>
      <c r="BT23" s="120"/>
      <c r="BU23" s="2"/>
      <c r="BV23" s="2"/>
      <c r="BW23" s="2"/>
      <c r="BX23" s="121"/>
    </row>
    <row r="24" spans="1:76" ht="15" customHeight="1">
      <c r="A24" s="13"/>
      <c r="B24" s="88" t="s">
        <v>113</v>
      </c>
      <c r="C24" s="78" t="s">
        <v>104</v>
      </c>
      <c r="D24" s="89" t="s">
        <v>116</v>
      </c>
      <c r="E24" s="90">
        <v>1.5</v>
      </c>
      <c r="F24" s="66" t="s">
        <v>41</v>
      </c>
      <c r="G24" s="67"/>
      <c r="H24" s="92" t="str">
        <f>IF(OOC!S24=0,"",OOC!S24)</f>
        <v/>
      </c>
      <c r="I24" s="92" t="str">
        <f>IF(OOC!T24=0,"",OOC!T24)</f>
        <v/>
      </c>
      <c r="J24" s="68" t="s">
        <v>12</v>
      </c>
      <c r="K24" s="69" t="s">
        <v>80</v>
      </c>
      <c r="L24" s="70" t="str">
        <f t="shared" si="0"/>
        <v/>
      </c>
      <c r="M24" s="70" t="str">
        <f t="shared" si="1"/>
        <v/>
      </c>
      <c r="N24" s="71"/>
      <c r="O24" s="2" t="e">
        <f t="shared" si="2"/>
        <v>#REF!</v>
      </c>
      <c r="P24" s="2" t="e">
        <f t="shared" si="3"/>
        <v>#REF!</v>
      </c>
      <c r="Q24" s="2" t="e">
        <f t="shared" si="4"/>
        <v>#REF!</v>
      </c>
      <c r="R24" s="3" t="e">
        <f t="shared" si="5"/>
        <v>#REF!</v>
      </c>
      <c r="S24" s="4" t="e">
        <f t="shared" si="10"/>
        <v>#REF!</v>
      </c>
      <c r="T24" s="84" t="e">
        <f t="shared" si="11"/>
        <v>#REF!</v>
      </c>
      <c r="U24" s="85" t="e">
        <f t="shared" si="12"/>
        <v>#REF!</v>
      </c>
      <c r="V24" s="4" t="e">
        <f t="shared" si="6"/>
        <v>#REF!</v>
      </c>
      <c r="W24" s="4" t="e">
        <f t="shared" si="7"/>
        <v>#REF!</v>
      </c>
      <c r="X24" s="4" t="e">
        <f t="shared" si="8"/>
        <v>#REF!</v>
      </c>
      <c r="Y24" s="62" t="e">
        <f t="shared" si="9"/>
        <v>#REF!</v>
      </c>
      <c r="Z24" s="22"/>
      <c r="AA24" s="22"/>
      <c r="AB24" s="22"/>
      <c r="AC24" s="22"/>
      <c r="AD24" s="19"/>
      <c r="AE24" s="14"/>
      <c r="AF24" s="72"/>
      <c r="AG24" s="49"/>
      <c r="AH24" s="49"/>
      <c r="AI24" s="50"/>
      <c r="AJ24" s="15"/>
      <c r="AK24" s="77" t="e">
        <f>#REF!</f>
        <v>#REF!</v>
      </c>
      <c r="AL24" s="77" t="e">
        <f>#REF!</f>
        <v>#REF!</v>
      </c>
      <c r="AM24" s="77" t="e">
        <f>#REF!</f>
        <v>#REF!</v>
      </c>
      <c r="AN24" s="77" t="e">
        <f>#REF!</f>
        <v>#REF!</v>
      </c>
      <c r="AO24" s="77" t="e">
        <f>#REF!</f>
        <v>#REF!</v>
      </c>
      <c r="AP24" s="77" t="e">
        <f>#REF!</f>
        <v>#REF!</v>
      </c>
      <c r="AQ24" s="77" t="e">
        <f>#REF!</f>
        <v>#REF!</v>
      </c>
      <c r="AR24" s="77" t="e">
        <f>#REF!</f>
        <v>#REF!</v>
      </c>
      <c r="AS24" s="77" t="e">
        <f>#REF!</f>
        <v>#REF!</v>
      </c>
      <c r="AT24" s="77" t="e">
        <f>#REF!</f>
        <v>#REF!</v>
      </c>
      <c r="AU24" s="77" t="e">
        <f>#REF!</f>
        <v>#REF!</v>
      </c>
      <c r="AV24" s="77" t="e">
        <f>#REF!</f>
        <v>#REF!</v>
      </c>
      <c r="AW24" s="77" t="e">
        <f>#REF!</f>
        <v>#REF!</v>
      </c>
      <c r="AX24" s="77" t="e">
        <f>#REF!</f>
        <v>#REF!</v>
      </c>
      <c r="AY24" s="77" t="e">
        <f>#REF!</f>
        <v>#REF!</v>
      </c>
      <c r="AZ24" s="77" t="e">
        <f>#REF!</f>
        <v>#REF!</v>
      </c>
      <c r="BA24" s="77" t="e">
        <f>#REF!</f>
        <v>#REF!</v>
      </c>
      <c r="BB24" s="77" t="e">
        <f>#REF!</f>
        <v>#REF!</v>
      </c>
      <c r="BC24" s="77" t="e">
        <f>#REF!</f>
        <v>#REF!</v>
      </c>
      <c r="BD24" s="77" t="e">
        <f>#REF!</f>
        <v>#REF!</v>
      </c>
      <c r="BE24" s="77" t="e">
        <f>#REF!</f>
        <v>#REF!</v>
      </c>
      <c r="BF24" s="77" t="e">
        <f>#REF!</f>
        <v>#REF!</v>
      </c>
      <c r="BG24" s="77" t="e">
        <f>#REF!</f>
        <v>#REF!</v>
      </c>
      <c r="BH24" s="77" t="e">
        <f>#REF!</f>
        <v>#REF!</v>
      </c>
      <c r="BI24" s="77" t="e">
        <f>#REF!</f>
        <v>#REF!</v>
      </c>
      <c r="BJ24" s="77" t="e">
        <f>#REF!</f>
        <v>#REF!</v>
      </c>
      <c r="BK24" s="77" t="e">
        <f>#REF!</f>
        <v>#REF!</v>
      </c>
      <c r="BL24" s="77" t="e">
        <f>#REF!</f>
        <v>#REF!</v>
      </c>
      <c r="BM24" s="77" t="e">
        <f>#REF!</f>
        <v>#REF!</v>
      </c>
      <c r="BN24" s="77" t="e">
        <f>#REF!</f>
        <v>#REF!</v>
      </c>
      <c r="BO24" s="77" t="e">
        <f>#REF!</f>
        <v>#REF!</v>
      </c>
      <c r="BP24" s="77" t="e">
        <f>#REF!</f>
        <v>#REF!</v>
      </c>
      <c r="BR24" s="123" t="str">
        <f t="shared" si="13"/>
        <v>FAI9</v>
      </c>
      <c r="BS24" s="120">
        <f>OOC!G24</f>
        <v>0.03</v>
      </c>
      <c r="BT24" s="120" t="str">
        <f>OOC!H24</f>
        <v/>
      </c>
      <c r="BU24" s="2" t="e">
        <f t="shared" si="14"/>
        <v>#REF!</v>
      </c>
      <c r="BV24" s="2" t="e">
        <f t="shared" si="15"/>
        <v>#REF!</v>
      </c>
      <c r="BW24" s="2" t="e">
        <f t="shared" si="16"/>
        <v>#REF!</v>
      </c>
      <c r="BX24" s="121" t="e">
        <f>IF(AND(IF(OOC!G24="",0,OOC!G24) &gt;= IF(O24="",0,O24), IF(O24="",0,O24) &gt; IF(L24="",0,L24)), "OOC",
IF(AND(IF(M24="",0,M24) &gt; IF(P24="",0,P24), IF(P24="",0,P24) &gt;= IF(OOC!H24="",0,OOC!H24)), "OOC",
IF(IF(O24="",0,O24) &gt; IF(OOC!G24="",0,OOC!G24), "OOS",
IF(IF(OOC!H24="",0,OOC!H24) &gt; IF(P24="",0,P24), "OOS", "OK"))))</f>
        <v>#REF!</v>
      </c>
    </row>
    <row r="25" spans="1:76" ht="15" customHeight="1">
      <c r="A25" s="13"/>
      <c r="B25" s="88" t="s">
        <v>150</v>
      </c>
      <c r="C25" s="78" t="s">
        <v>105</v>
      </c>
      <c r="D25" s="89" t="s">
        <v>117</v>
      </c>
      <c r="E25" s="90">
        <v>1.33</v>
      </c>
      <c r="F25" s="66" t="s">
        <v>44</v>
      </c>
      <c r="G25" s="91">
        <v>1.0900000000000001</v>
      </c>
      <c r="H25" s="92" t="str">
        <f>IF(OOC!S25=0,"",OOC!S25)</f>
        <v/>
      </c>
      <c r="I25" s="92" t="str">
        <f>IF(OOC!T25=0,"",OOC!T25)</f>
        <v/>
      </c>
      <c r="J25" s="68" t="s">
        <v>12</v>
      </c>
      <c r="K25" s="69" t="s">
        <v>80</v>
      </c>
      <c r="L25" s="70" t="e">
        <f t="shared" si="0"/>
        <v>#VALUE!</v>
      </c>
      <c r="M25" s="70" t="e">
        <f t="shared" si="1"/>
        <v>#VALUE!</v>
      </c>
      <c r="N25" s="71"/>
      <c r="O25" s="2" t="e">
        <f t="shared" si="2"/>
        <v>#REF!</v>
      </c>
      <c r="P25" s="2" t="e">
        <f t="shared" si="3"/>
        <v>#REF!</v>
      </c>
      <c r="Q25" s="2" t="e">
        <f t="shared" si="4"/>
        <v>#REF!</v>
      </c>
      <c r="R25" s="3" t="e">
        <f t="shared" si="5"/>
        <v>#REF!</v>
      </c>
      <c r="S25" s="4" t="e">
        <f t="shared" si="10"/>
        <v>#REF!</v>
      </c>
      <c r="T25" s="84" t="e">
        <f t="shared" si="11"/>
        <v>#REF!</v>
      </c>
      <c r="U25" s="85" t="e">
        <f t="shared" si="12"/>
        <v>#REF!</v>
      </c>
      <c r="V25" s="4" t="e">
        <f t="shared" si="6"/>
        <v>#REF!</v>
      </c>
      <c r="W25" s="4" t="e">
        <f t="shared" si="7"/>
        <v>#REF!</v>
      </c>
      <c r="X25" s="4" t="e">
        <f t="shared" si="8"/>
        <v>#REF!</v>
      </c>
      <c r="Y25" s="62" t="e">
        <f t="shared" si="9"/>
        <v>#REF!</v>
      </c>
      <c r="Z25" s="22"/>
      <c r="AA25" s="22"/>
      <c r="AB25" s="22"/>
      <c r="AC25" s="22"/>
      <c r="AD25" s="19"/>
      <c r="AE25" s="14"/>
      <c r="AF25" s="72"/>
      <c r="AG25" s="49"/>
      <c r="AH25" s="49"/>
      <c r="AI25" s="50"/>
      <c r="AJ25" s="15"/>
      <c r="AK25" s="77" t="e">
        <f>#REF!</f>
        <v>#REF!</v>
      </c>
      <c r="AL25" s="77" t="e">
        <f>#REF!</f>
        <v>#REF!</v>
      </c>
      <c r="AM25" s="77" t="e">
        <f>#REF!</f>
        <v>#REF!</v>
      </c>
      <c r="AN25" s="77" t="e">
        <f>#REF!</f>
        <v>#REF!</v>
      </c>
      <c r="AO25" s="77" t="e">
        <f>#REF!</f>
        <v>#REF!</v>
      </c>
      <c r="AP25" s="77" t="e">
        <f>#REF!</f>
        <v>#REF!</v>
      </c>
      <c r="AQ25" s="77" t="e">
        <f>#REF!</f>
        <v>#REF!</v>
      </c>
      <c r="AR25" s="77" t="e">
        <f>#REF!</f>
        <v>#REF!</v>
      </c>
      <c r="AS25" s="77" t="e">
        <f>#REF!</f>
        <v>#REF!</v>
      </c>
      <c r="AT25" s="77" t="e">
        <f>#REF!</f>
        <v>#REF!</v>
      </c>
      <c r="AU25" s="77" t="e">
        <f>#REF!</f>
        <v>#REF!</v>
      </c>
      <c r="AV25" s="77" t="e">
        <f>#REF!</f>
        <v>#REF!</v>
      </c>
      <c r="AW25" s="77" t="e">
        <f>#REF!</f>
        <v>#REF!</v>
      </c>
      <c r="AX25" s="77" t="e">
        <f>#REF!</f>
        <v>#REF!</v>
      </c>
      <c r="AY25" s="77" t="e">
        <f>#REF!</f>
        <v>#REF!</v>
      </c>
      <c r="AZ25" s="77" t="e">
        <f>#REF!</f>
        <v>#REF!</v>
      </c>
      <c r="BA25" s="77" t="e">
        <f>#REF!</f>
        <v>#REF!</v>
      </c>
      <c r="BB25" s="77" t="e">
        <f>#REF!</f>
        <v>#REF!</v>
      </c>
      <c r="BC25" s="77" t="e">
        <f>#REF!</f>
        <v>#REF!</v>
      </c>
      <c r="BD25" s="77" t="e">
        <f>#REF!</f>
        <v>#REF!</v>
      </c>
      <c r="BE25" s="77" t="e">
        <f>#REF!</f>
        <v>#REF!</v>
      </c>
      <c r="BF25" s="77" t="e">
        <f>#REF!</f>
        <v>#REF!</v>
      </c>
      <c r="BG25" s="77" t="e">
        <f>#REF!</f>
        <v>#REF!</v>
      </c>
      <c r="BH25" s="77" t="e">
        <f>#REF!</f>
        <v>#REF!</v>
      </c>
      <c r="BI25" s="77" t="e">
        <f>#REF!</f>
        <v>#REF!</v>
      </c>
      <c r="BJ25" s="77" t="e">
        <f>#REF!</f>
        <v>#REF!</v>
      </c>
      <c r="BK25" s="77" t="e">
        <f>#REF!</f>
        <v>#REF!</v>
      </c>
      <c r="BL25" s="77" t="e">
        <f>#REF!</f>
        <v>#REF!</v>
      </c>
      <c r="BM25" s="77" t="e">
        <f>#REF!</f>
        <v>#REF!</v>
      </c>
      <c r="BN25" s="77" t="e">
        <f>#REF!</f>
        <v>#REF!</v>
      </c>
      <c r="BO25" s="77" t="e">
        <f>#REF!</f>
        <v>#REF!</v>
      </c>
      <c r="BP25" s="77" t="e">
        <f>#REF!</f>
        <v>#REF!</v>
      </c>
      <c r="BR25" s="123" t="str">
        <f t="shared" si="13"/>
        <v>FAI10-1</v>
      </c>
      <c r="BS25" s="120">
        <f>OOC!G25</f>
        <v>1.105</v>
      </c>
      <c r="BT25" s="120">
        <f>OOC!H25</f>
        <v>1.08</v>
      </c>
      <c r="BU25" s="2" t="e">
        <f t="shared" si="14"/>
        <v>#REF!</v>
      </c>
      <c r="BV25" s="2" t="e">
        <f t="shared" si="15"/>
        <v>#REF!</v>
      </c>
      <c r="BW25" s="2" t="e">
        <f t="shared" si="16"/>
        <v>#REF!</v>
      </c>
      <c r="BX25" s="121" t="e">
        <f>IF(AND(IF(OOC!G25="",0,OOC!G25) &gt;= IF(O25="",0,O25), IF(O25="",0,O25) &gt; IF(L25="",0,L25)), "OOC",
IF(AND(IF(M25="",0,M25) &gt; IF(P25="",0,P25), IF(P25="",0,P25) &gt;= IF(OOC!H25="",0,OOC!H25)), "OOC",
IF(IF(O25="",0,O25) &gt; IF(OOC!G25="",0,OOC!G25), "OOS",
IF(IF(OOC!H25="",0,OOC!H25) &gt; IF(P25="",0,P25), "OOS", "OK"))))</f>
        <v>#REF!</v>
      </c>
    </row>
    <row r="26" spans="1:76" ht="15" customHeight="1">
      <c r="A26" s="13"/>
      <c r="B26" s="88"/>
      <c r="C26" s="78"/>
      <c r="D26" s="89"/>
      <c r="E26" s="90"/>
      <c r="F26" s="66"/>
      <c r="G26" s="91"/>
      <c r="H26" s="92"/>
      <c r="I26" s="92"/>
      <c r="J26" s="68"/>
      <c r="K26" s="69"/>
      <c r="L26" s="70"/>
      <c r="M26" s="70"/>
      <c r="N26" s="71"/>
      <c r="O26" s="2"/>
      <c r="P26" s="2"/>
      <c r="Q26" s="2"/>
      <c r="R26" s="3"/>
      <c r="S26" s="4"/>
      <c r="T26" s="84"/>
      <c r="U26" s="85"/>
      <c r="V26" s="4"/>
      <c r="W26" s="4"/>
      <c r="X26" s="4"/>
      <c r="Y26" s="62"/>
      <c r="Z26" s="22"/>
      <c r="AA26" s="22"/>
      <c r="AB26" s="22"/>
      <c r="AC26" s="22"/>
      <c r="AD26" s="19"/>
      <c r="AE26" s="14"/>
      <c r="AF26" s="72"/>
      <c r="AG26" s="49"/>
      <c r="AH26" s="49"/>
      <c r="AI26" s="50"/>
      <c r="AJ26" s="15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77"/>
      <c r="BR26" s="123"/>
      <c r="BS26" s="120"/>
      <c r="BT26" s="120"/>
      <c r="BU26" s="2"/>
      <c r="BV26" s="2"/>
      <c r="BW26" s="2"/>
      <c r="BX26" s="121"/>
    </row>
    <row r="27" spans="1:76" ht="15" customHeight="1">
      <c r="A27" s="13"/>
      <c r="B27" s="88"/>
      <c r="C27" s="78"/>
      <c r="D27" s="89"/>
      <c r="E27" s="90"/>
      <c r="F27" s="66"/>
      <c r="G27" s="91"/>
      <c r="H27" s="92"/>
      <c r="I27" s="92"/>
      <c r="J27" s="68"/>
      <c r="K27" s="69"/>
      <c r="L27" s="70"/>
      <c r="M27" s="70"/>
      <c r="N27" s="71"/>
      <c r="O27" s="2"/>
      <c r="P27" s="2"/>
      <c r="Q27" s="2"/>
      <c r="R27" s="3"/>
      <c r="S27" s="4"/>
      <c r="T27" s="84"/>
      <c r="U27" s="85"/>
      <c r="V27" s="4"/>
      <c r="W27" s="4"/>
      <c r="X27" s="4"/>
      <c r="Y27" s="62"/>
      <c r="Z27" s="22"/>
      <c r="AA27" s="22"/>
      <c r="AB27" s="22"/>
      <c r="AC27" s="22"/>
      <c r="AD27" s="19"/>
      <c r="AE27" s="14"/>
      <c r="AF27" s="72"/>
      <c r="AG27" s="49"/>
      <c r="AH27" s="49"/>
      <c r="AI27" s="50"/>
      <c r="AJ27" s="15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77"/>
      <c r="BR27" s="123"/>
      <c r="BS27" s="120"/>
      <c r="BT27" s="120"/>
      <c r="BU27" s="2"/>
      <c r="BV27" s="2"/>
      <c r="BW27" s="2"/>
      <c r="BX27" s="121"/>
    </row>
    <row r="28" spans="1:76" ht="15" customHeight="1">
      <c r="A28" s="13">
        <v>4</v>
      </c>
      <c r="B28" s="88" t="s">
        <v>150</v>
      </c>
      <c r="C28" s="78" t="s">
        <v>106</v>
      </c>
      <c r="D28" s="89" t="s">
        <v>117</v>
      </c>
      <c r="E28" s="90">
        <v>1.33</v>
      </c>
      <c r="F28" s="66" t="s">
        <v>44</v>
      </c>
      <c r="G28" s="91">
        <v>1.0900000000000001</v>
      </c>
      <c r="H28" s="92" t="str">
        <f>IF(OOC!S28=0,"",OOC!S28)</f>
        <v/>
      </c>
      <c r="I28" s="92" t="str">
        <f>IF(OOC!T28=0,"",OOC!T28)</f>
        <v/>
      </c>
      <c r="J28" s="68" t="s">
        <v>12</v>
      </c>
      <c r="K28" s="69" t="s">
        <v>80</v>
      </c>
      <c r="L28" s="70" t="e">
        <f t="shared" si="0"/>
        <v>#VALUE!</v>
      </c>
      <c r="M28" s="70" t="e">
        <f t="shared" si="1"/>
        <v>#VALUE!</v>
      </c>
      <c r="N28" s="71"/>
      <c r="O28" s="2" t="e">
        <f t="shared" si="2"/>
        <v>#REF!</v>
      </c>
      <c r="P28" s="2" t="e">
        <f t="shared" si="3"/>
        <v>#REF!</v>
      </c>
      <c r="Q28" s="2" t="e">
        <f t="shared" si="4"/>
        <v>#REF!</v>
      </c>
      <c r="R28" s="3" t="e">
        <f t="shared" si="5"/>
        <v>#REF!</v>
      </c>
      <c r="S28" s="4" t="e">
        <f t="shared" si="10"/>
        <v>#REF!</v>
      </c>
      <c r="T28" s="84" t="e">
        <f t="shared" si="11"/>
        <v>#REF!</v>
      </c>
      <c r="U28" s="85" t="e">
        <f t="shared" si="12"/>
        <v>#REF!</v>
      </c>
      <c r="V28" s="4" t="e">
        <f t="shared" si="6"/>
        <v>#REF!</v>
      </c>
      <c r="W28" s="4" t="e">
        <f t="shared" si="7"/>
        <v>#REF!</v>
      </c>
      <c r="X28" s="4" t="e">
        <f t="shared" si="8"/>
        <v>#REF!</v>
      </c>
      <c r="Y28" s="62" t="e">
        <f t="shared" si="9"/>
        <v>#REF!</v>
      </c>
      <c r="Z28" s="22" t="e">
        <f>IF($Q28="","",IF(F28="Tolerance",IF(($E28*3*R28+Q28)-G28&lt;H28,"",($E28*3*R28+Q28)-G28),IF(OR(F28="GD&amp;T",F28="MAX"),IF(($E28*3*R28+Q28)&lt;H28,"",($E28*3*R28+Q28)),"")))</f>
        <v>#REF!</v>
      </c>
      <c r="AA28" s="22" t="e">
        <f>IF(Q28="","",IF(F28="Tolerance",IF(-(($E28*3*R28)-Q28)-G28&gt;I28,"",-(($E28*3*R28)-Q28)-G28),IF(F28="MIN",IF(-(($E28*3*R28)-Q28)&gt;I28,"",-(($E28*3*R28)-Q28)),"")))</f>
        <v>#REF!</v>
      </c>
      <c r="AB28" s="22" t="e">
        <f>IF(OR(G28="",Q28=""),"",(L28+M28)/2-Q28)</f>
        <v>#REF!</v>
      </c>
      <c r="AC28" s="22" t="e">
        <f>IF(OR($S28&gt;$AC$9,$R28=""),"",$AC$9*6*$R28)</f>
        <v>#REF!</v>
      </c>
      <c r="AD28" s="19"/>
      <c r="AE28" s="14"/>
      <c r="AF28" s="72"/>
      <c r="AG28" s="49"/>
      <c r="AH28" s="49"/>
      <c r="AI28" s="50"/>
      <c r="AJ28" s="15"/>
      <c r="AK28" s="77" t="e">
        <f>#REF!</f>
        <v>#REF!</v>
      </c>
      <c r="AL28" s="77" t="e">
        <f>#REF!</f>
        <v>#REF!</v>
      </c>
      <c r="AM28" s="77" t="e">
        <f>#REF!</f>
        <v>#REF!</v>
      </c>
      <c r="AN28" s="77" t="e">
        <f>#REF!</f>
        <v>#REF!</v>
      </c>
      <c r="AO28" s="77" t="e">
        <f>#REF!</f>
        <v>#REF!</v>
      </c>
      <c r="AP28" s="77" t="e">
        <f>#REF!</f>
        <v>#REF!</v>
      </c>
      <c r="AQ28" s="77" t="e">
        <f>#REF!</f>
        <v>#REF!</v>
      </c>
      <c r="AR28" s="77" t="e">
        <f>#REF!</f>
        <v>#REF!</v>
      </c>
      <c r="AS28" s="77" t="e">
        <f>#REF!</f>
        <v>#REF!</v>
      </c>
      <c r="AT28" s="77" t="e">
        <f>#REF!</f>
        <v>#REF!</v>
      </c>
      <c r="AU28" s="77" t="e">
        <f>#REF!</f>
        <v>#REF!</v>
      </c>
      <c r="AV28" s="77" t="e">
        <f>#REF!</f>
        <v>#REF!</v>
      </c>
      <c r="AW28" s="77" t="e">
        <f>#REF!</f>
        <v>#REF!</v>
      </c>
      <c r="AX28" s="77" t="e">
        <f>#REF!</f>
        <v>#REF!</v>
      </c>
      <c r="AY28" s="77" t="e">
        <f>#REF!</f>
        <v>#REF!</v>
      </c>
      <c r="AZ28" s="77" t="e">
        <f>#REF!</f>
        <v>#REF!</v>
      </c>
      <c r="BA28" s="77" t="e">
        <f>#REF!</f>
        <v>#REF!</v>
      </c>
      <c r="BB28" s="77" t="e">
        <f>#REF!</f>
        <v>#REF!</v>
      </c>
      <c r="BC28" s="77" t="e">
        <f>#REF!</f>
        <v>#REF!</v>
      </c>
      <c r="BD28" s="77" t="e">
        <f>#REF!</f>
        <v>#REF!</v>
      </c>
      <c r="BE28" s="77" t="e">
        <f>#REF!</f>
        <v>#REF!</v>
      </c>
      <c r="BF28" s="77" t="e">
        <f>#REF!</f>
        <v>#REF!</v>
      </c>
      <c r="BG28" s="77" t="e">
        <f>#REF!</f>
        <v>#REF!</v>
      </c>
      <c r="BH28" s="77" t="e">
        <f>#REF!</f>
        <v>#REF!</v>
      </c>
      <c r="BI28" s="77" t="e">
        <f>#REF!</f>
        <v>#REF!</v>
      </c>
      <c r="BJ28" s="77" t="e">
        <f>#REF!</f>
        <v>#REF!</v>
      </c>
      <c r="BK28" s="77" t="e">
        <f>#REF!</f>
        <v>#REF!</v>
      </c>
      <c r="BL28" s="77" t="e">
        <f>#REF!</f>
        <v>#REF!</v>
      </c>
      <c r="BM28" s="77" t="e">
        <f>#REF!</f>
        <v>#REF!</v>
      </c>
      <c r="BN28" s="77" t="e">
        <f>#REF!</f>
        <v>#REF!</v>
      </c>
      <c r="BO28" s="77" t="e">
        <f>#REF!</f>
        <v>#REF!</v>
      </c>
      <c r="BP28" s="77" t="e">
        <f>#REF!</f>
        <v>#REF!</v>
      </c>
      <c r="BR28" s="123" t="str">
        <f t="shared" si="13"/>
        <v>FAI10-2</v>
      </c>
      <c r="BS28" s="120">
        <f>OOC!G28</f>
        <v>1.105</v>
      </c>
      <c r="BT28" s="120">
        <f>OOC!H28</f>
        <v>1.08</v>
      </c>
      <c r="BU28" s="2" t="e">
        <f t="shared" si="14"/>
        <v>#REF!</v>
      </c>
      <c r="BV28" s="2" t="e">
        <f t="shared" si="15"/>
        <v>#REF!</v>
      </c>
      <c r="BW28" s="2" t="e">
        <f t="shared" si="16"/>
        <v>#REF!</v>
      </c>
      <c r="BX28" s="121" t="e">
        <f>IF(AND(IF(OOC!G28="",0,OOC!G28) &gt;= IF(O28="",0,O28), IF(O28="",0,O28) &gt; IF(L28="",0,L28)), "OOC",
IF(AND(IF(M28="",0,M28) &gt; IF(P28="",0,P28), IF(P28="",0,P28) &gt;= IF(OOC!H28="",0,OOC!H28)), "OOC",
IF(IF(O28="",0,O28) &gt; IF(OOC!G28="",0,OOC!G28), "OOS",
IF(IF(OOC!H28="",0,OOC!H28) &gt; IF(P28="",0,P28), "OOS", "OK"))))</f>
        <v>#REF!</v>
      </c>
    </row>
    <row r="29" spans="1:76" ht="15" customHeight="1">
      <c r="A29" s="13"/>
      <c r="B29" s="88"/>
      <c r="C29" s="78"/>
      <c r="D29" s="89"/>
      <c r="E29" s="90"/>
      <c r="F29" s="66"/>
      <c r="G29" s="91"/>
      <c r="H29" s="92"/>
      <c r="I29" s="92"/>
      <c r="J29" s="68"/>
      <c r="K29" s="69"/>
      <c r="L29" s="70"/>
      <c r="M29" s="70"/>
      <c r="N29" s="71"/>
      <c r="O29" s="2"/>
      <c r="P29" s="2"/>
      <c r="Q29" s="2"/>
      <c r="R29" s="3"/>
      <c r="S29" s="4"/>
      <c r="T29" s="84"/>
      <c r="U29" s="85"/>
      <c r="V29" s="4"/>
      <c r="W29" s="4"/>
      <c r="X29" s="4"/>
      <c r="Y29" s="62"/>
      <c r="Z29" s="22"/>
      <c r="AA29" s="22"/>
      <c r="AB29" s="22"/>
      <c r="AC29" s="22"/>
      <c r="AD29" s="19"/>
      <c r="AE29" s="14"/>
      <c r="AF29" s="72"/>
      <c r="AG29" s="49"/>
      <c r="AH29" s="49"/>
      <c r="AI29" s="50"/>
      <c r="AJ29" s="15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77"/>
      <c r="BR29" s="123"/>
      <c r="BS29" s="120"/>
      <c r="BT29" s="120"/>
      <c r="BU29" s="2"/>
      <c r="BV29" s="2"/>
      <c r="BW29" s="2"/>
      <c r="BX29" s="121"/>
    </row>
    <row r="30" spans="1:76" ht="15" customHeight="1">
      <c r="A30" s="13"/>
      <c r="B30" s="88"/>
      <c r="C30" s="78"/>
      <c r="D30" s="89"/>
      <c r="E30" s="90"/>
      <c r="F30" s="66"/>
      <c r="G30" s="91"/>
      <c r="H30" s="92"/>
      <c r="I30" s="92"/>
      <c r="J30" s="68"/>
      <c r="K30" s="69"/>
      <c r="L30" s="70"/>
      <c r="M30" s="70"/>
      <c r="N30" s="71"/>
      <c r="O30" s="2"/>
      <c r="P30" s="2"/>
      <c r="Q30" s="2"/>
      <c r="R30" s="3"/>
      <c r="S30" s="4"/>
      <c r="T30" s="84"/>
      <c r="U30" s="85"/>
      <c r="V30" s="4"/>
      <c r="W30" s="4"/>
      <c r="X30" s="4"/>
      <c r="Y30" s="62"/>
      <c r="Z30" s="22"/>
      <c r="AA30" s="22"/>
      <c r="AB30" s="22"/>
      <c r="AC30" s="22"/>
      <c r="AD30" s="19"/>
      <c r="AE30" s="14"/>
      <c r="AF30" s="72"/>
      <c r="AG30" s="49"/>
      <c r="AH30" s="49"/>
      <c r="AI30" s="50"/>
      <c r="AJ30" s="15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77"/>
      <c r="BR30" s="123"/>
      <c r="BS30" s="120"/>
      <c r="BT30" s="120"/>
      <c r="BU30" s="2"/>
      <c r="BV30" s="2"/>
      <c r="BW30" s="2"/>
      <c r="BX30" s="121"/>
    </row>
    <row r="31" spans="1:76" ht="15" customHeight="1">
      <c r="A31" s="13">
        <v>5</v>
      </c>
      <c r="B31" s="88" t="s">
        <v>150</v>
      </c>
      <c r="C31" s="78" t="s">
        <v>107</v>
      </c>
      <c r="D31" s="89" t="s">
        <v>117</v>
      </c>
      <c r="E31" s="90">
        <v>1.33</v>
      </c>
      <c r="F31" s="66" t="s">
        <v>44</v>
      </c>
      <c r="G31" s="91">
        <v>1.0900000000000001</v>
      </c>
      <c r="H31" s="92" t="str">
        <f>IF(OOC!S31=0,"",OOC!S31)</f>
        <v/>
      </c>
      <c r="I31" s="92" t="str">
        <f>IF(OOC!T31=0,"",OOC!T31)</f>
        <v/>
      </c>
      <c r="J31" s="68" t="s">
        <v>12</v>
      </c>
      <c r="K31" s="69" t="s">
        <v>80</v>
      </c>
      <c r="L31" s="70" t="e">
        <f t="shared" si="0"/>
        <v>#VALUE!</v>
      </c>
      <c r="M31" s="70" t="e">
        <f t="shared" si="1"/>
        <v>#VALUE!</v>
      </c>
      <c r="N31" s="71"/>
      <c r="O31" s="2" t="e">
        <f t="shared" si="2"/>
        <v>#REF!</v>
      </c>
      <c r="P31" s="2" t="e">
        <f t="shared" si="3"/>
        <v>#REF!</v>
      </c>
      <c r="Q31" s="2" t="e">
        <f t="shared" si="4"/>
        <v>#REF!</v>
      </c>
      <c r="R31" s="3" t="e">
        <f t="shared" si="5"/>
        <v>#REF!</v>
      </c>
      <c r="S31" s="4" t="e">
        <f t="shared" si="10"/>
        <v>#REF!</v>
      </c>
      <c r="T31" s="84" t="e">
        <f t="shared" si="11"/>
        <v>#REF!</v>
      </c>
      <c r="U31" s="85" t="e">
        <f t="shared" si="12"/>
        <v>#REF!</v>
      </c>
      <c r="V31" s="4" t="e">
        <f t="shared" si="6"/>
        <v>#REF!</v>
      </c>
      <c r="W31" s="4" t="e">
        <f t="shared" si="7"/>
        <v>#REF!</v>
      </c>
      <c r="X31" s="4" t="e">
        <f t="shared" si="8"/>
        <v>#REF!</v>
      </c>
      <c r="Y31" s="62" t="e">
        <f t="shared" si="9"/>
        <v>#REF!</v>
      </c>
      <c r="Z31" s="22" t="e">
        <f>IF($Q31="","",IF(F31="Tolerance",IF(($E31*3*R31+Q31)-G31&lt;H31,"",($E31*3*R31+Q31)-G31),IF(OR(F31="GD&amp;T",F31="MAX"),IF(($E31*3*R31+Q31)&lt;H31,"",($E31*3*R31+Q31)),"")))</f>
        <v>#REF!</v>
      </c>
      <c r="AA31" s="22" t="e">
        <f>IF(Q31="","",IF(F31="Tolerance",IF(-(($E31*3*R31)-Q31)-G31&gt;I31,"",-(($E31*3*R31)-Q31)-G31),IF(F31="MIN",IF(-(($E31*3*R31)-Q31)&gt;I31,"",-(($E31*3*R31)-Q31)),"")))</f>
        <v>#REF!</v>
      </c>
      <c r="AB31" s="22" t="e">
        <f>IF(OR(G31="",Q31=""),"",(L31+M31)/2-Q31)</f>
        <v>#REF!</v>
      </c>
      <c r="AC31" s="22" t="e">
        <f>IF(OR($S31&gt;$AC$9,$R31=""),"",$AC$9*6*$R31)</f>
        <v>#REF!</v>
      </c>
      <c r="AD31" s="19"/>
      <c r="AE31" s="14"/>
      <c r="AF31" s="72"/>
      <c r="AG31" s="49"/>
      <c r="AH31" s="49"/>
      <c r="AI31" s="50"/>
      <c r="AJ31" s="15"/>
      <c r="AK31" s="77" t="e">
        <f>#REF!</f>
        <v>#REF!</v>
      </c>
      <c r="AL31" s="77" t="e">
        <f>#REF!</f>
        <v>#REF!</v>
      </c>
      <c r="AM31" s="77" t="e">
        <f>#REF!</f>
        <v>#REF!</v>
      </c>
      <c r="AN31" s="77" t="e">
        <f>#REF!</f>
        <v>#REF!</v>
      </c>
      <c r="AO31" s="77" t="e">
        <f>#REF!</f>
        <v>#REF!</v>
      </c>
      <c r="AP31" s="77" t="e">
        <f>#REF!</f>
        <v>#REF!</v>
      </c>
      <c r="AQ31" s="77" t="e">
        <f>#REF!</f>
        <v>#REF!</v>
      </c>
      <c r="AR31" s="77" t="e">
        <f>#REF!</f>
        <v>#REF!</v>
      </c>
      <c r="AS31" s="77" t="e">
        <f>#REF!</f>
        <v>#REF!</v>
      </c>
      <c r="AT31" s="77" t="e">
        <f>#REF!</f>
        <v>#REF!</v>
      </c>
      <c r="AU31" s="77" t="e">
        <f>#REF!</f>
        <v>#REF!</v>
      </c>
      <c r="AV31" s="77" t="e">
        <f>#REF!</f>
        <v>#REF!</v>
      </c>
      <c r="AW31" s="77" t="e">
        <f>#REF!</f>
        <v>#REF!</v>
      </c>
      <c r="AX31" s="77" t="e">
        <f>#REF!</f>
        <v>#REF!</v>
      </c>
      <c r="AY31" s="77" t="e">
        <f>#REF!</f>
        <v>#REF!</v>
      </c>
      <c r="AZ31" s="77" t="e">
        <f>#REF!</f>
        <v>#REF!</v>
      </c>
      <c r="BA31" s="77" t="e">
        <f>#REF!</f>
        <v>#REF!</v>
      </c>
      <c r="BB31" s="77" t="e">
        <f>#REF!</f>
        <v>#REF!</v>
      </c>
      <c r="BC31" s="77" t="e">
        <f>#REF!</f>
        <v>#REF!</v>
      </c>
      <c r="BD31" s="77" t="e">
        <f>#REF!</f>
        <v>#REF!</v>
      </c>
      <c r="BE31" s="77" t="e">
        <f>#REF!</f>
        <v>#REF!</v>
      </c>
      <c r="BF31" s="77" t="e">
        <f>#REF!</f>
        <v>#REF!</v>
      </c>
      <c r="BG31" s="77" t="e">
        <f>#REF!</f>
        <v>#REF!</v>
      </c>
      <c r="BH31" s="77" t="e">
        <f>#REF!</f>
        <v>#REF!</v>
      </c>
      <c r="BI31" s="77" t="e">
        <f>#REF!</f>
        <v>#REF!</v>
      </c>
      <c r="BJ31" s="77" t="e">
        <f>#REF!</f>
        <v>#REF!</v>
      </c>
      <c r="BK31" s="77" t="e">
        <f>#REF!</f>
        <v>#REF!</v>
      </c>
      <c r="BL31" s="77" t="e">
        <f>#REF!</f>
        <v>#REF!</v>
      </c>
      <c r="BM31" s="77" t="e">
        <f>#REF!</f>
        <v>#REF!</v>
      </c>
      <c r="BN31" s="77" t="e">
        <f>#REF!</f>
        <v>#REF!</v>
      </c>
      <c r="BO31" s="77" t="e">
        <f>#REF!</f>
        <v>#REF!</v>
      </c>
      <c r="BP31" s="77" t="e">
        <f>#REF!</f>
        <v>#REF!</v>
      </c>
      <c r="BR31" s="123" t="str">
        <f t="shared" si="13"/>
        <v>FAI10-3</v>
      </c>
      <c r="BS31" s="120">
        <f>OOC!G31</f>
        <v>1.105</v>
      </c>
      <c r="BT31" s="120">
        <f>OOC!H31</f>
        <v>1.08</v>
      </c>
      <c r="BU31" s="2" t="e">
        <f t="shared" si="14"/>
        <v>#REF!</v>
      </c>
      <c r="BV31" s="2" t="e">
        <f t="shared" si="15"/>
        <v>#REF!</v>
      </c>
      <c r="BW31" s="2" t="e">
        <f t="shared" si="16"/>
        <v>#REF!</v>
      </c>
      <c r="BX31" s="121" t="e">
        <f>IF(AND(IF(OOC!G31="",0,OOC!G31) &gt;= IF(O31="",0,O31), IF(O31="",0,O31) &gt; IF(L31="",0,L31)), "OOC",
IF(AND(IF(M31="",0,M31) &gt; IF(P31="",0,P31), IF(P31="",0,P31) &gt;= IF(OOC!H31="",0,OOC!H31)), "OOC",
IF(IF(O31="",0,O31) &gt; IF(OOC!G31="",0,OOC!G31), "OOS",
IF(IF(OOC!H31="",0,OOC!H31) &gt; IF(P31="",0,P31), "OOS", "OK"))))</f>
        <v>#REF!</v>
      </c>
    </row>
    <row r="32" spans="1:76" ht="15" customHeight="1">
      <c r="A32" s="13">
        <v>1</v>
      </c>
      <c r="B32" s="88"/>
      <c r="C32" s="78"/>
      <c r="D32" s="89"/>
      <c r="E32" s="90"/>
      <c r="F32" s="66"/>
      <c r="G32" s="91"/>
      <c r="H32" s="92"/>
      <c r="I32" s="92"/>
      <c r="J32" s="68"/>
      <c r="K32" s="69"/>
      <c r="L32" s="70"/>
      <c r="M32" s="70"/>
      <c r="N32" s="71"/>
      <c r="O32" s="2"/>
      <c r="P32" s="2"/>
      <c r="Q32" s="2"/>
      <c r="R32" s="3"/>
      <c r="S32" s="4"/>
      <c r="T32" s="84"/>
      <c r="U32" s="85"/>
      <c r="V32" s="4"/>
      <c r="W32" s="4"/>
      <c r="X32" s="4"/>
      <c r="Y32" s="62"/>
      <c r="Z32" s="22"/>
      <c r="AA32" s="22"/>
      <c r="AB32" s="22"/>
      <c r="AC32" s="22"/>
      <c r="AD32" s="19"/>
      <c r="AE32" s="14"/>
      <c r="AF32" s="72"/>
      <c r="AG32" s="49"/>
      <c r="AH32" s="49"/>
      <c r="AI32" s="50"/>
      <c r="AJ32" s="15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7"/>
      <c r="BO32" s="77"/>
      <c r="BP32" s="77"/>
      <c r="BR32" s="123"/>
      <c r="BS32" s="120"/>
      <c r="BT32" s="120"/>
      <c r="BU32" s="2"/>
      <c r="BV32" s="2"/>
      <c r="BW32" s="2"/>
      <c r="BX32" s="121"/>
    </row>
    <row r="33" spans="1:76" ht="15" customHeight="1">
      <c r="A33" s="13">
        <v>2</v>
      </c>
      <c r="B33" s="88"/>
      <c r="C33" s="78"/>
      <c r="D33" s="89"/>
      <c r="E33" s="90"/>
      <c r="F33" s="66"/>
      <c r="G33" s="91"/>
      <c r="H33" s="92"/>
      <c r="I33" s="92"/>
      <c r="J33" s="68"/>
      <c r="K33" s="69"/>
      <c r="L33" s="70"/>
      <c r="M33" s="70"/>
      <c r="N33" s="71"/>
      <c r="O33" s="2"/>
      <c r="P33" s="2"/>
      <c r="Q33" s="2"/>
      <c r="R33" s="3"/>
      <c r="S33" s="4"/>
      <c r="T33" s="84"/>
      <c r="U33" s="85"/>
      <c r="V33" s="4"/>
      <c r="W33" s="4"/>
      <c r="X33" s="4"/>
      <c r="Y33" s="62"/>
      <c r="Z33" s="22"/>
      <c r="AA33" s="22"/>
      <c r="AB33" s="22"/>
      <c r="AC33" s="22"/>
      <c r="AD33" s="19"/>
      <c r="AE33" s="14"/>
      <c r="AF33" s="72"/>
      <c r="AG33" s="49"/>
      <c r="AH33" s="49"/>
      <c r="AI33" s="50"/>
      <c r="AJ33" s="15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77"/>
      <c r="BR33" s="123"/>
      <c r="BS33" s="120"/>
      <c r="BT33" s="120"/>
      <c r="BU33" s="2"/>
      <c r="BV33" s="2"/>
      <c r="BW33" s="2"/>
      <c r="BX33" s="121"/>
    </row>
    <row r="34" spans="1:76" ht="15" customHeight="1">
      <c r="A34" s="13">
        <v>1</v>
      </c>
      <c r="B34" s="88"/>
      <c r="C34" s="78"/>
      <c r="D34" s="89"/>
      <c r="E34" s="90"/>
      <c r="F34" s="66"/>
      <c r="G34" s="91"/>
      <c r="H34" s="92"/>
      <c r="I34" s="92"/>
      <c r="J34" s="68"/>
      <c r="K34" s="69"/>
      <c r="L34" s="70"/>
      <c r="M34" s="70"/>
      <c r="N34" s="71"/>
      <c r="O34" s="2"/>
      <c r="P34" s="2"/>
      <c r="Q34" s="2"/>
      <c r="R34" s="3"/>
      <c r="S34" s="4"/>
      <c r="T34" s="84"/>
      <c r="U34" s="85"/>
      <c r="V34" s="4"/>
      <c r="W34" s="4"/>
      <c r="X34" s="4"/>
      <c r="Y34" s="62"/>
      <c r="Z34" s="22"/>
      <c r="AA34" s="22"/>
      <c r="AB34" s="22"/>
      <c r="AC34" s="22"/>
      <c r="AD34" s="19"/>
      <c r="AE34" s="14"/>
      <c r="AF34" s="72"/>
      <c r="AG34" s="49"/>
      <c r="AH34" s="49"/>
      <c r="AI34" s="50"/>
      <c r="AJ34" s="15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77"/>
      <c r="BR34" s="123"/>
      <c r="BS34" s="120"/>
      <c r="BT34" s="120"/>
      <c r="BU34" s="2"/>
      <c r="BV34" s="2"/>
      <c r="BW34" s="2"/>
      <c r="BX34" s="121"/>
    </row>
    <row r="35" spans="1:76" ht="15" customHeight="1">
      <c r="A35" s="13">
        <v>2</v>
      </c>
      <c r="B35" s="88"/>
      <c r="C35" s="78"/>
      <c r="D35" s="89"/>
      <c r="E35" s="90"/>
      <c r="F35" s="66"/>
      <c r="G35" s="91"/>
      <c r="H35" s="92"/>
      <c r="I35" s="92"/>
      <c r="J35" s="68"/>
      <c r="K35" s="69"/>
      <c r="L35" s="70"/>
      <c r="M35" s="70"/>
      <c r="N35" s="71"/>
      <c r="O35" s="2"/>
      <c r="P35" s="2"/>
      <c r="Q35" s="2"/>
      <c r="R35" s="3"/>
      <c r="S35" s="4"/>
      <c r="T35" s="84"/>
      <c r="U35" s="85"/>
      <c r="V35" s="4"/>
      <c r="W35" s="4"/>
      <c r="X35" s="4"/>
      <c r="Y35" s="62"/>
      <c r="Z35" s="22"/>
      <c r="AA35" s="22"/>
      <c r="AB35" s="22"/>
      <c r="AC35" s="22"/>
      <c r="AD35" s="19"/>
      <c r="AE35" s="14"/>
      <c r="AF35" s="72"/>
      <c r="AG35" s="49"/>
      <c r="AH35" s="49"/>
      <c r="AI35" s="50"/>
      <c r="AJ35" s="15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77"/>
      <c r="BR35" s="123"/>
      <c r="BS35" s="120"/>
      <c r="BT35" s="120"/>
      <c r="BU35" s="2"/>
      <c r="BV35" s="2"/>
      <c r="BW35" s="2"/>
      <c r="BX35" s="121"/>
    </row>
    <row r="36" spans="1:76" ht="15" customHeight="1">
      <c r="A36" s="13">
        <v>3</v>
      </c>
      <c r="B36" s="88"/>
      <c r="C36" s="78"/>
      <c r="D36" s="89"/>
      <c r="E36" s="90"/>
      <c r="F36" s="66"/>
      <c r="G36" s="91"/>
      <c r="H36" s="92"/>
      <c r="I36" s="92"/>
      <c r="J36" s="68"/>
      <c r="K36" s="69"/>
      <c r="L36" s="70"/>
      <c r="M36" s="70"/>
      <c r="N36" s="71"/>
      <c r="O36" s="2"/>
      <c r="P36" s="2"/>
      <c r="Q36" s="2"/>
      <c r="R36" s="3"/>
      <c r="S36" s="4"/>
      <c r="T36" s="84"/>
      <c r="U36" s="85"/>
      <c r="V36" s="4"/>
      <c r="W36" s="4"/>
      <c r="X36" s="4"/>
      <c r="Y36" s="62"/>
      <c r="Z36" s="22"/>
      <c r="AA36" s="22"/>
      <c r="AB36" s="22"/>
      <c r="AC36" s="22"/>
      <c r="AD36" s="19"/>
      <c r="AE36" s="14"/>
      <c r="AF36" s="72"/>
      <c r="AG36" s="49"/>
      <c r="AH36" s="49"/>
      <c r="AI36" s="50"/>
      <c r="AJ36" s="15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77"/>
      <c r="BN36" s="77"/>
      <c r="BO36" s="77"/>
      <c r="BP36" s="77"/>
      <c r="BR36" s="123"/>
      <c r="BS36" s="120"/>
      <c r="BT36" s="120"/>
      <c r="BU36" s="2"/>
      <c r="BV36" s="2"/>
      <c r="BW36" s="2"/>
      <c r="BX36" s="121"/>
    </row>
    <row r="37" spans="1:76" ht="15" customHeight="1">
      <c r="A37" s="13">
        <v>4</v>
      </c>
      <c r="B37" s="88"/>
      <c r="C37" s="78"/>
      <c r="D37" s="89"/>
      <c r="E37" s="90"/>
      <c r="F37" s="66"/>
      <c r="G37" s="91"/>
      <c r="H37" s="92"/>
      <c r="I37" s="92"/>
      <c r="J37" s="68"/>
      <c r="K37" s="69"/>
      <c r="L37" s="70"/>
      <c r="M37" s="70"/>
      <c r="N37" s="71"/>
      <c r="O37" s="2"/>
      <c r="P37" s="2"/>
      <c r="Q37" s="2"/>
      <c r="R37" s="3"/>
      <c r="S37" s="4"/>
      <c r="T37" s="84"/>
      <c r="U37" s="85"/>
      <c r="V37" s="4"/>
      <c r="W37" s="4"/>
      <c r="X37" s="4"/>
      <c r="Y37" s="62"/>
      <c r="Z37" s="22"/>
      <c r="AA37" s="22"/>
      <c r="AB37" s="22"/>
      <c r="AC37" s="22"/>
      <c r="AD37" s="19"/>
      <c r="AE37" s="14"/>
      <c r="AF37" s="72"/>
      <c r="AG37" s="49"/>
      <c r="AH37" s="49"/>
      <c r="AI37" s="50"/>
      <c r="AJ37" s="15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77"/>
      <c r="BN37" s="77"/>
      <c r="BO37" s="77"/>
      <c r="BP37" s="77"/>
      <c r="BR37" s="123"/>
      <c r="BS37" s="120"/>
      <c r="BT37" s="120"/>
      <c r="BU37" s="2"/>
      <c r="BV37" s="2"/>
      <c r="BW37" s="2"/>
      <c r="BX37" s="121"/>
    </row>
    <row r="38" spans="1:76" ht="15" customHeight="1">
      <c r="A38" s="13">
        <v>5</v>
      </c>
      <c r="B38" s="88"/>
      <c r="C38" s="78"/>
      <c r="D38" s="89"/>
      <c r="E38" s="90"/>
      <c r="F38" s="66"/>
      <c r="G38" s="91"/>
      <c r="H38" s="92"/>
      <c r="I38" s="92"/>
      <c r="J38" s="68"/>
      <c r="K38" s="69"/>
      <c r="L38" s="70"/>
      <c r="M38" s="70"/>
      <c r="N38" s="71"/>
      <c r="O38" s="2"/>
      <c r="P38" s="2"/>
      <c r="Q38" s="2"/>
      <c r="R38" s="3"/>
      <c r="S38" s="4"/>
      <c r="T38" s="84"/>
      <c r="U38" s="85"/>
      <c r="V38" s="4"/>
      <c r="W38" s="4"/>
      <c r="X38" s="4"/>
      <c r="Y38" s="62"/>
      <c r="Z38" s="22"/>
      <c r="AA38" s="22"/>
      <c r="AB38" s="22"/>
      <c r="AC38" s="22"/>
      <c r="AD38" s="19"/>
      <c r="AE38" s="14"/>
      <c r="AF38" s="72"/>
      <c r="AG38" s="49"/>
      <c r="AH38" s="49"/>
      <c r="AI38" s="50"/>
      <c r="AJ38" s="15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77"/>
      <c r="BR38" s="123"/>
      <c r="BS38" s="120"/>
      <c r="BT38" s="120"/>
      <c r="BU38" s="2"/>
      <c r="BV38" s="2"/>
      <c r="BW38" s="2"/>
      <c r="BX38" s="121"/>
    </row>
    <row r="39" spans="1:76" ht="15" customHeight="1">
      <c r="A39" s="13">
        <v>6</v>
      </c>
      <c r="B39" s="88"/>
      <c r="C39" s="78"/>
      <c r="D39" s="89"/>
      <c r="E39" s="90"/>
      <c r="F39" s="66"/>
      <c r="G39" s="91"/>
      <c r="H39" s="92"/>
      <c r="I39" s="92"/>
      <c r="J39" s="68"/>
      <c r="K39" s="69"/>
      <c r="L39" s="70"/>
      <c r="M39" s="70"/>
      <c r="N39" s="71"/>
      <c r="O39" s="2"/>
      <c r="P39" s="2"/>
      <c r="Q39" s="2"/>
      <c r="R39" s="3"/>
      <c r="S39" s="4"/>
      <c r="T39" s="84"/>
      <c r="U39" s="85"/>
      <c r="V39" s="4"/>
      <c r="W39" s="4"/>
      <c r="X39" s="4"/>
      <c r="Y39" s="62"/>
      <c r="Z39" s="22"/>
      <c r="AA39" s="22"/>
      <c r="AB39" s="22"/>
      <c r="AC39" s="22"/>
      <c r="AD39" s="19"/>
      <c r="AE39" s="14"/>
      <c r="AF39" s="72"/>
      <c r="AG39" s="49"/>
      <c r="AH39" s="49"/>
      <c r="AI39" s="50"/>
      <c r="AJ39" s="15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77"/>
      <c r="BR39" s="123"/>
      <c r="BS39" s="120"/>
      <c r="BT39" s="120"/>
      <c r="BU39" s="2"/>
      <c r="BV39" s="2"/>
      <c r="BW39" s="2"/>
      <c r="BX39" s="121"/>
    </row>
    <row r="40" spans="1:76" ht="15" customHeight="1">
      <c r="A40" s="13">
        <v>7</v>
      </c>
      <c r="B40" s="88"/>
      <c r="C40" s="78"/>
      <c r="D40" s="89"/>
      <c r="E40" s="90"/>
      <c r="F40" s="66"/>
      <c r="G40" s="91"/>
      <c r="H40" s="92"/>
      <c r="I40" s="92"/>
      <c r="J40" s="68"/>
      <c r="K40" s="69"/>
      <c r="L40" s="70"/>
      <c r="M40" s="70"/>
      <c r="N40" s="71"/>
      <c r="O40" s="2"/>
      <c r="P40" s="2"/>
      <c r="Q40" s="2"/>
      <c r="R40" s="3"/>
      <c r="S40" s="4"/>
      <c r="T40" s="84"/>
      <c r="U40" s="85"/>
      <c r="V40" s="4"/>
      <c r="W40" s="4"/>
      <c r="X40" s="4"/>
      <c r="Y40" s="62"/>
      <c r="Z40" s="22"/>
      <c r="AA40" s="22"/>
      <c r="AB40" s="22"/>
      <c r="AC40" s="22"/>
      <c r="AD40" s="19"/>
      <c r="AE40" s="14"/>
      <c r="AF40" s="72"/>
      <c r="AG40" s="49"/>
      <c r="AH40" s="49"/>
      <c r="AI40" s="50"/>
      <c r="AJ40" s="15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7"/>
      <c r="BN40" s="77"/>
      <c r="BO40" s="77"/>
      <c r="BP40" s="77"/>
      <c r="BR40" s="123"/>
      <c r="BS40" s="120"/>
      <c r="BT40" s="120"/>
      <c r="BU40" s="2"/>
      <c r="BV40" s="2"/>
      <c r="BW40" s="2"/>
      <c r="BX40" s="121"/>
    </row>
    <row r="41" spans="1:76" ht="15" customHeight="1">
      <c r="A41" s="13">
        <v>8</v>
      </c>
      <c r="B41" s="88"/>
      <c r="C41" s="78"/>
      <c r="D41" s="89"/>
      <c r="E41" s="90"/>
      <c r="F41" s="66"/>
      <c r="G41" s="91"/>
      <c r="H41" s="92"/>
      <c r="I41" s="92"/>
      <c r="J41" s="68"/>
      <c r="K41" s="69"/>
      <c r="L41" s="70"/>
      <c r="M41" s="70"/>
      <c r="N41" s="71"/>
      <c r="O41" s="2"/>
      <c r="P41" s="2"/>
      <c r="Q41" s="2"/>
      <c r="R41" s="3"/>
      <c r="S41" s="4"/>
      <c r="T41" s="84"/>
      <c r="U41" s="85"/>
      <c r="V41" s="4"/>
      <c r="W41" s="4"/>
      <c r="X41" s="4"/>
      <c r="Y41" s="62"/>
      <c r="Z41" s="22"/>
      <c r="AA41" s="22"/>
      <c r="AB41" s="22"/>
      <c r="AC41" s="22"/>
      <c r="AD41" s="19"/>
      <c r="AE41" s="14"/>
      <c r="AF41" s="72"/>
      <c r="AG41" s="49"/>
      <c r="AH41" s="49"/>
      <c r="AI41" s="50"/>
      <c r="AJ41" s="15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77"/>
      <c r="BN41" s="77"/>
      <c r="BO41" s="77"/>
      <c r="BP41" s="77"/>
      <c r="BR41" s="123"/>
      <c r="BS41" s="120"/>
      <c r="BT41" s="120"/>
      <c r="BU41" s="2"/>
      <c r="BV41" s="2"/>
      <c r="BW41" s="2"/>
      <c r="BX41" s="121"/>
    </row>
    <row r="42" spans="1:76" ht="15" customHeight="1">
      <c r="A42" s="13">
        <v>9</v>
      </c>
      <c r="B42" s="88"/>
      <c r="C42" s="78"/>
      <c r="D42" s="89"/>
      <c r="E42" s="90"/>
      <c r="F42" s="66"/>
      <c r="G42" s="91"/>
      <c r="H42" s="92"/>
      <c r="I42" s="92"/>
      <c r="J42" s="68"/>
      <c r="K42" s="69"/>
      <c r="L42" s="70"/>
      <c r="M42" s="70"/>
      <c r="N42" s="71"/>
      <c r="O42" s="2"/>
      <c r="P42" s="2"/>
      <c r="Q42" s="2"/>
      <c r="R42" s="3"/>
      <c r="S42" s="4"/>
      <c r="T42" s="84"/>
      <c r="U42" s="85"/>
      <c r="V42" s="4"/>
      <c r="W42" s="4"/>
      <c r="X42" s="4"/>
      <c r="Y42" s="62"/>
      <c r="Z42" s="22"/>
      <c r="AA42" s="22"/>
      <c r="AB42" s="22"/>
      <c r="AC42" s="22"/>
      <c r="AD42" s="19"/>
      <c r="AE42" s="14"/>
      <c r="AF42" s="72"/>
      <c r="AG42" s="49"/>
      <c r="AH42" s="49"/>
      <c r="AI42" s="50"/>
      <c r="AJ42" s="15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77"/>
      <c r="BR42" s="123"/>
      <c r="BS42" s="120"/>
      <c r="BT42" s="120"/>
      <c r="BU42" s="2"/>
      <c r="BV42" s="2"/>
      <c r="BW42" s="2"/>
      <c r="BX42" s="121"/>
    </row>
    <row r="43" spans="1:76" ht="15" customHeight="1">
      <c r="A43" s="13">
        <v>10</v>
      </c>
      <c r="B43" s="88"/>
      <c r="C43" s="78"/>
      <c r="D43" s="89"/>
      <c r="E43" s="90"/>
      <c r="F43" s="66"/>
      <c r="G43" s="91"/>
      <c r="H43" s="92"/>
      <c r="I43" s="92"/>
      <c r="J43" s="68"/>
      <c r="K43" s="69"/>
      <c r="L43" s="70"/>
      <c r="M43" s="70"/>
      <c r="N43" s="71"/>
      <c r="O43" s="2"/>
      <c r="P43" s="2"/>
      <c r="Q43" s="2"/>
      <c r="R43" s="3"/>
      <c r="S43" s="4"/>
      <c r="T43" s="84"/>
      <c r="U43" s="85"/>
      <c r="V43" s="4"/>
      <c r="W43" s="4"/>
      <c r="X43" s="4"/>
      <c r="Y43" s="62"/>
      <c r="Z43" s="22"/>
      <c r="AA43" s="22"/>
      <c r="AB43" s="22"/>
      <c r="AC43" s="22"/>
      <c r="AD43" s="19"/>
      <c r="AE43" s="14"/>
      <c r="AF43" s="72"/>
      <c r="AG43" s="49"/>
      <c r="AH43" s="49"/>
      <c r="AI43" s="50"/>
      <c r="AJ43" s="15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77"/>
      <c r="BN43" s="77"/>
      <c r="BO43" s="77"/>
      <c r="BP43" s="77"/>
      <c r="BR43" s="123"/>
      <c r="BS43" s="120"/>
      <c r="BT43" s="120"/>
      <c r="BU43" s="2"/>
      <c r="BV43" s="2"/>
      <c r="BW43" s="2"/>
      <c r="BX43" s="121"/>
    </row>
    <row r="44" spans="1:76" ht="15" customHeight="1">
      <c r="A44" s="13">
        <v>11</v>
      </c>
      <c r="B44" s="88"/>
      <c r="C44" s="78"/>
      <c r="D44" s="89"/>
      <c r="E44" s="90"/>
      <c r="F44" s="66"/>
      <c r="G44" s="91"/>
      <c r="H44" s="92"/>
      <c r="I44" s="92"/>
      <c r="J44" s="68"/>
      <c r="K44" s="69"/>
      <c r="L44" s="70"/>
      <c r="M44" s="70"/>
      <c r="N44" s="71"/>
      <c r="O44" s="2"/>
      <c r="P44" s="2"/>
      <c r="Q44" s="2"/>
      <c r="R44" s="3"/>
      <c r="S44" s="4"/>
      <c r="T44" s="84"/>
      <c r="U44" s="85"/>
      <c r="V44" s="4"/>
      <c r="W44" s="4"/>
      <c r="X44" s="4"/>
      <c r="Y44" s="62"/>
      <c r="Z44" s="22"/>
      <c r="AA44" s="22"/>
      <c r="AB44" s="22"/>
      <c r="AC44" s="22"/>
      <c r="AD44" s="19"/>
      <c r="AE44" s="14"/>
      <c r="AF44" s="72"/>
      <c r="AG44" s="49"/>
      <c r="AH44" s="49"/>
      <c r="AI44" s="50"/>
      <c r="AJ44" s="15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77"/>
      <c r="BR44" s="123"/>
      <c r="BS44" s="120"/>
      <c r="BT44" s="120"/>
      <c r="BU44" s="2"/>
      <c r="BV44" s="2"/>
      <c r="BW44" s="2"/>
      <c r="BX44" s="121"/>
    </row>
    <row r="45" spans="1:76" ht="15" customHeight="1">
      <c r="A45" s="13">
        <v>12</v>
      </c>
      <c r="B45" s="88"/>
      <c r="C45" s="78"/>
      <c r="D45" s="89"/>
      <c r="E45" s="90"/>
      <c r="F45" s="66"/>
      <c r="G45" s="91"/>
      <c r="H45" s="92"/>
      <c r="I45" s="92"/>
      <c r="J45" s="68"/>
      <c r="K45" s="69"/>
      <c r="L45" s="70"/>
      <c r="M45" s="70"/>
      <c r="N45" s="71"/>
      <c r="O45" s="2"/>
      <c r="P45" s="2"/>
      <c r="Q45" s="2"/>
      <c r="R45" s="3"/>
      <c r="S45" s="4"/>
      <c r="T45" s="84"/>
      <c r="U45" s="85"/>
      <c r="V45" s="4"/>
      <c r="W45" s="4"/>
      <c r="X45" s="4"/>
      <c r="Y45" s="62"/>
      <c r="Z45" s="22"/>
      <c r="AA45" s="22"/>
      <c r="AB45" s="22"/>
      <c r="AC45" s="22"/>
      <c r="AD45" s="19"/>
      <c r="AE45" s="14"/>
      <c r="AF45" s="72"/>
      <c r="AG45" s="49"/>
      <c r="AH45" s="49"/>
      <c r="AI45" s="50"/>
      <c r="AJ45" s="15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77"/>
      <c r="BR45" s="123"/>
      <c r="BS45" s="120"/>
      <c r="BT45" s="120"/>
      <c r="BU45" s="2"/>
      <c r="BV45" s="2"/>
      <c r="BW45" s="2"/>
      <c r="BX45" s="121"/>
    </row>
    <row r="46" spans="1:76" ht="15" customHeight="1">
      <c r="A46" s="13">
        <v>6</v>
      </c>
      <c r="B46" s="88" t="s">
        <v>151</v>
      </c>
      <c r="C46" s="78" t="s">
        <v>108</v>
      </c>
      <c r="D46" s="89" t="s">
        <v>117</v>
      </c>
      <c r="E46" s="90">
        <v>1.33</v>
      </c>
      <c r="F46" s="66" t="s">
        <v>44</v>
      </c>
      <c r="G46" s="91">
        <v>1.8520000000000001</v>
      </c>
      <c r="H46" s="92" t="str">
        <f>IF(OOC!S46=0,"",OOC!S46)</f>
        <v/>
      </c>
      <c r="I46" s="92" t="str">
        <f>IF(OOC!T46=0,"",OOC!T46)</f>
        <v/>
      </c>
      <c r="J46" s="68" t="s">
        <v>12</v>
      </c>
      <c r="K46" s="69" t="s">
        <v>80</v>
      </c>
      <c r="L46" s="70" t="e">
        <f t="shared" si="0"/>
        <v>#VALUE!</v>
      </c>
      <c r="M46" s="70" t="e">
        <f t="shared" si="1"/>
        <v>#VALUE!</v>
      </c>
      <c r="N46" s="71"/>
      <c r="O46" s="2" t="e">
        <f t="shared" si="2"/>
        <v>#REF!</v>
      </c>
      <c r="P46" s="2" t="e">
        <f t="shared" si="3"/>
        <v>#REF!</v>
      </c>
      <c r="Q46" s="2" t="e">
        <f t="shared" si="4"/>
        <v>#REF!</v>
      </c>
      <c r="R46" s="3" t="e">
        <f t="shared" si="5"/>
        <v>#REF!</v>
      </c>
      <c r="S46" s="4" t="e">
        <f t="shared" si="10"/>
        <v>#REF!</v>
      </c>
      <c r="T46" s="84" t="e">
        <f t="shared" si="11"/>
        <v>#REF!</v>
      </c>
      <c r="U46" s="85" t="e">
        <f t="shared" si="12"/>
        <v>#REF!</v>
      </c>
      <c r="V46" s="4" t="e">
        <f t="shared" si="6"/>
        <v>#REF!</v>
      </c>
      <c r="W46" s="4" t="e">
        <f t="shared" si="7"/>
        <v>#REF!</v>
      </c>
      <c r="X46" s="4" t="e">
        <f t="shared" si="8"/>
        <v>#REF!</v>
      </c>
      <c r="Y46" s="62" t="e">
        <f t="shared" si="9"/>
        <v>#REF!</v>
      </c>
      <c r="Z46" s="22" t="e">
        <f>IF($Q46="","",IF(F46="Tolerance",IF(($E46*3*R46+Q46)-G46&lt;H46,"",($E46*3*R46+Q46)-G46),IF(OR(F46="GD&amp;T",F46="MAX"),IF(($E46*3*R46+Q46)&lt;H46,"",($E46*3*R46+Q46)),"")))</f>
        <v>#REF!</v>
      </c>
      <c r="AA46" s="22" t="e">
        <f>IF(Q46="","",IF(F46="Tolerance",IF(-(($E46*3*R46)-Q46)-G46&gt;I46,"",-(($E46*3*R46)-Q46)-G46),IF(F46="MIN",IF(-(($E46*3*R46)-Q46)&gt;I46,"",-(($E46*3*R46)-Q46)),"")))</f>
        <v>#REF!</v>
      </c>
      <c r="AB46" s="22" t="e">
        <f>IF(OR(G46="",Q46=""),"",(L46+M46)/2-Q46)</f>
        <v>#REF!</v>
      </c>
      <c r="AC46" s="22" t="e">
        <f>IF(OR($S46&gt;$AC$9,$R46=""),"",$AC$9*6*$R46)</f>
        <v>#REF!</v>
      </c>
      <c r="AD46" s="19"/>
      <c r="AE46" s="14"/>
      <c r="AF46" s="72"/>
      <c r="AG46" s="49"/>
      <c r="AH46" s="49"/>
      <c r="AI46" s="50"/>
      <c r="AJ46" s="15"/>
      <c r="AK46" s="77" t="e">
        <f>#REF!</f>
        <v>#REF!</v>
      </c>
      <c r="AL46" s="77" t="e">
        <f>#REF!</f>
        <v>#REF!</v>
      </c>
      <c r="AM46" s="77" t="e">
        <f>#REF!</f>
        <v>#REF!</v>
      </c>
      <c r="AN46" s="77" t="e">
        <f>#REF!</f>
        <v>#REF!</v>
      </c>
      <c r="AO46" s="77" t="e">
        <f>#REF!</f>
        <v>#REF!</v>
      </c>
      <c r="AP46" s="77" t="e">
        <f>#REF!</f>
        <v>#REF!</v>
      </c>
      <c r="AQ46" s="77" t="e">
        <f>#REF!</f>
        <v>#REF!</v>
      </c>
      <c r="AR46" s="77" t="e">
        <f>#REF!</f>
        <v>#REF!</v>
      </c>
      <c r="AS46" s="77" t="e">
        <f>#REF!</f>
        <v>#REF!</v>
      </c>
      <c r="AT46" s="77" t="e">
        <f>#REF!</f>
        <v>#REF!</v>
      </c>
      <c r="AU46" s="77" t="e">
        <f>#REF!</f>
        <v>#REF!</v>
      </c>
      <c r="AV46" s="77" t="e">
        <f>#REF!</f>
        <v>#REF!</v>
      </c>
      <c r="AW46" s="77" t="e">
        <f>#REF!</f>
        <v>#REF!</v>
      </c>
      <c r="AX46" s="77" t="e">
        <f>#REF!</f>
        <v>#REF!</v>
      </c>
      <c r="AY46" s="77" t="e">
        <f>#REF!</f>
        <v>#REF!</v>
      </c>
      <c r="AZ46" s="77" t="e">
        <f>#REF!</f>
        <v>#REF!</v>
      </c>
      <c r="BA46" s="77" t="e">
        <f>#REF!</f>
        <v>#REF!</v>
      </c>
      <c r="BB46" s="77" t="e">
        <f>#REF!</f>
        <v>#REF!</v>
      </c>
      <c r="BC46" s="77" t="e">
        <f>#REF!</f>
        <v>#REF!</v>
      </c>
      <c r="BD46" s="77" t="e">
        <f>#REF!</f>
        <v>#REF!</v>
      </c>
      <c r="BE46" s="77" t="e">
        <f>#REF!</f>
        <v>#REF!</v>
      </c>
      <c r="BF46" s="77" t="e">
        <f>#REF!</f>
        <v>#REF!</v>
      </c>
      <c r="BG46" s="77" t="e">
        <f>#REF!</f>
        <v>#REF!</v>
      </c>
      <c r="BH46" s="77" t="e">
        <f>#REF!</f>
        <v>#REF!</v>
      </c>
      <c r="BI46" s="77" t="e">
        <f>#REF!</f>
        <v>#REF!</v>
      </c>
      <c r="BJ46" s="77" t="e">
        <f>#REF!</f>
        <v>#REF!</v>
      </c>
      <c r="BK46" s="77" t="e">
        <f>#REF!</f>
        <v>#REF!</v>
      </c>
      <c r="BL46" s="77" t="e">
        <f>#REF!</f>
        <v>#REF!</v>
      </c>
      <c r="BM46" s="77" t="e">
        <f>#REF!</f>
        <v>#REF!</v>
      </c>
      <c r="BN46" s="77" t="e">
        <f>#REF!</f>
        <v>#REF!</v>
      </c>
      <c r="BO46" s="77" t="e">
        <f>#REF!</f>
        <v>#REF!</v>
      </c>
      <c r="BP46" s="77" t="e">
        <f>#REF!</f>
        <v>#REF!</v>
      </c>
      <c r="BR46" s="123" t="str">
        <f t="shared" si="13"/>
        <v>FAI23</v>
      </c>
      <c r="BS46" s="120">
        <f>OOC!G46</f>
        <v>1.8720000000000001</v>
      </c>
      <c r="BT46" s="120">
        <f>OOC!H46</f>
        <v>1.8320000000000001</v>
      </c>
      <c r="BU46" s="2" t="e">
        <f t="shared" si="14"/>
        <v>#REF!</v>
      </c>
      <c r="BV46" s="2" t="e">
        <f t="shared" si="15"/>
        <v>#REF!</v>
      </c>
      <c r="BW46" s="2" t="e">
        <f t="shared" si="16"/>
        <v>#REF!</v>
      </c>
      <c r="BX46" s="121" t="e">
        <f>IF(AND(IF(OOC!G46="",0,OOC!G46) &gt;= IF(O46="",0,O46), IF(O46="",0,O46) &gt; IF(L46="",0,L46)), "OOC",
IF(AND(IF(M46="",0,M46) &gt; IF(P46="",0,P46), IF(P46="",0,P46) &gt;= IF(OOC!H46="",0,OOC!H46)), "OOC",
IF(IF(O46="",0,O46) &gt; IF(OOC!G46="",0,OOC!G46), "OOS",
IF(IF(OOC!H46="",0,OOC!H46) &gt; IF(P46="",0,P46), "OOS", "OK"))))</f>
        <v>#REF!</v>
      </c>
    </row>
    <row r="47" spans="1:76" ht="15" customHeight="1">
      <c r="A47" s="13"/>
      <c r="B47" s="93" t="s">
        <v>256</v>
      </c>
      <c r="C47" s="94" t="s">
        <v>109</v>
      </c>
      <c r="D47" s="89" t="s">
        <v>117</v>
      </c>
      <c r="E47" s="90">
        <v>1.33</v>
      </c>
      <c r="F47" s="66" t="s">
        <v>44</v>
      </c>
      <c r="G47" s="67">
        <v>0.214</v>
      </c>
      <c r="H47" s="92" t="str">
        <f>IF(OOC!S47=0,"",OOC!S47)</f>
        <v/>
      </c>
      <c r="I47" s="92" t="str">
        <f>IF(OOC!T47=0,"",OOC!T47)</f>
        <v/>
      </c>
      <c r="J47" s="68" t="s">
        <v>12</v>
      </c>
      <c r="K47" s="69" t="s">
        <v>80</v>
      </c>
      <c r="L47" s="70" t="e">
        <f t="shared" si="0"/>
        <v>#VALUE!</v>
      </c>
      <c r="M47" s="70" t="e">
        <f t="shared" si="1"/>
        <v>#VALUE!</v>
      </c>
      <c r="N47" s="71"/>
      <c r="O47" s="2" t="e">
        <f t="shared" si="2"/>
        <v>#REF!</v>
      </c>
      <c r="P47" s="2" t="e">
        <f t="shared" si="3"/>
        <v>#REF!</v>
      </c>
      <c r="Q47" s="2" t="e">
        <f t="shared" si="4"/>
        <v>#REF!</v>
      </c>
      <c r="R47" s="3" t="e">
        <f t="shared" si="5"/>
        <v>#REF!</v>
      </c>
      <c r="S47" s="4" t="e">
        <f t="shared" si="10"/>
        <v>#REF!</v>
      </c>
      <c r="T47" s="84" t="e">
        <f t="shared" si="11"/>
        <v>#REF!</v>
      </c>
      <c r="U47" s="85" t="e">
        <f t="shared" si="12"/>
        <v>#REF!</v>
      </c>
      <c r="V47" s="4" t="e">
        <f t="shared" si="6"/>
        <v>#REF!</v>
      </c>
      <c r="W47" s="4" t="e">
        <f t="shared" si="7"/>
        <v>#REF!</v>
      </c>
      <c r="X47" s="4" t="e">
        <f t="shared" si="8"/>
        <v>#REF!</v>
      </c>
      <c r="Y47" s="62" t="e">
        <f t="shared" si="9"/>
        <v>#REF!</v>
      </c>
      <c r="Z47" s="22"/>
      <c r="AA47" s="22"/>
      <c r="AB47" s="22"/>
      <c r="AC47" s="22"/>
      <c r="AD47" s="19"/>
      <c r="AE47" s="14"/>
      <c r="AF47" s="74"/>
      <c r="AG47" s="49"/>
      <c r="AH47" s="49"/>
      <c r="AI47" s="50"/>
      <c r="AJ47" s="15"/>
      <c r="AK47" s="77" t="e">
        <f>#REF!</f>
        <v>#REF!</v>
      </c>
      <c r="AL47" s="77" t="e">
        <f>#REF!</f>
        <v>#REF!</v>
      </c>
      <c r="AM47" s="77" t="e">
        <f>#REF!</f>
        <v>#REF!</v>
      </c>
      <c r="AN47" s="77" t="e">
        <f>#REF!</f>
        <v>#REF!</v>
      </c>
      <c r="AO47" s="77" t="e">
        <f>#REF!</f>
        <v>#REF!</v>
      </c>
      <c r="AP47" s="77" t="e">
        <f>#REF!</f>
        <v>#REF!</v>
      </c>
      <c r="AQ47" s="77" t="e">
        <f>#REF!</f>
        <v>#REF!</v>
      </c>
      <c r="AR47" s="77" t="e">
        <f>#REF!</f>
        <v>#REF!</v>
      </c>
      <c r="AS47" s="77" t="e">
        <f>#REF!</f>
        <v>#REF!</v>
      </c>
      <c r="AT47" s="77" t="e">
        <f>#REF!</f>
        <v>#REF!</v>
      </c>
      <c r="AU47" s="77" t="e">
        <f>#REF!</f>
        <v>#REF!</v>
      </c>
      <c r="AV47" s="77" t="e">
        <f>#REF!</f>
        <v>#REF!</v>
      </c>
      <c r="AW47" s="77" t="e">
        <f>#REF!</f>
        <v>#REF!</v>
      </c>
      <c r="AX47" s="77" t="e">
        <f>#REF!</f>
        <v>#REF!</v>
      </c>
      <c r="AY47" s="77" t="e">
        <f>#REF!</f>
        <v>#REF!</v>
      </c>
      <c r="AZ47" s="77" t="e">
        <f>#REF!</f>
        <v>#REF!</v>
      </c>
      <c r="BA47" s="77" t="e">
        <f>#REF!</f>
        <v>#REF!</v>
      </c>
      <c r="BB47" s="77" t="e">
        <f>#REF!</f>
        <v>#REF!</v>
      </c>
      <c r="BC47" s="77" t="e">
        <f>#REF!</f>
        <v>#REF!</v>
      </c>
      <c r="BD47" s="77" t="e">
        <f>#REF!</f>
        <v>#REF!</v>
      </c>
      <c r="BE47" s="77" t="e">
        <f>#REF!</f>
        <v>#REF!</v>
      </c>
      <c r="BF47" s="77" t="e">
        <f>#REF!</f>
        <v>#REF!</v>
      </c>
      <c r="BG47" s="77" t="e">
        <f>#REF!</f>
        <v>#REF!</v>
      </c>
      <c r="BH47" s="77" t="e">
        <f>#REF!</f>
        <v>#REF!</v>
      </c>
      <c r="BI47" s="77" t="e">
        <f>#REF!</f>
        <v>#REF!</v>
      </c>
      <c r="BJ47" s="77" t="e">
        <f>#REF!</f>
        <v>#REF!</v>
      </c>
      <c r="BK47" s="77" t="e">
        <f>#REF!</f>
        <v>#REF!</v>
      </c>
      <c r="BL47" s="77" t="e">
        <f>#REF!</f>
        <v>#REF!</v>
      </c>
      <c r="BM47" s="77" t="e">
        <f>#REF!</f>
        <v>#REF!</v>
      </c>
      <c r="BN47" s="77" t="e">
        <f>#REF!</f>
        <v>#REF!</v>
      </c>
      <c r="BO47" s="77" t="e">
        <f>#REF!</f>
        <v>#REF!</v>
      </c>
      <c r="BP47" s="77" t="e">
        <f>#REF!</f>
        <v>#REF!</v>
      </c>
      <c r="BR47" s="123" t="str">
        <f t="shared" si="13"/>
        <v>FAI24</v>
      </c>
      <c r="BS47" s="120">
        <f>OOC!G47</f>
        <v>0.23399999999999999</v>
      </c>
      <c r="BT47" s="120">
        <f>OOC!H47</f>
        <v>0.19400000000000001</v>
      </c>
      <c r="BU47" s="2" t="e">
        <f t="shared" si="14"/>
        <v>#REF!</v>
      </c>
      <c r="BV47" s="2" t="e">
        <f t="shared" si="15"/>
        <v>#REF!</v>
      </c>
      <c r="BW47" s="2" t="e">
        <f t="shared" si="16"/>
        <v>#REF!</v>
      </c>
      <c r="BX47" s="121" t="e">
        <f>IF(AND(IF(OOC!G47="",0,OOC!G47) &gt;= IF(O47="",0,O47), IF(O47="",0,O47) &gt; IF(L47="",0,L47)), "OOC",
IF(AND(IF(M47="",0,M47) &gt; IF(P47="",0,P47), IF(P47="",0,P47) &gt;= IF(OOC!H47="",0,OOC!H47)), "OOC",
IF(IF(O47="",0,O47) &gt; IF(OOC!G47="",0,OOC!G47), "OOS",
IF(IF(OOC!H47="",0,OOC!H47) &gt; IF(P47="",0,P47), "OOS", "OK"))))</f>
        <v>#REF!</v>
      </c>
    </row>
    <row r="48" spans="1:76" ht="15" customHeight="1">
      <c r="A48" s="13"/>
      <c r="B48" s="88"/>
      <c r="C48" s="78" t="s">
        <v>147</v>
      </c>
      <c r="D48" s="89" t="s">
        <v>117</v>
      </c>
      <c r="E48" s="90"/>
      <c r="F48" s="66" t="s">
        <v>44</v>
      </c>
      <c r="G48" s="91">
        <v>1.29</v>
      </c>
      <c r="H48" s="92" t="str">
        <f>IF(OOC!S48=0,"",OOC!S48)</f>
        <v/>
      </c>
      <c r="I48" s="92" t="str">
        <f>IF(OOC!T48=0,"",OOC!T48)</f>
        <v/>
      </c>
      <c r="J48" s="68" t="s">
        <v>12</v>
      </c>
      <c r="K48" s="69" t="s">
        <v>80</v>
      </c>
      <c r="L48" s="70" t="e">
        <f t="shared" si="0"/>
        <v>#VALUE!</v>
      </c>
      <c r="M48" s="70" t="e">
        <f t="shared" si="1"/>
        <v>#VALUE!</v>
      </c>
      <c r="N48" s="71"/>
      <c r="O48" s="2" t="e">
        <f t="shared" si="2"/>
        <v>#REF!</v>
      </c>
      <c r="P48" s="2" t="e">
        <f t="shared" si="3"/>
        <v>#REF!</v>
      </c>
      <c r="Q48" s="2" t="e">
        <f t="shared" si="4"/>
        <v>#REF!</v>
      </c>
      <c r="R48" s="3" t="e">
        <f t="shared" si="5"/>
        <v>#REF!</v>
      </c>
      <c r="S48" s="4" t="e">
        <f t="shared" si="10"/>
        <v>#REF!</v>
      </c>
      <c r="T48" s="84" t="e">
        <f t="shared" si="11"/>
        <v>#REF!</v>
      </c>
      <c r="U48" s="85" t="e">
        <f t="shared" si="12"/>
        <v>#REF!</v>
      </c>
      <c r="V48" s="4" t="e">
        <f t="shared" si="6"/>
        <v>#REF!</v>
      </c>
      <c r="W48" s="4" t="e">
        <f t="shared" si="7"/>
        <v>#REF!</v>
      </c>
      <c r="X48" s="4" t="e">
        <f t="shared" si="8"/>
        <v>#REF!</v>
      </c>
      <c r="Y48" s="62" t="e">
        <f t="shared" si="9"/>
        <v>#REF!</v>
      </c>
      <c r="Z48" s="22"/>
      <c r="AA48" s="22"/>
      <c r="AB48" s="22"/>
      <c r="AC48" s="22"/>
      <c r="AD48" s="19"/>
      <c r="AE48" s="14"/>
      <c r="AF48" s="74"/>
      <c r="AG48" s="49"/>
      <c r="AH48" s="49"/>
      <c r="AI48" s="50"/>
      <c r="AJ48" s="15"/>
      <c r="AK48" s="77" t="e">
        <f>#REF!</f>
        <v>#REF!</v>
      </c>
      <c r="AL48" s="77" t="e">
        <f>#REF!</f>
        <v>#REF!</v>
      </c>
      <c r="AM48" s="77" t="e">
        <f>#REF!</f>
        <v>#REF!</v>
      </c>
      <c r="AN48" s="77"/>
      <c r="AO48" s="77"/>
      <c r="AP48" s="77"/>
      <c r="AQ48" s="77"/>
      <c r="AR48" s="77"/>
      <c r="AS48" s="77"/>
      <c r="AT48" s="77"/>
      <c r="AU48" s="77"/>
      <c r="AV48" s="77"/>
      <c r="AW48" s="77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77"/>
      <c r="BN48" s="77"/>
      <c r="BO48" s="77"/>
      <c r="BP48" s="77"/>
      <c r="BR48" s="123" t="str">
        <f t="shared" si="13"/>
        <v>FAI25A-1</v>
      </c>
      <c r="BS48" s="120">
        <f>OOC!G48</f>
        <v>1.32</v>
      </c>
      <c r="BT48" s="120">
        <f>OOC!H48</f>
        <v>1.26</v>
      </c>
      <c r="BU48" s="2" t="e">
        <f t="shared" si="14"/>
        <v>#REF!</v>
      </c>
      <c r="BV48" s="2" t="e">
        <f t="shared" si="15"/>
        <v>#REF!</v>
      </c>
      <c r="BW48" s="2" t="e">
        <f t="shared" si="16"/>
        <v>#REF!</v>
      </c>
      <c r="BX48" s="121" t="e">
        <f>IF(AND(IF(OOC!G48="",0,OOC!G48) &gt;= IF(O48="",0,O48), IF(O48="",0,O48) &gt; IF(L48="",0,L48)), "OOC",
IF(AND(IF(M48="",0,M48) &gt; IF(P48="",0,P48), IF(P48="",0,P48) &gt;= IF(OOC!H48="",0,OOC!H48)), "OOC",
IF(IF(O48="",0,O48) &gt; IF(OOC!G48="",0,OOC!G48), "OOS",
IF(IF(OOC!H48="",0,OOC!H48) &gt; IF(P48="",0,P48), "OOS", "OK"))))</f>
        <v>#REF!</v>
      </c>
    </row>
    <row r="49" spans="1:76" ht="15" customHeight="1">
      <c r="A49" s="13"/>
      <c r="B49" s="88"/>
      <c r="C49" s="78" t="s">
        <v>148</v>
      </c>
      <c r="D49" s="89" t="s">
        <v>117</v>
      </c>
      <c r="E49" s="90"/>
      <c r="F49" s="66" t="s">
        <v>44</v>
      </c>
      <c r="G49" s="91">
        <v>1.29</v>
      </c>
      <c r="H49" s="92" t="str">
        <f>IF(OOC!S49=0,"",OOC!S49)</f>
        <v/>
      </c>
      <c r="I49" s="92" t="str">
        <f>IF(OOC!T49=0,"",OOC!T49)</f>
        <v/>
      </c>
      <c r="J49" s="68" t="s">
        <v>12</v>
      </c>
      <c r="K49" s="69" t="s">
        <v>80</v>
      </c>
      <c r="L49" s="70" t="e">
        <f t="shared" si="0"/>
        <v>#VALUE!</v>
      </c>
      <c r="M49" s="70" t="e">
        <f t="shared" si="1"/>
        <v>#VALUE!</v>
      </c>
      <c r="N49" s="71"/>
      <c r="O49" s="2" t="e">
        <f t="shared" si="2"/>
        <v>#REF!</v>
      </c>
      <c r="P49" s="2" t="e">
        <f t="shared" si="3"/>
        <v>#REF!</v>
      </c>
      <c r="Q49" s="2" t="e">
        <f t="shared" si="4"/>
        <v>#REF!</v>
      </c>
      <c r="R49" s="3" t="e">
        <f t="shared" si="5"/>
        <v>#REF!</v>
      </c>
      <c r="S49" s="4" t="e">
        <f t="shared" si="10"/>
        <v>#REF!</v>
      </c>
      <c r="T49" s="84" t="e">
        <f t="shared" si="11"/>
        <v>#REF!</v>
      </c>
      <c r="U49" s="85" t="e">
        <f t="shared" si="12"/>
        <v>#REF!</v>
      </c>
      <c r="V49" s="4" t="e">
        <f t="shared" si="6"/>
        <v>#REF!</v>
      </c>
      <c r="W49" s="4" t="e">
        <f t="shared" si="7"/>
        <v>#REF!</v>
      </c>
      <c r="X49" s="4" t="e">
        <f t="shared" si="8"/>
        <v>#REF!</v>
      </c>
      <c r="Y49" s="62" t="e">
        <f t="shared" si="9"/>
        <v>#REF!</v>
      </c>
      <c r="Z49" s="22"/>
      <c r="AA49" s="22"/>
      <c r="AB49" s="22"/>
      <c r="AC49" s="22"/>
      <c r="AD49" s="19"/>
      <c r="AE49" s="14"/>
      <c r="AF49" s="74"/>
      <c r="AG49" s="49"/>
      <c r="AH49" s="49"/>
      <c r="AI49" s="50"/>
      <c r="AJ49" s="15"/>
      <c r="AK49" s="77" t="e">
        <f>#REF!</f>
        <v>#REF!</v>
      </c>
      <c r="AL49" s="77" t="e">
        <f>#REF!</f>
        <v>#REF!</v>
      </c>
      <c r="AM49" s="77" t="e">
        <f>#REF!</f>
        <v>#REF!</v>
      </c>
      <c r="AN49" s="77"/>
      <c r="AO49" s="77"/>
      <c r="AP49" s="77"/>
      <c r="AQ49" s="77"/>
      <c r="AR49" s="77"/>
      <c r="AS49" s="77"/>
      <c r="AT49" s="77"/>
      <c r="AU49" s="77"/>
      <c r="AV49" s="77"/>
      <c r="AW49" s="77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77"/>
      <c r="BM49" s="77"/>
      <c r="BN49" s="77"/>
      <c r="BO49" s="77"/>
      <c r="BP49" s="77"/>
      <c r="BR49" s="123" t="str">
        <f t="shared" si="13"/>
        <v>FAI25A-2</v>
      </c>
      <c r="BS49" s="120">
        <f>OOC!G49</f>
        <v>1.32</v>
      </c>
      <c r="BT49" s="120">
        <f>OOC!H49</f>
        <v>1.26</v>
      </c>
      <c r="BU49" s="2" t="e">
        <f t="shared" si="14"/>
        <v>#REF!</v>
      </c>
      <c r="BV49" s="2" t="e">
        <f t="shared" si="15"/>
        <v>#REF!</v>
      </c>
      <c r="BW49" s="2" t="e">
        <f t="shared" si="16"/>
        <v>#REF!</v>
      </c>
      <c r="BX49" s="121" t="e">
        <f>IF(AND(IF(OOC!G49="",0,OOC!G49) &gt;= IF(O49="",0,O49), IF(O49="",0,O49) &gt; IF(L49="",0,L49)), "OOC",
IF(AND(IF(M49="",0,M49) &gt; IF(P49="",0,P49), IF(P49="",0,P49) &gt;= IF(OOC!H49="",0,OOC!H49)), "OOC",
IF(IF(O49="",0,O49) &gt; IF(OOC!G49="",0,OOC!G49), "OOS",
IF(IF(OOC!H49="",0,OOC!H49) &gt; IF(P49="",0,P49), "OOS", "OK"))))</f>
        <v>#REF!</v>
      </c>
    </row>
    <row r="50" spans="1:76" ht="15" customHeight="1">
      <c r="A50" s="13"/>
      <c r="B50" s="88"/>
      <c r="C50" s="78" t="s">
        <v>149</v>
      </c>
      <c r="D50" s="89" t="s">
        <v>117</v>
      </c>
      <c r="E50" s="90"/>
      <c r="F50" s="66" t="s">
        <v>44</v>
      </c>
      <c r="G50" s="91">
        <v>1.29</v>
      </c>
      <c r="H50" s="92" t="str">
        <f>IF(OOC!S50=0,"",OOC!S50)</f>
        <v/>
      </c>
      <c r="I50" s="92" t="str">
        <f>IF(OOC!T50=0,"",OOC!T50)</f>
        <v/>
      </c>
      <c r="J50" s="68" t="s">
        <v>12</v>
      </c>
      <c r="K50" s="69" t="s">
        <v>80</v>
      </c>
      <c r="L50" s="70" t="e">
        <f t="shared" si="0"/>
        <v>#VALUE!</v>
      </c>
      <c r="M50" s="70" t="e">
        <f t="shared" si="1"/>
        <v>#VALUE!</v>
      </c>
      <c r="N50" s="71"/>
      <c r="O50" s="2" t="e">
        <f t="shared" si="2"/>
        <v>#REF!</v>
      </c>
      <c r="P50" s="2" t="e">
        <f t="shared" si="3"/>
        <v>#REF!</v>
      </c>
      <c r="Q50" s="2" t="e">
        <f t="shared" si="4"/>
        <v>#REF!</v>
      </c>
      <c r="R50" s="3" t="e">
        <f t="shared" si="5"/>
        <v>#REF!</v>
      </c>
      <c r="S50" s="4" t="e">
        <f t="shared" si="10"/>
        <v>#REF!</v>
      </c>
      <c r="T50" s="84" t="e">
        <f t="shared" si="11"/>
        <v>#REF!</v>
      </c>
      <c r="U50" s="85" t="e">
        <f t="shared" si="12"/>
        <v>#REF!</v>
      </c>
      <c r="V50" s="4" t="e">
        <f t="shared" si="6"/>
        <v>#REF!</v>
      </c>
      <c r="W50" s="4" t="e">
        <f t="shared" si="7"/>
        <v>#REF!</v>
      </c>
      <c r="X50" s="4" t="e">
        <f t="shared" si="8"/>
        <v>#REF!</v>
      </c>
      <c r="Y50" s="62" t="e">
        <f t="shared" si="9"/>
        <v>#REF!</v>
      </c>
      <c r="Z50" s="22"/>
      <c r="AA50" s="22"/>
      <c r="AB50" s="22"/>
      <c r="AC50" s="22"/>
      <c r="AD50" s="19"/>
      <c r="AE50" s="14"/>
      <c r="AF50" s="74"/>
      <c r="AG50" s="49"/>
      <c r="AH50" s="49"/>
      <c r="AI50" s="50"/>
      <c r="AJ50" s="15"/>
      <c r="AK50" s="77" t="e">
        <f>#REF!</f>
        <v>#REF!</v>
      </c>
      <c r="AL50" s="77" t="e">
        <f>#REF!</f>
        <v>#REF!</v>
      </c>
      <c r="AM50" s="77" t="e">
        <f>#REF!</f>
        <v>#REF!</v>
      </c>
      <c r="AN50" s="77"/>
      <c r="AO50" s="77"/>
      <c r="AP50" s="77"/>
      <c r="AQ50" s="77"/>
      <c r="AR50" s="77"/>
      <c r="AS50" s="77"/>
      <c r="AT50" s="77"/>
      <c r="AU50" s="77"/>
      <c r="AV50" s="77"/>
      <c r="AW50" s="77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77"/>
      <c r="BM50" s="77"/>
      <c r="BN50" s="77"/>
      <c r="BO50" s="77"/>
      <c r="BP50" s="77"/>
      <c r="BR50" s="123" t="str">
        <f t="shared" si="13"/>
        <v>FAI25A-3</v>
      </c>
      <c r="BS50" s="120">
        <f>OOC!G50</f>
        <v>1.32</v>
      </c>
      <c r="BT50" s="120">
        <f>OOC!H50</f>
        <v>1.26</v>
      </c>
      <c r="BU50" s="2" t="e">
        <f t="shared" si="14"/>
        <v>#REF!</v>
      </c>
      <c r="BV50" s="2" t="e">
        <f t="shared" si="15"/>
        <v>#REF!</v>
      </c>
      <c r="BW50" s="2" t="e">
        <f t="shared" si="16"/>
        <v>#REF!</v>
      </c>
      <c r="BX50" s="121" t="e">
        <f>IF(AND(IF(OOC!G50="",0,OOC!G50) &gt;= IF(O50="",0,O50), IF(O50="",0,O50) &gt; IF(L50="",0,L50)), "OOC",
IF(AND(IF(M50="",0,M50) &gt; IF(P50="",0,P50), IF(P50="",0,P50) &gt;= IF(OOC!H50="",0,OOC!H50)), "OOC",
IF(IF(O50="",0,O50) &gt; IF(OOC!G50="",0,OOC!G50), "OOS",
IF(IF(OOC!H50="",0,OOC!H50) &gt; IF(P50="",0,P50), "OOS", "OK"))))</f>
        <v>#REF!</v>
      </c>
    </row>
    <row r="51" spans="1:76" ht="15" customHeight="1">
      <c r="A51" s="13"/>
      <c r="B51" s="88" t="s">
        <v>162</v>
      </c>
      <c r="C51" s="78" t="s">
        <v>144</v>
      </c>
      <c r="D51" s="89" t="s">
        <v>117</v>
      </c>
      <c r="E51" s="90"/>
      <c r="F51" s="66" t="s">
        <v>44</v>
      </c>
      <c r="G51" s="91">
        <v>1.29</v>
      </c>
      <c r="H51" s="92">
        <f>IF(OOC!S51=0,"",OOC!S51)</f>
        <v>0.03</v>
      </c>
      <c r="I51" s="92">
        <f>IF(OOC!T51=0,"",OOC!T51)</f>
        <v>-0.03</v>
      </c>
      <c r="J51" s="68" t="s">
        <v>12</v>
      </c>
      <c r="K51" s="69" t="s">
        <v>80</v>
      </c>
      <c r="L51" s="70">
        <f t="shared" si="0"/>
        <v>1.32</v>
      </c>
      <c r="M51" s="70">
        <f t="shared" si="1"/>
        <v>1.26</v>
      </c>
      <c r="N51" s="71"/>
      <c r="O51" s="2" t="e">
        <f t="shared" si="2"/>
        <v>#REF!</v>
      </c>
      <c r="P51" s="2" t="e">
        <f t="shared" si="3"/>
        <v>#REF!</v>
      </c>
      <c r="Q51" s="2" t="e">
        <f t="shared" si="4"/>
        <v>#REF!</v>
      </c>
      <c r="R51" s="3" t="e">
        <f t="shared" si="5"/>
        <v>#REF!</v>
      </c>
      <c r="S51" s="4" t="e">
        <f t="shared" si="10"/>
        <v>#REF!</v>
      </c>
      <c r="T51" s="84" t="e">
        <f t="shared" si="11"/>
        <v>#REF!</v>
      </c>
      <c r="U51" s="85" t="e">
        <f t="shared" si="12"/>
        <v>#REF!</v>
      </c>
      <c r="V51" s="4" t="e">
        <f t="shared" si="6"/>
        <v>#REF!</v>
      </c>
      <c r="W51" s="4" t="e">
        <f t="shared" si="7"/>
        <v>#REF!</v>
      </c>
      <c r="X51" s="4" t="e">
        <f t="shared" si="8"/>
        <v>#REF!</v>
      </c>
      <c r="Y51" s="62" t="e">
        <f t="shared" si="9"/>
        <v>#REF!</v>
      </c>
      <c r="Z51" s="22"/>
      <c r="AA51" s="22"/>
      <c r="AB51" s="22"/>
      <c r="AC51" s="22"/>
      <c r="AD51" s="19"/>
      <c r="AE51" s="14"/>
      <c r="AF51" s="74"/>
      <c r="AG51" s="49"/>
      <c r="AH51" s="49"/>
      <c r="AI51" s="50"/>
      <c r="AJ51" s="15"/>
      <c r="AK51" s="77" t="e">
        <f>#REF!</f>
        <v>#REF!</v>
      </c>
      <c r="AL51" s="77" t="e">
        <f>#REF!</f>
        <v>#REF!</v>
      </c>
      <c r="AM51" s="77" t="e">
        <f>#REF!</f>
        <v>#REF!</v>
      </c>
      <c r="AN51" s="77" t="e">
        <f>#REF!</f>
        <v>#REF!</v>
      </c>
      <c r="AO51" s="77" t="e">
        <f>#REF!</f>
        <v>#REF!</v>
      </c>
      <c r="AP51" s="77" t="e">
        <f>#REF!</f>
        <v>#REF!</v>
      </c>
      <c r="AQ51" s="77" t="e">
        <f>#REF!</f>
        <v>#REF!</v>
      </c>
      <c r="AR51" s="77" t="e">
        <f>#REF!</f>
        <v>#REF!</v>
      </c>
      <c r="AS51" s="77" t="e">
        <f>#REF!</f>
        <v>#REF!</v>
      </c>
      <c r="AT51" s="77" t="e">
        <f>#REF!</f>
        <v>#REF!</v>
      </c>
      <c r="AU51" s="77" t="e">
        <f>#REF!</f>
        <v>#REF!</v>
      </c>
      <c r="AV51" s="77" t="e">
        <f>#REF!</f>
        <v>#REF!</v>
      </c>
      <c r="AW51" s="77" t="e">
        <f>#REF!</f>
        <v>#REF!</v>
      </c>
      <c r="AX51" s="77" t="e">
        <f>#REF!</f>
        <v>#REF!</v>
      </c>
      <c r="AY51" s="77" t="e">
        <f>#REF!</f>
        <v>#REF!</v>
      </c>
      <c r="AZ51" s="77" t="e">
        <f>#REF!</f>
        <v>#REF!</v>
      </c>
      <c r="BA51" s="77" t="e">
        <f>#REF!</f>
        <v>#REF!</v>
      </c>
      <c r="BB51" s="77" t="e">
        <f>#REF!</f>
        <v>#REF!</v>
      </c>
      <c r="BC51" s="77" t="e">
        <f>#REF!</f>
        <v>#REF!</v>
      </c>
      <c r="BD51" s="77" t="e">
        <f>#REF!</f>
        <v>#REF!</v>
      </c>
      <c r="BE51" s="77" t="e">
        <f>#REF!</f>
        <v>#REF!</v>
      </c>
      <c r="BF51" s="77" t="e">
        <f>#REF!</f>
        <v>#REF!</v>
      </c>
      <c r="BG51" s="77" t="e">
        <f>#REF!</f>
        <v>#REF!</v>
      </c>
      <c r="BH51" s="77" t="e">
        <f>#REF!</f>
        <v>#REF!</v>
      </c>
      <c r="BI51" s="77" t="e">
        <f>#REF!</f>
        <v>#REF!</v>
      </c>
      <c r="BJ51" s="77" t="e">
        <f>#REF!</f>
        <v>#REF!</v>
      </c>
      <c r="BK51" s="77" t="e">
        <f>#REF!</f>
        <v>#REF!</v>
      </c>
      <c r="BL51" s="77" t="e">
        <f>#REF!</f>
        <v>#REF!</v>
      </c>
      <c r="BM51" s="77" t="e">
        <f>#REF!</f>
        <v>#REF!</v>
      </c>
      <c r="BN51" s="77" t="e">
        <f>#REF!</f>
        <v>#REF!</v>
      </c>
      <c r="BO51" s="77" t="e">
        <f>#REF!</f>
        <v>#REF!</v>
      </c>
      <c r="BP51" s="77" t="e">
        <f>#REF!</f>
        <v>#REF!</v>
      </c>
      <c r="BR51" s="123" t="str">
        <f t="shared" si="13"/>
        <v>FAI25B-1(DC)</v>
      </c>
      <c r="BS51" s="120">
        <f>OOC!G51</f>
        <v>1.32</v>
      </c>
      <c r="BT51" s="120">
        <f>OOC!H51</f>
        <v>1.26</v>
      </c>
      <c r="BU51" s="2" t="e">
        <f t="shared" si="14"/>
        <v>#REF!</v>
      </c>
      <c r="BV51" s="2" t="e">
        <f t="shared" si="15"/>
        <v>#REF!</v>
      </c>
      <c r="BW51" s="2" t="e">
        <f t="shared" si="16"/>
        <v>#REF!</v>
      </c>
      <c r="BX51" s="121"/>
    </row>
    <row r="52" spans="1:76" ht="15" customHeight="1">
      <c r="A52" s="13"/>
      <c r="B52" s="88" t="s">
        <v>162</v>
      </c>
      <c r="C52" s="78" t="s">
        <v>145</v>
      </c>
      <c r="D52" s="89" t="s">
        <v>117</v>
      </c>
      <c r="E52" s="90"/>
      <c r="F52" s="66" t="s">
        <v>44</v>
      </c>
      <c r="G52" s="91">
        <v>1.29</v>
      </c>
      <c r="H52" s="92">
        <f>IF(OOC!S52=0,"",OOC!S52)</f>
        <v>0.03</v>
      </c>
      <c r="I52" s="92">
        <f>IF(OOC!T52=0,"",OOC!T52)</f>
        <v>-0.03</v>
      </c>
      <c r="J52" s="68" t="s">
        <v>12</v>
      </c>
      <c r="K52" s="69" t="s">
        <v>80</v>
      </c>
      <c r="L52" s="70">
        <f t="shared" si="0"/>
        <v>1.32</v>
      </c>
      <c r="M52" s="70">
        <f t="shared" si="1"/>
        <v>1.26</v>
      </c>
      <c r="N52" s="71"/>
      <c r="O52" s="2" t="e">
        <f t="shared" si="2"/>
        <v>#REF!</v>
      </c>
      <c r="P52" s="2" t="e">
        <f t="shared" si="3"/>
        <v>#REF!</v>
      </c>
      <c r="Q52" s="2" t="e">
        <f t="shared" si="4"/>
        <v>#REF!</v>
      </c>
      <c r="R52" s="3" t="e">
        <f t="shared" si="5"/>
        <v>#REF!</v>
      </c>
      <c r="S52" s="4" t="e">
        <f t="shared" si="10"/>
        <v>#REF!</v>
      </c>
      <c r="T52" s="84" t="e">
        <f t="shared" si="11"/>
        <v>#REF!</v>
      </c>
      <c r="U52" s="85" t="e">
        <f t="shared" si="12"/>
        <v>#REF!</v>
      </c>
      <c r="V52" s="4" t="e">
        <f t="shared" si="6"/>
        <v>#REF!</v>
      </c>
      <c r="W52" s="4" t="e">
        <f t="shared" si="7"/>
        <v>#REF!</v>
      </c>
      <c r="X52" s="4" t="e">
        <f t="shared" si="8"/>
        <v>#REF!</v>
      </c>
      <c r="Y52" s="62" t="e">
        <f t="shared" si="9"/>
        <v>#REF!</v>
      </c>
      <c r="Z52" s="22"/>
      <c r="AA52" s="22"/>
      <c r="AB52" s="22"/>
      <c r="AC52" s="22"/>
      <c r="AD52" s="19"/>
      <c r="AE52" s="14"/>
      <c r="AF52" s="74"/>
      <c r="AG52" s="49"/>
      <c r="AH52" s="49"/>
      <c r="AI52" s="50"/>
      <c r="AJ52" s="15"/>
      <c r="AK52" s="77" t="e">
        <f>#REF!</f>
        <v>#REF!</v>
      </c>
      <c r="AL52" s="77" t="e">
        <f>#REF!</f>
        <v>#REF!</v>
      </c>
      <c r="AM52" s="77" t="e">
        <f>#REF!</f>
        <v>#REF!</v>
      </c>
      <c r="AN52" s="77" t="e">
        <f>#REF!</f>
        <v>#REF!</v>
      </c>
      <c r="AO52" s="77" t="e">
        <f>#REF!</f>
        <v>#REF!</v>
      </c>
      <c r="AP52" s="77" t="e">
        <f>#REF!</f>
        <v>#REF!</v>
      </c>
      <c r="AQ52" s="77" t="e">
        <f>#REF!</f>
        <v>#REF!</v>
      </c>
      <c r="AR52" s="77" t="e">
        <f>#REF!</f>
        <v>#REF!</v>
      </c>
      <c r="AS52" s="77" t="e">
        <f>#REF!</f>
        <v>#REF!</v>
      </c>
      <c r="AT52" s="77" t="e">
        <f>#REF!</f>
        <v>#REF!</v>
      </c>
      <c r="AU52" s="77" t="e">
        <f>#REF!</f>
        <v>#REF!</v>
      </c>
      <c r="AV52" s="77" t="e">
        <f>#REF!</f>
        <v>#REF!</v>
      </c>
      <c r="AW52" s="77" t="e">
        <f>#REF!</f>
        <v>#REF!</v>
      </c>
      <c r="AX52" s="77" t="e">
        <f>#REF!</f>
        <v>#REF!</v>
      </c>
      <c r="AY52" s="77" t="e">
        <f>#REF!</f>
        <v>#REF!</v>
      </c>
      <c r="AZ52" s="77" t="e">
        <f>#REF!</f>
        <v>#REF!</v>
      </c>
      <c r="BA52" s="77" t="e">
        <f>#REF!</f>
        <v>#REF!</v>
      </c>
      <c r="BB52" s="77" t="e">
        <f>#REF!</f>
        <v>#REF!</v>
      </c>
      <c r="BC52" s="77" t="e">
        <f>#REF!</f>
        <v>#REF!</v>
      </c>
      <c r="BD52" s="77" t="e">
        <f>#REF!</f>
        <v>#REF!</v>
      </c>
      <c r="BE52" s="77" t="e">
        <f>#REF!</f>
        <v>#REF!</v>
      </c>
      <c r="BF52" s="77" t="e">
        <f>#REF!</f>
        <v>#REF!</v>
      </c>
      <c r="BG52" s="77" t="e">
        <f>#REF!</f>
        <v>#REF!</v>
      </c>
      <c r="BH52" s="77" t="e">
        <f>#REF!</f>
        <v>#REF!</v>
      </c>
      <c r="BI52" s="77" t="e">
        <f>#REF!</f>
        <v>#REF!</v>
      </c>
      <c r="BJ52" s="77" t="e">
        <f>#REF!</f>
        <v>#REF!</v>
      </c>
      <c r="BK52" s="77" t="e">
        <f>#REF!</f>
        <v>#REF!</v>
      </c>
      <c r="BL52" s="77" t="e">
        <f>#REF!</f>
        <v>#REF!</v>
      </c>
      <c r="BM52" s="77" t="e">
        <f>#REF!</f>
        <v>#REF!</v>
      </c>
      <c r="BN52" s="77" t="e">
        <f>#REF!</f>
        <v>#REF!</v>
      </c>
      <c r="BO52" s="77" t="e">
        <f>#REF!</f>
        <v>#REF!</v>
      </c>
      <c r="BP52" s="77" t="e">
        <f>#REF!</f>
        <v>#REF!</v>
      </c>
      <c r="BR52" s="123" t="str">
        <f t="shared" si="13"/>
        <v>FAI25B-2(DC)</v>
      </c>
      <c r="BS52" s="120">
        <f>OOC!G52</f>
        <v>1.32</v>
      </c>
      <c r="BT52" s="120">
        <f>OOC!H52</f>
        <v>1.26</v>
      </c>
      <c r="BU52" s="2" t="e">
        <f t="shared" si="14"/>
        <v>#REF!</v>
      </c>
      <c r="BV52" s="2" t="e">
        <f t="shared" si="15"/>
        <v>#REF!</v>
      </c>
      <c r="BW52" s="2" t="e">
        <f t="shared" si="16"/>
        <v>#REF!</v>
      </c>
      <c r="BX52" s="121"/>
    </row>
    <row r="53" spans="1:76" ht="15" customHeight="1">
      <c r="A53" s="13"/>
      <c r="B53" s="88" t="s">
        <v>162</v>
      </c>
      <c r="C53" s="78" t="s">
        <v>146</v>
      </c>
      <c r="D53" s="89" t="s">
        <v>117</v>
      </c>
      <c r="E53" s="90"/>
      <c r="F53" s="66" t="s">
        <v>44</v>
      </c>
      <c r="G53" s="91">
        <v>1.29</v>
      </c>
      <c r="H53" s="92">
        <f>IF(OOC!S53=0,"",OOC!S53)</f>
        <v>0.03</v>
      </c>
      <c r="I53" s="92">
        <f>IF(OOC!T53=0,"",OOC!T53)</f>
        <v>-0.03</v>
      </c>
      <c r="J53" s="68" t="s">
        <v>12</v>
      </c>
      <c r="K53" s="69" t="s">
        <v>80</v>
      </c>
      <c r="L53" s="70">
        <f t="shared" si="0"/>
        <v>1.32</v>
      </c>
      <c r="M53" s="70">
        <f t="shared" si="1"/>
        <v>1.26</v>
      </c>
      <c r="N53" s="71"/>
      <c r="O53" s="2" t="e">
        <f t="shared" si="2"/>
        <v>#REF!</v>
      </c>
      <c r="P53" s="2" t="e">
        <f t="shared" si="3"/>
        <v>#REF!</v>
      </c>
      <c r="Q53" s="2" t="e">
        <f t="shared" si="4"/>
        <v>#REF!</v>
      </c>
      <c r="R53" s="3" t="e">
        <f t="shared" si="5"/>
        <v>#REF!</v>
      </c>
      <c r="S53" s="4" t="e">
        <f t="shared" si="10"/>
        <v>#REF!</v>
      </c>
      <c r="T53" s="84" t="e">
        <f t="shared" si="11"/>
        <v>#REF!</v>
      </c>
      <c r="U53" s="85" t="e">
        <f t="shared" si="12"/>
        <v>#REF!</v>
      </c>
      <c r="V53" s="4" t="e">
        <f t="shared" si="6"/>
        <v>#REF!</v>
      </c>
      <c r="W53" s="4" t="e">
        <f t="shared" si="7"/>
        <v>#REF!</v>
      </c>
      <c r="X53" s="4" t="e">
        <f t="shared" si="8"/>
        <v>#REF!</v>
      </c>
      <c r="Y53" s="62" t="e">
        <f t="shared" si="9"/>
        <v>#REF!</v>
      </c>
      <c r="Z53" s="22"/>
      <c r="AA53" s="22"/>
      <c r="AB53" s="22"/>
      <c r="AC53" s="22"/>
      <c r="AD53" s="19"/>
      <c r="AE53" s="14"/>
      <c r="AF53" s="74"/>
      <c r="AG53" s="49"/>
      <c r="AH53" s="49"/>
      <c r="AI53" s="50"/>
      <c r="AJ53" s="15"/>
      <c r="AK53" s="77" t="e">
        <f>#REF!</f>
        <v>#REF!</v>
      </c>
      <c r="AL53" s="77" t="e">
        <f>#REF!</f>
        <v>#REF!</v>
      </c>
      <c r="AM53" s="77" t="e">
        <f>#REF!</f>
        <v>#REF!</v>
      </c>
      <c r="AN53" s="77" t="e">
        <f>#REF!</f>
        <v>#REF!</v>
      </c>
      <c r="AO53" s="77" t="e">
        <f>#REF!</f>
        <v>#REF!</v>
      </c>
      <c r="AP53" s="77" t="e">
        <f>#REF!</f>
        <v>#REF!</v>
      </c>
      <c r="AQ53" s="77" t="e">
        <f>#REF!</f>
        <v>#REF!</v>
      </c>
      <c r="AR53" s="77" t="e">
        <f>#REF!</f>
        <v>#REF!</v>
      </c>
      <c r="AS53" s="77" t="e">
        <f>#REF!</f>
        <v>#REF!</v>
      </c>
      <c r="AT53" s="77" t="e">
        <f>#REF!</f>
        <v>#REF!</v>
      </c>
      <c r="AU53" s="77" t="e">
        <f>#REF!</f>
        <v>#REF!</v>
      </c>
      <c r="AV53" s="77" t="e">
        <f>#REF!</f>
        <v>#REF!</v>
      </c>
      <c r="AW53" s="77" t="e">
        <f>#REF!</f>
        <v>#REF!</v>
      </c>
      <c r="AX53" s="77" t="e">
        <f>#REF!</f>
        <v>#REF!</v>
      </c>
      <c r="AY53" s="77" t="e">
        <f>#REF!</f>
        <v>#REF!</v>
      </c>
      <c r="AZ53" s="77" t="e">
        <f>#REF!</f>
        <v>#REF!</v>
      </c>
      <c r="BA53" s="77" t="e">
        <f>#REF!</f>
        <v>#REF!</v>
      </c>
      <c r="BB53" s="77" t="e">
        <f>#REF!</f>
        <v>#REF!</v>
      </c>
      <c r="BC53" s="77" t="e">
        <f>#REF!</f>
        <v>#REF!</v>
      </c>
      <c r="BD53" s="77" t="e">
        <f>#REF!</f>
        <v>#REF!</v>
      </c>
      <c r="BE53" s="77" t="e">
        <f>#REF!</f>
        <v>#REF!</v>
      </c>
      <c r="BF53" s="77" t="e">
        <f>#REF!</f>
        <v>#REF!</v>
      </c>
      <c r="BG53" s="77" t="e">
        <f>#REF!</f>
        <v>#REF!</v>
      </c>
      <c r="BH53" s="77" t="e">
        <f>#REF!</f>
        <v>#REF!</v>
      </c>
      <c r="BI53" s="77" t="e">
        <f>#REF!</f>
        <v>#REF!</v>
      </c>
      <c r="BJ53" s="77" t="e">
        <f>#REF!</f>
        <v>#REF!</v>
      </c>
      <c r="BK53" s="77" t="e">
        <f>#REF!</f>
        <v>#REF!</v>
      </c>
      <c r="BL53" s="77" t="e">
        <f>#REF!</f>
        <v>#REF!</v>
      </c>
      <c r="BM53" s="77" t="e">
        <f>#REF!</f>
        <v>#REF!</v>
      </c>
      <c r="BN53" s="77" t="e">
        <f>#REF!</f>
        <v>#REF!</v>
      </c>
      <c r="BO53" s="77" t="e">
        <f>#REF!</f>
        <v>#REF!</v>
      </c>
      <c r="BP53" s="77" t="e">
        <f>#REF!</f>
        <v>#REF!</v>
      </c>
      <c r="BR53" s="123" t="str">
        <f t="shared" si="13"/>
        <v>FAI25B-3(DC)</v>
      </c>
      <c r="BS53" s="120">
        <f>OOC!G53</f>
        <v>1.32</v>
      </c>
      <c r="BT53" s="120">
        <f>OOC!H53</f>
        <v>1.26</v>
      </c>
      <c r="BU53" s="2" t="e">
        <f t="shared" si="14"/>
        <v>#REF!</v>
      </c>
      <c r="BV53" s="2" t="e">
        <f t="shared" si="15"/>
        <v>#REF!</v>
      </c>
      <c r="BW53" s="2" t="e">
        <f t="shared" si="16"/>
        <v>#REF!</v>
      </c>
      <c r="BX53" s="121"/>
    </row>
    <row r="54" spans="1:76" ht="15" customHeight="1">
      <c r="A54" s="13"/>
      <c r="B54" s="88"/>
      <c r="C54" s="78" t="s">
        <v>118</v>
      </c>
      <c r="D54" s="89" t="s">
        <v>117</v>
      </c>
      <c r="E54" s="90"/>
      <c r="F54" s="66" t="s">
        <v>44</v>
      </c>
      <c r="G54" s="91">
        <v>15.262</v>
      </c>
      <c r="H54" s="92" t="str">
        <f>IF(OOC!S54=0,"",OOC!S54)</f>
        <v/>
      </c>
      <c r="I54" s="92" t="str">
        <f>IF(OOC!T54=0,"",OOC!T54)</f>
        <v/>
      </c>
      <c r="J54" s="68" t="s">
        <v>12</v>
      </c>
      <c r="K54" s="69" t="s">
        <v>80</v>
      </c>
      <c r="L54" s="70" t="e">
        <f t="shared" si="0"/>
        <v>#VALUE!</v>
      </c>
      <c r="M54" s="70" t="e">
        <f t="shared" si="1"/>
        <v>#VALUE!</v>
      </c>
      <c r="N54" s="71"/>
      <c r="O54" s="2" t="e">
        <f t="shared" si="2"/>
        <v>#REF!</v>
      </c>
      <c r="P54" s="2" t="e">
        <f t="shared" si="3"/>
        <v>#REF!</v>
      </c>
      <c r="Q54" s="2" t="e">
        <f t="shared" si="4"/>
        <v>#REF!</v>
      </c>
      <c r="R54" s="3" t="e">
        <f t="shared" si="5"/>
        <v>#REF!</v>
      </c>
      <c r="S54" s="4" t="e">
        <f t="shared" si="10"/>
        <v>#REF!</v>
      </c>
      <c r="T54" s="84" t="e">
        <f t="shared" si="11"/>
        <v>#REF!</v>
      </c>
      <c r="U54" s="85" t="e">
        <f t="shared" si="12"/>
        <v>#REF!</v>
      </c>
      <c r="V54" s="4" t="e">
        <f t="shared" si="6"/>
        <v>#REF!</v>
      </c>
      <c r="W54" s="4" t="e">
        <f t="shared" si="7"/>
        <v>#REF!</v>
      </c>
      <c r="X54" s="4" t="e">
        <f t="shared" si="8"/>
        <v>#REF!</v>
      </c>
      <c r="Y54" s="62" t="e">
        <f t="shared" si="9"/>
        <v>#REF!</v>
      </c>
      <c r="Z54" s="22"/>
      <c r="AA54" s="22"/>
      <c r="AB54" s="22"/>
      <c r="AC54" s="22"/>
      <c r="AD54" s="19"/>
      <c r="AE54" s="14"/>
      <c r="AF54" s="74"/>
      <c r="AG54" s="49"/>
      <c r="AH54" s="49"/>
      <c r="AI54" s="50"/>
      <c r="AJ54" s="15"/>
      <c r="AK54" s="79" t="e">
        <f>#REF!</f>
        <v>#REF!</v>
      </c>
      <c r="AL54" s="79" t="e">
        <f>#REF!</f>
        <v>#REF!</v>
      </c>
      <c r="AM54" s="79" t="e">
        <f>#REF!</f>
        <v>#REF!</v>
      </c>
      <c r="AN54" s="79"/>
      <c r="AO54" s="79"/>
      <c r="AP54" s="79"/>
      <c r="AQ54" s="79"/>
      <c r="AR54" s="79"/>
      <c r="AS54" s="79"/>
      <c r="AT54" s="79"/>
      <c r="AU54" s="79"/>
      <c r="AV54" s="79"/>
      <c r="AW54" s="79"/>
      <c r="AX54" s="79"/>
      <c r="AY54" s="79"/>
      <c r="AZ54" s="79"/>
      <c r="BA54" s="79"/>
      <c r="BB54" s="79"/>
      <c r="BC54" s="79"/>
      <c r="BD54" s="79"/>
      <c r="BE54" s="79"/>
      <c r="BF54" s="79"/>
      <c r="BG54" s="79"/>
      <c r="BH54" s="79"/>
      <c r="BI54" s="79"/>
      <c r="BJ54" s="79"/>
      <c r="BK54" s="79"/>
      <c r="BL54" s="79"/>
      <c r="BM54" s="79"/>
      <c r="BN54" s="79"/>
      <c r="BO54" s="79"/>
      <c r="BP54" s="79"/>
      <c r="BR54" s="123" t="str">
        <f t="shared" si="13"/>
        <v>FAI26</v>
      </c>
      <c r="BS54" s="120">
        <f>OOC!G54</f>
        <v>15.292</v>
      </c>
      <c r="BT54" s="120">
        <f>OOC!H54</f>
        <v>15.232000000000001</v>
      </c>
      <c r="BU54" s="2" t="e">
        <f t="shared" si="14"/>
        <v>#REF!</v>
      </c>
      <c r="BV54" s="2" t="e">
        <f t="shared" si="15"/>
        <v>#REF!</v>
      </c>
      <c r="BW54" s="2" t="e">
        <f t="shared" si="16"/>
        <v>#REF!</v>
      </c>
      <c r="BX54" s="121" t="e">
        <f>IF(AND(IF(OOC!G54="",0,OOC!G54) &gt;= IF(O54="",0,O54), IF(O54="",0,O54) &gt; IF(L54="",0,L54)), "OOC",
IF(AND(IF(M54="",0,M54) &gt; IF(P54="",0,P54), IF(P54="",0,P54) &gt;= IF(OOC!H54="",0,OOC!H54)), "OOC",
IF(IF(O54="",0,O54) &gt; IF(OOC!G54="",0,OOC!G54), "OOS",
IF(IF(OOC!H54="",0,OOC!H54) &gt; IF(P54="",0,P54), "OOS", "OK"))))</f>
        <v>#REF!</v>
      </c>
    </row>
    <row r="55" spans="1:76" ht="15" customHeight="1">
      <c r="A55" s="13"/>
      <c r="B55" s="88"/>
      <c r="C55" s="78" t="s">
        <v>119</v>
      </c>
      <c r="D55" s="89" t="s">
        <v>117</v>
      </c>
      <c r="E55" s="90"/>
      <c r="F55" s="66" t="s">
        <v>44</v>
      </c>
      <c r="G55" s="91">
        <v>12.839</v>
      </c>
      <c r="H55" s="92" t="str">
        <f>IF(OOC!S55=0,"",OOC!S55)</f>
        <v/>
      </c>
      <c r="I55" s="92" t="str">
        <f>IF(OOC!T55=0,"",OOC!T55)</f>
        <v/>
      </c>
      <c r="J55" s="68" t="s">
        <v>12</v>
      </c>
      <c r="K55" s="69" t="s">
        <v>80</v>
      </c>
      <c r="L55" s="70" t="e">
        <f t="shared" si="0"/>
        <v>#VALUE!</v>
      </c>
      <c r="M55" s="70" t="e">
        <f t="shared" si="1"/>
        <v>#VALUE!</v>
      </c>
      <c r="N55" s="71"/>
      <c r="O55" s="2" t="e">
        <f t="shared" si="2"/>
        <v>#REF!</v>
      </c>
      <c r="P55" s="2" t="e">
        <f t="shared" si="3"/>
        <v>#REF!</v>
      </c>
      <c r="Q55" s="2" t="e">
        <f t="shared" si="4"/>
        <v>#REF!</v>
      </c>
      <c r="R55" s="3" t="e">
        <f t="shared" si="5"/>
        <v>#REF!</v>
      </c>
      <c r="S55" s="4" t="e">
        <f t="shared" si="10"/>
        <v>#REF!</v>
      </c>
      <c r="T55" s="84" t="e">
        <f t="shared" si="11"/>
        <v>#REF!</v>
      </c>
      <c r="U55" s="85" t="e">
        <f t="shared" si="12"/>
        <v>#REF!</v>
      </c>
      <c r="V55" s="4" t="e">
        <f t="shared" si="6"/>
        <v>#REF!</v>
      </c>
      <c r="W55" s="4" t="e">
        <f t="shared" si="7"/>
        <v>#REF!</v>
      </c>
      <c r="X55" s="4" t="e">
        <f t="shared" si="8"/>
        <v>#REF!</v>
      </c>
      <c r="Y55" s="62" t="e">
        <f t="shared" si="9"/>
        <v>#REF!</v>
      </c>
      <c r="Z55" s="22"/>
      <c r="AA55" s="22"/>
      <c r="AB55" s="22"/>
      <c r="AC55" s="22"/>
      <c r="AD55" s="19"/>
      <c r="AE55" s="14"/>
      <c r="AF55" s="74"/>
      <c r="AG55" s="49"/>
      <c r="AH55" s="49"/>
      <c r="AI55" s="50"/>
      <c r="AJ55" s="15"/>
      <c r="AK55" s="79" t="e">
        <f>#REF!</f>
        <v>#REF!</v>
      </c>
      <c r="AL55" s="79" t="e">
        <f>#REF!</f>
        <v>#REF!</v>
      </c>
      <c r="AM55" s="79" t="e">
        <f>#REF!</f>
        <v>#REF!</v>
      </c>
      <c r="AN55" s="77"/>
      <c r="AO55" s="77"/>
      <c r="AP55" s="77"/>
      <c r="AQ55" s="77"/>
      <c r="AR55" s="77"/>
      <c r="AS55" s="77"/>
      <c r="AT55" s="77"/>
      <c r="AU55" s="77"/>
      <c r="AV55" s="77"/>
      <c r="AW55" s="77"/>
      <c r="AX55" s="77"/>
      <c r="AY55" s="77"/>
      <c r="AZ55" s="77"/>
      <c r="BA55" s="77"/>
      <c r="BB55" s="77"/>
      <c r="BC55" s="77"/>
      <c r="BD55" s="77"/>
      <c r="BE55" s="77"/>
      <c r="BF55" s="77"/>
      <c r="BG55" s="77"/>
      <c r="BH55" s="77"/>
      <c r="BI55" s="77"/>
      <c r="BJ55" s="77"/>
      <c r="BK55" s="77"/>
      <c r="BL55" s="77"/>
      <c r="BM55" s="77"/>
      <c r="BN55" s="77"/>
      <c r="BO55" s="77"/>
      <c r="BP55" s="77"/>
      <c r="BR55" s="123" t="str">
        <f t="shared" si="13"/>
        <v>FAI27</v>
      </c>
      <c r="BS55" s="120">
        <f>OOC!G55</f>
        <v>12.869</v>
      </c>
      <c r="BT55" s="120">
        <f>OOC!H55</f>
        <v>12.809000000000001</v>
      </c>
      <c r="BU55" s="2" t="e">
        <f t="shared" si="14"/>
        <v>#REF!</v>
      </c>
      <c r="BV55" s="2" t="e">
        <f t="shared" si="15"/>
        <v>#REF!</v>
      </c>
      <c r="BW55" s="2" t="e">
        <f t="shared" si="16"/>
        <v>#REF!</v>
      </c>
      <c r="BX55" s="121" t="e">
        <f>IF(AND(IF(OOC!G55="",0,OOC!G55) &gt;= IF(O55="",0,O55), IF(O55="",0,O55) &gt; IF(L55="",0,L55)), "OOC",
IF(AND(IF(M55="",0,M55) &gt; IF(P55="",0,P55), IF(P55="",0,P55) &gt;= IF(OOC!H55="",0,OOC!H55)), "OOC",
IF(IF(O55="",0,O55) &gt; IF(OOC!G55="",0,OOC!G55), "OOS",
IF(IF(OOC!H55="",0,OOC!H55) &gt; IF(P55="",0,P55), "OOS", "OK"))))</f>
        <v>#REF!</v>
      </c>
    </row>
    <row r="56" spans="1:76" ht="15" customHeight="1">
      <c r="A56" s="13"/>
      <c r="B56" s="88"/>
      <c r="C56" s="78" t="s">
        <v>120</v>
      </c>
      <c r="D56" s="89" t="s">
        <v>117</v>
      </c>
      <c r="E56" s="90"/>
      <c r="F56" s="66" t="s">
        <v>44</v>
      </c>
      <c r="G56" s="91">
        <v>2.6269999999999998</v>
      </c>
      <c r="H56" s="92" t="str">
        <f>IF(OOC!S56=0,"",OOC!S56)</f>
        <v/>
      </c>
      <c r="I56" s="92" t="str">
        <f>IF(OOC!T56=0,"",OOC!T56)</f>
        <v/>
      </c>
      <c r="J56" s="68" t="s">
        <v>12</v>
      </c>
      <c r="K56" s="69" t="s">
        <v>80</v>
      </c>
      <c r="L56" s="70" t="e">
        <f t="shared" si="0"/>
        <v>#VALUE!</v>
      </c>
      <c r="M56" s="70" t="e">
        <f t="shared" si="1"/>
        <v>#VALUE!</v>
      </c>
      <c r="N56" s="71"/>
      <c r="O56" s="2" t="e">
        <f t="shared" si="2"/>
        <v>#REF!</v>
      </c>
      <c r="P56" s="2" t="e">
        <f t="shared" si="3"/>
        <v>#REF!</v>
      </c>
      <c r="Q56" s="2" t="e">
        <f t="shared" si="4"/>
        <v>#REF!</v>
      </c>
      <c r="R56" s="3" t="e">
        <f t="shared" si="5"/>
        <v>#REF!</v>
      </c>
      <c r="S56" s="4" t="e">
        <f t="shared" si="10"/>
        <v>#REF!</v>
      </c>
      <c r="T56" s="84" t="e">
        <f t="shared" si="11"/>
        <v>#REF!</v>
      </c>
      <c r="U56" s="85" t="e">
        <f t="shared" si="12"/>
        <v>#REF!</v>
      </c>
      <c r="V56" s="4" t="e">
        <f t="shared" si="6"/>
        <v>#REF!</v>
      </c>
      <c r="W56" s="4" t="e">
        <f t="shared" si="7"/>
        <v>#REF!</v>
      </c>
      <c r="X56" s="4" t="e">
        <f t="shared" si="8"/>
        <v>#REF!</v>
      </c>
      <c r="Y56" s="62" t="e">
        <f t="shared" si="9"/>
        <v>#REF!</v>
      </c>
      <c r="Z56" s="22"/>
      <c r="AA56" s="22"/>
      <c r="AB56" s="22"/>
      <c r="AC56" s="22"/>
      <c r="AD56" s="19"/>
      <c r="AE56" s="14"/>
      <c r="AF56" s="72"/>
      <c r="AG56" s="49"/>
      <c r="AH56" s="49"/>
      <c r="AI56" s="50"/>
      <c r="AJ56" s="15"/>
      <c r="AK56" s="79" t="e">
        <f>#REF!</f>
        <v>#REF!</v>
      </c>
      <c r="AL56" s="79" t="e">
        <f>#REF!</f>
        <v>#REF!</v>
      </c>
      <c r="AM56" s="79" t="e">
        <f>#REF!</f>
        <v>#REF!</v>
      </c>
      <c r="AN56" s="80"/>
      <c r="AO56" s="80"/>
      <c r="AP56" s="80"/>
      <c r="AQ56" s="80"/>
      <c r="AR56" s="80"/>
      <c r="AS56" s="80"/>
      <c r="AT56" s="80"/>
      <c r="AU56" s="80"/>
      <c r="AV56" s="80"/>
      <c r="AW56" s="80"/>
      <c r="AX56" s="80"/>
      <c r="AY56" s="80"/>
      <c r="AZ56" s="80"/>
      <c r="BA56" s="80"/>
      <c r="BB56" s="80"/>
      <c r="BC56" s="80"/>
      <c r="BD56" s="80"/>
      <c r="BE56" s="80"/>
      <c r="BF56" s="80"/>
      <c r="BG56" s="80"/>
      <c r="BH56" s="80"/>
      <c r="BI56" s="80"/>
      <c r="BJ56" s="80"/>
      <c r="BK56" s="80"/>
      <c r="BL56" s="80"/>
      <c r="BM56" s="80"/>
      <c r="BN56" s="80"/>
      <c r="BO56" s="80"/>
      <c r="BP56" s="80"/>
      <c r="BR56" s="123" t="str">
        <f t="shared" si="13"/>
        <v>FAI28</v>
      </c>
      <c r="BS56" s="120">
        <f>OOC!G56</f>
        <v>2.6569999999999996</v>
      </c>
      <c r="BT56" s="120">
        <f>OOC!H56</f>
        <v>2.597</v>
      </c>
      <c r="BU56" s="2" t="e">
        <f t="shared" si="14"/>
        <v>#REF!</v>
      </c>
      <c r="BV56" s="2" t="e">
        <f t="shared" si="15"/>
        <v>#REF!</v>
      </c>
      <c r="BW56" s="2" t="e">
        <f t="shared" si="16"/>
        <v>#REF!</v>
      </c>
      <c r="BX56" s="121" t="e">
        <f>IF(AND(IF(OOC!G56="",0,OOC!G56) &gt;= IF(O56="",0,O56), IF(O56="",0,O56) &gt; IF(L56="",0,L56)), "OOC",
IF(AND(IF(M56="",0,M56) &gt; IF(P56="",0,P56), IF(P56="",0,P56) &gt;= IF(OOC!H56="",0,OOC!H56)), "OOC",
IF(IF(O56="",0,O56) &gt; IF(OOC!G56="",0,OOC!G56), "OOS",
IF(IF(OOC!H56="",0,OOC!H56) &gt; IF(P56="",0,P56), "OOS", "OK"))))</f>
        <v>#REF!</v>
      </c>
    </row>
    <row r="57" spans="1:76" ht="15" customHeight="1">
      <c r="A57" s="13"/>
      <c r="B57" s="88"/>
      <c r="C57" s="78"/>
      <c r="D57" s="89"/>
      <c r="E57" s="90"/>
      <c r="F57" s="66"/>
      <c r="G57" s="91"/>
      <c r="H57" s="92"/>
      <c r="I57" s="92"/>
      <c r="J57" s="68"/>
      <c r="K57" s="69"/>
      <c r="L57" s="70"/>
      <c r="M57" s="70"/>
      <c r="N57" s="71"/>
      <c r="O57" s="2"/>
      <c r="P57" s="2"/>
      <c r="Q57" s="2"/>
      <c r="R57" s="3"/>
      <c r="S57" s="4"/>
      <c r="T57" s="84"/>
      <c r="U57" s="85"/>
      <c r="V57" s="4"/>
      <c r="W57" s="4"/>
      <c r="X57" s="4"/>
      <c r="Y57" s="62"/>
      <c r="Z57" s="22"/>
      <c r="AA57" s="22"/>
      <c r="AB57" s="22"/>
      <c r="AC57" s="22"/>
      <c r="AD57" s="19"/>
      <c r="AE57" s="14"/>
      <c r="AF57" s="72"/>
      <c r="AG57" s="49"/>
      <c r="AH57" s="49"/>
      <c r="AI57" s="50"/>
      <c r="AJ57" s="15"/>
      <c r="AK57" s="77"/>
      <c r="AL57" s="77"/>
      <c r="AM57" s="77"/>
      <c r="AN57" s="77"/>
      <c r="AO57" s="77"/>
      <c r="AP57" s="77"/>
      <c r="AQ57" s="77"/>
      <c r="AR57" s="77"/>
      <c r="AS57" s="77"/>
      <c r="AT57" s="77"/>
      <c r="AU57" s="77"/>
      <c r="AV57" s="77"/>
      <c r="AW57" s="77"/>
      <c r="AX57" s="77"/>
      <c r="AY57" s="77"/>
      <c r="AZ57" s="77"/>
      <c r="BA57" s="77"/>
      <c r="BB57" s="77"/>
      <c r="BC57" s="77"/>
      <c r="BD57" s="77"/>
      <c r="BE57" s="77"/>
      <c r="BF57" s="77"/>
      <c r="BG57" s="77"/>
      <c r="BH57" s="77"/>
      <c r="BI57" s="77"/>
      <c r="BJ57" s="77"/>
      <c r="BK57" s="77"/>
      <c r="BL57" s="77"/>
      <c r="BM57" s="77"/>
      <c r="BN57" s="77"/>
      <c r="BO57" s="77"/>
      <c r="BP57" s="77"/>
      <c r="BR57" s="123"/>
      <c r="BS57" s="120"/>
      <c r="BT57" s="120"/>
      <c r="BU57" s="2"/>
      <c r="BV57" s="2"/>
      <c r="BW57" s="2"/>
      <c r="BX57" s="121"/>
    </row>
    <row r="58" spans="1:76" ht="15" customHeight="1">
      <c r="A58" s="13"/>
      <c r="B58" s="88"/>
      <c r="C58" s="78"/>
      <c r="D58" s="89"/>
      <c r="E58" s="90"/>
      <c r="F58" s="66"/>
      <c r="G58" s="91"/>
      <c r="H58" s="92"/>
      <c r="I58" s="92"/>
      <c r="J58" s="68"/>
      <c r="K58" s="69"/>
      <c r="L58" s="70"/>
      <c r="M58" s="70"/>
      <c r="N58" s="71"/>
      <c r="O58" s="2"/>
      <c r="P58" s="2"/>
      <c r="Q58" s="2"/>
      <c r="R58" s="3"/>
      <c r="S58" s="4"/>
      <c r="T58" s="84"/>
      <c r="U58" s="85"/>
      <c r="V58" s="4"/>
      <c r="W58" s="4"/>
      <c r="X58" s="4"/>
      <c r="Y58" s="62"/>
      <c r="Z58" s="22"/>
      <c r="AA58" s="22"/>
      <c r="AB58" s="22"/>
      <c r="AC58" s="22"/>
      <c r="AD58" s="19"/>
      <c r="AE58" s="14"/>
      <c r="AF58" s="72"/>
      <c r="AG58" s="49"/>
      <c r="AH58" s="49"/>
      <c r="AI58" s="50"/>
      <c r="AJ58" s="15"/>
      <c r="AK58" s="77"/>
      <c r="AL58" s="77"/>
      <c r="AM58" s="77"/>
      <c r="AN58" s="77"/>
      <c r="AO58" s="77"/>
      <c r="AP58" s="77"/>
      <c r="AQ58" s="77"/>
      <c r="AR58" s="77"/>
      <c r="AS58" s="77"/>
      <c r="AT58" s="77"/>
      <c r="AU58" s="77"/>
      <c r="AV58" s="77"/>
      <c r="AW58" s="77"/>
      <c r="AX58" s="77"/>
      <c r="AY58" s="77"/>
      <c r="AZ58" s="77"/>
      <c r="BA58" s="77"/>
      <c r="BB58" s="77"/>
      <c r="BC58" s="77"/>
      <c r="BD58" s="77"/>
      <c r="BE58" s="77"/>
      <c r="BF58" s="77"/>
      <c r="BG58" s="77"/>
      <c r="BH58" s="77"/>
      <c r="BI58" s="77"/>
      <c r="BJ58" s="77"/>
      <c r="BK58" s="77"/>
      <c r="BL58" s="77"/>
      <c r="BM58" s="77"/>
      <c r="BN58" s="77"/>
      <c r="BO58" s="77"/>
      <c r="BP58" s="77"/>
      <c r="BR58" s="123"/>
      <c r="BS58" s="120"/>
      <c r="BT58" s="120"/>
      <c r="BU58" s="2"/>
      <c r="BV58" s="2"/>
      <c r="BW58" s="2"/>
      <c r="BX58" s="121"/>
    </row>
    <row r="59" spans="1:76" ht="15" customHeight="1">
      <c r="A59" s="13"/>
      <c r="B59" s="88"/>
      <c r="C59" s="78"/>
      <c r="D59" s="89"/>
      <c r="E59" s="90"/>
      <c r="F59" s="66"/>
      <c r="G59" s="91"/>
      <c r="H59" s="92"/>
      <c r="I59" s="92"/>
      <c r="J59" s="68"/>
      <c r="K59" s="69"/>
      <c r="L59" s="70"/>
      <c r="M59" s="70"/>
      <c r="N59" s="71"/>
      <c r="O59" s="2"/>
      <c r="P59" s="2"/>
      <c r="Q59" s="2"/>
      <c r="R59" s="3"/>
      <c r="S59" s="4"/>
      <c r="T59" s="84"/>
      <c r="U59" s="85"/>
      <c r="V59" s="4"/>
      <c r="W59" s="4"/>
      <c r="X59" s="4"/>
      <c r="Y59" s="62"/>
      <c r="Z59" s="22"/>
      <c r="AA59" s="22"/>
      <c r="AB59" s="22"/>
      <c r="AC59" s="22"/>
      <c r="AD59" s="19"/>
      <c r="AE59" s="14"/>
      <c r="AF59" s="72"/>
      <c r="AG59" s="49"/>
      <c r="AH59" s="49"/>
      <c r="AI59" s="50"/>
      <c r="AJ59" s="15"/>
      <c r="AK59" s="77"/>
      <c r="AL59" s="77"/>
      <c r="AM59" s="77"/>
      <c r="AN59" s="77"/>
      <c r="AO59" s="77"/>
      <c r="AP59" s="77"/>
      <c r="AQ59" s="77"/>
      <c r="AR59" s="77"/>
      <c r="AS59" s="77"/>
      <c r="AT59" s="77"/>
      <c r="AU59" s="77"/>
      <c r="AV59" s="77"/>
      <c r="AW59" s="77"/>
      <c r="AX59" s="77"/>
      <c r="AY59" s="77"/>
      <c r="AZ59" s="77"/>
      <c r="BA59" s="77"/>
      <c r="BB59" s="77"/>
      <c r="BC59" s="77"/>
      <c r="BD59" s="77"/>
      <c r="BE59" s="77"/>
      <c r="BF59" s="77"/>
      <c r="BG59" s="77"/>
      <c r="BH59" s="77"/>
      <c r="BI59" s="77"/>
      <c r="BJ59" s="77"/>
      <c r="BK59" s="77"/>
      <c r="BL59" s="77"/>
      <c r="BM59" s="77"/>
      <c r="BN59" s="77"/>
      <c r="BO59" s="77"/>
      <c r="BP59" s="77"/>
      <c r="BR59" s="123"/>
      <c r="BS59" s="120"/>
      <c r="BT59" s="120"/>
      <c r="BU59" s="2"/>
      <c r="BV59" s="2"/>
      <c r="BW59" s="2"/>
      <c r="BX59" s="121"/>
    </row>
    <row r="60" spans="1:76" ht="15" customHeight="1">
      <c r="A60" s="13"/>
      <c r="B60" s="88"/>
      <c r="C60" s="78"/>
      <c r="D60" s="89"/>
      <c r="E60" s="90"/>
      <c r="F60" s="66"/>
      <c r="G60" s="91"/>
      <c r="H60" s="92"/>
      <c r="I60" s="92"/>
      <c r="J60" s="68"/>
      <c r="K60" s="69"/>
      <c r="L60" s="70"/>
      <c r="M60" s="70"/>
      <c r="N60" s="71"/>
      <c r="O60" s="2"/>
      <c r="P60" s="2"/>
      <c r="Q60" s="2"/>
      <c r="R60" s="3"/>
      <c r="S60" s="4"/>
      <c r="T60" s="84"/>
      <c r="U60" s="85"/>
      <c r="V60" s="4"/>
      <c r="W60" s="4"/>
      <c r="X60" s="4"/>
      <c r="Y60" s="62"/>
      <c r="Z60" s="22"/>
      <c r="AA60" s="22"/>
      <c r="AB60" s="22"/>
      <c r="AC60" s="22"/>
      <c r="AD60" s="19"/>
      <c r="AE60" s="14"/>
      <c r="AF60" s="72"/>
      <c r="AG60" s="49"/>
      <c r="AH60" s="49"/>
      <c r="AI60" s="50"/>
      <c r="AJ60" s="15"/>
      <c r="AK60" s="77"/>
      <c r="AL60" s="77"/>
      <c r="AM60" s="77"/>
      <c r="AN60" s="77"/>
      <c r="AO60" s="77"/>
      <c r="AP60" s="77"/>
      <c r="AQ60" s="77"/>
      <c r="AR60" s="77"/>
      <c r="AS60" s="77"/>
      <c r="AT60" s="77"/>
      <c r="AU60" s="77"/>
      <c r="AV60" s="77"/>
      <c r="AW60" s="77"/>
      <c r="AX60" s="77"/>
      <c r="AY60" s="77"/>
      <c r="AZ60" s="77"/>
      <c r="BA60" s="77"/>
      <c r="BB60" s="77"/>
      <c r="BC60" s="77"/>
      <c r="BD60" s="77"/>
      <c r="BE60" s="77"/>
      <c r="BF60" s="77"/>
      <c r="BG60" s="77"/>
      <c r="BH60" s="77"/>
      <c r="BI60" s="77"/>
      <c r="BJ60" s="77"/>
      <c r="BK60" s="77"/>
      <c r="BL60" s="77"/>
      <c r="BM60" s="77"/>
      <c r="BN60" s="77"/>
      <c r="BO60" s="77"/>
      <c r="BP60" s="77"/>
      <c r="BR60" s="123"/>
      <c r="BS60" s="120"/>
      <c r="BT60" s="120"/>
      <c r="BU60" s="2"/>
      <c r="BV60" s="2"/>
      <c r="BW60" s="2"/>
      <c r="BX60" s="121"/>
    </row>
    <row r="61" spans="1:76" ht="15" customHeight="1">
      <c r="A61" s="13"/>
      <c r="B61" s="88"/>
      <c r="C61" s="78"/>
      <c r="D61" s="89"/>
      <c r="E61" s="90"/>
      <c r="F61" s="66"/>
      <c r="G61" s="91"/>
      <c r="H61" s="92"/>
      <c r="I61" s="92"/>
      <c r="J61" s="68"/>
      <c r="K61" s="69"/>
      <c r="L61" s="70"/>
      <c r="M61" s="70"/>
      <c r="N61" s="71"/>
      <c r="O61" s="2"/>
      <c r="P61" s="2"/>
      <c r="Q61" s="2"/>
      <c r="R61" s="3"/>
      <c r="S61" s="4"/>
      <c r="T61" s="84"/>
      <c r="U61" s="85"/>
      <c r="V61" s="4"/>
      <c r="W61" s="4"/>
      <c r="X61" s="4"/>
      <c r="Y61" s="62"/>
      <c r="Z61" s="22"/>
      <c r="AA61" s="22"/>
      <c r="AB61" s="22"/>
      <c r="AC61" s="22"/>
      <c r="AD61" s="19"/>
      <c r="AE61" s="14"/>
      <c r="AF61" s="72"/>
      <c r="AG61" s="49"/>
      <c r="AH61" s="49"/>
      <c r="AI61" s="50"/>
      <c r="AJ61" s="15"/>
      <c r="AK61" s="77"/>
      <c r="AL61" s="77"/>
      <c r="AM61" s="77"/>
      <c r="AN61" s="77"/>
      <c r="AO61" s="77"/>
      <c r="AP61" s="77"/>
      <c r="AQ61" s="77"/>
      <c r="AR61" s="77"/>
      <c r="AS61" s="77"/>
      <c r="AT61" s="77"/>
      <c r="AU61" s="77"/>
      <c r="AV61" s="77"/>
      <c r="AW61" s="77"/>
      <c r="AX61" s="77"/>
      <c r="AY61" s="77"/>
      <c r="AZ61" s="77"/>
      <c r="BA61" s="77"/>
      <c r="BB61" s="77"/>
      <c r="BC61" s="77"/>
      <c r="BD61" s="77"/>
      <c r="BE61" s="77"/>
      <c r="BF61" s="77"/>
      <c r="BG61" s="77"/>
      <c r="BH61" s="77"/>
      <c r="BI61" s="77"/>
      <c r="BJ61" s="77"/>
      <c r="BK61" s="77"/>
      <c r="BL61" s="77"/>
      <c r="BM61" s="77"/>
      <c r="BN61" s="77"/>
      <c r="BO61" s="77"/>
      <c r="BP61" s="77"/>
      <c r="BR61" s="123"/>
      <c r="BS61" s="120"/>
      <c r="BT61" s="120"/>
      <c r="BU61" s="2"/>
      <c r="BV61" s="2"/>
      <c r="BW61" s="2"/>
      <c r="BX61" s="121"/>
    </row>
    <row r="62" spans="1:76" ht="15" customHeight="1">
      <c r="A62" s="13"/>
      <c r="B62" s="88"/>
      <c r="C62" s="78"/>
      <c r="D62" s="89"/>
      <c r="E62" s="90"/>
      <c r="F62" s="66"/>
      <c r="G62" s="91"/>
      <c r="H62" s="92"/>
      <c r="I62" s="92"/>
      <c r="J62" s="68"/>
      <c r="K62" s="69"/>
      <c r="L62" s="70"/>
      <c r="M62" s="70"/>
      <c r="N62" s="71"/>
      <c r="O62" s="2"/>
      <c r="P62" s="2"/>
      <c r="Q62" s="2"/>
      <c r="R62" s="3"/>
      <c r="S62" s="4"/>
      <c r="T62" s="84"/>
      <c r="U62" s="85"/>
      <c r="V62" s="4"/>
      <c r="W62" s="4"/>
      <c r="X62" s="4"/>
      <c r="Y62" s="62"/>
      <c r="Z62" s="22"/>
      <c r="AA62" s="22"/>
      <c r="AB62" s="22"/>
      <c r="AC62" s="22"/>
      <c r="AD62" s="19"/>
      <c r="AE62" s="14"/>
      <c r="AF62" s="72"/>
      <c r="AG62" s="49"/>
      <c r="AH62" s="49"/>
      <c r="AI62" s="50"/>
      <c r="AJ62" s="15"/>
      <c r="AK62" s="77"/>
      <c r="AL62" s="77"/>
      <c r="AM62" s="77"/>
      <c r="AN62" s="77"/>
      <c r="AO62" s="77"/>
      <c r="AP62" s="77"/>
      <c r="AQ62" s="77"/>
      <c r="AR62" s="77"/>
      <c r="AS62" s="77"/>
      <c r="AT62" s="77"/>
      <c r="AU62" s="77"/>
      <c r="AV62" s="77"/>
      <c r="AW62" s="77"/>
      <c r="AX62" s="77"/>
      <c r="AY62" s="77"/>
      <c r="AZ62" s="77"/>
      <c r="BA62" s="77"/>
      <c r="BB62" s="77"/>
      <c r="BC62" s="77"/>
      <c r="BD62" s="77"/>
      <c r="BE62" s="77"/>
      <c r="BF62" s="77"/>
      <c r="BG62" s="77"/>
      <c r="BH62" s="77"/>
      <c r="BI62" s="77"/>
      <c r="BJ62" s="77"/>
      <c r="BK62" s="77"/>
      <c r="BL62" s="77"/>
      <c r="BM62" s="77"/>
      <c r="BN62" s="77"/>
      <c r="BO62" s="77"/>
      <c r="BP62" s="77"/>
      <c r="BR62" s="123"/>
      <c r="BS62" s="120"/>
      <c r="BT62" s="120"/>
      <c r="BU62" s="2"/>
      <c r="BV62" s="2"/>
      <c r="BW62" s="2"/>
      <c r="BX62" s="121"/>
    </row>
    <row r="63" spans="1:76" ht="15" customHeight="1">
      <c r="A63" s="13"/>
      <c r="B63" s="88"/>
      <c r="C63" s="78"/>
      <c r="D63" s="89"/>
      <c r="E63" s="90"/>
      <c r="F63" s="66"/>
      <c r="G63" s="91"/>
      <c r="H63" s="92"/>
      <c r="I63" s="92"/>
      <c r="J63" s="68"/>
      <c r="K63" s="69"/>
      <c r="L63" s="70"/>
      <c r="M63" s="70"/>
      <c r="N63" s="71"/>
      <c r="O63" s="2"/>
      <c r="P63" s="2"/>
      <c r="Q63" s="2"/>
      <c r="R63" s="3"/>
      <c r="S63" s="4"/>
      <c r="T63" s="84"/>
      <c r="U63" s="85"/>
      <c r="V63" s="4"/>
      <c r="W63" s="4"/>
      <c r="X63" s="4"/>
      <c r="Y63" s="62"/>
      <c r="Z63" s="22"/>
      <c r="AA63" s="22"/>
      <c r="AB63" s="22"/>
      <c r="AC63" s="22"/>
      <c r="AD63" s="19"/>
      <c r="AE63" s="14"/>
      <c r="AF63" s="72"/>
      <c r="AG63" s="49"/>
      <c r="AH63" s="49"/>
      <c r="AI63" s="50"/>
      <c r="AJ63" s="15"/>
      <c r="AK63" s="77"/>
      <c r="AL63" s="77"/>
      <c r="AM63" s="77"/>
      <c r="AN63" s="77"/>
      <c r="AO63" s="77"/>
      <c r="AP63" s="77"/>
      <c r="AQ63" s="77"/>
      <c r="AR63" s="77"/>
      <c r="AS63" s="77"/>
      <c r="AT63" s="77"/>
      <c r="AU63" s="77"/>
      <c r="AV63" s="77"/>
      <c r="AW63" s="77"/>
      <c r="AX63" s="77"/>
      <c r="AY63" s="77"/>
      <c r="AZ63" s="77"/>
      <c r="BA63" s="77"/>
      <c r="BB63" s="77"/>
      <c r="BC63" s="77"/>
      <c r="BD63" s="77"/>
      <c r="BE63" s="77"/>
      <c r="BF63" s="77"/>
      <c r="BG63" s="77"/>
      <c r="BH63" s="77"/>
      <c r="BI63" s="77"/>
      <c r="BJ63" s="77"/>
      <c r="BK63" s="77"/>
      <c r="BL63" s="77"/>
      <c r="BM63" s="77"/>
      <c r="BN63" s="77"/>
      <c r="BO63" s="77"/>
      <c r="BP63" s="77"/>
      <c r="BR63" s="123"/>
      <c r="BS63" s="120"/>
      <c r="BT63" s="120"/>
      <c r="BU63" s="2"/>
      <c r="BV63" s="2"/>
      <c r="BW63" s="2"/>
      <c r="BX63" s="121"/>
    </row>
    <row r="64" spans="1:76" ht="15" customHeight="1">
      <c r="A64" s="13"/>
      <c r="B64" s="88"/>
      <c r="C64" s="78"/>
      <c r="D64" s="89"/>
      <c r="E64" s="90"/>
      <c r="F64" s="66"/>
      <c r="G64" s="91"/>
      <c r="H64" s="92"/>
      <c r="I64" s="92"/>
      <c r="J64" s="68"/>
      <c r="K64" s="69"/>
      <c r="L64" s="70"/>
      <c r="M64" s="70"/>
      <c r="N64" s="71"/>
      <c r="O64" s="2"/>
      <c r="P64" s="2"/>
      <c r="Q64" s="2"/>
      <c r="R64" s="3"/>
      <c r="S64" s="4"/>
      <c r="T64" s="84"/>
      <c r="U64" s="85"/>
      <c r="V64" s="4"/>
      <c r="W64" s="4"/>
      <c r="X64" s="4"/>
      <c r="Y64" s="62"/>
      <c r="Z64" s="22"/>
      <c r="AA64" s="22"/>
      <c r="AB64" s="22"/>
      <c r="AC64" s="22"/>
      <c r="AD64" s="19"/>
      <c r="AE64" s="14"/>
      <c r="AF64" s="72"/>
      <c r="AG64" s="49"/>
      <c r="AH64" s="49"/>
      <c r="AI64" s="50"/>
      <c r="AJ64" s="15"/>
      <c r="AK64" s="77"/>
      <c r="AL64" s="77"/>
      <c r="AM64" s="77"/>
      <c r="AN64" s="77"/>
      <c r="AO64" s="77"/>
      <c r="AP64" s="77"/>
      <c r="AQ64" s="77"/>
      <c r="AR64" s="77"/>
      <c r="AS64" s="77"/>
      <c r="AT64" s="77"/>
      <c r="AU64" s="77"/>
      <c r="AV64" s="77"/>
      <c r="AW64" s="77"/>
      <c r="AX64" s="77"/>
      <c r="AY64" s="77"/>
      <c r="AZ64" s="77"/>
      <c r="BA64" s="77"/>
      <c r="BB64" s="77"/>
      <c r="BC64" s="77"/>
      <c r="BD64" s="77"/>
      <c r="BE64" s="77"/>
      <c r="BF64" s="77"/>
      <c r="BG64" s="77"/>
      <c r="BH64" s="77"/>
      <c r="BI64" s="77"/>
      <c r="BJ64" s="77"/>
      <c r="BK64" s="77"/>
      <c r="BL64" s="77"/>
      <c r="BM64" s="77"/>
      <c r="BN64" s="77"/>
      <c r="BO64" s="77"/>
      <c r="BP64" s="77"/>
      <c r="BR64" s="123"/>
      <c r="BS64" s="120"/>
      <c r="BT64" s="120"/>
      <c r="BU64" s="2"/>
      <c r="BV64" s="2"/>
      <c r="BW64" s="2"/>
      <c r="BX64" s="121"/>
    </row>
    <row r="65" spans="1:76" ht="15" customHeight="1">
      <c r="A65" s="13"/>
      <c r="B65" s="88"/>
      <c r="C65" s="78"/>
      <c r="D65" s="89"/>
      <c r="E65" s="90"/>
      <c r="F65" s="66"/>
      <c r="G65" s="91"/>
      <c r="H65" s="92"/>
      <c r="I65" s="92"/>
      <c r="J65" s="68"/>
      <c r="K65" s="69"/>
      <c r="L65" s="70"/>
      <c r="M65" s="70"/>
      <c r="N65" s="71"/>
      <c r="O65" s="2"/>
      <c r="P65" s="2"/>
      <c r="Q65" s="2"/>
      <c r="R65" s="3"/>
      <c r="S65" s="4"/>
      <c r="T65" s="84"/>
      <c r="U65" s="85"/>
      <c r="V65" s="4"/>
      <c r="W65" s="4"/>
      <c r="X65" s="4"/>
      <c r="Y65" s="62"/>
      <c r="Z65" s="22"/>
      <c r="AA65" s="22"/>
      <c r="AB65" s="22"/>
      <c r="AC65" s="22"/>
      <c r="AD65" s="19"/>
      <c r="AE65" s="14"/>
      <c r="AF65" s="72"/>
      <c r="AG65" s="49"/>
      <c r="AH65" s="49"/>
      <c r="AI65" s="50"/>
      <c r="AJ65" s="15"/>
      <c r="AK65" s="77"/>
      <c r="AL65" s="77"/>
      <c r="AM65" s="77"/>
      <c r="AN65" s="77"/>
      <c r="AO65" s="77"/>
      <c r="AP65" s="77"/>
      <c r="AQ65" s="77"/>
      <c r="AR65" s="77"/>
      <c r="AS65" s="77"/>
      <c r="AT65" s="77"/>
      <c r="AU65" s="77"/>
      <c r="AV65" s="77"/>
      <c r="AW65" s="77"/>
      <c r="AX65" s="77"/>
      <c r="AY65" s="77"/>
      <c r="AZ65" s="77"/>
      <c r="BA65" s="77"/>
      <c r="BB65" s="77"/>
      <c r="BC65" s="77"/>
      <c r="BD65" s="77"/>
      <c r="BE65" s="77"/>
      <c r="BF65" s="77"/>
      <c r="BG65" s="77"/>
      <c r="BH65" s="77"/>
      <c r="BI65" s="77"/>
      <c r="BJ65" s="77"/>
      <c r="BK65" s="77"/>
      <c r="BL65" s="77"/>
      <c r="BM65" s="77"/>
      <c r="BN65" s="77"/>
      <c r="BO65" s="77"/>
      <c r="BP65" s="77"/>
      <c r="BR65" s="123"/>
      <c r="BS65" s="120"/>
      <c r="BT65" s="120"/>
      <c r="BU65" s="2"/>
      <c r="BV65" s="2"/>
      <c r="BW65" s="2"/>
      <c r="BX65" s="121"/>
    </row>
    <row r="66" spans="1:76" ht="15" customHeight="1">
      <c r="A66" s="13"/>
      <c r="B66" s="88"/>
      <c r="C66" s="78"/>
      <c r="D66" s="89"/>
      <c r="E66" s="90"/>
      <c r="F66" s="66"/>
      <c r="G66" s="91"/>
      <c r="H66" s="92"/>
      <c r="I66" s="92"/>
      <c r="J66" s="68"/>
      <c r="K66" s="69"/>
      <c r="L66" s="70"/>
      <c r="M66" s="70"/>
      <c r="N66" s="71"/>
      <c r="O66" s="2"/>
      <c r="P66" s="2"/>
      <c r="Q66" s="2"/>
      <c r="R66" s="3"/>
      <c r="S66" s="4"/>
      <c r="T66" s="84"/>
      <c r="U66" s="85"/>
      <c r="V66" s="4"/>
      <c r="W66" s="4"/>
      <c r="X66" s="4"/>
      <c r="Y66" s="62"/>
      <c r="Z66" s="22"/>
      <c r="AA66" s="22"/>
      <c r="AB66" s="22"/>
      <c r="AC66" s="22"/>
      <c r="AD66" s="19"/>
      <c r="AE66" s="14"/>
      <c r="AF66" s="72"/>
      <c r="AG66" s="49"/>
      <c r="AH66" s="49"/>
      <c r="AI66" s="50"/>
      <c r="AJ66" s="15"/>
      <c r="AK66" s="77"/>
      <c r="AL66" s="77"/>
      <c r="AM66" s="77"/>
      <c r="AN66" s="77"/>
      <c r="AO66" s="77"/>
      <c r="AP66" s="77"/>
      <c r="AQ66" s="77"/>
      <c r="AR66" s="77"/>
      <c r="AS66" s="77"/>
      <c r="AT66" s="77"/>
      <c r="AU66" s="77"/>
      <c r="AV66" s="77"/>
      <c r="AW66" s="77"/>
      <c r="AX66" s="77"/>
      <c r="AY66" s="77"/>
      <c r="AZ66" s="77"/>
      <c r="BA66" s="77"/>
      <c r="BB66" s="77"/>
      <c r="BC66" s="77"/>
      <c r="BD66" s="77"/>
      <c r="BE66" s="77"/>
      <c r="BF66" s="77"/>
      <c r="BG66" s="77"/>
      <c r="BH66" s="77"/>
      <c r="BI66" s="77"/>
      <c r="BJ66" s="77"/>
      <c r="BK66" s="77"/>
      <c r="BL66" s="77"/>
      <c r="BM66" s="77"/>
      <c r="BN66" s="77"/>
      <c r="BO66" s="77"/>
      <c r="BP66" s="77"/>
      <c r="BR66" s="123"/>
      <c r="BS66" s="120"/>
      <c r="BT66" s="120"/>
      <c r="BU66" s="2"/>
      <c r="BV66" s="2"/>
      <c r="BW66" s="2"/>
      <c r="BX66" s="121"/>
    </row>
    <row r="67" spans="1:76" ht="15" customHeight="1">
      <c r="A67" s="13"/>
      <c r="B67" s="88"/>
      <c r="C67" s="78"/>
      <c r="D67" s="89"/>
      <c r="E67" s="90"/>
      <c r="F67" s="66"/>
      <c r="G67" s="91"/>
      <c r="H67" s="92"/>
      <c r="I67" s="92"/>
      <c r="J67" s="68"/>
      <c r="K67" s="69"/>
      <c r="L67" s="70"/>
      <c r="M67" s="70"/>
      <c r="N67" s="71"/>
      <c r="O67" s="2"/>
      <c r="P67" s="2"/>
      <c r="Q67" s="2"/>
      <c r="R67" s="3"/>
      <c r="S67" s="4"/>
      <c r="T67" s="84"/>
      <c r="U67" s="85"/>
      <c r="V67" s="4"/>
      <c r="W67" s="4"/>
      <c r="X67" s="4"/>
      <c r="Y67" s="62"/>
      <c r="Z67" s="22"/>
      <c r="AA67" s="22"/>
      <c r="AB67" s="22"/>
      <c r="AC67" s="22"/>
      <c r="AD67" s="19"/>
      <c r="AE67" s="14"/>
      <c r="AF67" s="72"/>
      <c r="AG67" s="49"/>
      <c r="AH67" s="49"/>
      <c r="AI67" s="50"/>
      <c r="AJ67" s="15"/>
      <c r="AK67" s="77"/>
      <c r="AL67" s="77"/>
      <c r="AM67" s="77"/>
      <c r="AN67" s="77"/>
      <c r="AO67" s="77"/>
      <c r="AP67" s="77"/>
      <c r="AQ67" s="77"/>
      <c r="AR67" s="77"/>
      <c r="AS67" s="77"/>
      <c r="AT67" s="77"/>
      <c r="AU67" s="77"/>
      <c r="AV67" s="77"/>
      <c r="AW67" s="77"/>
      <c r="AX67" s="77"/>
      <c r="AY67" s="77"/>
      <c r="AZ67" s="77"/>
      <c r="BA67" s="77"/>
      <c r="BB67" s="77"/>
      <c r="BC67" s="77"/>
      <c r="BD67" s="77"/>
      <c r="BE67" s="77"/>
      <c r="BF67" s="77"/>
      <c r="BG67" s="77"/>
      <c r="BH67" s="77"/>
      <c r="BI67" s="77"/>
      <c r="BJ67" s="77"/>
      <c r="BK67" s="77"/>
      <c r="BL67" s="77"/>
      <c r="BM67" s="77"/>
      <c r="BN67" s="77"/>
      <c r="BO67" s="77"/>
      <c r="BP67" s="77"/>
      <c r="BR67" s="123"/>
      <c r="BS67" s="120"/>
      <c r="BT67" s="120"/>
      <c r="BU67" s="2"/>
      <c r="BV67" s="2"/>
      <c r="BW67" s="2"/>
      <c r="BX67" s="121"/>
    </row>
    <row r="68" spans="1:76" ht="15" customHeight="1">
      <c r="A68" s="13"/>
      <c r="B68" s="88"/>
      <c r="C68" s="78"/>
      <c r="D68" s="89"/>
      <c r="E68" s="90"/>
      <c r="F68" s="66"/>
      <c r="G68" s="91"/>
      <c r="H68" s="92"/>
      <c r="I68" s="92"/>
      <c r="J68" s="68"/>
      <c r="K68" s="69"/>
      <c r="L68" s="70"/>
      <c r="M68" s="70"/>
      <c r="N68" s="71"/>
      <c r="O68" s="2"/>
      <c r="P68" s="2"/>
      <c r="Q68" s="2"/>
      <c r="R68" s="3"/>
      <c r="S68" s="4"/>
      <c r="T68" s="84"/>
      <c r="U68" s="85"/>
      <c r="V68" s="4"/>
      <c r="W68" s="4"/>
      <c r="X68" s="4"/>
      <c r="Y68" s="62"/>
      <c r="Z68" s="22"/>
      <c r="AA68" s="22"/>
      <c r="AB68" s="22"/>
      <c r="AC68" s="22"/>
      <c r="AD68" s="19"/>
      <c r="AE68" s="14"/>
      <c r="AF68" s="72"/>
      <c r="AG68" s="49"/>
      <c r="AH68" s="49"/>
      <c r="AI68" s="50"/>
      <c r="AJ68" s="15"/>
      <c r="AK68" s="77"/>
      <c r="AL68" s="77"/>
      <c r="AM68" s="77"/>
      <c r="AN68" s="77"/>
      <c r="AO68" s="77"/>
      <c r="AP68" s="77"/>
      <c r="AQ68" s="77"/>
      <c r="AR68" s="77"/>
      <c r="AS68" s="77"/>
      <c r="AT68" s="77"/>
      <c r="AU68" s="77"/>
      <c r="AV68" s="77"/>
      <c r="AW68" s="77"/>
      <c r="AX68" s="77"/>
      <c r="AY68" s="77"/>
      <c r="AZ68" s="77"/>
      <c r="BA68" s="77"/>
      <c r="BB68" s="77"/>
      <c r="BC68" s="77"/>
      <c r="BD68" s="77"/>
      <c r="BE68" s="77"/>
      <c r="BF68" s="77"/>
      <c r="BG68" s="77"/>
      <c r="BH68" s="77"/>
      <c r="BI68" s="77"/>
      <c r="BJ68" s="77"/>
      <c r="BK68" s="77"/>
      <c r="BL68" s="77"/>
      <c r="BM68" s="77"/>
      <c r="BN68" s="77"/>
      <c r="BO68" s="77"/>
      <c r="BP68" s="77"/>
      <c r="BR68" s="123"/>
      <c r="BS68" s="120"/>
      <c r="BT68" s="120"/>
      <c r="BU68" s="2"/>
      <c r="BV68" s="2"/>
      <c r="BW68" s="2"/>
      <c r="BX68" s="121"/>
    </row>
    <row r="69" spans="1:76" ht="15" customHeight="1">
      <c r="A69" s="13"/>
      <c r="B69" s="88"/>
      <c r="C69" s="78"/>
      <c r="D69" s="89"/>
      <c r="E69" s="90"/>
      <c r="F69" s="66"/>
      <c r="G69" s="91"/>
      <c r="H69" s="92"/>
      <c r="I69" s="92"/>
      <c r="J69" s="68"/>
      <c r="K69" s="69"/>
      <c r="L69" s="70"/>
      <c r="M69" s="70"/>
      <c r="N69" s="71"/>
      <c r="O69" s="2"/>
      <c r="P69" s="2"/>
      <c r="Q69" s="2"/>
      <c r="R69" s="3"/>
      <c r="S69" s="4"/>
      <c r="T69" s="84"/>
      <c r="U69" s="85"/>
      <c r="V69" s="4"/>
      <c r="W69" s="4"/>
      <c r="X69" s="4"/>
      <c r="Y69" s="62"/>
      <c r="Z69" s="22"/>
      <c r="AA69" s="22"/>
      <c r="AB69" s="22"/>
      <c r="AC69" s="22"/>
      <c r="AD69" s="19"/>
      <c r="AE69" s="14"/>
      <c r="AF69" s="72"/>
      <c r="AG69" s="49"/>
      <c r="AH69" s="49"/>
      <c r="AI69" s="50"/>
      <c r="AJ69" s="15"/>
      <c r="AK69" s="77"/>
      <c r="AL69" s="77"/>
      <c r="AM69" s="77"/>
      <c r="AN69" s="77"/>
      <c r="AO69" s="77"/>
      <c r="AP69" s="77"/>
      <c r="AQ69" s="77"/>
      <c r="AR69" s="77"/>
      <c r="AS69" s="77"/>
      <c r="AT69" s="77"/>
      <c r="AU69" s="77"/>
      <c r="AV69" s="77"/>
      <c r="AW69" s="77"/>
      <c r="AX69" s="77"/>
      <c r="AY69" s="77"/>
      <c r="AZ69" s="77"/>
      <c r="BA69" s="77"/>
      <c r="BB69" s="77"/>
      <c r="BC69" s="77"/>
      <c r="BD69" s="77"/>
      <c r="BE69" s="77"/>
      <c r="BF69" s="77"/>
      <c r="BG69" s="77"/>
      <c r="BH69" s="77"/>
      <c r="BI69" s="77"/>
      <c r="BJ69" s="77"/>
      <c r="BK69" s="77"/>
      <c r="BL69" s="77"/>
      <c r="BM69" s="77"/>
      <c r="BN69" s="77"/>
      <c r="BO69" s="77"/>
      <c r="BP69" s="77"/>
      <c r="BR69" s="123"/>
      <c r="BS69" s="120"/>
      <c r="BT69" s="120"/>
      <c r="BU69" s="2"/>
      <c r="BV69" s="2"/>
      <c r="BW69" s="2"/>
      <c r="BX69" s="121"/>
    </row>
    <row r="70" spans="1:76" ht="15" customHeight="1">
      <c r="A70" s="13"/>
      <c r="B70" s="88"/>
      <c r="C70" s="78"/>
      <c r="D70" s="89"/>
      <c r="E70" s="90"/>
      <c r="F70" s="66"/>
      <c r="G70" s="91"/>
      <c r="H70" s="92"/>
      <c r="I70" s="92"/>
      <c r="J70" s="68"/>
      <c r="K70" s="69"/>
      <c r="L70" s="70"/>
      <c r="M70" s="70"/>
      <c r="N70" s="71"/>
      <c r="O70" s="2"/>
      <c r="P70" s="2"/>
      <c r="Q70" s="2"/>
      <c r="R70" s="3"/>
      <c r="S70" s="4"/>
      <c r="T70" s="84"/>
      <c r="U70" s="85"/>
      <c r="V70" s="4"/>
      <c r="W70" s="4"/>
      <c r="X70" s="4"/>
      <c r="Y70" s="62"/>
      <c r="Z70" s="22"/>
      <c r="AA70" s="22"/>
      <c r="AB70" s="22"/>
      <c r="AC70" s="22"/>
      <c r="AD70" s="19"/>
      <c r="AE70" s="14"/>
      <c r="AF70" s="72"/>
      <c r="AG70" s="49"/>
      <c r="AH70" s="49"/>
      <c r="AI70" s="50"/>
      <c r="AJ70" s="15"/>
      <c r="AK70" s="77"/>
      <c r="AL70" s="77"/>
      <c r="AM70" s="77"/>
      <c r="AN70" s="77"/>
      <c r="AO70" s="77"/>
      <c r="AP70" s="77"/>
      <c r="AQ70" s="77"/>
      <c r="AR70" s="77"/>
      <c r="AS70" s="77"/>
      <c r="AT70" s="77"/>
      <c r="AU70" s="77"/>
      <c r="AV70" s="77"/>
      <c r="AW70" s="77"/>
      <c r="AX70" s="77"/>
      <c r="AY70" s="77"/>
      <c r="AZ70" s="77"/>
      <c r="BA70" s="77"/>
      <c r="BB70" s="77"/>
      <c r="BC70" s="77"/>
      <c r="BD70" s="77"/>
      <c r="BE70" s="77"/>
      <c r="BF70" s="77"/>
      <c r="BG70" s="77"/>
      <c r="BH70" s="77"/>
      <c r="BI70" s="77"/>
      <c r="BJ70" s="77"/>
      <c r="BK70" s="77"/>
      <c r="BL70" s="77"/>
      <c r="BM70" s="77"/>
      <c r="BN70" s="77"/>
      <c r="BO70" s="77"/>
      <c r="BP70" s="77"/>
      <c r="BR70" s="123"/>
      <c r="BS70" s="120"/>
      <c r="BT70" s="120"/>
      <c r="BU70" s="2"/>
      <c r="BV70" s="2"/>
      <c r="BW70" s="2"/>
      <c r="BX70" s="121"/>
    </row>
    <row r="71" spans="1:76" ht="15" customHeight="1">
      <c r="A71" s="13"/>
      <c r="B71" s="88"/>
      <c r="C71" s="78"/>
      <c r="D71" s="89"/>
      <c r="E71" s="90"/>
      <c r="F71" s="66"/>
      <c r="G71" s="91"/>
      <c r="H71" s="92"/>
      <c r="I71" s="92"/>
      <c r="J71" s="68"/>
      <c r="K71" s="69"/>
      <c r="L71" s="70"/>
      <c r="M71" s="70"/>
      <c r="N71" s="71"/>
      <c r="O71" s="2"/>
      <c r="P71" s="2"/>
      <c r="Q71" s="2"/>
      <c r="R71" s="3"/>
      <c r="S71" s="4"/>
      <c r="T71" s="84"/>
      <c r="U71" s="85"/>
      <c r="V71" s="4"/>
      <c r="W71" s="4"/>
      <c r="X71" s="4"/>
      <c r="Y71" s="62"/>
      <c r="Z71" s="22"/>
      <c r="AA71" s="22"/>
      <c r="AB71" s="22"/>
      <c r="AC71" s="22"/>
      <c r="AD71" s="19"/>
      <c r="AE71" s="14"/>
      <c r="AF71" s="72"/>
      <c r="AG71" s="49"/>
      <c r="AH71" s="49"/>
      <c r="AI71" s="50"/>
      <c r="AJ71" s="15"/>
      <c r="AK71" s="77"/>
      <c r="AL71" s="77"/>
      <c r="AM71" s="77"/>
      <c r="AN71" s="77"/>
      <c r="AO71" s="77"/>
      <c r="AP71" s="77"/>
      <c r="AQ71" s="77"/>
      <c r="AR71" s="77"/>
      <c r="AS71" s="77"/>
      <c r="AT71" s="77"/>
      <c r="AU71" s="77"/>
      <c r="AV71" s="77"/>
      <c r="AW71" s="77"/>
      <c r="AX71" s="77"/>
      <c r="AY71" s="77"/>
      <c r="AZ71" s="77"/>
      <c r="BA71" s="77"/>
      <c r="BB71" s="77"/>
      <c r="BC71" s="77"/>
      <c r="BD71" s="77"/>
      <c r="BE71" s="77"/>
      <c r="BF71" s="77"/>
      <c r="BG71" s="77"/>
      <c r="BH71" s="77"/>
      <c r="BI71" s="77"/>
      <c r="BJ71" s="77"/>
      <c r="BK71" s="77"/>
      <c r="BL71" s="77"/>
      <c r="BM71" s="77"/>
      <c r="BN71" s="77"/>
      <c r="BO71" s="77"/>
      <c r="BP71" s="77"/>
      <c r="BR71" s="123"/>
      <c r="BS71" s="120"/>
      <c r="BT71" s="120"/>
      <c r="BU71" s="2"/>
      <c r="BV71" s="2"/>
      <c r="BW71" s="2"/>
      <c r="BX71" s="121"/>
    </row>
    <row r="72" spans="1:76" ht="15" customHeight="1">
      <c r="A72" s="13"/>
      <c r="B72" s="88"/>
      <c r="C72" s="78"/>
      <c r="D72" s="89"/>
      <c r="E72" s="90"/>
      <c r="F72" s="66"/>
      <c r="G72" s="91"/>
      <c r="H72" s="92"/>
      <c r="I72" s="92"/>
      <c r="J72" s="68"/>
      <c r="K72" s="69"/>
      <c r="L72" s="70"/>
      <c r="M72" s="70"/>
      <c r="N72" s="71"/>
      <c r="O72" s="2"/>
      <c r="P72" s="2"/>
      <c r="Q72" s="2"/>
      <c r="R72" s="3"/>
      <c r="S72" s="4"/>
      <c r="T72" s="84"/>
      <c r="U72" s="85"/>
      <c r="V72" s="4"/>
      <c r="W72" s="4"/>
      <c r="X72" s="4"/>
      <c r="Y72" s="62"/>
      <c r="Z72" s="22"/>
      <c r="AA72" s="22"/>
      <c r="AB72" s="22"/>
      <c r="AC72" s="22"/>
      <c r="AD72" s="19"/>
      <c r="AE72" s="14"/>
      <c r="AF72" s="72"/>
      <c r="AG72" s="49"/>
      <c r="AH72" s="49"/>
      <c r="AI72" s="50"/>
      <c r="AJ72" s="15"/>
      <c r="AK72" s="77"/>
      <c r="AL72" s="77"/>
      <c r="AM72" s="77"/>
      <c r="AN72" s="77"/>
      <c r="AO72" s="77"/>
      <c r="AP72" s="77"/>
      <c r="AQ72" s="77"/>
      <c r="AR72" s="77"/>
      <c r="AS72" s="77"/>
      <c r="AT72" s="77"/>
      <c r="AU72" s="77"/>
      <c r="AV72" s="77"/>
      <c r="AW72" s="77"/>
      <c r="AX72" s="77"/>
      <c r="AY72" s="77"/>
      <c r="AZ72" s="77"/>
      <c r="BA72" s="77"/>
      <c r="BB72" s="77"/>
      <c r="BC72" s="77"/>
      <c r="BD72" s="77"/>
      <c r="BE72" s="77"/>
      <c r="BF72" s="77"/>
      <c r="BG72" s="77"/>
      <c r="BH72" s="77"/>
      <c r="BI72" s="77"/>
      <c r="BJ72" s="77"/>
      <c r="BK72" s="77"/>
      <c r="BL72" s="77"/>
      <c r="BM72" s="77"/>
      <c r="BN72" s="77"/>
      <c r="BO72" s="77"/>
      <c r="BP72" s="77"/>
      <c r="BR72" s="123"/>
      <c r="BS72" s="120"/>
      <c r="BT72" s="120"/>
      <c r="BU72" s="2"/>
      <c r="BV72" s="2"/>
      <c r="BW72" s="2"/>
      <c r="BX72" s="121"/>
    </row>
    <row r="73" spans="1:76" ht="15" customHeight="1">
      <c r="A73" s="13"/>
      <c r="B73" s="88"/>
      <c r="C73" s="94" t="s">
        <v>121</v>
      </c>
      <c r="D73" s="89" t="s">
        <v>117</v>
      </c>
      <c r="E73" s="90"/>
      <c r="F73" s="66" t="s">
        <v>44</v>
      </c>
      <c r="G73" s="67">
        <v>12.481999999999999</v>
      </c>
      <c r="H73" s="92" t="str">
        <f>IF(OOC!S73=0,"",OOC!S73)</f>
        <v/>
      </c>
      <c r="I73" s="92" t="str">
        <f>IF(OOC!T73=0,"",OOC!T73)</f>
        <v/>
      </c>
      <c r="J73" s="68" t="s">
        <v>12</v>
      </c>
      <c r="K73" s="69" t="s">
        <v>80</v>
      </c>
      <c r="L73" s="70" t="e">
        <f t="shared" si="0"/>
        <v>#VALUE!</v>
      </c>
      <c r="M73" s="70" t="e">
        <f t="shared" si="1"/>
        <v>#VALUE!</v>
      </c>
      <c r="N73" s="71"/>
      <c r="O73" s="2" t="e">
        <f t="shared" si="2"/>
        <v>#REF!</v>
      </c>
      <c r="P73" s="2" t="e">
        <f t="shared" si="3"/>
        <v>#REF!</v>
      </c>
      <c r="Q73" s="2" t="e">
        <f t="shared" si="4"/>
        <v>#REF!</v>
      </c>
      <c r="R73" s="3" t="e">
        <f t="shared" si="5"/>
        <v>#REF!</v>
      </c>
      <c r="S73" s="4" t="e">
        <f t="shared" si="10"/>
        <v>#REF!</v>
      </c>
      <c r="T73" s="84" t="e">
        <f t="shared" si="11"/>
        <v>#REF!</v>
      </c>
      <c r="U73" s="85" t="e">
        <f t="shared" si="12"/>
        <v>#REF!</v>
      </c>
      <c r="V73" s="4" t="e">
        <f t="shared" si="6"/>
        <v>#REF!</v>
      </c>
      <c r="W73" s="4" t="e">
        <f t="shared" si="7"/>
        <v>#REF!</v>
      </c>
      <c r="X73" s="4" t="e">
        <f t="shared" si="8"/>
        <v>#REF!</v>
      </c>
      <c r="Y73" s="62" t="e">
        <f t="shared" si="9"/>
        <v>#REF!</v>
      </c>
      <c r="Z73" s="22"/>
      <c r="AA73" s="22"/>
      <c r="AB73" s="22"/>
      <c r="AC73" s="22"/>
      <c r="AD73" s="19"/>
      <c r="AE73" s="14"/>
      <c r="AF73" s="72"/>
      <c r="AG73" s="49"/>
      <c r="AH73" s="49"/>
      <c r="AI73" s="50"/>
      <c r="AJ73" s="15"/>
      <c r="AK73" s="79" t="e">
        <f>#REF!</f>
        <v>#REF!</v>
      </c>
      <c r="AL73" s="79" t="e">
        <f>#REF!</f>
        <v>#REF!</v>
      </c>
      <c r="AM73" s="79" t="e">
        <f>#REF!</f>
        <v>#REF!</v>
      </c>
      <c r="AN73" s="77"/>
      <c r="AO73" s="77"/>
      <c r="AP73" s="77"/>
      <c r="AQ73" s="77"/>
      <c r="AR73" s="77"/>
      <c r="AS73" s="77"/>
      <c r="AT73" s="77"/>
      <c r="AU73" s="77"/>
      <c r="AV73" s="77"/>
      <c r="AW73" s="77"/>
      <c r="AX73" s="77"/>
      <c r="AY73" s="77"/>
      <c r="AZ73" s="77"/>
      <c r="BA73" s="77"/>
      <c r="BB73" s="77"/>
      <c r="BC73" s="77"/>
      <c r="BD73" s="77"/>
      <c r="BE73" s="77"/>
      <c r="BF73" s="77"/>
      <c r="BG73" s="77"/>
      <c r="BH73" s="77"/>
      <c r="BI73" s="77"/>
      <c r="BJ73" s="77"/>
      <c r="BK73" s="77"/>
      <c r="BL73" s="77"/>
      <c r="BM73" s="77"/>
      <c r="BN73" s="77"/>
      <c r="BO73" s="77"/>
      <c r="BP73" s="77"/>
      <c r="BR73" s="123" t="str">
        <f t="shared" si="13"/>
        <v>FAI30</v>
      </c>
      <c r="BS73" s="120">
        <f>OOC!G73</f>
        <v>12.511999999999999</v>
      </c>
      <c r="BT73" s="120">
        <f>OOC!H73</f>
        <v>12.452</v>
      </c>
      <c r="BU73" s="2" t="e">
        <f t="shared" si="14"/>
        <v>#REF!</v>
      </c>
      <c r="BV73" s="2" t="e">
        <f t="shared" si="15"/>
        <v>#REF!</v>
      </c>
      <c r="BW73" s="2" t="e">
        <f t="shared" si="16"/>
        <v>#REF!</v>
      </c>
      <c r="BX73" s="121" t="e">
        <f>IF(AND(IF(OOC!G73="",0,OOC!G73) &gt;= IF(O73="",0,O73), IF(O73="",0,O73) &gt; IF(L73="",0,L73)), "OOC",
IF(AND(IF(M73="",0,M73) &gt; IF(P73="",0,P73), IF(P73="",0,P73) &gt;= IF(OOC!H73="",0,OOC!H73)), "OOC",
IF(IF(O73="",0,O73) &gt; IF(OOC!G73="",0,OOC!G73), "OOS",
IF(IF(OOC!H73="",0,OOC!H73) &gt; IF(P73="",0,P73), "OOS", "OK"))))</f>
        <v>#REF!</v>
      </c>
    </row>
    <row r="74" spans="1:76" ht="15" customHeight="1">
      <c r="A74" s="13">
        <v>4</v>
      </c>
      <c r="B74" s="88"/>
      <c r="C74" s="94" t="s">
        <v>122</v>
      </c>
      <c r="D74" s="89" t="s">
        <v>117</v>
      </c>
      <c r="E74" s="90"/>
      <c r="F74" s="66" t="s">
        <v>44</v>
      </c>
      <c r="G74" s="67">
        <v>11.089</v>
      </c>
      <c r="H74" s="92" t="str">
        <f>IF(OOC!S74=0,"",OOC!S74)</f>
        <v/>
      </c>
      <c r="I74" s="92" t="str">
        <f>IF(OOC!T74=0,"",OOC!T74)</f>
        <v/>
      </c>
      <c r="J74" s="68" t="s">
        <v>12</v>
      </c>
      <c r="K74" s="69" t="s">
        <v>80</v>
      </c>
      <c r="L74" s="70" t="e">
        <f t="shared" si="0"/>
        <v>#VALUE!</v>
      </c>
      <c r="M74" s="70" t="e">
        <f t="shared" si="1"/>
        <v>#VALUE!</v>
      </c>
      <c r="N74" s="71"/>
      <c r="O74" s="2" t="e">
        <f t="shared" si="2"/>
        <v>#REF!</v>
      </c>
      <c r="P74" s="2" t="e">
        <f t="shared" si="3"/>
        <v>#REF!</v>
      </c>
      <c r="Q74" s="2" t="e">
        <f t="shared" si="4"/>
        <v>#REF!</v>
      </c>
      <c r="R74" s="3" t="e">
        <f t="shared" si="5"/>
        <v>#REF!</v>
      </c>
      <c r="S74" s="4" t="e">
        <f t="shared" si="10"/>
        <v>#REF!</v>
      </c>
      <c r="T74" s="84" t="e">
        <f t="shared" si="11"/>
        <v>#REF!</v>
      </c>
      <c r="U74" s="85" t="e">
        <f t="shared" si="12"/>
        <v>#REF!</v>
      </c>
      <c r="V74" s="4" t="e">
        <f t="shared" si="6"/>
        <v>#REF!</v>
      </c>
      <c r="W74" s="4" t="e">
        <f t="shared" si="7"/>
        <v>#REF!</v>
      </c>
      <c r="X74" s="4" t="e">
        <f t="shared" si="8"/>
        <v>#REF!</v>
      </c>
      <c r="Y74" s="62" t="e">
        <f t="shared" si="9"/>
        <v>#REF!</v>
      </c>
      <c r="Z74" s="22" t="e">
        <f>IF($Q74="","",IF(F74="Tolerance",IF(($E74*3*R74+Q74)-G74&lt;H74,"",($E74*3*R74+Q74)-G74),IF(OR(F74="GD&amp;T",F74="MAX"),IF(($E74*3*R74+Q74)&lt;H74,"",($E74*3*R74+Q74)),"")))</f>
        <v>#REF!</v>
      </c>
      <c r="AA74" s="22" t="e">
        <f>IF(Q74="","",IF(F74="Tolerance",IF(-(($E74*3*R74)-Q74)-G74&gt;I74,"",-(($E74*3*R74)-Q74)-G74),IF(F74="MIN",IF(-(($E74*3*R74)-Q74)&gt;I74,"",-(($E74*3*R74)-Q74)),"")))</f>
        <v>#REF!</v>
      </c>
      <c r="AB74" s="22" t="e">
        <f>IF(OR(G74="",Q74=""),"",(L74+M74)/2-Q74)</f>
        <v>#REF!</v>
      </c>
      <c r="AC74" s="22" t="e">
        <f>IF(OR($S74&gt;$AC$9,$R74=""),"",$AC$9*6*$R74)</f>
        <v>#REF!</v>
      </c>
      <c r="AD74" s="19"/>
      <c r="AE74" s="14"/>
      <c r="AF74" s="72"/>
      <c r="AG74" s="49"/>
      <c r="AH74" s="49"/>
      <c r="AI74" s="50"/>
      <c r="AJ74" s="15"/>
      <c r="AK74" s="79" t="e">
        <f>#REF!</f>
        <v>#REF!</v>
      </c>
      <c r="AL74" s="79" t="e">
        <f>#REF!</f>
        <v>#REF!</v>
      </c>
      <c r="AM74" s="79" t="e">
        <f>#REF!</f>
        <v>#REF!</v>
      </c>
      <c r="AN74" s="77"/>
      <c r="AO74" s="77"/>
      <c r="AP74" s="77"/>
      <c r="AQ74" s="77"/>
      <c r="AR74" s="77"/>
      <c r="AS74" s="77"/>
      <c r="AT74" s="77"/>
      <c r="AU74" s="77"/>
      <c r="AV74" s="77"/>
      <c r="AW74" s="77"/>
      <c r="AX74" s="77"/>
      <c r="AY74" s="77"/>
      <c r="AZ74" s="77"/>
      <c r="BA74" s="77"/>
      <c r="BB74" s="77"/>
      <c r="BC74" s="77"/>
      <c r="BD74" s="77"/>
      <c r="BE74" s="77"/>
      <c r="BF74" s="77"/>
      <c r="BG74" s="77"/>
      <c r="BH74" s="77"/>
      <c r="BI74" s="77"/>
      <c r="BJ74" s="77"/>
      <c r="BK74" s="77"/>
      <c r="BL74" s="77"/>
      <c r="BM74" s="77"/>
      <c r="BN74" s="77"/>
      <c r="BO74" s="77"/>
      <c r="BP74" s="77"/>
      <c r="BR74" s="123" t="str">
        <f t="shared" si="13"/>
        <v>FAI31</v>
      </c>
      <c r="BS74" s="120">
        <f>OOC!G74</f>
        <v>11.119</v>
      </c>
      <c r="BT74" s="120">
        <f>OOC!H74</f>
        <v>11.059000000000001</v>
      </c>
      <c r="BU74" s="2" t="e">
        <f t="shared" si="14"/>
        <v>#REF!</v>
      </c>
      <c r="BV74" s="2" t="e">
        <f t="shared" si="15"/>
        <v>#REF!</v>
      </c>
      <c r="BW74" s="2" t="e">
        <f t="shared" si="16"/>
        <v>#REF!</v>
      </c>
      <c r="BX74" s="121" t="e">
        <f>IF(AND(IF(OOC!G74="",0,OOC!G74) &gt;= IF(O74="",0,O74), IF(O74="",0,O74) &gt; IF(L74="",0,L74)), "OOC",
IF(AND(IF(M74="",0,M74) &gt; IF(P74="",0,P74), IF(P74="",0,P74) &gt;= IF(OOC!H74="",0,OOC!H74)), "OOC",
IF(IF(O74="",0,O74) &gt; IF(OOC!G74="",0,OOC!G74), "OOS",
IF(IF(OOC!H74="",0,OOC!H74) &gt; IF(P74="",0,P74), "OOS", "OK"))))</f>
        <v>#REF!</v>
      </c>
    </row>
    <row r="75" spans="1:76" ht="15" customHeight="1">
      <c r="A75" s="13">
        <v>5</v>
      </c>
      <c r="B75" s="88"/>
      <c r="C75" s="78" t="s">
        <v>123</v>
      </c>
      <c r="D75" s="89" t="s">
        <v>117</v>
      </c>
      <c r="E75" s="90"/>
      <c r="F75" s="66" t="s">
        <v>44</v>
      </c>
      <c r="G75" s="67">
        <v>2.0920000000000001</v>
      </c>
      <c r="H75" s="92" t="str">
        <f>IF(OOC!S75=0,"",OOC!S75)</f>
        <v/>
      </c>
      <c r="I75" s="92" t="str">
        <f>IF(OOC!T75=0,"",OOC!T75)</f>
        <v/>
      </c>
      <c r="J75" s="68" t="s">
        <v>12</v>
      </c>
      <c r="K75" s="69" t="s">
        <v>80</v>
      </c>
      <c r="L75" s="70" t="e">
        <f t="shared" si="0"/>
        <v>#VALUE!</v>
      </c>
      <c r="M75" s="70" t="e">
        <f t="shared" si="1"/>
        <v>#VALUE!</v>
      </c>
      <c r="N75" s="71"/>
      <c r="O75" s="2" t="e">
        <f t="shared" si="2"/>
        <v>#REF!</v>
      </c>
      <c r="P75" s="2" t="e">
        <f t="shared" si="3"/>
        <v>#REF!</v>
      </c>
      <c r="Q75" s="2" t="e">
        <f t="shared" si="4"/>
        <v>#REF!</v>
      </c>
      <c r="R75" s="3" t="e">
        <f t="shared" si="5"/>
        <v>#REF!</v>
      </c>
      <c r="S75" s="4" t="e">
        <f t="shared" si="10"/>
        <v>#REF!</v>
      </c>
      <c r="T75" s="84" t="e">
        <f t="shared" si="11"/>
        <v>#REF!</v>
      </c>
      <c r="U75" s="85" t="e">
        <f t="shared" si="12"/>
        <v>#REF!</v>
      </c>
      <c r="V75" s="4" t="e">
        <f t="shared" si="6"/>
        <v>#REF!</v>
      </c>
      <c r="W75" s="4" t="e">
        <f t="shared" si="7"/>
        <v>#REF!</v>
      </c>
      <c r="X75" s="4" t="e">
        <f t="shared" si="8"/>
        <v>#REF!</v>
      </c>
      <c r="Y75" s="62" t="e">
        <f t="shared" si="9"/>
        <v>#REF!</v>
      </c>
      <c r="Z75" s="22" t="e">
        <f>IF($Q75="","",IF(F75="Tolerance",IF(($E75*3*R75+Q75)-G75&lt;H75,"",($E75*3*R75+Q75)-G75),IF(OR(F75="GD&amp;T",F75="MAX"),IF(($E75*3*R75+Q75)&lt;H75,"",($E75*3*R75+Q75)),"")))</f>
        <v>#REF!</v>
      </c>
      <c r="AA75" s="22" t="e">
        <f>IF(Q75="","",IF(F75="Tolerance",IF(-(($E75*3*R75)-Q75)-G75&gt;I75,"",-(($E75*3*R75)-Q75)-G75),IF(F75="MIN",IF(-(($E75*3*R75)-Q75)&gt;I75,"",-(($E75*3*R75)-Q75)),"")))</f>
        <v>#REF!</v>
      </c>
      <c r="AB75" s="22" t="e">
        <f>IF(OR(G75="",Q75=""),"",(L75+M75)/2-Q75)</f>
        <v>#REF!</v>
      </c>
      <c r="AC75" s="22" t="e">
        <f>IF(OR($S75&gt;$AC$9,$R75=""),"",$AC$9*6*$R75)</f>
        <v>#REF!</v>
      </c>
      <c r="AD75" s="19"/>
      <c r="AE75" s="14"/>
      <c r="AF75" s="72"/>
      <c r="AG75" s="49"/>
      <c r="AH75" s="49"/>
      <c r="AI75" s="50"/>
      <c r="AJ75" s="15"/>
      <c r="AK75" s="79" t="e">
        <f>#REF!</f>
        <v>#REF!</v>
      </c>
      <c r="AL75" s="79" t="e">
        <f>#REF!</f>
        <v>#REF!</v>
      </c>
      <c r="AM75" s="79" t="e">
        <f>#REF!</f>
        <v>#REF!</v>
      </c>
      <c r="AN75" s="77"/>
      <c r="AO75" s="77"/>
      <c r="AP75" s="77"/>
      <c r="AQ75" s="77"/>
      <c r="AR75" s="77"/>
      <c r="AS75" s="77"/>
      <c r="AT75" s="77"/>
      <c r="AU75" s="77"/>
      <c r="AV75" s="77"/>
      <c r="AW75" s="77"/>
      <c r="AX75" s="77"/>
      <c r="AY75" s="77"/>
      <c r="AZ75" s="77"/>
      <c r="BA75" s="77"/>
      <c r="BB75" s="77"/>
      <c r="BC75" s="77"/>
      <c r="BD75" s="77"/>
      <c r="BE75" s="77"/>
      <c r="BF75" s="77"/>
      <c r="BG75" s="77"/>
      <c r="BH75" s="77"/>
      <c r="BI75" s="77"/>
      <c r="BJ75" s="77"/>
      <c r="BK75" s="77"/>
      <c r="BL75" s="77"/>
      <c r="BM75" s="77"/>
      <c r="BN75" s="77"/>
      <c r="BO75" s="77"/>
      <c r="BP75" s="77"/>
      <c r="BR75" s="123" t="str">
        <f t="shared" si="13"/>
        <v>FAI32</v>
      </c>
      <c r="BS75" s="120">
        <f>OOC!G75</f>
        <v>2.1219999999999999</v>
      </c>
      <c r="BT75" s="120">
        <f>OOC!H75</f>
        <v>2.0620000000000003</v>
      </c>
      <c r="BU75" s="2" t="e">
        <f t="shared" si="14"/>
        <v>#REF!</v>
      </c>
      <c r="BV75" s="2" t="e">
        <f t="shared" si="15"/>
        <v>#REF!</v>
      </c>
      <c r="BW75" s="2" t="e">
        <f t="shared" si="16"/>
        <v>#REF!</v>
      </c>
      <c r="BX75" s="121" t="e">
        <f>IF(AND(IF(OOC!G75="",0,OOC!G75) &gt;= IF(O75="",0,O75), IF(O75="",0,O75) &gt; IF(L75="",0,L75)), "OOC",
IF(AND(IF(M75="",0,M75) &gt; IF(P75="",0,P75), IF(P75="",0,P75) &gt;= IF(OOC!H75="",0,OOC!H75)), "OOC",
IF(IF(O75="",0,O75) &gt; IF(OOC!G75="",0,OOC!G75), "OOS",
IF(IF(OOC!H75="",0,OOC!H75) &gt; IF(P75="",0,P75), "OOS", "OK"))))</f>
        <v>#REF!</v>
      </c>
    </row>
    <row r="76" spans="1:76" ht="15" customHeight="1">
      <c r="A76" s="13">
        <v>6</v>
      </c>
      <c r="B76" s="88"/>
      <c r="C76" s="78" t="s">
        <v>124</v>
      </c>
      <c r="D76" s="89" t="s">
        <v>158</v>
      </c>
      <c r="E76" s="90"/>
      <c r="F76" s="66" t="s">
        <v>41</v>
      </c>
      <c r="G76" s="67"/>
      <c r="H76" s="92" t="str">
        <f>IF(OOC!S76=0,"",OOC!S76)</f>
        <v/>
      </c>
      <c r="I76" s="92" t="str">
        <f>IF(OOC!T76=0,"",OOC!T76)</f>
        <v/>
      </c>
      <c r="J76" s="68" t="s">
        <v>12</v>
      </c>
      <c r="K76" s="69" t="s">
        <v>80</v>
      </c>
      <c r="L76" s="70" t="str">
        <f t="shared" si="0"/>
        <v/>
      </c>
      <c r="M76" s="70" t="str">
        <f t="shared" si="1"/>
        <v/>
      </c>
      <c r="N76" s="71"/>
      <c r="O76" s="2" t="e">
        <f t="shared" si="2"/>
        <v>#REF!</v>
      </c>
      <c r="P76" s="2" t="e">
        <f t="shared" si="3"/>
        <v>#REF!</v>
      </c>
      <c r="Q76" s="2" t="e">
        <f t="shared" si="4"/>
        <v>#REF!</v>
      </c>
      <c r="R76" s="3" t="e">
        <f t="shared" si="5"/>
        <v>#REF!</v>
      </c>
      <c r="S76" s="4" t="e">
        <f t="shared" si="10"/>
        <v>#REF!</v>
      </c>
      <c r="T76" s="84" t="e">
        <f t="shared" si="11"/>
        <v>#REF!</v>
      </c>
      <c r="U76" s="85" t="e">
        <f t="shared" si="12"/>
        <v>#REF!</v>
      </c>
      <c r="V76" s="4" t="e">
        <f t="shared" si="6"/>
        <v>#REF!</v>
      </c>
      <c r="W76" s="4" t="e">
        <f t="shared" si="7"/>
        <v>#REF!</v>
      </c>
      <c r="X76" s="4" t="e">
        <f t="shared" si="8"/>
        <v>#REF!</v>
      </c>
      <c r="Y76" s="62" t="e">
        <f t="shared" si="9"/>
        <v>#REF!</v>
      </c>
      <c r="Z76" s="22" t="e">
        <f>IF($Q76="","",IF(F76="Tolerance",IF(($E76*3*R76+Q76)-G76&lt;H76,"",($E76*3*R76+Q76)-G76),IF(OR(F76="GD&amp;T",F76="MAX"),IF(($E76*3*R76+Q76)&lt;H76,"",($E76*3*R76+Q76)),"")))</f>
        <v>#REF!</v>
      </c>
      <c r="AA76" s="22" t="e">
        <f>IF(Q76="","",IF(F76="Tolerance",IF(-(($E76*3*R76)-Q76)-G76&gt;I76,"",-(($E76*3*R76)-Q76)-G76),IF(F76="MIN",IF(-(($E76*3*R76)-Q76)&gt;I76,"",-(($E76*3*R76)-Q76)),"")))</f>
        <v>#REF!</v>
      </c>
      <c r="AB76" s="22" t="e">
        <f>IF(OR(G76="",Q76=""),"",(L76+M76)/2-Q76)</f>
        <v>#REF!</v>
      </c>
      <c r="AC76" s="22" t="e">
        <f>IF(OR($S76&gt;$AC$9,$R76=""),"",$AC$9*6*$R76)</f>
        <v>#REF!</v>
      </c>
      <c r="AD76" s="19"/>
      <c r="AE76" s="14"/>
      <c r="AF76" s="72"/>
      <c r="AG76" s="49"/>
      <c r="AH76" s="49"/>
      <c r="AI76" s="50"/>
      <c r="AJ76" s="15"/>
      <c r="AK76" s="79" t="e">
        <f>#REF!</f>
        <v>#REF!</v>
      </c>
      <c r="AL76" s="79" t="e">
        <f>#REF!</f>
        <v>#REF!</v>
      </c>
      <c r="AM76" s="79" t="e">
        <f>#REF!</f>
        <v>#REF!</v>
      </c>
      <c r="AN76" s="77"/>
      <c r="AO76" s="77"/>
      <c r="AP76" s="77"/>
      <c r="AQ76" s="77"/>
      <c r="AR76" s="77"/>
      <c r="AS76" s="77"/>
      <c r="AT76" s="77"/>
      <c r="AU76" s="77"/>
      <c r="AV76" s="77"/>
      <c r="AW76" s="77"/>
      <c r="AX76" s="77"/>
      <c r="AY76" s="77"/>
      <c r="AZ76" s="77"/>
      <c r="BA76" s="77"/>
      <c r="BB76" s="77"/>
      <c r="BC76" s="77"/>
      <c r="BD76" s="77"/>
      <c r="BE76" s="77"/>
      <c r="BF76" s="77"/>
      <c r="BG76" s="77"/>
      <c r="BH76" s="77"/>
      <c r="BI76" s="77"/>
      <c r="BJ76" s="77"/>
      <c r="BK76" s="77"/>
      <c r="BL76" s="77"/>
      <c r="BM76" s="77"/>
      <c r="BN76" s="77"/>
      <c r="BO76" s="77"/>
      <c r="BP76" s="77"/>
      <c r="BR76" s="123" t="str">
        <f t="shared" si="13"/>
        <v>FAI33</v>
      </c>
      <c r="BS76" s="120">
        <f>OOC!G76</f>
        <v>0.03</v>
      </c>
      <c r="BT76" s="120" t="str">
        <f>OOC!H76</f>
        <v/>
      </c>
      <c r="BU76" s="2" t="e">
        <f t="shared" si="14"/>
        <v>#REF!</v>
      </c>
      <c r="BV76" s="2" t="e">
        <f t="shared" si="15"/>
        <v>#REF!</v>
      </c>
      <c r="BW76" s="2" t="e">
        <f t="shared" si="16"/>
        <v>#REF!</v>
      </c>
      <c r="BX76" s="121" t="e">
        <f>IF(AND(IF(OOC!G76="",0,OOC!G76) &gt;= IF(O76="",0,O76), IF(O76="",0,O76) &gt; IF(L76="",0,L76)), "OOC",
IF(AND(IF(M76="",0,M76) &gt; IF(P76="",0,P76), IF(P76="",0,P76) &gt;= IF(OOC!H76="",0,OOC!H76)), "OOC",
IF(IF(O76="",0,O76) &gt; IF(OOC!G76="",0,OOC!G76), "OOS",
IF(IF(OOC!H76="",0,OOC!H76) &gt; IF(P76="",0,P76), "OOS", "OK"))))</f>
        <v>#REF!</v>
      </c>
    </row>
    <row r="77" spans="1:76" ht="15" customHeight="1">
      <c r="A77" s="13"/>
      <c r="B77" s="88"/>
      <c r="C77" s="78"/>
      <c r="D77" s="89"/>
      <c r="E77" s="90"/>
      <c r="F77" s="66"/>
      <c r="G77" s="67"/>
      <c r="H77" s="92"/>
      <c r="I77" s="92"/>
      <c r="J77" s="68"/>
      <c r="K77" s="69"/>
      <c r="L77" s="70"/>
      <c r="M77" s="70"/>
      <c r="N77" s="71"/>
      <c r="O77" s="2"/>
      <c r="P77" s="2"/>
      <c r="Q77" s="2"/>
      <c r="R77" s="3"/>
      <c r="S77" s="4"/>
      <c r="T77" s="84"/>
      <c r="U77" s="85"/>
      <c r="V77" s="4"/>
      <c r="W77" s="4"/>
      <c r="X77" s="4"/>
      <c r="Y77" s="62"/>
      <c r="Z77" s="22"/>
      <c r="AA77" s="22"/>
      <c r="AB77" s="22"/>
      <c r="AC77" s="22"/>
      <c r="AD77" s="19"/>
      <c r="AE77" s="14"/>
      <c r="AF77" s="72"/>
      <c r="AG77" s="49"/>
      <c r="AH77" s="49"/>
      <c r="AI77" s="50"/>
      <c r="AJ77" s="15"/>
      <c r="AK77" s="79"/>
      <c r="AL77" s="79"/>
      <c r="AM77" s="79"/>
      <c r="AN77" s="77"/>
      <c r="AO77" s="77"/>
      <c r="AP77" s="77"/>
      <c r="AQ77" s="77"/>
      <c r="AR77" s="77"/>
      <c r="AS77" s="77"/>
      <c r="AT77" s="77"/>
      <c r="AU77" s="77"/>
      <c r="AV77" s="77"/>
      <c r="AW77" s="77"/>
      <c r="AX77" s="77"/>
      <c r="AY77" s="77"/>
      <c r="AZ77" s="77"/>
      <c r="BA77" s="77"/>
      <c r="BB77" s="77"/>
      <c r="BC77" s="77"/>
      <c r="BD77" s="77"/>
      <c r="BE77" s="77"/>
      <c r="BF77" s="77"/>
      <c r="BG77" s="77"/>
      <c r="BH77" s="77"/>
      <c r="BI77" s="77"/>
      <c r="BJ77" s="77"/>
      <c r="BK77" s="77"/>
      <c r="BL77" s="77"/>
      <c r="BM77" s="77"/>
      <c r="BN77" s="77"/>
      <c r="BO77" s="77"/>
      <c r="BP77" s="77"/>
      <c r="BR77" s="123"/>
      <c r="BS77" s="120"/>
      <c r="BT77" s="120"/>
      <c r="BU77" s="2"/>
      <c r="BV77" s="2"/>
      <c r="BW77" s="2"/>
      <c r="BX77" s="121"/>
    </row>
    <row r="78" spans="1:76" ht="15" customHeight="1">
      <c r="A78" s="13"/>
      <c r="B78" s="88"/>
      <c r="C78" s="78"/>
      <c r="D78" s="89"/>
      <c r="E78" s="90"/>
      <c r="F78" s="66"/>
      <c r="G78" s="67"/>
      <c r="H78" s="92"/>
      <c r="I78" s="92"/>
      <c r="J78" s="68"/>
      <c r="K78" s="69"/>
      <c r="L78" s="70"/>
      <c r="M78" s="70"/>
      <c r="N78" s="71"/>
      <c r="O78" s="2"/>
      <c r="P78" s="2"/>
      <c r="Q78" s="2"/>
      <c r="R78" s="3"/>
      <c r="S78" s="4"/>
      <c r="T78" s="84"/>
      <c r="U78" s="85"/>
      <c r="V78" s="4"/>
      <c r="W78" s="4"/>
      <c r="X78" s="4"/>
      <c r="Y78" s="62"/>
      <c r="Z78" s="22"/>
      <c r="AA78" s="22"/>
      <c r="AB78" s="22"/>
      <c r="AC78" s="22"/>
      <c r="AD78" s="19"/>
      <c r="AE78" s="14"/>
      <c r="AF78" s="72"/>
      <c r="AG78" s="49"/>
      <c r="AH78" s="49"/>
      <c r="AI78" s="50"/>
      <c r="AJ78" s="15"/>
      <c r="AK78" s="79"/>
      <c r="AL78" s="79"/>
      <c r="AM78" s="79"/>
      <c r="AN78" s="77"/>
      <c r="AO78" s="77"/>
      <c r="AP78" s="77"/>
      <c r="AQ78" s="77"/>
      <c r="AR78" s="77"/>
      <c r="AS78" s="77"/>
      <c r="AT78" s="77"/>
      <c r="AU78" s="77"/>
      <c r="AV78" s="77"/>
      <c r="AW78" s="77"/>
      <c r="AX78" s="77"/>
      <c r="AY78" s="77"/>
      <c r="AZ78" s="77"/>
      <c r="BA78" s="77"/>
      <c r="BB78" s="77"/>
      <c r="BC78" s="77"/>
      <c r="BD78" s="77"/>
      <c r="BE78" s="77"/>
      <c r="BF78" s="77"/>
      <c r="BG78" s="77"/>
      <c r="BH78" s="77"/>
      <c r="BI78" s="77"/>
      <c r="BJ78" s="77"/>
      <c r="BK78" s="77"/>
      <c r="BL78" s="77"/>
      <c r="BM78" s="77"/>
      <c r="BN78" s="77"/>
      <c r="BO78" s="77"/>
      <c r="BP78" s="77"/>
      <c r="BR78" s="123"/>
      <c r="BS78" s="120"/>
      <c r="BT78" s="120"/>
      <c r="BU78" s="2"/>
      <c r="BV78" s="2"/>
      <c r="BW78" s="2"/>
      <c r="BX78" s="121"/>
    </row>
    <row r="79" spans="1:76" ht="15" customHeight="1">
      <c r="A79" s="13"/>
      <c r="B79" s="88"/>
      <c r="C79" s="78"/>
      <c r="D79" s="89"/>
      <c r="E79" s="90"/>
      <c r="F79" s="66"/>
      <c r="G79" s="67"/>
      <c r="H79" s="92"/>
      <c r="I79" s="92"/>
      <c r="J79" s="68"/>
      <c r="K79" s="69"/>
      <c r="L79" s="70"/>
      <c r="M79" s="70"/>
      <c r="N79" s="71"/>
      <c r="O79" s="2"/>
      <c r="P79" s="2"/>
      <c r="Q79" s="2"/>
      <c r="R79" s="3"/>
      <c r="S79" s="4"/>
      <c r="T79" s="84"/>
      <c r="U79" s="85"/>
      <c r="V79" s="4"/>
      <c r="W79" s="4"/>
      <c r="X79" s="4"/>
      <c r="Y79" s="62"/>
      <c r="Z79" s="22"/>
      <c r="AA79" s="22"/>
      <c r="AB79" s="22"/>
      <c r="AC79" s="22"/>
      <c r="AD79" s="19"/>
      <c r="AE79" s="14"/>
      <c r="AF79" s="72"/>
      <c r="AG79" s="49"/>
      <c r="AH79" s="49"/>
      <c r="AI79" s="50"/>
      <c r="AJ79" s="15"/>
      <c r="AK79" s="79"/>
      <c r="AL79" s="79"/>
      <c r="AM79" s="79"/>
      <c r="AN79" s="77"/>
      <c r="AO79" s="77"/>
      <c r="AP79" s="77"/>
      <c r="AQ79" s="77"/>
      <c r="AR79" s="77"/>
      <c r="AS79" s="77"/>
      <c r="AT79" s="77"/>
      <c r="AU79" s="77"/>
      <c r="AV79" s="77"/>
      <c r="AW79" s="77"/>
      <c r="AX79" s="77"/>
      <c r="AY79" s="77"/>
      <c r="AZ79" s="77"/>
      <c r="BA79" s="77"/>
      <c r="BB79" s="77"/>
      <c r="BC79" s="77"/>
      <c r="BD79" s="77"/>
      <c r="BE79" s="77"/>
      <c r="BF79" s="77"/>
      <c r="BG79" s="77"/>
      <c r="BH79" s="77"/>
      <c r="BI79" s="77"/>
      <c r="BJ79" s="77"/>
      <c r="BK79" s="77"/>
      <c r="BL79" s="77"/>
      <c r="BM79" s="77"/>
      <c r="BN79" s="77"/>
      <c r="BO79" s="77"/>
      <c r="BP79" s="77"/>
      <c r="BR79" s="123"/>
      <c r="BS79" s="120"/>
      <c r="BT79" s="120"/>
      <c r="BU79" s="2"/>
      <c r="BV79" s="2"/>
      <c r="BW79" s="2"/>
      <c r="BX79" s="121"/>
    </row>
    <row r="80" spans="1:76" ht="15" customHeight="1">
      <c r="A80" s="13"/>
      <c r="B80" s="88"/>
      <c r="C80" s="78"/>
      <c r="D80" s="89"/>
      <c r="E80" s="90"/>
      <c r="F80" s="66"/>
      <c r="G80" s="67"/>
      <c r="H80" s="92"/>
      <c r="I80" s="92"/>
      <c r="J80" s="68"/>
      <c r="K80" s="69"/>
      <c r="L80" s="70"/>
      <c r="M80" s="70"/>
      <c r="N80" s="71"/>
      <c r="O80" s="2"/>
      <c r="P80" s="2"/>
      <c r="Q80" s="2"/>
      <c r="R80" s="3"/>
      <c r="S80" s="4"/>
      <c r="T80" s="84"/>
      <c r="U80" s="85"/>
      <c r="V80" s="4"/>
      <c r="W80" s="4"/>
      <c r="X80" s="4"/>
      <c r="Y80" s="62"/>
      <c r="Z80" s="22"/>
      <c r="AA80" s="22"/>
      <c r="AB80" s="22"/>
      <c r="AC80" s="22"/>
      <c r="AD80" s="19"/>
      <c r="AE80" s="14"/>
      <c r="AF80" s="72"/>
      <c r="AG80" s="49"/>
      <c r="AH80" s="49"/>
      <c r="AI80" s="50"/>
      <c r="AJ80" s="15"/>
      <c r="AK80" s="79"/>
      <c r="AL80" s="79"/>
      <c r="AM80" s="79"/>
      <c r="AN80" s="77"/>
      <c r="AO80" s="77"/>
      <c r="AP80" s="77"/>
      <c r="AQ80" s="77"/>
      <c r="AR80" s="77"/>
      <c r="AS80" s="77"/>
      <c r="AT80" s="77"/>
      <c r="AU80" s="77"/>
      <c r="AV80" s="77"/>
      <c r="AW80" s="77"/>
      <c r="AX80" s="77"/>
      <c r="AY80" s="77"/>
      <c r="AZ80" s="77"/>
      <c r="BA80" s="77"/>
      <c r="BB80" s="77"/>
      <c r="BC80" s="77"/>
      <c r="BD80" s="77"/>
      <c r="BE80" s="77"/>
      <c r="BF80" s="77"/>
      <c r="BG80" s="77"/>
      <c r="BH80" s="77"/>
      <c r="BI80" s="77"/>
      <c r="BJ80" s="77"/>
      <c r="BK80" s="77"/>
      <c r="BL80" s="77"/>
      <c r="BM80" s="77"/>
      <c r="BN80" s="77"/>
      <c r="BO80" s="77"/>
      <c r="BP80" s="77"/>
      <c r="BR80" s="123"/>
      <c r="BS80" s="120"/>
      <c r="BT80" s="120"/>
      <c r="BU80" s="2"/>
      <c r="BV80" s="2"/>
      <c r="BW80" s="2"/>
      <c r="BX80" s="121"/>
    </row>
    <row r="81" spans="1:76" ht="15" customHeight="1">
      <c r="A81" s="13"/>
      <c r="B81" s="88"/>
      <c r="C81" s="78" t="s">
        <v>125</v>
      </c>
      <c r="D81" s="89" t="s">
        <v>117</v>
      </c>
      <c r="E81" s="90"/>
      <c r="F81" s="66" t="s">
        <v>41</v>
      </c>
      <c r="G81" s="67"/>
      <c r="H81" s="92" t="str">
        <f>IF(OOC!S81=0,"",OOC!S81)</f>
        <v/>
      </c>
      <c r="I81" s="92" t="str">
        <f>IF(OOC!T81=0,"",OOC!T81)</f>
        <v/>
      </c>
      <c r="J81" s="68" t="s">
        <v>12</v>
      </c>
      <c r="K81" s="69" t="s">
        <v>80</v>
      </c>
      <c r="L81" s="70" t="str">
        <f t="shared" si="0"/>
        <v/>
      </c>
      <c r="M81" s="70" t="str">
        <f t="shared" si="1"/>
        <v/>
      </c>
      <c r="N81" s="71"/>
      <c r="O81" s="2" t="e">
        <f t="shared" si="2"/>
        <v>#REF!</v>
      </c>
      <c r="P81" s="2" t="e">
        <f t="shared" si="3"/>
        <v>#REF!</v>
      </c>
      <c r="Q81" s="2" t="e">
        <f t="shared" si="4"/>
        <v>#REF!</v>
      </c>
      <c r="R81" s="3" t="e">
        <f t="shared" si="5"/>
        <v>#REF!</v>
      </c>
      <c r="S81" s="4" t="e">
        <f t="shared" si="10"/>
        <v>#REF!</v>
      </c>
      <c r="T81" s="84" t="e">
        <f t="shared" si="11"/>
        <v>#REF!</v>
      </c>
      <c r="U81" s="85" t="e">
        <f t="shared" si="12"/>
        <v>#REF!</v>
      </c>
      <c r="V81" s="4" t="e">
        <f t="shared" si="6"/>
        <v>#REF!</v>
      </c>
      <c r="W81" s="4" t="e">
        <f t="shared" si="7"/>
        <v>#REF!</v>
      </c>
      <c r="X81" s="4" t="e">
        <f t="shared" si="8"/>
        <v>#REF!</v>
      </c>
      <c r="Y81" s="62" t="e">
        <f t="shared" si="9"/>
        <v>#REF!</v>
      </c>
      <c r="Z81" s="22"/>
      <c r="AA81" s="22"/>
      <c r="AB81" s="22"/>
      <c r="AC81" s="22"/>
      <c r="AD81" s="19"/>
      <c r="AE81" s="14"/>
      <c r="AF81" s="74"/>
      <c r="AG81" s="49"/>
      <c r="AH81" s="49"/>
      <c r="AI81" s="50"/>
      <c r="AJ81" s="15"/>
      <c r="AK81" s="79" t="e">
        <f>#REF!</f>
        <v>#REF!</v>
      </c>
      <c r="AL81" s="79" t="e">
        <f>#REF!</f>
        <v>#REF!</v>
      </c>
      <c r="AM81" s="79" t="e">
        <f>#REF!</f>
        <v>#REF!</v>
      </c>
      <c r="AN81" s="77"/>
      <c r="AO81" s="77"/>
      <c r="AP81" s="77"/>
      <c r="AQ81" s="77"/>
      <c r="AR81" s="77"/>
      <c r="AS81" s="77"/>
      <c r="AT81" s="77"/>
      <c r="AU81" s="77"/>
      <c r="AV81" s="77"/>
      <c r="AW81" s="77"/>
      <c r="AX81" s="77"/>
      <c r="AY81" s="77"/>
      <c r="AZ81" s="77"/>
      <c r="BA81" s="77"/>
      <c r="BB81" s="77"/>
      <c r="BC81" s="77"/>
      <c r="BD81" s="77"/>
      <c r="BE81" s="77"/>
      <c r="BF81" s="77"/>
      <c r="BG81" s="77"/>
      <c r="BH81" s="77"/>
      <c r="BI81" s="77"/>
      <c r="BJ81" s="77"/>
      <c r="BK81" s="77"/>
      <c r="BL81" s="77"/>
      <c r="BM81" s="77"/>
      <c r="BN81" s="77"/>
      <c r="BO81" s="77"/>
      <c r="BP81" s="77"/>
      <c r="BR81" s="123" t="str">
        <f t="shared" si="13"/>
        <v>FAI34</v>
      </c>
      <c r="BS81" s="120">
        <f>OOC!G81</f>
        <v>0.02</v>
      </c>
      <c r="BT81" s="120" t="str">
        <f>OOC!H81</f>
        <v/>
      </c>
      <c r="BU81" s="2" t="e">
        <f t="shared" si="14"/>
        <v>#REF!</v>
      </c>
      <c r="BV81" s="2" t="e">
        <f t="shared" si="15"/>
        <v>#REF!</v>
      </c>
      <c r="BW81" s="2" t="e">
        <f t="shared" si="16"/>
        <v>#REF!</v>
      </c>
      <c r="BX81" s="121" t="e">
        <f>IF(AND(IF(OOC!G81="",0,OOC!G81) &gt;= IF(O81="",0,O81), IF(O81="",0,O81) &gt; IF(L81="",0,L81)), "OOC",
IF(AND(IF(M81="",0,M81) &gt; IF(P81="",0,P81), IF(P81="",0,P81) &gt;= IF(OOC!H81="",0,OOC!H81)), "OOC",
IF(IF(O81="",0,O81) &gt; IF(OOC!G81="",0,OOC!G81), "OOS",
IF(IF(OOC!H81="",0,OOC!H81) &gt; IF(P81="",0,P81), "OOS", "OK"))))</f>
        <v>#REF!</v>
      </c>
    </row>
    <row r="82" spans="1:76" ht="15" customHeight="1">
      <c r="A82" s="13"/>
      <c r="B82" s="88"/>
      <c r="C82" s="78"/>
      <c r="D82" s="89"/>
      <c r="E82" s="90"/>
      <c r="F82" s="66"/>
      <c r="G82" s="67"/>
      <c r="H82" s="92"/>
      <c r="I82" s="92"/>
      <c r="J82" s="68"/>
      <c r="K82" s="69"/>
      <c r="L82" s="70"/>
      <c r="M82" s="70"/>
      <c r="N82" s="71"/>
      <c r="O82" s="2"/>
      <c r="P82" s="2"/>
      <c r="Q82" s="2"/>
      <c r="R82" s="3"/>
      <c r="S82" s="4"/>
      <c r="T82" s="84"/>
      <c r="U82" s="85"/>
      <c r="V82" s="4"/>
      <c r="W82" s="4"/>
      <c r="X82" s="4"/>
      <c r="Y82" s="62"/>
      <c r="Z82" s="22"/>
      <c r="AA82" s="22"/>
      <c r="AB82" s="22"/>
      <c r="AC82" s="22"/>
      <c r="AD82" s="19"/>
      <c r="AE82" s="14"/>
      <c r="AF82" s="74"/>
      <c r="AG82" s="49"/>
      <c r="AH82" s="49"/>
      <c r="AI82" s="50"/>
      <c r="AJ82" s="15"/>
      <c r="AK82" s="79"/>
      <c r="AL82" s="79"/>
      <c r="AM82" s="79"/>
      <c r="AN82" s="77"/>
      <c r="AO82" s="77"/>
      <c r="AP82" s="77"/>
      <c r="AQ82" s="77"/>
      <c r="AR82" s="77"/>
      <c r="AS82" s="77"/>
      <c r="AT82" s="77"/>
      <c r="AU82" s="77"/>
      <c r="AV82" s="77"/>
      <c r="AW82" s="77"/>
      <c r="AX82" s="77"/>
      <c r="AY82" s="77"/>
      <c r="AZ82" s="77"/>
      <c r="BA82" s="77"/>
      <c r="BB82" s="77"/>
      <c r="BC82" s="77"/>
      <c r="BD82" s="77"/>
      <c r="BE82" s="77"/>
      <c r="BF82" s="77"/>
      <c r="BG82" s="77"/>
      <c r="BH82" s="77"/>
      <c r="BI82" s="77"/>
      <c r="BJ82" s="77"/>
      <c r="BK82" s="77"/>
      <c r="BL82" s="77"/>
      <c r="BM82" s="77"/>
      <c r="BN82" s="77"/>
      <c r="BO82" s="77"/>
      <c r="BP82" s="77"/>
      <c r="BR82" s="123"/>
      <c r="BS82" s="120"/>
      <c r="BT82" s="120"/>
      <c r="BU82" s="2"/>
      <c r="BV82" s="2"/>
      <c r="BW82" s="2"/>
      <c r="BX82" s="121"/>
    </row>
    <row r="83" spans="1:76" ht="15" customHeight="1">
      <c r="A83" s="13"/>
      <c r="B83" s="88"/>
      <c r="C83" s="78"/>
      <c r="D83" s="89"/>
      <c r="E83" s="90"/>
      <c r="F83" s="66"/>
      <c r="G83" s="67"/>
      <c r="H83" s="92"/>
      <c r="I83" s="92"/>
      <c r="J83" s="68"/>
      <c r="K83" s="69"/>
      <c r="L83" s="70"/>
      <c r="M83" s="70"/>
      <c r="N83" s="71"/>
      <c r="O83" s="2"/>
      <c r="P83" s="2"/>
      <c r="Q83" s="2"/>
      <c r="R83" s="3"/>
      <c r="S83" s="4"/>
      <c r="T83" s="84"/>
      <c r="U83" s="85"/>
      <c r="V83" s="4"/>
      <c r="W83" s="4"/>
      <c r="X83" s="4"/>
      <c r="Y83" s="62"/>
      <c r="Z83" s="22"/>
      <c r="AA83" s="22"/>
      <c r="AB83" s="22"/>
      <c r="AC83" s="22"/>
      <c r="AD83" s="19"/>
      <c r="AE83" s="14"/>
      <c r="AF83" s="74"/>
      <c r="AG83" s="49"/>
      <c r="AH83" s="49"/>
      <c r="AI83" s="50"/>
      <c r="AJ83" s="15"/>
      <c r="AK83" s="79"/>
      <c r="AL83" s="79"/>
      <c r="AM83" s="79"/>
      <c r="AN83" s="77"/>
      <c r="AO83" s="77"/>
      <c r="AP83" s="77"/>
      <c r="AQ83" s="77"/>
      <c r="AR83" s="77"/>
      <c r="AS83" s="77"/>
      <c r="AT83" s="77"/>
      <c r="AU83" s="77"/>
      <c r="AV83" s="77"/>
      <c r="AW83" s="77"/>
      <c r="AX83" s="77"/>
      <c r="AY83" s="77"/>
      <c r="AZ83" s="77"/>
      <c r="BA83" s="77"/>
      <c r="BB83" s="77"/>
      <c r="BC83" s="77"/>
      <c r="BD83" s="77"/>
      <c r="BE83" s="77"/>
      <c r="BF83" s="77"/>
      <c r="BG83" s="77"/>
      <c r="BH83" s="77"/>
      <c r="BI83" s="77"/>
      <c r="BJ83" s="77"/>
      <c r="BK83" s="77"/>
      <c r="BL83" s="77"/>
      <c r="BM83" s="77"/>
      <c r="BN83" s="77"/>
      <c r="BO83" s="77"/>
      <c r="BP83" s="77"/>
      <c r="BR83" s="123"/>
      <c r="BS83" s="120"/>
      <c r="BT83" s="120"/>
      <c r="BU83" s="2"/>
      <c r="BV83" s="2"/>
      <c r="BW83" s="2"/>
      <c r="BX83" s="121"/>
    </row>
    <row r="84" spans="1:76" ht="15" customHeight="1">
      <c r="A84" s="13"/>
      <c r="B84" s="88"/>
      <c r="C84" s="78"/>
      <c r="D84" s="89"/>
      <c r="E84" s="90"/>
      <c r="F84" s="66"/>
      <c r="G84" s="67"/>
      <c r="H84" s="92"/>
      <c r="I84" s="92"/>
      <c r="J84" s="68"/>
      <c r="K84" s="69"/>
      <c r="L84" s="70"/>
      <c r="M84" s="70"/>
      <c r="N84" s="71"/>
      <c r="O84" s="2"/>
      <c r="P84" s="2"/>
      <c r="Q84" s="2"/>
      <c r="R84" s="3"/>
      <c r="S84" s="4"/>
      <c r="T84" s="84"/>
      <c r="U84" s="85"/>
      <c r="V84" s="4"/>
      <c r="W84" s="4"/>
      <c r="X84" s="4"/>
      <c r="Y84" s="62"/>
      <c r="Z84" s="22"/>
      <c r="AA84" s="22"/>
      <c r="AB84" s="22"/>
      <c r="AC84" s="22"/>
      <c r="AD84" s="19"/>
      <c r="AE84" s="14"/>
      <c r="AF84" s="74"/>
      <c r="AG84" s="49"/>
      <c r="AH84" s="49"/>
      <c r="AI84" s="50"/>
      <c r="AJ84" s="15"/>
      <c r="AK84" s="79"/>
      <c r="AL84" s="79"/>
      <c r="AM84" s="79"/>
      <c r="AN84" s="77"/>
      <c r="AO84" s="77"/>
      <c r="AP84" s="77"/>
      <c r="AQ84" s="77"/>
      <c r="AR84" s="77"/>
      <c r="AS84" s="77"/>
      <c r="AT84" s="77"/>
      <c r="AU84" s="77"/>
      <c r="AV84" s="77"/>
      <c r="AW84" s="77"/>
      <c r="AX84" s="77"/>
      <c r="AY84" s="77"/>
      <c r="AZ84" s="77"/>
      <c r="BA84" s="77"/>
      <c r="BB84" s="77"/>
      <c r="BC84" s="77"/>
      <c r="BD84" s="77"/>
      <c r="BE84" s="77"/>
      <c r="BF84" s="77"/>
      <c r="BG84" s="77"/>
      <c r="BH84" s="77"/>
      <c r="BI84" s="77"/>
      <c r="BJ84" s="77"/>
      <c r="BK84" s="77"/>
      <c r="BL84" s="77"/>
      <c r="BM84" s="77"/>
      <c r="BN84" s="77"/>
      <c r="BO84" s="77"/>
      <c r="BP84" s="77"/>
      <c r="BR84" s="123"/>
      <c r="BS84" s="120"/>
      <c r="BT84" s="120"/>
      <c r="BU84" s="2"/>
      <c r="BV84" s="2"/>
      <c r="BW84" s="2"/>
      <c r="BX84" s="121"/>
    </row>
    <row r="85" spans="1:76" ht="15" customHeight="1">
      <c r="A85" s="13"/>
      <c r="B85" s="88"/>
      <c r="C85" s="78"/>
      <c r="D85" s="89"/>
      <c r="E85" s="90"/>
      <c r="F85" s="66"/>
      <c r="G85" s="67"/>
      <c r="H85" s="92"/>
      <c r="I85" s="92"/>
      <c r="J85" s="68"/>
      <c r="K85" s="69"/>
      <c r="L85" s="70"/>
      <c r="M85" s="70"/>
      <c r="N85" s="71"/>
      <c r="O85" s="2"/>
      <c r="P85" s="2"/>
      <c r="Q85" s="2"/>
      <c r="R85" s="3"/>
      <c r="S85" s="4"/>
      <c r="T85" s="84"/>
      <c r="U85" s="85"/>
      <c r="V85" s="4"/>
      <c r="W85" s="4"/>
      <c r="X85" s="4"/>
      <c r="Y85" s="62"/>
      <c r="Z85" s="22"/>
      <c r="AA85" s="22"/>
      <c r="AB85" s="22"/>
      <c r="AC85" s="22"/>
      <c r="AD85" s="19"/>
      <c r="AE85" s="14"/>
      <c r="AF85" s="74"/>
      <c r="AG85" s="49"/>
      <c r="AH85" s="49"/>
      <c r="AI85" s="50"/>
      <c r="AJ85" s="15"/>
      <c r="AK85" s="79"/>
      <c r="AL85" s="79"/>
      <c r="AM85" s="79"/>
      <c r="AN85" s="77"/>
      <c r="AO85" s="77"/>
      <c r="AP85" s="77"/>
      <c r="AQ85" s="77"/>
      <c r="AR85" s="77"/>
      <c r="AS85" s="77"/>
      <c r="AT85" s="77"/>
      <c r="AU85" s="77"/>
      <c r="AV85" s="77"/>
      <c r="AW85" s="77"/>
      <c r="AX85" s="77"/>
      <c r="AY85" s="77"/>
      <c r="AZ85" s="77"/>
      <c r="BA85" s="77"/>
      <c r="BB85" s="77"/>
      <c r="BC85" s="77"/>
      <c r="BD85" s="77"/>
      <c r="BE85" s="77"/>
      <c r="BF85" s="77"/>
      <c r="BG85" s="77"/>
      <c r="BH85" s="77"/>
      <c r="BI85" s="77"/>
      <c r="BJ85" s="77"/>
      <c r="BK85" s="77"/>
      <c r="BL85" s="77"/>
      <c r="BM85" s="77"/>
      <c r="BN85" s="77"/>
      <c r="BO85" s="77"/>
      <c r="BP85" s="77"/>
      <c r="BR85" s="123"/>
      <c r="BS85" s="120"/>
      <c r="BT85" s="120"/>
      <c r="BU85" s="2"/>
      <c r="BV85" s="2"/>
      <c r="BW85" s="2"/>
      <c r="BX85" s="121"/>
    </row>
    <row r="86" spans="1:76" ht="15" customHeight="1">
      <c r="A86" s="13"/>
      <c r="B86" s="88"/>
      <c r="C86" s="78" t="s">
        <v>126</v>
      </c>
      <c r="D86" s="89" t="s">
        <v>117</v>
      </c>
      <c r="E86" s="90"/>
      <c r="F86" s="66" t="s">
        <v>44</v>
      </c>
      <c r="G86" s="91">
        <v>13.614000000000001</v>
      </c>
      <c r="H86" s="92" t="str">
        <f>IF(OOC!S86=0,"",OOC!S86)</f>
        <v/>
      </c>
      <c r="I86" s="92" t="str">
        <f>IF(OOC!T86=0,"",OOC!T86)</f>
        <v/>
      </c>
      <c r="J86" s="68" t="s">
        <v>12</v>
      </c>
      <c r="K86" s="69" t="s">
        <v>80</v>
      </c>
      <c r="L86" s="70" t="e">
        <f t="shared" si="0"/>
        <v>#VALUE!</v>
      </c>
      <c r="M86" s="70" t="e">
        <f t="shared" si="1"/>
        <v>#VALUE!</v>
      </c>
      <c r="N86" s="71"/>
      <c r="O86" s="2" t="e">
        <f t="shared" si="2"/>
        <v>#REF!</v>
      </c>
      <c r="P86" s="2" t="e">
        <f t="shared" si="3"/>
        <v>#REF!</v>
      </c>
      <c r="Q86" s="2" t="e">
        <f t="shared" si="4"/>
        <v>#REF!</v>
      </c>
      <c r="R86" s="3" t="e">
        <f t="shared" si="5"/>
        <v>#REF!</v>
      </c>
      <c r="S86" s="4" t="e">
        <f t="shared" si="10"/>
        <v>#REF!</v>
      </c>
      <c r="T86" s="84" t="e">
        <f t="shared" si="11"/>
        <v>#REF!</v>
      </c>
      <c r="U86" s="85" t="e">
        <f t="shared" si="12"/>
        <v>#REF!</v>
      </c>
      <c r="V86" s="4" t="e">
        <f t="shared" si="6"/>
        <v>#REF!</v>
      </c>
      <c r="W86" s="4" t="e">
        <f t="shared" si="7"/>
        <v>#REF!</v>
      </c>
      <c r="X86" s="4" t="e">
        <f t="shared" si="8"/>
        <v>#REF!</v>
      </c>
      <c r="Y86" s="62" t="e">
        <f t="shared" si="9"/>
        <v>#REF!</v>
      </c>
      <c r="Z86" s="22"/>
      <c r="AA86" s="22"/>
      <c r="AB86" s="22"/>
      <c r="AC86" s="22"/>
      <c r="AD86" s="19"/>
      <c r="AE86" s="14"/>
      <c r="AF86" s="74"/>
      <c r="AG86" s="49"/>
      <c r="AH86" s="49"/>
      <c r="AI86" s="50"/>
      <c r="AJ86" s="15"/>
      <c r="AK86" s="79" t="e">
        <f>#REF!</f>
        <v>#REF!</v>
      </c>
      <c r="AL86" s="79" t="e">
        <f>#REF!</f>
        <v>#REF!</v>
      </c>
      <c r="AM86" s="79" t="e">
        <f>#REF!</f>
        <v>#REF!</v>
      </c>
      <c r="AN86" s="77"/>
      <c r="AO86" s="77"/>
      <c r="AP86" s="77"/>
      <c r="AQ86" s="77"/>
      <c r="AR86" s="77"/>
      <c r="AS86" s="77"/>
      <c r="AT86" s="77"/>
      <c r="AU86" s="77"/>
      <c r="AV86" s="77"/>
      <c r="AW86" s="77"/>
      <c r="AX86" s="77"/>
      <c r="AY86" s="77"/>
      <c r="AZ86" s="77"/>
      <c r="BA86" s="77"/>
      <c r="BB86" s="77"/>
      <c r="BC86" s="77"/>
      <c r="BD86" s="77"/>
      <c r="BE86" s="77"/>
      <c r="BF86" s="77"/>
      <c r="BG86" s="77"/>
      <c r="BH86" s="77"/>
      <c r="BI86" s="77"/>
      <c r="BJ86" s="77"/>
      <c r="BK86" s="77"/>
      <c r="BL86" s="77"/>
      <c r="BM86" s="77"/>
      <c r="BN86" s="77"/>
      <c r="BO86" s="77"/>
      <c r="BP86" s="77"/>
      <c r="BR86" s="123" t="str">
        <f t="shared" si="13"/>
        <v>FAI35</v>
      </c>
      <c r="BS86" s="120">
        <f>OOC!G86</f>
        <v>13.644</v>
      </c>
      <c r="BT86" s="120">
        <f>OOC!H86</f>
        <v>13.584000000000001</v>
      </c>
      <c r="BU86" s="2" t="e">
        <f t="shared" si="14"/>
        <v>#REF!</v>
      </c>
      <c r="BV86" s="2" t="e">
        <f t="shared" si="15"/>
        <v>#REF!</v>
      </c>
      <c r="BW86" s="2" t="e">
        <f t="shared" si="16"/>
        <v>#REF!</v>
      </c>
      <c r="BX86" s="121" t="e">
        <f>IF(AND(IF(OOC!G86="",0,OOC!G86) &gt;= IF(O86="",0,O86), IF(O86="",0,O86) &gt; IF(L86="",0,L86)), "OOC",
IF(AND(IF(M86="",0,M86) &gt; IF(P86="",0,P86), IF(P86="",0,P86) &gt;= IF(OOC!H86="",0,OOC!H86)), "OOC",
IF(IF(O86="",0,O86) &gt; IF(OOC!G86="",0,OOC!G86), "OOS",
IF(IF(OOC!H86="",0,OOC!H86) &gt; IF(P86="",0,P86), "OOS", "OK"))))</f>
        <v>#REF!</v>
      </c>
    </row>
    <row r="87" spans="1:76" ht="15" customHeight="1">
      <c r="A87" s="13"/>
      <c r="B87" s="88"/>
      <c r="C87" s="78" t="s">
        <v>127</v>
      </c>
      <c r="D87" s="89" t="s">
        <v>117</v>
      </c>
      <c r="E87" s="90"/>
      <c r="F87" s="66" t="s">
        <v>44</v>
      </c>
      <c r="G87" s="91">
        <v>1.9510000000000001</v>
      </c>
      <c r="H87" s="92" t="str">
        <f>IF(OOC!S87=0,"",OOC!S87)</f>
        <v/>
      </c>
      <c r="I87" s="92" t="str">
        <f>IF(OOC!T87=0,"",OOC!T87)</f>
        <v/>
      </c>
      <c r="J87" s="68" t="s">
        <v>12</v>
      </c>
      <c r="K87" s="69" t="s">
        <v>80</v>
      </c>
      <c r="L87" s="70" t="e">
        <f t="shared" si="0"/>
        <v>#VALUE!</v>
      </c>
      <c r="M87" s="70" t="e">
        <f t="shared" si="1"/>
        <v>#VALUE!</v>
      </c>
      <c r="N87" s="71"/>
      <c r="O87" s="2" t="e">
        <f t="shared" si="2"/>
        <v>#REF!</v>
      </c>
      <c r="P87" s="2" t="e">
        <f t="shared" si="3"/>
        <v>#REF!</v>
      </c>
      <c r="Q87" s="2" t="e">
        <f t="shared" si="4"/>
        <v>#REF!</v>
      </c>
      <c r="R87" s="3" t="e">
        <f t="shared" si="5"/>
        <v>#REF!</v>
      </c>
      <c r="S87" s="4" t="e">
        <f t="shared" si="10"/>
        <v>#REF!</v>
      </c>
      <c r="T87" s="84" t="e">
        <f t="shared" si="11"/>
        <v>#REF!</v>
      </c>
      <c r="U87" s="85" t="e">
        <f t="shared" si="12"/>
        <v>#REF!</v>
      </c>
      <c r="V87" s="4" t="e">
        <f t="shared" si="6"/>
        <v>#REF!</v>
      </c>
      <c r="W87" s="4" t="e">
        <f t="shared" si="7"/>
        <v>#REF!</v>
      </c>
      <c r="X87" s="4" t="e">
        <f t="shared" si="8"/>
        <v>#REF!</v>
      </c>
      <c r="Y87" s="62" t="e">
        <f t="shared" si="9"/>
        <v>#REF!</v>
      </c>
      <c r="Z87" s="22"/>
      <c r="AA87" s="22"/>
      <c r="AB87" s="22"/>
      <c r="AC87" s="22"/>
      <c r="AD87" s="19"/>
      <c r="AE87" s="14"/>
      <c r="AF87" s="74"/>
      <c r="AG87" s="49"/>
      <c r="AH87" s="49"/>
      <c r="AI87" s="50"/>
      <c r="AJ87" s="15"/>
      <c r="AK87" s="79" t="e">
        <f>#REF!</f>
        <v>#REF!</v>
      </c>
      <c r="AL87" s="79" t="e">
        <f>#REF!</f>
        <v>#REF!</v>
      </c>
      <c r="AM87" s="79" t="e">
        <f>#REF!</f>
        <v>#REF!</v>
      </c>
      <c r="AN87" s="77"/>
      <c r="AO87" s="77"/>
      <c r="AP87" s="77"/>
      <c r="AQ87" s="77"/>
      <c r="AR87" s="77"/>
      <c r="AS87" s="77"/>
      <c r="AT87" s="77"/>
      <c r="AU87" s="77"/>
      <c r="AV87" s="77"/>
      <c r="AW87" s="77"/>
      <c r="AX87" s="77"/>
      <c r="AY87" s="77"/>
      <c r="AZ87" s="77"/>
      <c r="BA87" s="77"/>
      <c r="BB87" s="77"/>
      <c r="BC87" s="77"/>
      <c r="BD87" s="77"/>
      <c r="BE87" s="77"/>
      <c r="BF87" s="77"/>
      <c r="BG87" s="77"/>
      <c r="BH87" s="77"/>
      <c r="BI87" s="77"/>
      <c r="BJ87" s="77"/>
      <c r="BK87" s="77"/>
      <c r="BL87" s="77"/>
      <c r="BM87" s="77"/>
      <c r="BN87" s="77"/>
      <c r="BO87" s="77"/>
      <c r="BP87" s="77"/>
      <c r="BR87" s="123" t="str">
        <f t="shared" si="13"/>
        <v>FAI36</v>
      </c>
      <c r="BS87" s="120">
        <f>OOC!G87</f>
        <v>1.9810000000000001</v>
      </c>
      <c r="BT87" s="120">
        <f>OOC!H87</f>
        <v>1.921</v>
      </c>
      <c r="BU87" s="2" t="e">
        <f t="shared" si="14"/>
        <v>#REF!</v>
      </c>
      <c r="BV87" s="2" t="e">
        <f t="shared" si="15"/>
        <v>#REF!</v>
      </c>
      <c r="BW87" s="2" t="e">
        <f t="shared" si="16"/>
        <v>#REF!</v>
      </c>
      <c r="BX87" s="121" t="e">
        <f>IF(AND(IF(OOC!G87="",0,OOC!G87) &gt;= IF(O87="",0,O87), IF(O87="",0,O87) &gt; IF(L87="",0,L87)), "OOC",
IF(AND(IF(M87="",0,M87) &gt; IF(P87="",0,P87), IF(P87="",0,P87) &gt;= IF(OOC!H87="",0,OOC!H87)), "OOC",
IF(IF(O87="",0,O87) &gt; IF(OOC!G87="",0,OOC!G87), "OOS",
IF(IF(OOC!H87="",0,OOC!H87) &gt; IF(P87="",0,P87), "OOS", "OK"))))</f>
        <v>#REF!</v>
      </c>
    </row>
    <row r="88" spans="1:76" ht="15" customHeight="1">
      <c r="A88" s="13"/>
      <c r="B88" s="88"/>
      <c r="C88" s="78" t="s">
        <v>128</v>
      </c>
      <c r="D88" s="89" t="s">
        <v>117</v>
      </c>
      <c r="E88" s="90"/>
      <c r="F88" s="66" t="s">
        <v>44</v>
      </c>
      <c r="G88" s="91">
        <v>2.355</v>
      </c>
      <c r="H88" s="92" t="str">
        <f>IF(OOC!S88=0,"",OOC!S88)</f>
        <v/>
      </c>
      <c r="I88" s="92" t="str">
        <f>IF(OOC!T88=0,"",OOC!T88)</f>
        <v/>
      </c>
      <c r="J88" s="68" t="s">
        <v>12</v>
      </c>
      <c r="K88" s="69" t="s">
        <v>80</v>
      </c>
      <c r="L88" s="70" t="e">
        <f t="shared" si="0"/>
        <v>#VALUE!</v>
      </c>
      <c r="M88" s="70" t="e">
        <f t="shared" si="1"/>
        <v>#VALUE!</v>
      </c>
      <c r="N88" s="71"/>
      <c r="O88" s="2" t="e">
        <f t="shared" si="2"/>
        <v>#REF!</v>
      </c>
      <c r="P88" s="2" t="e">
        <f t="shared" si="3"/>
        <v>#REF!</v>
      </c>
      <c r="Q88" s="2" t="e">
        <f t="shared" si="4"/>
        <v>#REF!</v>
      </c>
      <c r="R88" s="3" t="e">
        <f t="shared" si="5"/>
        <v>#REF!</v>
      </c>
      <c r="S88" s="4" t="e">
        <f t="shared" si="10"/>
        <v>#REF!</v>
      </c>
      <c r="T88" s="84" t="e">
        <f t="shared" si="11"/>
        <v>#REF!</v>
      </c>
      <c r="U88" s="85" t="e">
        <f t="shared" si="12"/>
        <v>#REF!</v>
      </c>
      <c r="V88" s="4" t="e">
        <f t="shared" si="6"/>
        <v>#REF!</v>
      </c>
      <c r="W88" s="4" t="e">
        <f t="shared" si="7"/>
        <v>#REF!</v>
      </c>
      <c r="X88" s="4" t="e">
        <f t="shared" si="8"/>
        <v>#REF!</v>
      </c>
      <c r="Y88" s="62" t="e">
        <f t="shared" si="9"/>
        <v>#REF!</v>
      </c>
      <c r="Z88" s="22"/>
      <c r="AA88" s="22"/>
      <c r="AB88" s="22"/>
      <c r="AC88" s="22"/>
      <c r="AD88" s="19"/>
      <c r="AE88" s="14"/>
      <c r="AF88" s="74"/>
      <c r="AG88" s="49"/>
      <c r="AH88" s="49"/>
      <c r="AI88" s="50"/>
      <c r="AJ88" s="15"/>
      <c r="AK88" s="79" t="e">
        <f>#REF!</f>
        <v>#REF!</v>
      </c>
      <c r="AL88" s="79" t="e">
        <f>#REF!</f>
        <v>#REF!</v>
      </c>
      <c r="AM88" s="79" t="e">
        <f>#REF!</f>
        <v>#REF!</v>
      </c>
      <c r="AN88" s="77"/>
      <c r="AO88" s="77"/>
      <c r="AP88" s="77"/>
      <c r="AQ88" s="77"/>
      <c r="AR88" s="77"/>
      <c r="AS88" s="77"/>
      <c r="AT88" s="77"/>
      <c r="AU88" s="77"/>
      <c r="AV88" s="77"/>
      <c r="AW88" s="77"/>
      <c r="AX88" s="77"/>
      <c r="AY88" s="77"/>
      <c r="AZ88" s="77"/>
      <c r="BA88" s="77"/>
      <c r="BB88" s="77"/>
      <c r="BC88" s="77"/>
      <c r="BD88" s="77"/>
      <c r="BE88" s="77"/>
      <c r="BF88" s="77"/>
      <c r="BG88" s="77"/>
      <c r="BH88" s="77"/>
      <c r="BI88" s="77"/>
      <c r="BJ88" s="77"/>
      <c r="BK88" s="77"/>
      <c r="BL88" s="77"/>
      <c r="BM88" s="77"/>
      <c r="BN88" s="77"/>
      <c r="BO88" s="77"/>
      <c r="BP88" s="77"/>
      <c r="BR88" s="123" t="str">
        <f t="shared" si="13"/>
        <v>FAI37</v>
      </c>
      <c r="BS88" s="120">
        <f>OOC!G88</f>
        <v>2.3849999999999998</v>
      </c>
      <c r="BT88" s="120">
        <f>OOC!H88</f>
        <v>2.3250000000000002</v>
      </c>
      <c r="BU88" s="2" t="e">
        <f t="shared" si="14"/>
        <v>#REF!</v>
      </c>
      <c r="BV88" s="2" t="e">
        <f t="shared" si="15"/>
        <v>#REF!</v>
      </c>
      <c r="BW88" s="2" t="e">
        <f t="shared" si="16"/>
        <v>#REF!</v>
      </c>
      <c r="BX88" s="121" t="e">
        <f>IF(AND(IF(OOC!G88="",0,OOC!G88) &gt;= IF(O88="",0,O88), IF(O88="",0,O88) &gt; IF(L88="",0,L88)), "OOC",
IF(AND(IF(M88="",0,M88) &gt; IF(P88="",0,P88), IF(P88="",0,P88) &gt;= IF(OOC!H88="",0,OOC!H88)), "OOC",
IF(IF(O88="",0,O88) &gt; IF(OOC!G88="",0,OOC!G88), "OOS",
IF(IF(OOC!H88="",0,OOC!H88) &gt; IF(P88="",0,P88), "OOS", "OK"))))</f>
        <v>#REF!</v>
      </c>
    </row>
    <row r="89" spans="1:76" ht="15" customHeight="1">
      <c r="A89" s="13"/>
      <c r="B89" s="88"/>
      <c r="C89" s="78" t="s">
        <v>129</v>
      </c>
      <c r="D89" s="89" t="s">
        <v>117</v>
      </c>
      <c r="E89" s="90"/>
      <c r="F89" s="66" t="s">
        <v>44</v>
      </c>
      <c r="G89" s="91">
        <v>10.182</v>
      </c>
      <c r="H89" s="92" t="str">
        <f>IF(OOC!S89=0,"",OOC!S89)</f>
        <v/>
      </c>
      <c r="I89" s="92" t="str">
        <f>IF(OOC!T89=0,"",OOC!T89)</f>
        <v/>
      </c>
      <c r="J89" s="68" t="s">
        <v>12</v>
      </c>
      <c r="K89" s="69" t="s">
        <v>80</v>
      </c>
      <c r="L89" s="70" t="e">
        <f t="shared" si="0"/>
        <v>#VALUE!</v>
      </c>
      <c r="M89" s="70" t="e">
        <f t="shared" si="1"/>
        <v>#VALUE!</v>
      </c>
      <c r="N89" s="71"/>
      <c r="O89" s="2" t="e">
        <f t="shared" si="2"/>
        <v>#REF!</v>
      </c>
      <c r="P89" s="2" t="e">
        <f t="shared" si="3"/>
        <v>#REF!</v>
      </c>
      <c r="Q89" s="2" t="e">
        <f t="shared" si="4"/>
        <v>#REF!</v>
      </c>
      <c r="R89" s="3" t="e">
        <f t="shared" si="5"/>
        <v>#REF!</v>
      </c>
      <c r="S89" s="4" t="e">
        <f t="shared" si="10"/>
        <v>#REF!</v>
      </c>
      <c r="T89" s="84" t="e">
        <f t="shared" si="11"/>
        <v>#REF!</v>
      </c>
      <c r="U89" s="85" t="e">
        <f t="shared" si="12"/>
        <v>#REF!</v>
      </c>
      <c r="V89" s="4" t="e">
        <f t="shared" si="6"/>
        <v>#REF!</v>
      </c>
      <c r="W89" s="4" t="e">
        <f t="shared" si="7"/>
        <v>#REF!</v>
      </c>
      <c r="X89" s="4" t="e">
        <f t="shared" si="8"/>
        <v>#REF!</v>
      </c>
      <c r="Y89" s="62" t="e">
        <f t="shared" si="9"/>
        <v>#REF!</v>
      </c>
      <c r="Z89" s="22"/>
      <c r="AA89" s="22"/>
      <c r="AB89" s="22"/>
      <c r="AC89" s="22"/>
      <c r="AD89" s="19"/>
      <c r="AE89" s="14"/>
      <c r="AF89" s="72"/>
      <c r="AG89" s="49"/>
      <c r="AH89" s="49"/>
      <c r="AI89" s="50"/>
      <c r="AJ89" s="15"/>
      <c r="AK89" s="79" t="e">
        <f>#REF!</f>
        <v>#REF!</v>
      </c>
      <c r="AL89" s="79" t="e">
        <f>#REF!</f>
        <v>#REF!</v>
      </c>
      <c r="AM89" s="79" t="e">
        <f>#REF!</f>
        <v>#REF!</v>
      </c>
      <c r="AN89" s="77"/>
      <c r="AO89" s="77"/>
      <c r="AP89" s="77"/>
      <c r="AQ89" s="77"/>
      <c r="AR89" s="77"/>
      <c r="AS89" s="77"/>
      <c r="AT89" s="77"/>
      <c r="AU89" s="77"/>
      <c r="AV89" s="77"/>
      <c r="AW89" s="77"/>
      <c r="AX89" s="77"/>
      <c r="AY89" s="77"/>
      <c r="AZ89" s="77"/>
      <c r="BA89" s="77"/>
      <c r="BB89" s="77"/>
      <c r="BC89" s="77"/>
      <c r="BD89" s="77"/>
      <c r="BE89" s="77"/>
      <c r="BF89" s="77"/>
      <c r="BG89" s="77"/>
      <c r="BH89" s="77"/>
      <c r="BI89" s="77"/>
      <c r="BJ89" s="77"/>
      <c r="BK89" s="77"/>
      <c r="BL89" s="77"/>
      <c r="BM89" s="77"/>
      <c r="BN89" s="77"/>
      <c r="BO89" s="77"/>
      <c r="BP89" s="77"/>
      <c r="BR89" s="123" t="str">
        <f t="shared" si="13"/>
        <v>FAI38</v>
      </c>
      <c r="BS89" s="120">
        <f>OOC!G89</f>
        <v>10.212</v>
      </c>
      <c r="BT89" s="120">
        <f>OOC!H89</f>
        <v>10.152000000000001</v>
      </c>
      <c r="BU89" s="2" t="e">
        <f t="shared" si="14"/>
        <v>#REF!</v>
      </c>
      <c r="BV89" s="2" t="e">
        <f t="shared" si="15"/>
        <v>#REF!</v>
      </c>
      <c r="BW89" s="2" t="e">
        <f t="shared" si="16"/>
        <v>#REF!</v>
      </c>
      <c r="BX89" s="121" t="e">
        <f>IF(AND(IF(OOC!G89="",0,OOC!G89) &gt;= IF(O89="",0,O89), IF(O89="",0,O89) &gt; IF(L89="",0,L89)), "OOC",
IF(AND(IF(M89="",0,M89) &gt; IF(P89="",0,P89), IF(P89="",0,P89) &gt;= IF(OOC!H89="",0,OOC!H89)), "OOC",
IF(IF(O89="",0,O89) &gt; IF(OOC!G89="",0,OOC!G89), "OOS",
IF(IF(OOC!H89="",0,OOC!H89) &gt; IF(P89="",0,P89), "OOS", "OK"))))</f>
        <v>#REF!</v>
      </c>
    </row>
    <row r="90" spans="1:76" ht="15" customHeight="1">
      <c r="A90" s="13"/>
      <c r="B90" s="88"/>
      <c r="C90" s="78" t="s">
        <v>130</v>
      </c>
      <c r="D90" s="89" t="s">
        <v>117</v>
      </c>
      <c r="E90" s="90"/>
      <c r="F90" s="66" t="s">
        <v>44</v>
      </c>
      <c r="G90" s="91">
        <v>0.2</v>
      </c>
      <c r="H90" s="92" t="str">
        <f>IF(OOC!S90=0,"",OOC!S90)</f>
        <v/>
      </c>
      <c r="I90" s="92" t="str">
        <f>IF(OOC!T90=0,"",OOC!T90)</f>
        <v/>
      </c>
      <c r="J90" s="68" t="s">
        <v>12</v>
      </c>
      <c r="K90" s="69" t="s">
        <v>80</v>
      </c>
      <c r="L90" s="70" t="e">
        <f t="shared" si="0"/>
        <v>#VALUE!</v>
      </c>
      <c r="M90" s="70" t="e">
        <f t="shared" si="1"/>
        <v>#VALUE!</v>
      </c>
      <c r="N90" s="71"/>
      <c r="O90" s="2" t="e">
        <f t="shared" si="2"/>
        <v>#REF!</v>
      </c>
      <c r="P90" s="2" t="e">
        <f t="shared" si="3"/>
        <v>#REF!</v>
      </c>
      <c r="Q90" s="2" t="e">
        <f t="shared" si="4"/>
        <v>#REF!</v>
      </c>
      <c r="R90" s="3" t="e">
        <f t="shared" si="5"/>
        <v>#REF!</v>
      </c>
      <c r="S90" s="4" t="e">
        <f t="shared" si="10"/>
        <v>#REF!</v>
      </c>
      <c r="T90" s="84" t="e">
        <f t="shared" si="11"/>
        <v>#REF!</v>
      </c>
      <c r="U90" s="85" t="e">
        <f t="shared" si="12"/>
        <v>#REF!</v>
      </c>
      <c r="V90" s="4" t="e">
        <f t="shared" si="6"/>
        <v>#REF!</v>
      </c>
      <c r="W90" s="4" t="e">
        <f t="shared" si="7"/>
        <v>#REF!</v>
      </c>
      <c r="X90" s="4" t="e">
        <f t="shared" si="8"/>
        <v>#REF!</v>
      </c>
      <c r="Y90" s="62" t="e">
        <f t="shared" si="9"/>
        <v>#REF!</v>
      </c>
      <c r="Z90" s="22"/>
      <c r="AA90" s="22"/>
      <c r="AB90" s="22"/>
      <c r="AC90" s="22"/>
      <c r="AD90" s="19"/>
      <c r="AE90" s="14"/>
      <c r="AF90" s="72"/>
      <c r="AG90" s="49"/>
      <c r="AH90" s="49"/>
      <c r="AI90" s="50"/>
      <c r="AJ90" s="15"/>
      <c r="AK90" s="79" t="e">
        <f>#REF!</f>
        <v>#REF!</v>
      </c>
      <c r="AL90" s="79" t="e">
        <f>#REF!</f>
        <v>#REF!</v>
      </c>
      <c r="AM90" s="79" t="e">
        <f>#REF!</f>
        <v>#REF!</v>
      </c>
      <c r="AN90" s="77"/>
      <c r="AO90" s="77"/>
      <c r="AP90" s="77"/>
      <c r="AQ90" s="77"/>
      <c r="AR90" s="77"/>
      <c r="AS90" s="77"/>
      <c r="AT90" s="77"/>
      <c r="AU90" s="77"/>
      <c r="AV90" s="77"/>
      <c r="AW90" s="77"/>
      <c r="AX90" s="77"/>
      <c r="AY90" s="77"/>
      <c r="AZ90" s="77"/>
      <c r="BA90" s="77"/>
      <c r="BB90" s="77"/>
      <c r="BC90" s="77"/>
      <c r="BD90" s="77"/>
      <c r="BE90" s="77"/>
      <c r="BF90" s="77"/>
      <c r="BG90" s="77"/>
      <c r="BH90" s="77"/>
      <c r="BI90" s="77"/>
      <c r="BJ90" s="77"/>
      <c r="BK90" s="77"/>
      <c r="BL90" s="77"/>
      <c r="BM90" s="77"/>
      <c r="BN90" s="77"/>
      <c r="BO90" s="77"/>
      <c r="BP90" s="77"/>
      <c r="BR90" s="123" t="str">
        <f t="shared" si="13"/>
        <v>FAI39</v>
      </c>
      <c r="BS90" s="120">
        <f>OOC!G90</f>
        <v>0.23</v>
      </c>
      <c r="BT90" s="120">
        <f>OOC!H90</f>
        <v>0.17</v>
      </c>
      <c r="BU90" s="2" t="e">
        <f t="shared" si="14"/>
        <v>#REF!</v>
      </c>
      <c r="BV90" s="2" t="e">
        <f t="shared" si="15"/>
        <v>#REF!</v>
      </c>
      <c r="BW90" s="2" t="e">
        <f t="shared" si="16"/>
        <v>#REF!</v>
      </c>
      <c r="BX90" s="121" t="e">
        <f>IF(AND(IF(OOC!G90="",0,OOC!G90) &gt;= IF(O90="",0,O90), IF(O90="",0,O90) &gt; IF(L90="",0,L90)), "OOC",
IF(AND(IF(M90="",0,M90) &gt; IF(P90="",0,P90), IF(P90="",0,P90) &gt;= IF(OOC!H90="",0,OOC!H90)), "OOC",
IF(IF(O90="",0,O90) &gt; IF(OOC!G90="",0,OOC!G90), "OOS",
IF(IF(OOC!H90="",0,OOC!H90) &gt; IF(P90="",0,P90), "OOS", "OK"))))</f>
        <v>#REF!</v>
      </c>
    </row>
    <row r="91" spans="1:76" ht="15" customHeight="1">
      <c r="A91" s="13"/>
      <c r="B91" s="88"/>
      <c r="C91" s="78" t="s">
        <v>131</v>
      </c>
      <c r="D91" s="89" t="s">
        <v>117</v>
      </c>
      <c r="E91" s="90"/>
      <c r="F91" s="66" t="s">
        <v>44</v>
      </c>
      <c r="G91" s="91">
        <v>0.35</v>
      </c>
      <c r="H91" s="92" t="str">
        <f>IF(OOC!S91=0,"",OOC!S91)</f>
        <v/>
      </c>
      <c r="I91" s="92" t="str">
        <f>IF(OOC!T91=0,"",OOC!T91)</f>
        <v/>
      </c>
      <c r="J91" s="68" t="s">
        <v>30</v>
      </c>
      <c r="K91" s="69" t="s">
        <v>80</v>
      </c>
      <c r="L91" s="70" t="e">
        <f t="shared" si="0"/>
        <v>#VALUE!</v>
      </c>
      <c r="M91" s="70" t="e">
        <f t="shared" si="1"/>
        <v>#VALUE!</v>
      </c>
      <c r="N91" s="71"/>
      <c r="O91" s="2" t="str">
        <f t="shared" si="2"/>
        <v/>
      </c>
      <c r="P91" s="2" t="str">
        <f t="shared" si="3"/>
        <v/>
      </c>
      <c r="Q91" s="2" t="str">
        <f t="shared" si="4"/>
        <v/>
      </c>
      <c r="R91" s="3" t="str">
        <f t="shared" si="5"/>
        <v/>
      </c>
      <c r="S91" s="4" t="str">
        <f t="shared" si="10"/>
        <v/>
      </c>
      <c r="T91" s="84" t="str">
        <f t="shared" si="11"/>
        <v/>
      </c>
      <c r="U91" s="85" t="str">
        <f t="shared" si="12"/>
        <v/>
      </c>
      <c r="V91" s="4" t="str">
        <f t="shared" si="6"/>
        <v/>
      </c>
      <c r="W91" s="4" t="str">
        <f t="shared" si="7"/>
        <v/>
      </c>
      <c r="X91" s="4" t="str">
        <f t="shared" si="8"/>
        <v/>
      </c>
      <c r="Y91" s="62" t="str">
        <f t="shared" si="9"/>
        <v/>
      </c>
      <c r="Z91" s="22"/>
      <c r="AA91" s="22"/>
      <c r="AB91" s="22"/>
      <c r="AC91" s="22"/>
      <c r="AD91" s="19"/>
      <c r="AE91" s="14"/>
      <c r="AF91" s="72"/>
      <c r="AG91" s="49"/>
      <c r="AH91" s="49"/>
      <c r="AI91" s="50"/>
      <c r="AJ91" s="15"/>
      <c r="AK91" s="79"/>
      <c r="AL91" s="79"/>
      <c r="AM91" s="79"/>
      <c r="AN91" s="77"/>
      <c r="AO91" s="77"/>
      <c r="AP91" s="77"/>
      <c r="AQ91" s="77"/>
      <c r="AR91" s="77"/>
      <c r="AS91" s="77"/>
      <c r="AT91" s="77"/>
      <c r="AU91" s="77"/>
      <c r="AV91" s="77"/>
      <c r="AW91" s="77"/>
      <c r="AX91" s="77"/>
      <c r="AY91" s="77"/>
      <c r="AZ91" s="77"/>
      <c r="BA91" s="77"/>
      <c r="BB91" s="77"/>
      <c r="BC91" s="77"/>
      <c r="BD91" s="77"/>
      <c r="BE91" s="77"/>
      <c r="BF91" s="77"/>
      <c r="BG91" s="77"/>
      <c r="BH91" s="77"/>
      <c r="BI91" s="77"/>
      <c r="BJ91" s="77"/>
      <c r="BK91" s="77"/>
      <c r="BL91" s="77"/>
      <c r="BM91" s="77"/>
      <c r="BN91" s="77"/>
      <c r="BO91" s="77"/>
      <c r="BP91" s="77"/>
      <c r="BR91" s="123" t="str">
        <f t="shared" si="13"/>
        <v>FAI40</v>
      </c>
      <c r="BS91" s="120">
        <f>OOC!G91</f>
        <v>0.38</v>
      </c>
      <c r="BT91" s="120">
        <f>OOC!H91</f>
        <v>0.31999999999999995</v>
      </c>
      <c r="BU91" s="2" t="str">
        <f t="shared" si="14"/>
        <v/>
      </c>
      <c r="BV91" s="2" t="str">
        <f t="shared" si="15"/>
        <v/>
      </c>
      <c r="BW91" s="2" t="str">
        <f t="shared" si="16"/>
        <v/>
      </c>
      <c r="BX91" s="121" t="e">
        <f>IF(AND(IF(OOC!G91="",0,OOC!G91) &gt;= IF(O91="",0,O91), IF(O91="",0,O91) &gt; IF(L91="",0,L91)), "OOC",
IF(AND(IF(M91="",0,M91) &gt; IF(P91="",0,P91), IF(P91="",0,P91) &gt;= IF(OOC!H91="",0,OOC!H91)), "OOC",
IF(IF(O91="",0,O91) &gt; IF(OOC!G91="",0,OOC!G91), "OOS",
IF(IF(OOC!H91="",0,OOC!H91) &gt; IF(P91="",0,P91), "OOS", "OK"))))</f>
        <v>#VALUE!</v>
      </c>
    </row>
    <row r="92" spans="1:76" ht="15" customHeight="1">
      <c r="A92" s="13"/>
      <c r="B92" s="88"/>
      <c r="C92" s="78" t="s">
        <v>131</v>
      </c>
      <c r="D92" s="89" t="s">
        <v>117</v>
      </c>
      <c r="E92" s="90"/>
      <c r="F92" s="66" t="s">
        <v>44</v>
      </c>
      <c r="G92" s="91">
        <v>0.35</v>
      </c>
      <c r="H92" s="92" t="str">
        <f>IF(OOC!S92=0,"",OOC!S92)</f>
        <v/>
      </c>
      <c r="I92" s="92" t="str">
        <f>IF(OOC!T92=0,"",OOC!T92)</f>
        <v/>
      </c>
      <c r="J92" s="68" t="s">
        <v>30</v>
      </c>
      <c r="K92" s="69" t="s">
        <v>80</v>
      </c>
      <c r="L92" s="70" t="e">
        <f t="shared" si="0"/>
        <v>#VALUE!</v>
      </c>
      <c r="M92" s="70" t="e">
        <f t="shared" si="1"/>
        <v>#VALUE!</v>
      </c>
      <c r="N92" s="71"/>
      <c r="O92" s="2" t="str">
        <f t="shared" si="2"/>
        <v/>
      </c>
      <c r="P92" s="2" t="str">
        <f t="shared" si="3"/>
        <v/>
      </c>
      <c r="Q92" s="2" t="str">
        <f t="shared" si="4"/>
        <v/>
      </c>
      <c r="R92" s="3" t="str">
        <f t="shared" si="5"/>
        <v/>
      </c>
      <c r="S92" s="4" t="str">
        <f t="shared" si="10"/>
        <v/>
      </c>
      <c r="T92" s="84" t="str">
        <f t="shared" si="11"/>
        <v/>
      </c>
      <c r="U92" s="85" t="str">
        <f t="shared" si="12"/>
        <v/>
      </c>
      <c r="V92" s="4" t="str">
        <f t="shared" si="6"/>
        <v/>
      </c>
      <c r="W92" s="4" t="str">
        <f t="shared" si="7"/>
        <v/>
      </c>
      <c r="X92" s="4" t="str">
        <f t="shared" si="8"/>
        <v/>
      </c>
      <c r="Y92" s="62" t="str">
        <f t="shared" si="9"/>
        <v/>
      </c>
      <c r="Z92" s="22"/>
      <c r="AA92" s="22"/>
      <c r="AB92" s="22"/>
      <c r="AC92" s="22"/>
      <c r="AD92" s="19"/>
      <c r="AE92" s="14"/>
      <c r="AF92" s="72"/>
      <c r="AG92" s="49"/>
      <c r="AH92" s="49"/>
      <c r="AI92" s="50"/>
      <c r="AJ92" s="15"/>
      <c r="AK92" s="79"/>
      <c r="AL92" s="79"/>
      <c r="AM92" s="79"/>
      <c r="AN92" s="77"/>
      <c r="AO92" s="77"/>
      <c r="AP92" s="77"/>
      <c r="AQ92" s="77"/>
      <c r="AR92" s="77"/>
      <c r="AS92" s="77"/>
      <c r="AT92" s="77"/>
      <c r="AU92" s="77"/>
      <c r="AV92" s="77"/>
      <c r="AW92" s="77"/>
      <c r="AX92" s="77"/>
      <c r="AY92" s="77"/>
      <c r="AZ92" s="77"/>
      <c r="BA92" s="77"/>
      <c r="BB92" s="77"/>
      <c r="BC92" s="77"/>
      <c r="BD92" s="77"/>
      <c r="BE92" s="77"/>
      <c r="BF92" s="77"/>
      <c r="BG92" s="77"/>
      <c r="BH92" s="77"/>
      <c r="BI92" s="77"/>
      <c r="BJ92" s="77"/>
      <c r="BK92" s="77"/>
      <c r="BL92" s="77"/>
      <c r="BM92" s="77"/>
      <c r="BN92" s="77"/>
      <c r="BO92" s="77"/>
      <c r="BP92" s="77"/>
      <c r="BR92" s="123" t="str">
        <f t="shared" si="13"/>
        <v>FAI40</v>
      </c>
      <c r="BS92" s="120">
        <f>OOC!G92</f>
        <v>0.38</v>
      </c>
      <c r="BT92" s="120">
        <f>OOC!H92</f>
        <v>0.31999999999999995</v>
      </c>
      <c r="BU92" s="2" t="str">
        <f t="shared" si="14"/>
        <v/>
      </c>
      <c r="BV92" s="2" t="str">
        <f t="shared" si="15"/>
        <v/>
      </c>
      <c r="BW92" s="2" t="str">
        <f t="shared" si="16"/>
        <v/>
      </c>
      <c r="BX92" s="121" t="e">
        <f>IF(AND(IF(OOC!G92="",0,OOC!G92) &gt;= IF(O92="",0,O92), IF(O92="",0,O92) &gt; IF(L92="",0,L92)), "OOC",
IF(AND(IF(M92="",0,M92) &gt; IF(P92="",0,P92), IF(P92="",0,P92) &gt;= IF(OOC!H92="",0,OOC!H92)), "OOC",
IF(IF(O92="",0,O92) &gt; IF(OOC!G92="",0,OOC!G92), "OOS",
IF(IF(OOC!H92="",0,OOC!H92) &gt; IF(P92="",0,P92), "OOS", "OK"))))</f>
        <v>#VALUE!</v>
      </c>
    </row>
    <row r="93" spans="1:76" ht="15" customHeight="1">
      <c r="A93" s="13"/>
      <c r="B93" s="88"/>
      <c r="C93" s="78" t="s">
        <v>131</v>
      </c>
      <c r="D93" s="89" t="s">
        <v>117</v>
      </c>
      <c r="E93" s="90"/>
      <c r="F93" s="66" t="s">
        <v>44</v>
      </c>
      <c r="G93" s="91">
        <v>0.35</v>
      </c>
      <c r="H93" s="92" t="str">
        <f>IF(OOC!S93=0,"",OOC!S93)</f>
        <v/>
      </c>
      <c r="I93" s="92" t="str">
        <f>IF(OOC!T93=0,"",OOC!T93)</f>
        <v/>
      </c>
      <c r="J93" s="68" t="s">
        <v>30</v>
      </c>
      <c r="K93" s="69" t="s">
        <v>80</v>
      </c>
      <c r="L93" s="70" t="e">
        <f t="shared" si="0"/>
        <v>#VALUE!</v>
      </c>
      <c r="M93" s="70" t="e">
        <f t="shared" si="1"/>
        <v>#VALUE!</v>
      </c>
      <c r="N93" s="71"/>
      <c r="O93" s="2" t="str">
        <f t="shared" si="2"/>
        <v/>
      </c>
      <c r="P93" s="2" t="str">
        <f t="shared" si="3"/>
        <v/>
      </c>
      <c r="Q93" s="2" t="str">
        <f t="shared" si="4"/>
        <v/>
      </c>
      <c r="R93" s="3" t="str">
        <f t="shared" si="5"/>
        <v/>
      </c>
      <c r="S93" s="4" t="str">
        <f t="shared" si="10"/>
        <v/>
      </c>
      <c r="T93" s="84" t="str">
        <f t="shared" si="11"/>
        <v/>
      </c>
      <c r="U93" s="85" t="str">
        <f t="shared" si="12"/>
        <v/>
      </c>
      <c r="V93" s="4" t="str">
        <f t="shared" si="6"/>
        <v/>
      </c>
      <c r="W93" s="4" t="str">
        <f t="shared" si="7"/>
        <v/>
      </c>
      <c r="X93" s="4" t="str">
        <f t="shared" si="8"/>
        <v/>
      </c>
      <c r="Y93" s="62" t="str">
        <f t="shared" si="9"/>
        <v/>
      </c>
      <c r="Z93" s="22"/>
      <c r="AA93" s="22"/>
      <c r="AB93" s="22"/>
      <c r="AC93" s="22"/>
      <c r="AD93" s="19"/>
      <c r="AE93" s="14"/>
      <c r="AF93" s="72"/>
      <c r="AG93" s="49"/>
      <c r="AH93" s="49"/>
      <c r="AI93" s="50"/>
      <c r="AJ93" s="15"/>
      <c r="AK93" s="79"/>
      <c r="AL93" s="79"/>
      <c r="AM93" s="79"/>
      <c r="AN93" s="77"/>
      <c r="AO93" s="77"/>
      <c r="AP93" s="77"/>
      <c r="AQ93" s="77"/>
      <c r="AR93" s="77"/>
      <c r="AS93" s="77"/>
      <c r="AT93" s="77"/>
      <c r="AU93" s="77"/>
      <c r="AV93" s="77"/>
      <c r="AW93" s="77"/>
      <c r="AX93" s="77"/>
      <c r="AY93" s="77"/>
      <c r="AZ93" s="77"/>
      <c r="BA93" s="77"/>
      <c r="BB93" s="77"/>
      <c r="BC93" s="77"/>
      <c r="BD93" s="77"/>
      <c r="BE93" s="77"/>
      <c r="BF93" s="77"/>
      <c r="BG93" s="77"/>
      <c r="BH93" s="77"/>
      <c r="BI93" s="77"/>
      <c r="BJ93" s="77"/>
      <c r="BK93" s="77"/>
      <c r="BL93" s="77"/>
      <c r="BM93" s="77"/>
      <c r="BN93" s="77"/>
      <c r="BO93" s="77"/>
      <c r="BP93" s="77"/>
      <c r="BR93" s="123" t="str">
        <f t="shared" si="13"/>
        <v>FAI40</v>
      </c>
      <c r="BS93" s="120">
        <f>OOC!G93</f>
        <v>0.38</v>
      </c>
      <c r="BT93" s="120">
        <f>OOC!H93</f>
        <v>0.31999999999999995</v>
      </c>
      <c r="BU93" s="2" t="str">
        <f t="shared" si="14"/>
        <v/>
      </c>
      <c r="BV93" s="2" t="str">
        <f t="shared" si="15"/>
        <v/>
      </c>
      <c r="BW93" s="2" t="str">
        <f t="shared" si="16"/>
        <v/>
      </c>
      <c r="BX93" s="121" t="e">
        <f>IF(AND(IF(OOC!G93="",0,OOC!G93) &gt;= IF(O93="",0,O93), IF(O93="",0,O93) &gt; IF(L93="",0,L93)), "OOC",
IF(AND(IF(M93="",0,M93) &gt; IF(P93="",0,P93), IF(P93="",0,P93) &gt;= IF(OOC!H93="",0,OOC!H93)), "OOC",
IF(IF(O93="",0,O93) &gt; IF(OOC!G93="",0,OOC!G93), "OOS",
IF(IF(OOC!H93="",0,OOC!H93) &gt; IF(P93="",0,P93), "OOS", "OK"))))</f>
        <v>#VALUE!</v>
      </c>
    </row>
    <row r="94" spans="1:76" ht="15" customHeight="1">
      <c r="A94" s="13"/>
      <c r="B94" s="88"/>
      <c r="C94" s="78" t="s">
        <v>131</v>
      </c>
      <c r="D94" s="89" t="s">
        <v>117</v>
      </c>
      <c r="E94" s="90"/>
      <c r="F94" s="66" t="s">
        <v>44</v>
      </c>
      <c r="G94" s="91">
        <v>0.35</v>
      </c>
      <c r="H94" s="92" t="str">
        <f>IF(OOC!S94=0,"",OOC!S94)</f>
        <v/>
      </c>
      <c r="I94" s="92" t="str">
        <f>IF(OOC!T94=0,"",OOC!T94)</f>
        <v/>
      </c>
      <c r="J94" s="68" t="s">
        <v>30</v>
      </c>
      <c r="K94" s="69" t="s">
        <v>80</v>
      </c>
      <c r="L94" s="70" t="e">
        <f t="shared" si="0"/>
        <v>#VALUE!</v>
      </c>
      <c r="M94" s="70" t="e">
        <f t="shared" si="1"/>
        <v>#VALUE!</v>
      </c>
      <c r="N94" s="71"/>
      <c r="O94" s="2" t="str">
        <f t="shared" si="2"/>
        <v/>
      </c>
      <c r="P94" s="2" t="str">
        <f t="shared" si="3"/>
        <v/>
      </c>
      <c r="Q94" s="2" t="str">
        <f t="shared" si="4"/>
        <v/>
      </c>
      <c r="R94" s="3" t="str">
        <f t="shared" si="5"/>
        <v/>
      </c>
      <c r="S94" s="4" t="str">
        <f t="shared" si="10"/>
        <v/>
      </c>
      <c r="T94" s="84" t="str">
        <f t="shared" si="11"/>
        <v/>
      </c>
      <c r="U94" s="85" t="str">
        <f t="shared" si="12"/>
        <v/>
      </c>
      <c r="V94" s="4" t="str">
        <f t="shared" si="6"/>
        <v/>
      </c>
      <c r="W94" s="4" t="str">
        <f t="shared" si="7"/>
        <v/>
      </c>
      <c r="X94" s="4" t="str">
        <f t="shared" si="8"/>
        <v/>
      </c>
      <c r="Y94" s="62" t="str">
        <f t="shared" si="9"/>
        <v/>
      </c>
      <c r="Z94" s="22"/>
      <c r="AA94" s="22"/>
      <c r="AB94" s="22"/>
      <c r="AC94" s="22"/>
      <c r="AD94" s="19"/>
      <c r="AE94" s="14"/>
      <c r="AF94" s="72"/>
      <c r="AG94" s="49"/>
      <c r="AH94" s="49"/>
      <c r="AI94" s="50"/>
      <c r="AJ94" s="15"/>
      <c r="AK94" s="79"/>
      <c r="AL94" s="79"/>
      <c r="AM94" s="79"/>
      <c r="AN94" s="77"/>
      <c r="AO94" s="77"/>
      <c r="AP94" s="77"/>
      <c r="AQ94" s="77"/>
      <c r="AR94" s="77"/>
      <c r="AS94" s="77"/>
      <c r="AT94" s="77"/>
      <c r="AU94" s="77"/>
      <c r="AV94" s="77"/>
      <c r="AW94" s="77"/>
      <c r="AX94" s="77"/>
      <c r="AY94" s="77"/>
      <c r="AZ94" s="77"/>
      <c r="BA94" s="77"/>
      <c r="BB94" s="77"/>
      <c r="BC94" s="77"/>
      <c r="BD94" s="77"/>
      <c r="BE94" s="77"/>
      <c r="BF94" s="77"/>
      <c r="BG94" s="77"/>
      <c r="BH94" s="77"/>
      <c r="BI94" s="77"/>
      <c r="BJ94" s="77"/>
      <c r="BK94" s="77"/>
      <c r="BL94" s="77"/>
      <c r="BM94" s="77"/>
      <c r="BN94" s="77"/>
      <c r="BO94" s="77"/>
      <c r="BP94" s="77"/>
      <c r="BR94" s="123" t="str">
        <f t="shared" si="13"/>
        <v>FAI40</v>
      </c>
      <c r="BS94" s="120">
        <f>OOC!G94</f>
        <v>0.38</v>
      </c>
      <c r="BT94" s="120">
        <f>OOC!H94</f>
        <v>0.31999999999999995</v>
      </c>
      <c r="BU94" s="2" t="str">
        <f t="shared" si="14"/>
        <v/>
      </c>
      <c r="BV94" s="2" t="str">
        <f t="shared" si="15"/>
        <v/>
      </c>
      <c r="BW94" s="2" t="str">
        <f t="shared" si="16"/>
        <v/>
      </c>
      <c r="BX94" s="121" t="e">
        <f>IF(AND(IF(OOC!G94="",0,OOC!G94) &gt;= IF(O94="",0,O94), IF(O94="",0,O94) &gt; IF(L94="",0,L94)), "OOC",
IF(AND(IF(M94="",0,M94) &gt; IF(P94="",0,P94), IF(P94="",0,P94) &gt;= IF(OOC!H94="",0,OOC!H94)), "OOC",
IF(IF(O94="",0,O94) &gt; IF(OOC!G94="",0,OOC!G94), "OOS",
IF(IF(OOC!H94="",0,OOC!H94) &gt; IF(P94="",0,P94), "OOS", "OK"))))</f>
        <v>#VALUE!</v>
      </c>
    </row>
    <row r="95" spans="1:76" ht="15" customHeight="1">
      <c r="A95" s="13"/>
      <c r="B95" s="88"/>
      <c r="C95" s="78" t="s">
        <v>152</v>
      </c>
      <c r="D95" s="89" t="s">
        <v>117</v>
      </c>
      <c r="E95" s="90"/>
      <c r="F95" s="66" t="s">
        <v>44</v>
      </c>
      <c r="G95" s="91">
        <v>1.9019999999999999</v>
      </c>
      <c r="H95" s="92" t="str">
        <f>IF(OOC!S95=0,"",OOC!S95)</f>
        <v/>
      </c>
      <c r="I95" s="92" t="str">
        <f>IF(OOC!T95=0,"",OOC!T95)</f>
        <v/>
      </c>
      <c r="J95" s="68" t="s">
        <v>12</v>
      </c>
      <c r="K95" s="69" t="s">
        <v>80</v>
      </c>
      <c r="L95" s="70" t="e">
        <f t="shared" si="0"/>
        <v>#VALUE!</v>
      </c>
      <c r="M95" s="70" t="e">
        <f t="shared" si="1"/>
        <v>#VALUE!</v>
      </c>
      <c r="N95" s="71"/>
      <c r="O95" s="2" t="e">
        <f t="shared" si="2"/>
        <v>#REF!</v>
      </c>
      <c r="P95" s="2" t="e">
        <f t="shared" si="3"/>
        <v>#REF!</v>
      </c>
      <c r="Q95" s="2" t="e">
        <f t="shared" si="4"/>
        <v>#REF!</v>
      </c>
      <c r="R95" s="3" t="e">
        <f t="shared" si="5"/>
        <v>#REF!</v>
      </c>
      <c r="S95" s="4" t="e">
        <f t="shared" si="10"/>
        <v>#REF!</v>
      </c>
      <c r="T95" s="84" t="e">
        <f t="shared" si="11"/>
        <v>#REF!</v>
      </c>
      <c r="U95" s="85" t="e">
        <f t="shared" si="12"/>
        <v>#REF!</v>
      </c>
      <c r="V95" s="4" t="e">
        <f t="shared" si="6"/>
        <v>#REF!</v>
      </c>
      <c r="W95" s="4" t="e">
        <f t="shared" si="7"/>
        <v>#REF!</v>
      </c>
      <c r="X95" s="4" t="e">
        <f t="shared" si="8"/>
        <v>#REF!</v>
      </c>
      <c r="Y95" s="62" t="e">
        <f t="shared" si="9"/>
        <v>#REF!</v>
      </c>
      <c r="Z95" s="22"/>
      <c r="AA95" s="22"/>
      <c r="AB95" s="22"/>
      <c r="AC95" s="22"/>
      <c r="AD95" s="19"/>
      <c r="AE95" s="14"/>
      <c r="AF95" s="72"/>
      <c r="AG95" s="49"/>
      <c r="AH95" s="49"/>
      <c r="AI95" s="50"/>
      <c r="AJ95" s="15"/>
      <c r="AK95" s="77" t="e">
        <f>#REF!</f>
        <v>#REF!</v>
      </c>
      <c r="AL95" s="77" t="e">
        <f>#REF!</f>
        <v>#REF!</v>
      </c>
      <c r="AM95" s="77" t="e">
        <f>#REF!</f>
        <v>#REF!</v>
      </c>
      <c r="AN95" s="77"/>
      <c r="AO95" s="77"/>
      <c r="AP95" s="77"/>
      <c r="AQ95" s="77"/>
      <c r="AR95" s="77"/>
      <c r="AS95" s="77"/>
      <c r="AT95" s="77"/>
      <c r="AU95" s="77"/>
      <c r="AV95" s="77"/>
      <c r="AW95" s="77"/>
      <c r="AX95" s="77"/>
      <c r="AY95" s="77"/>
      <c r="AZ95" s="77"/>
      <c r="BA95" s="77"/>
      <c r="BB95" s="77"/>
      <c r="BC95" s="77"/>
      <c r="BD95" s="77"/>
      <c r="BE95" s="77"/>
      <c r="BF95" s="77"/>
      <c r="BG95" s="77"/>
      <c r="BH95" s="77"/>
      <c r="BI95" s="77"/>
      <c r="BJ95" s="77"/>
      <c r="BK95" s="77"/>
      <c r="BL95" s="77"/>
      <c r="BM95" s="77"/>
      <c r="BN95" s="77"/>
      <c r="BO95" s="77"/>
      <c r="BP95" s="77"/>
      <c r="BR95" s="123" t="str">
        <f t="shared" si="13"/>
        <v>FAI41</v>
      </c>
      <c r="BS95" s="120">
        <f>OOC!G95</f>
        <v>1.9219999999999999</v>
      </c>
      <c r="BT95" s="120">
        <f>OOC!H95</f>
        <v>1.8819999999999999</v>
      </c>
      <c r="BU95" s="2" t="e">
        <f t="shared" si="14"/>
        <v>#REF!</v>
      </c>
      <c r="BV95" s="2" t="e">
        <f t="shared" si="15"/>
        <v>#REF!</v>
      </c>
      <c r="BW95" s="2" t="e">
        <f t="shared" si="16"/>
        <v>#REF!</v>
      </c>
      <c r="BX95" s="121" t="e">
        <f>IF(AND(IF(OOC!G95="",0,OOC!G95) &gt;= IF(O95="",0,O95), IF(O95="",0,O95) &gt; IF(L95="",0,L95)), "OOC",
IF(AND(IF(M95="",0,M95) &gt; IF(P95="",0,P95), IF(P95="",0,P95) &gt;= IF(OOC!H95="",0,OOC!H95)), "OOC",
IF(IF(O95="",0,O95) &gt; IF(OOC!G95="",0,OOC!G95), "OOS",
IF(IF(OOC!H95="",0,OOC!H95) &gt; IF(P95="",0,P95), "OOS", "OK"))))</f>
        <v>#REF!</v>
      </c>
    </row>
    <row r="96" spans="1:76" ht="15" customHeight="1">
      <c r="A96" s="13">
        <v>1</v>
      </c>
      <c r="B96" s="88"/>
      <c r="C96" s="78"/>
      <c r="D96" s="89"/>
      <c r="E96" s="90"/>
      <c r="F96" s="66"/>
      <c r="G96" s="91"/>
      <c r="H96" s="92"/>
      <c r="I96" s="92"/>
      <c r="J96" s="68"/>
      <c r="K96" s="69"/>
      <c r="L96" s="70"/>
      <c r="M96" s="70"/>
      <c r="N96" s="71"/>
      <c r="O96" s="2"/>
      <c r="P96" s="2"/>
      <c r="Q96" s="2"/>
      <c r="R96" s="3"/>
      <c r="S96" s="4"/>
      <c r="T96" s="84"/>
      <c r="U96" s="85"/>
      <c r="V96" s="4"/>
      <c r="W96" s="4"/>
      <c r="X96" s="4"/>
      <c r="Y96" s="62"/>
      <c r="Z96" s="22"/>
      <c r="AA96" s="22"/>
      <c r="AB96" s="22"/>
      <c r="AC96" s="22"/>
      <c r="AD96" s="19"/>
      <c r="AE96" s="14"/>
      <c r="AF96" s="72"/>
      <c r="AG96" s="49"/>
      <c r="AH96" s="49"/>
      <c r="AI96" s="50"/>
      <c r="AJ96" s="15"/>
      <c r="AK96" s="77"/>
      <c r="AL96" s="77"/>
      <c r="AM96" s="77"/>
      <c r="AN96" s="77"/>
      <c r="AO96" s="77"/>
      <c r="AP96" s="77"/>
      <c r="AQ96" s="77"/>
      <c r="AR96" s="77"/>
      <c r="AS96" s="77"/>
      <c r="AT96" s="77"/>
      <c r="AU96" s="77"/>
      <c r="AV96" s="77"/>
      <c r="AW96" s="77"/>
      <c r="AX96" s="77"/>
      <c r="AY96" s="77"/>
      <c r="AZ96" s="77"/>
      <c r="BA96" s="77"/>
      <c r="BB96" s="77"/>
      <c r="BC96" s="77"/>
      <c r="BD96" s="77"/>
      <c r="BE96" s="77"/>
      <c r="BF96" s="77"/>
      <c r="BG96" s="77"/>
      <c r="BH96" s="77"/>
      <c r="BI96" s="77"/>
      <c r="BJ96" s="77"/>
      <c r="BK96" s="77"/>
      <c r="BL96" s="77"/>
      <c r="BM96" s="77"/>
      <c r="BN96" s="77"/>
      <c r="BO96" s="77"/>
      <c r="BP96" s="77"/>
      <c r="BR96" s="123"/>
      <c r="BS96" s="120"/>
      <c r="BT96" s="120"/>
      <c r="BU96" s="2"/>
      <c r="BV96" s="2"/>
      <c r="BW96" s="2"/>
      <c r="BX96" s="121"/>
    </row>
    <row r="97" spans="1:76" ht="15" customHeight="1">
      <c r="A97" s="13">
        <v>2</v>
      </c>
      <c r="B97" s="88"/>
      <c r="C97" s="78"/>
      <c r="D97" s="89"/>
      <c r="E97" s="90"/>
      <c r="F97" s="66"/>
      <c r="G97" s="91"/>
      <c r="H97" s="92"/>
      <c r="I97" s="92"/>
      <c r="J97" s="68"/>
      <c r="K97" s="69"/>
      <c r="L97" s="70"/>
      <c r="M97" s="70"/>
      <c r="N97" s="71"/>
      <c r="O97" s="2"/>
      <c r="P97" s="2"/>
      <c r="Q97" s="2"/>
      <c r="R97" s="3"/>
      <c r="S97" s="4"/>
      <c r="T97" s="84"/>
      <c r="U97" s="85"/>
      <c r="V97" s="4"/>
      <c r="W97" s="4"/>
      <c r="X97" s="4"/>
      <c r="Y97" s="62"/>
      <c r="Z97" s="22"/>
      <c r="AA97" s="22"/>
      <c r="AB97" s="22"/>
      <c r="AC97" s="22"/>
      <c r="AD97" s="19"/>
      <c r="AE97" s="14"/>
      <c r="AF97" s="72"/>
      <c r="AG97" s="49"/>
      <c r="AH97" s="49"/>
      <c r="AI97" s="50"/>
      <c r="AJ97" s="15"/>
      <c r="AK97" s="77"/>
      <c r="AL97" s="77"/>
      <c r="AM97" s="77"/>
      <c r="AN97" s="77"/>
      <c r="AO97" s="77"/>
      <c r="AP97" s="77"/>
      <c r="AQ97" s="77"/>
      <c r="AR97" s="77"/>
      <c r="AS97" s="77"/>
      <c r="AT97" s="77"/>
      <c r="AU97" s="77"/>
      <c r="AV97" s="77"/>
      <c r="AW97" s="77"/>
      <c r="AX97" s="77"/>
      <c r="AY97" s="77"/>
      <c r="AZ97" s="77"/>
      <c r="BA97" s="77"/>
      <c r="BB97" s="77"/>
      <c r="BC97" s="77"/>
      <c r="BD97" s="77"/>
      <c r="BE97" s="77"/>
      <c r="BF97" s="77"/>
      <c r="BG97" s="77"/>
      <c r="BH97" s="77"/>
      <c r="BI97" s="77"/>
      <c r="BJ97" s="77"/>
      <c r="BK97" s="77"/>
      <c r="BL97" s="77"/>
      <c r="BM97" s="77"/>
      <c r="BN97" s="77"/>
      <c r="BO97" s="77"/>
      <c r="BP97" s="77"/>
      <c r="BR97" s="123"/>
      <c r="BS97" s="120"/>
      <c r="BT97" s="120"/>
      <c r="BU97" s="2"/>
      <c r="BV97" s="2"/>
      <c r="BW97" s="2"/>
      <c r="BX97" s="121"/>
    </row>
    <row r="98" spans="1:76" ht="15" customHeight="1">
      <c r="A98" s="13">
        <v>3</v>
      </c>
      <c r="B98" s="88"/>
      <c r="C98" s="78"/>
      <c r="D98" s="89"/>
      <c r="E98" s="90"/>
      <c r="F98" s="66"/>
      <c r="G98" s="91"/>
      <c r="H98" s="92"/>
      <c r="I98" s="92"/>
      <c r="J98" s="68"/>
      <c r="K98" s="69"/>
      <c r="L98" s="70"/>
      <c r="M98" s="70"/>
      <c r="N98" s="71"/>
      <c r="O98" s="2"/>
      <c r="P98" s="2"/>
      <c r="Q98" s="2"/>
      <c r="R98" s="3"/>
      <c r="S98" s="4"/>
      <c r="T98" s="84"/>
      <c r="U98" s="85"/>
      <c r="V98" s="4"/>
      <c r="W98" s="4"/>
      <c r="X98" s="4"/>
      <c r="Y98" s="62"/>
      <c r="Z98" s="22"/>
      <c r="AA98" s="22"/>
      <c r="AB98" s="22"/>
      <c r="AC98" s="22"/>
      <c r="AD98" s="19"/>
      <c r="AE98" s="14"/>
      <c r="AF98" s="72"/>
      <c r="AG98" s="49"/>
      <c r="AH98" s="49"/>
      <c r="AI98" s="50"/>
      <c r="AJ98" s="15"/>
      <c r="AK98" s="77"/>
      <c r="AL98" s="77"/>
      <c r="AM98" s="77"/>
      <c r="AN98" s="77"/>
      <c r="AO98" s="77"/>
      <c r="AP98" s="77"/>
      <c r="AQ98" s="77"/>
      <c r="AR98" s="77"/>
      <c r="AS98" s="77"/>
      <c r="AT98" s="77"/>
      <c r="AU98" s="77"/>
      <c r="AV98" s="77"/>
      <c r="AW98" s="77"/>
      <c r="AX98" s="77"/>
      <c r="AY98" s="77"/>
      <c r="AZ98" s="77"/>
      <c r="BA98" s="77"/>
      <c r="BB98" s="77"/>
      <c r="BC98" s="77"/>
      <c r="BD98" s="77"/>
      <c r="BE98" s="77"/>
      <c r="BF98" s="77"/>
      <c r="BG98" s="77"/>
      <c r="BH98" s="77"/>
      <c r="BI98" s="77"/>
      <c r="BJ98" s="77"/>
      <c r="BK98" s="77"/>
      <c r="BL98" s="77"/>
      <c r="BM98" s="77"/>
      <c r="BN98" s="77"/>
      <c r="BO98" s="77"/>
      <c r="BP98" s="77"/>
      <c r="BR98" s="123"/>
      <c r="BS98" s="120"/>
      <c r="BT98" s="120"/>
      <c r="BU98" s="2"/>
      <c r="BV98" s="2"/>
      <c r="BW98" s="2"/>
      <c r="BX98" s="121"/>
    </row>
    <row r="99" spans="1:76" ht="15" customHeight="1">
      <c r="A99" s="13">
        <v>4</v>
      </c>
      <c r="B99" s="88"/>
      <c r="C99" s="78"/>
      <c r="D99" s="89"/>
      <c r="E99" s="90"/>
      <c r="F99" s="66"/>
      <c r="G99" s="91"/>
      <c r="H99" s="92"/>
      <c r="I99" s="92"/>
      <c r="J99" s="68"/>
      <c r="K99" s="69"/>
      <c r="L99" s="70"/>
      <c r="M99" s="70"/>
      <c r="N99" s="71"/>
      <c r="O99" s="2"/>
      <c r="P99" s="2"/>
      <c r="Q99" s="2"/>
      <c r="R99" s="3"/>
      <c r="S99" s="4"/>
      <c r="T99" s="84"/>
      <c r="U99" s="85"/>
      <c r="V99" s="4"/>
      <c r="W99" s="4"/>
      <c r="X99" s="4"/>
      <c r="Y99" s="62"/>
      <c r="Z99" s="22"/>
      <c r="AA99" s="22"/>
      <c r="AB99" s="22"/>
      <c r="AC99" s="22"/>
      <c r="AD99" s="19"/>
      <c r="AE99" s="14"/>
      <c r="AF99" s="72"/>
      <c r="AG99" s="49"/>
      <c r="AH99" s="49"/>
      <c r="AI99" s="50"/>
      <c r="AJ99" s="15"/>
      <c r="AK99" s="77"/>
      <c r="AL99" s="77"/>
      <c r="AM99" s="77"/>
      <c r="AN99" s="77"/>
      <c r="AO99" s="77"/>
      <c r="AP99" s="77"/>
      <c r="AQ99" s="77"/>
      <c r="AR99" s="77"/>
      <c r="AS99" s="77"/>
      <c r="AT99" s="77"/>
      <c r="AU99" s="77"/>
      <c r="AV99" s="77"/>
      <c r="AW99" s="77"/>
      <c r="AX99" s="77"/>
      <c r="AY99" s="77"/>
      <c r="AZ99" s="77"/>
      <c r="BA99" s="77"/>
      <c r="BB99" s="77"/>
      <c r="BC99" s="77"/>
      <c r="BD99" s="77"/>
      <c r="BE99" s="77"/>
      <c r="BF99" s="77"/>
      <c r="BG99" s="77"/>
      <c r="BH99" s="77"/>
      <c r="BI99" s="77"/>
      <c r="BJ99" s="77"/>
      <c r="BK99" s="77"/>
      <c r="BL99" s="77"/>
      <c r="BM99" s="77"/>
      <c r="BN99" s="77"/>
      <c r="BO99" s="77"/>
      <c r="BP99" s="77"/>
      <c r="BR99" s="123"/>
      <c r="BS99" s="120"/>
      <c r="BT99" s="120"/>
      <c r="BU99" s="2"/>
      <c r="BV99" s="2"/>
      <c r="BW99" s="2"/>
      <c r="BX99" s="121"/>
    </row>
    <row r="100" spans="1:76" ht="15" customHeight="1">
      <c r="A100" s="13">
        <v>5</v>
      </c>
      <c r="B100" s="88"/>
      <c r="C100" s="78"/>
      <c r="D100" s="89"/>
      <c r="E100" s="90"/>
      <c r="F100" s="66"/>
      <c r="G100" s="91"/>
      <c r="H100" s="92"/>
      <c r="I100" s="92"/>
      <c r="J100" s="68"/>
      <c r="K100" s="69"/>
      <c r="L100" s="70"/>
      <c r="M100" s="70"/>
      <c r="N100" s="71"/>
      <c r="O100" s="2"/>
      <c r="P100" s="2"/>
      <c r="Q100" s="2"/>
      <c r="R100" s="3"/>
      <c r="S100" s="4"/>
      <c r="T100" s="84"/>
      <c r="U100" s="85"/>
      <c r="V100" s="4"/>
      <c r="W100" s="4"/>
      <c r="X100" s="4"/>
      <c r="Y100" s="62"/>
      <c r="Z100" s="22"/>
      <c r="AA100" s="22"/>
      <c r="AB100" s="22"/>
      <c r="AC100" s="22"/>
      <c r="AD100" s="19"/>
      <c r="AE100" s="14"/>
      <c r="AF100" s="72"/>
      <c r="AG100" s="49"/>
      <c r="AH100" s="49"/>
      <c r="AI100" s="50"/>
      <c r="AJ100" s="15"/>
      <c r="AK100" s="77"/>
      <c r="AL100" s="77"/>
      <c r="AM100" s="77"/>
      <c r="AN100" s="77"/>
      <c r="AO100" s="77"/>
      <c r="AP100" s="77"/>
      <c r="AQ100" s="77"/>
      <c r="AR100" s="77"/>
      <c r="AS100" s="77"/>
      <c r="AT100" s="77"/>
      <c r="AU100" s="77"/>
      <c r="AV100" s="77"/>
      <c r="AW100" s="77"/>
      <c r="AX100" s="77"/>
      <c r="AY100" s="77"/>
      <c r="AZ100" s="77"/>
      <c r="BA100" s="77"/>
      <c r="BB100" s="77"/>
      <c r="BC100" s="77"/>
      <c r="BD100" s="77"/>
      <c r="BE100" s="77"/>
      <c r="BF100" s="77"/>
      <c r="BG100" s="77"/>
      <c r="BH100" s="77"/>
      <c r="BI100" s="77"/>
      <c r="BJ100" s="77"/>
      <c r="BK100" s="77"/>
      <c r="BL100" s="77"/>
      <c r="BM100" s="77"/>
      <c r="BN100" s="77"/>
      <c r="BO100" s="77"/>
      <c r="BP100" s="77"/>
      <c r="BR100" s="123"/>
      <c r="BS100" s="120"/>
      <c r="BT100" s="120"/>
      <c r="BU100" s="2"/>
      <c r="BV100" s="2"/>
      <c r="BW100" s="2"/>
      <c r="BX100" s="121"/>
    </row>
    <row r="101" spans="1:76" ht="15" customHeight="1">
      <c r="A101" s="13">
        <v>6</v>
      </c>
      <c r="B101" s="88"/>
      <c r="C101" s="78"/>
      <c r="D101" s="89"/>
      <c r="E101" s="90"/>
      <c r="F101" s="66"/>
      <c r="G101" s="91"/>
      <c r="H101" s="92"/>
      <c r="I101" s="92"/>
      <c r="J101" s="68"/>
      <c r="K101" s="69"/>
      <c r="L101" s="70"/>
      <c r="M101" s="70"/>
      <c r="N101" s="71"/>
      <c r="O101" s="2"/>
      <c r="P101" s="2"/>
      <c r="Q101" s="2"/>
      <c r="R101" s="3"/>
      <c r="S101" s="4"/>
      <c r="T101" s="84"/>
      <c r="U101" s="85"/>
      <c r="V101" s="4"/>
      <c r="W101" s="4"/>
      <c r="X101" s="4"/>
      <c r="Y101" s="62"/>
      <c r="Z101" s="22"/>
      <c r="AA101" s="22"/>
      <c r="AB101" s="22"/>
      <c r="AC101" s="22"/>
      <c r="AD101" s="19"/>
      <c r="AE101" s="14"/>
      <c r="AF101" s="72"/>
      <c r="AG101" s="49"/>
      <c r="AH101" s="49"/>
      <c r="AI101" s="50"/>
      <c r="AJ101" s="15"/>
      <c r="AK101" s="77"/>
      <c r="AL101" s="77"/>
      <c r="AM101" s="77"/>
      <c r="AN101" s="77"/>
      <c r="AO101" s="77"/>
      <c r="AP101" s="77"/>
      <c r="AQ101" s="77"/>
      <c r="AR101" s="77"/>
      <c r="AS101" s="77"/>
      <c r="AT101" s="77"/>
      <c r="AU101" s="77"/>
      <c r="AV101" s="77"/>
      <c r="AW101" s="77"/>
      <c r="AX101" s="77"/>
      <c r="AY101" s="77"/>
      <c r="AZ101" s="77"/>
      <c r="BA101" s="77"/>
      <c r="BB101" s="77"/>
      <c r="BC101" s="77"/>
      <c r="BD101" s="77"/>
      <c r="BE101" s="77"/>
      <c r="BF101" s="77"/>
      <c r="BG101" s="77"/>
      <c r="BH101" s="77"/>
      <c r="BI101" s="77"/>
      <c r="BJ101" s="77"/>
      <c r="BK101" s="77"/>
      <c r="BL101" s="77"/>
      <c r="BM101" s="77"/>
      <c r="BN101" s="77"/>
      <c r="BO101" s="77"/>
      <c r="BP101" s="77"/>
      <c r="BR101" s="123"/>
      <c r="BS101" s="120"/>
      <c r="BT101" s="120"/>
      <c r="BU101" s="2"/>
      <c r="BV101" s="2"/>
      <c r="BW101" s="2"/>
      <c r="BX101" s="121"/>
    </row>
    <row r="102" spans="1:76" ht="15" customHeight="1">
      <c r="A102" s="13">
        <v>7</v>
      </c>
      <c r="B102" s="88"/>
      <c r="C102" s="78"/>
      <c r="D102" s="89"/>
      <c r="E102" s="90"/>
      <c r="F102" s="66"/>
      <c r="G102" s="91"/>
      <c r="H102" s="92"/>
      <c r="I102" s="92"/>
      <c r="J102" s="68"/>
      <c r="K102" s="69"/>
      <c r="L102" s="70"/>
      <c r="M102" s="70"/>
      <c r="N102" s="71"/>
      <c r="O102" s="2"/>
      <c r="P102" s="2"/>
      <c r="Q102" s="2"/>
      <c r="R102" s="3"/>
      <c r="S102" s="4"/>
      <c r="T102" s="84"/>
      <c r="U102" s="85"/>
      <c r="V102" s="4"/>
      <c r="W102" s="4"/>
      <c r="X102" s="4"/>
      <c r="Y102" s="62"/>
      <c r="Z102" s="22"/>
      <c r="AA102" s="22"/>
      <c r="AB102" s="22"/>
      <c r="AC102" s="22"/>
      <c r="AD102" s="19"/>
      <c r="AE102" s="14"/>
      <c r="AF102" s="72"/>
      <c r="AG102" s="49"/>
      <c r="AH102" s="49"/>
      <c r="AI102" s="50"/>
      <c r="AJ102" s="15"/>
      <c r="AK102" s="77"/>
      <c r="AL102" s="77"/>
      <c r="AM102" s="77"/>
      <c r="AN102" s="77"/>
      <c r="AO102" s="77"/>
      <c r="AP102" s="77"/>
      <c r="AQ102" s="77"/>
      <c r="AR102" s="77"/>
      <c r="AS102" s="77"/>
      <c r="AT102" s="77"/>
      <c r="AU102" s="77"/>
      <c r="AV102" s="77"/>
      <c r="AW102" s="77"/>
      <c r="AX102" s="77"/>
      <c r="AY102" s="77"/>
      <c r="AZ102" s="77"/>
      <c r="BA102" s="77"/>
      <c r="BB102" s="77"/>
      <c r="BC102" s="77"/>
      <c r="BD102" s="77"/>
      <c r="BE102" s="77"/>
      <c r="BF102" s="77"/>
      <c r="BG102" s="77"/>
      <c r="BH102" s="77"/>
      <c r="BI102" s="77"/>
      <c r="BJ102" s="77"/>
      <c r="BK102" s="77"/>
      <c r="BL102" s="77"/>
      <c r="BM102" s="77"/>
      <c r="BN102" s="77"/>
      <c r="BO102" s="77"/>
      <c r="BP102" s="77"/>
      <c r="BR102" s="123"/>
      <c r="BS102" s="120"/>
      <c r="BT102" s="120"/>
      <c r="BU102" s="2"/>
      <c r="BV102" s="2"/>
      <c r="BW102" s="2"/>
      <c r="BX102" s="121"/>
    </row>
    <row r="103" spans="1:76" ht="15" customHeight="1">
      <c r="A103" s="13">
        <v>8</v>
      </c>
      <c r="B103" s="88"/>
      <c r="C103" s="78"/>
      <c r="D103" s="89"/>
      <c r="E103" s="90"/>
      <c r="F103" s="66"/>
      <c r="G103" s="91"/>
      <c r="H103" s="92"/>
      <c r="I103" s="92"/>
      <c r="J103" s="68"/>
      <c r="K103" s="69"/>
      <c r="L103" s="70"/>
      <c r="M103" s="70"/>
      <c r="N103" s="71"/>
      <c r="O103" s="2"/>
      <c r="P103" s="2"/>
      <c r="Q103" s="2"/>
      <c r="R103" s="3"/>
      <c r="S103" s="4"/>
      <c r="T103" s="84"/>
      <c r="U103" s="85"/>
      <c r="V103" s="4"/>
      <c r="W103" s="4"/>
      <c r="X103" s="4"/>
      <c r="Y103" s="62"/>
      <c r="Z103" s="22"/>
      <c r="AA103" s="22"/>
      <c r="AB103" s="22"/>
      <c r="AC103" s="22"/>
      <c r="AD103" s="19"/>
      <c r="AE103" s="14"/>
      <c r="AF103" s="72"/>
      <c r="AG103" s="49"/>
      <c r="AH103" s="49"/>
      <c r="AI103" s="50"/>
      <c r="AJ103" s="15"/>
      <c r="AK103" s="77"/>
      <c r="AL103" s="77"/>
      <c r="AM103" s="77"/>
      <c r="AN103" s="77"/>
      <c r="AO103" s="77"/>
      <c r="AP103" s="77"/>
      <c r="AQ103" s="77"/>
      <c r="AR103" s="77"/>
      <c r="AS103" s="77"/>
      <c r="AT103" s="77"/>
      <c r="AU103" s="77"/>
      <c r="AV103" s="77"/>
      <c r="AW103" s="77"/>
      <c r="AX103" s="77"/>
      <c r="AY103" s="77"/>
      <c r="AZ103" s="77"/>
      <c r="BA103" s="77"/>
      <c r="BB103" s="77"/>
      <c r="BC103" s="77"/>
      <c r="BD103" s="77"/>
      <c r="BE103" s="77"/>
      <c r="BF103" s="77"/>
      <c r="BG103" s="77"/>
      <c r="BH103" s="77"/>
      <c r="BI103" s="77"/>
      <c r="BJ103" s="77"/>
      <c r="BK103" s="77"/>
      <c r="BL103" s="77"/>
      <c r="BM103" s="77"/>
      <c r="BN103" s="77"/>
      <c r="BO103" s="77"/>
      <c r="BP103" s="77"/>
      <c r="BR103" s="123"/>
      <c r="BS103" s="120"/>
      <c r="BT103" s="120"/>
      <c r="BU103" s="2"/>
      <c r="BV103" s="2"/>
      <c r="BW103" s="2"/>
      <c r="BX103" s="121"/>
    </row>
    <row r="104" spans="1:76" ht="15" customHeight="1">
      <c r="A104" s="13">
        <v>9</v>
      </c>
      <c r="B104" s="88"/>
      <c r="C104" s="78"/>
      <c r="D104" s="89"/>
      <c r="E104" s="90"/>
      <c r="F104" s="66"/>
      <c r="G104" s="91"/>
      <c r="H104" s="92"/>
      <c r="I104" s="92"/>
      <c r="J104" s="68"/>
      <c r="K104" s="69"/>
      <c r="L104" s="70"/>
      <c r="M104" s="70"/>
      <c r="N104" s="71"/>
      <c r="O104" s="2"/>
      <c r="P104" s="2"/>
      <c r="Q104" s="2"/>
      <c r="R104" s="3"/>
      <c r="S104" s="4"/>
      <c r="T104" s="84"/>
      <c r="U104" s="85"/>
      <c r="V104" s="4"/>
      <c r="W104" s="4"/>
      <c r="X104" s="4"/>
      <c r="Y104" s="62"/>
      <c r="Z104" s="22"/>
      <c r="AA104" s="22"/>
      <c r="AB104" s="22"/>
      <c r="AC104" s="22"/>
      <c r="AD104" s="19"/>
      <c r="AE104" s="14"/>
      <c r="AF104" s="72"/>
      <c r="AG104" s="49"/>
      <c r="AH104" s="49"/>
      <c r="AI104" s="50"/>
      <c r="AJ104" s="15"/>
      <c r="AK104" s="77"/>
      <c r="AL104" s="77"/>
      <c r="AM104" s="77"/>
      <c r="AN104" s="77"/>
      <c r="AO104" s="77"/>
      <c r="AP104" s="77"/>
      <c r="AQ104" s="77"/>
      <c r="AR104" s="77"/>
      <c r="AS104" s="77"/>
      <c r="AT104" s="77"/>
      <c r="AU104" s="77"/>
      <c r="AV104" s="77"/>
      <c r="AW104" s="77"/>
      <c r="AX104" s="77"/>
      <c r="AY104" s="77"/>
      <c r="AZ104" s="77"/>
      <c r="BA104" s="77"/>
      <c r="BB104" s="77"/>
      <c r="BC104" s="77"/>
      <c r="BD104" s="77"/>
      <c r="BE104" s="77"/>
      <c r="BF104" s="77"/>
      <c r="BG104" s="77"/>
      <c r="BH104" s="77"/>
      <c r="BI104" s="77"/>
      <c r="BJ104" s="77"/>
      <c r="BK104" s="77"/>
      <c r="BL104" s="77"/>
      <c r="BM104" s="77"/>
      <c r="BN104" s="77"/>
      <c r="BO104" s="77"/>
      <c r="BP104" s="77"/>
      <c r="BR104" s="123"/>
      <c r="BS104" s="120"/>
      <c r="BT104" s="120"/>
      <c r="BU104" s="2"/>
      <c r="BV104" s="2"/>
      <c r="BW104" s="2"/>
      <c r="BX104" s="121"/>
    </row>
    <row r="105" spans="1:76" ht="15" customHeight="1">
      <c r="A105" s="13">
        <v>10</v>
      </c>
      <c r="B105" s="88"/>
      <c r="C105" s="78"/>
      <c r="D105" s="89"/>
      <c r="E105" s="90"/>
      <c r="F105" s="66"/>
      <c r="G105" s="91"/>
      <c r="H105" s="92"/>
      <c r="I105" s="92"/>
      <c r="J105" s="68"/>
      <c r="K105" s="69"/>
      <c r="L105" s="70"/>
      <c r="M105" s="70"/>
      <c r="N105" s="71"/>
      <c r="O105" s="2"/>
      <c r="P105" s="2"/>
      <c r="Q105" s="2"/>
      <c r="R105" s="3"/>
      <c r="S105" s="4"/>
      <c r="T105" s="84"/>
      <c r="U105" s="85"/>
      <c r="V105" s="4"/>
      <c r="W105" s="4"/>
      <c r="X105" s="4"/>
      <c r="Y105" s="62"/>
      <c r="Z105" s="22"/>
      <c r="AA105" s="22"/>
      <c r="AB105" s="22"/>
      <c r="AC105" s="22"/>
      <c r="AD105" s="19"/>
      <c r="AE105" s="14"/>
      <c r="AF105" s="72"/>
      <c r="AG105" s="49"/>
      <c r="AH105" s="49"/>
      <c r="AI105" s="50"/>
      <c r="AJ105" s="15"/>
      <c r="AK105" s="77"/>
      <c r="AL105" s="77"/>
      <c r="AM105" s="77"/>
      <c r="AN105" s="77"/>
      <c r="AO105" s="77"/>
      <c r="AP105" s="77"/>
      <c r="AQ105" s="77"/>
      <c r="AR105" s="77"/>
      <c r="AS105" s="77"/>
      <c r="AT105" s="77"/>
      <c r="AU105" s="77"/>
      <c r="AV105" s="77"/>
      <c r="AW105" s="77"/>
      <c r="AX105" s="77"/>
      <c r="AY105" s="77"/>
      <c r="AZ105" s="77"/>
      <c r="BA105" s="77"/>
      <c r="BB105" s="77"/>
      <c r="BC105" s="77"/>
      <c r="BD105" s="77"/>
      <c r="BE105" s="77"/>
      <c r="BF105" s="77"/>
      <c r="BG105" s="77"/>
      <c r="BH105" s="77"/>
      <c r="BI105" s="77"/>
      <c r="BJ105" s="77"/>
      <c r="BK105" s="77"/>
      <c r="BL105" s="77"/>
      <c r="BM105" s="77"/>
      <c r="BN105" s="77"/>
      <c r="BO105" s="77"/>
      <c r="BP105" s="77"/>
      <c r="BR105" s="123"/>
      <c r="BS105" s="120"/>
      <c r="BT105" s="120"/>
      <c r="BU105" s="2"/>
      <c r="BV105" s="2"/>
      <c r="BW105" s="2"/>
      <c r="BX105" s="121"/>
    </row>
    <row r="106" spans="1:76" ht="15" customHeight="1">
      <c r="A106" s="13">
        <v>11</v>
      </c>
      <c r="B106" s="88"/>
      <c r="C106" s="78"/>
      <c r="D106" s="89"/>
      <c r="E106" s="90"/>
      <c r="F106" s="66"/>
      <c r="G106" s="91"/>
      <c r="H106" s="92"/>
      <c r="I106" s="92"/>
      <c r="J106" s="68"/>
      <c r="K106" s="69"/>
      <c r="L106" s="70"/>
      <c r="M106" s="70"/>
      <c r="N106" s="71"/>
      <c r="O106" s="2"/>
      <c r="P106" s="2"/>
      <c r="Q106" s="2"/>
      <c r="R106" s="3"/>
      <c r="S106" s="4"/>
      <c r="T106" s="84"/>
      <c r="U106" s="85"/>
      <c r="V106" s="4"/>
      <c r="W106" s="4"/>
      <c r="X106" s="4"/>
      <c r="Y106" s="62"/>
      <c r="Z106" s="22"/>
      <c r="AA106" s="22"/>
      <c r="AB106" s="22"/>
      <c r="AC106" s="22"/>
      <c r="AD106" s="19"/>
      <c r="AE106" s="14"/>
      <c r="AF106" s="72"/>
      <c r="AG106" s="49"/>
      <c r="AH106" s="49"/>
      <c r="AI106" s="50"/>
      <c r="AJ106" s="15"/>
      <c r="AK106" s="77"/>
      <c r="AL106" s="77"/>
      <c r="AM106" s="77"/>
      <c r="AN106" s="77"/>
      <c r="AO106" s="77"/>
      <c r="AP106" s="77"/>
      <c r="AQ106" s="77"/>
      <c r="AR106" s="77"/>
      <c r="AS106" s="77"/>
      <c r="AT106" s="77"/>
      <c r="AU106" s="77"/>
      <c r="AV106" s="77"/>
      <c r="AW106" s="77"/>
      <c r="AX106" s="77"/>
      <c r="AY106" s="77"/>
      <c r="AZ106" s="77"/>
      <c r="BA106" s="77"/>
      <c r="BB106" s="77"/>
      <c r="BC106" s="77"/>
      <c r="BD106" s="77"/>
      <c r="BE106" s="77"/>
      <c r="BF106" s="77"/>
      <c r="BG106" s="77"/>
      <c r="BH106" s="77"/>
      <c r="BI106" s="77"/>
      <c r="BJ106" s="77"/>
      <c r="BK106" s="77"/>
      <c r="BL106" s="77"/>
      <c r="BM106" s="77"/>
      <c r="BN106" s="77"/>
      <c r="BO106" s="77"/>
      <c r="BP106" s="77"/>
      <c r="BR106" s="123"/>
      <c r="BS106" s="120"/>
      <c r="BT106" s="120"/>
      <c r="BU106" s="2"/>
      <c r="BV106" s="2"/>
      <c r="BW106" s="2"/>
      <c r="BX106" s="121"/>
    </row>
    <row r="107" spans="1:76" ht="15" customHeight="1">
      <c r="A107" s="13"/>
      <c r="B107" s="88"/>
      <c r="C107" s="78" t="s">
        <v>132</v>
      </c>
      <c r="D107" s="89" t="s">
        <v>117</v>
      </c>
      <c r="E107" s="90"/>
      <c r="F107" s="66" t="s">
        <v>44</v>
      </c>
      <c r="G107" s="91">
        <v>1.74</v>
      </c>
      <c r="H107" s="92" t="str">
        <f>IF(OOC!S107=0,"",OOC!S107)</f>
        <v/>
      </c>
      <c r="I107" s="92" t="str">
        <f>IF(OOC!T107=0,"",OOC!T107)</f>
        <v/>
      </c>
      <c r="J107" s="68" t="s">
        <v>12</v>
      </c>
      <c r="K107" s="69" t="s">
        <v>80</v>
      </c>
      <c r="L107" s="70" t="e">
        <f t="shared" si="0"/>
        <v>#VALUE!</v>
      </c>
      <c r="M107" s="70" t="e">
        <f t="shared" si="1"/>
        <v>#VALUE!</v>
      </c>
      <c r="N107" s="71"/>
      <c r="O107" s="2" t="e">
        <f t="shared" si="2"/>
        <v>#REF!</v>
      </c>
      <c r="P107" s="2" t="e">
        <f t="shared" si="3"/>
        <v>#REF!</v>
      </c>
      <c r="Q107" s="2" t="e">
        <f t="shared" si="4"/>
        <v>#REF!</v>
      </c>
      <c r="R107" s="3" t="e">
        <f t="shared" si="5"/>
        <v>#REF!</v>
      </c>
      <c r="S107" s="4" t="e">
        <f t="shared" si="10"/>
        <v>#REF!</v>
      </c>
      <c r="T107" s="84" t="e">
        <f t="shared" si="11"/>
        <v>#REF!</v>
      </c>
      <c r="U107" s="85" t="e">
        <f t="shared" si="12"/>
        <v>#REF!</v>
      </c>
      <c r="V107" s="4" t="e">
        <f t="shared" si="6"/>
        <v>#REF!</v>
      </c>
      <c r="W107" s="4" t="e">
        <f t="shared" si="7"/>
        <v>#REF!</v>
      </c>
      <c r="X107" s="4" t="e">
        <f t="shared" si="8"/>
        <v>#REF!</v>
      </c>
      <c r="Y107" s="62" t="e">
        <f t="shared" si="9"/>
        <v>#REF!</v>
      </c>
      <c r="Z107" s="22"/>
      <c r="AA107" s="22"/>
      <c r="AB107" s="22"/>
      <c r="AC107" s="22"/>
      <c r="AD107" s="19"/>
      <c r="AE107" s="14"/>
      <c r="AF107" s="74"/>
      <c r="AG107" s="49"/>
      <c r="AH107" s="49"/>
      <c r="AI107" s="50"/>
      <c r="AJ107" s="15"/>
      <c r="AK107" s="77" t="e">
        <f>#REF!</f>
        <v>#REF!</v>
      </c>
      <c r="AL107" s="77" t="e">
        <f>#REF!</f>
        <v>#REF!</v>
      </c>
      <c r="AM107" s="77" t="e">
        <f>#REF!</f>
        <v>#REF!</v>
      </c>
      <c r="AN107" s="77"/>
      <c r="AO107" s="77"/>
      <c r="AP107" s="77"/>
      <c r="AQ107" s="77"/>
      <c r="AR107" s="77"/>
      <c r="AS107" s="77"/>
      <c r="AT107" s="77"/>
      <c r="AU107" s="77"/>
      <c r="AV107" s="77"/>
      <c r="AW107" s="77"/>
      <c r="AX107" s="77"/>
      <c r="AY107" s="77"/>
      <c r="AZ107" s="77"/>
      <c r="BA107" s="77"/>
      <c r="BB107" s="77"/>
      <c r="BC107" s="77"/>
      <c r="BD107" s="77"/>
      <c r="BE107" s="77"/>
      <c r="BF107" s="77"/>
      <c r="BG107" s="77"/>
      <c r="BH107" s="77"/>
      <c r="BI107" s="77"/>
      <c r="BJ107" s="77"/>
      <c r="BK107" s="77"/>
      <c r="BL107" s="77"/>
      <c r="BM107" s="77"/>
      <c r="BN107" s="77"/>
      <c r="BO107" s="77"/>
      <c r="BP107" s="77"/>
      <c r="BR107" s="123" t="str">
        <f t="shared" si="13"/>
        <v>FAI 54</v>
      </c>
      <c r="BS107" s="120">
        <f>OOC!G107</f>
        <v>1.77</v>
      </c>
      <c r="BT107" s="120">
        <f>OOC!H107</f>
        <v>1.71</v>
      </c>
      <c r="BU107" s="2" t="e">
        <f t="shared" si="14"/>
        <v>#REF!</v>
      </c>
      <c r="BV107" s="2" t="e">
        <f t="shared" si="15"/>
        <v>#REF!</v>
      </c>
      <c r="BW107" s="2" t="e">
        <f t="shared" si="16"/>
        <v>#REF!</v>
      </c>
      <c r="BX107" s="121" t="e">
        <f>IF(AND(IF(OOC!G107="",0,OOC!G107) &gt;= IF(O107="",0,O107), IF(O107="",0,O107) &gt; IF(L107="",0,L107)), "OOC",
IF(AND(IF(M107="",0,M107) &gt; IF(P107="",0,P107), IF(P107="",0,P107) &gt;= IF(OOC!H107="",0,OOC!H107)), "OOC",
IF(IF(O107="",0,O107) &gt; IF(OOC!G107="",0,OOC!G107), "OOS",
IF(IF(OOC!H107="",0,OOC!H107) &gt; IF(P107="",0,P107), "OOS", "OK"))))</f>
        <v>#REF!</v>
      </c>
    </row>
    <row r="108" spans="1:76" ht="15" customHeight="1">
      <c r="A108" s="13"/>
      <c r="B108" s="88"/>
      <c r="C108" s="78" t="s">
        <v>133</v>
      </c>
      <c r="D108" s="89" t="s">
        <v>117</v>
      </c>
      <c r="E108" s="90"/>
      <c r="F108" s="66" t="s">
        <v>44</v>
      </c>
      <c r="G108" s="91">
        <v>1.74</v>
      </c>
      <c r="H108" s="92" t="str">
        <f>IF(OOC!S108=0,"",OOC!S108)</f>
        <v/>
      </c>
      <c r="I108" s="92" t="str">
        <f>IF(OOC!T108=0,"",OOC!T108)</f>
        <v/>
      </c>
      <c r="J108" s="68" t="s">
        <v>12</v>
      </c>
      <c r="K108" s="69" t="s">
        <v>80</v>
      </c>
      <c r="L108" s="70" t="e">
        <f t="shared" si="0"/>
        <v>#VALUE!</v>
      </c>
      <c r="M108" s="70" t="e">
        <f t="shared" si="1"/>
        <v>#VALUE!</v>
      </c>
      <c r="N108" s="71"/>
      <c r="O108" s="2" t="e">
        <f t="shared" si="2"/>
        <v>#REF!</v>
      </c>
      <c r="P108" s="2" t="e">
        <f t="shared" si="3"/>
        <v>#REF!</v>
      </c>
      <c r="Q108" s="2" t="e">
        <f t="shared" si="4"/>
        <v>#REF!</v>
      </c>
      <c r="R108" s="3" t="e">
        <f t="shared" si="5"/>
        <v>#REF!</v>
      </c>
      <c r="S108" s="4" t="e">
        <f t="shared" si="10"/>
        <v>#REF!</v>
      </c>
      <c r="T108" s="84" t="e">
        <f t="shared" si="11"/>
        <v>#REF!</v>
      </c>
      <c r="U108" s="85" t="e">
        <f t="shared" si="12"/>
        <v>#REF!</v>
      </c>
      <c r="V108" s="4" t="e">
        <f t="shared" si="6"/>
        <v>#REF!</v>
      </c>
      <c r="W108" s="4" t="e">
        <f t="shared" si="7"/>
        <v>#REF!</v>
      </c>
      <c r="X108" s="4" t="e">
        <f t="shared" si="8"/>
        <v>#REF!</v>
      </c>
      <c r="Y108" s="62" t="e">
        <f t="shared" si="9"/>
        <v>#REF!</v>
      </c>
      <c r="Z108" s="22"/>
      <c r="AA108" s="22"/>
      <c r="AB108" s="22"/>
      <c r="AC108" s="22"/>
      <c r="AD108" s="19"/>
      <c r="AE108" s="14"/>
      <c r="AF108" s="74"/>
      <c r="AG108" s="49"/>
      <c r="AH108" s="49"/>
      <c r="AI108" s="50"/>
      <c r="AJ108" s="15"/>
      <c r="AK108" s="77" t="e">
        <f>#REF!</f>
        <v>#REF!</v>
      </c>
      <c r="AL108" s="77" t="e">
        <f>#REF!</f>
        <v>#REF!</v>
      </c>
      <c r="AM108" s="77" t="e">
        <f>#REF!</f>
        <v>#REF!</v>
      </c>
      <c r="AN108" s="77"/>
      <c r="AO108" s="77"/>
      <c r="AP108" s="77"/>
      <c r="AQ108" s="77"/>
      <c r="AR108" s="77"/>
      <c r="AS108" s="77"/>
      <c r="AT108" s="77"/>
      <c r="AU108" s="77"/>
      <c r="AV108" s="77"/>
      <c r="AW108" s="77"/>
      <c r="AX108" s="77"/>
      <c r="AY108" s="77"/>
      <c r="AZ108" s="77"/>
      <c r="BA108" s="77"/>
      <c r="BB108" s="77"/>
      <c r="BC108" s="77"/>
      <c r="BD108" s="77"/>
      <c r="BE108" s="77"/>
      <c r="BF108" s="77"/>
      <c r="BG108" s="77"/>
      <c r="BH108" s="77"/>
      <c r="BI108" s="77"/>
      <c r="BJ108" s="77"/>
      <c r="BK108" s="77"/>
      <c r="BL108" s="77"/>
      <c r="BM108" s="77"/>
      <c r="BN108" s="77"/>
      <c r="BO108" s="77"/>
      <c r="BP108" s="77"/>
      <c r="BR108" s="123" t="str">
        <f t="shared" si="13"/>
        <v>FAI 55</v>
      </c>
      <c r="BS108" s="120">
        <f>OOC!G108</f>
        <v>1.77</v>
      </c>
      <c r="BT108" s="120">
        <f>OOC!H108</f>
        <v>1.71</v>
      </c>
      <c r="BU108" s="2" t="e">
        <f t="shared" si="14"/>
        <v>#REF!</v>
      </c>
      <c r="BV108" s="2" t="e">
        <f t="shared" si="15"/>
        <v>#REF!</v>
      </c>
      <c r="BW108" s="2" t="e">
        <f t="shared" si="16"/>
        <v>#REF!</v>
      </c>
      <c r="BX108" s="121" t="e">
        <f>IF(AND(IF(OOC!G108="",0,OOC!G108) &gt;= IF(O108="",0,O108), IF(O108="",0,O108) &gt; IF(L108="",0,L108)), "OOC",
IF(AND(IF(M108="",0,M108) &gt; IF(P108="",0,P108), IF(P108="",0,P108) &gt;= IF(OOC!H108="",0,OOC!H108)), "OOC",
IF(IF(O108="",0,O108) &gt; IF(OOC!G108="",0,OOC!G108), "OOS",
IF(IF(OOC!H108="",0,OOC!H108) &gt; IF(P108="",0,P108), "OOS", "OK"))))</f>
        <v>#REF!</v>
      </c>
    </row>
    <row r="109" spans="1:76" ht="15" customHeight="1">
      <c r="A109" s="13"/>
      <c r="B109" s="88"/>
      <c r="C109" s="78" t="s">
        <v>134</v>
      </c>
      <c r="D109" s="89" t="s">
        <v>117</v>
      </c>
      <c r="E109" s="90"/>
      <c r="F109" s="66" t="s">
        <v>44</v>
      </c>
      <c r="G109" s="91">
        <v>10.772</v>
      </c>
      <c r="H109" s="92" t="str">
        <f>IF(OOC!S109=0,"",OOC!S109)</f>
        <v/>
      </c>
      <c r="I109" s="92" t="str">
        <f>IF(OOC!T109=0,"",OOC!T109)</f>
        <v/>
      </c>
      <c r="J109" s="68" t="s">
        <v>12</v>
      </c>
      <c r="K109" s="69" t="s">
        <v>80</v>
      </c>
      <c r="L109" s="70" t="e">
        <f t="shared" si="0"/>
        <v>#VALUE!</v>
      </c>
      <c r="M109" s="70" t="e">
        <f t="shared" si="1"/>
        <v>#VALUE!</v>
      </c>
      <c r="N109" s="71"/>
      <c r="O109" s="2" t="e">
        <f t="shared" si="2"/>
        <v>#REF!</v>
      </c>
      <c r="P109" s="2" t="e">
        <f t="shared" si="3"/>
        <v>#REF!</v>
      </c>
      <c r="Q109" s="2" t="e">
        <f t="shared" si="4"/>
        <v>#REF!</v>
      </c>
      <c r="R109" s="3" t="e">
        <f t="shared" si="5"/>
        <v>#REF!</v>
      </c>
      <c r="S109" s="4" t="e">
        <f t="shared" si="10"/>
        <v>#REF!</v>
      </c>
      <c r="T109" s="84" t="e">
        <f t="shared" si="11"/>
        <v>#REF!</v>
      </c>
      <c r="U109" s="85" t="e">
        <f t="shared" si="12"/>
        <v>#REF!</v>
      </c>
      <c r="V109" s="4" t="e">
        <f t="shared" si="6"/>
        <v>#REF!</v>
      </c>
      <c r="W109" s="4" t="e">
        <f t="shared" si="7"/>
        <v>#REF!</v>
      </c>
      <c r="X109" s="4" t="e">
        <f t="shared" si="8"/>
        <v>#REF!</v>
      </c>
      <c r="Y109" s="62" t="e">
        <f t="shared" si="9"/>
        <v>#REF!</v>
      </c>
      <c r="Z109" s="22"/>
      <c r="AA109" s="22"/>
      <c r="AB109" s="22"/>
      <c r="AC109" s="22"/>
      <c r="AD109" s="19"/>
      <c r="AE109" s="14"/>
      <c r="AF109" s="72"/>
      <c r="AG109" s="49"/>
      <c r="AH109" s="49"/>
      <c r="AI109" s="50"/>
      <c r="AJ109" s="15"/>
      <c r="AK109" s="77" t="e">
        <f>#REF!</f>
        <v>#REF!</v>
      </c>
      <c r="AL109" s="77" t="e">
        <f>#REF!</f>
        <v>#REF!</v>
      </c>
      <c r="AM109" s="77" t="e">
        <f>#REF!</f>
        <v>#REF!</v>
      </c>
      <c r="AN109" s="77"/>
      <c r="AO109" s="77"/>
      <c r="AP109" s="77"/>
      <c r="AQ109" s="77"/>
      <c r="AR109" s="77"/>
      <c r="AS109" s="77"/>
      <c r="AT109" s="77"/>
      <c r="AU109" s="77"/>
      <c r="AV109" s="77"/>
      <c r="AW109" s="77"/>
      <c r="AX109" s="77"/>
      <c r="AY109" s="77"/>
      <c r="AZ109" s="77"/>
      <c r="BA109" s="77"/>
      <c r="BB109" s="77"/>
      <c r="BC109" s="77"/>
      <c r="BD109" s="77"/>
      <c r="BE109" s="77"/>
      <c r="BF109" s="77"/>
      <c r="BG109" s="77"/>
      <c r="BH109" s="77"/>
      <c r="BI109" s="77"/>
      <c r="BJ109" s="77"/>
      <c r="BK109" s="77"/>
      <c r="BL109" s="77"/>
      <c r="BM109" s="77"/>
      <c r="BN109" s="77"/>
      <c r="BO109" s="77"/>
      <c r="BP109" s="77"/>
      <c r="BR109" s="123" t="str">
        <f t="shared" si="13"/>
        <v>FAI 56</v>
      </c>
      <c r="BS109" s="120">
        <f>OOC!G109</f>
        <v>10.802</v>
      </c>
      <c r="BT109" s="120">
        <f>OOC!H109</f>
        <v>10.742000000000001</v>
      </c>
      <c r="BU109" s="2" t="e">
        <f t="shared" si="14"/>
        <v>#REF!</v>
      </c>
      <c r="BV109" s="2" t="e">
        <f t="shared" si="15"/>
        <v>#REF!</v>
      </c>
      <c r="BW109" s="2" t="e">
        <f t="shared" si="16"/>
        <v>#REF!</v>
      </c>
      <c r="BX109" s="121" t="e">
        <f>IF(AND(IF(OOC!G109="",0,OOC!G109) &gt;= IF(O109="",0,O109), IF(O109="",0,O109) &gt; IF(L109="",0,L109)), "OOC",
IF(AND(IF(M109="",0,M109) &gt; IF(P109="",0,P109), IF(P109="",0,P109) &gt;= IF(OOC!H109="",0,OOC!H109)), "OOC",
IF(IF(O109="",0,O109) &gt; IF(OOC!G109="",0,OOC!G109), "OOS",
IF(IF(OOC!H109="",0,OOC!H109) &gt; IF(P109="",0,P109), "OOS", "OK"))))</f>
        <v>#REF!</v>
      </c>
    </row>
    <row r="110" spans="1:76" ht="15" customHeight="1">
      <c r="A110" s="13"/>
      <c r="B110" s="88"/>
      <c r="C110" s="78" t="s">
        <v>135</v>
      </c>
      <c r="D110" s="89" t="s">
        <v>117</v>
      </c>
      <c r="E110" s="90"/>
      <c r="F110" s="66" t="s">
        <v>44</v>
      </c>
      <c r="G110" s="91">
        <v>14.853999999999999</v>
      </c>
      <c r="H110" s="92" t="str">
        <f>IF(OOC!S110=0,"",OOC!S110)</f>
        <v/>
      </c>
      <c r="I110" s="92" t="str">
        <f>IF(OOC!T110=0,"",OOC!T110)</f>
        <v/>
      </c>
      <c r="J110" s="68" t="s">
        <v>12</v>
      </c>
      <c r="K110" s="69" t="s">
        <v>80</v>
      </c>
      <c r="L110" s="70" t="e">
        <f t="shared" si="0"/>
        <v>#VALUE!</v>
      </c>
      <c r="M110" s="70" t="e">
        <f t="shared" si="1"/>
        <v>#VALUE!</v>
      </c>
      <c r="N110" s="71"/>
      <c r="O110" s="2" t="e">
        <f t="shared" si="2"/>
        <v>#REF!</v>
      </c>
      <c r="P110" s="2" t="e">
        <f t="shared" si="3"/>
        <v>#REF!</v>
      </c>
      <c r="Q110" s="2" t="e">
        <f t="shared" si="4"/>
        <v>#REF!</v>
      </c>
      <c r="R110" s="3" t="e">
        <f t="shared" si="5"/>
        <v>#REF!</v>
      </c>
      <c r="S110" s="4" t="e">
        <f t="shared" si="10"/>
        <v>#REF!</v>
      </c>
      <c r="T110" s="84" t="e">
        <f t="shared" si="11"/>
        <v>#REF!</v>
      </c>
      <c r="U110" s="85" t="e">
        <f t="shared" si="12"/>
        <v>#REF!</v>
      </c>
      <c r="V110" s="4" t="e">
        <f t="shared" si="6"/>
        <v>#REF!</v>
      </c>
      <c r="W110" s="4" t="e">
        <f t="shared" si="7"/>
        <v>#REF!</v>
      </c>
      <c r="X110" s="4" t="e">
        <f t="shared" si="8"/>
        <v>#REF!</v>
      </c>
      <c r="Y110" s="62" t="e">
        <f t="shared" si="9"/>
        <v>#REF!</v>
      </c>
      <c r="Z110" s="22"/>
      <c r="AA110" s="22"/>
      <c r="AB110" s="22"/>
      <c r="AC110" s="22"/>
      <c r="AD110" s="19"/>
      <c r="AE110" s="14"/>
      <c r="AF110" s="72"/>
      <c r="AG110" s="49"/>
      <c r="AH110" s="49"/>
      <c r="AI110" s="50"/>
      <c r="AJ110" s="15"/>
      <c r="AK110" s="77" t="e">
        <f>#REF!</f>
        <v>#REF!</v>
      </c>
      <c r="AL110" s="77" t="e">
        <f>#REF!</f>
        <v>#REF!</v>
      </c>
      <c r="AM110" s="77" t="e">
        <f>#REF!</f>
        <v>#REF!</v>
      </c>
      <c r="AN110" s="77"/>
      <c r="AO110" s="77"/>
      <c r="AP110" s="77"/>
      <c r="AQ110" s="77"/>
      <c r="AR110" s="77"/>
      <c r="AS110" s="77"/>
      <c r="AT110" s="77"/>
      <c r="AU110" s="77"/>
      <c r="AV110" s="77"/>
      <c r="AW110" s="77"/>
      <c r="AX110" s="77"/>
      <c r="AY110" s="77"/>
      <c r="AZ110" s="77"/>
      <c r="BA110" s="77"/>
      <c r="BB110" s="77"/>
      <c r="BC110" s="77"/>
      <c r="BD110" s="77"/>
      <c r="BE110" s="77"/>
      <c r="BF110" s="77"/>
      <c r="BG110" s="77"/>
      <c r="BH110" s="77"/>
      <c r="BI110" s="77"/>
      <c r="BJ110" s="77"/>
      <c r="BK110" s="77"/>
      <c r="BL110" s="77"/>
      <c r="BM110" s="77"/>
      <c r="BN110" s="77"/>
      <c r="BO110" s="77"/>
      <c r="BP110" s="77"/>
      <c r="BR110" s="123" t="str">
        <f t="shared" si="13"/>
        <v>FAI 57</v>
      </c>
      <c r="BS110" s="120">
        <f>OOC!G110</f>
        <v>14.883999999999999</v>
      </c>
      <c r="BT110" s="120">
        <f>OOC!H110</f>
        <v>14.824</v>
      </c>
      <c r="BU110" s="2" t="e">
        <f t="shared" si="14"/>
        <v>#REF!</v>
      </c>
      <c r="BV110" s="2" t="e">
        <f t="shared" si="15"/>
        <v>#REF!</v>
      </c>
      <c r="BW110" s="2" t="e">
        <f t="shared" si="16"/>
        <v>#REF!</v>
      </c>
      <c r="BX110" s="121" t="e">
        <f>IF(AND(IF(OOC!G110="",0,OOC!G110) &gt;= IF(O110="",0,O110), IF(O110="",0,O110) &gt; IF(L110="",0,L110)), "OOC",
IF(AND(IF(M110="",0,M110) &gt; IF(P110="",0,P110), IF(P110="",0,P110) &gt;= IF(OOC!H110="",0,OOC!H110)), "OOC",
IF(IF(O110="",0,O110) &gt; IF(OOC!G110="",0,OOC!G110), "OOS",
IF(IF(OOC!H110="",0,OOC!H110) &gt; IF(P110="",0,P110), "OOS", "OK"))))</f>
        <v>#REF!</v>
      </c>
    </row>
    <row r="111" spans="1:76" ht="15" customHeight="1">
      <c r="A111" s="13"/>
      <c r="B111" s="88"/>
      <c r="C111" s="78" t="s">
        <v>136</v>
      </c>
      <c r="D111" s="89" t="s">
        <v>117</v>
      </c>
      <c r="E111" s="90"/>
      <c r="F111" s="66" t="s">
        <v>44</v>
      </c>
      <c r="G111" s="91">
        <v>13.27</v>
      </c>
      <c r="H111" s="92" t="str">
        <f>IF(OOC!S111=0,"",OOC!S111)</f>
        <v/>
      </c>
      <c r="I111" s="92" t="str">
        <f>IF(OOC!T111=0,"",OOC!T111)</f>
        <v/>
      </c>
      <c r="J111" s="68" t="s">
        <v>12</v>
      </c>
      <c r="K111" s="69" t="s">
        <v>80</v>
      </c>
      <c r="L111" s="70" t="e">
        <f t="shared" si="0"/>
        <v>#VALUE!</v>
      </c>
      <c r="M111" s="70" t="e">
        <f t="shared" si="1"/>
        <v>#VALUE!</v>
      </c>
      <c r="N111" s="71"/>
      <c r="O111" s="2" t="e">
        <f t="shared" si="2"/>
        <v>#REF!</v>
      </c>
      <c r="P111" s="2" t="e">
        <f t="shared" si="3"/>
        <v>#REF!</v>
      </c>
      <c r="Q111" s="2" t="e">
        <f t="shared" si="4"/>
        <v>#REF!</v>
      </c>
      <c r="R111" s="3" t="e">
        <f t="shared" si="5"/>
        <v>#REF!</v>
      </c>
      <c r="S111" s="4" t="e">
        <f t="shared" si="10"/>
        <v>#REF!</v>
      </c>
      <c r="T111" s="84" t="e">
        <f t="shared" si="11"/>
        <v>#REF!</v>
      </c>
      <c r="U111" s="85" t="e">
        <f t="shared" si="12"/>
        <v>#REF!</v>
      </c>
      <c r="V111" s="4" t="e">
        <f t="shared" si="6"/>
        <v>#REF!</v>
      </c>
      <c r="W111" s="4" t="e">
        <f t="shared" si="7"/>
        <v>#REF!</v>
      </c>
      <c r="X111" s="4" t="e">
        <f t="shared" si="8"/>
        <v>#REF!</v>
      </c>
      <c r="Y111" s="62" t="e">
        <f t="shared" si="9"/>
        <v>#REF!</v>
      </c>
      <c r="Z111" s="22"/>
      <c r="AA111" s="22"/>
      <c r="AB111" s="22"/>
      <c r="AC111" s="22"/>
      <c r="AD111" s="19"/>
      <c r="AE111" s="14"/>
      <c r="AF111" s="72"/>
      <c r="AG111" s="49"/>
      <c r="AH111" s="49"/>
      <c r="AI111" s="50"/>
      <c r="AJ111" s="15"/>
      <c r="AK111" s="77" t="e">
        <f>#REF!</f>
        <v>#REF!</v>
      </c>
      <c r="AL111" s="77" t="e">
        <f>#REF!</f>
        <v>#REF!</v>
      </c>
      <c r="AM111" s="77" t="e">
        <f>#REF!</f>
        <v>#REF!</v>
      </c>
      <c r="AN111" s="77"/>
      <c r="AO111" s="77"/>
      <c r="AP111" s="77"/>
      <c r="AQ111" s="77"/>
      <c r="AR111" s="77"/>
      <c r="AS111" s="77"/>
      <c r="AT111" s="77"/>
      <c r="AU111" s="77"/>
      <c r="AV111" s="77"/>
      <c r="AW111" s="77"/>
      <c r="AX111" s="77"/>
      <c r="AY111" s="77"/>
      <c r="AZ111" s="77"/>
      <c r="BA111" s="77"/>
      <c r="BB111" s="77"/>
      <c r="BC111" s="77"/>
      <c r="BD111" s="77"/>
      <c r="BE111" s="77"/>
      <c r="BF111" s="77"/>
      <c r="BG111" s="77"/>
      <c r="BH111" s="77"/>
      <c r="BI111" s="77"/>
      <c r="BJ111" s="77"/>
      <c r="BK111" s="77"/>
      <c r="BL111" s="77"/>
      <c r="BM111" s="77"/>
      <c r="BN111" s="77"/>
      <c r="BO111" s="77"/>
      <c r="BP111" s="77"/>
      <c r="BR111" s="123" t="str">
        <f t="shared" si="13"/>
        <v>FAI 58</v>
      </c>
      <c r="BS111" s="120">
        <f>OOC!G111</f>
        <v>13.299999999999999</v>
      </c>
      <c r="BT111" s="120">
        <f>OOC!H111</f>
        <v>13.24</v>
      </c>
      <c r="BU111" s="2" t="e">
        <f t="shared" si="14"/>
        <v>#REF!</v>
      </c>
      <c r="BV111" s="2" t="e">
        <f t="shared" si="15"/>
        <v>#REF!</v>
      </c>
      <c r="BW111" s="2" t="e">
        <f t="shared" si="16"/>
        <v>#REF!</v>
      </c>
      <c r="BX111" s="121" t="e">
        <f>IF(AND(IF(OOC!G111="",0,OOC!G111) &gt;= IF(O111="",0,O111), IF(O111="",0,O111) &gt; IF(L111="",0,L111)), "OOC",
IF(AND(IF(M111="",0,M111) &gt; IF(P111="",0,P111), IF(P111="",0,P111) &gt;= IF(OOC!H111="",0,OOC!H111)), "OOC",
IF(IF(O111="",0,O111) &gt; IF(OOC!G111="",0,OOC!G111), "OOS",
IF(IF(OOC!H111="",0,OOC!H111) &gt; IF(P111="",0,P111), "OOS", "OK"))))</f>
        <v>#REF!</v>
      </c>
    </row>
    <row r="112" spans="1:76" ht="15" customHeight="1">
      <c r="A112" s="13"/>
      <c r="B112" s="88"/>
      <c r="C112" s="94" t="s">
        <v>137</v>
      </c>
      <c r="D112" s="89" t="s">
        <v>117</v>
      </c>
      <c r="E112" s="90"/>
      <c r="F112" s="66" t="s">
        <v>44</v>
      </c>
      <c r="G112" s="67">
        <v>0.64200000000000002</v>
      </c>
      <c r="H112" s="92" t="str">
        <f>IF(OOC!S112=0,"",OOC!S112)</f>
        <v/>
      </c>
      <c r="I112" s="92" t="str">
        <f>IF(OOC!T112=0,"",OOC!T112)</f>
        <v/>
      </c>
      <c r="J112" s="68" t="s">
        <v>12</v>
      </c>
      <c r="K112" s="69" t="s">
        <v>80</v>
      </c>
      <c r="L112" s="70" t="e">
        <f t="shared" si="0"/>
        <v>#VALUE!</v>
      </c>
      <c r="M112" s="70" t="e">
        <f t="shared" si="1"/>
        <v>#VALUE!</v>
      </c>
      <c r="N112" s="71"/>
      <c r="O112" s="2" t="e">
        <f t="shared" si="2"/>
        <v>#REF!</v>
      </c>
      <c r="P112" s="2" t="e">
        <f t="shared" si="3"/>
        <v>#REF!</v>
      </c>
      <c r="Q112" s="2" t="e">
        <f t="shared" si="4"/>
        <v>#REF!</v>
      </c>
      <c r="R112" s="3" t="e">
        <f t="shared" si="5"/>
        <v>#REF!</v>
      </c>
      <c r="S112" s="4" t="e">
        <f t="shared" si="10"/>
        <v>#REF!</v>
      </c>
      <c r="T112" s="84" t="e">
        <f t="shared" si="11"/>
        <v>#REF!</v>
      </c>
      <c r="U112" s="85" t="e">
        <f t="shared" si="12"/>
        <v>#REF!</v>
      </c>
      <c r="V112" s="4" t="e">
        <f t="shared" si="6"/>
        <v>#REF!</v>
      </c>
      <c r="W112" s="4" t="e">
        <f t="shared" si="7"/>
        <v>#REF!</v>
      </c>
      <c r="X112" s="4" t="e">
        <f t="shared" si="8"/>
        <v>#REF!</v>
      </c>
      <c r="Y112" s="62" t="e">
        <f t="shared" si="9"/>
        <v>#REF!</v>
      </c>
      <c r="Z112" s="22"/>
      <c r="AA112" s="22"/>
      <c r="AB112" s="22"/>
      <c r="AC112" s="22"/>
      <c r="AD112" s="19"/>
      <c r="AE112" s="14"/>
      <c r="AF112" s="72"/>
      <c r="AG112" s="49"/>
      <c r="AH112" s="49"/>
      <c r="AI112" s="50"/>
      <c r="AJ112" s="15"/>
      <c r="AK112" s="77" t="e">
        <f>#REF!</f>
        <v>#REF!</v>
      </c>
      <c r="AL112" s="77" t="e">
        <f>#REF!</f>
        <v>#REF!</v>
      </c>
      <c r="AM112" s="77" t="e">
        <f>#REF!</f>
        <v>#REF!</v>
      </c>
      <c r="AN112" s="77"/>
      <c r="AO112" s="77"/>
      <c r="AP112" s="77"/>
      <c r="AQ112" s="77"/>
      <c r="AR112" s="77"/>
      <c r="AS112" s="77"/>
      <c r="AT112" s="77"/>
      <c r="AU112" s="77"/>
      <c r="AV112" s="77"/>
      <c r="AW112" s="77"/>
      <c r="AX112" s="77"/>
      <c r="AY112" s="77"/>
      <c r="AZ112" s="77"/>
      <c r="BA112" s="77"/>
      <c r="BB112" s="77"/>
      <c r="BC112" s="77"/>
      <c r="BD112" s="77"/>
      <c r="BE112" s="77"/>
      <c r="BF112" s="77"/>
      <c r="BG112" s="77"/>
      <c r="BH112" s="77"/>
      <c r="BI112" s="77"/>
      <c r="BJ112" s="77"/>
      <c r="BK112" s="77"/>
      <c r="BL112" s="77"/>
      <c r="BM112" s="77"/>
      <c r="BN112" s="77"/>
      <c r="BO112" s="77"/>
      <c r="BP112" s="77"/>
      <c r="BR112" s="123" t="str">
        <f t="shared" si="13"/>
        <v>FAI 59</v>
      </c>
      <c r="BS112" s="120">
        <f>OOC!G112</f>
        <v>0.67200000000000004</v>
      </c>
      <c r="BT112" s="120">
        <f>OOC!H112</f>
        <v>0.61199999999999999</v>
      </c>
      <c r="BU112" s="2" t="e">
        <f t="shared" si="14"/>
        <v>#REF!</v>
      </c>
      <c r="BV112" s="2" t="e">
        <f t="shared" si="15"/>
        <v>#REF!</v>
      </c>
      <c r="BW112" s="2" t="e">
        <f t="shared" si="16"/>
        <v>#REF!</v>
      </c>
      <c r="BX112" s="121" t="e">
        <f>IF(AND(IF(OOC!G112="",0,OOC!G112) &gt;= IF(O112="",0,O112), IF(O112="",0,O112) &gt; IF(L112="",0,L112)), "OOC",
IF(AND(IF(M112="",0,M112) &gt; IF(P112="",0,P112), IF(P112="",0,P112) &gt;= IF(OOC!H112="",0,OOC!H112)), "OOC",
IF(IF(O112="",0,O112) &gt; IF(OOC!G112="",0,OOC!G112), "OOS",
IF(IF(OOC!H112="",0,OOC!H112) &gt; IF(P112="",0,P112), "OOS", "OK"))))</f>
        <v>#REF!</v>
      </c>
    </row>
    <row r="113" spans="1:76" ht="15" customHeight="1">
      <c r="A113" s="13"/>
      <c r="B113" s="88"/>
      <c r="C113" s="94" t="s">
        <v>138</v>
      </c>
      <c r="D113" s="89" t="s">
        <v>117</v>
      </c>
      <c r="E113" s="90"/>
      <c r="F113" s="66" t="s">
        <v>44</v>
      </c>
      <c r="G113" s="67">
        <v>0.40300000000000002</v>
      </c>
      <c r="H113" s="92" t="str">
        <f>IF(OOC!S113=0,"",OOC!S113)</f>
        <v/>
      </c>
      <c r="I113" s="92" t="str">
        <f>IF(OOC!T113=0,"",OOC!T113)</f>
        <v/>
      </c>
      <c r="J113" s="68" t="s">
        <v>12</v>
      </c>
      <c r="K113" s="69" t="s">
        <v>80</v>
      </c>
      <c r="L113" s="70" t="e">
        <f t="shared" si="0"/>
        <v>#VALUE!</v>
      </c>
      <c r="M113" s="70" t="e">
        <f t="shared" si="1"/>
        <v>#VALUE!</v>
      </c>
      <c r="N113" s="71"/>
      <c r="O113" s="2" t="e">
        <f t="shared" si="2"/>
        <v>#REF!</v>
      </c>
      <c r="P113" s="2" t="e">
        <f t="shared" si="3"/>
        <v>#REF!</v>
      </c>
      <c r="Q113" s="2" t="e">
        <f t="shared" si="4"/>
        <v>#REF!</v>
      </c>
      <c r="R113" s="3" t="e">
        <f t="shared" si="5"/>
        <v>#REF!</v>
      </c>
      <c r="S113" s="4" t="e">
        <f t="shared" si="10"/>
        <v>#REF!</v>
      </c>
      <c r="T113" s="84" t="e">
        <f t="shared" si="11"/>
        <v>#REF!</v>
      </c>
      <c r="U113" s="85" t="e">
        <f t="shared" si="12"/>
        <v>#REF!</v>
      </c>
      <c r="V113" s="4" t="e">
        <f t="shared" si="6"/>
        <v>#REF!</v>
      </c>
      <c r="W113" s="4" t="e">
        <f t="shared" si="7"/>
        <v>#REF!</v>
      </c>
      <c r="X113" s="4" t="e">
        <f t="shared" si="8"/>
        <v>#REF!</v>
      </c>
      <c r="Y113" s="62" t="e">
        <f t="shared" si="9"/>
        <v>#REF!</v>
      </c>
      <c r="Z113" s="22"/>
      <c r="AA113" s="22"/>
      <c r="AB113" s="22"/>
      <c r="AC113" s="22"/>
      <c r="AD113" s="19"/>
      <c r="AE113" s="14"/>
      <c r="AF113" s="72"/>
      <c r="AG113" s="49"/>
      <c r="AH113" s="49"/>
      <c r="AI113" s="50"/>
      <c r="AJ113" s="15"/>
      <c r="AK113" s="77" t="e">
        <f>#REF!</f>
        <v>#REF!</v>
      </c>
      <c r="AL113" s="77" t="e">
        <f>#REF!</f>
        <v>#REF!</v>
      </c>
      <c r="AM113" s="77" t="e">
        <f>#REF!</f>
        <v>#REF!</v>
      </c>
      <c r="AN113" s="77"/>
      <c r="AO113" s="77"/>
      <c r="AP113" s="77"/>
      <c r="AQ113" s="77"/>
      <c r="AR113" s="77"/>
      <c r="AS113" s="77"/>
      <c r="AT113" s="77"/>
      <c r="AU113" s="77"/>
      <c r="AV113" s="77"/>
      <c r="AW113" s="77"/>
      <c r="AX113" s="77"/>
      <c r="AY113" s="77"/>
      <c r="AZ113" s="77"/>
      <c r="BA113" s="77"/>
      <c r="BB113" s="77"/>
      <c r="BC113" s="77"/>
      <c r="BD113" s="77"/>
      <c r="BE113" s="77"/>
      <c r="BF113" s="77"/>
      <c r="BG113" s="77"/>
      <c r="BH113" s="77"/>
      <c r="BI113" s="77"/>
      <c r="BJ113" s="77"/>
      <c r="BK113" s="77"/>
      <c r="BL113" s="77"/>
      <c r="BM113" s="77"/>
      <c r="BN113" s="77"/>
      <c r="BO113" s="77"/>
      <c r="BP113" s="77"/>
      <c r="BR113" s="123" t="str">
        <f t="shared" si="13"/>
        <v>FAI 60</v>
      </c>
      <c r="BS113" s="120">
        <f>OOC!G113</f>
        <v>0.43300000000000005</v>
      </c>
      <c r="BT113" s="120">
        <f>OOC!H113</f>
        <v>0.373</v>
      </c>
      <c r="BU113" s="2" t="e">
        <f t="shared" si="14"/>
        <v>#REF!</v>
      </c>
      <c r="BV113" s="2" t="e">
        <f t="shared" si="15"/>
        <v>#REF!</v>
      </c>
      <c r="BW113" s="2" t="e">
        <f t="shared" si="16"/>
        <v>#REF!</v>
      </c>
      <c r="BX113" s="121" t="e">
        <f>IF(AND(IF(OOC!G113="",0,OOC!G113) &gt;= IF(O113="",0,O113), IF(O113="",0,O113) &gt; IF(L113="",0,L113)), "OOC",
IF(AND(IF(M113="",0,M113) &gt; IF(P113="",0,P113), IF(P113="",0,P113) &gt;= IF(OOC!H113="",0,OOC!H113)), "OOC",
IF(IF(O113="",0,O113) &gt; IF(OOC!G113="",0,OOC!G113), "OOS",
IF(IF(OOC!H113="",0,OOC!H113) &gt; IF(P113="",0,P113), "OOS", "OK"))))</f>
        <v>#REF!</v>
      </c>
    </row>
    <row r="114" spans="1:76" ht="15" customHeight="1">
      <c r="A114" s="13"/>
      <c r="B114" s="88"/>
      <c r="C114" s="94" t="s">
        <v>139</v>
      </c>
      <c r="D114" s="89" t="s">
        <v>117</v>
      </c>
      <c r="E114" s="90"/>
      <c r="F114" s="66" t="s">
        <v>44</v>
      </c>
      <c r="G114" s="67">
        <v>1.986</v>
      </c>
      <c r="H114" s="92" t="str">
        <f>IF(OOC!S114=0,"",OOC!S114)</f>
        <v/>
      </c>
      <c r="I114" s="92" t="str">
        <f>IF(OOC!T114=0,"",OOC!T114)</f>
        <v/>
      </c>
      <c r="J114" s="68" t="s">
        <v>12</v>
      </c>
      <c r="K114" s="69" t="s">
        <v>80</v>
      </c>
      <c r="L114" s="70" t="e">
        <f t="shared" si="0"/>
        <v>#VALUE!</v>
      </c>
      <c r="M114" s="70" t="e">
        <f t="shared" si="1"/>
        <v>#VALUE!</v>
      </c>
      <c r="N114" s="71"/>
      <c r="O114" s="2" t="e">
        <f t="shared" si="2"/>
        <v>#REF!</v>
      </c>
      <c r="P114" s="2" t="e">
        <f t="shared" si="3"/>
        <v>#REF!</v>
      </c>
      <c r="Q114" s="2" t="e">
        <f t="shared" si="4"/>
        <v>#REF!</v>
      </c>
      <c r="R114" s="3" t="e">
        <f t="shared" si="5"/>
        <v>#REF!</v>
      </c>
      <c r="S114" s="4" t="e">
        <f t="shared" si="10"/>
        <v>#REF!</v>
      </c>
      <c r="T114" s="84" t="e">
        <f t="shared" si="11"/>
        <v>#REF!</v>
      </c>
      <c r="U114" s="85" t="e">
        <f t="shared" si="12"/>
        <v>#REF!</v>
      </c>
      <c r="V114" s="4" t="e">
        <f t="shared" si="6"/>
        <v>#REF!</v>
      </c>
      <c r="W114" s="4" t="e">
        <f t="shared" si="7"/>
        <v>#REF!</v>
      </c>
      <c r="X114" s="4" t="e">
        <f t="shared" si="8"/>
        <v>#REF!</v>
      </c>
      <c r="Y114" s="62" t="e">
        <f t="shared" si="9"/>
        <v>#REF!</v>
      </c>
      <c r="Z114" s="22"/>
      <c r="AA114" s="22"/>
      <c r="AB114" s="22"/>
      <c r="AC114" s="22"/>
      <c r="AD114" s="19"/>
      <c r="AE114" s="14"/>
      <c r="AF114" s="72"/>
      <c r="AG114" s="49"/>
      <c r="AH114" s="49"/>
      <c r="AI114" s="50"/>
      <c r="AJ114" s="15"/>
      <c r="AK114" s="77" t="e">
        <f>#REF!</f>
        <v>#REF!</v>
      </c>
      <c r="AL114" s="77" t="e">
        <f>#REF!</f>
        <v>#REF!</v>
      </c>
      <c r="AM114" s="77" t="e">
        <f>#REF!</f>
        <v>#REF!</v>
      </c>
      <c r="AN114" s="77"/>
      <c r="AO114" s="77"/>
      <c r="AP114" s="77"/>
      <c r="AQ114" s="77"/>
      <c r="AR114" s="77"/>
      <c r="AS114" s="77"/>
      <c r="AT114" s="77"/>
      <c r="AU114" s="77"/>
      <c r="AV114" s="77"/>
      <c r="AW114" s="77"/>
      <c r="AX114" s="77"/>
      <c r="AY114" s="77"/>
      <c r="AZ114" s="77"/>
      <c r="BA114" s="77"/>
      <c r="BB114" s="77"/>
      <c r="BC114" s="77"/>
      <c r="BD114" s="77"/>
      <c r="BE114" s="77"/>
      <c r="BF114" s="77"/>
      <c r="BG114" s="77"/>
      <c r="BH114" s="77"/>
      <c r="BI114" s="77"/>
      <c r="BJ114" s="77"/>
      <c r="BK114" s="77"/>
      <c r="BL114" s="77"/>
      <c r="BM114" s="77"/>
      <c r="BN114" s="77"/>
      <c r="BO114" s="77"/>
      <c r="BP114" s="77"/>
      <c r="BR114" s="123" t="str">
        <f t="shared" si="13"/>
        <v>FAI 61</v>
      </c>
      <c r="BS114" s="120">
        <f>OOC!G114</f>
        <v>2.016</v>
      </c>
      <c r="BT114" s="120">
        <f>OOC!H114</f>
        <v>1.956</v>
      </c>
      <c r="BU114" s="2" t="e">
        <f t="shared" si="14"/>
        <v>#REF!</v>
      </c>
      <c r="BV114" s="2" t="e">
        <f t="shared" si="15"/>
        <v>#REF!</v>
      </c>
      <c r="BW114" s="2" t="e">
        <f t="shared" si="16"/>
        <v>#REF!</v>
      </c>
      <c r="BX114" s="121" t="e">
        <f>IF(AND(IF(OOC!G114="",0,OOC!G114) &gt;= IF(O114="",0,O114), IF(O114="",0,O114) &gt; IF(L114="",0,L114)), "OOC",
IF(AND(IF(M114="",0,M114) &gt; IF(P114="",0,P114), IF(P114="",0,P114) &gt;= IF(OOC!H114="",0,OOC!H114)), "OOC",
IF(IF(O114="",0,O114) &gt; IF(OOC!G114="",0,OOC!G114), "OOS",
IF(IF(OOC!H114="",0,OOC!H114) &gt; IF(P114="",0,P114), "OOS", "OK"))))</f>
        <v>#REF!</v>
      </c>
    </row>
    <row r="115" spans="1:76" ht="15" customHeight="1">
      <c r="A115" s="13"/>
      <c r="B115" s="88"/>
      <c r="C115" s="94" t="s">
        <v>140</v>
      </c>
      <c r="D115" s="89" t="s">
        <v>117</v>
      </c>
      <c r="E115" s="90"/>
      <c r="F115" s="66" t="s">
        <v>44</v>
      </c>
      <c r="G115" s="67">
        <v>2.226</v>
      </c>
      <c r="H115" s="92" t="str">
        <f>IF(OOC!S115=0,"",OOC!S115)</f>
        <v/>
      </c>
      <c r="I115" s="92" t="str">
        <f>IF(OOC!T115=0,"",OOC!T115)</f>
        <v/>
      </c>
      <c r="J115" s="68" t="s">
        <v>12</v>
      </c>
      <c r="K115" s="69" t="s">
        <v>80</v>
      </c>
      <c r="L115" s="70" t="e">
        <f t="shared" si="0"/>
        <v>#VALUE!</v>
      </c>
      <c r="M115" s="70" t="e">
        <f t="shared" si="1"/>
        <v>#VALUE!</v>
      </c>
      <c r="N115" s="71"/>
      <c r="O115" s="2" t="e">
        <f t="shared" si="2"/>
        <v>#REF!</v>
      </c>
      <c r="P115" s="2" t="e">
        <f t="shared" si="3"/>
        <v>#REF!</v>
      </c>
      <c r="Q115" s="2" t="e">
        <f t="shared" si="4"/>
        <v>#REF!</v>
      </c>
      <c r="R115" s="3" t="e">
        <f t="shared" si="5"/>
        <v>#REF!</v>
      </c>
      <c r="S115" s="4" t="e">
        <f t="shared" si="10"/>
        <v>#REF!</v>
      </c>
      <c r="T115" s="84" t="e">
        <f t="shared" si="11"/>
        <v>#REF!</v>
      </c>
      <c r="U115" s="85" t="e">
        <f t="shared" si="12"/>
        <v>#REF!</v>
      </c>
      <c r="V115" s="4" t="e">
        <f t="shared" si="6"/>
        <v>#REF!</v>
      </c>
      <c r="W115" s="4" t="e">
        <f t="shared" si="7"/>
        <v>#REF!</v>
      </c>
      <c r="X115" s="4" t="e">
        <f t="shared" si="8"/>
        <v>#REF!</v>
      </c>
      <c r="Y115" s="62" t="e">
        <f t="shared" si="9"/>
        <v>#REF!</v>
      </c>
      <c r="Z115" s="22"/>
      <c r="AA115" s="22"/>
      <c r="AB115" s="22"/>
      <c r="AC115" s="22"/>
      <c r="AD115" s="19"/>
      <c r="AE115" s="14"/>
      <c r="AF115" s="72"/>
      <c r="AG115" s="49"/>
      <c r="AH115" s="49"/>
      <c r="AI115" s="50"/>
      <c r="AJ115" s="15"/>
      <c r="AK115" s="77" t="e">
        <f>#REF!</f>
        <v>#REF!</v>
      </c>
      <c r="AL115" s="77" t="e">
        <f>#REF!</f>
        <v>#REF!</v>
      </c>
      <c r="AM115" s="77" t="e">
        <f>#REF!</f>
        <v>#REF!</v>
      </c>
      <c r="AN115" s="77"/>
      <c r="AO115" s="77"/>
      <c r="AP115" s="77"/>
      <c r="AQ115" s="77"/>
      <c r="AR115" s="77"/>
      <c r="AS115" s="77"/>
      <c r="AT115" s="77"/>
      <c r="AU115" s="77"/>
      <c r="AV115" s="77"/>
      <c r="AW115" s="77"/>
      <c r="AX115" s="77"/>
      <c r="AY115" s="77"/>
      <c r="AZ115" s="77"/>
      <c r="BA115" s="77"/>
      <c r="BB115" s="77"/>
      <c r="BC115" s="77"/>
      <c r="BD115" s="77"/>
      <c r="BE115" s="77"/>
      <c r="BF115" s="77"/>
      <c r="BG115" s="77"/>
      <c r="BH115" s="77"/>
      <c r="BI115" s="77"/>
      <c r="BJ115" s="77"/>
      <c r="BK115" s="77"/>
      <c r="BL115" s="77"/>
      <c r="BM115" s="77"/>
      <c r="BN115" s="77"/>
      <c r="BO115" s="77"/>
      <c r="BP115" s="77"/>
      <c r="BR115" s="123" t="str">
        <f t="shared" si="13"/>
        <v>FAI 62</v>
      </c>
      <c r="BS115" s="120">
        <f>OOC!G115</f>
        <v>2.2559999999999998</v>
      </c>
      <c r="BT115" s="120">
        <f>OOC!H115</f>
        <v>2.1960000000000002</v>
      </c>
      <c r="BU115" s="2" t="e">
        <f t="shared" si="14"/>
        <v>#REF!</v>
      </c>
      <c r="BV115" s="2" t="e">
        <f t="shared" si="15"/>
        <v>#REF!</v>
      </c>
      <c r="BW115" s="2" t="e">
        <f t="shared" si="16"/>
        <v>#REF!</v>
      </c>
      <c r="BX115" s="121" t="e">
        <f>IF(AND(IF(OOC!G115="",0,OOC!G115) &gt;= IF(O115="",0,O115), IF(O115="",0,O115) &gt; IF(L115="",0,L115)), "OOC",
IF(AND(IF(M115="",0,M115) &gt; IF(P115="",0,P115), IF(P115="",0,P115) &gt;= IF(OOC!H115="",0,OOC!H115)), "OOC",
IF(IF(O115="",0,O115) &gt; IF(OOC!G115="",0,OOC!G115), "OOS",
IF(IF(OOC!H115="",0,OOC!H115) &gt; IF(P115="",0,P115), "OOS", "OK"))))</f>
        <v>#REF!</v>
      </c>
    </row>
    <row r="116" spans="1:76" ht="15" customHeight="1">
      <c r="A116" s="13"/>
      <c r="B116" s="88"/>
      <c r="C116" s="94" t="s">
        <v>153</v>
      </c>
      <c r="D116" s="89" t="s">
        <v>117</v>
      </c>
      <c r="E116" s="90"/>
      <c r="F116" s="66" t="s">
        <v>44</v>
      </c>
      <c r="G116" s="67">
        <v>1.718</v>
      </c>
      <c r="H116" s="92" t="str">
        <f>IF(OOC!S116=0,"",OOC!S116)</f>
        <v/>
      </c>
      <c r="I116" s="92" t="str">
        <f>IF(OOC!T116=0,"",OOC!T116)</f>
        <v/>
      </c>
      <c r="J116" s="68" t="s">
        <v>12</v>
      </c>
      <c r="K116" s="69" t="s">
        <v>80</v>
      </c>
      <c r="L116" s="70" t="e">
        <f t="shared" si="0"/>
        <v>#VALUE!</v>
      </c>
      <c r="M116" s="70" t="e">
        <f t="shared" si="1"/>
        <v>#VALUE!</v>
      </c>
      <c r="N116" s="71"/>
      <c r="O116" s="2" t="e">
        <f t="shared" si="2"/>
        <v>#REF!</v>
      </c>
      <c r="P116" s="2" t="e">
        <f t="shared" si="3"/>
        <v>#REF!</v>
      </c>
      <c r="Q116" s="2" t="e">
        <f t="shared" si="4"/>
        <v>#REF!</v>
      </c>
      <c r="R116" s="3" t="e">
        <f t="shared" si="5"/>
        <v>#REF!</v>
      </c>
      <c r="S116" s="4" t="e">
        <f t="shared" si="10"/>
        <v>#REF!</v>
      </c>
      <c r="T116" s="84" t="e">
        <f t="shared" si="11"/>
        <v>#REF!</v>
      </c>
      <c r="U116" s="85" t="e">
        <f t="shared" si="12"/>
        <v>#REF!</v>
      </c>
      <c r="V116" s="4" t="e">
        <f t="shared" si="6"/>
        <v>#REF!</v>
      </c>
      <c r="W116" s="4" t="e">
        <f t="shared" si="7"/>
        <v>#REF!</v>
      </c>
      <c r="X116" s="4" t="e">
        <f t="shared" si="8"/>
        <v>#REF!</v>
      </c>
      <c r="Y116" s="62" t="e">
        <f t="shared" si="9"/>
        <v>#REF!</v>
      </c>
      <c r="Z116" s="22"/>
      <c r="AA116" s="22"/>
      <c r="AB116" s="22"/>
      <c r="AC116" s="22"/>
      <c r="AD116" s="19"/>
      <c r="AE116" s="14"/>
      <c r="AF116" s="72"/>
      <c r="AG116" s="49"/>
      <c r="AH116" s="49"/>
      <c r="AI116" s="50"/>
      <c r="AJ116" s="15"/>
      <c r="AK116" s="77" t="e">
        <f>#REF!</f>
        <v>#REF!</v>
      </c>
      <c r="AL116" s="77" t="e">
        <f>#REF!</f>
        <v>#REF!</v>
      </c>
      <c r="AM116" s="77" t="e">
        <f>#REF!</f>
        <v>#REF!</v>
      </c>
      <c r="AN116" s="77"/>
      <c r="AO116" s="77"/>
      <c r="AP116" s="77"/>
      <c r="AQ116" s="77"/>
      <c r="AR116" s="77"/>
      <c r="AS116" s="77"/>
      <c r="AT116" s="77"/>
      <c r="AU116" s="77"/>
      <c r="AV116" s="77"/>
      <c r="AW116" s="77"/>
      <c r="AX116" s="77"/>
      <c r="AY116" s="77"/>
      <c r="AZ116" s="77"/>
      <c r="BA116" s="77"/>
      <c r="BB116" s="77"/>
      <c r="BC116" s="77"/>
      <c r="BD116" s="77"/>
      <c r="BE116" s="77"/>
      <c r="BF116" s="77"/>
      <c r="BG116" s="77"/>
      <c r="BH116" s="77"/>
      <c r="BI116" s="77"/>
      <c r="BJ116" s="77"/>
      <c r="BK116" s="77"/>
      <c r="BL116" s="77"/>
      <c r="BM116" s="77"/>
      <c r="BN116" s="77"/>
      <c r="BO116" s="77"/>
      <c r="BP116" s="77"/>
      <c r="BR116" s="123" t="str">
        <f t="shared" si="13"/>
        <v>FAI 63</v>
      </c>
      <c r="BS116" s="120">
        <f>OOC!G116</f>
        <v>1.738</v>
      </c>
      <c r="BT116" s="120">
        <f>OOC!H116</f>
        <v>1.698</v>
      </c>
      <c r="BU116" s="2" t="e">
        <f t="shared" si="14"/>
        <v>#REF!</v>
      </c>
      <c r="BV116" s="2" t="e">
        <f t="shared" si="15"/>
        <v>#REF!</v>
      </c>
      <c r="BW116" s="2" t="e">
        <f t="shared" si="16"/>
        <v>#REF!</v>
      </c>
      <c r="BX116" s="121" t="e">
        <f>IF(AND(IF(OOC!G116="",0,OOC!G116) &gt;= IF(O116="",0,O116), IF(O116="",0,O116) &gt; IF(L116="",0,L116)), "OOC",
IF(AND(IF(M116="",0,M116) &gt; IF(P116="",0,P116), IF(P116="",0,P116) &gt;= IF(OOC!H116="",0,OOC!H116)), "OOC",
IF(IF(O116="",0,O116) &gt; IF(OOC!G116="",0,OOC!G116), "OOS",
IF(IF(OOC!H116="",0,OOC!H116) &gt; IF(P116="",0,P116), "OOS", "OK"))))</f>
        <v>#REF!</v>
      </c>
    </row>
    <row r="117" spans="1:76" ht="15" customHeight="1">
      <c r="A117" s="13"/>
      <c r="B117" s="73"/>
      <c r="C117" s="78" t="s">
        <v>155</v>
      </c>
      <c r="D117" s="64" t="s">
        <v>117</v>
      </c>
      <c r="E117" s="65"/>
      <c r="F117" s="66" t="s">
        <v>44</v>
      </c>
      <c r="G117" s="67">
        <v>0.38500000000000001</v>
      </c>
      <c r="H117" s="92" t="str">
        <f>IF(OOC!S117=0,"",OOC!S117)</f>
        <v/>
      </c>
      <c r="I117" s="92" t="str">
        <f>IF(OOC!T117=0,"",OOC!T117)</f>
        <v/>
      </c>
      <c r="J117" s="68" t="s">
        <v>12</v>
      </c>
      <c r="K117" s="69" t="s">
        <v>80</v>
      </c>
      <c r="L117" s="70" t="e">
        <f t="shared" si="0"/>
        <v>#VALUE!</v>
      </c>
      <c r="M117" s="70" t="e">
        <f t="shared" si="1"/>
        <v>#VALUE!</v>
      </c>
      <c r="N117" s="71"/>
      <c r="O117" s="2" t="e">
        <f t="shared" si="2"/>
        <v>#REF!</v>
      </c>
      <c r="P117" s="2" t="e">
        <f t="shared" si="3"/>
        <v>#REF!</v>
      </c>
      <c r="Q117" s="2" t="e">
        <f t="shared" si="4"/>
        <v>#REF!</v>
      </c>
      <c r="R117" s="3" t="e">
        <f t="shared" si="5"/>
        <v>#REF!</v>
      </c>
      <c r="S117" s="4" t="e">
        <f t="shared" si="10"/>
        <v>#REF!</v>
      </c>
      <c r="T117" s="84" t="e">
        <f t="shared" si="11"/>
        <v>#REF!</v>
      </c>
      <c r="U117" s="85" t="e">
        <f t="shared" si="12"/>
        <v>#REF!</v>
      </c>
      <c r="V117" s="4" t="e">
        <f t="shared" si="6"/>
        <v>#REF!</v>
      </c>
      <c r="W117" s="4" t="e">
        <f t="shared" si="7"/>
        <v>#REF!</v>
      </c>
      <c r="X117" s="4" t="e">
        <f t="shared" si="8"/>
        <v>#REF!</v>
      </c>
      <c r="Y117" s="62" t="e">
        <f t="shared" si="9"/>
        <v>#REF!</v>
      </c>
      <c r="Z117" s="22"/>
      <c r="AA117" s="22"/>
      <c r="AB117" s="22"/>
      <c r="AC117" s="22"/>
      <c r="AD117" s="19"/>
      <c r="AE117" s="14"/>
      <c r="AF117" s="72"/>
      <c r="AG117" s="49"/>
      <c r="AH117" s="49"/>
      <c r="AI117" s="50"/>
      <c r="AJ117" s="15"/>
      <c r="AK117" s="77" t="e">
        <f>#REF!</f>
        <v>#REF!</v>
      </c>
      <c r="AL117" s="77" t="e">
        <f>#REF!</f>
        <v>#REF!</v>
      </c>
      <c r="AM117" s="77" t="e">
        <f>#REF!</f>
        <v>#REF!</v>
      </c>
      <c r="AN117" s="77"/>
      <c r="AO117" s="77"/>
      <c r="AP117" s="77"/>
      <c r="AQ117" s="77"/>
      <c r="AR117" s="77"/>
      <c r="AS117" s="77"/>
      <c r="AT117" s="77"/>
      <c r="AU117" s="77"/>
      <c r="AV117" s="77"/>
      <c r="AW117" s="77"/>
      <c r="AX117" s="77"/>
      <c r="AY117" s="77"/>
      <c r="AZ117" s="77"/>
      <c r="BA117" s="77"/>
      <c r="BB117" s="77"/>
      <c r="BC117" s="77"/>
      <c r="BD117" s="77"/>
      <c r="BE117" s="77"/>
      <c r="BF117" s="77"/>
      <c r="BG117" s="77"/>
      <c r="BH117" s="77"/>
      <c r="BI117" s="77"/>
      <c r="BJ117" s="77"/>
      <c r="BK117" s="77"/>
      <c r="BL117" s="77"/>
      <c r="BM117" s="77"/>
      <c r="BN117" s="77"/>
      <c r="BO117" s="77"/>
      <c r="BP117" s="77"/>
      <c r="BR117" s="123" t="str">
        <f t="shared" si="13"/>
        <v>FAI 64</v>
      </c>
      <c r="BS117" s="120">
        <f>OOC!G117</f>
        <v>0.60499999999999998</v>
      </c>
      <c r="BT117" s="120">
        <f>OOC!H117</f>
        <v>0.16500000000000001</v>
      </c>
      <c r="BU117" s="2" t="e">
        <f t="shared" si="14"/>
        <v>#REF!</v>
      </c>
      <c r="BV117" s="2" t="e">
        <f t="shared" si="15"/>
        <v>#REF!</v>
      </c>
      <c r="BW117" s="2" t="e">
        <f t="shared" si="16"/>
        <v>#REF!</v>
      </c>
      <c r="BX117" s="121" t="e">
        <f>IF(AND(IF(OOC!G117="",0,OOC!G117) &gt;= IF(O117="",0,O117), IF(O117="",0,O117) &gt; IF(L117="",0,L117)), "OOC",
IF(AND(IF(M117="",0,M117) &gt; IF(P117="",0,P117), IF(P117="",0,P117) &gt;= IF(OOC!H117="",0,OOC!H117)), "OOC",
IF(IF(O117="",0,O117) &gt; IF(OOC!G117="",0,OOC!G117), "OOS",
IF(IF(OOC!H117="",0,OOC!H117) &gt; IF(P117="",0,P117), "OOS", "OK"))))</f>
        <v>#REF!</v>
      </c>
    </row>
    <row r="118" spans="1:76" ht="15" customHeight="1">
      <c r="A118" s="13"/>
      <c r="B118" s="73"/>
      <c r="C118" s="78" t="s">
        <v>156</v>
      </c>
      <c r="D118" s="64" t="s">
        <v>117</v>
      </c>
      <c r="E118" s="65"/>
      <c r="F118" s="66" t="s">
        <v>44</v>
      </c>
      <c r="G118" s="67">
        <v>5.2779999999999996</v>
      </c>
      <c r="H118" s="92" t="str">
        <f>IF(OOC!S118=0,"",OOC!S118)</f>
        <v/>
      </c>
      <c r="I118" s="92" t="str">
        <f>IF(OOC!T118=0,"",OOC!T118)</f>
        <v/>
      </c>
      <c r="J118" s="68" t="s">
        <v>12</v>
      </c>
      <c r="K118" s="69" t="s">
        <v>80</v>
      </c>
      <c r="L118" s="70" t="e">
        <f t="shared" si="0"/>
        <v>#VALUE!</v>
      </c>
      <c r="M118" s="70" t="e">
        <f t="shared" si="1"/>
        <v>#VALUE!</v>
      </c>
      <c r="N118" s="71"/>
      <c r="O118" s="2" t="e">
        <f t="shared" si="2"/>
        <v>#REF!</v>
      </c>
      <c r="P118" s="2" t="e">
        <f t="shared" si="3"/>
        <v>#REF!</v>
      </c>
      <c r="Q118" s="2" t="e">
        <f t="shared" si="4"/>
        <v>#REF!</v>
      </c>
      <c r="R118" s="3" t="e">
        <f t="shared" si="5"/>
        <v>#REF!</v>
      </c>
      <c r="S118" s="4" t="e">
        <f t="shared" si="10"/>
        <v>#REF!</v>
      </c>
      <c r="T118" s="84" t="e">
        <f t="shared" si="11"/>
        <v>#REF!</v>
      </c>
      <c r="U118" s="85" t="e">
        <f t="shared" si="12"/>
        <v>#REF!</v>
      </c>
      <c r="V118" s="4" t="e">
        <f t="shared" si="6"/>
        <v>#REF!</v>
      </c>
      <c r="W118" s="4" t="e">
        <f t="shared" si="7"/>
        <v>#REF!</v>
      </c>
      <c r="X118" s="4" t="e">
        <f t="shared" si="8"/>
        <v>#REF!</v>
      </c>
      <c r="Y118" s="62" t="e">
        <f t="shared" si="9"/>
        <v>#REF!</v>
      </c>
      <c r="Z118" s="22"/>
      <c r="AA118" s="22"/>
      <c r="AB118" s="22"/>
      <c r="AC118" s="22"/>
      <c r="AD118" s="19"/>
      <c r="AE118" s="14"/>
      <c r="AF118" s="72"/>
      <c r="AG118" s="49"/>
      <c r="AH118" s="49"/>
      <c r="AI118" s="50"/>
      <c r="AJ118" s="15"/>
      <c r="AK118" s="77" t="e">
        <f>#REF!</f>
        <v>#REF!</v>
      </c>
      <c r="AL118" s="77" t="e">
        <f>#REF!</f>
        <v>#REF!</v>
      </c>
      <c r="AM118" s="77" t="e">
        <f>#REF!</f>
        <v>#REF!</v>
      </c>
      <c r="AN118" s="77"/>
      <c r="AO118" s="77"/>
      <c r="AP118" s="77"/>
      <c r="AQ118" s="77"/>
      <c r="AR118" s="77"/>
      <c r="AS118" s="77"/>
      <c r="AT118" s="77"/>
      <c r="AU118" s="77"/>
      <c r="AV118" s="77"/>
      <c r="AW118" s="77"/>
      <c r="AX118" s="77"/>
      <c r="AY118" s="77"/>
      <c r="AZ118" s="77"/>
      <c r="BA118" s="77"/>
      <c r="BB118" s="77"/>
      <c r="BC118" s="77"/>
      <c r="BD118" s="77"/>
      <c r="BE118" s="77"/>
      <c r="BF118" s="77"/>
      <c r="BG118" s="77"/>
      <c r="BH118" s="77"/>
      <c r="BI118" s="77"/>
      <c r="BJ118" s="77"/>
      <c r="BK118" s="77"/>
      <c r="BL118" s="77"/>
      <c r="BM118" s="77"/>
      <c r="BN118" s="77"/>
      <c r="BO118" s="77"/>
      <c r="BP118" s="77"/>
      <c r="BR118" s="123" t="str">
        <f t="shared" si="13"/>
        <v>FAI 65</v>
      </c>
      <c r="BS118" s="120">
        <f>OOC!G118</f>
        <v>5.5779999999999994</v>
      </c>
      <c r="BT118" s="120">
        <f>OOC!H118</f>
        <v>4.9779999999999998</v>
      </c>
      <c r="BU118" s="2" t="e">
        <f t="shared" si="14"/>
        <v>#REF!</v>
      </c>
      <c r="BV118" s="2" t="e">
        <f t="shared" si="15"/>
        <v>#REF!</v>
      </c>
      <c r="BW118" s="2" t="e">
        <f t="shared" si="16"/>
        <v>#REF!</v>
      </c>
      <c r="BX118" s="121" t="e">
        <f>IF(AND(IF(OOC!G118="",0,OOC!G118) &gt;= IF(O118="",0,O118), IF(O118="",0,O118) &gt; IF(L118="",0,L118)), "OOC",
IF(AND(IF(M118="",0,M118) &gt; IF(P118="",0,P118), IF(P118="",0,P118) &gt;= IF(OOC!H118="",0,OOC!H118)), "OOC",
IF(IF(O118="",0,O118) &gt; IF(OOC!G118="",0,OOC!G118), "OOS",
IF(IF(OOC!H118="",0,OOC!H118) &gt; IF(P118="",0,P118), "OOS", "OK"))))</f>
        <v>#REF!</v>
      </c>
    </row>
    <row r="119" spans="1:76" ht="15" customHeight="1">
      <c r="A119" s="13"/>
      <c r="B119" s="73"/>
      <c r="C119" s="78" t="s">
        <v>157</v>
      </c>
      <c r="D119" s="64" t="s">
        <v>117</v>
      </c>
      <c r="E119" s="65"/>
      <c r="F119" s="66" t="s">
        <v>44</v>
      </c>
      <c r="G119" s="67">
        <v>0</v>
      </c>
      <c r="H119" s="92" t="str">
        <f>IF(OOC!S119=0,"",OOC!S119)</f>
        <v/>
      </c>
      <c r="I119" s="92" t="str">
        <f>IF(OOC!T119=0,"",OOC!T119)</f>
        <v/>
      </c>
      <c r="J119" s="68" t="s">
        <v>12</v>
      </c>
      <c r="K119" s="69" t="s">
        <v>80</v>
      </c>
      <c r="L119" s="70" t="e">
        <f t="shared" si="0"/>
        <v>#VALUE!</v>
      </c>
      <c r="M119" s="70" t="e">
        <f t="shared" si="1"/>
        <v>#VALUE!</v>
      </c>
      <c r="N119" s="71"/>
      <c r="O119" s="2" t="e">
        <f t="shared" si="2"/>
        <v>#REF!</v>
      </c>
      <c r="P119" s="2" t="e">
        <f t="shared" si="3"/>
        <v>#REF!</v>
      </c>
      <c r="Q119" s="2" t="e">
        <f t="shared" si="4"/>
        <v>#REF!</v>
      </c>
      <c r="R119" s="3" t="e">
        <f t="shared" si="5"/>
        <v>#REF!</v>
      </c>
      <c r="S119" s="4" t="e">
        <f t="shared" si="10"/>
        <v>#REF!</v>
      </c>
      <c r="T119" s="84" t="e">
        <f t="shared" si="11"/>
        <v>#REF!</v>
      </c>
      <c r="U119" s="85" t="e">
        <f t="shared" si="12"/>
        <v>#REF!</v>
      </c>
      <c r="V119" s="4" t="e">
        <f t="shared" si="6"/>
        <v>#REF!</v>
      </c>
      <c r="W119" s="4" t="e">
        <f t="shared" si="7"/>
        <v>#REF!</v>
      </c>
      <c r="X119" s="4" t="e">
        <f t="shared" si="8"/>
        <v>#REF!</v>
      </c>
      <c r="Y119" s="62" t="e">
        <f t="shared" si="9"/>
        <v>#REF!</v>
      </c>
      <c r="Z119" s="22"/>
      <c r="AA119" s="22"/>
      <c r="AB119" s="22"/>
      <c r="AC119" s="22"/>
      <c r="AD119" s="19"/>
      <c r="AE119" s="14"/>
      <c r="AF119" s="72"/>
      <c r="AG119" s="49"/>
      <c r="AH119" s="49"/>
      <c r="AI119" s="50"/>
      <c r="AJ119" s="15"/>
      <c r="AK119" s="77" t="e">
        <f>#REF!</f>
        <v>#REF!</v>
      </c>
      <c r="AL119" s="77" t="e">
        <f>#REF!</f>
        <v>#REF!</v>
      </c>
      <c r="AM119" s="77" t="e">
        <f>#REF!</f>
        <v>#REF!</v>
      </c>
      <c r="AN119" s="77"/>
      <c r="AO119" s="77"/>
      <c r="AP119" s="77"/>
      <c r="AQ119" s="77"/>
      <c r="AR119" s="77"/>
      <c r="AS119" s="77"/>
      <c r="AT119" s="77"/>
      <c r="AU119" s="77"/>
      <c r="AV119" s="77"/>
      <c r="AW119" s="77"/>
      <c r="AX119" s="77"/>
      <c r="AY119" s="77"/>
      <c r="AZ119" s="77"/>
      <c r="BA119" s="77"/>
      <c r="BB119" s="77"/>
      <c r="BC119" s="77"/>
      <c r="BD119" s="77"/>
      <c r="BE119" s="77"/>
      <c r="BF119" s="77"/>
      <c r="BG119" s="77"/>
      <c r="BH119" s="77"/>
      <c r="BI119" s="77"/>
      <c r="BJ119" s="77"/>
      <c r="BK119" s="77"/>
      <c r="BL119" s="77"/>
      <c r="BM119" s="77"/>
      <c r="BN119" s="77"/>
      <c r="BO119" s="77"/>
      <c r="BP119" s="77"/>
      <c r="BR119" s="123" t="str">
        <f t="shared" si="13"/>
        <v>FAI 66</v>
      </c>
      <c r="BS119" s="120">
        <f>OOC!G119</f>
        <v>3</v>
      </c>
      <c r="BT119" s="120">
        <f>OOC!H119</f>
        <v>-3</v>
      </c>
      <c r="BU119" s="2" t="e">
        <f t="shared" si="14"/>
        <v>#REF!</v>
      </c>
      <c r="BV119" s="2" t="e">
        <f t="shared" si="15"/>
        <v>#REF!</v>
      </c>
      <c r="BW119" s="2" t="e">
        <f t="shared" si="16"/>
        <v>#REF!</v>
      </c>
      <c r="BX119" s="121" t="e">
        <f>IF(AND(IF(OOC!G119="",0,OOC!G119) &gt;= IF(O119="",0,O119), IF(O119="",0,O119) &gt; IF(L119="",0,L119)), "OOC",
IF(AND(IF(M119="",0,M119) &gt; IF(P119="",0,P119), IF(P119="",0,P119) &gt;= IF(OOC!H119="",0,OOC!H119)), "OOC",
IF(IF(O119="",0,O119) &gt; IF(OOC!G119="",0,OOC!G119), "OOS",
IF(IF(OOC!H119="",0,OOC!H119) &gt; IF(P119="",0,P119), "OOS", "OK"))))</f>
        <v>#REF!</v>
      </c>
    </row>
    <row r="120" spans="1:76" ht="15" customHeight="1">
      <c r="A120" s="13">
        <v>1</v>
      </c>
      <c r="B120" s="88"/>
      <c r="C120" s="78"/>
      <c r="D120" s="89"/>
      <c r="E120" s="90"/>
      <c r="F120" s="66"/>
      <c r="G120" s="91"/>
      <c r="H120" s="92"/>
      <c r="I120" s="92"/>
      <c r="J120" s="68"/>
      <c r="K120" s="69"/>
      <c r="L120" s="70"/>
      <c r="M120" s="70"/>
      <c r="N120" s="71"/>
      <c r="O120" s="2"/>
      <c r="P120" s="2"/>
      <c r="Q120" s="2"/>
      <c r="R120" s="3"/>
      <c r="S120" s="4"/>
      <c r="T120" s="84"/>
      <c r="U120" s="85"/>
      <c r="V120" s="4"/>
      <c r="W120" s="4"/>
      <c r="X120" s="4"/>
      <c r="Y120" s="62"/>
      <c r="Z120" s="22"/>
      <c r="AA120" s="22"/>
      <c r="AB120" s="22"/>
      <c r="AC120" s="22"/>
      <c r="AD120" s="19"/>
      <c r="AE120" s="14"/>
      <c r="AF120" s="72"/>
      <c r="AG120" s="49"/>
      <c r="AH120" s="49"/>
      <c r="AI120" s="50"/>
      <c r="AJ120" s="15"/>
      <c r="AK120" s="77"/>
      <c r="AL120" s="77"/>
      <c r="AM120" s="77"/>
      <c r="AN120" s="77"/>
      <c r="AO120" s="77"/>
      <c r="AP120" s="77"/>
      <c r="AQ120" s="77"/>
      <c r="AR120" s="77"/>
      <c r="AS120" s="77"/>
      <c r="AT120" s="77"/>
      <c r="AU120" s="77"/>
      <c r="AV120" s="77"/>
      <c r="AW120" s="77"/>
      <c r="AX120" s="77"/>
      <c r="AY120" s="77"/>
      <c r="AZ120" s="77"/>
      <c r="BA120" s="77"/>
      <c r="BB120" s="77"/>
      <c r="BC120" s="77"/>
      <c r="BD120" s="77"/>
      <c r="BE120" s="77"/>
      <c r="BF120" s="77"/>
      <c r="BG120" s="77"/>
      <c r="BH120" s="77"/>
      <c r="BI120" s="77"/>
      <c r="BJ120" s="77"/>
      <c r="BK120" s="77"/>
      <c r="BL120" s="77"/>
      <c r="BM120" s="77"/>
      <c r="BN120" s="77"/>
      <c r="BO120" s="77"/>
      <c r="BP120" s="77"/>
      <c r="BR120" s="123"/>
      <c r="BS120" s="120"/>
      <c r="BT120" s="120"/>
      <c r="BU120" s="2"/>
      <c r="BV120" s="2"/>
      <c r="BW120" s="2"/>
      <c r="BX120" s="121"/>
    </row>
    <row r="121" spans="1:76" ht="15" customHeight="1">
      <c r="A121" s="13"/>
      <c r="B121" s="73" t="s">
        <v>170</v>
      </c>
      <c r="C121" s="78" t="s">
        <v>164</v>
      </c>
      <c r="D121" s="64" t="s">
        <v>117</v>
      </c>
      <c r="E121" s="65">
        <v>1.33</v>
      </c>
      <c r="F121" s="66" t="s">
        <v>44</v>
      </c>
      <c r="G121" s="67">
        <v>1.03</v>
      </c>
      <c r="H121" s="92" t="str">
        <f>IF(OOC!S121=0,"",OOC!S121)</f>
        <v/>
      </c>
      <c r="I121" s="92" t="str">
        <f>IF(OOC!T121=0,"",OOC!T121)</f>
        <v/>
      </c>
      <c r="J121" s="68" t="s">
        <v>12</v>
      </c>
      <c r="K121" s="69" t="s">
        <v>80</v>
      </c>
      <c r="L121" s="70" t="e">
        <f t="shared" si="0"/>
        <v>#VALUE!</v>
      </c>
      <c r="M121" s="70" t="e">
        <f t="shared" si="1"/>
        <v>#VALUE!</v>
      </c>
      <c r="N121" s="71"/>
      <c r="O121" s="2" t="e">
        <f t="shared" si="2"/>
        <v>#REF!</v>
      </c>
      <c r="P121" s="2" t="e">
        <f t="shared" si="3"/>
        <v>#REF!</v>
      </c>
      <c r="Q121" s="2" t="e">
        <f t="shared" si="4"/>
        <v>#REF!</v>
      </c>
      <c r="R121" s="3" t="e">
        <f t="shared" si="5"/>
        <v>#REF!</v>
      </c>
      <c r="S121" s="4" t="e">
        <f t="shared" si="10"/>
        <v>#REF!</v>
      </c>
      <c r="T121" s="84" t="e">
        <f t="shared" si="11"/>
        <v>#REF!</v>
      </c>
      <c r="U121" s="85" t="e">
        <f t="shared" si="12"/>
        <v>#REF!</v>
      </c>
      <c r="V121" s="4" t="e">
        <f t="shared" si="6"/>
        <v>#REF!</v>
      </c>
      <c r="W121" s="4" t="e">
        <f t="shared" si="7"/>
        <v>#REF!</v>
      </c>
      <c r="X121" s="4" t="e">
        <f t="shared" si="8"/>
        <v>#REF!</v>
      </c>
      <c r="Y121" s="62" t="e">
        <f t="shared" si="9"/>
        <v>#REF!</v>
      </c>
      <c r="Z121" s="22"/>
      <c r="AA121" s="22"/>
      <c r="AB121" s="22"/>
      <c r="AC121" s="22"/>
      <c r="AD121" s="19"/>
      <c r="AE121" s="14"/>
      <c r="AF121" s="72"/>
      <c r="AG121" s="49"/>
      <c r="AH121" s="49"/>
      <c r="AI121" s="50"/>
      <c r="AJ121" s="15"/>
      <c r="AK121" s="77" t="e">
        <f>#REF!</f>
        <v>#REF!</v>
      </c>
      <c r="AL121" s="77" t="e">
        <f>#REF!</f>
        <v>#REF!</v>
      </c>
      <c r="AM121" s="77" t="e">
        <f>#REF!</f>
        <v>#REF!</v>
      </c>
      <c r="AN121" s="77" t="e">
        <f>#REF!</f>
        <v>#REF!</v>
      </c>
      <c r="AO121" s="77" t="e">
        <f>#REF!</f>
        <v>#REF!</v>
      </c>
      <c r="AP121" s="77" t="e">
        <f>#REF!</f>
        <v>#REF!</v>
      </c>
      <c r="AQ121" s="77" t="e">
        <f>#REF!</f>
        <v>#REF!</v>
      </c>
      <c r="AR121" s="77" t="e">
        <f>#REF!</f>
        <v>#REF!</v>
      </c>
      <c r="AS121" s="77" t="e">
        <f>#REF!</f>
        <v>#REF!</v>
      </c>
      <c r="AT121" s="77" t="e">
        <f>#REF!</f>
        <v>#REF!</v>
      </c>
      <c r="AU121" s="77" t="e">
        <f>#REF!</f>
        <v>#REF!</v>
      </c>
      <c r="AV121" s="77" t="e">
        <f>#REF!</f>
        <v>#REF!</v>
      </c>
      <c r="AW121" s="77" t="e">
        <f>#REF!</f>
        <v>#REF!</v>
      </c>
      <c r="AX121" s="77" t="e">
        <f>#REF!</f>
        <v>#REF!</v>
      </c>
      <c r="AY121" s="77" t="e">
        <f>#REF!</f>
        <v>#REF!</v>
      </c>
      <c r="AZ121" s="77" t="e">
        <f>#REF!</f>
        <v>#REF!</v>
      </c>
      <c r="BA121" s="77" t="e">
        <f>#REF!</f>
        <v>#REF!</v>
      </c>
      <c r="BB121" s="77" t="e">
        <f>#REF!</f>
        <v>#REF!</v>
      </c>
      <c r="BC121" s="77" t="e">
        <f>#REF!</f>
        <v>#REF!</v>
      </c>
      <c r="BD121" s="77" t="e">
        <f>#REF!</f>
        <v>#REF!</v>
      </c>
      <c r="BE121" s="77" t="e">
        <f>#REF!</f>
        <v>#REF!</v>
      </c>
      <c r="BF121" s="77" t="e">
        <f>#REF!</f>
        <v>#REF!</v>
      </c>
      <c r="BG121" s="77" t="e">
        <f>#REF!</f>
        <v>#REF!</v>
      </c>
      <c r="BH121" s="77" t="e">
        <f>#REF!</f>
        <v>#REF!</v>
      </c>
      <c r="BI121" s="77" t="e">
        <f>#REF!</f>
        <v>#REF!</v>
      </c>
      <c r="BJ121" s="77" t="e">
        <f>#REF!</f>
        <v>#REF!</v>
      </c>
      <c r="BK121" s="77" t="e">
        <f>#REF!</f>
        <v>#REF!</v>
      </c>
      <c r="BL121" s="77" t="e">
        <f>#REF!</f>
        <v>#REF!</v>
      </c>
      <c r="BM121" s="77" t="e">
        <f>#REF!</f>
        <v>#REF!</v>
      </c>
      <c r="BN121" s="77" t="e">
        <f>#REF!</f>
        <v>#REF!</v>
      </c>
      <c r="BO121" s="77" t="e">
        <f>#REF!</f>
        <v>#REF!</v>
      </c>
      <c r="BP121" s="77" t="e">
        <f>#REF!</f>
        <v>#REF!</v>
      </c>
      <c r="BR121" s="123" t="str">
        <f t="shared" si="13"/>
        <v>FAI 68-1</v>
      </c>
      <c r="BS121" s="120">
        <f>OOC!G121</f>
        <v>1.05</v>
      </c>
      <c r="BT121" s="120">
        <f>OOC!H121</f>
        <v>1.01</v>
      </c>
      <c r="BU121" s="2" t="e">
        <f t="shared" si="14"/>
        <v>#REF!</v>
      </c>
      <c r="BV121" s="2" t="e">
        <f t="shared" si="15"/>
        <v>#REF!</v>
      </c>
      <c r="BW121" s="2" t="e">
        <f t="shared" si="16"/>
        <v>#REF!</v>
      </c>
      <c r="BX121" s="121" t="e">
        <f>IF(AND(IF(OOC!G121="",0,OOC!G121) &gt;= IF(O121="",0,O121), IF(O121="",0,O121) &gt; IF(L121="",0,L121)), "OOC",
IF(AND(IF(M121="",0,M121) &gt; IF(P121="",0,P121), IF(P121="",0,P121) &gt;= IF(OOC!H121="",0,OOC!H121)), "OOC",
IF(IF(O121="",0,O121) &gt; IF(OOC!G121="",0,OOC!G121), "OOS",
IF(IF(OOC!H121="",0,OOC!H121) &gt; IF(P121="",0,P121), "OOS", "OK"))))</f>
        <v>#REF!</v>
      </c>
    </row>
    <row r="122" spans="1:76" ht="15" customHeight="1">
      <c r="A122" s="13"/>
      <c r="B122" s="73" t="s">
        <v>170</v>
      </c>
      <c r="C122" s="78" t="s">
        <v>165</v>
      </c>
      <c r="D122" s="64" t="s">
        <v>117</v>
      </c>
      <c r="E122" s="65">
        <v>1.33</v>
      </c>
      <c r="F122" s="66" t="s">
        <v>44</v>
      </c>
      <c r="G122" s="67">
        <v>1.03</v>
      </c>
      <c r="H122" s="92" t="str">
        <f>IF(OOC!S122=0,"",OOC!S122)</f>
        <v/>
      </c>
      <c r="I122" s="92" t="str">
        <f>IF(OOC!T122=0,"",OOC!T122)</f>
        <v/>
      </c>
      <c r="J122" s="68" t="s">
        <v>12</v>
      </c>
      <c r="K122" s="69" t="s">
        <v>80</v>
      </c>
      <c r="L122" s="70" t="e">
        <f t="shared" si="0"/>
        <v>#VALUE!</v>
      </c>
      <c r="M122" s="70" t="e">
        <f t="shared" si="1"/>
        <v>#VALUE!</v>
      </c>
      <c r="N122" s="71"/>
      <c r="O122" s="2" t="e">
        <f t="shared" si="2"/>
        <v>#REF!</v>
      </c>
      <c r="P122" s="2" t="e">
        <f t="shared" si="3"/>
        <v>#REF!</v>
      </c>
      <c r="Q122" s="2" t="e">
        <f t="shared" si="4"/>
        <v>#REF!</v>
      </c>
      <c r="R122" s="3" t="e">
        <f t="shared" si="5"/>
        <v>#REF!</v>
      </c>
      <c r="S122" s="4" t="e">
        <f t="shared" si="10"/>
        <v>#REF!</v>
      </c>
      <c r="T122" s="84" t="e">
        <f t="shared" si="11"/>
        <v>#REF!</v>
      </c>
      <c r="U122" s="85" t="e">
        <f t="shared" si="12"/>
        <v>#REF!</v>
      </c>
      <c r="V122" s="4" t="e">
        <f t="shared" si="6"/>
        <v>#REF!</v>
      </c>
      <c r="W122" s="4" t="e">
        <f t="shared" si="7"/>
        <v>#REF!</v>
      </c>
      <c r="X122" s="4" t="e">
        <f t="shared" si="8"/>
        <v>#REF!</v>
      </c>
      <c r="Y122" s="62" t="e">
        <f t="shared" si="9"/>
        <v>#REF!</v>
      </c>
      <c r="Z122" s="22"/>
      <c r="AA122" s="22"/>
      <c r="AB122" s="22"/>
      <c r="AC122" s="22"/>
      <c r="AD122" s="19"/>
      <c r="AE122" s="14"/>
      <c r="AF122" s="72"/>
      <c r="AG122" s="49"/>
      <c r="AH122" s="49"/>
      <c r="AI122" s="50"/>
      <c r="AJ122" s="15"/>
      <c r="AK122" s="77" t="e">
        <f>#REF!</f>
        <v>#REF!</v>
      </c>
      <c r="AL122" s="77" t="e">
        <f>#REF!</f>
        <v>#REF!</v>
      </c>
      <c r="AM122" s="77" t="e">
        <f>#REF!</f>
        <v>#REF!</v>
      </c>
      <c r="AN122" s="77" t="e">
        <f>#REF!</f>
        <v>#REF!</v>
      </c>
      <c r="AO122" s="77" t="e">
        <f>#REF!</f>
        <v>#REF!</v>
      </c>
      <c r="AP122" s="77" t="e">
        <f>#REF!</f>
        <v>#REF!</v>
      </c>
      <c r="AQ122" s="77" t="e">
        <f>#REF!</f>
        <v>#REF!</v>
      </c>
      <c r="AR122" s="77" t="e">
        <f>#REF!</f>
        <v>#REF!</v>
      </c>
      <c r="AS122" s="77" t="e">
        <f>#REF!</f>
        <v>#REF!</v>
      </c>
      <c r="AT122" s="77" t="e">
        <f>#REF!</f>
        <v>#REF!</v>
      </c>
      <c r="AU122" s="77" t="e">
        <f>#REF!</f>
        <v>#REF!</v>
      </c>
      <c r="AV122" s="77" t="e">
        <f>#REF!</f>
        <v>#REF!</v>
      </c>
      <c r="AW122" s="77" t="e">
        <f>#REF!</f>
        <v>#REF!</v>
      </c>
      <c r="AX122" s="77" t="e">
        <f>#REF!</f>
        <v>#REF!</v>
      </c>
      <c r="AY122" s="77" t="e">
        <f>#REF!</f>
        <v>#REF!</v>
      </c>
      <c r="AZ122" s="77" t="e">
        <f>#REF!</f>
        <v>#REF!</v>
      </c>
      <c r="BA122" s="77" t="e">
        <f>#REF!</f>
        <v>#REF!</v>
      </c>
      <c r="BB122" s="77" t="e">
        <f>#REF!</f>
        <v>#REF!</v>
      </c>
      <c r="BC122" s="77" t="e">
        <f>#REF!</f>
        <v>#REF!</v>
      </c>
      <c r="BD122" s="77" t="e">
        <f>#REF!</f>
        <v>#REF!</v>
      </c>
      <c r="BE122" s="77" t="e">
        <f>#REF!</f>
        <v>#REF!</v>
      </c>
      <c r="BF122" s="77" t="e">
        <f>#REF!</f>
        <v>#REF!</v>
      </c>
      <c r="BG122" s="77" t="e">
        <f>#REF!</f>
        <v>#REF!</v>
      </c>
      <c r="BH122" s="77" t="e">
        <f>#REF!</f>
        <v>#REF!</v>
      </c>
      <c r="BI122" s="77" t="e">
        <f>#REF!</f>
        <v>#REF!</v>
      </c>
      <c r="BJ122" s="77" t="e">
        <f>#REF!</f>
        <v>#REF!</v>
      </c>
      <c r="BK122" s="77" t="e">
        <f>#REF!</f>
        <v>#REF!</v>
      </c>
      <c r="BL122" s="77" t="e">
        <f>#REF!</f>
        <v>#REF!</v>
      </c>
      <c r="BM122" s="77" t="e">
        <f>#REF!</f>
        <v>#REF!</v>
      </c>
      <c r="BN122" s="77" t="e">
        <f>#REF!</f>
        <v>#REF!</v>
      </c>
      <c r="BO122" s="77" t="e">
        <f>#REF!</f>
        <v>#REF!</v>
      </c>
      <c r="BP122" s="77" t="e">
        <f>#REF!</f>
        <v>#REF!</v>
      </c>
      <c r="BR122" s="123" t="str">
        <f t="shared" si="13"/>
        <v>FAI 68-2</v>
      </c>
      <c r="BS122" s="120">
        <f>OOC!G122</f>
        <v>1.05</v>
      </c>
      <c r="BT122" s="120">
        <f>OOC!H122</f>
        <v>1.01</v>
      </c>
      <c r="BU122" s="2" t="e">
        <f t="shared" si="14"/>
        <v>#REF!</v>
      </c>
      <c r="BV122" s="2" t="e">
        <f t="shared" si="15"/>
        <v>#REF!</v>
      </c>
      <c r="BW122" s="2" t="e">
        <f t="shared" si="16"/>
        <v>#REF!</v>
      </c>
      <c r="BX122" s="121" t="e">
        <f>IF(AND(IF(OOC!G122="",0,OOC!G122) &gt;= IF(O122="",0,O122), IF(O122="",0,O122) &gt; IF(L122="",0,L122)), "OOC",
IF(AND(IF(M122="",0,M122) &gt; IF(P122="",0,P122), IF(P122="",0,P122) &gt;= IF(OOC!H122="",0,OOC!H122)), "OOC",
IF(IF(O122="",0,O122) &gt; IF(OOC!G122="",0,OOC!G122), "OOS",
IF(IF(OOC!H122="",0,OOC!H122) &gt; IF(P122="",0,P122), "OOS", "OK"))))</f>
        <v>#REF!</v>
      </c>
    </row>
    <row r="123" spans="1:76" ht="15" customHeight="1">
      <c r="A123" s="13"/>
      <c r="B123" s="73" t="s">
        <v>171</v>
      </c>
      <c r="C123" s="78" t="s">
        <v>166</v>
      </c>
      <c r="D123" s="64" t="s">
        <v>117</v>
      </c>
      <c r="E123" s="65">
        <v>1.33</v>
      </c>
      <c r="F123" s="66" t="s">
        <v>44</v>
      </c>
      <c r="G123" s="67">
        <v>14.496</v>
      </c>
      <c r="H123" s="92" t="str">
        <f>IF(OOC!S123=0,"",OOC!S123)</f>
        <v/>
      </c>
      <c r="I123" s="92" t="str">
        <f>IF(OOC!T123=0,"",OOC!T123)</f>
        <v/>
      </c>
      <c r="J123" s="68" t="s">
        <v>12</v>
      </c>
      <c r="K123" s="69" t="s">
        <v>80</v>
      </c>
      <c r="L123" s="70" t="e">
        <f t="shared" si="0"/>
        <v>#VALUE!</v>
      </c>
      <c r="M123" s="70" t="e">
        <f t="shared" si="1"/>
        <v>#VALUE!</v>
      </c>
      <c r="N123" s="71"/>
      <c r="O123" s="2" t="e">
        <f t="shared" si="2"/>
        <v>#REF!</v>
      </c>
      <c r="P123" s="2" t="e">
        <f t="shared" si="3"/>
        <v>#REF!</v>
      </c>
      <c r="Q123" s="2" t="e">
        <f t="shared" si="4"/>
        <v>#REF!</v>
      </c>
      <c r="R123" s="3" t="e">
        <f t="shared" si="5"/>
        <v>#REF!</v>
      </c>
      <c r="S123" s="4" t="e">
        <f t="shared" si="10"/>
        <v>#REF!</v>
      </c>
      <c r="T123" s="84" t="e">
        <f t="shared" si="11"/>
        <v>#REF!</v>
      </c>
      <c r="U123" s="85" t="e">
        <f t="shared" si="12"/>
        <v>#REF!</v>
      </c>
      <c r="V123" s="4" t="e">
        <f t="shared" si="6"/>
        <v>#REF!</v>
      </c>
      <c r="W123" s="4" t="e">
        <f t="shared" si="7"/>
        <v>#REF!</v>
      </c>
      <c r="X123" s="4" t="e">
        <f t="shared" si="8"/>
        <v>#REF!</v>
      </c>
      <c r="Y123" s="62" t="e">
        <f t="shared" si="9"/>
        <v>#REF!</v>
      </c>
      <c r="Z123" s="22"/>
      <c r="AA123" s="22"/>
      <c r="AB123" s="22"/>
      <c r="AC123" s="22"/>
      <c r="AD123" s="19"/>
      <c r="AE123" s="14"/>
      <c r="AF123" s="72"/>
      <c r="AG123" s="49"/>
      <c r="AH123" s="49"/>
      <c r="AI123" s="50"/>
      <c r="AJ123" s="15"/>
      <c r="AK123" s="77" t="e">
        <f>#REF!</f>
        <v>#REF!</v>
      </c>
      <c r="AL123" s="77" t="e">
        <f>#REF!</f>
        <v>#REF!</v>
      </c>
      <c r="AM123" s="77" t="e">
        <f>#REF!</f>
        <v>#REF!</v>
      </c>
      <c r="AN123" s="77" t="e">
        <f>#REF!</f>
        <v>#REF!</v>
      </c>
      <c r="AO123" s="77" t="e">
        <f>#REF!</f>
        <v>#REF!</v>
      </c>
      <c r="AP123" s="77" t="e">
        <f>#REF!</f>
        <v>#REF!</v>
      </c>
      <c r="AQ123" s="77" t="e">
        <f>#REF!</f>
        <v>#REF!</v>
      </c>
      <c r="AR123" s="77" t="e">
        <f>#REF!</f>
        <v>#REF!</v>
      </c>
      <c r="AS123" s="77" t="e">
        <f>#REF!</f>
        <v>#REF!</v>
      </c>
      <c r="AT123" s="77" t="e">
        <f>#REF!</f>
        <v>#REF!</v>
      </c>
      <c r="AU123" s="77" t="e">
        <f>#REF!</f>
        <v>#REF!</v>
      </c>
      <c r="AV123" s="77" t="e">
        <f>#REF!</f>
        <v>#REF!</v>
      </c>
      <c r="AW123" s="77" t="e">
        <f>#REF!</f>
        <v>#REF!</v>
      </c>
      <c r="AX123" s="77" t="e">
        <f>#REF!</f>
        <v>#REF!</v>
      </c>
      <c r="AY123" s="77" t="e">
        <f>#REF!</f>
        <v>#REF!</v>
      </c>
      <c r="AZ123" s="77" t="e">
        <f>#REF!</f>
        <v>#REF!</v>
      </c>
      <c r="BA123" s="77" t="e">
        <f>#REF!</f>
        <v>#REF!</v>
      </c>
      <c r="BB123" s="77" t="e">
        <f>#REF!</f>
        <v>#REF!</v>
      </c>
      <c r="BC123" s="77" t="e">
        <f>#REF!</f>
        <v>#REF!</v>
      </c>
      <c r="BD123" s="77" t="e">
        <f>#REF!</f>
        <v>#REF!</v>
      </c>
      <c r="BE123" s="77" t="e">
        <f>#REF!</f>
        <v>#REF!</v>
      </c>
      <c r="BF123" s="77" t="e">
        <f>#REF!</f>
        <v>#REF!</v>
      </c>
      <c r="BG123" s="77" t="e">
        <f>#REF!</f>
        <v>#REF!</v>
      </c>
      <c r="BH123" s="77" t="e">
        <f>#REF!</f>
        <v>#REF!</v>
      </c>
      <c r="BI123" s="77" t="e">
        <f>#REF!</f>
        <v>#REF!</v>
      </c>
      <c r="BJ123" s="77" t="e">
        <f>#REF!</f>
        <v>#REF!</v>
      </c>
      <c r="BK123" s="77" t="e">
        <f>#REF!</f>
        <v>#REF!</v>
      </c>
      <c r="BL123" s="77" t="e">
        <f>#REF!</f>
        <v>#REF!</v>
      </c>
      <c r="BM123" s="77" t="e">
        <f>#REF!</f>
        <v>#REF!</v>
      </c>
      <c r="BN123" s="77" t="e">
        <f>#REF!</f>
        <v>#REF!</v>
      </c>
      <c r="BO123" s="77" t="e">
        <f>#REF!</f>
        <v>#REF!</v>
      </c>
      <c r="BP123" s="77" t="e">
        <f>#REF!</f>
        <v>#REF!</v>
      </c>
      <c r="BR123" s="123" t="str">
        <f t="shared" si="13"/>
        <v>FAI 69</v>
      </c>
      <c r="BS123" s="120">
        <f>OOC!G123</f>
        <v>14.516</v>
      </c>
      <c r="BT123" s="120">
        <f>OOC!H123</f>
        <v>14.476000000000001</v>
      </c>
      <c r="BU123" s="2" t="e">
        <f t="shared" si="14"/>
        <v>#REF!</v>
      </c>
      <c r="BV123" s="2" t="e">
        <f t="shared" si="15"/>
        <v>#REF!</v>
      </c>
      <c r="BW123" s="2" t="e">
        <f t="shared" si="16"/>
        <v>#REF!</v>
      </c>
      <c r="BX123" s="121" t="e">
        <f>IF(AND(IF(OOC!G123="",0,OOC!G123) &gt;= IF(O123="",0,O123), IF(O123="",0,O123) &gt; IF(L123="",0,L123)), "OOC",
IF(AND(IF(M123="",0,M123) &gt; IF(P123="",0,P123), IF(P123="",0,P123) &gt;= IF(OOC!H123="",0,OOC!H123)), "OOC",
IF(IF(O123="",0,O123) &gt; IF(OOC!G123="",0,OOC!G123), "OOS",
IF(IF(OOC!H123="",0,OOC!H123) &gt; IF(P123="",0,P123), "OOS", "OK"))))</f>
        <v>#REF!</v>
      </c>
    </row>
    <row r="124" spans="1:76" ht="15" customHeight="1">
      <c r="A124" s="13"/>
      <c r="B124" s="73" t="s">
        <v>172</v>
      </c>
      <c r="C124" s="78" t="s">
        <v>167</v>
      </c>
      <c r="D124" s="64" t="s">
        <v>117</v>
      </c>
      <c r="E124" s="65">
        <v>1.33</v>
      </c>
      <c r="F124" s="66" t="s">
        <v>44</v>
      </c>
      <c r="G124" s="67">
        <v>0.77</v>
      </c>
      <c r="H124" s="92" t="str">
        <f>IF(OOC!S124=0,"",OOC!S124)</f>
        <v/>
      </c>
      <c r="I124" s="92" t="str">
        <f>IF(OOC!T124=0,"",OOC!T124)</f>
        <v/>
      </c>
      <c r="J124" s="68" t="s">
        <v>12</v>
      </c>
      <c r="K124" s="69" t="s">
        <v>80</v>
      </c>
      <c r="L124" s="70" t="e">
        <f t="shared" si="0"/>
        <v>#VALUE!</v>
      </c>
      <c r="M124" s="70" t="e">
        <f t="shared" si="1"/>
        <v>#VALUE!</v>
      </c>
      <c r="N124" s="71"/>
      <c r="O124" s="2" t="e">
        <f t="shared" si="2"/>
        <v>#REF!</v>
      </c>
      <c r="P124" s="2" t="e">
        <f t="shared" si="3"/>
        <v>#REF!</v>
      </c>
      <c r="Q124" s="2" t="e">
        <f t="shared" si="4"/>
        <v>#REF!</v>
      </c>
      <c r="R124" s="3" t="e">
        <f t="shared" si="5"/>
        <v>#REF!</v>
      </c>
      <c r="S124" s="4" t="e">
        <f t="shared" si="10"/>
        <v>#REF!</v>
      </c>
      <c r="T124" s="84" t="e">
        <f t="shared" si="11"/>
        <v>#REF!</v>
      </c>
      <c r="U124" s="85" t="e">
        <f t="shared" si="12"/>
        <v>#REF!</v>
      </c>
      <c r="V124" s="4" t="e">
        <f t="shared" si="6"/>
        <v>#REF!</v>
      </c>
      <c r="W124" s="4" t="e">
        <f t="shared" si="7"/>
        <v>#REF!</v>
      </c>
      <c r="X124" s="4" t="e">
        <f t="shared" si="8"/>
        <v>#REF!</v>
      </c>
      <c r="Y124" s="62" t="e">
        <f t="shared" si="9"/>
        <v>#REF!</v>
      </c>
      <c r="Z124" s="22"/>
      <c r="AA124" s="22"/>
      <c r="AB124" s="22"/>
      <c r="AC124" s="22"/>
      <c r="AD124" s="19"/>
      <c r="AE124" s="14"/>
      <c r="AF124" s="72"/>
      <c r="AG124" s="49"/>
      <c r="AH124" s="49"/>
      <c r="AI124" s="50"/>
      <c r="AJ124" s="15"/>
      <c r="AK124" s="77" t="e">
        <f>#REF!</f>
        <v>#REF!</v>
      </c>
      <c r="AL124" s="77" t="e">
        <f>#REF!</f>
        <v>#REF!</v>
      </c>
      <c r="AM124" s="77" t="e">
        <f>#REF!</f>
        <v>#REF!</v>
      </c>
      <c r="AN124" s="77" t="e">
        <f>#REF!</f>
        <v>#REF!</v>
      </c>
      <c r="AO124" s="77" t="e">
        <f>#REF!</f>
        <v>#REF!</v>
      </c>
      <c r="AP124" s="77" t="e">
        <f>#REF!</f>
        <v>#REF!</v>
      </c>
      <c r="AQ124" s="77" t="e">
        <f>#REF!</f>
        <v>#REF!</v>
      </c>
      <c r="AR124" s="77" t="e">
        <f>#REF!</f>
        <v>#REF!</v>
      </c>
      <c r="AS124" s="77" t="e">
        <f>#REF!</f>
        <v>#REF!</v>
      </c>
      <c r="AT124" s="77" t="e">
        <f>#REF!</f>
        <v>#REF!</v>
      </c>
      <c r="AU124" s="77" t="e">
        <f>#REF!</f>
        <v>#REF!</v>
      </c>
      <c r="AV124" s="77" t="e">
        <f>#REF!</f>
        <v>#REF!</v>
      </c>
      <c r="AW124" s="77" t="e">
        <f>#REF!</f>
        <v>#REF!</v>
      </c>
      <c r="AX124" s="77" t="e">
        <f>#REF!</f>
        <v>#REF!</v>
      </c>
      <c r="AY124" s="77" t="e">
        <f>#REF!</f>
        <v>#REF!</v>
      </c>
      <c r="AZ124" s="77" t="e">
        <f>#REF!</f>
        <v>#REF!</v>
      </c>
      <c r="BA124" s="77" t="e">
        <f>#REF!</f>
        <v>#REF!</v>
      </c>
      <c r="BB124" s="77" t="e">
        <f>#REF!</f>
        <v>#REF!</v>
      </c>
      <c r="BC124" s="77" t="e">
        <f>#REF!</f>
        <v>#REF!</v>
      </c>
      <c r="BD124" s="77" t="e">
        <f>#REF!</f>
        <v>#REF!</v>
      </c>
      <c r="BE124" s="77" t="e">
        <f>#REF!</f>
        <v>#REF!</v>
      </c>
      <c r="BF124" s="77" t="e">
        <f>#REF!</f>
        <v>#REF!</v>
      </c>
      <c r="BG124" s="77" t="e">
        <f>#REF!</f>
        <v>#REF!</v>
      </c>
      <c r="BH124" s="77" t="e">
        <f>#REF!</f>
        <v>#REF!</v>
      </c>
      <c r="BI124" s="77" t="e">
        <f>#REF!</f>
        <v>#REF!</v>
      </c>
      <c r="BJ124" s="77" t="e">
        <f>#REF!</f>
        <v>#REF!</v>
      </c>
      <c r="BK124" s="77" t="e">
        <f>#REF!</f>
        <v>#REF!</v>
      </c>
      <c r="BL124" s="77" t="e">
        <f>#REF!</f>
        <v>#REF!</v>
      </c>
      <c r="BM124" s="77" t="e">
        <f>#REF!</f>
        <v>#REF!</v>
      </c>
      <c r="BN124" s="77" t="e">
        <f>#REF!</f>
        <v>#REF!</v>
      </c>
      <c r="BO124" s="77" t="e">
        <f>#REF!</f>
        <v>#REF!</v>
      </c>
      <c r="BP124" s="77" t="e">
        <f>#REF!</f>
        <v>#REF!</v>
      </c>
      <c r="BR124" s="123" t="str">
        <f t="shared" si="13"/>
        <v>FAI 70-1</v>
      </c>
      <c r="BS124" s="120">
        <f>OOC!G124</f>
        <v>0.79</v>
      </c>
      <c r="BT124" s="120">
        <f>OOC!H124</f>
        <v>0.75</v>
      </c>
      <c r="BU124" s="2" t="e">
        <f t="shared" si="14"/>
        <v>#REF!</v>
      </c>
      <c r="BV124" s="2" t="e">
        <f t="shared" si="15"/>
        <v>#REF!</v>
      </c>
      <c r="BW124" s="2" t="e">
        <f t="shared" si="16"/>
        <v>#REF!</v>
      </c>
      <c r="BX124" s="121" t="e">
        <f>IF(AND(IF(OOC!G124="",0,OOC!G124) &gt;= IF(O124="",0,O124), IF(O124="",0,O124) &gt; IF(L124="",0,L124)), "OOC",
IF(AND(IF(M124="",0,M124) &gt; IF(P124="",0,P124), IF(P124="",0,P124) &gt;= IF(OOC!H124="",0,OOC!H124)), "OOC",
IF(IF(O124="",0,O124) &gt; IF(OOC!G124="",0,OOC!G124), "OOS",
IF(IF(OOC!H124="",0,OOC!H124) &gt; IF(P124="",0,P124), "OOS", "OK"))))</f>
        <v>#REF!</v>
      </c>
    </row>
    <row r="125" spans="1:76" ht="15" customHeight="1">
      <c r="A125" s="13"/>
      <c r="B125" s="73" t="s">
        <v>172</v>
      </c>
      <c r="C125" s="78" t="s">
        <v>168</v>
      </c>
      <c r="D125" s="64" t="s">
        <v>117</v>
      </c>
      <c r="E125" s="65">
        <v>1.33</v>
      </c>
      <c r="F125" s="66" t="s">
        <v>44</v>
      </c>
      <c r="G125" s="67">
        <v>0.77</v>
      </c>
      <c r="H125" s="92" t="str">
        <f>IF(OOC!S125=0,"",OOC!S125)</f>
        <v/>
      </c>
      <c r="I125" s="92" t="str">
        <f>IF(OOC!T125=0,"",OOC!T125)</f>
        <v/>
      </c>
      <c r="J125" s="68" t="s">
        <v>12</v>
      </c>
      <c r="K125" s="69" t="s">
        <v>80</v>
      </c>
      <c r="L125" s="70" t="e">
        <f t="shared" si="0"/>
        <v>#VALUE!</v>
      </c>
      <c r="M125" s="70" t="e">
        <f t="shared" si="1"/>
        <v>#VALUE!</v>
      </c>
      <c r="N125" s="71"/>
      <c r="O125" s="2" t="e">
        <f t="shared" si="2"/>
        <v>#REF!</v>
      </c>
      <c r="P125" s="2" t="e">
        <f t="shared" si="3"/>
        <v>#REF!</v>
      </c>
      <c r="Q125" s="2" t="e">
        <f t="shared" si="4"/>
        <v>#REF!</v>
      </c>
      <c r="R125" s="3" t="e">
        <f t="shared" si="5"/>
        <v>#REF!</v>
      </c>
      <c r="S125" s="4" t="e">
        <f t="shared" si="10"/>
        <v>#REF!</v>
      </c>
      <c r="T125" s="84" t="e">
        <f t="shared" si="11"/>
        <v>#REF!</v>
      </c>
      <c r="U125" s="85" t="e">
        <f t="shared" si="12"/>
        <v>#REF!</v>
      </c>
      <c r="V125" s="4" t="e">
        <f t="shared" si="6"/>
        <v>#REF!</v>
      </c>
      <c r="W125" s="4" t="e">
        <f t="shared" si="7"/>
        <v>#REF!</v>
      </c>
      <c r="X125" s="4" t="e">
        <f t="shared" si="8"/>
        <v>#REF!</v>
      </c>
      <c r="Y125" s="62" t="e">
        <f t="shared" si="9"/>
        <v>#REF!</v>
      </c>
      <c r="Z125" s="22"/>
      <c r="AA125" s="22"/>
      <c r="AB125" s="22"/>
      <c r="AC125" s="22"/>
      <c r="AD125" s="19"/>
      <c r="AE125" s="14"/>
      <c r="AF125" s="72"/>
      <c r="AG125" s="49"/>
      <c r="AH125" s="49"/>
      <c r="AI125" s="50"/>
      <c r="AJ125" s="15"/>
      <c r="AK125" s="77" t="e">
        <f>#REF!</f>
        <v>#REF!</v>
      </c>
      <c r="AL125" s="77" t="e">
        <f>#REF!</f>
        <v>#REF!</v>
      </c>
      <c r="AM125" s="77" t="e">
        <f>#REF!</f>
        <v>#REF!</v>
      </c>
      <c r="AN125" s="77" t="e">
        <f>#REF!</f>
        <v>#REF!</v>
      </c>
      <c r="AO125" s="77" t="e">
        <f>#REF!</f>
        <v>#REF!</v>
      </c>
      <c r="AP125" s="77" t="e">
        <f>#REF!</f>
        <v>#REF!</v>
      </c>
      <c r="AQ125" s="77" t="e">
        <f>#REF!</f>
        <v>#REF!</v>
      </c>
      <c r="AR125" s="77" t="e">
        <f>#REF!</f>
        <v>#REF!</v>
      </c>
      <c r="AS125" s="77" t="e">
        <f>#REF!</f>
        <v>#REF!</v>
      </c>
      <c r="AT125" s="77" t="e">
        <f>#REF!</f>
        <v>#REF!</v>
      </c>
      <c r="AU125" s="77" t="e">
        <f>#REF!</f>
        <v>#REF!</v>
      </c>
      <c r="AV125" s="77" t="e">
        <f>#REF!</f>
        <v>#REF!</v>
      </c>
      <c r="AW125" s="77" t="e">
        <f>#REF!</f>
        <v>#REF!</v>
      </c>
      <c r="AX125" s="77" t="e">
        <f>#REF!</f>
        <v>#REF!</v>
      </c>
      <c r="AY125" s="77" t="e">
        <f>#REF!</f>
        <v>#REF!</v>
      </c>
      <c r="AZ125" s="77" t="e">
        <f>#REF!</f>
        <v>#REF!</v>
      </c>
      <c r="BA125" s="77" t="e">
        <f>#REF!</f>
        <v>#REF!</v>
      </c>
      <c r="BB125" s="77" t="e">
        <f>#REF!</f>
        <v>#REF!</v>
      </c>
      <c r="BC125" s="77" t="e">
        <f>#REF!</f>
        <v>#REF!</v>
      </c>
      <c r="BD125" s="77" t="e">
        <f>#REF!</f>
        <v>#REF!</v>
      </c>
      <c r="BE125" s="77" t="e">
        <f>#REF!</f>
        <v>#REF!</v>
      </c>
      <c r="BF125" s="77" t="e">
        <f>#REF!</f>
        <v>#REF!</v>
      </c>
      <c r="BG125" s="77" t="e">
        <f>#REF!</f>
        <v>#REF!</v>
      </c>
      <c r="BH125" s="77" t="e">
        <f>#REF!</f>
        <v>#REF!</v>
      </c>
      <c r="BI125" s="77" t="e">
        <f>#REF!</f>
        <v>#REF!</v>
      </c>
      <c r="BJ125" s="77" t="e">
        <f>#REF!</f>
        <v>#REF!</v>
      </c>
      <c r="BK125" s="77" t="e">
        <f>#REF!</f>
        <v>#REF!</v>
      </c>
      <c r="BL125" s="77" t="e">
        <f>#REF!</f>
        <v>#REF!</v>
      </c>
      <c r="BM125" s="77" t="e">
        <f>#REF!</f>
        <v>#REF!</v>
      </c>
      <c r="BN125" s="77" t="e">
        <f>#REF!</f>
        <v>#REF!</v>
      </c>
      <c r="BO125" s="77" t="e">
        <f>#REF!</f>
        <v>#REF!</v>
      </c>
      <c r="BP125" s="77" t="e">
        <f>#REF!</f>
        <v>#REF!</v>
      </c>
      <c r="BR125" s="123" t="str">
        <f t="shared" si="13"/>
        <v>FAI 70-2</v>
      </c>
      <c r="BS125" s="120">
        <f>OOC!G125</f>
        <v>0.79</v>
      </c>
      <c r="BT125" s="120">
        <f>OOC!H125</f>
        <v>0.75</v>
      </c>
      <c r="BU125" s="2" t="e">
        <f t="shared" si="14"/>
        <v>#REF!</v>
      </c>
      <c r="BV125" s="2" t="e">
        <f t="shared" si="15"/>
        <v>#REF!</v>
      </c>
      <c r="BW125" s="2" t="e">
        <f t="shared" si="16"/>
        <v>#REF!</v>
      </c>
      <c r="BX125" s="121" t="e">
        <f>IF(AND(IF(OOC!G125="",0,OOC!G125) &gt;= IF(O125="",0,O125), IF(O125="",0,O125) &gt; IF(L125="",0,L125)), "OOC",
IF(AND(IF(M125="",0,M125) &gt; IF(P125="",0,P125), IF(P125="",0,P125) &gt;= IF(OOC!H125="",0,OOC!H125)), "OOC",
IF(IF(O125="",0,O125) &gt; IF(OOC!G125="",0,OOC!G125), "OOS",
IF(IF(OOC!H125="",0,OOC!H125) &gt; IF(P125="",0,P125), "OOS", "OK"))))</f>
        <v>#REF!</v>
      </c>
    </row>
    <row r="126" spans="1:76" ht="15" customHeight="1">
      <c r="A126" s="13"/>
      <c r="B126" s="73" t="s">
        <v>173</v>
      </c>
      <c r="C126" s="78" t="s">
        <v>169</v>
      </c>
      <c r="D126" s="64" t="s">
        <v>117</v>
      </c>
      <c r="E126" s="65">
        <v>1.33</v>
      </c>
      <c r="F126" s="66" t="s">
        <v>44</v>
      </c>
      <c r="G126" s="67">
        <v>11.776999999999999</v>
      </c>
      <c r="H126" s="92" t="str">
        <f>IF(OOC!S126=0,"",OOC!S126)</f>
        <v/>
      </c>
      <c r="I126" s="92" t="str">
        <f>IF(OOC!T126=0,"",OOC!T126)</f>
        <v/>
      </c>
      <c r="J126" s="68" t="s">
        <v>12</v>
      </c>
      <c r="K126" s="69" t="s">
        <v>80</v>
      </c>
      <c r="L126" s="70" t="e">
        <f t="shared" si="0"/>
        <v>#VALUE!</v>
      </c>
      <c r="M126" s="70" t="e">
        <f t="shared" si="1"/>
        <v>#VALUE!</v>
      </c>
      <c r="N126" s="71"/>
      <c r="O126" s="2" t="e">
        <f t="shared" si="2"/>
        <v>#REF!</v>
      </c>
      <c r="P126" s="2" t="e">
        <f t="shared" si="3"/>
        <v>#REF!</v>
      </c>
      <c r="Q126" s="2" t="e">
        <f t="shared" si="4"/>
        <v>#REF!</v>
      </c>
      <c r="R126" s="3" t="e">
        <f t="shared" si="5"/>
        <v>#REF!</v>
      </c>
      <c r="S126" s="4" t="e">
        <f t="shared" si="10"/>
        <v>#REF!</v>
      </c>
      <c r="T126" s="84" t="e">
        <f t="shared" si="11"/>
        <v>#REF!</v>
      </c>
      <c r="U126" s="85" t="e">
        <f t="shared" si="12"/>
        <v>#REF!</v>
      </c>
      <c r="V126" s="4" t="e">
        <f t="shared" si="6"/>
        <v>#REF!</v>
      </c>
      <c r="W126" s="4" t="e">
        <f t="shared" si="7"/>
        <v>#REF!</v>
      </c>
      <c r="X126" s="4" t="e">
        <f t="shared" si="8"/>
        <v>#REF!</v>
      </c>
      <c r="Y126" s="62" t="e">
        <f t="shared" si="9"/>
        <v>#REF!</v>
      </c>
      <c r="Z126" s="22"/>
      <c r="AA126" s="22"/>
      <c r="AB126" s="22"/>
      <c r="AC126" s="22"/>
      <c r="AD126" s="19"/>
      <c r="AE126" s="14"/>
      <c r="AF126" s="72"/>
      <c r="AG126" s="49"/>
      <c r="AH126" s="49"/>
      <c r="AI126" s="50"/>
      <c r="AJ126" s="15"/>
      <c r="AK126" s="77" t="e">
        <f>#REF!</f>
        <v>#REF!</v>
      </c>
      <c r="AL126" s="77" t="e">
        <f>#REF!</f>
        <v>#REF!</v>
      </c>
      <c r="AM126" s="77" t="e">
        <f>#REF!</f>
        <v>#REF!</v>
      </c>
      <c r="AN126" s="77" t="e">
        <f>#REF!</f>
        <v>#REF!</v>
      </c>
      <c r="AO126" s="77" t="e">
        <f>#REF!</f>
        <v>#REF!</v>
      </c>
      <c r="AP126" s="77" t="e">
        <f>#REF!</f>
        <v>#REF!</v>
      </c>
      <c r="AQ126" s="77" t="e">
        <f>#REF!</f>
        <v>#REF!</v>
      </c>
      <c r="AR126" s="77" t="e">
        <f>#REF!</f>
        <v>#REF!</v>
      </c>
      <c r="AS126" s="77" t="e">
        <f>#REF!</f>
        <v>#REF!</v>
      </c>
      <c r="AT126" s="77" t="e">
        <f>#REF!</f>
        <v>#REF!</v>
      </c>
      <c r="AU126" s="77" t="e">
        <f>#REF!</f>
        <v>#REF!</v>
      </c>
      <c r="AV126" s="77" t="e">
        <f>#REF!</f>
        <v>#REF!</v>
      </c>
      <c r="AW126" s="77" t="e">
        <f>#REF!</f>
        <v>#REF!</v>
      </c>
      <c r="AX126" s="77" t="e">
        <f>#REF!</f>
        <v>#REF!</v>
      </c>
      <c r="AY126" s="77" t="e">
        <f>#REF!</f>
        <v>#REF!</v>
      </c>
      <c r="AZ126" s="77" t="e">
        <f>#REF!</f>
        <v>#REF!</v>
      </c>
      <c r="BA126" s="77" t="e">
        <f>#REF!</f>
        <v>#REF!</v>
      </c>
      <c r="BB126" s="77" t="e">
        <f>#REF!</f>
        <v>#REF!</v>
      </c>
      <c r="BC126" s="77" t="e">
        <f>#REF!</f>
        <v>#REF!</v>
      </c>
      <c r="BD126" s="77" t="e">
        <f>#REF!</f>
        <v>#REF!</v>
      </c>
      <c r="BE126" s="77" t="e">
        <f>#REF!</f>
        <v>#REF!</v>
      </c>
      <c r="BF126" s="77" t="e">
        <f>#REF!</f>
        <v>#REF!</v>
      </c>
      <c r="BG126" s="77" t="e">
        <f>#REF!</f>
        <v>#REF!</v>
      </c>
      <c r="BH126" s="77" t="e">
        <f>#REF!</f>
        <v>#REF!</v>
      </c>
      <c r="BI126" s="77" t="e">
        <f>#REF!</f>
        <v>#REF!</v>
      </c>
      <c r="BJ126" s="77" t="e">
        <f>#REF!</f>
        <v>#REF!</v>
      </c>
      <c r="BK126" s="77" t="e">
        <f>#REF!</f>
        <v>#REF!</v>
      </c>
      <c r="BL126" s="77" t="e">
        <f>#REF!</f>
        <v>#REF!</v>
      </c>
      <c r="BM126" s="77" t="e">
        <f>#REF!</f>
        <v>#REF!</v>
      </c>
      <c r="BN126" s="77" t="e">
        <f>#REF!</f>
        <v>#REF!</v>
      </c>
      <c r="BO126" s="77" t="e">
        <f>#REF!</f>
        <v>#REF!</v>
      </c>
      <c r="BP126" s="77" t="e">
        <f>#REF!</f>
        <v>#REF!</v>
      </c>
      <c r="BR126" s="123" t="str">
        <f t="shared" si="13"/>
        <v>FAI 71</v>
      </c>
      <c r="BS126" s="120">
        <f>OOC!G126</f>
        <v>11.796999999999999</v>
      </c>
      <c r="BT126" s="120">
        <f>OOC!H126</f>
        <v>11.757</v>
      </c>
      <c r="BU126" s="2" t="e">
        <f t="shared" si="14"/>
        <v>#REF!</v>
      </c>
      <c r="BV126" s="2" t="e">
        <f t="shared" si="15"/>
        <v>#REF!</v>
      </c>
      <c r="BW126" s="2" t="e">
        <f t="shared" si="16"/>
        <v>#REF!</v>
      </c>
      <c r="BX126" s="121" t="e">
        <f>IF(AND(IF(OOC!G126="",0,OOC!G126) &gt;= IF(O126="",0,O126), IF(O126="",0,O126) &gt; IF(L126="",0,L126)), "OOC",
IF(AND(IF(M126="",0,M126) &gt; IF(P126="",0,P126), IF(P126="",0,P126) &gt;= IF(OOC!H126="",0,OOC!H126)), "OOC",
IF(IF(O126="",0,O126) &gt; IF(OOC!G126="",0,OOC!G126), "OOS",
IF(IF(OOC!H126="",0,OOC!H126) &gt; IF(P126="",0,P126), "OOS", "OK"))))</f>
        <v>#REF!</v>
      </c>
    </row>
    <row r="127" spans="1:76">
      <c r="T127"/>
      <c r="U127"/>
    </row>
    <row r="128" spans="1:76">
      <c r="T128"/>
      <c r="U128"/>
    </row>
    <row r="129" spans="20:21">
      <c r="T129"/>
      <c r="U129"/>
    </row>
    <row r="130" spans="20:21">
      <c r="T130"/>
      <c r="U130"/>
    </row>
    <row r="131" spans="20:21">
      <c r="T131"/>
      <c r="U131"/>
    </row>
    <row r="132" spans="20:21">
      <c r="T132"/>
      <c r="U132"/>
    </row>
    <row r="133" spans="20:21">
      <c r="T133"/>
      <c r="U133"/>
    </row>
    <row r="134" spans="20:21">
      <c r="T134"/>
      <c r="U134"/>
    </row>
    <row r="135" spans="20:21">
      <c r="T135"/>
      <c r="U135"/>
    </row>
    <row r="136" spans="20:21">
      <c r="T136"/>
      <c r="U136"/>
    </row>
    <row r="137" spans="20:21">
      <c r="T137"/>
      <c r="U137"/>
    </row>
    <row r="138" spans="20:21">
      <c r="T138"/>
      <c r="U138"/>
    </row>
    <row r="139" spans="20:21">
      <c r="T139"/>
      <c r="U139"/>
    </row>
    <row r="140" spans="20:21">
      <c r="T140"/>
      <c r="U140"/>
    </row>
    <row r="141" spans="20:21">
      <c r="T141"/>
      <c r="U141"/>
    </row>
    <row r="142" spans="20:21">
      <c r="T142"/>
      <c r="U142"/>
    </row>
    <row r="143" spans="20:21">
      <c r="T143"/>
      <c r="U143"/>
    </row>
    <row r="144" spans="20:21">
      <c r="T144"/>
      <c r="U144"/>
    </row>
    <row r="145" spans="20:21">
      <c r="T145"/>
      <c r="U145"/>
    </row>
    <row r="146" spans="20:21">
      <c r="T146"/>
      <c r="U146"/>
    </row>
    <row r="147" spans="20:21">
      <c r="T147"/>
      <c r="U147"/>
    </row>
    <row r="148" spans="20:21">
      <c r="T148"/>
      <c r="U148"/>
    </row>
    <row r="149" spans="20:21">
      <c r="T149"/>
      <c r="U149"/>
    </row>
    <row r="150" spans="20:21">
      <c r="T150"/>
      <c r="U150"/>
    </row>
    <row r="151" spans="20:21">
      <c r="T151"/>
      <c r="U151"/>
    </row>
    <row r="152" spans="20:21">
      <c r="T152"/>
      <c r="U152"/>
    </row>
    <row r="153" spans="20:21">
      <c r="T153"/>
      <c r="U153"/>
    </row>
    <row r="154" spans="20:21">
      <c r="T154"/>
      <c r="U154"/>
    </row>
    <row r="155" spans="20:21">
      <c r="T155"/>
      <c r="U155"/>
    </row>
    <row r="156" spans="20:21">
      <c r="T156"/>
      <c r="U156"/>
    </row>
    <row r="157" spans="20:21">
      <c r="T157"/>
      <c r="U157"/>
    </row>
    <row r="158" spans="20:21">
      <c r="T158"/>
      <c r="U158"/>
    </row>
    <row r="159" spans="20:21">
      <c r="T159"/>
      <c r="U159"/>
    </row>
    <row r="160" spans="20:21">
      <c r="T160"/>
      <c r="U160"/>
    </row>
    <row r="161" spans="20:21">
      <c r="T161"/>
      <c r="U161"/>
    </row>
    <row r="162" spans="20:21">
      <c r="T162"/>
      <c r="U162"/>
    </row>
    <row r="163" spans="20:21">
      <c r="T163"/>
      <c r="U163"/>
    </row>
    <row r="164" spans="20:21">
      <c r="T164"/>
      <c r="U164"/>
    </row>
    <row r="165" spans="20:21">
      <c r="T165"/>
      <c r="U165"/>
    </row>
    <row r="166" spans="20:21">
      <c r="T166"/>
      <c r="U166"/>
    </row>
    <row r="167" spans="20:21">
      <c r="T167"/>
      <c r="U167"/>
    </row>
    <row r="168" spans="20:21">
      <c r="T168"/>
      <c r="U168"/>
    </row>
    <row r="169" spans="20:21">
      <c r="T169"/>
      <c r="U169"/>
    </row>
    <row r="170" spans="20:21">
      <c r="T170"/>
      <c r="U170"/>
    </row>
    <row r="171" spans="20:21">
      <c r="T171"/>
      <c r="U171"/>
    </row>
    <row r="172" spans="20:21">
      <c r="T172"/>
      <c r="U172"/>
    </row>
    <row r="173" spans="20:21">
      <c r="T173"/>
      <c r="U173"/>
    </row>
    <row r="174" spans="20:21">
      <c r="T174"/>
      <c r="U174"/>
    </row>
    <row r="175" spans="20:21">
      <c r="T175"/>
      <c r="U175"/>
    </row>
    <row r="176" spans="20:21">
      <c r="T176"/>
      <c r="U176"/>
    </row>
    <row r="177" spans="20:21">
      <c r="T177"/>
      <c r="U177"/>
    </row>
    <row r="178" spans="20:21">
      <c r="T178"/>
      <c r="U178"/>
    </row>
    <row r="179" spans="20:21">
      <c r="T179"/>
      <c r="U179"/>
    </row>
    <row r="180" spans="20:21">
      <c r="T180"/>
      <c r="U180"/>
    </row>
    <row r="181" spans="20:21">
      <c r="T181"/>
      <c r="U181"/>
    </row>
    <row r="182" spans="20:21">
      <c r="T182"/>
      <c r="U182"/>
    </row>
    <row r="183" spans="20:21">
      <c r="T183"/>
      <c r="U183"/>
    </row>
    <row r="184" spans="20:21">
      <c r="T184"/>
      <c r="U184"/>
    </row>
    <row r="185" spans="20:21">
      <c r="T185"/>
      <c r="U185"/>
    </row>
    <row r="186" spans="20:21">
      <c r="T186"/>
      <c r="U186"/>
    </row>
    <row r="187" spans="20:21">
      <c r="T187"/>
      <c r="U187"/>
    </row>
    <row r="188" spans="20:21">
      <c r="T188"/>
      <c r="U188"/>
    </row>
    <row r="189" spans="20:21">
      <c r="T189"/>
      <c r="U189"/>
    </row>
    <row r="190" spans="20:21">
      <c r="T190"/>
      <c r="U190"/>
    </row>
    <row r="191" spans="20:21">
      <c r="T191"/>
      <c r="U191"/>
    </row>
    <row r="192" spans="20:21">
      <c r="T192"/>
      <c r="U192"/>
    </row>
    <row r="193" spans="20:21">
      <c r="T193"/>
      <c r="U193"/>
    </row>
    <row r="194" spans="20:21">
      <c r="T194"/>
      <c r="U194"/>
    </row>
    <row r="195" spans="20:21">
      <c r="T195"/>
      <c r="U195"/>
    </row>
    <row r="196" spans="20:21">
      <c r="T196"/>
      <c r="U196"/>
    </row>
    <row r="197" spans="20:21">
      <c r="T197"/>
      <c r="U197"/>
    </row>
  </sheetData>
  <sheetProtection formatCells="0"/>
  <mergeCells count="29">
    <mergeCell ref="BW8:BW9"/>
    <mergeCell ref="BX8:BX10"/>
    <mergeCell ref="BR8:BR9"/>
    <mergeCell ref="BS8:BS9"/>
    <mergeCell ref="BT8:BT9"/>
    <mergeCell ref="BU8:BU9"/>
    <mergeCell ref="BV8:BV9"/>
    <mergeCell ref="B8:M8"/>
    <mergeCell ref="O8:AE8"/>
    <mergeCell ref="AG8:AI8"/>
    <mergeCell ref="AK8:BP9"/>
    <mergeCell ref="Z9:AA9"/>
    <mergeCell ref="B5:C5"/>
    <mergeCell ref="F5:G5"/>
    <mergeCell ref="H5:M5"/>
    <mergeCell ref="O5:Q5"/>
    <mergeCell ref="R5:W5"/>
    <mergeCell ref="B6:C6"/>
    <mergeCell ref="F6:G6"/>
    <mergeCell ref="H6:M6"/>
    <mergeCell ref="O6:Q6"/>
    <mergeCell ref="R6:W6"/>
    <mergeCell ref="A1:AE1"/>
    <mergeCell ref="V2:W2"/>
    <mergeCell ref="B4:C4"/>
    <mergeCell ref="F4:G4"/>
    <mergeCell ref="H4:M4"/>
    <mergeCell ref="O4:Q4"/>
    <mergeCell ref="R4:W4"/>
  </mergeCells>
  <phoneticPr fontId="63" type="noConversion"/>
  <conditionalFormatting sqref="G11:G126">
    <cfRule type="containsBlanks" dxfId="77" priority="62">
      <formula>LEN(TRIM(G11))=0</formula>
    </cfRule>
    <cfRule type="expression" dxfId="76" priority="61">
      <formula>AND(OR($F11="GD&amp;T",$F11="MAX",$F11="MIN"),$G11="")</formula>
    </cfRule>
    <cfRule type="expression" dxfId="75" priority="60">
      <formula>AND($F11&lt;&gt;"Tolerance",$G11&lt;&gt;"")</formula>
    </cfRule>
    <cfRule type="containsBlanks" dxfId="74" priority="59">
      <formula>LEN(TRIM(G11))=0</formula>
    </cfRule>
    <cfRule type="expression" dxfId="73" priority="58">
      <formula>AND(OR($F11="GD&amp;T",$F11="MAX",$F11="MIN"),$G11="")</formula>
    </cfRule>
    <cfRule type="expression" dxfId="72" priority="57">
      <formula>AND($F11&lt;&gt;"Tolerance",$G11&lt;&gt;"")</formula>
    </cfRule>
  </conditionalFormatting>
  <conditionalFormatting sqref="H11:H126">
    <cfRule type="expression" dxfId="71" priority="38">
      <formula>AND($D11="MIN",$F11&lt;&gt;"")</formula>
    </cfRule>
    <cfRule type="containsBlanks" dxfId="70" priority="40">
      <formula>LEN(TRIM(H11))=0</formula>
    </cfRule>
    <cfRule type="expression" dxfId="69" priority="39">
      <formula>AND($D11="MIN",$F11="")</formula>
    </cfRule>
  </conditionalFormatting>
  <conditionalFormatting sqref="I11:I126">
    <cfRule type="containsBlanks" dxfId="68" priority="49">
      <formula>LEN(TRIM(I11))=0</formula>
    </cfRule>
    <cfRule type="expression" dxfId="67" priority="48">
      <formula>AND(OR($D11="GD&amp;T",$D11="MAX"),$G11="")</formula>
    </cfRule>
    <cfRule type="expression" dxfId="66" priority="47">
      <formula>AND(OR($D11="GD&amp;T",$D11="MAX"),$G11&lt;&gt;"")</formula>
    </cfRule>
  </conditionalFormatting>
  <conditionalFormatting sqref="O11:Q16 AK11:BP16 O20:Q20 AK20:BP20 O24:Q50 AK24:BP50 O54:Q126 AK54:BP126">
    <cfRule type="expression" dxfId="65" priority="33">
      <formula>AND($L11&lt;&gt;"",$AK11&lt;&gt;"",O11&gt;$L11)</formula>
    </cfRule>
    <cfRule type="notContainsBlanks" dxfId="64" priority="34">
      <formula>LEN(TRIM(O11))&gt;0</formula>
    </cfRule>
  </conditionalFormatting>
  <conditionalFormatting sqref="R11:S11 V11:AC16 S12:S56 V20:AC20 V24:AC24 V54:AC56 V73:AC95 V107:AC116 V121:AC126 R12:R16 R20">
    <cfRule type="expression" dxfId="63" priority="63">
      <formula>AND($AD11&lt;0.966,$AD11&lt;&gt;"")</formula>
    </cfRule>
  </conditionalFormatting>
  <conditionalFormatting sqref="V11:X16 S11:S126 V20:X20 V24:X50 V54:X126">
    <cfRule type="notContainsBlanks" dxfId="62" priority="69">
      <formula>LEN(TRIM(S11))&gt;0</formula>
    </cfRule>
    <cfRule type="cellIs" dxfId="61" priority="67" operator="lessThan">
      <formula>$E11</formula>
    </cfRule>
  </conditionalFormatting>
  <conditionalFormatting sqref="V54:Y126 S11:S126 V24:Y50 V11:Y16 V20:Y20">
    <cfRule type="expression" dxfId="60" priority="56">
      <formula>$K11="Yes"</formula>
    </cfRule>
  </conditionalFormatting>
  <conditionalFormatting sqref="V117:AC120 R24:R50 V25:AC50 R54:R56 V57:AC72 R57:S126 V96:AC106">
    <cfRule type="expression" dxfId="59" priority="26">
      <formula>AND($AD24&lt;0.966,$AD24&lt;&gt;"")</formula>
    </cfRule>
  </conditionalFormatting>
  <conditionalFormatting sqref="Y11:Y16 Y20 Y24:Y50 Y54:Y126">
    <cfRule type="notContainsBlanks" dxfId="58" priority="68">
      <formula>LEN(TRIM(Y11))&gt;0</formula>
    </cfRule>
  </conditionalFormatting>
  <conditionalFormatting sqref="Y11:AC16 Y20:AC20 Y24:AC50 Y54:AC116">
    <cfRule type="containsBlanks" dxfId="57" priority="64">
      <formula>LEN(TRIM(Y11))=0</formula>
    </cfRule>
    <cfRule type="cellIs" dxfId="56" priority="65" operator="between">
      <formula>0.9</formula>
      <formula>0.998</formula>
    </cfRule>
    <cfRule type="cellIs" dxfId="55" priority="66" operator="greaterThanOrEqual">
      <formula>0.998</formula>
    </cfRule>
  </conditionalFormatting>
  <conditionalFormatting sqref="Y117:AC119">
    <cfRule type="cellIs" dxfId="54" priority="29" operator="greaterThanOrEqual">
      <formula>0.998</formula>
    </cfRule>
    <cfRule type="cellIs" dxfId="53" priority="28" operator="between">
      <formula>0.9</formula>
      <formula>0.998</formula>
    </cfRule>
    <cfRule type="containsBlanks" dxfId="52" priority="27">
      <formula>LEN(TRIM(Y117))=0</formula>
    </cfRule>
  </conditionalFormatting>
  <conditionalFormatting sqref="Y120:AC126">
    <cfRule type="containsBlanks" dxfId="51" priority="2">
      <formula>LEN(TRIM(Y120))=0</formula>
    </cfRule>
    <cfRule type="cellIs" dxfId="50" priority="3" operator="between">
      <formula>0.9</formula>
      <formula>0.998</formula>
    </cfRule>
    <cfRule type="cellIs" dxfId="49" priority="4" operator="greaterThanOrEqual">
      <formula>0.998</formula>
    </cfRule>
  </conditionalFormatting>
  <conditionalFormatting sqref="AD11:AE16 AD20:AE20 AD24:AE50 AD54:AE126">
    <cfRule type="expression" dxfId="48" priority="31">
      <formula>AND($AD11&lt;0.966,$AD11&lt;&gt;"")</formula>
    </cfRule>
  </conditionalFormatting>
  <conditionalFormatting sqref="AK11:BP16 AK20:BP20 AK24:BP50 AK54:BP126 O11:Q16 O20:Q20 O24:Q50 O54:Q126">
    <cfRule type="expression" dxfId="47" priority="32">
      <formula>AND($M11&lt;&gt;"",$AK11&lt;&gt;"",O11&lt;$M11)</formula>
    </cfRule>
  </conditionalFormatting>
  <conditionalFormatting sqref="AK11:BP16 AK20:BP20 AK24:BP50">
    <cfRule type="containsBlanks" dxfId="46" priority="30">
      <formula>LEN(TRIM(AK11))=0</formula>
    </cfRule>
  </conditionalFormatting>
  <conditionalFormatting sqref="AK54:BP126">
    <cfRule type="containsBlanks" dxfId="45" priority="1">
      <formula>LEN(TRIM(AK54))=0</formula>
    </cfRule>
  </conditionalFormatting>
  <conditionalFormatting sqref="BU11:BW16 BU20:BW20 BU24:BW50 BU54:BW126">
    <cfRule type="notContainsBlanks" dxfId="44" priority="12">
      <formula>LEN(TRIM(BU11))&gt;0</formula>
    </cfRule>
    <cfRule type="expression" dxfId="43" priority="11">
      <formula>AND($L11&lt;&gt;"",$AK11&lt;&gt;"",BU11&gt;$L11)</formula>
    </cfRule>
    <cfRule type="expression" dxfId="42" priority="10">
      <formula>AND($M11&lt;&gt;"",$AK11&lt;&gt;"",BU11&lt;$M11)</formula>
    </cfRule>
  </conditionalFormatting>
  <conditionalFormatting sqref="BX11:BX16 BX20 BX24:BX50 BX54:BX126">
    <cfRule type="endsWith" dxfId="41" priority="7" operator="endsWith" text="OK">
      <formula>RIGHT(BX11,LEN("OK"))="OK"</formula>
    </cfRule>
    <cfRule type="endsWith" dxfId="40" priority="9" operator="endsWith" text="OOC">
      <formula>RIGHT(BX11,LEN("OOC"))="OOC"</formula>
    </cfRule>
    <cfRule type="endsWith" dxfId="39" priority="8" operator="endsWith" text="OOS">
      <formula>RIGHT(BX11,LEN("OOS"))="OOS"</formula>
    </cfRule>
  </conditionalFormatting>
  <dataValidations count="3">
    <dataValidation type="list" allowBlank="1" showInputMessage="1" showErrorMessage="1" sqref="K11:K126" xr:uid="{869BBD62-C6E2-4320-A2AB-44E4C7C1C249}">
      <formula1>gauging</formula1>
    </dataValidation>
    <dataValidation type="list" allowBlank="1" showInputMessage="1" showErrorMessage="1" sqref="F11:F126" xr:uid="{C9361C3E-A1A5-4DC0-BB11-94BD24D718F3}">
      <formula1>dim_type</formula1>
    </dataValidation>
    <dataValidation type="list" allowBlank="1" showInputMessage="1" showErrorMessage="1" sqref="J11:J126" xr:uid="{C6102E6E-4606-4EAE-B603-44BCBC076088}">
      <formula1>insp_meth</formula1>
    </dataValidation>
  </dataValidations>
  <pageMargins left="0.75" right="0.75" top="1" bottom="1" header="0.5" footer="0.5"/>
  <pageSetup orientation="portrait" horizontalDpi="4294967292" verticalDpi="4294967292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6625" r:id="rId4" name="Button 1">
              <controlPr defaultSize="0" print="0" autoFill="0" autoPict="0" macro="[0]!updateNormality">
                <anchor moveWithCells="1" sizeWithCells="1">
                  <from>
                    <xdr:col>2</xdr:col>
                    <xdr:colOff>28575</xdr:colOff>
                    <xdr:row>1</xdr:row>
                    <xdr:rowOff>28575</xdr:rowOff>
                  </from>
                  <to>
                    <xdr:col>3</xdr:col>
                    <xdr:colOff>828675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26" r:id="rId5" name="Button 2">
              <controlPr defaultSize="0" print="0" autoFill="0" autoPict="0" macro="[0]!showAddShtFrm">
                <anchor moveWithCells="1" sizeWithCells="1">
                  <from>
                    <xdr:col>3</xdr:col>
                    <xdr:colOff>866775</xdr:colOff>
                    <xdr:row>1</xdr:row>
                    <xdr:rowOff>28575</xdr:rowOff>
                  </from>
                  <to>
                    <xdr:col>5</xdr:col>
                    <xdr:colOff>314325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27" r:id="rId6" name="Button 3">
              <controlPr defaultSize="0" print="0" autoFill="0" autoPict="0" macro="[0]!showExportFrm">
                <anchor moveWithCells="1" sizeWithCells="1">
                  <from>
                    <xdr:col>5</xdr:col>
                    <xdr:colOff>342900</xdr:colOff>
                    <xdr:row>1</xdr:row>
                    <xdr:rowOff>28575</xdr:rowOff>
                  </from>
                  <to>
                    <xdr:col>7</xdr:col>
                    <xdr:colOff>257175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28" r:id="rId7" name="Button 4">
              <controlPr defaultSize="0" print="0" autoFill="0" autoPict="0" macro="[0]!showImport">
                <anchor moveWithCells="1" sizeWithCells="1">
                  <from>
                    <xdr:col>7</xdr:col>
                    <xdr:colOff>295275</xdr:colOff>
                    <xdr:row>1</xdr:row>
                    <xdr:rowOff>28575</xdr:rowOff>
                  </from>
                  <to>
                    <xdr:col>9</xdr:col>
                    <xdr:colOff>295275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29" r:id="rId8" name="Button 5">
              <controlPr defaultSize="0" print="0" autoFill="0" autoPict="0" macro="[0]!detectOutliers">
                <anchor moveWithCells="1" sizeWithCells="1">
                  <from>
                    <xdr:col>10</xdr:col>
                    <xdr:colOff>28575</xdr:colOff>
                    <xdr:row>1</xdr:row>
                    <xdr:rowOff>28575</xdr:rowOff>
                  </from>
                  <to>
                    <xdr:col>12</xdr:col>
                    <xdr:colOff>228600</xdr:colOff>
                    <xdr:row>3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F7FED-DD86-49D6-9C48-FF0F8416BDA6}">
  <sheetPr codeName="Sheet9"/>
  <dimension ref="A1:BX197"/>
  <sheetViews>
    <sheetView zoomScale="40" zoomScaleNormal="40" workbookViewId="0">
      <pane xSplit="3" ySplit="10" topLeftCell="D11" activePane="bottomRight" state="frozen"/>
      <selection activeCell="B47" sqref="B47"/>
      <selection pane="topRight" activeCell="B47" sqref="B47"/>
      <selection pane="bottomLeft" activeCell="B47" sqref="B47"/>
      <selection pane="bottomRight" activeCell="B47" sqref="B47"/>
    </sheetView>
  </sheetViews>
  <sheetFormatPr defaultColWidth="8.6640625" defaultRowHeight="17.25"/>
  <cols>
    <col min="1" max="1" width="0.44140625" customWidth="1"/>
    <col min="2" max="2" width="11" customWidth="1"/>
    <col min="3" max="3" width="7.77734375" bestFit="1" customWidth="1"/>
    <col min="4" max="4" width="24" customWidth="1"/>
    <col min="5" max="5" width="7.44140625" customWidth="1"/>
    <col min="6" max="6" width="9" customWidth="1"/>
    <col min="7" max="7" width="7.44140625" customWidth="1"/>
    <col min="8" max="9" width="8" customWidth="1"/>
    <col min="10" max="13" width="7.44140625" customWidth="1"/>
    <col min="14" max="14" width="0.44140625" customWidth="1"/>
    <col min="15" max="19" width="7.44140625" customWidth="1"/>
    <col min="20" max="21" width="8" style="86" customWidth="1"/>
    <col min="22" max="25" width="7.44140625" customWidth="1"/>
    <col min="26" max="26" width="10" hidden="1" customWidth="1"/>
    <col min="27" max="29" width="9.44140625" hidden="1" customWidth="1"/>
    <col min="30" max="30" width="7.44140625" hidden="1" customWidth="1"/>
    <col min="31" max="31" width="9" hidden="1" customWidth="1"/>
    <col min="32" max="32" width="28" hidden="1" customWidth="1"/>
    <col min="33" max="35" width="9" hidden="1" customWidth="1"/>
    <col min="36" max="36" width="0.44140625" customWidth="1"/>
    <col min="37" max="68" width="7.44140625" customWidth="1"/>
  </cols>
  <sheetData>
    <row r="1" spans="1:76" s="1" customFormat="1" ht="22.5" customHeight="1">
      <c r="A1" s="228" t="s">
        <v>48</v>
      </c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228"/>
      <c r="Y1" s="228"/>
      <c r="Z1" s="228"/>
      <c r="AA1" s="228"/>
      <c r="AB1" s="228"/>
      <c r="AC1" s="228"/>
      <c r="AD1" s="228"/>
      <c r="AE1" s="228"/>
      <c r="AF1" s="27"/>
      <c r="AG1" s="27"/>
      <c r="AH1" s="27"/>
      <c r="AI1" s="27"/>
      <c r="AJ1" s="10"/>
    </row>
    <row r="2" spans="1:76" s="1" customFormat="1" ht="14.25" customHeight="1">
      <c r="B2" s="8" t="s">
        <v>96</v>
      </c>
      <c r="C2" s="8"/>
      <c r="D2" s="7"/>
      <c r="E2" s="7"/>
      <c r="F2" s="7"/>
      <c r="I2" s="7"/>
      <c r="J2" s="7"/>
      <c r="K2" s="7"/>
      <c r="L2" s="7"/>
      <c r="M2" s="7"/>
      <c r="O2" s="7"/>
      <c r="P2" s="7"/>
      <c r="Q2" s="7"/>
      <c r="R2" s="7"/>
      <c r="S2" s="6"/>
      <c r="T2" s="81"/>
      <c r="U2" s="81"/>
      <c r="V2" s="241" t="s">
        <v>13</v>
      </c>
      <c r="W2" s="241"/>
      <c r="X2" s="6"/>
      <c r="AB2" s="7"/>
      <c r="AE2" s="7"/>
      <c r="AF2" s="7"/>
      <c r="AG2" s="7"/>
      <c r="AH2" s="7"/>
      <c r="AI2" s="7"/>
      <c r="AJ2" s="7"/>
    </row>
    <row r="3" spans="1:76" s="1" customFormat="1" ht="9" customHeight="1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O3" s="7"/>
      <c r="P3" s="7"/>
      <c r="Q3" s="7"/>
      <c r="R3" s="7"/>
      <c r="S3" s="7"/>
      <c r="T3" s="82"/>
      <c r="U3" s="82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</row>
    <row r="4" spans="1:76" s="1" customFormat="1" ht="18.75" customHeight="1">
      <c r="B4" s="206" t="s">
        <v>14</v>
      </c>
      <c r="C4" s="208"/>
      <c r="D4" s="11" t="s">
        <v>174</v>
      </c>
      <c r="E4" s="25"/>
      <c r="F4" s="242" t="s">
        <v>15</v>
      </c>
      <c r="G4" s="243"/>
      <c r="H4" s="229" t="s">
        <v>141</v>
      </c>
      <c r="I4" s="230"/>
      <c r="J4" s="230"/>
      <c r="K4" s="230"/>
      <c r="L4" s="230"/>
      <c r="M4" s="231"/>
      <c r="N4" s="26"/>
      <c r="O4" s="206" t="s">
        <v>81</v>
      </c>
      <c r="P4" s="207"/>
      <c r="Q4" s="208"/>
      <c r="R4" s="232" t="s">
        <v>214</v>
      </c>
      <c r="S4" s="230"/>
      <c r="T4" s="230"/>
      <c r="U4" s="230"/>
      <c r="V4" s="230"/>
      <c r="W4" s="231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</row>
    <row r="5" spans="1:76" s="1" customFormat="1" ht="18.75" customHeight="1">
      <c r="B5" s="206" t="s">
        <v>16</v>
      </c>
      <c r="C5" s="208"/>
      <c r="D5" s="11" t="s">
        <v>86</v>
      </c>
      <c r="E5" s="25"/>
      <c r="F5" s="242" t="s">
        <v>17</v>
      </c>
      <c r="G5" s="243"/>
      <c r="H5" s="232" t="s">
        <v>154</v>
      </c>
      <c r="I5" s="230"/>
      <c r="J5" s="230"/>
      <c r="K5" s="230"/>
      <c r="L5" s="230"/>
      <c r="M5" s="231"/>
      <c r="N5" s="26"/>
      <c r="O5" s="206" t="s">
        <v>57</v>
      </c>
      <c r="P5" s="207"/>
      <c r="Q5" s="208"/>
      <c r="R5" s="247"/>
      <c r="S5" s="248"/>
      <c r="T5" s="248"/>
      <c r="U5" s="248"/>
      <c r="V5" s="248"/>
      <c r="W5" s="249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</row>
    <row r="6" spans="1:76" s="1" customFormat="1" ht="18.75" customHeight="1">
      <c r="B6" s="206" t="s">
        <v>18</v>
      </c>
      <c r="C6" s="208"/>
      <c r="D6" s="75" t="s">
        <v>215</v>
      </c>
      <c r="E6" s="25"/>
      <c r="F6" s="242" t="s">
        <v>45</v>
      </c>
      <c r="G6" s="243"/>
      <c r="H6" s="232" t="s">
        <v>213</v>
      </c>
      <c r="I6" s="230"/>
      <c r="J6" s="230"/>
      <c r="K6" s="230"/>
      <c r="L6" s="230"/>
      <c r="M6" s="231"/>
      <c r="N6" s="26"/>
      <c r="O6" s="206" t="s">
        <v>56</v>
      </c>
      <c r="P6" s="207"/>
      <c r="Q6" s="208"/>
      <c r="R6" s="250" t="s">
        <v>179</v>
      </c>
      <c r="S6" s="248"/>
      <c r="T6" s="248"/>
      <c r="U6" s="248"/>
      <c r="V6" s="248"/>
      <c r="W6" s="249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</row>
    <row r="7" spans="1:76" s="1" customFormat="1" ht="9" customHeight="1"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O7" s="9"/>
      <c r="P7" s="9"/>
      <c r="Q7" s="9"/>
      <c r="R7" s="9"/>
      <c r="S7" s="9"/>
      <c r="T7" s="83"/>
      <c r="U7" s="83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7"/>
    </row>
    <row r="8" spans="1:76" s="12" customFormat="1" ht="15" customHeight="1">
      <c r="A8" s="17"/>
      <c r="B8" s="235" t="s">
        <v>19</v>
      </c>
      <c r="C8" s="233"/>
      <c r="D8" s="233"/>
      <c r="E8" s="233"/>
      <c r="F8" s="233"/>
      <c r="G8" s="233"/>
      <c r="H8" s="233"/>
      <c r="I8" s="233"/>
      <c r="J8" s="233"/>
      <c r="K8" s="233"/>
      <c r="L8" s="233"/>
      <c r="M8" s="234"/>
      <c r="N8" s="17"/>
      <c r="O8" s="235" t="s">
        <v>25</v>
      </c>
      <c r="P8" s="233"/>
      <c r="Q8" s="233"/>
      <c r="R8" s="233"/>
      <c r="S8" s="233"/>
      <c r="T8" s="233"/>
      <c r="U8" s="233"/>
      <c r="V8" s="233"/>
      <c r="W8" s="233"/>
      <c r="X8" s="233"/>
      <c r="Y8" s="233"/>
      <c r="Z8" s="233"/>
      <c r="AA8" s="233"/>
      <c r="AB8" s="233"/>
      <c r="AC8" s="233"/>
      <c r="AD8" s="233"/>
      <c r="AE8" s="234"/>
      <c r="AG8" s="244" t="s">
        <v>68</v>
      </c>
      <c r="AH8" s="244"/>
      <c r="AI8" s="244"/>
      <c r="AJ8" s="17"/>
      <c r="AK8" s="237" t="s">
        <v>178</v>
      </c>
      <c r="AL8" s="238"/>
      <c r="AM8" s="238"/>
      <c r="AN8" s="238"/>
      <c r="AO8" s="238"/>
      <c r="AP8" s="238"/>
      <c r="AQ8" s="238"/>
      <c r="AR8" s="238"/>
      <c r="AS8" s="238"/>
      <c r="AT8" s="238"/>
      <c r="AU8" s="238"/>
      <c r="AV8" s="238"/>
      <c r="AW8" s="238"/>
      <c r="AX8" s="238"/>
      <c r="AY8" s="238"/>
      <c r="AZ8" s="238"/>
      <c r="BA8" s="238"/>
      <c r="BB8" s="238"/>
      <c r="BC8" s="238"/>
      <c r="BD8" s="238"/>
      <c r="BE8" s="238"/>
      <c r="BF8" s="238"/>
      <c r="BG8" s="238"/>
      <c r="BH8" s="238"/>
      <c r="BI8" s="238"/>
      <c r="BJ8" s="238"/>
      <c r="BK8" s="238"/>
      <c r="BL8" s="238"/>
      <c r="BM8" s="238"/>
      <c r="BN8" s="238"/>
      <c r="BO8" s="238"/>
      <c r="BP8" s="238"/>
      <c r="BR8" s="251"/>
      <c r="BS8" s="251"/>
      <c r="BT8" s="251"/>
      <c r="BU8" s="251"/>
      <c r="BV8" s="251"/>
      <c r="BW8" s="251"/>
      <c r="BX8" s="253" t="s">
        <v>211</v>
      </c>
    </row>
    <row r="9" spans="1:76" s="12" customFormat="1" ht="32.25" customHeight="1">
      <c r="A9" s="21"/>
      <c r="B9" s="38"/>
      <c r="C9" s="38"/>
      <c r="D9" s="38"/>
      <c r="E9" s="38"/>
      <c r="F9" s="38"/>
      <c r="G9" s="39"/>
      <c r="H9" s="43" t="s">
        <v>61</v>
      </c>
      <c r="I9" s="43" t="s">
        <v>62</v>
      </c>
      <c r="J9" s="37"/>
      <c r="K9" s="37"/>
      <c r="L9" s="56"/>
      <c r="M9" s="56"/>
      <c r="N9" s="21"/>
      <c r="O9" s="29"/>
      <c r="P9" s="29"/>
      <c r="Q9" s="30"/>
      <c r="R9" s="29"/>
      <c r="S9" s="28"/>
      <c r="T9" s="28"/>
      <c r="U9" s="28"/>
      <c r="V9" s="28"/>
      <c r="W9" s="28"/>
      <c r="X9" s="28"/>
      <c r="Y9" s="28"/>
      <c r="Z9" s="245" t="s">
        <v>76</v>
      </c>
      <c r="AA9" s="246"/>
      <c r="AB9" s="36" t="s">
        <v>64</v>
      </c>
      <c r="AC9" s="61">
        <v>1.5</v>
      </c>
      <c r="AD9" s="35"/>
      <c r="AE9" s="35"/>
      <c r="AF9" s="59"/>
      <c r="AG9" s="57"/>
      <c r="AH9" s="57"/>
      <c r="AI9" s="58"/>
      <c r="AJ9" s="47"/>
      <c r="AK9" s="239"/>
      <c r="AL9" s="240"/>
      <c r="AM9" s="240"/>
      <c r="AN9" s="240"/>
      <c r="AO9" s="240"/>
      <c r="AP9" s="240"/>
      <c r="AQ9" s="240"/>
      <c r="AR9" s="240"/>
      <c r="AS9" s="240"/>
      <c r="AT9" s="240"/>
      <c r="AU9" s="240"/>
      <c r="AV9" s="240"/>
      <c r="AW9" s="240"/>
      <c r="AX9" s="240"/>
      <c r="AY9" s="240"/>
      <c r="AZ9" s="240"/>
      <c r="BA9" s="240"/>
      <c r="BB9" s="240"/>
      <c r="BC9" s="240"/>
      <c r="BD9" s="240"/>
      <c r="BE9" s="240"/>
      <c r="BF9" s="240"/>
      <c r="BG9" s="240"/>
      <c r="BH9" s="240"/>
      <c r="BI9" s="240"/>
      <c r="BJ9" s="240"/>
      <c r="BK9" s="240"/>
      <c r="BL9" s="240"/>
      <c r="BM9" s="240"/>
      <c r="BN9" s="240"/>
      <c r="BO9" s="240"/>
      <c r="BP9" s="240"/>
      <c r="BR9" s="252"/>
      <c r="BS9" s="252"/>
      <c r="BT9" s="252"/>
      <c r="BU9" s="252"/>
      <c r="BV9" s="252"/>
      <c r="BW9" s="252"/>
      <c r="BX9" s="254"/>
    </row>
    <row r="10" spans="1:76" s="16" customFormat="1" ht="52.5">
      <c r="A10" s="18"/>
      <c r="B10" s="40" t="s">
        <v>1</v>
      </c>
      <c r="C10" s="40" t="s">
        <v>22</v>
      </c>
      <c r="D10" s="40" t="s">
        <v>2</v>
      </c>
      <c r="E10" s="40" t="s">
        <v>75</v>
      </c>
      <c r="F10" s="40" t="s">
        <v>26</v>
      </c>
      <c r="G10" s="41" t="s">
        <v>21</v>
      </c>
      <c r="H10" s="60" t="s">
        <v>71</v>
      </c>
      <c r="I10" s="60" t="s">
        <v>72</v>
      </c>
      <c r="J10" s="42" t="s">
        <v>20</v>
      </c>
      <c r="K10" s="42" t="s">
        <v>77</v>
      </c>
      <c r="L10" s="44" t="s">
        <v>3</v>
      </c>
      <c r="M10" s="44" t="s">
        <v>4</v>
      </c>
      <c r="N10" s="18"/>
      <c r="O10" s="32" t="s">
        <v>5</v>
      </c>
      <c r="P10" s="32" t="s">
        <v>6</v>
      </c>
      <c r="Q10" s="33" t="s">
        <v>0</v>
      </c>
      <c r="R10" s="32" t="s">
        <v>7</v>
      </c>
      <c r="S10" s="34" t="s">
        <v>8</v>
      </c>
      <c r="T10" s="34" t="s">
        <v>142</v>
      </c>
      <c r="U10" s="34" t="s">
        <v>143</v>
      </c>
      <c r="V10" s="34" t="s">
        <v>9</v>
      </c>
      <c r="W10" s="34" t="s">
        <v>10</v>
      </c>
      <c r="X10" s="34" t="s">
        <v>11</v>
      </c>
      <c r="Y10" s="34" t="s">
        <v>58</v>
      </c>
      <c r="Z10" s="63" t="s">
        <v>59</v>
      </c>
      <c r="AA10" s="63" t="s">
        <v>60</v>
      </c>
      <c r="AB10" s="45" t="s">
        <v>63</v>
      </c>
      <c r="AC10" s="46" t="s">
        <v>65</v>
      </c>
      <c r="AD10" s="31" t="s">
        <v>23</v>
      </c>
      <c r="AE10" s="31" t="s">
        <v>24</v>
      </c>
      <c r="AF10" s="31" t="s">
        <v>67</v>
      </c>
      <c r="AG10" s="57"/>
      <c r="AH10" s="57"/>
      <c r="AI10" s="58"/>
      <c r="AJ10" s="48"/>
      <c r="AK10" s="87">
        <v>1</v>
      </c>
      <c r="AL10" s="87">
        <v>2</v>
      </c>
      <c r="AM10" s="87">
        <v>3</v>
      </c>
      <c r="AN10" s="87">
        <v>4</v>
      </c>
      <c r="AO10" s="87">
        <v>5</v>
      </c>
      <c r="AP10" s="87">
        <v>6</v>
      </c>
      <c r="AQ10" s="87">
        <v>7</v>
      </c>
      <c r="AR10" s="87">
        <v>8</v>
      </c>
      <c r="AS10" s="87">
        <v>9</v>
      </c>
      <c r="AT10" s="87">
        <v>10</v>
      </c>
      <c r="AU10" s="87">
        <v>11</v>
      </c>
      <c r="AV10" s="87">
        <v>12</v>
      </c>
      <c r="AW10" s="87">
        <v>13</v>
      </c>
      <c r="AX10" s="87">
        <v>14</v>
      </c>
      <c r="AY10" s="87">
        <v>15</v>
      </c>
      <c r="AZ10" s="87">
        <v>16</v>
      </c>
      <c r="BA10" s="87">
        <v>17</v>
      </c>
      <c r="BB10" s="87">
        <v>18</v>
      </c>
      <c r="BC10" s="87">
        <v>19</v>
      </c>
      <c r="BD10" s="87">
        <v>20</v>
      </c>
      <c r="BE10" s="87">
        <v>21</v>
      </c>
      <c r="BF10" s="87">
        <v>22</v>
      </c>
      <c r="BG10" s="87">
        <v>23</v>
      </c>
      <c r="BH10" s="87">
        <v>24</v>
      </c>
      <c r="BI10" s="87">
        <v>25</v>
      </c>
      <c r="BJ10" s="87">
        <v>26</v>
      </c>
      <c r="BK10" s="87">
        <v>27</v>
      </c>
      <c r="BL10" s="87">
        <v>28</v>
      </c>
      <c r="BM10" s="87">
        <v>29</v>
      </c>
      <c r="BN10" s="87">
        <v>30</v>
      </c>
      <c r="BO10" s="87">
        <v>31</v>
      </c>
      <c r="BP10" s="87">
        <v>32</v>
      </c>
      <c r="BR10" s="118" t="s">
        <v>212</v>
      </c>
      <c r="BS10" s="118" t="s">
        <v>3</v>
      </c>
      <c r="BT10" s="118" t="s">
        <v>4</v>
      </c>
      <c r="BU10" s="118" t="s">
        <v>5</v>
      </c>
      <c r="BV10" s="118" t="s">
        <v>6</v>
      </c>
      <c r="BW10" s="118" t="s">
        <v>0</v>
      </c>
      <c r="BX10" s="255"/>
    </row>
    <row r="11" spans="1:76" ht="15" customHeight="1">
      <c r="A11" s="13"/>
      <c r="B11" s="88" t="s">
        <v>110</v>
      </c>
      <c r="C11" s="78" t="s">
        <v>97</v>
      </c>
      <c r="D11" s="89" t="s">
        <v>114</v>
      </c>
      <c r="E11" s="90">
        <v>1.5</v>
      </c>
      <c r="F11" s="66" t="s">
        <v>44</v>
      </c>
      <c r="G11" s="91">
        <v>0.5</v>
      </c>
      <c r="H11" s="92" t="str">
        <f>IF(OOC!S11=0,"",OOC!S11)</f>
        <v/>
      </c>
      <c r="I11" s="92" t="str">
        <f>IF(OOC!T11=0,"",OOC!T11)</f>
        <v/>
      </c>
      <c r="J11" s="68" t="s">
        <v>12</v>
      </c>
      <c r="K11" s="69" t="s">
        <v>80</v>
      </c>
      <c r="L11" s="70" t="e">
        <f t="shared" ref="L11:L126" si="0">IF(AND(G11="",H11=""),"",IF(G11="",H11,G11+H11))</f>
        <v>#VALUE!</v>
      </c>
      <c r="M11" s="70" t="e">
        <f t="shared" ref="M11:M126" si="1">IF(AND(G11="",I11=""),"",IF(G11="",I11,G11+I11))</f>
        <v>#VALUE!</v>
      </c>
      <c r="N11" s="71"/>
      <c r="O11" s="2" t="e">
        <f t="shared" ref="O11:O126" si="2">IF(OR($AK11="",ISNUMBER($AK11)=FALSE),"",MAX(AK11:BP11))</f>
        <v>#REF!</v>
      </c>
      <c r="P11" s="2" t="e">
        <f t="shared" ref="P11:P126" si="3">IF(OR($AK11="",ISNUMBER($AK11)=FALSE),"",MIN(AK11:BP11))</f>
        <v>#REF!</v>
      </c>
      <c r="Q11" s="2" t="e">
        <f t="shared" ref="Q11:Q126" si="4">IF(OR($AK11="",ISNUMBER($AK11)=FALSE),"",AVERAGE(AK11:BP11))</f>
        <v>#REF!</v>
      </c>
      <c r="R11" s="3" t="e">
        <f t="shared" ref="R11:R126" si="5">IF(OR($AK11="",ISNUMBER($AK11)=FALSE),"",STDEV(AK11:BP11))</f>
        <v>#REF!</v>
      </c>
      <c r="S11" s="4" t="e">
        <f>IF(OR($AK11="",ISNUMBER($AK11)=FALSE),"",IF(AND(G11=0,I11=""),V11,IF(AND(G11="",H11=""),W11,(H11+ABS(I11))/(6*R11))))</f>
        <v>#REF!</v>
      </c>
      <c r="T11" s="84" t="e">
        <f>IF(OR($AK11="",ISNUMBER($AK11)=FALSE),"",IF(AND($F11="Tolerance",$G11&lt;&gt;""),($Q11-$G11)/(($L11-$M11)/2),IF(AND($F11="GD&amp;T",$H11&lt;&gt;""),$Q11/$H11,"")))</f>
        <v>#REF!</v>
      </c>
      <c r="U11" s="85" t="e">
        <f>IF($T11="","",IF(ABS($T11)&lt;=0.125, "Level A",IF(AND(ABS($T11)&gt;0.125,ABS($T11)&lt;=0.25), "Level B",IF(AND(ABS($T11)&gt;0.25,ABS($T11)&lt;=0.5), "Level C", IF(ABS($T11)&gt;0.5, "Level D")))))</f>
        <v>#REF!</v>
      </c>
      <c r="V11" s="4" t="e">
        <f t="shared" ref="V11:V126" si="6">IF(OR($AK11="",ISNUMBER($AK11)=FALSE),"",IF(H11="","",(L11-Q11)/(3*R11)))</f>
        <v>#REF!</v>
      </c>
      <c r="W11" s="4" t="e">
        <f t="shared" ref="W11:W126" si="7">IF(OR($AK11="",ISNUMBER($AK11)=FALSE),"",IF(I11="","",(Q11-M11)/(3*R11)))</f>
        <v>#REF!</v>
      </c>
      <c r="X11" s="4" t="e">
        <f t="shared" ref="X11:X126" si="8">IF(OR($AK11="",ISNUMBER($AK11)=FALSE),"",IF(AND(G11=0,I11=0),((H11)-(Q11))/(3*R11),MIN(V11:W11)))</f>
        <v>#REF!</v>
      </c>
      <c r="Y11" s="62" t="e">
        <f t="shared" ref="Y11:Y126" si="9">IF(OR($AK11="",ISNUMBER($AK11)=FALSE),"",IF(AND(G11=0,I11=0),NORMSDIST(3*X11),NORMSDIST(3*X11)+NORMSDIST(6*S11-3*X11)-1))</f>
        <v>#REF!</v>
      </c>
      <c r="Z11" s="22"/>
      <c r="AA11" s="22"/>
      <c r="AB11" s="22"/>
      <c r="AC11" s="22"/>
      <c r="AD11" s="19"/>
      <c r="AE11" s="14"/>
      <c r="AF11" s="74"/>
      <c r="AG11" s="49"/>
      <c r="AH11" s="49"/>
      <c r="AI11" s="50"/>
      <c r="AJ11" s="15"/>
      <c r="AK11" s="77" t="e">
        <f>#REF!</f>
        <v>#REF!</v>
      </c>
      <c r="AL11" s="77" t="e">
        <f>#REF!</f>
        <v>#REF!</v>
      </c>
      <c r="AM11" s="77" t="e">
        <f>#REF!</f>
        <v>#REF!</v>
      </c>
      <c r="AN11" s="77" t="e">
        <f>#REF!</f>
        <v>#REF!</v>
      </c>
      <c r="AO11" s="77" t="e">
        <f>#REF!</f>
        <v>#REF!</v>
      </c>
      <c r="AP11" s="77" t="e">
        <f>#REF!</f>
        <v>#REF!</v>
      </c>
      <c r="AQ11" s="77" t="e">
        <f>#REF!</f>
        <v>#REF!</v>
      </c>
      <c r="AR11" s="77" t="e">
        <f>#REF!</f>
        <v>#REF!</v>
      </c>
      <c r="AS11" s="77" t="e">
        <f>#REF!</f>
        <v>#REF!</v>
      </c>
      <c r="AT11" s="77" t="e">
        <f>#REF!</f>
        <v>#REF!</v>
      </c>
      <c r="AU11" s="77" t="e">
        <f>#REF!</f>
        <v>#REF!</v>
      </c>
      <c r="AV11" s="77" t="e">
        <f>#REF!</f>
        <v>#REF!</v>
      </c>
      <c r="AW11" s="77" t="e">
        <f>#REF!</f>
        <v>#REF!</v>
      </c>
      <c r="AX11" s="77" t="e">
        <f>#REF!</f>
        <v>#REF!</v>
      </c>
      <c r="AY11" s="77" t="e">
        <f>#REF!</f>
        <v>#REF!</v>
      </c>
      <c r="AZ11" s="77" t="e">
        <f>#REF!</f>
        <v>#REF!</v>
      </c>
      <c r="BA11" s="77" t="e">
        <f>#REF!</f>
        <v>#REF!</v>
      </c>
      <c r="BB11" s="77" t="e">
        <f>#REF!</f>
        <v>#REF!</v>
      </c>
      <c r="BC11" s="77" t="e">
        <f>#REF!</f>
        <v>#REF!</v>
      </c>
      <c r="BD11" s="77" t="e">
        <f>#REF!</f>
        <v>#REF!</v>
      </c>
      <c r="BE11" s="77" t="e">
        <f>#REF!</f>
        <v>#REF!</v>
      </c>
      <c r="BF11" s="77" t="e">
        <f>#REF!</f>
        <v>#REF!</v>
      </c>
      <c r="BG11" s="77" t="e">
        <f>#REF!</f>
        <v>#REF!</v>
      </c>
      <c r="BH11" s="77" t="e">
        <f>#REF!</f>
        <v>#REF!</v>
      </c>
      <c r="BI11" s="77" t="e">
        <f>#REF!</f>
        <v>#REF!</v>
      </c>
      <c r="BJ11" s="77" t="e">
        <f>#REF!</f>
        <v>#REF!</v>
      </c>
      <c r="BK11" s="77" t="e">
        <f>#REF!</f>
        <v>#REF!</v>
      </c>
      <c r="BL11" s="77" t="e">
        <f>#REF!</f>
        <v>#REF!</v>
      </c>
      <c r="BM11" s="77" t="e">
        <f>#REF!</f>
        <v>#REF!</v>
      </c>
      <c r="BN11" s="77" t="e">
        <f>#REF!</f>
        <v>#REF!</v>
      </c>
      <c r="BO11" s="77" t="e">
        <f>#REF!</f>
        <v>#REF!</v>
      </c>
      <c r="BP11" s="77" t="e">
        <f>#REF!</f>
        <v>#REF!</v>
      </c>
      <c r="BR11" s="119" t="str">
        <f>IF(ISNUMBER(SEARCH("(DC)", B11)), C11 &amp; B11, C11)</f>
        <v>FAI4-1</v>
      </c>
      <c r="BS11" s="120">
        <f>OOC!G11</f>
        <v>0.51</v>
      </c>
      <c r="BT11" s="120">
        <f>OOC!H11</f>
        <v>0.49</v>
      </c>
      <c r="BU11" s="2" t="e">
        <f>IF(OR($AK11="",ISNUMBER($AK11)=FALSE),"",MAX(AK11:BP11))</f>
        <v>#REF!</v>
      </c>
      <c r="BV11" s="2" t="e">
        <f>IF(OR($AK11="",ISNUMBER($AK11)=FALSE),"",MIN(AK11:BP11))</f>
        <v>#REF!</v>
      </c>
      <c r="BW11" s="2" t="e">
        <f>IF(OR($AK11="",ISNUMBER($AK11)=FALSE),"",AVERAGE(AK11:BP11))</f>
        <v>#REF!</v>
      </c>
      <c r="BX11" s="121" t="e">
        <f>IF(AND(IF(OOC!G11="",0,OOC!G11) &gt;= IF(O11="",0,O11), IF(O11="",0,O11) &gt; IF(L11="",0,L11)), "OOC",
IF(AND(IF(M11="",0,M11) &gt; IF(P11="",0,P11), IF(P11="",0,P11) &gt;= IF(OOC!H11="",0,OOC!H11)), "OOC",
IF(IF(O11="",0,O11) &gt; IF(OOC!G11="",0,OOC!G11), "OOS",
IF(IF(OOC!H11="",0,OOC!H11) &gt; IF(P11="",0,P11), "OOS", "OK"))))</f>
        <v>#REF!</v>
      </c>
    </row>
    <row r="12" spans="1:76" ht="15" customHeight="1">
      <c r="A12" s="13"/>
      <c r="B12" s="88" t="s">
        <v>110</v>
      </c>
      <c r="C12" s="78" t="s">
        <v>98</v>
      </c>
      <c r="D12" s="89" t="s">
        <v>114</v>
      </c>
      <c r="E12" s="90">
        <v>1.5</v>
      </c>
      <c r="F12" s="66" t="s">
        <v>44</v>
      </c>
      <c r="G12" s="91">
        <v>0.5</v>
      </c>
      <c r="H12" s="92" t="str">
        <f>IF(OOC!S12=0,"",OOC!S12)</f>
        <v/>
      </c>
      <c r="I12" s="92" t="str">
        <f>IF(OOC!T12=0,"",OOC!T12)</f>
        <v/>
      </c>
      <c r="J12" s="68" t="s">
        <v>12</v>
      </c>
      <c r="K12" s="69" t="s">
        <v>80</v>
      </c>
      <c r="L12" s="70" t="e">
        <f t="shared" si="0"/>
        <v>#VALUE!</v>
      </c>
      <c r="M12" s="70" t="e">
        <f t="shared" si="1"/>
        <v>#VALUE!</v>
      </c>
      <c r="N12" s="71"/>
      <c r="O12" s="2" t="e">
        <f t="shared" si="2"/>
        <v>#REF!</v>
      </c>
      <c r="P12" s="2" t="e">
        <f t="shared" si="3"/>
        <v>#REF!</v>
      </c>
      <c r="Q12" s="2" t="e">
        <f t="shared" si="4"/>
        <v>#REF!</v>
      </c>
      <c r="R12" s="3" t="e">
        <f t="shared" si="5"/>
        <v>#REF!</v>
      </c>
      <c r="S12" s="4" t="e">
        <f t="shared" ref="S12:S126" si="10">IF(OR($AK12="",ISNUMBER($AK12)=FALSE),"",IF(AND(G12=0,I12=""),V12,IF(AND(G12="",H12=""),W12,(H12+ABS(I12))/(6*R12))))</f>
        <v>#REF!</v>
      </c>
      <c r="T12" s="84" t="e">
        <f t="shared" ref="T12:T126" si="11">IF(OR($AK12="",ISNUMBER($AK12)=FALSE),"",IF(AND($F12="Tolerance",$G12&lt;&gt;""),($Q12-$G12)/(($L12-$M12)/2),IF(AND($F12="GD&amp;T",$H12&lt;&gt;""),$Q12/$H12,"")))</f>
        <v>#REF!</v>
      </c>
      <c r="U12" s="85" t="e">
        <f t="shared" ref="U12:U126" si="12">IF($T12="","",IF(ABS($T12)&lt;=0.125, "Level A",IF(AND(ABS($T12)&gt;0.125,ABS($T12)&lt;=0.25), "Level B",IF(AND(ABS($T12)&gt;0.25,ABS($T12)&lt;=0.5), "Level C", IF(ABS($T12)&gt;0.5, "Level D")))))</f>
        <v>#REF!</v>
      </c>
      <c r="V12" s="4" t="e">
        <f t="shared" si="6"/>
        <v>#REF!</v>
      </c>
      <c r="W12" s="4" t="e">
        <f t="shared" si="7"/>
        <v>#REF!</v>
      </c>
      <c r="X12" s="4" t="e">
        <f t="shared" si="8"/>
        <v>#REF!</v>
      </c>
      <c r="Y12" s="62" t="e">
        <f t="shared" si="9"/>
        <v>#REF!</v>
      </c>
      <c r="Z12" s="22"/>
      <c r="AA12" s="22"/>
      <c r="AB12" s="22"/>
      <c r="AC12" s="22"/>
      <c r="AD12" s="19"/>
      <c r="AE12" s="14"/>
      <c r="AF12" s="74"/>
      <c r="AG12" s="49"/>
      <c r="AH12" s="49"/>
      <c r="AI12" s="50"/>
      <c r="AJ12" s="15"/>
      <c r="AK12" s="77" t="e">
        <f>#REF!</f>
        <v>#REF!</v>
      </c>
      <c r="AL12" s="77" t="e">
        <f>#REF!</f>
        <v>#REF!</v>
      </c>
      <c r="AM12" s="77" t="e">
        <f>#REF!</f>
        <v>#REF!</v>
      </c>
      <c r="AN12" s="77" t="e">
        <f>#REF!</f>
        <v>#REF!</v>
      </c>
      <c r="AO12" s="77" t="e">
        <f>#REF!</f>
        <v>#REF!</v>
      </c>
      <c r="AP12" s="77" t="e">
        <f>#REF!</f>
        <v>#REF!</v>
      </c>
      <c r="AQ12" s="77" t="e">
        <f>#REF!</f>
        <v>#REF!</v>
      </c>
      <c r="AR12" s="77" t="e">
        <f>#REF!</f>
        <v>#REF!</v>
      </c>
      <c r="AS12" s="77" t="e">
        <f>#REF!</f>
        <v>#REF!</v>
      </c>
      <c r="AT12" s="77" t="e">
        <f>#REF!</f>
        <v>#REF!</v>
      </c>
      <c r="AU12" s="77" t="e">
        <f>#REF!</f>
        <v>#REF!</v>
      </c>
      <c r="AV12" s="77" t="e">
        <f>#REF!</f>
        <v>#REF!</v>
      </c>
      <c r="AW12" s="77" t="e">
        <f>#REF!</f>
        <v>#REF!</v>
      </c>
      <c r="AX12" s="77" t="e">
        <f>#REF!</f>
        <v>#REF!</v>
      </c>
      <c r="AY12" s="77" t="e">
        <f>#REF!</f>
        <v>#REF!</v>
      </c>
      <c r="AZ12" s="77" t="e">
        <f>#REF!</f>
        <v>#REF!</v>
      </c>
      <c r="BA12" s="77" t="e">
        <f>#REF!</f>
        <v>#REF!</v>
      </c>
      <c r="BB12" s="77" t="e">
        <f>#REF!</f>
        <v>#REF!</v>
      </c>
      <c r="BC12" s="77" t="e">
        <f>#REF!</f>
        <v>#REF!</v>
      </c>
      <c r="BD12" s="77" t="e">
        <f>#REF!</f>
        <v>#REF!</v>
      </c>
      <c r="BE12" s="77" t="e">
        <f>#REF!</f>
        <v>#REF!</v>
      </c>
      <c r="BF12" s="77" t="e">
        <f>#REF!</f>
        <v>#REF!</v>
      </c>
      <c r="BG12" s="77" t="e">
        <f>#REF!</f>
        <v>#REF!</v>
      </c>
      <c r="BH12" s="77" t="e">
        <f>#REF!</f>
        <v>#REF!</v>
      </c>
      <c r="BI12" s="77" t="e">
        <f>#REF!</f>
        <v>#REF!</v>
      </c>
      <c r="BJ12" s="77" t="e">
        <f>#REF!</f>
        <v>#REF!</v>
      </c>
      <c r="BK12" s="77" t="e">
        <f>#REF!</f>
        <v>#REF!</v>
      </c>
      <c r="BL12" s="77" t="e">
        <f>#REF!</f>
        <v>#REF!</v>
      </c>
      <c r="BM12" s="77" t="e">
        <f>#REF!</f>
        <v>#REF!</v>
      </c>
      <c r="BN12" s="77" t="e">
        <f>#REF!</f>
        <v>#REF!</v>
      </c>
      <c r="BO12" s="77" t="e">
        <f>#REF!</f>
        <v>#REF!</v>
      </c>
      <c r="BP12" s="77" t="e">
        <f>#REF!</f>
        <v>#REF!</v>
      </c>
      <c r="BR12" s="119" t="str">
        <f t="shared" ref="BR12:BR126" si="13">IF(ISNUMBER(SEARCH("(DC)", B12)), C12 &amp; B12, C12)</f>
        <v>FAI4-2</v>
      </c>
      <c r="BS12" s="120">
        <f>OOC!G12</f>
        <v>0.51</v>
      </c>
      <c r="BT12" s="120">
        <f>OOC!H12</f>
        <v>0.49</v>
      </c>
      <c r="BU12" s="2" t="e">
        <f t="shared" ref="BU12:BU126" si="14">IF(OR($AK12="",ISNUMBER($AK12)=FALSE),"",MAX(AK12:BP12))</f>
        <v>#REF!</v>
      </c>
      <c r="BV12" s="2" t="e">
        <f t="shared" ref="BV12:BV126" si="15">IF(OR($AK12="",ISNUMBER($AK12)=FALSE),"",MIN(AK12:BP12))</f>
        <v>#REF!</v>
      </c>
      <c r="BW12" s="2" t="e">
        <f t="shared" ref="BW12:BW126" si="16">IF(OR($AK12="",ISNUMBER($AK12)=FALSE),"",AVERAGE(AK12:BP12))</f>
        <v>#REF!</v>
      </c>
      <c r="BX12" s="121" t="e">
        <f>IF(AND(IF(OOC!G12="",0,OOC!G12) &gt;= IF(O12="",0,O12), IF(O12="",0,O12) &gt; IF(L12="",0,L12)), "OOC",
IF(AND(IF(M12="",0,M12) &gt; IF(P12="",0,P12), IF(P12="",0,P12) &gt;= IF(OOC!H12="",0,OOC!H12)), "OOC",
IF(IF(O12="",0,O12) &gt; IF(OOC!G12="",0,OOC!G12), "OOS",
IF(IF(OOC!H12="",0,OOC!H12) &gt; IF(P12="",0,P12), "OOS", "OK"))))</f>
        <v>#REF!</v>
      </c>
    </row>
    <row r="13" spans="1:76" ht="15" customHeight="1">
      <c r="A13" s="13"/>
      <c r="B13" s="88" t="s">
        <v>110</v>
      </c>
      <c r="C13" s="78" t="s">
        <v>99</v>
      </c>
      <c r="D13" s="89" t="s">
        <v>114</v>
      </c>
      <c r="E13" s="90">
        <v>1.5</v>
      </c>
      <c r="F13" s="66" t="s">
        <v>44</v>
      </c>
      <c r="G13" s="91">
        <v>0.5</v>
      </c>
      <c r="H13" s="92" t="str">
        <f>IF(OOC!S13=0,"",OOC!S13)</f>
        <v/>
      </c>
      <c r="I13" s="92" t="str">
        <f>IF(OOC!T13=0,"",OOC!T13)</f>
        <v/>
      </c>
      <c r="J13" s="68" t="s">
        <v>12</v>
      </c>
      <c r="K13" s="69" t="s">
        <v>80</v>
      </c>
      <c r="L13" s="70" t="e">
        <f t="shared" si="0"/>
        <v>#VALUE!</v>
      </c>
      <c r="M13" s="70" t="e">
        <f t="shared" si="1"/>
        <v>#VALUE!</v>
      </c>
      <c r="N13" s="71"/>
      <c r="O13" s="2" t="e">
        <f t="shared" si="2"/>
        <v>#REF!</v>
      </c>
      <c r="P13" s="2" t="e">
        <f t="shared" si="3"/>
        <v>#REF!</v>
      </c>
      <c r="Q13" s="2" t="e">
        <f t="shared" si="4"/>
        <v>#REF!</v>
      </c>
      <c r="R13" s="3" t="e">
        <f t="shared" si="5"/>
        <v>#REF!</v>
      </c>
      <c r="S13" s="4" t="e">
        <f t="shared" si="10"/>
        <v>#REF!</v>
      </c>
      <c r="T13" s="84" t="e">
        <f t="shared" si="11"/>
        <v>#REF!</v>
      </c>
      <c r="U13" s="85" t="e">
        <f t="shared" si="12"/>
        <v>#REF!</v>
      </c>
      <c r="V13" s="4" t="e">
        <f t="shared" si="6"/>
        <v>#REF!</v>
      </c>
      <c r="W13" s="4" t="e">
        <f t="shared" si="7"/>
        <v>#REF!</v>
      </c>
      <c r="X13" s="4" t="e">
        <f t="shared" si="8"/>
        <v>#REF!</v>
      </c>
      <c r="Y13" s="62" t="e">
        <f t="shared" si="9"/>
        <v>#REF!</v>
      </c>
      <c r="Z13" s="22"/>
      <c r="AA13" s="22"/>
      <c r="AB13" s="22"/>
      <c r="AC13" s="22"/>
      <c r="AD13" s="19"/>
      <c r="AE13" s="14"/>
      <c r="AF13" s="74"/>
      <c r="AG13" s="49"/>
      <c r="AH13" s="49"/>
      <c r="AI13" s="50"/>
      <c r="AJ13" s="15"/>
      <c r="AK13" s="77" t="e">
        <f>#REF!</f>
        <v>#REF!</v>
      </c>
      <c r="AL13" s="77" t="e">
        <f>#REF!</f>
        <v>#REF!</v>
      </c>
      <c r="AM13" s="77" t="e">
        <f>#REF!</f>
        <v>#REF!</v>
      </c>
      <c r="AN13" s="77" t="e">
        <f>#REF!</f>
        <v>#REF!</v>
      </c>
      <c r="AO13" s="77" t="e">
        <f>#REF!</f>
        <v>#REF!</v>
      </c>
      <c r="AP13" s="77" t="e">
        <f>#REF!</f>
        <v>#REF!</v>
      </c>
      <c r="AQ13" s="77" t="e">
        <f>#REF!</f>
        <v>#REF!</v>
      </c>
      <c r="AR13" s="77" t="e">
        <f>#REF!</f>
        <v>#REF!</v>
      </c>
      <c r="AS13" s="77" t="e">
        <f>#REF!</f>
        <v>#REF!</v>
      </c>
      <c r="AT13" s="77" t="e">
        <f>#REF!</f>
        <v>#REF!</v>
      </c>
      <c r="AU13" s="77" t="e">
        <f>#REF!</f>
        <v>#REF!</v>
      </c>
      <c r="AV13" s="77" t="e">
        <f>#REF!</f>
        <v>#REF!</v>
      </c>
      <c r="AW13" s="77" t="e">
        <f>#REF!</f>
        <v>#REF!</v>
      </c>
      <c r="AX13" s="77" t="e">
        <f>#REF!</f>
        <v>#REF!</v>
      </c>
      <c r="AY13" s="77" t="e">
        <f>#REF!</f>
        <v>#REF!</v>
      </c>
      <c r="AZ13" s="77" t="e">
        <f>#REF!</f>
        <v>#REF!</v>
      </c>
      <c r="BA13" s="77" t="e">
        <f>#REF!</f>
        <v>#REF!</v>
      </c>
      <c r="BB13" s="77" t="e">
        <f>#REF!</f>
        <v>#REF!</v>
      </c>
      <c r="BC13" s="77" t="e">
        <f>#REF!</f>
        <v>#REF!</v>
      </c>
      <c r="BD13" s="77" t="e">
        <f>#REF!</f>
        <v>#REF!</v>
      </c>
      <c r="BE13" s="77" t="e">
        <f>#REF!</f>
        <v>#REF!</v>
      </c>
      <c r="BF13" s="77" t="e">
        <f>#REF!</f>
        <v>#REF!</v>
      </c>
      <c r="BG13" s="77" t="e">
        <f>#REF!</f>
        <v>#REF!</v>
      </c>
      <c r="BH13" s="77" t="e">
        <f>#REF!</f>
        <v>#REF!</v>
      </c>
      <c r="BI13" s="77" t="e">
        <f>#REF!</f>
        <v>#REF!</v>
      </c>
      <c r="BJ13" s="77" t="e">
        <f>#REF!</f>
        <v>#REF!</v>
      </c>
      <c r="BK13" s="77" t="e">
        <f>#REF!</f>
        <v>#REF!</v>
      </c>
      <c r="BL13" s="77" t="e">
        <f>#REF!</f>
        <v>#REF!</v>
      </c>
      <c r="BM13" s="77" t="e">
        <f>#REF!</f>
        <v>#REF!</v>
      </c>
      <c r="BN13" s="77" t="e">
        <f>#REF!</f>
        <v>#REF!</v>
      </c>
      <c r="BO13" s="77" t="e">
        <f>#REF!</f>
        <v>#REF!</v>
      </c>
      <c r="BP13" s="77" t="e">
        <f>#REF!</f>
        <v>#REF!</v>
      </c>
      <c r="BR13" s="119" t="str">
        <f t="shared" si="13"/>
        <v>FAI4-3</v>
      </c>
      <c r="BS13" s="120">
        <f>OOC!G13</f>
        <v>0.51</v>
      </c>
      <c r="BT13" s="120">
        <f>OOC!H13</f>
        <v>0.49</v>
      </c>
      <c r="BU13" s="2" t="e">
        <f t="shared" si="14"/>
        <v>#REF!</v>
      </c>
      <c r="BV13" s="2" t="e">
        <f t="shared" si="15"/>
        <v>#REF!</v>
      </c>
      <c r="BW13" s="2" t="e">
        <f t="shared" si="16"/>
        <v>#REF!</v>
      </c>
      <c r="BX13" s="121" t="e">
        <f>IF(AND(IF(OOC!G13="",0,OOC!G13) &gt;= IF(O13="",0,O13), IF(O13="",0,O13) &gt; IF(L13="",0,L13)), "OOC",
IF(AND(IF(M13="",0,M13) &gt; IF(P13="",0,P13), IF(P13="",0,P13) &gt;= IF(OOC!H13="",0,OOC!H13)), "OOC",
IF(IF(O13="",0,O13) &gt; IF(OOC!G13="",0,OOC!G13), "OOS",
IF(IF(OOC!H13="",0,OOC!H13) &gt; IF(P13="",0,P13), "OOS", "OK"))))</f>
        <v>#REF!</v>
      </c>
    </row>
    <row r="14" spans="1:76" ht="15" customHeight="1">
      <c r="A14" s="13"/>
      <c r="B14" s="88" t="s">
        <v>111</v>
      </c>
      <c r="C14" s="78" t="s">
        <v>100</v>
      </c>
      <c r="D14" s="89" t="s">
        <v>114</v>
      </c>
      <c r="E14" s="90">
        <v>1.5</v>
      </c>
      <c r="F14" s="66" t="s">
        <v>44</v>
      </c>
      <c r="G14" s="91">
        <v>0.5</v>
      </c>
      <c r="H14" s="92" t="str">
        <f>IF(OOC!S14=0,"",OOC!S14)</f>
        <v/>
      </c>
      <c r="I14" s="92" t="str">
        <f>IF(OOC!T14=0,"",OOC!T14)</f>
        <v/>
      </c>
      <c r="J14" s="68" t="s">
        <v>12</v>
      </c>
      <c r="K14" s="69" t="s">
        <v>80</v>
      </c>
      <c r="L14" s="70" t="e">
        <f t="shared" si="0"/>
        <v>#VALUE!</v>
      </c>
      <c r="M14" s="70" t="e">
        <f t="shared" si="1"/>
        <v>#VALUE!</v>
      </c>
      <c r="N14" s="71"/>
      <c r="O14" s="2" t="e">
        <f t="shared" si="2"/>
        <v>#REF!</v>
      </c>
      <c r="P14" s="2" t="e">
        <f t="shared" si="3"/>
        <v>#REF!</v>
      </c>
      <c r="Q14" s="2" t="e">
        <f t="shared" si="4"/>
        <v>#REF!</v>
      </c>
      <c r="R14" s="3" t="e">
        <f t="shared" si="5"/>
        <v>#REF!</v>
      </c>
      <c r="S14" s="4" t="e">
        <f t="shared" si="10"/>
        <v>#REF!</v>
      </c>
      <c r="T14" s="84" t="e">
        <f t="shared" si="11"/>
        <v>#REF!</v>
      </c>
      <c r="U14" s="85" t="e">
        <f t="shared" si="12"/>
        <v>#REF!</v>
      </c>
      <c r="V14" s="4" t="e">
        <f t="shared" si="6"/>
        <v>#REF!</v>
      </c>
      <c r="W14" s="4" t="e">
        <f t="shared" si="7"/>
        <v>#REF!</v>
      </c>
      <c r="X14" s="4" t="e">
        <f t="shared" si="8"/>
        <v>#REF!</v>
      </c>
      <c r="Y14" s="62" t="e">
        <f t="shared" si="9"/>
        <v>#REF!</v>
      </c>
      <c r="Z14" s="22"/>
      <c r="AA14" s="22"/>
      <c r="AB14" s="22"/>
      <c r="AC14" s="22"/>
      <c r="AD14" s="19"/>
      <c r="AE14" s="14"/>
      <c r="AF14" s="74"/>
      <c r="AG14" s="49"/>
      <c r="AH14" s="49"/>
      <c r="AI14" s="50"/>
      <c r="AJ14" s="15"/>
      <c r="AK14" s="77" t="e">
        <f>#REF!</f>
        <v>#REF!</v>
      </c>
      <c r="AL14" s="77" t="e">
        <f>#REF!</f>
        <v>#REF!</v>
      </c>
      <c r="AM14" s="77" t="e">
        <f>#REF!</f>
        <v>#REF!</v>
      </c>
      <c r="AN14" s="77" t="e">
        <f>#REF!</f>
        <v>#REF!</v>
      </c>
      <c r="AO14" s="77" t="e">
        <f>#REF!</f>
        <v>#REF!</v>
      </c>
      <c r="AP14" s="77" t="e">
        <f>#REF!</f>
        <v>#REF!</v>
      </c>
      <c r="AQ14" s="77" t="e">
        <f>#REF!</f>
        <v>#REF!</v>
      </c>
      <c r="AR14" s="77" t="e">
        <f>#REF!</f>
        <v>#REF!</v>
      </c>
      <c r="AS14" s="77" t="e">
        <f>#REF!</f>
        <v>#REF!</v>
      </c>
      <c r="AT14" s="77" t="e">
        <f>#REF!</f>
        <v>#REF!</v>
      </c>
      <c r="AU14" s="77" t="e">
        <f>#REF!</f>
        <v>#REF!</v>
      </c>
      <c r="AV14" s="77" t="e">
        <f>#REF!</f>
        <v>#REF!</v>
      </c>
      <c r="AW14" s="77" t="e">
        <f>#REF!</f>
        <v>#REF!</v>
      </c>
      <c r="AX14" s="77" t="e">
        <f>#REF!</f>
        <v>#REF!</v>
      </c>
      <c r="AY14" s="77" t="e">
        <f>#REF!</f>
        <v>#REF!</v>
      </c>
      <c r="AZ14" s="77" t="e">
        <f>#REF!</f>
        <v>#REF!</v>
      </c>
      <c r="BA14" s="77" t="e">
        <f>#REF!</f>
        <v>#REF!</v>
      </c>
      <c r="BB14" s="77" t="e">
        <f>#REF!</f>
        <v>#REF!</v>
      </c>
      <c r="BC14" s="77" t="e">
        <f>#REF!</f>
        <v>#REF!</v>
      </c>
      <c r="BD14" s="77" t="e">
        <f>#REF!</f>
        <v>#REF!</v>
      </c>
      <c r="BE14" s="77" t="e">
        <f>#REF!</f>
        <v>#REF!</v>
      </c>
      <c r="BF14" s="77" t="e">
        <f>#REF!</f>
        <v>#REF!</v>
      </c>
      <c r="BG14" s="77" t="e">
        <f>#REF!</f>
        <v>#REF!</v>
      </c>
      <c r="BH14" s="77" t="e">
        <f>#REF!</f>
        <v>#REF!</v>
      </c>
      <c r="BI14" s="77" t="e">
        <f>#REF!</f>
        <v>#REF!</v>
      </c>
      <c r="BJ14" s="77" t="e">
        <f>#REF!</f>
        <v>#REF!</v>
      </c>
      <c r="BK14" s="77" t="e">
        <f>#REF!</f>
        <v>#REF!</v>
      </c>
      <c r="BL14" s="77" t="e">
        <f>#REF!</f>
        <v>#REF!</v>
      </c>
      <c r="BM14" s="77" t="e">
        <f>#REF!</f>
        <v>#REF!</v>
      </c>
      <c r="BN14" s="77" t="e">
        <f>#REF!</f>
        <v>#REF!</v>
      </c>
      <c r="BO14" s="77" t="e">
        <f>#REF!</f>
        <v>#REF!</v>
      </c>
      <c r="BP14" s="77" t="e">
        <f>#REF!</f>
        <v>#REF!</v>
      </c>
      <c r="BR14" s="122" t="str">
        <f t="shared" si="13"/>
        <v>FAI6-1</v>
      </c>
      <c r="BS14" s="120">
        <f>OOC!G14</f>
        <v>0.51</v>
      </c>
      <c r="BT14" s="120">
        <f>OOC!H14</f>
        <v>0.49</v>
      </c>
      <c r="BU14" s="2" t="e">
        <f t="shared" si="14"/>
        <v>#REF!</v>
      </c>
      <c r="BV14" s="2" t="e">
        <f t="shared" si="15"/>
        <v>#REF!</v>
      </c>
      <c r="BW14" s="2" t="e">
        <f t="shared" si="16"/>
        <v>#REF!</v>
      </c>
      <c r="BX14" s="121" t="e">
        <f>IF(AND(IF(OOC!G14="",0,OOC!G14) &gt;= IF(O14="",0,O14), IF(O14="",0,O14) &gt; IF(L14="",0,L14)), "OOC",
IF(AND(IF(M14="",0,M14) &gt; IF(P14="",0,P14), IF(P14="",0,P14) &gt;= IF(OOC!H14="",0,OOC!H14)), "OOC",
IF(IF(O14="",0,O14) &gt; IF(OOC!G14="",0,OOC!G14), "OOS",
IF(IF(OOC!H14="",0,OOC!H14) &gt; IF(P14="",0,P14), "OOS", "OK"))))</f>
        <v>#REF!</v>
      </c>
    </row>
    <row r="15" spans="1:76" ht="15" customHeight="1">
      <c r="A15" s="13"/>
      <c r="B15" s="88" t="s">
        <v>111</v>
      </c>
      <c r="C15" s="78" t="s">
        <v>101</v>
      </c>
      <c r="D15" s="89" t="s">
        <v>114</v>
      </c>
      <c r="E15" s="90">
        <v>1.5</v>
      </c>
      <c r="F15" s="66" t="s">
        <v>44</v>
      </c>
      <c r="G15" s="91">
        <v>0.5</v>
      </c>
      <c r="H15" s="92" t="str">
        <f>IF(OOC!S15=0,"",OOC!S15)</f>
        <v/>
      </c>
      <c r="I15" s="92" t="str">
        <f>IF(OOC!T15=0,"",OOC!T15)</f>
        <v/>
      </c>
      <c r="J15" s="68" t="s">
        <v>12</v>
      </c>
      <c r="K15" s="69" t="s">
        <v>80</v>
      </c>
      <c r="L15" s="70" t="e">
        <f t="shared" si="0"/>
        <v>#VALUE!</v>
      </c>
      <c r="M15" s="70" t="e">
        <f t="shared" si="1"/>
        <v>#VALUE!</v>
      </c>
      <c r="N15" s="71"/>
      <c r="O15" s="2" t="e">
        <f t="shared" si="2"/>
        <v>#REF!</v>
      </c>
      <c r="P15" s="2" t="e">
        <f t="shared" si="3"/>
        <v>#REF!</v>
      </c>
      <c r="Q15" s="2" t="e">
        <f t="shared" si="4"/>
        <v>#REF!</v>
      </c>
      <c r="R15" s="3" t="e">
        <f t="shared" si="5"/>
        <v>#REF!</v>
      </c>
      <c r="S15" s="4" t="e">
        <f t="shared" si="10"/>
        <v>#REF!</v>
      </c>
      <c r="T15" s="84" t="e">
        <f t="shared" si="11"/>
        <v>#REF!</v>
      </c>
      <c r="U15" s="85" t="e">
        <f t="shared" si="12"/>
        <v>#REF!</v>
      </c>
      <c r="V15" s="4" t="e">
        <f t="shared" si="6"/>
        <v>#REF!</v>
      </c>
      <c r="W15" s="4" t="e">
        <f t="shared" si="7"/>
        <v>#REF!</v>
      </c>
      <c r="X15" s="4" t="e">
        <f t="shared" si="8"/>
        <v>#REF!</v>
      </c>
      <c r="Y15" s="62" t="e">
        <f t="shared" si="9"/>
        <v>#REF!</v>
      </c>
      <c r="Z15" s="22"/>
      <c r="AA15" s="22"/>
      <c r="AB15" s="22"/>
      <c r="AC15" s="22"/>
      <c r="AD15" s="19"/>
      <c r="AE15" s="14"/>
      <c r="AF15" s="74"/>
      <c r="AG15" s="49"/>
      <c r="AH15" s="49"/>
      <c r="AI15" s="50"/>
      <c r="AJ15" s="15"/>
      <c r="AK15" s="77" t="e">
        <f>#REF!</f>
        <v>#REF!</v>
      </c>
      <c r="AL15" s="77" t="e">
        <f>#REF!</f>
        <v>#REF!</v>
      </c>
      <c r="AM15" s="77" t="e">
        <f>#REF!</f>
        <v>#REF!</v>
      </c>
      <c r="AN15" s="77" t="e">
        <f>#REF!</f>
        <v>#REF!</v>
      </c>
      <c r="AO15" s="77" t="e">
        <f>#REF!</f>
        <v>#REF!</v>
      </c>
      <c r="AP15" s="77" t="e">
        <f>#REF!</f>
        <v>#REF!</v>
      </c>
      <c r="AQ15" s="77" t="e">
        <f>#REF!</f>
        <v>#REF!</v>
      </c>
      <c r="AR15" s="77" t="e">
        <f>#REF!</f>
        <v>#REF!</v>
      </c>
      <c r="AS15" s="77" t="e">
        <f>#REF!</f>
        <v>#REF!</v>
      </c>
      <c r="AT15" s="77" t="e">
        <f>#REF!</f>
        <v>#REF!</v>
      </c>
      <c r="AU15" s="77" t="e">
        <f>#REF!</f>
        <v>#REF!</v>
      </c>
      <c r="AV15" s="77" t="e">
        <f>#REF!</f>
        <v>#REF!</v>
      </c>
      <c r="AW15" s="77" t="e">
        <f>#REF!</f>
        <v>#REF!</v>
      </c>
      <c r="AX15" s="77" t="e">
        <f>#REF!</f>
        <v>#REF!</v>
      </c>
      <c r="AY15" s="77" t="e">
        <f>#REF!</f>
        <v>#REF!</v>
      </c>
      <c r="AZ15" s="77" t="e">
        <f>#REF!</f>
        <v>#REF!</v>
      </c>
      <c r="BA15" s="77" t="e">
        <f>#REF!</f>
        <v>#REF!</v>
      </c>
      <c r="BB15" s="77" t="e">
        <f>#REF!</f>
        <v>#REF!</v>
      </c>
      <c r="BC15" s="77" t="e">
        <f>#REF!</f>
        <v>#REF!</v>
      </c>
      <c r="BD15" s="77" t="e">
        <f>#REF!</f>
        <v>#REF!</v>
      </c>
      <c r="BE15" s="77" t="e">
        <f>#REF!</f>
        <v>#REF!</v>
      </c>
      <c r="BF15" s="77" t="e">
        <f>#REF!</f>
        <v>#REF!</v>
      </c>
      <c r="BG15" s="77" t="e">
        <f>#REF!</f>
        <v>#REF!</v>
      </c>
      <c r="BH15" s="77" t="e">
        <f>#REF!</f>
        <v>#REF!</v>
      </c>
      <c r="BI15" s="77" t="e">
        <f>#REF!</f>
        <v>#REF!</v>
      </c>
      <c r="BJ15" s="77" t="e">
        <f>#REF!</f>
        <v>#REF!</v>
      </c>
      <c r="BK15" s="77" t="e">
        <f>#REF!</f>
        <v>#REF!</v>
      </c>
      <c r="BL15" s="77" t="e">
        <f>#REF!</f>
        <v>#REF!</v>
      </c>
      <c r="BM15" s="77" t="e">
        <f>#REF!</f>
        <v>#REF!</v>
      </c>
      <c r="BN15" s="77" t="e">
        <f>#REF!</f>
        <v>#REF!</v>
      </c>
      <c r="BO15" s="77" t="e">
        <f>#REF!</f>
        <v>#REF!</v>
      </c>
      <c r="BP15" s="77" t="e">
        <f>#REF!</f>
        <v>#REF!</v>
      </c>
      <c r="BR15" s="119" t="str">
        <f t="shared" si="13"/>
        <v>FAI6-2</v>
      </c>
      <c r="BS15" s="120">
        <f>OOC!G15</f>
        <v>0.51</v>
      </c>
      <c r="BT15" s="120">
        <f>OOC!H15</f>
        <v>0.49</v>
      </c>
      <c r="BU15" s="2" t="e">
        <f t="shared" si="14"/>
        <v>#REF!</v>
      </c>
      <c r="BV15" s="2" t="e">
        <f t="shared" si="15"/>
        <v>#REF!</v>
      </c>
      <c r="BW15" s="2" t="e">
        <f t="shared" si="16"/>
        <v>#REF!</v>
      </c>
      <c r="BX15" s="121" t="e">
        <f>IF(AND(IF(OOC!G15="",0,OOC!G15) &gt;= IF(O15="",0,O15), IF(O15="",0,O15) &gt; IF(L15="",0,L15)), "OOC",
IF(AND(IF(M15="",0,M15) &gt; IF(P15="",0,P15), IF(P15="",0,P15) &gt;= IF(OOC!H15="",0,OOC!H15)), "OOC",
IF(IF(O15="",0,O15) &gt; IF(OOC!G15="",0,OOC!G15), "OOS",
IF(IF(OOC!H15="",0,OOC!H15) &gt; IF(P15="",0,P15), "OOS", "OK"))))</f>
        <v>#REF!</v>
      </c>
    </row>
    <row r="16" spans="1:76" ht="15" customHeight="1">
      <c r="A16" s="13"/>
      <c r="B16" s="88" t="s">
        <v>111</v>
      </c>
      <c r="C16" s="78" t="s">
        <v>102</v>
      </c>
      <c r="D16" s="89" t="s">
        <v>114</v>
      </c>
      <c r="E16" s="90">
        <v>1.5</v>
      </c>
      <c r="F16" s="66" t="s">
        <v>44</v>
      </c>
      <c r="G16" s="91">
        <v>0.5</v>
      </c>
      <c r="H16" s="92" t="str">
        <f>IF(OOC!S16=0,"",OOC!S16)</f>
        <v/>
      </c>
      <c r="I16" s="92" t="str">
        <f>IF(OOC!T16=0,"",OOC!T16)</f>
        <v/>
      </c>
      <c r="J16" s="68" t="s">
        <v>12</v>
      </c>
      <c r="K16" s="69" t="s">
        <v>80</v>
      </c>
      <c r="L16" s="70" t="e">
        <f t="shared" si="0"/>
        <v>#VALUE!</v>
      </c>
      <c r="M16" s="70" t="e">
        <f t="shared" si="1"/>
        <v>#VALUE!</v>
      </c>
      <c r="N16" s="71"/>
      <c r="O16" s="2" t="e">
        <f t="shared" si="2"/>
        <v>#REF!</v>
      </c>
      <c r="P16" s="2" t="e">
        <f t="shared" si="3"/>
        <v>#REF!</v>
      </c>
      <c r="Q16" s="2" t="e">
        <f t="shared" si="4"/>
        <v>#REF!</v>
      </c>
      <c r="R16" s="3" t="e">
        <f t="shared" si="5"/>
        <v>#REF!</v>
      </c>
      <c r="S16" s="4" t="e">
        <f t="shared" si="10"/>
        <v>#REF!</v>
      </c>
      <c r="T16" s="84" t="e">
        <f t="shared" si="11"/>
        <v>#REF!</v>
      </c>
      <c r="U16" s="85" t="e">
        <f t="shared" si="12"/>
        <v>#REF!</v>
      </c>
      <c r="V16" s="4" t="e">
        <f t="shared" si="6"/>
        <v>#REF!</v>
      </c>
      <c r="W16" s="4" t="e">
        <f t="shared" si="7"/>
        <v>#REF!</v>
      </c>
      <c r="X16" s="4" t="e">
        <f t="shared" si="8"/>
        <v>#REF!</v>
      </c>
      <c r="Y16" s="62" t="e">
        <f t="shared" si="9"/>
        <v>#REF!</v>
      </c>
      <c r="Z16" s="22"/>
      <c r="AA16" s="22"/>
      <c r="AB16" s="22"/>
      <c r="AC16" s="22"/>
      <c r="AD16" s="19"/>
      <c r="AE16" s="14"/>
      <c r="AF16" s="74"/>
      <c r="AG16" s="49"/>
      <c r="AH16" s="49"/>
      <c r="AI16" s="50"/>
      <c r="AJ16" s="15"/>
      <c r="AK16" s="77" t="e">
        <f>#REF!</f>
        <v>#REF!</v>
      </c>
      <c r="AL16" s="77" t="e">
        <f>#REF!</f>
        <v>#REF!</v>
      </c>
      <c r="AM16" s="77" t="e">
        <f>#REF!</f>
        <v>#REF!</v>
      </c>
      <c r="AN16" s="77" t="e">
        <f>#REF!</f>
        <v>#REF!</v>
      </c>
      <c r="AO16" s="77" t="e">
        <f>#REF!</f>
        <v>#REF!</v>
      </c>
      <c r="AP16" s="77" t="e">
        <f>#REF!</f>
        <v>#REF!</v>
      </c>
      <c r="AQ16" s="77" t="e">
        <f>#REF!</f>
        <v>#REF!</v>
      </c>
      <c r="AR16" s="77" t="e">
        <f>#REF!</f>
        <v>#REF!</v>
      </c>
      <c r="AS16" s="77" t="e">
        <f>#REF!</f>
        <v>#REF!</v>
      </c>
      <c r="AT16" s="77" t="e">
        <f>#REF!</f>
        <v>#REF!</v>
      </c>
      <c r="AU16" s="77" t="e">
        <f>#REF!</f>
        <v>#REF!</v>
      </c>
      <c r="AV16" s="77" t="e">
        <f>#REF!</f>
        <v>#REF!</v>
      </c>
      <c r="AW16" s="77" t="e">
        <f>#REF!</f>
        <v>#REF!</v>
      </c>
      <c r="AX16" s="77" t="e">
        <f>#REF!</f>
        <v>#REF!</v>
      </c>
      <c r="AY16" s="77" t="e">
        <f>#REF!</f>
        <v>#REF!</v>
      </c>
      <c r="AZ16" s="77" t="e">
        <f>#REF!</f>
        <v>#REF!</v>
      </c>
      <c r="BA16" s="77" t="e">
        <f>#REF!</f>
        <v>#REF!</v>
      </c>
      <c r="BB16" s="77" t="e">
        <f>#REF!</f>
        <v>#REF!</v>
      </c>
      <c r="BC16" s="77" t="e">
        <f>#REF!</f>
        <v>#REF!</v>
      </c>
      <c r="BD16" s="77" t="e">
        <f>#REF!</f>
        <v>#REF!</v>
      </c>
      <c r="BE16" s="77" t="e">
        <f>#REF!</f>
        <v>#REF!</v>
      </c>
      <c r="BF16" s="77" t="e">
        <f>#REF!</f>
        <v>#REF!</v>
      </c>
      <c r="BG16" s="77" t="e">
        <f>#REF!</f>
        <v>#REF!</v>
      </c>
      <c r="BH16" s="77" t="e">
        <f>#REF!</f>
        <v>#REF!</v>
      </c>
      <c r="BI16" s="77" t="e">
        <f>#REF!</f>
        <v>#REF!</v>
      </c>
      <c r="BJ16" s="77" t="e">
        <f>#REF!</f>
        <v>#REF!</v>
      </c>
      <c r="BK16" s="77" t="e">
        <f>#REF!</f>
        <v>#REF!</v>
      </c>
      <c r="BL16" s="77" t="e">
        <f>#REF!</f>
        <v>#REF!</v>
      </c>
      <c r="BM16" s="77" t="e">
        <f>#REF!</f>
        <v>#REF!</v>
      </c>
      <c r="BN16" s="77" t="e">
        <f>#REF!</f>
        <v>#REF!</v>
      </c>
      <c r="BO16" s="77" t="e">
        <f>#REF!</f>
        <v>#REF!</v>
      </c>
      <c r="BP16" s="77" t="e">
        <f>#REF!</f>
        <v>#REF!</v>
      </c>
      <c r="BR16" s="119" t="str">
        <f t="shared" si="13"/>
        <v>FAI6-3</v>
      </c>
      <c r="BS16" s="120">
        <f>OOC!G16</f>
        <v>0.51</v>
      </c>
      <c r="BT16" s="120">
        <f>OOC!H16</f>
        <v>0.49</v>
      </c>
      <c r="BU16" s="2" t="e">
        <f t="shared" si="14"/>
        <v>#REF!</v>
      </c>
      <c r="BV16" s="2" t="e">
        <f t="shared" si="15"/>
        <v>#REF!</v>
      </c>
      <c r="BW16" s="2" t="e">
        <f t="shared" si="16"/>
        <v>#REF!</v>
      </c>
      <c r="BX16" s="121" t="e">
        <f>IF(AND(IF(OOC!G16="",0,OOC!G16) &gt;= IF(O16="",0,O16), IF(O16="",0,O16) &gt; IF(L16="",0,L16)), "OOC",
IF(AND(IF(M16="",0,M16) &gt; IF(P16="",0,P16), IF(P16="",0,P16) &gt;= IF(OOC!H16="",0,OOC!H16)), "OOC",
IF(IF(O16="",0,O16) &gt; IF(OOC!G16="",0,OOC!G16), "OOS",
IF(IF(OOC!H16="",0,OOC!H16) &gt; IF(P16="",0,P16), "OOS", "OK"))))</f>
        <v>#REF!</v>
      </c>
    </row>
    <row r="17" spans="1:76" ht="15" customHeight="1">
      <c r="A17" s="13"/>
      <c r="B17" s="88" t="s">
        <v>162</v>
      </c>
      <c r="C17" s="78" t="s">
        <v>100</v>
      </c>
      <c r="D17" s="89" t="s">
        <v>114</v>
      </c>
      <c r="E17" s="90"/>
      <c r="F17" s="66" t="s">
        <v>44</v>
      </c>
      <c r="G17" s="91">
        <v>0.5</v>
      </c>
      <c r="H17" s="92">
        <f>IF(OOC!S17=0,"",OOC!S17)</f>
        <v>0.01</v>
      </c>
      <c r="I17" s="92">
        <f>IF(OOC!T17=0,"",OOC!T17)</f>
        <v>-0.01</v>
      </c>
      <c r="J17" s="68" t="s">
        <v>12</v>
      </c>
      <c r="K17" s="69" t="s">
        <v>80</v>
      </c>
      <c r="L17" s="70">
        <f t="shared" si="0"/>
        <v>0.51</v>
      </c>
      <c r="M17" s="70">
        <f t="shared" si="1"/>
        <v>0.49</v>
      </c>
      <c r="N17" s="71"/>
      <c r="O17" s="2" t="e">
        <f t="shared" si="2"/>
        <v>#REF!</v>
      </c>
      <c r="P17" s="2" t="e">
        <f t="shared" si="3"/>
        <v>#REF!</v>
      </c>
      <c r="Q17" s="2" t="e">
        <f t="shared" si="4"/>
        <v>#REF!</v>
      </c>
      <c r="R17" s="3" t="e">
        <f t="shared" si="5"/>
        <v>#REF!</v>
      </c>
      <c r="S17" s="4" t="e">
        <f t="shared" si="10"/>
        <v>#REF!</v>
      </c>
      <c r="T17" s="84" t="e">
        <f t="shared" si="11"/>
        <v>#REF!</v>
      </c>
      <c r="U17" s="85" t="e">
        <f t="shared" si="12"/>
        <v>#REF!</v>
      </c>
      <c r="V17" s="4" t="e">
        <f t="shared" si="6"/>
        <v>#REF!</v>
      </c>
      <c r="W17" s="4" t="e">
        <f t="shared" si="7"/>
        <v>#REF!</v>
      </c>
      <c r="X17" s="4" t="e">
        <f t="shared" si="8"/>
        <v>#REF!</v>
      </c>
      <c r="Y17" s="62" t="e">
        <f t="shared" si="9"/>
        <v>#REF!</v>
      </c>
      <c r="Z17" s="22"/>
      <c r="AA17" s="22"/>
      <c r="AB17" s="22"/>
      <c r="AC17" s="22"/>
      <c r="AD17" s="19"/>
      <c r="AE17" s="14"/>
      <c r="AF17" s="74"/>
      <c r="AG17" s="49"/>
      <c r="AH17" s="49"/>
      <c r="AI17" s="50"/>
      <c r="AJ17" s="15"/>
      <c r="AK17" s="77" t="e">
        <f>#REF!</f>
        <v>#REF!</v>
      </c>
      <c r="AL17" s="77" t="e">
        <f>#REF!</f>
        <v>#REF!</v>
      </c>
      <c r="AM17" s="77" t="e">
        <f>#REF!</f>
        <v>#REF!</v>
      </c>
      <c r="AN17" s="77" t="e">
        <f>#REF!</f>
        <v>#REF!</v>
      </c>
      <c r="AO17" s="77" t="e">
        <f>#REF!</f>
        <v>#REF!</v>
      </c>
      <c r="AP17" s="77" t="e">
        <f>#REF!</f>
        <v>#REF!</v>
      </c>
      <c r="AQ17" s="77" t="e">
        <f>#REF!</f>
        <v>#REF!</v>
      </c>
      <c r="AR17" s="77" t="e">
        <f>#REF!</f>
        <v>#REF!</v>
      </c>
      <c r="AS17" s="77" t="e">
        <f>#REF!</f>
        <v>#REF!</v>
      </c>
      <c r="AT17" s="77" t="e">
        <f>#REF!</f>
        <v>#REF!</v>
      </c>
      <c r="AU17" s="77" t="e">
        <f>#REF!</f>
        <v>#REF!</v>
      </c>
      <c r="AV17" s="77" t="e">
        <f>#REF!</f>
        <v>#REF!</v>
      </c>
      <c r="AW17" s="77" t="e">
        <f>#REF!</f>
        <v>#REF!</v>
      </c>
      <c r="AX17" s="77" t="e">
        <f>#REF!</f>
        <v>#REF!</v>
      </c>
      <c r="AY17" s="77" t="e">
        <f>#REF!</f>
        <v>#REF!</v>
      </c>
      <c r="AZ17" s="77" t="e">
        <f>#REF!</f>
        <v>#REF!</v>
      </c>
      <c r="BA17" s="77" t="e">
        <f>#REF!</f>
        <v>#REF!</v>
      </c>
      <c r="BB17" s="77" t="e">
        <f>#REF!</f>
        <v>#REF!</v>
      </c>
      <c r="BC17" s="77" t="e">
        <f>#REF!</f>
        <v>#REF!</v>
      </c>
      <c r="BD17" s="77" t="e">
        <f>#REF!</f>
        <v>#REF!</v>
      </c>
      <c r="BE17" s="77" t="e">
        <f>#REF!</f>
        <v>#REF!</v>
      </c>
      <c r="BF17" s="77" t="e">
        <f>#REF!</f>
        <v>#REF!</v>
      </c>
      <c r="BG17" s="77" t="e">
        <f>#REF!</f>
        <v>#REF!</v>
      </c>
      <c r="BH17" s="77" t="e">
        <f>#REF!</f>
        <v>#REF!</v>
      </c>
      <c r="BI17" s="77" t="e">
        <f>#REF!</f>
        <v>#REF!</v>
      </c>
      <c r="BJ17" s="77" t="e">
        <f>#REF!</f>
        <v>#REF!</v>
      </c>
      <c r="BK17" s="77" t="e">
        <f>#REF!</f>
        <v>#REF!</v>
      </c>
      <c r="BL17" s="77" t="e">
        <f>#REF!</f>
        <v>#REF!</v>
      </c>
      <c r="BM17" s="77" t="e">
        <f>#REF!</f>
        <v>#REF!</v>
      </c>
      <c r="BN17" s="77" t="e">
        <f>#REF!</f>
        <v>#REF!</v>
      </c>
      <c r="BO17" s="77" t="e">
        <f>#REF!</f>
        <v>#REF!</v>
      </c>
      <c r="BP17" s="77" t="e">
        <f>#REF!</f>
        <v>#REF!</v>
      </c>
      <c r="BR17" s="119" t="str">
        <f t="shared" si="13"/>
        <v>FAI6-1(DC)</v>
      </c>
      <c r="BS17" s="120">
        <f>OOC!G17</f>
        <v>0.51</v>
      </c>
      <c r="BT17" s="120">
        <f>OOC!H17</f>
        <v>0.49</v>
      </c>
      <c r="BU17" s="2" t="e">
        <f t="shared" si="14"/>
        <v>#REF!</v>
      </c>
      <c r="BV17" s="2" t="e">
        <f t="shared" si="15"/>
        <v>#REF!</v>
      </c>
      <c r="BW17" s="2" t="e">
        <f t="shared" si="16"/>
        <v>#REF!</v>
      </c>
      <c r="BX17" s="121"/>
    </row>
    <row r="18" spans="1:76" ht="15" customHeight="1">
      <c r="A18" s="13"/>
      <c r="B18" s="88" t="s">
        <v>162</v>
      </c>
      <c r="C18" s="78" t="s">
        <v>101</v>
      </c>
      <c r="D18" s="89" t="s">
        <v>114</v>
      </c>
      <c r="E18" s="90"/>
      <c r="F18" s="66" t="s">
        <v>44</v>
      </c>
      <c r="G18" s="91">
        <v>0.5</v>
      </c>
      <c r="H18" s="92">
        <f>IF(OOC!S18=0,"",OOC!S18)</f>
        <v>0.01</v>
      </c>
      <c r="I18" s="92">
        <f>IF(OOC!T18=0,"",OOC!T18)</f>
        <v>-0.01</v>
      </c>
      <c r="J18" s="68" t="s">
        <v>12</v>
      </c>
      <c r="K18" s="69" t="s">
        <v>80</v>
      </c>
      <c r="L18" s="70">
        <f t="shared" si="0"/>
        <v>0.51</v>
      </c>
      <c r="M18" s="70">
        <f t="shared" si="1"/>
        <v>0.49</v>
      </c>
      <c r="N18" s="71"/>
      <c r="O18" s="2" t="e">
        <f t="shared" si="2"/>
        <v>#REF!</v>
      </c>
      <c r="P18" s="2" t="e">
        <f t="shared" si="3"/>
        <v>#REF!</v>
      </c>
      <c r="Q18" s="2" t="e">
        <f t="shared" si="4"/>
        <v>#REF!</v>
      </c>
      <c r="R18" s="3" t="e">
        <f t="shared" si="5"/>
        <v>#REF!</v>
      </c>
      <c r="S18" s="4" t="e">
        <f t="shared" si="10"/>
        <v>#REF!</v>
      </c>
      <c r="T18" s="84" t="e">
        <f t="shared" si="11"/>
        <v>#REF!</v>
      </c>
      <c r="U18" s="85" t="e">
        <f t="shared" si="12"/>
        <v>#REF!</v>
      </c>
      <c r="V18" s="4" t="e">
        <f t="shared" si="6"/>
        <v>#REF!</v>
      </c>
      <c r="W18" s="4" t="e">
        <f t="shared" si="7"/>
        <v>#REF!</v>
      </c>
      <c r="X18" s="4" t="e">
        <f t="shared" si="8"/>
        <v>#REF!</v>
      </c>
      <c r="Y18" s="62" t="e">
        <f t="shared" si="9"/>
        <v>#REF!</v>
      </c>
      <c r="Z18" s="22"/>
      <c r="AA18" s="22"/>
      <c r="AB18" s="22"/>
      <c r="AC18" s="22"/>
      <c r="AD18" s="19"/>
      <c r="AE18" s="14"/>
      <c r="AF18" s="74"/>
      <c r="AG18" s="49"/>
      <c r="AH18" s="49"/>
      <c r="AI18" s="50"/>
      <c r="AJ18" s="15"/>
      <c r="AK18" s="77" t="e">
        <f>#REF!</f>
        <v>#REF!</v>
      </c>
      <c r="AL18" s="77" t="e">
        <f>#REF!</f>
        <v>#REF!</v>
      </c>
      <c r="AM18" s="77" t="e">
        <f>#REF!</f>
        <v>#REF!</v>
      </c>
      <c r="AN18" s="77" t="e">
        <f>#REF!</f>
        <v>#REF!</v>
      </c>
      <c r="AO18" s="77" t="e">
        <f>#REF!</f>
        <v>#REF!</v>
      </c>
      <c r="AP18" s="77" t="e">
        <f>#REF!</f>
        <v>#REF!</v>
      </c>
      <c r="AQ18" s="77" t="e">
        <f>#REF!</f>
        <v>#REF!</v>
      </c>
      <c r="AR18" s="77" t="e">
        <f>#REF!</f>
        <v>#REF!</v>
      </c>
      <c r="AS18" s="77" t="e">
        <f>#REF!</f>
        <v>#REF!</v>
      </c>
      <c r="AT18" s="77" t="e">
        <f>#REF!</f>
        <v>#REF!</v>
      </c>
      <c r="AU18" s="77" t="e">
        <f>#REF!</f>
        <v>#REF!</v>
      </c>
      <c r="AV18" s="77" t="e">
        <f>#REF!</f>
        <v>#REF!</v>
      </c>
      <c r="AW18" s="77" t="e">
        <f>#REF!</f>
        <v>#REF!</v>
      </c>
      <c r="AX18" s="77" t="e">
        <f>#REF!</f>
        <v>#REF!</v>
      </c>
      <c r="AY18" s="77" t="e">
        <f>#REF!</f>
        <v>#REF!</v>
      </c>
      <c r="AZ18" s="77" t="e">
        <f>#REF!</f>
        <v>#REF!</v>
      </c>
      <c r="BA18" s="77" t="e">
        <f>#REF!</f>
        <v>#REF!</v>
      </c>
      <c r="BB18" s="77" t="e">
        <f>#REF!</f>
        <v>#REF!</v>
      </c>
      <c r="BC18" s="77" t="e">
        <f>#REF!</f>
        <v>#REF!</v>
      </c>
      <c r="BD18" s="77" t="e">
        <f>#REF!</f>
        <v>#REF!</v>
      </c>
      <c r="BE18" s="77" t="e">
        <f>#REF!</f>
        <v>#REF!</v>
      </c>
      <c r="BF18" s="77" t="e">
        <f>#REF!</f>
        <v>#REF!</v>
      </c>
      <c r="BG18" s="77" t="e">
        <f>#REF!</f>
        <v>#REF!</v>
      </c>
      <c r="BH18" s="77" t="e">
        <f>#REF!</f>
        <v>#REF!</v>
      </c>
      <c r="BI18" s="77" t="e">
        <f>#REF!</f>
        <v>#REF!</v>
      </c>
      <c r="BJ18" s="77" t="e">
        <f>#REF!</f>
        <v>#REF!</v>
      </c>
      <c r="BK18" s="77" t="e">
        <f>#REF!</f>
        <v>#REF!</v>
      </c>
      <c r="BL18" s="77" t="e">
        <f>#REF!</f>
        <v>#REF!</v>
      </c>
      <c r="BM18" s="77" t="e">
        <f>#REF!</f>
        <v>#REF!</v>
      </c>
      <c r="BN18" s="77" t="e">
        <f>#REF!</f>
        <v>#REF!</v>
      </c>
      <c r="BO18" s="77" t="e">
        <f>#REF!</f>
        <v>#REF!</v>
      </c>
      <c r="BP18" s="77" t="e">
        <f>#REF!</f>
        <v>#REF!</v>
      </c>
      <c r="BR18" s="119" t="str">
        <f t="shared" si="13"/>
        <v>FAI6-2(DC)</v>
      </c>
      <c r="BS18" s="120">
        <f>OOC!G18</f>
        <v>0.51</v>
      </c>
      <c r="BT18" s="120">
        <f>OOC!H18</f>
        <v>0.49</v>
      </c>
      <c r="BU18" s="2" t="e">
        <f t="shared" si="14"/>
        <v>#REF!</v>
      </c>
      <c r="BV18" s="2" t="e">
        <f t="shared" si="15"/>
        <v>#REF!</v>
      </c>
      <c r="BW18" s="2" t="e">
        <f t="shared" si="16"/>
        <v>#REF!</v>
      </c>
      <c r="BX18" s="121"/>
    </row>
    <row r="19" spans="1:76" ht="15" customHeight="1">
      <c r="A19" s="13"/>
      <c r="B19" s="88" t="s">
        <v>162</v>
      </c>
      <c r="C19" s="78" t="s">
        <v>102</v>
      </c>
      <c r="D19" s="89" t="s">
        <v>114</v>
      </c>
      <c r="E19" s="90"/>
      <c r="F19" s="66" t="s">
        <v>44</v>
      </c>
      <c r="G19" s="91">
        <v>0.5</v>
      </c>
      <c r="H19" s="92">
        <f>IF(OOC!S19=0,"",OOC!S19)</f>
        <v>0.01</v>
      </c>
      <c r="I19" s="92">
        <f>IF(OOC!T19=0,"",OOC!T19)</f>
        <v>-0.01</v>
      </c>
      <c r="J19" s="68" t="s">
        <v>12</v>
      </c>
      <c r="K19" s="69" t="s">
        <v>80</v>
      </c>
      <c r="L19" s="70">
        <f t="shared" si="0"/>
        <v>0.51</v>
      </c>
      <c r="M19" s="70">
        <f t="shared" si="1"/>
        <v>0.49</v>
      </c>
      <c r="N19" s="71"/>
      <c r="O19" s="2" t="e">
        <f t="shared" si="2"/>
        <v>#REF!</v>
      </c>
      <c r="P19" s="2" t="e">
        <f t="shared" si="3"/>
        <v>#REF!</v>
      </c>
      <c r="Q19" s="2" t="e">
        <f t="shared" si="4"/>
        <v>#REF!</v>
      </c>
      <c r="R19" s="3" t="e">
        <f t="shared" si="5"/>
        <v>#REF!</v>
      </c>
      <c r="S19" s="4" t="e">
        <f t="shared" si="10"/>
        <v>#REF!</v>
      </c>
      <c r="T19" s="84" t="e">
        <f t="shared" si="11"/>
        <v>#REF!</v>
      </c>
      <c r="U19" s="85" t="e">
        <f t="shared" si="12"/>
        <v>#REF!</v>
      </c>
      <c r="V19" s="4" t="e">
        <f t="shared" si="6"/>
        <v>#REF!</v>
      </c>
      <c r="W19" s="4" t="e">
        <f t="shared" si="7"/>
        <v>#REF!</v>
      </c>
      <c r="X19" s="4" t="e">
        <f t="shared" si="8"/>
        <v>#REF!</v>
      </c>
      <c r="Y19" s="62" t="e">
        <f t="shared" si="9"/>
        <v>#REF!</v>
      </c>
      <c r="Z19" s="22"/>
      <c r="AA19" s="22"/>
      <c r="AB19" s="22"/>
      <c r="AC19" s="22"/>
      <c r="AD19" s="19"/>
      <c r="AE19" s="14"/>
      <c r="AF19" s="74"/>
      <c r="AG19" s="49"/>
      <c r="AH19" s="49"/>
      <c r="AI19" s="50"/>
      <c r="AJ19" s="15"/>
      <c r="AK19" s="77" t="e">
        <f>#REF!</f>
        <v>#REF!</v>
      </c>
      <c r="AL19" s="77" t="e">
        <f>#REF!</f>
        <v>#REF!</v>
      </c>
      <c r="AM19" s="77" t="e">
        <f>#REF!</f>
        <v>#REF!</v>
      </c>
      <c r="AN19" s="77" t="e">
        <f>#REF!</f>
        <v>#REF!</v>
      </c>
      <c r="AO19" s="77" t="e">
        <f>#REF!</f>
        <v>#REF!</v>
      </c>
      <c r="AP19" s="77" t="e">
        <f>#REF!</f>
        <v>#REF!</v>
      </c>
      <c r="AQ19" s="77" t="e">
        <f>#REF!</f>
        <v>#REF!</v>
      </c>
      <c r="AR19" s="77" t="e">
        <f>#REF!</f>
        <v>#REF!</v>
      </c>
      <c r="AS19" s="77" t="e">
        <f>#REF!</f>
        <v>#REF!</v>
      </c>
      <c r="AT19" s="77" t="e">
        <f>#REF!</f>
        <v>#REF!</v>
      </c>
      <c r="AU19" s="77" t="e">
        <f>#REF!</f>
        <v>#REF!</v>
      </c>
      <c r="AV19" s="77" t="e">
        <f>#REF!</f>
        <v>#REF!</v>
      </c>
      <c r="AW19" s="77" t="e">
        <f>#REF!</f>
        <v>#REF!</v>
      </c>
      <c r="AX19" s="77" t="e">
        <f>#REF!</f>
        <v>#REF!</v>
      </c>
      <c r="AY19" s="77" t="e">
        <f>#REF!</f>
        <v>#REF!</v>
      </c>
      <c r="AZ19" s="77" t="e">
        <f>#REF!</f>
        <v>#REF!</v>
      </c>
      <c r="BA19" s="77" t="e">
        <f>#REF!</f>
        <v>#REF!</v>
      </c>
      <c r="BB19" s="77" t="e">
        <f>#REF!</f>
        <v>#REF!</v>
      </c>
      <c r="BC19" s="77" t="e">
        <f>#REF!</f>
        <v>#REF!</v>
      </c>
      <c r="BD19" s="77" t="e">
        <f>#REF!</f>
        <v>#REF!</v>
      </c>
      <c r="BE19" s="77" t="e">
        <f>#REF!</f>
        <v>#REF!</v>
      </c>
      <c r="BF19" s="77" t="e">
        <f>#REF!</f>
        <v>#REF!</v>
      </c>
      <c r="BG19" s="77" t="e">
        <f>#REF!</f>
        <v>#REF!</v>
      </c>
      <c r="BH19" s="77" t="e">
        <f>#REF!</f>
        <v>#REF!</v>
      </c>
      <c r="BI19" s="77" t="e">
        <f>#REF!</f>
        <v>#REF!</v>
      </c>
      <c r="BJ19" s="77" t="e">
        <f>#REF!</f>
        <v>#REF!</v>
      </c>
      <c r="BK19" s="77" t="e">
        <f>#REF!</f>
        <v>#REF!</v>
      </c>
      <c r="BL19" s="77" t="e">
        <f>#REF!</f>
        <v>#REF!</v>
      </c>
      <c r="BM19" s="77" t="e">
        <f>#REF!</f>
        <v>#REF!</v>
      </c>
      <c r="BN19" s="77" t="e">
        <f>#REF!</f>
        <v>#REF!</v>
      </c>
      <c r="BO19" s="77" t="e">
        <f>#REF!</f>
        <v>#REF!</v>
      </c>
      <c r="BP19" s="77" t="e">
        <f>#REF!</f>
        <v>#REF!</v>
      </c>
      <c r="BR19" s="123" t="str">
        <f t="shared" si="13"/>
        <v>FAI6-3(DC)</v>
      </c>
      <c r="BS19" s="120">
        <f>OOC!G19</f>
        <v>0.51</v>
      </c>
      <c r="BT19" s="120">
        <f>OOC!H19</f>
        <v>0.49</v>
      </c>
      <c r="BU19" s="2" t="e">
        <f t="shared" si="14"/>
        <v>#REF!</v>
      </c>
      <c r="BV19" s="2" t="e">
        <f t="shared" si="15"/>
        <v>#REF!</v>
      </c>
      <c r="BW19" s="2" t="e">
        <f t="shared" si="16"/>
        <v>#REF!</v>
      </c>
      <c r="BX19" s="121"/>
    </row>
    <row r="20" spans="1:76" ht="15" customHeight="1">
      <c r="A20" s="13"/>
      <c r="B20" s="88" t="s">
        <v>112</v>
      </c>
      <c r="C20" s="78" t="s">
        <v>103</v>
      </c>
      <c r="D20" s="89" t="s">
        <v>115</v>
      </c>
      <c r="E20" s="90">
        <v>1.5</v>
      </c>
      <c r="F20" s="66" t="s">
        <v>41</v>
      </c>
      <c r="G20" s="67"/>
      <c r="H20" s="92" t="str">
        <f>IF(OOC!S20=0,"",OOC!S20)</f>
        <v/>
      </c>
      <c r="I20" s="92" t="str">
        <f>IF(OOC!T20=0,"",OOC!T20)</f>
        <v/>
      </c>
      <c r="J20" s="68" t="s">
        <v>12</v>
      </c>
      <c r="K20" s="69" t="s">
        <v>80</v>
      </c>
      <c r="L20" s="70" t="str">
        <f t="shared" si="0"/>
        <v/>
      </c>
      <c r="M20" s="70" t="str">
        <f t="shared" si="1"/>
        <v/>
      </c>
      <c r="N20" s="71"/>
      <c r="O20" s="2" t="e">
        <f t="shared" si="2"/>
        <v>#REF!</v>
      </c>
      <c r="P20" s="2" t="e">
        <f t="shared" si="3"/>
        <v>#REF!</v>
      </c>
      <c r="Q20" s="2" t="e">
        <f t="shared" si="4"/>
        <v>#REF!</v>
      </c>
      <c r="R20" s="3" t="e">
        <f t="shared" si="5"/>
        <v>#REF!</v>
      </c>
      <c r="S20" s="4" t="e">
        <f t="shared" si="10"/>
        <v>#REF!</v>
      </c>
      <c r="T20" s="84" t="e">
        <f t="shared" si="11"/>
        <v>#REF!</v>
      </c>
      <c r="U20" s="85" t="e">
        <f t="shared" si="12"/>
        <v>#REF!</v>
      </c>
      <c r="V20" s="4" t="e">
        <f t="shared" si="6"/>
        <v>#REF!</v>
      </c>
      <c r="W20" s="4" t="e">
        <f t="shared" si="7"/>
        <v>#REF!</v>
      </c>
      <c r="X20" s="4" t="e">
        <f t="shared" si="8"/>
        <v>#REF!</v>
      </c>
      <c r="Y20" s="62" t="e">
        <f t="shared" si="9"/>
        <v>#REF!</v>
      </c>
      <c r="Z20" s="22"/>
      <c r="AA20" s="22"/>
      <c r="AB20" s="22"/>
      <c r="AC20" s="22"/>
      <c r="AD20" s="19"/>
      <c r="AE20" s="14"/>
      <c r="AF20" s="72"/>
      <c r="AG20" s="49"/>
      <c r="AH20" s="49"/>
      <c r="AI20" s="50"/>
      <c r="AJ20" s="15"/>
      <c r="AK20" s="77" t="e">
        <f>#REF!</f>
        <v>#REF!</v>
      </c>
      <c r="AL20" s="77" t="e">
        <f>#REF!</f>
        <v>#REF!</v>
      </c>
      <c r="AM20" s="77" t="e">
        <f>#REF!</f>
        <v>#REF!</v>
      </c>
      <c r="AN20" s="77" t="e">
        <f>#REF!</f>
        <v>#REF!</v>
      </c>
      <c r="AO20" s="77" t="e">
        <f>#REF!</f>
        <v>#REF!</v>
      </c>
      <c r="AP20" s="77" t="e">
        <f>#REF!</f>
        <v>#REF!</v>
      </c>
      <c r="AQ20" s="77" t="e">
        <f>#REF!</f>
        <v>#REF!</v>
      </c>
      <c r="AR20" s="77" t="e">
        <f>#REF!</f>
        <v>#REF!</v>
      </c>
      <c r="AS20" s="77" t="e">
        <f>#REF!</f>
        <v>#REF!</v>
      </c>
      <c r="AT20" s="77" t="e">
        <f>#REF!</f>
        <v>#REF!</v>
      </c>
      <c r="AU20" s="77" t="e">
        <f>#REF!</f>
        <v>#REF!</v>
      </c>
      <c r="AV20" s="77" t="e">
        <f>#REF!</f>
        <v>#REF!</v>
      </c>
      <c r="AW20" s="77" t="e">
        <f>#REF!</f>
        <v>#REF!</v>
      </c>
      <c r="AX20" s="77" t="e">
        <f>#REF!</f>
        <v>#REF!</v>
      </c>
      <c r="AY20" s="77" t="e">
        <f>#REF!</f>
        <v>#REF!</v>
      </c>
      <c r="AZ20" s="77" t="e">
        <f>#REF!</f>
        <v>#REF!</v>
      </c>
      <c r="BA20" s="77" t="e">
        <f>#REF!</f>
        <v>#REF!</v>
      </c>
      <c r="BB20" s="77" t="e">
        <f>#REF!</f>
        <v>#REF!</v>
      </c>
      <c r="BC20" s="77" t="e">
        <f>#REF!</f>
        <v>#REF!</v>
      </c>
      <c r="BD20" s="77" t="e">
        <f>#REF!</f>
        <v>#REF!</v>
      </c>
      <c r="BE20" s="77" t="e">
        <f>#REF!</f>
        <v>#REF!</v>
      </c>
      <c r="BF20" s="77" t="e">
        <f>#REF!</f>
        <v>#REF!</v>
      </c>
      <c r="BG20" s="77" t="e">
        <f>#REF!</f>
        <v>#REF!</v>
      </c>
      <c r="BH20" s="77" t="e">
        <f>#REF!</f>
        <v>#REF!</v>
      </c>
      <c r="BI20" s="77" t="e">
        <f>#REF!</f>
        <v>#REF!</v>
      </c>
      <c r="BJ20" s="77" t="e">
        <f>#REF!</f>
        <v>#REF!</v>
      </c>
      <c r="BK20" s="77" t="e">
        <f>#REF!</f>
        <v>#REF!</v>
      </c>
      <c r="BL20" s="77" t="e">
        <f>#REF!</f>
        <v>#REF!</v>
      </c>
      <c r="BM20" s="77" t="e">
        <f>#REF!</f>
        <v>#REF!</v>
      </c>
      <c r="BN20" s="77" t="e">
        <f>#REF!</f>
        <v>#REF!</v>
      </c>
      <c r="BO20" s="77" t="e">
        <f>#REF!</f>
        <v>#REF!</v>
      </c>
      <c r="BP20" s="77" t="e">
        <f>#REF!</f>
        <v>#REF!</v>
      </c>
      <c r="BR20" s="123" t="str">
        <f t="shared" si="13"/>
        <v>FAI8</v>
      </c>
      <c r="BS20" s="120">
        <f>OOC!G20</f>
        <v>0.03</v>
      </c>
      <c r="BT20" s="120" t="str">
        <f>OOC!H20</f>
        <v/>
      </c>
      <c r="BU20" s="2" t="e">
        <f t="shared" si="14"/>
        <v>#REF!</v>
      </c>
      <c r="BV20" s="2" t="e">
        <f t="shared" si="15"/>
        <v>#REF!</v>
      </c>
      <c r="BW20" s="2" t="e">
        <f t="shared" si="16"/>
        <v>#REF!</v>
      </c>
      <c r="BX20" s="121" t="e">
        <f>IF(AND(IF(OOC!G20="",0,OOC!G20) &gt;= IF(O20="",0,O20), IF(O20="",0,O20) &gt; IF(L20="",0,L20)), "OOC",
IF(AND(IF(M20="",0,M20) &gt; IF(P20="",0,P20), IF(P20="",0,P20) &gt;= IF(OOC!H20="",0,OOC!H20)), "OOC",
IF(IF(O20="",0,O20) &gt; IF(OOC!G20="",0,OOC!G20), "OOS",
IF(IF(OOC!H20="",0,OOC!H20) &gt; IF(P20="",0,P20), "OOS", "OK"))))</f>
        <v>#REF!</v>
      </c>
    </row>
    <row r="21" spans="1:76" ht="15" customHeight="1">
      <c r="A21" s="13"/>
      <c r="B21" s="88" t="s">
        <v>162</v>
      </c>
      <c r="C21" s="78" t="s">
        <v>103</v>
      </c>
      <c r="D21" s="89" t="s">
        <v>115</v>
      </c>
      <c r="E21" s="90"/>
      <c r="F21" s="66" t="s">
        <v>41</v>
      </c>
      <c r="G21" s="67"/>
      <c r="H21" s="92">
        <f>IF(OOC!S21=0,"",OOC!S21)</f>
        <v>0.03</v>
      </c>
      <c r="I21" s="92" t="str">
        <f>IF(OOC!T21=0,"",OOC!T21)</f>
        <v/>
      </c>
      <c r="J21" s="68" t="s">
        <v>12</v>
      </c>
      <c r="K21" s="69" t="s">
        <v>80</v>
      </c>
      <c r="L21" s="70">
        <f t="shared" si="0"/>
        <v>0.03</v>
      </c>
      <c r="M21" s="70" t="str">
        <f t="shared" si="1"/>
        <v/>
      </c>
      <c r="N21" s="71"/>
      <c r="O21" s="2" t="e">
        <f t="shared" si="2"/>
        <v>#REF!</v>
      </c>
      <c r="P21" s="2" t="e">
        <f t="shared" si="3"/>
        <v>#REF!</v>
      </c>
      <c r="Q21" s="2" t="e">
        <f t="shared" si="4"/>
        <v>#REF!</v>
      </c>
      <c r="R21" s="3" t="e">
        <f t="shared" si="5"/>
        <v>#REF!</v>
      </c>
      <c r="S21" s="4" t="e">
        <f t="shared" si="10"/>
        <v>#REF!</v>
      </c>
      <c r="T21" s="84" t="e">
        <f t="shared" si="11"/>
        <v>#REF!</v>
      </c>
      <c r="U21" s="85" t="e">
        <f t="shared" si="12"/>
        <v>#REF!</v>
      </c>
      <c r="V21" s="4" t="e">
        <f t="shared" si="6"/>
        <v>#REF!</v>
      </c>
      <c r="W21" s="4" t="e">
        <f t="shared" si="7"/>
        <v>#REF!</v>
      </c>
      <c r="X21" s="4" t="e">
        <f t="shared" si="8"/>
        <v>#REF!</v>
      </c>
      <c r="Y21" s="62" t="e">
        <f t="shared" si="9"/>
        <v>#REF!</v>
      </c>
      <c r="Z21" s="22"/>
      <c r="AA21" s="22"/>
      <c r="AB21" s="22"/>
      <c r="AC21" s="22"/>
      <c r="AD21" s="19"/>
      <c r="AE21" s="14"/>
      <c r="AF21" s="72"/>
      <c r="AG21" s="49"/>
      <c r="AH21" s="49"/>
      <c r="AI21" s="50"/>
      <c r="AJ21" s="15"/>
      <c r="AK21" s="77" t="e">
        <f>#REF!</f>
        <v>#REF!</v>
      </c>
      <c r="AL21" s="77" t="e">
        <f>#REF!</f>
        <v>#REF!</v>
      </c>
      <c r="AM21" s="77" t="e">
        <f>#REF!</f>
        <v>#REF!</v>
      </c>
      <c r="AN21" s="77" t="e">
        <f>#REF!</f>
        <v>#REF!</v>
      </c>
      <c r="AO21" s="77" t="e">
        <f>#REF!</f>
        <v>#REF!</v>
      </c>
      <c r="AP21" s="77" t="e">
        <f>#REF!</f>
        <v>#REF!</v>
      </c>
      <c r="AQ21" s="77" t="e">
        <f>#REF!</f>
        <v>#REF!</v>
      </c>
      <c r="AR21" s="77" t="e">
        <f>#REF!</f>
        <v>#REF!</v>
      </c>
      <c r="AS21" s="77" t="e">
        <f>#REF!</f>
        <v>#REF!</v>
      </c>
      <c r="AT21" s="77" t="e">
        <f>#REF!</f>
        <v>#REF!</v>
      </c>
      <c r="AU21" s="77" t="e">
        <f>#REF!</f>
        <v>#REF!</v>
      </c>
      <c r="AV21" s="77" t="e">
        <f>#REF!</f>
        <v>#REF!</v>
      </c>
      <c r="AW21" s="77" t="e">
        <f>#REF!</f>
        <v>#REF!</v>
      </c>
      <c r="AX21" s="77" t="e">
        <f>#REF!</f>
        <v>#REF!</v>
      </c>
      <c r="AY21" s="77" t="e">
        <f>#REF!</f>
        <v>#REF!</v>
      </c>
      <c r="AZ21" s="77" t="e">
        <f>#REF!</f>
        <v>#REF!</v>
      </c>
      <c r="BA21" s="77" t="e">
        <f>#REF!</f>
        <v>#REF!</v>
      </c>
      <c r="BB21" s="77" t="e">
        <f>#REF!</f>
        <v>#REF!</v>
      </c>
      <c r="BC21" s="77" t="e">
        <f>#REF!</f>
        <v>#REF!</v>
      </c>
      <c r="BD21" s="77" t="e">
        <f>#REF!</f>
        <v>#REF!</v>
      </c>
      <c r="BE21" s="77" t="e">
        <f>#REF!</f>
        <v>#REF!</v>
      </c>
      <c r="BF21" s="77" t="e">
        <f>#REF!</f>
        <v>#REF!</v>
      </c>
      <c r="BG21" s="77" t="e">
        <f>#REF!</f>
        <v>#REF!</v>
      </c>
      <c r="BH21" s="77" t="e">
        <f>#REF!</f>
        <v>#REF!</v>
      </c>
      <c r="BI21" s="77" t="e">
        <f>#REF!</f>
        <v>#REF!</v>
      </c>
      <c r="BJ21" s="77" t="e">
        <f>#REF!</f>
        <v>#REF!</v>
      </c>
      <c r="BK21" s="77" t="e">
        <f>#REF!</f>
        <v>#REF!</v>
      </c>
      <c r="BL21" s="77" t="e">
        <f>#REF!</f>
        <v>#REF!</v>
      </c>
      <c r="BM21" s="77" t="e">
        <f>#REF!</f>
        <v>#REF!</v>
      </c>
      <c r="BN21" s="77" t="e">
        <f>#REF!</f>
        <v>#REF!</v>
      </c>
      <c r="BO21" s="77" t="e">
        <f>#REF!</f>
        <v>#REF!</v>
      </c>
      <c r="BP21" s="77" t="e">
        <f>#REF!</f>
        <v>#REF!</v>
      </c>
      <c r="BR21" s="123" t="str">
        <f t="shared" si="13"/>
        <v>FAI8(DC)</v>
      </c>
      <c r="BS21" s="120">
        <f>OOC!G21</f>
        <v>0.03</v>
      </c>
      <c r="BT21" s="120" t="str">
        <f>OOC!H21</f>
        <v/>
      </c>
      <c r="BU21" s="2" t="e">
        <f t="shared" si="14"/>
        <v>#REF!</v>
      </c>
      <c r="BV21" s="2" t="e">
        <f t="shared" si="15"/>
        <v>#REF!</v>
      </c>
      <c r="BW21" s="2" t="e">
        <f t="shared" si="16"/>
        <v>#REF!</v>
      </c>
      <c r="BX21" s="121"/>
    </row>
    <row r="22" spans="1:76" ht="15" customHeight="1">
      <c r="A22" s="13"/>
      <c r="B22" s="88"/>
      <c r="C22" s="78"/>
      <c r="D22" s="89"/>
      <c r="E22" s="90"/>
      <c r="F22" s="66"/>
      <c r="G22" s="67"/>
      <c r="H22" s="92"/>
      <c r="I22" s="92"/>
      <c r="J22" s="68"/>
      <c r="K22" s="69"/>
      <c r="L22" s="70"/>
      <c r="M22" s="70"/>
      <c r="N22" s="71"/>
      <c r="O22" s="2"/>
      <c r="P22" s="2"/>
      <c r="Q22" s="2"/>
      <c r="R22" s="3"/>
      <c r="S22" s="4"/>
      <c r="T22" s="84"/>
      <c r="U22" s="85"/>
      <c r="V22" s="4"/>
      <c r="W22" s="4"/>
      <c r="X22" s="4"/>
      <c r="Y22" s="62"/>
      <c r="Z22" s="22"/>
      <c r="AA22" s="22"/>
      <c r="AB22" s="22"/>
      <c r="AC22" s="22"/>
      <c r="AD22" s="19"/>
      <c r="AE22" s="14"/>
      <c r="AF22" s="72"/>
      <c r="AG22" s="49"/>
      <c r="AH22" s="49"/>
      <c r="AI22" s="50"/>
      <c r="AJ22" s="15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77"/>
      <c r="BR22" s="123"/>
      <c r="BS22" s="120"/>
      <c r="BT22" s="120"/>
      <c r="BU22" s="2"/>
      <c r="BV22" s="2"/>
      <c r="BW22" s="2"/>
      <c r="BX22" s="121"/>
    </row>
    <row r="23" spans="1:76" ht="15" customHeight="1">
      <c r="A23" s="13"/>
      <c r="B23" s="88"/>
      <c r="C23" s="78"/>
      <c r="D23" s="89"/>
      <c r="E23" s="90"/>
      <c r="F23" s="66"/>
      <c r="G23" s="67"/>
      <c r="H23" s="92"/>
      <c r="I23" s="92"/>
      <c r="J23" s="68"/>
      <c r="K23" s="69"/>
      <c r="L23" s="70"/>
      <c r="M23" s="70"/>
      <c r="N23" s="71"/>
      <c r="O23" s="2"/>
      <c r="P23" s="2"/>
      <c r="Q23" s="2"/>
      <c r="R23" s="3"/>
      <c r="S23" s="4"/>
      <c r="T23" s="84"/>
      <c r="U23" s="85"/>
      <c r="V23" s="4"/>
      <c r="W23" s="4"/>
      <c r="X23" s="4"/>
      <c r="Y23" s="62"/>
      <c r="Z23" s="22"/>
      <c r="AA23" s="22"/>
      <c r="AB23" s="22"/>
      <c r="AC23" s="22"/>
      <c r="AD23" s="19"/>
      <c r="AE23" s="14"/>
      <c r="AF23" s="72"/>
      <c r="AG23" s="49"/>
      <c r="AH23" s="49"/>
      <c r="AI23" s="50"/>
      <c r="AJ23" s="15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77"/>
      <c r="BR23" s="123"/>
      <c r="BS23" s="120"/>
      <c r="BT23" s="120"/>
      <c r="BU23" s="2"/>
      <c r="BV23" s="2"/>
      <c r="BW23" s="2"/>
      <c r="BX23" s="121"/>
    </row>
    <row r="24" spans="1:76" ht="15" customHeight="1">
      <c r="A24" s="13"/>
      <c r="B24" s="88" t="s">
        <v>113</v>
      </c>
      <c r="C24" s="78" t="s">
        <v>104</v>
      </c>
      <c r="D24" s="89" t="s">
        <v>116</v>
      </c>
      <c r="E24" s="90">
        <v>1.5</v>
      </c>
      <c r="F24" s="66" t="s">
        <v>41</v>
      </c>
      <c r="G24" s="67"/>
      <c r="H24" s="92" t="str">
        <f>IF(OOC!S24=0,"",OOC!S24)</f>
        <v/>
      </c>
      <c r="I24" s="92" t="str">
        <f>IF(OOC!T24=0,"",OOC!T24)</f>
        <v/>
      </c>
      <c r="J24" s="68" t="s">
        <v>12</v>
      </c>
      <c r="K24" s="69" t="s">
        <v>80</v>
      </c>
      <c r="L24" s="70" t="str">
        <f t="shared" si="0"/>
        <v/>
      </c>
      <c r="M24" s="70" t="str">
        <f t="shared" si="1"/>
        <v/>
      </c>
      <c r="N24" s="71"/>
      <c r="O24" s="2" t="e">
        <f t="shared" si="2"/>
        <v>#REF!</v>
      </c>
      <c r="P24" s="2" t="e">
        <f t="shared" si="3"/>
        <v>#REF!</v>
      </c>
      <c r="Q24" s="2" t="e">
        <f t="shared" si="4"/>
        <v>#REF!</v>
      </c>
      <c r="R24" s="3" t="e">
        <f t="shared" si="5"/>
        <v>#REF!</v>
      </c>
      <c r="S24" s="4" t="e">
        <f t="shared" si="10"/>
        <v>#REF!</v>
      </c>
      <c r="T24" s="84" t="e">
        <f t="shared" si="11"/>
        <v>#REF!</v>
      </c>
      <c r="U24" s="85" t="e">
        <f t="shared" si="12"/>
        <v>#REF!</v>
      </c>
      <c r="V24" s="4" t="e">
        <f t="shared" si="6"/>
        <v>#REF!</v>
      </c>
      <c r="W24" s="4" t="e">
        <f t="shared" si="7"/>
        <v>#REF!</v>
      </c>
      <c r="X24" s="4" t="e">
        <f t="shared" si="8"/>
        <v>#REF!</v>
      </c>
      <c r="Y24" s="62" t="e">
        <f t="shared" si="9"/>
        <v>#REF!</v>
      </c>
      <c r="Z24" s="22"/>
      <c r="AA24" s="22"/>
      <c r="AB24" s="22"/>
      <c r="AC24" s="22"/>
      <c r="AD24" s="19"/>
      <c r="AE24" s="14"/>
      <c r="AF24" s="72"/>
      <c r="AG24" s="49"/>
      <c r="AH24" s="49"/>
      <c r="AI24" s="50"/>
      <c r="AJ24" s="15"/>
      <c r="AK24" s="77" t="e">
        <f>#REF!</f>
        <v>#REF!</v>
      </c>
      <c r="AL24" s="77" t="e">
        <f>#REF!</f>
        <v>#REF!</v>
      </c>
      <c r="AM24" s="77" t="e">
        <f>#REF!</f>
        <v>#REF!</v>
      </c>
      <c r="AN24" s="77" t="e">
        <f>#REF!</f>
        <v>#REF!</v>
      </c>
      <c r="AO24" s="77" t="e">
        <f>#REF!</f>
        <v>#REF!</v>
      </c>
      <c r="AP24" s="77" t="e">
        <f>#REF!</f>
        <v>#REF!</v>
      </c>
      <c r="AQ24" s="77" t="e">
        <f>#REF!</f>
        <v>#REF!</v>
      </c>
      <c r="AR24" s="77" t="e">
        <f>#REF!</f>
        <v>#REF!</v>
      </c>
      <c r="AS24" s="77" t="e">
        <f>#REF!</f>
        <v>#REF!</v>
      </c>
      <c r="AT24" s="77" t="e">
        <f>#REF!</f>
        <v>#REF!</v>
      </c>
      <c r="AU24" s="77" t="e">
        <f>#REF!</f>
        <v>#REF!</v>
      </c>
      <c r="AV24" s="77" t="e">
        <f>#REF!</f>
        <v>#REF!</v>
      </c>
      <c r="AW24" s="77" t="e">
        <f>#REF!</f>
        <v>#REF!</v>
      </c>
      <c r="AX24" s="77" t="e">
        <f>#REF!</f>
        <v>#REF!</v>
      </c>
      <c r="AY24" s="77" t="e">
        <f>#REF!</f>
        <v>#REF!</v>
      </c>
      <c r="AZ24" s="77" t="e">
        <f>#REF!</f>
        <v>#REF!</v>
      </c>
      <c r="BA24" s="77" t="e">
        <f>#REF!</f>
        <v>#REF!</v>
      </c>
      <c r="BB24" s="77" t="e">
        <f>#REF!</f>
        <v>#REF!</v>
      </c>
      <c r="BC24" s="77" t="e">
        <f>#REF!</f>
        <v>#REF!</v>
      </c>
      <c r="BD24" s="77" t="e">
        <f>#REF!</f>
        <v>#REF!</v>
      </c>
      <c r="BE24" s="77" t="e">
        <f>#REF!</f>
        <v>#REF!</v>
      </c>
      <c r="BF24" s="77" t="e">
        <f>#REF!</f>
        <v>#REF!</v>
      </c>
      <c r="BG24" s="77" t="e">
        <f>#REF!</f>
        <v>#REF!</v>
      </c>
      <c r="BH24" s="77" t="e">
        <f>#REF!</f>
        <v>#REF!</v>
      </c>
      <c r="BI24" s="77" t="e">
        <f>#REF!</f>
        <v>#REF!</v>
      </c>
      <c r="BJ24" s="77" t="e">
        <f>#REF!</f>
        <v>#REF!</v>
      </c>
      <c r="BK24" s="77" t="e">
        <f>#REF!</f>
        <v>#REF!</v>
      </c>
      <c r="BL24" s="77" t="e">
        <f>#REF!</f>
        <v>#REF!</v>
      </c>
      <c r="BM24" s="77" t="e">
        <f>#REF!</f>
        <v>#REF!</v>
      </c>
      <c r="BN24" s="77" t="e">
        <f>#REF!</f>
        <v>#REF!</v>
      </c>
      <c r="BO24" s="77" t="e">
        <f>#REF!</f>
        <v>#REF!</v>
      </c>
      <c r="BP24" s="77" t="e">
        <f>#REF!</f>
        <v>#REF!</v>
      </c>
      <c r="BR24" s="123" t="str">
        <f t="shared" si="13"/>
        <v>FAI9</v>
      </c>
      <c r="BS24" s="120">
        <f>OOC!G24</f>
        <v>0.03</v>
      </c>
      <c r="BT24" s="120" t="str">
        <f>OOC!H24</f>
        <v/>
      </c>
      <c r="BU24" s="2" t="e">
        <f t="shared" si="14"/>
        <v>#REF!</v>
      </c>
      <c r="BV24" s="2" t="e">
        <f t="shared" si="15"/>
        <v>#REF!</v>
      </c>
      <c r="BW24" s="2" t="e">
        <f t="shared" si="16"/>
        <v>#REF!</v>
      </c>
      <c r="BX24" s="121" t="e">
        <f>IF(AND(IF(OOC!G24="",0,OOC!G24) &gt;= IF(O24="",0,O24), IF(O24="",0,O24) &gt; IF(L24="",0,L24)), "OOC",
IF(AND(IF(M24="",0,M24) &gt; IF(P24="",0,P24), IF(P24="",0,P24) &gt;= IF(OOC!H24="",0,OOC!H24)), "OOC",
IF(IF(O24="",0,O24) &gt; IF(OOC!G24="",0,OOC!G24), "OOS",
IF(IF(OOC!H24="",0,OOC!H24) &gt; IF(P24="",0,P24), "OOS", "OK"))))</f>
        <v>#REF!</v>
      </c>
    </row>
    <row r="25" spans="1:76" ht="15" customHeight="1">
      <c r="A25" s="13"/>
      <c r="B25" s="88" t="s">
        <v>150</v>
      </c>
      <c r="C25" s="78" t="s">
        <v>105</v>
      </c>
      <c r="D25" s="89" t="s">
        <v>117</v>
      </c>
      <c r="E25" s="90">
        <v>1.33</v>
      </c>
      <c r="F25" s="66" t="s">
        <v>44</v>
      </c>
      <c r="G25" s="91">
        <v>1.0900000000000001</v>
      </c>
      <c r="H25" s="92" t="str">
        <f>IF(OOC!S25=0,"",OOC!S25)</f>
        <v/>
      </c>
      <c r="I25" s="92" t="str">
        <f>IF(OOC!T25=0,"",OOC!T25)</f>
        <v/>
      </c>
      <c r="J25" s="68" t="s">
        <v>12</v>
      </c>
      <c r="K25" s="69" t="s">
        <v>80</v>
      </c>
      <c r="L25" s="70" t="e">
        <f t="shared" si="0"/>
        <v>#VALUE!</v>
      </c>
      <c r="M25" s="70" t="e">
        <f t="shared" si="1"/>
        <v>#VALUE!</v>
      </c>
      <c r="N25" s="71"/>
      <c r="O25" s="2" t="e">
        <f t="shared" si="2"/>
        <v>#REF!</v>
      </c>
      <c r="P25" s="2" t="e">
        <f t="shared" si="3"/>
        <v>#REF!</v>
      </c>
      <c r="Q25" s="2" t="e">
        <f t="shared" si="4"/>
        <v>#REF!</v>
      </c>
      <c r="R25" s="3" t="e">
        <f t="shared" si="5"/>
        <v>#REF!</v>
      </c>
      <c r="S25" s="4" t="e">
        <f t="shared" si="10"/>
        <v>#REF!</v>
      </c>
      <c r="T25" s="84" t="e">
        <f t="shared" si="11"/>
        <v>#REF!</v>
      </c>
      <c r="U25" s="85" t="e">
        <f t="shared" si="12"/>
        <v>#REF!</v>
      </c>
      <c r="V25" s="4" t="e">
        <f t="shared" si="6"/>
        <v>#REF!</v>
      </c>
      <c r="W25" s="4" t="e">
        <f t="shared" si="7"/>
        <v>#REF!</v>
      </c>
      <c r="X25" s="4" t="e">
        <f t="shared" si="8"/>
        <v>#REF!</v>
      </c>
      <c r="Y25" s="62" t="e">
        <f t="shared" si="9"/>
        <v>#REF!</v>
      </c>
      <c r="Z25" s="22"/>
      <c r="AA25" s="22"/>
      <c r="AB25" s="22"/>
      <c r="AC25" s="22"/>
      <c r="AD25" s="19"/>
      <c r="AE25" s="14"/>
      <c r="AF25" s="72"/>
      <c r="AG25" s="49"/>
      <c r="AH25" s="49"/>
      <c r="AI25" s="50"/>
      <c r="AJ25" s="15"/>
      <c r="AK25" s="77" t="e">
        <f>#REF!</f>
        <v>#REF!</v>
      </c>
      <c r="AL25" s="77" t="e">
        <f>#REF!</f>
        <v>#REF!</v>
      </c>
      <c r="AM25" s="77" t="e">
        <f>#REF!</f>
        <v>#REF!</v>
      </c>
      <c r="AN25" s="77" t="e">
        <f>#REF!</f>
        <v>#REF!</v>
      </c>
      <c r="AO25" s="77" t="e">
        <f>#REF!</f>
        <v>#REF!</v>
      </c>
      <c r="AP25" s="77" t="e">
        <f>#REF!</f>
        <v>#REF!</v>
      </c>
      <c r="AQ25" s="77" t="e">
        <f>#REF!</f>
        <v>#REF!</v>
      </c>
      <c r="AR25" s="77" t="e">
        <f>#REF!</f>
        <v>#REF!</v>
      </c>
      <c r="AS25" s="77" t="e">
        <f>#REF!</f>
        <v>#REF!</v>
      </c>
      <c r="AT25" s="77" t="e">
        <f>#REF!</f>
        <v>#REF!</v>
      </c>
      <c r="AU25" s="77" t="e">
        <f>#REF!</f>
        <v>#REF!</v>
      </c>
      <c r="AV25" s="77" t="e">
        <f>#REF!</f>
        <v>#REF!</v>
      </c>
      <c r="AW25" s="77" t="e">
        <f>#REF!</f>
        <v>#REF!</v>
      </c>
      <c r="AX25" s="77" t="e">
        <f>#REF!</f>
        <v>#REF!</v>
      </c>
      <c r="AY25" s="77" t="e">
        <f>#REF!</f>
        <v>#REF!</v>
      </c>
      <c r="AZ25" s="77" t="e">
        <f>#REF!</f>
        <v>#REF!</v>
      </c>
      <c r="BA25" s="77" t="e">
        <f>#REF!</f>
        <v>#REF!</v>
      </c>
      <c r="BB25" s="77" t="e">
        <f>#REF!</f>
        <v>#REF!</v>
      </c>
      <c r="BC25" s="77" t="e">
        <f>#REF!</f>
        <v>#REF!</v>
      </c>
      <c r="BD25" s="77" t="e">
        <f>#REF!</f>
        <v>#REF!</v>
      </c>
      <c r="BE25" s="77" t="e">
        <f>#REF!</f>
        <v>#REF!</v>
      </c>
      <c r="BF25" s="77" t="e">
        <f>#REF!</f>
        <v>#REF!</v>
      </c>
      <c r="BG25" s="77" t="e">
        <f>#REF!</f>
        <v>#REF!</v>
      </c>
      <c r="BH25" s="77" t="e">
        <f>#REF!</f>
        <v>#REF!</v>
      </c>
      <c r="BI25" s="77" t="e">
        <f>#REF!</f>
        <v>#REF!</v>
      </c>
      <c r="BJ25" s="77" t="e">
        <f>#REF!</f>
        <v>#REF!</v>
      </c>
      <c r="BK25" s="77" t="e">
        <f>#REF!</f>
        <v>#REF!</v>
      </c>
      <c r="BL25" s="77" t="e">
        <f>#REF!</f>
        <v>#REF!</v>
      </c>
      <c r="BM25" s="77" t="e">
        <f>#REF!</f>
        <v>#REF!</v>
      </c>
      <c r="BN25" s="77" t="e">
        <f>#REF!</f>
        <v>#REF!</v>
      </c>
      <c r="BO25" s="77" t="e">
        <f>#REF!</f>
        <v>#REF!</v>
      </c>
      <c r="BP25" s="77" t="e">
        <f>#REF!</f>
        <v>#REF!</v>
      </c>
      <c r="BR25" s="123" t="str">
        <f t="shared" si="13"/>
        <v>FAI10-1</v>
      </c>
      <c r="BS25" s="120">
        <f>OOC!G25</f>
        <v>1.105</v>
      </c>
      <c r="BT25" s="120">
        <f>OOC!H25</f>
        <v>1.08</v>
      </c>
      <c r="BU25" s="2" t="e">
        <f t="shared" si="14"/>
        <v>#REF!</v>
      </c>
      <c r="BV25" s="2" t="e">
        <f t="shared" si="15"/>
        <v>#REF!</v>
      </c>
      <c r="BW25" s="2" t="e">
        <f t="shared" si="16"/>
        <v>#REF!</v>
      </c>
      <c r="BX25" s="121" t="e">
        <f>IF(AND(IF(OOC!G25="",0,OOC!G25) &gt;= IF(O25="",0,O25), IF(O25="",0,O25) &gt; IF(L25="",0,L25)), "OOC",
IF(AND(IF(M25="",0,M25) &gt; IF(P25="",0,P25), IF(P25="",0,P25) &gt;= IF(OOC!H25="",0,OOC!H25)), "OOC",
IF(IF(O25="",0,O25) &gt; IF(OOC!G25="",0,OOC!G25), "OOS",
IF(IF(OOC!H25="",0,OOC!H25) &gt; IF(P25="",0,P25), "OOS", "OK"))))</f>
        <v>#REF!</v>
      </c>
    </row>
    <row r="26" spans="1:76" ht="15" customHeight="1">
      <c r="A26" s="13"/>
      <c r="B26" s="88"/>
      <c r="C26" s="78"/>
      <c r="D26" s="89"/>
      <c r="E26" s="90"/>
      <c r="F26" s="66"/>
      <c r="G26" s="91"/>
      <c r="H26" s="92"/>
      <c r="I26" s="92"/>
      <c r="J26" s="68"/>
      <c r="K26" s="69"/>
      <c r="L26" s="70"/>
      <c r="M26" s="70"/>
      <c r="N26" s="71"/>
      <c r="O26" s="2"/>
      <c r="P26" s="2"/>
      <c r="Q26" s="2"/>
      <c r="R26" s="3"/>
      <c r="S26" s="4"/>
      <c r="T26" s="84"/>
      <c r="U26" s="85"/>
      <c r="V26" s="4"/>
      <c r="W26" s="4"/>
      <c r="X26" s="4"/>
      <c r="Y26" s="62"/>
      <c r="Z26" s="22"/>
      <c r="AA26" s="22"/>
      <c r="AB26" s="22"/>
      <c r="AC26" s="22"/>
      <c r="AD26" s="19"/>
      <c r="AE26" s="14"/>
      <c r="AF26" s="72"/>
      <c r="AG26" s="49"/>
      <c r="AH26" s="49"/>
      <c r="AI26" s="50"/>
      <c r="AJ26" s="15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77"/>
      <c r="BR26" s="123"/>
      <c r="BS26" s="120"/>
      <c r="BT26" s="120"/>
      <c r="BU26" s="2"/>
      <c r="BV26" s="2"/>
      <c r="BW26" s="2"/>
      <c r="BX26" s="121"/>
    </row>
    <row r="27" spans="1:76" ht="15" customHeight="1">
      <c r="A27" s="13"/>
      <c r="B27" s="88"/>
      <c r="C27" s="78"/>
      <c r="D27" s="89"/>
      <c r="E27" s="90"/>
      <c r="F27" s="66"/>
      <c r="G27" s="91"/>
      <c r="H27" s="92"/>
      <c r="I27" s="92"/>
      <c r="J27" s="68"/>
      <c r="K27" s="69"/>
      <c r="L27" s="70"/>
      <c r="M27" s="70"/>
      <c r="N27" s="71"/>
      <c r="O27" s="2"/>
      <c r="P27" s="2"/>
      <c r="Q27" s="2"/>
      <c r="R27" s="3"/>
      <c r="S27" s="4"/>
      <c r="T27" s="84"/>
      <c r="U27" s="85"/>
      <c r="V27" s="4"/>
      <c r="W27" s="4"/>
      <c r="X27" s="4"/>
      <c r="Y27" s="62"/>
      <c r="Z27" s="22"/>
      <c r="AA27" s="22"/>
      <c r="AB27" s="22"/>
      <c r="AC27" s="22"/>
      <c r="AD27" s="19"/>
      <c r="AE27" s="14"/>
      <c r="AF27" s="72"/>
      <c r="AG27" s="49"/>
      <c r="AH27" s="49"/>
      <c r="AI27" s="50"/>
      <c r="AJ27" s="15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77"/>
      <c r="BR27" s="123"/>
      <c r="BS27" s="120"/>
      <c r="BT27" s="120"/>
      <c r="BU27" s="2"/>
      <c r="BV27" s="2"/>
      <c r="BW27" s="2"/>
      <c r="BX27" s="121"/>
    </row>
    <row r="28" spans="1:76" ht="15" customHeight="1">
      <c r="A28" s="13">
        <v>4</v>
      </c>
      <c r="B28" s="88" t="s">
        <v>150</v>
      </c>
      <c r="C28" s="78" t="s">
        <v>106</v>
      </c>
      <c r="D28" s="89" t="s">
        <v>117</v>
      </c>
      <c r="E28" s="90">
        <v>1.33</v>
      </c>
      <c r="F28" s="66" t="s">
        <v>44</v>
      </c>
      <c r="G28" s="91">
        <v>1.0900000000000001</v>
      </c>
      <c r="H28" s="92" t="str">
        <f>IF(OOC!S28=0,"",OOC!S28)</f>
        <v/>
      </c>
      <c r="I28" s="92" t="str">
        <f>IF(OOC!T28=0,"",OOC!T28)</f>
        <v/>
      </c>
      <c r="J28" s="68" t="s">
        <v>12</v>
      </c>
      <c r="K28" s="69" t="s">
        <v>80</v>
      </c>
      <c r="L28" s="70" t="e">
        <f t="shared" si="0"/>
        <v>#VALUE!</v>
      </c>
      <c r="M28" s="70" t="e">
        <f t="shared" si="1"/>
        <v>#VALUE!</v>
      </c>
      <c r="N28" s="71"/>
      <c r="O28" s="2" t="e">
        <f t="shared" si="2"/>
        <v>#REF!</v>
      </c>
      <c r="P28" s="2" t="e">
        <f t="shared" si="3"/>
        <v>#REF!</v>
      </c>
      <c r="Q28" s="2" t="e">
        <f t="shared" si="4"/>
        <v>#REF!</v>
      </c>
      <c r="R28" s="3" t="e">
        <f t="shared" si="5"/>
        <v>#REF!</v>
      </c>
      <c r="S28" s="4" t="e">
        <f t="shared" si="10"/>
        <v>#REF!</v>
      </c>
      <c r="T28" s="84" t="e">
        <f t="shared" si="11"/>
        <v>#REF!</v>
      </c>
      <c r="U28" s="85" t="e">
        <f t="shared" si="12"/>
        <v>#REF!</v>
      </c>
      <c r="V28" s="4" t="e">
        <f t="shared" si="6"/>
        <v>#REF!</v>
      </c>
      <c r="W28" s="4" t="e">
        <f t="shared" si="7"/>
        <v>#REF!</v>
      </c>
      <c r="X28" s="4" t="e">
        <f t="shared" si="8"/>
        <v>#REF!</v>
      </c>
      <c r="Y28" s="62" t="e">
        <f t="shared" si="9"/>
        <v>#REF!</v>
      </c>
      <c r="Z28" s="22" t="e">
        <f>IF($Q28="","",IF(F28="Tolerance",IF(($E28*3*R28+Q28)-G28&lt;H28,"",($E28*3*R28+Q28)-G28),IF(OR(F28="GD&amp;T",F28="MAX"),IF(($E28*3*R28+Q28)&lt;H28,"",($E28*3*R28+Q28)),"")))</f>
        <v>#REF!</v>
      </c>
      <c r="AA28" s="22" t="e">
        <f>IF(Q28="","",IF(F28="Tolerance",IF(-(($E28*3*R28)-Q28)-G28&gt;I28,"",-(($E28*3*R28)-Q28)-G28),IF(F28="MIN",IF(-(($E28*3*R28)-Q28)&gt;I28,"",-(($E28*3*R28)-Q28)),"")))</f>
        <v>#REF!</v>
      </c>
      <c r="AB28" s="22" t="e">
        <f>IF(OR(G28="",Q28=""),"",(L28+M28)/2-Q28)</f>
        <v>#REF!</v>
      </c>
      <c r="AC28" s="22" t="e">
        <f>IF(OR($S28&gt;$AC$9,$R28=""),"",$AC$9*6*$R28)</f>
        <v>#REF!</v>
      </c>
      <c r="AD28" s="19"/>
      <c r="AE28" s="14"/>
      <c r="AF28" s="72"/>
      <c r="AG28" s="49"/>
      <c r="AH28" s="49"/>
      <c r="AI28" s="50"/>
      <c r="AJ28" s="15"/>
      <c r="AK28" s="77" t="e">
        <f>#REF!</f>
        <v>#REF!</v>
      </c>
      <c r="AL28" s="77" t="e">
        <f>#REF!</f>
        <v>#REF!</v>
      </c>
      <c r="AM28" s="77" t="e">
        <f>#REF!</f>
        <v>#REF!</v>
      </c>
      <c r="AN28" s="77" t="e">
        <f>#REF!</f>
        <v>#REF!</v>
      </c>
      <c r="AO28" s="77" t="e">
        <f>#REF!</f>
        <v>#REF!</v>
      </c>
      <c r="AP28" s="77" t="e">
        <f>#REF!</f>
        <v>#REF!</v>
      </c>
      <c r="AQ28" s="77" t="e">
        <f>#REF!</f>
        <v>#REF!</v>
      </c>
      <c r="AR28" s="77" t="e">
        <f>#REF!</f>
        <v>#REF!</v>
      </c>
      <c r="AS28" s="77" t="e">
        <f>#REF!</f>
        <v>#REF!</v>
      </c>
      <c r="AT28" s="77" t="e">
        <f>#REF!</f>
        <v>#REF!</v>
      </c>
      <c r="AU28" s="77" t="e">
        <f>#REF!</f>
        <v>#REF!</v>
      </c>
      <c r="AV28" s="77" t="e">
        <f>#REF!</f>
        <v>#REF!</v>
      </c>
      <c r="AW28" s="77" t="e">
        <f>#REF!</f>
        <v>#REF!</v>
      </c>
      <c r="AX28" s="77" t="e">
        <f>#REF!</f>
        <v>#REF!</v>
      </c>
      <c r="AY28" s="77" t="e">
        <f>#REF!</f>
        <v>#REF!</v>
      </c>
      <c r="AZ28" s="77" t="e">
        <f>#REF!</f>
        <v>#REF!</v>
      </c>
      <c r="BA28" s="77" t="e">
        <f>#REF!</f>
        <v>#REF!</v>
      </c>
      <c r="BB28" s="77" t="e">
        <f>#REF!</f>
        <v>#REF!</v>
      </c>
      <c r="BC28" s="77" t="e">
        <f>#REF!</f>
        <v>#REF!</v>
      </c>
      <c r="BD28" s="77" t="e">
        <f>#REF!</f>
        <v>#REF!</v>
      </c>
      <c r="BE28" s="77" t="e">
        <f>#REF!</f>
        <v>#REF!</v>
      </c>
      <c r="BF28" s="77" t="e">
        <f>#REF!</f>
        <v>#REF!</v>
      </c>
      <c r="BG28" s="77" t="e">
        <f>#REF!</f>
        <v>#REF!</v>
      </c>
      <c r="BH28" s="77" t="e">
        <f>#REF!</f>
        <v>#REF!</v>
      </c>
      <c r="BI28" s="77" t="e">
        <f>#REF!</f>
        <v>#REF!</v>
      </c>
      <c r="BJ28" s="77" t="e">
        <f>#REF!</f>
        <v>#REF!</v>
      </c>
      <c r="BK28" s="77" t="e">
        <f>#REF!</f>
        <v>#REF!</v>
      </c>
      <c r="BL28" s="77" t="e">
        <f>#REF!</f>
        <v>#REF!</v>
      </c>
      <c r="BM28" s="77" t="e">
        <f>#REF!</f>
        <v>#REF!</v>
      </c>
      <c r="BN28" s="77" t="e">
        <f>#REF!</f>
        <v>#REF!</v>
      </c>
      <c r="BO28" s="77" t="e">
        <f>#REF!</f>
        <v>#REF!</v>
      </c>
      <c r="BP28" s="77" t="e">
        <f>#REF!</f>
        <v>#REF!</v>
      </c>
      <c r="BR28" s="123" t="str">
        <f t="shared" si="13"/>
        <v>FAI10-2</v>
      </c>
      <c r="BS28" s="120">
        <f>OOC!G28</f>
        <v>1.105</v>
      </c>
      <c r="BT28" s="120">
        <f>OOC!H28</f>
        <v>1.08</v>
      </c>
      <c r="BU28" s="2" t="e">
        <f t="shared" si="14"/>
        <v>#REF!</v>
      </c>
      <c r="BV28" s="2" t="e">
        <f t="shared" si="15"/>
        <v>#REF!</v>
      </c>
      <c r="BW28" s="2" t="e">
        <f t="shared" si="16"/>
        <v>#REF!</v>
      </c>
      <c r="BX28" s="121" t="e">
        <f>IF(AND(IF(OOC!G28="",0,OOC!G28) &gt;= IF(O28="",0,O28), IF(O28="",0,O28) &gt; IF(L28="",0,L28)), "OOC",
IF(AND(IF(M28="",0,M28) &gt; IF(P28="",0,P28), IF(P28="",0,P28) &gt;= IF(OOC!H28="",0,OOC!H28)), "OOC",
IF(IF(O28="",0,O28) &gt; IF(OOC!G28="",0,OOC!G28), "OOS",
IF(IF(OOC!H28="",0,OOC!H28) &gt; IF(P28="",0,P28), "OOS", "OK"))))</f>
        <v>#REF!</v>
      </c>
    </row>
    <row r="29" spans="1:76" ht="15" customHeight="1">
      <c r="A29" s="13"/>
      <c r="B29" s="88"/>
      <c r="C29" s="78"/>
      <c r="D29" s="89"/>
      <c r="E29" s="90"/>
      <c r="F29" s="66"/>
      <c r="G29" s="91"/>
      <c r="H29" s="92"/>
      <c r="I29" s="92"/>
      <c r="J29" s="68"/>
      <c r="K29" s="69"/>
      <c r="L29" s="70"/>
      <c r="M29" s="70"/>
      <c r="N29" s="71"/>
      <c r="O29" s="2"/>
      <c r="P29" s="2"/>
      <c r="Q29" s="2"/>
      <c r="R29" s="3"/>
      <c r="S29" s="4"/>
      <c r="T29" s="84"/>
      <c r="U29" s="85"/>
      <c r="V29" s="4"/>
      <c r="W29" s="4"/>
      <c r="X29" s="4"/>
      <c r="Y29" s="62"/>
      <c r="Z29" s="22"/>
      <c r="AA29" s="22"/>
      <c r="AB29" s="22"/>
      <c r="AC29" s="22"/>
      <c r="AD29" s="19"/>
      <c r="AE29" s="14"/>
      <c r="AF29" s="72"/>
      <c r="AG29" s="49"/>
      <c r="AH29" s="49"/>
      <c r="AI29" s="50"/>
      <c r="AJ29" s="15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77"/>
      <c r="BR29" s="123"/>
      <c r="BS29" s="120"/>
      <c r="BT29" s="120"/>
      <c r="BU29" s="2"/>
      <c r="BV29" s="2"/>
      <c r="BW29" s="2"/>
      <c r="BX29" s="121"/>
    </row>
    <row r="30" spans="1:76" ht="15" customHeight="1">
      <c r="A30" s="13"/>
      <c r="B30" s="88"/>
      <c r="C30" s="78"/>
      <c r="D30" s="89"/>
      <c r="E30" s="90"/>
      <c r="F30" s="66"/>
      <c r="G30" s="91"/>
      <c r="H30" s="92"/>
      <c r="I30" s="92"/>
      <c r="J30" s="68"/>
      <c r="K30" s="69"/>
      <c r="L30" s="70"/>
      <c r="M30" s="70"/>
      <c r="N30" s="71"/>
      <c r="O30" s="2"/>
      <c r="P30" s="2"/>
      <c r="Q30" s="2"/>
      <c r="R30" s="3"/>
      <c r="S30" s="4"/>
      <c r="T30" s="84"/>
      <c r="U30" s="85"/>
      <c r="V30" s="4"/>
      <c r="W30" s="4"/>
      <c r="X30" s="4"/>
      <c r="Y30" s="62"/>
      <c r="Z30" s="22"/>
      <c r="AA30" s="22"/>
      <c r="AB30" s="22"/>
      <c r="AC30" s="22"/>
      <c r="AD30" s="19"/>
      <c r="AE30" s="14"/>
      <c r="AF30" s="72"/>
      <c r="AG30" s="49"/>
      <c r="AH30" s="49"/>
      <c r="AI30" s="50"/>
      <c r="AJ30" s="15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77"/>
      <c r="BR30" s="123"/>
      <c r="BS30" s="120"/>
      <c r="BT30" s="120"/>
      <c r="BU30" s="2"/>
      <c r="BV30" s="2"/>
      <c r="BW30" s="2"/>
      <c r="BX30" s="121"/>
    </row>
    <row r="31" spans="1:76" ht="15" customHeight="1">
      <c r="A31" s="13">
        <v>5</v>
      </c>
      <c r="B31" s="88" t="s">
        <v>150</v>
      </c>
      <c r="C31" s="78" t="s">
        <v>107</v>
      </c>
      <c r="D31" s="89" t="s">
        <v>117</v>
      </c>
      <c r="E31" s="90">
        <v>1.33</v>
      </c>
      <c r="F31" s="66" t="s">
        <v>44</v>
      </c>
      <c r="G31" s="91">
        <v>1.0900000000000001</v>
      </c>
      <c r="H31" s="92" t="str">
        <f>IF(OOC!S31=0,"",OOC!S31)</f>
        <v/>
      </c>
      <c r="I31" s="92" t="str">
        <f>IF(OOC!T31=0,"",OOC!T31)</f>
        <v/>
      </c>
      <c r="J31" s="68" t="s">
        <v>12</v>
      </c>
      <c r="K31" s="69" t="s">
        <v>80</v>
      </c>
      <c r="L31" s="70" t="e">
        <f t="shared" si="0"/>
        <v>#VALUE!</v>
      </c>
      <c r="M31" s="70" t="e">
        <f t="shared" si="1"/>
        <v>#VALUE!</v>
      </c>
      <c r="N31" s="71"/>
      <c r="O31" s="2" t="e">
        <f t="shared" si="2"/>
        <v>#REF!</v>
      </c>
      <c r="P31" s="2" t="e">
        <f t="shared" si="3"/>
        <v>#REF!</v>
      </c>
      <c r="Q31" s="2" t="e">
        <f t="shared" si="4"/>
        <v>#REF!</v>
      </c>
      <c r="R31" s="3" t="e">
        <f t="shared" si="5"/>
        <v>#REF!</v>
      </c>
      <c r="S31" s="4" t="e">
        <f t="shared" si="10"/>
        <v>#REF!</v>
      </c>
      <c r="T31" s="84" t="e">
        <f t="shared" si="11"/>
        <v>#REF!</v>
      </c>
      <c r="U31" s="85" t="e">
        <f t="shared" si="12"/>
        <v>#REF!</v>
      </c>
      <c r="V31" s="4" t="e">
        <f t="shared" si="6"/>
        <v>#REF!</v>
      </c>
      <c r="W31" s="4" t="e">
        <f t="shared" si="7"/>
        <v>#REF!</v>
      </c>
      <c r="X31" s="4" t="e">
        <f t="shared" si="8"/>
        <v>#REF!</v>
      </c>
      <c r="Y31" s="62" t="e">
        <f t="shared" si="9"/>
        <v>#REF!</v>
      </c>
      <c r="Z31" s="22" t="e">
        <f>IF($Q31="","",IF(F31="Tolerance",IF(($E31*3*R31+Q31)-G31&lt;H31,"",($E31*3*R31+Q31)-G31),IF(OR(F31="GD&amp;T",F31="MAX"),IF(($E31*3*R31+Q31)&lt;H31,"",($E31*3*R31+Q31)),"")))</f>
        <v>#REF!</v>
      </c>
      <c r="AA31" s="22" t="e">
        <f>IF(Q31="","",IF(F31="Tolerance",IF(-(($E31*3*R31)-Q31)-G31&gt;I31,"",-(($E31*3*R31)-Q31)-G31),IF(F31="MIN",IF(-(($E31*3*R31)-Q31)&gt;I31,"",-(($E31*3*R31)-Q31)),"")))</f>
        <v>#REF!</v>
      </c>
      <c r="AB31" s="22" t="e">
        <f>IF(OR(G31="",Q31=""),"",(L31+M31)/2-Q31)</f>
        <v>#REF!</v>
      </c>
      <c r="AC31" s="22" t="e">
        <f>IF(OR($S31&gt;$AC$9,$R31=""),"",$AC$9*6*$R31)</f>
        <v>#REF!</v>
      </c>
      <c r="AD31" s="19"/>
      <c r="AE31" s="14"/>
      <c r="AF31" s="72"/>
      <c r="AG31" s="49"/>
      <c r="AH31" s="49"/>
      <c r="AI31" s="50"/>
      <c r="AJ31" s="15"/>
      <c r="AK31" s="77" t="e">
        <f>#REF!</f>
        <v>#REF!</v>
      </c>
      <c r="AL31" s="77" t="e">
        <f>#REF!</f>
        <v>#REF!</v>
      </c>
      <c r="AM31" s="77" t="e">
        <f>#REF!</f>
        <v>#REF!</v>
      </c>
      <c r="AN31" s="77" t="e">
        <f>#REF!</f>
        <v>#REF!</v>
      </c>
      <c r="AO31" s="77" t="e">
        <f>#REF!</f>
        <v>#REF!</v>
      </c>
      <c r="AP31" s="77" t="e">
        <f>#REF!</f>
        <v>#REF!</v>
      </c>
      <c r="AQ31" s="77" t="e">
        <f>#REF!</f>
        <v>#REF!</v>
      </c>
      <c r="AR31" s="77" t="e">
        <f>#REF!</f>
        <v>#REF!</v>
      </c>
      <c r="AS31" s="77" t="e">
        <f>#REF!</f>
        <v>#REF!</v>
      </c>
      <c r="AT31" s="77" t="e">
        <f>#REF!</f>
        <v>#REF!</v>
      </c>
      <c r="AU31" s="77" t="e">
        <f>#REF!</f>
        <v>#REF!</v>
      </c>
      <c r="AV31" s="77" t="e">
        <f>#REF!</f>
        <v>#REF!</v>
      </c>
      <c r="AW31" s="77" t="e">
        <f>#REF!</f>
        <v>#REF!</v>
      </c>
      <c r="AX31" s="77" t="e">
        <f>#REF!</f>
        <v>#REF!</v>
      </c>
      <c r="AY31" s="77" t="e">
        <f>#REF!</f>
        <v>#REF!</v>
      </c>
      <c r="AZ31" s="77" t="e">
        <f>#REF!</f>
        <v>#REF!</v>
      </c>
      <c r="BA31" s="77" t="e">
        <f>#REF!</f>
        <v>#REF!</v>
      </c>
      <c r="BB31" s="77" t="e">
        <f>#REF!</f>
        <v>#REF!</v>
      </c>
      <c r="BC31" s="77" t="e">
        <f>#REF!</f>
        <v>#REF!</v>
      </c>
      <c r="BD31" s="77" t="e">
        <f>#REF!</f>
        <v>#REF!</v>
      </c>
      <c r="BE31" s="77" t="e">
        <f>#REF!</f>
        <v>#REF!</v>
      </c>
      <c r="BF31" s="77" t="e">
        <f>#REF!</f>
        <v>#REF!</v>
      </c>
      <c r="BG31" s="77" t="e">
        <f>#REF!</f>
        <v>#REF!</v>
      </c>
      <c r="BH31" s="77" t="e">
        <f>#REF!</f>
        <v>#REF!</v>
      </c>
      <c r="BI31" s="77" t="e">
        <f>#REF!</f>
        <v>#REF!</v>
      </c>
      <c r="BJ31" s="77" t="e">
        <f>#REF!</f>
        <v>#REF!</v>
      </c>
      <c r="BK31" s="77" t="e">
        <f>#REF!</f>
        <v>#REF!</v>
      </c>
      <c r="BL31" s="77" t="e">
        <f>#REF!</f>
        <v>#REF!</v>
      </c>
      <c r="BM31" s="77" t="e">
        <f>#REF!</f>
        <v>#REF!</v>
      </c>
      <c r="BN31" s="77" t="e">
        <f>#REF!</f>
        <v>#REF!</v>
      </c>
      <c r="BO31" s="77" t="e">
        <f>#REF!</f>
        <v>#REF!</v>
      </c>
      <c r="BP31" s="77" t="e">
        <f>#REF!</f>
        <v>#REF!</v>
      </c>
      <c r="BR31" s="123" t="str">
        <f t="shared" si="13"/>
        <v>FAI10-3</v>
      </c>
      <c r="BS31" s="120">
        <f>OOC!G31</f>
        <v>1.105</v>
      </c>
      <c r="BT31" s="120">
        <f>OOC!H31</f>
        <v>1.08</v>
      </c>
      <c r="BU31" s="2" t="e">
        <f t="shared" si="14"/>
        <v>#REF!</v>
      </c>
      <c r="BV31" s="2" t="e">
        <f t="shared" si="15"/>
        <v>#REF!</v>
      </c>
      <c r="BW31" s="2" t="e">
        <f t="shared" si="16"/>
        <v>#REF!</v>
      </c>
      <c r="BX31" s="121" t="e">
        <f>IF(AND(IF(OOC!G31="",0,OOC!G31) &gt;= IF(O31="",0,O31), IF(O31="",0,O31) &gt; IF(L31="",0,L31)), "OOC",
IF(AND(IF(M31="",0,M31) &gt; IF(P31="",0,P31), IF(P31="",0,P31) &gt;= IF(OOC!H31="",0,OOC!H31)), "OOC",
IF(IF(O31="",0,O31) &gt; IF(OOC!G31="",0,OOC!G31), "OOS",
IF(IF(OOC!H31="",0,OOC!H31) &gt; IF(P31="",0,P31), "OOS", "OK"))))</f>
        <v>#REF!</v>
      </c>
    </row>
    <row r="32" spans="1:76" ht="15" customHeight="1">
      <c r="A32" s="13">
        <v>1</v>
      </c>
      <c r="B32" s="88"/>
      <c r="C32" s="78"/>
      <c r="D32" s="89"/>
      <c r="E32" s="90"/>
      <c r="F32" s="66"/>
      <c r="G32" s="91"/>
      <c r="H32" s="92"/>
      <c r="I32" s="92"/>
      <c r="J32" s="68"/>
      <c r="K32" s="69"/>
      <c r="L32" s="70"/>
      <c r="M32" s="70"/>
      <c r="N32" s="71"/>
      <c r="O32" s="2"/>
      <c r="P32" s="2"/>
      <c r="Q32" s="2"/>
      <c r="R32" s="3"/>
      <c r="S32" s="4"/>
      <c r="T32" s="84"/>
      <c r="U32" s="85"/>
      <c r="V32" s="4"/>
      <c r="W32" s="4"/>
      <c r="X32" s="4"/>
      <c r="Y32" s="62"/>
      <c r="Z32" s="22"/>
      <c r="AA32" s="22"/>
      <c r="AB32" s="22"/>
      <c r="AC32" s="22"/>
      <c r="AD32" s="19"/>
      <c r="AE32" s="14"/>
      <c r="AF32" s="72"/>
      <c r="AG32" s="49"/>
      <c r="AH32" s="49"/>
      <c r="AI32" s="50"/>
      <c r="AJ32" s="15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7"/>
      <c r="BO32" s="77"/>
      <c r="BP32" s="77"/>
      <c r="BR32" s="123"/>
      <c r="BS32" s="120"/>
      <c r="BT32" s="120"/>
      <c r="BU32" s="2"/>
      <c r="BV32" s="2"/>
      <c r="BW32" s="2"/>
      <c r="BX32" s="121"/>
    </row>
    <row r="33" spans="1:76" ht="15" customHeight="1">
      <c r="A33" s="13">
        <v>2</v>
      </c>
      <c r="B33" s="88"/>
      <c r="C33" s="78"/>
      <c r="D33" s="89"/>
      <c r="E33" s="90"/>
      <c r="F33" s="66"/>
      <c r="G33" s="91"/>
      <c r="H33" s="92"/>
      <c r="I33" s="92"/>
      <c r="J33" s="68"/>
      <c r="K33" s="69"/>
      <c r="L33" s="70"/>
      <c r="M33" s="70"/>
      <c r="N33" s="71"/>
      <c r="O33" s="2"/>
      <c r="P33" s="2"/>
      <c r="Q33" s="2"/>
      <c r="R33" s="3"/>
      <c r="S33" s="4"/>
      <c r="T33" s="84"/>
      <c r="U33" s="85"/>
      <c r="V33" s="4"/>
      <c r="W33" s="4"/>
      <c r="X33" s="4"/>
      <c r="Y33" s="62"/>
      <c r="Z33" s="22"/>
      <c r="AA33" s="22"/>
      <c r="AB33" s="22"/>
      <c r="AC33" s="22"/>
      <c r="AD33" s="19"/>
      <c r="AE33" s="14"/>
      <c r="AF33" s="72"/>
      <c r="AG33" s="49"/>
      <c r="AH33" s="49"/>
      <c r="AI33" s="50"/>
      <c r="AJ33" s="15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77"/>
      <c r="BR33" s="123"/>
      <c r="BS33" s="120"/>
      <c r="BT33" s="120"/>
      <c r="BU33" s="2"/>
      <c r="BV33" s="2"/>
      <c r="BW33" s="2"/>
      <c r="BX33" s="121"/>
    </row>
    <row r="34" spans="1:76" ht="15" customHeight="1">
      <c r="A34" s="13">
        <v>1</v>
      </c>
      <c r="B34" s="88"/>
      <c r="C34" s="78"/>
      <c r="D34" s="89"/>
      <c r="E34" s="90"/>
      <c r="F34" s="66"/>
      <c r="G34" s="91"/>
      <c r="H34" s="92"/>
      <c r="I34" s="92"/>
      <c r="J34" s="68"/>
      <c r="K34" s="69"/>
      <c r="L34" s="70"/>
      <c r="M34" s="70"/>
      <c r="N34" s="71"/>
      <c r="O34" s="2"/>
      <c r="P34" s="2"/>
      <c r="Q34" s="2"/>
      <c r="R34" s="3"/>
      <c r="S34" s="4"/>
      <c r="T34" s="84"/>
      <c r="U34" s="85"/>
      <c r="V34" s="4"/>
      <c r="W34" s="4"/>
      <c r="X34" s="4"/>
      <c r="Y34" s="62"/>
      <c r="Z34" s="22"/>
      <c r="AA34" s="22"/>
      <c r="AB34" s="22"/>
      <c r="AC34" s="22"/>
      <c r="AD34" s="19"/>
      <c r="AE34" s="14"/>
      <c r="AF34" s="72"/>
      <c r="AG34" s="49"/>
      <c r="AH34" s="49"/>
      <c r="AI34" s="50"/>
      <c r="AJ34" s="15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77"/>
      <c r="BR34" s="123"/>
      <c r="BS34" s="120"/>
      <c r="BT34" s="120"/>
      <c r="BU34" s="2"/>
      <c r="BV34" s="2"/>
      <c r="BW34" s="2"/>
      <c r="BX34" s="121"/>
    </row>
    <row r="35" spans="1:76" ht="15" customHeight="1">
      <c r="A35" s="13">
        <v>2</v>
      </c>
      <c r="B35" s="88"/>
      <c r="C35" s="78"/>
      <c r="D35" s="89"/>
      <c r="E35" s="90"/>
      <c r="F35" s="66"/>
      <c r="G35" s="91"/>
      <c r="H35" s="92"/>
      <c r="I35" s="92"/>
      <c r="J35" s="68"/>
      <c r="K35" s="69"/>
      <c r="L35" s="70"/>
      <c r="M35" s="70"/>
      <c r="N35" s="71"/>
      <c r="O35" s="2"/>
      <c r="P35" s="2"/>
      <c r="Q35" s="2"/>
      <c r="R35" s="3"/>
      <c r="S35" s="4"/>
      <c r="T35" s="84"/>
      <c r="U35" s="85"/>
      <c r="V35" s="4"/>
      <c r="W35" s="4"/>
      <c r="X35" s="4"/>
      <c r="Y35" s="62"/>
      <c r="Z35" s="22"/>
      <c r="AA35" s="22"/>
      <c r="AB35" s="22"/>
      <c r="AC35" s="22"/>
      <c r="AD35" s="19"/>
      <c r="AE35" s="14"/>
      <c r="AF35" s="72"/>
      <c r="AG35" s="49"/>
      <c r="AH35" s="49"/>
      <c r="AI35" s="50"/>
      <c r="AJ35" s="15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77"/>
      <c r="BR35" s="123"/>
      <c r="BS35" s="120"/>
      <c r="BT35" s="120"/>
      <c r="BU35" s="2"/>
      <c r="BV35" s="2"/>
      <c r="BW35" s="2"/>
      <c r="BX35" s="121"/>
    </row>
    <row r="36" spans="1:76" ht="15" customHeight="1">
      <c r="A36" s="13">
        <v>3</v>
      </c>
      <c r="B36" s="88"/>
      <c r="C36" s="78"/>
      <c r="D36" s="89"/>
      <c r="E36" s="90"/>
      <c r="F36" s="66"/>
      <c r="G36" s="91"/>
      <c r="H36" s="92"/>
      <c r="I36" s="92"/>
      <c r="J36" s="68"/>
      <c r="K36" s="69"/>
      <c r="L36" s="70"/>
      <c r="M36" s="70"/>
      <c r="N36" s="71"/>
      <c r="O36" s="2"/>
      <c r="P36" s="2"/>
      <c r="Q36" s="2"/>
      <c r="R36" s="3"/>
      <c r="S36" s="4"/>
      <c r="T36" s="84"/>
      <c r="U36" s="85"/>
      <c r="V36" s="4"/>
      <c r="W36" s="4"/>
      <c r="X36" s="4"/>
      <c r="Y36" s="62"/>
      <c r="Z36" s="22"/>
      <c r="AA36" s="22"/>
      <c r="AB36" s="22"/>
      <c r="AC36" s="22"/>
      <c r="AD36" s="19"/>
      <c r="AE36" s="14"/>
      <c r="AF36" s="72"/>
      <c r="AG36" s="49"/>
      <c r="AH36" s="49"/>
      <c r="AI36" s="50"/>
      <c r="AJ36" s="15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77"/>
      <c r="BN36" s="77"/>
      <c r="BO36" s="77"/>
      <c r="BP36" s="77"/>
      <c r="BR36" s="123"/>
      <c r="BS36" s="120"/>
      <c r="BT36" s="120"/>
      <c r="BU36" s="2"/>
      <c r="BV36" s="2"/>
      <c r="BW36" s="2"/>
      <c r="BX36" s="121"/>
    </row>
    <row r="37" spans="1:76" ht="15" customHeight="1">
      <c r="A37" s="13">
        <v>4</v>
      </c>
      <c r="B37" s="88"/>
      <c r="C37" s="78"/>
      <c r="D37" s="89"/>
      <c r="E37" s="90"/>
      <c r="F37" s="66"/>
      <c r="G37" s="91"/>
      <c r="H37" s="92"/>
      <c r="I37" s="92"/>
      <c r="J37" s="68"/>
      <c r="K37" s="69"/>
      <c r="L37" s="70"/>
      <c r="M37" s="70"/>
      <c r="N37" s="71"/>
      <c r="O37" s="2"/>
      <c r="P37" s="2"/>
      <c r="Q37" s="2"/>
      <c r="R37" s="3"/>
      <c r="S37" s="4"/>
      <c r="T37" s="84"/>
      <c r="U37" s="85"/>
      <c r="V37" s="4"/>
      <c r="W37" s="4"/>
      <c r="X37" s="4"/>
      <c r="Y37" s="62"/>
      <c r="Z37" s="22"/>
      <c r="AA37" s="22"/>
      <c r="AB37" s="22"/>
      <c r="AC37" s="22"/>
      <c r="AD37" s="19"/>
      <c r="AE37" s="14"/>
      <c r="AF37" s="72"/>
      <c r="AG37" s="49"/>
      <c r="AH37" s="49"/>
      <c r="AI37" s="50"/>
      <c r="AJ37" s="15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77"/>
      <c r="BN37" s="77"/>
      <c r="BO37" s="77"/>
      <c r="BP37" s="77"/>
      <c r="BR37" s="123"/>
      <c r="BS37" s="120"/>
      <c r="BT37" s="120"/>
      <c r="BU37" s="2"/>
      <c r="BV37" s="2"/>
      <c r="BW37" s="2"/>
      <c r="BX37" s="121"/>
    </row>
    <row r="38" spans="1:76" ht="15" customHeight="1">
      <c r="A38" s="13">
        <v>5</v>
      </c>
      <c r="B38" s="88"/>
      <c r="C38" s="78"/>
      <c r="D38" s="89"/>
      <c r="E38" s="90"/>
      <c r="F38" s="66"/>
      <c r="G38" s="91"/>
      <c r="H38" s="92"/>
      <c r="I38" s="92"/>
      <c r="J38" s="68"/>
      <c r="K38" s="69"/>
      <c r="L38" s="70"/>
      <c r="M38" s="70"/>
      <c r="N38" s="71"/>
      <c r="O38" s="2"/>
      <c r="P38" s="2"/>
      <c r="Q38" s="2"/>
      <c r="R38" s="3"/>
      <c r="S38" s="4"/>
      <c r="T38" s="84"/>
      <c r="U38" s="85"/>
      <c r="V38" s="4"/>
      <c r="W38" s="4"/>
      <c r="X38" s="4"/>
      <c r="Y38" s="62"/>
      <c r="Z38" s="22"/>
      <c r="AA38" s="22"/>
      <c r="AB38" s="22"/>
      <c r="AC38" s="22"/>
      <c r="AD38" s="19"/>
      <c r="AE38" s="14"/>
      <c r="AF38" s="72"/>
      <c r="AG38" s="49"/>
      <c r="AH38" s="49"/>
      <c r="AI38" s="50"/>
      <c r="AJ38" s="15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77"/>
      <c r="BR38" s="123"/>
      <c r="BS38" s="120"/>
      <c r="BT38" s="120"/>
      <c r="BU38" s="2"/>
      <c r="BV38" s="2"/>
      <c r="BW38" s="2"/>
      <c r="BX38" s="121"/>
    </row>
    <row r="39" spans="1:76" ht="15" customHeight="1">
      <c r="A39" s="13">
        <v>6</v>
      </c>
      <c r="B39" s="88"/>
      <c r="C39" s="78"/>
      <c r="D39" s="89"/>
      <c r="E39" s="90"/>
      <c r="F39" s="66"/>
      <c r="G39" s="91"/>
      <c r="H39" s="92"/>
      <c r="I39" s="92"/>
      <c r="J39" s="68"/>
      <c r="K39" s="69"/>
      <c r="L39" s="70"/>
      <c r="M39" s="70"/>
      <c r="N39" s="71"/>
      <c r="O39" s="2"/>
      <c r="P39" s="2"/>
      <c r="Q39" s="2"/>
      <c r="R39" s="3"/>
      <c r="S39" s="4"/>
      <c r="T39" s="84"/>
      <c r="U39" s="85"/>
      <c r="V39" s="4"/>
      <c r="W39" s="4"/>
      <c r="X39" s="4"/>
      <c r="Y39" s="62"/>
      <c r="Z39" s="22"/>
      <c r="AA39" s="22"/>
      <c r="AB39" s="22"/>
      <c r="AC39" s="22"/>
      <c r="AD39" s="19"/>
      <c r="AE39" s="14"/>
      <c r="AF39" s="72"/>
      <c r="AG39" s="49"/>
      <c r="AH39" s="49"/>
      <c r="AI39" s="50"/>
      <c r="AJ39" s="15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77"/>
      <c r="BR39" s="123"/>
      <c r="BS39" s="120"/>
      <c r="BT39" s="120"/>
      <c r="BU39" s="2"/>
      <c r="BV39" s="2"/>
      <c r="BW39" s="2"/>
      <c r="BX39" s="121"/>
    </row>
    <row r="40" spans="1:76" ht="15" customHeight="1">
      <c r="A40" s="13">
        <v>7</v>
      </c>
      <c r="B40" s="88"/>
      <c r="C40" s="78"/>
      <c r="D40" s="89"/>
      <c r="E40" s="90"/>
      <c r="F40" s="66"/>
      <c r="G40" s="91"/>
      <c r="H40" s="92"/>
      <c r="I40" s="92"/>
      <c r="J40" s="68"/>
      <c r="K40" s="69"/>
      <c r="L40" s="70"/>
      <c r="M40" s="70"/>
      <c r="N40" s="71"/>
      <c r="O40" s="2"/>
      <c r="P40" s="2"/>
      <c r="Q40" s="2"/>
      <c r="R40" s="3"/>
      <c r="S40" s="4"/>
      <c r="T40" s="84"/>
      <c r="U40" s="85"/>
      <c r="V40" s="4"/>
      <c r="W40" s="4"/>
      <c r="X40" s="4"/>
      <c r="Y40" s="62"/>
      <c r="Z40" s="22"/>
      <c r="AA40" s="22"/>
      <c r="AB40" s="22"/>
      <c r="AC40" s="22"/>
      <c r="AD40" s="19"/>
      <c r="AE40" s="14"/>
      <c r="AF40" s="72"/>
      <c r="AG40" s="49"/>
      <c r="AH40" s="49"/>
      <c r="AI40" s="50"/>
      <c r="AJ40" s="15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7"/>
      <c r="BN40" s="77"/>
      <c r="BO40" s="77"/>
      <c r="BP40" s="77"/>
      <c r="BR40" s="123"/>
      <c r="BS40" s="120"/>
      <c r="BT40" s="120"/>
      <c r="BU40" s="2"/>
      <c r="BV40" s="2"/>
      <c r="BW40" s="2"/>
      <c r="BX40" s="121"/>
    </row>
    <row r="41" spans="1:76" ht="15" customHeight="1">
      <c r="A41" s="13">
        <v>8</v>
      </c>
      <c r="B41" s="88"/>
      <c r="C41" s="78"/>
      <c r="D41" s="89"/>
      <c r="E41" s="90"/>
      <c r="F41" s="66"/>
      <c r="G41" s="91"/>
      <c r="H41" s="92"/>
      <c r="I41" s="92"/>
      <c r="J41" s="68"/>
      <c r="K41" s="69"/>
      <c r="L41" s="70"/>
      <c r="M41" s="70"/>
      <c r="N41" s="71"/>
      <c r="O41" s="2"/>
      <c r="P41" s="2"/>
      <c r="Q41" s="2"/>
      <c r="R41" s="3"/>
      <c r="S41" s="4"/>
      <c r="T41" s="84"/>
      <c r="U41" s="85"/>
      <c r="V41" s="4"/>
      <c r="W41" s="4"/>
      <c r="X41" s="4"/>
      <c r="Y41" s="62"/>
      <c r="Z41" s="22"/>
      <c r="AA41" s="22"/>
      <c r="AB41" s="22"/>
      <c r="AC41" s="22"/>
      <c r="AD41" s="19"/>
      <c r="AE41" s="14"/>
      <c r="AF41" s="72"/>
      <c r="AG41" s="49"/>
      <c r="AH41" s="49"/>
      <c r="AI41" s="50"/>
      <c r="AJ41" s="15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77"/>
      <c r="BN41" s="77"/>
      <c r="BO41" s="77"/>
      <c r="BP41" s="77"/>
      <c r="BR41" s="123"/>
      <c r="BS41" s="120"/>
      <c r="BT41" s="120"/>
      <c r="BU41" s="2"/>
      <c r="BV41" s="2"/>
      <c r="BW41" s="2"/>
      <c r="BX41" s="121"/>
    </row>
    <row r="42" spans="1:76" ht="15" customHeight="1">
      <c r="A42" s="13">
        <v>9</v>
      </c>
      <c r="B42" s="88"/>
      <c r="C42" s="78"/>
      <c r="D42" s="89"/>
      <c r="E42" s="90"/>
      <c r="F42" s="66"/>
      <c r="G42" s="91"/>
      <c r="H42" s="92"/>
      <c r="I42" s="92"/>
      <c r="J42" s="68"/>
      <c r="K42" s="69"/>
      <c r="L42" s="70"/>
      <c r="M42" s="70"/>
      <c r="N42" s="71"/>
      <c r="O42" s="2"/>
      <c r="P42" s="2"/>
      <c r="Q42" s="2"/>
      <c r="R42" s="3"/>
      <c r="S42" s="4"/>
      <c r="T42" s="84"/>
      <c r="U42" s="85"/>
      <c r="V42" s="4"/>
      <c r="W42" s="4"/>
      <c r="X42" s="4"/>
      <c r="Y42" s="62"/>
      <c r="Z42" s="22"/>
      <c r="AA42" s="22"/>
      <c r="AB42" s="22"/>
      <c r="AC42" s="22"/>
      <c r="AD42" s="19"/>
      <c r="AE42" s="14"/>
      <c r="AF42" s="72"/>
      <c r="AG42" s="49"/>
      <c r="AH42" s="49"/>
      <c r="AI42" s="50"/>
      <c r="AJ42" s="15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77"/>
      <c r="BR42" s="123"/>
      <c r="BS42" s="120"/>
      <c r="BT42" s="120"/>
      <c r="BU42" s="2"/>
      <c r="BV42" s="2"/>
      <c r="BW42" s="2"/>
      <c r="BX42" s="121"/>
    </row>
    <row r="43" spans="1:76" ht="15" customHeight="1">
      <c r="A43" s="13">
        <v>10</v>
      </c>
      <c r="B43" s="88"/>
      <c r="C43" s="78"/>
      <c r="D43" s="89"/>
      <c r="E43" s="90"/>
      <c r="F43" s="66"/>
      <c r="G43" s="91"/>
      <c r="H43" s="92"/>
      <c r="I43" s="92"/>
      <c r="J43" s="68"/>
      <c r="K43" s="69"/>
      <c r="L43" s="70"/>
      <c r="M43" s="70"/>
      <c r="N43" s="71"/>
      <c r="O43" s="2"/>
      <c r="P43" s="2"/>
      <c r="Q43" s="2"/>
      <c r="R43" s="3"/>
      <c r="S43" s="4"/>
      <c r="T43" s="84"/>
      <c r="U43" s="85"/>
      <c r="V43" s="4"/>
      <c r="W43" s="4"/>
      <c r="X43" s="4"/>
      <c r="Y43" s="62"/>
      <c r="Z43" s="22"/>
      <c r="AA43" s="22"/>
      <c r="AB43" s="22"/>
      <c r="AC43" s="22"/>
      <c r="AD43" s="19"/>
      <c r="AE43" s="14"/>
      <c r="AF43" s="72"/>
      <c r="AG43" s="49"/>
      <c r="AH43" s="49"/>
      <c r="AI43" s="50"/>
      <c r="AJ43" s="15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77"/>
      <c r="BN43" s="77"/>
      <c r="BO43" s="77"/>
      <c r="BP43" s="77"/>
      <c r="BR43" s="123"/>
      <c r="BS43" s="120"/>
      <c r="BT43" s="120"/>
      <c r="BU43" s="2"/>
      <c r="BV43" s="2"/>
      <c r="BW43" s="2"/>
      <c r="BX43" s="121"/>
    </row>
    <row r="44" spans="1:76" ht="15" customHeight="1">
      <c r="A44" s="13">
        <v>11</v>
      </c>
      <c r="B44" s="88"/>
      <c r="C44" s="78"/>
      <c r="D44" s="89"/>
      <c r="E44" s="90"/>
      <c r="F44" s="66"/>
      <c r="G44" s="91"/>
      <c r="H44" s="92"/>
      <c r="I44" s="92"/>
      <c r="J44" s="68"/>
      <c r="K44" s="69"/>
      <c r="L44" s="70"/>
      <c r="M44" s="70"/>
      <c r="N44" s="71"/>
      <c r="O44" s="2"/>
      <c r="P44" s="2"/>
      <c r="Q44" s="2"/>
      <c r="R44" s="3"/>
      <c r="S44" s="4"/>
      <c r="T44" s="84"/>
      <c r="U44" s="85"/>
      <c r="V44" s="4"/>
      <c r="W44" s="4"/>
      <c r="X44" s="4"/>
      <c r="Y44" s="62"/>
      <c r="Z44" s="22"/>
      <c r="AA44" s="22"/>
      <c r="AB44" s="22"/>
      <c r="AC44" s="22"/>
      <c r="AD44" s="19"/>
      <c r="AE44" s="14"/>
      <c r="AF44" s="72"/>
      <c r="AG44" s="49"/>
      <c r="AH44" s="49"/>
      <c r="AI44" s="50"/>
      <c r="AJ44" s="15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77"/>
      <c r="BR44" s="123"/>
      <c r="BS44" s="120"/>
      <c r="BT44" s="120"/>
      <c r="BU44" s="2"/>
      <c r="BV44" s="2"/>
      <c r="BW44" s="2"/>
      <c r="BX44" s="121"/>
    </row>
    <row r="45" spans="1:76" ht="15" customHeight="1">
      <c r="A45" s="13">
        <v>12</v>
      </c>
      <c r="B45" s="88"/>
      <c r="C45" s="78"/>
      <c r="D45" s="89"/>
      <c r="E45" s="90"/>
      <c r="F45" s="66"/>
      <c r="G45" s="91"/>
      <c r="H45" s="92"/>
      <c r="I45" s="92"/>
      <c r="J45" s="68"/>
      <c r="K45" s="69"/>
      <c r="L45" s="70"/>
      <c r="M45" s="70"/>
      <c r="N45" s="71"/>
      <c r="O45" s="2"/>
      <c r="P45" s="2"/>
      <c r="Q45" s="2"/>
      <c r="R45" s="3"/>
      <c r="S45" s="4"/>
      <c r="T45" s="84"/>
      <c r="U45" s="85"/>
      <c r="V45" s="4"/>
      <c r="W45" s="4"/>
      <c r="X45" s="4"/>
      <c r="Y45" s="62"/>
      <c r="Z45" s="22"/>
      <c r="AA45" s="22"/>
      <c r="AB45" s="22"/>
      <c r="AC45" s="22"/>
      <c r="AD45" s="19"/>
      <c r="AE45" s="14"/>
      <c r="AF45" s="72"/>
      <c r="AG45" s="49"/>
      <c r="AH45" s="49"/>
      <c r="AI45" s="50"/>
      <c r="AJ45" s="15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77"/>
      <c r="BR45" s="123"/>
      <c r="BS45" s="120"/>
      <c r="BT45" s="120"/>
      <c r="BU45" s="2"/>
      <c r="BV45" s="2"/>
      <c r="BW45" s="2"/>
      <c r="BX45" s="121"/>
    </row>
    <row r="46" spans="1:76" ht="15" customHeight="1">
      <c r="A46" s="13">
        <v>6</v>
      </c>
      <c r="B46" s="88" t="s">
        <v>151</v>
      </c>
      <c r="C46" s="78" t="s">
        <v>108</v>
      </c>
      <c r="D46" s="89" t="s">
        <v>117</v>
      </c>
      <c r="E46" s="90">
        <v>1.33</v>
      </c>
      <c r="F46" s="66" t="s">
        <v>44</v>
      </c>
      <c r="G46" s="91">
        <v>1.8520000000000001</v>
      </c>
      <c r="H46" s="92" t="str">
        <f>IF(OOC!S46=0,"",OOC!S46)</f>
        <v/>
      </c>
      <c r="I46" s="92" t="str">
        <f>IF(OOC!T46=0,"",OOC!T46)</f>
        <v/>
      </c>
      <c r="J46" s="68" t="s">
        <v>12</v>
      </c>
      <c r="K46" s="69" t="s">
        <v>80</v>
      </c>
      <c r="L46" s="70" t="e">
        <f t="shared" si="0"/>
        <v>#VALUE!</v>
      </c>
      <c r="M46" s="70" t="e">
        <f t="shared" si="1"/>
        <v>#VALUE!</v>
      </c>
      <c r="N46" s="71"/>
      <c r="O46" s="2" t="e">
        <f t="shared" si="2"/>
        <v>#REF!</v>
      </c>
      <c r="P46" s="2" t="e">
        <f t="shared" si="3"/>
        <v>#REF!</v>
      </c>
      <c r="Q46" s="2" t="e">
        <f t="shared" si="4"/>
        <v>#REF!</v>
      </c>
      <c r="R46" s="3" t="e">
        <f t="shared" si="5"/>
        <v>#REF!</v>
      </c>
      <c r="S46" s="4" t="e">
        <f t="shared" si="10"/>
        <v>#REF!</v>
      </c>
      <c r="T46" s="84" t="e">
        <f t="shared" si="11"/>
        <v>#REF!</v>
      </c>
      <c r="U46" s="85" t="e">
        <f t="shared" si="12"/>
        <v>#REF!</v>
      </c>
      <c r="V46" s="4" t="e">
        <f t="shared" si="6"/>
        <v>#REF!</v>
      </c>
      <c r="W46" s="4" t="e">
        <f t="shared" si="7"/>
        <v>#REF!</v>
      </c>
      <c r="X46" s="4" t="e">
        <f t="shared" si="8"/>
        <v>#REF!</v>
      </c>
      <c r="Y46" s="62" t="e">
        <f t="shared" si="9"/>
        <v>#REF!</v>
      </c>
      <c r="Z46" s="22" t="e">
        <f>IF($Q46="","",IF(F46="Tolerance",IF(($E46*3*R46+Q46)-G46&lt;H46,"",($E46*3*R46+Q46)-G46),IF(OR(F46="GD&amp;T",F46="MAX"),IF(($E46*3*R46+Q46)&lt;H46,"",($E46*3*R46+Q46)),"")))</f>
        <v>#REF!</v>
      </c>
      <c r="AA46" s="22" t="e">
        <f>IF(Q46="","",IF(F46="Tolerance",IF(-(($E46*3*R46)-Q46)-G46&gt;I46,"",-(($E46*3*R46)-Q46)-G46),IF(F46="MIN",IF(-(($E46*3*R46)-Q46)&gt;I46,"",-(($E46*3*R46)-Q46)),"")))</f>
        <v>#REF!</v>
      </c>
      <c r="AB46" s="22" t="e">
        <f>IF(OR(G46="",Q46=""),"",(L46+M46)/2-Q46)</f>
        <v>#REF!</v>
      </c>
      <c r="AC46" s="22" t="e">
        <f>IF(OR($S46&gt;$AC$9,$R46=""),"",$AC$9*6*$R46)</f>
        <v>#REF!</v>
      </c>
      <c r="AD46" s="19"/>
      <c r="AE46" s="14"/>
      <c r="AF46" s="72"/>
      <c r="AG46" s="49"/>
      <c r="AH46" s="49"/>
      <c r="AI46" s="50"/>
      <c r="AJ46" s="15"/>
      <c r="AK46" s="77" t="e">
        <f>#REF!</f>
        <v>#REF!</v>
      </c>
      <c r="AL46" s="77" t="e">
        <f>#REF!</f>
        <v>#REF!</v>
      </c>
      <c r="AM46" s="77" t="e">
        <f>#REF!</f>
        <v>#REF!</v>
      </c>
      <c r="AN46" s="77" t="e">
        <f>#REF!</f>
        <v>#REF!</v>
      </c>
      <c r="AO46" s="77" t="e">
        <f>#REF!</f>
        <v>#REF!</v>
      </c>
      <c r="AP46" s="77" t="e">
        <f>#REF!</f>
        <v>#REF!</v>
      </c>
      <c r="AQ46" s="77" t="e">
        <f>#REF!</f>
        <v>#REF!</v>
      </c>
      <c r="AR46" s="77" t="e">
        <f>#REF!</f>
        <v>#REF!</v>
      </c>
      <c r="AS46" s="77" t="e">
        <f>#REF!</f>
        <v>#REF!</v>
      </c>
      <c r="AT46" s="77" t="e">
        <f>#REF!</f>
        <v>#REF!</v>
      </c>
      <c r="AU46" s="77" t="e">
        <f>#REF!</f>
        <v>#REF!</v>
      </c>
      <c r="AV46" s="77" t="e">
        <f>#REF!</f>
        <v>#REF!</v>
      </c>
      <c r="AW46" s="77" t="e">
        <f>#REF!</f>
        <v>#REF!</v>
      </c>
      <c r="AX46" s="77" t="e">
        <f>#REF!</f>
        <v>#REF!</v>
      </c>
      <c r="AY46" s="77" t="e">
        <f>#REF!</f>
        <v>#REF!</v>
      </c>
      <c r="AZ46" s="77" t="e">
        <f>#REF!</f>
        <v>#REF!</v>
      </c>
      <c r="BA46" s="77" t="e">
        <f>#REF!</f>
        <v>#REF!</v>
      </c>
      <c r="BB46" s="77" t="e">
        <f>#REF!</f>
        <v>#REF!</v>
      </c>
      <c r="BC46" s="77" t="e">
        <f>#REF!</f>
        <v>#REF!</v>
      </c>
      <c r="BD46" s="77" t="e">
        <f>#REF!</f>
        <v>#REF!</v>
      </c>
      <c r="BE46" s="77" t="e">
        <f>#REF!</f>
        <v>#REF!</v>
      </c>
      <c r="BF46" s="77" t="e">
        <f>#REF!</f>
        <v>#REF!</v>
      </c>
      <c r="BG46" s="77" t="e">
        <f>#REF!</f>
        <v>#REF!</v>
      </c>
      <c r="BH46" s="77" t="e">
        <f>#REF!</f>
        <v>#REF!</v>
      </c>
      <c r="BI46" s="77" t="e">
        <f>#REF!</f>
        <v>#REF!</v>
      </c>
      <c r="BJ46" s="77" t="e">
        <f>#REF!</f>
        <v>#REF!</v>
      </c>
      <c r="BK46" s="77" t="e">
        <f>#REF!</f>
        <v>#REF!</v>
      </c>
      <c r="BL46" s="77" t="e">
        <f>#REF!</f>
        <v>#REF!</v>
      </c>
      <c r="BM46" s="77" t="e">
        <f>#REF!</f>
        <v>#REF!</v>
      </c>
      <c r="BN46" s="77" t="e">
        <f>#REF!</f>
        <v>#REF!</v>
      </c>
      <c r="BO46" s="77" t="e">
        <f>#REF!</f>
        <v>#REF!</v>
      </c>
      <c r="BP46" s="77" t="e">
        <f>#REF!</f>
        <v>#REF!</v>
      </c>
      <c r="BR46" s="123" t="str">
        <f t="shared" si="13"/>
        <v>FAI23</v>
      </c>
      <c r="BS46" s="120">
        <f>OOC!G46</f>
        <v>1.8720000000000001</v>
      </c>
      <c r="BT46" s="120">
        <f>OOC!H46</f>
        <v>1.8320000000000001</v>
      </c>
      <c r="BU46" s="2" t="e">
        <f t="shared" si="14"/>
        <v>#REF!</v>
      </c>
      <c r="BV46" s="2" t="e">
        <f t="shared" si="15"/>
        <v>#REF!</v>
      </c>
      <c r="BW46" s="2" t="e">
        <f t="shared" si="16"/>
        <v>#REF!</v>
      </c>
      <c r="BX46" s="121" t="e">
        <f>IF(AND(IF(OOC!G46="",0,OOC!G46) &gt;= IF(O46="",0,O46), IF(O46="",0,O46) &gt; IF(L46="",0,L46)), "OOC",
IF(AND(IF(M46="",0,M46) &gt; IF(P46="",0,P46), IF(P46="",0,P46) &gt;= IF(OOC!H46="",0,OOC!H46)), "OOC",
IF(IF(O46="",0,O46) &gt; IF(OOC!G46="",0,OOC!G46), "OOS",
IF(IF(OOC!H46="",0,OOC!H46) &gt; IF(P46="",0,P46), "OOS", "OK"))))</f>
        <v>#REF!</v>
      </c>
    </row>
    <row r="47" spans="1:76" ht="15" customHeight="1">
      <c r="A47" s="13"/>
      <c r="B47" s="93" t="s">
        <v>256</v>
      </c>
      <c r="C47" s="94" t="s">
        <v>109</v>
      </c>
      <c r="D47" s="89" t="s">
        <v>117</v>
      </c>
      <c r="E47" s="90">
        <v>1.33</v>
      </c>
      <c r="F47" s="66" t="s">
        <v>44</v>
      </c>
      <c r="G47" s="67">
        <v>0.214</v>
      </c>
      <c r="H47" s="92" t="str">
        <f>IF(OOC!S47=0,"",OOC!S47)</f>
        <v/>
      </c>
      <c r="I47" s="92" t="str">
        <f>IF(OOC!T47=0,"",OOC!T47)</f>
        <v/>
      </c>
      <c r="J47" s="68" t="s">
        <v>12</v>
      </c>
      <c r="K47" s="69" t="s">
        <v>80</v>
      </c>
      <c r="L47" s="70" t="e">
        <f t="shared" si="0"/>
        <v>#VALUE!</v>
      </c>
      <c r="M47" s="70" t="e">
        <f t="shared" si="1"/>
        <v>#VALUE!</v>
      </c>
      <c r="N47" s="71"/>
      <c r="O47" s="2" t="e">
        <f t="shared" si="2"/>
        <v>#REF!</v>
      </c>
      <c r="P47" s="2" t="e">
        <f t="shared" si="3"/>
        <v>#REF!</v>
      </c>
      <c r="Q47" s="2" t="e">
        <f t="shared" si="4"/>
        <v>#REF!</v>
      </c>
      <c r="R47" s="3" t="e">
        <f t="shared" si="5"/>
        <v>#REF!</v>
      </c>
      <c r="S47" s="4" t="e">
        <f t="shared" si="10"/>
        <v>#REF!</v>
      </c>
      <c r="T47" s="84" t="e">
        <f t="shared" si="11"/>
        <v>#REF!</v>
      </c>
      <c r="U47" s="85" t="e">
        <f t="shared" si="12"/>
        <v>#REF!</v>
      </c>
      <c r="V47" s="4" t="e">
        <f t="shared" si="6"/>
        <v>#REF!</v>
      </c>
      <c r="W47" s="4" t="e">
        <f t="shared" si="7"/>
        <v>#REF!</v>
      </c>
      <c r="X47" s="4" t="e">
        <f t="shared" si="8"/>
        <v>#REF!</v>
      </c>
      <c r="Y47" s="62" t="e">
        <f t="shared" si="9"/>
        <v>#REF!</v>
      </c>
      <c r="Z47" s="22"/>
      <c r="AA47" s="22"/>
      <c r="AB47" s="22"/>
      <c r="AC47" s="22"/>
      <c r="AD47" s="19"/>
      <c r="AE47" s="14"/>
      <c r="AF47" s="74"/>
      <c r="AG47" s="49"/>
      <c r="AH47" s="49"/>
      <c r="AI47" s="50"/>
      <c r="AJ47" s="15"/>
      <c r="AK47" s="77" t="e">
        <f>#REF!</f>
        <v>#REF!</v>
      </c>
      <c r="AL47" s="77" t="e">
        <f>#REF!</f>
        <v>#REF!</v>
      </c>
      <c r="AM47" s="77" t="e">
        <f>#REF!</f>
        <v>#REF!</v>
      </c>
      <c r="AN47" s="77" t="e">
        <f>#REF!</f>
        <v>#REF!</v>
      </c>
      <c r="AO47" s="77" t="e">
        <f>#REF!</f>
        <v>#REF!</v>
      </c>
      <c r="AP47" s="77" t="e">
        <f>#REF!</f>
        <v>#REF!</v>
      </c>
      <c r="AQ47" s="77" t="e">
        <f>#REF!</f>
        <v>#REF!</v>
      </c>
      <c r="AR47" s="77" t="e">
        <f>#REF!</f>
        <v>#REF!</v>
      </c>
      <c r="AS47" s="77" t="e">
        <f>#REF!</f>
        <v>#REF!</v>
      </c>
      <c r="AT47" s="77" t="e">
        <f>#REF!</f>
        <v>#REF!</v>
      </c>
      <c r="AU47" s="77" t="e">
        <f>#REF!</f>
        <v>#REF!</v>
      </c>
      <c r="AV47" s="77" t="e">
        <f>#REF!</f>
        <v>#REF!</v>
      </c>
      <c r="AW47" s="77" t="e">
        <f>#REF!</f>
        <v>#REF!</v>
      </c>
      <c r="AX47" s="77" t="e">
        <f>#REF!</f>
        <v>#REF!</v>
      </c>
      <c r="AY47" s="77" t="e">
        <f>#REF!</f>
        <v>#REF!</v>
      </c>
      <c r="AZ47" s="77" t="e">
        <f>#REF!</f>
        <v>#REF!</v>
      </c>
      <c r="BA47" s="77" t="e">
        <f>#REF!</f>
        <v>#REF!</v>
      </c>
      <c r="BB47" s="77" t="e">
        <f>#REF!</f>
        <v>#REF!</v>
      </c>
      <c r="BC47" s="77" t="e">
        <f>#REF!</f>
        <v>#REF!</v>
      </c>
      <c r="BD47" s="77" t="e">
        <f>#REF!</f>
        <v>#REF!</v>
      </c>
      <c r="BE47" s="77" t="e">
        <f>#REF!</f>
        <v>#REF!</v>
      </c>
      <c r="BF47" s="77" t="e">
        <f>#REF!</f>
        <v>#REF!</v>
      </c>
      <c r="BG47" s="77" t="e">
        <f>#REF!</f>
        <v>#REF!</v>
      </c>
      <c r="BH47" s="77" t="e">
        <f>#REF!</f>
        <v>#REF!</v>
      </c>
      <c r="BI47" s="77" t="e">
        <f>#REF!</f>
        <v>#REF!</v>
      </c>
      <c r="BJ47" s="77" t="e">
        <f>#REF!</f>
        <v>#REF!</v>
      </c>
      <c r="BK47" s="77" t="e">
        <f>#REF!</f>
        <v>#REF!</v>
      </c>
      <c r="BL47" s="77" t="e">
        <f>#REF!</f>
        <v>#REF!</v>
      </c>
      <c r="BM47" s="77" t="e">
        <f>#REF!</f>
        <v>#REF!</v>
      </c>
      <c r="BN47" s="77" t="e">
        <f>#REF!</f>
        <v>#REF!</v>
      </c>
      <c r="BO47" s="77" t="e">
        <f>#REF!</f>
        <v>#REF!</v>
      </c>
      <c r="BP47" s="77" t="e">
        <f>#REF!</f>
        <v>#REF!</v>
      </c>
      <c r="BR47" s="123" t="str">
        <f t="shared" si="13"/>
        <v>FAI24</v>
      </c>
      <c r="BS47" s="120">
        <f>OOC!G47</f>
        <v>0.23399999999999999</v>
      </c>
      <c r="BT47" s="120">
        <f>OOC!H47</f>
        <v>0.19400000000000001</v>
      </c>
      <c r="BU47" s="2" t="e">
        <f t="shared" si="14"/>
        <v>#REF!</v>
      </c>
      <c r="BV47" s="2" t="e">
        <f t="shared" si="15"/>
        <v>#REF!</v>
      </c>
      <c r="BW47" s="2" t="e">
        <f t="shared" si="16"/>
        <v>#REF!</v>
      </c>
      <c r="BX47" s="121" t="e">
        <f>IF(AND(IF(OOC!G47="",0,OOC!G47) &gt;= IF(O47="",0,O47), IF(O47="",0,O47) &gt; IF(L47="",0,L47)), "OOC",
IF(AND(IF(M47="",0,M47) &gt; IF(P47="",0,P47), IF(P47="",0,P47) &gt;= IF(OOC!H47="",0,OOC!H47)), "OOC",
IF(IF(O47="",0,O47) &gt; IF(OOC!G47="",0,OOC!G47), "OOS",
IF(IF(OOC!H47="",0,OOC!H47) &gt; IF(P47="",0,P47), "OOS", "OK"))))</f>
        <v>#REF!</v>
      </c>
    </row>
    <row r="48" spans="1:76" ht="15" customHeight="1">
      <c r="A48" s="13"/>
      <c r="B48" s="88"/>
      <c r="C48" s="78" t="s">
        <v>147</v>
      </c>
      <c r="D48" s="89" t="s">
        <v>117</v>
      </c>
      <c r="E48" s="90"/>
      <c r="F48" s="66" t="s">
        <v>44</v>
      </c>
      <c r="G48" s="91">
        <v>1.29</v>
      </c>
      <c r="H48" s="92" t="str">
        <f>IF(OOC!S48=0,"",OOC!S48)</f>
        <v/>
      </c>
      <c r="I48" s="92" t="str">
        <f>IF(OOC!T48=0,"",OOC!T48)</f>
        <v/>
      </c>
      <c r="J48" s="68" t="s">
        <v>12</v>
      </c>
      <c r="K48" s="69" t="s">
        <v>80</v>
      </c>
      <c r="L48" s="70" t="e">
        <f t="shared" si="0"/>
        <v>#VALUE!</v>
      </c>
      <c r="M48" s="70" t="e">
        <f t="shared" si="1"/>
        <v>#VALUE!</v>
      </c>
      <c r="N48" s="71"/>
      <c r="O48" s="2" t="e">
        <f t="shared" si="2"/>
        <v>#REF!</v>
      </c>
      <c r="P48" s="2" t="e">
        <f t="shared" si="3"/>
        <v>#REF!</v>
      </c>
      <c r="Q48" s="2" t="e">
        <f t="shared" si="4"/>
        <v>#REF!</v>
      </c>
      <c r="R48" s="3" t="e">
        <f t="shared" si="5"/>
        <v>#REF!</v>
      </c>
      <c r="S48" s="4" t="e">
        <f t="shared" si="10"/>
        <v>#REF!</v>
      </c>
      <c r="T48" s="84" t="e">
        <f t="shared" si="11"/>
        <v>#REF!</v>
      </c>
      <c r="U48" s="85" t="e">
        <f t="shared" si="12"/>
        <v>#REF!</v>
      </c>
      <c r="V48" s="4" t="e">
        <f t="shared" si="6"/>
        <v>#REF!</v>
      </c>
      <c r="W48" s="4" t="e">
        <f t="shared" si="7"/>
        <v>#REF!</v>
      </c>
      <c r="X48" s="4" t="e">
        <f t="shared" si="8"/>
        <v>#REF!</v>
      </c>
      <c r="Y48" s="62" t="e">
        <f t="shared" si="9"/>
        <v>#REF!</v>
      </c>
      <c r="Z48" s="22"/>
      <c r="AA48" s="22"/>
      <c r="AB48" s="22"/>
      <c r="AC48" s="22"/>
      <c r="AD48" s="19"/>
      <c r="AE48" s="14"/>
      <c r="AF48" s="74"/>
      <c r="AG48" s="49"/>
      <c r="AH48" s="49"/>
      <c r="AI48" s="50"/>
      <c r="AJ48" s="15"/>
      <c r="AK48" s="77" t="e">
        <f>#REF!</f>
        <v>#REF!</v>
      </c>
      <c r="AL48" s="77" t="e">
        <f>#REF!</f>
        <v>#REF!</v>
      </c>
      <c r="AM48" s="77" t="e">
        <f>#REF!</f>
        <v>#REF!</v>
      </c>
      <c r="AN48" s="77"/>
      <c r="AO48" s="77"/>
      <c r="AP48" s="77"/>
      <c r="AQ48" s="77"/>
      <c r="AR48" s="77"/>
      <c r="AS48" s="77"/>
      <c r="AT48" s="77"/>
      <c r="AU48" s="77"/>
      <c r="AV48" s="77"/>
      <c r="AW48" s="77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77"/>
      <c r="BN48" s="77"/>
      <c r="BO48" s="77"/>
      <c r="BP48" s="77"/>
      <c r="BR48" s="123" t="str">
        <f t="shared" si="13"/>
        <v>FAI25A-1</v>
      </c>
      <c r="BS48" s="120">
        <f>OOC!G48</f>
        <v>1.32</v>
      </c>
      <c r="BT48" s="120">
        <f>OOC!H48</f>
        <v>1.26</v>
      </c>
      <c r="BU48" s="2" t="e">
        <f t="shared" si="14"/>
        <v>#REF!</v>
      </c>
      <c r="BV48" s="2" t="e">
        <f t="shared" si="15"/>
        <v>#REF!</v>
      </c>
      <c r="BW48" s="2" t="e">
        <f t="shared" si="16"/>
        <v>#REF!</v>
      </c>
      <c r="BX48" s="121" t="e">
        <f>IF(AND(IF(OOC!G48="",0,OOC!G48) &gt;= IF(O48="",0,O48), IF(O48="",0,O48) &gt; IF(L48="",0,L48)), "OOC",
IF(AND(IF(M48="",0,M48) &gt; IF(P48="",0,P48), IF(P48="",0,P48) &gt;= IF(OOC!H48="",0,OOC!H48)), "OOC",
IF(IF(O48="",0,O48) &gt; IF(OOC!G48="",0,OOC!G48), "OOS",
IF(IF(OOC!H48="",0,OOC!H48) &gt; IF(P48="",0,P48), "OOS", "OK"))))</f>
        <v>#REF!</v>
      </c>
    </row>
    <row r="49" spans="1:76" ht="15" customHeight="1">
      <c r="A49" s="13"/>
      <c r="B49" s="88"/>
      <c r="C49" s="78" t="s">
        <v>148</v>
      </c>
      <c r="D49" s="89" t="s">
        <v>117</v>
      </c>
      <c r="E49" s="90"/>
      <c r="F49" s="66" t="s">
        <v>44</v>
      </c>
      <c r="G49" s="91">
        <v>1.29</v>
      </c>
      <c r="H49" s="92" t="str">
        <f>IF(OOC!S49=0,"",OOC!S49)</f>
        <v/>
      </c>
      <c r="I49" s="92" t="str">
        <f>IF(OOC!T49=0,"",OOC!T49)</f>
        <v/>
      </c>
      <c r="J49" s="68" t="s">
        <v>12</v>
      </c>
      <c r="K49" s="69" t="s">
        <v>80</v>
      </c>
      <c r="L49" s="70" t="e">
        <f t="shared" si="0"/>
        <v>#VALUE!</v>
      </c>
      <c r="M49" s="70" t="e">
        <f t="shared" si="1"/>
        <v>#VALUE!</v>
      </c>
      <c r="N49" s="71"/>
      <c r="O49" s="2" t="e">
        <f t="shared" si="2"/>
        <v>#REF!</v>
      </c>
      <c r="P49" s="2" t="e">
        <f t="shared" si="3"/>
        <v>#REF!</v>
      </c>
      <c r="Q49" s="2" t="e">
        <f t="shared" si="4"/>
        <v>#REF!</v>
      </c>
      <c r="R49" s="3" t="e">
        <f t="shared" si="5"/>
        <v>#REF!</v>
      </c>
      <c r="S49" s="4" t="e">
        <f t="shared" si="10"/>
        <v>#REF!</v>
      </c>
      <c r="T49" s="84" t="e">
        <f t="shared" si="11"/>
        <v>#REF!</v>
      </c>
      <c r="U49" s="85" t="e">
        <f t="shared" si="12"/>
        <v>#REF!</v>
      </c>
      <c r="V49" s="4" t="e">
        <f t="shared" si="6"/>
        <v>#REF!</v>
      </c>
      <c r="W49" s="4" t="e">
        <f t="shared" si="7"/>
        <v>#REF!</v>
      </c>
      <c r="X49" s="4" t="e">
        <f t="shared" si="8"/>
        <v>#REF!</v>
      </c>
      <c r="Y49" s="62" t="e">
        <f t="shared" si="9"/>
        <v>#REF!</v>
      </c>
      <c r="Z49" s="22"/>
      <c r="AA49" s="22"/>
      <c r="AB49" s="22"/>
      <c r="AC49" s="22"/>
      <c r="AD49" s="19"/>
      <c r="AE49" s="14"/>
      <c r="AF49" s="74"/>
      <c r="AG49" s="49"/>
      <c r="AH49" s="49"/>
      <c r="AI49" s="50"/>
      <c r="AJ49" s="15"/>
      <c r="AK49" s="77" t="e">
        <f>#REF!</f>
        <v>#REF!</v>
      </c>
      <c r="AL49" s="77" t="e">
        <f>#REF!</f>
        <v>#REF!</v>
      </c>
      <c r="AM49" s="77" t="e">
        <f>#REF!</f>
        <v>#REF!</v>
      </c>
      <c r="AN49" s="77"/>
      <c r="AO49" s="77"/>
      <c r="AP49" s="77"/>
      <c r="AQ49" s="77"/>
      <c r="AR49" s="77"/>
      <c r="AS49" s="77"/>
      <c r="AT49" s="77"/>
      <c r="AU49" s="77"/>
      <c r="AV49" s="77"/>
      <c r="AW49" s="77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77"/>
      <c r="BM49" s="77"/>
      <c r="BN49" s="77"/>
      <c r="BO49" s="77"/>
      <c r="BP49" s="77"/>
      <c r="BR49" s="123" t="str">
        <f t="shared" si="13"/>
        <v>FAI25A-2</v>
      </c>
      <c r="BS49" s="120">
        <f>OOC!G49</f>
        <v>1.32</v>
      </c>
      <c r="BT49" s="120">
        <f>OOC!H49</f>
        <v>1.26</v>
      </c>
      <c r="BU49" s="2" t="e">
        <f t="shared" si="14"/>
        <v>#REF!</v>
      </c>
      <c r="BV49" s="2" t="e">
        <f t="shared" si="15"/>
        <v>#REF!</v>
      </c>
      <c r="BW49" s="2" t="e">
        <f t="shared" si="16"/>
        <v>#REF!</v>
      </c>
      <c r="BX49" s="121" t="e">
        <f>IF(AND(IF(OOC!G49="",0,OOC!G49) &gt;= IF(O49="",0,O49), IF(O49="",0,O49) &gt; IF(L49="",0,L49)), "OOC",
IF(AND(IF(M49="",0,M49) &gt; IF(P49="",0,P49), IF(P49="",0,P49) &gt;= IF(OOC!H49="",0,OOC!H49)), "OOC",
IF(IF(O49="",0,O49) &gt; IF(OOC!G49="",0,OOC!G49), "OOS",
IF(IF(OOC!H49="",0,OOC!H49) &gt; IF(P49="",0,P49), "OOS", "OK"))))</f>
        <v>#REF!</v>
      </c>
    </row>
    <row r="50" spans="1:76" ht="15" customHeight="1">
      <c r="A50" s="13"/>
      <c r="B50" s="88"/>
      <c r="C50" s="78" t="s">
        <v>149</v>
      </c>
      <c r="D50" s="89" t="s">
        <v>117</v>
      </c>
      <c r="E50" s="90"/>
      <c r="F50" s="66" t="s">
        <v>44</v>
      </c>
      <c r="G50" s="91">
        <v>1.29</v>
      </c>
      <c r="H50" s="92" t="str">
        <f>IF(OOC!S50=0,"",OOC!S50)</f>
        <v/>
      </c>
      <c r="I50" s="92" t="str">
        <f>IF(OOC!T50=0,"",OOC!T50)</f>
        <v/>
      </c>
      <c r="J50" s="68" t="s">
        <v>12</v>
      </c>
      <c r="K50" s="69" t="s">
        <v>80</v>
      </c>
      <c r="L50" s="70" t="e">
        <f t="shared" si="0"/>
        <v>#VALUE!</v>
      </c>
      <c r="M50" s="70" t="e">
        <f t="shared" si="1"/>
        <v>#VALUE!</v>
      </c>
      <c r="N50" s="71"/>
      <c r="O50" s="2" t="e">
        <f t="shared" si="2"/>
        <v>#REF!</v>
      </c>
      <c r="P50" s="2" t="e">
        <f t="shared" si="3"/>
        <v>#REF!</v>
      </c>
      <c r="Q50" s="2" t="e">
        <f t="shared" si="4"/>
        <v>#REF!</v>
      </c>
      <c r="R50" s="3" t="e">
        <f t="shared" si="5"/>
        <v>#REF!</v>
      </c>
      <c r="S50" s="4" t="e">
        <f t="shared" si="10"/>
        <v>#REF!</v>
      </c>
      <c r="T50" s="84" t="e">
        <f t="shared" si="11"/>
        <v>#REF!</v>
      </c>
      <c r="U50" s="85" t="e">
        <f t="shared" si="12"/>
        <v>#REF!</v>
      </c>
      <c r="V50" s="4" t="e">
        <f t="shared" si="6"/>
        <v>#REF!</v>
      </c>
      <c r="W50" s="4" t="e">
        <f t="shared" si="7"/>
        <v>#REF!</v>
      </c>
      <c r="X50" s="4" t="e">
        <f t="shared" si="8"/>
        <v>#REF!</v>
      </c>
      <c r="Y50" s="62" t="e">
        <f t="shared" si="9"/>
        <v>#REF!</v>
      </c>
      <c r="Z50" s="22"/>
      <c r="AA50" s="22"/>
      <c r="AB50" s="22"/>
      <c r="AC50" s="22"/>
      <c r="AD50" s="19"/>
      <c r="AE50" s="14"/>
      <c r="AF50" s="74"/>
      <c r="AG50" s="49"/>
      <c r="AH50" s="49"/>
      <c r="AI50" s="50"/>
      <c r="AJ50" s="15"/>
      <c r="AK50" s="77" t="e">
        <f>#REF!</f>
        <v>#REF!</v>
      </c>
      <c r="AL50" s="77" t="e">
        <f>#REF!</f>
        <v>#REF!</v>
      </c>
      <c r="AM50" s="77" t="e">
        <f>#REF!</f>
        <v>#REF!</v>
      </c>
      <c r="AN50" s="77"/>
      <c r="AO50" s="77"/>
      <c r="AP50" s="77"/>
      <c r="AQ50" s="77"/>
      <c r="AR50" s="77"/>
      <c r="AS50" s="77"/>
      <c r="AT50" s="77"/>
      <c r="AU50" s="77"/>
      <c r="AV50" s="77"/>
      <c r="AW50" s="77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77"/>
      <c r="BM50" s="77"/>
      <c r="BN50" s="77"/>
      <c r="BO50" s="77"/>
      <c r="BP50" s="77"/>
      <c r="BR50" s="123" t="str">
        <f t="shared" si="13"/>
        <v>FAI25A-3</v>
      </c>
      <c r="BS50" s="120">
        <f>OOC!G50</f>
        <v>1.32</v>
      </c>
      <c r="BT50" s="120">
        <f>OOC!H50</f>
        <v>1.26</v>
      </c>
      <c r="BU50" s="2" t="e">
        <f t="shared" si="14"/>
        <v>#REF!</v>
      </c>
      <c r="BV50" s="2" t="e">
        <f t="shared" si="15"/>
        <v>#REF!</v>
      </c>
      <c r="BW50" s="2" t="e">
        <f t="shared" si="16"/>
        <v>#REF!</v>
      </c>
      <c r="BX50" s="121" t="e">
        <f>IF(AND(IF(OOC!G50="",0,OOC!G50) &gt;= IF(O50="",0,O50), IF(O50="",0,O50) &gt; IF(L50="",0,L50)), "OOC",
IF(AND(IF(M50="",0,M50) &gt; IF(P50="",0,P50), IF(P50="",0,P50) &gt;= IF(OOC!H50="",0,OOC!H50)), "OOC",
IF(IF(O50="",0,O50) &gt; IF(OOC!G50="",0,OOC!G50), "OOS",
IF(IF(OOC!H50="",0,OOC!H50) &gt; IF(P50="",0,P50), "OOS", "OK"))))</f>
        <v>#REF!</v>
      </c>
    </row>
    <row r="51" spans="1:76" ht="15" customHeight="1">
      <c r="A51" s="13"/>
      <c r="B51" s="88" t="s">
        <v>162</v>
      </c>
      <c r="C51" s="78" t="s">
        <v>144</v>
      </c>
      <c r="D51" s="89" t="s">
        <v>117</v>
      </c>
      <c r="E51" s="90"/>
      <c r="F51" s="66" t="s">
        <v>44</v>
      </c>
      <c r="G51" s="91">
        <v>1.29</v>
      </c>
      <c r="H51" s="92">
        <f>IF(OOC!S51=0,"",OOC!S51)</f>
        <v>0.03</v>
      </c>
      <c r="I51" s="92">
        <f>IF(OOC!T51=0,"",OOC!T51)</f>
        <v>-0.03</v>
      </c>
      <c r="J51" s="68" t="s">
        <v>12</v>
      </c>
      <c r="K51" s="69" t="s">
        <v>80</v>
      </c>
      <c r="L51" s="70">
        <f t="shared" si="0"/>
        <v>1.32</v>
      </c>
      <c r="M51" s="70">
        <f t="shared" si="1"/>
        <v>1.26</v>
      </c>
      <c r="N51" s="71"/>
      <c r="O51" s="2" t="e">
        <f t="shared" si="2"/>
        <v>#REF!</v>
      </c>
      <c r="P51" s="2" t="e">
        <f t="shared" si="3"/>
        <v>#REF!</v>
      </c>
      <c r="Q51" s="2" t="e">
        <f t="shared" si="4"/>
        <v>#REF!</v>
      </c>
      <c r="R51" s="3" t="e">
        <f t="shared" si="5"/>
        <v>#REF!</v>
      </c>
      <c r="S51" s="4" t="e">
        <f t="shared" si="10"/>
        <v>#REF!</v>
      </c>
      <c r="T51" s="84" t="e">
        <f t="shared" si="11"/>
        <v>#REF!</v>
      </c>
      <c r="U51" s="85" t="e">
        <f t="shared" si="12"/>
        <v>#REF!</v>
      </c>
      <c r="V51" s="4" t="e">
        <f t="shared" si="6"/>
        <v>#REF!</v>
      </c>
      <c r="W51" s="4" t="e">
        <f t="shared" si="7"/>
        <v>#REF!</v>
      </c>
      <c r="X51" s="4" t="e">
        <f t="shared" si="8"/>
        <v>#REF!</v>
      </c>
      <c r="Y51" s="62" t="e">
        <f t="shared" si="9"/>
        <v>#REF!</v>
      </c>
      <c r="Z51" s="22"/>
      <c r="AA51" s="22"/>
      <c r="AB51" s="22"/>
      <c r="AC51" s="22"/>
      <c r="AD51" s="19"/>
      <c r="AE51" s="14"/>
      <c r="AF51" s="74"/>
      <c r="AG51" s="49"/>
      <c r="AH51" s="49"/>
      <c r="AI51" s="50"/>
      <c r="AJ51" s="15"/>
      <c r="AK51" s="77" t="e">
        <f>#REF!</f>
        <v>#REF!</v>
      </c>
      <c r="AL51" s="77" t="e">
        <f>#REF!</f>
        <v>#REF!</v>
      </c>
      <c r="AM51" s="77" t="e">
        <f>#REF!</f>
        <v>#REF!</v>
      </c>
      <c r="AN51" s="77" t="e">
        <f>#REF!</f>
        <v>#REF!</v>
      </c>
      <c r="AO51" s="77" t="e">
        <f>#REF!</f>
        <v>#REF!</v>
      </c>
      <c r="AP51" s="77" t="e">
        <f>#REF!</f>
        <v>#REF!</v>
      </c>
      <c r="AQ51" s="77" t="e">
        <f>#REF!</f>
        <v>#REF!</v>
      </c>
      <c r="AR51" s="77" t="e">
        <f>#REF!</f>
        <v>#REF!</v>
      </c>
      <c r="AS51" s="77" t="e">
        <f>#REF!</f>
        <v>#REF!</v>
      </c>
      <c r="AT51" s="77" t="e">
        <f>#REF!</f>
        <v>#REF!</v>
      </c>
      <c r="AU51" s="77" t="e">
        <f>#REF!</f>
        <v>#REF!</v>
      </c>
      <c r="AV51" s="77" t="e">
        <f>#REF!</f>
        <v>#REF!</v>
      </c>
      <c r="AW51" s="77" t="e">
        <f>#REF!</f>
        <v>#REF!</v>
      </c>
      <c r="AX51" s="77" t="e">
        <f>#REF!</f>
        <v>#REF!</v>
      </c>
      <c r="AY51" s="77" t="e">
        <f>#REF!</f>
        <v>#REF!</v>
      </c>
      <c r="AZ51" s="77" t="e">
        <f>#REF!</f>
        <v>#REF!</v>
      </c>
      <c r="BA51" s="77" t="e">
        <f>#REF!</f>
        <v>#REF!</v>
      </c>
      <c r="BB51" s="77" t="e">
        <f>#REF!</f>
        <v>#REF!</v>
      </c>
      <c r="BC51" s="77" t="e">
        <f>#REF!</f>
        <v>#REF!</v>
      </c>
      <c r="BD51" s="77" t="e">
        <f>#REF!</f>
        <v>#REF!</v>
      </c>
      <c r="BE51" s="77" t="e">
        <f>#REF!</f>
        <v>#REF!</v>
      </c>
      <c r="BF51" s="77" t="e">
        <f>#REF!</f>
        <v>#REF!</v>
      </c>
      <c r="BG51" s="77" t="e">
        <f>#REF!</f>
        <v>#REF!</v>
      </c>
      <c r="BH51" s="77" t="e">
        <f>#REF!</f>
        <v>#REF!</v>
      </c>
      <c r="BI51" s="77" t="e">
        <f>#REF!</f>
        <v>#REF!</v>
      </c>
      <c r="BJ51" s="77" t="e">
        <f>#REF!</f>
        <v>#REF!</v>
      </c>
      <c r="BK51" s="77" t="e">
        <f>#REF!</f>
        <v>#REF!</v>
      </c>
      <c r="BL51" s="77" t="e">
        <f>#REF!</f>
        <v>#REF!</v>
      </c>
      <c r="BM51" s="77" t="e">
        <f>#REF!</f>
        <v>#REF!</v>
      </c>
      <c r="BN51" s="77" t="e">
        <f>#REF!</f>
        <v>#REF!</v>
      </c>
      <c r="BO51" s="77" t="e">
        <f>#REF!</f>
        <v>#REF!</v>
      </c>
      <c r="BP51" s="77" t="e">
        <f>#REF!</f>
        <v>#REF!</v>
      </c>
      <c r="BR51" s="123" t="str">
        <f t="shared" si="13"/>
        <v>FAI25B-1(DC)</v>
      </c>
      <c r="BS51" s="120">
        <f>OOC!G51</f>
        <v>1.32</v>
      </c>
      <c r="BT51" s="120">
        <f>OOC!H51</f>
        <v>1.26</v>
      </c>
      <c r="BU51" s="2" t="e">
        <f t="shared" si="14"/>
        <v>#REF!</v>
      </c>
      <c r="BV51" s="2" t="e">
        <f t="shared" si="15"/>
        <v>#REF!</v>
      </c>
      <c r="BW51" s="2" t="e">
        <f t="shared" si="16"/>
        <v>#REF!</v>
      </c>
      <c r="BX51" s="121"/>
    </row>
    <row r="52" spans="1:76" ht="15" customHeight="1">
      <c r="A52" s="13"/>
      <c r="B52" s="88" t="s">
        <v>162</v>
      </c>
      <c r="C52" s="78" t="s">
        <v>145</v>
      </c>
      <c r="D52" s="89" t="s">
        <v>117</v>
      </c>
      <c r="E52" s="90"/>
      <c r="F52" s="66" t="s">
        <v>44</v>
      </c>
      <c r="G52" s="91">
        <v>1.29</v>
      </c>
      <c r="H52" s="92">
        <f>IF(OOC!S52=0,"",OOC!S52)</f>
        <v>0.03</v>
      </c>
      <c r="I52" s="92">
        <f>IF(OOC!T52=0,"",OOC!T52)</f>
        <v>-0.03</v>
      </c>
      <c r="J52" s="68" t="s">
        <v>12</v>
      </c>
      <c r="K52" s="69" t="s">
        <v>80</v>
      </c>
      <c r="L52" s="70">
        <f t="shared" si="0"/>
        <v>1.32</v>
      </c>
      <c r="M52" s="70">
        <f t="shared" si="1"/>
        <v>1.26</v>
      </c>
      <c r="N52" s="71"/>
      <c r="O52" s="2" t="e">
        <f t="shared" si="2"/>
        <v>#REF!</v>
      </c>
      <c r="P52" s="2" t="e">
        <f t="shared" si="3"/>
        <v>#REF!</v>
      </c>
      <c r="Q52" s="2" t="e">
        <f t="shared" si="4"/>
        <v>#REF!</v>
      </c>
      <c r="R52" s="3" t="e">
        <f t="shared" si="5"/>
        <v>#REF!</v>
      </c>
      <c r="S52" s="4" t="e">
        <f t="shared" si="10"/>
        <v>#REF!</v>
      </c>
      <c r="T52" s="84" t="e">
        <f t="shared" si="11"/>
        <v>#REF!</v>
      </c>
      <c r="U52" s="85" t="e">
        <f t="shared" si="12"/>
        <v>#REF!</v>
      </c>
      <c r="V52" s="4" t="e">
        <f t="shared" si="6"/>
        <v>#REF!</v>
      </c>
      <c r="W52" s="4" t="e">
        <f t="shared" si="7"/>
        <v>#REF!</v>
      </c>
      <c r="X52" s="4" t="e">
        <f t="shared" si="8"/>
        <v>#REF!</v>
      </c>
      <c r="Y52" s="62" t="e">
        <f t="shared" si="9"/>
        <v>#REF!</v>
      </c>
      <c r="Z52" s="22"/>
      <c r="AA52" s="22"/>
      <c r="AB52" s="22"/>
      <c r="AC52" s="22"/>
      <c r="AD52" s="19"/>
      <c r="AE52" s="14"/>
      <c r="AF52" s="74"/>
      <c r="AG52" s="49"/>
      <c r="AH52" s="49"/>
      <c r="AI52" s="50"/>
      <c r="AJ52" s="15"/>
      <c r="AK52" s="77" t="e">
        <f>#REF!</f>
        <v>#REF!</v>
      </c>
      <c r="AL52" s="77" t="e">
        <f>#REF!</f>
        <v>#REF!</v>
      </c>
      <c r="AM52" s="77" t="e">
        <f>#REF!</f>
        <v>#REF!</v>
      </c>
      <c r="AN52" s="77" t="e">
        <f>#REF!</f>
        <v>#REF!</v>
      </c>
      <c r="AO52" s="77" t="e">
        <f>#REF!</f>
        <v>#REF!</v>
      </c>
      <c r="AP52" s="77" t="e">
        <f>#REF!</f>
        <v>#REF!</v>
      </c>
      <c r="AQ52" s="77" t="e">
        <f>#REF!</f>
        <v>#REF!</v>
      </c>
      <c r="AR52" s="77" t="e">
        <f>#REF!</f>
        <v>#REF!</v>
      </c>
      <c r="AS52" s="77" t="e">
        <f>#REF!</f>
        <v>#REF!</v>
      </c>
      <c r="AT52" s="77" t="e">
        <f>#REF!</f>
        <v>#REF!</v>
      </c>
      <c r="AU52" s="77" t="e">
        <f>#REF!</f>
        <v>#REF!</v>
      </c>
      <c r="AV52" s="77" t="e">
        <f>#REF!</f>
        <v>#REF!</v>
      </c>
      <c r="AW52" s="77" t="e">
        <f>#REF!</f>
        <v>#REF!</v>
      </c>
      <c r="AX52" s="77" t="e">
        <f>#REF!</f>
        <v>#REF!</v>
      </c>
      <c r="AY52" s="77" t="e">
        <f>#REF!</f>
        <v>#REF!</v>
      </c>
      <c r="AZ52" s="77" t="e">
        <f>#REF!</f>
        <v>#REF!</v>
      </c>
      <c r="BA52" s="77" t="e">
        <f>#REF!</f>
        <v>#REF!</v>
      </c>
      <c r="BB52" s="77" t="e">
        <f>#REF!</f>
        <v>#REF!</v>
      </c>
      <c r="BC52" s="77" t="e">
        <f>#REF!</f>
        <v>#REF!</v>
      </c>
      <c r="BD52" s="77" t="e">
        <f>#REF!</f>
        <v>#REF!</v>
      </c>
      <c r="BE52" s="77" t="e">
        <f>#REF!</f>
        <v>#REF!</v>
      </c>
      <c r="BF52" s="77" t="e">
        <f>#REF!</f>
        <v>#REF!</v>
      </c>
      <c r="BG52" s="77" t="e">
        <f>#REF!</f>
        <v>#REF!</v>
      </c>
      <c r="BH52" s="77" t="e">
        <f>#REF!</f>
        <v>#REF!</v>
      </c>
      <c r="BI52" s="77" t="e">
        <f>#REF!</f>
        <v>#REF!</v>
      </c>
      <c r="BJ52" s="77" t="e">
        <f>#REF!</f>
        <v>#REF!</v>
      </c>
      <c r="BK52" s="77" t="e">
        <f>#REF!</f>
        <v>#REF!</v>
      </c>
      <c r="BL52" s="77" t="e">
        <f>#REF!</f>
        <v>#REF!</v>
      </c>
      <c r="BM52" s="77" t="e">
        <f>#REF!</f>
        <v>#REF!</v>
      </c>
      <c r="BN52" s="77" t="e">
        <f>#REF!</f>
        <v>#REF!</v>
      </c>
      <c r="BO52" s="77" t="e">
        <f>#REF!</f>
        <v>#REF!</v>
      </c>
      <c r="BP52" s="77" t="e">
        <f>#REF!</f>
        <v>#REF!</v>
      </c>
      <c r="BR52" s="123" t="str">
        <f t="shared" si="13"/>
        <v>FAI25B-2(DC)</v>
      </c>
      <c r="BS52" s="120">
        <f>OOC!G52</f>
        <v>1.32</v>
      </c>
      <c r="BT52" s="120">
        <f>OOC!H52</f>
        <v>1.26</v>
      </c>
      <c r="BU52" s="2" t="e">
        <f t="shared" si="14"/>
        <v>#REF!</v>
      </c>
      <c r="BV52" s="2" t="e">
        <f t="shared" si="15"/>
        <v>#REF!</v>
      </c>
      <c r="BW52" s="2" t="e">
        <f t="shared" si="16"/>
        <v>#REF!</v>
      </c>
      <c r="BX52" s="121"/>
    </row>
    <row r="53" spans="1:76" ht="15" customHeight="1">
      <c r="A53" s="13"/>
      <c r="B53" s="88" t="s">
        <v>162</v>
      </c>
      <c r="C53" s="78" t="s">
        <v>146</v>
      </c>
      <c r="D53" s="89" t="s">
        <v>117</v>
      </c>
      <c r="E53" s="90"/>
      <c r="F53" s="66" t="s">
        <v>44</v>
      </c>
      <c r="G53" s="91">
        <v>1.29</v>
      </c>
      <c r="H53" s="92">
        <f>IF(OOC!S53=0,"",OOC!S53)</f>
        <v>0.03</v>
      </c>
      <c r="I53" s="92">
        <f>IF(OOC!T53=0,"",OOC!T53)</f>
        <v>-0.03</v>
      </c>
      <c r="J53" s="68" t="s">
        <v>12</v>
      </c>
      <c r="K53" s="69" t="s">
        <v>80</v>
      </c>
      <c r="L53" s="70">
        <f t="shared" si="0"/>
        <v>1.32</v>
      </c>
      <c r="M53" s="70">
        <f t="shared" si="1"/>
        <v>1.26</v>
      </c>
      <c r="N53" s="71"/>
      <c r="O53" s="2" t="e">
        <f t="shared" si="2"/>
        <v>#REF!</v>
      </c>
      <c r="P53" s="2" t="e">
        <f t="shared" si="3"/>
        <v>#REF!</v>
      </c>
      <c r="Q53" s="2" t="e">
        <f t="shared" si="4"/>
        <v>#REF!</v>
      </c>
      <c r="R53" s="3" t="e">
        <f t="shared" si="5"/>
        <v>#REF!</v>
      </c>
      <c r="S53" s="4" t="e">
        <f t="shared" si="10"/>
        <v>#REF!</v>
      </c>
      <c r="T53" s="84" t="e">
        <f t="shared" si="11"/>
        <v>#REF!</v>
      </c>
      <c r="U53" s="85" t="e">
        <f t="shared" si="12"/>
        <v>#REF!</v>
      </c>
      <c r="V53" s="4" t="e">
        <f t="shared" si="6"/>
        <v>#REF!</v>
      </c>
      <c r="W53" s="4" t="e">
        <f t="shared" si="7"/>
        <v>#REF!</v>
      </c>
      <c r="X53" s="4" t="e">
        <f t="shared" si="8"/>
        <v>#REF!</v>
      </c>
      <c r="Y53" s="62" t="e">
        <f t="shared" si="9"/>
        <v>#REF!</v>
      </c>
      <c r="Z53" s="22"/>
      <c r="AA53" s="22"/>
      <c r="AB53" s="22"/>
      <c r="AC53" s="22"/>
      <c r="AD53" s="19"/>
      <c r="AE53" s="14"/>
      <c r="AF53" s="74"/>
      <c r="AG53" s="49"/>
      <c r="AH53" s="49"/>
      <c r="AI53" s="50"/>
      <c r="AJ53" s="15"/>
      <c r="AK53" s="77" t="e">
        <f>#REF!</f>
        <v>#REF!</v>
      </c>
      <c r="AL53" s="77" t="e">
        <f>#REF!</f>
        <v>#REF!</v>
      </c>
      <c r="AM53" s="77" t="e">
        <f>#REF!</f>
        <v>#REF!</v>
      </c>
      <c r="AN53" s="77" t="e">
        <f>#REF!</f>
        <v>#REF!</v>
      </c>
      <c r="AO53" s="77" t="e">
        <f>#REF!</f>
        <v>#REF!</v>
      </c>
      <c r="AP53" s="77" t="e">
        <f>#REF!</f>
        <v>#REF!</v>
      </c>
      <c r="AQ53" s="77" t="e">
        <f>#REF!</f>
        <v>#REF!</v>
      </c>
      <c r="AR53" s="77" t="e">
        <f>#REF!</f>
        <v>#REF!</v>
      </c>
      <c r="AS53" s="77" t="e">
        <f>#REF!</f>
        <v>#REF!</v>
      </c>
      <c r="AT53" s="77" t="e">
        <f>#REF!</f>
        <v>#REF!</v>
      </c>
      <c r="AU53" s="77" t="e">
        <f>#REF!</f>
        <v>#REF!</v>
      </c>
      <c r="AV53" s="77" t="e">
        <f>#REF!</f>
        <v>#REF!</v>
      </c>
      <c r="AW53" s="77" t="e">
        <f>#REF!</f>
        <v>#REF!</v>
      </c>
      <c r="AX53" s="77" t="e">
        <f>#REF!</f>
        <v>#REF!</v>
      </c>
      <c r="AY53" s="77" t="e">
        <f>#REF!</f>
        <v>#REF!</v>
      </c>
      <c r="AZ53" s="77" t="e">
        <f>#REF!</f>
        <v>#REF!</v>
      </c>
      <c r="BA53" s="77" t="e">
        <f>#REF!</f>
        <v>#REF!</v>
      </c>
      <c r="BB53" s="77" t="e">
        <f>#REF!</f>
        <v>#REF!</v>
      </c>
      <c r="BC53" s="77" t="e">
        <f>#REF!</f>
        <v>#REF!</v>
      </c>
      <c r="BD53" s="77" t="e">
        <f>#REF!</f>
        <v>#REF!</v>
      </c>
      <c r="BE53" s="77" t="e">
        <f>#REF!</f>
        <v>#REF!</v>
      </c>
      <c r="BF53" s="77" t="e">
        <f>#REF!</f>
        <v>#REF!</v>
      </c>
      <c r="BG53" s="77" t="e">
        <f>#REF!</f>
        <v>#REF!</v>
      </c>
      <c r="BH53" s="77" t="e">
        <f>#REF!</f>
        <v>#REF!</v>
      </c>
      <c r="BI53" s="77" t="e">
        <f>#REF!</f>
        <v>#REF!</v>
      </c>
      <c r="BJ53" s="77" t="e">
        <f>#REF!</f>
        <v>#REF!</v>
      </c>
      <c r="BK53" s="77" t="e">
        <f>#REF!</f>
        <v>#REF!</v>
      </c>
      <c r="BL53" s="77" t="e">
        <f>#REF!</f>
        <v>#REF!</v>
      </c>
      <c r="BM53" s="77" t="e">
        <f>#REF!</f>
        <v>#REF!</v>
      </c>
      <c r="BN53" s="77" t="e">
        <f>#REF!</f>
        <v>#REF!</v>
      </c>
      <c r="BO53" s="77" t="e">
        <f>#REF!</f>
        <v>#REF!</v>
      </c>
      <c r="BP53" s="77" t="e">
        <f>#REF!</f>
        <v>#REF!</v>
      </c>
      <c r="BR53" s="123" t="str">
        <f t="shared" si="13"/>
        <v>FAI25B-3(DC)</v>
      </c>
      <c r="BS53" s="120">
        <f>OOC!G53</f>
        <v>1.32</v>
      </c>
      <c r="BT53" s="120">
        <f>OOC!H53</f>
        <v>1.26</v>
      </c>
      <c r="BU53" s="2" t="e">
        <f t="shared" si="14"/>
        <v>#REF!</v>
      </c>
      <c r="BV53" s="2" t="e">
        <f t="shared" si="15"/>
        <v>#REF!</v>
      </c>
      <c r="BW53" s="2" t="e">
        <f t="shared" si="16"/>
        <v>#REF!</v>
      </c>
      <c r="BX53" s="121"/>
    </row>
    <row r="54" spans="1:76" ht="15" customHeight="1">
      <c r="A54" s="13"/>
      <c r="B54" s="88"/>
      <c r="C54" s="78" t="s">
        <v>118</v>
      </c>
      <c r="D54" s="89" t="s">
        <v>117</v>
      </c>
      <c r="E54" s="90"/>
      <c r="F54" s="66" t="s">
        <v>44</v>
      </c>
      <c r="G54" s="91">
        <v>15.262</v>
      </c>
      <c r="H54" s="92" t="str">
        <f>IF(OOC!S54=0,"",OOC!S54)</f>
        <v/>
      </c>
      <c r="I54" s="92" t="str">
        <f>IF(OOC!T54=0,"",OOC!T54)</f>
        <v/>
      </c>
      <c r="J54" s="68" t="s">
        <v>12</v>
      </c>
      <c r="K54" s="69" t="s">
        <v>80</v>
      </c>
      <c r="L54" s="70" t="e">
        <f t="shared" si="0"/>
        <v>#VALUE!</v>
      </c>
      <c r="M54" s="70" t="e">
        <f t="shared" si="1"/>
        <v>#VALUE!</v>
      </c>
      <c r="N54" s="71"/>
      <c r="O54" s="2" t="e">
        <f t="shared" si="2"/>
        <v>#REF!</v>
      </c>
      <c r="P54" s="2" t="e">
        <f t="shared" si="3"/>
        <v>#REF!</v>
      </c>
      <c r="Q54" s="2" t="e">
        <f t="shared" si="4"/>
        <v>#REF!</v>
      </c>
      <c r="R54" s="3" t="e">
        <f t="shared" si="5"/>
        <v>#REF!</v>
      </c>
      <c r="S54" s="4" t="e">
        <f t="shared" si="10"/>
        <v>#REF!</v>
      </c>
      <c r="T54" s="84" t="e">
        <f t="shared" si="11"/>
        <v>#REF!</v>
      </c>
      <c r="U54" s="85" t="e">
        <f t="shared" si="12"/>
        <v>#REF!</v>
      </c>
      <c r="V54" s="4" t="e">
        <f t="shared" si="6"/>
        <v>#REF!</v>
      </c>
      <c r="W54" s="4" t="e">
        <f t="shared" si="7"/>
        <v>#REF!</v>
      </c>
      <c r="X54" s="4" t="e">
        <f t="shared" si="8"/>
        <v>#REF!</v>
      </c>
      <c r="Y54" s="62" t="e">
        <f t="shared" si="9"/>
        <v>#REF!</v>
      </c>
      <c r="Z54" s="22"/>
      <c r="AA54" s="22"/>
      <c r="AB54" s="22"/>
      <c r="AC54" s="22"/>
      <c r="AD54" s="19"/>
      <c r="AE54" s="14"/>
      <c r="AF54" s="74"/>
      <c r="AG54" s="49"/>
      <c r="AH54" s="49"/>
      <c r="AI54" s="50"/>
      <c r="AJ54" s="15"/>
      <c r="AK54" s="79" t="e">
        <f>#REF!</f>
        <v>#REF!</v>
      </c>
      <c r="AL54" s="79" t="e">
        <f>#REF!</f>
        <v>#REF!</v>
      </c>
      <c r="AM54" s="79" t="e">
        <f>#REF!</f>
        <v>#REF!</v>
      </c>
      <c r="AN54" s="79"/>
      <c r="AO54" s="79"/>
      <c r="AP54" s="79"/>
      <c r="AQ54" s="79"/>
      <c r="AR54" s="79"/>
      <c r="AS54" s="79"/>
      <c r="AT54" s="79"/>
      <c r="AU54" s="79"/>
      <c r="AV54" s="79"/>
      <c r="AW54" s="79"/>
      <c r="AX54" s="79"/>
      <c r="AY54" s="79"/>
      <c r="AZ54" s="79"/>
      <c r="BA54" s="79"/>
      <c r="BB54" s="79"/>
      <c r="BC54" s="79"/>
      <c r="BD54" s="79"/>
      <c r="BE54" s="79"/>
      <c r="BF54" s="79"/>
      <c r="BG54" s="79"/>
      <c r="BH54" s="79"/>
      <c r="BI54" s="79"/>
      <c r="BJ54" s="79"/>
      <c r="BK54" s="79"/>
      <c r="BL54" s="79"/>
      <c r="BM54" s="79"/>
      <c r="BN54" s="79"/>
      <c r="BO54" s="79"/>
      <c r="BP54" s="79"/>
      <c r="BR54" s="123" t="str">
        <f t="shared" si="13"/>
        <v>FAI26</v>
      </c>
      <c r="BS54" s="120">
        <f>OOC!G54</f>
        <v>15.292</v>
      </c>
      <c r="BT54" s="120">
        <f>OOC!H54</f>
        <v>15.232000000000001</v>
      </c>
      <c r="BU54" s="2" t="e">
        <f t="shared" si="14"/>
        <v>#REF!</v>
      </c>
      <c r="BV54" s="2" t="e">
        <f t="shared" si="15"/>
        <v>#REF!</v>
      </c>
      <c r="BW54" s="2" t="e">
        <f t="shared" si="16"/>
        <v>#REF!</v>
      </c>
      <c r="BX54" s="121" t="e">
        <f>IF(AND(IF(OOC!G54="",0,OOC!G54) &gt;= IF(O54="",0,O54), IF(O54="",0,O54) &gt; IF(L54="",0,L54)), "OOC",
IF(AND(IF(M54="",0,M54) &gt; IF(P54="",0,P54), IF(P54="",0,P54) &gt;= IF(OOC!H54="",0,OOC!H54)), "OOC",
IF(IF(O54="",0,O54) &gt; IF(OOC!G54="",0,OOC!G54), "OOS",
IF(IF(OOC!H54="",0,OOC!H54) &gt; IF(P54="",0,P54), "OOS", "OK"))))</f>
        <v>#REF!</v>
      </c>
    </row>
    <row r="55" spans="1:76" ht="15" customHeight="1">
      <c r="A55" s="13"/>
      <c r="B55" s="88"/>
      <c r="C55" s="78" t="s">
        <v>119</v>
      </c>
      <c r="D55" s="89" t="s">
        <v>117</v>
      </c>
      <c r="E55" s="90"/>
      <c r="F55" s="66" t="s">
        <v>44</v>
      </c>
      <c r="G55" s="91">
        <v>12.839</v>
      </c>
      <c r="H55" s="92" t="str">
        <f>IF(OOC!S55=0,"",OOC!S55)</f>
        <v/>
      </c>
      <c r="I55" s="92" t="str">
        <f>IF(OOC!T55=0,"",OOC!T55)</f>
        <v/>
      </c>
      <c r="J55" s="68" t="s">
        <v>12</v>
      </c>
      <c r="K55" s="69" t="s">
        <v>80</v>
      </c>
      <c r="L55" s="70" t="e">
        <f t="shared" si="0"/>
        <v>#VALUE!</v>
      </c>
      <c r="M55" s="70" t="e">
        <f t="shared" si="1"/>
        <v>#VALUE!</v>
      </c>
      <c r="N55" s="71"/>
      <c r="O55" s="2" t="e">
        <f t="shared" si="2"/>
        <v>#REF!</v>
      </c>
      <c r="P55" s="2" t="e">
        <f t="shared" si="3"/>
        <v>#REF!</v>
      </c>
      <c r="Q55" s="2" t="e">
        <f t="shared" si="4"/>
        <v>#REF!</v>
      </c>
      <c r="R55" s="3" t="e">
        <f t="shared" si="5"/>
        <v>#REF!</v>
      </c>
      <c r="S55" s="4" t="e">
        <f t="shared" si="10"/>
        <v>#REF!</v>
      </c>
      <c r="T55" s="84" t="e">
        <f t="shared" si="11"/>
        <v>#REF!</v>
      </c>
      <c r="U55" s="85" t="e">
        <f t="shared" si="12"/>
        <v>#REF!</v>
      </c>
      <c r="V55" s="4" t="e">
        <f t="shared" si="6"/>
        <v>#REF!</v>
      </c>
      <c r="W55" s="4" t="e">
        <f t="shared" si="7"/>
        <v>#REF!</v>
      </c>
      <c r="X55" s="4" t="e">
        <f t="shared" si="8"/>
        <v>#REF!</v>
      </c>
      <c r="Y55" s="62" t="e">
        <f t="shared" si="9"/>
        <v>#REF!</v>
      </c>
      <c r="Z55" s="22"/>
      <c r="AA55" s="22"/>
      <c r="AB55" s="22"/>
      <c r="AC55" s="22"/>
      <c r="AD55" s="19"/>
      <c r="AE55" s="14"/>
      <c r="AF55" s="74"/>
      <c r="AG55" s="49"/>
      <c r="AH55" s="49"/>
      <c r="AI55" s="50"/>
      <c r="AJ55" s="15"/>
      <c r="AK55" s="79" t="e">
        <f>#REF!</f>
        <v>#REF!</v>
      </c>
      <c r="AL55" s="79" t="e">
        <f>#REF!</f>
        <v>#REF!</v>
      </c>
      <c r="AM55" s="79" t="e">
        <f>#REF!</f>
        <v>#REF!</v>
      </c>
      <c r="AN55" s="77"/>
      <c r="AO55" s="77"/>
      <c r="AP55" s="77"/>
      <c r="AQ55" s="77"/>
      <c r="AR55" s="77"/>
      <c r="AS55" s="77"/>
      <c r="AT55" s="77"/>
      <c r="AU55" s="77"/>
      <c r="AV55" s="77"/>
      <c r="AW55" s="77"/>
      <c r="AX55" s="77"/>
      <c r="AY55" s="77"/>
      <c r="AZ55" s="77"/>
      <c r="BA55" s="77"/>
      <c r="BB55" s="77"/>
      <c r="BC55" s="77"/>
      <c r="BD55" s="77"/>
      <c r="BE55" s="77"/>
      <c r="BF55" s="77"/>
      <c r="BG55" s="77"/>
      <c r="BH55" s="77"/>
      <c r="BI55" s="77"/>
      <c r="BJ55" s="77"/>
      <c r="BK55" s="77"/>
      <c r="BL55" s="77"/>
      <c r="BM55" s="77"/>
      <c r="BN55" s="77"/>
      <c r="BO55" s="77"/>
      <c r="BP55" s="77"/>
      <c r="BR55" s="123" t="str">
        <f t="shared" si="13"/>
        <v>FAI27</v>
      </c>
      <c r="BS55" s="120">
        <f>OOC!G55</f>
        <v>12.869</v>
      </c>
      <c r="BT55" s="120">
        <f>OOC!H55</f>
        <v>12.809000000000001</v>
      </c>
      <c r="BU55" s="2" t="e">
        <f t="shared" si="14"/>
        <v>#REF!</v>
      </c>
      <c r="BV55" s="2" t="e">
        <f t="shared" si="15"/>
        <v>#REF!</v>
      </c>
      <c r="BW55" s="2" t="e">
        <f t="shared" si="16"/>
        <v>#REF!</v>
      </c>
      <c r="BX55" s="121" t="e">
        <f>IF(AND(IF(OOC!G55="",0,OOC!G55) &gt;= IF(O55="",0,O55), IF(O55="",0,O55) &gt; IF(L55="",0,L55)), "OOC",
IF(AND(IF(M55="",0,M55) &gt; IF(P55="",0,P55), IF(P55="",0,P55) &gt;= IF(OOC!H55="",0,OOC!H55)), "OOC",
IF(IF(O55="",0,O55) &gt; IF(OOC!G55="",0,OOC!G55), "OOS",
IF(IF(OOC!H55="",0,OOC!H55) &gt; IF(P55="",0,P55), "OOS", "OK"))))</f>
        <v>#REF!</v>
      </c>
    </row>
    <row r="56" spans="1:76" ht="15" customHeight="1">
      <c r="A56" s="13"/>
      <c r="B56" s="88"/>
      <c r="C56" s="78" t="s">
        <v>120</v>
      </c>
      <c r="D56" s="89" t="s">
        <v>117</v>
      </c>
      <c r="E56" s="90"/>
      <c r="F56" s="66" t="s">
        <v>44</v>
      </c>
      <c r="G56" s="91">
        <v>2.6269999999999998</v>
      </c>
      <c r="H56" s="92" t="str">
        <f>IF(OOC!S56=0,"",OOC!S56)</f>
        <v/>
      </c>
      <c r="I56" s="92" t="str">
        <f>IF(OOC!T56=0,"",OOC!T56)</f>
        <v/>
      </c>
      <c r="J56" s="68" t="s">
        <v>12</v>
      </c>
      <c r="K56" s="69" t="s">
        <v>80</v>
      </c>
      <c r="L56" s="70" t="e">
        <f t="shared" si="0"/>
        <v>#VALUE!</v>
      </c>
      <c r="M56" s="70" t="e">
        <f t="shared" si="1"/>
        <v>#VALUE!</v>
      </c>
      <c r="N56" s="71"/>
      <c r="O56" s="2" t="e">
        <f t="shared" si="2"/>
        <v>#REF!</v>
      </c>
      <c r="P56" s="2" t="e">
        <f t="shared" si="3"/>
        <v>#REF!</v>
      </c>
      <c r="Q56" s="2" t="e">
        <f t="shared" si="4"/>
        <v>#REF!</v>
      </c>
      <c r="R56" s="3" t="e">
        <f t="shared" si="5"/>
        <v>#REF!</v>
      </c>
      <c r="S56" s="4" t="e">
        <f t="shared" si="10"/>
        <v>#REF!</v>
      </c>
      <c r="T56" s="84" t="e">
        <f t="shared" si="11"/>
        <v>#REF!</v>
      </c>
      <c r="U56" s="85" t="e">
        <f t="shared" si="12"/>
        <v>#REF!</v>
      </c>
      <c r="V56" s="4" t="e">
        <f t="shared" si="6"/>
        <v>#REF!</v>
      </c>
      <c r="W56" s="4" t="e">
        <f t="shared" si="7"/>
        <v>#REF!</v>
      </c>
      <c r="X56" s="4" t="e">
        <f t="shared" si="8"/>
        <v>#REF!</v>
      </c>
      <c r="Y56" s="62" t="e">
        <f t="shared" si="9"/>
        <v>#REF!</v>
      </c>
      <c r="Z56" s="22"/>
      <c r="AA56" s="22"/>
      <c r="AB56" s="22"/>
      <c r="AC56" s="22"/>
      <c r="AD56" s="19"/>
      <c r="AE56" s="14"/>
      <c r="AF56" s="72"/>
      <c r="AG56" s="49"/>
      <c r="AH56" s="49"/>
      <c r="AI56" s="50"/>
      <c r="AJ56" s="15"/>
      <c r="AK56" s="79" t="e">
        <f>#REF!</f>
        <v>#REF!</v>
      </c>
      <c r="AL56" s="79" t="e">
        <f>#REF!</f>
        <v>#REF!</v>
      </c>
      <c r="AM56" s="79" t="e">
        <f>#REF!</f>
        <v>#REF!</v>
      </c>
      <c r="AN56" s="80"/>
      <c r="AO56" s="80"/>
      <c r="AP56" s="80"/>
      <c r="AQ56" s="80"/>
      <c r="AR56" s="80"/>
      <c r="AS56" s="80"/>
      <c r="AT56" s="80"/>
      <c r="AU56" s="80"/>
      <c r="AV56" s="80"/>
      <c r="AW56" s="80"/>
      <c r="AX56" s="80"/>
      <c r="AY56" s="80"/>
      <c r="AZ56" s="80"/>
      <c r="BA56" s="80"/>
      <c r="BB56" s="80"/>
      <c r="BC56" s="80"/>
      <c r="BD56" s="80"/>
      <c r="BE56" s="80"/>
      <c r="BF56" s="80"/>
      <c r="BG56" s="80"/>
      <c r="BH56" s="80"/>
      <c r="BI56" s="80"/>
      <c r="BJ56" s="80"/>
      <c r="BK56" s="80"/>
      <c r="BL56" s="80"/>
      <c r="BM56" s="80"/>
      <c r="BN56" s="80"/>
      <c r="BO56" s="80"/>
      <c r="BP56" s="80"/>
      <c r="BR56" s="123" t="str">
        <f t="shared" si="13"/>
        <v>FAI28</v>
      </c>
      <c r="BS56" s="120">
        <f>OOC!G56</f>
        <v>2.6569999999999996</v>
      </c>
      <c r="BT56" s="120">
        <f>OOC!H56</f>
        <v>2.597</v>
      </c>
      <c r="BU56" s="2" t="e">
        <f t="shared" si="14"/>
        <v>#REF!</v>
      </c>
      <c r="BV56" s="2" t="e">
        <f t="shared" si="15"/>
        <v>#REF!</v>
      </c>
      <c r="BW56" s="2" t="e">
        <f t="shared" si="16"/>
        <v>#REF!</v>
      </c>
      <c r="BX56" s="121" t="e">
        <f>IF(AND(IF(OOC!G56="",0,OOC!G56) &gt;= IF(O56="",0,O56), IF(O56="",0,O56) &gt; IF(L56="",0,L56)), "OOC",
IF(AND(IF(M56="",0,M56) &gt; IF(P56="",0,P56), IF(P56="",0,P56) &gt;= IF(OOC!H56="",0,OOC!H56)), "OOC",
IF(IF(O56="",0,O56) &gt; IF(OOC!G56="",0,OOC!G56), "OOS",
IF(IF(OOC!H56="",0,OOC!H56) &gt; IF(P56="",0,P56), "OOS", "OK"))))</f>
        <v>#REF!</v>
      </c>
    </row>
    <row r="57" spans="1:76" ht="15" customHeight="1">
      <c r="A57" s="13"/>
      <c r="B57" s="88"/>
      <c r="C57" s="78"/>
      <c r="D57" s="89"/>
      <c r="E57" s="90"/>
      <c r="F57" s="66"/>
      <c r="G57" s="91"/>
      <c r="H57" s="92"/>
      <c r="I57" s="92"/>
      <c r="J57" s="68"/>
      <c r="K57" s="69"/>
      <c r="L57" s="70"/>
      <c r="M57" s="70"/>
      <c r="N57" s="71"/>
      <c r="O57" s="2"/>
      <c r="P57" s="2"/>
      <c r="Q57" s="2"/>
      <c r="R57" s="3"/>
      <c r="S57" s="4"/>
      <c r="T57" s="84"/>
      <c r="U57" s="85"/>
      <c r="V57" s="4"/>
      <c r="W57" s="4"/>
      <c r="X57" s="4"/>
      <c r="Y57" s="62"/>
      <c r="Z57" s="22"/>
      <c r="AA57" s="22"/>
      <c r="AB57" s="22"/>
      <c r="AC57" s="22"/>
      <c r="AD57" s="19"/>
      <c r="AE57" s="14"/>
      <c r="AF57" s="72"/>
      <c r="AG57" s="49"/>
      <c r="AH57" s="49"/>
      <c r="AI57" s="50"/>
      <c r="AJ57" s="15"/>
      <c r="AK57" s="77"/>
      <c r="AL57" s="77"/>
      <c r="AM57" s="77"/>
      <c r="AN57" s="77"/>
      <c r="AO57" s="77"/>
      <c r="AP57" s="77"/>
      <c r="AQ57" s="77"/>
      <c r="AR57" s="77"/>
      <c r="AS57" s="77"/>
      <c r="AT57" s="77"/>
      <c r="AU57" s="77"/>
      <c r="AV57" s="77"/>
      <c r="AW57" s="77"/>
      <c r="AX57" s="77"/>
      <c r="AY57" s="77"/>
      <c r="AZ57" s="77"/>
      <c r="BA57" s="77"/>
      <c r="BB57" s="77"/>
      <c r="BC57" s="77"/>
      <c r="BD57" s="77"/>
      <c r="BE57" s="77"/>
      <c r="BF57" s="77"/>
      <c r="BG57" s="77"/>
      <c r="BH57" s="77"/>
      <c r="BI57" s="77"/>
      <c r="BJ57" s="77"/>
      <c r="BK57" s="77"/>
      <c r="BL57" s="77"/>
      <c r="BM57" s="77"/>
      <c r="BN57" s="77"/>
      <c r="BO57" s="77"/>
      <c r="BP57" s="77"/>
      <c r="BR57" s="123"/>
      <c r="BS57" s="120"/>
      <c r="BT57" s="120"/>
      <c r="BU57" s="2"/>
      <c r="BV57" s="2"/>
      <c r="BW57" s="2"/>
      <c r="BX57" s="121"/>
    </row>
    <row r="58" spans="1:76" ht="15" customHeight="1">
      <c r="A58" s="13"/>
      <c r="B58" s="88"/>
      <c r="C58" s="78"/>
      <c r="D58" s="89"/>
      <c r="E58" s="90"/>
      <c r="F58" s="66"/>
      <c r="G58" s="91"/>
      <c r="H58" s="92"/>
      <c r="I58" s="92"/>
      <c r="J58" s="68"/>
      <c r="K58" s="69"/>
      <c r="L58" s="70"/>
      <c r="M58" s="70"/>
      <c r="N58" s="71"/>
      <c r="O58" s="2"/>
      <c r="P58" s="2"/>
      <c r="Q58" s="2"/>
      <c r="R58" s="3"/>
      <c r="S58" s="4"/>
      <c r="T58" s="84"/>
      <c r="U58" s="85"/>
      <c r="V58" s="4"/>
      <c r="W58" s="4"/>
      <c r="X58" s="4"/>
      <c r="Y58" s="62"/>
      <c r="Z58" s="22"/>
      <c r="AA58" s="22"/>
      <c r="AB58" s="22"/>
      <c r="AC58" s="22"/>
      <c r="AD58" s="19"/>
      <c r="AE58" s="14"/>
      <c r="AF58" s="72"/>
      <c r="AG58" s="49"/>
      <c r="AH58" s="49"/>
      <c r="AI58" s="50"/>
      <c r="AJ58" s="15"/>
      <c r="AK58" s="77"/>
      <c r="AL58" s="77"/>
      <c r="AM58" s="77"/>
      <c r="AN58" s="77"/>
      <c r="AO58" s="77"/>
      <c r="AP58" s="77"/>
      <c r="AQ58" s="77"/>
      <c r="AR58" s="77"/>
      <c r="AS58" s="77"/>
      <c r="AT58" s="77"/>
      <c r="AU58" s="77"/>
      <c r="AV58" s="77"/>
      <c r="AW58" s="77"/>
      <c r="AX58" s="77"/>
      <c r="AY58" s="77"/>
      <c r="AZ58" s="77"/>
      <c r="BA58" s="77"/>
      <c r="BB58" s="77"/>
      <c r="BC58" s="77"/>
      <c r="BD58" s="77"/>
      <c r="BE58" s="77"/>
      <c r="BF58" s="77"/>
      <c r="BG58" s="77"/>
      <c r="BH58" s="77"/>
      <c r="BI58" s="77"/>
      <c r="BJ58" s="77"/>
      <c r="BK58" s="77"/>
      <c r="BL58" s="77"/>
      <c r="BM58" s="77"/>
      <c r="BN58" s="77"/>
      <c r="BO58" s="77"/>
      <c r="BP58" s="77"/>
      <c r="BR58" s="123"/>
      <c r="BS58" s="120"/>
      <c r="BT58" s="120"/>
      <c r="BU58" s="2"/>
      <c r="BV58" s="2"/>
      <c r="BW58" s="2"/>
      <c r="BX58" s="121"/>
    </row>
    <row r="59" spans="1:76" ht="15" customHeight="1">
      <c r="A59" s="13"/>
      <c r="B59" s="88"/>
      <c r="C59" s="78"/>
      <c r="D59" s="89"/>
      <c r="E59" s="90"/>
      <c r="F59" s="66"/>
      <c r="G59" s="91"/>
      <c r="H59" s="92"/>
      <c r="I59" s="92"/>
      <c r="J59" s="68"/>
      <c r="K59" s="69"/>
      <c r="L59" s="70"/>
      <c r="M59" s="70"/>
      <c r="N59" s="71"/>
      <c r="O59" s="2"/>
      <c r="P59" s="2"/>
      <c r="Q59" s="2"/>
      <c r="R59" s="3"/>
      <c r="S59" s="4"/>
      <c r="T59" s="84"/>
      <c r="U59" s="85"/>
      <c r="V59" s="4"/>
      <c r="W59" s="4"/>
      <c r="X59" s="4"/>
      <c r="Y59" s="62"/>
      <c r="Z59" s="22"/>
      <c r="AA59" s="22"/>
      <c r="AB59" s="22"/>
      <c r="AC59" s="22"/>
      <c r="AD59" s="19"/>
      <c r="AE59" s="14"/>
      <c r="AF59" s="72"/>
      <c r="AG59" s="49"/>
      <c r="AH59" s="49"/>
      <c r="AI59" s="50"/>
      <c r="AJ59" s="15"/>
      <c r="AK59" s="77"/>
      <c r="AL59" s="77"/>
      <c r="AM59" s="77"/>
      <c r="AN59" s="77"/>
      <c r="AO59" s="77"/>
      <c r="AP59" s="77"/>
      <c r="AQ59" s="77"/>
      <c r="AR59" s="77"/>
      <c r="AS59" s="77"/>
      <c r="AT59" s="77"/>
      <c r="AU59" s="77"/>
      <c r="AV59" s="77"/>
      <c r="AW59" s="77"/>
      <c r="AX59" s="77"/>
      <c r="AY59" s="77"/>
      <c r="AZ59" s="77"/>
      <c r="BA59" s="77"/>
      <c r="BB59" s="77"/>
      <c r="BC59" s="77"/>
      <c r="BD59" s="77"/>
      <c r="BE59" s="77"/>
      <c r="BF59" s="77"/>
      <c r="BG59" s="77"/>
      <c r="BH59" s="77"/>
      <c r="BI59" s="77"/>
      <c r="BJ59" s="77"/>
      <c r="BK59" s="77"/>
      <c r="BL59" s="77"/>
      <c r="BM59" s="77"/>
      <c r="BN59" s="77"/>
      <c r="BO59" s="77"/>
      <c r="BP59" s="77"/>
      <c r="BR59" s="123"/>
      <c r="BS59" s="120"/>
      <c r="BT59" s="120"/>
      <c r="BU59" s="2"/>
      <c r="BV59" s="2"/>
      <c r="BW59" s="2"/>
      <c r="BX59" s="121"/>
    </row>
    <row r="60" spans="1:76" ht="15" customHeight="1">
      <c r="A60" s="13"/>
      <c r="B60" s="88"/>
      <c r="C60" s="78"/>
      <c r="D60" s="89"/>
      <c r="E60" s="90"/>
      <c r="F60" s="66"/>
      <c r="G60" s="91"/>
      <c r="H60" s="92"/>
      <c r="I60" s="92"/>
      <c r="J60" s="68"/>
      <c r="K60" s="69"/>
      <c r="L60" s="70"/>
      <c r="M60" s="70"/>
      <c r="N60" s="71"/>
      <c r="O60" s="2"/>
      <c r="P60" s="2"/>
      <c r="Q60" s="2"/>
      <c r="R60" s="3"/>
      <c r="S60" s="4"/>
      <c r="T60" s="84"/>
      <c r="U60" s="85"/>
      <c r="V60" s="4"/>
      <c r="W60" s="4"/>
      <c r="X60" s="4"/>
      <c r="Y60" s="62"/>
      <c r="Z60" s="22"/>
      <c r="AA60" s="22"/>
      <c r="AB60" s="22"/>
      <c r="AC60" s="22"/>
      <c r="AD60" s="19"/>
      <c r="AE60" s="14"/>
      <c r="AF60" s="72"/>
      <c r="AG60" s="49"/>
      <c r="AH60" s="49"/>
      <c r="AI60" s="50"/>
      <c r="AJ60" s="15"/>
      <c r="AK60" s="77"/>
      <c r="AL60" s="77"/>
      <c r="AM60" s="77"/>
      <c r="AN60" s="77"/>
      <c r="AO60" s="77"/>
      <c r="AP60" s="77"/>
      <c r="AQ60" s="77"/>
      <c r="AR60" s="77"/>
      <c r="AS60" s="77"/>
      <c r="AT60" s="77"/>
      <c r="AU60" s="77"/>
      <c r="AV60" s="77"/>
      <c r="AW60" s="77"/>
      <c r="AX60" s="77"/>
      <c r="AY60" s="77"/>
      <c r="AZ60" s="77"/>
      <c r="BA60" s="77"/>
      <c r="BB60" s="77"/>
      <c r="BC60" s="77"/>
      <c r="BD60" s="77"/>
      <c r="BE60" s="77"/>
      <c r="BF60" s="77"/>
      <c r="BG60" s="77"/>
      <c r="BH60" s="77"/>
      <c r="BI60" s="77"/>
      <c r="BJ60" s="77"/>
      <c r="BK60" s="77"/>
      <c r="BL60" s="77"/>
      <c r="BM60" s="77"/>
      <c r="BN60" s="77"/>
      <c r="BO60" s="77"/>
      <c r="BP60" s="77"/>
      <c r="BR60" s="123"/>
      <c r="BS60" s="120"/>
      <c r="BT60" s="120"/>
      <c r="BU60" s="2"/>
      <c r="BV60" s="2"/>
      <c r="BW60" s="2"/>
      <c r="BX60" s="121"/>
    </row>
    <row r="61" spans="1:76" ht="15" customHeight="1">
      <c r="A61" s="13"/>
      <c r="B61" s="88"/>
      <c r="C61" s="78"/>
      <c r="D61" s="89"/>
      <c r="E61" s="90"/>
      <c r="F61" s="66"/>
      <c r="G61" s="91"/>
      <c r="H61" s="92"/>
      <c r="I61" s="92"/>
      <c r="J61" s="68"/>
      <c r="K61" s="69"/>
      <c r="L61" s="70"/>
      <c r="M61" s="70"/>
      <c r="N61" s="71"/>
      <c r="O61" s="2"/>
      <c r="P61" s="2"/>
      <c r="Q61" s="2"/>
      <c r="R61" s="3"/>
      <c r="S61" s="4"/>
      <c r="T61" s="84"/>
      <c r="U61" s="85"/>
      <c r="V61" s="4"/>
      <c r="W61" s="4"/>
      <c r="X61" s="4"/>
      <c r="Y61" s="62"/>
      <c r="Z61" s="22"/>
      <c r="AA61" s="22"/>
      <c r="AB61" s="22"/>
      <c r="AC61" s="22"/>
      <c r="AD61" s="19"/>
      <c r="AE61" s="14"/>
      <c r="AF61" s="72"/>
      <c r="AG61" s="49"/>
      <c r="AH61" s="49"/>
      <c r="AI61" s="50"/>
      <c r="AJ61" s="15"/>
      <c r="AK61" s="77"/>
      <c r="AL61" s="77"/>
      <c r="AM61" s="77"/>
      <c r="AN61" s="77"/>
      <c r="AO61" s="77"/>
      <c r="AP61" s="77"/>
      <c r="AQ61" s="77"/>
      <c r="AR61" s="77"/>
      <c r="AS61" s="77"/>
      <c r="AT61" s="77"/>
      <c r="AU61" s="77"/>
      <c r="AV61" s="77"/>
      <c r="AW61" s="77"/>
      <c r="AX61" s="77"/>
      <c r="AY61" s="77"/>
      <c r="AZ61" s="77"/>
      <c r="BA61" s="77"/>
      <c r="BB61" s="77"/>
      <c r="BC61" s="77"/>
      <c r="BD61" s="77"/>
      <c r="BE61" s="77"/>
      <c r="BF61" s="77"/>
      <c r="BG61" s="77"/>
      <c r="BH61" s="77"/>
      <c r="BI61" s="77"/>
      <c r="BJ61" s="77"/>
      <c r="BK61" s="77"/>
      <c r="BL61" s="77"/>
      <c r="BM61" s="77"/>
      <c r="BN61" s="77"/>
      <c r="BO61" s="77"/>
      <c r="BP61" s="77"/>
      <c r="BR61" s="123"/>
      <c r="BS61" s="120"/>
      <c r="BT61" s="120"/>
      <c r="BU61" s="2"/>
      <c r="BV61" s="2"/>
      <c r="BW61" s="2"/>
      <c r="BX61" s="121"/>
    </row>
    <row r="62" spans="1:76" ht="15" customHeight="1">
      <c r="A62" s="13"/>
      <c r="B62" s="88"/>
      <c r="C62" s="78"/>
      <c r="D62" s="89"/>
      <c r="E62" s="90"/>
      <c r="F62" s="66"/>
      <c r="G62" s="91"/>
      <c r="H62" s="92"/>
      <c r="I62" s="92"/>
      <c r="J62" s="68"/>
      <c r="K62" s="69"/>
      <c r="L62" s="70"/>
      <c r="M62" s="70"/>
      <c r="N62" s="71"/>
      <c r="O62" s="2"/>
      <c r="P62" s="2"/>
      <c r="Q62" s="2"/>
      <c r="R62" s="3"/>
      <c r="S62" s="4"/>
      <c r="T62" s="84"/>
      <c r="U62" s="85"/>
      <c r="V62" s="4"/>
      <c r="W62" s="4"/>
      <c r="X62" s="4"/>
      <c r="Y62" s="62"/>
      <c r="Z62" s="22"/>
      <c r="AA62" s="22"/>
      <c r="AB62" s="22"/>
      <c r="AC62" s="22"/>
      <c r="AD62" s="19"/>
      <c r="AE62" s="14"/>
      <c r="AF62" s="72"/>
      <c r="AG62" s="49"/>
      <c r="AH62" s="49"/>
      <c r="AI62" s="50"/>
      <c r="AJ62" s="15"/>
      <c r="AK62" s="77"/>
      <c r="AL62" s="77"/>
      <c r="AM62" s="77"/>
      <c r="AN62" s="77"/>
      <c r="AO62" s="77"/>
      <c r="AP62" s="77"/>
      <c r="AQ62" s="77"/>
      <c r="AR62" s="77"/>
      <c r="AS62" s="77"/>
      <c r="AT62" s="77"/>
      <c r="AU62" s="77"/>
      <c r="AV62" s="77"/>
      <c r="AW62" s="77"/>
      <c r="AX62" s="77"/>
      <c r="AY62" s="77"/>
      <c r="AZ62" s="77"/>
      <c r="BA62" s="77"/>
      <c r="BB62" s="77"/>
      <c r="BC62" s="77"/>
      <c r="BD62" s="77"/>
      <c r="BE62" s="77"/>
      <c r="BF62" s="77"/>
      <c r="BG62" s="77"/>
      <c r="BH62" s="77"/>
      <c r="BI62" s="77"/>
      <c r="BJ62" s="77"/>
      <c r="BK62" s="77"/>
      <c r="BL62" s="77"/>
      <c r="BM62" s="77"/>
      <c r="BN62" s="77"/>
      <c r="BO62" s="77"/>
      <c r="BP62" s="77"/>
      <c r="BR62" s="123"/>
      <c r="BS62" s="120"/>
      <c r="BT62" s="120"/>
      <c r="BU62" s="2"/>
      <c r="BV62" s="2"/>
      <c r="BW62" s="2"/>
      <c r="BX62" s="121"/>
    </row>
    <row r="63" spans="1:76" ht="15" customHeight="1">
      <c r="A63" s="13"/>
      <c r="B63" s="88"/>
      <c r="C63" s="78"/>
      <c r="D63" s="89"/>
      <c r="E63" s="90"/>
      <c r="F63" s="66"/>
      <c r="G63" s="91"/>
      <c r="H63" s="92"/>
      <c r="I63" s="92"/>
      <c r="J63" s="68"/>
      <c r="K63" s="69"/>
      <c r="L63" s="70"/>
      <c r="M63" s="70"/>
      <c r="N63" s="71"/>
      <c r="O63" s="2"/>
      <c r="P63" s="2"/>
      <c r="Q63" s="2"/>
      <c r="R63" s="3"/>
      <c r="S63" s="4"/>
      <c r="T63" s="84"/>
      <c r="U63" s="85"/>
      <c r="V63" s="4"/>
      <c r="W63" s="4"/>
      <c r="X63" s="4"/>
      <c r="Y63" s="62"/>
      <c r="Z63" s="22"/>
      <c r="AA63" s="22"/>
      <c r="AB63" s="22"/>
      <c r="AC63" s="22"/>
      <c r="AD63" s="19"/>
      <c r="AE63" s="14"/>
      <c r="AF63" s="72"/>
      <c r="AG63" s="49"/>
      <c r="AH63" s="49"/>
      <c r="AI63" s="50"/>
      <c r="AJ63" s="15"/>
      <c r="AK63" s="77"/>
      <c r="AL63" s="77"/>
      <c r="AM63" s="77"/>
      <c r="AN63" s="77"/>
      <c r="AO63" s="77"/>
      <c r="AP63" s="77"/>
      <c r="AQ63" s="77"/>
      <c r="AR63" s="77"/>
      <c r="AS63" s="77"/>
      <c r="AT63" s="77"/>
      <c r="AU63" s="77"/>
      <c r="AV63" s="77"/>
      <c r="AW63" s="77"/>
      <c r="AX63" s="77"/>
      <c r="AY63" s="77"/>
      <c r="AZ63" s="77"/>
      <c r="BA63" s="77"/>
      <c r="BB63" s="77"/>
      <c r="BC63" s="77"/>
      <c r="BD63" s="77"/>
      <c r="BE63" s="77"/>
      <c r="BF63" s="77"/>
      <c r="BG63" s="77"/>
      <c r="BH63" s="77"/>
      <c r="BI63" s="77"/>
      <c r="BJ63" s="77"/>
      <c r="BK63" s="77"/>
      <c r="BL63" s="77"/>
      <c r="BM63" s="77"/>
      <c r="BN63" s="77"/>
      <c r="BO63" s="77"/>
      <c r="BP63" s="77"/>
      <c r="BR63" s="123"/>
      <c r="BS63" s="120"/>
      <c r="BT63" s="120"/>
      <c r="BU63" s="2"/>
      <c r="BV63" s="2"/>
      <c r="BW63" s="2"/>
      <c r="BX63" s="121"/>
    </row>
    <row r="64" spans="1:76" ht="15" customHeight="1">
      <c r="A64" s="13"/>
      <c r="B64" s="88"/>
      <c r="C64" s="78"/>
      <c r="D64" s="89"/>
      <c r="E64" s="90"/>
      <c r="F64" s="66"/>
      <c r="G64" s="91"/>
      <c r="H64" s="92"/>
      <c r="I64" s="92"/>
      <c r="J64" s="68"/>
      <c r="K64" s="69"/>
      <c r="L64" s="70"/>
      <c r="M64" s="70"/>
      <c r="N64" s="71"/>
      <c r="O64" s="2"/>
      <c r="P64" s="2"/>
      <c r="Q64" s="2"/>
      <c r="R64" s="3"/>
      <c r="S64" s="4"/>
      <c r="T64" s="84"/>
      <c r="U64" s="85"/>
      <c r="V64" s="4"/>
      <c r="W64" s="4"/>
      <c r="X64" s="4"/>
      <c r="Y64" s="62"/>
      <c r="Z64" s="22"/>
      <c r="AA64" s="22"/>
      <c r="AB64" s="22"/>
      <c r="AC64" s="22"/>
      <c r="AD64" s="19"/>
      <c r="AE64" s="14"/>
      <c r="AF64" s="72"/>
      <c r="AG64" s="49"/>
      <c r="AH64" s="49"/>
      <c r="AI64" s="50"/>
      <c r="AJ64" s="15"/>
      <c r="AK64" s="77"/>
      <c r="AL64" s="77"/>
      <c r="AM64" s="77"/>
      <c r="AN64" s="77"/>
      <c r="AO64" s="77"/>
      <c r="AP64" s="77"/>
      <c r="AQ64" s="77"/>
      <c r="AR64" s="77"/>
      <c r="AS64" s="77"/>
      <c r="AT64" s="77"/>
      <c r="AU64" s="77"/>
      <c r="AV64" s="77"/>
      <c r="AW64" s="77"/>
      <c r="AX64" s="77"/>
      <c r="AY64" s="77"/>
      <c r="AZ64" s="77"/>
      <c r="BA64" s="77"/>
      <c r="BB64" s="77"/>
      <c r="BC64" s="77"/>
      <c r="BD64" s="77"/>
      <c r="BE64" s="77"/>
      <c r="BF64" s="77"/>
      <c r="BG64" s="77"/>
      <c r="BH64" s="77"/>
      <c r="BI64" s="77"/>
      <c r="BJ64" s="77"/>
      <c r="BK64" s="77"/>
      <c r="BL64" s="77"/>
      <c r="BM64" s="77"/>
      <c r="BN64" s="77"/>
      <c r="BO64" s="77"/>
      <c r="BP64" s="77"/>
      <c r="BR64" s="123"/>
      <c r="BS64" s="120"/>
      <c r="BT64" s="120"/>
      <c r="BU64" s="2"/>
      <c r="BV64" s="2"/>
      <c r="BW64" s="2"/>
      <c r="BX64" s="121"/>
    </row>
    <row r="65" spans="1:76" ht="15" customHeight="1">
      <c r="A65" s="13"/>
      <c r="B65" s="88"/>
      <c r="C65" s="78"/>
      <c r="D65" s="89"/>
      <c r="E65" s="90"/>
      <c r="F65" s="66"/>
      <c r="G65" s="91"/>
      <c r="H65" s="92"/>
      <c r="I65" s="92"/>
      <c r="J65" s="68"/>
      <c r="K65" s="69"/>
      <c r="L65" s="70"/>
      <c r="M65" s="70"/>
      <c r="N65" s="71"/>
      <c r="O65" s="2"/>
      <c r="P65" s="2"/>
      <c r="Q65" s="2"/>
      <c r="R65" s="3"/>
      <c r="S65" s="4"/>
      <c r="T65" s="84"/>
      <c r="U65" s="85"/>
      <c r="V65" s="4"/>
      <c r="W65" s="4"/>
      <c r="X65" s="4"/>
      <c r="Y65" s="62"/>
      <c r="Z65" s="22"/>
      <c r="AA65" s="22"/>
      <c r="AB65" s="22"/>
      <c r="AC65" s="22"/>
      <c r="AD65" s="19"/>
      <c r="AE65" s="14"/>
      <c r="AF65" s="72"/>
      <c r="AG65" s="49"/>
      <c r="AH65" s="49"/>
      <c r="AI65" s="50"/>
      <c r="AJ65" s="15"/>
      <c r="AK65" s="77"/>
      <c r="AL65" s="77"/>
      <c r="AM65" s="77"/>
      <c r="AN65" s="77"/>
      <c r="AO65" s="77"/>
      <c r="AP65" s="77"/>
      <c r="AQ65" s="77"/>
      <c r="AR65" s="77"/>
      <c r="AS65" s="77"/>
      <c r="AT65" s="77"/>
      <c r="AU65" s="77"/>
      <c r="AV65" s="77"/>
      <c r="AW65" s="77"/>
      <c r="AX65" s="77"/>
      <c r="AY65" s="77"/>
      <c r="AZ65" s="77"/>
      <c r="BA65" s="77"/>
      <c r="BB65" s="77"/>
      <c r="BC65" s="77"/>
      <c r="BD65" s="77"/>
      <c r="BE65" s="77"/>
      <c r="BF65" s="77"/>
      <c r="BG65" s="77"/>
      <c r="BH65" s="77"/>
      <c r="BI65" s="77"/>
      <c r="BJ65" s="77"/>
      <c r="BK65" s="77"/>
      <c r="BL65" s="77"/>
      <c r="BM65" s="77"/>
      <c r="BN65" s="77"/>
      <c r="BO65" s="77"/>
      <c r="BP65" s="77"/>
      <c r="BR65" s="123"/>
      <c r="BS65" s="120"/>
      <c r="BT65" s="120"/>
      <c r="BU65" s="2"/>
      <c r="BV65" s="2"/>
      <c r="BW65" s="2"/>
      <c r="BX65" s="121"/>
    </row>
    <row r="66" spans="1:76" ht="15" customHeight="1">
      <c r="A66" s="13"/>
      <c r="B66" s="88"/>
      <c r="C66" s="78"/>
      <c r="D66" s="89"/>
      <c r="E66" s="90"/>
      <c r="F66" s="66"/>
      <c r="G66" s="91"/>
      <c r="H66" s="92"/>
      <c r="I66" s="92"/>
      <c r="J66" s="68"/>
      <c r="K66" s="69"/>
      <c r="L66" s="70"/>
      <c r="M66" s="70"/>
      <c r="N66" s="71"/>
      <c r="O66" s="2"/>
      <c r="P66" s="2"/>
      <c r="Q66" s="2"/>
      <c r="R66" s="3"/>
      <c r="S66" s="4"/>
      <c r="T66" s="84"/>
      <c r="U66" s="85"/>
      <c r="V66" s="4"/>
      <c r="W66" s="4"/>
      <c r="X66" s="4"/>
      <c r="Y66" s="62"/>
      <c r="Z66" s="22"/>
      <c r="AA66" s="22"/>
      <c r="AB66" s="22"/>
      <c r="AC66" s="22"/>
      <c r="AD66" s="19"/>
      <c r="AE66" s="14"/>
      <c r="AF66" s="72"/>
      <c r="AG66" s="49"/>
      <c r="AH66" s="49"/>
      <c r="AI66" s="50"/>
      <c r="AJ66" s="15"/>
      <c r="AK66" s="77"/>
      <c r="AL66" s="77"/>
      <c r="AM66" s="77"/>
      <c r="AN66" s="77"/>
      <c r="AO66" s="77"/>
      <c r="AP66" s="77"/>
      <c r="AQ66" s="77"/>
      <c r="AR66" s="77"/>
      <c r="AS66" s="77"/>
      <c r="AT66" s="77"/>
      <c r="AU66" s="77"/>
      <c r="AV66" s="77"/>
      <c r="AW66" s="77"/>
      <c r="AX66" s="77"/>
      <c r="AY66" s="77"/>
      <c r="AZ66" s="77"/>
      <c r="BA66" s="77"/>
      <c r="BB66" s="77"/>
      <c r="BC66" s="77"/>
      <c r="BD66" s="77"/>
      <c r="BE66" s="77"/>
      <c r="BF66" s="77"/>
      <c r="BG66" s="77"/>
      <c r="BH66" s="77"/>
      <c r="BI66" s="77"/>
      <c r="BJ66" s="77"/>
      <c r="BK66" s="77"/>
      <c r="BL66" s="77"/>
      <c r="BM66" s="77"/>
      <c r="BN66" s="77"/>
      <c r="BO66" s="77"/>
      <c r="BP66" s="77"/>
      <c r="BR66" s="123"/>
      <c r="BS66" s="120"/>
      <c r="BT66" s="120"/>
      <c r="BU66" s="2"/>
      <c r="BV66" s="2"/>
      <c r="BW66" s="2"/>
      <c r="BX66" s="121"/>
    </row>
    <row r="67" spans="1:76" ht="15" customHeight="1">
      <c r="A67" s="13"/>
      <c r="B67" s="88"/>
      <c r="C67" s="78"/>
      <c r="D67" s="89"/>
      <c r="E67" s="90"/>
      <c r="F67" s="66"/>
      <c r="G67" s="91"/>
      <c r="H67" s="92"/>
      <c r="I67" s="92"/>
      <c r="J67" s="68"/>
      <c r="K67" s="69"/>
      <c r="L67" s="70"/>
      <c r="M67" s="70"/>
      <c r="N67" s="71"/>
      <c r="O67" s="2"/>
      <c r="P67" s="2"/>
      <c r="Q67" s="2"/>
      <c r="R67" s="3"/>
      <c r="S67" s="4"/>
      <c r="T67" s="84"/>
      <c r="U67" s="85"/>
      <c r="V67" s="4"/>
      <c r="W67" s="4"/>
      <c r="X67" s="4"/>
      <c r="Y67" s="62"/>
      <c r="Z67" s="22"/>
      <c r="AA67" s="22"/>
      <c r="AB67" s="22"/>
      <c r="AC67" s="22"/>
      <c r="AD67" s="19"/>
      <c r="AE67" s="14"/>
      <c r="AF67" s="72"/>
      <c r="AG67" s="49"/>
      <c r="AH67" s="49"/>
      <c r="AI67" s="50"/>
      <c r="AJ67" s="15"/>
      <c r="AK67" s="77"/>
      <c r="AL67" s="77"/>
      <c r="AM67" s="77"/>
      <c r="AN67" s="77"/>
      <c r="AO67" s="77"/>
      <c r="AP67" s="77"/>
      <c r="AQ67" s="77"/>
      <c r="AR67" s="77"/>
      <c r="AS67" s="77"/>
      <c r="AT67" s="77"/>
      <c r="AU67" s="77"/>
      <c r="AV67" s="77"/>
      <c r="AW67" s="77"/>
      <c r="AX67" s="77"/>
      <c r="AY67" s="77"/>
      <c r="AZ67" s="77"/>
      <c r="BA67" s="77"/>
      <c r="BB67" s="77"/>
      <c r="BC67" s="77"/>
      <c r="BD67" s="77"/>
      <c r="BE67" s="77"/>
      <c r="BF67" s="77"/>
      <c r="BG67" s="77"/>
      <c r="BH67" s="77"/>
      <c r="BI67" s="77"/>
      <c r="BJ67" s="77"/>
      <c r="BK67" s="77"/>
      <c r="BL67" s="77"/>
      <c r="BM67" s="77"/>
      <c r="BN67" s="77"/>
      <c r="BO67" s="77"/>
      <c r="BP67" s="77"/>
      <c r="BR67" s="123"/>
      <c r="BS67" s="120"/>
      <c r="BT67" s="120"/>
      <c r="BU67" s="2"/>
      <c r="BV67" s="2"/>
      <c r="BW67" s="2"/>
      <c r="BX67" s="121"/>
    </row>
    <row r="68" spans="1:76" ht="15" customHeight="1">
      <c r="A68" s="13"/>
      <c r="B68" s="88"/>
      <c r="C68" s="78"/>
      <c r="D68" s="89"/>
      <c r="E68" s="90"/>
      <c r="F68" s="66"/>
      <c r="G68" s="91"/>
      <c r="H68" s="92"/>
      <c r="I68" s="92"/>
      <c r="J68" s="68"/>
      <c r="K68" s="69"/>
      <c r="L68" s="70"/>
      <c r="M68" s="70"/>
      <c r="N68" s="71"/>
      <c r="O68" s="2"/>
      <c r="P68" s="2"/>
      <c r="Q68" s="2"/>
      <c r="R68" s="3"/>
      <c r="S68" s="4"/>
      <c r="T68" s="84"/>
      <c r="U68" s="85"/>
      <c r="V68" s="4"/>
      <c r="W68" s="4"/>
      <c r="X68" s="4"/>
      <c r="Y68" s="62"/>
      <c r="Z68" s="22"/>
      <c r="AA68" s="22"/>
      <c r="AB68" s="22"/>
      <c r="AC68" s="22"/>
      <c r="AD68" s="19"/>
      <c r="AE68" s="14"/>
      <c r="AF68" s="72"/>
      <c r="AG68" s="49"/>
      <c r="AH68" s="49"/>
      <c r="AI68" s="50"/>
      <c r="AJ68" s="15"/>
      <c r="AK68" s="77"/>
      <c r="AL68" s="77"/>
      <c r="AM68" s="77"/>
      <c r="AN68" s="77"/>
      <c r="AO68" s="77"/>
      <c r="AP68" s="77"/>
      <c r="AQ68" s="77"/>
      <c r="AR68" s="77"/>
      <c r="AS68" s="77"/>
      <c r="AT68" s="77"/>
      <c r="AU68" s="77"/>
      <c r="AV68" s="77"/>
      <c r="AW68" s="77"/>
      <c r="AX68" s="77"/>
      <c r="AY68" s="77"/>
      <c r="AZ68" s="77"/>
      <c r="BA68" s="77"/>
      <c r="BB68" s="77"/>
      <c r="BC68" s="77"/>
      <c r="BD68" s="77"/>
      <c r="BE68" s="77"/>
      <c r="BF68" s="77"/>
      <c r="BG68" s="77"/>
      <c r="BH68" s="77"/>
      <c r="BI68" s="77"/>
      <c r="BJ68" s="77"/>
      <c r="BK68" s="77"/>
      <c r="BL68" s="77"/>
      <c r="BM68" s="77"/>
      <c r="BN68" s="77"/>
      <c r="BO68" s="77"/>
      <c r="BP68" s="77"/>
      <c r="BR68" s="123"/>
      <c r="BS68" s="120"/>
      <c r="BT68" s="120"/>
      <c r="BU68" s="2"/>
      <c r="BV68" s="2"/>
      <c r="BW68" s="2"/>
      <c r="BX68" s="121"/>
    </row>
    <row r="69" spans="1:76" ht="15" customHeight="1">
      <c r="A69" s="13"/>
      <c r="B69" s="88"/>
      <c r="C69" s="78"/>
      <c r="D69" s="89"/>
      <c r="E69" s="90"/>
      <c r="F69" s="66"/>
      <c r="G69" s="91"/>
      <c r="H69" s="92"/>
      <c r="I69" s="92"/>
      <c r="J69" s="68"/>
      <c r="K69" s="69"/>
      <c r="L69" s="70"/>
      <c r="M69" s="70"/>
      <c r="N69" s="71"/>
      <c r="O69" s="2"/>
      <c r="P69" s="2"/>
      <c r="Q69" s="2"/>
      <c r="R69" s="3"/>
      <c r="S69" s="4"/>
      <c r="T69" s="84"/>
      <c r="U69" s="85"/>
      <c r="V69" s="4"/>
      <c r="W69" s="4"/>
      <c r="X69" s="4"/>
      <c r="Y69" s="62"/>
      <c r="Z69" s="22"/>
      <c r="AA69" s="22"/>
      <c r="AB69" s="22"/>
      <c r="AC69" s="22"/>
      <c r="AD69" s="19"/>
      <c r="AE69" s="14"/>
      <c r="AF69" s="72"/>
      <c r="AG69" s="49"/>
      <c r="AH69" s="49"/>
      <c r="AI69" s="50"/>
      <c r="AJ69" s="15"/>
      <c r="AK69" s="77"/>
      <c r="AL69" s="77"/>
      <c r="AM69" s="77"/>
      <c r="AN69" s="77"/>
      <c r="AO69" s="77"/>
      <c r="AP69" s="77"/>
      <c r="AQ69" s="77"/>
      <c r="AR69" s="77"/>
      <c r="AS69" s="77"/>
      <c r="AT69" s="77"/>
      <c r="AU69" s="77"/>
      <c r="AV69" s="77"/>
      <c r="AW69" s="77"/>
      <c r="AX69" s="77"/>
      <c r="AY69" s="77"/>
      <c r="AZ69" s="77"/>
      <c r="BA69" s="77"/>
      <c r="BB69" s="77"/>
      <c r="BC69" s="77"/>
      <c r="BD69" s="77"/>
      <c r="BE69" s="77"/>
      <c r="BF69" s="77"/>
      <c r="BG69" s="77"/>
      <c r="BH69" s="77"/>
      <c r="BI69" s="77"/>
      <c r="BJ69" s="77"/>
      <c r="BK69" s="77"/>
      <c r="BL69" s="77"/>
      <c r="BM69" s="77"/>
      <c r="BN69" s="77"/>
      <c r="BO69" s="77"/>
      <c r="BP69" s="77"/>
      <c r="BR69" s="123"/>
      <c r="BS69" s="120"/>
      <c r="BT69" s="120"/>
      <c r="BU69" s="2"/>
      <c r="BV69" s="2"/>
      <c r="BW69" s="2"/>
      <c r="BX69" s="121"/>
    </row>
    <row r="70" spans="1:76" ht="15" customHeight="1">
      <c r="A70" s="13"/>
      <c r="B70" s="88"/>
      <c r="C70" s="78"/>
      <c r="D70" s="89"/>
      <c r="E70" s="90"/>
      <c r="F70" s="66"/>
      <c r="G70" s="91"/>
      <c r="H70" s="92"/>
      <c r="I70" s="92"/>
      <c r="J70" s="68"/>
      <c r="K70" s="69"/>
      <c r="L70" s="70"/>
      <c r="M70" s="70"/>
      <c r="N70" s="71"/>
      <c r="O70" s="2"/>
      <c r="P70" s="2"/>
      <c r="Q70" s="2"/>
      <c r="R70" s="3"/>
      <c r="S70" s="4"/>
      <c r="T70" s="84"/>
      <c r="U70" s="85"/>
      <c r="V70" s="4"/>
      <c r="W70" s="4"/>
      <c r="X70" s="4"/>
      <c r="Y70" s="62"/>
      <c r="Z70" s="22"/>
      <c r="AA70" s="22"/>
      <c r="AB70" s="22"/>
      <c r="AC70" s="22"/>
      <c r="AD70" s="19"/>
      <c r="AE70" s="14"/>
      <c r="AF70" s="72"/>
      <c r="AG70" s="49"/>
      <c r="AH70" s="49"/>
      <c r="AI70" s="50"/>
      <c r="AJ70" s="15"/>
      <c r="AK70" s="77"/>
      <c r="AL70" s="77"/>
      <c r="AM70" s="77"/>
      <c r="AN70" s="77"/>
      <c r="AO70" s="77"/>
      <c r="AP70" s="77"/>
      <c r="AQ70" s="77"/>
      <c r="AR70" s="77"/>
      <c r="AS70" s="77"/>
      <c r="AT70" s="77"/>
      <c r="AU70" s="77"/>
      <c r="AV70" s="77"/>
      <c r="AW70" s="77"/>
      <c r="AX70" s="77"/>
      <c r="AY70" s="77"/>
      <c r="AZ70" s="77"/>
      <c r="BA70" s="77"/>
      <c r="BB70" s="77"/>
      <c r="BC70" s="77"/>
      <c r="BD70" s="77"/>
      <c r="BE70" s="77"/>
      <c r="BF70" s="77"/>
      <c r="BG70" s="77"/>
      <c r="BH70" s="77"/>
      <c r="BI70" s="77"/>
      <c r="BJ70" s="77"/>
      <c r="BK70" s="77"/>
      <c r="BL70" s="77"/>
      <c r="BM70" s="77"/>
      <c r="BN70" s="77"/>
      <c r="BO70" s="77"/>
      <c r="BP70" s="77"/>
      <c r="BR70" s="123"/>
      <c r="BS70" s="120"/>
      <c r="BT70" s="120"/>
      <c r="BU70" s="2"/>
      <c r="BV70" s="2"/>
      <c r="BW70" s="2"/>
      <c r="BX70" s="121"/>
    </row>
    <row r="71" spans="1:76" ht="15" customHeight="1">
      <c r="A71" s="13"/>
      <c r="B71" s="88"/>
      <c r="C71" s="78"/>
      <c r="D71" s="89"/>
      <c r="E71" s="90"/>
      <c r="F71" s="66"/>
      <c r="G71" s="91"/>
      <c r="H71" s="92"/>
      <c r="I71" s="92"/>
      <c r="J71" s="68"/>
      <c r="K71" s="69"/>
      <c r="L71" s="70"/>
      <c r="M71" s="70"/>
      <c r="N71" s="71"/>
      <c r="O71" s="2"/>
      <c r="P71" s="2"/>
      <c r="Q71" s="2"/>
      <c r="R71" s="3"/>
      <c r="S71" s="4"/>
      <c r="T71" s="84"/>
      <c r="U71" s="85"/>
      <c r="V71" s="4"/>
      <c r="W71" s="4"/>
      <c r="X71" s="4"/>
      <c r="Y71" s="62"/>
      <c r="Z71" s="22"/>
      <c r="AA71" s="22"/>
      <c r="AB71" s="22"/>
      <c r="AC71" s="22"/>
      <c r="AD71" s="19"/>
      <c r="AE71" s="14"/>
      <c r="AF71" s="72"/>
      <c r="AG71" s="49"/>
      <c r="AH71" s="49"/>
      <c r="AI71" s="50"/>
      <c r="AJ71" s="15"/>
      <c r="AK71" s="77"/>
      <c r="AL71" s="77"/>
      <c r="AM71" s="77"/>
      <c r="AN71" s="77"/>
      <c r="AO71" s="77"/>
      <c r="AP71" s="77"/>
      <c r="AQ71" s="77"/>
      <c r="AR71" s="77"/>
      <c r="AS71" s="77"/>
      <c r="AT71" s="77"/>
      <c r="AU71" s="77"/>
      <c r="AV71" s="77"/>
      <c r="AW71" s="77"/>
      <c r="AX71" s="77"/>
      <c r="AY71" s="77"/>
      <c r="AZ71" s="77"/>
      <c r="BA71" s="77"/>
      <c r="BB71" s="77"/>
      <c r="BC71" s="77"/>
      <c r="BD71" s="77"/>
      <c r="BE71" s="77"/>
      <c r="BF71" s="77"/>
      <c r="BG71" s="77"/>
      <c r="BH71" s="77"/>
      <c r="BI71" s="77"/>
      <c r="BJ71" s="77"/>
      <c r="BK71" s="77"/>
      <c r="BL71" s="77"/>
      <c r="BM71" s="77"/>
      <c r="BN71" s="77"/>
      <c r="BO71" s="77"/>
      <c r="BP71" s="77"/>
      <c r="BR71" s="123"/>
      <c r="BS71" s="120"/>
      <c r="BT71" s="120"/>
      <c r="BU71" s="2"/>
      <c r="BV71" s="2"/>
      <c r="BW71" s="2"/>
      <c r="BX71" s="121"/>
    </row>
    <row r="72" spans="1:76" ht="15" customHeight="1">
      <c r="A72" s="13"/>
      <c r="B72" s="88"/>
      <c r="C72" s="78"/>
      <c r="D72" s="89"/>
      <c r="E72" s="90"/>
      <c r="F72" s="66"/>
      <c r="G72" s="91"/>
      <c r="H72" s="92"/>
      <c r="I72" s="92"/>
      <c r="J72" s="68"/>
      <c r="K72" s="69"/>
      <c r="L72" s="70"/>
      <c r="M72" s="70"/>
      <c r="N72" s="71"/>
      <c r="O72" s="2"/>
      <c r="P72" s="2"/>
      <c r="Q72" s="2"/>
      <c r="R72" s="3"/>
      <c r="S72" s="4"/>
      <c r="T72" s="84"/>
      <c r="U72" s="85"/>
      <c r="V72" s="4"/>
      <c r="W72" s="4"/>
      <c r="X72" s="4"/>
      <c r="Y72" s="62"/>
      <c r="Z72" s="22"/>
      <c r="AA72" s="22"/>
      <c r="AB72" s="22"/>
      <c r="AC72" s="22"/>
      <c r="AD72" s="19"/>
      <c r="AE72" s="14"/>
      <c r="AF72" s="72"/>
      <c r="AG72" s="49"/>
      <c r="AH72" s="49"/>
      <c r="AI72" s="50"/>
      <c r="AJ72" s="15"/>
      <c r="AK72" s="77"/>
      <c r="AL72" s="77"/>
      <c r="AM72" s="77"/>
      <c r="AN72" s="77"/>
      <c r="AO72" s="77"/>
      <c r="AP72" s="77"/>
      <c r="AQ72" s="77"/>
      <c r="AR72" s="77"/>
      <c r="AS72" s="77"/>
      <c r="AT72" s="77"/>
      <c r="AU72" s="77"/>
      <c r="AV72" s="77"/>
      <c r="AW72" s="77"/>
      <c r="AX72" s="77"/>
      <c r="AY72" s="77"/>
      <c r="AZ72" s="77"/>
      <c r="BA72" s="77"/>
      <c r="BB72" s="77"/>
      <c r="BC72" s="77"/>
      <c r="BD72" s="77"/>
      <c r="BE72" s="77"/>
      <c r="BF72" s="77"/>
      <c r="BG72" s="77"/>
      <c r="BH72" s="77"/>
      <c r="BI72" s="77"/>
      <c r="BJ72" s="77"/>
      <c r="BK72" s="77"/>
      <c r="BL72" s="77"/>
      <c r="BM72" s="77"/>
      <c r="BN72" s="77"/>
      <c r="BO72" s="77"/>
      <c r="BP72" s="77"/>
      <c r="BR72" s="123"/>
      <c r="BS72" s="120"/>
      <c r="BT72" s="120"/>
      <c r="BU72" s="2"/>
      <c r="BV72" s="2"/>
      <c r="BW72" s="2"/>
      <c r="BX72" s="121"/>
    </row>
    <row r="73" spans="1:76" ht="15" customHeight="1">
      <c r="A73" s="13"/>
      <c r="B73" s="88"/>
      <c r="C73" s="94" t="s">
        <v>121</v>
      </c>
      <c r="D73" s="89" t="s">
        <v>117</v>
      </c>
      <c r="E73" s="90"/>
      <c r="F73" s="66" t="s">
        <v>44</v>
      </c>
      <c r="G73" s="67">
        <v>12.481999999999999</v>
      </c>
      <c r="H73" s="92" t="str">
        <f>IF(OOC!S73=0,"",OOC!S73)</f>
        <v/>
      </c>
      <c r="I73" s="92" t="str">
        <f>IF(OOC!T73=0,"",OOC!T73)</f>
        <v/>
      </c>
      <c r="J73" s="68" t="s">
        <v>12</v>
      </c>
      <c r="K73" s="69" t="s">
        <v>80</v>
      </c>
      <c r="L73" s="70" t="e">
        <f t="shared" si="0"/>
        <v>#VALUE!</v>
      </c>
      <c r="M73" s="70" t="e">
        <f t="shared" si="1"/>
        <v>#VALUE!</v>
      </c>
      <c r="N73" s="71"/>
      <c r="O73" s="2" t="e">
        <f t="shared" si="2"/>
        <v>#REF!</v>
      </c>
      <c r="P73" s="2" t="e">
        <f t="shared" si="3"/>
        <v>#REF!</v>
      </c>
      <c r="Q73" s="2" t="e">
        <f t="shared" si="4"/>
        <v>#REF!</v>
      </c>
      <c r="R73" s="3" t="e">
        <f t="shared" si="5"/>
        <v>#REF!</v>
      </c>
      <c r="S73" s="4" t="e">
        <f t="shared" si="10"/>
        <v>#REF!</v>
      </c>
      <c r="T73" s="84" t="e">
        <f t="shared" si="11"/>
        <v>#REF!</v>
      </c>
      <c r="U73" s="85" t="e">
        <f t="shared" si="12"/>
        <v>#REF!</v>
      </c>
      <c r="V73" s="4" t="e">
        <f t="shared" si="6"/>
        <v>#REF!</v>
      </c>
      <c r="W73" s="4" t="e">
        <f t="shared" si="7"/>
        <v>#REF!</v>
      </c>
      <c r="X73" s="4" t="e">
        <f t="shared" si="8"/>
        <v>#REF!</v>
      </c>
      <c r="Y73" s="62" t="e">
        <f t="shared" si="9"/>
        <v>#REF!</v>
      </c>
      <c r="Z73" s="22"/>
      <c r="AA73" s="22"/>
      <c r="AB73" s="22"/>
      <c r="AC73" s="22"/>
      <c r="AD73" s="19"/>
      <c r="AE73" s="14"/>
      <c r="AF73" s="72"/>
      <c r="AG73" s="49"/>
      <c r="AH73" s="49"/>
      <c r="AI73" s="50"/>
      <c r="AJ73" s="15"/>
      <c r="AK73" s="79" t="e">
        <f>#REF!</f>
        <v>#REF!</v>
      </c>
      <c r="AL73" s="79" t="e">
        <f>#REF!</f>
        <v>#REF!</v>
      </c>
      <c r="AM73" s="79" t="e">
        <f>#REF!</f>
        <v>#REF!</v>
      </c>
      <c r="AN73" s="77"/>
      <c r="AO73" s="77"/>
      <c r="AP73" s="77"/>
      <c r="AQ73" s="77"/>
      <c r="AR73" s="77"/>
      <c r="AS73" s="77"/>
      <c r="AT73" s="77"/>
      <c r="AU73" s="77"/>
      <c r="AV73" s="77"/>
      <c r="AW73" s="77"/>
      <c r="AX73" s="77"/>
      <c r="AY73" s="77"/>
      <c r="AZ73" s="77"/>
      <c r="BA73" s="77"/>
      <c r="BB73" s="77"/>
      <c r="BC73" s="77"/>
      <c r="BD73" s="77"/>
      <c r="BE73" s="77"/>
      <c r="BF73" s="77"/>
      <c r="BG73" s="77"/>
      <c r="BH73" s="77"/>
      <c r="BI73" s="77"/>
      <c r="BJ73" s="77"/>
      <c r="BK73" s="77"/>
      <c r="BL73" s="77"/>
      <c r="BM73" s="77"/>
      <c r="BN73" s="77"/>
      <c r="BO73" s="77"/>
      <c r="BP73" s="77"/>
      <c r="BR73" s="123" t="str">
        <f t="shared" si="13"/>
        <v>FAI30</v>
      </c>
      <c r="BS73" s="120">
        <f>OOC!G73</f>
        <v>12.511999999999999</v>
      </c>
      <c r="BT73" s="120">
        <f>OOC!H73</f>
        <v>12.452</v>
      </c>
      <c r="BU73" s="2" t="e">
        <f t="shared" si="14"/>
        <v>#REF!</v>
      </c>
      <c r="BV73" s="2" t="e">
        <f t="shared" si="15"/>
        <v>#REF!</v>
      </c>
      <c r="BW73" s="2" t="e">
        <f t="shared" si="16"/>
        <v>#REF!</v>
      </c>
      <c r="BX73" s="121" t="e">
        <f>IF(AND(IF(OOC!G73="",0,OOC!G73) &gt;= IF(O73="",0,O73), IF(O73="",0,O73) &gt; IF(L73="",0,L73)), "OOC",
IF(AND(IF(M73="",0,M73) &gt; IF(P73="",0,P73), IF(P73="",0,P73) &gt;= IF(OOC!H73="",0,OOC!H73)), "OOC",
IF(IF(O73="",0,O73) &gt; IF(OOC!G73="",0,OOC!G73), "OOS",
IF(IF(OOC!H73="",0,OOC!H73) &gt; IF(P73="",0,P73), "OOS", "OK"))))</f>
        <v>#REF!</v>
      </c>
    </row>
    <row r="74" spans="1:76" ht="15" customHeight="1">
      <c r="A74" s="13">
        <v>4</v>
      </c>
      <c r="B74" s="88"/>
      <c r="C74" s="94" t="s">
        <v>122</v>
      </c>
      <c r="D74" s="89" t="s">
        <v>117</v>
      </c>
      <c r="E74" s="90"/>
      <c r="F74" s="66" t="s">
        <v>44</v>
      </c>
      <c r="G74" s="67">
        <v>11.089</v>
      </c>
      <c r="H74" s="92" t="str">
        <f>IF(OOC!S74=0,"",OOC!S74)</f>
        <v/>
      </c>
      <c r="I74" s="92" t="str">
        <f>IF(OOC!T74=0,"",OOC!T74)</f>
        <v/>
      </c>
      <c r="J74" s="68" t="s">
        <v>12</v>
      </c>
      <c r="K74" s="69" t="s">
        <v>80</v>
      </c>
      <c r="L74" s="70" t="e">
        <f t="shared" si="0"/>
        <v>#VALUE!</v>
      </c>
      <c r="M74" s="70" t="e">
        <f t="shared" si="1"/>
        <v>#VALUE!</v>
      </c>
      <c r="N74" s="71"/>
      <c r="O74" s="2" t="e">
        <f t="shared" si="2"/>
        <v>#REF!</v>
      </c>
      <c r="P74" s="2" t="e">
        <f t="shared" si="3"/>
        <v>#REF!</v>
      </c>
      <c r="Q74" s="2" t="e">
        <f t="shared" si="4"/>
        <v>#REF!</v>
      </c>
      <c r="R74" s="3" t="e">
        <f t="shared" si="5"/>
        <v>#REF!</v>
      </c>
      <c r="S74" s="4" t="e">
        <f t="shared" si="10"/>
        <v>#REF!</v>
      </c>
      <c r="T74" s="84" t="e">
        <f t="shared" si="11"/>
        <v>#REF!</v>
      </c>
      <c r="U74" s="85" t="e">
        <f t="shared" si="12"/>
        <v>#REF!</v>
      </c>
      <c r="V74" s="4" t="e">
        <f t="shared" si="6"/>
        <v>#REF!</v>
      </c>
      <c r="W74" s="4" t="e">
        <f t="shared" si="7"/>
        <v>#REF!</v>
      </c>
      <c r="X74" s="4" t="e">
        <f t="shared" si="8"/>
        <v>#REF!</v>
      </c>
      <c r="Y74" s="62" t="e">
        <f t="shared" si="9"/>
        <v>#REF!</v>
      </c>
      <c r="Z74" s="22" t="e">
        <f>IF($Q74="","",IF(F74="Tolerance",IF(($E74*3*R74+Q74)-G74&lt;H74,"",($E74*3*R74+Q74)-G74),IF(OR(F74="GD&amp;T",F74="MAX"),IF(($E74*3*R74+Q74)&lt;H74,"",($E74*3*R74+Q74)),"")))</f>
        <v>#REF!</v>
      </c>
      <c r="AA74" s="22" t="e">
        <f>IF(Q74="","",IF(F74="Tolerance",IF(-(($E74*3*R74)-Q74)-G74&gt;I74,"",-(($E74*3*R74)-Q74)-G74),IF(F74="MIN",IF(-(($E74*3*R74)-Q74)&gt;I74,"",-(($E74*3*R74)-Q74)),"")))</f>
        <v>#REF!</v>
      </c>
      <c r="AB74" s="22" t="e">
        <f>IF(OR(G74="",Q74=""),"",(L74+M74)/2-Q74)</f>
        <v>#REF!</v>
      </c>
      <c r="AC74" s="22" t="e">
        <f>IF(OR($S74&gt;$AC$9,$R74=""),"",$AC$9*6*$R74)</f>
        <v>#REF!</v>
      </c>
      <c r="AD74" s="19"/>
      <c r="AE74" s="14"/>
      <c r="AF74" s="72"/>
      <c r="AG74" s="49"/>
      <c r="AH74" s="49"/>
      <c r="AI74" s="50"/>
      <c r="AJ74" s="15"/>
      <c r="AK74" s="79" t="e">
        <f>#REF!</f>
        <v>#REF!</v>
      </c>
      <c r="AL74" s="79" t="e">
        <f>#REF!</f>
        <v>#REF!</v>
      </c>
      <c r="AM74" s="79" t="e">
        <f>#REF!</f>
        <v>#REF!</v>
      </c>
      <c r="AN74" s="77"/>
      <c r="AO74" s="77"/>
      <c r="AP74" s="77"/>
      <c r="AQ74" s="77"/>
      <c r="AR74" s="77"/>
      <c r="AS74" s="77"/>
      <c r="AT74" s="77"/>
      <c r="AU74" s="77"/>
      <c r="AV74" s="77"/>
      <c r="AW74" s="77"/>
      <c r="AX74" s="77"/>
      <c r="AY74" s="77"/>
      <c r="AZ74" s="77"/>
      <c r="BA74" s="77"/>
      <c r="BB74" s="77"/>
      <c r="BC74" s="77"/>
      <c r="BD74" s="77"/>
      <c r="BE74" s="77"/>
      <c r="BF74" s="77"/>
      <c r="BG74" s="77"/>
      <c r="BH74" s="77"/>
      <c r="BI74" s="77"/>
      <c r="BJ74" s="77"/>
      <c r="BK74" s="77"/>
      <c r="BL74" s="77"/>
      <c r="BM74" s="77"/>
      <c r="BN74" s="77"/>
      <c r="BO74" s="77"/>
      <c r="BP74" s="77"/>
      <c r="BR74" s="123" t="str">
        <f t="shared" si="13"/>
        <v>FAI31</v>
      </c>
      <c r="BS74" s="120">
        <f>OOC!G74</f>
        <v>11.119</v>
      </c>
      <c r="BT74" s="120">
        <f>OOC!H74</f>
        <v>11.059000000000001</v>
      </c>
      <c r="BU74" s="2" t="e">
        <f t="shared" si="14"/>
        <v>#REF!</v>
      </c>
      <c r="BV74" s="2" t="e">
        <f t="shared" si="15"/>
        <v>#REF!</v>
      </c>
      <c r="BW74" s="2" t="e">
        <f t="shared" si="16"/>
        <v>#REF!</v>
      </c>
      <c r="BX74" s="121" t="e">
        <f>IF(AND(IF(OOC!G74="",0,OOC!G74) &gt;= IF(O74="",0,O74), IF(O74="",0,O74) &gt; IF(L74="",0,L74)), "OOC",
IF(AND(IF(M74="",0,M74) &gt; IF(P74="",0,P74), IF(P74="",0,P74) &gt;= IF(OOC!H74="",0,OOC!H74)), "OOC",
IF(IF(O74="",0,O74) &gt; IF(OOC!G74="",0,OOC!G74), "OOS",
IF(IF(OOC!H74="",0,OOC!H74) &gt; IF(P74="",0,P74), "OOS", "OK"))))</f>
        <v>#REF!</v>
      </c>
    </row>
    <row r="75" spans="1:76" ht="15" customHeight="1">
      <c r="A75" s="13">
        <v>5</v>
      </c>
      <c r="B75" s="88"/>
      <c r="C75" s="78" t="s">
        <v>123</v>
      </c>
      <c r="D75" s="89" t="s">
        <v>117</v>
      </c>
      <c r="E75" s="90"/>
      <c r="F75" s="66" t="s">
        <v>44</v>
      </c>
      <c r="G75" s="67">
        <v>2.0920000000000001</v>
      </c>
      <c r="H75" s="92" t="str">
        <f>IF(OOC!S75=0,"",OOC!S75)</f>
        <v/>
      </c>
      <c r="I75" s="92" t="str">
        <f>IF(OOC!T75=0,"",OOC!T75)</f>
        <v/>
      </c>
      <c r="J75" s="68" t="s">
        <v>12</v>
      </c>
      <c r="K75" s="69" t="s">
        <v>80</v>
      </c>
      <c r="L75" s="70" t="e">
        <f t="shared" si="0"/>
        <v>#VALUE!</v>
      </c>
      <c r="M75" s="70" t="e">
        <f t="shared" si="1"/>
        <v>#VALUE!</v>
      </c>
      <c r="N75" s="71"/>
      <c r="O75" s="2" t="e">
        <f t="shared" si="2"/>
        <v>#REF!</v>
      </c>
      <c r="P75" s="2" t="e">
        <f t="shared" si="3"/>
        <v>#REF!</v>
      </c>
      <c r="Q75" s="2" t="e">
        <f t="shared" si="4"/>
        <v>#REF!</v>
      </c>
      <c r="R75" s="3" t="e">
        <f t="shared" si="5"/>
        <v>#REF!</v>
      </c>
      <c r="S75" s="4" t="e">
        <f t="shared" si="10"/>
        <v>#REF!</v>
      </c>
      <c r="T75" s="84" t="e">
        <f t="shared" si="11"/>
        <v>#REF!</v>
      </c>
      <c r="U75" s="85" t="e">
        <f t="shared" si="12"/>
        <v>#REF!</v>
      </c>
      <c r="V75" s="4" t="e">
        <f t="shared" si="6"/>
        <v>#REF!</v>
      </c>
      <c r="W75" s="4" t="e">
        <f t="shared" si="7"/>
        <v>#REF!</v>
      </c>
      <c r="X75" s="4" t="e">
        <f t="shared" si="8"/>
        <v>#REF!</v>
      </c>
      <c r="Y75" s="62" t="e">
        <f t="shared" si="9"/>
        <v>#REF!</v>
      </c>
      <c r="Z75" s="22" t="e">
        <f>IF($Q75="","",IF(F75="Tolerance",IF(($E75*3*R75+Q75)-G75&lt;H75,"",($E75*3*R75+Q75)-G75),IF(OR(F75="GD&amp;T",F75="MAX"),IF(($E75*3*R75+Q75)&lt;H75,"",($E75*3*R75+Q75)),"")))</f>
        <v>#REF!</v>
      </c>
      <c r="AA75" s="22" t="e">
        <f>IF(Q75="","",IF(F75="Tolerance",IF(-(($E75*3*R75)-Q75)-G75&gt;I75,"",-(($E75*3*R75)-Q75)-G75),IF(F75="MIN",IF(-(($E75*3*R75)-Q75)&gt;I75,"",-(($E75*3*R75)-Q75)),"")))</f>
        <v>#REF!</v>
      </c>
      <c r="AB75" s="22" t="e">
        <f>IF(OR(G75="",Q75=""),"",(L75+M75)/2-Q75)</f>
        <v>#REF!</v>
      </c>
      <c r="AC75" s="22" t="e">
        <f>IF(OR($S75&gt;$AC$9,$R75=""),"",$AC$9*6*$R75)</f>
        <v>#REF!</v>
      </c>
      <c r="AD75" s="19"/>
      <c r="AE75" s="14"/>
      <c r="AF75" s="72"/>
      <c r="AG75" s="49"/>
      <c r="AH75" s="49"/>
      <c r="AI75" s="50"/>
      <c r="AJ75" s="15"/>
      <c r="AK75" s="79" t="e">
        <f>#REF!</f>
        <v>#REF!</v>
      </c>
      <c r="AL75" s="79" t="e">
        <f>#REF!</f>
        <v>#REF!</v>
      </c>
      <c r="AM75" s="79" t="e">
        <f>#REF!</f>
        <v>#REF!</v>
      </c>
      <c r="AN75" s="77"/>
      <c r="AO75" s="77"/>
      <c r="AP75" s="77"/>
      <c r="AQ75" s="77"/>
      <c r="AR75" s="77"/>
      <c r="AS75" s="77"/>
      <c r="AT75" s="77"/>
      <c r="AU75" s="77"/>
      <c r="AV75" s="77"/>
      <c r="AW75" s="77"/>
      <c r="AX75" s="77"/>
      <c r="AY75" s="77"/>
      <c r="AZ75" s="77"/>
      <c r="BA75" s="77"/>
      <c r="BB75" s="77"/>
      <c r="BC75" s="77"/>
      <c r="BD75" s="77"/>
      <c r="BE75" s="77"/>
      <c r="BF75" s="77"/>
      <c r="BG75" s="77"/>
      <c r="BH75" s="77"/>
      <c r="BI75" s="77"/>
      <c r="BJ75" s="77"/>
      <c r="BK75" s="77"/>
      <c r="BL75" s="77"/>
      <c r="BM75" s="77"/>
      <c r="BN75" s="77"/>
      <c r="BO75" s="77"/>
      <c r="BP75" s="77"/>
      <c r="BR75" s="123" t="str">
        <f t="shared" si="13"/>
        <v>FAI32</v>
      </c>
      <c r="BS75" s="120">
        <f>OOC!G75</f>
        <v>2.1219999999999999</v>
      </c>
      <c r="BT75" s="120">
        <f>OOC!H75</f>
        <v>2.0620000000000003</v>
      </c>
      <c r="BU75" s="2" t="e">
        <f t="shared" si="14"/>
        <v>#REF!</v>
      </c>
      <c r="BV75" s="2" t="e">
        <f t="shared" si="15"/>
        <v>#REF!</v>
      </c>
      <c r="BW75" s="2" t="e">
        <f t="shared" si="16"/>
        <v>#REF!</v>
      </c>
      <c r="BX75" s="121" t="e">
        <f>IF(AND(IF(OOC!G75="",0,OOC!G75) &gt;= IF(O75="",0,O75), IF(O75="",0,O75) &gt; IF(L75="",0,L75)), "OOC",
IF(AND(IF(M75="",0,M75) &gt; IF(P75="",0,P75), IF(P75="",0,P75) &gt;= IF(OOC!H75="",0,OOC!H75)), "OOC",
IF(IF(O75="",0,O75) &gt; IF(OOC!G75="",0,OOC!G75), "OOS",
IF(IF(OOC!H75="",0,OOC!H75) &gt; IF(P75="",0,P75), "OOS", "OK"))))</f>
        <v>#REF!</v>
      </c>
    </row>
    <row r="76" spans="1:76" ht="15" customHeight="1">
      <c r="A76" s="13">
        <v>6</v>
      </c>
      <c r="B76" s="88"/>
      <c r="C76" s="78" t="s">
        <v>124</v>
      </c>
      <c r="D76" s="89" t="s">
        <v>158</v>
      </c>
      <c r="E76" s="90"/>
      <c r="F76" s="66" t="s">
        <v>41</v>
      </c>
      <c r="G76" s="67"/>
      <c r="H76" s="92" t="str">
        <f>IF(OOC!S76=0,"",OOC!S76)</f>
        <v/>
      </c>
      <c r="I76" s="92" t="str">
        <f>IF(OOC!T76=0,"",OOC!T76)</f>
        <v/>
      </c>
      <c r="J76" s="68" t="s">
        <v>12</v>
      </c>
      <c r="K76" s="69" t="s">
        <v>80</v>
      </c>
      <c r="L76" s="70" t="str">
        <f t="shared" si="0"/>
        <v/>
      </c>
      <c r="M76" s="70" t="str">
        <f t="shared" si="1"/>
        <v/>
      </c>
      <c r="N76" s="71"/>
      <c r="O76" s="2" t="e">
        <f t="shared" si="2"/>
        <v>#REF!</v>
      </c>
      <c r="P76" s="2" t="e">
        <f t="shared" si="3"/>
        <v>#REF!</v>
      </c>
      <c r="Q76" s="2" t="e">
        <f t="shared" si="4"/>
        <v>#REF!</v>
      </c>
      <c r="R76" s="3" t="e">
        <f t="shared" si="5"/>
        <v>#REF!</v>
      </c>
      <c r="S76" s="4" t="e">
        <f t="shared" si="10"/>
        <v>#REF!</v>
      </c>
      <c r="T76" s="84" t="e">
        <f t="shared" si="11"/>
        <v>#REF!</v>
      </c>
      <c r="U76" s="85" t="e">
        <f t="shared" si="12"/>
        <v>#REF!</v>
      </c>
      <c r="V76" s="4" t="e">
        <f t="shared" si="6"/>
        <v>#REF!</v>
      </c>
      <c r="W76" s="4" t="e">
        <f t="shared" si="7"/>
        <v>#REF!</v>
      </c>
      <c r="X76" s="4" t="e">
        <f t="shared" si="8"/>
        <v>#REF!</v>
      </c>
      <c r="Y76" s="62" t="e">
        <f t="shared" si="9"/>
        <v>#REF!</v>
      </c>
      <c r="Z76" s="22" t="e">
        <f>IF($Q76="","",IF(F76="Tolerance",IF(($E76*3*R76+Q76)-G76&lt;H76,"",($E76*3*R76+Q76)-G76),IF(OR(F76="GD&amp;T",F76="MAX"),IF(($E76*3*R76+Q76)&lt;H76,"",($E76*3*R76+Q76)),"")))</f>
        <v>#REF!</v>
      </c>
      <c r="AA76" s="22" t="e">
        <f>IF(Q76="","",IF(F76="Tolerance",IF(-(($E76*3*R76)-Q76)-G76&gt;I76,"",-(($E76*3*R76)-Q76)-G76),IF(F76="MIN",IF(-(($E76*3*R76)-Q76)&gt;I76,"",-(($E76*3*R76)-Q76)),"")))</f>
        <v>#REF!</v>
      </c>
      <c r="AB76" s="22" t="e">
        <f>IF(OR(G76="",Q76=""),"",(L76+M76)/2-Q76)</f>
        <v>#REF!</v>
      </c>
      <c r="AC76" s="22" t="e">
        <f>IF(OR($S76&gt;$AC$9,$R76=""),"",$AC$9*6*$R76)</f>
        <v>#REF!</v>
      </c>
      <c r="AD76" s="19"/>
      <c r="AE76" s="14"/>
      <c r="AF76" s="72"/>
      <c r="AG76" s="49"/>
      <c r="AH76" s="49"/>
      <c r="AI76" s="50"/>
      <c r="AJ76" s="15"/>
      <c r="AK76" s="79" t="e">
        <f>#REF!</f>
        <v>#REF!</v>
      </c>
      <c r="AL76" s="79" t="e">
        <f>#REF!</f>
        <v>#REF!</v>
      </c>
      <c r="AM76" s="79" t="e">
        <f>#REF!</f>
        <v>#REF!</v>
      </c>
      <c r="AN76" s="77"/>
      <c r="AO76" s="77"/>
      <c r="AP76" s="77"/>
      <c r="AQ76" s="77"/>
      <c r="AR76" s="77"/>
      <c r="AS76" s="77"/>
      <c r="AT76" s="77"/>
      <c r="AU76" s="77"/>
      <c r="AV76" s="77"/>
      <c r="AW76" s="77"/>
      <c r="AX76" s="77"/>
      <c r="AY76" s="77"/>
      <c r="AZ76" s="77"/>
      <c r="BA76" s="77"/>
      <c r="BB76" s="77"/>
      <c r="BC76" s="77"/>
      <c r="BD76" s="77"/>
      <c r="BE76" s="77"/>
      <c r="BF76" s="77"/>
      <c r="BG76" s="77"/>
      <c r="BH76" s="77"/>
      <c r="BI76" s="77"/>
      <c r="BJ76" s="77"/>
      <c r="BK76" s="77"/>
      <c r="BL76" s="77"/>
      <c r="BM76" s="77"/>
      <c r="BN76" s="77"/>
      <c r="BO76" s="77"/>
      <c r="BP76" s="77"/>
      <c r="BR76" s="123" t="str">
        <f t="shared" si="13"/>
        <v>FAI33</v>
      </c>
      <c r="BS76" s="120">
        <f>OOC!G76</f>
        <v>0.03</v>
      </c>
      <c r="BT76" s="120" t="str">
        <f>OOC!H76</f>
        <v/>
      </c>
      <c r="BU76" s="2" t="e">
        <f t="shared" si="14"/>
        <v>#REF!</v>
      </c>
      <c r="BV76" s="2" t="e">
        <f t="shared" si="15"/>
        <v>#REF!</v>
      </c>
      <c r="BW76" s="2" t="e">
        <f t="shared" si="16"/>
        <v>#REF!</v>
      </c>
      <c r="BX76" s="121" t="e">
        <f>IF(AND(IF(OOC!G76="",0,OOC!G76) &gt;= IF(O76="",0,O76), IF(O76="",0,O76) &gt; IF(L76="",0,L76)), "OOC",
IF(AND(IF(M76="",0,M76) &gt; IF(P76="",0,P76), IF(P76="",0,P76) &gt;= IF(OOC!H76="",0,OOC!H76)), "OOC",
IF(IF(O76="",0,O76) &gt; IF(OOC!G76="",0,OOC!G76), "OOS",
IF(IF(OOC!H76="",0,OOC!H76) &gt; IF(P76="",0,P76), "OOS", "OK"))))</f>
        <v>#REF!</v>
      </c>
    </row>
    <row r="77" spans="1:76" ht="15" customHeight="1">
      <c r="A77" s="13"/>
      <c r="B77" s="88"/>
      <c r="C77" s="78"/>
      <c r="D77" s="89"/>
      <c r="E77" s="90"/>
      <c r="F77" s="66"/>
      <c r="G77" s="67"/>
      <c r="H77" s="92"/>
      <c r="I77" s="92"/>
      <c r="J77" s="68"/>
      <c r="K77" s="69"/>
      <c r="L77" s="70"/>
      <c r="M77" s="70"/>
      <c r="N77" s="71"/>
      <c r="O77" s="2"/>
      <c r="P77" s="2"/>
      <c r="Q77" s="2"/>
      <c r="R77" s="3"/>
      <c r="S77" s="4"/>
      <c r="T77" s="84"/>
      <c r="U77" s="85"/>
      <c r="V77" s="4"/>
      <c r="W77" s="4"/>
      <c r="X77" s="4"/>
      <c r="Y77" s="62"/>
      <c r="Z77" s="22"/>
      <c r="AA77" s="22"/>
      <c r="AB77" s="22"/>
      <c r="AC77" s="22"/>
      <c r="AD77" s="19"/>
      <c r="AE77" s="14"/>
      <c r="AF77" s="72"/>
      <c r="AG77" s="49"/>
      <c r="AH77" s="49"/>
      <c r="AI77" s="50"/>
      <c r="AJ77" s="15"/>
      <c r="AK77" s="79"/>
      <c r="AL77" s="79"/>
      <c r="AM77" s="79"/>
      <c r="AN77" s="77"/>
      <c r="AO77" s="77"/>
      <c r="AP77" s="77"/>
      <c r="AQ77" s="77"/>
      <c r="AR77" s="77"/>
      <c r="AS77" s="77"/>
      <c r="AT77" s="77"/>
      <c r="AU77" s="77"/>
      <c r="AV77" s="77"/>
      <c r="AW77" s="77"/>
      <c r="AX77" s="77"/>
      <c r="AY77" s="77"/>
      <c r="AZ77" s="77"/>
      <c r="BA77" s="77"/>
      <c r="BB77" s="77"/>
      <c r="BC77" s="77"/>
      <c r="BD77" s="77"/>
      <c r="BE77" s="77"/>
      <c r="BF77" s="77"/>
      <c r="BG77" s="77"/>
      <c r="BH77" s="77"/>
      <c r="BI77" s="77"/>
      <c r="BJ77" s="77"/>
      <c r="BK77" s="77"/>
      <c r="BL77" s="77"/>
      <c r="BM77" s="77"/>
      <c r="BN77" s="77"/>
      <c r="BO77" s="77"/>
      <c r="BP77" s="77"/>
      <c r="BR77" s="123"/>
      <c r="BS77" s="120"/>
      <c r="BT77" s="120"/>
      <c r="BU77" s="2"/>
      <c r="BV77" s="2"/>
      <c r="BW77" s="2"/>
      <c r="BX77" s="121"/>
    </row>
    <row r="78" spans="1:76" ht="15" customHeight="1">
      <c r="A78" s="13"/>
      <c r="B78" s="88"/>
      <c r="C78" s="78"/>
      <c r="D78" s="89"/>
      <c r="E78" s="90"/>
      <c r="F78" s="66"/>
      <c r="G78" s="67"/>
      <c r="H78" s="92"/>
      <c r="I78" s="92"/>
      <c r="J78" s="68"/>
      <c r="K78" s="69"/>
      <c r="L78" s="70"/>
      <c r="M78" s="70"/>
      <c r="N78" s="71"/>
      <c r="O78" s="2"/>
      <c r="P78" s="2"/>
      <c r="Q78" s="2"/>
      <c r="R78" s="3"/>
      <c r="S78" s="4"/>
      <c r="T78" s="84"/>
      <c r="U78" s="85"/>
      <c r="V78" s="4"/>
      <c r="W78" s="4"/>
      <c r="X78" s="4"/>
      <c r="Y78" s="62"/>
      <c r="Z78" s="22"/>
      <c r="AA78" s="22"/>
      <c r="AB78" s="22"/>
      <c r="AC78" s="22"/>
      <c r="AD78" s="19"/>
      <c r="AE78" s="14"/>
      <c r="AF78" s="72"/>
      <c r="AG78" s="49"/>
      <c r="AH78" s="49"/>
      <c r="AI78" s="50"/>
      <c r="AJ78" s="15"/>
      <c r="AK78" s="79"/>
      <c r="AL78" s="79"/>
      <c r="AM78" s="79"/>
      <c r="AN78" s="77"/>
      <c r="AO78" s="77"/>
      <c r="AP78" s="77"/>
      <c r="AQ78" s="77"/>
      <c r="AR78" s="77"/>
      <c r="AS78" s="77"/>
      <c r="AT78" s="77"/>
      <c r="AU78" s="77"/>
      <c r="AV78" s="77"/>
      <c r="AW78" s="77"/>
      <c r="AX78" s="77"/>
      <c r="AY78" s="77"/>
      <c r="AZ78" s="77"/>
      <c r="BA78" s="77"/>
      <c r="BB78" s="77"/>
      <c r="BC78" s="77"/>
      <c r="BD78" s="77"/>
      <c r="BE78" s="77"/>
      <c r="BF78" s="77"/>
      <c r="BG78" s="77"/>
      <c r="BH78" s="77"/>
      <c r="BI78" s="77"/>
      <c r="BJ78" s="77"/>
      <c r="BK78" s="77"/>
      <c r="BL78" s="77"/>
      <c r="BM78" s="77"/>
      <c r="BN78" s="77"/>
      <c r="BO78" s="77"/>
      <c r="BP78" s="77"/>
      <c r="BR78" s="123"/>
      <c r="BS78" s="120"/>
      <c r="BT78" s="120"/>
      <c r="BU78" s="2"/>
      <c r="BV78" s="2"/>
      <c r="BW78" s="2"/>
      <c r="BX78" s="121"/>
    </row>
    <row r="79" spans="1:76" ht="15" customHeight="1">
      <c r="A79" s="13"/>
      <c r="B79" s="88"/>
      <c r="C79" s="78"/>
      <c r="D79" s="89"/>
      <c r="E79" s="90"/>
      <c r="F79" s="66"/>
      <c r="G79" s="67"/>
      <c r="H79" s="92"/>
      <c r="I79" s="92"/>
      <c r="J79" s="68"/>
      <c r="K79" s="69"/>
      <c r="L79" s="70"/>
      <c r="M79" s="70"/>
      <c r="N79" s="71"/>
      <c r="O79" s="2"/>
      <c r="P79" s="2"/>
      <c r="Q79" s="2"/>
      <c r="R79" s="3"/>
      <c r="S79" s="4"/>
      <c r="T79" s="84"/>
      <c r="U79" s="85"/>
      <c r="V79" s="4"/>
      <c r="W79" s="4"/>
      <c r="X79" s="4"/>
      <c r="Y79" s="62"/>
      <c r="Z79" s="22"/>
      <c r="AA79" s="22"/>
      <c r="AB79" s="22"/>
      <c r="AC79" s="22"/>
      <c r="AD79" s="19"/>
      <c r="AE79" s="14"/>
      <c r="AF79" s="72"/>
      <c r="AG79" s="49"/>
      <c r="AH79" s="49"/>
      <c r="AI79" s="50"/>
      <c r="AJ79" s="15"/>
      <c r="AK79" s="79"/>
      <c r="AL79" s="79"/>
      <c r="AM79" s="79"/>
      <c r="AN79" s="77"/>
      <c r="AO79" s="77"/>
      <c r="AP79" s="77"/>
      <c r="AQ79" s="77"/>
      <c r="AR79" s="77"/>
      <c r="AS79" s="77"/>
      <c r="AT79" s="77"/>
      <c r="AU79" s="77"/>
      <c r="AV79" s="77"/>
      <c r="AW79" s="77"/>
      <c r="AX79" s="77"/>
      <c r="AY79" s="77"/>
      <c r="AZ79" s="77"/>
      <c r="BA79" s="77"/>
      <c r="BB79" s="77"/>
      <c r="BC79" s="77"/>
      <c r="BD79" s="77"/>
      <c r="BE79" s="77"/>
      <c r="BF79" s="77"/>
      <c r="BG79" s="77"/>
      <c r="BH79" s="77"/>
      <c r="BI79" s="77"/>
      <c r="BJ79" s="77"/>
      <c r="BK79" s="77"/>
      <c r="BL79" s="77"/>
      <c r="BM79" s="77"/>
      <c r="BN79" s="77"/>
      <c r="BO79" s="77"/>
      <c r="BP79" s="77"/>
      <c r="BR79" s="123"/>
      <c r="BS79" s="120"/>
      <c r="BT79" s="120"/>
      <c r="BU79" s="2"/>
      <c r="BV79" s="2"/>
      <c r="BW79" s="2"/>
      <c r="BX79" s="121"/>
    </row>
    <row r="80" spans="1:76" ht="15" customHeight="1">
      <c r="A80" s="13"/>
      <c r="B80" s="88"/>
      <c r="C80" s="78"/>
      <c r="D80" s="89"/>
      <c r="E80" s="90"/>
      <c r="F80" s="66"/>
      <c r="G80" s="67"/>
      <c r="H80" s="92"/>
      <c r="I80" s="92"/>
      <c r="J80" s="68"/>
      <c r="K80" s="69"/>
      <c r="L80" s="70"/>
      <c r="M80" s="70"/>
      <c r="N80" s="71"/>
      <c r="O80" s="2"/>
      <c r="P80" s="2"/>
      <c r="Q80" s="2"/>
      <c r="R80" s="3"/>
      <c r="S80" s="4"/>
      <c r="T80" s="84"/>
      <c r="U80" s="85"/>
      <c r="V80" s="4"/>
      <c r="W80" s="4"/>
      <c r="X80" s="4"/>
      <c r="Y80" s="62"/>
      <c r="Z80" s="22"/>
      <c r="AA80" s="22"/>
      <c r="AB80" s="22"/>
      <c r="AC80" s="22"/>
      <c r="AD80" s="19"/>
      <c r="AE80" s="14"/>
      <c r="AF80" s="72"/>
      <c r="AG80" s="49"/>
      <c r="AH80" s="49"/>
      <c r="AI80" s="50"/>
      <c r="AJ80" s="15"/>
      <c r="AK80" s="79"/>
      <c r="AL80" s="79"/>
      <c r="AM80" s="79"/>
      <c r="AN80" s="77"/>
      <c r="AO80" s="77"/>
      <c r="AP80" s="77"/>
      <c r="AQ80" s="77"/>
      <c r="AR80" s="77"/>
      <c r="AS80" s="77"/>
      <c r="AT80" s="77"/>
      <c r="AU80" s="77"/>
      <c r="AV80" s="77"/>
      <c r="AW80" s="77"/>
      <c r="AX80" s="77"/>
      <c r="AY80" s="77"/>
      <c r="AZ80" s="77"/>
      <c r="BA80" s="77"/>
      <c r="BB80" s="77"/>
      <c r="BC80" s="77"/>
      <c r="BD80" s="77"/>
      <c r="BE80" s="77"/>
      <c r="BF80" s="77"/>
      <c r="BG80" s="77"/>
      <c r="BH80" s="77"/>
      <c r="BI80" s="77"/>
      <c r="BJ80" s="77"/>
      <c r="BK80" s="77"/>
      <c r="BL80" s="77"/>
      <c r="BM80" s="77"/>
      <c r="BN80" s="77"/>
      <c r="BO80" s="77"/>
      <c r="BP80" s="77"/>
      <c r="BR80" s="123"/>
      <c r="BS80" s="120"/>
      <c r="BT80" s="120"/>
      <c r="BU80" s="2"/>
      <c r="BV80" s="2"/>
      <c r="BW80" s="2"/>
      <c r="BX80" s="121"/>
    </row>
    <row r="81" spans="1:76" ht="15" customHeight="1">
      <c r="A81" s="13"/>
      <c r="B81" s="88"/>
      <c r="C81" s="78" t="s">
        <v>125</v>
      </c>
      <c r="D81" s="89" t="s">
        <v>117</v>
      </c>
      <c r="E81" s="90"/>
      <c r="F81" s="66" t="s">
        <v>41</v>
      </c>
      <c r="G81" s="67"/>
      <c r="H81" s="92" t="str">
        <f>IF(OOC!S81=0,"",OOC!S81)</f>
        <v/>
      </c>
      <c r="I81" s="92" t="str">
        <f>IF(OOC!T81=0,"",OOC!T81)</f>
        <v/>
      </c>
      <c r="J81" s="68" t="s">
        <v>12</v>
      </c>
      <c r="K81" s="69" t="s">
        <v>80</v>
      </c>
      <c r="L81" s="70" t="str">
        <f t="shared" si="0"/>
        <v/>
      </c>
      <c r="M81" s="70" t="str">
        <f t="shared" si="1"/>
        <v/>
      </c>
      <c r="N81" s="71"/>
      <c r="O81" s="2" t="e">
        <f t="shared" si="2"/>
        <v>#REF!</v>
      </c>
      <c r="P81" s="2" t="e">
        <f t="shared" si="3"/>
        <v>#REF!</v>
      </c>
      <c r="Q81" s="2" t="e">
        <f t="shared" si="4"/>
        <v>#REF!</v>
      </c>
      <c r="R81" s="3" t="e">
        <f t="shared" si="5"/>
        <v>#REF!</v>
      </c>
      <c r="S81" s="4" t="e">
        <f t="shared" si="10"/>
        <v>#REF!</v>
      </c>
      <c r="T81" s="84" t="e">
        <f t="shared" si="11"/>
        <v>#REF!</v>
      </c>
      <c r="U81" s="85" t="e">
        <f t="shared" si="12"/>
        <v>#REF!</v>
      </c>
      <c r="V81" s="4" t="e">
        <f t="shared" si="6"/>
        <v>#REF!</v>
      </c>
      <c r="W81" s="4" t="e">
        <f t="shared" si="7"/>
        <v>#REF!</v>
      </c>
      <c r="X81" s="4" t="e">
        <f t="shared" si="8"/>
        <v>#REF!</v>
      </c>
      <c r="Y81" s="62" t="e">
        <f t="shared" si="9"/>
        <v>#REF!</v>
      </c>
      <c r="Z81" s="22"/>
      <c r="AA81" s="22"/>
      <c r="AB81" s="22"/>
      <c r="AC81" s="22"/>
      <c r="AD81" s="19"/>
      <c r="AE81" s="14"/>
      <c r="AF81" s="74"/>
      <c r="AG81" s="49"/>
      <c r="AH81" s="49"/>
      <c r="AI81" s="50"/>
      <c r="AJ81" s="15"/>
      <c r="AK81" s="79" t="e">
        <f>#REF!</f>
        <v>#REF!</v>
      </c>
      <c r="AL81" s="79" t="e">
        <f>#REF!</f>
        <v>#REF!</v>
      </c>
      <c r="AM81" s="79" t="e">
        <f>#REF!</f>
        <v>#REF!</v>
      </c>
      <c r="AN81" s="77"/>
      <c r="AO81" s="77"/>
      <c r="AP81" s="77"/>
      <c r="AQ81" s="77"/>
      <c r="AR81" s="77"/>
      <c r="AS81" s="77"/>
      <c r="AT81" s="77"/>
      <c r="AU81" s="77"/>
      <c r="AV81" s="77"/>
      <c r="AW81" s="77"/>
      <c r="AX81" s="77"/>
      <c r="AY81" s="77"/>
      <c r="AZ81" s="77"/>
      <c r="BA81" s="77"/>
      <c r="BB81" s="77"/>
      <c r="BC81" s="77"/>
      <c r="BD81" s="77"/>
      <c r="BE81" s="77"/>
      <c r="BF81" s="77"/>
      <c r="BG81" s="77"/>
      <c r="BH81" s="77"/>
      <c r="BI81" s="77"/>
      <c r="BJ81" s="77"/>
      <c r="BK81" s="77"/>
      <c r="BL81" s="77"/>
      <c r="BM81" s="77"/>
      <c r="BN81" s="77"/>
      <c r="BO81" s="77"/>
      <c r="BP81" s="77"/>
      <c r="BR81" s="123" t="str">
        <f t="shared" si="13"/>
        <v>FAI34</v>
      </c>
      <c r="BS81" s="120">
        <f>OOC!G81</f>
        <v>0.02</v>
      </c>
      <c r="BT81" s="120" t="str">
        <f>OOC!H81</f>
        <v/>
      </c>
      <c r="BU81" s="2" t="e">
        <f t="shared" si="14"/>
        <v>#REF!</v>
      </c>
      <c r="BV81" s="2" t="e">
        <f t="shared" si="15"/>
        <v>#REF!</v>
      </c>
      <c r="BW81" s="2" t="e">
        <f t="shared" si="16"/>
        <v>#REF!</v>
      </c>
      <c r="BX81" s="121" t="e">
        <f>IF(AND(IF(OOC!G81="",0,OOC!G81) &gt;= IF(O81="",0,O81), IF(O81="",0,O81) &gt; IF(L81="",0,L81)), "OOC",
IF(AND(IF(M81="",0,M81) &gt; IF(P81="",0,P81), IF(P81="",0,P81) &gt;= IF(OOC!H81="",0,OOC!H81)), "OOC",
IF(IF(O81="",0,O81) &gt; IF(OOC!G81="",0,OOC!G81), "OOS",
IF(IF(OOC!H81="",0,OOC!H81) &gt; IF(P81="",0,P81), "OOS", "OK"))))</f>
        <v>#REF!</v>
      </c>
    </row>
    <row r="82" spans="1:76" ht="15" customHeight="1">
      <c r="A82" s="13"/>
      <c r="B82" s="88"/>
      <c r="C82" s="78"/>
      <c r="D82" s="89"/>
      <c r="E82" s="90"/>
      <c r="F82" s="66"/>
      <c r="G82" s="67"/>
      <c r="H82" s="92"/>
      <c r="I82" s="92"/>
      <c r="J82" s="68"/>
      <c r="K82" s="69"/>
      <c r="L82" s="70"/>
      <c r="M82" s="70"/>
      <c r="N82" s="71"/>
      <c r="O82" s="2"/>
      <c r="P82" s="2"/>
      <c r="Q82" s="2"/>
      <c r="R82" s="3"/>
      <c r="S82" s="4"/>
      <c r="T82" s="84"/>
      <c r="U82" s="85"/>
      <c r="V82" s="4"/>
      <c r="W82" s="4"/>
      <c r="X82" s="4"/>
      <c r="Y82" s="62"/>
      <c r="Z82" s="22"/>
      <c r="AA82" s="22"/>
      <c r="AB82" s="22"/>
      <c r="AC82" s="22"/>
      <c r="AD82" s="19"/>
      <c r="AE82" s="14"/>
      <c r="AF82" s="74"/>
      <c r="AG82" s="49"/>
      <c r="AH82" s="49"/>
      <c r="AI82" s="50"/>
      <c r="AJ82" s="15"/>
      <c r="AK82" s="79"/>
      <c r="AL82" s="79"/>
      <c r="AM82" s="79"/>
      <c r="AN82" s="77"/>
      <c r="AO82" s="77"/>
      <c r="AP82" s="77"/>
      <c r="AQ82" s="77"/>
      <c r="AR82" s="77"/>
      <c r="AS82" s="77"/>
      <c r="AT82" s="77"/>
      <c r="AU82" s="77"/>
      <c r="AV82" s="77"/>
      <c r="AW82" s="77"/>
      <c r="AX82" s="77"/>
      <c r="AY82" s="77"/>
      <c r="AZ82" s="77"/>
      <c r="BA82" s="77"/>
      <c r="BB82" s="77"/>
      <c r="BC82" s="77"/>
      <c r="BD82" s="77"/>
      <c r="BE82" s="77"/>
      <c r="BF82" s="77"/>
      <c r="BG82" s="77"/>
      <c r="BH82" s="77"/>
      <c r="BI82" s="77"/>
      <c r="BJ82" s="77"/>
      <c r="BK82" s="77"/>
      <c r="BL82" s="77"/>
      <c r="BM82" s="77"/>
      <c r="BN82" s="77"/>
      <c r="BO82" s="77"/>
      <c r="BP82" s="77"/>
      <c r="BR82" s="123"/>
      <c r="BS82" s="120"/>
      <c r="BT82" s="120"/>
      <c r="BU82" s="2"/>
      <c r="BV82" s="2"/>
      <c r="BW82" s="2"/>
      <c r="BX82" s="121"/>
    </row>
    <row r="83" spans="1:76" ht="15" customHeight="1">
      <c r="A83" s="13"/>
      <c r="B83" s="88"/>
      <c r="C83" s="78"/>
      <c r="D83" s="89"/>
      <c r="E83" s="90"/>
      <c r="F83" s="66"/>
      <c r="G83" s="67"/>
      <c r="H83" s="92"/>
      <c r="I83" s="92"/>
      <c r="J83" s="68"/>
      <c r="K83" s="69"/>
      <c r="L83" s="70"/>
      <c r="M83" s="70"/>
      <c r="N83" s="71"/>
      <c r="O83" s="2"/>
      <c r="P83" s="2"/>
      <c r="Q83" s="2"/>
      <c r="R83" s="3"/>
      <c r="S83" s="4"/>
      <c r="T83" s="84"/>
      <c r="U83" s="85"/>
      <c r="V83" s="4"/>
      <c r="W83" s="4"/>
      <c r="X83" s="4"/>
      <c r="Y83" s="62"/>
      <c r="Z83" s="22"/>
      <c r="AA83" s="22"/>
      <c r="AB83" s="22"/>
      <c r="AC83" s="22"/>
      <c r="AD83" s="19"/>
      <c r="AE83" s="14"/>
      <c r="AF83" s="74"/>
      <c r="AG83" s="49"/>
      <c r="AH83" s="49"/>
      <c r="AI83" s="50"/>
      <c r="AJ83" s="15"/>
      <c r="AK83" s="79"/>
      <c r="AL83" s="79"/>
      <c r="AM83" s="79"/>
      <c r="AN83" s="77"/>
      <c r="AO83" s="77"/>
      <c r="AP83" s="77"/>
      <c r="AQ83" s="77"/>
      <c r="AR83" s="77"/>
      <c r="AS83" s="77"/>
      <c r="AT83" s="77"/>
      <c r="AU83" s="77"/>
      <c r="AV83" s="77"/>
      <c r="AW83" s="77"/>
      <c r="AX83" s="77"/>
      <c r="AY83" s="77"/>
      <c r="AZ83" s="77"/>
      <c r="BA83" s="77"/>
      <c r="BB83" s="77"/>
      <c r="BC83" s="77"/>
      <c r="BD83" s="77"/>
      <c r="BE83" s="77"/>
      <c r="BF83" s="77"/>
      <c r="BG83" s="77"/>
      <c r="BH83" s="77"/>
      <c r="BI83" s="77"/>
      <c r="BJ83" s="77"/>
      <c r="BK83" s="77"/>
      <c r="BL83" s="77"/>
      <c r="BM83" s="77"/>
      <c r="BN83" s="77"/>
      <c r="BO83" s="77"/>
      <c r="BP83" s="77"/>
      <c r="BR83" s="123"/>
      <c r="BS83" s="120"/>
      <c r="BT83" s="120"/>
      <c r="BU83" s="2"/>
      <c r="BV83" s="2"/>
      <c r="BW83" s="2"/>
      <c r="BX83" s="121"/>
    </row>
    <row r="84" spans="1:76" ht="15" customHeight="1">
      <c r="A84" s="13"/>
      <c r="B84" s="88"/>
      <c r="C84" s="78"/>
      <c r="D84" s="89"/>
      <c r="E84" s="90"/>
      <c r="F84" s="66"/>
      <c r="G84" s="67"/>
      <c r="H84" s="92"/>
      <c r="I84" s="92"/>
      <c r="J84" s="68"/>
      <c r="K84" s="69"/>
      <c r="L84" s="70"/>
      <c r="M84" s="70"/>
      <c r="N84" s="71"/>
      <c r="O84" s="2"/>
      <c r="P84" s="2"/>
      <c r="Q84" s="2"/>
      <c r="R84" s="3"/>
      <c r="S84" s="4"/>
      <c r="T84" s="84"/>
      <c r="U84" s="85"/>
      <c r="V84" s="4"/>
      <c r="W84" s="4"/>
      <c r="X84" s="4"/>
      <c r="Y84" s="62"/>
      <c r="Z84" s="22"/>
      <c r="AA84" s="22"/>
      <c r="AB84" s="22"/>
      <c r="AC84" s="22"/>
      <c r="AD84" s="19"/>
      <c r="AE84" s="14"/>
      <c r="AF84" s="74"/>
      <c r="AG84" s="49"/>
      <c r="AH84" s="49"/>
      <c r="AI84" s="50"/>
      <c r="AJ84" s="15"/>
      <c r="AK84" s="79"/>
      <c r="AL84" s="79"/>
      <c r="AM84" s="79"/>
      <c r="AN84" s="77"/>
      <c r="AO84" s="77"/>
      <c r="AP84" s="77"/>
      <c r="AQ84" s="77"/>
      <c r="AR84" s="77"/>
      <c r="AS84" s="77"/>
      <c r="AT84" s="77"/>
      <c r="AU84" s="77"/>
      <c r="AV84" s="77"/>
      <c r="AW84" s="77"/>
      <c r="AX84" s="77"/>
      <c r="AY84" s="77"/>
      <c r="AZ84" s="77"/>
      <c r="BA84" s="77"/>
      <c r="BB84" s="77"/>
      <c r="BC84" s="77"/>
      <c r="BD84" s="77"/>
      <c r="BE84" s="77"/>
      <c r="BF84" s="77"/>
      <c r="BG84" s="77"/>
      <c r="BH84" s="77"/>
      <c r="BI84" s="77"/>
      <c r="BJ84" s="77"/>
      <c r="BK84" s="77"/>
      <c r="BL84" s="77"/>
      <c r="BM84" s="77"/>
      <c r="BN84" s="77"/>
      <c r="BO84" s="77"/>
      <c r="BP84" s="77"/>
      <c r="BR84" s="123"/>
      <c r="BS84" s="120"/>
      <c r="BT84" s="120"/>
      <c r="BU84" s="2"/>
      <c r="BV84" s="2"/>
      <c r="BW84" s="2"/>
      <c r="BX84" s="121"/>
    </row>
    <row r="85" spans="1:76" ht="15" customHeight="1">
      <c r="A85" s="13"/>
      <c r="B85" s="88"/>
      <c r="C85" s="78"/>
      <c r="D85" s="89"/>
      <c r="E85" s="90"/>
      <c r="F85" s="66"/>
      <c r="G85" s="67"/>
      <c r="H85" s="92"/>
      <c r="I85" s="92"/>
      <c r="J85" s="68"/>
      <c r="K85" s="69"/>
      <c r="L85" s="70"/>
      <c r="M85" s="70"/>
      <c r="N85" s="71"/>
      <c r="O85" s="2"/>
      <c r="P85" s="2"/>
      <c r="Q85" s="2"/>
      <c r="R85" s="3"/>
      <c r="S85" s="4"/>
      <c r="T85" s="84"/>
      <c r="U85" s="85"/>
      <c r="V85" s="4"/>
      <c r="W85" s="4"/>
      <c r="X85" s="4"/>
      <c r="Y85" s="62"/>
      <c r="Z85" s="22"/>
      <c r="AA85" s="22"/>
      <c r="AB85" s="22"/>
      <c r="AC85" s="22"/>
      <c r="AD85" s="19"/>
      <c r="AE85" s="14"/>
      <c r="AF85" s="74"/>
      <c r="AG85" s="49"/>
      <c r="AH85" s="49"/>
      <c r="AI85" s="50"/>
      <c r="AJ85" s="15"/>
      <c r="AK85" s="79"/>
      <c r="AL85" s="79"/>
      <c r="AM85" s="79"/>
      <c r="AN85" s="77"/>
      <c r="AO85" s="77"/>
      <c r="AP85" s="77"/>
      <c r="AQ85" s="77"/>
      <c r="AR85" s="77"/>
      <c r="AS85" s="77"/>
      <c r="AT85" s="77"/>
      <c r="AU85" s="77"/>
      <c r="AV85" s="77"/>
      <c r="AW85" s="77"/>
      <c r="AX85" s="77"/>
      <c r="AY85" s="77"/>
      <c r="AZ85" s="77"/>
      <c r="BA85" s="77"/>
      <c r="BB85" s="77"/>
      <c r="BC85" s="77"/>
      <c r="BD85" s="77"/>
      <c r="BE85" s="77"/>
      <c r="BF85" s="77"/>
      <c r="BG85" s="77"/>
      <c r="BH85" s="77"/>
      <c r="BI85" s="77"/>
      <c r="BJ85" s="77"/>
      <c r="BK85" s="77"/>
      <c r="BL85" s="77"/>
      <c r="BM85" s="77"/>
      <c r="BN85" s="77"/>
      <c r="BO85" s="77"/>
      <c r="BP85" s="77"/>
      <c r="BR85" s="123"/>
      <c r="BS85" s="120"/>
      <c r="BT85" s="120"/>
      <c r="BU85" s="2"/>
      <c r="BV85" s="2"/>
      <c r="BW85" s="2"/>
      <c r="BX85" s="121"/>
    </row>
    <row r="86" spans="1:76" ht="15" customHeight="1">
      <c r="A86" s="13"/>
      <c r="B86" s="88"/>
      <c r="C86" s="78" t="s">
        <v>126</v>
      </c>
      <c r="D86" s="89" t="s">
        <v>117</v>
      </c>
      <c r="E86" s="90"/>
      <c r="F86" s="66" t="s">
        <v>44</v>
      </c>
      <c r="G86" s="91">
        <v>13.614000000000001</v>
      </c>
      <c r="H86" s="92" t="str">
        <f>IF(OOC!S86=0,"",OOC!S86)</f>
        <v/>
      </c>
      <c r="I86" s="92" t="str">
        <f>IF(OOC!T86=0,"",OOC!T86)</f>
        <v/>
      </c>
      <c r="J86" s="68" t="s">
        <v>12</v>
      </c>
      <c r="K86" s="69" t="s">
        <v>80</v>
      </c>
      <c r="L86" s="70" t="e">
        <f t="shared" si="0"/>
        <v>#VALUE!</v>
      </c>
      <c r="M86" s="70" t="e">
        <f t="shared" si="1"/>
        <v>#VALUE!</v>
      </c>
      <c r="N86" s="71"/>
      <c r="O86" s="2" t="e">
        <f t="shared" si="2"/>
        <v>#REF!</v>
      </c>
      <c r="P86" s="2" t="e">
        <f t="shared" si="3"/>
        <v>#REF!</v>
      </c>
      <c r="Q86" s="2" t="e">
        <f t="shared" si="4"/>
        <v>#REF!</v>
      </c>
      <c r="R86" s="3" t="e">
        <f t="shared" si="5"/>
        <v>#REF!</v>
      </c>
      <c r="S86" s="4" t="e">
        <f t="shared" si="10"/>
        <v>#REF!</v>
      </c>
      <c r="T86" s="84" t="e">
        <f t="shared" si="11"/>
        <v>#REF!</v>
      </c>
      <c r="U86" s="85" t="e">
        <f t="shared" si="12"/>
        <v>#REF!</v>
      </c>
      <c r="V86" s="4" t="e">
        <f t="shared" si="6"/>
        <v>#REF!</v>
      </c>
      <c r="W86" s="4" t="e">
        <f t="shared" si="7"/>
        <v>#REF!</v>
      </c>
      <c r="X86" s="4" t="e">
        <f t="shared" si="8"/>
        <v>#REF!</v>
      </c>
      <c r="Y86" s="62" t="e">
        <f t="shared" si="9"/>
        <v>#REF!</v>
      </c>
      <c r="Z86" s="22"/>
      <c r="AA86" s="22"/>
      <c r="AB86" s="22"/>
      <c r="AC86" s="22"/>
      <c r="AD86" s="19"/>
      <c r="AE86" s="14"/>
      <c r="AF86" s="74"/>
      <c r="AG86" s="49"/>
      <c r="AH86" s="49"/>
      <c r="AI86" s="50"/>
      <c r="AJ86" s="15"/>
      <c r="AK86" s="79" t="e">
        <f>#REF!</f>
        <v>#REF!</v>
      </c>
      <c r="AL86" s="79" t="e">
        <f>#REF!</f>
        <v>#REF!</v>
      </c>
      <c r="AM86" s="79" t="e">
        <f>#REF!</f>
        <v>#REF!</v>
      </c>
      <c r="AN86" s="77"/>
      <c r="AO86" s="77"/>
      <c r="AP86" s="77"/>
      <c r="AQ86" s="77"/>
      <c r="AR86" s="77"/>
      <c r="AS86" s="77"/>
      <c r="AT86" s="77"/>
      <c r="AU86" s="77"/>
      <c r="AV86" s="77"/>
      <c r="AW86" s="77"/>
      <c r="AX86" s="77"/>
      <c r="AY86" s="77"/>
      <c r="AZ86" s="77"/>
      <c r="BA86" s="77"/>
      <c r="BB86" s="77"/>
      <c r="BC86" s="77"/>
      <c r="BD86" s="77"/>
      <c r="BE86" s="77"/>
      <c r="BF86" s="77"/>
      <c r="BG86" s="77"/>
      <c r="BH86" s="77"/>
      <c r="BI86" s="77"/>
      <c r="BJ86" s="77"/>
      <c r="BK86" s="77"/>
      <c r="BL86" s="77"/>
      <c r="BM86" s="77"/>
      <c r="BN86" s="77"/>
      <c r="BO86" s="77"/>
      <c r="BP86" s="77"/>
      <c r="BR86" s="123" t="str">
        <f t="shared" si="13"/>
        <v>FAI35</v>
      </c>
      <c r="BS86" s="120">
        <f>OOC!G86</f>
        <v>13.644</v>
      </c>
      <c r="BT86" s="120">
        <f>OOC!H86</f>
        <v>13.584000000000001</v>
      </c>
      <c r="BU86" s="2" t="e">
        <f t="shared" si="14"/>
        <v>#REF!</v>
      </c>
      <c r="BV86" s="2" t="e">
        <f t="shared" si="15"/>
        <v>#REF!</v>
      </c>
      <c r="BW86" s="2" t="e">
        <f t="shared" si="16"/>
        <v>#REF!</v>
      </c>
      <c r="BX86" s="121" t="e">
        <f>IF(AND(IF(OOC!G86="",0,OOC!G86) &gt;= IF(O86="",0,O86), IF(O86="",0,O86) &gt; IF(L86="",0,L86)), "OOC",
IF(AND(IF(M86="",0,M86) &gt; IF(P86="",0,P86), IF(P86="",0,P86) &gt;= IF(OOC!H86="",0,OOC!H86)), "OOC",
IF(IF(O86="",0,O86) &gt; IF(OOC!G86="",0,OOC!G86), "OOS",
IF(IF(OOC!H86="",0,OOC!H86) &gt; IF(P86="",0,P86), "OOS", "OK"))))</f>
        <v>#REF!</v>
      </c>
    </row>
    <row r="87" spans="1:76" ht="15" customHeight="1">
      <c r="A87" s="13"/>
      <c r="B87" s="88"/>
      <c r="C87" s="78" t="s">
        <v>127</v>
      </c>
      <c r="D87" s="89" t="s">
        <v>117</v>
      </c>
      <c r="E87" s="90"/>
      <c r="F87" s="66" t="s">
        <v>44</v>
      </c>
      <c r="G87" s="91">
        <v>1.9510000000000001</v>
      </c>
      <c r="H87" s="92" t="str">
        <f>IF(OOC!S87=0,"",OOC!S87)</f>
        <v/>
      </c>
      <c r="I87" s="92" t="str">
        <f>IF(OOC!T87=0,"",OOC!T87)</f>
        <v/>
      </c>
      <c r="J87" s="68" t="s">
        <v>12</v>
      </c>
      <c r="K87" s="69" t="s">
        <v>80</v>
      </c>
      <c r="L87" s="70" t="e">
        <f t="shared" si="0"/>
        <v>#VALUE!</v>
      </c>
      <c r="M87" s="70" t="e">
        <f t="shared" si="1"/>
        <v>#VALUE!</v>
      </c>
      <c r="N87" s="71"/>
      <c r="O87" s="2" t="e">
        <f t="shared" si="2"/>
        <v>#REF!</v>
      </c>
      <c r="P87" s="2" t="e">
        <f t="shared" si="3"/>
        <v>#REF!</v>
      </c>
      <c r="Q87" s="2" t="e">
        <f t="shared" si="4"/>
        <v>#REF!</v>
      </c>
      <c r="R87" s="3" t="e">
        <f t="shared" si="5"/>
        <v>#REF!</v>
      </c>
      <c r="S87" s="4" t="e">
        <f t="shared" si="10"/>
        <v>#REF!</v>
      </c>
      <c r="T87" s="84" t="e">
        <f t="shared" si="11"/>
        <v>#REF!</v>
      </c>
      <c r="U87" s="85" t="e">
        <f t="shared" si="12"/>
        <v>#REF!</v>
      </c>
      <c r="V87" s="4" t="e">
        <f t="shared" si="6"/>
        <v>#REF!</v>
      </c>
      <c r="W87" s="4" t="e">
        <f t="shared" si="7"/>
        <v>#REF!</v>
      </c>
      <c r="X87" s="4" t="e">
        <f t="shared" si="8"/>
        <v>#REF!</v>
      </c>
      <c r="Y87" s="62" t="e">
        <f t="shared" si="9"/>
        <v>#REF!</v>
      </c>
      <c r="Z87" s="22"/>
      <c r="AA87" s="22"/>
      <c r="AB87" s="22"/>
      <c r="AC87" s="22"/>
      <c r="AD87" s="19"/>
      <c r="AE87" s="14"/>
      <c r="AF87" s="74"/>
      <c r="AG87" s="49"/>
      <c r="AH87" s="49"/>
      <c r="AI87" s="50"/>
      <c r="AJ87" s="15"/>
      <c r="AK87" s="79" t="e">
        <f>#REF!</f>
        <v>#REF!</v>
      </c>
      <c r="AL87" s="79" t="e">
        <f>#REF!</f>
        <v>#REF!</v>
      </c>
      <c r="AM87" s="79" t="e">
        <f>#REF!</f>
        <v>#REF!</v>
      </c>
      <c r="AN87" s="77"/>
      <c r="AO87" s="77"/>
      <c r="AP87" s="77"/>
      <c r="AQ87" s="77"/>
      <c r="AR87" s="77"/>
      <c r="AS87" s="77"/>
      <c r="AT87" s="77"/>
      <c r="AU87" s="77"/>
      <c r="AV87" s="77"/>
      <c r="AW87" s="77"/>
      <c r="AX87" s="77"/>
      <c r="AY87" s="77"/>
      <c r="AZ87" s="77"/>
      <c r="BA87" s="77"/>
      <c r="BB87" s="77"/>
      <c r="BC87" s="77"/>
      <c r="BD87" s="77"/>
      <c r="BE87" s="77"/>
      <c r="BF87" s="77"/>
      <c r="BG87" s="77"/>
      <c r="BH87" s="77"/>
      <c r="BI87" s="77"/>
      <c r="BJ87" s="77"/>
      <c r="BK87" s="77"/>
      <c r="BL87" s="77"/>
      <c r="BM87" s="77"/>
      <c r="BN87" s="77"/>
      <c r="BO87" s="77"/>
      <c r="BP87" s="77"/>
      <c r="BR87" s="123" t="str">
        <f t="shared" si="13"/>
        <v>FAI36</v>
      </c>
      <c r="BS87" s="120">
        <f>OOC!G87</f>
        <v>1.9810000000000001</v>
      </c>
      <c r="BT87" s="120">
        <f>OOC!H87</f>
        <v>1.921</v>
      </c>
      <c r="BU87" s="2" t="e">
        <f t="shared" si="14"/>
        <v>#REF!</v>
      </c>
      <c r="BV87" s="2" t="e">
        <f t="shared" si="15"/>
        <v>#REF!</v>
      </c>
      <c r="BW87" s="2" t="e">
        <f t="shared" si="16"/>
        <v>#REF!</v>
      </c>
      <c r="BX87" s="121" t="e">
        <f>IF(AND(IF(OOC!G87="",0,OOC!G87) &gt;= IF(O87="",0,O87), IF(O87="",0,O87) &gt; IF(L87="",0,L87)), "OOC",
IF(AND(IF(M87="",0,M87) &gt; IF(P87="",0,P87), IF(P87="",0,P87) &gt;= IF(OOC!H87="",0,OOC!H87)), "OOC",
IF(IF(O87="",0,O87) &gt; IF(OOC!G87="",0,OOC!G87), "OOS",
IF(IF(OOC!H87="",0,OOC!H87) &gt; IF(P87="",0,P87), "OOS", "OK"))))</f>
        <v>#REF!</v>
      </c>
    </row>
    <row r="88" spans="1:76" ht="15" customHeight="1">
      <c r="A88" s="13"/>
      <c r="B88" s="88"/>
      <c r="C88" s="78" t="s">
        <v>128</v>
      </c>
      <c r="D88" s="89" t="s">
        <v>117</v>
      </c>
      <c r="E88" s="90"/>
      <c r="F88" s="66" t="s">
        <v>44</v>
      </c>
      <c r="G88" s="91">
        <v>2.355</v>
      </c>
      <c r="H88" s="92" t="str">
        <f>IF(OOC!S88=0,"",OOC!S88)</f>
        <v/>
      </c>
      <c r="I88" s="92" t="str">
        <f>IF(OOC!T88=0,"",OOC!T88)</f>
        <v/>
      </c>
      <c r="J88" s="68" t="s">
        <v>12</v>
      </c>
      <c r="K88" s="69" t="s">
        <v>80</v>
      </c>
      <c r="L88" s="70" t="e">
        <f t="shared" si="0"/>
        <v>#VALUE!</v>
      </c>
      <c r="M88" s="70" t="e">
        <f t="shared" si="1"/>
        <v>#VALUE!</v>
      </c>
      <c r="N88" s="71"/>
      <c r="O88" s="2" t="e">
        <f t="shared" si="2"/>
        <v>#REF!</v>
      </c>
      <c r="P88" s="2" t="e">
        <f t="shared" si="3"/>
        <v>#REF!</v>
      </c>
      <c r="Q88" s="2" t="e">
        <f t="shared" si="4"/>
        <v>#REF!</v>
      </c>
      <c r="R88" s="3" t="e">
        <f t="shared" si="5"/>
        <v>#REF!</v>
      </c>
      <c r="S88" s="4" t="e">
        <f t="shared" si="10"/>
        <v>#REF!</v>
      </c>
      <c r="T88" s="84" t="e">
        <f t="shared" si="11"/>
        <v>#REF!</v>
      </c>
      <c r="U88" s="85" t="e">
        <f t="shared" si="12"/>
        <v>#REF!</v>
      </c>
      <c r="V88" s="4" t="e">
        <f t="shared" si="6"/>
        <v>#REF!</v>
      </c>
      <c r="W88" s="4" t="e">
        <f t="shared" si="7"/>
        <v>#REF!</v>
      </c>
      <c r="X88" s="4" t="e">
        <f t="shared" si="8"/>
        <v>#REF!</v>
      </c>
      <c r="Y88" s="62" t="e">
        <f t="shared" si="9"/>
        <v>#REF!</v>
      </c>
      <c r="Z88" s="22"/>
      <c r="AA88" s="22"/>
      <c r="AB88" s="22"/>
      <c r="AC88" s="22"/>
      <c r="AD88" s="19"/>
      <c r="AE88" s="14"/>
      <c r="AF88" s="74"/>
      <c r="AG88" s="49"/>
      <c r="AH88" s="49"/>
      <c r="AI88" s="50"/>
      <c r="AJ88" s="15"/>
      <c r="AK88" s="79" t="e">
        <f>#REF!</f>
        <v>#REF!</v>
      </c>
      <c r="AL88" s="79" t="e">
        <f>#REF!</f>
        <v>#REF!</v>
      </c>
      <c r="AM88" s="79" t="e">
        <f>#REF!</f>
        <v>#REF!</v>
      </c>
      <c r="AN88" s="77"/>
      <c r="AO88" s="77"/>
      <c r="AP88" s="77"/>
      <c r="AQ88" s="77"/>
      <c r="AR88" s="77"/>
      <c r="AS88" s="77"/>
      <c r="AT88" s="77"/>
      <c r="AU88" s="77"/>
      <c r="AV88" s="77"/>
      <c r="AW88" s="77"/>
      <c r="AX88" s="77"/>
      <c r="AY88" s="77"/>
      <c r="AZ88" s="77"/>
      <c r="BA88" s="77"/>
      <c r="BB88" s="77"/>
      <c r="BC88" s="77"/>
      <c r="BD88" s="77"/>
      <c r="BE88" s="77"/>
      <c r="BF88" s="77"/>
      <c r="BG88" s="77"/>
      <c r="BH88" s="77"/>
      <c r="BI88" s="77"/>
      <c r="BJ88" s="77"/>
      <c r="BK88" s="77"/>
      <c r="BL88" s="77"/>
      <c r="BM88" s="77"/>
      <c r="BN88" s="77"/>
      <c r="BO88" s="77"/>
      <c r="BP88" s="77"/>
      <c r="BR88" s="123" t="str">
        <f t="shared" si="13"/>
        <v>FAI37</v>
      </c>
      <c r="BS88" s="120">
        <f>OOC!G88</f>
        <v>2.3849999999999998</v>
      </c>
      <c r="BT88" s="120">
        <f>OOC!H88</f>
        <v>2.3250000000000002</v>
      </c>
      <c r="BU88" s="2" t="e">
        <f t="shared" si="14"/>
        <v>#REF!</v>
      </c>
      <c r="BV88" s="2" t="e">
        <f t="shared" si="15"/>
        <v>#REF!</v>
      </c>
      <c r="BW88" s="2" t="e">
        <f t="shared" si="16"/>
        <v>#REF!</v>
      </c>
      <c r="BX88" s="121" t="e">
        <f>IF(AND(IF(OOC!G88="",0,OOC!G88) &gt;= IF(O88="",0,O88), IF(O88="",0,O88) &gt; IF(L88="",0,L88)), "OOC",
IF(AND(IF(M88="",0,M88) &gt; IF(P88="",0,P88), IF(P88="",0,P88) &gt;= IF(OOC!H88="",0,OOC!H88)), "OOC",
IF(IF(O88="",0,O88) &gt; IF(OOC!G88="",0,OOC!G88), "OOS",
IF(IF(OOC!H88="",0,OOC!H88) &gt; IF(P88="",0,P88), "OOS", "OK"))))</f>
        <v>#REF!</v>
      </c>
    </row>
    <row r="89" spans="1:76" ht="15" customHeight="1">
      <c r="A89" s="13"/>
      <c r="B89" s="88"/>
      <c r="C89" s="78" t="s">
        <v>129</v>
      </c>
      <c r="D89" s="89" t="s">
        <v>117</v>
      </c>
      <c r="E89" s="90"/>
      <c r="F89" s="66" t="s">
        <v>44</v>
      </c>
      <c r="G89" s="91">
        <v>10.182</v>
      </c>
      <c r="H89" s="92" t="str">
        <f>IF(OOC!S89=0,"",OOC!S89)</f>
        <v/>
      </c>
      <c r="I89" s="92" t="str">
        <f>IF(OOC!T89=0,"",OOC!T89)</f>
        <v/>
      </c>
      <c r="J89" s="68" t="s">
        <v>12</v>
      </c>
      <c r="K89" s="69" t="s">
        <v>80</v>
      </c>
      <c r="L89" s="70" t="e">
        <f t="shared" si="0"/>
        <v>#VALUE!</v>
      </c>
      <c r="M89" s="70" t="e">
        <f t="shared" si="1"/>
        <v>#VALUE!</v>
      </c>
      <c r="N89" s="71"/>
      <c r="O89" s="2" t="e">
        <f t="shared" si="2"/>
        <v>#REF!</v>
      </c>
      <c r="P89" s="2" t="e">
        <f t="shared" si="3"/>
        <v>#REF!</v>
      </c>
      <c r="Q89" s="2" t="e">
        <f t="shared" si="4"/>
        <v>#REF!</v>
      </c>
      <c r="R89" s="3" t="e">
        <f t="shared" si="5"/>
        <v>#REF!</v>
      </c>
      <c r="S89" s="4" t="e">
        <f t="shared" si="10"/>
        <v>#REF!</v>
      </c>
      <c r="T89" s="84" t="e">
        <f t="shared" si="11"/>
        <v>#REF!</v>
      </c>
      <c r="U89" s="85" t="e">
        <f t="shared" si="12"/>
        <v>#REF!</v>
      </c>
      <c r="V89" s="4" t="e">
        <f t="shared" si="6"/>
        <v>#REF!</v>
      </c>
      <c r="W89" s="4" t="e">
        <f t="shared" si="7"/>
        <v>#REF!</v>
      </c>
      <c r="X89" s="4" t="e">
        <f t="shared" si="8"/>
        <v>#REF!</v>
      </c>
      <c r="Y89" s="62" t="e">
        <f t="shared" si="9"/>
        <v>#REF!</v>
      </c>
      <c r="Z89" s="22"/>
      <c r="AA89" s="22"/>
      <c r="AB89" s="22"/>
      <c r="AC89" s="22"/>
      <c r="AD89" s="19"/>
      <c r="AE89" s="14"/>
      <c r="AF89" s="72"/>
      <c r="AG89" s="49"/>
      <c r="AH89" s="49"/>
      <c r="AI89" s="50"/>
      <c r="AJ89" s="15"/>
      <c r="AK89" s="79" t="e">
        <f>#REF!</f>
        <v>#REF!</v>
      </c>
      <c r="AL89" s="79" t="e">
        <f>#REF!</f>
        <v>#REF!</v>
      </c>
      <c r="AM89" s="79" t="e">
        <f>#REF!</f>
        <v>#REF!</v>
      </c>
      <c r="AN89" s="77"/>
      <c r="AO89" s="77"/>
      <c r="AP89" s="77"/>
      <c r="AQ89" s="77"/>
      <c r="AR89" s="77"/>
      <c r="AS89" s="77"/>
      <c r="AT89" s="77"/>
      <c r="AU89" s="77"/>
      <c r="AV89" s="77"/>
      <c r="AW89" s="77"/>
      <c r="AX89" s="77"/>
      <c r="AY89" s="77"/>
      <c r="AZ89" s="77"/>
      <c r="BA89" s="77"/>
      <c r="BB89" s="77"/>
      <c r="BC89" s="77"/>
      <c r="BD89" s="77"/>
      <c r="BE89" s="77"/>
      <c r="BF89" s="77"/>
      <c r="BG89" s="77"/>
      <c r="BH89" s="77"/>
      <c r="BI89" s="77"/>
      <c r="BJ89" s="77"/>
      <c r="BK89" s="77"/>
      <c r="BL89" s="77"/>
      <c r="BM89" s="77"/>
      <c r="BN89" s="77"/>
      <c r="BO89" s="77"/>
      <c r="BP89" s="77"/>
      <c r="BR89" s="123" t="str">
        <f t="shared" si="13"/>
        <v>FAI38</v>
      </c>
      <c r="BS89" s="120">
        <f>OOC!G89</f>
        <v>10.212</v>
      </c>
      <c r="BT89" s="120">
        <f>OOC!H89</f>
        <v>10.152000000000001</v>
      </c>
      <c r="BU89" s="2" t="e">
        <f t="shared" si="14"/>
        <v>#REF!</v>
      </c>
      <c r="BV89" s="2" t="e">
        <f t="shared" si="15"/>
        <v>#REF!</v>
      </c>
      <c r="BW89" s="2" t="e">
        <f t="shared" si="16"/>
        <v>#REF!</v>
      </c>
      <c r="BX89" s="121" t="e">
        <f>IF(AND(IF(OOC!G89="",0,OOC!G89) &gt;= IF(O89="",0,O89), IF(O89="",0,O89) &gt; IF(L89="",0,L89)), "OOC",
IF(AND(IF(M89="",0,M89) &gt; IF(P89="",0,P89), IF(P89="",0,P89) &gt;= IF(OOC!H89="",0,OOC!H89)), "OOC",
IF(IF(O89="",0,O89) &gt; IF(OOC!G89="",0,OOC!G89), "OOS",
IF(IF(OOC!H89="",0,OOC!H89) &gt; IF(P89="",0,P89), "OOS", "OK"))))</f>
        <v>#REF!</v>
      </c>
    </row>
    <row r="90" spans="1:76" ht="15" customHeight="1">
      <c r="A90" s="13"/>
      <c r="B90" s="88"/>
      <c r="C90" s="78" t="s">
        <v>130</v>
      </c>
      <c r="D90" s="89" t="s">
        <v>117</v>
      </c>
      <c r="E90" s="90"/>
      <c r="F90" s="66" t="s">
        <v>44</v>
      </c>
      <c r="G90" s="91">
        <v>0.2</v>
      </c>
      <c r="H90" s="92" t="str">
        <f>IF(OOC!S90=0,"",OOC!S90)</f>
        <v/>
      </c>
      <c r="I90" s="92" t="str">
        <f>IF(OOC!T90=0,"",OOC!T90)</f>
        <v/>
      </c>
      <c r="J90" s="68" t="s">
        <v>12</v>
      </c>
      <c r="K90" s="69" t="s">
        <v>80</v>
      </c>
      <c r="L90" s="70" t="e">
        <f t="shared" si="0"/>
        <v>#VALUE!</v>
      </c>
      <c r="M90" s="70" t="e">
        <f t="shared" si="1"/>
        <v>#VALUE!</v>
      </c>
      <c r="N90" s="71"/>
      <c r="O90" s="2" t="e">
        <f t="shared" si="2"/>
        <v>#REF!</v>
      </c>
      <c r="P90" s="2" t="e">
        <f t="shared" si="3"/>
        <v>#REF!</v>
      </c>
      <c r="Q90" s="2" t="e">
        <f t="shared" si="4"/>
        <v>#REF!</v>
      </c>
      <c r="R90" s="3" t="e">
        <f t="shared" si="5"/>
        <v>#REF!</v>
      </c>
      <c r="S90" s="4" t="e">
        <f t="shared" si="10"/>
        <v>#REF!</v>
      </c>
      <c r="T90" s="84" t="e">
        <f t="shared" si="11"/>
        <v>#REF!</v>
      </c>
      <c r="U90" s="85" t="e">
        <f t="shared" si="12"/>
        <v>#REF!</v>
      </c>
      <c r="V90" s="4" t="e">
        <f t="shared" si="6"/>
        <v>#REF!</v>
      </c>
      <c r="W90" s="4" t="e">
        <f t="shared" si="7"/>
        <v>#REF!</v>
      </c>
      <c r="X90" s="4" t="e">
        <f t="shared" si="8"/>
        <v>#REF!</v>
      </c>
      <c r="Y90" s="62" t="e">
        <f t="shared" si="9"/>
        <v>#REF!</v>
      </c>
      <c r="Z90" s="22"/>
      <c r="AA90" s="22"/>
      <c r="AB90" s="22"/>
      <c r="AC90" s="22"/>
      <c r="AD90" s="19"/>
      <c r="AE90" s="14"/>
      <c r="AF90" s="72"/>
      <c r="AG90" s="49"/>
      <c r="AH90" s="49"/>
      <c r="AI90" s="50"/>
      <c r="AJ90" s="15"/>
      <c r="AK90" s="79" t="e">
        <f>#REF!</f>
        <v>#REF!</v>
      </c>
      <c r="AL90" s="79" t="e">
        <f>#REF!</f>
        <v>#REF!</v>
      </c>
      <c r="AM90" s="79" t="e">
        <f>#REF!</f>
        <v>#REF!</v>
      </c>
      <c r="AN90" s="77"/>
      <c r="AO90" s="77"/>
      <c r="AP90" s="77"/>
      <c r="AQ90" s="77"/>
      <c r="AR90" s="77"/>
      <c r="AS90" s="77"/>
      <c r="AT90" s="77"/>
      <c r="AU90" s="77"/>
      <c r="AV90" s="77"/>
      <c r="AW90" s="77"/>
      <c r="AX90" s="77"/>
      <c r="AY90" s="77"/>
      <c r="AZ90" s="77"/>
      <c r="BA90" s="77"/>
      <c r="BB90" s="77"/>
      <c r="BC90" s="77"/>
      <c r="BD90" s="77"/>
      <c r="BE90" s="77"/>
      <c r="BF90" s="77"/>
      <c r="BG90" s="77"/>
      <c r="BH90" s="77"/>
      <c r="BI90" s="77"/>
      <c r="BJ90" s="77"/>
      <c r="BK90" s="77"/>
      <c r="BL90" s="77"/>
      <c r="BM90" s="77"/>
      <c r="BN90" s="77"/>
      <c r="BO90" s="77"/>
      <c r="BP90" s="77"/>
      <c r="BR90" s="123" t="str">
        <f t="shared" si="13"/>
        <v>FAI39</v>
      </c>
      <c r="BS90" s="120">
        <f>OOC!G90</f>
        <v>0.23</v>
      </c>
      <c r="BT90" s="120">
        <f>OOC!H90</f>
        <v>0.17</v>
      </c>
      <c r="BU90" s="2" t="e">
        <f t="shared" si="14"/>
        <v>#REF!</v>
      </c>
      <c r="BV90" s="2" t="e">
        <f t="shared" si="15"/>
        <v>#REF!</v>
      </c>
      <c r="BW90" s="2" t="e">
        <f t="shared" si="16"/>
        <v>#REF!</v>
      </c>
      <c r="BX90" s="121" t="e">
        <f>IF(AND(IF(OOC!G90="",0,OOC!G90) &gt;= IF(O90="",0,O90), IF(O90="",0,O90) &gt; IF(L90="",0,L90)), "OOC",
IF(AND(IF(M90="",0,M90) &gt; IF(P90="",0,P90), IF(P90="",0,P90) &gt;= IF(OOC!H90="",0,OOC!H90)), "OOC",
IF(IF(O90="",0,O90) &gt; IF(OOC!G90="",0,OOC!G90), "OOS",
IF(IF(OOC!H90="",0,OOC!H90) &gt; IF(P90="",0,P90), "OOS", "OK"))))</f>
        <v>#REF!</v>
      </c>
    </row>
    <row r="91" spans="1:76" ht="15" customHeight="1">
      <c r="A91" s="13"/>
      <c r="B91" s="88"/>
      <c r="C91" s="78" t="s">
        <v>131</v>
      </c>
      <c r="D91" s="89" t="s">
        <v>117</v>
      </c>
      <c r="E91" s="90"/>
      <c r="F91" s="66" t="s">
        <v>44</v>
      </c>
      <c r="G91" s="91">
        <v>0.35</v>
      </c>
      <c r="H91" s="92" t="str">
        <f>IF(OOC!S91=0,"",OOC!S91)</f>
        <v/>
      </c>
      <c r="I91" s="92" t="str">
        <f>IF(OOC!T91=0,"",OOC!T91)</f>
        <v/>
      </c>
      <c r="J91" s="68" t="s">
        <v>30</v>
      </c>
      <c r="K91" s="69" t="s">
        <v>80</v>
      </c>
      <c r="L91" s="70" t="e">
        <f t="shared" si="0"/>
        <v>#VALUE!</v>
      </c>
      <c r="M91" s="70" t="e">
        <f t="shared" si="1"/>
        <v>#VALUE!</v>
      </c>
      <c r="N91" s="71"/>
      <c r="O91" s="2" t="str">
        <f t="shared" si="2"/>
        <v/>
      </c>
      <c r="P91" s="2" t="str">
        <f t="shared" si="3"/>
        <v/>
      </c>
      <c r="Q91" s="2" t="str">
        <f t="shared" si="4"/>
        <v/>
      </c>
      <c r="R91" s="3" t="str">
        <f t="shared" si="5"/>
        <v/>
      </c>
      <c r="S91" s="4" t="str">
        <f t="shared" si="10"/>
        <v/>
      </c>
      <c r="T91" s="84" t="str">
        <f t="shared" si="11"/>
        <v/>
      </c>
      <c r="U91" s="85" t="str">
        <f t="shared" si="12"/>
        <v/>
      </c>
      <c r="V91" s="4" t="str">
        <f t="shared" si="6"/>
        <v/>
      </c>
      <c r="W91" s="4" t="str">
        <f t="shared" si="7"/>
        <v/>
      </c>
      <c r="X91" s="4" t="str">
        <f t="shared" si="8"/>
        <v/>
      </c>
      <c r="Y91" s="62" t="str">
        <f t="shared" si="9"/>
        <v/>
      </c>
      <c r="Z91" s="22"/>
      <c r="AA91" s="22"/>
      <c r="AB91" s="22"/>
      <c r="AC91" s="22"/>
      <c r="AD91" s="19"/>
      <c r="AE91" s="14"/>
      <c r="AF91" s="72"/>
      <c r="AG91" s="49"/>
      <c r="AH91" s="49"/>
      <c r="AI91" s="50"/>
      <c r="AJ91" s="15"/>
      <c r="AK91" s="79"/>
      <c r="AL91" s="79"/>
      <c r="AM91" s="79"/>
      <c r="AN91" s="77"/>
      <c r="AO91" s="77"/>
      <c r="AP91" s="77"/>
      <c r="AQ91" s="77"/>
      <c r="AR91" s="77"/>
      <c r="AS91" s="77"/>
      <c r="AT91" s="77"/>
      <c r="AU91" s="77"/>
      <c r="AV91" s="77"/>
      <c r="AW91" s="77"/>
      <c r="AX91" s="77"/>
      <c r="AY91" s="77"/>
      <c r="AZ91" s="77"/>
      <c r="BA91" s="77"/>
      <c r="BB91" s="77"/>
      <c r="BC91" s="77"/>
      <c r="BD91" s="77"/>
      <c r="BE91" s="77"/>
      <c r="BF91" s="77"/>
      <c r="BG91" s="77"/>
      <c r="BH91" s="77"/>
      <c r="BI91" s="77"/>
      <c r="BJ91" s="77"/>
      <c r="BK91" s="77"/>
      <c r="BL91" s="77"/>
      <c r="BM91" s="77"/>
      <c r="BN91" s="77"/>
      <c r="BO91" s="77"/>
      <c r="BP91" s="77"/>
      <c r="BR91" s="123" t="str">
        <f t="shared" si="13"/>
        <v>FAI40</v>
      </c>
      <c r="BS91" s="120">
        <f>OOC!G91</f>
        <v>0.38</v>
      </c>
      <c r="BT91" s="120">
        <f>OOC!H91</f>
        <v>0.31999999999999995</v>
      </c>
      <c r="BU91" s="2" t="str">
        <f t="shared" si="14"/>
        <v/>
      </c>
      <c r="BV91" s="2" t="str">
        <f t="shared" si="15"/>
        <v/>
      </c>
      <c r="BW91" s="2" t="str">
        <f t="shared" si="16"/>
        <v/>
      </c>
      <c r="BX91" s="121" t="e">
        <f>IF(AND(IF(OOC!G91="",0,OOC!G91) &gt;= IF(O91="",0,O91), IF(O91="",0,O91) &gt; IF(L91="",0,L91)), "OOC",
IF(AND(IF(M91="",0,M91) &gt; IF(P91="",0,P91), IF(P91="",0,P91) &gt;= IF(OOC!H91="",0,OOC!H91)), "OOC",
IF(IF(O91="",0,O91) &gt; IF(OOC!G91="",0,OOC!G91), "OOS",
IF(IF(OOC!H91="",0,OOC!H91) &gt; IF(P91="",0,P91), "OOS", "OK"))))</f>
        <v>#VALUE!</v>
      </c>
    </row>
    <row r="92" spans="1:76" ht="15" customHeight="1">
      <c r="A92" s="13"/>
      <c r="B92" s="88"/>
      <c r="C92" s="78" t="s">
        <v>131</v>
      </c>
      <c r="D92" s="89" t="s">
        <v>117</v>
      </c>
      <c r="E92" s="90"/>
      <c r="F92" s="66" t="s">
        <v>44</v>
      </c>
      <c r="G92" s="91">
        <v>0.35</v>
      </c>
      <c r="H92" s="92" t="str">
        <f>IF(OOC!S92=0,"",OOC!S92)</f>
        <v/>
      </c>
      <c r="I92" s="92" t="str">
        <f>IF(OOC!T92=0,"",OOC!T92)</f>
        <v/>
      </c>
      <c r="J92" s="68" t="s">
        <v>30</v>
      </c>
      <c r="K92" s="69" t="s">
        <v>80</v>
      </c>
      <c r="L92" s="70" t="e">
        <f t="shared" si="0"/>
        <v>#VALUE!</v>
      </c>
      <c r="M92" s="70" t="e">
        <f t="shared" si="1"/>
        <v>#VALUE!</v>
      </c>
      <c r="N92" s="71"/>
      <c r="O92" s="2" t="str">
        <f t="shared" si="2"/>
        <v/>
      </c>
      <c r="P92" s="2" t="str">
        <f t="shared" si="3"/>
        <v/>
      </c>
      <c r="Q92" s="2" t="str">
        <f t="shared" si="4"/>
        <v/>
      </c>
      <c r="R92" s="3" t="str">
        <f t="shared" si="5"/>
        <v/>
      </c>
      <c r="S92" s="4" t="str">
        <f t="shared" si="10"/>
        <v/>
      </c>
      <c r="T92" s="84" t="str">
        <f t="shared" si="11"/>
        <v/>
      </c>
      <c r="U92" s="85" t="str">
        <f t="shared" si="12"/>
        <v/>
      </c>
      <c r="V92" s="4" t="str">
        <f t="shared" si="6"/>
        <v/>
      </c>
      <c r="W92" s="4" t="str">
        <f t="shared" si="7"/>
        <v/>
      </c>
      <c r="X92" s="4" t="str">
        <f t="shared" si="8"/>
        <v/>
      </c>
      <c r="Y92" s="62" t="str">
        <f t="shared" si="9"/>
        <v/>
      </c>
      <c r="Z92" s="22"/>
      <c r="AA92" s="22"/>
      <c r="AB92" s="22"/>
      <c r="AC92" s="22"/>
      <c r="AD92" s="19"/>
      <c r="AE92" s="14"/>
      <c r="AF92" s="72"/>
      <c r="AG92" s="49"/>
      <c r="AH92" s="49"/>
      <c r="AI92" s="50"/>
      <c r="AJ92" s="15"/>
      <c r="AK92" s="79"/>
      <c r="AL92" s="79"/>
      <c r="AM92" s="79"/>
      <c r="AN92" s="77"/>
      <c r="AO92" s="77"/>
      <c r="AP92" s="77"/>
      <c r="AQ92" s="77"/>
      <c r="AR92" s="77"/>
      <c r="AS92" s="77"/>
      <c r="AT92" s="77"/>
      <c r="AU92" s="77"/>
      <c r="AV92" s="77"/>
      <c r="AW92" s="77"/>
      <c r="AX92" s="77"/>
      <c r="AY92" s="77"/>
      <c r="AZ92" s="77"/>
      <c r="BA92" s="77"/>
      <c r="BB92" s="77"/>
      <c r="BC92" s="77"/>
      <c r="BD92" s="77"/>
      <c r="BE92" s="77"/>
      <c r="BF92" s="77"/>
      <c r="BG92" s="77"/>
      <c r="BH92" s="77"/>
      <c r="BI92" s="77"/>
      <c r="BJ92" s="77"/>
      <c r="BK92" s="77"/>
      <c r="BL92" s="77"/>
      <c r="BM92" s="77"/>
      <c r="BN92" s="77"/>
      <c r="BO92" s="77"/>
      <c r="BP92" s="77"/>
      <c r="BR92" s="123" t="str">
        <f t="shared" si="13"/>
        <v>FAI40</v>
      </c>
      <c r="BS92" s="120">
        <f>OOC!G92</f>
        <v>0.38</v>
      </c>
      <c r="BT92" s="120">
        <f>OOC!H92</f>
        <v>0.31999999999999995</v>
      </c>
      <c r="BU92" s="2" t="str">
        <f t="shared" si="14"/>
        <v/>
      </c>
      <c r="BV92" s="2" t="str">
        <f t="shared" si="15"/>
        <v/>
      </c>
      <c r="BW92" s="2" t="str">
        <f t="shared" si="16"/>
        <v/>
      </c>
      <c r="BX92" s="121" t="e">
        <f>IF(AND(IF(OOC!G92="",0,OOC!G92) &gt;= IF(O92="",0,O92), IF(O92="",0,O92) &gt; IF(L92="",0,L92)), "OOC",
IF(AND(IF(M92="",0,M92) &gt; IF(P92="",0,P92), IF(P92="",0,P92) &gt;= IF(OOC!H92="",0,OOC!H92)), "OOC",
IF(IF(O92="",0,O92) &gt; IF(OOC!G92="",0,OOC!G92), "OOS",
IF(IF(OOC!H92="",0,OOC!H92) &gt; IF(P92="",0,P92), "OOS", "OK"))))</f>
        <v>#VALUE!</v>
      </c>
    </row>
    <row r="93" spans="1:76" ht="15" customHeight="1">
      <c r="A93" s="13"/>
      <c r="B93" s="88"/>
      <c r="C93" s="78" t="s">
        <v>131</v>
      </c>
      <c r="D93" s="89" t="s">
        <v>117</v>
      </c>
      <c r="E93" s="90"/>
      <c r="F93" s="66" t="s">
        <v>44</v>
      </c>
      <c r="G93" s="91">
        <v>0.35</v>
      </c>
      <c r="H93" s="92" t="str">
        <f>IF(OOC!S93=0,"",OOC!S93)</f>
        <v/>
      </c>
      <c r="I93" s="92" t="str">
        <f>IF(OOC!T93=0,"",OOC!T93)</f>
        <v/>
      </c>
      <c r="J93" s="68" t="s">
        <v>30</v>
      </c>
      <c r="K93" s="69" t="s">
        <v>80</v>
      </c>
      <c r="L93" s="70" t="e">
        <f t="shared" si="0"/>
        <v>#VALUE!</v>
      </c>
      <c r="M93" s="70" t="e">
        <f t="shared" si="1"/>
        <v>#VALUE!</v>
      </c>
      <c r="N93" s="71"/>
      <c r="O93" s="2" t="str">
        <f t="shared" si="2"/>
        <v/>
      </c>
      <c r="P93" s="2" t="str">
        <f t="shared" si="3"/>
        <v/>
      </c>
      <c r="Q93" s="2" t="str">
        <f t="shared" si="4"/>
        <v/>
      </c>
      <c r="R93" s="3" t="str">
        <f t="shared" si="5"/>
        <v/>
      </c>
      <c r="S93" s="4" t="str">
        <f t="shared" si="10"/>
        <v/>
      </c>
      <c r="T93" s="84" t="str">
        <f t="shared" si="11"/>
        <v/>
      </c>
      <c r="U93" s="85" t="str">
        <f t="shared" si="12"/>
        <v/>
      </c>
      <c r="V93" s="4" t="str">
        <f t="shared" si="6"/>
        <v/>
      </c>
      <c r="W93" s="4" t="str">
        <f t="shared" si="7"/>
        <v/>
      </c>
      <c r="X93" s="4" t="str">
        <f t="shared" si="8"/>
        <v/>
      </c>
      <c r="Y93" s="62" t="str">
        <f t="shared" si="9"/>
        <v/>
      </c>
      <c r="Z93" s="22"/>
      <c r="AA93" s="22"/>
      <c r="AB93" s="22"/>
      <c r="AC93" s="22"/>
      <c r="AD93" s="19"/>
      <c r="AE93" s="14"/>
      <c r="AF93" s="72"/>
      <c r="AG93" s="49"/>
      <c r="AH93" s="49"/>
      <c r="AI93" s="50"/>
      <c r="AJ93" s="15"/>
      <c r="AK93" s="79"/>
      <c r="AL93" s="79"/>
      <c r="AM93" s="79"/>
      <c r="AN93" s="77"/>
      <c r="AO93" s="77"/>
      <c r="AP93" s="77"/>
      <c r="AQ93" s="77"/>
      <c r="AR93" s="77"/>
      <c r="AS93" s="77"/>
      <c r="AT93" s="77"/>
      <c r="AU93" s="77"/>
      <c r="AV93" s="77"/>
      <c r="AW93" s="77"/>
      <c r="AX93" s="77"/>
      <c r="AY93" s="77"/>
      <c r="AZ93" s="77"/>
      <c r="BA93" s="77"/>
      <c r="BB93" s="77"/>
      <c r="BC93" s="77"/>
      <c r="BD93" s="77"/>
      <c r="BE93" s="77"/>
      <c r="BF93" s="77"/>
      <c r="BG93" s="77"/>
      <c r="BH93" s="77"/>
      <c r="BI93" s="77"/>
      <c r="BJ93" s="77"/>
      <c r="BK93" s="77"/>
      <c r="BL93" s="77"/>
      <c r="BM93" s="77"/>
      <c r="BN93" s="77"/>
      <c r="BO93" s="77"/>
      <c r="BP93" s="77"/>
      <c r="BR93" s="123" t="str">
        <f t="shared" si="13"/>
        <v>FAI40</v>
      </c>
      <c r="BS93" s="120">
        <f>OOC!G93</f>
        <v>0.38</v>
      </c>
      <c r="BT93" s="120">
        <f>OOC!H93</f>
        <v>0.31999999999999995</v>
      </c>
      <c r="BU93" s="2" t="str">
        <f t="shared" si="14"/>
        <v/>
      </c>
      <c r="BV93" s="2" t="str">
        <f t="shared" si="15"/>
        <v/>
      </c>
      <c r="BW93" s="2" t="str">
        <f t="shared" si="16"/>
        <v/>
      </c>
      <c r="BX93" s="121" t="e">
        <f>IF(AND(IF(OOC!G93="",0,OOC!G93) &gt;= IF(O93="",0,O93), IF(O93="",0,O93) &gt; IF(L93="",0,L93)), "OOC",
IF(AND(IF(M93="",0,M93) &gt; IF(P93="",0,P93), IF(P93="",0,P93) &gt;= IF(OOC!H93="",0,OOC!H93)), "OOC",
IF(IF(O93="",0,O93) &gt; IF(OOC!G93="",0,OOC!G93), "OOS",
IF(IF(OOC!H93="",0,OOC!H93) &gt; IF(P93="",0,P93), "OOS", "OK"))))</f>
        <v>#VALUE!</v>
      </c>
    </row>
    <row r="94" spans="1:76" ht="15" customHeight="1">
      <c r="A94" s="13"/>
      <c r="B94" s="88"/>
      <c r="C94" s="78" t="s">
        <v>131</v>
      </c>
      <c r="D94" s="89" t="s">
        <v>117</v>
      </c>
      <c r="E94" s="90"/>
      <c r="F94" s="66" t="s">
        <v>44</v>
      </c>
      <c r="G94" s="91">
        <v>0.35</v>
      </c>
      <c r="H94" s="92" t="str">
        <f>IF(OOC!S94=0,"",OOC!S94)</f>
        <v/>
      </c>
      <c r="I94" s="92" t="str">
        <f>IF(OOC!T94=0,"",OOC!T94)</f>
        <v/>
      </c>
      <c r="J94" s="68" t="s">
        <v>30</v>
      </c>
      <c r="K94" s="69" t="s">
        <v>80</v>
      </c>
      <c r="L94" s="70" t="e">
        <f t="shared" si="0"/>
        <v>#VALUE!</v>
      </c>
      <c r="M94" s="70" t="e">
        <f t="shared" si="1"/>
        <v>#VALUE!</v>
      </c>
      <c r="N94" s="71"/>
      <c r="O94" s="2" t="str">
        <f t="shared" si="2"/>
        <v/>
      </c>
      <c r="P94" s="2" t="str">
        <f t="shared" si="3"/>
        <v/>
      </c>
      <c r="Q94" s="2" t="str">
        <f t="shared" si="4"/>
        <v/>
      </c>
      <c r="R94" s="3" t="str">
        <f t="shared" si="5"/>
        <v/>
      </c>
      <c r="S94" s="4" t="str">
        <f t="shared" si="10"/>
        <v/>
      </c>
      <c r="T94" s="84" t="str">
        <f t="shared" si="11"/>
        <v/>
      </c>
      <c r="U94" s="85" t="str">
        <f t="shared" si="12"/>
        <v/>
      </c>
      <c r="V94" s="4" t="str">
        <f t="shared" si="6"/>
        <v/>
      </c>
      <c r="W94" s="4" t="str">
        <f t="shared" si="7"/>
        <v/>
      </c>
      <c r="X94" s="4" t="str">
        <f t="shared" si="8"/>
        <v/>
      </c>
      <c r="Y94" s="62" t="str">
        <f t="shared" si="9"/>
        <v/>
      </c>
      <c r="Z94" s="22"/>
      <c r="AA94" s="22"/>
      <c r="AB94" s="22"/>
      <c r="AC94" s="22"/>
      <c r="AD94" s="19"/>
      <c r="AE94" s="14"/>
      <c r="AF94" s="72"/>
      <c r="AG94" s="49"/>
      <c r="AH94" s="49"/>
      <c r="AI94" s="50"/>
      <c r="AJ94" s="15"/>
      <c r="AK94" s="79"/>
      <c r="AL94" s="79"/>
      <c r="AM94" s="79"/>
      <c r="AN94" s="77"/>
      <c r="AO94" s="77"/>
      <c r="AP94" s="77"/>
      <c r="AQ94" s="77"/>
      <c r="AR94" s="77"/>
      <c r="AS94" s="77"/>
      <c r="AT94" s="77"/>
      <c r="AU94" s="77"/>
      <c r="AV94" s="77"/>
      <c r="AW94" s="77"/>
      <c r="AX94" s="77"/>
      <c r="AY94" s="77"/>
      <c r="AZ94" s="77"/>
      <c r="BA94" s="77"/>
      <c r="BB94" s="77"/>
      <c r="BC94" s="77"/>
      <c r="BD94" s="77"/>
      <c r="BE94" s="77"/>
      <c r="BF94" s="77"/>
      <c r="BG94" s="77"/>
      <c r="BH94" s="77"/>
      <c r="BI94" s="77"/>
      <c r="BJ94" s="77"/>
      <c r="BK94" s="77"/>
      <c r="BL94" s="77"/>
      <c r="BM94" s="77"/>
      <c r="BN94" s="77"/>
      <c r="BO94" s="77"/>
      <c r="BP94" s="77"/>
      <c r="BR94" s="123" t="str">
        <f t="shared" si="13"/>
        <v>FAI40</v>
      </c>
      <c r="BS94" s="120">
        <f>OOC!G94</f>
        <v>0.38</v>
      </c>
      <c r="BT94" s="120">
        <f>OOC!H94</f>
        <v>0.31999999999999995</v>
      </c>
      <c r="BU94" s="2" t="str">
        <f t="shared" si="14"/>
        <v/>
      </c>
      <c r="BV94" s="2" t="str">
        <f t="shared" si="15"/>
        <v/>
      </c>
      <c r="BW94" s="2" t="str">
        <f t="shared" si="16"/>
        <v/>
      </c>
      <c r="BX94" s="121" t="e">
        <f>IF(AND(IF(OOC!G94="",0,OOC!G94) &gt;= IF(O94="",0,O94), IF(O94="",0,O94) &gt; IF(L94="",0,L94)), "OOC",
IF(AND(IF(M94="",0,M94) &gt; IF(P94="",0,P94), IF(P94="",0,P94) &gt;= IF(OOC!H94="",0,OOC!H94)), "OOC",
IF(IF(O94="",0,O94) &gt; IF(OOC!G94="",0,OOC!G94), "OOS",
IF(IF(OOC!H94="",0,OOC!H94) &gt; IF(P94="",0,P94), "OOS", "OK"))))</f>
        <v>#VALUE!</v>
      </c>
    </row>
    <row r="95" spans="1:76" ht="15" customHeight="1">
      <c r="A95" s="13"/>
      <c r="B95" s="88"/>
      <c r="C95" s="78" t="s">
        <v>152</v>
      </c>
      <c r="D95" s="89" t="s">
        <v>117</v>
      </c>
      <c r="E95" s="90"/>
      <c r="F95" s="66" t="s">
        <v>44</v>
      </c>
      <c r="G95" s="91">
        <v>1.9019999999999999</v>
      </c>
      <c r="H95" s="92" t="str">
        <f>IF(OOC!S95=0,"",OOC!S95)</f>
        <v/>
      </c>
      <c r="I95" s="92" t="str">
        <f>IF(OOC!T95=0,"",OOC!T95)</f>
        <v/>
      </c>
      <c r="J95" s="68" t="s">
        <v>12</v>
      </c>
      <c r="K95" s="69" t="s">
        <v>80</v>
      </c>
      <c r="L95" s="70" t="e">
        <f t="shared" si="0"/>
        <v>#VALUE!</v>
      </c>
      <c r="M95" s="70" t="e">
        <f t="shared" si="1"/>
        <v>#VALUE!</v>
      </c>
      <c r="N95" s="71"/>
      <c r="O95" s="2" t="e">
        <f t="shared" si="2"/>
        <v>#REF!</v>
      </c>
      <c r="P95" s="2" t="e">
        <f t="shared" si="3"/>
        <v>#REF!</v>
      </c>
      <c r="Q95" s="2" t="e">
        <f t="shared" si="4"/>
        <v>#REF!</v>
      </c>
      <c r="R95" s="3" t="e">
        <f t="shared" si="5"/>
        <v>#REF!</v>
      </c>
      <c r="S95" s="4" t="e">
        <f t="shared" si="10"/>
        <v>#REF!</v>
      </c>
      <c r="T95" s="84" t="e">
        <f t="shared" si="11"/>
        <v>#REF!</v>
      </c>
      <c r="U95" s="85" t="e">
        <f t="shared" si="12"/>
        <v>#REF!</v>
      </c>
      <c r="V95" s="4" t="e">
        <f t="shared" si="6"/>
        <v>#REF!</v>
      </c>
      <c r="W95" s="4" t="e">
        <f t="shared" si="7"/>
        <v>#REF!</v>
      </c>
      <c r="X95" s="4" t="e">
        <f t="shared" si="8"/>
        <v>#REF!</v>
      </c>
      <c r="Y95" s="62" t="e">
        <f t="shared" si="9"/>
        <v>#REF!</v>
      </c>
      <c r="Z95" s="22"/>
      <c r="AA95" s="22"/>
      <c r="AB95" s="22"/>
      <c r="AC95" s="22"/>
      <c r="AD95" s="19"/>
      <c r="AE95" s="14"/>
      <c r="AF95" s="72"/>
      <c r="AG95" s="49"/>
      <c r="AH95" s="49"/>
      <c r="AI95" s="50"/>
      <c r="AJ95" s="15"/>
      <c r="AK95" s="77" t="e">
        <f>#REF!</f>
        <v>#REF!</v>
      </c>
      <c r="AL95" s="77" t="e">
        <f>#REF!</f>
        <v>#REF!</v>
      </c>
      <c r="AM95" s="77" t="e">
        <f>#REF!</f>
        <v>#REF!</v>
      </c>
      <c r="AN95" s="77"/>
      <c r="AO95" s="77"/>
      <c r="AP95" s="77"/>
      <c r="AQ95" s="77"/>
      <c r="AR95" s="77"/>
      <c r="AS95" s="77"/>
      <c r="AT95" s="77"/>
      <c r="AU95" s="77"/>
      <c r="AV95" s="77"/>
      <c r="AW95" s="77"/>
      <c r="AX95" s="77"/>
      <c r="AY95" s="77"/>
      <c r="AZ95" s="77"/>
      <c r="BA95" s="77"/>
      <c r="BB95" s="77"/>
      <c r="BC95" s="77"/>
      <c r="BD95" s="77"/>
      <c r="BE95" s="77"/>
      <c r="BF95" s="77"/>
      <c r="BG95" s="77"/>
      <c r="BH95" s="77"/>
      <c r="BI95" s="77"/>
      <c r="BJ95" s="77"/>
      <c r="BK95" s="77"/>
      <c r="BL95" s="77"/>
      <c r="BM95" s="77"/>
      <c r="BN95" s="77"/>
      <c r="BO95" s="77"/>
      <c r="BP95" s="77"/>
      <c r="BR95" s="123" t="str">
        <f t="shared" si="13"/>
        <v>FAI41</v>
      </c>
      <c r="BS95" s="120">
        <f>OOC!G95</f>
        <v>1.9219999999999999</v>
      </c>
      <c r="BT95" s="120">
        <f>OOC!H95</f>
        <v>1.8819999999999999</v>
      </c>
      <c r="BU95" s="2" t="e">
        <f t="shared" si="14"/>
        <v>#REF!</v>
      </c>
      <c r="BV95" s="2" t="e">
        <f t="shared" si="15"/>
        <v>#REF!</v>
      </c>
      <c r="BW95" s="2" t="e">
        <f t="shared" si="16"/>
        <v>#REF!</v>
      </c>
      <c r="BX95" s="121" t="e">
        <f>IF(AND(IF(OOC!G95="",0,OOC!G95) &gt;= IF(O95="",0,O95), IF(O95="",0,O95) &gt; IF(L95="",0,L95)), "OOC",
IF(AND(IF(M95="",0,M95) &gt; IF(P95="",0,P95), IF(P95="",0,P95) &gt;= IF(OOC!H95="",0,OOC!H95)), "OOC",
IF(IF(O95="",0,O95) &gt; IF(OOC!G95="",0,OOC!G95), "OOS",
IF(IF(OOC!H95="",0,OOC!H95) &gt; IF(P95="",0,P95), "OOS", "OK"))))</f>
        <v>#REF!</v>
      </c>
    </row>
    <row r="96" spans="1:76" ht="15" customHeight="1">
      <c r="A96" s="13">
        <v>1</v>
      </c>
      <c r="B96" s="88"/>
      <c r="C96" s="78"/>
      <c r="D96" s="89"/>
      <c r="E96" s="90"/>
      <c r="F96" s="66"/>
      <c r="G96" s="91"/>
      <c r="H96" s="92"/>
      <c r="I96" s="92"/>
      <c r="J96" s="68"/>
      <c r="K96" s="69"/>
      <c r="L96" s="70"/>
      <c r="M96" s="70"/>
      <c r="N96" s="71"/>
      <c r="O96" s="2"/>
      <c r="P96" s="2"/>
      <c r="Q96" s="2"/>
      <c r="R96" s="3"/>
      <c r="S96" s="4"/>
      <c r="T96" s="84"/>
      <c r="U96" s="85"/>
      <c r="V96" s="4"/>
      <c r="W96" s="4"/>
      <c r="X96" s="4"/>
      <c r="Y96" s="62"/>
      <c r="Z96" s="22"/>
      <c r="AA96" s="22"/>
      <c r="AB96" s="22"/>
      <c r="AC96" s="22"/>
      <c r="AD96" s="19"/>
      <c r="AE96" s="14"/>
      <c r="AF96" s="72"/>
      <c r="AG96" s="49"/>
      <c r="AH96" s="49"/>
      <c r="AI96" s="50"/>
      <c r="AJ96" s="15"/>
      <c r="AK96" s="77"/>
      <c r="AL96" s="77"/>
      <c r="AM96" s="77"/>
      <c r="AN96" s="77"/>
      <c r="AO96" s="77"/>
      <c r="AP96" s="77"/>
      <c r="AQ96" s="77"/>
      <c r="AR96" s="77"/>
      <c r="AS96" s="77"/>
      <c r="AT96" s="77"/>
      <c r="AU96" s="77"/>
      <c r="AV96" s="77"/>
      <c r="AW96" s="77"/>
      <c r="AX96" s="77"/>
      <c r="AY96" s="77"/>
      <c r="AZ96" s="77"/>
      <c r="BA96" s="77"/>
      <c r="BB96" s="77"/>
      <c r="BC96" s="77"/>
      <c r="BD96" s="77"/>
      <c r="BE96" s="77"/>
      <c r="BF96" s="77"/>
      <c r="BG96" s="77"/>
      <c r="BH96" s="77"/>
      <c r="BI96" s="77"/>
      <c r="BJ96" s="77"/>
      <c r="BK96" s="77"/>
      <c r="BL96" s="77"/>
      <c r="BM96" s="77"/>
      <c r="BN96" s="77"/>
      <c r="BO96" s="77"/>
      <c r="BP96" s="77"/>
      <c r="BR96" s="123"/>
      <c r="BS96" s="120"/>
      <c r="BT96" s="120"/>
      <c r="BU96" s="2"/>
      <c r="BV96" s="2"/>
      <c r="BW96" s="2"/>
      <c r="BX96" s="121"/>
    </row>
    <row r="97" spans="1:76" ht="15" customHeight="1">
      <c r="A97" s="13">
        <v>2</v>
      </c>
      <c r="B97" s="88"/>
      <c r="C97" s="78"/>
      <c r="D97" s="89"/>
      <c r="E97" s="90"/>
      <c r="F97" s="66"/>
      <c r="G97" s="91"/>
      <c r="H97" s="92"/>
      <c r="I97" s="92"/>
      <c r="J97" s="68"/>
      <c r="K97" s="69"/>
      <c r="L97" s="70"/>
      <c r="M97" s="70"/>
      <c r="N97" s="71"/>
      <c r="O97" s="2"/>
      <c r="P97" s="2"/>
      <c r="Q97" s="2"/>
      <c r="R97" s="3"/>
      <c r="S97" s="4"/>
      <c r="T97" s="84"/>
      <c r="U97" s="85"/>
      <c r="V97" s="4"/>
      <c r="W97" s="4"/>
      <c r="X97" s="4"/>
      <c r="Y97" s="62"/>
      <c r="Z97" s="22"/>
      <c r="AA97" s="22"/>
      <c r="AB97" s="22"/>
      <c r="AC97" s="22"/>
      <c r="AD97" s="19"/>
      <c r="AE97" s="14"/>
      <c r="AF97" s="72"/>
      <c r="AG97" s="49"/>
      <c r="AH97" s="49"/>
      <c r="AI97" s="50"/>
      <c r="AJ97" s="15"/>
      <c r="AK97" s="77"/>
      <c r="AL97" s="77"/>
      <c r="AM97" s="77"/>
      <c r="AN97" s="77"/>
      <c r="AO97" s="77"/>
      <c r="AP97" s="77"/>
      <c r="AQ97" s="77"/>
      <c r="AR97" s="77"/>
      <c r="AS97" s="77"/>
      <c r="AT97" s="77"/>
      <c r="AU97" s="77"/>
      <c r="AV97" s="77"/>
      <c r="AW97" s="77"/>
      <c r="AX97" s="77"/>
      <c r="AY97" s="77"/>
      <c r="AZ97" s="77"/>
      <c r="BA97" s="77"/>
      <c r="BB97" s="77"/>
      <c r="BC97" s="77"/>
      <c r="BD97" s="77"/>
      <c r="BE97" s="77"/>
      <c r="BF97" s="77"/>
      <c r="BG97" s="77"/>
      <c r="BH97" s="77"/>
      <c r="BI97" s="77"/>
      <c r="BJ97" s="77"/>
      <c r="BK97" s="77"/>
      <c r="BL97" s="77"/>
      <c r="BM97" s="77"/>
      <c r="BN97" s="77"/>
      <c r="BO97" s="77"/>
      <c r="BP97" s="77"/>
      <c r="BR97" s="123"/>
      <c r="BS97" s="120"/>
      <c r="BT97" s="120"/>
      <c r="BU97" s="2"/>
      <c r="BV97" s="2"/>
      <c r="BW97" s="2"/>
      <c r="BX97" s="121"/>
    </row>
    <row r="98" spans="1:76" ht="15" customHeight="1">
      <c r="A98" s="13">
        <v>3</v>
      </c>
      <c r="B98" s="88"/>
      <c r="C98" s="78"/>
      <c r="D98" s="89"/>
      <c r="E98" s="90"/>
      <c r="F98" s="66"/>
      <c r="G98" s="91"/>
      <c r="H98" s="92"/>
      <c r="I98" s="92"/>
      <c r="J98" s="68"/>
      <c r="K98" s="69"/>
      <c r="L98" s="70"/>
      <c r="M98" s="70"/>
      <c r="N98" s="71"/>
      <c r="O98" s="2"/>
      <c r="P98" s="2"/>
      <c r="Q98" s="2"/>
      <c r="R98" s="3"/>
      <c r="S98" s="4"/>
      <c r="T98" s="84"/>
      <c r="U98" s="85"/>
      <c r="V98" s="4"/>
      <c r="W98" s="4"/>
      <c r="X98" s="4"/>
      <c r="Y98" s="62"/>
      <c r="Z98" s="22"/>
      <c r="AA98" s="22"/>
      <c r="AB98" s="22"/>
      <c r="AC98" s="22"/>
      <c r="AD98" s="19"/>
      <c r="AE98" s="14"/>
      <c r="AF98" s="72"/>
      <c r="AG98" s="49"/>
      <c r="AH98" s="49"/>
      <c r="AI98" s="50"/>
      <c r="AJ98" s="15"/>
      <c r="AK98" s="77"/>
      <c r="AL98" s="77"/>
      <c r="AM98" s="77"/>
      <c r="AN98" s="77"/>
      <c r="AO98" s="77"/>
      <c r="AP98" s="77"/>
      <c r="AQ98" s="77"/>
      <c r="AR98" s="77"/>
      <c r="AS98" s="77"/>
      <c r="AT98" s="77"/>
      <c r="AU98" s="77"/>
      <c r="AV98" s="77"/>
      <c r="AW98" s="77"/>
      <c r="AX98" s="77"/>
      <c r="AY98" s="77"/>
      <c r="AZ98" s="77"/>
      <c r="BA98" s="77"/>
      <c r="BB98" s="77"/>
      <c r="BC98" s="77"/>
      <c r="BD98" s="77"/>
      <c r="BE98" s="77"/>
      <c r="BF98" s="77"/>
      <c r="BG98" s="77"/>
      <c r="BH98" s="77"/>
      <c r="BI98" s="77"/>
      <c r="BJ98" s="77"/>
      <c r="BK98" s="77"/>
      <c r="BL98" s="77"/>
      <c r="BM98" s="77"/>
      <c r="BN98" s="77"/>
      <c r="BO98" s="77"/>
      <c r="BP98" s="77"/>
      <c r="BR98" s="123"/>
      <c r="BS98" s="120"/>
      <c r="BT98" s="120"/>
      <c r="BU98" s="2"/>
      <c r="BV98" s="2"/>
      <c r="BW98" s="2"/>
      <c r="BX98" s="121"/>
    </row>
    <row r="99" spans="1:76" ht="15" customHeight="1">
      <c r="A99" s="13">
        <v>4</v>
      </c>
      <c r="B99" s="88"/>
      <c r="C99" s="78"/>
      <c r="D99" s="89"/>
      <c r="E99" s="90"/>
      <c r="F99" s="66"/>
      <c r="G99" s="91"/>
      <c r="H99" s="92"/>
      <c r="I99" s="92"/>
      <c r="J99" s="68"/>
      <c r="K99" s="69"/>
      <c r="L99" s="70"/>
      <c r="M99" s="70"/>
      <c r="N99" s="71"/>
      <c r="O99" s="2"/>
      <c r="P99" s="2"/>
      <c r="Q99" s="2"/>
      <c r="R99" s="3"/>
      <c r="S99" s="4"/>
      <c r="T99" s="84"/>
      <c r="U99" s="85"/>
      <c r="V99" s="4"/>
      <c r="W99" s="4"/>
      <c r="X99" s="4"/>
      <c r="Y99" s="62"/>
      <c r="Z99" s="22"/>
      <c r="AA99" s="22"/>
      <c r="AB99" s="22"/>
      <c r="AC99" s="22"/>
      <c r="AD99" s="19"/>
      <c r="AE99" s="14"/>
      <c r="AF99" s="72"/>
      <c r="AG99" s="49"/>
      <c r="AH99" s="49"/>
      <c r="AI99" s="50"/>
      <c r="AJ99" s="15"/>
      <c r="AK99" s="77"/>
      <c r="AL99" s="77"/>
      <c r="AM99" s="77"/>
      <c r="AN99" s="77"/>
      <c r="AO99" s="77"/>
      <c r="AP99" s="77"/>
      <c r="AQ99" s="77"/>
      <c r="AR99" s="77"/>
      <c r="AS99" s="77"/>
      <c r="AT99" s="77"/>
      <c r="AU99" s="77"/>
      <c r="AV99" s="77"/>
      <c r="AW99" s="77"/>
      <c r="AX99" s="77"/>
      <c r="AY99" s="77"/>
      <c r="AZ99" s="77"/>
      <c r="BA99" s="77"/>
      <c r="BB99" s="77"/>
      <c r="BC99" s="77"/>
      <c r="BD99" s="77"/>
      <c r="BE99" s="77"/>
      <c r="BF99" s="77"/>
      <c r="BG99" s="77"/>
      <c r="BH99" s="77"/>
      <c r="BI99" s="77"/>
      <c r="BJ99" s="77"/>
      <c r="BK99" s="77"/>
      <c r="BL99" s="77"/>
      <c r="BM99" s="77"/>
      <c r="BN99" s="77"/>
      <c r="BO99" s="77"/>
      <c r="BP99" s="77"/>
      <c r="BR99" s="123"/>
      <c r="BS99" s="120"/>
      <c r="BT99" s="120"/>
      <c r="BU99" s="2"/>
      <c r="BV99" s="2"/>
      <c r="BW99" s="2"/>
      <c r="BX99" s="121"/>
    </row>
    <row r="100" spans="1:76" ht="15" customHeight="1">
      <c r="A100" s="13">
        <v>5</v>
      </c>
      <c r="B100" s="88"/>
      <c r="C100" s="78"/>
      <c r="D100" s="89"/>
      <c r="E100" s="90"/>
      <c r="F100" s="66"/>
      <c r="G100" s="91"/>
      <c r="H100" s="92"/>
      <c r="I100" s="92"/>
      <c r="J100" s="68"/>
      <c r="K100" s="69"/>
      <c r="L100" s="70"/>
      <c r="M100" s="70"/>
      <c r="N100" s="71"/>
      <c r="O100" s="2"/>
      <c r="P100" s="2"/>
      <c r="Q100" s="2"/>
      <c r="R100" s="3"/>
      <c r="S100" s="4"/>
      <c r="T100" s="84"/>
      <c r="U100" s="85"/>
      <c r="V100" s="4"/>
      <c r="W100" s="4"/>
      <c r="X100" s="4"/>
      <c r="Y100" s="62"/>
      <c r="Z100" s="22"/>
      <c r="AA100" s="22"/>
      <c r="AB100" s="22"/>
      <c r="AC100" s="22"/>
      <c r="AD100" s="19"/>
      <c r="AE100" s="14"/>
      <c r="AF100" s="72"/>
      <c r="AG100" s="49"/>
      <c r="AH100" s="49"/>
      <c r="AI100" s="50"/>
      <c r="AJ100" s="15"/>
      <c r="AK100" s="77"/>
      <c r="AL100" s="77"/>
      <c r="AM100" s="77"/>
      <c r="AN100" s="77"/>
      <c r="AO100" s="77"/>
      <c r="AP100" s="77"/>
      <c r="AQ100" s="77"/>
      <c r="AR100" s="77"/>
      <c r="AS100" s="77"/>
      <c r="AT100" s="77"/>
      <c r="AU100" s="77"/>
      <c r="AV100" s="77"/>
      <c r="AW100" s="77"/>
      <c r="AX100" s="77"/>
      <c r="AY100" s="77"/>
      <c r="AZ100" s="77"/>
      <c r="BA100" s="77"/>
      <c r="BB100" s="77"/>
      <c r="BC100" s="77"/>
      <c r="BD100" s="77"/>
      <c r="BE100" s="77"/>
      <c r="BF100" s="77"/>
      <c r="BG100" s="77"/>
      <c r="BH100" s="77"/>
      <c r="BI100" s="77"/>
      <c r="BJ100" s="77"/>
      <c r="BK100" s="77"/>
      <c r="BL100" s="77"/>
      <c r="BM100" s="77"/>
      <c r="BN100" s="77"/>
      <c r="BO100" s="77"/>
      <c r="BP100" s="77"/>
      <c r="BR100" s="123"/>
      <c r="BS100" s="120"/>
      <c r="BT100" s="120"/>
      <c r="BU100" s="2"/>
      <c r="BV100" s="2"/>
      <c r="BW100" s="2"/>
      <c r="BX100" s="121"/>
    </row>
    <row r="101" spans="1:76" ht="15" customHeight="1">
      <c r="A101" s="13">
        <v>6</v>
      </c>
      <c r="B101" s="88"/>
      <c r="C101" s="78"/>
      <c r="D101" s="89"/>
      <c r="E101" s="90"/>
      <c r="F101" s="66"/>
      <c r="G101" s="91"/>
      <c r="H101" s="92"/>
      <c r="I101" s="92"/>
      <c r="J101" s="68"/>
      <c r="K101" s="69"/>
      <c r="L101" s="70"/>
      <c r="M101" s="70"/>
      <c r="N101" s="71"/>
      <c r="O101" s="2"/>
      <c r="P101" s="2"/>
      <c r="Q101" s="2"/>
      <c r="R101" s="3"/>
      <c r="S101" s="4"/>
      <c r="T101" s="84"/>
      <c r="U101" s="85"/>
      <c r="V101" s="4"/>
      <c r="W101" s="4"/>
      <c r="X101" s="4"/>
      <c r="Y101" s="62"/>
      <c r="Z101" s="22"/>
      <c r="AA101" s="22"/>
      <c r="AB101" s="22"/>
      <c r="AC101" s="22"/>
      <c r="AD101" s="19"/>
      <c r="AE101" s="14"/>
      <c r="AF101" s="72"/>
      <c r="AG101" s="49"/>
      <c r="AH101" s="49"/>
      <c r="AI101" s="50"/>
      <c r="AJ101" s="15"/>
      <c r="AK101" s="77"/>
      <c r="AL101" s="77"/>
      <c r="AM101" s="77"/>
      <c r="AN101" s="77"/>
      <c r="AO101" s="77"/>
      <c r="AP101" s="77"/>
      <c r="AQ101" s="77"/>
      <c r="AR101" s="77"/>
      <c r="AS101" s="77"/>
      <c r="AT101" s="77"/>
      <c r="AU101" s="77"/>
      <c r="AV101" s="77"/>
      <c r="AW101" s="77"/>
      <c r="AX101" s="77"/>
      <c r="AY101" s="77"/>
      <c r="AZ101" s="77"/>
      <c r="BA101" s="77"/>
      <c r="BB101" s="77"/>
      <c r="BC101" s="77"/>
      <c r="BD101" s="77"/>
      <c r="BE101" s="77"/>
      <c r="BF101" s="77"/>
      <c r="BG101" s="77"/>
      <c r="BH101" s="77"/>
      <c r="BI101" s="77"/>
      <c r="BJ101" s="77"/>
      <c r="BK101" s="77"/>
      <c r="BL101" s="77"/>
      <c r="BM101" s="77"/>
      <c r="BN101" s="77"/>
      <c r="BO101" s="77"/>
      <c r="BP101" s="77"/>
      <c r="BR101" s="123"/>
      <c r="BS101" s="120"/>
      <c r="BT101" s="120"/>
      <c r="BU101" s="2"/>
      <c r="BV101" s="2"/>
      <c r="BW101" s="2"/>
      <c r="BX101" s="121"/>
    </row>
    <row r="102" spans="1:76" ht="15" customHeight="1">
      <c r="A102" s="13">
        <v>7</v>
      </c>
      <c r="B102" s="88"/>
      <c r="C102" s="78"/>
      <c r="D102" s="89"/>
      <c r="E102" s="90"/>
      <c r="F102" s="66"/>
      <c r="G102" s="91"/>
      <c r="H102" s="92"/>
      <c r="I102" s="92"/>
      <c r="J102" s="68"/>
      <c r="K102" s="69"/>
      <c r="L102" s="70"/>
      <c r="M102" s="70"/>
      <c r="N102" s="71"/>
      <c r="O102" s="2"/>
      <c r="P102" s="2"/>
      <c r="Q102" s="2"/>
      <c r="R102" s="3"/>
      <c r="S102" s="4"/>
      <c r="T102" s="84"/>
      <c r="U102" s="85"/>
      <c r="V102" s="4"/>
      <c r="W102" s="4"/>
      <c r="X102" s="4"/>
      <c r="Y102" s="62"/>
      <c r="Z102" s="22"/>
      <c r="AA102" s="22"/>
      <c r="AB102" s="22"/>
      <c r="AC102" s="22"/>
      <c r="AD102" s="19"/>
      <c r="AE102" s="14"/>
      <c r="AF102" s="72"/>
      <c r="AG102" s="49"/>
      <c r="AH102" s="49"/>
      <c r="AI102" s="50"/>
      <c r="AJ102" s="15"/>
      <c r="AK102" s="77"/>
      <c r="AL102" s="77"/>
      <c r="AM102" s="77"/>
      <c r="AN102" s="77"/>
      <c r="AO102" s="77"/>
      <c r="AP102" s="77"/>
      <c r="AQ102" s="77"/>
      <c r="AR102" s="77"/>
      <c r="AS102" s="77"/>
      <c r="AT102" s="77"/>
      <c r="AU102" s="77"/>
      <c r="AV102" s="77"/>
      <c r="AW102" s="77"/>
      <c r="AX102" s="77"/>
      <c r="AY102" s="77"/>
      <c r="AZ102" s="77"/>
      <c r="BA102" s="77"/>
      <c r="BB102" s="77"/>
      <c r="BC102" s="77"/>
      <c r="BD102" s="77"/>
      <c r="BE102" s="77"/>
      <c r="BF102" s="77"/>
      <c r="BG102" s="77"/>
      <c r="BH102" s="77"/>
      <c r="BI102" s="77"/>
      <c r="BJ102" s="77"/>
      <c r="BK102" s="77"/>
      <c r="BL102" s="77"/>
      <c r="BM102" s="77"/>
      <c r="BN102" s="77"/>
      <c r="BO102" s="77"/>
      <c r="BP102" s="77"/>
      <c r="BR102" s="123"/>
      <c r="BS102" s="120"/>
      <c r="BT102" s="120"/>
      <c r="BU102" s="2"/>
      <c r="BV102" s="2"/>
      <c r="BW102" s="2"/>
      <c r="BX102" s="121"/>
    </row>
    <row r="103" spans="1:76" ht="15" customHeight="1">
      <c r="A103" s="13">
        <v>8</v>
      </c>
      <c r="B103" s="88"/>
      <c r="C103" s="78"/>
      <c r="D103" s="89"/>
      <c r="E103" s="90"/>
      <c r="F103" s="66"/>
      <c r="G103" s="91"/>
      <c r="H103" s="92"/>
      <c r="I103" s="92"/>
      <c r="J103" s="68"/>
      <c r="K103" s="69"/>
      <c r="L103" s="70"/>
      <c r="M103" s="70"/>
      <c r="N103" s="71"/>
      <c r="O103" s="2"/>
      <c r="P103" s="2"/>
      <c r="Q103" s="2"/>
      <c r="R103" s="3"/>
      <c r="S103" s="4"/>
      <c r="T103" s="84"/>
      <c r="U103" s="85"/>
      <c r="V103" s="4"/>
      <c r="W103" s="4"/>
      <c r="X103" s="4"/>
      <c r="Y103" s="62"/>
      <c r="Z103" s="22"/>
      <c r="AA103" s="22"/>
      <c r="AB103" s="22"/>
      <c r="AC103" s="22"/>
      <c r="AD103" s="19"/>
      <c r="AE103" s="14"/>
      <c r="AF103" s="72"/>
      <c r="AG103" s="49"/>
      <c r="AH103" s="49"/>
      <c r="AI103" s="50"/>
      <c r="AJ103" s="15"/>
      <c r="AK103" s="77"/>
      <c r="AL103" s="77"/>
      <c r="AM103" s="77"/>
      <c r="AN103" s="77"/>
      <c r="AO103" s="77"/>
      <c r="AP103" s="77"/>
      <c r="AQ103" s="77"/>
      <c r="AR103" s="77"/>
      <c r="AS103" s="77"/>
      <c r="AT103" s="77"/>
      <c r="AU103" s="77"/>
      <c r="AV103" s="77"/>
      <c r="AW103" s="77"/>
      <c r="AX103" s="77"/>
      <c r="AY103" s="77"/>
      <c r="AZ103" s="77"/>
      <c r="BA103" s="77"/>
      <c r="BB103" s="77"/>
      <c r="BC103" s="77"/>
      <c r="BD103" s="77"/>
      <c r="BE103" s="77"/>
      <c r="BF103" s="77"/>
      <c r="BG103" s="77"/>
      <c r="BH103" s="77"/>
      <c r="BI103" s="77"/>
      <c r="BJ103" s="77"/>
      <c r="BK103" s="77"/>
      <c r="BL103" s="77"/>
      <c r="BM103" s="77"/>
      <c r="BN103" s="77"/>
      <c r="BO103" s="77"/>
      <c r="BP103" s="77"/>
      <c r="BR103" s="123"/>
      <c r="BS103" s="120"/>
      <c r="BT103" s="120"/>
      <c r="BU103" s="2"/>
      <c r="BV103" s="2"/>
      <c r="BW103" s="2"/>
      <c r="BX103" s="121"/>
    </row>
    <row r="104" spans="1:76" ht="15" customHeight="1">
      <c r="A104" s="13">
        <v>9</v>
      </c>
      <c r="B104" s="88"/>
      <c r="C104" s="78"/>
      <c r="D104" s="89"/>
      <c r="E104" s="90"/>
      <c r="F104" s="66"/>
      <c r="G104" s="91"/>
      <c r="H104" s="92"/>
      <c r="I104" s="92"/>
      <c r="J104" s="68"/>
      <c r="K104" s="69"/>
      <c r="L104" s="70"/>
      <c r="M104" s="70"/>
      <c r="N104" s="71"/>
      <c r="O104" s="2"/>
      <c r="P104" s="2"/>
      <c r="Q104" s="2"/>
      <c r="R104" s="3"/>
      <c r="S104" s="4"/>
      <c r="T104" s="84"/>
      <c r="U104" s="85"/>
      <c r="V104" s="4"/>
      <c r="W104" s="4"/>
      <c r="X104" s="4"/>
      <c r="Y104" s="62"/>
      <c r="Z104" s="22"/>
      <c r="AA104" s="22"/>
      <c r="AB104" s="22"/>
      <c r="AC104" s="22"/>
      <c r="AD104" s="19"/>
      <c r="AE104" s="14"/>
      <c r="AF104" s="72"/>
      <c r="AG104" s="49"/>
      <c r="AH104" s="49"/>
      <c r="AI104" s="50"/>
      <c r="AJ104" s="15"/>
      <c r="AK104" s="77"/>
      <c r="AL104" s="77"/>
      <c r="AM104" s="77"/>
      <c r="AN104" s="77"/>
      <c r="AO104" s="77"/>
      <c r="AP104" s="77"/>
      <c r="AQ104" s="77"/>
      <c r="AR104" s="77"/>
      <c r="AS104" s="77"/>
      <c r="AT104" s="77"/>
      <c r="AU104" s="77"/>
      <c r="AV104" s="77"/>
      <c r="AW104" s="77"/>
      <c r="AX104" s="77"/>
      <c r="AY104" s="77"/>
      <c r="AZ104" s="77"/>
      <c r="BA104" s="77"/>
      <c r="BB104" s="77"/>
      <c r="BC104" s="77"/>
      <c r="BD104" s="77"/>
      <c r="BE104" s="77"/>
      <c r="BF104" s="77"/>
      <c r="BG104" s="77"/>
      <c r="BH104" s="77"/>
      <c r="BI104" s="77"/>
      <c r="BJ104" s="77"/>
      <c r="BK104" s="77"/>
      <c r="BL104" s="77"/>
      <c r="BM104" s="77"/>
      <c r="BN104" s="77"/>
      <c r="BO104" s="77"/>
      <c r="BP104" s="77"/>
      <c r="BR104" s="123"/>
      <c r="BS104" s="120"/>
      <c r="BT104" s="120"/>
      <c r="BU104" s="2"/>
      <c r="BV104" s="2"/>
      <c r="BW104" s="2"/>
      <c r="BX104" s="121"/>
    </row>
    <row r="105" spans="1:76" ht="15" customHeight="1">
      <c r="A105" s="13">
        <v>10</v>
      </c>
      <c r="B105" s="88"/>
      <c r="C105" s="78"/>
      <c r="D105" s="89"/>
      <c r="E105" s="90"/>
      <c r="F105" s="66"/>
      <c r="G105" s="91"/>
      <c r="H105" s="92"/>
      <c r="I105" s="92"/>
      <c r="J105" s="68"/>
      <c r="K105" s="69"/>
      <c r="L105" s="70"/>
      <c r="M105" s="70"/>
      <c r="N105" s="71"/>
      <c r="O105" s="2"/>
      <c r="P105" s="2"/>
      <c r="Q105" s="2"/>
      <c r="R105" s="3"/>
      <c r="S105" s="4"/>
      <c r="T105" s="84"/>
      <c r="U105" s="85"/>
      <c r="V105" s="4"/>
      <c r="W105" s="4"/>
      <c r="X105" s="4"/>
      <c r="Y105" s="62"/>
      <c r="Z105" s="22"/>
      <c r="AA105" s="22"/>
      <c r="AB105" s="22"/>
      <c r="AC105" s="22"/>
      <c r="AD105" s="19"/>
      <c r="AE105" s="14"/>
      <c r="AF105" s="72"/>
      <c r="AG105" s="49"/>
      <c r="AH105" s="49"/>
      <c r="AI105" s="50"/>
      <c r="AJ105" s="15"/>
      <c r="AK105" s="77"/>
      <c r="AL105" s="77"/>
      <c r="AM105" s="77"/>
      <c r="AN105" s="77"/>
      <c r="AO105" s="77"/>
      <c r="AP105" s="77"/>
      <c r="AQ105" s="77"/>
      <c r="AR105" s="77"/>
      <c r="AS105" s="77"/>
      <c r="AT105" s="77"/>
      <c r="AU105" s="77"/>
      <c r="AV105" s="77"/>
      <c r="AW105" s="77"/>
      <c r="AX105" s="77"/>
      <c r="AY105" s="77"/>
      <c r="AZ105" s="77"/>
      <c r="BA105" s="77"/>
      <c r="BB105" s="77"/>
      <c r="BC105" s="77"/>
      <c r="BD105" s="77"/>
      <c r="BE105" s="77"/>
      <c r="BF105" s="77"/>
      <c r="BG105" s="77"/>
      <c r="BH105" s="77"/>
      <c r="BI105" s="77"/>
      <c r="BJ105" s="77"/>
      <c r="BK105" s="77"/>
      <c r="BL105" s="77"/>
      <c r="BM105" s="77"/>
      <c r="BN105" s="77"/>
      <c r="BO105" s="77"/>
      <c r="BP105" s="77"/>
      <c r="BR105" s="123"/>
      <c r="BS105" s="120"/>
      <c r="BT105" s="120"/>
      <c r="BU105" s="2"/>
      <c r="BV105" s="2"/>
      <c r="BW105" s="2"/>
      <c r="BX105" s="121"/>
    </row>
    <row r="106" spans="1:76" ht="15" customHeight="1">
      <c r="A106" s="13">
        <v>11</v>
      </c>
      <c r="B106" s="88"/>
      <c r="C106" s="78"/>
      <c r="D106" s="89"/>
      <c r="E106" s="90"/>
      <c r="F106" s="66"/>
      <c r="G106" s="91"/>
      <c r="H106" s="92"/>
      <c r="I106" s="92"/>
      <c r="J106" s="68"/>
      <c r="K106" s="69"/>
      <c r="L106" s="70"/>
      <c r="M106" s="70"/>
      <c r="N106" s="71"/>
      <c r="O106" s="2"/>
      <c r="P106" s="2"/>
      <c r="Q106" s="2"/>
      <c r="R106" s="3"/>
      <c r="S106" s="4"/>
      <c r="T106" s="84"/>
      <c r="U106" s="85"/>
      <c r="V106" s="4"/>
      <c r="W106" s="4"/>
      <c r="X106" s="4"/>
      <c r="Y106" s="62"/>
      <c r="Z106" s="22"/>
      <c r="AA106" s="22"/>
      <c r="AB106" s="22"/>
      <c r="AC106" s="22"/>
      <c r="AD106" s="19"/>
      <c r="AE106" s="14"/>
      <c r="AF106" s="72"/>
      <c r="AG106" s="49"/>
      <c r="AH106" s="49"/>
      <c r="AI106" s="50"/>
      <c r="AJ106" s="15"/>
      <c r="AK106" s="77"/>
      <c r="AL106" s="77"/>
      <c r="AM106" s="77"/>
      <c r="AN106" s="77"/>
      <c r="AO106" s="77"/>
      <c r="AP106" s="77"/>
      <c r="AQ106" s="77"/>
      <c r="AR106" s="77"/>
      <c r="AS106" s="77"/>
      <c r="AT106" s="77"/>
      <c r="AU106" s="77"/>
      <c r="AV106" s="77"/>
      <c r="AW106" s="77"/>
      <c r="AX106" s="77"/>
      <c r="AY106" s="77"/>
      <c r="AZ106" s="77"/>
      <c r="BA106" s="77"/>
      <c r="BB106" s="77"/>
      <c r="BC106" s="77"/>
      <c r="BD106" s="77"/>
      <c r="BE106" s="77"/>
      <c r="BF106" s="77"/>
      <c r="BG106" s="77"/>
      <c r="BH106" s="77"/>
      <c r="BI106" s="77"/>
      <c r="BJ106" s="77"/>
      <c r="BK106" s="77"/>
      <c r="BL106" s="77"/>
      <c r="BM106" s="77"/>
      <c r="BN106" s="77"/>
      <c r="BO106" s="77"/>
      <c r="BP106" s="77"/>
      <c r="BR106" s="123"/>
      <c r="BS106" s="120"/>
      <c r="BT106" s="120"/>
      <c r="BU106" s="2"/>
      <c r="BV106" s="2"/>
      <c r="BW106" s="2"/>
      <c r="BX106" s="121"/>
    </row>
    <row r="107" spans="1:76" ht="15" customHeight="1">
      <c r="A107" s="13"/>
      <c r="B107" s="88"/>
      <c r="C107" s="78" t="s">
        <v>132</v>
      </c>
      <c r="D107" s="89" t="s">
        <v>117</v>
      </c>
      <c r="E107" s="90"/>
      <c r="F107" s="66" t="s">
        <v>44</v>
      </c>
      <c r="G107" s="91">
        <v>1.74</v>
      </c>
      <c r="H107" s="92" t="str">
        <f>IF(OOC!S107=0,"",OOC!S107)</f>
        <v/>
      </c>
      <c r="I107" s="92" t="str">
        <f>IF(OOC!T107=0,"",OOC!T107)</f>
        <v/>
      </c>
      <c r="J107" s="68" t="s">
        <v>12</v>
      </c>
      <c r="K107" s="69" t="s">
        <v>80</v>
      </c>
      <c r="L107" s="70" t="e">
        <f t="shared" si="0"/>
        <v>#VALUE!</v>
      </c>
      <c r="M107" s="70" t="e">
        <f t="shared" si="1"/>
        <v>#VALUE!</v>
      </c>
      <c r="N107" s="71"/>
      <c r="O107" s="2" t="e">
        <f t="shared" si="2"/>
        <v>#REF!</v>
      </c>
      <c r="P107" s="2" t="e">
        <f t="shared" si="3"/>
        <v>#REF!</v>
      </c>
      <c r="Q107" s="2" t="e">
        <f t="shared" si="4"/>
        <v>#REF!</v>
      </c>
      <c r="R107" s="3" t="e">
        <f t="shared" si="5"/>
        <v>#REF!</v>
      </c>
      <c r="S107" s="4" t="e">
        <f t="shared" si="10"/>
        <v>#REF!</v>
      </c>
      <c r="T107" s="84" t="e">
        <f t="shared" si="11"/>
        <v>#REF!</v>
      </c>
      <c r="U107" s="85" t="e">
        <f t="shared" si="12"/>
        <v>#REF!</v>
      </c>
      <c r="V107" s="4" t="e">
        <f t="shared" si="6"/>
        <v>#REF!</v>
      </c>
      <c r="W107" s="4" t="e">
        <f t="shared" si="7"/>
        <v>#REF!</v>
      </c>
      <c r="X107" s="4" t="e">
        <f t="shared" si="8"/>
        <v>#REF!</v>
      </c>
      <c r="Y107" s="62" t="e">
        <f t="shared" si="9"/>
        <v>#REF!</v>
      </c>
      <c r="Z107" s="22"/>
      <c r="AA107" s="22"/>
      <c r="AB107" s="22"/>
      <c r="AC107" s="22"/>
      <c r="AD107" s="19"/>
      <c r="AE107" s="14"/>
      <c r="AF107" s="74"/>
      <c r="AG107" s="49"/>
      <c r="AH107" s="49"/>
      <c r="AI107" s="50"/>
      <c r="AJ107" s="15"/>
      <c r="AK107" s="77" t="e">
        <f>#REF!</f>
        <v>#REF!</v>
      </c>
      <c r="AL107" s="77" t="e">
        <f>#REF!</f>
        <v>#REF!</v>
      </c>
      <c r="AM107" s="77" t="e">
        <f>#REF!</f>
        <v>#REF!</v>
      </c>
      <c r="AN107" s="77"/>
      <c r="AO107" s="77"/>
      <c r="AP107" s="77"/>
      <c r="AQ107" s="77"/>
      <c r="AR107" s="77"/>
      <c r="AS107" s="77"/>
      <c r="AT107" s="77"/>
      <c r="AU107" s="77"/>
      <c r="AV107" s="77"/>
      <c r="AW107" s="77"/>
      <c r="AX107" s="77"/>
      <c r="AY107" s="77"/>
      <c r="AZ107" s="77"/>
      <c r="BA107" s="77"/>
      <c r="BB107" s="77"/>
      <c r="BC107" s="77"/>
      <c r="BD107" s="77"/>
      <c r="BE107" s="77"/>
      <c r="BF107" s="77"/>
      <c r="BG107" s="77"/>
      <c r="BH107" s="77"/>
      <c r="BI107" s="77"/>
      <c r="BJ107" s="77"/>
      <c r="BK107" s="77"/>
      <c r="BL107" s="77"/>
      <c r="BM107" s="77"/>
      <c r="BN107" s="77"/>
      <c r="BO107" s="77"/>
      <c r="BP107" s="77"/>
      <c r="BR107" s="123" t="str">
        <f t="shared" si="13"/>
        <v>FAI 54</v>
      </c>
      <c r="BS107" s="120">
        <f>OOC!G107</f>
        <v>1.77</v>
      </c>
      <c r="BT107" s="120">
        <f>OOC!H107</f>
        <v>1.71</v>
      </c>
      <c r="BU107" s="2" t="e">
        <f t="shared" si="14"/>
        <v>#REF!</v>
      </c>
      <c r="BV107" s="2" t="e">
        <f t="shared" si="15"/>
        <v>#REF!</v>
      </c>
      <c r="BW107" s="2" t="e">
        <f t="shared" si="16"/>
        <v>#REF!</v>
      </c>
      <c r="BX107" s="121" t="e">
        <f>IF(AND(IF(OOC!G107="",0,OOC!G107) &gt;= IF(O107="",0,O107), IF(O107="",0,O107) &gt; IF(L107="",0,L107)), "OOC",
IF(AND(IF(M107="",0,M107) &gt; IF(P107="",0,P107), IF(P107="",0,P107) &gt;= IF(OOC!H107="",0,OOC!H107)), "OOC",
IF(IF(O107="",0,O107) &gt; IF(OOC!G107="",0,OOC!G107), "OOS",
IF(IF(OOC!H107="",0,OOC!H107) &gt; IF(P107="",0,P107), "OOS", "OK"))))</f>
        <v>#REF!</v>
      </c>
    </row>
    <row r="108" spans="1:76" ht="15" customHeight="1">
      <c r="A108" s="13"/>
      <c r="B108" s="88"/>
      <c r="C108" s="78" t="s">
        <v>133</v>
      </c>
      <c r="D108" s="89" t="s">
        <v>117</v>
      </c>
      <c r="E108" s="90"/>
      <c r="F108" s="66" t="s">
        <v>44</v>
      </c>
      <c r="G108" s="91">
        <v>1.74</v>
      </c>
      <c r="H108" s="92" t="str">
        <f>IF(OOC!S108=0,"",OOC!S108)</f>
        <v/>
      </c>
      <c r="I108" s="92" t="str">
        <f>IF(OOC!T108=0,"",OOC!T108)</f>
        <v/>
      </c>
      <c r="J108" s="68" t="s">
        <v>12</v>
      </c>
      <c r="K108" s="69" t="s">
        <v>80</v>
      </c>
      <c r="L108" s="70" t="e">
        <f t="shared" si="0"/>
        <v>#VALUE!</v>
      </c>
      <c r="M108" s="70" t="e">
        <f t="shared" si="1"/>
        <v>#VALUE!</v>
      </c>
      <c r="N108" s="71"/>
      <c r="O108" s="2" t="e">
        <f t="shared" si="2"/>
        <v>#REF!</v>
      </c>
      <c r="P108" s="2" t="e">
        <f t="shared" si="3"/>
        <v>#REF!</v>
      </c>
      <c r="Q108" s="2" t="e">
        <f t="shared" si="4"/>
        <v>#REF!</v>
      </c>
      <c r="R108" s="3" t="e">
        <f t="shared" si="5"/>
        <v>#REF!</v>
      </c>
      <c r="S108" s="4" t="e">
        <f t="shared" si="10"/>
        <v>#REF!</v>
      </c>
      <c r="T108" s="84" t="e">
        <f t="shared" si="11"/>
        <v>#REF!</v>
      </c>
      <c r="U108" s="85" t="e">
        <f t="shared" si="12"/>
        <v>#REF!</v>
      </c>
      <c r="V108" s="4" t="e">
        <f t="shared" si="6"/>
        <v>#REF!</v>
      </c>
      <c r="W108" s="4" t="e">
        <f t="shared" si="7"/>
        <v>#REF!</v>
      </c>
      <c r="X108" s="4" t="e">
        <f t="shared" si="8"/>
        <v>#REF!</v>
      </c>
      <c r="Y108" s="62" t="e">
        <f t="shared" si="9"/>
        <v>#REF!</v>
      </c>
      <c r="Z108" s="22"/>
      <c r="AA108" s="22"/>
      <c r="AB108" s="22"/>
      <c r="AC108" s="22"/>
      <c r="AD108" s="19"/>
      <c r="AE108" s="14"/>
      <c r="AF108" s="74"/>
      <c r="AG108" s="49"/>
      <c r="AH108" s="49"/>
      <c r="AI108" s="50"/>
      <c r="AJ108" s="15"/>
      <c r="AK108" s="77" t="e">
        <f>#REF!</f>
        <v>#REF!</v>
      </c>
      <c r="AL108" s="77" t="e">
        <f>#REF!</f>
        <v>#REF!</v>
      </c>
      <c r="AM108" s="77" t="e">
        <f>#REF!</f>
        <v>#REF!</v>
      </c>
      <c r="AN108" s="77"/>
      <c r="AO108" s="77"/>
      <c r="AP108" s="77"/>
      <c r="AQ108" s="77"/>
      <c r="AR108" s="77"/>
      <c r="AS108" s="77"/>
      <c r="AT108" s="77"/>
      <c r="AU108" s="77"/>
      <c r="AV108" s="77"/>
      <c r="AW108" s="77"/>
      <c r="AX108" s="77"/>
      <c r="AY108" s="77"/>
      <c r="AZ108" s="77"/>
      <c r="BA108" s="77"/>
      <c r="BB108" s="77"/>
      <c r="BC108" s="77"/>
      <c r="BD108" s="77"/>
      <c r="BE108" s="77"/>
      <c r="BF108" s="77"/>
      <c r="BG108" s="77"/>
      <c r="BH108" s="77"/>
      <c r="BI108" s="77"/>
      <c r="BJ108" s="77"/>
      <c r="BK108" s="77"/>
      <c r="BL108" s="77"/>
      <c r="BM108" s="77"/>
      <c r="BN108" s="77"/>
      <c r="BO108" s="77"/>
      <c r="BP108" s="77"/>
      <c r="BR108" s="123" t="str">
        <f t="shared" si="13"/>
        <v>FAI 55</v>
      </c>
      <c r="BS108" s="120">
        <f>OOC!G108</f>
        <v>1.77</v>
      </c>
      <c r="BT108" s="120">
        <f>OOC!H108</f>
        <v>1.71</v>
      </c>
      <c r="BU108" s="2" t="e">
        <f t="shared" si="14"/>
        <v>#REF!</v>
      </c>
      <c r="BV108" s="2" t="e">
        <f t="shared" si="15"/>
        <v>#REF!</v>
      </c>
      <c r="BW108" s="2" t="e">
        <f t="shared" si="16"/>
        <v>#REF!</v>
      </c>
      <c r="BX108" s="121" t="e">
        <f>IF(AND(IF(OOC!G108="",0,OOC!G108) &gt;= IF(O108="",0,O108), IF(O108="",0,O108) &gt; IF(L108="",0,L108)), "OOC",
IF(AND(IF(M108="",0,M108) &gt; IF(P108="",0,P108), IF(P108="",0,P108) &gt;= IF(OOC!H108="",0,OOC!H108)), "OOC",
IF(IF(O108="",0,O108) &gt; IF(OOC!G108="",0,OOC!G108), "OOS",
IF(IF(OOC!H108="",0,OOC!H108) &gt; IF(P108="",0,P108), "OOS", "OK"))))</f>
        <v>#REF!</v>
      </c>
    </row>
    <row r="109" spans="1:76" ht="15" customHeight="1">
      <c r="A109" s="13"/>
      <c r="B109" s="88"/>
      <c r="C109" s="78" t="s">
        <v>134</v>
      </c>
      <c r="D109" s="89" t="s">
        <v>117</v>
      </c>
      <c r="E109" s="90"/>
      <c r="F109" s="66" t="s">
        <v>44</v>
      </c>
      <c r="G109" s="91">
        <v>10.772</v>
      </c>
      <c r="H109" s="92" t="str">
        <f>IF(OOC!S109=0,"",OOC!S109)</f>
        <v/>
      </c>
      <c r="I109" s="92" t="str">
        <f>IF(OOC!T109=0,"",OOC!T109)</f>
        <v/>
      </c>
      <c r="J109" s="68" t="s">
        <v>12</v>
      </c>
      <c r="K109" s="69" t="s">
        <v>80</v>
      </c>
      <c r="L109" s="70" t="e">
        <f t="shared" si="0"/>
        <v>#VALUE!</v>
      </c>
      <c r="M109" s="70" t="e">
        <f t="shared" si="1"/>
        <v>#VALUE!</v>
      </c>
      <c r="N109" s="71"/>
      <c r="O109" s="2" t="e">
        <f t="shared" si="2"/>
        <v>#REF!</v>
      </c>
      <c r="P109" s="2" t="e">
        <f t="shared" si="3"/>
        <v>#REF!</v>
      </c>
      <c r="Q109" s="2" t="e">
        <f t="shared" si="4"/>
        <v>#REF!</v>
      </c>
      <c r="R109" s="3" t="e">
        <f t="shared" si="5"/>
        <v>#REF!</v>
      </c>
      <c r="S109" s="4" t="e">
        <f t="shared" si="10"/>
        <v>#REF!</v>
      </c>
      <c r="T109" s="84" t="e">
        <f t="shared" si="11"/>
        <v>#REF!</v>
      </c>
      <c r="U109" s="85" t="e">
        <f t="shared" si="12"/>
        <v>#REF!</v>
      </c>
      <c r="V109" s="4" t="e">
        <f t="shared" si="6"/>
        <v>#REF!</v>
      </c>
      <c r="W109" s="4" t="e">
        <f t="shared" si="7"/>
        <v>#REF!</v>
      </c>
      <c r="X109" s="4" t="e">
        <f t="shared" si="8"/>
        <v>#REF!</v>
      </c>
      <c r="Y109" s="62" t="e">
        <f t="shared" si="9"/>
        <v>#REF!</v>
      </c>
      <c r="Z109" s="22"/>
      <c r="AA109" s="22"/>
      <c r="AB109" s="22"/>
      <c r="AC109" s="22"/>
      <c r="AD109" s="19"/>
      <c r="AE109" s="14"/>
      <c r="AF109" s="72"/>
      <c r="AG109" s="49"/>
      <c r="AH109" s="49"/>
      <c r="AI109" s="50"/>
      <c r="AJ109" s="15"/>
      <c r="AK109" s="77" t="e">
        <f>#REF!</f>
        <v>#REF!</v>
      </c>
      <c r="AL109" s="77" t="e">
        <f>#REF!</f>
        <v>#REF!</v>
      </c>
      <c r="AM109" s="77" t="e">
        <f>#REF!</f>
        <v>#REF!</v>
      </c>
      <c r="AN109" s="77"/>
      <c r="AO109" s="77"/>
      <c r="AP109" s="77"/>
      <c r="AQ109" s="77"/>
      <c r="AR109" s="77"/>
      <c r="AS109" s="77"/>
      <c r="AT109" s="77"/>
      <c r="AU109" s="77"/>
      <c r="AV109" s="77"/>
      <c r="AW109" s="77"/>
      <c r="AX109" s="77"/>
      <c r="AY109" s="77"/>
      <c r="AZ109" s="77"/>
      <c r="BA109" s="77"/>
      <c r="BB109" s="77"/>
      <c r="BC109" s="77"/>
      <c r="BD109" s="77"/>
      <c r="BE109" s="77"/>
      <c r="BF109" s="77"/>
      <c r="BG109" s="77"/>
      <c r="BH109" s="77"/>
      <c r="BI109" s="77"/>
      <c r="BJ109" s="77"/>
      <c r="BK109" s="77"/>
      <c r="BL109" s="77"/>
      <c r="BM109" s="77"/>
      <c r="BN109" s="77"/>
      <c r="BO109" s="77"/>
      <c r="BP109" s="77"/>
      <c r="BR109" s="123" t="str">
        <f t="shared" si="13"/>
        <v>FAI 56</v>
      </c>
      <c r="BS109" s="120">
        <f>OOC!G109</f>
        <v>10.802</v>
      </c>
      <c r="BT109" s="120">
        <f>OOC!H109</f>
        <v>10.742000000000001</v>
      </c>
      <c r="BU109" s="2" t="e">
        <f t="shared" si="14"/>
        <v>#REF!</v>
      </c>
      <c r="BV109" s="2" t="e">
        <f t="shared" si="15"/>
        <v>#REF!</v>
      </c>
      <c r="BW109" s="2" t="e">
        <f t="shared" si="16"/>
        <v>#REF!</v>
      </c>
      <c r="BX109" s="121" t="e">
        <f>IF(AND(IF(OOC!G109="",0,OOC!G109) &gt;= IF(O109="",0,O109), IF(O109="",0,O109) &gt; IF(L109="",0,L109)), "OOC",
IF(AND(IF(M109="",0,M109) &gt; IF(P109="",0,P109), IF(P109="",0,P109) &gt;= IF(OOC!H109="",0,OOC!H109)), "OOC",
IF(IF(O109="",0,O109) &gt; IF(OOC!G109="",0,OOC!G109), "OOS",
IF(IF(OOC!H109="",0,OOC!H109) &gt; IF(P109="",0,P109), "OOS", "OK"))))</f>
        <v>#REF!</v>
      </c>
    </row>
    <row r="110" spans="1:76" ht="15" customHeight="1">
      <c r="A110" s="13"/>
      <c r="B110" s="88"/>
      <c r="C110" s="78" t="s">
        <v>135</v>
      </c>
      <c r="D110" s="89" t="s">
        <v>117</v>
      </c>
      <c r="E110" s="90"/>
      <c r="F110" s="66" t="s">
        <v>44</v>
      </c>
      <c r="G110" s="91">
        <v>14.853999999999999</v>
      </c>
      <c r="H110" s="92" t="str">
        <f>IF(OOC!S110=0,"",OOC!S110)</f>
        <v/>
      </c>
      <c r="I110" s="92" t="str">
        <f>IF(OOC!T110=0,"",OOC!T110)</f>
        <v/>
      </c>
      <c r="J110" s="68" t="s">
        <v>12</v>
      </c>
      <c r="K110" s="69" t="s">
        <v>80</v>
      </c>
      <c r="L110" s="70" t="e">
        <f t="shared" si="0"/>
        <v>#VALUE!</v>
      </c>
      <c r="M110" s="70" t="e">
        <f t="shared" si="1"/>
        <v>#VALUE!</v>
      </c>
      <c r="N110" s="71"/>
      <c r="O110" s="2" t="e">
        <f t="shared" si="2"/>
        <v>#REF!</v>
      </c>
      <c r="P110" s="2" t="e">
        <f t="shared" si="3"/>
        <v>#REF!</v>
      </c>
      <c r="Q110" s="2" t="e">
        <f t="shared" si="4"/>
        <v>#REF!</v>
      </c>
      <c r="R110" s="3" t="e">
        <f t="shared" si="5"/>
        <v>#REF!</v>
      </c>
      <c r="S110" s="4" t="e">
        <f t="shared" si="10"/>
        <v>#REF!</v>
      </c>
      <c r="T110" s="84" t="e">
        <f t="shared" si="11"/>
        <v>#REF!</v>
      </c>
      <c r="U110" s="85" t="e">
        <f t="shared" si="12"/>
        <v>#REF!</v>
      </c>
      <c r="V110" s="4" t="e">
        <f t="shared" si="6"/>
        <v>#REF!</v>
      </c>
      <c r="W110" s="4" t="e">
        <f t="shared" si="7"/>
        <v>#REF!</v>
      </c>
      <c r="X110" s="4" t="e">
        <f t="shared" si="8"/>
        <v>#REF!</v>
      </c>
      <c r="Y110" s="62" t="e">
        <f t="shared" si="9"/>
        <v>#REF!</v>
      </c>
      <c r="Z110" s="22"/>
      <c r="AA110" s="22"/>
      <c r="AB110" s="22"/>
      <c r="AC110" s="22"/>
      <c r="AD110" s="19"/>
      <c r="AE110" s="14"/>
      <c r="AF110" s="72"/>
      <c r="AG110" s="49"/>
      <c r="AH110" s="49"/>
      <c r="AI110" s="50"/>
      <c r="AJ110" s="15"/>
      <c r="AK110" s="77" t="e">
        <f>#REF!</f>
        <v>#REF!</v>
      </c>
      <c r="AL110" s="77" t="e">
        <f>#REF!</f>
        <v>#REF!</v>
      </c>
      <c r="AM110" s="77" t="e">
        <f>#REF!</f>
        <v>#REF!</v>
      </c>
      <c r="AN110" s="77"/>
      <c r="AO110" s="77"/>
      <c r="AP110" s="77"/>
      <c r="AQ110" s="77"/>
      <c r="AR110" s="77"/>
      <c r="AS110" s="77"/>
      <c r="AT110" s="77"/>
      <c r="AU110" s="77"/>
      <c r="AV110" s="77"/>
      <c r="AW110" s="77"/>
      <c r="AX110" s="77"/>
      <c r="AY110" s="77"/>
      <c r="AZ110" s="77"/>
      <c r="BA110" s="77"/>
      <c r="BB110" s="77"/>
      <c r="BC110" s="77"/>
      <c r="BD110" s="77"/>
      <c r="BE110" s="77"/>
      <c r="BF110" s="77"/>
      <c r="BG110" s="77"/>
      <c r="BH110" s="77"/>
      <c r="BI110" s="77"/>
      <c r="BJ110" s="77"/>
      <c r="BK110" s="77"/>
      <c r="BL110" s="77"/>
      <c r="BM110" s="77"/>
      <c r="BN110" s="77"/>
      <c r="BO110" s="77"/>
      <c r="BP110" s="77"/>
      <c r="BR110" s="123" t="str">
        <f t="shared" si="13"/>
        <v>FAI 57</v>
      </c>
      <c r="BS110" s="120">
        <f>OOC!G110</f>
        <v>14.883999999999999</v>
      </c>
      <c r="BT110" s="120">
        <f>OOC!H110</f>
        <v>14.824</v>
      </c>
      <c r="BU110" s="2" t="e">
        <f t="shared" si="14"/>
        <v>#REF!</v>
      </c>
      <c r="BV110" s="2" t="e">
        <f t="shared" si="15"/>
        <v>#REF!</v>
      </c>
      <c r="BW110" s="2" t="e">
        <f t="shared" si="16"/>
        <v>#REF!</v>
      </c>
      <c r="BX110" s="121" t="e">
        <f>IF(AND(IF(OOC!G110="",0,OOC!G110) &gt;= IF(O110="",0,O110), IF(O110="",0,O110) &gt; IF(L110="",0,L110)), "OOC",
IF(AND(IF(M110="",0,M110) &gt; IF(P110="",0,P110), IF(P110="",0,P110) &gt;= IF(OOC!H110="",0,OOC!H110)), "OOC",
IF(IF(O110="",0,O110) &gt; IF(OOC!G110="",0,OOC!G110), "OOS",
IF(IF(OOC!H110="",0,OOC!H110) &gt; IF(P110="",0,P110), "OOS", "OK"))))</f>
        <v>#REF!</v>
      </c>
    </row>
    <row r="111" spans="1:76" ht="15" customHeight="1">
      <c r="A111" s="13"/>
      <c r="B111" s="88"/>
      <c r="C111" s="78" t="s">
        <v>136</v>
      </c>
      <c r="D111" s="89" t="s">
        <v>117</v>
      </c>
      <c r="E111" s="90"/>
      <c r="F111" s="66" t="s">
        <v>44</v>
      </c>
      <c r="G111" s="91">
        <v>13.27</v>
      </c>
      <c r="H111" s="92" t="str">
        <f>IF(OOC!S111=0,"",OOC!S111)</f>
        <v/>
      </c>
      <c r="I111" s="92" t="str">
        <f>IF(OOC!T111=0,"",OOC!T111)</f>
        <v/>
      </c>
      <c r="J111" s="68" t="s">
        <v>12</v>
      </c>
      <c r="K111" s="69" t="s">
        <v>80</v>
      </c>
      <c r="L111" s="70" t="e">
        <f t="shared" si="0"/>
        <v>#VALUE!</v>
      </c>
      <c r="M111" s="70" t="e">
        <f t="shared" si="1"/>
        <v>#VALUE!</v>
      </c>
      <c r="N111" s="71"/>
      <c r="O111" s="2" t="e">
        <f t="shared" si="2"/>
        <v>#REF!</v>
      </c>
      <c r="P111" s="2" t="e">
        <f t="shared" si="3"/>
        <v>#REF!</v>
      </c>
      <c r="Q111" s="2" t="e">
        <f t="shared" si="4"/>
        <v>#REF!</v>
      </c>
      <c r="R111" s="3" t="e">
        <f t="shared" si="5"/>
        <v>#REF!</v>
      </c>
      <c r="S111" s="4" t="e">
        <f t="shared" si="10"/>
        <v>#REF!</v>
      </c>
      <c r="T111" s="84" t="e">
        <f t="shared" si="11"/>
        <v>#REF!</v>
      </c>
      <c r="U111" s="85" t="e">
        <f t="shared" si="12"/>
        <v>#REF!</v>
      </c>
      <c r="V111" s="4" t="e">
        <f t="shared" si="6"/>
        <v>#REF!</v>
      </c>
      <c r="W111" s="4" t="e">
        <f t="shared" si="7"/>
        <v>#REF!</v>
      </c>
      <c r="X111" s="4" t="e">
        <f t="shared" si="8"/>
        <v>#REF!</v>
      </c>
      <c r="Y111" s="62" t="e">
        <f t="shared" si="9"/>
        <v>#REF!</v>
      </c>
      <c r="Z111" s="22"/>
      <c r="AA111" s="22"/>
      <c r="AB111" s="22"/>
      <c r="AC111" s="22"/>
      <c r="AD111" s="19"/>
      <c r="AE111" s="14"/>
      <c r="AF111" s="72"/>
      <c r="AG111" s="49"/>
      <c r="AH111" s="49"/>
      <c r="AI111" s="50"/>
      <c r="AJ111" s="15"/>
      <c r="AK111" s="77" t="e">
        <f>#REF!</f>
        <v>#REF!</v>
      </c>
      <c r="AL111" s="77" t="e">
        <f>#REF!</f>
        <v>#REF!</v>
      </c>
      <c r="AM111" s="77" t="e">
        <f>#REF!</f>
        <v>#REF!</v>
      </c>
      <c r="AN111" s="77"/>
      <c r="AO111" s="77"/>
      <c r="AP111" s="77"/>
      <c r="AQ111" s="77"/>
      <c r="AR111" s="77"/>
      <c r="AS111" s="77"/>
      <c r="AT111" s="77"/>
      <c r="AU111" s="77"/>
      <c r="AV111" s="77"/>
      <c r="AW111" s="77"/>
      <c r="AX111" s="77"/>
      <c r="AY111" s="77"/>
      <c r="AZ111" s="77"/>
      <c r="BA111" s="77"/>
      <c r="BB111" s="77"/>
      <c r="BC111" s="77"/>
      <c r="BD111" s="77"/>
      <c r="BE111" s="77"/>
      <c r="BF111" s="77"/>
      <c r="BG111" s="77"/>
      <c r="BH111" s="77"/>
      <c r="BI111" s="77"/>
      <c r="BJ111" s="77"/>
      <c r="BK111" s="77"/>
      <c r="BL111" s="77"/>
      <c r="BM111" s="77"/>
      <c r="BN111" s="77"/>
      <c r="BO111" s="77"/>
      <c r="BP111" s="77"/>
      <c r="BR111" s="123" t="str">
        <f t="shared" si="13"/>
        <v>FAI 58</v>
      </c>
      <c r="BS111" s="120">
        <f>OOC!G111</f>
        <v>13.299999999999999</v>
      </c>
      <c r="BT111" s="120">
        <f>OOC!H111</f>
        <v>13.24</v>
      </c>
      <c r="BU111" s="2" t="e">
        <f t="shared" si="14"/>
        <v>#REF!</v>
      </c>
      <c r="BV111" s="2" t="e">
        <f t="shared" si="15"/>
        <v>#REF!</v>
      </c>
      <c r="BW111" s="2" t="e">
        <f t="shared" si="16"/>
        <v>#REF!</v>
      </c>
      <c r="BX111" s="121" t="e">
        <f>IF(AND(IF(OOC!G111="",0,OOC!G111) &gt;= IF(O111="",0,O111), IF(O111="",0,O111) &gt; IF(L111="",0,L111)), "OOC",
IF(AND(IF(M111="",0,M111) &gt; IF(P111="",0,P111), IF(P111="",0,P111) &gt;= IF(OOC!H111="",0,OOC!H111)), "OOC",
IF(IF(O111="",0,O111) &gt; IF(OOC!G111="",0,OOC!G111), "OOS",
IF(IF(OOC!H111="",0,OOC!H111) &gt; IF(P111="",0,P111), "OOS", "OK"))))</f>
        <v>#REF!</v>
      </c>
    </row>
    <row r="112" spans="1:76" ht="15" customHeight="1">
      <c r="A112" s="13"/>
      <c r="B112" s="88"/>
      <c r="C112" s="94" t="s">
        <v>137</v>
      </c>
      <c r="D112" s="89" t="s">
        <v>117</v>
      </c>
      <c r="E112" s="90"/>
      <c r="F112" s="66" t="s">
        <v>44</v>
      </c>
      <c r="G112" s="67">
        <v>0.64200000000000002</v>
      </c>
      <c r="H112" s="92" t="str">
        <f>IF(OOC!S112=0,"",OOC!S112)</f>
        <v/>
      </c>
      <c r="I112" s="92" t="str">
        <f>IF(OOC!T112=0,"",OOC!T112)</f>
        <v/>
      </c>
      <c r="J112" s="68" t="s">
        <v>12</v>
      </c>
      <c r="K112" s="69" t="s">
        <v>80</v>
      </c>
      <c r="L112" s="70" t="e">
        <f t="shared" si="0"/>
        <v>#VALUE!</v>
      </c>
      <c r="M112" s="70" t="e">
        <f t="shared" si="1"/>
        <v>#VALUE!</v>
      </c>
      <c r="N112" s="71"/>
      <c r="O112" s="2" t="e">
        <f t="shared" si="2"/>
        <v>#REF!</v>
      </c>
      <c r="P112" s="2" t="e">
        <f t="shared" si="3"/>
        <v>#REF!</v>
      </c>
      <c r="Q112" s="2" t="e">
        <f t="shared" si="4"/>
        <v>#REF!</v>
      </c>
      <c r="R112" s="3" t="e">
        <f t="shared" si="5"/>
        <v>#REF!</v>
      </c>
      <c r="S112" s="4" t="e">
        <f t="shared" si="10"/>
        <v>#REF!</v>
      </c>
      <c r="T112" s="84" t="e">
        <f t="shared" si="11"/>
        <v>#REF!</v>
      </c>
      <c r="U112" s="85" t="e">
        <f t="shared" si="12"/>
        <v>#REF!</v>
      </c>
      <c r="V112" s="4" t="e">
        <f t="shared" si="6"/>
        <v>#REF!</v>
      </c>
      <c r="W112" s="4" t="e">
        <f t="shared" si="7"/>
        <v>#REF!</v>
      </c>
      <c r="X112" s="4" t="e">
        <f t="shared" si="8"/>
        <v>#REF!</v>
      </c>
      <c r="Y112" s="62" t="e">
        <f t="shared" si="9"/>
        <v>#REF!</v>
      </c>
      <c r="Z112" s="22"/>
      <c r="AA112" s="22"/>
      <c r="AB112" s="22"/>
      <c r="AC112" s="22"/>
      <c r="AD112" s="19"/>
      <c r="AE112" s="14"/>
      <c r="AF112" s="72"/>
      <c r="AG112" s="49"/>
      <c r="AH112" s="49"/>
      <c r="AI112" s="50"/>
      <c r="AJ112" s="15"/>
      <c r="AK112" s="77" t="e">
        <f>#REF!</f>
        <v>#REF!</v>
      </c>
      <c r="AL112" s="77" t="e">
        <f>#REF!</f>
        <v>#REF!</v>
      </c>
      <c r="AM112" s="77" t="e">
        <f>#REF!</f>
        <v>#REF!</v>
      </c>
      <c r="AN112" s="77"/>
      <c r="AO112" s="77"/>
      <c r="AP112" s="77"/>
      <c r="AQ112" s="77"/>
      <c r="AR112" s="77"/>
      <c r="AS112" s="77"/>
      <c r="AT112" s="77"/>
      <c r="AU112" s="77"/>
      <c r="AV112" s="77"/>
      <c r="AW112" s="77"/>
      <c r="AX112" s="77"/>
      <c r="AY112" s="77"/>
      <c r="AZ112" s="77"/>
      <c r="BA112" s="77"/>
      <c r="BB112" s="77"/>
      <c r="BC112" s="77"/>
      <c r="BD112" s="77"/>
      <c r="BE112" s="77"/>
      <c r="BF112" s="77"/>
      <c r="BG112" s="77"/>
      <c r="BH112" s="77"/>
      <c r="BI112" s="77"/>
      <c r="BJ112" s="77"/>
      <c r="BK112" s="77"/>
      <c r="BL112" s="77"/>
      <c r="BM112" s="77"/>
      <c r="BN112" s="77"/>
      <c r="BO112" s="77"/>
      <c r="BP112" s="77"/>
      <c r="BR112" s="123" t="str">
        <f t="shared" si="13"/>
        <v>FAI 59</v>
      </c>
      <c r="BS112" s="120">
        <f>OOC!G112</f>
        <v>0.67200000000000004</v>
      </c>
      <c r="BT112" s="120">
        <f>OOC!H112</f>
        <v>0.61199999999999999</v>
      </c>
      <c r="BU112" s="2" t="e">
        <f t="shared" si="14"/>
        <v>#REF!</v>
      </c>
      <c r="BV112" s="2" t="e">
        <f t="shared" si="15"/>
        <v>#REF!</v>
      </c>
      <c r="BW112" s="2" t="e">
        <f t="shared" si="16"/>
        <v>#REF!</v>
      </c>
      <c r="BX112" s="121" t="e">
        <f>IF(AND(IF(OOC!G112="",0,OOC!G112) &gt;= IF(O112="",0,O112), IF(O112="",0,O112) &gt; IF(L112="",0,L112)), "OOC",
IF(AND(IF(M112="",0,M112) &gt; IF(P112="",0,P112), IF(P112="",0,P112) &gt;= IF(OOC!H112="",0,OOC!H112)), "OOC",
IF(IF(O112="",0,O112) &gt; IF(OOC!G112="",0,OOC!G112), "OOS",
IF(IF(OOC!H112="",0,OOC!H112) &gt; IF(P112="",0,P112), "OOS", "OK"))))</f>
        <v>#REF!</v>
      </c>
    </row>
    <row r="113" spans="1:76" ht="15" customHeight="1">
      <c r="A113" s="13"/>
      <c r="B113" s="88"/>
      <c r="C113" s="94" t="s">
        <v>138</v>
      </c>
      <c r="D113" s="89" t="s">
        <v>117</v>
      </c>
      <c r="E113" s="90"/>
      <c r="F113" s="66" t="s">
        <v>44</v>
      </c>
      <c r="G113" s="67">
        <v>0.40300000000000002</v>
      </c>
      <c r="H113" s="92" t="str">
        <f>IF(OOC!S113=0,"",OOC!S113)</f>
        <v/>
      </c>
      <c r="I113" s="92" t="str">
        <f>IF(OOC!T113=0,"",OOC!T113)</f>
        <v/>
      </c>
      <c r="J113" s="68" t="s">
        <v>12</v>
      </c>
      <c r="K113" s="69" t="s">
        <v>80</v>
      </c>
      <c r="L113" s="70" t="e">
        <f t="shared" si="0"/>
        <v>#VALUE!</v>
      </c>
      <c r="M113" s="70" t="e">
        <f t="shared" si="1"/>
        <v>#VALUE!</v>
      </c>
      <c r="N113" s="71"/>
      <c r="O113" s="2" t="e">
        <f t="shared" si="2"/>
        <v>#REF!</v>
      </c>
      <c r="P113" s="2" t="e">
        <f t="shared" si="3"/>
        <v>#REF!</v>
      </c>
      <c r="Q113" s="2" t="e">
        <f t="shared" si="4"/>
        <v>#REF!</v>
      </c>
      <c r="R113" s="3" t="e">
        <f t="shared" si="5"/>
        <v>#REF!</v>
      </c>
      <c r="S113" s="4" t="e">
        <f t="shared" si="10"/>
        <v>#REF!</v>
      </c>
      <c r="T113" s="84" t="e">
        <f t="shared" si="11"/>
        <v>#REF!</v>
      </c>
      <c r="U113" s="85" t="e">
        <f t="shared" si="12"/>
        <v>#REF!</v>
      </c>
      <c r="V113" s="4" t="e">
        <f t="shared" si="6"/>
        <v>#REF!</v>
      </c>
      <c r="W113" s="4" t="e">
        <f t="shared" si="7"/>
        <v>#REF!</v>
      </c>
      <c r="X113" s="4" t="e">
        <f t="shared" si="8"/>
        <v>#REF!</v>
      </c>
      <c r="Y113" s="62" t="e">
        <f t="shared" si="9"/>
        <v>#REF!</v>
      </c>
      <c r="Z113" s="22"/>
      <c r="AA113" s="22"/>
      <c r="AB113" s="22"/>
      <c r="AC113" s="22"/>
      <c r="AD113" s="19"/>
      <c r="AE113" s="14"/>
      <c r="AF113" s="72"/>
      <c r="AG113" s="49"/>
      <c r="AH113" s="49"/>
      <c r="AI113" s="50"/>
      <c r="AJ113" s="15"/>
      <c r="AK113" s="77" t="e">
        <f>#REF!</f>
        <v>#REF!</v>
      </c>
      <c r="AL113" s="77" t="e">
        <f>#REF!</f>
        <v>#REF!</v>
      </c>
      <c r="AM113" s="77" t="e">
        <f>#REF!</f>
        <v>#REF!</v>
      </c>
      <c r="AN113" s="77"/>
      <c r="AO113" s="77"/>
      <c r="AP113" s="77"/>
      <c r="AQ113" s="77"/>
      <c r="AR113" s="77"/>
      <c r="AS113" s="77"/>
      <c r="AT113" s="77"/>
      <c r="AU113" s="77"/>
      <c r="AV113" s="77"/>
      <c r="AW113" s="77"/>
      <c r="AX113" s="77"/>
      <c r="AY113" s="77"/>
      <c r="AZ113" s="77"/>
      <c r="BA113" s="77"/>
      <c r="BB113" s="77"/>
      <c r="BC113" s="77"/>
      <c r="BD113" s="77"/>
      <c r="BE113" s="77"/>
      <c r="BF113" s="77"/>
      <c r="BG113" s="77"/>
      <c r="BH113" s="77"/>
      <c r="BI113" s="77"/>
      <c r="BJ113" s="77"/>
      <c r="BK113" s="77"/>
      <c r="BL113" s="77"/>
      <c r="BM113" s="77"/>
      <c r="BN113" s="77"/>
      <c r="BO113" s="77"/>
      <c r="BP113" s="77"/>
      <c r="BR113" s="123" t="str">
        <f t="shared" si="13"/>
        <v>FAI 60</v>
      </c>
      <c r="BS113" s="120">
        <f>OOC!G113</f>
        <v>0.43300000000000005</v>
      </c>
      <c r="BT113" s="120">
        <f>OOC!H113</f>
        <v>0.373</v>
      </c>
      <c r="BU113" s="2" t="e">
        <f t="shared" si="14"/>
        <v>#REF!</v>
      </c>
      <c r="BV113" s="2" t="e">
        <f t="shared" si="15"/>
        <v>#REF!</v>
      </c>
      <c r="BW113" s="2" t="e">
        <f t="shared" si="16"/>
        <v>#REF!</v>
      </c>
      <c r="BX113" s="121" t="e">
        <f>IF(AND(IF(OOC!G113="",0,OOC!G113) &gt;= IF(O113="",0,O113), IF(O113="",0,O113) &gt; IF(L113="",0,L113)), "OOC",
IF(AND(IF(M113="",0,M113) &gt; IF(P113="",0,P113), IF(P113="",0,P113) &gt;= IF(OOC!H113="",0,OOC!H113)), "OOC",
IF(IF(O113="",0,O113) &gt; IF(OOC!G113="",0,OOC!G113), "OOS",
IF(IF(OOC!H113="",0,OOC!H113) &gt; IF(P113="",0,P113), "OOS", "OK"))))</f>
        <v>#REF!</v>
      </c>
    </row>
    <row r="114" spans="1:76" ht="15" customHeight="1">
      <c r="A114" s="13"/>
      <c r="B114" s="88"/>
      <c r="C114" s="94" t="s">
        <v>139</v>
      </c>
      <c r="D114" s="89" t="s">
        <v>117</v>
      </c>
      <c r="E114" s="90"/>
      <c r="F114" s="66" t="s">
        <v>44</v>
      </c>
      <c r="G114" s="67">
        <v>1.986</v>
      </c>
      <c r="H114" s="92" t="str">
        <f>IF(OOC!S114=0,"",OOC!S114)</f>
        <v/>
      </c>
      <c r="I114" s="92" t="str">
        <f>IF(OOC!T114=0,"",OOC!T114)</f>
        <v/>
      </c>
      <c r="J114" s="68" t="s">
        <v>12</v>
      </c>
      <c r="K114" s="69" t="s">
        <v>80</v>
      </c>
      <c r="L114" s="70" t="e">
        <f t="shared" si="0"/>
        <v>#VALUE!</v>
      </c>
      <c r="M114" s="70" t="e">
        <f t="shared" si="1"/>
        <v>#VALUE!</v>
      </c>
      <c r="N114" s="71"/>
      <c r="O114" s="2" t="e">
        <f t="shared" si="2"/>
        <v>#REF!</v>
      </c>
      <c r="P114" s="2" t="e">
        <f t="shared" si="3"/>
        <v>#REF!</v>
      </c>
      <c r="Q114" s="2" t="e">
        <f t="shared" si="4"/>
        <v>#REF!</v>
      </c>
      <c r="R114" s="3" t="e">
        <f t="shared" si="5"/>
        <v>#REF!</v>
      </c>
      <c r="S114" s="4" t="e">
        <f t="shared" si="10"/>
        <v>#REF!</v>
      </c>
      <c r="T114" s="84" t="e">
        <f t="shared" si="11"/>
        <v>#REF!</v>
      </c>
      <c r="U114" s="85" t="e">
        <f t="shared" si="12"/>
        <v>#REF!</v>
      </c>
      <c r="V114" s="4" t="e">
        <f t="shared" si="6"/>
        <v>#REF!</v>
      </c>
      <c r="W114" s="4" t="e">
        <f t="shared" si="7"/>
        <v>#REF!</v>
      </c>
      <c r="X114" s="4" t="e">
        <f t="shared" si="8"/>
        <v>#REF!</v>
      </c>
      <c r="Y114" s="62" t="e">
        <f t="shared" si="9"/>
        <v>#REF!</v>
      </c>
      <c r="Z114" s="22"/>
      <c r="AA114" s="22"/>
      <c r="AB114" s="22"/>
      <c r="AC114" s="22"/>
      <c r="AD114" s="19"/>
      <c r="AE114" s="14"/>
      <c r="AF114" s="72"/>
      <c r="AG114" s="49"/>
      <c r="AH114" s="49"/>
      <c r="AI114" s="50"/>
      <c r="AJ114" s="15"/>
      <c r="AK114" s="77" t="e">
        <f>#REF!</f>
        <v>#REF!</v>
      </c>
      <c r="AL114" s="77" t="e">
        <f>#REF!</f>
        <v>#REF!</v>
      </c>
      <c r="AM114" s="77" t="e">
        <f>#REF!</f>
        <v>#REF!</v>
      </c>
      <c r="AN114" s="77"/>
      <c r="AO114" s="77"/>
      <c r="AP114" s="77"/>
      <c r="AQ114" s="77"/>
      <c r="AR114" s="77"/>
      <c r="AS114" s="77"/>
      <c r="AT114" s="77"/>
      <c r="AU114" s="77"/>
      <c r="AV114" s="77"/>
      <c r="AW114" s="77"/>
      <c r="AX114" s="77"/>
      <c r="AY114" s="77"/>
      <c r="AZ114" s="77"/>
      <c r="BA114" s="77"/>
      <c r="BB114" s="77"/>
      <c r="BC114" s="77"/>
      <c r="BD114" s="77"/>
      <c r="BE114" s="77"/>
      <c r="BF114" s="77"/>
      <c r="BG114" s="77"/>
      <c r="BH114" s="77"/>
      <c r="BI114" s="77"/>
      <c r="BJ114" s="77"/>
      <c r="BK114" s="77"/>
      <c r="BL114" s="77"/>
      <c r="BM114" s="77"/>
      <c r="BN114" s="77"/>
      <c r="BO114" s="77"/>
      <c r="BP114" s="77"/>
      <c r="BR114" s="123" t="str">
        <f t="shared" si="13"/>
        <v>FAI 61</v>
      </c>
      <c r="BS114" s="120">
        <f>OOC!G114</f>
        <v>2.016</v>
      </c>
      <c r="BT114" s="120">
        <f>OOC!H114</f>
        <v>1.956</v>
      </c>
      <c r="BU114" s="2" t="e">
        <f t="shared" si="14"/>
        <v>#REF!</v>
      </c>
      <c r="BV114" s="2" t="e">
        <f t="shared" si="15"/>
        <v>#REF!</v>
      </c>
      <c r="BW114" s="2" t="e">
        <f t="shared" si="16"/>
        <v>#REF!</v>
      </c>
      <c r="BX114" s="121" t="e">
        <f>IF(AND(IF(OOC!G114="",0,OOC!G114) &gt;= IF(O114="",0,O114), IF(O114="",0,O114) &gt; IF(L114="",0,L114)), "OOC",
IF(AND(IF(M114="",0,M114) &gt; IF(P114="",0,P114), IF(P114="",0,P114) &gt;= IF(OOC!H114="",0,OOC!H114)), "OOC",
IF(IF(O114="",0,O114) &gt; IF(OOC!G114="",0,OOC!G114), "OOS",
IF(IF(OOC!H114="",0,OOC!H114) &gt; IF(P114="",0,P114), "OOS", "OK"))))</f>
        <v>#REF!</v>
      </c>
    </row>
    <row r="115" spans="1:76" ht="15" customHeight="1">
      <c r="A115" s="13"/>
      <c r="B115" s="88"/>
      <c r="C115" s="94" t="s">
        <v>140</v>
      </c>
      <c r="D115" s="89" t="s">
        <v>117</v>
      </c>
      <c r="E115" s="90"/>
      <c r="F115" s="66" t="s">
        <v>44</v>
      </c>
      <c r="G115" s="67">
        <v>2.226</v>
      </c>
      <c r="H115" s="92" t="str">
        <f>IF(OOC!S115=0,"",OOC!S115)</f>
        <v/>
      </c>
      <c r="I115" s="92" t="str">
        <f>IF(OOC!T115=0,"",OOC!T115)</f>
        <v/>
      </c>
      <c r="J115" s="68" t="s">
        <v>12</v>
      </c>
      <c r="K115" s="69" t="s">
        <v>80</v>
      </c>
      <c r="L115" s="70" t="e">
        <f t="shared" si="0"/>
        <v>#VALUE!</v>
      </c>
      <c r="M115" s="70" t="e">
        <f t="shared" si="1"/>
        <v>#VALUE!</v>
      </c>
      <c r="N115" s="71"/>
      <c r="O115" s="2" t="e">
        <f t="shared" si="2"/>
        <v>#REF!</v>
      </c>
      <c r="P115" s="2" t="e">
        <f t="shared" si="3"/>
        <v>#REF!</v>
      </c>
      <c r="Q115" s="2" t="e">
        <f t="shared" si="4"/>
        <v>#REF!</v>
      </c>
      <c r="R115" s="3" t="e">
        <f t="shared" si="5"/>
        <v>#REF!</v>
      </c>
      <c r="S115" s="4" t="e">
        <f t="shared" si="10"/>
        <v>#REF!</v>
      </c>
      <c r="T115" s="84" t="e">
        <f t="shared" si="11"/>
        <v>#REF!</v>
      </c>
      <c r="U115" s="85" t="e">
        <f t="shared" si="12"/>
        <v>#REF!</v>
      </c>
      <c r="V115" s="4" t="e">
        <f t="shared" si="6"/>
        <v>#REF!</v>
      </c>
      <c r="W115" s="4" t="e">
        <f t="shared" si="7"/>
        <v>#REF!</v>
      </c>
      <c r="X115" s="4" t="e">
        <f t="shared" si="8"/>
        <v>#REF!</v>
      </c>
      <c r="Y115" s="62" t="e">
        <f t="shared" si="9"/>
        <v>#REF!</v>
      </c>
      <c r="Z115" s="22"/>
      <c r="AA115" s="22"/>
      <c r="AB115" s="22"/>
      <c r="AC115" s="22"/>
      <c r="AD115" s="19"/>
      <c r="AE115" s="14"/>
      <c r="AF115" s="72"/>
      <c r="AG115" s="49"/>
      <c r="AH115" s="49"/>
      <c r="AI115" s="50"/>
      <c r="AJ115" s="15"/>
      <c r="AK115" s="77" t="e">
        <f>#REF!</f>
        <v>#REF!</v>
      </c>
      <c r="AL115" s="77" t="e">
        <f>#REF!</f>
        <v>#REF!</v>
      </c>
      <c r="AM115" s="77" t="e">
        <f>#REF!</f>
        <v>#REF!</v>
      </c>
      <c r="AN115" s="77"/>
      <c r="AO115" s="77"/>
      <c r="AP115" s="77"/>
      <c r="AQ115" s="77"/>
      <c r="AR115" s="77"/>
      <c r="AS115" s="77"/>
      <c r="AT115" s="77"/>
      <c r="AU115" s="77"/>
      <c r="AV115" s="77"/>
      <c r="AW115" s="77"/>
      <c r="AX115" s="77"/>
      <c r="AY115" s="77"/>
      <c r="AZ115" s="77"/>
      <c r="BA115" s="77"/>
      <c r="BB115" s="77"/>
      <c r="BC115" s="77"/>
      <c r="BD115" s="77"/>
      <c r="BE115" s="77"/>
      <c r="BF115" s="77"/>
      <c r="BG115" s="77"/>
      <c r="BH115" s="77"/>
      <c r="BI115" s="77"/>
      <c r="BJ115" s="77"/>
      <c r="BK115" s="77"/>
      <c r="BL115" s="77"/>
      <c r="BM115" s="77"/>
      <c r="BN115" s="77"/>
      <c r="BO115" s="77"/>
      <c r="BP115" s="77"/>
      <c r="BR115" s="123" t="str">
        <f t="shared" si="13"/>
        <v>FAI 62</v>
      </c>
      <c r="BS115" s="120">
        <f>OOC!G115</f>
        <v>2.2559999999999998</v>
      </c>
      <c r="BT115" s="120">
        <f>OOC!H115</f>
        <v>2.1960000000000002</v>
      </c>
      <c r="BU115" s="2" t="e">
        <f t="shared" si="14"/>
        <v>#REF!</v>
      </c>
      <c r="BV115" s="2" t="e">
        <f t="shared" si="15"/>
        <v>#REF!</v>
      </c>
      <c r="BW115" s="2" t="e">
        <f t="shared" si="16"/>
        <v>#REF!</v>
      </c>
      <c r="BX115" s="121" t="e">
        <f>IF(AND(IF(OOC!G115="",0,OOC!G115) &gt;= IF(O115="",0,O115), IF(O115="",0,O115) &gt; IF(L115="",0,L115)), "OOC",
IF(AND(IF(M115="",0,M115) &gt; IF(P115="",0,P115), IF(P115="",0,P115) &gt;= IF(OOC!H115="",0,OOC!H115)), "OOC",
IF(IF(O115="",0,O115) &gt; IF(OOC!G115="",0,OOC!G115), "OOS",
IF(IF(OOC!H115="",0,OOC!H115) &gt; IF(P115="",0,P115), "OOS", "OK"))))</f>
        <v>#REF!</v>
      </c>
    </row>
    <row r="116" spans="1:76" ht="15" customHeight="1">
      <c r="A116" s="13"/>
      <c r="B116" s="88"/>
      <c r="C116" s="94" t="s">
        <v>153</v>
      </c>
      <c r="D116" s="89" t="s">
        <v>117</v>
      </c>
      <c r="E116" s="90"/>
      <c r="F116" s="66" t="s">
        <v>44</v>
      </c>
      <c r="G116" s="67">
        <v>1.718</v>
      </c>
      <c r="H116" s="92" t="str">
        <f>IF(OOC!S116=0,"",OOC!S116)</f>
        <v/>
      </c>
      <c r="I116" s="92" t="str">
        <f>IF(OOC!T116=0,"",OOC!T116)</f>
        <v/>
      </c>
      <c r="J116" s="68" t="s">
        <v>12</v>
      </c>
      <c r="K116" s="69" t="s">
        <v>80</v>
      </c>
      <c r="L116" s="70" t="e">
        <f t="shared" si="0"/>
        <v>#VALUE!</v>
      </c>
      <c r="M116" s="70" t="e">
        <f t="shared" si="1"/>
        <v>#VALUE!</v>
      </c>
      <c r="N116" s="71"/>
      <c r="O116" s="2" t="e">
        <f t="shared" si="2"/>
        <v>#REF!</v>
      </c>
      <c r="P116" s="2" t="e">
        <f t="shared" si="3"/>
        <v>#REF!</v>
      </c>
      <c r="Q116" s="2" t="e">
        <f t="shared" si="4"/>
        <v>#REF!</v>
      </c>
      <c r="R116" s="3" t="e">
        <f t="shared" si="5"/>
        <v>#REF!</v>
      </c>
      <c r="S116" s="4" t="e">
        <f t="shared" si="10"/>
        <v>#REF!</v>
      </c>
      <c r="T116" s="84" t="e">
        <f t="shared" si="11"/>
        <v>#REF!</v>
      </c>
      <c r="U116" s="85" t="e">
        <f t="shared" si="12"/>
        <v>#REF!</v>
      </c>
      <c r="V116" s="4" t="e">
        <f t="shared" si="6"/>
        <v>#REF!</v>
      </c>
      <c r="W116" s="4" t="e">
        <f t="shared" si="7"/>
        <v>#REF!</v>
      </c>
      <c r="X116" s="4" t="e">
        <f t="shared" si="8"/>
        <v>#REF!</v>
      </c>
      <c r="Y116" s="62" t="e">
        <f t="shared" si="9"/>
        <v>#REF!</v>
      </c>
      <c r="Z116" s="22"/>
      <c r="AA116" s="22"/>
      <c r="AB116" s="22"/>
      <c r="AC116" s="22"/>
      <c r="AD116" s="19"/>
      <c r="AE116" s="14"/>
      <c r="AF116" s="72"/>
      <c r="AG116" s="49"/>
      <c r="AH116" s="49"/>
      <c r="AI116" s="50"/>
      <c r="AJ116" s="15"/>
      <c r="AK116" s="77" t="e">
        <f>#REF!</f>
        <v>#REF!</v>
      </c>
      <c r="AL116" s="77" t="e">
        <f>#REF!</f>
        <v>#REF!</v>
      </c>
      <c r="AM116" s="77" t="e">
        <f>#REF!</f>
        <v>#REF!</v>
      </c>
      <c r="AN116" s="77"/>
      <c r="AO116" s="77"/>
      <c r="AP116" s="77"/>
      <c r="AQ116" s="77"/>
      <c r="AR116" s="77"/>
      <c r="AS116" s="77"/>
      <c r="AT116" s="77"/>
      <c r="AU116" s="77"/>
      <c r="AV116" s="77"/>
      <c r="AW116" s="77"/>
      <c r="AX116" s="77"/>
      <c r="AY116" s="77"/>
      <c r="AZ116" s="77"/>
      <c r="BA116" s="77"/>
      <c r="BB116" s="77"/>
      <c r="BC116" s="77"/>
      <c r="BD116" s="77"/>
      <c r="BE116" s="77"/>
      <c r="BF116" s="77"/>
      <c r="BG116" s="77"/>
      <c r="BH116" s="77"/>
      <c r="BI116" s="77"/>
      <c r="BJ116" s="77"/>
      <c r="BK116" s="77"/>
      <c r="BL116" s="77"/>
      <c r="BM116" s="77"/>
      <c r="BN116" s="77"/>
      <c r="BO116" s="77"/>
      <c r="BP116" s="77"/>
      <c r="BR116" s="123" t="str">
        <f t="shared" si="13"/>
        <v>FAI 63</v>
      </c>
      <c r="BS116" s="120">
        <f>OOC!G116</f>
        <v>1.738</v>
      </c>
      <c r="BT116" s="120">
        <f>OOC!H116</f>
        <v>1.698</v>
      </c>
      <c r="BU116" s="2" t="e">
        <f t="shared" si="14"/>
        <v>#REF!</v>
      </c>
      <c r="BV116" s="2" t="e">
        <f t="shared" si="15"/>
        <v>#REF!</v>
      </c>
      <c r="BW116" s="2" t="e">
        <f t="shared" si="16"/>
        <v>#REF!</v>
      </c>
      <c r="BX116" s="121" t="e">
        <f>IF(AND(IF(OOC!G116="",0,OOC!G116) &gt;= IF(O116="",0,O116), IF(O116="",0,O116) &gt; IF(L116="",0,L116)), "OOC",
IF(AND(IF(M116="",0,M116) &gt; IF(P116="",0,P116), IF(P116="",0,P116) &gt;= IF(OOC!H116="",0,OOC!H116)), "OOC",
IF(IF(O116="",0,O116) &gt; IF(OOC!G116="",0,OOC!G116), "OOS",
IF(IF(OOC!H116="",0,OOC!H116) &gt; IF(P116="",0,P116), "OOS", "OK"))))</f>
        <v>#REF!</v>
      </c>
    </row>
    <row r="117" spans="1:76" ht="15" customHeight="1">
      <c r="A117" s="13"/>
      <c r="B117" s="73"/>
      <c r="C117" s="78" t="s">
        <v>155</v>
      </c>
      <c r="D117" s="64" t="s">
        <v>117</v>
      </c>
      <c r="E117" s="65"/>
      <c r="F117" s="66" t="s">
        <v>44</v>
      </c>
      <c r="G117" s="67">
        <v>0.38500000000000001</v>
      </c>
      <c r="H117" s="92" t="str">
        <f>IF(OOC!S117=0,"",OOC!S117)</f>
        <v/>
      </c>
      <c r="I117" s="92" t="str">
        <f>IF(OOC!T117=0,"",OOC!T117)</f>
        <v/>
      </c>
      <c r="J117" s="68" t="s">
        <v>12</v>
      </c>
      <c r="K117" s="69" t="s">
        <v>80</v>
      </c>
      <c r="L117" s="70" t="e">
        <f t="shared" si="0"/>
        <v>#VALUE!</v>
      </c>
      <c r="M117" s="70" t="e">
        <f t="shared" si="1"/>
        <v>#VALUE!</v>
      </c>
      <c r="N117" s="71"/>
      <c r="O117" s="2" t="e">
        <f t="shared" si="2"/>
        <v>#REF!</v>
      </c>
      <c r="P117" s="2" t="e">
        <f t="shared" si="3"/>
        <v>#REF!</v>
      </c>
      <c r="Q117" s="2" t="e">
        <f t="shared" si="4"/>
        <v>#REF!</v>
      </c>
      <c r="R117" s="3" t="e">
        <f t="shared" si="5"/>
        <v>#REF!</v>
      </c>
      <c r="S117" s="4" t="e">
        <f t="shared" si="10"/>
        <v>#REF!</v>
      </c>
      <c r="T117" s="84" t="e">
        <f t="shared" si="11"/>
        <v>#REF!</v>
      </c>
      <c r="U117" s="85" t="e">
        <f t="shared" si="12"/>
        <v>#REF!</v>
      </c>
      <c r="V117" s="4" t="e">
        <f t="shared" si="6"/>
        <v>#REF!</v>
      </c>
      <c r="W117" s="4" t="e">
        <f t="shared" si="7"/>
        <v>#REF!</v>
      </c>
      <c r="X117" s="4" t="e">
        <f t="shared" si="8"/>
        <v>#REF!</v>
      </c>
      <c r="Y117" s="62" t="e">
        <f t="shared" si="9"/>
        <v>#REF!</v>
      </c>
      <c r="Z117" s="22"/>
      <c r="AA117" s="22"/>
      <c r="AB117" s="22"/>
      <c r="AC117" s="22"/>
      <c r="AD117" s="19"/>
      <c r="AE117" s="14"/>
      <c r="AF117" s="72"/>
      <c r="AG117" s="49"/>
      <c r="AH117" s="49"/>
      <c r="AI117" s="50"/>
      <c r="AJ117" s="15"/>
      <c r="AK117" s="77" t="e">
        <f>#REF!</f>
        <v>#REF!</v>
      </c>
      <c r="AL117" s="77" t="e">
        <f>#REF!</f>
        <v>#REF!</v>
      </c>
      <c r="AM117" s="77" t="e">
        <f>#REF!</f>
        <v>#REF!</v>
      </c>
      <c r="AN117" s="77"/>
      <c r="AO117" s="77"/>
      <c r="AP117" s="77"/>
      <c r="AQ117" s="77"/>
      <c r="AR117" s="77"/>
      <c r="AS117" s="77"/>
      <c r="AT117" s="77"/>
      <c r="AU117" s="77"/>
      <c r="AV117" s="77"/>
      <c r="AW117" s="77"/>
      <c r="AX117" s="77"/>
      <c r="AY117" s="77"/>
      <c r="AZ117" s="77"/>
      <c r="BA117" s="77"/>
      <c r="BB117" s="77"/>
      <c r="BC117" s="77"/>
      <c r="BD117" s="77"/>
      <c r="BE117" s="77"/>
      <c r="BF117" s="77"/>
      <c r="BG117" s="77"/>
      <c r="BH117" s="77"/>
      <c r="BI117" s="77"/>
      <c r="BJ117" s="77"/>
      <c r="BK117" s="77"/>
      <c r="BL117" s="77"/>
      <c r="BM117" s="77"/>
      <c r="BN117" s="77"/>
      <c r="BO117" s="77"/>
      <c r="BP117" s="77"/>
      <c r="BR117" s="123" t="str">
        <f t="shared" si="13"/>
        <v>FAI 64</v>
      </c>
      <c r="BS117" s="120">
        <f>OOC!G117</f>
        <v>0.60499999999999998</v>
      </c>
      <c r="BT117" s="120">
        <f>OOC!H117</f>
        <v>0.16500000000000001</v>
      </c>
      <c r="BU117" s="2" t="e">
        <f t="shared" si="14"/>
        <v>#REF!</v>
      </c>
      <c r="BV117" s="2" t="e">
        <f t="shared" si="15"/>
        <v>#REF!</v>
      </c>
      <c r="BW117" s="2" t="e">
        <f t="shared" si="16"/>
        <v>#REF!</v>
      </c>
      <c r="BX117" s="121" t="e">
        <f>IF(AND(IF(OOC!G117="",0,OOC!G117) &gt;= IF(O117="",0,O117), IF(O117="",0,O117) &gt; IF(L117="",0,L117)), "OOC",
IF(AND(IF(M117="",0,M117) &gt; IF(P117="",0,P117), IF(P117="",0,P117) &gt;= IF(OOC!H117="",0,OOC!H117)), "OOC",
IF(IF(O117="",0,O117) &gt; IF(OOC!G117="",0,OOC!G117), "OOS",
IF(IF(OOC!H117="",0,OOC!H117) &gt; IF(P117="",0,P117), "OOS", "OK"))))</f>
        <v>#REF!</v>
      </c>
    </row>
    <row r="118" spans="1:76" ht="15" customHeight="1">
      <c r="A118" s="13"/>
      <c r="B118" s="73"/>
      <c r="C118" s="78" t="s">
        <v>156</v>
      </c>
      <c r="D118" s="64" t="s">
        <v>117</v>
      </c>
      <c r="E118" s="65"/>
      <c r="F118" s="66" t="s">
        <v>44</v>
      </c>
      <c r="G118" s="67">
        <v>5.2779999999999996</v>
      </c>
      <c r="H118" s="92" t="str">
        <f>IF(OOC!S118=0,"",OOC!S118)</f>
        <v/>
      </c>
      <c r="I118" s="92" t="str">
        <f>IF(OOC!T118=0,"",OOC!T118)</f>
        <v/>
      </c>
      <c r="J118" s="68" t="s">
        <v>12</v>
      </c>
      <c r="K118" s="69" t="s">
        <v>80</v>
      </c>
      <c r="L118" s="70" t="e">
        <f t="shared" si="0"/>
        <v>#VALUE!</v>
      </c>
      <c r="M118" s="70" t="e">
        <f t="shared" si="1"/>
        <v>#VALUE!</v>
      </c>
      <c r="N118" s="71"/>
      <c r="O118" s="2" t="e">
        <f t="shared" si="2"/>
        <v>#REF!</v>
      </c>
      <c r="P118" s="2" t="e">
        <f t="shared" si="3"/>
        <v>#REF!</v>
      </c>
      <c r="Q118" s="2" t="e">
        <f t="shared" si="4"/>
        <v>#REF!</v>
      </c>
      <c r="R118" s="3" t="e">
        <f t="shared" si="5"/>
        <v>#REF!</v>
      </c>
      <c r="S118" s="4" t="e">
        <f t="shared" si="10"/>
        <v>#REF!</v>
      </c>
      <c r="T118" s="84" t="e">
        <f t="shared" si="11"/>
        <v>#REF!</v>
      </c>
      <c r="U118" s="85" t="e">
        <f t="shared" si="12"/>
        <v>#REF!</v>
      </c>
      <c r="V118" s="4" t="e">
        <f t="shared" si="6"/>
        <v>#REF!</v>
      </c>
      <c r="W118" s="4" t="e">
        <f t="shared" si="7"/>
        <v>#REF!</v>
      </c>
      <c r="X118" s="4" t="e">
        <f t="shared" si="8"/>
        <v>#REF!</v>
      </c>
      <c r="Y118" s="62" t="e">
        <f t="shared" si="9"/>
        <v>#REF!</v>
      </c>
      <c r="Z118" s="22"/>
      <c r="AA118" s="22"/>
      <c r="AB118" s="22"/>
      <c r="AC118" s="22"/>
      <c r="AD118" s="19"/>
      <c r="AE118" s="14"/>
      <c r="AF118" s="72"/>
      <c r="AG118" s="49"/>
      <c r="AH118" s="49"/>
      <c r="AI118" s="50"/>
      <c r="AJ118" s="15"/>
      <c r="AK118" s="77" t="e">
        <f>#REF!</f>
        <v>#REF!</v>
      </c>
      <c r="AL118" s="77" t="e">
        <f>#REF!</f>
        <v>#REF!</v>
      </c>
      <c r="AM118" s="77" t="e">
        <f>#REF!</f>
        <v>#REF!</v>
      </c>
      <c r="AN118" s="77"/>
      <c r="AO118" s="77"/>
      <c r="AP118" s="77"/>
      <c r="AQ118" s="77"/>
      <c r="AR118" s="77"/>
      <c r="AS118" s="77"/>
      <c r="AT118" s="77"/>
      <c r="AU118" s="77"/>
      <c r="AV118" s="77"/>
      <c r="AW118" s="77"/>
      <c r="AX118" s="77"/>
      <c r="AY118" s="77"/>
      <c r="AZ118" s="77"/>
      <c r="BA118" s="77"/>
      <c r="BB118" s="77"/>
      <c r="BC118" s="77"/>
      <c r="BD118" s="77"/>
      <c r="BE118" s="77"/>
      <c r="BF118" s="77"/>
      <c r="BG118" s="77"/>
      <c r="BH118" s="77"/>
      <c r="BI118" s="77"/>
      <c r="BJ118" s="77"/>
      <c r="BK118" s="77"/>
      <c r="BL118" s="77"/>
      <c r="BM118" s="77"/>
      <c r="BN118" s="77"/>
      <c r="BO118" s="77"/>
      <c r="BP118" s="77"/>
      <c r="BR118" s="123" t="str">
        <f t="shared" si="13"/>
        <v>FAI 65</v>
      </c>
      <c r="BS118" s="120">
        <f>OOC!G118</f>
        <v>5.5779999999999994</v>
      </c>
      <c r="BT118" s="120">
        <f>OOC!H118</f>
        <v>4.9779999999999998</v>
      </c>
      <c r="BU118" s="2" t="e">
        <f t="shared" si="14"/>
        <v>#REF!</v>
      </c>
      <c r="BV118" s="2" t="e">
        <f t="shared" si="15"/>
        <v>#REF!</v>
      </c>
      <c r="BW118" s="2" t="e">
        <f t="shared" si="16"/>
        <v>#REF!</v>
      </c>
      <c r="BX118" s="121" t="e">
        <f>IF(AND(IF(OOC!G118="",0,OOC!G118) &gt;= IF(O118="",0,O118), IF(O118="",0,O118) &gt; IF(L118="",0,L118)), "OOC",
IF(AND(IF(M118="",0,M118) &gt; IF(P118="",0,P118), IF(P118="",0,P118) &gt;= IF(OOC!H118="",0,OOC!H118)), "OOC",
IF(IF(O118="",0,O118) &gt; IF(OOC!G118="",0,OOC!G118), "OOS",
IF(IF(OOC!H118="",0,OOC!H118) &gt; IF(P118="",0,P118), "OOS", "OK"))))</f>
        <v>#REF!</v>
      </c>
    </row>
    <row r="119" spans="1:76" ht="15" customHeight="1">
      <c r="A119" s="13"/>
      <c r="B119" s="73"/>
      <c r="C119" s="78" t="s">
        <v>157</v>
      </c>
      <c r="D119" s="64" t="s">
        <v>117</v>
      </c>
      <c r="E119" s="65"/>
      <c r="F119" s="66" t="s">
        <v>44</v>
      </c>
      <c r="G119" s="67">
        <v>0</v>
      </c>
      <c r="H119" s="92" t="str">
        <f>IF(OOC!S119=0,"",OOC!S119)</f>
        <v/>
      </c>
      <c r="I119" s="92" t="str">
        <f>IF(OOC!T119=0,"",OOC!T119)</f>
        <v/>
      </c>
      <c r="J119" s="68" t="s">
        <v>12</v>
      </c>
      <c r="K119" s="69" t="s">
        <v>80</v>
      </c>
      <c r="L119" s="70" t="e">
        <f t="shared" si="0"/>
        <v>#VALUE!</v>
      </c>
      <c r="M119" s="70" t="e">
        <f t="shared" si="1"/>
        <v>#VALUE!</v>
      </c>
      <c r="N119" s="71"/>
      <c r="O119" s="2" t="e">
        <f t="shared" si="2"/>
        <v>#REF!</v>
      </c>
      <c r="P119" s="2" t="e">
        <f t="shared" si="3"/>
        <v>#REF!</v>
      </c>
      <c r="Q119" s="2" t="e">
        <f t="shared" si="4"/>
        <v>#REF!</v>
      </c>
      <c r="R119" s="3" t="e">
        <f t="shared" si="5"/>
        <v>#REF!</v>
      </c>
      <c r="S119" s="4" t="e">
        <f t="shared" si="10"/>
        <v>#REF!</v>
      </c>
      <c r="T119" s="84" t="e">
        <f t="shared" si="11"/>
        <v>#REF!</v>
      </c>
      <c r="U119" s="85" t="e">
        <f t="shared" si="12"/>
        <v>#REF!</v>
      </c>
      <c r="V119" s="4" t="e">
        <f t="shared" si="6"/>
        <v>#REF!</v>
      </c>
      <c r="W119" s="4" t="e">
        <f t="shared" si="7"/>
        <v>#REF!</v>
      </c>
      <c r="X119" s="4" t="e">
        <f t="shared" si="8"/>
        <v>#REF!</v>
      </c>
      <c r="Y119" s="62" t="e">
        <f t="shared" si="9"/>
        <v>#REF!</v>
      </c>
      <c r="Z119" s="22"/>
      <c r="AA119" s="22"/>
      <c r="AB119" s="22"/>
      <c r="AC119" s="22"/>
      <c r="AD119" s="19"/>
      <c r="AE119" s="14"/>
      <c r="AF119" s="72"/>
      <c r="AG119" s="49"/>
      <c r="AH119" s="49"/>
      <c r="AI119" s="50"/>
      <c r="AJ119" s="15"/>
      <c r="AK119" s="77" t="e">
        <f>#REF!</f>
        <v>#REF!</v>
      </c>
      <c r="AL119" s="77" t="e">
        <f>#REF!</f>
        <v>#REF!</v>
      </c>
      <c r="AM119" s="77" t="e">
        <f>#REF!</f>
        <v>#REF!</v>
      </c>
      <c r="AN119" s="77"/>
      <c r="AO119" s="77"/>
      <c r="AP119" s="77"/>
      <c r="AQ119" s="77"/>
      <c r="AR119" s="77"/>
      <c r="AS119" s="77"/>
      <c r="AT119" s="77"/>
      <c r="AU119" s="77"/>
      <c r="AV119" s="77"/>
      <c r="AW119" s="77"/>
      <c r="AX119" s="77"/>
      <c r="AY119" s="77"/>
      <c r="AZ119" s="77"/>
      <c r="BA119" s="77"/>
      <c r="BB119" s="77"/>
      <c r="BC119" s="77"/>
      <c r="BD119" s="77"/>
      <c r="BE119" s="77"/>
      <c r="BF119" s="77"/>
      <c r="BG119" s="77"/>
      <c r="BH119" s="77"/>
      <c r="BI119" s="77"/>
      <c r="BJ119" s="77"/>
      <c r="BK119" s="77"/>
      <c r="BL119" s="77"/>
      <c r="BM119" s="77"/>
      <c r="BN119" s="77"/>
      <c r="BO119" s="77"/>
      <c r="BP119" s="77"/>
      <c r="BR119" s="123" t="str">
        <f t="shared" si="13"/>
        <v>FAI 66</v>
      </c>
      <c r="BS119" s="120">
        <f>OOC!G119</f>
        <v>3</v>
      </c>
      <c r="BT119" s="120">
        <f>OOC!H119</f>
        <v>-3</v>
      </c>
      <c r="BU119" s="2" t="e">
        <f t="shared" si="14"/>
        <v>#REF!</v>
      </c>
      <c r="BV119" s="2" t="e">
        <f t="shared" si="15"/>
        <v>#REF!</v>
      </c>
      <c r="BW119" s="2" t="e">
        <f t="shared" si="16"/>
        <v>#REF!</v>
      </c>
      <c r="BX119" s="121" t="e">
        <f>IF(AND(IF(OOC!G119="",0,OOC!G119) &gt;= IF(O119="",0,O119), IF(O119="",0,O119) &gt; IF(L119="",0,L119)), "OOC",
IF(AND(IF(M119="",0,M119) &gt; IF(P119="",0,P119), IF(P119="",0,P119) &gt;= IF(OOC!H119="",0,OOC!H119)), "OOC",
IF(IF(O119="",0,O119) &gt; IF(OOC!G119="",0,OOC!G119), "OOS",
IF(IF(OOC!H119="",0,OOC!H119) &gt; IF(P119="",0,P119), "OOS", "OK"))))</f>
        <v>#REF!</v>
      </c>
    </row>
    <row r="120" spans="1:76" ht="15" customHeight="1">
      <c r="A120" s="13">
        <v>1</v>
      </c>
      <c r="B120" s="88"/>
      <c r="C120" s="78"/>
      <c r="D120" s="89"/>
      <c r="E120" s="90"/>
      <c r="F120" s="66"/>
      <c r="G120" s="91"/>
      <c r="H120" s="92"/>
      <c r="I120" s="92"/>
      <c r="J120" s="68"/>
      <c r="K120" s="69"/>
      <c r="L120" s="70"/>
      <c r="M120" s="70"/>
      <c r="N120" s="71"/>
      <c r="O120" s="2"/>
      <c r="P120" s="2"/>
      <c r="Q120" s="2"/>
      <c r="R120" s="3"/>
      <c r="S120" s="4"/>
      <c r="T120" s="84"/>
      <c r="U120" s="85"/>
      <c r="V120" s="4"/>
      <c r="W120" s="4"/>
      <c r="X120" s="4"/>
      <c r="Y120" s="62"/>
      <c r="Z120" s="22"/>
      <c r="AA120" s="22"/>
      <c r="AB120" s="22"/>
      <c r="AC120" s="22"/>
      <c r="AD120" s="19"/>
      <c r="AE120" s="14"/>
      <c r="AF120" s="72"/>
      <c r="AG120" s="49"/>
      <c r="AH120" s="49"/>
      <c r="AI120" s="50"/>
      <c r="AJ120" s="15"/>
      <c r="AK120" s="77"/>
      <c r="AL120" s="77"/>
      <c r="AM120" s="77"/>
      <c r="AN120" s="77"/>
      <c r="AO120" s="77"/>
      <c r="AP120" s="77"/>
      <c r="AQ120" s="77"/>
      <c r="AR120" s="77"/>
      <c r="AS120" s="77"/>
      <c r="AT120" s="77"/>
      <c r="AU120" s="77"/>
      <c r="AV120" s="77"/>
      <c r="AW120" s="77"/>
      <c r="AX120" s="77"/>
      <c r="AY120" s="77"/>
      <c r="AZ120" s="77"/>
      <c r="BA120" s="77"/>
      <c r="BB120" s="77"/>
      <c r="BC120" s="77"/>
      <c r="BD120" s="77"/>
      <c r="BE120" s="77"/>
      <c r="BF120" s="77"/>
      <c r="BG120" s="77"/>
      <c r="BH120" s="77"/>
      <c r="BI120" s="77"/>
      <c r="BJ120" s="77"/>
      <c r="BK120" s="77"/>
      <c r="BL120" s="77"/>
      <c r="BM120" s="77"/>
      <c r="BN120" s="77"/>
      <c r="BO120" s="77"/>
      <c r="BP120" s="77"/>
      <c r="BR120" s="123"/>
      <c r="BS120" s="120"/>
      <c r="BT120" s="120"/>
      <c r="BU120" s="2"/>
      <c r="BV120" s="2"/>
      <c r="BW120" s="2"/>
      <c r="BX120" s="121"/>
    </row>
    <row r="121" spans="1:76" ht="15" customHeight="1">
      <c r="A121" s="13"/>
      <c r="B121" s="73" t="s">
        <v>170</v>
      </c>
      <c r="C121" s="78" t="s">
        <v>164</v>
      </c>
      <c r="D121" s="64" t="s">
        <v>117</v>
      </c>
      <c r="E121" s="65">
        <v>1.33</v>
      </c>
      <c r="F121" s="66" t="s">
        <v>44</v>
      </c>
      <c r="G121" s="67">
        <v>1.03</v>
      </c>
      <c r="H121" s="92" t="str">
        <f>IF(OOC!S121=0,"",OOC!S121)</f>
        <v/>
      </c>
      <c r="I121" s="92" t="str">
        <f>IF(OOC!T121=0,"",OOC!T121)</f>
        <v/>
      </c>
      <c r="J121" s="68" t="s">
        <v>12</v>
      </c>
      <c r="K121" s="69" t="s">
        <v>80</v>
      </c>
      <c r="L121" s="70" t="e">
        <f t="shared" si="0"/>
        <v>#VALUE!</v>
      </c>
      <c r="M121" s="70" t="e">
        <f t="shared" si="1"/>
        <v>#VALUE!</v>
      </c>
      <c r="N121" s="71"/>
      <c r="O121" s="2" t="e">
        <f t="shared" si="2"/>
        <v>#REF!</v>
      </c>
      <c r="P121" s="2" t="e">
        <f t="shared" si="3"/>
        <v>#REF!</v>
      </c>
      <c r="Q121" s="2" t="e">
        <f t="shared" si="4"/>
        <v>#REF!</v>
      </c>
      <c r="R121" s="3" t="e">
        <f t="shared" si="5"/>
        <v>#REF!</v>
      </c>
      <c r="S121" s="4" t="e">
        <f t="shared" si="10"/>
        <v>#REF!</v>
      </c>
      <c r="T121" s="84" t="e">
        <f t="shared" si="11"/>
        <v>#REF!</v>
      </c>
      <c r="U121" s="85" t="e">
        <f t="shared" si="12"/>
        <v>#REF!</v>
      </c>
      <c r="V121" s="4" t="e">
        <f t="shared" si="6"/>
        <v>#REF!</v>
      </c>
      <c r="W121" s="4" t="e">
        <f t="shared" si="7"/>
        <v>#REF!</v>
      </c>
      <c r="X121" s="4" t="e">
        <f t="shared" si="8"/>
        <v>#REF!</v>
      </c>
      <c r="Y121" s="62" t="e">
        <f t="shared" si="9"/>
        <v>#REF!</v>
      </c>
      <c r="Z121" s="22"/>
      <c r="AA121" s="22"/>
      <c r="AB121" s="22"/>
      <c r="AC121" s="22"/>
      <c r="AD121" s="19"/>
      <c r="AE121" s="14"/>
      <c r="AF121" s="72"/>
      <c r="AG121" s="49"/>
      <c r="AH121" s="49"/>
      <c r="AI121" s="50"/>
      <c r="AJ121" s="15"/>
      <c r="AK121" s="77" t="e">
        <f>#REF!</f>
        <v>#REF!</v>
      </c>
      <c r="AL121" s="77" t="e">
        <f>#REF!</f>
        <v>#REF!</v>
      </c>
      <c r="AM121" s="77" t="e">
        <f>#REF!</f>
        <v>#REF!</v>
      </c>
      <c r="AN121" s="77" t="e">
        <f>#REF!</f>
        <v>#REF!</v>
      </c>
      <c r="AO121" s="77" t="e">
        <f>#REF!</f>
        <v>#REF!</v>
      </c>
      <c r="AP121" s="77" t="e">
        <f>#REF!</f>
        <v>#REF!</v>
      </c>
      <c r="AQ121" s="77" t="e">
        <f>#REF!</f>
        <v>#REF!</v>
      </c>
      <c r="AR121" s="77" t="e">
        <f>#REF!</f>
        <v>#REF!</v>
      </c>
      <c r="AS121" s="77" t="e">
        <f>#REF!</f>
        <v>#REF!</v>
      </c>
      <c r="AT121" s="77" t="e">
        <f>#REF!</f>
        <v>#REF!</v>
      </c>
      <c r="AU121" s="77" t="e">
        <f>#REF!</f>
        <v>#REF!</v>
      </c>
      <c r="AV121" s="77" t="e">
        <f>#REF!</f>
        <v>#REF!</v>
      </c>
      <c r="AW121" s="77" t="e">
        <f>#REF!</f>
        <v>#REF!</v>
      </c>
      <c r="AX121" s="77" t="e">
        <f>#REF!</f>
        <v>#REF!</v>
      </c>
      <c r="AY121" s="77" t="e">
        <f>#REF!</f>
        <v>#REF!</v>
      </c>
      <c r="AZ121" s="77" t="e">
        <f>#REF!</f>
        <v>#REF!</v>
      </c>
      <c r="BA121" s="77" t="e">
        <f>#REF!</f>
        <v>#REF!</v>
      </c>
      <c r="BB121" s="77" t="e">
        <f>#REF!</f>
        <v>#REF!</v>
      </c>
      <c r="BC121" s="77" t="e">
        <f>#REF!</f>
        <v>#REF!</v>
      </c>
      <c r="BD121" s="77" t="e">
        <f>#REF!</f>
        <v>#REF!</v>
      </c>
      <c r="BE121" s="77" t="e">
        <f>#REF!</f>
        <v>#REF!</v>
      </c>
      <c r="BF121" s="77" t="e">
        <f>#REF!</f>
        <v>#REF!</v>
      </c>
      <c r="BG121" s="77" t="e">
        <f>#REF!</f>
        <v>#REF!</v>
      </c>
      <c r="BH121" s="77" t="e">
        <f>#REF!</f>
        <v>#REF!</v>
      </c>
      <c r="BI121" s="77" t="e">
        <f>#REF!</f>
        <v>#REF!</v>
      </c>
      <c r="BJ121" s="77" t="e">
        <f>#REF!</f>
        <v>#REF!</v>
      </c>
      <c r="BK121" s="77" t="e">
        <f>#REF!</f>
        <v>#REF!</v>
      </c>
      <c r="BL121" s="77" t="e">
        <f>#REF!</f>
        <v>#REF!</v>
      </c>
      <c r="BM121" s="77" t="e">
        <f>#REF!</f>
        <v>#REF!</v>
      </c>
      <c r="BN121" s="77" t="e">
        <f>#REF!</f>
        <v>#REF!</v>
      </c>
      <c r="BO121" s="77" t="e">
        <f>#REF!</f>
        <v>#REF!</v>
      </c>
      <c r="BP121" s="77" t="e">
        <f>#REF!</f>
        <v>#REF!</v>
      </c>
      <c r="BR121" s="123" t="str">
        <f t="shared" si="13"/>
        <v>FAI 68-1</v>
      </c>
      <c r="BS121" s="120">
        <f>OOC!G121</f>
        <v>1.05</v>
      </c>
      <c r="BT121" s="120">
        <f>OOC!H121</f>
        <v>1.01</v>
      </c>
      <c r="BU121" s="2" t="e">
        <f t="shared" si="14"/>
        <v>#REF!</v>
      </c>
      <c r="BV121" s="2" t="e">
        <f t="shared" si="15"/>
        <v>#REF!</v>
      </c>
      <c r="BW121" s="2" t="e">
        <f t="shared" si="16"/>
        <v>#REF!</v>
      </c>
      <c r="BX121" s="121" t="e">
        <f>IF(AND(IF(OOC!G121="",0,OOC!G121) &gt;= IF(O121="",0,O121), IF(O121="",0,O121) &gt; IF(L121="",0,L121)), "OOC",
IF(AND(IF(M121="",0,M121) &gt; IF(P121="",0,P121), IF(P121="",0,P121) &gt;= IF(OOC!H121="",0,OOC!H121)), "OOC",
IF(IF(O121="",0,O121) &gt; IF(OOC!G121="",0,OOC!G121), "OOS",
IF(IF(OOC!H121="",0,OOC!H121) &gt; IF(P121="",0,P121), "OOS", "OK"))))</f>
        <v>#REF!</v>
      </c>
    </row>
    <row r="122" spans="1:76" ht="15" customHeight="1">
      <c r="A122" s="13"/>
      <c r="B122" s="73" t="s">
        <v>170</v>
      </c>
      <c r="C122" s="78" t="s">
        <v>165</v>
      </c>
      <c r="D122" s="64" t="s">
        <v>117</v>
      </c>
      <c r="E122" s="65">
        <v>1.33</v>
      </c>
      <c r="F122" s="66" t="s">
        <v>44</v>
      </c>
      <c r="G122" s="67">
        <v>1.03</v>
      </c>
      <c r="H122" s="92" t="str">
        <f>IF(OOC!S122=0,"",OOC!S122)</f>
        <v/>
      </c>
      <c r="I122" s="92" t="str">
        <f>IF(OOC!T122=0,"",OOC!T122)</f>
        <v/>
      </c>
      <c r="J122" s="68" t="s">
        <v>12</v>
      </c>
      <c r="K122" s="69" t="s">
        <v>80</v>
      </c>
      <c r="L122" s="70" t="e">
        <f t="shared" si="0"/>
        <v>#VALUE!</v>
      </c>
      <c r="M122" s="70" t="e">
        <f t="shared" si="1"/>
        <v>#VALUE!</v>
      </c>
      <c r="N122" s="71"/>
      <c r="O122" s="2" t="e">
        <f t="shared" si="2"/>
        <v>#REF!</v>
      </c>
      <c r="P122" s="2" t="e">
        <f t="shared" si="3"/>
        <v>#REF!</v>
      </c>
      <c r="Q122" s="2" t="e">
        <f t="shared" si="4"/>
        <v>#REF!</v>
      </c>
      <c r="R122" s="3" t="e">
        <f t="shared" si="5"/>
        <v>#REF!</v>
      </c>
      <c r="S122" s="4" t="e">
        <f t="shared" si="10"/>
        <v>#REF!</v>
      </c>
      <c r="T122" s="84" t="e">
        <f t="shared" si="11"/>
        <v>#REF!</v>
      </c>
      <c r="U122" s="85" t="e">
        <f t="shared" si="12"/>
        <v>#REF!</v>
      </c>
      <c r="V122" s="4" t="e">
        <f t="shared" si="6"/>
        <v>#REF!</v>
      </c>
      <c r="W122" s="4" t="e">
        <f t="shared" si="7"/>
        <v>#REF!</v>
      </c>
      <c r="X122" s="4" t="e">
        <f t="shared" si="8"/>
        <v>#REF!</v>
      </c>
      <c r="Y122" s="62" t="e">
        <f t="shared" si="9"/>
        <v>#REF!</v>
      </c>
      <c r="Z122" s="22"/>
      <c r="AA122" s="22"/>
      <c r="AB122" s="22"/>
      <c r="AC122" s="22"/>
      <c r="AD122" s="19"/>
      <c r="AE122" s="14"/>
      <c r="AF122" s="72"/>
      <c r="AG122" s="49"/>
      <c r="AH122" s="49"/>
      <c r="AI122" s="50"/>
      <c r="AJ122" s="15"/>
      <c r="AK122" s="77" t="e">
        <f>#REF!</f>
        <v>#REF!</v>
      </c>
      <c r="AL122" s="77" t="e">
        <f>#REF!</f>
        <v>#REF!</v>
      </c>
      <c r="AM122" s="77" t="e">
        <f>#REF!</f>
        <v>#REF!</v>
      </c>
      <c r="AN122" s="77" t="e">
        <f>#REF!</f>
        <v>#REF!</v>
      </c>
      <c r="AO122" s="77" t="e">
        <f>#REF!</f>
        <v>#REF!</v>
      </c>
      <c r="AP122" s="77" t="e">
        <f>#REF!</f>
        <v>#REF!</v>
      </c>
      <c r="AQ122" s="77" t="e">
        <f>#REF!</f>
        <v>#REF!</v>
      </c>
      <c r="AR122" s="77" t="e">
        <f>#REF!</f>
        <v>#REF!</v>
      </c>
      <c r="AS122" s="77" t="e">
        <f>#REF!</f>
        <v>#REF!</v>
      </c>
      <c r="AT122" s="77" t="e">
        <f>#REF!</f>
        <v>#REF!</v>
      </c>
      <c r="AU122" s="77" t="e">
        <f>#REF!</f>
        <v>#REF!</v>
      </c>
      <c r="AV122" s="77" t="e">
        <f>#REF!</f>
        <v>#REF!</v>
      </c>
      <c r="AW122" s="77" t="e">
        <f>#REF!</f>
        <v>#REF!</v>
      </c>
      <c r="AX122" s="77" t="e">
        <f>#REF!</f>
        <v>#REF!</v>
      </c>
      <c r="AY122" s="77" t="e">
        <f>#REF!</f>
        <v>#REF!</v>
      </c>
      <c r="AZ122" s="77" t="e">
        <f>#REF!</f>
        <v>#REF!</v>
      </c>
      <c r="BA122" s="77" t="e">
        <f>#REF!</f>
        <v>#REF!</v>
      </c>
      <c r="BB122" s="77" t="e">
        <f>#REF!</f>
        <v>#REF!</v>
      </c>
      <c r="BC122" s="77" t="e">
        <f>#REF!</f>
        <v>#REF!</v>
      </c>
      <c r="BD122" s="77" t="e">
        <f>#REF!</f>
        <v>#REF!</v>
      </c>
      <c r="BE122" s="77" t="e">
        <f>#REF!</f>
        <v>#REF!</v>
      </c>
      <c r="BF122" s="77" t="e">
        <f>#REF!</f>
        <v>#REF!</v>
      </c>
      <c r="BG122" s="77" t="e">
        <f>#REF!</f>
        <v>#REF!</v>
      </c>
      <c r="BH122" s="77" t="e">
        <f>#REF!</f>
        <v>#REF!</v>
      </c>
      <c r="BI122" s="77" t="e">
        <f>#REF!</f>
        <v>#REF!</v>
      </c>
      <c r="BJ122" s="77" t="e">
        <f>#REF!</f>
        <v>#REF!</v>
      </c>
      <c r="BK122" s="77" t="e">
        <f>#REF!</f>
        <v>#REF!</v>
      </c>
      <c r="BL122" s="77" t="e">
        <f>#REF!</f>
        <v>#REF!</v>
      </c>
      <c r="BM122" s="77" t="e">
        <f>#REF!</f>
        <v>#REF!</v>
      </c>
      <c r="BN122" s="77" t="e">
        <f>#REF!</f>
        <v>#REF!</v>
      </c>
      <c r="BO122" s="77" t="e">
        <f>#REF!</f>
        <v>#REF!</v>
      </c>
      <c r="BP122" s="77" t="e">
        <f>#REF!</f>
        <v>#REF!</v>
      </c>
      <c r="BR122" s="123" t="str">
        <f t="shared" si="13"/>
        <v>FAI 68-2</v>
      </c>
      <c r="BS122" s="120">
        <f>OOC!G122</f>
        <v>1.05</v>
      </c>
      <c r="BT122" s="120">
        <f>OOC!H122</f>
        <v>1.01</v>
      </c>
      <c r="BU122" s="2" t="e">
        <f t="shared" si="14"/>
        <v>#REF!</v>
      </c>
      <c r="BV122" s="2" t="e">
        <f t="shared" si="15"/>
        <v>#REF!</v>
      </c>
      <c r="BW122" s="2" t="e">
        <f t="shared" si="16"/>
        <v>#REF!</v>
      </c>
      <c r="BX122" s="121" t="e">
        <f>IF(AND(IF(OOC!G122="",0,OOC!G122) &gt;= IF(O122="",0,O122), IF(O122="",0,O122) &gt; IF(L122="",0,L122)), "OOC",
IF(AND(IF(M122="",0,M122) &gt; IF(P122="",0,P122), IF(P122="",0,P122) &gt;= IF(OOC!H122="",0,OOC!H122)), "OOC",
IF(IF(O122="",0,O122) &gt; IF(OOC!G122="",0,OOC!G122), "OOS",
IF(IF(OOC!H122="",0,OOC!H122) &gt; IF(P122="",0,P122), "OOS", "OK"))))</f>
        <v>#REF!</v>
      </c>
    </row>
    <row r="123" spans="1:76" ht="15" customHeight="1">
      <c r="A123" s="13"/>
      <c r="B123" s="73" t="s">
        <v>171</v>
      </c>
      <c r="C123" s="78" t="s">
        <v>166</v>
      </c>
      <c r="D123" s="64" t="s">
        <v>117</v>
      </c>
      <c r="E123" s="65">
        <v>1.33</v>
      </c>
      <c r="F123" s="66" t="s">
        <v>44</v>
      </c>
      <c r="G123" s="67">
        <v>14.496</v>
      </c>
      <c r="H123" s="92" t="str">
        <f>IF(OOC!S123=0,"",OOC!S123)</f>
        <v/>
      </c>
      <c r="I123" s="92" t="str">
        <f>IF(OOC!T123=0,"",OOC!T123)</f>
        <v/>
      </c>
      <c r="J123" s="68" t="s">
        <v>12</v>
      </c>
      <c r="K123" s="69" t="s">
        <v>80</v>
      </c>
      <c r="L123" s="70" t="e">
        <f t="shared" si="0"/>
        <v>#VALUE!</v>
      </c>
      <c r="M123" s="70" t="e">
        <f t="shared" si="1"/>
        <v>#VALUE!</v>
      </c>
      <c r="N123" s="71"/>
      <c r="O123" s="2" t="e">
        <f t="shared" si="2"/>
        <v>#REF!</v>
      </c>
      <c r="P123" s="2" t="e">
        <f t="shared" si="3"/>
        <v>#REF!</v>
      </c>
      <c r="Q123" s="2" t="e">
        <f t="shared" si="4"/>
        <v>#REF!</v>
      </c>
      <c r="R123" s="3" t="e">
        <f t="shared" si="5"/>
        <v>#REF!</v>
      </c>
      <c r="S123" s="4" t="e">
        <f t="shared" si="10"/>
        <v>#REF!</v>
      </c>
      <c r="T123" s="84" t="e">
        <f t="shared" si="11"/>
        <v>#REF!</v>
      </c>
      <c r="U123" s="85" t="e">
        <f t="shared" si="12"/>
        <v>#REF!</v>
      </c>
      <c r="V123" s="4" t="e">
        <f t="shared" si="6"/>
        <v>#REF!</v>
      </c>
      <c r="W123" s="4" t="e">
        <f t="shared" si="7"/>
        <v>#REF!</v>
      </c>
      <c r="X123" s="4" t="e">
        <f t="shared" si="8"/>
        <v>#REF!</v>
      </c>
      <c r="Y123" s="62" t="e">
        <f t="shared" si="9"/>
        <v>#REF!</v>
      </c>
      <c r="Z123" s="22"/>
      <c r="AA123" s="22"/>
      <c r="AB123" s="22"/>
      <c r="AC123" s="22"/>
      <c r="AD123" s="19"/>
      <c r="AE123" s="14"/>
      <c r="AF123" s="72"/>
      <c r="AG123" s="49"/>
      <c r="AH123" s="49"/>
      <c r="AI123" s="50"/>
      <c r="AJ123" s="15"/>
      <c r="AK123" s="77" t="e">
        <f>#REF!</f>
        <v>#REF!</v>
      </c>
      <c r="AL123" s="77" t="e">
        <f>#REF!</f>
        <v>#REF!</v>
      </c>
      <c r="AM123" s="77" t="e">
        <f>#REF!</f>
        <v>#REF!</v>
      </c>
      <c r="AN123" s="77" t="e">
        <f>#REF!</f>
        <v>#REF!</v>
      </c>
      <c r="AO123" s="77" t="e">
        <f>#REF!</f>
        <v>#REF!</v>
      </c>
      <c r="AP123" s="77" t="e">
        <f>#REF!</f>
        <v>#REF!</v>
      </c>
      <c r="AQ123" s="77" t="e">
        <f>#REF!</f>
        <v>#REF!</v>
      </c>
      <c r="AR123" s="77" t="e">
        <f>#REF!</f>
        <v>#REF!</v>
      </c>
      <c r="AS123" s="77" t="e">
        <f>#REF!</f>
        <v>#REF!</v>
      </c>
      <c r="AT123" s="77" t="e">
        <f>#REF!</f>
        <v>#REF!</v>
      </c>
      <c r="AU123" s="77" t="e">
        <f>#REF!</f>
        <v>#REF!</v>
      </c>
      <c r="AV123" s="77" t="e">
        <f>#REF!</f>
        <v>#REF!</v>
      </c>
      <c r="AW123" s="77" t="e">
        <f>#REF!</f>
        <v>#REF!</v>
      </c>
      <c r="AX123" s="77" t="e">
        <f>#REF!</f>
        <v>#REF!</v>
      </c>
      <c r="AY123" s="77" t="e">
        <f>#REF!</f>
        <v>#REF!</v>
      </c>
      <c r="AZ123" s="77" t="e">
        <f>#REF!</f>
        <v>#REF!</v>
      </c>
      <c r="BA123" s="77" t="e">
        <f>#REF!</f>
        <v>#REF!</v>
      </c>
      <c r="BB123" s="77" t="e">
        <f>#REF!</f>
        <v>#REF!</v>
      </c>
      <c r="BC123" s="77" t="e">
        <f>#REF!</f>
        <v>#REF!</v>
      </c>
      <c r="BD123" s="77" t="e">
        <f>#REF!</f>
        <v>#REF!</v>
      </c>
      <c r="BE123" s="77" t="e">
        <f>#REF!</f>
        <v>#REF!</v>
      </c>
      <c r="BF123" s="77" t="e">
        <f>#REF!</f>
        <v>#REF!</v>
      </c>
      <c r="BG123" s="77" t="e">
        <f>#REF!</f>
        <v>#REF!</v>
      </c>
      <c r="BH123" s="77" t="e">
        <f>#REF!</f>
        <v>#REF!</v>
      </c>
      <c r="BI123" s="77" t="e">
        <f>#REF!</f>
        <v>#REF!</v>
      </c>
      <c r="BJ123" s="77" t="e">
        <f>#REF!</f>
        <v>#REF!</v>
      </c>
      <c r="BK123" s="77" t="e">
        <f>#REF!</f>
        <v>#REF!</v>
      </c>
      <c r="BL123" s="77" t="e">
        <f>#REF!</f>
        <v>#REF!</v>
      </c>
      <c r="BM123" s="77" t="e">
        <f>#REF!</f>
        <v>#REF!</v>
      </c>
      <c r="BN123" s="77" t="e">
        <f>#REF!</f>
        <v>#REF!</v>
      </c>
      <c r="BO123" s="77" t="e">
        <f>#REF!</f>
        <v>#REF!</v>
      </c>
      <c r="BP123" s="77" t="e">
        <f>#REF!</f>
        <v>#REF!</v>
      </c>
      <c r="BR123" s="123" t="str">
        <f t="shared" si="13"/>
        <v>FAI 69</v>
      </c>
      <c r="BS123" s="120">
        <f>OOC!G123</f>
        <v>14.516</v>
      </c>
      <c r="BT123" s="120">
        <f>OOC!H123</f>
        <v>14.476000000000001</v>
      </c>
      <c r="BU123" s="2" t="e">
        <f t="shared" si="14"/>
        <v>#REF!</v>
      </c>
      <c r="BV123" s="2" t="e">
        <f t="shared" si="15"/>
        <v>#REF!</v>
      </c>
      <c r="BW123" s="2" t="e">
        <f t="shared" si="16"/>
        <v>#REF!</v>
      </c>
      <c r="BX123" s="121" t="e">
        <f>IF(AND(IF(OOC!G123="",0,OOC!G123) &gt;= IF(O123="",0,O123), IF(O123="",0,O123) &gt; IF(L123="",0,L123)), "OOC",
IF(AND(IF(M123="",0,M123) &gt; IF(P123="",0,P123), IF(P123="",0,P123) &gt;= IF(OOC!H123="",0,OOC!H123)), "OOC",
IF(IF(O123="",0,O123) &gt; IF(OOC!G123="",0,OOC!G123), "OOS",
IF(IF(OOC!H123="",0,OOC!H123) &gt; IF(P123="",0,P123), "OOS", "OK"))))</f>
        <v>#REF!</v>
      </c>
    </row>
    <row r="124" spans="1:76" ht="15" customHeight="1">
      <c r="A124" s="13"/>
      <c r="B124" s="73" t="s">
        <v>172</v>
      </c>
      <c r="C124" s="78" t="s">
        <v>167</v>
      </c>
      <c r="D124" s="64" t="s">
        <v>117</v>
      </c>
      <c r="E124" s="65">
        <v>1.33</v>
      </c>
      <c r="F124" s="66" t="s">
        <v>44</v>
      </c>
      <c r="G124" s="67">
        <v>0.77</v>
      </c>
      <c r="H124" s="92" t="str">
        <f>IF(OOC!S124=0,"",OOC!S124)</f>
        <v/>
      </c>
      <c r="I124" s="92" t="str">
        <f>IF(OOC!T124=0,"",OOC!T124)</f>
        <v/>
      </c>
      <c r="J124" s="68" t="s">
        <v>12</v>
      </c>
      <c r="K124" s="69" t="s">
        <v>80</v>
      </c>
      <c r="L124" s="70" t="e">
        <f t="shared" si="0"/>
        <v>#VALUE!</v>
      </c>
      <c r="M124" s="70" t="e">
        <f t="shared" si="1"/>
        <v>#VALUE!</v>
      </c>
      <c r="N124" s="71"/>
      <c r="O124" s="2" t="e">
        <f t="shared" si="2"/>
        <v>#REF!</v>
      </c>
      <c r="P124" s="2" t="e">
        <f t="shared" si="3"/>
        <v>#REF!</v>
      </c>
      <c r="Q124" s="2" t="e">
        <f t="shared" si="4"/>
        <v>#REF!</v>
      </c>
      <c r="R124" s="3" t="e">
        <f t="shared" si="5"/>
        <v>#REF!</v>
      </c>
      <c r="S124" s="4" t="e">
        <f t="shared" si="10"/>
        <v>#REF!</v>
      </c>
      <c r="T124" s="84" t="e">
        <f t="shared" si="11"/>
        <v>#REF!</v>
      </c>
      <c r="U124" s="85" t="e">
        <f t="shared" si="12"/>
        <v>#REF!</v>
      </c>
      <c r="V124" s="4" t="e">
        <f t="shared" si="6"/>
        <v>#REF!</v>
      </c>
      <c r="W124" s="4" t="e">
        <f t="shared" si="7"/>
        <v>#REF!</v>
      </c>
      <c r="X124" s="4" t="e">
        <f t="shared" si="8"/>
        <v>#REF!</v>
      </c>
      <c r="Y124" s="62" t="e">
        <f t="shared" si="9"/>
        <v>#REF!</v>
      </c>
      <c r="Z124" s="22"/>
      <c r="AA124" s="22"/>
      <c r="AB124" s="22"/>
      <c r="AC124" s="22"/>
      <c r="AD124" s="19"/>
      <c r="AE124" s="14"/>
      <c r="AF124" s="72"/>
      <c r="AG124" s="49"/>
      <c r="AH124" s="49"/>
      <c r="AI124" s="50"/>
      <c r="AJ124" s="15"/>
      <c r="AK124" s="77" t="e">
        <f>#REF!</f>
        <v>#REF!</v>
      </c>
      <c r="AL124" s="77" t="e">
        <f>#REF!</f>
        <v>#REF!</v>
      </c>
      <c r="AM124" s="77" t="e">
        <f>#REF!</f>
        <v>#REF!</v>
      </c>
      <c r="AN124" s="77" t="e">
        <f>#REF!</f>
        <v>#REF!</v>
      </c>
      <c r="AO124" s="77" t="e">
        <f>#REF!</f>
        <v>#REF!</v>
      </c>
      <c r="AP124" s="77" t="e">
        <f>#REF!</f>
        <v>#REF!</v>
      </c>
      <c r="AQ124" s="77" t="e">
        <f>#REF!</f>
        <v>#REF!</v>
      </c>
      <c r="AR124" s="77" t="e">
        <f>#REF!</f>
        <v>#REF!</v>
      </c>
      <c r="AS124" s="77" t="e">
        <f>#REF!</f>
        <v>#REF!</v>
      </c>
      <c r="AT124" s="77" t="e">
        <f>#REF!</f>
        <v>#REF!</v>
      </c>
      <c r="AU124" s="77" t="e">
        <f>#REF!</f>
        <v>#REF!</v>
      </c>
      <c r="AV124" s="77" t="e">
        <f>#REF!</f>
        <v>#REF!</v>
      </c>
      <c r="AW124" s="77" t="e">
        <f>#REF!</f>
        <v>#REF!</v>
      </c>
      <c r="AX124" s="77" t="e">
        <f>#REF!</f>
        <v>#REF!</v>
      </c>
      <c r="AY124" s="77" t="e">
        <f>#REF!</f>
        <v>#REF!</v>
      </c>
      <c r="AZ124" s="77" t="e">
        <f>#REF!</f>
        <v>#REF!</v>
      </c>
      <c r="BA124" s="77" t="e">
        <f>#REF!</f>
        <v>#REF!</v>
      </c>
      <c r="BB124" s="77" t="e">
        <f>#REF!</f>
        <v>#REF!</v>
      </c>
      <c r="BC124" s="77" t="e">
        <f>#REF!</f>
        <v>#REF!</v>
      </c>
      <c r="BD124" s="77" t="e">
        <f>#REF!</f>
        <v>#REF!</v>
      </c>
      <c r="BE124" s="77" t="e">
        <f>#REF!</f>
        <v>#REF!</v>
      </c>
      <c r="BF124" s="77" t="e">
        <f>#REF!</f>
        <v>#REF!</v>
      </c>
      <c r="BG124" s="77" t="e">
        <f>#REF!</f>
        <v>#REF!</v>
      </c>
      <c r="BH124" s="77" t="e">
        <f>#REF!</f>
        <v>#REF!</v>
      </c>
      <c r="BI124" s="77" t="e">
        <f>#REF!</f>
        <v>#REF!</v>
      </c>
      <c r="BJ124" s="77" t="e">
        <f>#REF!</f>
        <v>#REF!</v>
      </c>
      <c r="BK124" s="77" t="e">
        <f>#REF!</f>
        <v>#REF!</v>
      </c>
      <c r="BL124" s="77" t="e">
        <f>#REF!</f>
        <v>#REF!</v>
      </c>
      <c r="BM124" s="77" t="e">
        <f>#REF!</f>
        <v>#REF!</v>
      </c>
      <c r="BN124" s="77" t="e">
        <f>#REF!</f>
        <v>#REF!</v>
      </c>
      <c r="BO124" s="77" t="e">
        <f>#REF!</f>
        <v>#REF!</v>
      </c>
      <c r="BP124" s="77" t="e">
        <f>#REF!</f>
        <v>#REF!</v>
      </c>
      <c r="BR124" s="123" t="str">
        <f t="shared" si="13"/>
        <v>FAI 70-1</v>
      </c>
      <c r="BS124" s="120">
        <f>OOC!G124</f>
        <v>0.79</v>
      </c>
      <c r="BT124" s="120">
        <f>OOC!H124</f>
        <v>0.75</v>
      </c>
      <c r="BU124" s="2" t="e">
        <f t="shared" si="14"/>
        <v>#REF!</v>
      </c>
      <c r="BV124" s="2" t="e">
        <f t="shared" si="15"/>
        <v>#REF!</v>
      </c>
      <c r="BW124" s="2" t="e">
        <f t="shared" si="16"/>
        <v>#REF!</v>
      </c>
      <c r="BX124" s="121" t="e">
        <f>IF(AND(IF(OOC!G124="",0,OOC!G124) &gt;= IF(O124="",0,O124), IF(O124="",0,O124) &gt; IF(L124="",0,L124)), "OOC",
IF(AND(IF(M124="",0,M124) &gt; IF(P124="",0,P124), IF(P124="",0,P124) &gt;= IF(OOC!H124="",0,OOC!H124)), "OOC",
IF(IF(O124="",0,O124) &gt; IF(OOC!G124="",0,OOC!G124), "OOS",
IF(IF(OOC!H124="",0,OOC!H124) &gt; IF(P124="",0,P124), "OOS", "OK"))))</f>
        <v>#REF!</v>
      </c>
    </row>
    <row r="125" spans="1:76" ht="15" customHeight="1">
      <c r="A125" s="13"/>
      <c r="B125" s="73" t="s">
        <v>172</v>
      </c>
      <c r="C125" s="78" t="s">
        <v>168</v>
      </c>
      <c r="D125" s="64" t="s">
        <v>117</v>
      </c>
      <c r="E125" s="65">
        <v>1.33</v>
      </c>
      <c r="F125" s="66" t="s">
        <v>44</v>
      </c>
      <c r="G125" s="67">
        <v>0.77</v>
      </c>
      <c r="H125" s="92" t="str">
        <f>IF(OOC!S125=0,"",OOC!S125)</f>
        <v/>
      </c>
      <c r="I125" s="92" t="str">
        <f>IF(OOC!T125=0,"",OOC!T125)</f>
        <v/>
      </c>
      <c r="J125" s="68" t="s">
        <v>12</v>
      </c>
      <c r="K125" s="69" t="s">
        <v>80</v>
      </c>
      <c r="L125" s="70" t="e">
        <f t="shared" si="0"/>
        <v>#VALUE!</v>
      </c>
      <c r="M125" s="70" t="e">
        <f t="shared" si="1"/>
        <v>#VALUE!</v>
      </c>
      <c r="N125" s="71"/>
      <c r="O125" s="2" t="e">
        <f t="shared" si="2"/>
        <v>#REF!</v>
      </c>
      <c r="P125" s="2" t="e">
        <f t="shared" si="3"/>
        <v>#REF!</v>
      </c>
      <c r="Q125" s="2" t="e">
        <f t="shared" si="4"/>
        <v>#REF!</v>
      </c>
      <c r="R125" s="3" t="e">
        <f t="shared" si="5"/>
        <v>#REF!</v>
      </c>
      <c r="S125" s="4" t="e">
        <f t="shared" si="10"/>
        <v>#REF!</v>
      </c>
      <c r="T125" s="84" t="e">
        <f t="shared" si="11"/>
        <v>#REF!</v>
      </c>
      <c r="U125" s="85" t="e">
        <f t="shared" si="12"/>
        <v>#REF!</v>
      </c>
      <c r="V125" s="4" t="e">
        <f t="shared" si="6"/>
        <v>#REF!</v>
      </c>
      <c r="W125" s="4" t="e">
        <f t="shared" si="7"/>
        <v>#REF!</v>
      </c>
      <c r="X125" s="4" t="e">
        <f t="shared" si="8"/>
        <v>#REF!</v>
      </c>
      <c r="Y125" s="62" t="e">
        <f t="shared" si="9"/>
        <v>#REF!</v>
      </c>
      <c r="Z125" s="22"/>
      <c r="AA125" s="22"/>
      <c r="AB125" s="22"/>
      <c r="AC125" s="22"/>
      <c r="AD125" s="19"/>
      <c r="AE125" s="14"/>
      <c r="AF125" s="72"/>
      <c r="AG125" s="49"/>
      <c r="AH125" s="49"/>
      <c r="AI125" s="50"/>
      <c r="AJ125" s="15"/>
      <c r="AK125" s="77" t="e">
        <f>#REF!</f>
        <v>#REF!</v>
      </c>
      <c r="AL125" s="77" t="e">
        <f>#REF!</f>
        <v>#REF!</v>
      </c>
      <c r="AM125" s="77" t="e">
        <f>#REF!</f>
        <v>#REF!</v>
      </c>
      <c r="AN125" s="77" t="e">
        <f>#REF!</f>
        <v>#REF!</v>
      </c>
      <c r="AO125" s="77" t="e">
        <f>#REF!</f>
        <v>#REF!</v>
      </c>
      <c r="AP125" s="77" t="e">
        <f>#REF!</f>
        <v>#REF!</v>
      </c>
      <c r="AQ125" s="77" t="e">
        <f>#REF!</f>
        <v>#REF!</v>
      </c>
      <c r="AR125" s="77" t="e">
        <f>#REF!</f>
        <v>#REF!</v>
      </c>
      <c r="AS125" s="77" t="e">
        <f>#REF!</f>
        <v>#REF!</v>
      </c>
      <c r="AT125" s="77" t="e">
        <f>#REF!</f>
        <v>#REF!</v>
      </c>
      <c r="AU125" s="77" t="e">
        <f>#REF!</f>
        <v>#REF!</v>
      </c>
      <c r="AV125" s="77" t="e">
        <f>#REF!</f>
        <v>#REF!</v>
      </c>
      <c r="AW125" s="77" t="e">
        <f>#REF!</f>
        <v>#REF!</v>
      </c>
      <c r="AX125" s="77" t="e">
        <f>#REF!</f>
        <v>#REF!</v>
      </c>
      <c r="AY125" s="77" t="e">
        <f>#REF!</f>
        <v>#REF!</v>
      </c>
      <c r="AZ125" s="77" t="e">
        <f>#REF!</f>
        <v>#REF!</v>
      </c>
      <c r="BA125" s="77" t="e">
        <f>#REF!</f>
        <v>#REF!</v>
      </c>
      <c r="BB125" s="77" t="e">
        <f>#REF!</f>
        <v>#REF!</v>
      </c>
      <c r="BC125" s="77" t="e">
        <f>#REF!</f>
        <v>#REF!</v>
      </c>
      <c r="BD125" s="77" t="e">
        <f>#REF!</f>
        <v>#REF!</v>
      </c>
      <c r="BE125" s="77" t="e">
        <f>#REF!</f>
        <v>#REF!</v>
      </c>
      <c r="BF125" s="77" t="e">
        <f>#REF!</f>
        <v>#REF!</v>
      </c>
      <c r="BG125" s="77" t="e">
        <f>#REF!</f>
        <v>#REF!</v>
      </c>
      <c r="BH125" s="77" t="e">
        <f>#REF!</f>
        <v>#REF!</v>
      </c>
      <c r="BI125" s="77" t="e">
        <f>#REF!</f>
        <v>#REF!</v>
      </c>
      <c r="BJ125" s="77" t="e">
        <f>#REF!</f>
        <v>#REF!</v>
      </c>
      <c r="BK125" s="77" t="e">
        <f>#REF!</f>
        <v>#REF!</v>
      </c>
      <c r="BL125" s="77" t="e">
        <f>#REF!</f>
        <v>#REF!</v>
      </c>
      <c r="BM125" s="77" t="e">
        <f>#REF!</f>
        <v>#REF!</v>
      </c>
      <c r="BN125" s="77" t="e">
        <f>#REF!</f>
        <v>#REF!</v>
      </c>
      <c r="BO125" s="77" t="e">
        <f>#REF!</f>
        <v>#REF!</v>
      </c>
      <c r="BP125" s="77" t="e">
        <f>#REF!</f>
        <v>#REF!</v>
      </c>
      <c r="BR125" s="123" t="str">
        <f t="shared" si="13"/>
        <v>FAI 70-2</v>
      </c>
      <c r="BS125" s="120">
        <f>OOC!G125</f>
        <v>0.79</v>
      </c>
      <c r="BT125" s="120">
        <f>OOC!H125</f>
        <v>0.75</v>
      </c>
      <c r="BU125" s="2" t="e">
        <f t="shared" si="14"/>
        <v>#REF!</v>
      </c>
      <c r="BV125" s="2" t="e">
        <f t="shared" si="15"/>
        <v>#REF!</v>
      </c>
      <c r="BW125" s="2" t="e">
        <f t="shared" si="16"/>
        <v>#REF!</v>
      </c>
      <c r="BX125" s="121" t="e">
        <f>IF(AND(IF(OOC!G125="",0,OOC!G125) &gt;= IF(O125="",0,O125), IF(O125="",0,O125) &gt; IF(L125="",0,L125)), "OOC",
IF(AND(IF(M125="",0,M125) &gt; IF(P125="",0,P125), IF(P125="",0,P125) &gt;= IF(OOC!H125="",0,OOC!H125)), "OOC",
IF(IF(O125="",0,O125) &gt; IF(OOC!G125="",0,OOC!G125), "OOS",
IF(IF(OOC!H125="",0,OOC!H125) &gt; IF(P125="",0,P125), "OOS", "OK"))))</f>
        <v>#REF!</v>
      </c>
    </row>
    <row r="126" spans="1:76" ht="15" customHeight="1">
      <c r="A126" s="13"/>
      <c r="B126" s="73" t="s">
        <v>173</v>
      </c>
      <c r="C126" s="78" t="s">
        <v>169</v>
      </c>
      <c r="D126" s="64" t="s">
        <v>117</v>
      </c>
      <c r="E126" s="65">
        <v>1.33</v>
      </c>
      <c r="F126" s="66" t="s">
        <v>44</v>
      </c>
      <c r="G126" s="67">
        <v>11.776999999999999</v>
      </c>
      <c r="H126" s="92" t="str">
        <f>IF(OOC!S126=0,"",OOC!S126)</f>
        <v/>
      </c>
      <c r="I126" s="92" t="str">
        <f>IF(OOC!T126=0,"",OOC!T126)</f>
        <v/>
      </c>
      <c r="J126" s="68" t="s">
        <v>12</v>
      </c>
      <c r="K126" s="69" t="s">
        <v>80</v>
      </c>
      <c r="L126" s="70" t="e">
        <f t="shared" si="0"/>
        <v>#VALUE!</v>
      </c>
      <c r="M126" s="70" t="e">
        <f t="shared" si="1"/>
        <v>#VALUE!</v>
      </c>
      <c r="N126" s="71"/>
      <c r="O126" s="2" t="e">
        <f t="shared" si="2"/>
        <v>#REF!</v>
      </c>
      <c r="P126" s="2" t="e">
        <f t="shared" si="3"/>
        <v>#REF!</v>
      </c>
      <c r="Q126" s="2" t="e">
        <f t="shared" si="4"/>
        <v>#REF!</v>
      </c>
      <c r="R126" s="3" t="e">
        <f t="shared" si="5"/>
        <v>#REF!</v>
      </c>
      <c r="S126" s="4" t="e">
        <f t="shared" si="10"/>
        <v>#REF!</v>
      </c>
      <c r="T126" s="84" t="e">
        <f t="shared" si="11"/>
        <v>#REF!</v>
      </c>
      <c r="U126" s="85" t="e">
        <f t="shared" si="12"/>
        <v>#REF!</v>
      </c>
      <c r="V126" s="4" t="e">
        <f t="shared" si="6"/>
        <v>#REF!</v>
      </c>
      <c r="W126" s="4" t="e">
        <f t="shared" si="7"/>
        <v>#REF!</v>
      </c>
      <c r="X126" s="4" t="e">
        <f t="shared" si="8"/>
        <v>#REF!</v>
      </c>
      <c r="Y126" s="62" t="e">
        <f t="shared" si="9"/>
        <v>#REF!</v>
      </c>
      <c r="Z126" s="22"/>
      <c r="AA126" s="22"/>
      <c r="AB126" s="22"/>
      <c r="AC126" s="22"/>
      <c r="AD126" s="19"/>
      <c r="AE126" s="14"/>
      <c r="AF126" s="72"/>
      <c r="AG126" s="49"/>
      <c r="AH126" s="49"/>
      <c r="AI126" s="50"/>
      <c r="AJ126" s="15"/>
      <c r="AK126" s="77" t="e">
        <f>#REF!</f>
        <v>#REF!</v>
      </c>
      <c r="AL126" s="77" t="e">
        <f>#REF!</f>
        <v>#REF!</v>
      </c>
      <c r="AM126" s="77" t="e">
        <f>#REF!</f>
        <v>#REF!</v>
      </c>
      <c r="AN126" s="77" t="e">
        <f>#REF!</f>
        <v>#REF!</v>
      </c>
      <c r="AO126" s="77" t="e">
        <f>#REF!</f>
        <v>#REF!</v>
      </c>
      <c r="AP126" s="77" t="e">
        <f>#REF!</f>
        <v>#REF!</v>
      </c>
      <c r="AQ126" s="77" t="e">
        <f>#REF!</f>
        <v>#REF!</v>
      </c>
      <c r="AR126" s="77" t="e">
        <f>#REF!</f>
        <v>#REF!</v>
      </c>
      <c r="AS126" s="77" t="e">
        <f>#REF!</f>
        <v>#REF!</v>
      </c>
      <c r="AT126" s="77" t="e">
        <f>#REF!</f>
        <v>#REF!</v>
      </c>
      <c r="AU126" s="77" t="e">
        <f>#REF!</f>
        <v>#REF!</v>
      </c>
      <c r="AV126" s="77" t="e">
        <f>#REF!</f>
        <v>#REF!</v>
      </c>
      <c r="AW126" s="77" t="e">
        <f>#REF!</f>
        <v>#REF!</v>
      </c>
      <c r="AX126" s="77" t="e">
        <f>#REF!</f>
        <v>#REF!</v>
      </c>
      <c r="AY126" s="77" t="e">
        <f>#REF!</f>
        <v>#REF!</v>
      </c>
      <c r="AZ126" s="77" t="e">
        <f>#REF!</f>
        <v>#REF!</v>
      </c>
      <c r="BA126" s="77" t="e">
        <f>#REF!</f>
        <v>#REF!</v>
      </c>
      <c r="BB126" s="77" t="e">
        <f>#REF!</f>
        <v>#REF!</v>
      </c>
      <c r="BC126" s="77" t="e">
        <f>#REF!</f>
        <v>#REF!</v>
      </c>
      <c r="BD126" s="77" t="e">
        <f>#REF!</f>
        <v>#REF!</v>
      </c>
      <c r="BE126" s="77" t="e">
        <f>#REF!</f>
        <v>#REF!</v>
      </c>
      <c r="BF126" s="77" t="e">
        <f>#REF!</f>
        <v>#REF!</v>
      </c>
      <c r="BG126" s="77" t="e">
        <f>#REF!</f>
        <v>#REF!</v>
      </c>
      <c r="BH126" s="77" t="e">
        <f>#REF!</f>
        <v>#REF!</v>
      </c>
      <c r="BI126" s="77" t="e">
        <f>#REF!</f>
        <v>#REF!</v>
      </c>
      <c r="BJ126" s="77" t="e">
        <f>#REF!</f>
        <v>#REF!</v>
      </c>
      <c r="BK126" s="77" t="e">
        <f>#REF!</f>
        <v>#REF!</v>
      </c>
      <c r="BL126" s="77" t="e">
        <f>#REF!</f>
        <v>#REF!</v>
      </c>
      <c r="BM126" s="77" t="e">
        <f>#REF!</f>
        <v>#REF!</v>
      </c>
      <c r="BN126" s="77" t="e">
        <f>#REF!</f>
        <v>#REF!</v>
      </c>
      <c r="BO126" s="77" t="e">
        <f>#REF!</f>
        <v>#REF!</v>
      </c>
      <c r="BP126" s="77" t="e">
        <f>#REF!</f>
        <v>#REF!</v>
      </c>
      <c r="BR126" s="123" t="str">
        <f t="shared" si="13"/>
        <v>FAI 71</v>
      </c>
      <c r="BS126" s="120">
        <f>OOC!G126</f>
        <v>11.796999999999999</v>
      </c>
      <c r="BT126" s="120">
        <f>OOC!H126</f>
        <v>11.757</v>
      </c>
      <c r="BU126" s="2" t="e">
        <f t="shared" si="14"/>
        <v>#REF!</v>
      </c>
      <c r="BV126" s="2" t="e">
        <f t="shared" si="15"/>
        <v>#REF!</v>
      </c>
      <c r="BW126" s="2" t="e">
        <f t="shared" si="16"/>
        <v>#REF!</v>
      </c>
      <c r="BX126" s="121" t="e">
        <f>IF(AND(IF(OOC!G126="",0,OOC!G126) &gt;= IF(O126="",0,O126), IF(O126="",0,O126) &gt; IF(L126="",0,L126)), "OOC",
IF(AND(IF(M126="",0,M126) &gt; IF(P126="",0,P126), IF(P126="",0,P126) &gt;= IF(OOC!H126="",0,OOC!H126)), "OOC",
IF(IF(O126="",0,O126) &gt; IF(OOC!G126="",0,OOC!G126), "OOS",
IF(IF(OOC!H126="",0,OOC!H126) &gt; IF(P126="",0,P126), "OOS", "OK"))))</f>
        <v>#REF!</v>
      </c>
    </row>
    <row r="127" spans="1:76">
      <c r="T127"/>
      <c r="U127"/>
    </row>
    <row r="128" spans="1:76">
      <c r="T128"/>
      <c r="U128"/>
    </row>
    <row r="129" spans="20:21">
      <c r="T129"/>
      <c r="U129"/>
    </row>
    <row r="130" spans="20:21">
      <c r="T130"/>
      <c r="U130"/>
    </row>
    <row r="131" spans="20:21">
      <c r="T131"/>
      <c r="U131"/>
    </row>
    <row r="132" spans="20:21">
      <c r="T132"/>
      <c r="U132"/>
    </row>
    <row r="133" spans="20:21">
      <c r="T133"/>
      <c r="U133"/>
    </row>
    <row r="134" spans="20:21">
      <c r="T134"/>
      <c r="U134"/>
    </row>
    <row r="135" spans="20:21">
      <c r="T135"/>
      <c r="U135"/>
    </row>
    <row r="136" spans="20:21">
      <c r="T136"/>
      <c r="U136"/>
    </row>
    <row r="137" spans="20:21">
      <c r="T137"/>
      <c r="U137"/>
    </row>
    <row r="138" spans="20:21">
      <c r="T138"/>
      <c r="U138"/>
    </row>
    <row r="139" spans="20:21">
      <c r="T139"/>
      <c r="U139"/>
    </row>
    <row r="140" spans="20:21">
      <c r="T140"/>
      <c r="U140"/>
    </row>
    <row r="141" spans="20:21">
      <c r="T141"/>
      <c r="U141"/>
    </row>
    <row r="142" spans="20:21">
      <c r="T142"/>
      <c r="U142"/>
    </row>
    <row r="143" spans="20:21">
      <c r="T143"/>
      <c r="U143"/>
    </row>
    <row r="144" spans="20:21">
      <c r="T144"/>
      <c r="U144"/>
    </row>
    <row r="145" spans="20:21">
      <c r="T145"/>
      <c r="U145"/>
    </row>
    <row r="146" spans="20:21">
      <c r="T146"/>
      <c r="U146"/>
    </row>
    <row r="147" spans="20:21">
      <c r="T147"/>
      <c r="U147"/>
    </row>
    <row r="148" spans="20:21">
      <c r="T148"/>
      <c r="U148"/>
    </row>
    <row r="149" spans="20:21">
      <c r="T149"/>
      <c r="U149"/>
    </row>
    <row r="150" spans="20:21">
      <c r="T150"/>
      <c r="U150"/>
    </row>
    <row r="151" spans="20:21">
      <c r="T151"/>
      <c r="U151"/>
    </row>
    <row r="152" spans="20:21">
      <c r="T152"/>
      <c r="U152"/>
    </row>
    <row r="153" spans="20:21">
      <c r="T153"/>
      <c r="U153"/>
    </row>
    <row r="154" spans="20:21">
      <c r="T154"/>
      <c r="U154"/>
    </row>
    <row r="155" spans="20:21">
      <c r="T155"/>
      <c r="U155"/>
    </row>
    <row r="156" spans="20:21">
      <c r="T156"/>
      <c r="U156"/>
    </row>
    <row r="157" spans="20:21">
      <c r="T157"/>
      <c r="U157"/>
    </row>
    <row r="158" spans="20:21">
      <c r="T158"/>
      <c r="U158"/>
    </row>
    <row r="159" spans="20:21">
      <c r="T159"/>
      <c r="U159"/>
    </row>
    <row r="160" spans="20:21">
      <c r="T160"/>
      <c r="U160"/>
    </row>
    <row r="161" spans="20:21">
      <c r="T161"/>
      <c r="U161"/>
    </row>
    <row r="162" spans="20:21">
      <c r="T162"/>
      <c r="U162"/>
    </row>
    <row r="163" spans="20:21">
      <c r="T163"/>
      <c r="U163"/>
    </row>
    <row r="164" spans="20:21">
      <c r="T164"/>
      <c r="U164"/>
    </row>
    <row r="165" spans="20:21">
      <c r="T165"/>
      <c r="U165"/>
    </row>
    <row r="166" spans="20:21">
      <c r="T166"/>
      <c r="U166"/>
    </row>
    <row r="167" spans="20:21">
      <c r="T167"/>
      <c r="U167"/>
    </row>
    <row r="168" spans="20:21">
      <c r="T168"/>
      <c r="U168"/>
    </row>
    <row r="169" spans="20:21">
      <c r="T169"/>
      <c r="U169"/>
    </row>
    <row r="170" spans="20:21">
      <c r="T170"/>
      <c r="U170"/>
    </row>
    <row r="171" spans="20:21">
      <c r="T171"/>
      <c r="U171"/>
    </row>
    <row r="172" spans="20:21">
      <c r="T172"/>
      <c r="U172"/>
    </row>
    <row r="173" spans="20:21">
      <c r="T173"/>
      <c r="U173"/>
    </row>
    <row r="174" spans="20:21">
      <c r="T174"/>
      <c r="U174"/>
    </row>
    <row r="175" spans="20:21">
      <c r="T175"/>
      <c r="U175"/>
    </row>
    <row r="176" spans="20:21">
      <c r="T176"/>
      <c r="U176"/>
    </row>
    <row r="177" spans="20:21">
      <c r="T177"/>
      <c r="U177"/>
    </row>
    <row r="178" spans="20:21">
      <c r="T178"/>
      <c r="U178"/>
    </row>
    <row r="179" spans="20:21">
      <c r="T179"/>
      <c r="U179"/>
    </row>
    <row r="180" spans="20:21">
      <c r="T180"/>
      <c r="U180"/>
    </row>
    <row r="181" spans="20:21">
      <c r="T181"/>
      <c r="U181"/>
    </row>
    <row r="182" spans="20:21">
      <c r="T182"/>
      <c r="U182"/>
    </row>
    <row r="183" spans="20:21">
      <c r="T183"/>
      <c r="U183"/>
    </row>
    <row r="184" spans="20:21">
      <c r="T184"/>
      <c r="U184"/>
    </row>
    <row r="185" spans="20:21">
      <c r="T185"/>
      <c r="U185"/>
    </row>
    <row r="186" spans="20:21">
      <c r="T186"/>
      <c r="U186"/>
    </row>
    <row r="187" spans="20:21">
      <c r="T187"/>
      <c r="U187"/>
    </row>
    <row r="188" spans="20:21">
      <c r="T188"/>
      <c r="U188"/>
    </row>
    <row r="189" spans="20:21">
      <c r="T189"/>
      <c r="U189"/>
    </row>
    <row r="190" spans="20:21">
      <c r="T190"/>
      <c r="U190"/>
    </row>
    <row r="191" spans="20:21">
      <c r="T191"/>
      <c r="U191"/>
    </row>
    <row r="192" spans="20:21">
      <c r="T192"/>
      <c r="U192"/>
    </row>
    <row r="193" spans="20:21">
      <c r="T193"/>
      <c r="U193"/>
    </row>
    <row r="194" spans="20:21">
      <c r="T194"/>
      <c r="U194"/>
    </row>
    <row r="195" spans="20:21">
      <c r="T195"/>
      <c r="U195"/>
    </row>
    <row r="196" spans="20:21">
      <c r="T196"/>
      <c r="U196"/>
    </row>
    <row r="197" spans="20:21">
      <c r="T197"/>
      <c r="U197"/>
    </row>
  </sheetData>
  <sheetProtection formatCells="0"/>
  <mergeCells count="29">
    <mergeCell ref="BW8:BW9"/>
    <mergeCell ref="BX8:BX10"/>
    <mergeCell ref="BR8:BR9"/>
    <mergeCell ref="BS8:BS9"/>
    <mergeCell ref="BT8:BT9"/>
    <mergeCell ref="BU8:BU9"/>
    <mergeCell ref="BV8:BV9"/>
    <mergeCell ref="B8:M8"/>
    <mergeCell ref="O8:AE8"/>
    <mergeCell ref="AG8:AI8"/>
    <mergeCell ref="AK8:BP9"/>
    <mergeCell ref="Z9:AA9"/>
    <mergeCell ref="B5:C5"/>
    <mergeCell ref="F5:G5"/>
    <mergeCell ref="H5:M5"/>
    <mergeCell ref="O5:Q5"/>
    <mergeCell ref="R5:W5"/>
    <mergeCell ref="B6:C6"/>
    <mergeCell ref="F6:G6"/>
    <mergeCell ref="H6:M6"/>
    <mergeCell ref="O6:Q6"/>
    <mergeCell ref="R6:W6"/>
    <mergeCell ref="A1:AE1"/>
    <mergeCell ref="V2:W2"/>
    <mergeCell ref="B4:C4"/>
    <mergeCell ref="F4:G4"/>
    <mergeCell ref="H4:M4"/>
    <mergeCell ref="O4:Q4"/>
    <mergeCell ref="R4:W4"/>
  </mergeCells>
  <phoneticPr fontId="63" type="noConversion"/>
  <conditionalFormatting sqref="G11:G126">
    <cfRule type="containsBlanks" dxfId="38" priority="62">
      <formula>LEN(TRIM(G11))=0</formula>
    </cfRule>
    <cfRule type="expression" dxfId="37" priority="61">
      <formula>AND(OR($F11="GD&amp;T",$F11="MAX",$F11="MIN"),$G11="")</formula>
    </cfRule>
    <cfRule type="expression" dxfId="36" priority="60">
      <formula>AND($F11&lt;&gt;"Tolerance",$G11&lt;&gt;"")</formula>
    </cfRule>
    <cfRule type="containsBlanks" dxfId="35" priority="59">
      <formula>LEN(TRIM(G11))=0</formula>
    </cfRule>
    <cfRule type="expression" dxfId="34" priority="58">
      <formula>AND(OR($F11="GD&amp;T",$F11="MAX",$F11="MIN"),$G11="")</formula>
    </cfRule>
    <cfRule type="expression" dxfId="33" priority="57">
      <formula>AND($F11&lt;&gt;"Tolerance",$G11&lt;&gt;"")</formula>
    </cfRule>
  </conditionalFormatting>
  <conditionalFormatting sqref="H11:H126">
    <cfRule type="expression" dxfId="32" priority="38">
      <formula>AND($D11="MIN",$F11&lt;&gt;"")</formula>
    </cfRule>
    <cfRule type="containsBlanks" dxfId="31" priority="40">
      <formula>LEN(TRIM(H11))=0</formula>
    </cfRule>
    <cfRule type="expression" dxfId="30" priority="39">
      <formula>AND($D11="MIN",$F11="")</formula>
    </cfRule>
  </conditionalFormatting>
  <conditionalFormatting sqref="I11:I126">
    <cfRule type="containsBlanks" dxfId="29" priority="49">
      <formula>LEN(TRIM(I11))=0</formula>
    </cfRule>
    <cfRule type="expression" dxfId="28" priority="48">
      <formula>AND(OR($D11="GD&amp;T",$D11="MAX"),$G11="")</formula>
    </cfRule>
    <cfRule type="expression" dxfId="27" priority="47">
      <formula>AND(OR($D11="GD&amp;T",$D11="MAX"),$G11&lt;&gt;"")</formula>
    </cfRule>
  </conditionalFormatting>
  <conditionalFormatting sqref="O11:Q16 AK11:BP16 O20:Q20 AK20:BP20 O24:Q50 AK24:BP50 O54:Q126 AK54:BP126">
    <cfRule type="expression" dxfId="26" priority="33">
      <formula>AND($L11&lt;&gt;"",$AK11&lt;&gt;"",O11&gt;$L11)</formula>
    </cfRule>
    <cfRule type="notContainsBlanks" dxfId="25" priority="34">
      <formula>LEN(TRIM(O11))&gt;0</formula>
    </cfRule>
  </conditionalFormatting>
  <conditionalFormatting sqref="R11:S11 V11:AC16 S12:S56 V20:AC20 V24:AC24 V54:AC56 V73:AC95 V107:AC116 V121:AC126 R12:R16 R20">
    <cfRule type="expression" dxfId="24" priority="63">
      <formula>AND($AD11&lt;0.966,$AD11&lt;&gt;"")</formula>
    </cfRule>
  </conditionalFormatting>
  <conditionalFormatting sqref="V11:X16 S11:S126 V20:X20 V24:X50 V54:X126">
    <cfRule type="notContainsBlanks" dxfId="23" priority="69">
      <formula>LEN(TRIM(S11))&gt;0</formula>
    </cfRule>
    <cfRule type="cellIs" dxfId="22" priority="67" operator="lessThan">
      <formula>$E11</formula>
    </cfRule>
  </conditionalFormatting>
  <conditionalFormatting sqref="V54:Y126 S11:S126 V24:Y50 V11:Y16 V20:Y20">
    <cfRule type="expression" dxfId="21" priority="56">
      <formula>$K11="Yes"</formula>
    </cfRule>
  </conditionalFormatting>
  <conditionalFormatting sqref="V117:AC120 R24:R50 V25:AC50 R54:R56 V57:AC72 R57:S126 V96:AC106">
    <cfRule type="expression" dxfId="20" priority="26">
      <formula>AND($AD24&lt;0.966,$AD24&lt;&gt;"")</formula>
    </cfRule>
  </conditionalFormatting>
  <conditionalFormatting sqref="Y11:Y16 Y20 Y24:Y50 Y54:Y126">
    <cfRule type="notContainsBlanks" dxfId="19" priority="68">
      <formula>LEN(TRIM(Y11))&gt;0</formula>
    </cfRule>
  </conditionalFormatting>
  <conditionalFormatting sqref="Y11:AC16 Y20:AC20 Y24:AC50 Y54:AC116">
    <cfRule type="containsBlanks" dxfId="18" priority="64">
      <formula>LEN(TRIM(Y11))=0</formula>
    </cfRule>
    <cfRule type="cellIs" dxfId="17" priority="65" operator="between">
      <formula>0.9</formula>
      <formula>0.998</formula>
    </cfRule>
    <cfRule type="cellIs" dxfId="16" priority="66" operator="greaterThanOrEqual">
      <formula>0.998</formula>
    </cfRule>
  </conditionalFormatting>
  <conditionalFormatting sqref="Y117:AC119">
    <cfRule type="cellIs" dxfId="15" priority="29" operator="greaterThanOrEqual">
      <formula>0.998</formula>
    </cfRule>
    <cfRule type="cellIs" dxfId="14" priority="28" operator="between">
      <formula>0.9</formula>
      <formula>0.998</formula>
    </cfRule>
    <cfRule type="containsBlanks" dxfId="13" priority="27">
      <formula>LEN(TRIM(Y117))=0</formula>
    </cfRule>
  </conditionalFormatting>
  <conditionalFormatting sqref="Y120:AC126">
    <cfRule type="containsBlanks" dxfId="12" priority="2">
      <formula>LEN(TRIM(Y120))=0</formula>
    </cfRule>
    <cfRule type="cellIs" dxfId="11" priority="3" operator="between">
      <formula>0.9</formula>
      <formula>0.998</formula>
    </cfRule>
    <cfRule type="cellIs" dxfId="10" priority="4" operator="greaterThanOrEqual">
      <formula>0.998</formula>
    </cfRule>
  </conditionalFormatting>
  <conditionalFormatting sqref="AD11:AE16 AD20:AE20 AD24:AE50 AD54:AE126">
    <cfRule type="expression" dxfId="9" priority="31">
      <formula>AND($AD11&lt;0.966,$AD11&lt;&gt;"")</formula>
    </cfRule>
  </conditionalFormatting>
  <conditionalFormatting sqref="AK11:BP16 AK20:BP20 AK24:BP50 AK54:BP126 O11:Q16 O20:Q20 O24:Q50 O54:Q126">
    <cfRule type="expression" dxfId="8" priority="32">
      <formula>AND($M11&lt;&gt;"",$AK11&lt;&gt;"",O11&lt;$M11)</formula>
    </cfRule>
  </conditionalFormatting>
  <conditionalFormatting sqref="AK11:BP16 AK20:BP20 AK24:BP50">
    <cfRule type="containsBlanks" dxfId="7" priority="30">
      <formula>LEN(TRIM(AK11))=0</formula>
    </cfRule>
  </conditionalFormatting>
  <conditionalFormatting sqref="AK54:BP126">
    <cfRule type="containsBlanks" dxfId="6" priority="1">
      <formula>LEN(TRIM(AK54))=0</formula>
    </cfRule>
  </conditionalFormatting>
  <conditionalFormatting sqref="BU11:BW16 BU20:BW20 BU24:BW50 BU54:BW126">
    <cfRule type="expression" dxfId="5" priority="7">
      <formula>AND($M11&lt;&gt;"",$AK11&lt;&gt;"",BU11&lt;$M11)</formula>
    </cfRule>
    <cfRule type="notContainsBlanks" dxfId="4" priority="9">
      <formula>LEN(TRIM(BU11))&gt;0</formula>
    </cfRule>
    <cfRule type="expression" dxfId="3" priority="8">
      <formula>AND($L11&lt;&gt;"",$AK11&lt;&gt;"",BU11&gt;$L11)</formula>
    </cfRule>
  </conditionalFormatting>
  <conditionalFormatting sqref="BX11:BX16 BX20 BX24:BX50 BX54:BX126">
    <cfRule type="endsWith" dxfId="2" priority="12" operator="endsWith" text="OOC">
      <formula>RIGHT(BX11,LEN("OOC"))="OOC"</formula>
    </cfRule>
    <cfRule type="endsWith" dxfId="1" priority="11" operator="endsWith" text="OOS">
      <formula>RIGHT(BX11,LEN("OOS"))="OOS"</formula>
    </cfRule>
    <cfRule type="endsWith" dxfId="0" priority="10" operator="endsWith" text="OK">
      <formula>RIGHT(BX11,LEN("OK"))="OK"</formula>
    </cfRule>
  </conditionalFormatting>
  <dataValidations count="3">
    <dataValidation type="list" allowBlank="1" showInputMessage="1" showErrorMessage="1" sqref="J11:J126" xr:uid="{399C3899-390B-4853-BA03-8799DB1C89D7}">
      <formula1>insp_meth</formula1>
    </dataValidation>
    <dataValidation type="list" allowBlank="1" showInputMessage="1" showErrorMessage="1" sqref="F11:F126" xr:uid="{B3174CFE-8745-412A-B96E-5177E7C3AF23}">
      <formula1>dim_type</formula1>
    </dataValidation>
    <dataValidation type="list" allowBlank="1" showInputMessage="1" showErrorMessage="1" sqref="K11:K126" xr:uid="{786EB0AF-940B-48BF-B032-8C399157E00D}">
      <formula1>gauging</formula1>
    </dataValidation>
  </dataValidations>
  <pageMargins left="0.75" right="0.75" top="1" bottom="1" header="0.5" footer="0.5"/>
  <pageSetup orientation="portrait" horizontalDpi="4294967292" verticalDpi="4294967292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7649" r:id="rId4" name="Button 1">
              <controlPr defaultSize="0" print="0" autoFill="0" autoPict="0" macro="[0]!updateNormality">
                <anchor moveWithCells="1" sizeWithCells="1">
                  <from>
                    <xdr:col>2</xdr:col>
                    <xdr:colOff>28575</xdr:colOff>
                    <xdr:row>1</xdr:row>
                    <xdr:rowOff>28575</xdr:rowOff>
                  </from>
                  <to>
                    <xdr:col>3</xdr:col>
                    <xdr:colOff>828675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0" r:id="rId5" name="Button 2">
              <controlPr defaultSize="0" print="0" autoFill="0" autoPict="0" macro="[0]!showAddShtFrm">
                <anchor moveWithCells="1" sizeWithCells="1">
                  <from>
                    <xdr:col>3</xdr:col>
                    <xdr:colOff>866775</xdr:colOff>
                    <xdr:row>1</xdr:row>
                    <xdr:rowOff>28575</xdr:rowOff>
                  </from>
                  <to>
                    <xdr:col>5</xdr:col>
                    <xdr:colOff>314325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1" r:id="rId6" name="Button 3">
              <controlPr defaultSize="0" print="0" autoFill="0" autoPict="0" macro="[0]!showExportFrm">
                <anchor moveWithCells="1" sizeWithCells="1">
                  <from>
                    <xdr:col>5</xdr:col>
                    <xdr:colOff>342900</xdr:colOff>
                    <xdr:row>1</xdr:row>
                    <xdr:rowOff>28575</xdr:rowOff>
                  </from>
                  <to>
                    <xdr:col>7</xdr:col>
                    <xdr:colOff>257175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2" r:id="rId7" name="Button 4">
              <controlPr defaultSize="0" print="0" autoFill="0" autoPict="0" macro="[0]!showImport">
                <anchor moveWithCells="1" sizeWithCells="1">
                  <from>
                    <xdr:col>7</xdr:col>
                    <xdr:colOff>295275</xdr:colOff>
                    <xdr:row>1</xdr:row>
                    <xdr:rowOff>28575</xdr:rowOff>
                  </from>
                  <to>
                    <xdr:col>9</xdr:col>
                    <xdr:colOff>295275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3" r:id="rId8" name="Button 5">
              <controlPr defaultSize="0" print="0" autoFill="0" autoPict="0" macro="[0]!detectOutliers">
                <anchor moveWithCells="1" sizeWithCells="1">
                  <from>
                    <xdr:col>10</xdr:col>
                    <xdr:colOff>28575</xdr:colOff>
                    <xdr:row>1</xdr:row>
                    <xdr:rowOff>28575</xdr:rowOff>
                  </from>
                  <to>
                    <xdr:col>12</xdr:col>
                    <xdr:colOff>228600</xdr:colOff>
                    <xdr:row>3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"/>
  <dimension ref="C1:C3"/>
  <sheetViews>
    <sheetView zoomScale="150" workbookViewId="0">
      <selection activeCell="L2" sqref="L2:L3"/>
    </sheetView>
  </sheetViews>
  <sheetFormatPr defaultColWidth="8.44140625" defaultRowHeight="17.25"/>
  <cols>
    <col min="1" max="1" width="8.44140625" style="6"/>
    <col min="2" max="2" width="8.44140625" style="6" customWidth="1"/>
    <col min="3" max="16384" width="8.44140625" style="6"/>
  </cols>
  <sheetData>
    <row r="1" spans="3:3" ht="20.25" customHeight="1">
      <c r="C1" s="5"/>
    </row>
    <row r="2" spans="3:3" ht="20.25" customHeight="1">
      <c r="C2" s="5"/>
    </row>
    <row r="3" spans="3:3" ht="20.25" customHeight="1">
      <c r="C3" s="5"/>
    </row>
  </sheetData>
  <phoneticPr fontId="43" type="noConversion"/>
  <pageMargins left="0.75" right="0.75" top="1" bottom="1" header="0.5" footer="0.5"/>
  <pageSetup orientation="portrait" horizontalDpi="4294967292" verticalDpi="4294967292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Button 1">
              <controlPr defaultSize="0" print="0" autoFill="0" autoPict="0" macro="[0]!showUF">
                <anchor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4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4" name="Button 2">
              <controlPr defaultSize="0" print="0" autoFill="0" autoPict="0" macro="[0]!updateCircles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5" name="Button 3">
              <controlPr defaultSize="0" print="0" autoFill="0" autoPict="0" macro="[0]!showClear">
                <anchor moveWithCells="1" sizeWithCells="1">
                  <from>
                    <xdr:col>5</xdr:col>
                    <xdr:colOff>85725</xdr:colOff>
                    <xdr:row>0</xdr:row>
                    <xdr:rowOff>0</xdr:rowOff>
                  </from>
                  <to>
                    <xdr:col>7</xdr:col>
                    <xdr:colOff>333375</xdr:colOff>
                    <xdr:row>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/>
  <dimension ref="A1:D18"/>
  <sheetViews>
    <sheetView workbookViewId="0">
      <selection activeCell="L2" sqref="L2:L3"/>
    </sheetView>
  </sheetViews>
  <sheetFormatPr defaultColWidth="10.44140625" defaultRowHeight="17.25"/>
  <cols>
    <col min="1" max="2" width="10.44140625" style="53"/>
    <col min="3" max="3" width="11.44140625" style="53" customWidth="1"/>
    <col min="4" max="4" width="92" style="54" customWidth="1"/>
  </cols>
  <sheetData>
    <row r="1" spans="1:4" ht="26.25">
      <c r="A1" s="256" t="s">
        <v>53</v>
      </c>
      <c r="B1" s="256"/>
      <c r="C1" s="256"/>
      <c r="D1" s="256"/>
    </row>
    <row r="3" spans="1:4">
      <c r="A3" s="51" t="s">
        <v>49</v>
      </c>
      <c r="B3" s="51" t="s">
        <v>50</v>
      </c>
      <c r="C3" s="51" t="s">
        <v>51</v>
      </c>
      <c r="D3" s="52" t="s">
        <v>52</v>
      </c>
    </row>
    <row r="4" spans="1:4">
      <c r="A4" s="53">
        <v>1</v>
      </c>
      <c r="B4" s="76">
        <v>41649</v>
      </c>
      <c r="C4" s="53" t="s">
        <v>54</v>
      </c>
      <c r="D4" s="54" t="s">
        <v>55</v>
      </c>
    </row>
    <row r="5" spans="1:4" ht="172.5">
      <c r="A5" s="53">
        <v>2</v>
      </c>
      <c r="B5" s="76">
        <v>41742</v>
      </c>
      <c r="C5" s="53" t="s">
        <v>54</v>
      </c>
      <c r="D5" s="55" t="s">
        <v>66</v>
      </c>
    </row>
    <row r="6" spans="1:4" ht="34.5">
      <c r="A6" s="53">
        <v>2.1</v>
      </c>
      <c r="B6" s="76">
        <v>41751</v>
      </c>
      <c r="C6" s="53" t="s">
        <v>54</v>
      </c>
      <c r="D6" s="55" t="s">
        <v>69</v>
      </c>
    </row>
    <row r="7" spans="1:4" ht="34.5">
      <c r="A7" s="53">
        <v>2.2000000000000002</v>
      </c>
      <c r="B7" s="76">
        <v>41772</v>
      </c>
      <c r="C7" s="53" t="s">
        <v>54</v>
      </c>
      <c r="D7" s="55" t="s">
        <v>70</v>
      </c>
    </row>
    <row r="8" spans="1:4">
      <c r="A8" s="53">
        <v>2.2999999999999998</v>
      </c>
      <c r="B8" s="76">
        <v>41779</v>
      </c>
      <c r="C8" s="53" t="s">
        <v>54</v>
      </c>
      <c r="D8" s="55" t="s">
        <v>73</v>
      </c>
    </row>
    <row r="9" spans="1:4">
      <c r="A9" s="53">
        <v>2.4</v>
      </c>
      <c r="B9" s="76"/>
      <c r="C9" s="53" t="s">
        <v>54</v>
      </c>
      <c r="D9" s="54" t="s">
        <v>74</v>
      </c>
    </row>
    <row r="10" spans="1:4" ht="189.75">
      <c r="A10" s="53">
        <v>3</v>
      </c>
      <c r="B10" s="76">
        <v>42242</v>
      </c>
      <c r="C10" s="53" t="s">
        <v>54</v>
      </c>
      <c r="D10" s="55" t="s">
        <v>82</v>
      </c>
    </row>
    <row r="11" spans="1:4" ht="86.25">
      <c r="A11" s="53">
        <v>3.1</v>
      </c>
      <c r="B11" s="76">
        <v>42249</v>
      </c>
      <c r="C11" s="53" t="s">
        <v>54</v>
      </c>
      <c r="D11" s="55" t="s">
        <v>83</v>
      </c>
    </row>
    <row r="12" spans="1:4" ht="51.75">
      <c r="A12" s="53">
        <v>3.2</v>
      </c>
      <c r="B12" s="76">
        <v>42291</v>
      </c>
      <c r="C12" s="53" t="s">
        <v>54</v>
      </c>
      <c r="D12" s="55" t="s">
        <v>84</v>
      </c>
    </row>
    <row r="13" spans="1:4" ht="34.5">
      <c r="A13" s="53">
        <v>3.3</v>
      </c>
      <c r="B13" s="76">
        <v>42297</v>
      </c>
      <c r="C13" s="53" t="s">
        <v>54</v>
      </c>
      <c r="D13" s="55" t="s">
        <v>85</v>
      </c>
    </row>
    <row r="14" spans="1:4">
      <c r="A14" s="53">
        <v>3.4</v>
      </c>
      <c r="B14" s="76">
        <v>42922</v>
      </c>
      <c r="C14" s="53" t="s">
        <v>88</v>
      </c>
      <c r="D14" s="55" t="s">
        <v>95</v>
      </c>
    </row>
    <row r="15" spans="1:4" ht="34.5">
      <c r="A15" s="53">
        <v>4</v>
      </c>
      <c r="B15" s="76">
        <v>42925</v>
      </c>
      <c r="C15" s="53" t="s">
        <v>88</v>
      </c>
      <c r="D15" s="55" t="s">
        <v>94</v>
      </c>
    </row>
    <row r="16" spans="1:4" ht="34.5">
      <c r="A16" s="53">
        <v>4.0999999999999996</v>
      </c>
      <c r="B16" s="76" t="s">
        <v>93</v>
      </c>
      <c r="C16" s="53" t="s">
        <v>88</v>
      </c>
      <c r="D16" s="55" t="s">
        <v>92</v>
      </c>
    </row>
    <row r="17" spans="1:4" ht="34.5">
      <c r="A17" s="53">
        <v>4.2</v>
      </c>
      <c r="B17" s="76" t="s">
        <v>91</v>
      </c>
      <c r="C17" s="53" t="s">
        <v>88</v>
      </c>
      <c r="D17" s="55" t="s">
        <v>90</v>
      </c>
    </row>
    <row r="18" spans="1:4" ht="34.5">
      <c r="A18" s="53">
        <v>4.3</v>
      </c>
      <c r="B18" s="76" t="s">
        <v>89</v>
      </c>
      <c r="C18" s="53" t="s">
        <v>88</v>
      </c>
      <c r="D18" s="55" t="s">
        <v>87</v>
      </c>
    </row>
  </sheetData>
  <mergeCells count="1">
    <mergeCell ref="A1:D1"/>
  </mergeCells>
  <phoneticPr fontId="43" type="noConversion"/>
  <pageMargins left="0.75" right="0.75" top="1" bottom="1" header="0.5" footer="0.5"/>
  <pageSetup orientation="portrait" horizontalDpi="4294967292" verticalDpi="4294967292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3"/>
  <dimension ref="A1:L13"/>
  <sheetViews>
    <sheetView workbookViewId="0">
      <selection activeCell="L2" sqref="L2:L3"/>
    </sheetView>
  </sheetViews>
  <sheetFormatPr defaultColWidth="11" defaultRowHeight="17.25"/>
  <cols>
    <col min="4" max="4" width="11.44140625" customWidth="1"/>
    <col min="8" max="8" width="20" style="20" customWidth="1"/>
    <col min="9" max="9" width="10.44140625" style="20"/>
    <col min="10" max="10" width="16" style="20" customWidth="1"/>
  </cols>
  <sheetData>
    <row r="1" spans="1:12" ht="51.75">
      <c r="A1" s="257" t="s">
        <v>27</v>
      </c>
      <c r="B1" s="257"/>
      <c r="H1" s="23" t="s">
        <v>28</v>
      </c>
      <c r="I1" s="24"/>
      <c r="J1" s="23" t="s">
        <v>40</v>
      </c>
      <c r="L1" s="23" t="s">
        <v>78</v>
      </c>
    </row>
    <row r="2" spans="1:12">
      <c r="A2" s="20" t="s">
        <v>46</v>
      </c>
      <c r="B2" s="20" t="s">
        <v>47</v>
      </c>
      <c r="H2" s="20" t="s">
        <v>29</v>
      </c>
      <c r="J2" s="20" t="s">
        <v>44</v>
      </c>
      <c r="L2" s="20" t="s">
        <v>79</v>
      </c>
    </row>
    <row r="3" spans="1:12">
      <c r="H3" s="20" t="s">
        <v>30</v>
      </c>
      <c r="J3" s="20" t="s">
        <v>41</v>
      </c>
      <c r="L3" s="20" t="s">
        <v>80</v>
      </c>
    </row>
    <row r="4" spans="1:12">
      <c r="H4" s="20" t="s">
        <v>31</v>
      </c>
      <c r="J4" s="20" t="s">
        <v>42</v>
      </c>
      <c r="L4" s="20"/>
    </row>
    <row r="5" spans="1:12">
      <c r="H5" s="20" t="s">
        <v>12</v>
      </c>
      <c r="J5" s="20" t="s">
        <v>43</v>
      </c>
      <c r="L5" s="20"/>
    </row>
    <row r="6" spans="1:12">
      <c r="H6" s="20" t="s">
        <v>32</v>
      </c>
    </row>
    <row r="7" spans="1:12">
      <c r="H7" s="20" t="s">
        <v>33</v>
      </c>
    </row>
    <row r="8" spans="1:12">
      <c r="H8" s="20" t="s">
        <v>34</v>
      </c>
    </row>
    <row r="9" spans="1:12">
      <c r="H9" s="20" t="s">
        <v>35</v>
      </c>
    </row>
    <row r="10" spans="1:12">
      <c r="H10" s="20" t="s">
        <v>36</v>
      </c>
    </row>
    <row r="11" spans="1:12">
      <c r="H11" s="20" t="s">
        <v>37</v>
      </c>
    </row>
    <row r="12" spans="1:12">
      <c r="H12" s="20" t="s">
        <v>38</v>
      </c>
    </row>
    <row r="13" spans="1:12">
      <c r="H13" s="20" t="s">
        <v>39</v>
      </c>
    </row>
  </sheetData>
  <mergeCells count="1">
    <mergeCell ref="A1:B1"/>
  </mergeCells>
  <phoneticPr fontId="43" type="noConversion"/>
  <pageMargins left="0.75" right="0.75" top="1" bottom="1" header="0.5" footer="0.5"/>
  <pageSetup orientation="portrait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OQC</vt:lpstr>
      <vt:lpstr>OOC</vt:lpstr>
      <vt:lpstr>1Cav기존</vt:lpstr>
      <vt:lpstr>2Cav기존</vt:lpstr>
      <vt:lpstr>3Cav기존</vt:lpstr>
      <vt:lpstr>4Cav기존</vt:lpstr>
      <vt:lpstr>Drawing</vt:lpstr>
      <vt:lpstr>Revision</vt:lpstr>
      <vt:lpstr>Setup</vt:lpstr>
    </vt:vector>
  </TitlesOfParts>
  <Company>Apple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Lucier</dc:creator>
  <cp:lastModifiedBy>Winter Test</cp:lastModifiedBy>
  <dcterms:created xsi:type="dcterms:W3CDTF">2012-05-22T11:55:56Z</dcterms:created>
  <dcterms:modified xsi:type="dcterms:W3CDTF">2026-01-12T07:11:39Z</dcterms:modified>
</cp:coreProperties>
</file>