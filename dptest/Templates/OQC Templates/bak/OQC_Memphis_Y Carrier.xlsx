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Users\Winter Test\Desktop\oqc templates\"/>
    </mc:Choice>
  </mc:AlternateContent>
  <xr:revisionPtr revIDLastSave="0" documentId="8_{733D001C-B912-4417-8AB8-21E2CA231F9D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33" r:id="rId1"/>
    <sheet name="Cav 1기존" sheetId="7" state="hidden" r:id="rId2"/>
    <sheet name="Drawing" sheetId="2" state="hidden" r:id="rId3"/>
    <sheet name="Revision" sheetId="4" state="hidden" r:id="rId4"/>
    <sheet name="Cav 2기존" sheetId="26" state="hidden" r:id="rId5"/>
    <sheet name="Cav 3기존" sheetId="28" state="hidden" r:id="rId6"/>
    <sheet name="Cav 4기존" sheetId="30" state="hidden" r:id="rId7"/>
    <sheet name="OOC" sheetId="32" state="hidden" r:id="rId8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123Graph_B" hidden="1">#REF!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localSheetId="0" hidden="1">#REF!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localSheetId="0" hidden="1">0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" localSheetId="0" hidden="1">#REF!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localSheetId="0" hidden="1">{#N/A,#N/A,FALSE,"원가검토서"}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MMVersion" localSheetId="1">'Cav 1기존'!$R$6</definedName>
    <definedName name="CMMVersion" localSheetId="4">'Cav 2기존'!$R$6</definedName>
    <definedName name="CMMVersion" localSheetId="5">'Cav 3기존'!$R$6</definedName>
    <definedName name="CMMVersion" localSheetId="6">'Cav 4기존'!$R$6</definedName>
    <definedName name="CMMVersion" localSheetId="7">OOC!#REF!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0" hidden="1">{#N/A,#N/A,FALSE,"원가검토서"}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0" hidden="1">{#N/A,#N/A,FALSE,"원가검토서"}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0" hidden="1">{#N/A,#N/A,FALSE,"원가검토서"}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im_type" localSheetId="7">#REF!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0" hidden="1">{#N/A,#N/A,FALSE,"원가검토서"}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localSheetId="0" hidden="1">{#N/A,#N/A,FALSE,"원가검토서"}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localSheetId="0" hidden="1">{#N/A,#N/A,FALSE,"원가검토서"}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auging" localSheetId="7">#REF!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localSheetId="0" hidden="1">{#N/A,#N/A,FALSE,"원가검토서"}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p_meth" localSheetId="7">#REF!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localSheetId="0" hidden="1">{#N/A,#N/A,FALSE,"원가검토서"}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 hidden="1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0" hidden="1">{#N/A,#N/A,FALSE,"원가검토서"}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0" hidden="1">{#N/A,#N/A,FALSE,"원가검토서"}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87557640_3C8C_11D4_8266_00A0245DE547_.wvu.PrintArea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0" hidden="1">{#N/A,#N/A,FALSE,"원가검토서"}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localSheetId="0" hidden="1">{#N/A,#N/A,FALSE,"원가검토서"}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localSheetId="0" hidden="1">{#N/A,#N/A,FALSE,"원가검토서"}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localSheetId="0" hidden="1">{#N/A,#N/A,FALSE,"원가검토서"}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localSheetId="0" hidden="1">{#N/A,#N/A,FALSE,"원가검토서"}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localSheetId="0" hidden="1">{#N/A,#N/A,FALSE,"원가검토서"}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0" hidden="1">{#N/A,#N/A,FALSE,"원가검토서"}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33" l="1" a="1"/>
  <c r="AK2" i="33" s="1"/>
  <c r="CE10" i="33" a="1"/>
  <c r="CE10" i="33" s="1"/>
  <c r="BU40" i="33" a="1"/>
  <c r="BU40" i="33" s="1"/>
  <c r="BY40" i="33" s="1" a="1"/>
  <c r="BY40" i="33" s="1"/>
  <c r="CD39" i="33"/>
  <c r="CC39" i="33"/>
  <c r="CB39" i="33"/>
  <c r="CA39" i="33"/>
  <c r="BU39" i="33" a="1"/>
  <c r="BU39" i="33" s="1"/>
  <c r="BY39" i="33" s="1" a="1"/>
  <c r="BY39" i="33" s="1"/>
  <c r="CD38" i="33"/>
  <c r="CC38" i="33"/>
  <c r="CB38" i="33"/>
  <c r="CA38" i="33"/>
  <c r="BU38" i="33" a="1"/>
  <c r="BU38" i="33" s="1"/>
  <c r="BY38" i="33" s="1" a="1"/>
  <c r="BY38" i="33" s="1"/>
  <c r="CD37" i="33"/>
  <c r="CC37" i="33"/>
  <c r="CB37" i="33"/>
  <c r="CA37" i="33"/>
  <c r="BU37" i="33" a="1"/>
  <c r="BU37" i="33" s="1"/>
  <c r="BY37" i="33" s="1" a="1"/>
  <c r="BY37" i="33" s="1"/>
  <c r="CD36" i="33"/>
  <c r="CC36" i="33"/>
  <c r="CB36" i="33"/>
  <c r="CA36" i="33"/>
  <c r="BU36" i="33" a="1"/>
  <c r="BU36" i="33" s="1"/>
  <c r="BY36" i="33" s="1" a="1"/>
  <c r="BY36" i="33" s="1"/>
  <c r="CD35" i="33"/>
  <c r="CC35" i="33"/>
  <c r="CB35" i="33"/>
  <c r="CA35" i="33"/>
  <c r="BU35" i="33" a="1"/>
  <c r="BU35" i="33" s="1"/>
  <c r="BY35" i="33" s="1" a="1"/>
  <c r="BY35" i="33" s="1"/>
  <c r="CD34" i="33"/>
  <c r="CC34" i="33"/>
  <c r="CB34" i="33"/>
  <c r="CA34" i="33"/>
  <c r="BU34" i="33" a="1"/>
  <c r="BU34" i="33" s="1"/>
  <c r="BY34" i="33" s="1" a="1"/>
  <c r="BY34" i="33" s="1"/>
  <c r="CD33" i="33"/>
  <c r="CC33" i="33"/>
  <c r="CB33" i="33"/>
  <c r="CA33" i="33"/>
  <c r="BU33" i="33" a="1"/>
  <c r="BU33" i="33" s="1"/>
  <c r="BY33" i="33" s="1" a="1"/>
  <c r="BY33" i="33" s="1"/>
  <c r="CD32" i="33"/>
  <c r="CC32" i="33"/>
  <c r="CB32" i="33"/>
  <c r="CA32" i="33"/>
  <c r="BU32" i="33" a="1"/>
  <c r="BU32" i="33" s="1"/>
  <c r="BY32" i="33" s="1" a="1"/>
  <c r="BY32" i="33" s="1"/>
  <c r="CD31" i="33"/>
  <c r="CC31" i="33"/>
  <c r="CB31" i="33"/>
  <c r="CA31" i="33"/>
  <c r="BU31" i="33" a="1"/>
  <c r="BU31" i="33" s="1"/>
  <c r="BY31" i="33" s="1" a="1"/>
  <c r="BY31" i="33" s="1"/>
  <c r="CD30" i="33"/>
  <c r="CC30" i="33"/>
  <c r="CB30" i="33"/>
  <c r="CA30" i="33"/>
  <c r="BU30" i="33" a="1"/>
  <c r="BU30" i="33" s="1"/>
  <c r="BY30" i="33" s="1" a="1"/>
  <c r="BY30" i="33" s="1"/>
  <c r="CD29" i="33"/>
  <c r="CC29" i="33"/>
  <c r="CB29" i="33"/>
  <c r="CA29" i="33"/>
  <c r="BU29" i="33" a="1"/>
  <c r="BU29" i="33" s="1"/>
  <c r="BY29" i="33" s="1" a="1"/>
  <c r="BY29" i="33" s="1"/>
  <c r="CD28" i="33"/>
  <c r="CC28" i="33"/>
  <c r="CB28" i="33"/>
  <c r="CA28" i="33"/>
  <c r="BU28" i="33" a="1"/>
  <c r="BU28" i="33" s="1"/>
  <c r="BY28" i="33" s="1" a="1"/>
  <c r="BY28" i="33" s="1"/>
  <c r="CD27" i="33"/>
  <c r="CC27" i="33"/>
  <c r="CB27" i="33"/>
  <c r="CA27" i="33"/>
  <c r="BU27" i="33" a="1"/>
  <c r="BU27" i="33" s="1"/>
  <c r="BY27" i="33" s="1" a="1"/>
  <c r="BY27" i="33" s="1"/>
  <c r="CD26" i="33"/>
  <c r="CC26" i="33"/>
  <c r="CB26" i="33"/>
  <c r="CA26" i="33"/>
  <c r="BU26" i="33" a="1"/>
  <c r="BU26" i="33" s="1"/>
  <c r="BY26" i="33" s="1" a="1"/>
  <c r="BY26" i="33" s="1"/>
  <c r="CD25" i="33"/>
  <c r="CC25" i="33"/>
  <c r="CB25" i="33"/>
  <c r="CA25" i="33"/>
  <c r="BU25" i="33" a="1"/>
  <c r="BU25" i="33" s="1"/>
  <c r="BY25" i="33" s="1" a="1"/>
  <c r="BY25" i="33" s="1"/>
  <c r="CD24" i="33"/>
  <c r="CC24" i="33"/>
  <c r="CB24" i="33"/>
  <c r="CA24" i="33"/>
  <c r="BU24" i="33" a="1"/>
  <c r="BU24" i="33" s="1"/>
  <c r="BY24" i="33" s="1" a="1"/>
  <c r="BY24" i="33" s="1"/>
  <c r="CD23" i="33"/>
  <c r="CC23" i="33"/>
  <c r="CB23" i="33"/>
  <c r="CA23" i="33"/>
  <c r="BU23" i="33" a="1"/>
  <c r="BU23" i="33" s="1"/>
  <c r="BY23" i="33" s="1" a="1"/>
  <c r="BY23" i="33" s="1"/>
  <c r="CD22" i="33"/>
  <c r="CC22" i="33"/>
  <c r="CB22" i="33"/>
  <c r="CA22" i="33"/>
  <c r="BU22" i="33" a="1"/>
  <c r="BU22" i="33" s="1"/>
  <c r="BY22" i="33" s="1" a="1"/>
  <c r="BY22" i="33" s="1"/>
  <c r="CD21" i="33"/>
  <c r="CC21" i="33"/>
  <c r="CB21" i="33"/>
  <c r="CA21" i="33"/>
  <c r="BU21" i="33" a="1"/>
  <c r="BU21" i="33" s="1"/>
  <c r="BY21" i="33" s="1" a="1"/>
  <c r="BY21" i="33" s="1"/>
  <c r="CD20" i="33"/>
  <c r="CC20" i="33"/>
  <c r="CB20" i="33"/>
  <c r="CA20" i="33"/>
  <c r="BU20" i="33" a="1"/>
  <c r="BU20" i="33" s="1"/>
  <c r="BY20" i="33" s="1" a="1"/>
  <c r="BY20" i="33" s="1"/>
  <c r="CD19" i="33"/>
  <c r="CC19" i="33"/>
  <c r="CB19" i="33"/>
  <c r="CA19" i="33"/>
  <c r="BU19" i="33" a="1"/>
  <c r="BU19" i="33" s="1"/>
  <c r="BY19" i="33" s="1" a="1"/>
  <c r="BY19" i="33" s="1"/>
  <c r="CD18" i="33"/>
  <c r="CC18" i="33"/>
  <c r="CB18" i="33"/>
  <c r="CA18" i="33"/>
  <c r="BU18" i="33" a="1"/>
  <c r="BU18" i="33" s="1"/>
  <c r="BY18" i="33" s="1" a="1"/>
  <c r="BY18" i="33" s="1"/>
  <c r="BS10" i="33" a="1"/>
  <c r="BS10" i="33" s="1"/>
  <c r="BT10" i="33" s="1" a="1"/>
  <c r="BT10" i="33" s="1"/>
  <c r="AK4" i="33" s="1" a="1"/>
  <c r="AK4" i="33" s="1"/>
  <c r="BQ10" i="33" a="1"/>
  <c r="BQ10" i="33" s="1"/>
  <c r="BR10" i="33" s="1" a="1"/>
  <c r="H164" i="32"/>
  <c r="G164" i="32"/>
  <c r="H163" i="32"/>
  <c r="G163" i="32"/>
  <c r="H162" i="32"/>
  <c r="G162" i="32"/>
  <c r="H161" i="32"/>
  <c r="G161" i="32"/>
  <c r="H160" i="32"/>
  <c r="G160" i="32"/>
  <c r="H159" i="32"/>
  <c r="G159" i="32"/>
  <c r="H158" i="32"/>
  <c r="G158" i="32"/>
  <c r="H157" i="32"/>
  <c r="G157" i="32"/>
  <c r="H156" i="32"/>
  <c r="G156" i="32"/>
  <c r="H155" i="32"/>
  <c r="G155" i="32"/>
  <c r="H154" i="32"/>
  <c r="G154" i="32"/>
  <c r="H153" i="32"/>
  <c r="G153" i="32"/>
  <c r="H152" i="32"/>
  <c r="G152" i="32"/>
  <c r="AG7" i="32"/>
  <c r="AI144" i="32" s="1"/>
  <c r="AB7" i="32"/>
  <c r="AD18" i="32" s="1"/>
  <c r="AF18" i="32" s="1"/>
  <c r="W7" i="32"/>
  <c r="X245" i="32" s="1"/>
  <c r="Z245" i="32" s="1"/>
  <c r="R7" i="32"/>
  <c r="T12" i="32" s="1"/>
  <c r="AI213" i="32"/>
  <c r="AH213" i="32"/>
  <c r="AD213" i="32"/>
  <c r="AC213" i="32"/>
  <c r="Y213" i="32"/>
  <c r="X213" i="32"/>
  <c r="T213" i="32"/>
  <c r="S213" i="32"/>
  <c r="AI212" i="32"/>
  <c r="AH212" i="32"/>
  <c r="AD212" i="32"/>
  <c r="AC212" i="32"/>
  <c r="Y212" i="32"/>
  <c r="X212" i="32"/>
  <c r="T212" i="32"/>
  <c r="S212" i="32"/>
  <c r="BU16" i="33" l="1" a="1"/>
  <c r="BU16" i="33" s="1"/>
  <c r="BU11" i="33" a="1"/>
  <c r="BU11" i="33" s="1"/>
  <c r="BU12" i="33" a="1"/>
  <c r="BU12" i="33" s="1"/>
  <c r="BR10" i="33"/>
  <c r="AK5" i="33" s="1" a="1"/>
  <c r="AK5" i="33" s="1"/>
  <c r="BU13" i="33" a="1"/>
  <c r="BU13" i="33" s="1"/>
  <c r="BU17" i="33" a="1"/>
  <c r="BU17" i="33" s="1"/>
  <c r="BU14" i="33" a="1"/>
  <c r="BU14" i="33" s="1"/>
  <c r="BU15" i="33" a="1"/>
  <c r="BU15" i="33" s="1"/>
  <c r="AH45" i="32"/>
  <c r="AJ213" i="32"/>
  <c r="Z212" i="32"/>
  <c r="Z213" i="32"/>
  <c r="AA213" i="32"/>
  <c r="X24" i="32"/>
  <c r="Z24" i="32" s="1"/>
  <c r="Y69" i="32"/>
  <c r="AA69" i="32" s="1"/>
  <c r="AH70" i="32"/>
  <c r="AJ70" i="32" s="1"/>
  <c r="AH59" i="32"/>
  <c r="AJ59" i="32" s="1"/>
  <c r="AI98" i="32"/>
  <c r="AK98" i="32" s="1"/>
  <c r="AH16" i="32"/>
  <c r="AJ16" i="32" s="1"/>
  <c r="AI114" i="32"/>
  <c r="AK114" i="32" s="1"/>
  <c r="AI112" i="32"/>
  <c r="AK112" i="32" s="1"/>
  <c r="AI16" i="32"/>
  <c r="AK16" i="32" s="1"/>
  <c r="AI149" i="32"/>
  <c r="AK149" i="32" s="1"/>
  <c r="AI20" i="32"/>
  <c r="AK20" i="32" s="1"/>
  <c r="AH156" i="32"/>
  <c r="AI206" i="32"/>
  <c r="AK206" i="32" s="1"/>
  <c r="AH24" i="32"/>
  <c r="AJ24" i="32" s="1"/>
  <c r="AI44" i="32"/>
  <c r="AK44" i="32" s="1"/>
  <c r="Y164" i="32"/>
  <c r="T165" i="32"/>
  <c r="X164" i="32"/>
  <c r="Y58" i="32"/>
  <c r="AI165" i="32"/>
  <c r="S165" i="32"/>
  <c r="AH165" i="32"/>
  <c r="T164" i="32"/>
  <c r="X16" i="32"/>
  <c r="Z16" i="32" s="1"/>
  <c r="AI164" i="32"/>
  <c r="S164" i="32"/>
  <c r="AD165" i="32"/>
  <c r="AH164" i="32"/>
  <c r="AC165" i="32"/>
  <c r="AD164" i="32"/>
  <c r="Y165" i="32"/>
  <c r="AC164" i="32"/>
  <c r="X165" i="32"/>
  <c r="X37" i="32"/>
  <c r="Z37" i="32" s="1"/>
  <c r="X12" i="32"/>
  <c r="Z12" i="32" s="1"/>
  <c r="X204" i="32"/>
  <c r="Z204" i="32" s="1"/>
  <c r="Y16" i="32"/>
  <c r="AA16" i="32" s="1"/>
  <c r="X59" i="32"/>
  <c r="Z59" i="32" s="1"/>
  <c r="Y19" i="32"/>
  <c r="AA19" i="32" s="1"/>
  <c r="X20" i="32"/>
  <c r="Z20" i="32" s="1"/>
  <c r="X83" i="32"/>
  <c r="Z83" i="32" s="1"/>
  <c r="X252" i="32"/>
  <c r="Z252" i="32" s="1"/>
  <c r="X293" i="32"/>
  <c r="Z293" i="32" s="1"/>
  <c r="AA212" i="32"/>
  <c r="AK213" i="32"/>
  <c r="AE212" i="32"/>
  <c r="AK144" i="32"/>
  <c r="AJ45" i="32"/>
  <c r="AF212" i="32"/>
  <c r="AA58" i="32"/>
  <c r="AH145" i="32"/>
  <c r="AJ212" i="32"/>
  <c r="AI310" i="32"/>
  <c r="AK310" i="32" s="1"/>
  <c r="AI23" i="32"/>
  <c r="AK23" i="32" s="1"/>
  <c r="AH196" i="32"/>
  <c r="AH69" i="32"/>
  <c r="AH12" i="32"/>
  <c r="AI29" i="32"/>
  <c r="AE213" i="32"/>
  <c r="AK212" i="32"/>
  <c r="AI12" i="32"/>
  <c r="AI32" i="32"/>
  <c r="AH84" i="32"/>
  <c r="AF213" i="32"/>
  <c r="AH36" i="32"/>
  <c r="AH98" i="32"/>
  <c r="S31" i="32"/>
  <c r="Y20" i="32"/>
  <c r="AH61" i="32"/>
  <c r="Y87" i="32"/>
  <c r="AA87" i="32" s="1"/>
  <c r="AH21" i="32"/>
  <c r="AJ21" i="32" s="1"/>
  <c r="AH48" i="32"/>
  <c r="AH88" i="32"/>
  <c r="AJ88" i="32" s="1"/>
  <c r="AI119" i="32"/>
  <c r="AK119" i="32" s="1"/>
  <c r="X211" i="32"/>
  <c r="Y14" i="32"/>
  <c r="AH17" i="32"/>
  <c r="AJ17" i="32" s="1"/>
  <c r="AI21" i="32"/>
  <c r="AK21" i="32" s="1"/>
  <c r="AH25" i="32"/>
  <c r="Y34" i="32"/>
  <c r="T41" i="32"/>
  <c r="X50" i="32"/>
  <c r="X63" i="32"/>
  <c r="Y91" i="32"/>
  <c r="AI102" i="32"/>
  <c r="AI120" i="32"/>
  <c r="AK120" i="32" s="1"/>
  <c r="AH161" i="32"/>
  <c r="Y31" i="32"/>
  <c r="X113" i="32"/>
  <c r="Z113" i="32" s="1"/>
  <c r="X38" i="32"/>
  <c r="AD71" i="32"/>
  <c r="Y25" i="32"/>
  <c r="T73" i="32"/>
  <c r="S17" i="32"/>
  <c r="U17" i="32" s="1"/>
  <c r="Y73" i="32"/>
  <c r="X11" i="32"/>
  <c r="T22" i="32"/>
  <c r="V22" i="32" s="1"/>
  <c r="X41" i="32"/>
  <c r="X65" i="32"/>
  <c r="T93" i="32"/>
  <c r="Y11" i="32"/>
  <c r="T15" i="32"/>
  <c r="W15" i="33" s="1"/>
  <c r="X18" i="32"/>
  <c r="Z18" i="32" s="1"/>
  <c r="Y22" i="32"/>
  <c r="AA22" i="32" s="1"/>
  <c r="Y26" i="32"/>
  <c r="S35" i="32"/>
  <c r="U35" i="32" s="1"/>
  <c r="AI41" i="32"/>
  <c r="X53" i="32"/>
  <c r="AI65" i="32"/>
  <c r="X77" i="32"/>
  <c r="Z77" i="32" s="1"/>
  <c r="Y94" i="32"/>
  <c r="AA94" i="32" s="1"/>
  <c r="AH106" i="32"/>
  <c r="X133" i="32"/>
  <c r="X170" i="32"/>
  <c r="AH229" i="32"/>
  <c r="AJ229" i="32" s="1"/>
  <c r="X46" i="32"/>
  <c r="Y85" i="32"/>
  <c r="X60" i="32"/>
  <c r="X21" i="32"/>
  <c r="Z21" i="32" s="1"/>
  <c r="S102" i="32"/>
  <c r="S41" i="32"/>
  <c r="S15" i="32"/>
  <c r="AI17" i="32"/>
  <c r="AK17" i="32" s="1"/>
  <c r="AH51" i="32"/>
  <c r="AH76" i="32"/>
  <c r="T105" i="32"/>
  <c r="AH162" i="32"/>
  <c r="AI11" i="32"/>
  <c r="X15" i="32"/>
  <c r="Y18" i="32"/>
  <c r="AA18" i="32" s="1"/>
  <c r="AH22" i="32"/>
  <c r="AJ22" i="32" s="1"/>
  <c r="X27" i="32"/>
  <c r="X35" i="32"/>
  <c r="X43" i="32"/>
  <c r="AH54" i="32"/>
  <c r="AH66" i="32"/>
  <c r="AH80" i="32"/>
  <c r="AJ80" i="32" s="1"/>
  <c r="AH94" i="32"/>
  <c r="AJ94" i="32" s="1"/>
  <c r="AI107" i="32"/>
  <c r="T136" i="32"/>
  <c r="AC175" i="32"/>
  <c r="Y233" i="32"/>
  <c r="X87" i="32"/>
  <c r="Z87" i="32" s="1"/>
  <c r="AH13" i="32"/>
  <c r="AH39" i="32"/>
  <c r="Y115" i="32"/>
  <c r="AA115" i="32" s="1"/>
  <c r="X34" i="32"/>
  <c r="S12" i="32"/>
  <c r="U12" i="32" s="1"/>
  <c r="AH18" i="32"/>
  <c r="AJ18" i="32" s="1"/>
  <c r="Y28" i="32"/>
  <c r="X56" i="32"/>
  <c r="X110" i="32"/>
  <c r="Z110" i="32" s="1"/>
  <c r="AI234" i="32"/>
  <c r="Y37" i="32"/>
  <c r="X154" i="32"/>
  <c r="Y13" i="32"/>
  <c r="X25" i="32"/>
  <c r="Y46" i="32"/>
  <c r="X99" i="32"/>
  <c r="X47" i="32"/>
  <c r="Y159" i="32"/>
  <c r="X14" i="32"/>
  <c r="AH62" i="32"/>
  <c r="AH102" i="32"/>
  <c r="X161" i="32"/>
  <c r="X26" i="32"/>
  <c r="X124" i="32"/>
  <c r="Y15" i="32"/>
  <c r="X23" i="32"/>
  <c r="Z23" i="32" s="1"/>
  <c r="AI35" i="32"/>
  <c r="Y43" i="32"/>
  <c r="Y67" i="32"/>
  <c r="X81" i="32"/>
  <c r="X95" i="32"/>
  <c r="Z95" i="32" s="1"/>
  <c r="Y141" i="32"/>
  <c r="Y189" i="32"/>
  <c r="AA189" i="32" s="1"/>
  <c r="AH15" i="32"/>
  <c r="X19" i="32"/>
  <c r="Z19" i="32" s="1"/>
  <c r="Y23" i="32"/>
  <c r="AA23" i="32" s="1"/>
  <c r="AH28" i="32"/>
  <c r="X44" i="32"/>
  <c r="AH57" i="32"/>
  <c r="X69" i="32"/>
  <c r="X96" i="32"/>
  <c r="Z96" i="32" s="1"/>
  <c r="AI110" i="32"/>
  <c r="AK110" i="32" s="1"/>
  <c r="Y193" i="32"/>
  <c r="AC39" i="32"/>
  <c r="T189" i="32"/>
  <c r="V189" i="32" s="1"/>
  <c r="S129" i="32"/>
  <c r="U129" i="32" s="1"/>
  <c r="S149" i="32"/>
  <c r="S123" i="32"/>
  <c r="S173" i="32"/>
  <c r="T146" i="32"/>
  <c r="AC14" i="32"/>
  <c r="T19" i="32"/>
  <c r="V19" i="32" s="1"/>
  <c r="T29" i="32"/>
  <c r="V29" i="32" s="1"/>
  <c r="AC34" i="32"/>
  <c r="AD63" i="32"/>
  <c r="T111" i="32"/>
  <c r="V111" i="32" s="1"/>
  <c r="S135" i="32"/>
  <c r="Y218" i="32"/>
  <c r="AA218" i="32" s="1"/>
  <c r="Y151" i="32"/>
  <c r="X130" i="32"/>
  <c r="X112" i="32"/>
  <c r="Z112" i="32" s="1"/>
  <c r="Y179" i="32"/>
  <c r="X150" i="32"/>
  <c r="Y175" i="32"/>
  <c r="X306" i="32"/>
  <c r="Z306" i="32" s="1"/>
  <c r="AD17" i="32"/>
  <c r="AF17" i="32" s="1"/>
  <c r="S20" i="32"/>
  <c r="S66" i="32"/>
  <c r="T87" i="32"/>
  <c r="V87" i="32" s="1"/>
  <c r="T106" i="32"/>
  <c r="S32" i="32"/>
  <c r="T32" i="32"/>
  <c r="S42" i="32"/>
  <c r="U42" i="32" s="1"/>
  <c r="T47" i="32"/>
  <c r="T75" i="32"/>
  <c r="T97" i="32"/>
  <c r="V97" i="32" s="1"/>
  <c r="T116" i="32"/>
  <c r="V116" i="32" s="1"/>
  <c r="S264" i="32"/>
  <c r="U264" i="32" s="1"/>
  <c r="S13" i="32"/>
  <c r="AC75" i="32"/>
  <c r="S98" i="32"/>
  <c r="U98" i="32" s="1"/>
  <c r="AC118" i="32"/>
  <c r="AE118" i="32" s="1"/>
  <c r="S254" i="32"/>
  <c r="U254" i="32" s="1"/>
  <c r="T20" i="32"/>
  <c r="T13" i="32"/>
  <c r="S16" i="32"/>
  <c r="U16" i="32" s="1"/>
  <c r="T24" i="32"/>
  <c r="V24" i="32" s="1"/>
  <c r="AC26" i="32"/>
  <c r="AD67" i="32"/>
  <c r="S89" i="32"/>
  <c r="U89" i="32" s="1"/>
  <c r="T109" i="32"/>
  <c r="V109" i="32" s="1"/>
  <c r="S208" i="32"/>
  <c r="U208" i="32" s="1"/>
  <c r="AC56" i="32"/>
  <c r="S11" i="32"/>
  <c r="T16" i="32"/>
  <c r="V16" i="32" s="1"/>
  <c r="S21" i="32"/>
  <c r="U21" i="32" s="1"/>
  <c r="S33" i="32"/>
  <c r="S38" i="32"/>
  <c r="AC43" i="32"/>
  <c r="S50" i="32"/>
  <c r="T69" i="32"/>
  <c r="T91" i="32"/>
  <c r="T110" i="32"/>
  <c r="V110" i="32" s="1"/>
  <c r="S47" i="32"/>
  <c r="U47" i="32" s="1"/>
  <c r="T11" i="32"/>
  <c r="T21" i="32"/>
  <c r="V21" i="32" s="1"/>
  <c r="AD24" i="32"/>
  <c r="AF24" i="32" s="1"/>
  <c r="T38" i="32"/>
  <c r="S44" i="32"/>
  <c r="S62" i="32"/>
  <c r="U62" i="32" s="1"/>
  <c r="AC25" i="32"/>
  <c r="S93" i="32"/>
  <c r="S101" i="32"/>
  <c r="S132" i="32"/>
  <c r="V212" i="32"/>
  <c r="V12" i="32"/>
  <c r="U213" i="32"/>
  <c r="V213" i="32"/>
  <c r="U212" i="32"/>
  <c r="AD524" i="32"/>
  <c r="AF524" i="32" s="1"/>
  <c r="AD523" i="32"/>
  <c r="AF523" i="32" s="1"/>
  <c r="AD515" i="32"/>
  <c r="AF515" i="32" s="1"/>
  <c r="AD514" i="32"/>
  <c r="AF514" i="32" s="1"/>
  <c r="AD506" i="32"/>
  <c r="AF506" i="32" s="1"/>
  <c r="AD505" i="32"/>
  <c r="AF505" i="32" s="1"/>
  <c r="AD497" i="32"/>
  <c r="AF497" i="32" s="1"/>
  <c r="AD496" i="32"/>
  <c r="AF496" i="32" s="1"/>
  <c r="AD488" i="32"/>
  <c r="AF488" i="32" s="1"/>
  <c r="AD487" i="32"/>
  <c r="AF487" i="32" s="1"/>
  <c r="AD479" i="32"/>
  <c r="AF479" i="32" s="1"/>
  <c r="AD478" i="32"/>
  <c r="AF478" i="32" s="1"/>
  <c r="AD470" i="32"/>
  <c r="AF470" i="32" s="1"/>
  <c r="AD469" i="32"/>
  <c r="AF469" i="32" s="1"/>
  <c r="AD526" i="32"/>
  <c r="AF526" i="32" s="1"/>
  <c r="AD518" i="32"/>
  <c r="AF518" i="32" s="1"/>
  <c r="AD517" i="32"/>
  <c r="AF517" i="32" s="1"/>
  <c r="AD509" i="32"/>
  <c r="AF509" i="32" s="1"/>
  <c r="AD508" i="32"/>
  <c r="AF508" i="32" s="1"/>
  <c r="AD500" i="32"/>
  <c r="AF500" i="32" s="1"/>
  <c r="AD499" i="32"/>
  <c r="AF499" i="32" s="1"/>
  <c r="AD491" i="32"/>
  <c r="AF491" i="32" s="1"/>
  <c r="AD490" i="32"/>
  <c r="AF490" i="32" s="1"/>
  <c r="AD482" i="32"/>
  <c r="AF482" i="32" s="1"/>
  <c r="AD481" i="32"/>
  <c r="AF481" i="32" s="1"/>
  <c r="AD473" i="32"/>
  <c r="AF473" i="32" s="1"/>
  <c r="AD472" i="32"/>
  <c r="AF472" i="32" s="1"/>
  <c r="AC520" i="32"/>
  <c r="AE520" i="32" s="1"/>
  <c r="AC519" i="32"/>
  <c r="AE519" i="32" s="1"/>
  <c r="AD507" i="32"/>
  <c r="AF507" i="32" s="1"/>
  <c r="AC506" i="32"/>
  <c r="AE506" i="32" s="1"/>
  <c r="AC493" i="32"/>
  <c r="AE493" i="32" s="1"/>
  <c r="AC492" i="32"/>
  <c r="AE492" i="32" s="1"/>
  <c r="AD480" i="32"/>
  <c r="AF480" i="32" s="1"/>
  <c r="AC479" i="32"/>
  <c r="AE479" i="32" s="1"/>
  <c r="AC466" i="32"/>
  <c r="AE466" i="32" s="1"/>
  <c r="AC465" i="32"/>
  <c r="AE465" i="32" s="1"/>
  <c r="AD464" i="32"/>
  <c r="AF464" i="32" s="1"/>
  <c r="AC456" i="32"/>
  <c r="AE456" i="32" s="1"/>
  <c r="AD455" i="32"/>
  <c r="AF455" i="32" s="1"/>
  <c r="AD450" i="32"/>
  <c r="AF450" i="32" s="1"/>
  <c r="AD447" i="32"/>
  <c r="AF447" i="32" s="1"/>
  <c r="AD444" i="32"/>
  <c r="AF444" i="32" s="1"/>
  <c r="AD441" i="32"/>
  <c r="AF441" i="32" s="1"/>
  <c r="AD438" i="32"/>
  <c r="AF438" i="32" s="1"/>
  <c r="AD435" i="32"/>
  <c r="AF435" i="32" s="1"/>
  <c r="AD432" i="32"/>
  <c r="AF432" i="32" s="1"/>
  <c r="AD429" i="32"/>
  <c r="AF429" i="32" s="1"/>
  <c r="AD426" i="32"/>
  <c r="AF426" i="32" s="1"/>
  <c r="AD522" i="32"/>
  <c r="AF522" i="32" s="1"/>
  <c r="AD521" i="32"/>
  <c r="AF521" i="32" s="1"/>
  <c r="AC508" i="32"/>
  <c r="AE508" i="32" s="1"/>
  <c r="AC507" i="32"/>
  <c r="AE507" i="32" s="1"/>
  <c r="AD495" i="32"/>
  <c r="AF495" i="32" s="1"/>
  <c r="AD494" i="32"/>
  <c r="AF494" i="32" s="1"/>
  <c r="AC481" i="32"/>
  <c r="AE481" i="32" s="1"/>
  <c r="AC480" i="32"/>
  <c r="AE480" i="32" s="1"/>
  <c r="AD468" i="32"/>
  <c r="AF468" i="32" s="1"/>
  <c r="AD467" i="32"/>
  <c r="AF467" i="32" s="1"/>
  <c r="AC464" i="32"/>
  <c r="AE464" i="32" s="1"/>
  <c r="AD463" i="32"/>
  <c r="AF463" i="32" s="1"/>
  <c r="AC455" i="32"/>
  <c r="AE455" i="32" s="1"/>
  <c r="AD454" i="32"/>
  <c r="AF454" i="32" s="1"/>
  <c r="AC450" i="32"/>
  <c r="AE450" i="32" s="1"/>
  <c r="AC447" i="32"/>
  <c r="AE447" i="32" s="1"/>
  <c r="AC444" i="32"/>
  <c r="AE444" i="32" s="1"/>
  <c r="AC441" i="32"/>
  <c r="AE441" i="32" s="1"/>
  <c r="AC438" i="32"/>
  <c r="AE438" i="32" s="1"/>
  <c r="AC435" i="32"/>
  <c r="AE435" i="32" s="1"/>
  <c r="AC432" i="32"/>
  <c r="AE432" i="32" s="1"/>
  <c r="AC429" i="32"/>
  <c r="AE429" i="32" s="1"/>
  <c r="AC426" i="32"/>
  <c r="AE426" i="32" s="1"/>
  <c r="AC423" i="32"/>
  <c r="AE423" i="32" s="1"/>
  <c r="AD525" i="32"/>
  <c r="AF525" i="32" s="1"/>
  <c r="AC524" i="32"/>
  <c r="AE524" i="32" s="1"/>
  <c r="AC511" i="32"/>
  <c r="AE511" i="32" s="1"/>
  <c r="AC510" i="32"/>
  <c r="AE510" i="32" s="1"/>
  <c r="AD498" i="32"/>
  <c r="AF498" i="32" s="1"/>
  <c r="AC497" i="32"/>
  <c r="AE497" i="32" s="1"/>
  <c r="AC526" i="32"/>
  <c r="AE526" i="32" s="1"/>
  <c r="AC525" i="32"/>
  <c r="AE525" i="32" s="1"/>
  <c r="AD513" i="32"/>
  <c r="AF513" i="32" s="1"/>
  <c r="AD512" i="32"/>
  <c r="AF512" i="32" s="1"/>
  <c r="AC499" i="32"/>
  <c r="AE499" i="32" s="1"/>
  <c r="AC498" i="32"/>
  <c r="AE498" i="32" s="1"/>
  <c r="AD502" i="32"/>
  <c r="AF502" i="32" s="1"/>
  <c r="AD501" i="32"/>
  <c r="AF501" i="32" s="1"/>
  <c r="AC500" i="32"/>
  <c r="AE500" i="32" s="1"/>
  <c r="AD475" i="32"/>
  <c r="AF475" i="32" s="1"/>
  <c r="AD474" i="32"/>
  <c r="AF474" i="32" s="1"/>
  <c r="AC473" i="32"/>
  <c r="AE473" i="32" s="1"/>
  <c r="AD459" i="32"/>
  <c r="AF459" i="32" s="1"/>
  <c r="AC452" i="32"/>
  <c r="AE452" i="32" s="1"/>
  <c r="AD516" i="32"/>
  <c r="AF516" i="32" s="1"/>
  <c r="AC505" i="32"/>
  <c r="AE505" i="32" s="1"/>
  <c r="AC494" i="32"/>
  <c r="AE494" i="32" s="1"/>
  <c r="AD489" i="32"/>
  <c r="AF489" i="32" s="1"/>
  <c r="AD486" i="32"/>
  <c r="AF486" i="32" s="1"/>
  <c r="AD476" i="32"/>
  <c r="AF476" i="32" s="1"/>
  <c r="AC461" i="32"/>
  <c r="AE461" i="32" s="1"/>
  <c r="AD437" i="32"/>
  <c r="AF437" i="32" s="1"/>
  <c r="AD428" i="32"/>
  <c r="AF428" i="32" s="1"/>
  <c r="AC518" i="32"/>
  <c r="AE518" i="32" s="1"/>
  <c r="AC516" i="32"/>
  <c r="AE516" i="32" s="1"/>
  <c r="AC514" i="32"/>
  <c r="AE514" i="32" s="1"/>
  <c r="AD503" i="32"/>
  <c r="AF503" i="32" s="1"/>
  <c r="AC489" i="32"/>
  <c r="AE489" i="32" s="1"/>
  <c r="AC486" i="32"/>
  <c r="AE486" i="32" s="1"/>
  <c r="AD483" i="32"/>
  <c r="AF483" i="32" s="1"/>
  <c r="AC476" i="32"/>
  <c r="AE476" i="32" s="1"/>
  <c r="AD462" i="32"/>
  <c r="AF462" i="32" s="1"/>
  <c r="AC437" i="32"/>
  <c r="AE437" i="32" s="1"/>
  <c r="AC428" i="32"/>
  <c r="AE428" i="32" s="1"/>
  <c r="AC515" i="32"/>
  <c r="AE515" i="32" s="1"/>
  <c r="AC504" i="32"/>
  <c r="AE504" i="32" s="1"/>
  <c r="AC502" i="32"/>
  <c r="AE502" i="32" s="1"/>
  <c r="AD493" i="32"/>
  <c r="AF493" i="32" s="1"/>
  <c r="AC478" i="32"/>
  <c r="AE478" i="32" s="1"/>
  <c r="AC522" i="32"/>
  <c r="AE522" i="32" s="1"/>
  <c r="AC521" i="32"/>
  <c r="AE521" i="32" s="1"/>
  <c r="AC503" i="32"/>
  <c r="AE503" i="32" s="1"/>
  <c r="AD485" i="32"/>
  <c r="AF485" i="32" s="1"/>
  <c r="AC483" i="32"/>
  <c r="AE483" i="32" s="1"/>
  <c r="AC454" i="32"/>
  <c r="AE454" i="32" s="1"/>
  <c r="AC431" i="32"/>
  <c r="AE431" i="32" s="1"/>
  <c r="AC430" i="32"/>
  <c r="AE430" i="32" s="1"/>
  <c r="AC420" i="32"/>
  <c r="AE420" i="32" s="1"/>
  <c r="AC485" i="32"/>
  <c r="AE485" i="32" s="1"/>
  <c r="AD477" i="32"/>
  <c r="AF477" i="32" s="1"/>
  <c r="AD434" i="32"/>
  <c r="AF434" i="32" s="1"/>
  <c r="AD433" i="32"/>
  <c r="AF433" i="32" s="1"/>
  <c r="AD510" i="32"/>
  <c r="AF510" i="32" s="1"/>
  <c r="AC491" i="32"/>
  <c r="AE491" i="32" s="1"/>
  <c r="AC477" i="32"/>
  <c r="AE477" i="32" s="1"/>
  <c r="AC475" i="32"/>
  <c r="AE475" i="32" s="1"/>
  <c r="AD461" i="32"/>
  <c r="AF461" i="32" s="1"/>
  <c r="AD458" i="32"/>
  <c r="AF458" i="32" s="1"/>
  <c r="AD451" i="32"/>
  <c r="AF451" i="32" s="1"/>
  <c r="AD445" i="32"/>
  <c r="AF445" i="32" s="1"/>
  <c r="AC434" i="32"/>
  <c r="AE434" i="32" s="1"/>
  <c r="AC433" i="32"/>
  <c r="AE433" i="32" s="1"/>
  <c r="AD419" i="32"/>
  <c r="AF419" i="32" s="1"/>
  <c r="AD416" i="32"/>
  <c r="AF416" i="32" s="1"/>
  <c r="AD413" i="32"/>
  <c r="AF413" i="32" s="1"/>
  <c r="AC495" i="32"/>
  <c r="AE495" i="32" s="1"/>
  <c r="AD511" i="32"/>
  <c r="AF511" i="32" s="1"/>
  <c r="AC501" i="32"/>
  <c r="AE501" i="32" s="1"/>
  <c r="AC474" i="32"/>
  <c r="AE474" i="32" s="1"/>
  <c r="AC472" i="32"/>
  <c r="AE472" i="32" s="1"/>
  <c r="AC470" i="32"/>
  <c r="AE470" i="32" s="1"/>
  <c r="AC453" i="32"/>
  <c r="AE453" i="32" s="1"/>
  <c r="AC448" i="32"/>
  <c r="AE448" i="32" s="1"/>
  <c r="AD442" i="32"/>
  <c r="AF442" i="32" s="1"/>
  <c r="AC421" i="32"/>
  <c r="AE421" i="32" s="1"/>
  <c r="AC484" i="32"/>
  <c r="AE484" i="32" s="1"/>
  <c r="AD457" i="32"/>
  <c r="AF457" i="32" s="1"/>
  <c r="AD449" i="32"/>
  <c r="AF449" i="32" s="1"/>
  <c r="AC442" i="32"/>
  <c r="AE442" i="32" s="1"/>
  <c r="AD424" i="32"/>
  <c r="AF424" i="32" s="1"/>
  <c r="AD411" i="32"/>
  <c r="AF411" i="32" s="1"/>
  <c r="AC409" i="32"/>
  <c r="AE409" i="32" s="1"/>
  <c r="AC408" i="32"/>
  <c r="AE408" i="32" s="1"/>
  <c r="AC406" i="32"/>
  <c r="AE406" i="32" s="1"/>
  <c r="AD405" i="32"/>
  <c r="AF405" i="32" s="1"/>
  <c r="AD404" i="32"/>
  <c r="AF404" i="32" s="1"/>
  <c r="AD396" i="32"/>
  <c r="AF396" i="32" s="1"/>
  <c r="AD395" i="32"/>
  <c r="AF395" i="32" s="1"/>
  <c r="AD387" i="32"/>
  <c r="AF387" i="32" s="1"/>
  <c r="AD386" i="32"/>
  <c r="AF386" i="32" s="1"/>
  <c r="AD378" i="32"/>
  <c r="AF378" i="32" s="1"/>
  <c r="AD377" i="32"/>
  <c r="AF377" i="32" s="1"/>
  <c r="AC365" i="32"/>
  <c r="AE365" i="32" s="1"/>
  <c r="AC356" i="32"/>
  <c r="AE356" i="32" s="1"/>
  <c r="AC352" i="32"/>
  <c r="AE352" i="32" s="1"/>
  <c r="AC349" i="32"/>
  <c r="AE349" i="32" s="1"/>
  <c r="AC346" i="32"/>
  <c r="AE346" i="32" s="1"/>
  <c r="AC343" i="32"/>
  <c r="AE343" i="32" s="1"/>
  <c r="AC340" i="32"/>
  <c r="AE340" i="32" s="1"/>
  <c r="AC337" i="32"/>
  <c r="AE337" i="32" s="1"/>
  <c r="AC334" i="32"/>
  <c r="AE334" i="32" s="1"/>
  <c r="AC331" i="32"/>
  <c r="AE331" i="32" s="1"/>
  <c r="AC328" i="32"/>
  <c r="AE328" i="32" s="1"/>
  <c r="AC325" i="32"/>
  <c r="AE325" i="32" s="1"/>
  <c r="AC322" i="32"/>
  <c r="AE322" i="32" s="1"/>
  <c r="AC319" i="32"/>
  <c r="AE319" i="32" s="1"/>
  <c r="AC487" i="32"/>
  <c r="AE487" i="32" s="1"/>
  <c r="AD471" i="32"/>
  <c r="AF471" i="32" s="1"/>
  <c r="AC459" i="32"/>
  <c r="AE459" i="32" s="1"/>
  <c r="AC445" i="32"/>
  <c r="AE445" i="32" s="1"/>
  <c r="AD440" i="32"/>
  <c r="AF440" i="32" s="1"/>
  <c r="AD427" i="32"/>
  <c r="AF427" i="32" s="1"/>
  <c r="AC413" i="32"/>
  <c r="AE413" i="32" s="1"/>
  <c r="AC412" i="32"/>
  <c r="AE412" i="32" s="1"/>
  <c r="AD403" i="32"/>
  <c r="AF403" i="32" s="1"/>
  <c r="AD394" i="32"/>
  <c r="AF394" i="32" s="1"/>
  <c r="AD385" i="32"/>
  <c r="AF385" i="32" s="1"/>
  <c r="AC513" i="32"/>
  <c r="AE513" i="32" s="1"/>
  <c r="AC509" i="32"/>
  <c r="AE509" i="32" s="1"/>
  <c r="AC496" i="32"/>
  <c r="AE496" i="32" s="1"/>
  <c r="AD492" i="32"/>
  <c r="AF492" i="32" s="1"/>
  <c r="AC488" i="32"/>
  <c r="AE488" i="32" s="1"/>
  <c r="AC460" i="32"/>
  <c r="AE460" i="32" s="1"/>
  <c r="AD431" i="32"/>
  <c r="AF431" i="32" s="1"/>
  <c r="AD418" i="32"/>
  <c r="AF418" i="32" s="1"/>
  <c r="AC417" i="32"/>
  <c r="AE417" i="32" s="1"/>
  <c r="AC399" i="32"/>
  <c r="AE399" i="32" s="1"/>
  <c r="AC398" i="32"/>
  <c r="AE398" i="32" s="1"/>
  <c r="AC390" i="32"/>
  <c r="AE390" i="32" s="1"/>
  <c r="AC389" i="32"/>
  <c r="AE389" i="32" s="1"/>
  <c r="AC381" i="32"/>
  <c r="AE381" i="32" s="1"/>
  <c r="AC380" i="32"/>
  <c r="AE380" i="32" s="1"/>
  <c r="AC467" i="32"/>
  <c r="AE467" i="32" s="1"/>
  <c r="AC436" i="32"/>
  <c r="AE436" i="32" s="1"/>
  <c r="AD425" i="32"/>
  <c r="AF425" i="32" s="1"/>
  <c r="AD408" i="32"/>
  <c r="AF408" i="32" s="1"/>
  <c r="AC397" i="32"/>
  <c r="AE397" i="32" s="1"/>
  <c r="AD392" i="32"/>
  <c r="AF392" i="32" s="1"/>
  <c r="AC391" i="32"/>
  <c r="AE391" i="32" s="1"/>
  <c r="AC379" i="32"/>
  <c r="AE379" i="32" s="1"/>
  <c r="AC378" i="32"/>
  <c r="AE378" i="32" s="1"/>
  <c r="AC376" i="32"/>
  <c r="AE376" i="32" s="1"/>
  <c r="AD375" i="32"/>
  <c r="AF375" i="32" s="1"/>
  <c r="AC374" i="32"/>
  <c r="AE374" i="32" s="1"/>
  <c r="AD373" i="32"/>
  <c r="AF373" i="32" s="1"/>
  <c r="AD371" i="32"/>
  <c r="AF371" i="32" s="1"/>
  <c r="AC363" i="32"/>
  <c r="AE363" i="32" s="1"/>
  <c r="AD362" i="32"/>
  <c r="AF362" i="32" s="1"/>
  <c r="AD354" i="32"/>
  <c r="AF354" i="32" s="1"/>
  <c r="AD349" i="32"/>
  <c r="AF349" i="32" s="1"/>
  <c r="AD340" i="32"/>
  <c r="AF340" i="32" s="1"/>
  <c r="AD331" i="32"/>
  <c r="AF331" i="32" s="1"/>
  <c r="AD322" i="32"/>
  <c r="AF322" i="32" s="1"/>
  <c r="AC318" i="32"/>
  <c r="AE318" i="32" s="1"/>
  <c r="AC315" i="32"/>
  <c r="AE315" i="32" s="1"/>
  <c r="AC312" i="32"/>
  <c r="AE312" i="32" s="1"/>
  <c r="AC309" i="32"/>
  <c r="AE309" i="32" s="1"/>
  <c r="AC306" i="32"/>
  <c r="AE306" i="32" s="1"/>
  <c r="AC303" i="32"/>
  <c r="AE303" i="32" s="1"/>
  <c r="AC300" i="32"/>
  <c r="AE300" i="32" s="1"/>
  <c r="AC297" i="32"/>
  <c r="AE297" i="32" s="1"/>
  <c r="AC294" i="32"/>
  <c r="AE294" i="32" s="1"/>
  <c r="AD452" i="32"/>
  <c r="AF452" i="32" s="1"/>
  <c r="AC425" i="32"/>
  <c r="AE425" i="32" s="1"/>
  <c r="AD423" i="32"/>
  <c r="AF423" i="32" s="1"/>
  <c r="AD415" i="32"/>
  <c r="AF415" i="32" s="1"/>
  <c r="AD412" i="32"/>
  <c r="AF412" i="32" s="1"/>
  <c r="AC404" i="32"/>
  <c r="AE404" i="32" s="1"/>
  <c r="AD398" i="32"/>
  <c r="AF398" i="32" s="1"/>
  <c r="AC392" i="32"/>
  <c r="AE392" i="32" s="1"/>
  <c r="AC386" i="32"/>
  <c r="AE386" i="32" s="1"/>
  <c r="AD380" i="32"/>
  <c r="AF380" i="32" s="1"/>
  <c r="AC375" i="32"/>
  <c r="AE375" i="32" s="1"/>
  <c r="AC373" i="32"/>
  <c r="AE373" i="32" s="1"/>
  <c r="AD372" i="32"/>
  <c r="AF372" i="32" s="1"/>
  <c r="AC371" i="32"/>
  <c r="AE371" i="32" s="1"/>
  <c r="AD370" i="32"/>
  <c r="AF370" i="32" s="1"/>
  <c r="AC362" i="32"/>
  <c r="AE362" i="32" s="1"/>
  <c r="AC354" i="32"/>
  <c r="AE354" i="32" s="1"/>
  <c r="AD353" i="32"/>
  <c r="AF353" i="32" s="1"/>
  <c r="AD344" i="32"/>
  <c r="AF344" i="32" s="1"/>
  <c r="AC517" i="32"/>
  <c r="AE517" i="32" s="1"/>
  <c r="AC463" i="32"/>
  <c r="AE463" i="32" s="1"/>
  <c r="AC440" i="32"/>
  <c r="AE440" i="32" s="1"/>
  <c r="AC427" i="32"/>
  <c r="AE427" i="32" s="1"/>
  <c r="AD421" i="32"/>
  <c r="AF421" i="32" s="1"/>
  <c r="AC418" i="32"/>
  <c r="AE418" i="32" s="1"/>
  <c r="AC415" i="32"/>
  <c r="AE415" i="32" s="1"/>
  <c r="AC372" i="32"/>
  <c r="AE372" i="32" s="1"/>
  <c r="AC370" i="32"/>
  <c r="AE370" i="32" s="1"/>
  <c r="AD369" i="32"/>
  <c r="AF369" i="32" s="1"/>
  <c r="AD361" i="32"/>
  <c r="AF361" i="32" s="1"/>
  <c r="AC353" i="32"/>
  <c r="AE353" i="32" s="1"/>
  <c r="AD348" i="32"/>
  <c r="AF348" i="32" s="1"/>
  <c r="AC344" i="32"/>
  <c r="AE344" i="32" s="1"/>
  <c r="AD339" i="32"/>
  <c r="AF339" i="32" s="1"/>
  <c r="AD504" i="32"/>
  <c r="AF504" i="32" s="1"/>
  <c r="AD409" i="32"/>
  <c r="AF409" i="32" s="1"/>
  <c r="AD393" i="32"/>
  <c r="AF393" i="32" s="1"/>
  <c r="AC369" i="32"/>
  <c r="AE369" i="32" s="1"/>
  <c r="AD368" i="32"/>
  <c r="AF368" i="32" s="1"/>
  <c r="AC523" i="32"/>
  <c r="AE523" i="32" s="1"/>
  <c r="AC482" i="32"/>
  <c r="AE482" i="32" s="1"/>
  <c r="AD466" i="32"/>
  <c r="AF466" i="32" s="1"/>
  <c r="AD460" i="32"/>
  <c r="AF460" i="32" s="1"/>
  <c r="AC457" i="32"/>
  <c r="AE457" i="32" s="1"/>
  <c r="AC449" i="32"/>
  <c r="AE449" i="32" s="1"/>
  <c r="AC405" i="32"/>
  <c r="AE405" i="32" s="1"/>
  <c r="AD399" i="32"/>
  <c r="AF399" i="32" s="1"/>
  <c r="AC393" i="32"/>
  <c r="AE393" i="32" s="1"/>
  <c r="AC387" i="32"/>
  <c r="AE387" i="32" s="1"/>
  <c r="AD381" i="32"/>
  <c r="AF381" i="32" s="1"/>
  <c r="AC368" i="32"/>
  <c r="AE368" i="32" s="1"/>
  <c r="AC443" i="32"/>
  <c r="AE443" i="32" s="1"/>
  <c r="AC469" i="32"/>
  <c r="AE469" i="32" s="1"/>
  <c r="AC451" i="32"/>
  <c r="AE451" i="32" s="1"/>
  <c r="AC410" i="32"/>
  <c r="AE410" i="32" s="1"/>
  <c r="AD389" i="32"/>
  <c r="AF389" i="32" s="1"/>
  <c r="AD379" i="32"/>
  <c r="AF379" i="32" s="1"/>
  <c r="AC355" i="32"/>
  <c r="AE355" i="32" s="1"/>
  <c r="AD347" i="32"/>
  <c r="AF347" i="32" s="1"/>
  <c r="AD346" i="32"/>
  <c r="AF346" i="32" s="1"/>
  <c r="AC345" i="32"/>
  <c r="AE345" i="32" s="1"/>
  <c r="AC333" i="32"/>
  <c r="AE333" i="32" s="1"/>
  <c r="AD324" i="32"/>
  <c r="AF324" i="32" s="1"/>
  <c r="AD317" i="32"/>
  <c r="AF317" i="32" s="1"/>
  <c r="AC313" i="32"/>
  <c r="AE313" i="32" s="1"/>
  <c r="AD308" i="32"/>
  <c r="AF308" i="32" s="1"/>
  <c r="AC304" i="32"/>
  <c r="AE304" i="32" s="1"/>
  <c r="AD299" i="32"/>
  <c r="AF299" i="32" s="1"/>
  <c r="AC295" i="32"/>
  <c r="AE295" i="32" s="1"/>
  <c r="AD446" i="32"/>
  <c r="AF446" i="32" s="1"/>
  <c r="AD401" i="32"/>
  <c r="AF401" i="32" s="1"/>
  <c r="AC395" i="32"/>
  <c r="AE395" i="32" s="1"/>
  <c r="AC385" i="32"/>
  <c r="AE385" i="32" s="1"/>
  <c r="AD367" i="32"/>
  <c r="AF367" i="32" s="1"/>
  <c r="AD356" i="32"/>
  <c r="AF356" i="32" s="1"/>
  <c r="AC348" i="32"/>
  <c r="AE348" i="32" s="1"/>
  <c r="AC347" i="32"/>
  <c r="AE347" i="32" s="1"/>
  <c r="AD332" i="32"/>
  <c r="AF332" i="32" s="1"/>
  <c r="AC324" i="32"/>
  <c r="AE324" i="32" s="1"/>
  <c r="AC317" i="32"/>
  <c r="AE317" i="32" s="1"/>
  <c r="AC308" i="32"/>
  <c r="AE308" i="32" s="1"/>
  <c r="AC299" i="32"/>
  <c r="AE299" i="32" s="1"/>
  <c r="AC462" i="32"/>
  <c r="AE462" i="32" s="1"/>
  <c r="AC446" i="32"/>
  <c r="AE446" i="32" s="1"/>
  <c r="AC401" i="32"/>
  <c r="AE401" i="32" s="1"/>
  <c r="AD391" i="32"/>
  <c r="AF391" i="32" s="1"/>
  <c r="AC377" i="32"/>
  <c r="AE377" i="32" s="1"/>
  <c r="AC367" i="32"/>
  <c r="AE367" i="32" s="1"/>
  <c r="AC332" i="32"/>
  <c r="AE332" i="32" s="1"/>
  <c r="AD520" i="32"/>
  <c r="AF520" i="32" s="1"/>
  <c r="AD456" i="32"/>
  <c r="AF456" i="32" s="1"/>
  <c r="AD420" i="32"/>
  <c r="AF420" i="32" s="1"/>
  <c r="AD397" i="32"/>
  <c r="AF397" i="32" s="1"/>
  <c r="AD363" i="32"/>
  <c r="AF363" i="32" s="1"/>
  <c r="AD357" i="32"/>
  <c r="AF357" i="32" s="1"/>
  <c r="AD330" i="32"/>
  <c r="AF330" i="32" s="1"/>
  <c r="AC323" i="32"/>
  <c r="AE323" i="32" s="1"/>
  <c r="AD436" i="32"/>
  <c r="AF436" i="32" s="1"/>
  <c r="AC400" i="32"/>
  <c r="AE400" i="32" s="1"/>
  <c r="AD390" i="32"/>
  <c r="AF390" i="32" s="1"/>
  <c r="AC360" i="32"/>
  <c r="AE360" i="32" s="1"/>
  <c r="AD343" i="32"/>
  <c r="AF343" i="32" s="1"/>
  <c r="AC342" i="32"/>
  <c r="AE342" i="32" s="1"/>
  <c r="AC341" i="32"/>
  <c r="AE341" i="32" s="1"/>
  <c r="AC336" i="32"/>
  <c r="AE336" i="32" s="1"/>
  <c r="AD335" i="32"/>
  <c r="AF335" i="32" s="1"/>
  <c r="AD327" i="32"/>
  <c r="AF327" i="32" s="1"/>
  <c r="AC458" i="32"/>
  <c r="AE458" i="32" s="1"/>
  <c r="AD417" i="32"/>
  <c r="AF417" i="32" s="1"/>
  <c r="AC366" i="32"/>
  <c r="AE366" i="32" s="1"/>
  <c r="AD342" i="32"/>
  <c r="AF342" i="32" s="1"/>
  <c r="AD329" i="32"/>
  <c r="AF329" i="32" s="1"/>
  <c r="AD326" i="32"/>
  <c r="AF326" i="32" s="1"/>
  <c r="AC321" i="32"/>
  <c r="AE321" i="32" s="1"/>
  <c r="AD519" i="32"/>
  <c r="AF519" i="32" s="1"/>
  <c r="AD448" i="32"/>
  <c r="AF448" i="32" s="1"/>
  <c r="AD383" i="32"/>
  <c r="AF383" i="32" s="1"/>
  <c r="AD374" i="32"/>
  <c r="AF374" i="32" s="1"/>
  <c r="AD359" i="32"/>
  <c r="AF359" i="32" s="1"/>
  <c r="AD351" i="32"/>
  <c r="AF351" i="32" s="1"/>
  <c r="AC329" i="32"/>
  <c r="AE329" i="32" s="1"/>
  <c r="AC326" i="32"/>
  <c r="AE326" i="32" s="1"/>
  <c r="AC296" i="32"/>
  <c r="AE296" i="32" s="1"/>
  <c r="AD295" i="32"/>
  <c r="AF295" i="32" s="1"/>
  <c r="AC293" i="32"/>
  <c r="AE293" i="32" s="1"/>
  <c r="AD292" i="32"/>
  <c r="AF292" i="32" s="1"/>
  <c r="AC283" i="32"/>
  <c r="AE283" i="32" s="1"/>
  <c r="AC274" i="32"/>
  <c r="AE274" i="32" s="1"/>
  <c r="AC265" i="32"/>
  <c r="AE265" i="32" s="1"/>
  <c r="AC256" i="32"/>
  <c r="AE256" i="32" s="1"/>
  <c r="AD465" i="32"/>
  <c r="AF465" i="32" s="1"/>
  <c r="AC416" i="32"/>
  <c r="AE416" i="32" s="1"/>
  <c r="AC383" i="32"/>
  <c r="AE383" i="32" s="1"/>
  <c r="AD439" i="32"/>
  <c r="AF439" i="32" s="1"/>
  <c r="AD407" i="32"/>
  <c r="AF407" i="32" s="1"/>
  <c r="AD400" i="32"/>
  <c r="AF400" i="32" s="1"/>
  <c r="AD382" i="32"/>
  <c r="AF382" i="32" s="1"/>
  <c r="AD365" i="32"/>
  <c r="AF365" i="32" s="1"/>
  <c r="AC361" i="32"/>
  <c r="AE361" i="32" s="1"/>
  <c r="AD355" i="32"/>
  <c r="AF355" i="32" s="1"/>
  <c r="AC338" i="32"/>
  <c r="AE338" i="32" s="1"/>
  <c r="AC291" i="32"/>
  <c r="AE291" i="32" s="1"/>
  <c r="AC290" i="32"/>
  <c r="AE290" i="32" s="1"/>
  <c r="AC282" i="32"/>
  <c r="AE282" i="32" s="1"/>
  <c r="AC281" i="32"/>
  <c r="AE281" i="32" s="1"/>
  <c r="AC273" i="32"/>
  <c r="AE273" i="32" s="1"/>
  <c r="AC272" i="32"/>
  <c r="AE272" i="32" s="1"/>
  <c r="AC264" i="32"/>
  <c r="AE264" i="32" s="1"/>
  <c r="AC263" i="32"/>
  <c r="AE263" i="32" s="1"/>
  <c r="AD255" i="32"/>
  <c r="AF255" i="32" s="1"/>
  <c r="AD252" i="32"/>
  <c r="AF252" i="32" s="1"/>
  <c r="AD249" i="32"/>
  <c r="AF249" i="32" s="1"/>
  <c r="AD246" i="32"/>
  <c r="AF246" i="32" s="1"/>
  <c r="AD243" i="32"/>
  <c r="AF243" i="32" s="1"/>
  <c r="AD240" i="32"/>
  <c r="AF240" i="32" s="1"/>
  <c r="AD237" i="32"/>
  <c r="AF237" i="32" s="1"/>
  <c r="AD234" i="32"/>
  <c r="AD231" i="32"/>
  <c r="AF231" i="32" s="1"/>
  <c r="AD228" i="32"/>
  <c r="AF228" i="32" s="1"/>
  <c r="AD225" i="32"/>
  <c r="AF225" i="32" s="1"/>
  <c r="AD222" i="32"/>
  <c r="AF222" i="32" s="1"/>
  <c r="AD219" i="32"/>
  <c r="AC490" i="32"/>
  <c r="AE490" i="32" s="1"/>
  <c r="AC439" i="32"/>
  <c r="AE439" i="32" s="1"/>
  <c r="AC407" i="32"/>
  <c r="AE407" i="32" s="1"/>
  <c r="AC382" i="32"/>
  <c r="AE382" i="32" s="1"/>
  <c r="AC419" i="32"/>
  <c r="AE419" i="32" s="1"/>
  <c r="AC411" i="32"/>
  <c r="AE411" i="32" s="1"/>
  <c r="AC403" i="32"/>
  <c r="AE403" i="32" s="1"/>
  <c r="AC512" i="32"/>
  <c r="AE512" i="32" s="1"/>
  <c r="AD453" i="32"/>
  <c r="AF453" i="32" s="1"/>
  <c r="AD341" i="32"/>
  <c r="AF341" i="32" s="1"/>
  <c r="AC330" i="32"/>
  <c r="AE330" i="32" s="1"/>
  <c r="AD302" i="32"/>
  <c r="AF302" i="32" s="1"/>
  <c r="AC301" i="32"/>
  <c r="AE301" i="32" s="1"/>
  <c r="AD287" i="32"/>
  <c r="AF287" i="32" s="1"/>
  <c r="AD286" i="32"/>
  <c r="AF286" i="32" s="1"/>
  <c r="AD285" i="32"/>
  <c r="AF285" i="32" s="1"/>
  <c r="AD260" i="32"/>
  <c r="AF260" i="32" s="1"/>
  <c r="AD259" i="32"/>
  <c r="AF259" i="32" s="1"/>
  <c r="AD258" i="32"/>
  <c r="AF258" i="32" s="1"/>
  <c r="AC254" i="32"/>
  <c r="AE254" i="32" s="1"/>
  <c r="AC245" i="32"/>
  <c r="AE245" i="32" s="1"/>
  <c r="AC236" i="32"/>
  <c r="AC227" i="32"/>
  <c r="AE227" i="32" s="1"/>
  <c r="AD218" i="32"/>
  <c r="AF218" i="32" s="1"/>
  <c r="AC214" i="32"/>
  <c r="AC424" i="32"/>
  <c r="AE424" i="32" s="1"/>
  <c r="AD406" i="32"/>
  <c r="AF406" i="32" s="1"/>
  <c r="AD364" i="32"/>
  <c r="AF364" i="32" s="1"/>
  <c r="AD321" i="32"/>
  <c r="AF321" i="32" s="1"/>
  <c r="AD318" i="32"/>
  <c r="AF318" i="32" s="1"/>
  <c r="AD314" i="32"/>
  <c r="AF314" i="32" s="1"/>
  <c r="AC302" i="32"/>
  <c r="AE302" i="32" s="1"/>
  <c r="AC287" i="32"/>
  <c r="AE287" i="32" s="1"/>
  <c r="AC286" i="32"/>
  <c r="AE286" i="32" s="1"/>
  <c r="AC285" i="32"/>
  <c r="AE285" i="32" s="1"/>
  <c r="AD273" i="32"/>
  <c r="AF273" i="32" s="1"/>
  <c r="AC260" i="32"/>
  <c r="AE260" i="32" s="1"/>
  <c r="AC259" i="32"/>
  <c r="AE259" i="32" s="1"/>
  <c r="AC258" i="32"/>
  <c r="AE258" i="32" s="1"/>
  <c r="AD253" i="32"/>
  <c r="AF253" i="32" s="1"/>
  <c r="AD244" i="32"/>
  <c r="AF244" i="32" s="1"/>
  <c r="AD235" i="32"/>
  <c r="AD226" i="32"/>
  <c r="AF226" i="32" s="1"/>
  <c r="AC218" i="32"/>
  <c r="AE218" i="32" s="1"/>
  <c r="AC209" i="32"/>
  <c r="AE209" i="32" s="1"/>
  <c r="AD204" i="32"/>
  <c r="AC200" i="32"/>
  <c r="AD414" i="32"/>
  <c r="AF414" i="32" s="1"/>
  <c r="AC364" i="32"/>
  <c r="AE364" i="32" s="1"/>
  <c r="AD338" i="32"/>
  <c r="AF338" i="32" s="1"/>
  <c r="AD336" i="32"/>
  <c r="AF336" i="32" s="1"/>
  <c r="AD328" i="32"/>
  <c r="AF328" i="32" s="1"/>
  <c r="AC314" i="32"/>
  <c r="AE314" i="32" s="1"/>
  <c r="AD309" i="32"/>
  <c r="AF309" i="32" s="1"/>
  <c r="AD303" i="32"/>
  <c r="AF303" i="32" s="1"/>
  <c r="AD296" i="32"/>
  <c r="AF296" i="32" s="1"/>
  <c r="AD289" i="32"/>
  <c r="AF289" i="32" s="1"/>
  <c r="AD288" i="32"/>
  <c r="AF288" i="32" s="1"/>
  <c r="AD275" i="32"/>
  <c r="AF275" i="32" s="1"/>
  <c r="AD274" i="32"/>
  <c r="AF274" i="32" s="1"/>
  <c r="AD262" i="32"/>
  <c r="AF262" i="32" s="1"/>
  <c r="AD261" i="32"/>
  <c r="AF261" i="32" s="1"/>
  <c r="AC253" i="32"/>
  <c r="AE253" i="32" s="1"/>
  <c r="AC252" i="32"/>
  <c r="AE252" i="32" s="1"/>
  <c r="AC244" i="32"/>
  <c r="AE244" i="32" s="1"/>
  <c r="AC243" i="32"/>
  <c r="AE243" i="32" s="1"/>
  <c r="AC235" i="32"/>
  <c r="AC234" i="32"/>
  <c r="AC226" i="32"/>
  <c r="AE226" i="32" s="1"/>
  <c r="AC225" i="32"/>
  <c r="AE225" i="32" s="1"/>
  <c r="AC204" i="32"/>
  <c r="AC414" i="32"/>
  <c r="AE414" i="32" s="1"/>
  <c r="AD358" i="32"/>
  <c r="AF358" i="32" s="1"/>
  <c r="AD334" i="32"/>
  <c r="AF334" i="32" s="1"/>
  <c r="AD310" i="32"/>
  <c r="AF310" i="32" s="1"/>
  <c r="AD290" i="32"/>
  <c r="AF290" i="32" s="1"/>
  <c r="AC289" i="32"/>
  <c r="AE289" i="32" s="1"/>
  <c r="AC288" i="32"/>
  <c r="AE288" i="32" s="1"/>
  <c r="AC275" i="32"/>
  <c r="AE275" i="32" s="1"/>
  <c r="AD263" i="32"/>
  <c r="AF263" i="32" s="1"/>
  <c r="AC262" i="32"/>
  <c r="AE262" i="32" s="1"/>
  <c r="AC261" i="32"/>
  <c r="AE261" i="32" s="1"/>
  <c r="AD251" i="32"/>
  <c r="AF251" i="32" s="1"/>
  <c r="AC468" i="32"/>
  <c r="AE468" i="32" s="1"/>
  <c r="AC422" i="32"/>
  <c r="AE422" i="32" s="1"/>
  <c r="AC384" i="32"/>
  <c r="AE384" i="32" s="1"/>
  <c r="AC350" i="32"/>
  <c r="AE350" i="32" s="1"/>
  <c r="AD345" i="32"/>
  <c r="AF345" i="32" s="1"/>
  <c r="AD319" i="32"/>
  <c r="AF319" i="32" s="1"/>
  <c r="AC311" i="32"/>
  <c r="AE311" i="32" s="1"/>
  <c r="AD304" i="32"/>
  <c r="AF304" i="32" s="1"/>
  <c r="AD298" i="32"/>
  <c r="AF298" i="32" s="1"/>
  <c r="AD291" i="32"/>
  <c r="AF291" i="32" s="1"/>
  <c r="AC278" i="32"/>
  <c r="AE278" i="32" s="1"/>
  <c r="AC277" i="32"/>
  <c r="AE277" i="32" s="1"/>
  <c r="AC276" i="32"/>
  <c r="AE276" i="32" s="1"/>
  <c r="AD264" i="32"/>
  <c r="AF264" i="32" s="1"/>
  <c r="AD443" i="32"/>
  <c r="AF443" i="32" s="1"/>
  <c r="AC388" i="32"/>
  <c r="AE388" i="32" s="1"/>
  <c r="AC357" i="32"/>
  <c r="AE357" i="32" s="1"/>
  <c r="AC335" i="32"/>
  <c r="AE335" i="32" s="1"/>
  <c r="AD333" i="32"/>
  <c r="AF333" i="32" s="1"/>
  <c r="AD306" i="32"/>
  <c r="AF306" i="32" s="1"/>
  <c r="AD293" i="32"/>
  <c r="AF293" i="32" s="1"/>
  <c r="AD269" i="32"/>
  <c r="AF269" i="32" s="1"/>
  <c r="AD268" i="32"/>
  <c r="AF268" i="32" s="1"/>
  <c r="AD267" i="32"/>
  <c r="AF267" i="32" s="1"/>
  <c r="AC248" i="32"/>
  <c r="AE248" i="32" s="1"/>
  <c r="AD484" i="32"/>
  <c r="AF484" i="32" s="1"/>
  <c r="AD402" i="32"/>
  <c r="AF402" i="32" s="1"/>
  <c r="AD376" i="32"/>
  <c r="AF376" i="32" s="1"/>
  <c r="AC339" i="32"/>
  <c r="AE339" i="32" s="1"/>
  <c r="AD337" i="32"/>
  <c r="AF337" i="32" s="1"/>
  <c r="AD325" i="32"/>
  <c r="AF325" i="32" s="1"/>
  <c r="AD323" i="32"/>
  <c r="AF323" i="32" s="1"/>
  <c r="AD320" i="32"/>
  <c r="AF320" i="32" s="1"/>
  <c r="AD307" i="32"/>
  <c r="AF307" i="32" s="1"/>
  <c r="AD282" i="32"/>
  <c r="AF282" i="32" s="1"/>
  <c r="AC269" i="32"/>
  <c r="AE269" i="32" s="1"/>
  <c r="AC268" i="32"/>
  <c r="AE268" i="32" s="1"/>
  <c r="AC267" i="32"/>
  <c r="AE267" i="32" s="1"/>
  <c r="AC402" i="32"/>
  <c r="AE402" i="32" s="1"/>
  <c r="AC320" i="32"/>
  <c r="AE320" i="32" s="1"/>
  <c r="AC307" i="32"/>
  <c r="AE307" i="32" s="1"/>
  <c r="AD300" i="32"/>
  <c r="AF300" i="32" s="1"/>
  <c r="AD294" i="32"/>
  <c r="AF294" i="32" s="1"/>
  <c r="AD284" i="32"/>
  <c r="AF284" i="32" s="1"/>
  <c r="AD283" i="32"/>
  <c r="AF283" i="32" s="1"/>
  <c r="AD271" i="32"/>
  <c r="AF271" i="32" s="1"/>
  <c r="AD270" i="32"/>
  <c r="AF270" i="32" s="1"/>
  <c r="AD257" i="32"/>
  <c r="AF257" i="32" s="1"/>
  <c r="AD256" i="32"/>
  <c r="AF256" i="32" s="1"/>
  <c r="AC255" i="32"/>
  <c r="AE255" i="32" s="1"/>
  <c r="AC247" i="32"/>
  <c r="AE247" i="32" s="1"/>
  <c r="AC246" i="32"/>
  <c r="AE246" i="32" s="1"/>
  <c r="AD384" i="32"/>
  <c r="AF384" i="32" s="1"/>
  <c r="AD278" i="32"/>
  <c r="AF278" i="32" s="1"/>
  <c r="AD248" i="32"/>
  <c r="AF248" i="32" s="1"/>
  <c r="AD241" i="32"/>
  <c r="AD223" i="32"/>
  <c r="AF223" i="32" s="1"/>
  <c r="AD216" i="32"/>
  <c r="AF216" i="32" s="1"/>
  <c r="AD215" i="32"/>
  <c r="AF215" i="32" s="1"/>
  <c r="AD214" i="32"/>
  <c r="AD190" i="32"/>
  <c r="AF190" i="32" s="1"/>
  <c r="AD181" i="32"/>
  <c r="AD172" i="32"/>
  <c r="AD161" i="32"/>
  <c r="AD152" i="32"/>
  <c r="AD143" i="32"/>
  <c r="AD134" i="32"/>
  <c r="AD131" i="32"/>
  <c r="AD128" i="32"/>
  <c r="AD125" i="32"/>
  <c r="AD122" i="32"/>
  <c r="AD119" i="32"/>
  <c r="AF119" i="32" s="1"/>
  <c r="AD116" i="32"/>
  <c r="AF116" i="32" s="1"/>
  <c r="AD113" i="32"/>
  <c r="AF113" i="32" s="1"/>
  <c r="AD352" i="32"/>
  <c r="AF352" i="32" s="1"/>
  <c r="AD316" i="32"/>
  <c r="AF316" i="32" s="1"/>
  <c r="AD305" i="32"/>
  <c r="AF305" i="32" s="1"/>
  <c r="AC298" i="32"/>
  <c r="AE298" i="32" s="1"/>
  <c r="AD265" i="32"/>
  <c r="AF265" i="32" s="1"/>
  <c r="AC241" i="32"/>
  <c r="AD229" i="32"/>
  <c r="AF229" i="32" s="1"/>
  <c r="AD224" i="32"/>
  <c r="AF224" i="32" s="1"/>
  <c r="AC223" i="32"/>
  <c r="AE223" i="32" s="1"/>
  <c r="AD217" i="32"/>
  <c r="AF217" i="32" s="1"/>
  <c r="AC216" i="32"/>
  <c r="AE216" i="32" s="1"/>
  <c r="AC215" i="32"/>
  <c r="AE215" i="32" s="1"/>
  <c r="AD194" i="32"/>
  <c r="AC190" i="32"/>
  <c r="AE190" i="32" s="1"/>
  <c r="AD185" i="32"/>
  <c r="AF185" i="32" s="1"/>
  <c r="AC181" i="32"/>
  <c r="AD176" i="32"/>
  <c r="AC172" i="32"/>
  <c r="AD167" i="32"/>
  <c r="AC161" i="32"/>
  <c r="AD156" i="32"/>
  <c r="AC152" i="32"/>
  <c r="AD147" i="32"/>
  <c r="AC143" i="32"/>
  <c r="AD138" i="32"/>
  <c r="AC134" i="32"/>
  <c r="AC131" i="32"/>
  <c r="AC128" i="32"/>
  <c r="AC125" i="32"/>
  <c r="AC122" i="32"/>
  <c r="AC119" i="32"/>
  <c r="AE119" i="32" s="1"/>
  <c r="AC116" i="32"/>
  <c r="AE116" i="32" s="1"/>
  <c r="AC113" i="32"/>
  <c r="AE113" i="32" s="1"/>
  <c r="AD430" i="32"/>
  <c r="AF430" i="32" s="1"/>
  <c r="AD360" i="32"/>
  <c r="AF360" i="32" s="1"/>
  <c r="AC316" i="32"/>
  <c r="AE316" i="32" s="1"/>
  <c r="AD312" i="32"/>
  <c r="AF312" i="32" s="1"/>
  <c r="AC305" i="32"/>
  <c r="AE305" i="32" s="1"/>
  <c r="AD281" i="32"/>
  <c r="AF281" i="32" s="1"/>
  <c r="AC257" i="32"/>
  <c r="AE257" i="32" s="1"/>
  <c r="AD230" i="32"/>
  <c r="AF230" i="32" s="1"/>
  <c r="AC229" i="32"/>
  <c r="AE229" i="32" s="1"/>
  <c r="AC224" i="32"/>
  <c r="AE224" i="32" s="1"/>
  <c r="AC217" i="32"/>
  <c r="AE217" i="32" s="1"/>
  <c r="AD211" i="32"/>
  <c r="AD210" i="32"/>
  <c r="AD208" i="32"/>
  <c r="AF208" i="32" s="1"/>
  <c r="AD207" i="32"/>
  <c r="AC194" i="32"/>
  <c r="AD189" i="32"/>
  <c r="AF189" i="32" s="1"/>
  <c r="AC185" i="32"/>
  <c r="AE185" i="32" s="1"/>
  <c r="AD180" i="32"/>
  <c r="AC176" i="32"/>
  <c r="AD171" i="32"/>
  <c r="AC167" i="32"/>
  <c r="AD160" i="32"/>
  <c r="AC156" i="32"/>
  <c r="AD151" i="32"/>
  <c r="AC147" i="32"/>
  <c r="AD142" i="32"/>
  <c r="AC359" i="32"/>
  <c r="AE359" i="32" s="1"/>
  <c r="AC351" i="32"/>
  <c r="AE351" i="32" s="1"/>
  <c r="AD301" i="32"/>
  <c r="AF301" i="32" s="1"/>
  <c r="AC284" i="32"/>
  <c r="AE284" i="32" s="1"/>
  <c r="AC271" i="32"/>
  <c r="AE271" i="32" s="1"/>
  <c r="AC251" i="32"/>
  <c r="AE251" i="32" s="1"/>
  <c r="AD242" i="32"/>
  <c r="AD236" i="32"/>
  <c r="AC230" i="32"/>
  <c r="AE230" i="32" s="1"/>
  <c r="AC211" i="32"/>
  <c r="AC210" i="32"/>
  <c r="AD209" i="32"/>
  <c r="AF209" i="32" s="1"/>
  <c r="AC208" i="32"/>
  <c r="AE208" i="32" s="1"/>
  <c r="AC207" i="32"/>
  <c r="AD206" i="32"/>
  <c r="AD203" i="32"/>
  <c r="AC189" i="32"/>
  <c r="AE189" i="32" s="1"/>
  <c r="AC180" i="32"/>
  <c r="AC171" i="32"/>
  <c r="AC160" i="32"/>
  <c r="AC151" i="32"/>
  <c r="AC142" i="32"/>
  <c r="AD366" i="32"/>
  <c r="AF366" i="32" s="1"/>
  <c r="AC280" i="32"/>
  <c r="AE280" i="32" s="1"/>
  <c r="AC310" i="32"/>
  <c r="AE310" i="32" s="1"/>
  <c r="AD276" i="32"/>
  <c r="AF276" i="32" s="1"/>
  <c r="AD254" i="32"/>
  <c r="AF254" i="32" s="1"/>
  <c r="AD245" i="32"/>
  <c r="AF245" i="32" s="1"/>
  <c r="AD239" i="32"/>
  <c r="AF239" i="32" s="1"/>
  <c r="AC238" i="32"/>
  <c r="AE238" i="32" s="1"/>
  <c r="AC233" i="32"/>
  <c r="AD221" i="32"/>
  <c r="AF221" i="32" s="1"/>
  <c r="AC220" i="32"/>
  <c r="AE220" i="32" s="1"/>
  <c r="AD196" i="32"/>
  <c r="AD187" i="32"/>
  <c r="AF187" i="32" s="1"/>
  <c r="AD178" i="32"/>
  <c r="AD169" i="32"/>
  <c r="AD158" i="32"/>
  <c r="AD149" i="32"/>
  <c r="AD140" i="32"/>
  <c r="AD132" i="32"/>
  <c r="AD129" i="32"/>
  <c r="AD126" i="32"/>
  <c r="AD123" i="32"/>
  <c r="AD120" i="32"/>
  <c r="AF120" i="32" s="1"/>
  <c r="AD279" i="32"/>
  <c r="AF279" i="32" s="1"/>
  <c r="AD266" i="32"/>
  <c r="AF266" i="32" s="1"/>
  <c r="AD410" i="32"/>
  <c r="AF410" i="32" s="1"/>
  <c r="AD388" i="32"/>
  <c r="AF388" i="32" s="1"/>
  <c r="AC327" i="32"/>
  <c r="AE327" i="32" s="1"/>
  <c r="AC292" i="32"/>
  <c r="AE292" i="32" s="1"/>
  <c r="AC279" i="32"/>
  <c r="AE279" i="32" s="1"/>
  <c r="AC266" i="32"/>
  <c r="AE266" i="32" s="1"/>
  <c r="AC471" i="32"/>
  <c r="AE471" i="32" s="1"/>
  <c r="AD350" i="32"/>
  <c r="AF350" i="32" s="1"/>
  <c r="AD315" i="32"/>
  <c r="AF315" i="32" s="1"/>
  <c r="AD250" i="32"/>
  <c r="AF250" i="32" s="1"/>
  <c r="AD202" i="32"/>
  <c r="AD197" i="32"/>
  <c r="AC186" i="32"/>
  <c r="AE186" i="32" s="1"/>
  <c r="AD183" i="32"/>
  <c r="AD153" i="32"/>
  <c r="AC146" i="32"/>
  <c r="AD139" i="32"/>
  <c r="AC109" i="32"/>
  <c r="AE109" i="32" s="1"/>
  <c r="AD313" i="32"/>
  <c r="AF313" i="32" s="1"/>
  <c r="AD272" i="32"/>
  <c r="AF272" i="32" s="1"/>
  <c r="AC249" i="32"/>
  <c r="AE249" i="32" s="1"/>
  <c r="AC232" i="32"/>
  <c r="AC228" i="32"/>
  <c r="AE228" i="32" s="1"/>
  <c r="AD205" i="32"/>
  <c r="AD200" i="32"/>
  <c r="AC187" i="32"/>
  <c r="AE187" i="32" s="1"/>
  <c r="AD184" i="32"/>
  <c r="AC173" i="32"/>
  <c r="AD170" i="32"/>
  <c r="AC157" i="32"/>
  <c r="AD154" i="32"/>
  <c r="AD422" i="32"/>
  <c r="AF422" i="32" s="1"/>
  <c r="AD311" i="32"/>
  <c r="AF311" i="32" s="1"/>
  <c r="AC242" i="32"/>
  <c r="AC240" i="32"/>
  <c r="AE240" i="32" s="1"/>
  <c r="AD238" i="32"/>
  <c r="AF238" i="32" s="1"/>
  <c r="AC205" i="32"/>
  <c r="AD198" i="32"/>
  <c r="AD191" i="32"/>
  <c r="AC184" i="32"/>
  <c r="AD177" i="32"/>
  <c r="AC170" i="32"/>
  <c r="AC154" i="32"/>
  <c r="AC140" i="32"/>
  <c r="AD136" i="32"/>
  <c r="AD280" i="32"/>
  <c r="AF280" i="32" s="1"/>
  <c r="AC203" i="32"/>
  <c r="AC198" i="32"/>
  <c r="AC191" i="32"/>
  <c r="AD188" i="32"/>
  <c r="AF188" i="32" s="1"/>
  <c r="AC358" i="32"/>
  <c r="AE358" i="32" s="1"/>
  <c r="AD297" i="32"/>
  <c r="AF297" i="32" s="1"/>
  <c r="AD277" i="32"/>
  <c r="AF277" i="32" s="1"/>
  <c r="AD233" i="32"/>
  <c r="AD227" i="32"/>
  <c r="AF227" i="32" s="1"/>
  <c r="AC206" i="32"/>
  <c r="AC201" i="32"/>
  <c r="AC192" i="32"/>
  <c r="AC178" i="32"/>
  <c r="AD175" i="32"/>
  <c r="AC162" i="32"/>
  <c r="AD159" i="32"/>
  <c r="AC148" i="32"/>
  <c r="AD145" i="32"/>
  <c r="AC396" i="32"/>
  <c r="AE396" i="32" s="1"/>
  <c r="AC237" i="32"/>
  <c r="AE237" i="32" s="1"/>
  <c r="AD199" i="32"/>
  <c r="AC394" i="32"/>
  <c r="AE394" i="32" s="1"/>
  <c r="AD247" i="32"/>
  <c r="AF247" i="32" s="1"/>
  <c r="AC239" i="32"/>
  <c r="AE239" i="32" s="1"/>
  <c r="AC199" i="32"/>
  <c r="AC196" i="32"/>
  <c r="AD193" i="32"/>
  <c r="AC182" i="32"/>
  <c r="AD179" i="32"/>
  <c r="AC168" i="32"/>
  <c r="AD163" i="32"/>
  <c r="AC169" i="32"/>
  <c r="AC155" i="32"/>
  <c r="AD127" i="32"/>
  <c r="AC121" i="32"/>
  <c r="AC106" i="32"/>
  <c r="AC97" i="32"/>
  <c r="AE97" i="32" s="1"/>
  <c r="AC88" i="32"/>
  <c r="AE88" i="32" s="1"/>
  <c r="AC79" i="32"/>
  <c r="AE79" i="32" s="1"/>
  <c r="AC70" i="32"/>
  <c r="AC61" i="32"/>
  <c r="AD53" i="32"/>
  <c r="AD50" i="32"/>
  <c r="AD47" i="32"/>
  <c r="AD44" i="32"/>
  <c r="AD41" i="32"/>
  <c r="AD38" i="32"/>
  <c r="AD35" i="32"/>
  <c r="AD32" i="32"/>
  <c r="AD29" i="32"/>
  <c r="AD26" i="32"/>
  <c r="AD23" i="32"/>
  <c r="AF23" i="32" s="1"/>
  <c r="AC231" i="32"/>
  <c r="AE231" i="32" s="1"/>
  <c r="AD162" i="32"/>
  <c r="AD146" i="32"/>
  <c r="AD144" i="32"/>
  <c r="AD135" i="32"/>
  <c r="AC132" i="32"/>
  <c r="AC127" i="32"/>
  <c r="AD112" i="32"/>
  <c r="AF112" i="32" s="1"/>
  <c r="AD101" i="32"/>
  <c r="AD92" i="32"/>
  <c r="AD83" i="32"/>
  <c r="AD74" i="32"/>
  <c r="AD65" i="32"/>
  <c r="AD56" i="32"/>
  <c r="AC53" i="32"/>
  <c r="AC50" i="32"/>
  <c r="AC47" i="32"/>
  <c r="AC44" i="32"/>
  <c r="AC41" i="32"/>
  <c r="AC38" i="32"/>
  <c r="AC35" i="32"/>
  <c r="AC221" i="32"/>
  <c r="AE221" i="32" s="1"/>
  <c r="AD201" i="32"/>
  <c r="AC197" i="32"/>
  <c r="AD166" i="32"/>
  <c r="AD157" i="32"/>
  <c r="AD150" i="32"/>
  <c r="AC144" i="32"/>
  <c r="AC135" i="32"/>
  <c r="AC112" i="32"/>
  <c r="AE112" i="32" s="1"/>
  <c r="AD111" i="32"/>
  <c r="AF111" i="32" s="1"/>
  <c r="AD105" i="32"/>
  <c r="AC101" i="32"/>
  <c r="AD96" i="32"/>
  <c r="AF96" i="32" s="1"/>
  <c r="AC92" i="32"/>
  <c r="AD87" i="32"/>
  <c r="AF87" i="32" s="1"/>
  <c r="AC83" i="32"/>
  <c r="AD78" i="32"/>
  <c r="AF78" i="32" s="1"/>
  <c r="AC74" i="32"/>
  <c r="AD69" i="32"/>
  <c r="AC65" i="32"/>
  <c r="AD60" i="32"/>
  <c r="AC166" i="32"/>
  <c r="AC150" i="32"/>
  <c r="AD148" i="32"/>
  <c r="AC138" i="32"/>
  <c r="AD115" i="32"/>
  <c r="AF115" i="32" s="1"/>
  <c r="AD114" i="32"/>
  <c r="AF114" i="32" s="1"/>
  <c r="AC111" i="32"/>
  <c r="AE111" i="32" s="1"/>
  <c r="AD110" i="32"/>
  <c r="AF110" i="32" s="1"/>
  <c r="AC105" i="32"/>
  <c r="AD100" i="32"/>
  <c r="AC96" i="32"/>
  <c r="AE96" i="32" s="1"/>
  <c r="AD91" i="32"/>
  <c r="AC87" i="32"/>
  <c r="AE87" i="32" s="1"/>
  <c r="AD82" i="32"/>
  <c r="AC78" i="32"/>
  <c r="AE78" i="32" s="1"/>
  <c r="AD73" i="32"/>
  <c r="AC69" i="32"/>
  <c r="AD64" i="32"/>
  <c r="AC60" i="32"/>
  <c r="AD220" i="32"/>
  <c r="AF220" i="32" s="1"/>
  <c r="AC193" i="32"/>
  <c r="AC183" i="32"/>
  <c r="AD173" i="32"/>
  <c r="AC159" i="32"/>
  <c r="AD133" i="32"/>
  <c r="AC115" i="32"/>
  <c r="AE115" i="32" s="1"/>
  <c r="AC114" i="32"/>
  <c r="AE114" i="32" s="1"/>
  <c r="AC110" i="32"/>
  <c r="AE110" i="32" s="1"/>
  <c r="AD109" i="32"/>
  <c r="AF109" i="32" s="1"/>
  <c r="AC100" i="32"/>
  <c r="AC91" i="32"/>
  <c r="AC82" i="32"/>
  <c r="AC73" i="32"/>
  <c r="AC64" i="32"/>
  <c r="AD55" i="32"/>
  <c r="AD52" i="32"/>
  <c r="AD49" i="32"/>
  <c r="AD46" i="32"/>
  <c r="AD43" i="32"/>
  <c r="AD40" i="32"/>
  <c r="AD37" i="32"/>
  <c r="AD34" i="32"/>
  <c r="AD31" i="32"/>
  <c r="AD28" i="32"/>
  <c r="AD192" i="32"/>
  <c r="AD182" i="32"/>
  <c r="AC177" i="32"/>
  <c r="AC163" i="32"/>
  <c r="AC145" i="32"/>
  <c r="AC141" i="32"/>
  <c r="AC130" i="32"/>
  <c r="AC103" i="32"/>
  <c r="AC94" i="32"/>
  <c r="AE94" i="32" s="1"/>
  <c r="AC85" i="32"/>
  <c r="AC76" i="32"/>
  <c r="AC67" i="32"/>
  <c r="AC58" i="32"/>
  <c r="AD54" i="32"/>
  <c r="AD51" i="32"/>
  <c r="AD48" i="32"/>
  <c r="AC195" i="32"/>
  <c r="AC188" i="32"/>
  <c r="AE188" i="32" s="1"/>
  <c r="AC179" i="32"/>
  <c r="AD174" i="32"/>
  <c r="AC153" i="32"/>
  <c r="AD137" i="32"/>
  <c r="AC120" i="32"/>
  <c r="AE120" i="32" s="1"/>
  <c r="AC107" i="32"/>
  <c r="AD102" i="32"/>
  <c r="AC98" i="32"/>
  <c r="AD93" i="32"/>
  <c r="AC89" i="32"/>
  <c r="AE89" i="32" s="1"/>
  <c r="AD84" i="32"/>
  <c r="AC80" i="32"/>
  <c r="AE80" i="32" s="1"/>
  <c r="AD75" i="32"/>
  <c r="AC71" i="32"/>
  <c r="AD66" i="32"/>
  <c r="AC62" i="32"/>
  <c r="AD57" i="32"/>
  <c r="AC12" i="32"/>
  <c r="AD16" i="32"/>
  <c r="AF16" i="32" s="1"/>
  <c r="AC21" i="32"/>
  <c r="AE21" i="32" s="1"/>
  <c r="AD30" i="32"/>
  <c r="AC57" i="32"/>
  <c r="AD68" i="32"/>
  <c r="AD72" i="32"/>
  <c r="AD76" i="32"/>
  <c r="AD80" i="32"/>
  <c r="AF80" i="32" s="1"/>
  <c r="AC84" i="32"/>
  <c r="AC117" i="32"/>
  <c r="AE117" i="32" s="1"/>
  <c r="AC139" i="32"/>
  <c r="AI528" i="32"/>
  <c r="AK528" i="32" s="1"/>
  <c r="AH528" i="32"/>
  <c r="AJ528" i="32" s="1"/>
  <c r="AI521" i="32"/>
  <c r="AK521" i="32" s="1"/>
  <c r="AI512" i="32"/>
  <c r="AK512" i="32" s="1"/>
  <c r="AI503" i="32"/>
  <c r="AK503" i="32" s="1"/>
  <c r="AI494" i="32"/>
  <c r="AK494" i="32" s="1"/>
  <c r="AI485" i="32"/>
  <c r="AK485" i="32" s="1"/>
  <c r="AI476" i="32"/>
  <c r="AK476" i="32" s="1"/>
  <c r="AI467" i="32"/>
  <c r="AK467" i="32" s="1"/>
  <c r="AI524" i="32"/>
  <c r="AK524" i="32" s="1"/>
  <c r="AI515" i="32"/>
  <c r="AK515" i="32" s="1"/>
  <c r="AI506" i="32"/>
  <c r="AK506" i="32" s="1"/>
  <c r="AI497" i="32"/>
  <c r="AK497" i="32" s="1"/>
  <c r="AI488" i="32"/>
  <c r="AK488" i="32" s="1"/>
  <c r="AI479" i="32"/>
  <c r="AK479" i="32" s="1"/>
  <c r="AI470" i="32"/>
  <c r="AK470" i="32" s="1"/>
  <c r="AI523" i="32"/>
  <c r="AK523" i="32" s="1"/>
  <c r="AH510" i="32"/>
  <c r="AJ510" i="32" s="1"/>
  <c r="AH509" i="32"/>
  <c r="AJ509" i="32" s="1"/>
  <c r="AH508" i="32"/>
  <c r="AJ508" i="32" s="1"/>
  <c r="AI496" i="32"/>
  <c r="AK496" i="32" s="1"/>
  <c r="AH483" i="32"/>
  <c r="AJ483" i="32" s="1"/>
  <c r="AH482" i="32"/>
  <c r="AJ482" i="32" s="1"/>
  <c r="AH481" i="32"/>
  <c r="AJ481" i="32" s="1"/>
  <c r="AI469" i="32"/>
  <c r="AK469" i="32" s="1"/>
  <c r="AH462" i="32"/>
  <c r="AJ462" i="32" s="1"/>
  <c r="AH453" i="32"/>
  <c r="AJ453" i="32" s="1"/>
  <c r="AI449" i="32"/>
  <c r="AK449" i="32" s="1"/>
  <c r="AI446" i="32"/>
  <c r="AK446" i="32" s="1"/>
  <c r="AI443" i="32"/>
  <c r="AK443" i="32" s="1"/>
  <c r="AI440" i="32"/>
  <c r="AK440" i="32" s="1"/>
  <c r="AI437" i="32"/>
  <c r="AK437" i="32" s="1"/>
  <c r="AI434" i="32"/>
  <c r="AK434" i="32" s="1"/>
  <c r="AI431" i="32"/>
  <c r="AK431" i="32" s="1"/>
  <c r="AI428" i="32"/>
  <c r="AK428" i="32" s="1"/>
  <c r="AI425" i="32"/>
  <c r="AK425" i="32" s="1"/>
  <c r="AI525" i="32"/>
  <c r="AK525" i="32" s="1"/>
  <c r="AH524" i="32"/>
  <c r="AJ524" i="32" s="1"/>
  <c r="AH523" i="32"/>
  <c r="AJ523" i="32" s="1"/>
  <c r="AI511" i="32"/>
  <c r="AK511" i="32" s="1"/>
  <c r="AI498" i="32"/>
  <c r="AK498" i="32" s="1"/>
  <c r="AH497" i="32"/>
  <c r="AJ497" i="32" s="1"/>
  <c r="AH496" i="32"/>
  <c r="AJ496" i="32" s="1"/>
  <c r="AI484" i="32"/>
  <c r="AK484" i="32" s="1"/>
  <c r="AI471" i="32"/>
  <c r="AK471" i="32" s="1"/>
  <c r="AH470" i="32"/>
  <c r="AJ470" i="32" s="1"/>
  <c r="AH469" i="32"/>
  <c r="AJ469" i="32" s="1"/>
  <c r="AI461" i="32"/>
  <c r="AK461" i="32" s="1"/>
  <c r="AH449" i="32"/>
  <c r="AJ449" i="32" s="1"/>
  <c r="AH446" i="32"/>
  <c r="AJ446" i="32" s="1"/>
  <c r="AH443" i="32"/>
  <c r="AJ443" i="32" s="1"/>
  <c r="AH440" i="32"/>
  <c r="AJ440" i="32" s="1"/>
  <c r="AH437" i="32"/>
  <c r="AJ437" i="32" s="1"/>
  <c r="AH434" i="32"/>
  <c r="AJ434" i="32" s="1"/>
  <c r="AH431" i="32"/>
  <c r="AJ431" i="32" s="1"/>
  <c r="AH428" i="32"/>
  <c r="AJ428" i="32" s="1"/>
  <c r="AH425" i="32"/>
  <c r="AJ425" i="32" s="1"/>
  <c r="AH527" i="32"/>
  <c r="AJ527" i="32" s="1"/>
  <c r="AH526" i="32"/>
  <c r="AJ526" i="32" s="1"/>
  <c r="AI514" i="32"/>
  <c r="AK514" i="32" s="1"/>
  <c r="AH501" i="32"/>
  <c r="AJ501" i="32" s="1"/>
  <c r="AH500" i="32"/>
  <c r="AJ500" i="32" s="1"/>
  <c r="AH499" i="32"/>
  <c r="AJ499" i="32" s="1"/>
  <c r="AI516" i="32"/>
  <c r="AK516" i="32" s="1"/>
  <c r="AH515" i="32"/>
  <c r="AJ515" i="32" s="1"/>
  <c r="AH514" i="32"/>
  <c r="AJ514" i="32" s="1"/>
  <c r="AI502" i="32"/>
  <c r="AK502" i="32" s="1"/>
  <c r="AI489" i="32"/>
  <c r="AK489" i="32" s="1"/>
  <c r="AH488" i="32"/>
  <c r="AJ488" i="32" s="1"/>
  <c r="AI519" i="32"/>
  <c r="AK519" i="32" s="1"/>
  <c r="AI518" i="32"/>
  <c r="AK518" i="32" s="1"/>
  <c r="AI517" i="32"/>
  <c r="AK517" i="32" s="1"/>
  <c r="AH504" i="32"/>
  <c r="AJ504" i="32" s="1"/>
  <c r="AI492" i="32"/>
  <c r="AK492" i="32" s="1"/>
  <c r="AI491" i="32"/>
  <c r="AK491" i="32" s="1"/>
  <c r="AI490" i="32"/>
  <c r="AK490" i="32" s="1"/>
  <c r="AH477" i="32"/>
  <c r="AJ477" i="32" s="1"/>
  <c r="AI465" i="32"/>
  <c r="AK465" i="32" s="1"/>
  <c r="AH457" i="32"/>
  <c r="AJ457" i="32" s="1"/>
  <c r="AI456" i="32"/>
  <c r="AK456" i="32" s="1"/>
  <c r="AI527" i="32"/>
  <c r="AK527" i="32" s="1"/>
  <c r="AI501" i="32"/>
  <c r="AK501" i="32" s="1"/>
  <c r="AH492" i="32"/>
  <c r="AJ492" i="32" s="1"/>
  <c r="AI480" i="32"/>
  <c r="AK480" i="32" s="1"/>
  <c r="AI435" i="32"/>
  <c r="AK435" i="32" s="1"/>
  <c r="AI426" i="32"/>
  <c r="AK426" i="32" s="1"/>
  <c r="AH525" i="32"/>
  <c r="AJ525" i="32" s="1"/>
  <c r="AH512" i="32"/>
  <c r="AJ512" i="32" s="1"/>
  <c r="AH480" i="32"/>
  <c r="AJ480" i="32" s="1"/>
  <c r="AI477" i="32"/>
  <c r="AK477" i="32" s="1"/>
  <c r="AI474" i="32"/>
  <c r="AK474" i="32" s="1"/>
  <c r="AH467" i="32"/>
  <c r="AJ467" i="32" s="1"/>
  <c r="AI463" i="32"/>
  <c r="AK463" i="32" s="1"/>
  <c r="AI457" i="32"/>
  <c r="AK457" i="32" s="1"/>
  <c r="AH435" i="32"/>
  <c r="AJ435" i="32" s="1"/>
  <c r="AH426" i="32"/>
  <c r="AJ426" i="32" s="1"/>
  <c r="AI526" i="32"/>
  <c r="AK526" i="32" s="1"/>
  <c r="AH513" i="32"/>
  <c r="AJ513" i="32" s="1"/>
  <c r="AI500" i="32"/>
  <c r="AK500" i="32" s="1"/>
  <c r="AH475" i="32"/>
  <c r="AJ475" i="32" s="1"/>
  <c r="AI472" i="32"/>
  <c r="AK472" i="32" s="1"/>
  <c r="AH520" i="32"/>
  <c r="AJ520" i="32" s="1"/>
  <c r="AH518" i="32"/>
  <c r="AJ518" i="32" s="1"/>
  <c r="AI510" i="32"/>
  <c r="AK510" i="32" s="1"/>
  <c r="AI493" i="32"/>
  <c r="AK493" i="32" s="1"/>
  <c r="AI481" i="32"/>
  <c r="AK481" i="32" s="1"/>
  <c r="AH479" i="32"/>
  <c r="AJ479" i="32" s="1"/>
  <c r="AH461" i="32"/>
  <c r="AJ461" i="32" s="1"/>
  <c r="AI458" i="32"/>
  <c r="AK458" i="32" s="1"/>
  <c r="AI451" i="32"/>
  <c r="AK451" i="32" s="1"/>
  <c r="AH445" i="32"/>
  <c r="AJ445" i="32" s="1"/>
  <c r="AI505" i="32"/>
  <c r="AK505" i="32" s="1"/>
  <c r="AI495" i="32"/>
  <c r="AK495" i="32" s="1"/>
  <c r="AH493" i="32"/>
  <c r="AJ493" i="32" s="1"/>
  <c r="AI475" i="32"/>
  <c r="AK475" i="32" s="1"/>
  <c r="AI473" i="32"/>
  <c r="AK473" i="32" s="1"/>
  <c r="AH471" i="32"/>
  <c r="AJ471" i="32" s="1"/>
  <c r="AH458" i="32"/>
  <c r="AJ458" i="32" s="1"/>
  <c r="AH451" i="32"/>
  <c r="AJ451" i="32" s="1"/>
  <c r="AI436" i="32"/>
  <c r="AK436" i="32" s="1"/>
  <c r="AI424" i="32"/>
  <c r="AK424" i="32" s="1"/>
  <c r="AI423" i="32"/>
  <c r="AK423" i="32" s="1"/>
  <c r="AH505" i="32"/>
  <c r="AJ505" i="32" s="1"/>
  <c r="AH495" i="32"/>
  <c r="AJ495" i="32" s="1"/>
  <c r="AH473" i="32"/>
  <c r="AJ473" i="32" s="1"/>
  <c r="AI455" i="32"/>
  <c r="AK455" i="32" s="1"/>
  <c r="AI452" i="32"/>
  <c r="AK452" i="32" s="1"/>
  <c r="AH436" i="32"/>
  <c r="AJ436" i="32" s="1"/>
  <c r="AH424" i="32"/>
  <c r="AJ424" i="32" s="1"/>
  <c r="AH423" i="32"/>
  <c r="AJ423" i="32" s="1"/>
  <c r="AI422" i="32"/>
  <c r="AK422" i="32" s="1"/>
  <c r="AI418" i="32"/>
  <c r="AK418" i="32" s="1"/>
  <c r="AI415" i="32"/>
  <c r="AK415" i="32" s="1"/>
  <c r="AI412" i="32"/>
  <c r="AK412" i="32" s="1"/>
  <c r="AI520" i="32"/>
  <c r="AK520" i="32" s="1"/>
  <c r="AH517" i="32"/>
  <c r="AJ517" i="32" s="1"/>
  <c r="AI507" i="32"/>
  <c r="AK507" i="32" s="1"/>
  <c r="AI486" i="32"/>
  <c r="AK486" i="32" s="1"/>
  <c r="AI487" i="32"/>
  <c r="AK487" i="32" s="1"/>
  <c r="AH468" i="32"/>
  <c r="AJ468" i="32" s="1"/>
  <c r="AI466" i="32"/>
  <c r="AK466" i="32" s="1"/>
  <c r="AI450" i="32"/>
  <c r="AK450" i="32" s="1"/>
  <c r="AI444" i="32"/>
  <c r="AK444" i="32" s="1"/>
  <c r="AI433" i="32"/>
  <c r="AK433" i="32" s="1"/>
  <c r="AI432" i="32"/>
  <c r="AK432" i="32" s="1"/>
  <c r="AI508" i="32"/>
  <c r="AK508" i="32" s="1"/>
  <c r="AI499" i="32"/>
  <c r="AK499" i="32" s="1"/>
  <c r="AH521" i="32"/>
  <c r="AJ521" i="32" s="1"/>
  <c r="AH516" i="32"/>
  <c r="AJ516" i="32" s="1"/>
  <c r="AH507" i="32"/>
  <c r="AJ507" i="32" s="1"/>
  <c r="AH491" i="32"/>
  <c r="AJ491" i="32" s="1"/>
  <c r="AH466" i="32"/>
  <c r="AJ466" i="32" s="1"/>
  <c r="AH432" i="32"/>
  <c r="AJ432" i="32" s="1"/>
  <c r="AI427" i="32"/>
  <c r="AK427" i="32" s="1"/>
  <c r="AI421" i="32"/>
  <c r="AK421" i="32" s="1"/>
  <c r="AI413" i="32"/>
  <c r="AK413" i="32" s="1"/>
  <c r="AI402" i="32"/>
  <c r="AK402" i="32" s="1"/>
  <c r="AI393" i="32"/>
  <c r="AK393" i="32" s="1"/>
  <c r="AI384" i="32"/>
  <c r="AK384" i="32" s="1"/>
  <c r="AI375" i="32"/>
  <c r="AK375" i="32" s="1"/>
  <c r="AI368" i="32"/>
  <c r="AK368" i="32" s="1"/>
  <c r="AI359" i="32"/>
  <c r="AK359" i="32" s="1"/>
  <c r="AH351" i="32"/>
  <c r="AJ351" i="32" s="1"/>
  <c r="AH348" i="32"/>
  <c r="AJ348" i="32" s="1"/>
  <c r="AH345" i="32"/>
  <c r="AJ345" i="32" s="1"/>
  <c r="AH342" i="32"/>
  <c r="AJ342" i="32" s="1"/>
  <c r="AH339" i="32"/>
  <c r="AJ339" i="32" s="1"/>
  <c r="AH336" i="32"/>
  <c r="AJ336" i="32" s="1"/>
  <c r="AH333" i="32"/>
  <c r="AJ333" i="32" s="1"/>
  <c r="AH330" i="32"/>
  <c r="AJ330" i="32" s="1"/>
  <c r="AH327" i="32"/>
  <c r="AJ327" i="32" s="1"/>
  <c r="AH324" i="32"/>
  <c r="AJ324" i="32" s="1"/>
  <c r="AH321" i="32"/>
  <c r="AJ321" i="32" s="1"/>
  <c r="AH511" i="32"/>
  <c r="AJ511" i="32" s="1"/>
  <c r="AH502" i="32"/>
  <c r="AJ502" i="32" s="1"/>
  <c r="AH494" i="32"/>
  <c r="AJ494" i="32" s="1"/>
  <c r="AH490" i="32"/>
  <c r="AJ490" i="32" s="1"/>
  <c r="AH465" i="32"/>
  <c r="AJ465" i="32" s="1"/>
  <c r="AH463" i="32"/>
  <c r="AJ463" i="32" s="1"/>
  <c r="AH452" i="32"/>
  <c r="AJ452" i="32" s="1"/>
  <c r="AI438" i="32"/>
  <c r="AK438" i="32" s="1"/>
  <c r="AI430" i="32"/>
  <c r="AK430" i="32" s="1"/>
  <c r="AH422" i="32"/>
  <c r="AJ422" i="32" s="1"/>
  <c r="AH415" i="32"/>
  <c r="AJ415" i="32" s="1"/>
  <c r="AH414" i="32"/>
  <c r="AJ414" i="32" s="1"/>
  <c r="AI401" i="32"/>
  <c r="AK401" i="32" s="1"/>
  <c r="AI400" i="32"/>
  <c r="AK400" i="32" s="1"/>
  <c r="AI392" i="32"/>
  <c r="AK392" i="32" s="1"/>
  <c r="AI391" i="32"/>
  <c r="AK391" i="32" s="1"/>
  <c r="AI383" i="32"/>
  <c r="AK383" i="32" s="1"/>
  <c r="AI382" i="32"/>
  <c r="AK382" i="32" s="1"/>
  <c r="AI522" i="32"/>
  <c r="AK522" i="32" s="1"/>
  <c r="AI478" i="32"/>
  <c r="AK478" i="32" s="1"/>
  <c r="AH464" i="32"/>
  <c r="AJ464" i="32" s="1"/>
  <c r="AI453" i="32"/>
  <c r="AK453" i="32" s="1"/>
  <c r="AH442" i="32"/>
  <c r="AJ442" i="32" s="1"/>
  <c r="AH419" i="32"/>
  <c r="AJ419" i="32" s="1"/>
  <c r="AI411" i="32"/>
  <c r="AK411" i="32" s="1"/>
  <c r="AH410" i="32"/>
  <c r="AJ410" i="32" s="1"/>
  <c r="AH408" i="32"/>
  <c r="AJ408" i="32" s="1"/>
  <c r="AH407" i="32"/>
  <c r="AJ407" i="32" s="1"/>
  <c r="AH405" i="32"/>
  <c r="AJ405" i="32" s="1"/>
  <c r="AH396" i="32"/>
  <c r="AJ396" i="32" s="1"/>
  <c r="AH387" i="32"/>
  <c r="AJ387" i="32" s="1"/>
  <c r="AI483" i="32"/>
  <c r="AK483" i="32" s="1"/>
  <c r="AH447" i="32"/>
  <c r="AJ447" i="32" s="1"/>
  <c r="AI409" i="32"/>
  <c r="AK409" i="32" s="1"/>
  <c r="AH404" i="32"/>
  <c r="AJ404" i="32" s="1"/>
  <c r="AI399" i="32"/>
  <c r="AK399" i="32" s="1"/>
  <c r="AH398" i="32"/>
  <c r="AJ398" i="32" s="1"/>
  <c r="AH386" i="32"/>
  <c r="AJ386" i="32" s="1"/>
  <c r="AI381" i="32"/>
  <c r="AK381" i="32" s="1"/>
  <c r="AH380" i="32"/>
  <c r="AJ380" i="32" s="1"/>
  <c r="AH369" i="32"/>
  <c r="AJ369" i="32" s="1"/>
  <c r="AI360" i="32"/>
  <c r="AK360" i="32" s="1"/>
  <c r="AI352" i="32"/>
  <c r="AK352" i="32" s="1"/>
  <c r="AI343" i="32"/>
  <c r="AK343" i="32" s="1"/>
  <c r="AI334" i="32"/>
  <c r="AK334" i="32" s="1"/>
  <c r="AI325" i="32"/>
  <c r="AK325" i="32" s="1"/>
  <c r="AH317" i="32"/>
  <c r="AJ317" i="32" s="1"/>
  <c r="AH314" i="32"/>
  <c r="AJ314" i="32" s="1"/>
  <c r="AH311" i="32"/>
  <c r="AJ311" i="32" s="1"/>
  <c r="AH308" i="32"/>
  <c r="AJ308" i="32" s="1"/>
  <c r="AH305" i="32"/>
  <c r="AJ305" i="32" s="1"/>
  <c r="AH302" i="32"/>
  <c r="AJ302" i="32" s="1"/>
  <c r="AH299" i="32"/>
  <c r="AJ299" i="32" s="1"/>
  <c r="AH296" i="32"/>
  <c r="AJ296" i="32" s="1"/>
  <c r="AH293" i="32"/>
  <c r="AJ293" i="32" s="1"/>
  <c r="AH498" i="32"/>
  <c r="AJ498" i="32" s="1"/>
  <c r="AH487" i="32"/>
  <c r="AJ487" i="32" s="1"/>
  <c r="AH474" i="32"/>
  <c r="AJ474" i="32" s="1"/>
  <c r="AI442" i="32"/>
  <c r="AK442" i="32" s="1"/>
  <c r="AH427" i="32"/>
  <c r="AJ427" i="32" s="1"/>
  <c r="AH421" i="32"/>
  <c r="AJ421" i="32" s="1"/>
  <c r="AH409" i="32"/>
  <c r="AJ409" i="32" s="1"/>
  <c r="AI405" i="32"/>
  <c r="AK405" i="32" s="1"/>
  <c r="AH399" i="32"/>
  <c r="AJ399" i="32" s="1"/>
  <c r="AH393" i="32"/>
  <c r="AJ393" i="32" s="1"/>
  <c r="AI387" i="32"/>
  <c r="AK387" i="32" s="1"/>
  <c r="AH381" i="32"/>
  <c r="AJ381" i="32" s="1"/>
  <c r="AH368" i="32"/>
  <c r="AJ368" i="32" s="1"/>
  <c r="AI367" i="32"/>
  <c r="AK367" i="32" s="1"/>
  <c r="AH360" i="32"/>
  <c r="AJ360" i="32" s="1"/>
  <c r="AH352" i="32"/>
  <c r="AJ352" i="32" s="1"/>
  <c r="AI347" i="32"/>
  <c r="AK347" i="32" s="1"/>
  <c r="AH343" i="32"/>
  <c r="AJ343" i="32" s="1"/>
  <c r="AI504" i="32"/>
  <c r="AK504" i="32" s="1"/>
  <c r="AH486" i="32"/>
  <c r="AJ486" i="32" s="1"/>
  <c r="AI482" i="32"/>
  <c r="AK482" i="32" s="1"/>
  <c r="AH478" i="32"/>
  <c r="AJ478" i="32" s="1"/>
  <c r="AI460" i="32"/>
  <c r="AK460" i="32" s="1"/>
  <c r="AI429" i="32"/>
  <c r="AK429" i="32" s="1"/>
  <c r="AH400" i="32"/>
  <c r="AJ400" i="32" s="1"/>
  <c r="AI394" i="32"/>
  <c r="AK394" i="32" s="1"/>
  <c r="AI388" i="32"/>
  <c r="AK388" i="32" s="1"/>
  <c r="AH382" i="32"/>
  <c r="AJ382" i="32" s="1"/>
  <c r="AH367" i="32"/>
  <c r="AJ367" i="32" s="1"/>
  <c r="AH359" i="32"/>
  <c r="AJ359" i="32" s="1"/>
  <c r="AI358" i="32"/>
  <c r="AK358" i="32" s="1"/>
  <c r="AH347" i="32"/>
  <c r="AJ347" i="32" s="1"/>
  <c r="AH338" i="32"/>
  <c r="AJ338" i="32" s="1"/>
  <c r="AH460" i="32"/>
  <c r="AJ460" i="32" s="1"/>
  <c r="AI454" i="32"/>
  <c r="AK454" i="32" s="1"/>
  <c r="AH433" i="32"/>
  <c r="AJ433" i="32" s="1"/>
  <c r="AH429" i="32"/>
  <c r="AJ429" i="32" s="1"/>
  <c r="AI416" i="32"/>
  <c r="AK416" i="32" s="1"/>
  <c r="AI406" i="32"/>
  <c r="AK406" i="32" s="1"/>
  <c r="AH394" i="32"/>
  <c r="AJ394" i="32" s="1"/>
  <c r="AH388" i="32"/>
  <c r="AJ388" i="32" s="1"/>
  <c r="AI366" i="32"/>
  <c r="AK366" i="32" s="1"/>
  <c r="AH503" i="32"/>
  <c r="AJ503" i="32" s="1"/>
  <c r="AH454" i="32"/>
  <c r="AJ454" i="32" s="1"/>
  <c r="AH444" i="32"/>
  <c r="AJ444" i="32" s="1"/>
  <c r="AI419" i="32"/>
  <c r="AK419" i="32" s="1"/>
  <c r="AH416" i="32"/>
  <c r="AJ416" i="32" s="1"/>
  <c r="AH413" i="32"/>
  <c r="AJ413" i="32" s="1"/>
  <c r="AI410" i="32"/>
  <c r="AK410" i="32" s="1"/>
  <c r="AH406" i="32"/>
  <c r="AJ406" i="32" s="1"/>
  <c r="AH366" i="32"/>
  <c r="AJ366" i="32" s="1"/>
  <c r="AI513" i="32"/>
  <c r="AK513" i="32" s="1"/>
  <c r="AH506" i="32"/>
  <c r="AJ506" i="32" s="1"/>
  <c r="AI464" i="32"/>
  <c r="AK464" i="32" s="1"/>
  <c r="AI445" i="32"/>
  <c r="AK445" i="32" s="1"/>
  <c r="AI509" i="32"/>
  <c r="AK509" i="32" s="1"/>
  <c r="AH401" i="32"/>
  <c r="AJ401" i="32" s="1"/>
  <c r="AI397" i="32"/>
  <c r="AK397" i="32" s="1"/>
  <c r="AH395" i="32"/>
  <c r="AJ395" i="32" s="1"/>
  <c r="AI377" i="32"/>
  <c r="AK377" i="32" s="1"/>
  <c r="AH372" i="32"/>
  <c r="AJ372" i="32" s="1"/>
  <c r="AH363" i="32"/>
  <c r="AJ363" i="32" s="1"/>
  <c r="AH357" i="32"/>
  <c r="AJ357" i="32" s="1"/>
  <c r="AI350" i="32"/>
  <c r="AK350" i="32" s="1"/>
  <c r="AI349" i="32"/>
  <c r="AK349" i="32" s="1"/>
  <c r="AI348" i="32"/>
  <c r="AK348" i="32" s="1"/>
  <c r="AH331" i="32"/>
  <c r="AJ331" i="32" s="1"/>
  <c r="AI322" i="32"/>
  <c r="AK322" i="32" s="1"/>
  <c r="AH316" i="32"/>
  <c r="AJ316" i="32" s="1"/>
  <c r="AH307" i="32"/>
  <c r="AJ307" i="32" s="1"/>
  <c r="AH298" i="32"/>
  <c r="AJ298" i="32" s="1"/>
  <c r="AI462" i="32"/>
  <c r="AK462" i="32" s="1"/>
  <c r="AI441" i="32"/>
  <c r="AK441" i="32" s="1"/>
  <c r="AH438" i="32"/>
  <c r="AJ438" i="32" s="1"/>
  <c r="AI420" i="32"/>
  <c r="AK420" i="32" s="1"/>
  <c r="AI403" i="32"/>
  <c r="AK403" i="32" s="1"/>
  <c r="AH397" i="32"/>
  <c r="AJ397" i="32" s="1"/>
  <c r="AH377" i="32"/>
  <c r="AJ377" i="32" s="1"/>
  <c r="AI370" i="32"/>
  <c r="AK370" i="32" s="1"/>
  <c r="AI364" i="32"/>
  <c r="AK364" i="32" s="1"/>
  <c r="AH358" i="32"/>
  <c r="AJ358" i="32" s="1"/>
  <c r="AI351" i="32"/>
  <c r="AK351" i="32" s="1"/>
  <c r="AH350" i="32"/>
  <c r="AJ350" i="32" s="1"/>
  <c r="AH349" i="32"/>
  <c r="AJ349" i="32" s="1"/>
  <c r="AI330" i="32"/>
  <c r="AK330" i="32" s="1"/>
  <c r="AI329" i="32"/>
  <c r="AK329" i="32" s="1"/>
  <c r="AH322" i="32"/>
  <c r="AJ322" i="32" s="1"/>
  <c r="AI311" i="32"/>
  <c r="AK311" i="32" s="1"/>
  <c r="AI302" i="32"/>
  <c r="AK302" i="32" s="1"/>
  <c r="AI293" i="32"/>
  <c r="AK293" i="32" s="1"/>
  <c r="AH522" i="32"/>
  <c r="AJ522" i="32" s="1"/>
  <c r="AH485" i="32"/>
  <c r="AJ485" i="32" s="1"/>
  <c r="AH456" i="32"/>
  <c r="AJ456" i="32" s="1"/>
  <c r="AH441" i="32"/>
  <c r="AJ441" i="32" s="1"/>
  <c r="AH430" i="32"/>
  <c r="AJ430" i="32" s="1"/>
  <c r="AH420" i="32"/>
  <c r="AJ420" i="32" s="1"/>
  <c r="AI417" i="32"/>
  <c r="AK417" i="32" s="1"/>
  <c r="AH403" i="32"/>
  <c r="AJ403" i="32" s="1"/>
  <c r="AH375" i="32"/>
  <c r="AJ375" i="32" s="1"/>
  <c r="AH370" i="32"/>
  <c r="AJ370" i="32" s="1"/>
  <c r="AH364" i="32"/>
  <c r="AJ364" i="32" s="1"/>
  <c r="AI338" i="32"/>
  <c r="AK338" i="32" s="1"/>
  <c r="AI337" i="32"/>
  <c r="AK337" i="32" s="1"/>
  <c r="AH329" i="32"/>
  <c r="AJ329" i="32" s="1"/>
  <c r="AH484" i="32"/>
  <c r="AJ484" i="32" s="1"/>
  <c r="AH476" i="32"/>
  <c r="AJ476" i="32" s="1"/>
  <c r="AI468" i="32"/>
  <c r="AK468" i="32" s="1"/>
  <c r="AH417" i="32"/>
  <c r="AJ417" i="32" s="1"/>
  <c r="AH412" i="32"/>
  <c r="AJ412" i="32" s="1"/>
  <c r="AI407" i="32"/>
  <c r="AK407" i="32" s="1"/>
  <c r="AI373" i="32"/>
  <c r="AK373" i="32" s="1"/>
  <c r="AI365" i="32"/>
  <c r="AK365" i="32" s="1"/>
  <c r="AI341" i="32"/>
  <c r="AK341" i="32" s="1"/>
  <c r="AI340" i="32"/>
  <c r="AK340" i="32" s="1"/>
  <c r="AI339" i="32"/>
  <c r="AK339" i="32" s="1"/>
  <c r="AH337" i="32"/>
  <c r="AJ337" i="32" s="1"/>
  <c r="AI328" i="32"/>
  <c r="AK328" i="32" s="1"/>
  <c r="AH320" i="32"/>
  <c r="AJ320" i="32" s="1"/>
  <c r="AH448" i="32"/>
  <c r="AJ448" i="32" s="1"/>
  <c r="AH439" i="32"/>
  <c r="AJ439" i="32" s="1"/>
  <c r="AI398" i="32"/>
  <c r="AK398" i="32" s="1"/>
  <c r="AH371" i="32"/>
  <c r="AJ371" i="32" s="1"/>
  <c r="AI361" i="32"/>
  <c r="AK361" i="32" s="1"/>
  <c r="AI355" i="32"/>
  <c r="AK355" i="32" s="1"/>
  <c r="AI346" i="32"/>
  <c r="AK346" i="32" s="1"/>
  <c r="AI345" i="32"/>
  <c r="AK345" i="32" s="1"/>
  <c r="AH344" i="32"/>
  <c r="AJ344" i="32" s="1"/>
  <c r="AI333" i="32"/>
  <c r="AK333" i="32" s="1"/>
  <c r="AH519" i="32"/>
  <c r="AJ519" i="32" s="1"/>
  <c r="AH390" i="32"/>
  <c r="AJ390" i="32" s="1"/>
  <c r="AH383" i="32"/>
  <c r="AJ383" i="32" s="1"/>
  <c r="AH374" i="32"/>
  <c r="AJ374" i="32" s="1"/>
  <c r="AI371" i="32"/>
  <c r="AK371" i="32" s="1"/>
  <c r="AI353" i="32"/>
  <c r="AK353" i="32" s="1"/>
  <c r="AH335" i="32"/>
  <c r="AJ335" i="32" s="1"/>
  <c r="AH332" i="32"/>
  <c r="AJ332" i="32" s="1"/>
  <c r="AI439" i="32"/>
  <c r="AK439" i="32" s="1"/>
  <c r="AH365" i="32"/>
  <c r="AJ365" i="32" s="1"/>
  <c r="AI357" i="32"/>
  <c r="AK357" i="32" s="1"/>
  <c r="AH355" i="32"/>
  <c r="AJ355" i="32" s="1"/>
  <c r="AH353" i="32"/>
  <c r="AJ353" i="32" s="1"/>
  <c r="AH290" i="32"/>
  <c r="AJ290" i="32" s="1"/>
  <c r="AH289" i="32"/>
  <c r="AJ289" i="32" s="1"/>
  <c r="AH281" i="32"/>
  <c r="AJ281" i="32" s="1"/>
  <c r="AH280" i="32"/>
  <c r="AJ280" i="32" s="1"/>
  <c r="AH272" i="32"/>
  <c r="AJ272" i="32" s="1"/>
  <c r="AH271" i="32"/>
  <c r="AJ271" i="32" s="1"/>
  <c r="AH263" i="32"/>
  <c r="AJ263" i="32" s="1"/>
  <c r="AH262" i="32"/>
  <c r="AJ262" i="32" s="1"/>
  <c r="AH455" i="32"/>
  <c r="AJ455" i="32" s="1"/>
  <c r="AI447" i="32"/>
  <c r="AK447" i="32" s="1"/>
  <c r="AI408" i="32"/>
  <c r="AK408" i="32" s="1"/>
  <c r="AI404" i="32"/>
  <c r="AK404" i="32" s="1"/>
  <c r="AI386" i="32"/>
  <c r="AK386" i="32" s="1"/>
  <c r="AH379" i="32"/>
  <c r="AJ379" i="32" s="1"/>
  <c r="AH376" i="32"/>
  <c r="AJ376" i="32" s="1"/>
  <c r="AI336" i="32"/>
  <c r="AK336" i="32" s="1"/>
  <c r="AH323" i="32"/>
  <c r="AJ323" i="32" s="1"/>
  <c r="AH288" i="32"/>
  <c r="AJ288" i="32" s="1"/>
  <c r="AH279" i="32"/>
  <c r="AJ279" i="32" s="1"/>
  <c r="AH270" i="32"/>
  <c r="AJ270" i="32" s="1"/>
  <c r="AH261" i="32"/>
  <c r="AJ261" i="32" s="1"/>
  <c r="AI254" i="32"/>
  <c r="AK254" i="32" s="1"/>
  <c r="AI251" i="32"/>
  <c r="AK251" i="32" s="1"/>
  <c r="AI248" i="32"/>
  <c r="AK248" i="32" s="1"/>
  <c r="AI245" i="32"/>
  <c r="AK245" i="32" s="1"/>
  <c r="AI242" i="32"/>
  <c r="AI239" i="32"/>
  <c r="AK239" i="32" s="1"/>
  <c r="AI236" i="32"/>
  <c r="AI233" i="32"/>
  <c r="AI230" i="32"/>
  <c r="AK230" i="32" s="1"/>
  <c r="AI227" i="32"/>
  <c r="AK227" i="32" s="1"/>
  <c r="AI224" i="32"/>
  <c r="AK224" i="32" s="1"/>
  <c r="AI221" i="32"/>
  <c r="AK221" i="32" s="1"/>
  <c r="AH411" i="32"/>
  <c r="AJ411" i="32" s="1"/>
  <c r="AI396" i="32"/>
  <c r="AK396" i="32" s="1"/>
  <c r="AI389" i="32"/>
  <c r="AK389" i="32" s="1"/>
  <c r="AH389" i="32"/>
  <c r="AJ389" i="32" s="1"/>
  <c r="AI414" i="32"/>
  <c r="AK414" i="32" s="1"/>
  <c r="AI385" i="32"/>
  <c r="AK385" i="32" s="1"/>
  <c r="AI379" i="32"/>
  <c r="AK379" i="32" s="1"/>
  <c r="AI356" i="32"/>
  <c r="AK356" i="32" s="1"/>
  <c r="AI326" i="32"/>
  <c r="AK326" i="32" s="1"/>
  <c r="AI324" i="32"/>
  <c r="AK324" i="32" s="1"/>
  <c r="AI321" i="32"/>
  <c r="AK321" i="32" s="1"/>
  <c r="AI315" i="32"/>
  <c r="AK315" i="32" s="1"/>
  <c r="AH310" i="32"/>
  <c r="AJ310" i="32" s="1"/>
  <c r="AI303" i="32"/>
  <c r="AK303" i="32" s="1"/>
  <c r="AI297" i="32"/>
  <c r="AK297" i="32" s="1"/>
  <c r="AI289" i="32"/>
  <c r="AK289" i="32" s="1"/>
  <c r="AI277" i="32"/>
  <c r="AK277" i="32" s="1"/>
  <c r="AI276" i="32"/>
  <c r="AK276" i="32" s="1"/>
  <c r="AI275" i="32"/>
  <c r="AK275" i="32" s="1"/>
  <c r="AI262" i="32"/>
  <c r="AK262" i="32" s="1"/>
  <c r="AH252" i="32"/>
  <c r="AJ252" i="32" s="1"/>
  <c r="AH251" i="32"/>
  <c r="AJ251" i="32" s="1"/>
  <c r="AH243" i="32"/>
  <c r="AJ243" i="32" s="1"/>
  <c r="AH242" i="32"/>
  <c r="AH234" i="32"/>
  <c r="AH233" i="32"/>
  <c r="AH225" i="32"/>
  <c r="AJ225" i="32" s="1"/>
  <c r="AH224" i="32"/>
  <c r="AJ224" i="32" s="1"/>
  <c r="AH217" i="32"/>
  <c r="AJ217" i="32" s="1"/>
  <c r="AH392" i="32"/>
  <c r="AJ392" i="32" s="1"/>
  <c r="AH385" i="32"/>
  <c r="AJ385" i="32" s="1"/>
  <c r="AI378" i="32"/>
  <c r="AK378" i="32" s="1"/>
  <c r="AH356" i="32"/>
  <c r="AJ356" i="32" s="1"/>
  <c r="AH334" i="32"/>
  <c r="AJ334" i="32" s="1"/>
  <c r="AI332" i="32"/>
  <c r="AK332" i="32" s="1"/>
  <c r="AH326" i="32"/>
  <c r="AJ326" i="32" s="1"/>
  <c r="AI319" i="32"/>
  <c r="AK319" i="32" s="1"/>
  <c r="AH315" i="32"/>
  <c r="AJ315" i="32" s="1"/>
  <c r="AI304" i="32"/>
  <c r="AK304" i="32" s="1"/>
  <c r="AH303" i="32"/>
  <c r="AJ303" i="32" s="1"/>
  <c r="AH297" i="32"/>
  <c r="AJ297" i="32" s="1"/>
  <c r="AH277" i="32"/>
  <c r="AJ277" i="32" s="1"/>
  <c r="AH276" i="32"/>
  <c r="AJ276" i="32" s="1"/>
  <c r="AH275" i="32"/>
  <c r="AJ275" i="32" s="1"/>
  <c r="AI250" i="32"/>
  <c r="AK250" i="32" s="1"/>
  <c r="AI241" i="32"/>
  <c r="AI232" i="32"/>
  <c r="AI223" i="32"/>
  <c r="AK223" i="32" s="1"/>
  <c r="AH203" i="32"/>
  <c r="AH450" i="32"/>
  <c r="AJ450" i="32" s="1"/>
  <c r="AH384" i="32"/>
  <c r="AJ384" i="32" s="1"/>
  <c r="AH378" i="32"/>
  <c r="AJ378" i="32" s="1"/>
  <c r="AH361" i="32"/>
  <c r="AJ361" i="32" s="1"/>
  <c r="AH319" i="32"/>
  <c r="AJ319" i="32" s="1"/>
  <c r="AH304" i="32"/>
  <c r="AJ304" i="32" s="1"/>
  <c r="AI291" i="32"/>
  <c r="AK291" i="32" s="1"/>
  <c r="AI290" i="32"/>
  <c r="AK290" i="32" s="1"/>
  <c r="AI278" i="32"/>
  <c r="AK278" i="32" s="1"/>
  <c r="AI265" i="32"/>
  <c r="AK265" i="32" s="1"/>
  <c r="AI264" i="32"/>
  <c r="AK264" i="32" s="1"/>
  <c r="AI263" i="32"/>
  <c r="AK263" i="32" s="1"/>
  <c r="AH250" i="32"/>
  <c r="AJ250" i="32" s="1"/>
  <c r="AH241" i="32"/>
  <c r="AH232" i="32"/>
  <c r="AH223" i="32"/>
  <c r="AJ223" i="32" s="1"/>
  <c r="AI216" i="32"/>
  <c r="AK216" i="32" s="1"/>
  <c r="AI207" i="32"/>
  <c r="AI198" i="32"/>
  <c r="AH472" i="32"/>
  <c r="AJ472" i="32" s="1"/>
  <c r="AI305" i="32"/>
  <c r="AK305" i="32" s="1"/>
  <c r="AI298" i="32"/>
  <c r="AK298" i="32" s="1"/>
  <c r="AI292" i="32"/>
  <c r="AK292" i="32" s="1"/>
  <c r="AH291" i="32"/>
  <c r="AJ291" i="32" s="1"/>
  <c r="AI279" i="32"/>
  <c r="AK279" i="32" s="1"/>
  <c r="AH278" i="32"/>
  <c r="AJ278" i="32" s="1"/>
  <c r="AH265" i="32"/>
  <c r="AJ265" i="32" s="1"/>
  <c r="AH264" i="32"/>
  <c r="AJ264" i="32" s="1"/>
  <c r="AI249" i="32"/>
  <c r="AK249" i="32" s="1"/>
  <c r="AI448" i="32"/>
  <c r="AK448" i="32" s="1"/>
  <c r="AI390" i="32"/>
  <c r="AK390" i="32" s="1"/>
  <c r="AH373" i="32"/>
  <c r="AJ373" i="32" s="1"/>
  <c r="AI363" i="32"/>
  <c r="AK363" i="32" s="1"/>
  <c r="AI342" i="32"/>
  <c r="AK342" i="32" s="1"/>
  <c r="AI327" i="32"/>
  <c r="AK327" i="32" s="1"/>
  <c r="AI312" i="32"/>
  <c r="AK312" i="32" s="1"/>
  <c r="AH306" i="32"/>
  <c r="AJ306" i="32" s="1"/>
  <c r="AI299" i="32"/>
  <c r="AK299" i="32" s="1"/>
  <c r="AH268" i="32"/>
  <c r="AJ268" i="32" s="1"/>
  <c r="AH267" i="32"/>
  <c r="AJ267" i="32" s="1"/>
  <c r="AH266" i="32"/>
  <c r="AJ266" i="32" s="1"/>
  <c r="AI459" i="32"/>
  <c r="AK459" i="32" s="1"/>
  <c r="AH402" i="32"/>
  <c r="AJ402" i="32" s="1"/>
  <c r="AI395" i="32"/>
  <c r="AK395" i="32" s="1"/>
  <c r="AI376" i="32"/>
  <c r="AK376" i="32" s="1"/>
  <c r="AI369" i="32"/>
  <c r="AK369" i="32" s="1"/>
  <c r="AI354" i="32"/>
  <c r="AK354" i="32" s="1"/>
  <c r="AI323" i="32"/>
  <c r="AK323" i="32" s="1"/>
  <c r="AH313" i="32"/>
  <c r="AJ313" i="32" s="1"/>
  <c r="AH301" i="32"/>
  <c r="AJ301" i="32" s="1"/>
  <c r="AI294" i="32"/>
  <c r="AK294" i="32" s="1"/>
  <c r="AI286" i="32"/>
  <c r="AK286" i="32" s="1"/>
  <c r="AI285" i="32"/>
  <c r="AK285" i="32" s="1"/>
  <c r="AI284" i="32"/>
  <c r="AK284" i="32" s="1"/>
  <c r="AI271" i="32"/>
  <c r="AK271" i="32" s="1"/>
  <c r="AI259" i="32"/>
  <c r="AK259" i="32" s="1"/>
  <c r="AI258" i="32"/>
  <c r="AK258" i="32" s="1"/>
  <c r="AI257" i="32"/>
  <c r="AK257" i="32" s="1"/>
  <c r="AH255" i="32"/>
  <c r="AJ255" i="32" s="1"/>
  <c r="AH254" i="32"/>
  <c r="AJ254" i="32" s="1"/>
  <c r="AH246" i="32"/>
  <c r="AJ246" i="32" s="1"/>
  <c r="AH245" i="32"/>
  <c r="AJ245" i="32" s="1"/>
  <c r="AH459" i="32"/>
  <c r="AJ459" i="32" s="1"/>
  <c r="AH354" i="32"/>
  <c r="AJ354" i="32" s="1"/>
  <c r="AI344" i="32"/>
  <c r="AK344" i="32" s="1"/>
  <c r="AH341" i="32"/>
  <c r="AJ341" i="32" s="1"/>
  <c r="AI318" i="32"/>
  <c r="AK318" i="32" s="1"/>
  <c r="AI308" i="32"/>
  <c r="AK308" i="32" s="1"/>
  <c r="AI295" i="32"/>
  <c r="AK295" i="32" s="1"/>
  <c r="AH294" i="32"/>
  <c r="AJ294" i="32" s="1"/>
  <c r="AH286" i="32"/>
  <c r="AJ286" i="32" s="1"/>
  <c r="AH285" i="32"/>
  <c r="AJ285" i="32" s="1"/>
  <c r="AH284" i="32"/>
  <c r="AJ284" i="32" s="1"/>
  <c r="AH418" i="32"/>
  <c r="AJ418" i="32" s="1"/>
  <c r="AI372" i="32"/>
  <c r="AK372" i="32" s="1"/>
  <c r="AI362" i="32"/>
  <c r="AK362" i="32" s="1"/>
  <c r="AH318" i="32"/>
  <c r="AJ318" i="32" s="1"/>
  <c r="AI314" i="32"/>
  <c r="AK314" i="32" s="1"/>
  <c r="AI309" i="32"/>
  <c r="AK309" i="32" s="1"/>
  <c r="AH295" i="32"/>
  <c r="AJ295" i="32" s="1"/>
  <c r="AI287" i="32"/>
  <c r="AK287" i="32" s="1"/>
  <c r="AI274" i="32"/>
  <c r="AK274" i="32" s="1"/>
  <c r="AI273" i="32"/>
  <c r="AK273" i="32" s="1"/>
  <c r="AI272" i="32"/>
  <c r="AK272" i="32" s="1"/>
  <c r="AI260" i="32"/>
  <c r="AK260" i="32" s="1"/>
  <c r="AH253" i="32"/>
  <c r="AJ253" i="32" s="1"/>
  <c r="AH244" i="32"/>
  <c r="AJ244" i="32" s="1"/>
  <c r="AI316" i="32"/>
  <c r="AK316" i="32" s="1"/>
  <c r="AI268" i="32"/>
  <c r="AK268" i="32" s="1"/>
  <c r="AI255" i="32"/>
  <c r="AK255" i="32" s="1"/>
  <c r="AI246" i="32"/>
  <c r="AK246" i="32" s="1"/>
  <c r="AH236" i="32"/>
  <c r="AI218" i="32"/>
  <c r="AK218" i="32" s="1"/>
  <c r="AI217" i="32"/>
  <c r="AK217" i="32" s="1"/>
  <c r="AH210" i="32"/>
  <c r="AH209" i="32"/>
  <c r="AJ209" i="32" s="1"/>
  <c r="AI208" i="32"/>
  <c r="AK208" i="32" s="1"/>
  <c r="AH207" i="32"/>
  <c r="AH206" i="32"/>
  <c r="AI205" i="32"/>
  <c r="AI202" i="32"/>
  <c r="AI193" i="32"/>
  <c r="AH189" i="32"/>
  <c r="AJ189" i="32" s="1"/>
  <c r="AI184" i="32"/>
  <c r="AH180" i="32"/>
  <c r="AI175" i="32"/>
  <c r="AH171" i="32"/>
  <c r="AI166" i="32"/>
  <c r="AH160" i="32"/>
  <c r="AI155" i="32"/>
  <c r="AH151" i="32"/>
  <c r="AI146" i="32"/>
  <c r="AH142" i="32"/>
  <c r="AI137" i="32"/>
  <c r="AI133" i="32"/>
  <c r="AI130" i="32"/>
  <c r="AI127" i="32"/>
  <c r="AI124" i="32"/>
  <c r="AI121" i="32"/>
  <c r="AI118" i="32"/>
  <c r="AK118" i="32" s="1"/>
  <c r="AI115" i="32"/>
  <c r="AK115" i="32" s="1"/>
  <c r="AH325" i="32"/>
  <c r="AJ325" i="32" s="1"/>
  <c r="AI320" i="32"/>
  <c r="AK320" i="32" s="1"/>
  <c r="AH312" i="32"/>
  <c r="AJ312" i="32" s="1"/>
  <c r="AI281" i="32"/>
  <c r="AK281" i="32" s="1"/>
  <c r="AH259" i="32"/>
  <c r="AJ259" i="32" s="1"/>
  <c r="AH257" i="32"/>
  <c r="AJ257" i="32" s="1"/>
  <c r="AI253" i="32"/>
  <c r="AK253" i="32" s="1"/>
  <c r="AI244" i="32"/>
  <c r="AK244" i="32" s="1"/>
  <c r="AI231" i="32"/>
  <c r="AK231" i="32" s="1"/>
  <c r="AH218" i="32"/>
  <c r="AJ218" i="32" s="1"/>
  <c r="AH208" i="32"/>
  <c r="AJ208" i="32" s="1"/>
  <c r="AH205" i="32"/>
  <c r="AI204" i="32"/>
  <c r="AI203" i="32"/>
  <c r="AH202" i="32"/>
  <c r="AI201" i="32"/>
  <c r="AI200" i="32"/>
  <c r="AI197" i="32"/>
  <c r="AH193" i="32"/>
  <c r="AI188" i="32"/>
  <c r="AK188" i="32" s="1"/>
  <c r="AH184" i="32"/>
  <c r="AI179" i="32"/>
  <c r="AH175" i="32"/>
  <c r="AI170" i="32"/>
  <c r="AH166" i="32"/>
  <c r="AI159" i="32"/>
  <c r="AH155" i="32"/>
  <c r="AI150" i="32"/>
  <c r="AH146" i="32"/>
  <c r="AI141" i="32"/>
  <c r="AH137" i="32"/>
  <c r="AH133" i="32"/>
  <c r="AH130" i="32"/>
  <c r="AH127" i="32"/>
  <c r="AH124" i="32"/>
  <c r="AH121" i="32"/>
  <c r="AH118" i="32"/>
  <c r="AJ118" i="32" s="1"/>
  <c r="AH115" i="32"/>
  <c r="AJ115" i="32" s="1"/>
  <c r="AH112" i="32"/>
  <c r="AJ112" i="32" s="1"/>
  <c r="AH489" i="32"/>
  <c r="AJ489" i="32" s="1"/>
  <c r="AI331" i="32"/>
  <c r="AK331" i="32" s="1"/>
  <c r="AI301" i="32"/>
  <c r="AK301" i="32" s="1"/>
  <c r="AI237" i="32"/>
  <c r="AK237" i="32" s="1"/>
  <c r="AH231" i="32"/>
  <c r="AJ231" i="32" s="1"/>
  <c r="AI219" i="32"/>
  <c r="AH204" i="32"/>
  <c r="AH201" i="32"/>
  <c r="AH200" i="32"/>
  <c r="AI199" i="32"/>
  <c r="AH198" i="32"/>
  <c r="AH197" i="32"/>
  <c r="AH188" i="32"/>
  <c r="AJ188" i="32" s="1"/>
  <c r="AH179" i="32"/>
  <c r="AH170" i="32"/>
  <c r="AH159" i="32"/>
  <c r="AH150" i="32"/>
  <c r="AH141" i="32"/>
  <c r="AI380" i="32"/>
  <c r="AK380" i="32" s="1"/>
  <c r="AH287" i="32"/>
  <c r="AJ287" i="32" s="1"/>
  <c r="AH274" i="32"/>
  <c r="AJ274" i="32" s="1"/>
  <c r="AI261" i="32"/>
  <c r="AK261" i="32" s="1"/>
  <c r="AH249" i="32"/>
  <c r="AJ249" i="32" s="1"/>
  <c r="AI238" i="32"/>
  <c r="AK238" i="32" s="1"/>
  <c r="AH237" i="32"/>
  <c r="AJ237" i="32" s="1"/>
  <c r="AI225" i="32"/>
  <c r="AK225" i="32" s="1"/>
  <c r="AI220" i="32"/>
  <c r="AK220" i="32" s="1"/>
  <c r="AH219" i="32"/>
  <c r="AH199" i="32"/>
  <c r="AI192" i="32"/>
  <c r="AI183" i="32"/>
  <c r="AI174" i="32"/>
  <c r="AI163" i="32"/>
  <c r="AI154" i="32"/>
  <c r="AI145" i="32"/>
  <c r="AI136" i="32"/>
  <c r="AI335" i="32"/>
  <c r="AK335" i="32" s="1"/>
  <c r="AI307" i="32"/>
  <c r="AK307" i="32" s="1"/>
  <c r="AH300" i="32"/>
  <c r="AJ300" i="32" s="1"/>
  <c r="AH283" i="32"/>
  <c r="AJ283" i="32" s="1"/>
  <c r="AI270" i="32"/>
  <c r="AK270" i="32" s="1"/>
  <c r="AH256" i="32"/>
  <c r="AJ256" i="32" s="1"/>
  <c r="AH391" i="32"/>
  <c r="AJ391" i="32" s="1"/>
  <c r="AI374" i="32"/>
  <c r="AK374" i="32" s="1"/>
  <c r="AH340" i="32"/>
  <c r="AJ340" i="32" s="1"/>
  <c r="AI306" i="32"/>
  <c r="AK306" i="32" s="1"/>
  <c r="AH292" i="32"/>
  <c r="AJ292" i="32" s="1"/>
  <c r="AI266" i="32"/>
  <c r="AK266" i="32" s="1"/>
  <c r="AH260" i="32"/>
  <c r="AJ260" i="32" s="1"/>
  <c r="AI252" i="32"/>
  <c r="AK252" i="32" s="1"/>
  <c r="AI243" i="32"/>
  <c r="AK243" i="32" s="1"/>
  <c r="AH240" i="32"/>
  <c r="AJ240" i="32" s="1"/>
  <c r="AI228" i="32"/>
  <c r="AK228" i="32" s="1"/>
  <c r="AH222" i="32"/>
  <c r="AJ222" i="32" s="1"/>
  <c r="AI215" i="32"/>
  <c r="AK215" i="32" s="1"/>
  <c r="AI214" i="32"/>
  <c r="AH195" i="32"/>
  <c r="AI190" i="32"/>
  <c r="AK190" i="32" s="1"/>
  <c r="AH186" i="32"/>
  <c r="AJ186" i="32" s="1"/>
  <c r="AI181" i="32"/>
  <c r="AH177" i="32"/>
  <c r="AI172" i="32"/>
  <c r="AH168" i="32"/>
  <c r="AI161" i="32"/>
  <c r="AH157" i="32"/>
  <c r="AI152" i="32"/>
  <c r="AH148" i="32"/>
  <c r="AI143" i="32"/>
  <c r="AH139" i="32"/>
  <c r="AI134" i="32"/>
  <c r="AI131" i="32"/>
  <c r="AI128" i="32"/>
  <c r="AI125" i="32"/>
  <c r="AI122" i="32"/>
  <c r="AI282" i="32"/>
  <c r="AK282" i="32" s="1"/>
  <c r="AI269" i="32"/>
  <c r="AK269" i="32" s="1"/>
  <c r="AI317" i="32"/>
  <c r="AK317" i="32" s="1"/>
  <c r="AI313" i="32"/>
  <c r="AK313" i="32" s="1"/>
  <c r="AH282" i="32"/>
  <c r="AJ282" i="32" s="1"/>
  <c r="AH269" i="32"/>
  <c r="AJ269" i="32" s="1"/>
  <c r="AH258" i="32"/>
  <c r="AJ258" i="32" s="1"/>
  <c r="AH226" i="32"/>
  <c r="AJ226" i="32" s="1"/>
  <c r="AH216" i="32"/>
  <c r="AJ216" i="32" s="1"/>
  <c r="AI194" i="32"/>
  <c r="AH187" i="32"/>
  <c r="AJ187" i="32" s="1"/>
  <c r="AH173" i="32"/>
  <c r="AI157" i="32"/>
  <c r="AH143" i="32"/>
  <c r="AI140" i="32"/>
  <c r="AH135" i="32"/>
  <c r="AH346" i="32"/>
  <c r="AJ346" i="32" s="1"/>
  <c r="AI210" i="32"/>
  <c r="AH174" i="32"/>
  <c r="AI167" i="32"/>
  <c r="AH158" i="32"/>
  <c r="AI280" i="32"/>
  <c r="AK280" i="32" s="1"/>
  <c r="AI256" i="32"/>
  <c r="AK256" i="32" s="1"/>
  <c r="AH221" i="32"/>
  <c r="AJ221" i="32" s="1"/>
  <c r="AI195" i="32"/>
  <c r="AH181" i="32"/>
  <c r="AI178" i="32"/>
  <c r="AH167" i="32"/>
  <c r="AI162" i="32"/>
  <c r="AI151" i="32"/>
  <c r="AI300" i="32"/>
  <c r="AK300" i="32" s="1"/>
  <c r="AH248" i="32"/>
  <c r="AJ248" i="32" s="1"/>
  <c r="AH192" i="32"/>
  <c r="AI185" i="32"/>
  <c r="AK185" i="32" s="1"/>
  <c r="AI267" i="32"/>
  <c r="AK267" i="32" s="1"/>
  <c r="AI247" i="32"/>
  <c r="AK247" i="32" s="1"/>
  <c r="AI235" i="32"/>
  <c r="AH211" i="32"/>
  <c r="AI189" i="32"/>
  <c r="AK189" i="32" s="1"/>
  <c r="AH163" i="32"/>
  <c r="AI156" i="32"/>
  <c r="AH149" i="32"/>
  <c r="AH247" i="32"/>
  <c r="AJ247" i="32" s="1"/>
  <c r="AH235" i="32"/>
  <c r="AI186" i="32"/>
  <c r="AK186" i="32" s="1"/>
  <c r="AI296" i="32"/>
  <c r="AK296" i="32" s="1"/>
  <c r="AH220" i="32"/>
  <c r="AJ220" i="32" s="1"/>
  <c r="AI209" i="32"/>
  <c r="AK209" i="32" s="1"/>
  <c r="AH183" i="32"/>
  <c r="AI176" i="32"/>
  <c r="AH169" i="32"/>
  <c r="AH153" i="32"/>
  <c r="AI226" i="32"/>
  <c r="AK226" i="32" s="1"/>
  <c r="AH194" i="32"/>
  <c r="AI187" i="32"/>
  <c r="AK187" i="32" s="1"/>
  <c r="AH176" i="32"/>
  <c r="AH144" i="32"/>
  <c r="AI142" i="32"/>
  <c r="AH140" i="32"/>
  <c r="AH122" i="32"/>
  <c r="AH114" i="32"/>
  <c r="AJ114" i="32" s="1"/>
  <c r="AH113" i="32"/>
  <c r="AJ113" i="32" s="1"/>
  <c r="AH110" i="32"/>
  <c r="AJ110" i="32" s="1"/>
  <c r="AI100" i="32"/>
  <c r="AI91" i="32"/>
  <c r="AI82" i="32"/>
  <c r="AI73" i="32"/>
  <c r="AI64" i="32"/>
  <c r="AI55" i="32"/>
  <c r="AI52" i="32"/>
  <c r="AI49" i="32"/>
  <c r="AI46" i="32"/>
  <c r="AI43" i="32"/>
  <c r="AI40" i="32"/>
  <c r="AI37" i="32"/>
  <c r="AI34" i="32"/>
  <c r="AI31" i="32"/>
  <c r="AI28" i="32"/>
  <c r="AI25" i="32"/>
  <c r="AI22" i="32"/>
  <c r="AK22" i="32" s="1"/>
  <c r="AH178" i="32"/>
  <c r="AI171" i="32"/>
  <c r="AI148" i="32"/>
  <c r="AI138" i="32"/>
  <c r="AH128" i="32"/>
  <c r="AI123" i="32"/>
  <c r="AI109" i="32"/>
  <c r="AK109" i="32" s="1"/>
  <c r="AI104" i="32"/>
  <c r="AH100" i="32"/>
  <c r="AI95" i="32"/>
  <c r="AK95" i="32" s="1"/>
  <c r="AH91" i="32"/>
  <c r="AI86" i="32"/>
  <c r="AH82" i="32"/>
  <c r="AI77" i="32"/>
  <c r="AK77" i="32" s="1"/>
  <c r="AH73" i="32"/>
  <c r="AI68" i="32"/>
  <c r="AH64" i="32"/>
  <c r="AI59" i="32"/>
  <c r="AH55" i="32"/>
  <c r="AH52" i="32"/>
  <c r="AH49" i="32"/>
  <c r="AH46" i="32"/>
  <c r="AH43" i="32"/>
  <c r="AH40" i="32"/>
  <c r="AH37" i="32"/>
  <c r="AH34" i="32"/>
  <c r="AH190" i="32"/>
  <c r="AJ190" i="32" s="1"/>
  <c r="AI173" i="32"/>
  <c r="AH138" i="32"/>
  <c r="AI129" i="32"/>
  <c r="AH123" i="32"/>
  <c r="AI117" i="32"/>
  <c r="AK117" i="32" s="1"/>
  <c r="AI116" i="32"/>
  <c r="AK116" i="32" s="1"/>
  <c r="AH109" i="32"/>
  <c r="AJ109" i="32" s="1"/>
  <c r="AI108" i="32"/>
  <c r="AH104" i="32"/>
  <c r="AI99" i="32"/>
  <c r="AH95" i="32"/>
  <c r="AJ95" i="32" s="1"/>
  <c r="AI90" i="32"/>
  <c r="AH86" i="32"/>
  <c r="AI81" i="32"/>
  <c r="AH77" i="32"/>
  <c r="AJ77" i="32" s="1"/>
  <c r="AI72" i="32"/>
  <c r="AH68" i="32"/>
  <c r="AI63" i="32"/>
  <c r="AH328" i="32"/>
  <c r="AJ328" i="32" s="1"/>
  <c r="AI240" i="32"/>
  <c r="AK240" i="32" s="1"/>
  <c r="AH230" i="32"/>
  <c r="AJ230" i="32" s="1"/>
  <c r="AH154" i="32"/>
  <c r="AH152" i="32"/>
  <c r="AH129" i="32"/>
  <c r="AH117" i="32"/>
  <c r="AJ117" i="32" s="1"/>
  <c r="AH116" i="32"/>
  <c r="AJ116" i="32" s="1"/>
  <c r="AH108" i="32"/>
  <c r="AH99" i="32"/>
  <c r="AH90" i="32"/>
  <c r="AH81" i="32"/>
  <c r="AH72" i="32"/>
  <c r="AH63" i="32"/>
  <c r="AH273" i="32"/>
  <c r="AJ273" i="32" s="1"/>
  <c r="AH215" i="32"/>
  <c r="AJ215" i="32" s="1"/>
  <c r="AI196" i="32"/>
  <c r="AI180" i="32"/>
  <c r="AI168" i="32"/>
  <c r="AH136" i="32"/>
  <c r="AI103" i="32"/>
  <c r="AI94" i="32"/>
  <c r="AK94" i="32" s="1"/>
  <c r="AI85" i="32"/>
  <c r="AI76" i="32"/>
  <c r="AI67" i="32"/>
  <c r="AI58" i="32"/>
  <c r="AI54" i="32"/>
  <c r="AI51" i="32"/>
  <c r="AI48" i="32"/>
  <c r="AI45" i="32"/>
  <c r="AI42" i="32"/>
  <c r="AI39" i="32"/>
  <c r="AI36" i="32"/>
  <c r="AI33" i="32"/>
  <c r="AI30" i="32"/>
  <c r="AI27" i="32"/>
  <c r="AH362" i="32"/>
  <c r="AJ362" i="32" s="1"/>
  <c r="AH238" i="32"/>
  <c r="AJ238" i="32" s="1"/>
  <c r="AI288" i="32"/>
  <c r="AK288" i="32" s="1"/>
  <c r="AH228" i="32"/>
  <c r="AJ228" i="32" s="1"/>
  <c r="AI211" i="32"/>
  <c r="AH185" i="32"/>
  <c r="AJ185" i="32" s="1"/>
  <c r="AH172" i="32"/>
  <c r="AI153" i="32"/>
  <c r="AH131" i="32"/>
  <c r="AI126" i="32"/>
  <c r="AI106" i="32"/>
  <c r="AI97" i="32"/>
  <c r="AK97" i="32" s="1"/>
  <c r="AI88" i="32"/>
  <c r="AK88" i="32" s="1"/>
  <c r="AI79" i="32"/>
  <c r="AK79" i="32" s="1"/>
  <c r="AI70" i="32"/>
  <c r="AI61" i="32"/>
  <c r="AI53" i="32"/>
  <c r="AI50" i="32"/>
  <c r="AI47" i="32"/>
  <c r="AH309" i="32"/>
  <c r="AJ309" i="32" s="1"/>
  <c r="AI283" i="32"/>
  <c r="AK283" i="32" s="1"/>
  <c r="AH227" i="32"/>
  <c r="AJ227" i="32" s="1"/>
  <c r="AI222" i="32"/>
  <c r="AK222" i="32" s="1"/>
  <c r="AI191" i="32"/>
  <c r="AI169" i="32"/>
  <c r="AI160" i="32"/>
  <c r="AI132" i="32"/>
  <c r="AI111" i="32"/>
  <c r="AK111" i="32" s="1"/>
  <c r="AI105" i="32"/>
  <c r="AH101" i="32"/>
  <c r="AI96" i="32"/>
  <c r="AK96" i="32" s="1"/>
  <c r="AH92" i="32"/>
  <c r="AI87" i="32"/>
  <c r="AK87" i="32" s="1"/>
  <c r="AH83" i="32"/>
  <c r="AI78" i="32"/>
  <c r="AK78" i="32" s="1"/>
  <c r="AH74" i="32"/>
  <c r="AI69" i="32"/>
  <c r="AH65" i="32"/>
  <c r="AI60" i="32"/>
  <c r="AH56" i="32"/>
  <c r="AH11" i="32"/>
  <c r="AD12" i="32"/>
  <c r="AI15" i="32"/>
  <c r="AC17" i="32"/>
  <c r="AE17" i="32" s="1"/>
  <c r="AH20" i="32"/>
  <c r="AD21" i="32"/>
  <c r="AF21" i="32" s="1"/>
  <c r="AC29" i="32"/>
  <c r="AH31" i="32"/>
  <c r="AC40" i="32"/>
  <c r="AC48" i="32"/>
  <c r="AC51" i="32"/>
  <c r="S53" i="32"/>
  <c r="AC54" i="32"/>
  <c r="S56" i="32"/>
  <c r="T61" i="32"/>
  <c r="AI62" i="32"/>
  <c r="S65" i="32"/>
  <c r="AI66" i="32"/>
  <c r="AI74" i="32"/>
  <c r="AH78" i="32"/>
  <c r="AJ78" i="32" s="1"/>
  <c r="AC86" i="32"/>
  <c r="AD88" i="32"/>
  <c r="AF88" i="32" s="1"/>
  <c r="AC90" i="32"/>
  <c r="X92" i="32"/>
  <c r="Y96" i="32"/>
  <c r="AA96" i="32" s="1"/>
  <c r="Y100" i="32"/>
  <c r="T102" i="32"/>
  <c r="X104" i="32"/>
  <c r="X108" i="32"/>
  <c r="Y112" i="32"/>
  <c r="AA112" i="32" s="1"/>
  <c r="AD117" i="32"/>
  <c r="AF117" i="32" s="1"/>
  <c r="AI135" i="32"/>
  <c r="AI139" i="32"/>
  <c r="AC149" i="32"/>
  <c r="Y154" i="32"/>
  <c r="T168" i="32"/>
  <c r="T173" i="32"/>
  <c r="S195" i="32"/>
  <c r="AD86" i="32"/>
  <c r="AD90" i="32"/>
  <c r="AD94" i="32"/>
  <c r="AF94" i="32" s="1"/>
  <c r="AD98" i="32"/>
  <c r="AC102" i="32"/>
  <c r="AC126" i="32"/>
  <c r="AC174" i="32"/>
  <c r="AD186" i="32"/>
  <c r="AF186" i="32" s="1"/>
  <c r="AD195" i="32"/>
  <c r="AC13" i="32"/>
  <c r="AC22" i="32"/>
  <c r="AE22" i="32" s="1"/>
  <c r="AC27" i="32"/>
  <c r="AC28" i="32"/>
  <c r="AH29" i="32"/>
  <c r="AH30" i="32"/>
  <c r="AH35" i="32"/>
  <c r="AD39" i="32"/>
  <c r="AH44" i="32"/>
  <c r="AI57" i="32"/>
  <c r="AC59" i="32"/>
  <c r="S71" i="32"/>
  <c r="S75" i="32"/>
  <c r="T79" i="32"/>
  <c r="V79" i="32" s="1"/>
  <c r="AI80" i="32"/>
  <c r="AK80" i="32" s="1"/>
  <c r="S83" i="32"/>
  <c r="AI84" i="32"/>
  <c r="AI92" i="32"/>
  <c r="AH96" i="32"/>
  <c r="AJ96" i="32" s="1"/>
  <c r="AC104" i="32"/>
  <c r="AD106" i="32"/>
  <c r="AC108" i="32"/>
  <c r="X118" i="32"/>
  <c r="Z118" i="32" s="1"/>
  <c r="AH120" i="32"/>
  <c r="AJ120" i="32" s="1"/>
  <c r="AC123" i="32"/>
  <c r="AH126" i="32"/>
  <c r="AC129" i="32"/>
  <c r="AH132" i="32"/>
  <c r="S140" i="32"/>
  <c r="Y145" i="32"/>
  <c r="AD155" i="32"/>
  <c r="AD168" i="32"/>
  <c r="T175" i="32"/>
  <c r="X180" i="32"/>
  <c r="S196" i="32"/>
  <c r="AI229" i="32"/>
  <c r="AK229" i="32" s="1"/>
  <c r="T246" i="32"/>
  <c r="V246" i="32" s="1"/>
  <c r="AD13" i="32"/>
  <c r="AC18" i="32"/>
  <c r="AE18" i="32" s="1"/>
  <c r="AD22" i="32"/>
  <c r="AF22" i="32" s="1"/>
  <c r="AC23" i="32"/>
  <c r="AE23" i="32" s="1"/>
  <c r="AC24" i="32"/>
  <c r="AE24" i="32" s="1"/>
  <c r="AD27" i="32"/>
  <c r="AD59" i="32"/>
  <c r="AD61" i="32"/>
  <c r="AC63" i="32"/>
  <c r="AD104" i="32"/>
  <c r="AD108" i="32"/>
  <c r="AC136" i="32"/>
  <c r="AC219" i="32"/>
  <c r="AD232" i="32"/>
  <c r="AC250" i="32"/>
  <c r="AE250" i="32" s="1"/>
  <c r="AD14" i="32"/>
  <c r="AC42" i="32"/>
  <c r="AD118" i="32"/>
  <c r="AF118" i="32" s="1"/>
  <c r="AI13" i="32"/>
  <c r="T17" i="32"/>
  <c r="V17" i="32" s="1"/>
  <c r="AC19" i="32"/>
  <c r="AE19" i="32" s="1"/>
  <c r="S22" i="32"/>
  <c r="U22" i="32" s="1"/>
  <c r="AH23" i="32"/>
  <c r="AJ23" i="32" s="1"/>
  <c r="AH26" i="32"/>
  <c r="AH27" i="32"/>
  <c r="S29" i="32"/>
  <c r="S30" i="32"/>
  <c r="X31" i="32"/>
  <c r="X32" i="32"/>
  <c r="AD33" i="32"/>
  <c r="S36" i="32"/>
  <c r="AH38" i="32"/>
  <c r="AD42" i="32"/>
  <c r="S45" i="32"/>
  <c r="AH47" i="32"/>
  <c r="X49" i="32"/>
  <c r="AH50" i="32"/>
  <c r="X52" i="32"/>
  <c r="AH53" i="32"/>
  <c r="X55" i="32"/>
  <c r="AI56" i="32"/>
  <c r="T60" i="32"/>
  <c r="T64" i="32"/>
  <c r="AH67" i="32"/>
  <c r="AH71" i="32"/>
  <c r="AH75" i="32"/>
  <c r="AD77" i="32"/>
  <c r="AF77" i="32" s="1"/>
  <c r="AH79" i="32"/>
  <c r="AJ79" i="32" s="1"/>
  <c r="AD81" i="32"/>
  <c r="AD85" i="32"/>
  <c r="AD89" i="32"/>
  <c r="AF89" i="32" s="1"/>
  <c r="AC93" i="32"/>
  <c r="Y103" i="32"/>
  <c r="X105" i="32"/>
  <c r="S107" i="32"/>
  <c r="Y111" i="32"/>
  <c r="AA111" i="32" s="1"/>
  <c r="AI113" i="32"/>
  <c r="AK113" i="32" s="1"/>
  <c r="Y116" i="32"/>
  <c r="AA116" i="32" s="1"/>
  <c r="AD124" i="32"/>
  <c r="AD130" i="32"/>
  <c r="AC133" i="32"/>
  <c r="S157" i="32"/>
  <c r="Y163" i="32"/>
  <c r="S177" i="32"/>
  <c r="AH182" i="32"/>
  <c r="Y208" i="32"/>
  <c r="AA208" i="32" s="1"/>
  <c r="X254" i="32"/>
  <c r="Z254" i="32" s="1"/>
  <c r="S322" i="32"/>
  <c r="U322" i="32" s="1"/>
  <c r="AC77" i="32"/>
  <c r="AE77" i="32" s="1"/>
  <c r="AC81" i="32"/>
  <c r="AC124" i="32"/>
  <c r="AD141" i="32"/>
  <c r="AC15" i="32"/>
  <c r="AD19" i="32"/>
  <c r="AF19" i="32" s="1"/>
  <c r="AI26" i="32"/>
  <c r="AI38" i="32"/>
  <c r="AD58" i="32"/>
  <c r="T70" i="32"/>
  <c r="AI71" i="32"/>
  <c r="S74" i="32"/>
  <c r="AI75" i="32"/>
  <c r="AI83" i="32"/>
  <c r="AH87" i="32"/>
  <c r="AJ87" i="32" s="1"/>
  <c r="AC95" i="32"/>
  <c r="AE95" i="32" s="1"/>
  <c r="AD97" i="32"/>
  <c r="AF97" i="32" s="1"/>
  <c r="AC99" i="32"/>
  <c r="X101" i="32"/>
  <c r="Y105" i="32"/>
  <c r="Y109" i="32"/>
  <c r="AA109" i="32" s="1"/>
  <c r="S114" i="32"/>
  <c r="U114" i="32" s="1"/>
  <c r="X119" i="32"/>
  <c r="Z119" i="32" s="1"/>
  <c r="S122" i="32"/>
  <c r="S128" i="32"/>
  <c r="X134" i="32"/>
  <c r="S138" i="32"/>
  <c r="T142" i="32"/>
  <c r="Y147" i="32"/>
  <c r="T152" i="32"/>
  <c r="S158" i="32"/>
  <c r="S171" i="32"/>
  <c r="AI182" i="32"/>
  <c r="AH191" i="32"/>
  <c r="T200" i="32"/>
  <c r="Y224" i="32"/>
  <c r="AA224" i="32" s="1"/>
  <c r="AD25" i="32"/>
  <c r="AD121" i="32"/>
  <c r="AC222" i="32"/>
  <c r="AE222" i="32" s="1"/>
  <c r="AC11" i="32"/>
  <c r="Y12" i="32"/>
  <c r="AH14" i="32"/>
  <c r="AD15" i="32"/>
  <c r="S18" i="32"/>
  <c r="U18" i="32" s="1"/>
  <c r="AI18" i="32"/>
  <c r="AK18" i="32" s="1"/>
  <c r="AC20" i="32"/>
  <c r="Y21" i="32"/>
  <c r="AA21" i="32" s="1"/>
  <c r="S23" i="32"/>
  <c r="U23" i="32" s="1"/>
  <c r="AI24" i="32"/>
  <c r="AK24" i="32" s="1"/>
  <c r="S28" i="32"/>
  <c r="X30" i="32"/>
  <c r="AC32" i="32"/>
  <c r="T35" i="32"/>
  <c r="AC37" i="32"/>
  <c r="X40" i="32"/>
  <c r="T44" i="32"/>
  <c r="AC46" i="32"/>
  <c r="S57" i="32"/>
  <c r="Y60" i="32"/>
  <c r="Y64" i="32"/>
  <c r="T66" i="32"/>
  <c r="X68" i="32"/>
  <c r="X72" i="32"/>
  <c r="T78" i="32"/>
  <c r="V78" i="32" s="1"/>
  <c r="T82" i="32"/>
  <c r="AH85" i="32"/>
  <c r="AH89" i="32"/>
  <c r="AJ89" i="32" s="1"/>
  <c r="AH93" i="32"/>
  <c r="AD95" i="32"/>
  <c r="AF95" i="32" s="1"/>
  <c r="AH97" i="32"/>
  <c r="AJ97" i="32" s="1"/>
  <c r="AD99" i="32"/>
  <c r="AD103" i="32"/>
  <c r="AD107" i="32"/>
  <c r="AH111" i="32"/>
  <c r="AJ111" i="32" s="1"/>
  <c r="X125" i="32"/>
  <c r="AH147" i="32"/>
  <c r="AC158" i="32"/>
  <c r="T166" i="32"/>
  <c r="AI177" i="32"/>
  <c r="X192" i="32"/>
  <c r="T238" i="32"/>
  <c r="V238" i="32" s="1"/>
  <c r="AC33" i="32"/>
  <c r="AD79" i="32"/>
  <c r="AF79" i="32" s="1"/>
  <c r="T528" i="32"/>
  <c r="V528" i="32" s="1"/>
  <c r="T520" i="32"/>
  <c r="V520" i="32" s="1"/>
  <c r="T519" i="32"/>
  <c r="V519" i="32" s="1"/>
  <c r="T511" i="32"/>
  <c r="V511" i="32" s="1"/>
  <c r="T510" i="32"/>
  <c r="V510" i="32" s="1"/>
  <c r="T502" i="32"/>
  <c r="V502" i="32" s="1"/>
  <c r="T501" i="32"/>
  <c r="V501" i="32" s="1"/>
  <c r="T493" i="32"/>
  <c r="V493" i="32" s="1"/>
  <c r="T492" i="32"/>
  <c r="V492" i="32" s="1"/>
  <c r="T484" i="32"/>
  <c r="V484" i="32" s="1"/>
  <c r="T483" i="32"/>
  <c r="V483" i="32" s="1"/>
  <c r="T475" i="32"/>
  <c r="V475" i="32" s="1"/>
  <c r="T474" i="32"/>
  <c r="V474" i="32" s="1"/>
  <c r="T466" i="32"/>
  <c r="V466" i="32" s="1"/>
  <c r="T523" i="32"/>
  <c r="V523" i="32" s="1"/>
  <c r="T522" i="32"/>
  <c r="V522" i="32" s="1"/>
  <c r="T514" i="32"/>
  <c r="V514" i="32" s="1"/>
  <c r="T513" i="32"/>
  <c r="V513" i="32" s="1"/>
  <c r="T505" i="32"/>
  <c r="V505" i="32" s="1"/>
  <c r="T504" i="32"/>
  <c r="V504" i="32" s="1"/>
  <c r="T496" i="32"/>
  <c r="V496" i="32" s="1"/>
  <c r="T495" i="32"/>
  <c r="V495" i="32" s="1"/>
  <c r="T487" i="32"/>
  <c r="V487" i="32" s="1"/>
  <c r="T486" i="32"/>
  <c r="V486" i="32" s="1"/>
  <c r="T478" i="32"/>
  <c r="V478" i="32" s="1"/>
  <c r="T477" i="32"/>
  <c r="V477" i="32" s="1"/>
  <c r="T469" i="32"/>
  <c r="V469" i="32" s="1"/>
  <c r="T468" i="32"/>
  <c r="V468" i="32" s="1"/>
  <c r="S528" i="32"/>
  <c r="U528" i="32" s="1"/>
  <c r="S527" i="32"/>
  <c r="U527" i="32" s="1"/>
  <c r="S526" i="32"/>
  <c r="U526" i="32" s="1"/>
  <c r="S501" i="32"/>
  <c r="U501" i="32" s="1"/>
  <c r="S500" i="32"/>
  <c r="U500" i="32" s="1"/>
  <c r="S499" i="32"/>
  <c r="U499" i="32" s="1"/>
  <c r="S474" i="32"/>
  <c r="U474" i="32" s="1"/>
  <c r="S473" i="32"/>
  <c r="U473" i="32" s="1"/>
  <c r="S472" i="32"/>
  <c r="U472" i="32" s="1"/>
  <c r="S461" i="32"/>
  <c r="U461" i="32" s="1"/>
  <c r="T460" i="32"/>
  <c r="V460" i="32" s="1"/>
  <c r="T449" i="32"/>
  <c r="V449" i="32" s="1"/>
  <c r="T446" i="32"/>
  <c r="V446" i="32" s="1"/>
  <c r="T443" i="32"/>
  <c r="V443" i="32" s="1"/>
  <c r="T440" i="32"/>
  <c r="V440" i="32" s="1"/>
  <c r="T437" i="32"/>
  <c r="V437" i="32" s="1"/>
  <c r="T434" i="32"/>
  <c r="V434" i="32" s="1"/>
  <c r="T431" i="32"/>
  <c r="V431" i="32" s="1"/>
  <c r="T428" i="32"/>
  <c r="V428" i="32" s="1"/>
  <c r="T425" i="32"/>
  <c r="V425" i="32" s="1"/>
  <c r="T516" i="32"/>
  <c r="V516" i="32" s="1"/>
  <c r="T515" i="32"/>
  <c r="V515" i="32" s="1"/>
  <c r="S514" i="32"/>
  <c r="U514" i="32" s="1"/>
  <c r="T489" i="32"/>
  <c r="V489" i="32" s="1"/>
  <c r="T488" i="32"/>
  <c r="V488" i="32" s="1"/>
  <c r="S487" i="32"/>
  <c r="U487" i="32" s="1"/>
  <c r="S460" i="32"/>
  <c r="U460" i="32" s="1"/>
  <c r="T459" i="32"/>
  <c r="V459" i="32" s="1"/>
  <c r="T452" i="32"/>
  <c r="V452" i="32" s="1"/>
  <c r="S449" i="32"/>
  <c r="U449" i="32" s="1"/>
  <c r="S446" i="32"/>
  <c r="U446" i="32" s="1"/>
  <c r="S443" i="32"/>
  <c r="U443" i="32" s="1"/>
  <c r="S440" i="32"/>
  <c r="U440" i="32" s="1"/>
  <c r="S437" i="32"/>
  <c r="U437" i="32" s="1"/>
  <c r="S434" i="32"/>
  <c r="U434" i="32" s="1"/>
  <c r="S431" i="32"/>
  <c r="U431" i="32" s="1"/>
  <c r="S428" i="32"/>
  <c r="U428" i="32" s="1"/>
  <c r="S425" i="32"/>
  <c r="U425" i="32" s="1"/>
  <c r="S519" i="32"/>
  <c r="U519" i="32" s="1"/>
  <c r="S518" i="32"/>
  <c r="U518" i="32" s="1"/>
  <c r="S517" i="32"/>
  <c r="U517" i="32" s="1"/>
  <c r="T507" i="32"/>
  <c r="V507" i="32" s="1"/>
  <c r="T506" i="32"/>
  <c r="V506" i="32" s="1"/>
  <c r="S505" i="32"/>
  <c r="U505" i="32" s="1"/>
  <c r="S522" i="32"/>
  <c r="U522" i="32" s="1"/>
  <c r="S521" i="32"/>
  <c r="U521" i="32" s="1"/>
  <c r="T509" i="32"/>
  <c r="V509" i="32" s="1"/>
  <c r="T508" i="32"/>
  <c r="V508" i="32" s="1"/>
  <c r="S495" i="32"/>
  <c r="U495" i="32" s="1"/>
  <c r="S494" i="32"/>
  <c r="U494" i="32" s="1"/>
  <c r="T482" i="32"/>
  <c r="V482" i="32" s="1"/>
  <c r="T481" i="32"/>
  <c r="V481" i="32" s="1"/>
  <c r="S468" i="32"/>
  <c r="U468" i="32" s="1"/>
  <c r="S467" i="32"/>
  <c r="U467" i="32" s="1"/>
  <c r="T464" i="32"/>
  <c r="V464" i="32" s="1"/>
  <c r="T455" i="32"/>
  <c r="V455" i="32" s="1"/>
  <c r="T526" i="32"/>
  <c r="V526" i="32" s="1"/>
  <c r="T524" i="32"/>
  <c r="V524" i="32" s="1"/>
  <c r="S513" i="32"/>
  <c r="U513" i="32" s="1"/>
  <c r="T500" i="32"/>
  <c r="V500" i="32" s="1"/>
  <c r="T498" i="32"/>
  <c r="V498" i="32" s="1"/>
  <c r="S488" i="32"/>
  <c r="U488" i="32" s="1"/>
  <c r="S478" i="32"/>
  <c r="U478" i="32" s="1"/>
  <c r="S475" i="32"/>
  <c r="U475" i="32" s="1"/>
  <c r="T465" i="32"/>
  <c r="V465" i="32" s="1"/>
  <c r="S459" i="32"/>
  <c r="U459" i="32" s="1"/>
  <c r="S452" i="32"/>
  <c r="U452" i="32" s="1"/>
  <c r="S451" i="32"/>
  <c r="U451" i="32" s="1"/>
  <c r="S450" i="32"/>
  <c r="U450" i="32" s="1"/>
  <c r="S448" i="32"/>
  <c r="U448" i="32" s="1"/>
  <c r="S447" i="32"/>
  <c r="U447" i="32" s="1"/>
  <c r="S445" i="32"/>
  <c r="U445" i="32" s="1"/>
  <c r="S444" i="32"/>
  <c r="U444" i="32" s="1"/>
  <c r="T442" i="32"/>
  <c r="V442" i="32" s="1"/>
  <c r="T433" i="32"/>
  <c r="V433" i="32" s="1"/>
  <c r="T424" i="32"/>
  <c r="V424" i="32" s="1"/>
  <c r="S524" i="32"/>
  <c r="U524" i="32" s="1"/>
  <c r="S511" i="32"/>
  <c r="U511" i="32" s="1"/>
  <c r="S509" i="32"/>
  <c r="U509" i="32" s="1"/>
  <c r="S498" i="32"/>
  <c r="U498" i="32" s="1"/>
  <c r="T491" i="32"/>
  <c r="V491" i="32" s="1"/>
  <c r="T485" i="32"/>
  <c r="V485" i="32" s="1"/>
  <c r="S465" i="32"/>
  <c r="U465" i="32" s="1"/>
  <c r="T453" i="32"/>
  <c r="V453" i="32" s="1"/>
  <c r="S442" i="32"/>
  <c r="U442" i="32" s="1"/>
  <c r="S433" i="32"/>
  <c r="U433" i="32" s="1"/>
  <c r="S424" i="32"/>
  <c r="U424" i="32" s="1"/>
  <c r="S523" i="32"/>
  <c r="U523" i="32" s="1"/>
  <c r="T521" i="32"/>
  <c r="V521" i="32" s="1"/>
  <c r="S512" i="32"/>
  <c r="U512" i="32" s="1"/>
  <c r="T499" i="32"/>
  <c r="V499" i="32" s="1"/>
  <c r="T497" i="32"/>
  <c r="V497" i="32" s="1"/>
  <c r="S480" i="32"/>
  <c r="U480" i="32" s="1"/>
  <c r="S477" i="32"/>
  <c r="U477" i="32" s="1"/>
  <c r="S470" i="32"/>
  <c r="U470" i="32" s="1"/>
  <c r="T467" i="32"/>
  <c r="V467" i="32" s="1"/>
  <c r="S506" i="32"/>
  <c r="U506" i="32" s="1"/>
  <c r="S496" i="32"/>
  <c r="U496" i="32" s="1"/>
  <c r="T472" i="32"/>
  <c r="V472" i="32" s="1"/>
  <c r="S456" i="32"/>
  <c r="U456" i="32" s="1"/>
  <c r="T447" i="32"/>
  <c r="V447" i="32" s="1"/>
  <c r="S439" i="32"/>
  <c r="U439" i="32" s="1"/>
  <c r="S438" i="32"/>
  <c r="U438" i="32" s="1"/>
  <c r="T518" i="32"/>
  <c r="V518" i="32" s="1"/>
  <c r="T470" i="32"/>
  <c r="V470" i="32" s="1"/>
  <c r="T463" i="32"/>
  <c r="V463" i="32" s="1"/>
  <c r="S453" i="32"/>
  <c r="U453" i="32" s="1"/>
  <c r="T441" i="32"/>
  <c r="V441" i="32" s="1"/>
  <c r="T427" i="32"/>
  <c r="V427" i="32" s="1"/>
  <c r="T426" i="32"/>
  <c r="V426" i="32" s="1"/>
  <c r="T422" i="32"/>
  <c r="V422" i="32" s="1"/>
  <c r="S508" i="32"/>
  <c r="U508" i="32" s="1"/>
  <c r="T503" i="32"/>
  <c r="V503" i="32" s="1"/>
  <c r="S489" i="32"/>
  <c r="U489" i="32" s="1"/>
  <c r="S466" i="32"/>
  <c r="U466" i="32" s="1"/>
  <c r="S463" i="32"/>
  <c r="U463" i="32" s="1"/>
  <c r="T448" i="32"/>
  <c r="V448" i="32" s="1"/>
  <c r="S441" i="32"/>
  <c r="U441" i="32" s="1"/>
  <c r="S427" i="32"/>
  <c r="U427" i="32" s="1"/>
  <c r="S426" i="32"/>
  <c r="U426" i="32" s="1"/>
  <c r="S422" i="32"/>
  <c r="U422" i="32" s="1"/>
  <c r="T418" i="32"/>
  <c r="V418" i="32" s="1"/>
  <c r="T415" i="32"/>
  <c r="V415" i="32" s="1"/>
  <c r="T412" i="32"/>
  <c r="V412" i="32" s="1"/>
  <c r="T527" i="32"/>
  <c r="V527" i="32" s="1"/>
  <c r="S503" i="32"/>
  <c r="U503" i="32" s="1"/>
  <c r="S491" i="32"/>
  <c r="U491" i="32" s="1"/>
  <c r="S485" i="32"/>
  <c r="U485" i="32" s="1"/>
  <c r="S483" i="32"/>
  <c r="U483" i="32" s="1"/>
  <c r="T490" i="32"/>
  <c r="V490" i="32" s="1"/>
  <c r="S486" i="32"/>
  <c r="U486" i="32" s="1"/>
  <c r="S482" i="32"/>
  <c r="U482" i="32" s="1"/>
  <c r="T462" i="32"/>
  <c r="V462" i="32" s="1"/>
  <c r="T436" i="32"/>
  <c r="V436" i="32" s="1"/>
  <c r="T435" i="32"/>
  <c r="V435" i="32" s="1"/>
  <c r="T517" i="32"/>
  <c r="V517" i="32" s="1"/>
  <c r="S492" i="32"/>
  <c r="U492" i="32" s="1"/>
  <c r="S504" i="32"/>
  <c r="U504" i="32" s="1"/>
  <c r="S462" i="32"/>
  <c r="U462" i="32" s="1"/>
  <c r="S436" i="32"/>
  <c r="U436" i="32" s="1"/>
  <c r="T423" i="32"/>
  <c r="V423" i="32" s="1"/>
  <c r="T416" i="32"/>
  <c r="V416" i="32" s="1"/>
  <c r="T401" i="32"/>
  <c r="V401" i="32" s="1"/>
  <c r="T400" i="32"/>
  <c r="V400" i="32" s="1"/>
  <c r="T392" i="32"/>
  <c r="V392" i="32" s="1"/>
  <c r="T391" i="32"/>
  <c r="V391" i="32" s="1"/>
  <c r="T383" i="32"/>
  <c r="V383" i="32" s="1"/>
  <c r="T382" i="32"/>
  <c r="V382" i="32" s="1"/>
  <c r="T374" i="32"/>
  <c r="V374" i="32" s="1"/>
  <c r="T373" i="32"/>
  <c r="V373" i="32" s="1"/>
  <c r="S368" i="32"/>
  <c r="U368" i="32" s="1"/>
  <c r="T363" i="32"/>
  <c r="V363" i="32" s="1"/>
  <c r="S359" i="32"/>
  <c r="U359" i="32" s="1"/>
  <c r="T354" i="32"/>
  <c r="V354" i="32" s="1"/>
  <c r="S351" i="32"/>
  <c r="U351" i="32" s="1"/>
  <c r="S348" i="32"/>
  <c r="U348" i="32" s="1"/>
  <c r="S345" i="32"/>
  <c r="U345" i="32" s="1"/>
  <c r="S342" i="32"/>
  <c r="U342" i="32" s="1"/>
  <c r="S339" i="32"/>
  <c r="U339" i="32" s="1"/>
  <c r="S336" i="32"/>
  <c r="U336" i="32" s="1"/>
  <c r="S333" i="32"/>
  <c r="U333" i="32" s="1"/>
  <c r="S330" i="32"/>
  <c r="U330" i="32" s="1"/>
  <c r="S327" i="32"/>
  <c r="U327" i="32" s="1"/>
  <c r="S324" i="32"/>
  <c r="U324" i="32" s="1"/>
  <c r="S321" i="32"/>
  <c r="U321" i="32" s="1"/>
  <c r="S520" i="32"/>
  <c r="U520" i="32" s="1"/>
  <c r="S516" i="32"/>
  <c r="U516" i="32" s="1"/>
  <c r="S507" i="32"/>
  <c r="U507" i="32" s="1"/>
  <c r="S469" i="32"/>
  <c r="U469" i="32" s="1"/>
  <c r="T457" i="32"/>
  <c r="V457" i="32" s="1"/>
  <c r="T429" i="32"/>
  <c r="V429" i="32" s="1"/>
  <c r="S418" i="32"/>
  <c r="U418" i="32" s="1"/>
  <c r="S417" i="32"/>
  <c r="U417" i="32" s="1"/>
  <c r="T399" i="32"/>
  <c r="V399" i="32" s="1"/>
  <c r="T390" i="32"/>
  <c r="V390" i="32" s="1"/>
  <c r="T381" i="32"/>
  <c r="V381" i="32" s="1"/>
  <c r="S476" i="32"/>
  <c r="U476" i="32" s="1"/>
  <c r="T473" i="32"/>
  <c r="V473" i="32" s="1"/>
  <c r="T456" i="32"/>
  <c r="V456" i="32" s="1"/>
  <c r="T450" i="32"/>
  <c r="V450" i="32" s="1"/>
  <c r="T438" i="32"/>
  <c r="V438" i="32" s="1"/>
  <c r="T414" i="32"/>
  <c r="V414" i="32" s="1"/>
  <c r="S413" i="32"/>
  <c r="U413" i="32" s="1"/>
  <c r="S404" i="32"/>
  <c r="U404" i="32" s="1"/>
  <c r="S403" i="32"/>
  <c r="U403" i="32" s="1"/>
  <c r="S395" i="32"/>
  <c r="U395" i="32" s="1"/>
  <c r="S394" i="32"/>
  <c r="U394" i="32" s="1"/>
  <c r="S386" i="32"/>
  <c r="U386" i="32" s="1"/>
  <c r="S385" i="32"/>
  <c r="U385" i="32" s="1"/>
  <c r="T512" i="32"/>
  <c r="V512" i="32" s="1"/>
  <c r="T479" i="32"/>
  <c r="V479" i="32" s="1"/>
  <c r="T432" i="32"/>
  <c r="V432" i="32" s="1"/>
  <c r="S430" i="32"/>
  <c r="U430" i="32" s="1"/>
  <c r="T389" i="32"/>
  <c r="V389" i="32" s="1"/>
  <c r="S367" i="32"/>
  <c r="U367" i="32" s="1"/>
  <c r="T359" i="32"/>
  <c r="V359" i="32" s="1"/>
  <c r="T358" i="32"/>
  <c r="V358" i="32" s="1"/>
  <c r="S352" i="32"/>
  <c r="U352" i="32" s="1"/>
  <c r="T347" i="32"/>
  <c r="V347" i="32" s="1"/>
  <c r="S343" i="32"/>
  <c r="U343" i="32" s="1"/>
  <c r="T338" i="32"/>
  <c r="V338" i="32" s="1"/>
  <c r="S334" i="32"/>
  <c r="U334" i="32" s="1"/>
  <c r="T329" i="32"/>
  <c r="V329" i="32" s="1"/>
  <c r="S325" i="32"/>
  <c r="U325" i="32" s="1"/>
  <c r="T320" i="32"/>
  <c r="V320" i="32" s="1"/>
  <c r="S317" i="32"/>
  <c r="U317" i="32" s="1"/>
  <c r="S314" i="32"/>
  <c r="U314" i="32" s="1"/>
  <c r="S311" i="32"/>
  <c r="U311" i="32" s="1"/>
  <c r="S308" i="32"/>
  <c r="U308" i="32" s="1"/>
  <c r="S305" i="32"/>
  <c r="U305" i="32" s="1"/>
  <c r="S302" i="32"/>
  <c r="U302" i="32" s="1"/>
  <c r="S299" i="32"/>
  <c r="U299" i="32" s="1"/>
  <c r="S296" i="32"/>
  <c r="U296" i="32" s="1"/>
  <c r="S293" i="32"/>
  <c r="U293" i="32" s="1"/>
  <c r="S493" i="32"/>
  <c r="U493" i="32" s="1"/>
  <c r="S479" i="32"/>
  <c r="U479" i="32" s="1"/>
  <c r="T471" i="32"/>
  <c r="V471" i="32" s="1"/>
  <c r="S464" i="32"/>
  <c r="U464" i="32" s="1"/>
  <c r="T461" i="32"/>
  <c r="V461" i="32" s="1"/>
  <c r="S432" i="32"/>
  <c r="U432" i="32" s="1"/>
  <c r="T420" i="32"/>
  <c r="V420" i="32" s="1"/>
  <c r="T417" i="32"/>
  <c r="V417" i="32" s="1"/>
  <c r="T411" i="32"/>
  <c r="V411" i="32" s="1"/>
  <c r="T407" i="32"/>
  <c r="V407" i="32" s="1"/>
  <c r="S401" i="32"/>
  <c r="U401" i="32" s="1"/>
  <c r="T395" i="32"/>
  <c r="V395" i="32" s="1"/>
  <c r="S389" i="32"/>
  <c r="U389" i="32" s="1"/>
  <c r="S383" i="32"/>
  <c r="U383" i="32" s="1"/>
  <c r="T366" i="32"/>
  <c r="V366" i="32" s="1"/>
  <c r="S358" i="32"/>
  <c r="U358" i="32" s="1"/>
  <c r="S347" i="32"/>
  <c r="U347" i="32" s="1"/>
  <c r="T525" i="32"/>
  <c r="V525" i="32" s="1"/>
  <c r="S471" i="32"/>
  <c r="U471" i="32" s="1"/>
  <c r="T458" i="32"/>
  <c r="V458" i="32" s="1"/>
  <c r="S455" i="32"/>
  <c r="U455" i="32" s="1"/>
  <c r="S420" i="32"/>
  <c r="U420" i="32" s="1"/>
  <c r="S414" i="32"/>
  <c r="U414" i="32" s="1"/>
  <c r="S411" i="32"/>
  <c r="U411" i="32" s="1"/>
  <c r="S407" i="32"/>
  <c r="U407" i="32" s="1"/>
  <c r="T402" i="32"/>
  <c r="V402" i="32" s="1"/>
  <c r="T396" i="32"/>
  <c r="V396" i="32" s="1"/>
  <c r="S390" i="32"/>
  <c r="U390" i="32" s="1"/>
  <c r="T384" i="32"/>
  <c r="V384" i="32" s="1"/>
  <c r="S366" i="32"/>
  <c r="U366" i="32" s="1"/>
  <c r="T357" i="32"/>
  <c r="V357" i="32" s="1"/>
  <c r="T351" i="32"/>
  <c r="V351" i="32" s="1"/>
  <c r="T342" i="32"/>
  <c r="V342" i="32" s="1"/>
  <c r="S525" i="32"/>
  <c r="U525" i="32" s="1"/>
  <c r="S510" i="32"/>
  <c r="U510" i="32" s="1"/>
  <c r="S458" i="32"/>
  <c r="U458" i="32" s="1"/>
  <c r="T445" i="32"/>
  <c r="V445" i="32" s="1"/>
  <c r="S402" i="32"/>
  <c r="U402" i="32" s="1"/>
  <c r="T397" i="32"/>
  <c r="V397" i="32" s="1"/>
  <c r="S396" i="32"/>
  <c r="U396" i="32" s="1"/>
  <c r="S384" i="32"/>
  <c r="U384" i="32" s="1"/>
  <c r="S423" i="32"/>
  <c r="U423" i="32" s="1"/>
  <c r="T408" i="32"/>
  <c r="V408" i="32" s="1"/>
  <c r="T403" i="32"/>
  <c r="V403" i="32" s="1"/>
  <c r="S397" i="32"/>
  <c r="U397" i="32" s="1"/>
  <c r="S391" i="32"/>
  <c r="U391" i="32" s="1"/>
  <c r="T385" i="32"/>
  <c r="V385" i="32" s="1"/>
  <c r="T379" i="32"/>
  <c r="V379" i="32" s="1"/>
  <c r="T494" i="32"/>
  <c r="V494" i="32" s="1"/>
  <c r="T480" i="32"/>
  <c r="V480" i="32" s="1"/>
  <c r="T476" i="32"/>
  <c r="V476" i="32" s="1"/>
  <c r="S457" i="32"/>
  <c r="U457" i="32" s="1"/>
  <c r="T439" i="32"/>
  <c r="V439" i="32" s="1"/>
  <c r="S421" i="32"/>
  <c r="U421" i="32" s="1"/>
  <c r="S416" i="32"/>
  <c r="U416" i="32" s="1"/>
  <c r="T406" i="32"/>
  <c r="V406" i="32" s="1"/>
  <c r="T404" i="32"/>
  <c r="V404" i="32" s="1"/>
  <c r="S400" i="32"/>
  <c r="U400" i="32" s="1"/>
  <c r="S371" i="32"/>
  <c r="U371" i="32" s="1"/>
  <c r="T368" i="32"/>
  <c r="V368" i="32" s="1"/>
  <c r="T353" i="32"/>
  <c r="V353" i="32" s="1"/>
  <c r="T352" i="32"/>
  <c r="V352" i="32" s="1"/>
  <c r="S341" i="32"/>
  <c r="U341" i="32" s="1"/>
  <c r="S340" i="32"/>
  <c r="U340" i="32" s="1"/>
  <c r="T339" i="32"/>
  <c r="V339" i="32" s="1"/>
  <c r="S338" i="32"/>
  <c r="U338" i="32" s="1"/>
  <c r="T337" i="32"/>
  <c r="V337" i="32" s="1"/>
  <c r="S329" i="32"/>
  <c r="U329" i="32" s="1"/>
  <c r="T321" i="32"/>
  <c r="V321" i="32" s="1"/>
  <c r="T311" i="32"/>
  <c r="V311" i="32" s="1"/>
  <c r="T302" i="32"/>
  <c r="V302" i="32" s="1"/>
  <c r="T293" i="32"/>
  <c r="V293" i="32" s="1"/>
  <c r="S497" i="32"/>
  <c r="U497" i="32" s="1"/>
  <c r="S408" i="32"/>
  <c r="U408" i="32" s="1"/>
  <c r="S406" i="32"/>
  <c r="U406" i="32" s="1"/>
  <c r="S379" i="32"/>
  <c r="U379" i="32" s="1"/>
  <c r="S353" i="32"/>
  <c r="U353" i="32" s="1"/>
  <c r="S337" i="32"/>
  <c r="U337" i="32" s="1"/>
  <c r="T328" i="32"/>
  <c r="V328" i="32" s="1"/>
  <c r="S320" i="32"/>
  <c r="U320" i="32" s="1"/>
  <c r="T315" i="32"/>
  <c r="V315" i="32" s="1"/>
  <c r="T306" i="32"/>
  <c r="V306" i="32" s="1"/>
  <c r="T297" i="32"/>
  <c r="V297" i="32" s="1"/>
  <c r="S435" i="32"/>
  <c r="U435" i="32" s="1"/>
  <c r="S415" i="32"/>
  <c r="U415" i="32" s="1"/>
  <c r="T413" i="32"/>
  <c r="V413" i="32" s="1"/>
  <c r="S381" i="32"/>
  <c r="U381" i="32" s="1"/>
  <c r="S374" i="32"/>
  <c r="U374" i="32" s="1"/>
  <c r="T360" i="32"/>
  <c r="V360" i="32" s="1"/>
  <c r="S354" i="32"/>
  <c r="U354" i="32" s="1"/>
  <c r="T336" i="32"/>
  <c r="V336" i="32" s="1"/>
  <c r="S328" i="32"/>
  <c r="U328" i="32" s="1"/>
  <c r="T451" i="32"/>
  <c r="V451" i="32" s="1"/>
  <c r="T387" i="32"/>
  <c r="V387" i="32" s="1"/>
  <c r="T372" i="32"/>
  <c r="V372" i="32" s="1"/>
  <c r="T369" i="32"/>
  <c r="V369" i="32" s="1"/>
  <c r="T361" i="32"/>
  <c r="V361" i="32" s="1"/>
  <c r="S360" i="32"/>
  <c r="U360" i="32" s="1"/>
  <c r="T355" i="32"/>
  <c r="V355" i="32" s="1"/>
  <c r="T344" i="32"/>
  <c r="V344" i="32" s="1"/>
  <c r="T343" i="32"/>
  <c r="V343" i="32" s="1"/>
  <c r="T335" i="32"/>
  <c r="V335" i="32" s="1"/>
  <c r="T327" i="32"/>
  <c r="V327" i="32" s="1"/>
  <c r="S319" i="32"/>
  <c r="U319" i="32" s="1"/>
  <c r="S481" i="32"/>
  <c r="U481" i="32" s="1"/>
  <c r="T444" i="32"/>
  <c r="V444" i="32" s="1"/>
  <c r="S409" i="32"/>
  <c r="U409" i="32" s="1"/>
  <c r="S380" i="32"/>
  <c r="U380" i="32" s="1"/>
  <c r="T378" i="32"/>
  <c r="V378" i="32" s="1"/>
  <c r="S373" i="32"/>
  <c r="U373" i="32" s="1"/>
  <c r="T364" i="32"/>
  <c r="V364" i="32" s="1"/>
  <c r="T350" i="32"/>
  <c r="V350" i="32" s="1"/>
  <c r="T349" i="32"/>
  <c r="V349" i="32" s="1"/>
  <c r="T348" i="32"/>
  <c r="V348" i="32" s="1"/>
  <c r="S332" i="32"/>
  <c r="U332" i="32" s="1"/>
  <c r="T405" i="32"/>
  <c r="V405" i="32" s="1"/>
  <c r="T398" i="32"/>
  <c r="V398" i="32" s="1"/>
  <c r="T377" i="32"/>
  <c r="V377" i="32" s="1"/>
  <c r="S364" i="32"/>
  <c r="U364" i="32" s="1"/>
  <c r="S362" i="32"/>
  <c r="U362" i="32" s="1"/>
  <c r="S350" i="32"/>
  <c r="U350" i="32" s="1"/>
  <c r="T346" i="32"/>
  <c r="V346" i="32" s="1"/>
  <c r="S412" i="32"/>
  <c r="U412" i="32" s="1"/>
  <c r="S405" i="32"/>
  <c r="U405" i="32" s="1"/>
  <c r="S398" i="32"/>
  <c r="U398" i="32" s="1"/>
  <c r="S387" i="32"/>
  <c r="U387" i="32" s="1"/>
  <c r="T380" i="32"/>
  <c r="V380" i="32" s="1"/>
  <c r="S377" i="32"/>
  <c r="U377" i="32" s="1"/>
  <c r="S346" i="32"/>
  <c r="U346" i="32" s="1"/>
  <c r="T334" i="32"/>
  <c r="V334" i="32" s="1"/>
  <c r="T331" i="32"/>
  <c r="V331" i="32" s="1"/>
  <c r="T325" i="32"/>
  <c r="V325" i="32" s="1"/>
  <c r="T319" i="32"/>
  <c r="V319" i="32" s="1"/>
  <c r="T318" i="32"/>
  <c r="V318" i="32" s="1"/>
  <c r="S288" i="32"/>
  <c r="U288" i="32" s="1"/>
  <c r="S279" i="32"/>
  <c r="U279" i="32" s="1"/>
  <c r="S270" i="32"/>
  <c r="U270" i="32" s="1"/>
  <c r="S261" i="32"/>
  <c r="U261" i="32" s="1"/>
  <c r="S515" i="32"/>
  <c r="U515" i="32" s="1"/>
  <c r="T454" i="32"/>
  <c r="V454" i="32" s="1"/>
  <c r="T421" i="32"/>
  <c r="V421" i="32" s="1"/>
  <c r="T394" i="32"/>
  <c r="V394" i="32" s="1"/>
  <c r="T371" i="32"/>
  <c r="V371" i="32" s="1"/>
  <c r="T326" i="32"/>
  <c r="V326" i="32" s="1"/>
  <c r="S316" i="32"/>
  <c r="U316" i="32" s="1"/>
  <c r="S313" i="32"/>
  <c r="U313" i="32" s="1"/>
  <c r="T312" i="32"/>
  <c r="V312" i="32" s="1"/>
  <c r="S310" i="32"/>
  <c r="U310" i="32" s="1"/>
  <c r="T309" i="32"/>
  <c r="V309" i="32" s="1"/>
  <c r="S287" i="32"/>
  <c r="U287" i="32" s="1"/>
  <c r="S286" i="32"/>
  <c r="U286" i="32" s="1"/>
  <c r="S278" i="32"/>
  <c r="U278" i="32" s="1"/>
  <c r="S277" i="32"/>
  <c r="U277" i="32" s="1"/>
  <c r="S269" i="32"/>
  <c r="U269" i="32" s="1"/>
  <c r="S268" i="32"/>
  <c r="U268" i="32" s="1"/>
  <c r="S260" i="32"/>
  <c r="U260" i="32" s="1"/>
  <c r="S259" i="32"/>
  <c r="U259" i="32" s="1"/>
  <c r="T254" i="32"/>
  <c r="V254" i="32" s="1"/>
  <c r="T251" i="32"/>
  <c r="V251" i="32" s="1"/>
  <c r="T248" i="32"/>
  <c r="V248" i="32" s="1"/>
  <c r="T245" i="32"/>
  <c r="V245" i="32" s="1"/>
  <c r="T242" i="32"/>
  <c r="T239" i="32"/>
  <c r="V239" i="32" s="1"/>
  <c r="T236" i="32"/>
  <c r="T233" i="32"/>
  <c r="T230" i="32"/>
  <c r="V230" i="32" s="1"/>
  <c r="T227" i="32"/>
  <c r="V227" i="32" s="1"/>
  <c r="T224" i="32"/>
  <c r="V224" i="32" s="1"/>
  <c r="T221" i="32"/>
  <c r="V221" i="32" s="1"/>
  <c r="S454" i="32"/>
  <c r="U454" i="32" s="1"/>
  <c r="T393" i="32"/>
  <c r="V393" i="32" s="1"/>
  <c r="S393" i="32"/>
  <c r="U393" i="32" s="1"/>
  <c r="T386" i="32"/>
  <c r="V386" i="32" s="1"/>
  <c r="S365" i="32"/>
  <c r="U365" i="32" s="1"/>
  <c r="S349" i="32"/>
  <c r="U349" i="32" s="1"/>
  <c r="S312" i="32"/>
  <c r="U312" i="32" s="1"/>
  <c r="S306" i="32"/>
  <c r="U306" i="32" s="1"/>
  <c r="T299" i="32"/>
  <c r="V299" i="32" s="1"/>
  <c r="T280" i="32"/>
  <c r="V280" i="32" s="1"/>
  <c r="T279" i="32"/>
  <c r="V279" i="32" s="1"/>
  <c r="T267" i="32"/>
  <c r="V267" i="32" s="1"/>
  <c r="T266" i="32"/>
  <c r="V266" i="32" s="1"/>
  <c r="S250" i="32"/>
  <c r="U250" i="32" s="1"/>
  <c r="S241" i="32"/>
  <c r="S232" i="32"/>
  <c r="S223" i="32"/>
  <c r="U223" i="32" s="1"/>
  <c r="T362" i="32"/>
  <c r="V362" i="32" s="1"/>
  <c r="T300" i="32"/>
  <c r="V300" i="32" s="1"/>
  <c r="S280" i="32"/>
  <c r="U280" i="32" s="1"/>
  <c r="T268" i="32"/>
  <c r="V268" i="32" s="1"/>
  <c r="S267" i="32"/>
  <c r="U267" i="32" s="1"/>
  <c r="S266" i="32"/>
  <c r="U266" i="32" s="1"/>
  <c r="T249" i="32"/>
  <c r="V249" i="32" s="1"/>
  <c r="T240" i="32"/>
  <c r="V240" i="32" s="1"/>
  <c r="T231" i="32"/>
  <c r="V231" i="32" s="1"/>
  <c r="T222" i="32"/>
  <c r="V222" i="32" s="1"/>
  <c r="T216" i="32"/>
  <c r="V216" i="32" s="1"/>
  <c r="T207" i="32"/>
  <c r="T198" i="32"/>
  <c r="S399" i="32"/>
  <c r="U399" i="32" s="1"/>
  <c r="T375" i="32"/>
  <c r="V375" i="32" s="1"/>
  <c r="T323" i="32"/>
  <c r="V323" i="32" s="1"/>
  <c r="T317" i="32"/>
  <c r="V317" i="32" s="1"/>
  <c r="T313" i="32"/>
  <c r="V313" i="32" s="1"/>
  <c r="T307" i="32"/>
  <c r="V307" i="32" s="1"/>
  <c r="T301" i="32"/>
  <c r="V301" i="32" s="1"/>
  <c r="S300" i="32"/>
  <c r="U300" i="32" s="1"/>
  <c r="T283" i="32"/>
  <c r="V283" i="32" s="1"/>
  <c r="T282" i="32"/>
  <c r="V282" i="32" s="1"/>
  <c r="T281" i="32"/>
  <c r="V281" i="32" s="1"/>
  <c r="S249" i="32"/>
  <c r="U249" i="32" s="1"/>
  <c r="S248" i="32"/>
  <c r="U248" i="32" s="1"/>
  <c r="S240" i="32"/>
  <c r="U240" i="32" s="1"/>
  <c r="S239" i="32"/>
  <c r="U239" i="32" s="1"/>
  <c r="S231" i="32"/>
  <c r="U231" i="32" s="1"/>
  <c r="S230" i="32"/>
  <c r="U230" i="32" s="1"/>
  <c r="S222" i="32"/>
  <c r="U222" i="32" s="1"/>
  <c r="S221" i="32"/>
  <c r="U221" i="32" s="1"/>
  <c r="S216" i="32"/>
  <c r="U216" i="32" s="1"/>
  <c r="T211" i="32"/>
  <c r="S207" i="32"/>
  <c r="T202" i="32"/>
  <c r="S198" i="32"/>
  <c r="S392" i="32"/>
  <c r="U392" i="32" s="1"/>
  <c r="S375" i="32"/>
  <c r="U375" i="32" s="1"/>
  <c r="T356" i="32"/>
  <c r="V356" i="32" s="1"/>
  <c r="T341" i="32"/>
  <c r="V341" i="32" s="1"/>
  <c r="S326" i="32"/>
  <c r="U326" i="32" s="1"/>
  <c r="S323" i="32"/>
  <c r="U323" i="32" s="1"/>
  <c r="S307" i="32"/>
  <c r="U307" i="32" s="1"/>
  <c r="S301" i="32"/>
  <c r="U301" i="32" s="1"/>
  <c r="T294" i="32"/>
  <c r="V294" i="32" s="1"/>
  <c r="S283" i="32"/>
  <c r="U283" i="32" s="1"/>
  <c r="S282" i="32"/>
  <c r="U282" i="32" s="1"/>
  <c r="S281" i="32"/>
  <c r="U281" i="32" s="1"/>
  <c r="T269" i="32"/>
  <c r="V269" i="32" s="1"/>
  <c r="T256" i="32"/>
  <c r="V256" i="32" s="1"/>
  <c r="T247" i="32"/>
  <c r="V247" i="32" s="1"/>
  <c r="S502" i="32"/>
  <c r="U502" i="32" s="1"/>
  <c r="S378" i="32"/>
  <c r="U378" i="32" s="1"/>
  <c r="T370" i="32"/>
  <c r="V370" i="32" s="1"/>
  <c r="T367" i="32"/>
  <c r="V367" i="32" s="1"/>
  <c r="S318" i="32"/>
  <c r="U318" i="32" s="1"/>
  <c r="T314" i="32"/>
  <c r="V314" i="32" s="1"/>
  <c r="S295" i="32"/>
  <c r="U295" i="32" s="1"/>
  <c r="T286" i="32"/>
  <c r="V286" i="32" s="1"/>
  <c r="S285" i="32"/>
  <c r="U285" i="32" s="1"/>
  <c r="S284" i="32"/>
  <c r="U284" i="32" s="1"/>
  <c r="S271" i="32"/>
  <c r="U271" i="32" s="1"/>
  <c r="T430" i="32"/>
  <c r="V430" i="32" s="1"/>
  <c r="T419" i="32"/>
  <c r="V419" i="32" s="1"/>
  <c r="T410" i="32"/>
  <c r="V410" i="32" s="1"/>
  <c r="S363" i="32"/>
  <c r="U363" i="32" s="1"/>
  <c r="S315" i="32"/>
  <c r="U315" i="32" s="1"/>
  <c r="T304" i="32"/>
  <c r="V304" i="32" s="1"/>
  <c r="S303" i="32"/>
  <c r="U303" i="32" s="1"/>
  <c r="S297" i="32"/>
  <c r="U297" i="32" s="1"/>
  <c r="T289" i="32"/>
  <c r="V289" i="32" s="1"/>
  <c r="T288" i="32"/>
  <c r="V288" i="32" s="1"/>
  <c r="T276" i="32"/>
  <c r="V276" i="32" s="1"/>
  <c r="T275" i="32"/>
  <c r="V275" i="32" s="1"/>
  <c r="T262" i="32"/>
  <c r="V262" i="32" s="1"/>
  <c r="T261" i="32"/>
  <c r="V261" i="32" s="1"/>
  <c r="S253" i="32"/>
  <c r="U253" i="32" s="1"/>
  <c r="S244" i="32"/>
  <c r="U244" i="32" s="1"/>
  <c r="S429" i="32"/>
  <c r="U429" i="32" s="1"/>
  <c r="S419" i="32"/>
  <c r="U419" i="32" s="1"/>
  <c r="S410" i="32"/>
  <c r="U410" i="32" s="1"/>
  <c r="S304" i="32"/>
  <c r="U304" i="32" s="1"/>
  <c r="S289" i="32"/>
  <c r="U289" i="32" s="1"/>
  <c r="T277" i="32"/>
  <c r="V277" i="32" s="1"/>
  <c r="S276" i="32"/>
  <c r="U276" i="32" s="1"/>
  <c r="S275" i="32"/>
  <c r="U275" i="32" s="1"/>
  <c r="S262" i="32"/>
  <c r="U262" i="32" s="1"/>
  <c r="S484" i="32"/>
  <c r="U484" i="32" s="1"/>
  <c r="T388" i="32"/>
  <c r="V388" i="32" s="1"/>
  <c r="T376" i="32"/>
  <c r="V376" i="32" s="1"/>
  <c r="S369" i="32"/>
  <c r="U369" i="32" s="1"/>
  <c r="S357" i="32"/>
  <c r="U357" i="32" s="1"/>
  <c r="S335" i="32"/>
  <c r="U335" i="32" s="1"/>
  <c r="T322" i="32"/>
  <c r="V322" i="32" s="1"/>
  <c r="T305" i="32"/>
  <c r="V305" i="32" s="1"/>
  <c r="T298" i="32"/>
  <c r="V298" i="32" s="1"/>
  <c r="T292" i="32"/>
  <c r="V292" i="32" s="1"/>
  <c r="T291" i="32"/>
  <c r="V291" i="32" s="1"/>
  <c r="T290" i="32"/>
  <c r="V290" i="32" s="1"/>
  <c r="T265" i="32"/>
  <c r="V265" i="32" s="1"/>
  <c r="T264" i="32"/>
  <c r="V264" i="32" s="1"/>
  <c r="T263" i="32"/>
  <c r="V263" i="32" s="1"/>
  <c r="S252" i="32"/>
  <c r="U252" i="32" s="1"/>
  <c r="S251" i="32"/>
  <c r="U251" i="32" s="1"/>
  <c r="S243" i="32"/>
  <c r="U243" i="32" s="1"/>
  <c r="S242" i="32"/>
  <c r="S361" i="32"/>
  <c r="U361" i="32" s="1"/>
  <c r="T332" i="32"/>
  <c r="V332" i="32" s="1"/>
  <c r="T295" i="32"/>
  <c r="V295" i="32" s="1"/>
  <c r="T285" i="32"/>
  <c r="V285" i="32" s="1"/>
  <c r="T260" i="32"/>
  <c r="V260" i="32" s="1"/>
  <c r="T232" i="32"/>
  <c r="S226" i="32"/>
  <c r="U226" i="32" s="1"/>
  <c r="S199" i="32"/>
  <c r="T197" i="32"/>
  <c r="S193" i="32"/>
  <c r="T188" i="32"/>
  <c r="V188" i="32" s="1"/>
  <c r="S184" i="32"/>
  <c r="T179" i="32"/>
  <c r="S175" i="32"/>
  <c r="T170" i="32"/>
  <c r="S166" i="32"/>
  <c r="T159" i="32"/>
  <c r="S155" i="32"/>
  <c r="T150" i="32"/>
  <c r="S146" i="32"/>
  <c r="T141" i="32"/>
  <c r="S137" i="32"/>
  <c r="T133" i="32"/>
  <c r="T130" i="32"/>
  <c r="T127" i="32"/>
  <c r="T124" i="32"/>
  <c r="T121" i="32"/>
  <c r="T118" i="32"/>
  <c r="V118" i="32" s="1"/>
  <c r="T115" i="32"/>
  <c r="V115" i="32" s="1"/>
  <c r="S490" i="32"/>
  <c r="U490" i="32" s="1"/>
  <c r="S370" i="32"/>
  <c r="U370" i="32" s="1"/>
  <c r="T345" i="32"/>
  <c r="V345" i="32" s="1"/>
  <c r="S309" i="32"/>
  <c r="U309" i="32" s="1"/>
  <c r="T272" i="32"/>
  <c r="V272" i="32" s="1"/>
  <c r="T252" i="32"/>
  <c r="V252" i="32" s="1"/>
  <c r="T243" i="32"/>
  <c r="V243" i="32" s="1"/>
  <c r="S227" i="32"/>
  <c r="U227" i="32" s="1"/>
  <c r="S197" i="32"/>
  <c r="S188" i="32"/>
  <c r="U188" i="32" s="1"/>
  <c r="S179" i="32"/>
  <c r="S170" i="32"/>
  <c r="S159" i="32"/>
  <c r="S150" i="32"/>
  <c r="S141" i="32"/>
  <c r="S133" i="32"/>
  <c r="S130" i="32"/>
  <c r="S127" i="32"/>
  <c r="S124" i="32"/>
  <c r="S121" i="32"/>
  <c r="S118" i="32"/>
  <c r="U118" i="32" s="1"/>
  <c r="S115" i="32"/>
  <c r="U115" i="32" s="1"/>
  <c r="S112" i="32"/>
  <c r="U112" i="32" s="1"/>
  <c r="S382" i="32"/>
  <c r="U382" i="32" s="1"/>
  <c r="S272" i="32"/>
  <c r="U272" i="32" s="1"/>
  <c r="T250" i="32"/>
  <c r="V250" i="32" s="1"/>
  <c r="S233" i="32"/>
  <c r="T192" i="32"/>
  <c r="T183" i="32"/>
  <c r="T174" i="32"/>
  <c r="T163" i="32"/>
  <c r="T154" i="32"/>
  <c r="T145" i="32"/>
  <c r="S344" i="32"/>
  <c r="U344" i="32" s="1"/>
  <c r="S331" i="32"/>
  <c r="U331" i="32" s="1"/>
  <c r="T316" i="32"/>
  <c r="V316" i="32" s="1"/>
  <c r="S298" i="32"/>
  <c r="U298" i="32" s="1"/>
  <c r="S291" i="32"/>
  <c r="U291" i="32" s="1"/>
  <c r="T278" i="32"/>
  <c r="V278" i="32" s="1"/>
  <c r="S265" i="32"/>
  <c r="U265" i="32" s="1"/>
  <c r="T257" i="32"/>
  <c r="V257" i="32" s="1"/>
  <c r="T228" i="32"/>
  <c r="V228" i="32" s="1"/>
  <c r="T196" i="32"/>
  <c r="S192" i="32"/>
  <c r="T187" i="32"/>
  <c r="V187" i="32" s="1"/>
  <c r="S183" i="32"/>
  <c r="T178" i="32"/>
  <c r="S174" i="32"/>
  <c r="T169" i="32"/>
  <c r="S163" i="32"/>
  <c r="T158" i="32"/>
  <c r="S154" i="32"/>
  <c r="T149" i="32"/>
  <c r="S145" i="32"/>
  <c r="T140" i="32"/>
  <c r="S136" i="32"/>
  <c r="T324" i="32"/>
  <c r="V324" i="32" s="1"/>
  <c r="T287" i="32"/>
  <c r="V287" i="32" s="1"/>
  <c r="S274" i="32"/>
  <c r="U274" i="32" s="1"/>
  <c r="T253" i="32"/>
  <c r="V253" i="32" s="1"/>
  <c r="S356" i="32"/>
  <c r="U356" i="32" s="1"/>
  <c r="T270" i="32"/>
  <c r="V270" i="32" s="1"/>
  <c r="S224" i="32"/>
  <c r="U224" i="32" s="1"/>
  <c r="T218" i="32"/>
  <c r="V218" i="32" s="1"/>
  <c r="T217" i="32"/>
  <c r="V217" i="32" s="1"/>
  <c r="S211" i="32"/>
  <c r="T210" i="32"/>
  <c r="T209" i="32"/>
  <c r="V209" i="32" s="1"/>
  <c r="T206" i="32"/>
  <c r="T194" i="32"/>
  <c r="S190" i="32"/>
  <c r="U190" i="32" s="1"/>
  <c r="T185" i="32"/>
  <c r="V185" i="32" s="1"/>
  <c r="S181" i="32"/>
  <c r="T176" i="32"/>
  <c r="S172" i="32"/>
  <c r="T167" i="32"/>
  <c r="S161" i="32"/>
  <c r="T156" i="32"/>
  <c r="S152" i="32"/>
  <c r="T147" i="32"/>
  <c r="S143" i="32"/>
  <c r="T138" i="32"/>
  <c r="T134" i="32"/>
  <c r="T131" i="32"/>
  <c r="T128" i="32"/>
  <c r="T125" i="32"/>
  <c r="T122" i="32"/>
  <c r="S355" i="32"/>
  <c r="U355" i="32" s="1"/>
  <c r="T296" i="32"/>
  <c r="V296" i="32" s="1"/>
  <c r="T273" i="32"/>
  <c r="V273" i="32" s="1"/>
  <c r="T340" i="32"/>
  <c r="V340" i="32" s="1"/>
  <c r="T310" i="32"/>
  <c r="V310" i="32" s="1"/>
  <c r="T303" i="32"/>
  <c r="V303" i="32" s="1"/>
  <c r="S273" i="32"/>
  <c r="U273" i="32" s="1"/>
  <c r="S258" i="32"/>
  <c r="U258" i="32" s="1"/>
  <c r="S294" i="32"/>
  <c r="U294" i="32" s="1"/>
  <c r="T284" i="32"/>
  <c r="V284" i="32" s="1"/>
  <c r="T237" i="32"/>
  <c r="V237" i="32" s="1"/>
  <c r="S235" i="32"/>
  <c r="S225" i="32"/>
  <c r="U225" i="32" s="1"/>
  <c r="S206" i="32"/>
  <c r="T201" i="32"/>
  <c r="S185" i="32"/>
  <c r="U185" i="32" s="1"/>
  <c r="T182" i="32"/>
  <c r="T171" i="32"/>
  <c r="T155" i="32"/>
  <c r="S148" i="32"/>
  <c r="T137" i="32"/>
  <c r="S119" i="32"/>
  <c r="U119" i="32" s="1"/>
  <c r="S116" i="32"/>
  <c r="U116" i="32" s="1"/>
  <c r="S113" i="32"/>
  <c r="U113" i="32" s="1"/>
  <c r="S372" i="32"/>
  <c r="U372" i="32" s="1"/>
  <c r="S292" i="32"/>
  <c r="U292" i="32" s="1"/>
  <c r="S257" i="32"/>
  <c r="U257" i="32" s="1"/>
  <c r="S246" i="32"/>
  <c r="U246" i="32" s="1"/>
  <c r="T220" i="32"/>
  <c r="V220" i="32" s="1"/>
  <c r="S209" i="32"/>
  <c r="U209" i="32" s="1"/>
  <c r="T204" i="32"/>
  <c r="T199" i="32"/>
  <c r="S189" i="32"/>
  <c r="U189" i="32" s="1"/>
  <c r="T186" i="32"/>
  <c r="V186" i="32" s="1"/>
  <c r="T172" i="32"/>
  <c r="S156" i="32"/>
  <c r="T271" i="32"/>
  <c r="V271" i="32" s="1"/>
  <c r="S263" i="32"/>
  <c r="U263" i="32" s="1"/>
  <c r="S228" i="32"/>
  <c r="U228" i="32" s="1"/>
  <c r="S220" i="32"/>
  <c r="U220" i="32" s="1"/>
  <c r="S218" i="32"/>
  <c r="U218" i="32" s="1"/>
  <c r="T214" i="32"/>
  <c r="S204" i="32"/>
  <c r="T193" i="32"/>
  <c r="S186" i="32"/>
  <c r="U186" i="32" s="1"/>
  <c r="S169" i="32"/>
  <c r="S153" i="32"/>
  <c r="S142" i="32"/>
  <c r="T139" i="32"/>
  <c r="T234" i="32"/>
  <c r="T226" i="32"/>
  <c r="V226" i="32" s="1"/>
  <c r="S214" i="32"/>
  <c r="S202" i="32"/>
  <c r="T190" i="32"/>
  <c r="V190" i="32" s="1"/>
  <c r="T308" i="32"/>
  <c r="V308" i="32" s="1"/>
  <c r="T255" i="32"/>
  <c r="V255" i="32" s="1"/>
  <c r="S245" i="32"/>
  <c r="U245" i="32" s="1"/>
  <c r="S210" i="32"/>
  <c r="S205" i="32"/>
  <c r="S200" i="32"/>
  <c r="S191" i="32"/>
  <c r="S180" i="32"/>
  <c r="T177" i="32"/>
  <c r="T161" i="32"/>
  <c r="S147" i="32"/>
  <c r="T144" i="32"/>
  <c r="S255" i="32"/>
  <c r="U255" i="32" s="1"/>
  <c r="T229" i="32"/>
  <c r="V229" i="32" s="1"/>
  <c r="T219" i="32"/>
  <c r="T215" i="32"/>
  <c r="V215" i="32" s="1"/>
  <c r="T184" i="32"/>
  <c r="T259" i="32"/>
  <c r="V259" i="32" s="1"/>
  <c r="S229" i="32"/>
  <c r="U229" i="32" s="1"/>
  <c r="T223" i="32"/>
  <c r="V223" i="32" s="1"/>
  <c r="S219" i="32"/>
  <c r="S215" i="32"/>
  <c r="U215" i="32" s="1"/>
  <c r="T208" i="32"/>
  <c r="V208" i="32" s="1"/>
  <c r="T203" i="32"/>
  <c r="T195" i="32"/>
  <c r="T181" i="32"/>
  <c r="S167" i="32"/>
  <c r="T162" i="32"/>
  <c r="T151" i="32"/>
  <c r="S237" i="32"/>
  <c r="U237" i="32" s="1"/>
  <c r="T153" i="32"/>
  <c r="S139" i="32"/>
  <c r="S117" i="32"/>
  <c r="U117" i="32" s="1"/>
  <c r="S109" i="32"/>
  <c r="U109" i="32" s="1"/>
  <c r="T104" i="32"/>
  <c r="S100" i="32"/>
  <c r="T95" i="32"/>
  <c r="V95" i="32" s="1"/>
  <c r="S91" i="32"/>
  <c r="T86" i="32"/>
  <c r="S82" i="32"/>
  <c r="T77" i="32"/>
  <c r="V77" i="32" s="1"/>
  <c r="S73" i="32"/>
  <c r="T68" i="32"/>
  <c r="S64" i="32"/>
  <c r="T59" i="32"/>
  <c r="T55" i="32"/>
  <c r="T52" i="32"/>
  <c r="T49" i="32"/>
  <c r="T46" i="32"/>
  <c r="T43" i="32"/>
  <c r="T40" i="32"/>
  <c r="T37" i="32"/>
  <c r="T34" i="32"/>
  <c r="T31" i="32"/>
  <c r="T28" i="32"/>
  <c r="T25" i="32"/>
  <c r="T333" i="32"/>
  <c r="V333" i="32" s="1"/>
  <c r="T258" i="32"/>
  <c r="V258" i="32" s="1"/>
  <c r="S217" i="32"/>
  <c r="U217" i="32" s="1"/>
  <c r="T191" i="32"/>
  <c r="T160" i="32"/>
  <c r="S151" i="32"/>
  <c r="S134" i="32"/>
  <c r="T108" i="32"/>
  <c r="S104" i="32"/>
  <c r="T99" i="32"/>
  <c r="S95" i="32"/>
  <c r="U95" i="32" s="1"/>
  <c r="T90" i="32"/>
  <c r="S86" i="32"/>
  <c r="T81" i="32"/>
  <c r="S77" i="32"/>
  <c r="U77" i="32" s="1"/>
  <c r="T72" i="32"/>
  <c r="S68" i="32"/>
  <c r="T63" i="32"/>
  <c r="S59" i="32"/>
  <c r="S55" i="32"/>
  <c r="S52" i="32"/>
  <c r="S49" i="32"/>
  <c r="S46" i="32"/>
  <c r="S43" i="32"/>
  <c r="S40" i="32"/>
  <c r="S37" i="32"/>
  <c r="S34" i="32"/>
  <c r="T409" i="32"/>
  <c r="V409" i="32" s="1"/>
  <c r="T330" i="32"/>
  <c r="V330" i="32" s="1"/>
  <c r="T241" i="32"/>
  <c r="S236" i="32"/>
  <c r="S160" i="32"/>
  <c r="S125" i="32"/>
  <c r="T120" i="32"/>
  <c r="V120" i="32" s="1"/>
  <c r="T119" i="32"/>
  <c r="V119" i="32" s="1"/>
  <c r="S108" i="32"/>
  <c r="S99" i="32"/>
  <c r="S90" i="32"/>
  <c r="S81" i="32"/>
  <c r="S72" i="32"/>
  <c r="S63" i="32"/>
  <c r="S388" i="32"/>
  <c r="U388" i="32" s="1"/>
  <c r="T274" i="32"/>
  <c r="V274" i="32" s="1"/>
  <c r="S256" i="32"/>
  <c r="U256" i="32" s="1"/>
  <c r="S247" i="32"/>
  <c r="U247" i="32" s="1"/>
  <c r="S194" i="32"/>
  <c r="S187" i="32"/>
  <c r="U187" i="32" s="1"/>
  <c r="S176" i="32"/>
  <c r="S162" i="32"/>
  <c r="S131" i="32"/>
  <c r="T126" i="32"/>
  <c r="S120" i="32"/>
  <c r="U120" i="32" s="1"/>
  <c r="T103" i="32"/>
  <c r="T94" i="32"/>
  <c r="V94" i="32" s="1"/>
  <c r="T85" i="32"/>
  <c r="T76" i="32"/>
  <c r="T67" i="32"/>
  <c r="T58" i="32"/>
  <c r="T235" i="32"/>
  <c r="T205" i="32"/>
  <c r="S201" i="32"/>
  <c r="T157" i="32"/>
  <c r="S144" i="32"/>
  <c r="T135" i="32"/>
  <c r="T132" i="32"/>
  <c r="S126" i="32"/>
  <c r="T107" i="32"/>
  <c r="S103" i="32"/>
  <c r="T98" i="32"/>
  <c r="S94" i="32"/>
  <c r="U94" i="32" s="1"/>
  <c r="T89" i="32"/>
  <c r="V89" i="32" s="1"/>
  <c r="S85" i="32"/>
  <c r="T80" i="32"/>
  <c r="V80" i="32" s="1"/>
  <c r="S76" i="32"/>
  <c r="T71" i="32"/>
  <c r="S67" i="32"/>
  <c r="T62" i="32"/>
  <c r="S58" i="32"/>
  <c r="T54" i="32"/>
  <c r="T51" i="32"/>
  <c r="T48" i="32"/>
  <c r="T45" i="32"/>
  <c r="T42" i="32"/>
  <c r="T39" i="32"/>
  <c r="T36" i="32"/>
  <c r="T33" i="32"/>
  <c r="T30" i="32"/>
  <c r="T27" i="32"/>
  <c r="S290" i="32"/>
  <c r="U290" i="32" s="1"/>
  <c r="S234" i="32"/>
  <c r="T244" i="32"/>
  <c r="V244" i="32" s="1"/>
  <c r="T180" i="32"/>
  <c r="S168" i="32"/>
  <c r="T123" i="32"/>
  <c r="T114" i="32"/>
  <c r="V114" i="32" s="1"/>
  <c r="T113" i="32"/>
  <c r="V113" i="32" s="1"/>
  <c r="T112" i="32"/>
  <c r="V112" i="32" s="1"/>
  <c r="S111" i="32"/>
  <c r="U111" i="32" s="1"/>
  <c r="S106" i="32"/>
  <c r="T101" i="32"/>
  <c r="S97" i="32"/>
  <c r="U97" i="32" s="1"/>
  <c r="T92" i="32"/>
  <c r="S88" i="32"/>
  <c r="U88" i="32" s="1"/>
  <c r="T83" i="32"/>
  <c r="S79" i="32"/>
  <c r="U79" i="32" s="1"/>
  <c r="T74" i="32"/>
  <c r="S70" i="32"/>
  <c r="T65" i="32"/>
  <c r="S61" i="32"/>
  <c r="T56" i="32"/>
  <c r="T53" i="32"/>
  <c r="T50" i="32"/>
  <c r="S238" i="32"/>
  <c r="U238" i="32" s="1"/>
  <c r="S203" i="32"/>
  <c r="S182" i="32"/>
  <c r="T143" i="32"/>
  <c r="T129" i="32"/>
  <c r="S110" i="32"/>
  <c r="U110" i="32" s="1"/>
  <c r="S105" i="32"/>
  <c r="S96" i="32"/>
  <c r="U96" i="32" s="1"/>
  <c r="S87" i="32"/>
  <c r="U87" i="32" s="1"/>
  <c r="S78" i="32"/>
  <c r="U78" i="32" s="1"/>
  <c r="S69" i="32"/>
  <c r="S60" i="32"/>
  <c r="AD11" i="32"/>
  <c r="S14" i="32"/>
  <c r="AI14" i="32"/>
  <c r="X17" i="32"/>
  <c r="Z17" i="32" s="1"/>
  <c r="T18" i="32"/>
  <c r="V18" i="32" s="1"/>
  <c r="AH19" i="32"/>
  <c r="AJ19" i="32" s="1"/>
  <c r="AD20" i="32"/>
  <c r="T23" i="32"/>
  <c r="V23" i="32" s="1"/>
  <c r="S26" i="32"/>
  <c r="AH33" i="32"/>
  <c r="AC36" i="32"/>
  <c r="Y40" i="32"/>
  <c r="AH42" i="32"/>
  <c r="AC45" i="32"/>
  <c r="S48" i="32"/>
  <c r="AC49" i="32"/>
  <c r="S51" i="32"/>
  <c r="AC52" i="32"/>
  <c r="S54" i="32"/>
  <c r="AC55" i="32"/>
  <c r="T57" i="32"/>
  <c r="AH58" i="32"/>
  <c r="AD62" i="32"/>
  <c r="AC66" i="32"/>
  <c r="Y76" i="32"/>
  <c r="X78" i="32"/>
  <c r="Z78" i="32" s="1"/>
  <c r="S80" i="32"/>
  <c r="U80" i="32" s="1"/>
  <c r="S84" i="32"/>
  <c r="T88" i="32"/>
  <c r="V88" i="32" s="1"/>
  <c r="AI89" i="32"/>
  <c r="AK89" i="32" s="1"/>
  <c r="S92" i="32"/>
  <c r="AI93" i="32"/>
  <c r="AI101" i="32"/>
  <c r="AH105" i="32"/>
  <c r="T117" i="32"/>
  <c r="V117" i="32" s="1"/>
  <c r="X122" i="32"/>
  <c r="X128" i="32"/>
  <c r="AH134" i="32"/>
  <c r="Y138" i="32"/>
  <c r="AI147" i="32"/>
  <c r="AI158" i="32"/>
  <c r="AH214" i="32"/>
  <c r="T225" i="32"/>
  <c r="V225" i="32" s="1"/>
  <c r="T365" i="32"/>
  <c r="V365" i="32" s="1"/>
  <c r="AC137" i="32"/>
  <c r="AD528" i="32"/>
  <c r="AF528" i="32" s="1"/>
  <c r="AC528" i="32"/>
  <c r="AE528" i="32" s="1"/>
  <c r="Y528" i="32"/>
  <c r="AA528" i="32" s="1"/>
  <c r="X528" i="32"/>
  <c r="Z528" i="32" s="1"/>
  <c r="Y526" i="32"/>
  <c r="AA526" i="32" s="1"/>
  <c r="Y517" i="32"/>
  <c r="AA517" i="32" s="1"/>
  <c r="Y508" i="32"/>
  <c r="AA508" i="32" s="1"/>
  <c r="Y499" i="32"/>
  <c r="AA499" i="32" s="1"/>
  <c r="Y490" i="32"/>
  <c r="AA490" i="32" s="1"/>
  <c r="Y481" i="32"/>
  <c r="AA481" i="32" s="1"/>
  <c r="Y472" i="32"/>
  <c r="AA472" i="32" s="1"/>
  <c r="AD527" i="32"/>
  <c r="AF527" i="32" s="1"/>
  <c r="Y520" i="32"/>
  <c r="AA520" i="32" s="1"/>
  <c r="Y511" i="32"/>
  <c r="AA511" i="32" s="1"/>
  <c r="Y502" i="32"/>
  <c r="AA502" i="32" s="1"/>
  <c r="Y493" i="32"/>
  <c r="AA493" i="32" s="1"/>
  <c r="Y484" i="32"/>
  <c r="AA484" i="32" s="1"/>
  <c r="Y475" i="32"/>
  <c r="AA475" i="32" s="1"/>
  <c r="Y466" i="32"/>
  <c r="AA466" i="32" s="1"/>
  <c r="Y518" i="32"/>
  <c r="AA518" i="32" s="1"/>
  <c r="X517" i="32"/>
  <c r="Z517" i="32" s="1"/>
  <c r="X516" i="32"/>
  <c r="Z516" i="32" s="1"/>
  <c r="X503" i="32"/>
  <c r="Z503" i="32" s="1"/>
  <c r="Y491" i="32"/>
  <c r="AA491" i="32" s="1"/>
  <c r="X490" i="32"/>
  <c r="Z490" i="32" s="1"/>
  <c r="X489" i="32"/>
  <c r="Z489" i="32" s="1"/>
  <c r="X476" i="32"/>
  <c r="Z476" i="32" s="1"/>
  <c r="X458" i="32"/>
  <c r="Z458" i="32" s="1"/>
  <c r="Y451" i="32"/>
  <c r="AA451" i="32" s="1"/>
  <c r="Y448" i="32"/>
  <c r="AA448" i="32" s="1"/>
  <c r="Y445" i="32"/>
  <c r="AA445" i="32" s="1"/>
  <c r="Y442" i="32"/>
  <c r="AA442" i="32" s="1"/>
  <c r="Y439" i="32"/>
  <c r="AA439" i="32" s="1"/>
  <c r="Y436" i="32"/>
  <c r="AA436" i="32" s="1"/>
  <c r="Y433" i="32"/>
  <c r="AA433" i="32" s="1"/>
  <c r="Y430" i="32"/>
  <c r="AA430" i="32" s="1"/>
  <c r="Y427" i="32"/>
  <c r="AA427" i="32" s="1"/>
  <c r="Y424" i="32"/>
  <c r="AA424" i="32" s="1"/>
  <c r="X518" i="32"/>
  <c r="Z518" i="32" s="1"/>
  <c r="Y506" i="32"/>
  <c r="AA506" i="32" s="1"/>
  <c r="Y505" i="32"/>
  <c r="AA505" i="32" s="1"/>
  <c r="Y504" i="32"/>
  <c r="AA504" i="32" s="1"/>
  <c r="X491" i="32"/>
  <c r="Z491" i="32" s="1"/>
  <c r="Y479" i="32"/>
  <c r="AA479" i="32" s="1"/>
  <c r="Y478" i="32"/>
  <c r="AA478" i="32" s="1"/>
  <c r="Y477" i="32"/>
  <c r="AA477" i="32" s="1"/>
  <c r="Y457" i="32"/>
  <c r="AA457" i="32" s="1"/>
  <c r="X451" i="32"/>
  <c r="Z451" i="32" s="1"/>
  <c r="X448" i="32"/>
  <c r="Z448" i="32" s="1"/>
  <c r="X445" i="32"/>
  <c r="Z445" i="32" s="1"/>
  <c r="X442" i="32"/>
  <c r="Z442" i="32" s="1"/>
  <c r="X439" i="32"/>
  <c r="Z439" i="32" s="1"/>
  <c r="X436" i="32"/>
  <c r="Z436" i="32" s="1"/>
  <c r="X433" i="32"/>
  <c r="Z433" i="32" s="1"/>
  <c r="X430" i="32"/>
  <c r="Z430" i="32" s="1"/>
  <c r="X427" i="32"/>
  <c r="Z427" i="32" s="1"/>
  <c r="X424" i="32"/>
  <c r="Z424" i="32" s="1"/>
  <c r="X521" i="32"/>
  <c r="Z521" i="32" s="1"/>
  <c r="Y509" i="32"/>
  <c r="AA509" i="32" s="1"/>
  <c r="X508" i="32"/>
  <c r="Z508" i="32" s="1"/>
  <c r="X507" i="32"/>
  <c r="Z507" i="32" s="1"/>
  <c r="Y524" i="32"/>
  <c r="AA524" i="32" s="1"/>
  <c r="Y523" i="32"/>
  <c r="AA523" i="32" s="1"/>
  <c r="Y522" i="32"/>
  <c r="AA522" i="32" s="1"/>
  <c r="X509" i="32"/>
  <c r="Z509" i="32" s="1"/>
  <c r="Y497" i="32"/>
  <c r="AA497" i="32" s="1"/>
  <c r="Y496" i="32"/>
  <c r="AA496" i="32" s="1"/>
  <c r="Y495" i="32"/>
  <c r="AA495" i="32" s="1"/>
  <c r="AC527" i="32"/>
  <c r="AE527" i="32" s="1"/>
  <c r="Y525" i="32"/>
  <c r="AA525" i="32" s="1"/>
  <c r="Y512" i="32"/>
  <c r="AA512" i="32" s="1"/>
  <c r="X511" i="32"/>
  <c r="Z511" i="32" s="1"/>
  <c r="X510" i="32"/>
  <c r="Z510" i="32" s="1"/>
  <c r="Y498" i="32"/>
  <c r="AA498" i="32" s="1"/>
  <c r="Y485" i="32"/>
  <c r="AA485" i="32" s="1"/>
  <c r="X484" i="32"/>
  <c r="Z484" i="32" s="1"/>
  <c r="X483" i="32"/>
  <c r="Z483" i="32" s="1"/>
  <c r="Y471" i="32"/>
  <c r="AA471" i="32" s="1"/>
  <c r="X462" i="32"/>
  <c r="Z462" i="32" s="1"/>
  <c r="Y461" i="32"/>
  <c r="AA461" i="32" s="1"/>
  <c r="Y453" i="32"/>
  <c r="AA453" i="32" s="1"/>
  <c r="X522" i="32"/>
  <c r="Z522" i="32" s="1"/>
  <c r="X496" i="32"/>
  <c r="Z496" i="32" s="1"/>
  <c r="X482" i="32"/>
  <c r="Z482" i="32" s="1"/>
  <c r="X479" i="32"/>
  <c r="Z479" i="32" s="1"/>
  <c r="Y469" i="32"/>
  <c r="AA469" i="32" s="1"/>
  <c r="Y460" i="32"/>
  <c r="AA460" i="32" s="1"/>
  <c r="Y454" i="32"/>
  <c r="AA454" i="32" s="1"/>
  <c r="Y440" i="32"/>
  <c r="AA440" i="32" s="1"/>
  <c r="Y431" i="32"/>
  <c r="AA431" i="32" s="1"/>
  <c r="X423" i="32"/>
  <c r="Z423" i="32" s="1"/>
  <c r="X520" i="32"/>
  <c r="Z520" i="32" s="1"/>
  <c r="Y507" i="32"/>
  <c r="AA507" i="32" s="1"/>
  <c r="Y494" i="32"/>
  <c r="AA494" i="32" s="1"/>
  <c r="X469" i="32"/>
  <c r="Z469" i="32" s="1"/>
  <c r="X466" i="32"/>
  <c r="Z466" i="32" s="1"/>
  <c r="X460" i="32"/>
  <c r="Z460" i="32" s="1"/>
  <c r="Y455" i="32"/>
  <c r="AA455" i="32" s="1"/>
  <c r="X454" i="32"/>
  <c r="Z454" i="32" s="1"/>
  <c r="X440" i="32"/>
  <c r="Z440" i="32" s="1"/>
  <c r="X431" i="32"/>
  <c r="Z431" i="32" s="1"/>
  <c r="X525" i="32"/>
  <c r="Z525" i="32" s="1"/>
  <c r="Y519" i="32"/>
  <c r="AA519" i="32" s="1"/>
  <c r="X506" i="32"/>
  <c r="Z506" i="32" s="1"/>
  <c r="X495" i="32"/>
  <c r="Z495" i="32" s="1"/>
  <c r="X487" i="32"/>
  <c r="Z487" i="32" s="1"/>
  <c r="Y474" i="32"/>
  <c r="AA474" i="32" s="1"/>
  <c r="X524" i="32"/>
  <c r="Z524" i="32" s="1"/>
  <c r="X501" i="32"/>
  <c r="Z501" i="32" s="1"/>
  <c r="Y468" i="32"/>
  <c r="AA468" i="32" s="1"/>
  <c r="X463" i="32"/>
  <c r="Z463" i="32" s="1"/>
  <c r="X453" i="32"/>
  <c r="Z453" i="32" s="1"/>
  <c r="X441" i="32"/>
  <c r="Z441" i="32" s="1"/>
  <c r="X429" i="32"/>
  <c r="Z429" i="32" s="1"/>
  <c r="X428" i="32"/>
  <c r="Z428" i="32" s="1"/>
  <c r="Y421" i="32"/>
  <c r="AA421" i="32" s="1"/>
  <c r="Y527" i="32"/>
  <c r="AA527" i="32" s="1"/>
  <c r="Y521" i="32"/>
  <c r="AA521" i="32" s="1"/>
  <c r="Y513" i="32"/>
  <c r="AA513" i="32" s="1"/>
  <c r="Y503" i="32"/>
  <c r="AA503" i="32" s="1"/>
  <c r="Y489" i="32"/>
  <c r="AA489" i="32" s="1"/>
  <c r="Y487" i="32"/>
  <c r="AA487" i="32" s="1"/>
  <c r="X468" i="32"/>
  <c r="Z468" i="32" s="1"/>
  <c r="X457" i="32"/>
  <c r="Z457" i="32" s="1"/>
  <c r="Y449" i="32"/>
  <c r="AA449" i="32" s="1"/>
  <c r="Y443" i="32"/>
  <c r="AA443" i="32" s="1"/>
  <c r="X421" i="32"/>
  <c r="Z421" i="32" s="1"/>
  <c r="X527" i="32"/>
  <c r="Z527" i="32" s="1"/>
  <c r="Y515" i="32"/>
  <c r="AA515" i="32" s="1"/>
  <c r="X513" i="32"/>
  <c r="Z513" i="32" s="1"/>
  <c r="X498" i="32"/>
  <c r="Z498" i="32" s="1"/>
  <c r="X485" i="32"/>
  <c r="Z485" i="32" s="1"/>
  <c r="Y483" i="32"/>
  <c r="AA483" i="32" s="1"/>
  <c r="X481" i="32"/>
  <c r="Z481" i="32" s="1"/>
  <c r="Y464" i="32"/>
  <c r="AA464" i="32" s="1"/>
  <c r="X449" i="32"/>
  <c r="Z449" i="32" s="1"/>
  <c r="X443" i="32"/>
  <c r="Z443" i="32" s="1"/>
  <c r="Y417" i="32"/>
  <c r="AA417" i="32" s="1"/>
  <c r="Y414" i="32"/>
  <c r="AA414" i="32" s="1"/>
  <c r="Y411" i="32"/>
  <c r="AA411" i="32" s="1"/>
  <c r="X515" i="32"/>
  <c r="Z515" i="32" s="1"/>
  <c r="Y510" i="32"/>
  <c r="AA510" i="32" s="1"/>
  <c r="X505" i="32"/>
  <c r="Z505" i="32" s="1"/>
  <c r="Y500" i="32"/>
  <c r="AA500" i="32" s="1"/>
  <c r="X493" i="32"/>
  <c r="Z493" i="32" s="1"/>
  <c r="X519" i="32"/>
  <c r="Z519" i="32" s="1"/>
  <c r="X504" i="32"/>
  <c r="Z504" i="32" s="1"/>
  <c r="X494" i="32"/>
  <c r="Z494" i="32" s="1"/>
  <c r="X492" i="32"/>
  <c r="Z492" i="32" s="1"/>
  <c r="X480" i="32"/>
  <c r="Z480" i="32" s="1"/>
  <c r="X478" i="32"/>
  <c r="Z478" i="32" s="1"/>
  <c r="Y476" i="32"/>
  <c r="AA476" i="32" s="1"/>
  <c r="Y459" i="32"/>
  <c r="AA459" i="32" s="1"/>
  <c r="X456" i="32"/>
  <c r="Z456" i="32" s="1"/>
  <c r="X452" i="32"/>
  <c r="Z452" i="32" s="1"/>
  <c r="Y447" i="32"/>
  <c r="AA447" i="32" s="1"/>
  <c r="Y426" i="32"/>
  <c r="AA426" i="32" s="1"/>
  <c r="Y425" i="32"/>
  <c r="AA425" i="32" s="1"/>
  <c r="Y422" i="32"/>
  <c r="AA422" i="32" s="1"/>
  <c r="X512" i="32"/>
  <c r="Z512" i="32" s="1"/>
  <c r="X475" i="32"/>
  <c r="Z475" i="32" s="1"/>
  <c r="X455" i="32"/>
  <c r="Z455" i="32" s="1"/>
  <c r="Y434" i="32"/>
  <c r="AA434" i="32" s="1"/>
  <c r="X426" i="32"/>
  <c r="Z426" i="32" s="1"/>
  <c r="Y418" i="32"/>
  <c r="AA418" i="32" s="1"/>
  <c r="Y398" i="32"/>
  <c r="AA398" i="32" s="1"/>
  <c r="Y389" i="32"/>
  <c r="AA389" i="32" s="1"/>
  <c r="Y380" i="32"/>
  <c r="AA380" i="32" s="1"/>
  <c r="Y371" i="32"/>
  <c r="AA371" i="32" s="1"/>
  <c r="Y366" i="32"/>
  <c r="AA366" i="32" s="1"/>
  <c r="X362" i="32"/>
  <c r="Z362" i="32" s="1"/>
  <c r="Y357" i="32"/>
  <c r="AA357" i="32" s="1"/>
  <c r="X353" i="32"/>
  <c r="Z353" i="32" s="1"/>
  <c r="X350" i="32"/>
  <c r="Z350" i="32" s="1"/>
  <c r="X347" i="32"/>
  <c r="Z347" i="32" s="1"/>
  <c r="X344" i="32"/>
  <c r="Z344" i="32" s="1"/>
  <c r="X341" i="32"/>
  <c r="Z341" i="32" s="1"/>
  <c r="X338" i="32"/>
  <c r="Z338" i="32" s="1"/>
  <c r="X335" i="32"/>
  <c r="Z335" i="32" s="1"/>
  <c r="X332" i="32"/>
  <c r="Z332" i="32" s="1"/>
  <c r="X329" i="32"/>
  <c r="Z329" i="32" s="1"/>
  <c r="X326" i="32"/>
  <c r="Z326" i="32" s="1"/>
  <c r="X323" i="32"/>
  <c r="Z323" i="32" s="1"/>
  <c r="X320" i="32"/>
  <c r="Z320" i="32" s="1"/>
  <c r="X461" i="32"/>
  <c r="Z461" i="32" s="1"/>
  <c r="Y437" i="32"/>
  <c r="AA437" i="32" s="1"/>
  <c r="Y432" i="32"/>
  <c r="AA432" i="32" s="1"/>
  <c r="Y420" i="32"/>
  <c r="AA420" i="32" s="1"/>
  <c r="X419" i="32"/>
  <c r="Z419" i="32" s="1"/>
  <c r="X411" i="32"/>
  <c r="Z411" i="32" s="1"/>
  <c r="Y410" i="32"/>
  <c r="AA410" i="32" s="1"/>
  <c r="Y409" i="32"/>
  <c r="AA409" i="32" s="1"/>
  <c r="X408" i="32"/>
  <c r="Z408" i="32" s="1"/>
  <c r="Y407" i="32"/>
  <c r="AA407" i="32" s="1"/>
  <c r="Y406" i="32"/>
  <c r="AA406" i="32" s="1"/>
  <c r="Y405" i="32"/>
  <c r="AA405" i="32" s="1"/>
  <c r="Y397" i="32"/>
  <c r="AA397" i="32" s="1"/>
  <c r="Y396" i="32"/>
  <c r="AA396" i="32" s="1"/>
  <c r="Y388" i="32"/>
  <c r="AA388" i="32" s="1"/>
  <c r="Y387" i="32"/>
  <c r="AA387" i="32" s="1"/>
  <c r="X500" i="32"/>
  <c r="Z500" i="32" s="1"/>
  <c r="Y482" i="32"/>
  <c r="AA482" i="32" s="1"/>
  <c r="X470" i="32"/>
  <c r="Z470" i="32" s="1"/>
  <c r="X467" i="32"/>
  <c r="Z467" i="32" s="1"/>
  <c r="Y441" i="32"/>
  <c r="AA441" i="32" s="1"/>
  <c r="Y428" i="32"/>
  <c r="AA428" i="32" s="1"/>
  <c r="Y416" i="32"/>
  <c r="AA416" i="32" s="1"/>
  <c r="X415" i="32"/>
  <c r="Z415" i="32" s="1"/>
  <c r="X401" i="32"/>
  <c r="Z401" i="32" s="1"/>
  <c r="X392" i="32"/>
  <c r="Z392" i="32" s="1"/>
  <c r="X383" i="32"/>
  <c r="Z383" i="32" s="1"/>
  <c r="X526" i="32"/>
  <c r="Z526" i="32" s="1"/>
  <c r="X499" i="32"/>
  <c r="Z499" i="32" s="1"/>
  <c r="X488" i="32"/>
  <c r="Z488" i="32" s="1"/>
  <c r="X471" i="32"/>
  <c r="Z471" i="32" s="1"/>
  <c r="X450" i="32"/>
  <c r="Z450" i="32" s="1"/>
  <c r="X402" i="32"/>
  <c r="Z402" i="32" s="1"/>
  <c r="X390" i="32"/>
  <c r="Z390" i="32" s="1"/>
  <c r="X384" i="32"/>
  <c r="Z384" i="32" s="1"/>
  <c r="X365" i="32"/>
  <c r="Z365" i="32" s="1"/>
  <c r="Y356" i="32"/>
  <c r="AA356" i="32" s="1"/>
  <c r="X346" i="32"/>
  <c r="Z346" i="32" s="1"/>
  <c r="X337" i="32"/>
  <c r="Z337" i="32" s="1"/>
  <c r="X328" i="32"/>
  <c r="Z328" i="32" s="1"/>
  <c r="X319" i="32"/>
  <c r="Z319" i="32" s="1"/>
  <c r="X316" i="32"/>
  <c r="Z316" i="32" s="1"/>
  <c r="X313" i="32"/>
  <c r="Z313" i="32" s="1"/>
  <c r="X310" i="32"/>
  <c r="Z310" i="32" s="1"/>
  <c r="X307" i="32"/>
  <c r="Z307" i="32" s="1"/>
  <c r="X304" i="32"/>
  <c r="Z304" i="32" s="1"/>
  <c r="X301" i="32"/>
  <c r="Z301" i="32" s="1"/>
  <c r="X298" i="32"/>
  <c r="Z298" i="32" s="1"/>
  <c r="X295" i="32"/>
  <c r="Z295" i="32" s="1"/>
  <c r="X292" i="32"/>
  <c r="Z292" i="32" s="1"/>
  <c r="Y467" i="32"/>
  <c r="AA467" i="32" s="1"/>
  <c r="Y458" i="32"/>
  <c r="AA458" i="32" s="1"/>
  <c r="X434" i="32"/>
  <c r="Z434" i="32" s="1"/>
  <c r="Y408" i="32"/>
  <c r="AA408" i="32" s="1"/>
  <c r="Y378" i="32"/>
  <c r="AA378" i="32" s="1"/>
  <c r="Y364" i="32"/>
  <c r="AA364" i="32" s="1"/>
  <c r="X356" i="32"/>
  <c r="Z356" i="32" s="1"/>
  <c r="Y350" i="32"/>
  <c r="AA350" i="32" s="1"/>
  <c r="Y341" i="32"/>
  <c r="AA341" i="32" s="1"/>
  <c r="Y438" i="32"/>
  <c r="AA438" i="32" s="1"/>
  <c r="Y403" i="32"/>
  <c r="AA403" i="32" s="1"/>
  <c r="X397" i="32"/>
  <c r="Z397" i="32" s="1"/>
  <c r="Y391" i="32"/>
  <c r="AA391" i="32" s="1"/>
  <c r="Y385" i="32"/>
  <c r="AA385" i="32" s="1"/>
  <c r="Y379" i="32"/>
  <c r="AA379" i="32" s="1"/>
  <c r="X378" i="32"/>
  <c r="Z378" i="32" s="1"/>
  <c r="Y377" i="32"/>
  <c r="AA377" i="32" s="1"/>
  <c r="Y375" i="32"/>
  <c r="AA375" i="32" s="1"/>
  <c r="X364" i="32"/>
  <c r="Z364" i="32" s="1"/>
  <c r="Y363" i="32"/>
  <c r="AA363" i="32" s="1"/>
  <c r="Y355" i="32"/>
  <c r="AA355" i="32" s="1"/>
  <c r="Y345" i="32"/>
  <c r="AA345" i="32" s="1"/>
  <c r="Y492" i="32"/>
  <c r="AA492" i="32" s="1"/>
  <c r="Y452" i="32"/>
  <c r="AA452" i="32" s="1"/>
  <c r="X447" i="32"/>
  <c r="Z447" i="32" s="1"/>
  <c r="X438" i="32"/>
  <c r="Z438" i="32" s="1"/>
  <c r="Y423" i="32"/>
  <c r="AA423" i="32" s="1"/>
  <c r="Y412" i="32"/>
  <c r="AA412" i="32" s="1"/>
  <c r="Y404" i="32"/>
  <c r="AA404" i="32" s="1"/>
  <c r="X403" i="32"/>
  <c r="Z403" i="32" s="1"/>
  <c r="X391" i="32"/>
  <c r="Z391" i="32" s="1"/>
  <c r="Y386" i="32"/>
  <c r="AA386" i="32" s="1"/>
  <c r="X385" i="32"/>
  <c r="Z385" i="32" s="1"/>
  <c r="X379" i="32"/>
  <c r="Z379" i="32" s="1"/>
  <c r="X377" i="32"/>
  <c r="Z377" i="32" s="1"/>
  <c r="Y376" i="32"/>
  <c r="AA376" i="32" s="1"/>
  <c r="X375" i="32"/>
  <c r="Z375" i="32" s="1"/>
  <c r="Y374" i="32"/>
  <c r="AA374" i="32" s="1"/>
  <c r="Y372" i="32"/>
  <c r="AA372" i="32" s="1"/>
  <c r="Y516" i="32"/>
  <c r="AA516" i="32" s="1"/>
  <c r="X497" i="32"/>
  <c r="Z497" i="32" s="1"/>
  <c r="X474" i="32"/>
  <c r="Z474" i="32" s="1"/>
  <c r="Y470" i="32"/>
  <c r="AA470" i="32" s="1"/>
  <c r="Y463" i="32"/>
  <c r="AA463" i="32" s="1"/>
  <c r="Y429" i="32"/>
  <c r="AA429" i="32" s="1"/>
  <c r="X425" i="32"/>
  <c r="Z425" i="32" s="1"/>
  <c r="X418" i="32"/>
  <c r="Z418" i="32" s="1"/>
  <c r="Y415" i="32"/>
  <c r="AA415" i="32" s="1"/>
  <c r="X412" i="32"/>
  <c r="Z412" i="32" s="1"/>
  <c r="X404" i="32"/>
  <c r="Z404" i="32" s="1"/>
  <c r="X398" i="32"/>
  <c r="Z398" i="32" s="1"/>
  <c r="Y392" i="32"/>
  <c r="AA392" i="32" s="1"/>
  <c r="X386" i="32"/>
  <c r="Z386" i="32" s="1"/>
  <c r="X380" i="32"/>
  <c r="Z380" i="32" s="1"/>
  <c r="X376" i="32"/>
  <c r="Z376" i="32" s="1"/>
  <c r="X374" i="32"/>
  <c r="Z374" i="32" s="1"/>
  <c r="Y373" i="32"/>
  <c r="AA373" i="32" s="1"/>
  <c r="X372" i="32"/>
  <c r="Z372" i="32" s="1"/>
  <c r="X371" i="32"/>
  <c r="Z371" i="32" s="1"/>
  <c r="Y370" i="32"/>
  <c r="AA370" i="32" s="1"/>
  <c r="Y501" i="32"/>
  <c r="AA501" i="32" s="1"/>
  <c r="X472" i="32"/>
  <c r="Z472" i="32" s="1"/>
  <c r="X523" i="32"/>
  <c r="Z523" i="32" s="1"/>
  <c r="Y486" i="32"/>
  <c r="AA486" i="32" s="1"/>
  <c r="X477" i="32"/>
  <c r="Z477" i="32" s="1"/>
  <c r="X413" i="32"/>
  <c r="Z413" i="32" s="1"/>
  <c r="X387" i="32"/>
  <c r="Z387" i="32" s="1"/>
  <c r="X381" i="32"/>
  <c r="Z381" i="32" s="1"/>
  <c r="X369" i="32"/>
  <c r="Z369" i="32" s="1"/>
  <c r="Y361" i="32"/>
  <c r="AA361" i="32" s="1"/>
  <c r="Y344" i="32"/>
  <c r="AA344" i="32" s="1"/>
  <c r="X343" i="32"/>
  <c r="Z343" i="32" s="1"/>
  <c r="X342" i="32"/>
  <c r="Z342" i="32" s="1"/>
  <c r="Y335" i="32"/>
  <c r="AA335" i="32" s="1"/>
  <c r="X327" i="32"/>
  <c r="Z327" i="32" s="1"/>
  <c r="Y314" i="32"/>
  <c r="AA314" i="32" s="1"/>
  <c r="Y305" i="32"/>
  <c r="AA305" i="32" s="1"/>
  <c r="Y296" i="32"/>
  <c r="AA296" i="32" s="1"/>
  <c r="X486" i="32"/>
  <c r="Z486" i="32" s="1"/>
  <c r="Y393" i="32"/>
  <c r="AA393" i="32" s="1"/>
  <c r="X366" i="32"/>
  <c r="Z366" i="32" s="1"/>
  <c r="X361" i="32"/>
  <c r="Z361" i="32" s="1"/>
  <c r="X355" i="32"/>
  <c r="Z355" i="32" s="1"/>
  <c r="X345" i="32"/>
  <c r="Z345" i="32" s="1"/>
  <c r="Y334" i="32"/>
  <c r="AA334" i="32" s="1"/>
  <c r="Y326" i="32"/>
  <c r="AA326" i="32" s="1"/>
  <c r="Y318" i="32"/>
  <c r="AA318" i="32" s="1"/>
  <c r="X314" i="32"/>
  <c r="Z314" i="32" s="1"/>
  <c r="Y309" i="32"/>
  <c r="AA309" i="32" s="1"/>
  <c r="X305" i="32"/>
  <c r="Z305" i="32" s="1"/>
  <c r="Y300" i="32"/>
  <c r="AA300" i="32" s="1"/>
  <c r="X296" i="32"/>
  <c r="Z296" i="32" s="1"/>
  <c r="X410" i="32"/>
  <c r="Z410" i="32" s="1"/>
  <c r="Y399" i="32"/>
  <c r="AA399" i="32" s="1"/>
  <c r="X393" i="32"/>
  <c r="Z393" i="32" s="1"/>
  <c r="Y383" i="32"/>
  <c r="AA383" i="32" s="1"/>
  <c r="Y362" i="32"/>
  <c r="AA362" i="32" s="1"/>
  <c r="X334" i="32"/>
  <c r="Z334" i="32" s="1"/>
  <c r="Y325" i="32"/>
  <c r="AA325" i="32" s="1"/>
  <c r="Y462" i="32"/>
  <c r="AA462" i="32" s="1"/>
  <c r="Y446" i="32"/>
  <c r="AA446" i="32" s="1"/>
  <c r="X405" i="32"/>
  <c r="Z405" i="32" s="1"/>
  <c r="X399" i="32"/>
  <c r="Z399" i="32" s="1"/>
  <c r="Y395" i="32"/>
  <c r="AA395" i="32" s="1"/>
  <c r="X389" i="32"/>
  <c r="Z389" i="32" s="1"/>
  <c r="Y346" i="32"/>
  <c r="AA346" i="32" s="1"/>
  <c r="Y333" i="32"/>
  <c r="AA333" i="32" s="1"/>
  <c r="X325" i="32"/>
  <c r="Z325" i="32" s="1"/>
  <c r="X502" i="32"/>
  <c r="Z502" i="32" s="1"/>
  <c r="Y465" i="32"/>
  <c r="AA465" i="32" s="1"/>
  <c r="X422" i="32"/>
  <c r="Z422" i="32" s="1"/>
  <c r="X414" i="32"/>
  <c r="Z414" i="32" s="1"/>
  <c r="X388" i="32"/>
  <c r="Z388" i="32" s="1"/>
  <c r="Y384" i="32"/>
  <c r="AA384" i="32" s="1"/>
  <c r="X382" i="32"/>
  <c r="Z382" i="32" s="1"/>
  <c r="Y368" i="32"/>
  <c r="AA368" i="32" s="1"/>
  <c r="Y358" i="32"/>
  <c r="AA358" i="32" s="1"/>
  <c r="Y352" i="32"/>
  <c r="AA352" i="32" s="1"/>
  <c r="Y351" i="32"/>
  <c r="AA351" i="32" s="1"/>
  <c r="X340" i="32"/>
  <c r="Z340" i="32" s="1"/>
  <c r="Y339" i="32"/>
  <c r="AA339" i="32" s="1"/>
  <c r="X330" i="32"/>
  <c r="Z330" i="32" s="1"/>
  <c r="Y413" i="32"/>
  <c r="AA413" i="32" s="1"/>
  <c r="Y337" i="32"/>
  <c r="AA337" i="32" s="1"/>
  <c r="Y319" i="32"/>
  <c r="AA319" i="32" s="1"/>
  <c r="X315" i="32"/>
  <c r="Z315" i="32" s="1"/>
  <c r="X312" i="32"/>
  <c r="Z312" i="32" s="1"/>
  <c r="Y456" i="32"/>
  <c r="AA456" i="32" s="1"/>
  <c r="X417" i="32"/>
  <c r="Z417" i="32" s="1"/>
  <c r="Y401" i="32"/>
  <c r="AA401" i="32" s="1"/>
  <c r="Y394" i="32"/>
  <c r="AA394" i="32" s="1"/>
  <c r="X311" i="32"/>
  <c r="Z311" i="32" s="1"/>
  <c r="Y310" i="32"/>
  <c r="AA310" i="32" s="1"/>
  <c r="X308" i="32"/>
  <c r="Z308" i="32" s="1"/>
  <c r="Y307" i="32"/>
  <c r="AA307" i="32" s="1"/>
  <c r="Y306" i="32"/>
  <c r="AA306" i="32" s="1"/>
  <c r="Y304" i="32"/>
  <c r="AA304" i="32" s="1"/>
  <c r="Y303" i="32"/>
  <c r="AA303" i="32" s="1"/>
  <c r="X286" i="32"/>
  <c r="Z286" i="32" s="1"/>
  <c r="X285" i="32"/>
  <c r="Z285" i="32" s="1"/>
  <c r="X277" i="32"/>
  <c r="Z277" i="32" s="1"/>
  <c r="X276" i="32"/>
  <c r="Z276" i="32" s="1"/>
  <c r="X268" i="32"/>
  <c r="Z268" i="32" s="1"/>
  <c r="X267" i="32"/>
  <c r="Z267" i="32" s="1"/>
  <c r="X259" i="32"/>
  <c r="Z259" i="32" s="1"/>
  <c r="X258" i="32"/>
  <c r="Z258" i="32" s="1"/>
  <c r="Y480" i="32"/>
  <c r="AA480" i="32" s="1"/>
  <c r="X394" i="32"/>
  <c r="Z394" i="32" s="1"/>
  <c r="X465" i="32"/>
  <c r="Z465" i="32" s="1"/>
  <c r="X446" i="32"/>
  <c r="Z446" i="32" s="1"/>
  <c r="Y390" i="32"/>
  <c r="AA390" i="32" s="1"/>
  <c r="X368" i="32"/>
  <c r="Z368" i="32" s="1"/>
  <c r="X363" i="32"/>
  <c r="Z363" i="32" s="1"/>
  <c r="Y353" i="32"/>
  <c r="AA353" i="32" s="1"/>
  <c r="Y349" i="32"/>
  <c r="AA349" i="32" s="1"/>
  <c r="Y342" i="32"/>
  <c r="AA342" i="32" s="1"/>
  <c r="Y329" i="32"/>
  <c r="AA329" i="32" s="1"/>
  <c r="Y321" i="32"/>
  <c r="AA321" i="32" s="1"/>
  <c r="X302" i="32"/>
  <c r="Z302" i="32" s="1"/>
  <c r="Y301" i="32"/>
  <c r="AA301" i="32" s="1"/>
  <c r="X299" i="32"/>
  <c r="Z299" i="32" s="1"/>
  <c r="Y298" i="32"/>
  <c r="AA298" i="32" s="1"/>
  <c r="Y297" i="32"/>
  <c r="AA297" i="32" s="1"/>
  <c r="Y295" i="32"/>
  <c r="AA295" i="32" s="1"/>
  <c r="Y294" i="32"/>
  <c r="AA294" i="32" s="1"/>
  <c r="X284" i="32"/>
  <c r="Z284" i="32" s="1"/>
  <c r="X275" i="32"/>
  <c r="Z275" i="32" s="1"/>
  <c r="X266" i="32"/>
  <c r="Z266" i="32" s="1"/>
  <c r="X257" i="32"/>
  <c r="Z257" i="32" s="1"/>
  <c r="Y253" i="32"/>
  <c r="AA253" i="32" s="1"/>
  <c r="Y250" i="32"/>
  <c r="AA250" i="32" s="1"/>
  <c r="Y247" i="32"/>
  <c r="AA247" i="32" s="1"/>
  <c r="Y244" i="32"/>
  <c r="AA244" i="32" s="1"/>
  <c r="Y241" i="32"/>
  <c r="Y238" i="32"/>
  <c r="AA238" i="32" s="1"/>
  <c r="Y235" i="32"/>
  <c r="Y232" i="32"/>
  <c r="Y229" i="32"/>
  <c r="AA229" i="32" s="1"/>
  <c r="Y226" i="32"/>
  <c r="AA226" i="32" s="1"/>
  <c r="Y223" i="32"/>
  <c r="AA223" i="32" s="1"/>
  <c r="Y220" i="32"/>
  <c r="AA220" i="32" s="1"/>
  <c r="Y514" i="32"/>
  <c r="AA514" i="32" s="1"/>
  <c r="X420" i="32"/>
  <c r="Z420" i="32" s="1"/>
  <c r="X416" i="32"/>
  <c r="Z416" i="32" s="1"/>
  <c r="X514" i="32"/>
  <c r="Z514" i="32" s="1"/>
  <c r="X464" i="32"/>
  <c r="Z464" i="32" s="1"/>
  <c r="Y444" i="32"/>
  <c r="AA444" i="32" s="1"/>
  <c r="X432" i="32"/>
  <c r="Z432" i="32" s="1"/>
  <c r="Y400" i="32"/>
  <c r="AA400" i="32" s="1"/>
  <c r="Y473" i="32"/>
  <c r="AA473" i="32" s="1"/>
  <c r="X437" i="32"/>
  <c r="Z437" i="32" s="1"/>
  <c r="X407" i="32"/>
  <c r="Z407" i="32" s="1"/>
  <c r="X400" i="32"/>
  <c r="Z400" i="32" s="1"/>
  <c r="Y359" i="32"/>
  <c r="AA359" i="32" s="1"/>
  <c r="X354" i="32"/>
  <c r="Z354" i="32" s="1"/>
  <c r="X339" i="32"/>
  <c r="Z339" i="32" s="1"/>
  <c r="Y317" i="32"/>
  <c r="AA317" i="32" s="1"/>
  <c r="X294" i="32"/>
  <c r="Z294" i="32" s="1"/>
  <c r="Y283" i="32"/>
  <c r="AA283" i="32" s="1"/>
  <c r="Y270" i="32"/>
  <c r="AA270" i="32" s="1"/>
  <c r="Y269" i="32"/>
  <c r="AA269" i="32" s="1"/>
  <c r="Y268" i="32"/>
  <c r="AA268" i="32" s="1"/>
  <c r="Y256" i="32"/>
  <c r="AA256" i="32" s="1"/>
  <c r="X248" i="32"/>
  <c r="Z248" i="32" s="1"/>
  <c r="X247" i="32"/>
  <c r="Z247" i="32" s="1"/>
  <c r="X239" i="32"/>
  <c r="Z239" i="32" s="1"/>
  <c r="X238" i="32"/>
  <c r="Z238" i="32" s="1"/>
  <c r="X230" i="32"/>
  <c r="Z230" i="32" s="1"/>
  <c r="X229" i="32"/>
  <c r="Z229" i="32" s="1"/>
  <c r="X221" i="32"/>
  <c r="Z221" i="32" s="1"/>
  <c r="X220" i="32"/>
  <c r="Z220" i="32" s="1"/>
  <c r="Y215" i="32"/>
  <c r="AA215" i="32" s="1"/>
  <c r="X473" i="32"/>
  <c r="Z473" i="32" s="1"/>
  <c r="X359" i="32"/>
  <c r="Z359" i="32" s="1"/>
  <c r="X351" i="32"/>
  <c r="Z351" i="32" s="1"/>
  <c r="X317" i="32"/>
  <c r="Z317" i="32" s="1"/>
  <c r="Y313" i="32"/>
  <c r="AA313" i="32" s="1"/>
  <c r="Y284" i="32"/>
  <c r="AA284" i="32" s="1"/>
  <c r="X283" i="32"/>
  <c r="Z283" i="32" s="1"/>
  <c r="X270" i="32"/>
  <c r="Z270" i="32" s="1"/>
  <c r="X269" i="32"/>
  <c r="Z269" i="32" s="1"/>
  <c r="Y257" i="32"/>
  <c r="AA257" i="32" s="1"/>
  <c r="X256" i="32"/>
  <c r="Z256" i="32" s="1"/>
  <c r="Y255" i="32"/>
  <c r="AA255" i="32" s="1"/>
  <c r="Y246" i="32"/>
  <c r="AA246" i="32" s="1"/>
  <c r="Y237" i="32"/>
  <c r="AA237" i="32" s="1"/>
  <c r="Y228" i="32"/>
  <c r="AA228" i="32" s="1"/>
  <c r="Y219" i="32"/>
  <c r="X215" i="32"/>
  <c r="Z215" i="32" s="1"/>
  <c r="Y210" i="32"/>
  <c r="X206" i="32"/>
  <c r="Y201" i="32"/>
  <c r="Y332" i="32"/>
  <c r="AA332" i="32" s="1"/>
  <c r="Y308" i="32"/>
  <c r="AA308" i="32" s="1"/>
  <c r="Y285" i="32"/>
  <c r="AA285" i="32" s="1"/>
  <c r="Y273" i="32"/>
  <c r="AA273" i="32" s="1"/>
  <c r="Y272" i="32"/>
  <c r="AA272" i="32" s="1"/>
  <c r="Y271" i="32"/>
  <c r="AA271" i="32" s="1"/>
  <c r="Y258" i="32"/>
  <c r="AA258" i="32" s="1"/>
  <c r="X255" i="32"/>
  <c r="Z255" i="32" s="1"/>
  <c r="X246" i="32"/>
  <c r="Z246" i="32" s="1"/>
  <c r="X237" i="32"/>
  <c r="Z237" i="32" s="1"/>
  <c r="X228" i="32"/>
  <c r="Z228" i="32" s="1"/>
  <c r="X219" i="32"/>
  <c r="Y214" i="32"/>
  <c r="X210" i="32"/>
  <c r="Y205" i="32"/>
  <c r="X201" i="32"/>
  <c r="Y450" i="32"/>
  <c r="AA450" i="32" s="1"/>
  <c r="X406" i="32"/>
  <c r="Z406" i="32" s="1"/>
  <c r="X370" i="32"/>
  <c r="Z370" i="32" s="1"/>
  <c r="Y367" i="32"/>
  <c r="AA367" i="32" s="1"/>
  <c r="Y348" i="32"/>
  <c r="AA348" i="32" s="1"/>
  <c r="Y330" i="32"/>
  <c r="AA330" i="32" s="1"/>
  <c r="X321" i="32"/>
  <c r="Z321" i="32" s="1"/>
  <c r="X318" i="32"/>
  <c r="Z318" i="32" s="1"/>
  <c r="Y302" i="32"/>
  <c r="AA302" i="32" s="1"/>
  <c r="X273" i="32"/>
  <c r="Z273" i="32" s="1"/>
  <c r="X272" i="32"/>
  <c r="Z272" i="32" s="1"/>
  <c r="X271" i="32"/>
  <c r="Z271" i="32" s="1"/>
  <c r="Y254" i="32"/>
  <c r="AA254" i="32" s="1"/>
  <c r="Y245" i="32"/>
  <c r="AA245" i="32" s="1"/>
  <c r="X435" i="32"/>
  <c r="Z435" i="32" s="1"/>
  <c r="Y340" i="32"/>
  <c r="AA340" i="32" s="1"/>
  <c r="X336" i="32"/>
  <c r="Z336" i="32" s="1"/>
  <c r="X324" i="32"/>
  <c r="Z324" i="32" s="1"/>
  <c r="X303" i="32"/>
  <c r="Z303" i="32" s="1"/>
  <c r="X288" i="32"/>
  <c r="Z288" i="32" s="1"/>
  <c r="X287" i="32"/>
  <c r="Z287" i="32" s="1"/>
  <c r="Y275" i="32"/>
  <c r="AA275" i="32" s="1"/>
  <c r="X274" i="32"/>
  <c r="Z274" i="32" s="1"/>
  <c r="Y488" i="32"/>
  <c r="AA488" i="32" s="1"/>
  <c r="Y311" i="32"/>
  <c r="AA311" i="32" s="1"/>
  <c r="Y279" i="32"/>
  <c r="AA279" i="32" s="1"/>
  <c r="Y278" i="32"/>
  <c r="AA278" i="32" s="1"/>
  <c r="Y277" i="32"/>
  <c r="AA277" i="32" s="1"/>
  <c r="Y265" i="32"/>
  <c r="AA265" i="32" s="1"/>
  <c r="X251" i="32"/>
  <c r="Z251" i="32" s="1"/>
  <c r="X250" i="32"/>
  <c r="Z250" i="32" s="1"/>
  <c r="X242" i="32"/>
  <c r="X395" i="32"/>
  <c r="Z395" i="32" s="1"/>
  <c r="Y381" i="32"/>
  <c r="AA381" i="32" s="1"/>
  <c r="Y369" i="32"/>
  <c r="AA369" i="32" s="1"/>
  <c r="Y360" i="32"/>
  <c r="AA360" i="32" s="1"/>
  <c r="X357" i="32"/>
  <c r="Z357" i="32" s="1"/>
  <c r="X352" i="32"/>
  <c r="Z352" i="32" s="1"/>
  <c r="X349" i="32"/>
  <c r="Z349" i="32" s="1"/>
  <c r="X333" i="32"/>
  <c r="Z333" i="32" s="1"/>
  <c r="Y331" i="32"/>
  <c r="AA331" i="32" s="1"/>
  <c r="Y327" i="32"/>
  <c r="AA327" i="32" s="1"/>
  <c r="Y299" i="32"/>
  <c r="AA299" i="32" s="1"/>
  <c r="Y292" i="32"/>
  <c r="AA292" i="32" s="1"/>
  <c r="X279" i="32"/>
  <c r="Z279" i="32" s="1"/>
  <c r="X278" i="32"/>
  <c r="Z278" i="32" s="1"/>
  <c r="Y266" i="32"/>
  <c r="AA266" i="32" s="1"/>
  <c r="X265" i="32"/>
  <c r="Z265" i="32" s="1"/>
  <c r="X409" i="32"/>
  <c r="Z409" i="32" s="1"/>
  <c r="Y365" i="32"/>
  <c r="AA365" i="32" s="1"/>
  <c r="X360" i="32"/>
  <c r="Z360" i="32" s="1"/>
  <c r="X331" i="32"/>
  <c r="Z331" i="32" s="1"/>
  <c r="Y316" i="32"/>
  <c r="AA316" i="32" s="1"/>
  <c r="Y312" i="32"/>
  <c r="AA312" i="32" s="1"/>
  <c r="Y293" i="32"/>
  <c r="AA293" i="32" s="1"/>
  <c r="Y282" i="32"/>
  <c r="AA282" i="32" s="1"/>
  <c r="Y281" i="32"/>
  <c r="AA281" i="32" s="1"/>
  <c r="Y280" i="32"/>
  <c r="AA280" i="32" s="1"/>
  <c r="Y267" i="32"/>
  <c r="AA267" i="32" s="1"/>
  <c r="X249" i="32"/>
  <c r="Z249" i="32" s="1"/>
  <c r="Y435" i="32"/>
  <c r="AA435" i="32" s="1"/>
  <c r="Y338" i="32"/>
  <c r="AA338" i="32" s="1"/>
  <c r="X309" i="32"/>
  <c r="Z309" i="32" s="1"/>
  <c r="Y288" i="32"/>
  <c r="AA288" i="32" s="1"/>
  <c r="Y239" i="32"/>
  <c r="AA239" i="32" s="1"/>
  <c r="Y234" i="32"/>
  <c r="X233" i="32"/>
  <c r="Y221" i="32"/>
  <c r="AA221" i="32" s="1"/>
  <c r="X196" i="32"/>
  <c r="X187" i="32"/>
  <c r="Z187" i="32" s="1"/>
  <c r="X178" i="32"/>
  <c r="X169" i="32"/>
  <c r="X158" i="32"/>
  <c r="X149" i="32"/>
  <c r="X140" i="32"/>
  <c r="Y132" i="32"/>
  <c r="Y129" i="32"/>
  <c r="Y126" i="32"/>
  <c r="Y123" i="32"/>
  <c r="Y120" i="32"/>
  <c r="AA120" i="32" s="1"/>
  <c r="Y117" i="32"/>
  <c r="AA117" i="32" s="1"/>
  <c r="Y114" i="32"/>
  <c r="AA114" i="32" s="1"/>
  <c r="Y382" i="32"/>
  <c r="AA382" i="32" s="1"/>
  <c r="Y291" i="32"/>
  <c r="AA291" i="32" s="1"/>
  <c r="Y262" i="32"/>
  <c r="AA262" i="32" s="1"/>
  <c r="Y240" i="32"/>
  <c r="AA240" i="32" s="1"/>
  <c r="X234" i="32"/>
  <c r="Y222" i="32"/>
  <c r="AA222" i="32" s="1"/>
  <c r="X214" i="32"/>
  <c r="Y191" i="32"/>
  <c r="Y182" i="32"/>
  <c r="Y173" i="32"/>
  <c r="Y162" i="32"/>
  <c r="Y153" i="32"/>
  <c r="Y144" i="32"/>
  <c r="Y135" i="32"/>
  <c r="X132" i="32"/>
  <c r="X129" i="32"/>
  <c r="X126" i="32"/>
  <c r="X123" i="32"/>
  <c r="X120" i="32"/>
  <c r="Z120" i="32" s="1"/>
  <c r="X117" i="32"/>
  <c r="Z117" i="32" s="1"/>
  <c r="X114" i="32"/>
  <c r="Z114" i="32" s="1"/>
  <c r="X111" i="32"/>
  <c r="Z111" i="32" s="1"/>
  <c r="X291" i="32"/>
  <c r="Z291" i="32" s="1"/>
  <c r="X262" i="32"/>
  <c r="Z262" i="32" s="1"/>
  <c r="Y248" i="32"/>
  <c r="AA248" i="32" s="1"/>
  <c r="X240" i="32"/>
  <c r="Z240" i="32" s="1"/>
  <c r="X235" i="32"/>
  <c r="X222" i="32"/>
  <c r="Z222" i="32" s="1"/>
  <c r="Y195" i="32"/>
  <c r="X191" i="32"/>
  <c r="Y186" i="32"/>
  <c r="AA186" i="32" s="1"/>
  <c r="X182" i="32"/>
  <c r="Y177" i="32"/>
  <c r="X173" i="32"/>
  <c r="Y168" i="32"/>
  <c r="X162" i="32"/>
  <c r="Y157" i="32"/>
  <c r="X153" i="32"/>
  <c r="Y148" i="32"/>
  <c r="X144" i="32"/>
  <c r="Y139" i="32"/>
  <c r="Y402" i="32"/>
  <c r="AA402" i="32" s="1"/>
  <c r="Y320" i="32"/>
  <c r="AA320" i="32" s="1"/>
  <c r="X281" i="32"/>
  <c r="Z281" i="32" s="1"/>
  <c r="Y259" i="32"/>
  <c r="AA259" i="32" s="1"/>
  <c r="X253" i="32"/>
  <c r="Z253" i="32" s="1"/>
  <c r="X244" i="32"/>
  <c r="Z244" i="32" s="1"/>
  <c r="X241" i="32"/>
  <c r="X223" i="32"/>
  <c r="Z223" i="32" s="1"/>
  <c r="X195" i="32"/>
  <c r="Y190" i="32"/>
  <c r="AA190" i="32" s="1"/>
  <c r="X186" i="32"/>
  <c r="Z186" i="32" s="1"/>
  <c r="Y181" i="32"/>
  <c r="X177" i="32"/>
  <c r="Y172" i="32"/>
  <c r="X168" i="32"/>
  <c r="Y161" i="32"/>
  <c r="X157" i="32"/>
  <c r="Y152" i="32"/>
  <c r="X148" i="32"/>
  <c r="Y143" i="32"/>
  <c r="X139" i="32"/>
  <c r="Y419" i="32"/>
  <c r="AA419" i="32" s="1"/>
  <c r="X396" i="32"/>
  <c r="Z396" i="32" s="1"/>
  <c r="X358" i="32"/>
  <c r="Z358" i="32" s="1"/>
  <c r="Y315" i="32"/>
  <c r="AA315" i="32" s="1"/>
  <c r="X290" i="32"/>
  <c r="Z290" i="32" s="1"/>
  <c r="X264" i="32"/>
  <c r="Z264" i="32" s="1"/>
  <c r="Y251" i="32"/>
  <c r="AA251" i="32" s="1"/>
  <c r="X348" i="32"/>
  <c r="Z348" i="32" s="1"/>
  <c r="Y328" i="32"/>
  <c r="AA328" i="32" s="1"/>
  <c r="Y286" i="32"/>
  <c r="AA286" i="32" s="1"/>
  <c r="X231" i="32"/>
  <c r="Z231" i="32" s="1"/>
  <c r="X226" i="32"/>
  <c r="Z226" i="32" s="1"/>
  <c r="X203" i="32"/>
  <c r="X202" i="32"/>
  <c r="X200" i="32"/>
  <c r="X199" i="32"/>
  <c r="Y198" i="32"/>
  <c r="X193" i="32"/>
  <c r="X184" i="32"/>
  <c r="X175" i="32"/>
  <c r="X166" i="32"/>
  <c r="X155" i="32"/>
  <c r="X146" i="32"/>
  <c r="X137" i="32"/>
  <c r="Y133" i="32"/>
  <c r="Y130" i="32"/>
  <c r="Y127" i="32"/>
  <c r="Y124" i="32"/>
  <c r="Y121" i="32"/>
  <c r="X444" i="32"/>
  <c r="Z444" i="32" s="1"/>
  <c r="Y322" i="32"/>
  <c r="AA322" i="32" s="1"/>
  <c r="Y289" i="32"/>
  <c r="AA289" i="32" s="1"/>
  <c r="Y276" i="32"/>
  <c r="AA276" i="32" s="1"/>
  <c r="X373" i="32"/>
  <c r="Z373" i="32" s="1"/>
  <c r="Y347" i="32"/>
  <c r="AA347" i="32" s="1"/>
  <c r="X322" i="32"/>
  <c r="Z322" i="32" s="1"/>
  <c r="X289" i="32"/>
  <c r="Z289" i="32" s="1"/>
  <c r="X263" i="32"/>
  <c r="Z263" i="32" s="1"/>
  <c r="X260" i="32"/>
  <c r="Z260" i="32" s="1"/>
  <c r="Y274" i="32"/>
  <c r="AA274" i="32" s="1"/>
  <c r="Y209" i="32"/>
  <c r="AA209" i="32" s="1"/>
  <c r="Y204" i="32"/>
  <c r="Y199" i="32"/>
  <c r="Y196" i="32"/>
  <c r="X189" i="32"/>
  <c r="Z189" i="32" s="1"/>
  <c r="X172" i="32"/>
  <c r="X159" i="32"/>
  <c r="Y156" i="32"/>
  <c r="X145" i="32"/>
  <c r="Y142" i="32"/>
  <c r="X138" i="32"/>
  <c r="Y110" i="32"/>
  <c r="AA110" i="32" s="1"/>
  <c r="X459" i="32"/>
  <c r="Z459" i="32" s="1"/>
  <c r="X282" i="32"/>
  <c r="Z282" i="32" s="1"/>
  <c r="Y263" i="32"/>
  <c r="AA263" i="32" s="1"/>
  <c r="X243" i="32"/>
  <c r="Z243" i="32" s="1"/>
  <c r="Y236" i="32"/>
  <c r="X224" i="32"/>
  <c r="Z224" i="32" s="1"/>
  <c r="X216" i="32"/>
  <c r="Z216" i="32" s="1"/>
  <c r="Y207" i="32"/>
  <c r="Y202" i="32"/>
  <c r="Y197" i="32"/>
  <c r="Y183" i="32"/>
  <c r="X176" i="32"/>
  <c r="Y169" i="32"/>
  <c r="X160" i="32"/>
  <c r="X367" i="32"/>
  <c r="Z367" i="32" s="1"/>
  <c r="Y343" i="32"/>
  <c r="AA343" i="32" s="1"/>
  <c r="Y324" i="32"/>
  <c r="AA324" i="32" s="1"/>
  <c r="Y249" i="32"/>
  <c r="AA249" i="32" s="1"/>
  <c r="X236" i="32"/>
  <c r="X232" i="32"/>
  <c r="Y230" i="32"/>
  <c r="AA230" i="32" s="1"/>
  <c r="X207" i="32"/>
  <c r="X197" i="32"/>
  <c r="Y194" i="32"/>
  <c r="X183" i="32"/>
  <c r="Y180" i="32"/>
  <c r="Y166" i="32"/>
  <c r="Y150" i="32"/>
  <c r="Y290" i="32"/>
  <c r="AA290" i="32" s="1"/>
  <c r="Y261" i="32"/>
  <c r="AA261" i="32" s="1"/>
  <c r="X205" i="32"/>
  <c r="Y200" i="32"/>
  <c r="X194" i="32"/>
  <c r="Y187" i="32"/>
  <c r="AA187" i="32" s="1"/>
  <c r="Y336" i="32"/>
  <c r="AA336" i="32" s="1"/>
  <c r="Y287" i="32"/>
  <c r="AA287" i="32" s="1"/>
  <c r="Y260" i="32"/>
  <c r="AA260" i="32" s="1"/>
  <c r="Y225" i="32"/>
  <c r="AA225" i="32" s="1"/>
  <c r="X217" i="32"/>
  <c r="Z217" i="32" s="1"/>
  <c r="X208" i="32"/>
  <c r="Z208" i="32" s="1"/>
  <c r="Y203" i="32"/>
  <c r="X198" i="32"/>
  <c r="Y188" i="32"/>
  <c r="AA188" i="32" s="1"/>
  <c r="Y174" i="32"/>
  <c r="X167" i="32"/>
  <c r="Y158" i="32"/>
  <c r="X151" i="32"/>
  <c r="X136" i="32"/>
  <c r="X297" i="32"/>
  <c r="Z297" i="32" s="1"/>
  <c r="Y227" i="32"/>
  <c r="AA227" i="32" s="1"/>
  <c r="X225" i="32"/>
  <c r="Z225" i="32" s="1"/>
  <c r="X188" i="32"/>
  <c r="Z188" i="32" s="1"/>
  <c r="Y185" i="32"/>
  <c r="AA185" i="32" s="1"/>
  <c r="Y231" i="32"/>
  <c r="AA231" i="32" s="1"/>
  <c r="X227" i="32"/>
  <c r="Z227" i="32" s="1"/>
  <c r="Y211" i="32"/>
  <c r="Y192" i="32"/>
  <c r="X185" i="32"/>
  <c r="Z185" i="32" s="1"/>
  <c r="Y178" i="32"/>
  <c r="X171" i="32"/>
  <c r="X152" i="32"/>
  <c r="X280" i="32"/>
  <c r="Z280" i="32" s="1"/>
  <c r="Y242" i="32"/>
  <c r="Y217" i="32"/>
  <c r="AA217" i="32" s="1"/>
  <c r="Y206" i="32"/>
  <c r="X179" i="32"/>
  <c r="Y160" i="32"/>
  <c r="Y137" i="32"/>
  <c r="Y131" i="32"/>
  <c r="Y107" i="32"/>
  <c r="X103" i="32"/>
  <c r="Y98" i="32"/>
  <c r="X94" i="32"/>
  <c r="Z94" i="32" s="1"/>
  <c r="Y89" i="32"/>
  <c r="AA89" i="32" s="1"/>
  <c r="X85" i="32"/>
  <c r="Y80" i="32"/>
  <c r="AA80" i="32" s="1"/>
  <c r="X76" i="32"/>
  <c r="Y71" i="32"/>
  <c r="X67" i="32"/>
  <c r="Y62" i="32"/>
  <c r="X58" i="32"/>
  <c r="Y54" i="32"/>
  <c r="Y51" i="32"/>
  <c r="Y48" i="32"/>
  <c r="Y45" i="32"/>
  <c r="Y42" i="32"/>
  <c r="Y39" i="32"/>
  <c r="Y36" i="32"/>
  <c r="Y33" i="32"/>
  <c r="Y30" i="32"/>
  <c r="Y27" i="32"/>
  <c r="Y24" i="32"/>
  <c r="AA24" i="32" s="1"/>
  <c r="Y184" i="32"/>
  <c r="X181" i="32"/>
  <c r="X174" i="32"/>
  <c r="Y155" i="32"/>
  <c r="X131" i="32"/>
  <c r="X107" i="32"/>
  <c r="X98" i="32"/>
  <c r="X89" i="32"/>
  <c r="Z89" i="32" s="1"/>
  <c r="X80" i="32"/>
  <c r="Z80" i="32" s="1"/>
  <c r="X71" i="32"/>
  <c r="X62" i="32"/>
  <c r="X54" i="32"/>
  <c r="X51" i="32"/>
  <c r="X48" i="32"/>
  <c r="X45" i="32"/>
  <c r="X42" i="32"/>
  <c r="X39" i="32"/>
  <c r="X36" i="32"/>
  <c r="X33" i="32"/>
  <c r="X300" i="32"/>
  <c r="Z300" i="32" s="1"/>
  <c r="Y176" i="32"/>
  <c r="Y102" i="32"/>
  <c r="Y93" i="32"/>
  <c r="Y84" i="32"/>
  <c r="Y75" i="32"/>
  <c r="Y66" i="32"/>
  <c r="Y216" i="32"/>
  <c r="AA216" i="32" s="1"/>
  <c r="X209" i="32"/>
  <c r="Z209" i="32" s="1"/>
  <c r="Y171" i="32"/>
  <c r="Y146" i="32"/>
  <c r="X142" i="32"/>
  <c r="X135" i="32"/>
  <c r="X121" i="32"/>
  <c r="Y106" i="32"/>
  <c r="X102" i="32"/>
  <c r="Y97" i="32"/>
  <c r="AA97" i="32" s="1"/>
  <c r="X93" i="32"/>
  <c r="Y88" i="32"/>
  <c r="AA88" i="32" s="1"/>
  <c r="X84" i="32"/>
  <c r="Y79" i="32"/>
  <c r="AA79" i="32" s="1"/>
  <c r="X75" i="32"/>
  <c r="Y70" i="32"/>
  <c r="X66" i="32"/>
  <c r="Y61" i="32"/>
  <c r="X57" i="32"/>
  <c r="Y323" i="32"/>
  <c r="AA323" i="32" s="1"/>
  <c r="X190" i="32"/>
  <c r="Z190" i="32" s="1"/>
  <c r="Y140" i="32"/>
  <c r="X127" i="32"/>
  <c r="Y122" i="32"/>
  <c r="Y113" i="32"/>
  <c r="AA113" i="32" s="1"/>
  <c r="X106" i="32"/>
  <c r="Y101" i="32"/>
  <c r="X97" i="32"/>
  <c r="Z97" i="32" s="1"/>
  <c r="Y92" i="32"/>
  <c r="X88" i="32"/>
  <c r="Z88" i="32" s="1"/>
  <c r="Y83" i="32"/>
  <c r="X79" i="32"/>
  <c r="Z79" i="32" s="1"/>
  <c r="Y74" i="32"/>
  <c r="X70" i="32"/>
  <c r="Y65" i="32"/>
  <c r="X61" i="32"/>
  <c r="Y56" i="32"/>
  <c r="Y53" i="32"/>
  <c r="Y50" i="32"/>
  <c r="Y47" i="32"/>
  <c r="Y44" i="32"/>
  <c r="Y41" i="32"/>
  <c r="Y38" i="32"/>
  <c r="Y35" i="32"/>
  <c r="Y32" i="32"/>
  <c r="Y29" i="32"/>
  <c r="Y354" i="32"/>
  <c r="AA354" i="32" s="1"/>
  <c r="Y264" i="32"/>
  <c r="AA264" i="32" s="1"/>
  <c r="Y252" i="32"/>
  <c r="AA252" i="32" s="1"/>
  <c r="Y170" i="32"/>
  <c r="X156" i="32"/>
  <c r="X143" i="32"/>
  <c r="Y136" i="32"/>
  <c r="X116" i="32"/>
  <c r="Z116" i="32" s="1"/>
  <c r="X115" i="32"/>
  <c r="Z115" i="32" s="1"/>
  <c r="X109" i="32"/>
  <c r="Z109" i="32" s="1"/>
  <c r="Y104" i="32"/>
  <c r="X100" i="32"/>
  <c r="Y95" i="32"/>
  <c r="AA95" i="32" s="1"/>
  <c r="X91" i="32"/>
  <c r="Y86" i="32"/>
  <c r="X82" i="32"/>
  <c r="Y77" i="32"/>
  <c r="AA77" i="32" s="1"/>
  <c r="X73" i="32"/>
  <c r="Y68" i="32"/>
  <c r="X64" i="32"/>
  <c r="Y59" i="32"/>
  <c r="Y55" i="32"/>
  <c r="Y52" i="32"/>
  <c r="Y49" i="32"/>
  <c r="X261" i="32"/>
  <c r="Z261" i="32" s="1"/>
  <c r="Y243" i="32"/>
  <c r="AA243" i="32" s="1"/>
  <c r="X218" i="32"/>
  <c r="Z218" i="32" s="1"/>
  <c r="X163" i="32"/>
  <c r="Y149" i="32"/>
  <c r="X147" i="32"/>
  <c r="X141" i="32"/>
  <c r="Y134" i="32"/>
  <c r="Y125" i="32"/>
  <c r="Y119" i="32"/>
  <c r="AA119" i="32" s="1"/>
  <c r="Y118" i="32"/>
  <c r="AA118" i="32" s="1"/>
  <c r="Y108" i="32"/>
  <c r="Y99" i="32"/>
  <c r="Y90" i="32"/>
  <c r="Y81" i="32"/>
  <c r="Y72" i="32"/>
  <c r="Y63" i="32"/>
  <c r="X13" i="32"/>
  <c r="T14" i="32"/>
  <c r="W14" i="33" s="1"/>
  <c r="AC16" i="32"/>
  <c r="AE16" i="32" s="1"/>
  <c r="Y17" i="32"/>
  <c r="AA17" i="32" s="1"/>
  <c r="S19" i="32"/>
  <c r="U19" i="32" s="1"/>
  <c r="AI19" i="32"/>
  <c r="AK19" i="32" s="1"/>
  <c r="X22" i="32"/>
  <c r="Z22" i="32" s="1"/>
  <c r="S24" i="32"/>
  <c r="U24" i="32" s="1"/>
  <c r="S25" i="32"/>
  <c r="T26" i="32"/>
  <c r="S27" i="32"/>
  <c r="X28" i="32"/>
  <c r="X29" i="32"/>
  <c r="AC30" i="32"/>
  <c r="AC31" i="32"/>
  <c r="AH32" i="32"/>
  <c r="AD36" i="32"/>
  <c r="S39" i="32"/>
  <c r="AH41" i="32"/>
  <c r="AD45" i="32"/>
  <c r="Y57" i="32"/>
  <c r="AH60" i="32"/>
  <c r="AC68" i="32"/>
  <c r="AD70" i="32"/>
  <c r="AC72" i="32"/>
  <c r="X74" i="32"/>
  <c r="Y78" i="32"/>
  <c r="AA78" i="32" s="1"/>
  <c r="Y82" i="32"/>
  <c r="T84" i="32"/>
  <c r="X86" i="32"/>
  <c r="X90" i="32"/>
  <c r="T96" i="32"/>
  <c r="V96" i="32" s="1"/>
  <c r="T100" i="32"/>
  <c r="AH103" i="32"/>
  <c r="AH107" i="32"/>
  <c r="AH119" i="32"/>
  <c r="AJ119" i="32" s="1"/>
  <c r="AH125" i="32"/>
  <c r="Y128" i="32"/>
  <c r="T148" i="32"/>
  <c r="Y167" i="32"/>
  <c r="S178" i="32"/>
  <c r="AC202" i="32"/>
  <c r="AH239" i="32"/>
  <c r="AJ239" i="32" s="1"/>
  <c r="AC270" i="32"/>
  <c r="AE270" i="32" s="1"/>
  <c r="S376" i="32"/>
  <c r="U376" i="32" s="1"/>
  <c r="BY15" i="33" l="1" a="1"/>
  <c r="BY15" i="33" s="1"/>
  <c r="CC15" i="33"/>
  <c r="CB15" i="33"/>
  <c r="CD15" i="33"/>
  <c r="CA15" i="33"/>
  <c r="BY14" i="33" a="1"/>
  <c r="BY14" i="33" s="1"/>
  <c r="CD14" i="33"/>
  <c r="CB14" i="33"/>
  <c r="CA14" i="33"/>
  <c r="CC14" i="33"/>
  <c r="BY17" i="33" a="1"/>
  <c r="BY17" i="33" s="1"/>
  <c r="CB17" i="33"/>
  <c r="CD17" i="33"/>
  <c r="CA17" i="33"/>
  <c r="CC17" i="33"/>
  <c r="BY13" i="33" a="1"/>
  <c r="BY13" i="33" s="1"/>
  <c r="CA13" i="33"/>
  <c r="CB13" i="33"/>
  <c r="CD13" i="33"/>
  <c r="CC13" i="33"/>
  <c r="BY12" i="33" a="1"/>
  <c r="BY12" i="33" s="1"/>
  <c r="CA12" i="33"/>
  <c r="CC12" i="33"/>
  <c r="CD12" i="33"/>
  <c r="CB12" i="33"/>
  <c r="BY11" i="33" a="1"/>
  <c r="BY11" i="33" s="1"/>
  <c r="CD11" i="33"/>
  <c r="CB11" i="33"/>
  <c r="CA11" i="33"/>
  <c r="CC11" i="33"/>
  <c r="BY16" i="33" a="1"/>
  <c r="BY16" i="33" s="1"/>
  <c r="CB16" i="33"/>
  <c r="CD16" i="33"/>
  <c r="CC16" i="33"/>
  <c r="CA16" i="33"/>
  <c r="BU10" i="33" a="1"/>
  <c r="BU10" i="33" s="1"/>
  <c r="AJ156" i="32"/>
  <c r="V106" i="32"/>
  <c r="U31" i="32"/>
  <c r="V13" i="32"/>
  <c r="U66" i="32"/>
  <c r="AA165" i="32"/>
  <c r="Z174" i="32"/>
  <c r="U166" i="32"/>
  <c r="AF155" i="32"/>
  <c r="AJ169" i="32"/>
  <c r="AJ157" i="32"/>
  <c r="AF173" i="32"/>
  <c r="AE155" i="32"/>
  <c r="AE154" i="32"/>
  <c r="AF154" i="32"/>
  <c r="AF171" i="32"/>
  <c r="AE172" i="32"/>
  <c r="AF164" i="32"/>
  <c r="AK152" i="32"/>
  <c r="AK175" i="32"/>
  <c r="AE159" i="32"/>
  <c r="AE171" i="32"/>
  <c r="AA158" i="32"/>
  <c r="V160" i="32"/>
  <c r="V170" i="32"/>
  <c r="AK161" i="32"/>
  <c r="AJ159" i="32"/>
  <c r="AE169" i="32"/>
  <c r="AE170" i="32"/>
  <c r="AE157" i="32"/>
  <c r="AJ162" i="32"/>
  <c r="AE165" i="32"/>
  <c r="AJ167" i="32"/>
  <c r="Z161" i="32"/>
  <c r="V155" i="32"/>
  <c r="Z167" i="32"/>
  <c r="Z158" i="32"/>
  <c r="V171" i="32"/>
  <c r="U175" i="32"/>
  <c r="U171" i="32"/>
  <c r="AK153" i="32"/>
  <c r="AK157" i="32"/>
  <c r="AJ168" i="32"/>
  <c r="AJ170" i="32"/>
  <c r="AF163" i="32"/>
  <c r="AF170" i="32"/>
  <c r="Z170" i="32"/>
  <c r="U164" i="32"/>
  <c r="U170" i="32"/>
  <c r="AJ163" i="32"/>
  <c r="AE163" i="32"/>
  <c r="AE175" i="32"/>
  <c r="AA174" i="32"/>
  <c r="AA156" i="32"/>
  <c r="Z153" i="32"/>
  <c r="Z169" i="32"/>
  <c r="V154" i="32"/>
  <c r="U158" i="32"/>
  <c r="AA163" i="32"/>
  <c r="AJ172" i="32"/>
  <c r="AK168" i="32"/>
  <c r="AK173" i="32"/>
  <c r="AJ173" i="32"/>
  <c r="AK172" i="32"/>
  <c r="AF157" i="32"/>
  <c r="AF162" i="32"/>
  <c r="AE168" i="32"/>
  <c r="AE173" i="32"/>
  <c r="AF152" i="32"/>
  <c r="V73" i="32"/>
  <c r="AA159" i="32"/>
  <c r="Z165" i="32"/>
  <c r="AK164" i="32"/>
  <c r="U167" i="32"/>
  <c r="AJ153" i="32"/>
  <c r="AE167" i="32"/>
  <c r="AF167" i="32"/>
  <c r="AA160" i="32"/>
  <c r="Z159" i="32"/>
  <c r="AA157" i="32"/>
  <c r="V157" i="32"/>
  <c r="V161" i="32"/>
  <c r="U152" i="32"/>
  <c r="V163" i="32"/>
  <c r="V166" i="32"/>
  <c r="V152" i="32"/>
  <c r="U157" i="32"/>
  <c r="AF166" i="32"/>
  <c r="AF153" i="32"/>
  <c r="AF158" i="32"/>
  <c r="AF161" i="32"/>
  <c r="U33" i="32"/>
  <c r="AJ164" i="32"/>
  <c r="Z164" i="32"/>
  <c r="V156" i="32"/>
  <c r="AA175" i="32"/>
  <c r="AJ161" i="32"/>
  <c r="AF165" i="32"/>
  <c r="U165" i="32"/>
  <c r="V165" i="32"/>
  <c r="AA170" i="32"/>
  <c r="Z171" i="32"/>
  <c r="Z172" i="32"/>
  <c r="Z162" i="32"/>
  <c r="AJ152" i="32"/>
  <c r="AF159" i="32"/>
  <c r="AA167" i="32"/>
  <c r="AA152" i="32"/>
  <c r="U161" i="32"/>
  <c r="V168" i="32"/>
  <c r="AJ154" i="32"/>
  <c r="AJ158" i="32"/>
  <c r="AK159" i="32"/>
  <c r="AE153" i="32"/>
  <c r="AE162" i="32"/>
  <c r="AK165" i="32"/>
  <c r="Z163" i="32"/>
  <c r="Z155" i="32"/>
  <c r="AE158" i="32"/>
  <c r="Z166" i="32"/>
  <c r="AA168" i="32"/>
  <c r="AA162" i="32"/>
  <c r="Z175" i="32"/>
  <c r="Z157" i="32"/>
  <c r="Z173" i="32"/>
  <c r="AA173" i="32"/>
  <c r="V153" i="32"/>
  <c r="V167" i="32"/>
  <c r="U154" i="32"/>
  <c r="AA154" i="32"/>
  <c r="AK167" i="32"/>
  <c r="AK154" i="32"/>
  <c r="AJ166" i="32"/>
  <c r="AK155" i="32"/>
  <c r="AF174" i="32"/>
  <c r="AF175" i="32"/>
  <c r="U11" i="32"/>
  <c r="U102" i="32"/>
  <c r="V41" i="32"/>
  <c r="AA161" i="32"/>
  <c r="U172" i="32"/>
  <c r="V158" i="32"/>
  <c r="AK160" i="32"/>
  <c r="AJ174" i="32"/>
  <c r="AK163" i="32"/>
  <c r="AK170" i="32"/>
  <c r="AJ160" i="32"/>
  <c r="AE152" i="32"/>
  <c r="U50" i="32"/>
  <c r="U173" i="32"/>
  <c r="AA153" i="32"/>
  <c r="U162" i="32"/>
  <c r="V174" i="32"/>
  <c r="AK171" i="32"/>
  <c r="AF172" i="32"/>
  <c r="AA166" i="32"/>
  <c r="Z160" i="32"/>
  <c r="Z168" i="32"/>
  <c r="U168" i="32"/>
  <c r="U153" i="32"/>
  <c r="V172" i="32"/>
  <c r="U163" i="32"/>
  <c r="AE174" i="32"/>
  <c r="AK169" i="32"/>
  <c r="AK174" i="32"/>
  <c r="AJ175" i="32"/>
  <c r="AK166" i="32"/>
  <c r="AE156" i="32"/>
  <c r="AF156" i="32"/>
  <c r="Z154" i="32"/>
  <c r="V164" i="32"/>
  <c r="AA164" i="32"/>
  <c r="AA155" i="32"/>
  <c r="U174" i="32"/>
  <c r="V159" i="32"/>
  <c r="AF168" i="32"/>
  <c r="V173" i="32"/>
  <c r="AJ155" i="32"/>
  <c r="AF169" i="32"/>
  <c r="U156" i="32"/>
  <c r="AK158" i="32"/>
  <c r="Z156" i="32"/>
  <c r="AA171" i="32"/>
  <c r="Z152" i="32"/>
  <c r="AA169" i="32"/>
  <c r="AA172" i="32"/>
  <c r="U160" i="32"/>
  <c r="V162" i="32"/>
  <c r="U169" i="32"/>
  <c r="V169" i="32"/>
  <c r="U159" i="32"/>
  <c r="U155" i="32"/>
  <c r="V175" i="32"/>
  <c r="AK156" i="32"/>
  <c r="AK162" i="32"/>
  <c r="AJ171" i="32"/>
  <c r="AE166" i="32"/>
  <c r="AE160" i="32"/>
  <c r="AF160" i="32"/>
  <c r="AE161" i="32"/>
  <c r="U132" i="32"/>
  <c r="AE164" i="32"/>
  <c r="AJ165" i="32"/>
  <c r="U135" i="32"/>
  <c r="V93" i="32"/>
  <c r="V136" i="32"/>
  <c r="V11" i="32"/>
  <c r="AA56" i="32"/>
  <c r="AA51" i="32"/>
  <c r="Z197" i="32"/>
  <c r="Z200" i="32"/>
  <c r="Z234" i="32"/>
  <c r="AF33" i="32"/>
  <c r="AF98" i="32"/>
  <c r="AK126" i="32"/>
  <c r="AJ123" i="32"/>
  <c r="AK241" i="32"/>
  <c r="AF51" i="32"/>
  <c r="AE65" i="32"/>
  <c r="AE241" i="32"/>
  <c r="AA90" i="32"/>
  <c r="AF58" i="32"/>
  <c r="AK56" i="32"/>
  <c r="AJ30" i="32"/>
  <c r="AJ20" i="32"/>
  <c r="AJ181" i="32"/>
  <c r="AJ236" i="32"/>
  <c r="AF182" i="32"/>
  <c r="AE50" i="32"/>
  <c r="AE125" i="32"/>
  <c r="Z84" i="32"/>
  <c r="AA183" i="32"/>
  <c r="AE20" i="32"/>
  <c r="Z105" i="32"/>
  <c r="AJ35" i="32"/>
  <c r="AJ83" i="32"/>
  <c r="AK72" i="32"/>
  <c r="AK37" i="32"/>
  <c r="AF55" i="32"/>
  <c r="AE47" i="32"/>
  <c r="AF199" i="32"/>
  <c r="AF241" i="32"/>
  <c r="AA57" i="32"/>
  <c r="Z91" i="32"/>
  <c r="AA122" i="32"/>
  <c r="AA54" i="32"/>
  <c r="AA197" i="32"/>
  <c r="AA130" i="32"/>
  <c r="AA76" i="32"/>
  <c r="AF11" i="32"/>
  <c r="AE46" i="32"/>
  <c r="AK182" i="32"/>
  <c r="AJ182" i="32"/>
  <c r="Z32" i="32"/>
  <c r="AK92" i="32"/>
  <c r="AK36" i="32"/>
  <c r="AJ108" i="32"/>
  <c r="AK129" i="32"/>
  <c r="AK123" i="32"/>
  <c r="AK176" i="32"/>
  <c r="AJ219" i="32"/>
  <c r="AJ137" i="32"/>
  <c r="AK130" i="32"/>
  <c r="AE98" i="32"/>
  <c r="AE64" i="32"/>
  <c r="AF100" i="32"/>
  <c r="AE144" i="32"/>
  <c r="AF47" i="32"/>
  <c r="AF132" i="32"/>
  <c r="AF176" i="32"/>
  <c r="AF134" i="32"/>
  <c r="AJ103" i="32"/>
  <c r="Z138" i="32"/>
  <c r="Z140" i="32"/>
  <c r="AJ134" i="32"/>
  <c r="AF27" i="32"/>
  <c r="AK66" i="32"/>
  <c r="AE177" i="32"/>
  <c r="AE135" i="32"/>
  <c r="AF129" i="32"/>
  <c r="Z48" i="32"/>
  <c r="AA142" i="32"/>
  <c r="Z202" i="32"/>
  <c r="Z144" i="32"/>
  <c r="Z129" i="32"/>
  <c r="Z128" i="32"/>
  <c r="AJ42" i="32"/>
  <c r="AA103" i="32"/>
  <c r="AE42" i="32"/>
  <c r="AA145" i="32"/>
  <c r="Z108" i="32"/>
  <c r="AJ131" i="32"/>
  <c r="AK103" i="32"/>
  <c r="AK59" i="32"/>
  <c r="AK40" i="32"/>
  <c r="AJ211" i="32"/>
  <c r="AJ143" i="32"/>
  <c r="AJ193" i="32"/>
  <c r="AK184" i="32"/>
  <c r="AF54" i="32"/>
  <c r="AE183" i="32"/>
  <c r="AF69" i="32"/>
  <c r="AF144" i="32"/>
  <c r="AF233" i="32"/>
  <c r="AE176" i="32"/>
  <c r="AF235" i="32"/>
  <c r="AJ60" i="32"/>
  <c r="AA178" i="32"/>
  <c r="Z126" i="32"/>
  <c r="AE45" i="32"/>
  <c r="AK33" i="32"/>
  <c r="AK178" i="32"/>
  <c r="AK127" i="32"/>
  <c r="AF93" i="32"/>
  <c r="AE180" i="32"/>
  <c r="AA81" i="32"/>
  <c r="AA127" i="32"/>
  <c r="AA195" i="32"/>
  <c r="AE33" i="32"/>
  <c r="AJ191" i="32"/>
  <c r="AJ99" i="32"/>
  <c r="AJ55" i="32"/>
  <c r="AK140" i="32"/>
  <c r="AJ199" i="32"/>
  <c r="AJ180" i="32"/>
  <c r="AF30" i="32"/>
  <c r="AF44" i="32"/>
  <c r="AE122" i="32"/>
  <c r="AF131" i="32"/>
  <c r="AE235" i="32"/>
  <c r="AF234" i="32"/>
  <c r="Z61" i="32"/>
  <c r="AA66" i="32"/>
  <c r="Z181" i="32"/>
  <c r="AA107" i="32"/>
  <c r="Z207" i="32"/>
  <c r="Z149" i="32"/>
  <c r="Z45" i="32"/>
  <c r="AA139" i="32"/>
  <c r="AJ133" i="32"/>
  <c r="Z151" i="32"/>
  <c r="AA181" i="32"/>
  <c r="AF135" i="32"/>
  <c r="AA86" i="32"/>
  <c r="Z103" i="32"/>
  <c r="AJ150" i="32"/>
  <c r="AA99" i="32"/>
  <c r="AA184" i="32"/>
  <c r="Z203" i="32"/>
  <c r="AA49" i="32"/>
  <c r="AA84" i="32"/>
  <c r="Z232" i="32"/>
  <c r="Z201" i="32"/>
  <c r="Z102" i="32"/>
  <c r="Z205" i="32"/>
  <c r="AA143" i="32"/>
  <c r="AJ32" i="32"/>
  <c r="Z64" i="32"/>
  <c r="AA61" i="32"/>
  <c r="Z74" i="32"/>
  <c r="Z141" i="32"/>
  <c r="AA68" i="32"/>
  <c r="AA136" i="32"/>
  <c r="AA44" i="32"/>
  <c r="AA92" i="32"/>
  <c r="Z66" i="32"/>
  <c r="Z142" i="32"/>
  <c r="Z33" i="32"/>
  <c r="Z98" i="32"/>
  <c r="AA39" i="32"/>
  <c r="Z85" i="32"/>
  <c r="AA242" i="32"/>
  <c r="AA199" i="32"/>
  <c r="Z184" i="32"/>
  <c r="AA177" i="32"/>
  <c r="AA182" i="32"/>
  <c r="AA123" i="32"/>
  <c r="Z233" i="32"/>
  <c r="Z206" i="32"/>
  <c r="AJ214" i="32"/>
  <c r="AE52" i="32"/>
  <c r="Z68" i="32"/>
  <c r="AF121" i="32"/>
  <c r="Z134" i="32"/>
  <c r="AK83" i="32"/>
  <c r="AE81" i="32"/>
  <c r="AJ75" i="32"/>
  <c r="AF104" i="32"/>
  <c r="AE59" i="32"/>
  <c r="AE149" i="32"/>
  <c r="AE48" i="32"/>
  <c r="AJ65" i="32"/>
  <c r="AK58" i="32"/>
  <c r="AJ63" i="32"/>
  <c r="AK108" i="32"/>
  <c r="AJ43" i="32"/>
  <c r="AJ91" i="32"/>
  <c r="AK25" i="32"/>
  <c r="AK73" i="32"/>
  <c r="AJ139" i="32"/>
  <c r="AJ195" i="32"/>
  <c r="AJ200" i="32"/>
  <c r="AJ121" i="32"/>
  <c r="AJ205" i="32"/>
  <c r="AJ233" i="32"/>
  <c r="AF76" i="32"/>
  <c r="AF75" i="32"/>
  <c r="AE179" i="32"/>
  <c r="AE130" i="32"/>
  <c r="AF43" i="32"/>
  <c r="AF148" i="32"/>
  <c r="AE101" i="32"/>
  <c r="AE35" i="32"/>
  <c r="AF101" i="32"/>
  <c r="AF32" i="32"/>
  <c r="AE199" i="32"/>
  <c r="AE178" i="32"/>
  <c r="AE203" i="32"/>
  <c r="AF202" i="32"/>
  <c r="AF196" i="32"/>
  <c r="AE142" i="32"/>
  <c r="AE211" i="32"/>
  <c r="AF151" i="32"/>
  <c r="AF210" i="32"/>
  <c r="AF214" i="32"/>
  <c r="AE204" i="32"/>
  <c r="AE200" i="32"/>
  <c r="U123" i="32"/>
  <c r="AF67" i="32"/>
  <c r="AA67" i="32"/>
  <c r="Z47" i="32"/>
  <c r="AJ66" i="32"/>
  <c r="AJ51" i="32"/>
  <c r="AJ106" i="32"/>
  <c r="AA31" i="32"/>
  <c r="AA14" i="32"/>
  <c r="AA65" i="32"/>
  <c r="Z194" i="32"/>
  <c r="Z132" i="32"/>
  <c r="Z86" i="32"/>
  <c r="Z62" i="32"/>
  <c r="AF36" i="32"/>
  <c r="AA59" i="32"/>
  <c r="Z121" i="32"/>
  <c r="AA206" i="32"/>
  <c r="AE31" i="32"/>
  <c r="AA41" i="32"/>
  <c r="AA36" i="32"/>
  <c r="AA150" i="32"/>
  <c r="AA128" i="32"/>
  <c r="Z13" i="32"/>
  <c r="AA70" i="32"/>
  <c r="AA191" i="32"/>
  <c r="AA210" i="32"/>
  <c r="AF107" i="32"/>
  <c r="AF25" i="32"/>
  <c r="AK75" i="32"/>
  <c r="AJ71" i="32"/>
  <c r="AF42" i="32"/>
  <c r="AE63" i="32"/>
  <c r="Z180" i="32"/>
  <c r="AE108" i="32"/>
  <c r="AK57" i="32"/>
  <c r="AK139" i="32"/>
  <c r="AE86" i="32"/>
  <c r="AE40" i="32"/>
  <c r="AK69" i="32"/>
  <c r="AK67" i="32"/>
  <c r="AJ72" i="32"/>
  <c r="AJ46" i="32"/>
  <c r="AK28" i="32"/>
  <c r="AK82" i="32"/>
  <c r="AJ194" i="32"/>
  <c r="AJ149" i="32"/>
  <c r="AK151" i="32"/>
  <c r="AK210" i="32"/>
  <c r="AK143" i="32"/>
  <c r="AK214" i="32"/>
  <c r="AJ201" i="32"/>
  <c r="AJ124" i="32"/>
  <c r="AJ203" i="32"/>
  <c r="AJ234" i="32"/>
  <c r="AF72" i="32"/>
  <c r="AE141" i="32"/>
  <c r="AF46" i="32"/>
  <c r="AF82" i="32"/>
  <c r="AE150" i="32"/>
  <c r="AF105" i="32"/>
  <c r="AE38" i="32"/>
  <c r="AF35" i="32"/>
  <c r="AE106" i="32"/>
  <c r="AE192" i="32"/>
  <c r="AE242" i="32"/>
  <c r="AE232" i="32"/>
  <c r="AE151" i="32"/>
  <c r="AF211" i="32"/>
  <c r="AF122" i="32"/>
  <c r="AF204" i="32"/>
  <c r="AE236" i="32"/>
  <c r="AE26" i="32"/>
  <c r="Z69" i="32"/>
  <c r="AA43" i="32"/>
  <c r="Z99" i="32"/>
  <c r="Z34" i="32"/>
  <c r="AJ54" i="32"/>
  <c r="Z65" i="32"/>
  <c r="Z211" i="32"/>
  <c r="Z124" i="32"/>
  <c r="AF45" i="32"/>
  <c r="Z51" i="32"/>
  <c r="AA133" i="32"/>
  <c r="AA108" i="32"/>
  <c r="Z54" i="32"/>
  <c r="AA200" i="32"/>
  <c r="Z195" i="32"/>
  <c r="AE36" i="32"/>
  <c r="AE202" i="32"/>
  <c r="AA74" i="32"/>
  <c r="AA205" i="32"/>
  <c r="AA82" i="32"/>
  <c r="AA83" i="32"/>
  <c r="AA134" i="32"/>
  <c r="Z135" i="32"/>
  <c r="AA196" i="32"/>
  <c r="AE30" i="32"/>
  <c r="AE72" i="32"/>
  <c r="Z147" i="32"/>
  <c r="AA47" i="32"/>
  <c r="AA146" i="32"/>
  <c r="AA42" i="32"/>
  <c r="AA180" i="32"/>
  <c r="AA204" i="32"/>
  <c r="Z182" i="32"/>
  <c r="Z75" i="32"/>
  <c r="Z183" i="32"/>
  <c r="AA121" i="32"/>
  <c r="AK147" i="32"/>
  <c r="AE49" i="32"/>
  <c r="AF103" i="32"/>
  <c r="AA64" i="32"/>
  <c r="AJ67" i="32"/>
  <c r="AJ38" i="32"/>
  <c r="AF61" i="32"/>
  <c r="AF106" i="32"/>
  <c r="AJ44" i="32"/>
  <c r="AE126" i="32"/>
  <c r="AK135" i="32"/>
  <c r="AJ31" i="32"/>
  <c r="AJ74" i="32"/>
  <c r="AK191" i="32"/>
  <c r="AK27" i="32"/>
  <c r="AK76" i="32"/>
  <c r="AJ81" i="32"/>
  <c r="AK63" i="32"/>
  <c r="AJ49" i="32"/>
  <c r="AJ100" i="32"/>
  <c r="AK31" i="32"/>
  <c r="AK91" i="32"/>
  <c r="AJ148" i="32"/>
  <c r="AK183" i="32"/>
  <c r="AJ204" i="32"/>
  <c r="AJ127" i="32"/>
  <c r="AK179" i="32"/>
  <c r="AK121" i="32"/>
  <c r="AJ210" i="32"/>
  <c r="AJ242" i="32"/>
  <c r="AF68" i="32"/>
  <c r="AF84" i="32"/>
  <c r="AE195" i="32"/>
  <c r="AE145" i="32"/>
  <c r="AF49" i="32"/>
  <c r="AF133" i="32"/>
  <c r="AE41" i="32"/>
  <c r="AE127" i="32"/>
  <c r="AF38" i="32"/>
  <c r="AE121" i="32"/>
  <c r="AE201" i="32"/>
  <c r="AF136" i="32"/>
  <c r="AF123" i="32"/>
  <c r="AF236" i="32"/>
  <c r="AF125" i="32"/>
  <c r="V32" i="32"/>
  <c r="AE25" i="32"/>
  <c r="Z130" i="32"/>
  <c r="Z63" i="32"/>
  <c r="AA75" i="32"/>
  <c r="AA192" i="32"/>
  <c r="AA202" i="32"/>
  <c r="AA148" i="32"/>
  <c r="AJ41" i="32"/>
  <c r="Z70" i="32"/>
  <c r="Z139" i="32"/>
  <c r="AA104" i="32"/>
  <c r="AA27" i="32"/>
  <c r="Z236" i="32"/>
  <c r="AA125" i="32"/>
  <c r="AA38" i="32"/>
  <c r="AA176" i="32"/>
  <c r="AJ125" i="32"/>
  <c r="Z29" i="32"/>
  <c r="Z73" i="32"/>
  <c r="Z143" i="32"/>
  <c r="Z36" i="32"/>
  <c r="Z107" i="32"/>
  <c r="Z193" i="32"/>
  <c r="AA126" i="32"/>
  <c r="AA234" i="32"/>
  <c r="AF70" i="32"/>
  <c r="Z28" i="32"/>
  <c r="AA63" i="32"/>
  <c r="AA149" i="32"/>
  <c r="AA50" i="32"/>
  <c r="AA101" i="32"/>
  <c r="Z39" i="32"/>
  <c r="Z131" i="32"/>
  <c r="AA45" i="32"/>
  <c r="AA198" i="32"/>
  <c r="Z214" i="32"/>
  <c r="AA129" i="32"/>
  <c r="AJ107" i="32"/>
  <c r="AE68" i="32"/>
  <c r="AA72" i="32"/>
  <c r="Z82" i="32"/>
  <c r="AA53" i="32"/>
  <c r="Z106" i="32"/>
  <c r="Z42" i="32"/>
  <c r="AA48" i="32"/>
  <c r="AA98" i="32"/>
  <c r="Z136" i="32"/>
  <c r="AA194" i="32"/>
  <c r="Z176" i="32"/>
  <c r="AA124" i="32"/>
  <c r="Z199" i="32"/>
  <c r="Z177" i="32"/>
  <c r="Z191" i="32"/>
  <c r="Z123" i="32"/>
  <c r="AA132" i="32"/>
  <c r="AA219" i="32"/>
  <c r="AA138" i="32"/>
  <c r="AK14" i="32"/>
  <c r="AF99" i="32"/>
  <c r="AA60" i="32"/>
  <c r="AK71" i="32"/>
  <c r="AK13" i="32"/>
  <c r="AF59" i="32"/>
  <c r="AE104" i="32"/>
  <c r="AF39" i="32"/>
  <c r="AE102" i="32"/>
  <c r="AK74" i="32"/>
  <c r="AE29" i="32"/>
  <c r="AK106" i="32"/>
  <c r="AK30" i="32"/>
  <c r="AK85" i="32"/>
  <c r="AJ90" i="32"/>
  <c r="AJ68" i="32"/>
  <c r="AJ52" i="32"/>
  <c r="AK104" i="32"/>
  <c r="AK34" i="32"/>
  <c r="AK100" i="32"/>
  <c r="AJ135" i="32"/>
  <c r="AK192" i="32"/>
  <c r="AJ141" i="32"/>
  <c r="AK219" i="32"/>
  <c r="AJ130" i="32"/>
  <c r="AJ184" i="32"/>
  <c r="AK124" i="32"/>
  <c r="AK232" i="32"/>
  <c r="AE57" i="32"/>
  <c r="AF48" i="32"/>
  <c r="AF52" i="32"/>
  <c r="AF91" i="32"/>
  <c r="AF60" i="32"/>
  <c r="AE44" i="32"/>
  <c r="AE132" i="32"/>
  <c r="AF41" i="32"/>
  <c r="AF127" i="32"/>
  <c r="AE206" i="32"/>
  <c r="AE140" i="32"/>
  <c r="AF126" i="32"/>
  <c r="AE233" i="32"/>
  <c r="AF242" i="32"/>
  <c r="AF128" i="32"/>
  <c r="AE234" i="32"/>
  <c r="AJ145" i="32"/>
  <c r="W16" i="33"/>
  <c r="V20" i="32"/>
  <c r="AK41" i="32"/>
  <c r="Z127" i="32"/>
  <c r="Z145" i="32"/>
  <c r="AA232" i="32"/>
  <c r="Z122" i="32"/>
  <c r="AE66" i="32"/>
  <c r="AA40" i="32"/>
  <c r="Z192" i="32"/>
  <c r="AJ93" i="32"/>
  <c r="AA105" i="32"/>
  <c r="AK38" i="32"/>
  <c r="AE93" i="32"/>
  <c r="Z55" i="32"/>
  <c r="Z31" i="32"/>
  <c r="AF14" i="32"/>
  <c r="AK84" i="32"/>
  <c r="AJ29" i="32"/>
  <c r="AF90" i="32"/>
  <c r="Z104" i="32"/>
  <c r="AK62" i="32"/>
  <c r="AJ92" i="32"/>
  <c r="AK39" i="32"/>
  <c r="AJ136" i="32"/>
  <c r="AK81" i="32"/>
  <c r="AJ138" i="32"/>
  <c r="AJ64" i="32"/>
  <c r="AJ128" i="32"/>
  <c r="AK43" i="32"/>
  <c r="AJ183" i="32"/>
  <c r="AK235" i="32"/>
  <c r="AK195" i="32"/>
  <c r="AK141" i="32"/>
  <c r="AK197" i="32"/>
  <c r="AK133" i="32"/>
  <c r="AK198" i="32"/>
  <c r="AK233" i="32"/>
  <c r="AF102" i="32"/>
  <c r="AE58" i="32"/>
  <c r="AF192" i="32"/>
  <c r="AE73" i="32"/>
  <c r="AE193" i="32"/>
  <c r="AE105" i="32"/>
  <c r="AE74" i="32"/>
  <c r="AF150" i="32"/>
  <c r="AE53" i="32"/>
  <c r="AF146" i="32"/>
  <c r="AF50" i="32"/>
  <c r="AF177" i="32"/>
  <c r="AF139" i="32"/>
  <c r="AF140" i="32"/>
  <c r="AF203" i="32"/>
  <c r="AF180" i="32"/>
  <c r="AE128" i="32"/>
  <c r="AE181" i="32"/>
  <c r="AF143" i="32"/>
  <c r="U32" i="32"/>
  <c r="AA151" i="32"/>
  <c r="Z26" i="32"/>
  <c r="AA37" i="32"/>
  <c r="AA233" i="32"/>
  <c r="Z60" i="32"/>
  <c r="Z50" i="32"/>
  <c r="AA131" i="32"/>
  <c r="AA29" i="32"/>
  <c r="AA137" i="32"/>
  <c r="AA207" i="32"/>
  <c r="AA135" i="32"/>
  <c r="AA235" i="32"/>
  <c r="AK177" i="32"/>
  <c r="Z40" i="32"/>
  <c r="AF15" i="32"/>
  <c r="Z101" i="32"/>
  <c r="AK26" i="32"/>
  <c r="AJ53" i="32"/>
  <c r="AJ132" i="32"/>
  <c r="AE28" i="32"/>
  <c r="AF86" i="32"/>
  <c r="AK15" i="32"/>
  <c r="AK47" i="32"/>
  <c r="AK42" i="32"/>
  <c r="AJ86" i="32"/>
  <c r="AK68" i="32"/>
  <c r="AK138" i="32"/>
  <c r="AK46" i="32"/>
  <c r="AJ122" i="32"/>
  <c r="AK122" i="32"/>
  <c r="AJ179" i="32"/>
  <c r="AJ146" i="32"/>
  <c r="AK200" i="32"/>
  <c r="AK137" i="32"/>
  <c r="AK193" i="32"/>
  <c r="AK207" i="32"/>
  <c r="AK236" i="32"/>
  <c r="AE12" i="32"/>
  <c r="AE107" i="32"/>
  <c r="AE67" i="32"/>
  <c r="AF28" i="32"/>
  <c r="AE82" i="32"/>
  <c r="AF56" i="32"/>
  <c r="AF53" i="32"/>
  <c r="AF145" i="32"/>
  <c r="AE184" i="32"/>
  <c r="AE146" i="32"/>
  <c r="AF149" i="32"/>
  <c r="AF206" i="32"/>
  <c r="AE131" i="32"/>
  <c r="AA73" i="32"/>
  <c r="Z58" i="32"/>
  <c r="AA62" i="32"/>
  <c r="Z137" i="32"/>
  <c r="AA144" i="32"/>
  <c r="AJ105" i="32"/>
  <c r="AJ58" i="32"/>
  <c r="AJ33" i="32"/>
  <c r="AJ85" i="32"/>
  <c r="AE37" i="32"/>
  <c r="AJ14" i="32"/>
  <c r="AE99" i="32"/>
  <c r="AF85" i="32"/>
  <c r="Z52" i="32"/>
  <c r="AF232" i="32"/>
  <c r="AE129" i="32"/>
  <c r="AE27" i="32"/>
  <c r="AA100" i="32"/>
  <c r="AF12" i="32"/>
  <c r="AJ101" i="32"/>
  <c r="AK50" i="32"/>
  <c r="AK45" i="32"/>
  <c r="AK180" i="32"/>
  <c r="AJ129" i="32"/>
  <c r="AK90" i="32"/>
  <c r="AJ73" i="32"/>
  <c r="AK148" i="32"/>
  <c r="AK49" i="32"/>
  <c r="AJ140" i="32"/>
  <c r="AK125" i="32"/>
  <c r="AJ177" i="32"/>
  <c r="AK150" i="32"/>
  <c r="AK201" i="32"/>
  <c r="AJ142" i="32"/>
  <c r="AK202" i="32"/>
  <c r="AE139" i="32"/>
  <c r="AF57" i="32"/>
  <c r="AE76" i="32"/>
  <c r="AF31" i="32"/>
  <c r="AE91" i="32"/>
  <c r="AE60" i="32"/>
  <c r="AE83" i="32"/>
  <c r="AF65" i="32"/>
  <c r="AE61" i="32"/>
  <c r="AF179" i="32"/>
  <c r="AE148" i="32"/>
  <c r="AF191" i="32"/>
  <c r="AF184" i="32"/>
  <c r="AE207" i="32"/>
  <c r="AE134" i="32"/>
  <c r="Z90" i="32"/>
  <c r="AA93" i="32"/>
  <c r="AA55" i="32"/>
  <c r="AA35" i="32"/>
  <c r="AA106" i="32"/>
  <c r="AA102" i="32"/>
  <c r="Z71" i="32"/>
  <c r="AA30" i="32"/>
  <c r="AA71" i="32"/>
  <c r="Z179" i="32"/>
  <c r="Z198" i="32"/>
  <c r="Z148" i="32"/>
  <c r="Z241" i="32"/>
  <c r="Z210" i="32"/>
  <c r="AA241" i="32"/>
  <c r="AE137" i="32"/>
  <c r="AK101" i="32"/>
  <c r="AA12" i="32"/>
  <c r="AA147" i="32"/>
  <c r="AE15" i="32"/>
  <c r="AE133" i="32"/>
  <c r="AF81" i="32"/>
  <c r="AJ50" i="32"/>
  <c r="AJ27" i="32"/>
  <c r="AE219" i="32"/>
  <c r="AF13" i="32"/>
  <c r="AJ126" i="32"/>
  <c r="AE54" i="32"/>
  <c r="AJ11" i="32"/>
  <c r="AK105" i="32"/>
  <c r="AK53" i="32"/>
  <c r="AK211" i="32"/>
  <c r="AK48" i="32"/>
  <c r="AK196" i="32"/>
  <c r="AJ34" i="32"/>
  <c r="AK52" i="32"/>
  <c r="AK142" i="32"/>
  <c r="AK194" i="32"/>
  <c r="AK128" i="32"/>
  <c r="AK181" i="32"/>
  <c r="AK136" i="32"/>
  <c r="AJ197" i="32"/>
  <c r="AJ202" i="32"/>
  <c r="AK146" i="32"/>
  <c r="AK205" i="32"/>
  <c r="AK242" i="32"/>
  <c r="AE62" i="32"/>
  <c r="AF137" i="32"/>
  <c r="AE85" i="32"/>
  <c r="AF34" i="32"/>
  <c r="AE100" i="32"/>
  <c r="AF64" i="32"/>
  <c r="AE197" i="32"/>
  <c r="AF74" i="32"/>
  <c r="AE70" i="32"/>
  <c r="AE182" i="32"/>
  <c r="AF198" i="32"/>
  <c r="AF183" i="32"/>
  <c r="AE194" i="32"/>
  <c r="AF138" i="32"/>
  <c r="AF194" i="32"/>
  <c r="U149" i="32"/>
  <c r="Z93" i="32"/>
  <c r="AA140" i="32"/>
  <c r="AF62" i="32"/>
  <c r="AA32" i="32"/>
  <c r="Z67" i="32"/>
  <c r="Z57" i="32"/>
  <c r="AA33" i="32"/>
  <c r="Z76" i="32"/>
  <c r="AA203" i="32"/>
  <c r="AA236" i="32"/>
  <c r="Z196" i="32"/>
  <c r="AA214" i="32"/>
  <c r="AK93" i="32"/>
  <c r="AE55" i="32"/>
  <c r="AJ147" i="32"/>
  <c r="AE32" i="32"/>
  <c r="AE11" i="32"/>
  <c r="AF141" i="32"/>
  <c r="AF130" i="32"/>
  <c r="Z49" i="32"/>
  <c r="AJ26" i="32"/>
  <c r="AE136" i="32"/>
  <c r="AE123" i="32"/>
  <c r="AE13" i="32"/>
  <c r="Z92" i="32"/>
  <c r="AJ56" i="32"/>
  <c r="AK61" i="32"/>
  <c r="AK51" i="32"/>
  <c r="AK99" i="32"/>
  <c r="AJ37" i="32"/>
  <c r="AJ82" i="32"/>
  <c r="AJ178" i="32"/>
  <c r="AK55" i="32"/>
  <c r="AJ144" i="32"/>
  <c r="AJ192" i="32"/>
  <c r="AK131" i="32"/>
  <c r="AK145" i="32"/>
  <c r="AJ198" i="32"/>
  <c r="AK203" i="32"/>
  <c r="AJ151" i="32"/>
  <c r="AJ206" i="32"/>
  <c r="AJ232" i="32"/>
  <c r="AE84" i="32"/>
  <c r="AF66" i="32"/>
  <c r="AF37" i="32"/>
  <c r="AE69" i="32"/>
  <c r="AE92" i="32"/>
  <c r="AF201" i="32"/>
  <c r="AF83" i="32"/>
  <c r="AF26" i="32"/>
  <c r="AF193" i="32"/>
  <c r="AE191" i="32"/>
  <c r="AE205" i="32"/>
  <c r="AF200" i="32"/>
  <c r="AF178" i="32"/>
  <c r="AF142" i="32"/>
  <c r="AF207" i="32"/>
  <c r="AE143" i="32"/>
  <c r="AF181" i="32"/>
  <c r="AE214" i="32"/>
  <c r="AK29" i="32"/>
  <c r="Z235" i="32"/>
  <c r="Z100" i="32"/>
  <c r="AA211" i="32"/>
  <c r="AA52" i="32"/>
  <c r="Z146" i="32"/>
  <c r="Z178" i="32"/>
  <c r="Z242" i="32"/>
  <c r="Z219" i="32"/>
  <c r="AA201" i="32"/>
  <c r="AF20" i="32"/>
  <c r="Z125" i="32"/>
  <c r="Z72" i="32"/>
  <c r="Z30" i="32"/>
  <c r="AE124" i="32"/>
  <c r="AF124" i="32"/>
  <c r="AJ47" i="32"/>
  <c r="AF108" i="32"/>
  <c r="AF195" i="32"/>
  <c r="AE90" i="32"/>
  <c r="AE51" i="32"/>
  <c r="AK60" i="32"/>
  <c r="AK132" i="32"/>
  <c r="AK70" i="32"/>
  <c r="AK54" i="32"/>
  <c r="AJ104" i="32"/>
  <c r="AJ40" i="32"/>
  <c r="AK86" i="32"/>
  <c r="AK64" i="32"/>
  <c r="AJ176" i="32"/>
  <c r="AJ235" i="32"/>
  <c r="AK134" i="32"/>
  <c r="AK199" i="32"/>
  <c r="AK204" i="32"/>
  <c r="AJ207" i="32"/>
  <c r="AJ241" i="32"/>
  <c r="AE71" i="32"/>
  <c r="AE103" i="32"/>
  <c r="AF40" i="32"/>
  <c r="AF73" i="32"/>
  <c r="AE138" i="32"/>
  <c r="AF92" i="32"/>
  <c r="AF29" i="32"/>
  <c r="AE196" i="32"/>
  <c r="AE198" i="32"/>
  <c r="AF205" i="32"/>
  <c r="AF197" i="32"/>
  <c r="AE210" i="32"/>
  <c r="AE147" i="32"/>
  <c r="AF147" i="32"/>
  <c r="AF219" i="32"/>
  <c r="AJ12" i="32"/>
  <c r="AE43" i="32"/>
  <c r="Z150" i="32"/>
  <c r="AE14" i="32"/>
  <c r="AJ57" i="32"/>
  <c r="AK35" i="32"/>
  <c r="AA46" i="32"/>
  <c r="Z43" i="32"/>
  <c r="Z41" i="32"/>
  <c r="AJ98" i="32"/>
  <c r="AA179" i="32"/>
  <c r="Z44" i="32"/>
  <c r="Z25" i="32"/>
  <c r="AJ39" i="32"/>
  <c r="Z35" i="32"/>
  <c r="AK65" i="32"/>
  <c r="AK102" i="32"/>
  <c r="AJ36" i="32"/>
  <c r="AJ28" i="32"/>
  <c r="AA15" i="32"/>
  <c r="AA13" i="32"/>
  <c r="AJ13" i="32"/>
  <c r="Z27" i="32"/>
  <c r="Z53" i="32"/>
  <c r="Z11" i="32"/>
  <c r="AA91" i="32"/>
  <c r="AJ48" i="32"/>
  <c r="AJ69" i="32"/>
  <c r="AJ15" i="32"/>
  <c r="AK234" i="32"/>
  <c r="Z15" i="32"/>
  <c r="AA85" i="32"/>
  <c r="AA26" i="32"/>
  <c r="AJ61" i="32"/>
  <c r="AE56" i="32"/>
  <c r="AJ102" i="32"/>
  <c r="AK11" i="32"/>
  <c r="Z46" i="32"/>
  <c r="AA25" i="32"/>
  <c r="AA34" i="32"/>
  <c r="AA20" i="32"/>
  <c r="AE75" i="32"/>
  <c r="AE39" i="32"/>
  <c r="AA141" i="32"/>
  <c r="AJ62" i="32"/>
  <c r="Z56" i="32"/>
  <c r="AK107" i="32"/>
  <c r="AF71" i="32"/>
  <c r="AJ25" i="32"/>
  <c r="AJ84" i="32"/>
  <c r="AJ196" i="32"/>
  <c r="AF63" i="32"/>
  <c r="AA193" i="32"/>
  <c r="Z14" i="32"/>
  <c r="AA28" i="32"/>
  <c r="Z38" i="32"/>
  <c r="AK32" i="32"/>
  <c r="AE34" i="32"/>
  <c r="Z81" i="32"/>
  <c r="AJ76" i="32"/>
  <c r="Z133" i="32"/>
  <c r="AA11" i="32"/>
  <c r="AK12" i="32"/>
  <c r="V105" i="32"/>
  <c r="V47" i="32"/>
  <c r="U41" i="32"/>
  <c r="V75" i="32"/>
  <c r="U38" i="32"/>
  <c r="U15" i="32"/>
  <c r="V15" i="32"/>
  <c r="U44" i="32"/>
  <c r="V91" i="32"/>
  <c r="U20" i="32"/>
  <c r="V146" i="32"/>
  <c r="U13" i="32"/>
  <c r="U101" i="32"/>
  <c r="V38" i="32"/>
  <c r="V69" i="32"/>
  <c r="U93" i="32"/>
  <c r="U39" i="32"/>
  <c r="V56" i="32"/>
  <c r="V33" i="32"/>
  <c r="U76" i="32"/>
  <c r="U131" i="32"/>
  <c r="U90" i="32"/>
  <c r="U37" i="32"/>
  <c r="V81" i="32"/>
  <c r="U214" i="32"/>
  <c r="V210" i="32"/>
  <c r="V140" i="32"/>
  <c r="V196" i="32"/>
  <c r="U124" i="32"/>
  <c r="V130" i="32"/>
  <c r="U184" i="32"/>
  <c r="U242" i="32"/>
  <c r="U207" i="32"/>
  <c r="U232" i="32"/>
  <c r="U29" i="32"/>
  <c r="U195" i="32"/>
  <c r="U56" i="32"/>
  <c r="V55" i="32"/>
  <c r="U178" i="32"/>
  <c r="V84" i="32"/>
  <c r="V57" i="32"/>
  <c r="U26" i="32"/>
  <c r="U61" i="32"/>
  <c r="V36" i="32"/>
  <c r="U201" i="32"/>
  <c r="U99" i="32"/>
  <c r="U40" i="32"/>
  <c r="U86" i="32"/>
  <c r="V59" i="32"/>
  <c r="U219" i="32"/>
  <c r="V177" i="32"/>
  <c r="V201" i="32"/>
  <c r="U211" i="32"/>
  <c r="U145" i="32"/>
  <c r="U127" i="32"/>
  <c r="V133" i="32"/>
  <c r="V211" i="32"/>
  <c r="U241" i="32"/>
  <c r="V82" i="32"/>
  <c r="V35" i="32"/>
  <c r="V65" i="32"/>
  <c r="U85" i="32"/>
  <c r="U176" i="32"/>
  <c r="U43" i="32"/>
  <c r="U64" i="32"/>
  <c r="U206" i="32"/>
  <c r="U130" i="32"/>
  <c r="U137" i="32"/>
  <c r="U193" i="32"/>
  <c r="V142" i="32"/>
  <c r="U53" i="32"/>
  <c r="V148" i="32"/>
  <c r="U92" i="32"/>
  <c r="U54" i="32"/>
  <c r="U105" i="32"/>
  <c r="U70" i="32"/>
  <c r="V42" i="32"/>
  <c r="V235" i="32"/>
  <c r="U46" i="32"/>
  <c r="V28" i="32"/>
  <c r="V68" i="32"/>
  <c r="U191" i="32"/>
  <c r="V139" i="32"/>
  <c r="V192" i="32"/>
  <c r="U133" i="32"/>
  <c r="V141" i="32"/>
  <c r="V197" i="32"/>
  <c r="U138" i="32"/>
  <c r="U71" i="32"/>
  <c r="V39" i="32"/>
  <c r="V90" i="32"/>
  <c r="U180" i="32"/>
  <c r="V183" i="32"/>
  <c r="V14" i="32"/>
  <c r="V74" i="32"/>
  <c r="V123" i="32"/>
  <c r="V45" i="32"/>
  <c r="V58" i="32"/>
  <c r="U194" i="32"/>
  <c r="U49" i="32"/>
  <c r="V99" i="32"/>
  <c r="V31" i="32"/>
  <c r="U73" i="32"/>
  <c r="U200" i="32"/>
  <c r="U142" i="32"/>
  <c r="U235" i="32"/>
  <c r="V122" i="32"/>
  <c r="U233" i="32"/>
  <c r="U141" i="32"/>
  <c r="U146" i="32"/>
  <c r="U199" i="32"/>
  <c r="U28" i="32"/>
  <c r="U45" i="32"/>
  <c r="U196" i="32"/>
  <c r="V205" i="32"/>
  <c r="U108" i="32"/>
  <c r="V25" i="32"/>
  <c r="U139" i="32"/>
  <c r="V234" i="32"/>
  <c r="V149" i="32"/>
  <c r="U75" i="32"/>
  <c r="U51" i="32"/>
  <c r="V129" i="32"/>
  <c r="V48" i="32"/>
  <c r="V98" i="32"/>
  <c r="V67" i="32"/>
  <c r="U125" i="32"/>
  <c r="U52" i="32"/>
  <c r="U104" i="32"/>
  <c r="V34" i="32"/>
  <c r="V151" i="32"/>
  <c r="V184" i="32"/>
  <c r="U205" i="32"/>
  <c r="V125" i="32"/>
  <c r="V176" i="32"/>
  <c r="U150" i="32"/>
  <c r="V150" i="32"/>
  <c r="V66" i="32"/>
  <c r="U128" i="32"/>
  <c r="U84" i="32"/>
  <c r="V76" i="32"/>
  <c r="U82" i="32"/>
  <c r="V128" i="32"/>
  <c r="U27" i="32"/>
  <c r="U48" i="32"/>
  <c r="U182" i="32"/>
  <c r="V54" i="32"/>
  <c r="V107" i="32"/>
  <c r="V85" i="32"/>
  <c r="U236" i="32"/>
  <c r="U59" i="32"/>
  <c r="U134" i="32"/>
  <c r="V40" i="32"/>
  <c r="V86" i="32"/>
  <c r="V219" i="32"/>
  <c r="V137" i="32"/>
  <c r="V131" i="32"/>
  <c r="V200" i="32"/>
  <c r="U107" i="32"/>
  <c r="V64" i="32"/>
  <c r="U36" i="32"/>
  <c r="V83" i="32"/>
  <c r="V108" i="32"/>
  <c r="U210" i="32"/>
  <c r="U74" i="32"/>
  <c r="V26" i="32"/>
  <c r="U14" i="32"/>
  <c r="U203" i="32"/>
  <c r="V92" i="32"/>
  <c r="U234" i="32"/>
  <c r="U58" i="32"/>
  <c r="U126" i="32"/>
  <c r="V241" i="32"/>
  <c r="V63" i="32"/>
  <c r="U151" i="32"/>
  <c r="V43" i="32"/>
  <c r="U91" i="32"/>
  <c r="V181" i="32"/>
  <c r="V193" i="32"/>
  <c r="V199" i="32"/>
  <c r="U148" i="32"/>
  <c r="V134" i="32"/>
  <c r="V178" i="32"/>
  <c r="U179" i="32"/>
  <c r="V233" i="32"/>
  <c r="U57" i="32"/>
  <c r="V70" i="32"/>
  <c r="V60" i="32"/>
  <c r="V180" i="32"/>
  <c r="U181" i="32"/>
  <c r="V232" i="32"/>
  <c r="V100" i="32"/>
  <c r="U25" i="32"/>
  <c r="V62" i="32"/>
  <c r="V132" i="32"/>
  <c r="V103" i="32"/>
  <c r="U63" i="32"/>
  <c r="U68" i="32"/>
  <c r="V46" i="32"/>
  <c r="V195" i="32"/>
  <c r="U204" i="32"/>
  <c r="V204" i="32"/>
  <c r="V138" i="32"/>
  <c r="V194" i="32"/>
  <c r="U183" i="32"/>
  <c r="V121" i="32"/>
  <c r="V236" i="32"/>
  <c r="U65" i="32"/>
  <c r="V143" i="32"/>
  <c r="U103" i="32"/>
  <c r="V37" i="32"/>
  <c r="U122" i="32"/>
  <c r="U60" i="32"/>
  <c r="V50" i="32"/>
  <c r="V101" i="32"/>
  <c r="V27" i="32"/>
  <c r="U67" i="32"/>
  <c r="V135" i="32"/>
  <c r="U72" i="32"/>
  <c r="V72" i="32"/>
  <c r="V191" i="32"/>
  <c r="V49" i="32"/>
  <c r="U100" i="32"/>
  <c r="V203" i="32"/>
  <c r="V144" i="32"/>
  <c r="V214" i="32"/>
  <c r="U143" i="32"/>
  <c r="V206" i="32"/>
  <c r="V145" i="32"/>
  <c r="U197" i="32"/>
  <c r="V124" i="32"/>
  <c r="U198" i="32"/>
  <c r="V198" i="32"/>
  <c r="V44" i="32"/>
  <c r="U177" i="32"/>
  <c r="U140" i="32"/>
  <c r="V51" i="32"/>
  <c r="U55" i="32"/>
  <c r="U69" i="32"/>
  <c r="V53" i="32"/>
  <c r="U106" i="32"/>
  <c r="V30" i="32"/>
  <c r="V71" i="32"/>
  <c r="U144" i="32"/>
  <c r="V126" i="32"/>
  <c r="U81" i="32"/>
  <c r="U34" i="32"/>
  <c r="V52" i="32"/>
  <c r="V104" i="32"/>
  <c r="U147" i="32"/>
  <c r="U202" i="32"/>
  <c r="V182" i="32"/>
  <c r="V147" i="32"/>
  <c r="U136" i="32"/>
  <c r="U192" i="32"/>
  <c r="U121" i="32"/>
  <c r="V127" i="32"/>
  <c r="V179" i="32"/>
  <c r="V202" i="32"/>
  <c r="V207" i="32"/>
  <c r="V242" i="32"/>
  <c r="U30" i="32"/>
  <c r="U83" i="32"/>
  <c r="V102" i="32"/>
  <c r="V61" i="32"/>
  <c r="BY10" i="33" l="1" a="1"/>
  <c r="BY10" i="33" s="1"/>
  <c r="CB10" i="33"/>
  <c r="CD10" i="33"/>
  <c r="CA10" i="33"/>
  <c r="CC10" i="33"/>
  <c r="AE157" i="33"/>
  <c r="W157" i="33"/>
  <c r="R157" i="33"/>
  <c r="Q157" i="33"/>
  <c r="P157" i="33"/>
  <c r="O157" i="33"/>
  <c r="M157" i="33"/>
  <c r="L157" i="33"/>
  <c r="AE156" i="33"/>
  <c r="W156" i="33"/>
  <c r="R156" i="33"/>
  <c r="Q156" i="33"/>
  <c r="AA156" i="33" s="1"/>
  <c r="P156" i="33"/>
  <c r="O156" i="33"/>
  <c r="M156" i="33"/>
  <c r="L156" i="33"/>
  <c r="AE155" i="33"/>
  <c r="W155" i="33"/>
  <c r="R155" i="33"/>
  <c r="Q155" i="33"/>
  <c r="T155" i="33" s="1"/>
  <c r="U155" i="33" s="1"/>
  <c r="P155" i="33"/>
  <c r="O155" i="33"/>
  <c r="M155" i="33"/>
  <c r="L155" i="33"/>
  <c r="AE154" i="33"/>
  <c r="W154" i="33"/>
  <c r="R154" i="33"/>
  <c r="Q154" i="33"/>
  <c r="AB154" i="33" s="1"/>
  <c r="P154" i="33"/>
  <c r="O154" i="33"/>
  <c r="M154" i="33"/>
  <c r="L154" i="33"/>
  <c r="AE153" i="33"/>
  <c r="R153" i="33"/>
  <c r="S153" i="33" s="1"/>
  <c r="Q153" i="33"/>
  <c r="P153" i="33"/>
  <c r="O153" i="33"/>
  <c r="M153" i="33"/>
  <c r="L153" i="33"/>
  <c r="AE152" i="33"/>
  <c r="R152" i="33"/>
  <c r="S152" i="33" s="1"/>
  <c r="Q152" i="33"/>
  <c r="P152" i="33"/>
  <c r="O152" i="33"/>
  <c r="M152" i="33"/>
  <c r="L152" i="33"/>
  <c r="AE151" i="33"/>
  <c r="R151" i="33"/>
  <c r="S151" i="33" s="1"/>
  <c r="Q151" i="33"/>
  <c r="P151" i="33"/>
  <c r="O151" i="33"/>
  <c r="M151" i="33"/>
  <c r="L151" i="33"/>
  <c r="AE150" i="33"/>
  <c r="W150" i="33"/>
  <c r="R150" i="33"/>
  <c r="Q150" i="33"/>
  <c r="AB150" i="33" s="1"/>
  <c r="P150" i="33"/>
  <c r="O150" i="33"/>
  <c r="M150" i="33"/>
  <c r="L150" i="33"/>
  <c r="AE149" i="33"/>
  <c r="W149" i="33"/>
  <c r="R149" i="33"/>
  <c r="Q149" i="33"/>
  <c r="P149" i="33"/>
  <c r="O149" i="33"/>
  <c r="M149" i="33"/>
  <c r="L149" i="33"/>
  <c r="AE148" i="33"/>
  <c r="R148" i="33"/>
  <c r="S148" i="33" s="1"/>
  <c r="Q148" i="33"/>
  <c r="P148" i="33"/>
  <c r="O148" i="33"/>
  <c r="M148" i="33"/>
  <c r="L148" i="33"/>
  <c r="AE147" i="33"/>
  <c r="R147" i="33"/>
  <c r="S147" i="33" s="1"/>
  <c r="Q147" i="33"/>
  <c r="P147" i="33"/>
  <c r="O147" i="33"/>
  <c r="M147" i="33"/>
  <c r="L147" i="33"/>
  <c r="AE146" i="33"/>
  <c r="R146" i="33"/>
  <c r="S146" i="33" s="1"/>
  <c r="Q146" i="33"/>
  <c r="P146" i="33"/>
  <c r="O146" i="33"/>
  <c r="M146" i="33"/>
  <c r="L146" i="33"/>
  <c r="AE145" i="33"/>
  <c r="R145" i="33"/>
  <c r="S145" i="33" s="1"/>
  <c r="Q145" i="33"/>
  <c r="P145" i="33"/>
  <c r="O145" i="33"/>
  <c r="M145" i="33"/>
  <c r="L145" i="33"/>
  <c r="AE144" i="33"/>
  <c r="R144" i="33"/>
  <c r="S144" i="33" s="1"/>
  <c r="Q144" i="33"/>
  <c r="P144" i="33"/>
  <c r="O144" i="33"/>
  <c r="M144" i="33"/>
  <c r="L144" i="33"/>
  <c r="AE143" i="33"/>
  <c r="R143" i="33"/>
  <c r="S143" i="33" s="1"/>
  <c r="Q143" i="33"/>
  <c r="P143" i="33"/>
  <c r="O143" i="33"/>
  <c r="M143" i="33"/>
  <c r="L143" i="33"/>
  <c r="AE142" i="33"/>
  <c r="R142" i="33"/>
  <c r="S142" i="33" s="1"/>
  <c r="Q142" i="33"/>
  <c r="P142" i="33"/>
  <c r="O142" i="33"/>
  <c r="M142" i="33"/>
  <c r="L142" i="33"/>
  <c r="AE141" i="33"/>
  <c r="R141" i="33"/>
  <c r="S141" i="33" s="1"/>
  <c r="Q141" i="33"/>
  <c r="P141" i="33"/>
  <c r="O141" i="33"/>
  <c r="M141" i="33"/>
  <c r="L141" i="33"/>
  <c r="AE140" i="33"/>
  <c r="R140" i="33"/>
  <c r="S140" i="33" s="1"/>
  <c r="Q140" i="33"/>
  <c r="P140" i="33"/>
  <c r="O140" i="33"/>
  <c r="M140" i="33"/>
  <c r="L140" i="33"/>
  <c r="AE139" i="33"/>
  <c r="R139" i="33"/>
  <c r="S139" i="33" s="1"/>
  <c r="Q139" i="33"/>
  <c r="P139" i="33"/>
  <c r="O139" i="33"/>
  <c r="M139" i="33"/>
  <c r="L139" i="33"/>
  <c r="AE138" i="33"/>
  <c r="R138" i="33"/>
  <c r="S138" i="33" s="1"/>
  <c r="Q138" i="33"/>
  <c r="P138" i="33"/>
  <c r="O138" i="33"/>
  <c r="M138" i="33"/>
  <c r="L138" i="33"/>
  <c r="AE137" i="33"/>
  <c r="R137" i="33"/>
  <c r="S137" i="33" s="1"/>
  <c r="Q137" i="33"/>
  <c r="P137" i="33"/>
  <c r="O137" i="33"/>
  <c r="M137" i="33"/>
  <c r="L137" i="33"/>
  <c r="AE136" i="33"/>
  <c r="R136" i="33"/>
  <c r="S136" i="33" s="1"/>
  <c r="Q136" i="33"/>
  <c r="P136" i="33"/>
  <c r="O136" i="33"/>
  <c r="M136" i="33"/>
  <c r="L136" i="33"/>
  <c r="AE135" i="33"/>
  <c r="R135" i="33"/>
  <c r="S135" i="33" s="1"/>
  <c r="Q135" i="33"/>
  <c r="P135" i="33"/>
  <c r="O135" i="33"/>
  <c r="M135" i="33"/>
  <c r="L135" i="33"/>
  <c r="AE134" i="33"/>
  <c r="W134" i="33"/>
  <c r="R134" i="33"/>
  <c r="Q134" i="33"/>
  <c r="AA134" i="33" s="1"/>
  <c r="P134" i="33"/>
  <c r="O134" i="33"/>
  <c r="M134" i="33"/>
  <c r="L134" i="33"/>
  <c r="AE133" i="33"/>
  <c r="W133" i="33"/>
  <c r="R133" i="33"/>
  <c r="Q133" i="33"/>
  <c r="T133" i="33" s="1"/>
  <c r="U133" i="33" s="1"/>
  <c r="P133" i="33"/>
  <c r="O133" i="33"/>
  <c r="M133" i="33"/>
  <c r="L133" i="33"/>
  <c r="AE132" i="33"/>
  <c r="R132" i="33"/>
  <c r="S132" i="33" s="1"/>
  <c r="Q132" i="33"/>
  <c r="P132" i="33"/>
  <c r="O132" i="33"/>
  <c r="M132" i="33"/>
  <c r="L132" i="33"/>
  <c r="AE131" i="33"/>
  <c r="R131" i="33"/>
  <c r="S131" i="33" s="1"/>
  <c r="Q131" i="33"/>
  <c r="P131" i="33"/>
  <c r="O131" i="33"/>
  <c r="M131" i="33"/>
  <c r="L131" i="33"/>
  <c r="AE130" i="33"/>
  <c r="R130" i="33"/>
  <c r="S130" i="33" s="1"/>
  <c r="Q130" i="33"/>
  <c r="P130" i="33"/>
  <c r="O130" i="33"/>
  <c r="M130" i="33"/>
  <c r="L130" i="33"/>
  <c r="AE129" i="33"/>
  <c r="R129" i="33"/>
  <c r="S129" i="33" s="1"/>
  <c r="Q129" i="33"/>
  <c r="P129" i="33"/>
  <c r="O129" i="33"/>
  <c r="M129" i="33"/>
  <c r="L129" i="33"/>
  <c r="AE128" i="33"/>
  <c r="R128" i="33"/>
  <c r="S128" i="33" s="1"/>
  <c r="Q128" i="33"/>
  <c r="P128" i="33"/>
  <c r="O128" i="33"/>
  <c r="M128" i="33"/>
  <c r="L128" i="33"/>
  <c r="AE127" i="33"/>
  <c r="R127" i="33"/>
  <c r="S127" i="33" s="1"/>
  <c r="Q127" i="33"/>
  <c r="P127" i="33"/>
  <c r="O127" i="33"/>
  <c r="M127" i="33"/>
  <c r="L127" i="33"/>
  <c r="AE126" i="33"/>
  <c r="R126" i="33"/>
  <c r="S126" i="33" s="1"/>
  <c r="Q126" i="33"/>
  <c r="P126" i="33"/>
  <c r="O126" i="33"/>
  <c r="M126" i="33"/>
  <c r="L126" i="33"/>
  <c r="AE125" i="33"/>
  <c r="R125" i="33"/>
  <c r="S125" i="33" s="1"/>
  <c r="Q125" i="33"/>
  <c r="P125" i="33"/>
  <c r="O125" i="33"/>
  <c r="M125" i="33"/>
  <c r="L125" i="33"/>
  <c r="AE124" i="33"/>
  <c r="R124" i="33"/>
  <c r="S124" i="33" s="1"/>
  <c r="Q124" i="33"/>
  <c r="P124" i="33"/>
  <c r="O124" i="33"/>
  <c r="M124" i="33"/>
  <c r="L124" i="33"/>
  <c r="AE123" i="33"/>
  <c r="R123" i="33"/>
  <c r="S123" i="33" s="1"/>
  <c r="Q123" i="33"/>
  <c r="P123" i="33"/>
  <c r="O123" i="33"/>
  <c r="M123" i="33"/>
  <c r="L123" i="33"/>
  <c r="AE122" i="33"/>
  <c r="R122" i="33"/>
  <c r="S122" i="33" s="1"/>
  <c r="Q122" i="33"/>
  <c r="P122" i="33"/>
  <c r="O122" i="33"/>
  <c r="M122" i="33"/>
  <c r="L122" i="33"/>
  <c r="AE121" i="33"/>
  <c r="R121" i="33"/>
  <c r="S121" i="33" s="1"/>
  <c r="Q121" i="33"/>
  <c r="P121" i="33"/>
  <c r="O121" i="33"/>
  <c r="M121" i="33"/>
  <c r="L121" i="33"/>
  <c r="AE120" i="33"/>
  <c r="R120" i="33"/>
  <c r="S120" i="33" s="1"/>
  <c r="Q120" i="33"/>
  <c r="P120" i="33"/>
  <c r="O120" i="33"/>
  <c r="M120" i="33"/>
  <c r="L120" i="33"/>
  <c r="AE119" i="33"/>
  <c r="R119" i="33"/>
  <c r="S119" i="33" s="1"/>
  <c r="Q119" i="33"/>
  <c r="P119" i="33"/>
  <c r="O119" i="33"/>
  <c r="M119" i="33"/>
  <c r="L119" i="33"/>
  <c r="AE118" i="33"/>
  <c r="R118" i="33"/>
  <c r="S118" i="33" s="1"/>
  <c r="Q118" i="33"/>
  <c r="P118" i="33"/>
  <c r="O118" i="33"/>
  <c r="M118" i="33"/>
  <c r="L118" i="33"/>
  <c r="AE117" i="33"/>
  <c r="R117" i="33"/>
  <c r="S117" i="33" s="1"/>
  <c r="Q117" i="33"/>
  <c r="P117" i="33"/>
  <c r="O117" i="33"/>
  <c r="M117" i="33"/>
  <c r="L117" i="33"/>
  <c r="AE116" i="33"/>
  <c r="R116" i="33"/>
  <c r="S116" i="33" s="1"/>
  <c r="Q116" i="33"/>
  <c r="P116" i="33"/>
  <c r="O116" i="33"/>
  <c r="M116" i="33"/>
  <c r="L116" i="33"/>
  <c r="AE115" i="33"/>
  <c r="R115" i="33"/>
  <c r="S115" i="33" s="1"/>
  <c r="Q115" i="33"/>
  <c r="P115" i="33"/>
  <c r="O115" i="33"/>
  <c r="M115" i="33"/>
  <c r="L115" i="33"/>
  <c r="AE114" i="33"/>
  <c r="R114" i="33"/>
  <c r="S114" i="33" s="1"/>
  <c r="Q114" i="33"/>
  <c r="P114" i="33"/>
  <c r="O114" i="33"/>
  <c r="M114" i="33"/>
  <c r="L114" i="33"/>
  <c r="AE113" i="33"/>
  <c r="R113" i="33"/>
  <c r="S113" i="33" s="1"/>
  <c r="Q113" i="33"/>
  <c r="P113" i="33"/>
  <c r="O113" i="33"/>
  <c r="M113" i="33"/>
  <c r="L113" i="33"/>
  <c r="AE112" i="33"/>
  <c r="R112" i="33"/>
  <c r="S112" i="33" s="1"/>
  <c r="Q112" i="33"/>
  <c r="P112" i="33"/>
  <c r="O112" i="33"/>
  <c r="M112" i="33"/>
  <c r="L112" i="33"/>
  <c r="AE111" i="33"/>
  <c r="R111" i="33"/>
  <c r="S111" i="33" s="1"/>
  <c r="Q111" i="33"/>
  <c r="P111" i="33"/>
  <c r="O111" i="33"/>
  <c r="M111" i="33"/>
  <c r="L111" i="33"/>
  <c r="AE110" i="33"/>
  <c r="R110" i="33"/>
  <c r="S110" i="33" s="1"/>
  <c r="Q110" i="33"/>
  <c r="P110" i="33"/>
  <c r="O110" i="33"/>
  <c r="M110" i="33"/>
  <c r="L110" i="33"/>
  <c r="AE109" i="33"/>
  <c r="R109" i="33"/>
  <c r="S109" i="33" s="1"/>
  <c r="Q109" i="33"/>
  <c r="P109" i="33"/>
  <c r="O109" i="33"/>
  <c r="M109" i="33"/>
  <c r="L109" i="33"/>
  <c r="AE108" i="33"/>
  <c r="R108" i="33"/>
  <c r="S108" i="33" s="1"/>
  <c r="Q108" i="33"/>
  <c r="P108" i="33"/>
  <c r="O108" i="33"/>
  <c r="M108" i="33"/>
  <c r="L108" i="33"/>
  <c r="AE107" i="33"/>
  <c r="R107" i="33"/>
  <c r="S107" i="33" s="1"/>
  <c r="Q107" i="33"/>
  <c r="P107" i="33"/>
  <c r="O107" i="33"/>
  <c r="M107" i="33"/>
  <c r="L107" i="33"/>
  <c r="AE106" i="33"/>
  <c r="R106" i="33"/>
  <c r="S106" i="33" s="1"/>
  <c r="Q106" i="33"/>
  <c r="P106" i="33"/>
  <c r="O106" i="33"/>
  <c r="M106" i="33"/>
  <c r="L106" i="33"/>
  <c r="AE105" i="33"/>
  <c r="R105" i="33"/>
  <c r="S105" i="33" s="1"/>
  <c r="Q105" i="33"/>
  <c r="P105" i="33"/>
  <c r="O105" i="33"/>
  <c r="M105" i="33"/>
  <c r="L105" i="33"/>
  <c r="AE104" i="33"/>
  <c r="R104" i="33"/>
  <c r="S104" i="33" s="1"/>
  <c r="Q104" i="33"/>
  <c r="P104" i="33"/>
  <c r="O104" i="33"/>
  <c r="M104" i="33"/>
  <c r="L104" i="33"/>
  <c r="AE103" i="33"/>
  <c r="R103" i="33"/>
  <c r="S103" i="33" s="1"/>
  <c r="Q103" i="33"/>
  <c r="P103" i="33"/>
  <c r="O103" i="33"/>
  <c r="M103" i="33"/>
  <c r="L103" i="33"/>
  <c r="AE102" i="33"/>
  <c r="R102" i="33"/>
  <c r="S102" i="33" s="1"/>
  <c r="Q102" i="33"/>
  <c r="P102" i="33"/>
  <c r="O102" i="33"/>
  <c r="M102" i="33"/>
  <c r="L102" i="33"/>
  <c r="AE101" i="33"/>
  <c r="R101" i="33"/>
  <c r="S101" i="33" s="1"/>
  <c r="Q101" i="33"/>
  <c r="P101" i="33"/>
  <c r="O101" i="33"/>
  <c r="M101" i="33"/>
  <c r="L101" i="33"/>
  <c r="AE100" i="33"/>
  <c r="R100" i="33"/>
  <c r="S100" i="33" s="1"/>
  <c r="Q100" i="33"/>
  <c r="P100" i="33"/>
  <c r="O100" i="33"/>
  <c r="M100" i="33"/>
  <c r="L100" i="33"/>
  <c r="AE99" i="33"/>
  <c r="R99" i="33"/>
  <c r="S99" i="33" s="1"/>
  <c r="Q99" i="33"/>
  <c r="P99" i="33"/>
  <c r="O99" i="33"/>
  <c r="M99" i="33"/>
  <c r="L99" i="33"/>
  <c r="AE98" i="33"/>
  <c r="R98" i="33"/>
  <c r="S98" i="33" s="1"/>
  <c r="Q98" i="33"/>
  <c r="P98" i="33"/>
  <c r="O98" i="33"/>
  <c r="M98" i="33"/>
  <c r="L98" i="33"/>
  <c r="AE97" i="33"/>
  <c r="R97" i="33"/>
  <c r="S97" i="33" s="1"/>
  <c r="Q97" i="33"/>
  <c r="P97" i="33"/>
  <c r="O97" i="33"/>
  <c r="M97" i="33"/>
  <c r="L97" i="33"/>
  <c r="AE96" i="33"/>
  <c r="R96" i="33"/>
  <c r="S96" i="33" s="1"/>
  <c r="Q96" i="33"/>
  <c r="P96" i="33"/>
  <c r="O96" i="33"/>
  <c r="M96" i="33"/>
  <c r="L96" i="33"/>
  <c r="AE95" i="33"/>
  <c r="R95" i="33"/>
  <c r="S95" i="33" s="1"/>
  <c r="Q95" i="33"/>
  <c r="P95" i="33"/>
  <c r="O95" i="33"/>
  <c r="M95" i="33"/>
  <c r="L95" i="33"/>
  <c r="AE94" i="33"/>
  <c r="R94" i="33"/>
  <c r="Q94" i="33"/>
  <c r="P94" i="33"/>
  <c r="O94" i="33"/>
  <c r="M94" i="33"/>
  <c r="L94" i="33"/>
  <c r="AE93" i="33"/>
  <c r="R93" i="33"/>
  <c r="Q93" i="33"/>
  <c r="P93" i="33"/>
  <c r="O93" i="33"/>
  <c r="M93" i="33"/>
  <c r="L93" i="33"/>
  <c r="AE92" i="33"/>
  <c r="R92" i="33"/>
  <c r="S92" i="33" s="1"/>
  <c r="Q92" i="33"/>
  <c r="P92" i="33"/>
  <c r="O92" i="33"/>
  <c r="M92" i="33"/>
  <c r="L92" i="33"/>
  <c r="AE91" i="33"/>
  <c r="R91" i="33"/>
  <c r="S91" i="33" s="1"/>
  <c r="Q91" i="33"/>
  <c r="P91" i="33"/>
  <c r="O91" i="33"/>
  <c r="M91" i="33"/>
  <c r="L91" i="33"/>
  <c r="AE90" i="33"/>
  <c r="R90" i="33"/>
  <c r="S90" i="33" s="1"/>
  <c r="Q90" i="33"/>
  <c r="P90" i="33"/>
  <c r="O90" i="33"/>
  <c r="M90" i="33"/>
  <c r="L90" i="33"/>
  <c r="AE89" i="33"/>
  <c r="R89" i="33"/>
  <c r="S89" i="33" s="1"/>
  <c r="Q89" i="33"/>
  <c r="P89" i="33"/>
  <c r="O89" i="33"/>
  <c r="M89" i="33"/>
  <c r="L89" i="33"/>
  <c r="AE88" i="33"/>
  <c r="R88" i="33"/>
  <c r="S88" i="33" s="1"/>
  <c r="Q88" i="33"/>
  <c r="P88" i="33"/>
  <c r="O88" i="33"/>
  <c r="M88" i="33"/>
  <c r="L88" i="33"/>
  <c r="AE87" i="33"/>
  <c r="R87" i="33"/>
  <c r="Q87" i="33"/>
  <c r="P87" i="33"/>
  <c r="O87" i="33"/>
  <c r="M87" i="33"/>
  <c r="L87" i="33"/>
  <c r="AE86" i="33"/>
  <c r="R86" i="33"/>
  <c r="S86" i="33" s="1"/>
  <c r="Q86" i="33"/>
  <c r="P86" i="33"/>
  <c r="O86" i="33"/>
  <c r="M86" i="33"/>
  <c r="L86" i="33"/>
  <c r="AE85" i="33"/>
  <c r="R85" i="33"/>
  <c r="S85" i="33" s="1"/>
  <c r="Q85" i="33"/>
  <c r="P85" i="33"/>
  <c r="O85" i="33"/>
  <c r="M85" i="33"/>
  <c r="L85" i="33"/>
  <c r="AE84" i="33"/>
  <c r="R84" i="33"/>
  <c r="Q84" i="33"/>
  <c r="P84" i="33"/>
  <c r="O84" i="33"/>
  <c r="M84" i="33"/>
  <c r="L84" i="33"/>
  <c r="AE83" i="33"/>
  <c r="R83" i="33"/>
  <c r="Q83" i="33"/>
  <c r="P83" i="33"/>
  <c r="O83" i="33"/>
  <c r="M83" i="33"/>
  <c r="L83" i="33"/>
  <c r="AE82" i="33"/>
  <c r="R82" i="33"/>
  <c r="S82" i="33" s="1"/>
  <c r="Q82" i="33"/>
  <c r="P82" i="33"/>
  <c r="O82" i="33"/>
  <c r="M82" i="33"/>
  <c r="L82" i="33"/>
  <c r="AE81" i="33"/>
  <c r="R81" i="33"/>
  <c r="S81" i="33" s="1"/>
  <c r="Q81" i="33"/>
  <c r="P81" i="33"/>
  <c r="O81" i="33"/>
  <c r="M81" i="33"/>
  <c r="L81" i="33"/>
  <c r="AE80" i="33"/>
  <c r="R80" i="33"/>
  <c r="Q80" i="33"/>
  <c r="P80" i="33"/>
  <c r="O80" i="33"/>
  <c r="M80" i="33"/>
  <c r="L80" i="33"/>
  <c r="AE79" i="33"/>
  <c r="R79" i="33"/>
  <c r="S79" i="33" s="1"/>
  <c r="Q79" i="33"/>
  <c r="P79" i="33"/>
  <c r="O79" i="33"/>
  <c r="M79" i="33"/>
  <c r="L79" i="33"/>
  <c r="AE78" i="33"/>
  <c r="W78" i="33"/>
  <c r="R78" i="33"/>
  <c r="Q78" i="33"/>
  <c r="P78" i="33"/>
  <c r="O78" i="33"/>
  <c r="M78" i="33"/>
  <c r="L78" i="33"/>
  <c r="AE77" i="33"/>
  <c r="R77" i="33"/>
  <c r="S77" i="33" s="1"/>
  <c r="Q77" i="33"/>
  <c r="P77" i="33"/>
  <c r="O77" i="33"/>
  <c r="M77" i="33"/>
  <c r="L77" i="33"/>
  <c r="AE76" i="33"/>
  <c r="R76" i="33"/>
  <c r="S76" i="33" s="1"/>
  <c r="Q76" i="33"/>
  <c r="P76" i="33"/>
  <c r="O76" i="33"/>
  <c r="M76" i="33"/>
  <c r="L76" i="33"/>
  <c r="AE75" i="33"/>
  <c r="R75" i="33"/>
  <c r="Q75" i="33"/>
  <c r="P75" i="33"/>
  <c r="O75" i="33"/>
  <c r="M75" i="33"/>
  <c r="L75" i="33"/>
  <c r="AE74" i="33"/>
  <c r="R74" i="33"/>
  <c r="S74" i="33" s="1"/>
  <c r="Q74" i="33"/>
  <c r="P74" i="33"/>
  <c r="O74" i="33"/>
  <c r="M74" i="33"/>
  <c r="L74" i="33"/>
  <c r="AE73" i="33"/>
  <c r="R73" i="33"/>
  <c r="S73" i="33" s="1"/>
  <c r="Q73" i="33"/>
  <c r="P73" i="33"/>
  <c r="O73" i="33"/>
  <c r="M73" i="33"/>
  <c r="L73" i="33"/>
  <c r="AE72" i="33"/>
  <c r="R72" i="33"/>
  <c r="S72" i="33" s="1"/>
  <c r="Q72" i="33"/>
  <c r="P72" i="33"/>
  <c r="O72" i="33"/>
  <c r="M72" i="33"/>
  <c r="L72" i="33"/>
  <c r="AE71" i="33"/>
  <c r="R71" i="33"/>
  <c r="S71" i="33" s="1"/>
  <c r="Q71" i="33"/>
  <c r="P71" i="33"/>
  <c r="O71" i="33"/>
  <c r="M71" i="33"/>
  <c r="L71" i="33"/>
  <c r="AE70" i="33"/>
  <c r="R70" i="33"/>
  <c r="Q70" i="33"/>
  <c r="P70" i="33"/>
  <c r="O70" i="33"/>
  <c r="M70" i="33"/>
  <c r="L70" i="33"/>
  <c r="AE69" i="33"/>
  <c r="R69" i="33"/>
  <c r="Q69" i="33"/>
  <c r="P69" i="33"/>
  <c r="O69" i="33"/>
  <c r="M69" i="33"/>
  <c r="L69" i="33"/>
  <c r="AE68" i="33"/>
  <c r="R68" i="33"/>
  <c r="S68" i="33" s="1"/>
  <c r="Q68" i="33"/>
  <c r="P68" i="33"/>
  <c r="O68" i="33"/>
  <c r="M68" i="33"/>
  <c r="L68" i="33"/>
  <c r="AE67" i="33"/>
  <c r="R67" i="33"/>
  <c r="S67" i="33" s="1"/>
  <c r="Q67" i="33"/>
  <c r="P67" i="33"/>
  <c r="O67" i="33"/>
  <c r="M67" i="33"/>
  <c r="L67" i="33"/>
  <c r="AE66" i="33"/>
  <c r="R66" i="33"/>
  <c r="S66" i="33" s="1"/>
  <c r="Q66" i="33"/>
  <c r="P66" i="33"/>
  <c r="O66" i="33"/>
  <c r="M66" i="33"/>
  <c r="L66" i="33"/>
  <c r="AE65" i="33"/>
  <c r="R65" i="33"/>
  <c r="S65" i="33" s="1"/>
  <c r="Q65" i="33"/>
  <c r="P65" i="33"/>
  <c r="O65" i="33"/>
  <c r="M65" i="33"/>
  <c r="L65" i="33"/>
  <c r="AE64" i="33"/>
  <c r="R64" i="33"/>
  <c r="Q64" i="33"/>
  <c r="P64" i="33"/>
  <c r="O64" i="33"/>
  <c r="M64" i="33"/>
  <c r="L64" i="33"/>
  <c r="AE63" i="33"/>
  <c r="R63" i="33"/>
  <c r="Q63" i="33"/>
  <c r="P63" i="33"/>
  <c r="O63" i="33"/>
  <c r="M63" i="33"/>
  <c r="L63" i="33"/>
  <c r="AE62" i="33"/>
  <c r="R62" i="33"/>
  <c r="S62" i="33" s="1"/>
  <c r="Q62" i="33"/>
  <c r="P62" i="33"/>
  <c r="O62" i="33"/>
  <c r="M62" i="33"/>
  <c r="L62" i="33"/>
  <c r="AE61" i="33"/>
  <c r="R61" i="33"/>
  <c r="S61" i="33" s="1"/>
  <c r="Q61" i="33"/>
  <c r="P61" i="33"/>
  <c r="O61" i="33"/>
  <c r="M61" i="33"/>
  <c r="L61" i="33"/>
  <c r="AE60" i="33"/>
  <c r="R60" i="33"/>
  <c r="S60" i="33" s="1"/>
  <c r="Q60" i="33"/>
  <c r="P60" i="33"/>
  <c r="O60" i="33"/>
  <c r="M60" i="33"/>
  <c r="L60" i="33"/>
  <c r="AE59" i="33"/>
  <c r="R59" i="33"/>
  <c r="S59" i="33" s="1"/>
  <c r="Q59" i="33"/>
  <c r="P59" i="33"/>
  <c r="O59" i="33"/>
  <c r="M59" i="33"/>
  <c r="L59" i="33"/>
  <c r="AE58" i="33"/>
  <c r="R58" i="33"/>
  <c r="S58" i="33" s="1"/>
  <c r="Q58" i="33"/>
  <c r="P58" i="33"/>
  <c r="O58" i="33"/>
  <c r="M58" i="33"/>
  <c r="L58" i="33"/>
  <c r="AE57" i="33"/>
  <c r="R57" i="33"/>
  <c r="S57" i="33" s="1"/>
  <c r="Q57" i="33"/>
  <c r="P57" i="33"/>
  <c r="O57" i="33"/>
  <c r="M57" i="33"/>
  <c r="L57" i="33"/>
  <c r="AE56" i="33"/>
  <c r="R56" i="33"/>
  <c r="S56" i="33" s="1"/>
  <c r="Q56" i="33"/>
  <c r="P56" i="33"/>
  <c r="O56" i="33"/>
  <c r="M56" i="33"/>
  <c r="L56" i="33"/>
  <c r="AE55" i="33"/>
  <c r="R55" i="33"/>
  <c r="S55" i="33" s="1"/>
  <c r="Q55" i="33"/>
  <c r="P55" i="33"/>
  <c r="O55" i="33"/>
  <c r="M55" i="33"/>
  <c r="L55" i="33"/>
  <c r="AE54" i="33"/>
  <c r="R54" i="33"/>
  <c r="S54" i="33" s="1"/>
  <c r="Q54" i="33"/>
  <c r="P54" i="33"/>
  <c r="O54" i="33"/>
  <c r="M54" i="33"/>
  <c r="L54" i="33"/>
  <c r="AE53" i="33"/>
  <c r="R53" i="33"/>
  <c r="S53" i="33" s="1"/>
  <c r="Q53" i="33"/>
  <c r="P53" i="33"/>
  <c r="O53" i="33"/>
  <c r="M53" i="33"/>
  <c r="L53" i="33"/>
  <c r="AE52" i="33"/>
  <c r="R52" i="33"/>
  <c r="S52" i="33" s="1"/>
  <c r="Q52" i="33"/>
  <c r="P52" i="33"/>
  <c r="O52" i="33"/>
  <c r="M52" i="33"/>
  <c r="L52" i="33"/>
  <c r="AE51" i="33"/>
  <c r="R51" i="33"/>
  <c r="S51" i="33" s="1"/>
  <c r="Q51" i="33"/>
  <c r="P51" i="33"/>
  <c r="O51" i="33"/>
  <c r="M51" i="33"/>
  <c r="L51" i="33"/>
  <c r="AE50" i="33"/>
  <c r="R50" i="33"/>
  <c r="S50" i="33" s="1"/>
  <c r="Q50" i="33"/>
  <c r="P50" i="33"/>
  <c r="O50" i="33"/>
  <c r="M50" i="33"/>
  <c r="L50" i="33"/>
  <c r="AE49" i="33"/>
  <c r="R49" i="33"/>
  <c r="S49" i="33" s="1"/>
  <c r="Q49" i="33"/>
  <c r="P49" i="33"/>
  <c r="O49" i="33"/>
  <c r="M49" i="33"/>
  <c r="L49" i="33"/>
  <c r="AE48" i="33"/>
  <c r="R48" i="33"/>
  <c r="S48" i="33" s="1"/>
  <c r="Q48" i="33"/>
  <c r="P48" i="33"/>
  <c r="O48" i="33"/>
  <c r="M48" i="33"/>
  <c r="L48" i="33"/>
  <c r="AE47" i="33"/>
  <c r="R47" i="33"/>
  <c r="Q47" i="33"/>
  <c r="P47" i="33"/>
  <c r="O47" i="33"/>
  <c r="M47" i="33"/>
  <c r="L47" i="33"/>
  <c r="AE46" i="33"/>
  <c r="R46" i="33"/>
  <c r="S46" i="33" s="1"/>
  <c r="Q46" i="33"/>
  <c r="P46" i="33"/>
  <c r="O46" i="33"/>
  <c r="M46" i="33"/>
  <c r="L46" i="33"/>
  <c r="AE45" i="33"/>
  <c r="R45" i="33"/>
  <c r="S45" i="33" s="1"/>
  <c r="Q45" i="33"/>
  <c r="P45" i="33"/>
  <c r="O45" i="33"/>
  <c r="M45" i="33"/>
  <c r="L45" i="33"/>
  <c r="AE44" i="33"/>
  <c r="R44" i="33"/>
  <c r="S44" i="33" s="1"/>
  <c r="Q44" i="33"/>
  <c r="P44" i="33"/>
  <c r="O44" i="33"/>
  <c r="M44" i="33"/>
  <c r="L44" i="33"/>
  <c r="AE43" i="33"/>
  <c r="R43" i="33"/>
  <c r="S43" i="33" s="1"/>
  <c r="Q43" i="33"/>
  <c r="P43" i="33"/>
  <c r="O43" i="33"/>
  <c r="M43" i="33"/>
  <c r="L43" i="33"/>
  <c r="AE42" i="33"/>
  <c r="R42" i="33"/>
  <c r="S42" i="33" s="1"/>
  <c r="Q42" i="33"/>
  <c r="P42" i="33"/>
  <c r="O42" i="33"/>
  <c r="M42" i="33"/>
  <c r="L42" i="33"/>
  <c r="AE41" i="33"/>
  <c r="R41" i="33"/>
  <c r="Q41" i="33"/>
  <c r="P41" i="33"/>
  <c r="O41" i="33"/>
  <c r="M41" i="33"/>
  <c r="L41" i="33"/>
  <c r="AE40" i="33"/>
  <c r="R40" i="33"/>
  <c r="Q40" i="33"/>
  <c r="P40" i="33"/>
  <c r="O40" i="33"/>
  <c r="M40" i="33"/>
  <c r="L40" i="33"/>
  <c r="AE39" i="33"/>
  <c r="R39" i="33"/>
  <c r="S39" i="33" s="1"/>
  <c r="Q39" i="33"/>
  <c r="P39" i="33"/>
  <c r="O39" i="33"/>
  <c r="M39" i="33"/>
  <c r="L39" i="33"/>
  <c r="AE38" i="33"/>
  <c r="R38" i="33"/>
  <c r="S38" i="33" s="1"/>
  <c r="Q38" i="33"/>
  <c r="P38" i="33"/>
  <c r="O38" i="33"/>
  <c r="M38" i="33"/>
  <c r="L38" i="33"/>
  <c r="AE37" i="33"/>
  <c r="R37" i="33"/>
  <c r="S37" i="33" s="1"/>
  <c r="Q37" i="33"/>
  <c r="P37" i="33"/>
  <c r="O37" i="33"/>
  <c r="M37" i="33"/>
  <c r="L37" i="33"/>
  <c r="AE36" i="33"/>
  <c r="R36" i="33"/>
  <c r="S36" i="33" s="1"/>
  <c r="Q36" i="33"/>
  <c r="P36" i="33"/>
  <c r="O36" i="33"/>
  <c r="M36" i="33"/>
  <c r="L36" i="33"/>
  <c r="AE35" i="33"/>
  <c r="R35" i="33"/>
  <c r="S35" i="33" s="1"/>
  <c r="Q35" i="33"/>
  <c r="P35" i="33"/>
  <c r="O35" i="33"/>
  <c r="M35" i="33"/>
  <c r="L35" i="33"/>
  <c r="AE34" i="33"/>
  <c r="R34" i="33"/>
  <c r="Q34" i="33"/>
  <c r="P34" i="33"/>
  <c r="O34" i="33"/>
  <c r="M34" i="33"/>
  <c r="L34" i="33"/>
  <c r="AE33" i="33"/>
  <c r="R33" i="33"/>
  <c r="S33" i="33" s="1"/>
  <c r="Q33" i="33"/>
  <c r="P33" i="33"/>
  <c r="O33" i="33"/>
  <c r="M33" i="33"/>
  <c r="L33" i="33"/>
  <c r="AE32" i="33"/>
  <c r="R32" i="33"/>
  <c r="S32" i="33" s="1"/>
  <c r="Q32" i="33"/>
  <c r="P32" i="33"/>
  <c r="O32" i="33"/>
  <c r="M32" i="33"/>
  <c r="L32" i="33"/>
  <c r="AE31" i="33"/>
  <c r="R31" i="33"/>
  <c r="S31" i="33" s="1"/>
  <c r="Q31" i="33"/>
  <c r="P31" i="33"/>
  <c r="O31" i="33"/>
  <c r="M31" i="33"/>
  <c r="L31" i="33"/>
  <c r="AE30" i="33"/>
  <c r="R30" i="33"/>
  <c r="S30" i="33" s="1"/>
  <c r="Q30" i="33"/>
  <c r="P30" i="33"/>
  <c r="O30" i="33"/>
  <c r="M30" i="33"/>
  <c r="L30" i="33"/>
  <c r="AE29" i="33"/>
  <c r="R29" i="33"/>
  <c r="S29" i="33" s="1"/>
  <c r="Q29" i="33"/>
  <c r="P29" i="33"/>
  <c r="O29" i="33"/>
  <c r="M29" i="33"/>
  <c r="L29" i="33"/>
  <c r="AE28" i="33"/>
  <c r="R28" i="33"/>
  <c r="S28" i="33" s="1"/>
  <c r="Q28" i="33"/>
  <c r="P28" i="33"/>
  <c r="O28" i="33"/>
  <c r="M28" i="33"/>
  <c r="L28" i="33"/>
  <c r="AE27" i="33"/>
  <c r="R27" i="33"/>
  <c r="S27" i="33" s="1"/>
  <c r="Q27" i="33"/>
  <c r="P27" i="33"/>
  <c r="O27" i="33"/>
  <c r="M27" i="33"/>
  <c r="L27" i="33"/>
  <c r="AE26" i="33"/>
  <c r="R26" i="33"/>
  <c r="S26" i="33" s="1"/>
  <c r="Q26" i="33"/>
  <c r="P26" i="33"/>
  <c r="O26" i="33"/>
  <c r="M26" i="33"/>
  <c r="L26" i="33"/>
  <c r="AE25" i="33"/>
  <c r="R25" i="33"/>
  <c r="S25" i="33" s="1"/>
  <c r="Q25" i="33"/>
  <c r="P25" i="33"/>
  <c r="O25" i="33"/>
  <c r="M25" i="33"/>
  <c r="L25" i="33"/>
  <c r="AE24" i="33"/>
  <c r="R24" i="33"/>
  <c r="S24" i="33" s="1"/>
  <c r="Q24" i="33"/>
  <c r="P24" i="33"/>
  <c r="O24" i="33"/>
  <c r="M24" i="33"/>
  <c r="L24" i="33"/>
  <c r="AE23" i="33"/>
  <c r="R23" i="33"/>
  <c r="S23" i="33" s="1"/>
  <c r="Q23" i="33"/>
  <c r="P23" i="33"/>
  <c r="O23" i="33"/>
  <c r="M23" i="33"/>
  <c r="L23" i="33"/>
  <c r="AE22" i="33"/>
  <c r="R22" i="33"/>
  <c r="S22" i="33" s="1"/>
  <c r="Q22" i="33"/>
  <c r="P22" i="33"/>
  <c r="O22" i="33"/>
  <c r="M22" i="33"/>
  <c r="L22" i="33"/>
  <c r="AE21" i="33"/>
  <c r="R21" i="33"/>
  <c r="Q21" i="33"/>
  <c r="P21" i="33"/>
  <c r="O21" i="33"/>
  <c r="M21" i="33"/>
  <c r="L21" i="33"/>
  <c r="AE20" i="33"/>
  <c r="R20" i="33"/>
  <c r="Q20" i="33"/>
  <c r="P20" i="33"/>
  <c r="O20" i="33"/>
  <c r="M20" i="33"/>
  <c r="L20" i="33"/>
  <c r="AE19" i="33"/>
  <c r="R19" i="33"/>
  <c r="S19" i="33" s="1"/>
  <c r="Q19" i="33"/>
  <c r="P19" i="33"/>
  <c r="O19" i="33"/>
  <c r="M19" i="33"/>
  <c r="L19" i="33"/>
  <c r="AE18" i="33"/>
  <c r="R18" i="33"/>
  <c r="S18" i="33" s="1"/>
  <c r="Q18" i="33"/>
  <c r="P18" i="33"/>
  <c r="O18" i="33"/>
  <c r="M18" i="33"/>
  <c r="L18" i="33"/>
  <c r="AE17" i="33"/>
  <c r="R17" i="33"/>
  <c r="Q17" i="33"/>
  <c r="P17" i="33"/>
  <c r="O17" i="33"/>
  <c r="M17" i="33"/>
  <c r="L17" i="33"/>
  <c r="AE16" i="33"/>
  <c r="R16" i="33"/>
  <c r="Q16" i="33"/>
  <c r="P16" i="33"/>
  <c r="O16" i="33"/>
  <c r="M16" i="33"/>
  <c r="L16" i="33"/>
  <c r="AE15" i="33"/>
  <c r="R15" i="33"/>
  <c r="Q15" i="33"/>
  <c r="P15" i="33"/>
  <c r="O15" i="33"/>
  <c r="M15" i="33"/>
  <c r="L15" i="33"/>
  <c r="AE14" i="33"/>
  <c r="R14" i="33"/>
  <c r="Q14" i="33"/>
  <c r="P14" i="33"/>
  <c r="O14" i="33"/>
  <c r="M14" i="33"/>
  <c r="L14" i="33"/>
  <c r="AE13" i="33"/>
  <c r="R13" i="33"/>
  <c r="S13" i="33" s="1"/>
  <c r="Q13" i="33"/>
  <c r="P13" i="33"/>
  <c r="O13" i="33"/>
  <c r="M13" i="33"/>
  <c r="L13" i="33"/>
  <c r="AE12" i="33"/>
  <c r="R12" i="33"/>
  <c r="S12" i="33" s="1"/>
  <c r="Q12" i="33"/>
  <c r="P12" i="33"/>
  <c r="O12" i="33"/>
  <c r="M12" i="33"/>
  <c r="L12" i="33"/>
  <c r="AE11" i="33"/>
  <c r="R11" i="33"/>
  <c r="S11" i="33" s="1"/>
  <c r="Q11" i="33"/>
  <c r="P11" i="33"/>
  <c r="O11" i="33"/>
  <c r="M11" i="33"/>
  <c r="L11" i="33"/>
  <c r="BR12" i="7"/>
  <c r="BR13" i="7"/>
  <c r="BR14" i="7"/>
  <c r="BR15" i="7"/>
  <c r="BR20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76" i="7"/>
  <c r="BR81" i="7"/>
  <c r="BR82" i="7"/>
  <c r="BR83" i="7"/>
  <c r="BR84" i="7"/>
  <c r="BR85" i="7"/>
  <c r="BR86" i="7"/>
  <c r="BR90" i="7"/>
  <c r="BR91" i="7"/>
  <c r="BR92" i="7"/>
  <c r="BR93" i="7"/>
  <c r="BR98" i="7"/>
  <c r="BR99" i="7"/>
  <c r="BR100" i="7"/>
  <c r="BR101" i="7"/>
  <c r="BR102" i="7"/>
  <c r="BR103" i="7"/>
  <c r="BR104" i="7"/>
  <c r="BR105" i="7"/>
  <c r="BR106" i="7"/>
  <c r="BR107" i="7"/>
  <c r="BR108" i="7"/>
  <c r="BR121" i="7"/>
  <c r="BR122" i="7"/>
  <c r="BR123" i="7"/>
  <c r="BR124" i="7"/>
  <c r="BR125" i="7"/>
  <c r="BR126" i="7"/>
  <c r="BR127" i="7"/>
  <c r="BR128" i="7"/>
  <c r="BR129" i="7"/>
  <c r="BR130" i="7"/>
  <c r="BR131" i="7"/>
  <c r="BR132" i="7"/>
  <c r="BR133" i="7"/>
  <c r="BR134" i="7"/>
  <c r="BR135" i="7"/>
  <c r="BR136" i="7"/>
  <c r="BR137" i="7"/>
  <c r="BR138" i="7"/>
  <c r="BR139" i="7"/>
  <c r="BR140" i="7"/>
  <c r="BR141" i="7"/>
  <c r="BR142" i="7"/>
  <c r="BR143" i="7"/>
  <c r="BR144" i="7"/>
  <c r="BR145" i="7"/>
  <c r="BR146" i="7"/>
  <c r="BR147" i="7"/>
  <c r="BR148" i="7"/>
  <c r="BR149" i="7"/>
  <c r="BR150" i="7"/>
  <c r="BR151" i="7"/>
  <c r="BR176" i="7"/>
  <c r="BR177" i="7"/>
  <c r="BR184" i="7"/>
  <c r="BR178" i="7"/>
  <c r="BR179" i="7"/>
  <c r="BR180" i="7"/>
  <c r="BR181" i="7"/>
  <c r="BR182" i="7"/>
  <c r="BR183" i="7"/>
  <c r="BR191" i="7"/>
  <c r="BR192" i="7"/>
  <c r="BR193" i="7"/>
  <c r="BR194" i="7"/>
  <c r="BR195" i="7"/>
  <c r="BR196" i="7"/>
  <c r="BR197" i="7"/>
  <c r="BR198" i="7"/>
  <c r="BR199" i="7"/>
  <c r="BR200" i="7"/>
  <c r="BR201" i="7"/>
  <c r="BR202" i="7"/>
  <c r="BR203" i="7"/>
  <c r="BR204" i="7"/>
  <c r="BR205" i="7"/>
  <c r="BR206" i="7"/>
  <c r="BR207" i="7"/>
  <c r="BR210" i="7"/>
  <c r="BR211" i="7"/>
  <c r="BR212" i="7"/>
  <c r="BR213" i="7"/>
  <c r="BR214" i="7"/>
  <c r="BR219" i="7"/>
  <c r="BR232" i="7"/>
  <c r="BR233" i="7"/>
  <c r="BR234" i="7"/>
  <c r="BR235" i="7"/>
  <c r="BR236" i="7"/>
  <c r="BR241" i="7"/>
  <c r="BR242" i="7"/>
  <c r="BR12" i="26"/>
  <c r="BR13" i="26"/>
  <c r="BR14" i="26"/>
  <c r="BR15" i="26"/>
  <c r="BR20" i="26"/>
  <c r="BR25" i="26"/>
  <c r="BR26" i="26"/>
  <c r="BR27" i="26"/>
  <c r="BR28" i="26"/>
  <c r="BR29" i="26"/>
  <c r="BR30" i="26"/>
  <c r="BR31" i="26"/>
  <c r="BR32" i="26"/>
  <c r="BR33" i="26"/>
  <c r="BR34" i="26"/>
  <c r="BR35" i="26"/>
  <c r="BR36" i="26"/>
  <c r="BR37" i="26"/>
  <c r="BR38" i="26"/>
  <c r="BR39" i="26"/>
  <c r="BR40" i="26"/>
  <c r="BR41" i="26"/>
  <c r="BR42" i="26"/>
  <c r="BR43" i="26"/>
  <c r="BR44" i="26"/>
  <c r="BR45" i="26"/>
  <c r="BR46" i="26"/>
  <c r="BR47" i="26"/>
  <c r="BR48" i="26"/>
  <c r="BR49" i="26"/>
  <c r="BR50" i="26"/>
  <c r="BR51" i="26"/>
  <c r="BR52" i="26"/>
  <c r="BR53" i="26"/>
  <c r="BR54" i="26"/>
  <c r="BR55" i="26"/>
  <c r="BR56" i="26"/>
  <c r="BR57" i="26"/>
  <c r="BR58" i="26"/>
  <c r="BR59" i="26"/>
  <c r="BR60" i="26"/>
  <c r="BR61" i="26"/>
  <c r="BR62" i="26"/>
  <c r="BR63" i="26"/>
  <c r="BR64" i="26"/>
  <c r="BR65" i="26"/>
  <c r="BR66" i="26"/>
  <c r="BR67" i="26"/>
  <c r="BR68" i="26"/>
  <c r="BR69" i="26"/>
  <c r="BR70" i="26"/>
  <c r="BR71" i="26"/>
  <c r="BR72" i="26"/>
  <c r="BR73" i="26"/>
  <c r="BR74" i="26"/>
  <c r="BR75" i="26"/>
  <c r="BR76" i="26"/>
  <c r="BR81" i="26"/>
  <c r="BR82" i="26"/>
  <c r="BR83" i="26"/>
  <c r="BR84" i="26"/>
  <c r="BR85" i="26"/>
  <c r="BR86" i="26"/>
  <c r="BR90" i="26"/>
  <c r="BR91" i="26"/>
  <c r="BR92" i="26"/>
  <c r="BR93" i="26"/>
  <c r="BR98" i="26"/>
  <c r="BR99" i="26"/>
  <c r="BR100" i="26"/>
  <c r="BR101" i="26"/>
  <c r="BR102" i="26"/>
  <c r="BR103" i="26"/>
  <c r="BR104" i="26"/>
  <c r="BR105" i="26"/>
  <c r="BR106" i="26"/>
  <c r="BR107" i="26"/>
  <c r="BR108" i="26"/>
  <c r="BR121" i="26"/>
  <c r="BR122" i="26"/>
  <c r="BR123" i="26"/>
  <c r="BR124" i="26"/>
  <c r="BR125" i="26"/>
  <c r="BR126" i="26"/>
  <c r="BR127" i="26"/>
  <c r="BR128" i="26"/>
  <c r="BR129" i="26"/>
  <c r="BR130" i="26"/>
  <c r="BR131" i="26"/>
  <c r="BR132" i="26"/>
  <c r="BR133" i="26"/>
  <c r="BR134" i="26"/>
  <c r="BR135" i="26"/>
  <c r="BR136" i="26"/>
  <c r="BR137" i="26"/>
  <c r="BR138" i="26"/>
  <c r="BR139" i="26"/>
  <c r="BR140" i="26"/>
  <c r="BR141" i="26"/>
  <c r="BR142" i="26"/>
  <c r="BR143" i="26"/>
  <c r="BR144" i="26"/>
  <c r="BR145" i="26"/>
  <c r="BR146" i="26"/>
  <c r="BR147" i="26"/>
  <c r="BR148" i="26"/>
  <c r="BR149" i="26"/>
  <c r="BR150" i="26"/>
  <c r="BR151" i="26"/>
  <c r="BR176" i="26"/>
  <c r="BR177" i="26"/>
  <c r="BR184" i="26"/>
  <c r="BR178" i="26"/>
  <c r="BR179" i="26"/>
  <c r="BR180" i="26"/>
  <c r="BR181" i="26"/>
  <c r="BR182" i="26"/>
  <c r="BR183" i="26"/>
  <c r="BR191" i="26"/>
  <c r="BR192" i="26"/>
  <c r="BR193" i="26"/>
  <c r="BR194" i="26"/>
  <c r="BR195" i="26"/>
  <c r="BR196" i="26"/>
  <c r="BR197" i="26"/>
  <c r="BR198" i="26"/>
  <c r="BR199" i="26"/>
  <c r="BR200" i="26"/>
  <c r="BR201" i="26"/>
  <c r="BR202" i="26"/>
  <c r="BR203" i="26"/>
  <c r="BR204" i="26"/>
  <c r="BR205" i="26"/>
  <c r="BR206" i="26"/>
  <c r="BR207" i="26"/>
  <c r="BR210" i="26"/>
  <c r="BR211" i="26"/>
  <c r="BR212" i="26"/>
  <c r="BR213" i="26"/>
  <c r="BR214" i="26"/>
  <c r="BR219" i="26"/>
  <c r="BR232" i="26"/>
  <c r="BR233" i="26"/>
  <c r="BR234" i="26"/>
  <c r="BR235" i="26"/>
  <c r="BR236" i="26"/>
  <c r="BR241" i="26"/>
  <c r="BR242" i="26"/>
  <c r="BR12" i="28"/>
  <c r="BR13" i="28"/>
  <c r="BR14" i="28"/>
  <c r="BR15" i="28"/>
  <c r="BR20" i="28"/>
  <c r="BR25" i="28"/>
  <c r="BR26" i="28"/>
  <c r="BR27" i="28"/>
  <c r="BR28" i="28"/>
  <c r="BR29" i="28"/>
  <c r="BR30" i="28"/>
  <c r="BR31" i="28"/>
  <c r="BR32" i="28"/>
  <c r="BR33" i="28"/>
  <c r="BR34" i="28"/>
  <c r="BR35" i="28"/>
  <c r="BR36" i="28"/>
  <c r="BR37" i="28"/>
  <c r="BR38" i="28"/>
  <c r="BR39" i="28"/>
  <c r="BR40" i="28"/>
  <c r="BR41" i="28"/>
  <c r="BR42" i="28"/>
  <c r="BR43" i="28"/>
  <c r="BR44" i="28"/>
  <c r="BR45" i="28"/>
  <c r="BR46" i="28"/>
  <c r="BR47" i="28"/>
  <c r="BR48" i="28"/>
  <c r="BR49" i="28"/>
  <c r="BR50" i="28"/>
  <c r="BR51" i="28"/>
  <c r="BR52" i="28"/>
  <c r="BR53" i="28"/>
  <c r="BR54" i="28"/>
  <c r="BR55" i="28"/>
  <c r="BR56" i="28"/>
  <c r="BR57" i="28"/>
  <c r="BR58" i="28"/>
  <c r="BR59" i="28"/>
  <c r="BR60" i="28"/>
  <c r="BR61" i="28"/>
  <c r="BR62" i="28"/>
  <c r="BR63" i="28"/>
  <c r="BR64" i="28"/>
  <c r="BR65" i="28"/>
  <c r="BR66" i="28"/>
  <c r="BR67" i="28"/>
  <c r="BR68" i="28"/>
  <c r="BR69" i="28"/>
  <c r="BR70" i="28"/>
  <c r="BR71" i="28"/>
  <c r="BR72" i="28"/>
  <c r="BR73" i="28"/>
  <c r="BR74" i="28"/>
  <c r="BR75" i="28"/>
  <c r="BR76" i="28"/>
  <c r="BR81" i="28"/>
  <c r="BR82" i="28"/>
  <c r="BR83" i="28"/>
  <c r="BR84" i="28"/>
  <c r="BR85" i="28"/>
  <c r="BR86" i="28"/>
  <c r="BR90" i="28"/>
  <c r="BR91" i="28"/>
  <c r="BR92" i="28"/>
  <c r="BR93" i="28"/>
  <c r="BR98" i="28"/>
  <c r="BR99" i="28"/>
  <c r="BR100" i="28"/>
  <c r="BR101" i="28"/>
  <c r="BR102" i="28"/>
  <c r="BR103" i="28"/>
  <c r="BR104" i="28"/>
  <c r="BR105" i="28"/>
  <c r="BR106" i="28"/>
  <c r="BR107" i="28"/>
  <c r="BR108" i="28"/>
  <c r="BR121" i="28"/>
  <c r="BR122" i="28"/>
  <c r="BR123" i="28"/>
  <c r="BR124" i="28"/>
  <c r="BR125" i="28"/>
  <c r="BR126" i="28"/>
  <c r="BR127" i="28"/>
  <c r="BR128" i="28"/>
  <c r="BR129" i="28"/>
  <c r="BR130" i="28"/>
  <c r="BR131" i="28"/>
  <c r="BR132" i="28"/>
  <c r="BR133" i="28"/>
  <c r="BR134" i="28"/>
  <c r="BR135" i="28"/>
  <c r="BR136" i="28"/>
  <c r="BR137" i="28"/>
  <c r="BR138" i="28"/>
  <c r="BR139" i="28"/>
  <c r="BR140" i="28"/>
  <c r="BR141" i="28"/>
  <c r="BR142" i="28"/>
  <c r="BR143" i="28"/>
  <c r="BR144" i="28"/>
  <c r="BR145" i="28"/>
  <c r="BR146" i="28"/>
  <c r="BR147" i="28"/>
  <c r="BR148" i="28"/>
  <c r="BR149" i="28"/>
  <c r="BR150" i="28"/>
  <c r="BR151" i="28"/>
  <c r="BR176" i="28"/>
  <c r="BR177" i="28"/>
  <c r="BR184" i="28"/>
  <c r="BR178" i="28"/>
  <c r="BR179" i="28"/>
  <c r="BR180" i="28"/>
  <c r="BR181" i="28"/>
  <c r="BR182" i="28"/>
  <c r="BR183" i="28"/>
  <c r="BR191" i="28"/>
  <c r="BR192" i="28"/>
  <c r="BR193" i="28"/>
  <c r="BR194" i="28"/>
  <c r="BR195" i="28"/>
  <c r="BR196" i="28"/>
  <c r="BR197" i="28"/>
  <c r="BR198" i="28"/>
  <c r="BR199" i="28"/>
  <c r="BR200" i="28"/>
  <c r="BR201" i="28"/>
  <c r="BR202" i="28"/>
  <c r="BR203" i="28"/>
  <c r="BR204" i="28"/>
  <c r="BR205" i="28"/>
  <c r="BR206" i="28"/>
  <c r="BR207" i="28"/>
  <c r="BR210" i="28"/>
  <c r="BR211" i="28"/>
  <c r="BR212" i="28"/>
  <c r="BR213" i="28"/>
  <c r="BR214" i="28"/>
  <c r="BR219" i="28"/>
  <c r="BR232" i="28"/>
  <c r="BR233" i="28"/>
  <c r="BR234" i="28"/>
  <c r="BR235" i="28"/>
  <c r="BR236" i="28"/>
  <c r="BR241" i="28"/>
  <c r="BR242" i="28"/>
  <c r="BR12" i="30"/>
  <c r="BR13" i="30"/>
  <c r="BR14" i="30"/>
  <c r="BR15" i="30"/>
  <c r="BR20" i="30"/>
  <c r="BR25" i="30"/>
  <c r="BR26" i="30"/>
  <c r="BR27" i="30"/>
  <c r="BR28" i="30"/>
  <c r="BR29" i="30"/>
  <c r="BR30" i="30"/>
  <c r="BR31" i="30"/>
  <c r="BR32" i="30"/>
  <c r="BR33" i="30"/>
  <c r="BR34" i="30"/>
  <c r="BR35" i="30"/>
  <c r="BR36" i="30"/>
  <c r="BR37" i="30"/>
  <c r="BR38" i="30"/>
  <c r="BR39" i="30"/>
  <c r="BR40" i="30"/>
  <c r="BR41" i="30"/>
  <c r="BR42" i="30"/>
  <c r="BR43" i="30"/>
  <c r="BR44" i="30"/>
  <c r="BR45" i="30"/>
  <c r="BR46" i="30"/>
  <c r="BR47" i="30"/>
  <c r="BR48" i="30"/>
  <c r="BR49" i="30"/>
  <c r="BR50" i="30"/>
  <c r="BR51" i="30"/>
  <c r="BR52" i="30"/>
  <c r="BR53" i="30"/>
  <c r="BR54" i="30"/>
  <c r="BR55" i="30"/>
  <c r="BR56" i="30"/>
  <c r="BR57" i="30"/>
  <c r="BR58" i="30"/>
  <c r="BR59" i="30"/>
  <c r="BR60" i="30"/>
  <c r="BR61" i="30"/>
  <c r="BR62" i="30"/>
  <c r="BR63" i="30"/>
  <c r="BR64" i="30"/>
  <c r="BR65" i="30"/>
  <c r="BR66" i="30"/>
  <c r="BR67" i="30"/>
  <c r="BR68" i="30"/>
  <c r="BR69" i="30"/>
  <c r="BR70" i="30"/>
  <c r="BR71" i="30"/>
  <c r="BR72" i="30"/>
  <c r="BR73" i="30"/>
  <c r="BR74" i="30"/>
  <c r="BR75" i="30"/>
  <c r="BR76" i="30"/>
  <c r="BR81" i="30"/>
  <c r="BR82" i="30"/>
  <c r="BR83" i="30"/>
  <c r="BR84" i="30"/>
  <c r="BR85" i="30"/>
  <c r="BR86" i="30"/>
  <c r="BR90" i="30"/>
  <c r="BR91" i="30"/>
  <c r="BR92" i="30"/>
  <c r="BR93" i="30"/>
  <c r="BR98" i="30"/>
  <c r="BR99" i="30"/>
  <c r="BR100" i="30"/>
  <c r="BR101" i="30"/>
  <c r="BR102" i="30"/>
  <c r="BR103" i="30"/>
  <c r="BR104" i="30"/>
  <c r="BR105" i="30"/>
  <c r="BR106" i="30"/>
  <c r="BR107" i="30"/>
  <c r="BR108" i="30"/>
  <c r="BR121" i="30"/>
  <c r="BR122" i="30"/>
  <c r="BR123" i="30"/>
  <c r="BR124" i="30"/>
  <c r="BR125" i="30"/>
  <c r="BR126" i="30"/>
  <c r="BR127" i="30"/>
  <c r="BR128" i="30"/>
  <c r="BR129" i="30"/>
  <c r="BR130" i="30"/>
  <c r="BR131" i="30"/>
  <c r="BR132" i="30"/>
  <c r="BR133" i="30"/>
  <c r="BR134" i="30"/>
  <c r="BR135" i="30"/>
  <c r="BR136" i="30"/>
  <c r="BR137" i="30"/>
  <c r="BR138" i="30"/>
  <c r="BR139" i="30"/>
  <c r="BR140" i="30"/>
  <c r="BR141" i="30"/>
  <c r="BR142" i="30"/>
  <c r="BR143" i="30"/>
  <c r="BR144" i="30"/>
  <c r="BR145" i="30"/>
  <c r="BR146" i="30"/>
  <c r="BR147" i="30"/>
  <c r="BR148" i="30"/>
  <c r="BR149" i="30"/>
  <c r="BR150" i="30"/>
  <c r="BR151" i="30"/>
  <c r="BR176" i="30"/>
  <c r="BR177" i="30"/>
  <c r="BR184" i="30"/>
  <c r="BR178" i="30"/>
  <c r="BR179" i="30"/>
  <c r="BR180" i="30"/>
  <c r="BR181" i="30"/>
  <c r="BR182" i="30"/>
  <c r="BR183" i="30"/>
  <c r="BR191" i="30"/>
  <c r="BR192" i="30"/>
  <c r="BR193" i="30"/>
  <c r="BR194" i="30"/>
  <c r="BR195" i="30"/>
  <c r="BR196" i="30"/>
  <c r="BR197" i="30"/>
  <c r="BR198" i="30"/>
  <c r="BR199" i="30"/>
  <c r="BR200" i="30"/>
  <c r="BR201" i="30"/>
  <c r="BR202" i="30"/>
  <c r="BR203" i="30"/>
  <c r="BR204" i="30"/>
  <c r="BR205" i="30"/>
  <c r="BR206" i="30"/>
  <c r="BR207" i="30"/>
  <c r="BR210" i="30"/>
  <c r="BR211" i="30"/>
  <c r="BR212" i="30"/>
  <c r="BR213" i="30"/>
  <c r="BR214" i="30"/>
  <c r="BR219" i="30"/>
  <c r="BR232" i="30"/>
  <c r="BR233" i="30"/>
  <c r="BR234" i="30"/>
  <c r="BR235" i="30"/>
  <c r="BR236" i="30"/>
  <c r="BR241" i="30"/>
  <c r="BR242" i="30"/>
  <c r="BR11" i="7"/>
  <c r="BR11" i="26"/>
  <c r="BR11" i="28"/>
  <c r="BR11" i="30"/>
  <c r="V14" i="33" l="1"/>
  <c r="X14" i="33" s="1"/>
  <c r="AB15" i="33"/>
  <c r="V15" i="33"/>
  <c r="X15" i="33" s="1"/>
  <c r="V13" i="33"/>
  <c r="X13" i="33" s="1"/>
  <c r="Y13" i="33" s="1"/>
  <c r="W13" i="33"/>
  <c r="W12" i="33"/>
  <c r="V12" i="33"/>
  <c r="V16" i="33"/>
  <c r="X16" i="33" s="1"/>
  <c r="V86" i="33"/>
  <c r="W86" i="33"/>
  <c r="S21" i="33"/>
  <c r="AC21" i="33" s="1"/>
  <c r="S87" i="33"/>
  <c r="AC87" i="33" s="1"/>
  <c r="S40" i="33"/>
  <c r="AC40" i="33" s="1"/>
  <c r="S64" i="33"/>
  <c r="AC64" i="33" s="1"/>
  <c r="S69" i="33"/>
  <c r="AC69" i="33" s="1"/>
  <c r="AA30" i="33"/>
  <c r="S47" i="33"/>
  <c r="AC47" i="33" s="1"/>
  <c r="S84" i="33"/>
  <c r="AC84" i="33" s="1"/>
  <c r="S20" i="33"/>
  <c r="AC20" i="33" s="1"/>
  <c r="S63" i="33"/>
  <c r="AC63" i="33" s="1"/>
  <c r="S94" i="33"/>
  <c r="AC94" i="33" s="1"/>
  <c r="S34" i="33"/>
  <c r="AC34" i="33" s="1"/>
  <c r="S75" i="33"/>
  <c r="AC75" i="33" s="1"/>
  <c r="S17" i="33"/>
  <c r="AC17" i="33" s="1"/>
  <c r="S41" i="33"/>
  <c r="AC41" i="33" s="1"/>
  <c r="S70" i="33"/>
  <c r="AC70" i="33" s="1"/>
  <c r="S83" i="33"/>
  <c r="AC83" i="33" s="1"/>
  <c r="AA38" i="33"/>
  <c r="S80" i="33"/>
  <c r="AC80" i="33" s="1"/>
  <c r="S93" i="33"/>
  <c r="AC93" i="33" s="1"/>
  <c r="AB14" i="33"/>
  <c r="W131" i="33"/>
  <c r="AB56" i="33"/>
  <c r="T97" i="33"/>
  <c r="U97" i="33" s="1"/>
  <c r="V43" i="33"/>
  <c r="AA88" i="33"/>
  <c r="V155" i="33"/>
  <c r="V125" i="33"/>
  <c r="W144" i="33"/>
  <c r="V117" i="33"/>
  <c r="V38" i="33"/>
  <c r="T154" i="33"/>
  <c r="U154" i="33" s="1"/>
  <c r="Z99" i="33"/>
  <c r="T132" i="33"/>
  <c r="U132" i="33" s="1"/>
  <c r="W145" i="33"/>
  <c r="W132" i="33"/>
  <c r="W24" i="33"/>
  <c r="W28" i="33"/>
  <c r="AB51" i="33"/>
  <c r="T138" i="33"/>
  <c r="U138" i="33" s="1"/>
  <c r="AB96" i="33"/>
  <c r="AA140" i="33"/>
  <c r="AB25" i="33"/>
  <c r="T44" i="33"/>
  <c r="U44" i="33" s="1"/>
  <c r="T107" i="33"/>
  <c r="U107" i="33" s="1"/>
  <c r="V154" i="33"/>
  <c r="Z121" i="33"/>
  <c r="AB35" i="33"/>
  <c r="W40" i="33"/>
  <c r="AB55" i="33"/>
  <c r="T105" i="33"/>
  <c r="U105" i="33" s="1"/>
  <c r="AB112" i="33"/>
  <c r="AB148" i="33"/>
  <c r="AB11" i="33"/>
  <c r="AB126" i="33"/>
  <c r="AB144" i="33"/>
  <c r="AB59" i="33"/>
  <c r="T131" i="33"/>
  <c r="U131" i="33" s="1"/>
  <c r="T51" i="33"/>
  <c r="U51" i="33" s="1"/>
  <c r="AB92" i="33"/>
  <c r="W97" i="33"/>
  <c r="T116" i="33"/>
  <c r="U116" i="33" s="1"/>
  <c r="W128" i="33"/>
  <c r="AB29" i="33"/>
  <c r="AB146" i="33"/>
  <c r="AB147" i="33"/>
  <c r="T135" i="33"/>
  <c r="U135" i="33" s="1"/>
  <c r="T151" i="33"/>
  <c r="U151" i="33" s="1"/>
  <c r="AB122" i="33"/>
  <c r="V150" i="33"/>
  <c r="Z85" i="33"/>
  <c r="AA46" i="33"/>
  <c r="V128" i="33"/>
  <c r="AC128" i="33" s="1"/>
  <c r="Z115" i="33"/>
  <c r="V152" i="33"/>
  <c r="X152" i="33" s="1"/>
  <c r="Y152" i="33" s="1"/>
  <c r="V127" i="33"/>
  <c r="V77" i="33"/>
  <c r="T111" i="33"/>
  <c r="U111" i="33" s="1"/>
  <c r="T128" i="33"/>
  <c r="U128" i="33" s="1"/>
  <c r="W56" i="33"/>
  <c r="Z101" i="33"/>
  <c r="Z113" i="33"/>
  <c r="T152" i="33"/>
  <c r="U152" i="33" s="1"/>
  <c r="AA153" i="33"/>
  <c r="Z157" i="33"/>
  <c r="Z108" i="33"/>
  <c r="T34" i="33"/>
  <c r="U34" i="33" s="1"/>
  <c r="AA24" i="33"/>
  <c r="T25" i="33"/>
  <c r="U25" i="33" s="1"/>
  <c r="V35" i="33"/>
  <c r="AA60" i="33"/>
  <c r="AA130" i="33"/>
  <c r="Z133" i="33"/>
  <c r="V134" i="33"/>
  <c r="T150" i="33"/>
  <c r="U150" i="33" s="1"/>
  <c r="T153" i="33"/>
  <c r="U153" i="33" s="1"/>
  <c r="AC24" i="33"/>
  <c r="V24" i="33"/>
  <c r="X24" i="33" s="1"/>
  <c r="W152" i="33"/>
  <c r="W43" i="33"/>
  <c r="V101" i="33"/>
  <c r="X101" i="33" s="1"/>
  <c r="Y101" i="33" s="1"/>
  <c r="W18" i="33"/>
  <c r="T77" i="33"/>
  <c r="U77" i="33" s="1"/>
  <c r="T148" i="33"/>
  <c r="U148" i="33" s="1"/>
  <c r="V50" i="33"/>
  <c r="T89" i="33"/>
  <c r="U89" i="33" s="1"/>
  <c r="V144" i="33"/>
  <c r="X144" i="33" s="1"/>
  <c r="Y144" i="33" s="1"/>
  <c r="V133" i="33"/>
  <c r="W135" i="33"/>
  <c r="AB19" i="33"/>
  <c r="AB27" i="33"/>
  <c r="AB32" i="33"/>
  <c r="AB61" i="33"/>
  <c r="AB80" i="33"/>
  <c r="AB102" i="33"/>
  <c r="AB13" i="33"/>
  <c r="AB37" i="33"/>
  <c r="T50" i="33"/>
  <c r="U50" i="33" s="1"/>
  <c r="AB53" i="33"/>
  <c r="AB68" i="33"/>
  <c r="AB73" i="33"/>
  <c r="AB76" i="33"/>
  <c r="T94" i="33"/>
  <c r="U94" i="33" s="1"/>
  <c r="AB114" i="33"/>
  <c r="W142" i="33"/>
  <c r="AB145" i="33"/>
  <c r="AB45" i="33"/>
  <c r="T58" i="33"/>
  <c r="U58" i="33" s="1"/>
  <c r="AB82" i="33"/>
  <c r="AB104" i="33"/>
  <c r="T79" i="33"/>
  <c r="U79" i="33" s="1"/>
  <c r="T101" i="33"/>
  <c r="U101" i="33" s="1"/>
  <c r="AB118" i="33"/>
  <c r="AB129" i="33"/>
  <c r="AB132" i="33"/>
  <c r="T144" i="33"/>
  <c r="U144" i="33" s="1"/>
  <c r="W148" i="33"/>
  <c r="AB65" i="33"/>
  <c r="AB31" i="33"/>
  <c r="AB12" i="33"/>
  <c r="T36" i="33"/>
  <c r="U36" i="33" s="1"/>
  <c r="AB44" i="33"/>
  <c r="AB49" i="33"/>
  <c r="AB52" i="33"/>
  <c r="AB67" i="33"/>
  <c r="AB75" i="33"/>
  <c r="AB128" i="33"/>
  <c r="V132" i="33"/>
  <c r="X132" i="33" s="1"/>
  <c r="AB136" i="33"/>
  <c r="AB106" i="33"/>
  <c r="AB28" i="33"/>
  <c r="AB33" i="33"/>
  <c r="V62" i="33"/>
  <c r="AB120" i="33"/>
  <c r="AB23" i="33"/>
  <c r="AB39" i="33"/>
  <c r="AB84" i="33"/>
  <c r="AB26" i="33"/>
  <c r="AB43" i="33"/>
  <c r="W54" i="33"/>
  <c r="V81" i="33"/>
  <c r="X81" i="33" s="1"/>
  <c r="W110" i="33"/>
  <c r="AB138" i="33"/>
  <c r="W143" i="33"/>
  <c r="V137" i="33"/>
  <c r="T31" i="33"/>
  <c r="U31" i="33" s="1"/>
  <c r="T40" i="33"/>
  <c r="U40" i="33" s="1"/>
  <c r="T118" i="33"/>
  <c r="U118" i="33" s="1"/>
  <c r="V143" i="33"/>
  <c r="T18" i="33"/>
  <c r="U18" i="33" s="1"/>
  <c r="T117" i="33"/>
  <c r="U117" i="33" s="1"/>
  <c r="T13" i="33"/>
  <c r="U13" i="33" s="1"/>
  <c r="T24" i="33"/>
  <c r="U24" i="33" s="1"/>
  <c r="V25" i="33"/>
  <c r="W35" i="33"/>
  <c r="V44" i="33"/>
  <c r="V53" i="33"/>
  <c r="Z89" i="33"/>
  <c r="Z97" i="33"/>
  <c r="AA100" i="33"/>
  <c r="Z111" i="33"/>
  <c r="AA124" i="33"/>
  <c r="W127" i="33"/>
  <c r="T134" i="33"/>
  <c r="U134" i="33" s="1"/>
  <c r="Z137" i="33"/>
  <c r="V138" i="33"/>
  <c r="X138" i="33" s="1"/>
  <c r="Y138" i="33" s="1"/>
  <c r="V94" i="33"/>
  <c r="V27" i="33"/>
  <c r="T68" i="33"/>
  <c r="U68" i="33" s="1"/>
  <c r="V46" i="33"/>
  <c r="V110" i="33"/>
  <c r="V116" i="33"/>
  <c r="W117" i="33"/>
  <c r="T11" i="33"/>
  <c r="U11" i="33" s="1"/>
  <c r="T30" i="33"/>
  <c r="U30" i="33" s="1"/>
  <c r="W36" i="33"/>
  <c r="V58" i="33"/>
  <c r="T67" i="33"/>
  <c r="U67" i="33" s="1"/>
  <c r="AA72" i="33"/>
  <c r="T85" i="33"/>
  <c r="U85" i="33" s="1"/>
  <c r="W116" i="33"/>
  <c r="T120" i="33"/>
  <c r="U120" i="33" s="1"/>
  <c r="Z125" i="33"/>
  <c r="T156" i="33"/>
  <c r="U156" i="33" s="1"/>
  <c r="W68" i="33"/>
  <c r="T59" i="33"/>
  <c r="U59" i="33" s="1"/>
  <c r="T65" i="33"/>
  <c r="U65" i="33" s="1"/>
  <c r="W89" i="33"/>
  <c r="V88" i="33"/>
  <c r="X88" i="33" s="1"/>
  <c r="Y88" i="33" s="1"/>
  <c r="V96" i="33"/>
  <c r="T26" i="33"/>
  <c r="U26" i="33" s="1"/>
  <c r="T29" i="33"/>
  <c r="U29" i="33" s="1"/>
  <c r="T54" i="33"/>
  <c r="U54" i="33" s="1"/>
  <c r="W82" i="33"/>
  <c r="Z95" i="33"/>
  <c r="V104" i="33"/>
  <c r="V115" i="33"/>
  <c r="X115" i="33" s="1"/>
  <c r="Y115" i="33" s="1"/>
  <c r="V120" i="33"/>
  <c r="X120" i="33" s="1"/>
  <c r="Y120" i="33" s="1"/>
  <c r="T126" i="33"/>
  <c r="U126" i="33" s="1"/>
  <c r="Z141" i="33"/>
  <c r="V156" i="33"/>
  <c r="T157" i="33"/>
  <c r="U157" i="33" s="1"/>
  <c r="AC97" i="33"/>
  <c r="W118" i="33"/>
  <c r="T12" i="33"/>
  <c r="U12" i="33" s="1"/>
  <c r="V18" i="33"/>
  <c r="V89" i="33"/>
  <c r="V131" i="33"/>
  <c r="X131" i="33" s="1"/>
  <c r="T62" i="33"/>
  <c r="U62" i="33" s="1"/>
  <c r="T76" i="33"/>
  <c r="U76" i="33" s="1"/>
  <c r="AC131" i="33"/>
  <c r="T110" i="33"/>
  <c r="U110" i="33" s="1"/>
  <c r="V29" i="33"/>
  <c r="V54" i="33"/>
  <c r="X54" i="33" s="1"/>
  <c r="Y54" i="33" s="1"/>
  <c r="Z119" i="33"/>
  <c r="W126" i="33"/>
  <c r="V157" i="33"/>
  <c r="W29" i="33"/>
  <c r="V66" i="33"/>
  <c r="Z149" i="33"/>
  <c r="AB21" i="33"/>
  <c r="AB71" i="33"/>
  <c r="W48" i="33"/>
  <c r="AB17" i="33"/>
  <c r="T22" i="33"/>
  <c r="U22" i="33" s="1"/>
  <c r="AB57" i="33"/>
  <c r="AB90" i="33"/>
  <c r="AB41" i="33"/>
  <c r="AB69" i="33"/>
  <c r="AB98" i="33"/>
  <c r="AB47" i="33"/>
  <c r="AB63" i="33"/>
  <c r="W103" i="33"/>
  <c r="T14" i="33"/>
  <c r="U14" i="33" s="1"/>
  <c r="W71" i="33"/>
  <c r="AB48" i="33"/>
  <c r="T73" i="33"/>
  <c r="U73" i="33" s="1"/>
  <c r="AA12" i="33"/>
  <c r="Z91" i="33"/>
  <c r="AA42" i="33"/>
  <c r="AA29" i="33"/>
  <c r="V71" i="33"/>
  <c r="W74" i="33"/>
  <c r="Z55" i="33"/>
  <c r="V98" i="33"/>
  <c r="AB22" i="33"/>
  <c r="AA35" i="33"/>
  <c r="Z20" i="33"/>
  <c r="AA74" i="33"/>
  <c r="Z151" i="33"/>
  <c r="AB18" i="33"/>
  <c r="Z31" i="33"/>
  <c r="Z44" i="33"/>
  <c r="AB60" i="33"/>
  <c r="AC12" i="33"/>
  <c r="AC31" i="33"/>
  <c r="AC36" i="33"/>
  <c r="AC68" i="33"/>
  <c r="AC135" i="33"/>
  <c r="AC148" i="33"/>
  <c r="AC151" i="33"/>
  <c r="Z152" i="33"/>
  <c r="V11" i="33"/>
  <c r="X11" i="33" s="1"/>
  <c r="Y11" i="33" s="1"/>
  <c r="V30" i="33"/>
  <c r="Z34" i="33"/>
  <c r="W44" i="33"/>
  <c r="Z53" i="33"/>
  <c r="V67" i="33"/>
  <c r="V85" i="33"/>
  <c r="W102" i="33"/>
  <c r="Z109" i="33"/>
  <c r="V111" i="33"/>
  <c r="AA116" i="33"/>
  <c r="W122" i="33"/>
  <c r="W11" i="33"/>
  <c r="W30" i="33"/>
  <c r="V31" i="33"/>
  <c r="X31" i="33" s="1"/>
  <c r="V36" i="33"/>
  <c r="T37" i="33"/>
  <c r="U37" i="33" s="1"/>
  <c r="T45" i="33"/>
  <c r="U45" i="33" s="1"/>
  <c r="AA50" i="33"/>
  <c r="AA53" i="33"/>
  <c r="AA58" i="33"/>
  <c r="Z62" i="33"/>
  <c r="AA66" i="33"/>
  <c r="W67" i="33"/>
  <c r="V68" i="33"/>
  <c r="X68" i="33" s="1"/>
  <c r="T72" i="33"/>
  <c r="U72" i="33" s="1"/>
  <c r="Z77" i="33"/>
  <c r="W85" i="33"/>
  <c r="V90" i="33"/>
  <c r="T102" i="33"/>
  <c r="U102" i="33" s="1"/>
  <c r="T106" i="33"/>
  <c r="U106" i="33" s="1"/>
  <c r="W111" i="33"/>
  <c r="T114" i="33"/>
  <c r="U114" i="33" s="1"/>
  <c r="Z117" i="33"/>
  <c r="T122" i="33"/>
  <c r="U122" i="33" s="1"/>
  <c r="V135" i="33"/>
  <c r="T136" i="33"/>
  <c r="U136" i="33" s="1"/>
  <c r="V148" i="33"/>
  <c r="X148" i="33" s="1"/>
  <c r="V151" i="33"/>
  <c r="X151" i="33" s="1"/>
  <c r="T19" i="33"/>
  <c r="U19" i="33" s="1"/>
  <c r="T23" i="33"/>
  <c r="U23" i="33" s="1"/>
  <c r="AA26" i="33"/>
  <c r="W31" i="33"/>
  <c r="T32" i="33"/>
  <c r="U32" i="33" s="1"/>
  <c r="Z35" i="33"/>
  <c r="V37" i="33"/>
  <c r="X37" i="33" s="1"/>
  <c r="Y37" i="33" s="1"/>
  <c r="T38" i="33"/>
  <c r="U38" i="33" s="1"/>
  <c r="V45" i="33"/>
  <c r="T46" i="33"/>
  <c r="U46" i="33" s="1"/>
  <c r="V72" i="33"/>
  <c r="Z78" i="33"/>
  <c r="T88" i="33"/>
  <c r="U88" i="33" s="1"/>
  <c r="W90" i="33"/>
  <c r="V105" i="33"/>
  <c r="V106" i="33"/>
  <c r="X106" i="33" s="1"/>
  <c r="Y106" i="33" s="1"/>
  <c r="V114" i="33"/>
  <c r="T115" i="33"/>
  <c r="U115" i="33" s="1"/>
  <c r="V136" i="33"/>
  <c r="X136" i="33" s="1"/>
  <c r="Y136" i="33" s="1"/>
  <c r="T137" i="33"/>
  <c r="U137" i="33" s="1"/>
  <c r="Z139" i="33"/>
  <c r="W151" i="33"/>
  <c r="V19" i="33"/>
  <c r="V23" i="33"/>
  <c r="V32" i="33"/>
  <c r="W37" i="33"/>
  <c r="W45" i="33"/>
  <c r="W72" i="33"/>
  <c r="W106" i="33"/>
  <c r="W114" i="33"/>
  <c r="W136" i="33"/>
  <c r="W19" i="33"/>
  <c r="W23" i="33"/>
  <c r="W32" i="33"/>
  <c r="W38" i="33"/>
  <c r="AA44" i="33"/>
  <c r="W46" i="33"/>
  <c r="Z81" i="33"/>
  <c r="Z87" i="33"/>
  <c r="W88" i="33"/>
  <c r="W115" i="33"/>
  <c r="AC118" i="33"/>
  <c r="W137" i="33"/>
  <c r="W101" i="33"/>
  <c r="Z131" i="33"/>
  <c r="W138" i="33"/>
  <c r="T139" i="33"/>
  <c r="U139" i="33" s="1"/>
  <c r="AA142" i="33"/>
  <c r="W25" i="33"/>
  <c r="V26" i="33"/>
  <c r="W50" i="33"/>
  <c r="V51" i="33"/>
  <c r="T52" i="33"/>
  <c r="U52" i="33" s="1"/>
  <c r="W58" i="33"/>
  <c r="V59" i="33"/>
  <c r="T60" i="33"/>
  <c r="U60" i="33" s="1"/>
  <c r="W62" i="33"/>
  <c r="V65" i="33"/>
  <c r="W70" i="33"/>
  <c r="V76" i="33"/>
  <c r="W77" i="33"/>
  <c r="Z83" i="33"/>
  <c r="T95" i="33"/>
  <c r="U95" i="33" s="1"/>
  <c r="T99" i="33"/>
  <c r="U99" i="33" s="1"/>
  <c r="V118" i="33"/>
  <c r="T119" i="33"/>
  <c r="U119" i="33" s="1"/>
  <c r="T124" i="33"/>
  <c r="U124" i="33" s="1"/>
  <c r="Z127" i="33"/>
  <c r="V139" i="33"/>
  <c r="T140" i="33"/>
  <c r="U140" i="33" s="1"/>
  <c r="Z143" i="33"/>
  <c r="W26" i="33"/>
  <c r="T27" i="33"/>
  <c r="U27" i="33" s="1"/>
  <c r="Z32" i="33"/>
  <c r="AA48" i="33"/>
  <c r="W51" i="33"/>
  <c r="V52" i="33"/>
  <c r="T53" i="33"/>
  <c r="U53" i="33" s="1"/>
  <c r="AA54" i="33"/>
  <c r="W59" i="33"/>
  <c r="V60" i="33"/>
  <c r="W64" i="33"/>
  <c r="W65" i="33"/>
  <c r="W76" i="33"/>
  <c r="T81" i="33"/>
  <c r="U81" i="33" s="1"/>
  <c r="V95" i="33"/>
  <c r="T96" i="33"/>
  <c r="U96" i="33" s="1"/>
  <c r="V99" i="33"/>
  <c r="X99" i="33" s="1"/>
  <c r="Y99" i="33" s="1"/>
  <c r="Z103" i="33"/>
  <c r="T104" i="33"/>
  <c r="U104" i="33" s="1"/>
  <c r="Z110" i="33"/>
  <c r="V119" i="33"/>
  <c r="Z123" i="33"/>
  <c r="V124" i="33"/>
  <c r="X124" i="33" s="1"/>
  <c r="Y124" i="33" s="1"/>
  <c r="T125" i="33"/>
  <c r="U125" i="33" s="1"/>
  <c r="T130" i="33"/>
  <c r="U130" i="33" s="1"/>
  <c r="W139" i="33"/>
  <c r="V140" i="33"/>
  <c r="T141" i="33"/>
  <c r="U141" i="33" s="1"/>
  <c r="T28" i="33"/>
  <c r="U28" i="33" s="1"/>
  <c r="W52" i="33"/>
  <c r="T56" i="33"/>
  <c r="U56" i="33" s="1"/>
  <c r="W60" i="33"/>
  <c r="T74" i="33"/>
  <c r="U74" i="33" s="1"/>
  <c r="T82" i="33"/>
  <c r="U82" i="33" s="1"/>
  <c r="W95" i="33"/>
  <c r="W99" i="33"/>
  <c r="W119" i="33"/>
  <c r="W124" i="33"/>
  <c r="V130" i="33"/>
  <c r="Z138" i="33"/>
  <c r="W140" i="33"/>
  <c r="V141" i="33"/>
  <c r="T142" i="33"/>
  <c r="U142" i="33" s="1"/>
  <c r="Z12" i="33"/>
  <c r="AA18" i="33"/>
  <c r="W21" i="33"/>
  <c r="W27" i="33"/>
  <c r="V28" i="33"/>
  <c r="X28" i="33" s="1"/>
  <c r="Y28" i="33" s="1"/>
  <c r="W34" i="33"/>
  <c r="T35" i="33"/>
  <c r="U35" i="33" s="1"/>
  <c r="AA36" i="33"/>
  <c r="T43" i="33"/>
  <c r="U43" i="33" s="1"/>
  <c r="V48" i="33"/>
  <c r="X48" i="33" s="1"/>
  <c r="Y48" i="33" s="1"/>
  <c r="W53" i="33"/>
  <c r="V56" i="33"/>
  <c r="V74" i="33"/>
  <c r="W81" i="33"/>
  <c r="V82" i="33"/>
  <c r="X82" i="33" s="1"/>
  <c r="Y82" i="33" s="1"/>
  <c r="AA86" i="33"/>
  <c r="W94" i="33"/>
  <c r="W96" i="33"/>
  <c r="V97" i="33"/>
  <c r="X97" i="33" s="1"/>
  <c r="W98" i="33"/>
  <c r="V103" i="33"/>
  <c r="X103" i="33" s="1"/>
  <c r="Y103" i="33" s="1"/>
  <c r="T112" i="33"/>
  <c r="U112" i="33" s="1"/>
  <c r="W120" i="33"/>
  <c r="T123" i="33"/>
  <c r="U123" i="33" s="1"/>
  <c r="W125" i="33"/>
  <c r="V126" i="33"/>
  <c r="X126" i="33" s="1"/>
  <c r="Y126" i="33" s="1"/>
  <c r="T127" i="33"/>
  <c r="U127" i="33" s="1"/>
  <c r="W130" i="33"/>
  <c r="Z135" i="33"/>
  <c r="W141" i="33"/>
  <c r="V142" i="33"/>
  <c r="T143" i="33"/>
  <c r="U143" i="33" s="1"/>
  <c r="AA151" i="33"/>
  <c r="AB153" i="33"/>
  <c r="Z26" i="33"/>
  <c r="AA32" i="33"/>
  <c r="Z67" i="33"/>
  <c r="AB151" i="33"/>
  <c r="AB38" i="33"/>
  <c r="Z11" i="33"/>
  <c r="Z136" i="33"/>
  <c r="AC13" i="33"/>
  <c r="Z70" i="33"/>
  <c r="Z14" i="33"/>
  <c r="AA14" i="33"/>
  <c r="AB46" i="33"/>
  <c r="AB16" i="33"/>
  <c r="AC35" i="33"/>
  <c r="AC62" i="33"/>
  <c r="Z69" i="33"/>
  <c r="AA73" i="33"/>
  <c r="Z29" i="33"/>
  <c r="AB72" i="33"/>
  <c r="AA152" i="33"/>
  <c r="Z154" i="33"/>
  <c r="AC152" i="33"/>
  <c r="AC153" i="33"/>
  <c r="V153" i="33"/>
  <c r="AB152" i="33"/>
  <c r="W153" i="33"/>
  <c r="AB156" i="33"/>
  <c r="Z153" i="33"/>
  <c r="T149" i="33"/>
  <c r="U149" i="33" s="1"/>
  <c r="V149" i="33"/>
  <c r="S149" i="33" s="1"/>
  <c r="Z150" i="33"/>
  <c r="AA150" i="33"/>
  <c r="AC141" i="33"/>
  <c r="AC139" i="33"/>
  <c r="AA136" i="33"/>
  <c r="AB130" i="33"/>
  <c r="AA121" i="33"/>
  <c r="AC136" i="33"/>
  <c r="Z145" i="33"/>
  <c r="AB140" i="33"/>
  <c r="V147" i="33"/>
  <c r="AA149" i="33"/>
  <c r="V129" i="33"/>
  <c r="X129" i="33" s="1"/>
  <c r="AB134" i="33"/>
  <c r="V146" i="33"/>
  <c r="T147" i="33"/>
  <c r="U147" i="33" s="1"/>
  <c r="AB149" i="33"/>
  <c r="AC142" i="33"/>
  <c r="W129" i="33"/>
  <c r="AB141" i="33"/>
  <c r="T145" i="33"/>
  <c r="U145" i="33" s="1"/>
  <c r="W146" i="33"/>
  <c r="AC138" i="33"/>
  <c r="V145" i="33"/>
  <c r="X145" i="33" s="1"/>
  <c r="Z129" i="33"/>
  <c r="Z148" i="33"/>
  <c r="AC137" i="33"/>
  <c r="AC143" i="33"/>
  <c r="AC144" i="33"/>
  <c r="AA137" i="33"/>
  <c r="Z134" i="33"/>
  <c r="AB143" i="33"/>
  <c r="AC122" i="33"/>
  <c r="Z140" i="33"/>
  <c r="AC124" i="33"/>
  <c r="AA143" i="33"/>
  <c r="Z147" i="33"/>
  <c r="V122" i="33"/>
  <c r="X122" i="33" s="1"/>
  <c r="AB121" i="33"/>
  <c r="V123" i="33"/>
  <c r="AC147" i="33"/>
  <c r="AA148" i="33"/>
  <c r="W123" i="33"/>
  <c r="AC126" i="33"/>
  <c r="AA138" i="33"/>
  <c r="AC140" i="33"/>
  <c r="AC127" i="33"/>
  <c r="AC130" i="33"/>
  <c r="W147" i="33"/>
  <c r="AA139" i="33"/>
  <c r="AB139" i="33"/>
  <c r="T146" i="33"/>
  <c r="U146" i="33" s="1"/>
  <c r="AB142" i="33"/>
  <c r="AA145" i="33"/>
  <c r="AA147" i="33"/>
  <c r="AB97" i="33"/>
  <c r="AC120" i="33"/>
  <c r="AB124" i="33"/>
  <c r="AB88" i="33"/>
  <c r="T103" i="33"/>
  <c r="U103" i="33" s="1"/>
  <c r="AA129" i="33"/>
  <c r="AC123" i="33"/>
  <c r="Z122" i="33"/>
  <c r="T90" i="33"/>
  <c r="U90" i="33" s="1"/>
  <c r="T98" i="33"/>
  <c r="U98" i="33" s="1"/>
  <c r="AA122" i="33"/>
  <c r="T129" i="33"/>
  <c r="U129" i="33" s="1"/>
  <c r="T78" i="33"/>
  <c r="U78" i="33" s="1"/>
  <c r="V112" i="33"/>
  <c r="X112" i="33" s="1"/>
  <c r="Y112" i="33" s="1"/>
  <c r="V78" i="33"/>
  <c r="AA97" i="33"/>
  <c r="AA105" i="33"/>
  <c r="W112" i="33"/>
  <c r="T113" i="33"/>
  <c r="U113" i="33" s="1"/>
  <c r="AC88" i="33"/>
  <c r="AC121" i="33"/>
  <c r="AA85" i="33"/>
  <c r="T91" i="33"/>
  <c r="U91" i="33" s="1"/>
  <c r="T121" i="33"/>
  <c r="U121" i="33" s="1"/>
  <c r="AC90" i="33"/>
  <c r="W113" i="33"/>
  <c r="AB85" i="33"/>
  <c r="V91" i="33"/>
  <c r="AC96" i="33"/>
  <c r="V121" i="33"/>
  <c r="X121" i="33" s="1"/>
  <c r="V113" i="33"/>
  <c r="X113" i="33" s="1"/>
  <c r="Y113" i="33" s="1"/>
  <c r="W91" i="33"/>
  <c r="AC110" i="33"/>
  <c r="W121" i="33"/>
  <c r="AB123" i="33"/>
  <c r="AA112" i="33"/>
  <c r="AC86" i="33"/>
  <c r="AC101" i="33"/>
  <c r="Z107" i="33"/>
  <c r="AC115" i="33"/>
  <c r="AC99" i="33"/>
  <c r="AB100" i="33"/>
  <c r="V107" i="33"/>
  <c r="T108" i="33"/>
  <c r="U108" i="33" s="1"/>
  <c r="T86" i="33"/>
  <c r="U86" i="33" s="1"/>
  <c r="W107" i="33"/>
  <c r="V108" i="33"/>
  <c r="X108" i="33" s="1"/>
  <c r="Y108" i="33" s="1"/>
  <c r="T109" i="33"/>
  <c r="U109" i="33" s="1"/>
  <c r="AC100" i="33"/>
  <c r="W108" i="33"/>
  <c r="V109" i="33"/>
  <c r="X109" i="33" s="1"/>
  <c r="Y109" i="33" s="1"/>
  <c r="AC77" i="33"/>
  <c r="AB105" i="33"/>
  <c r="W109" i="33"/>
  <c r="AB116" i="33"/>
  <c r="AA70" i="33"/>
  <c r="AB70" i="33"/>
  <c r="AA96" i="33"/>
  <c r="AA108" i="33"/>
  <c r="Z16" i="33"/>
  <c r="Z17" i="33"/>
  <c r="AA20" i="33"/>
  <c r="AB30" i="33"/>
  <c r="AB34" i="33"/>
  <c r="AB50" i="33"/>
  <c r="AC56" i="33"/>
  <c r="V73" i="33"/>
  <c r="X73" i="33" s="1"/>
  <c r="W104" i="33"/>
  <c r="AB108" i="33"/>
  <c r="V17" i="33"/>
  <c r="Z47" i="33"/>
  <c r="Z50" i="33"/>
  <c r="AC73" i="33"/>
  <c r="AC117" i="33"/>
  <c r="W17" i="33"/>
  <c r="AA47" i="33"/>
  <c r="AA16" i="33"/>
  <c r="AA17" i="33"/>
  <c r="AB20" i="33"/>
  <c r="Z25" i="33"/>
  <c r="AC43" i="33"/>
  <c r="W73" i="33"/>
  <c r="W105" i="33"/>
  <c r="AC55" i="33"/>
  <c r="T57" i="33"/>
  <c r="U57" i="33" s="1"/>
  <c r="AC44" i="33"/>
  <c r="W57" i="33"/>
  <c r="Z73" i="33"/>
  <c r="AC108" i="33"/>
  <c r="AB42" i="33"/>
  <c r="T83" i="33"/>
  <c r="U83" i="33" s="1"/>
  <c r="Z118" i="33"/>
  <c r="W22" i="33"/>
  <c r="Z56" i="33"/>
  <c r="AB62" i="33"/>
  <c r="Z68" i="33"/>
  <c r="T70" i="33"/>
  <c r="U70" i="33" s="1"/>
  <c r="Z82" i="33"/>
  <c r="V83" i="33"/>
  <c r="X83" i="33" s="1"/>
  <c r="Z84" i="33"/>
  <c r="AA98" i="33"/>
  <c r="AA111" i="33"/>
  <c r="AC114" i="33"/>
  <c r="AA118" i="33"/>
  <c r="V22" i="33"/>
  <c r="T84" i="33"/>
  <c r="U84" i="33" s="1"/>
  <c r="Z22" i="33"/>
  <c r="AC25" i="33"/>
  <c r="Z38" i="33"/>
  <c r="Z43" i="33"/>
  <c r="AB54" i="33"/>
  <c r="AA56" i="33"/>
  <c r="AA59" i="33"/>
  <c r="AA68" i="33"/>
  <c r="V69" i="33"/>
  <c r="V70" i="33"/>
  <c r="AA82" i="33"/>
  <c r="W83" i="33"/>
  <c r="AA84" i="33"/>
  <c r="AB87" i="33"/>
  <c r="AB111" i="33"/>
  <c r="AC116" i="33"/>
  <c r="AC85" i="33"/>
  <c r="AA62" i="33"/>
  <c r="AB74" i="33"/>
  <c r="Z98" i="33"/>
  <c r="AC113" i="33"/>
  <c r="AA22" i="33"/>
  <c r="T48" i="33"/>
  <c r="U48" i="33" s="1"/>
  <c r="Z49" i="33"/>
  <c r="W69" i="33"/>
  <c r="T71" i="33"/>
  <c r="U71" i="33" s="1"/>
  <c r="Z105" i="33"/>
  <c r="AA107" i="33"/>
  <c r="AC109" i="33"/>
  <c r="Z64" i="33"/>
  <c r="AC11" i="33"/>
  <c r="T20" i="33"/>
  <c r="U20" i="33" s="1"/>
  <c r="AC29" i="33"/>
  <c r="AC38" i="33"/>
  <c r="V41" i="33"/>
  <c r="AB64" i="33"/>
  <c r="Z65" i="33"/>
  <c r="T80" i="33"/>
  <c r="U80" i="33" s="1"/>
  <c r="T87" i="33"/>
  <c r="U87" i="33" s="1"/>
  <c r="Z94" i="33"/>
  <c r="AC71" i="33"/>
  <c r="AC89" i="33"/>
  <c r="AC23" i="33"/>
  <c r="AC65" i="33"/>
  <c r="T15" i="33"/>
  <c r="U15" i="33" s="1"/>
  <c r="AC45" i="33"/>
  <c r="V57" i="33"/>
  <c r="AC119" i="33"/>
  <c r="AC33" i="33"/>
  <c r="T41" i="33"/>
  <c r="U41" i="33" s="1"/>
  <c r="AC59" i="33"/>
  <c r="AA94" i="33"/>
  <c r="AA15" i="33"/>
  <c r="W20" i="33"/>
  <c r="Z23" i="33"/>
  <c r="Z28" i="33"/>
  <c r="AB36" i="33"/>
  <c r="AB40" i="33"/>
  <c r="T42" i="33"/>
  <c r="U42" i="33" s="1"/>
  <c r="Z58" i="33"/>
  <c r="AA75" i="33"/>
  <c r="Z76" i="33"/>
  <c r="W79" i="33"/>
  <c r="V80" i="33"/>
  <c r="X80" i="33" s="1"/>
  <c r="Z86" i="33"/>
  <c r="V87" i="33"/>
  <c r="AB94" i="33"/>
  <c r="T100" i="33"/>
  <c r="U100" i="33" s="1"/>
  <c r="AC111" i="33"/>
  <c r="AC49" i="33"/>
  <c r="AC57" i="33"/>
  <c r="AA65" i="33"/>
  <c r="AC92" i="33"/>
  <c r="AC103" i="33"/>
  <c r="Z40" i="33"/>
  <c r="T16" i="33"/>
  <c r="U16" i="33" s="1"/>
  <c r="Z19" i="33"/>
  <c r="AA23" i="33"/>
  <c r="AC26" i="33"/>
  <c r="AA28" i="33"/>
  <c r="V42" i="33"/>
  <c r="X42" i="33" s="1"/>
  <c r="Y42" i="33" s="1"/>
  <c r="T47" i="33"/>
  <c r="U47" i="33" s="1"/>
  <c r="Z52" i="33"/>
  <c r="AB58" i="33"/>
  <c r="AA76" i="33"/>
  <c r="W80" i="33"/>
  <c r="AB86" i="33"/>
  <c r="W87" i="33"/>
  <c r="AC32" i="33"/>
  <c r="AC19" i="33"/>
  <c r="AC76" i="33"/>
  <c r="AC95" i="33"/>
  <c r="W41" i="33"/>
  <c r="T21" i="33"/>
  <c r="U21" i="33" s="1"/>
  <c r="Z37" i="33"/>
  <c r="AC39" i="33"/>
  <c r="Z41" i="33"/>
  <c r="W42" i="33"/>
  <c r="Z46" i="33"/>
  <c r="V47" i="33"/>
  <c r="AC50" i="33"/>
  <c r="AA52" i="33"/>
  <c r="AC61" i="33"/>
  <c r="AC67" i="33"/>
  <c r="AB99" i="33"/>
  <c r="V100" i="33"/>
  <c r="X100" i="33" s="1"/>
  <c r="Y100" i="33" s="1"/>
  <c r="AC102" i="33"/>
  <c r="AC51" i="33"/>
  <c r="AB66" i="33"/>
  <c r="V102" i="33"/>
  <c r="X102" i="33" s="1"/>
  <c r="AC37" i="33"/>
  <c r="Z15" i="33"/>
  <c r="V20" i="33"/>
  <c r="T17" i="33"/>
  <c r="U17" i="33" s="1"/>
  <c r="V21" i="33"/>
  <c r="AB24" i="33"/>
  <c r="AA41" i="33"/>
  <c r="W47" i="33"/>
  <c r="Z59" i="33"/>
  <c r="Z61" i="33"/>
  <c r="T69" i="33"/>
  <c r="U69" i="33" s="1"/>
  <c r="Z72" i="33"/>
  <c r="AC91" i="33"/>
  <c r="Z96" i="33"/>
  <c r="AC98" i="33"/>
  <c r="W100" i="33"/>
  <c r="AC112" i="33"/>
  <c r="Z120" i="33"/>
  <c r="AC79" i="33"/>
  <c r="AA11" i="33"/>
  <c r="AA19" i="33"/>
  <c r="AA25" i="33"/>
  <c r="AC30" i="33"/>
  <c r="AA31" i="33"/>
  <c r="AA34" i="33"/>
  <c r="AA37" i="33"/>
  <c r="AA40" i="33"/>
  <c r="AC42" i="33"/>
  <c r="AA43" i="33"/>
  <c r="AC48" i="33"/>
  <c r="AA49" i="33"/>
  <c r="AC54" i="33"/>
  <c r="AA55" i="33"/>
  <c r="AC60" i="33"/>
  <c r="AA61" i="33"/>
  <c r="AA64" i="33"/>
  <c r="AC66" i="33"/>
  <c r="AA67" i="33"/>
  <c r="AA69" i="33"/>
  <c r="AC74" i="33"/>
  <c r="AA78" i="33"/>
  <c r="V79" i="33"/>
  <c r="X79" i="33" s="1"/>
  <c r="T92" i="33"/>
  <c r="U92" i="33" s="1"/>
  <c r="AC106" i="33"/>
  <c r="AB107" i="33"/>
  <c r="AA110" i="33"/>
  <c r="AA120" i="33"/>
  <c r="T66" i="33"/>
  <c r="U66" i="33" s="1"/>
  <c r="T33" i="33"/>
  <c r="U33" i="33" s="1"/>
  <c r="T39" i="33"/>
  <c r="U39" i="33" s="1"/>
  <c r="T63" i="33"/>
  <c r="U63" i="33" s="1"/>
  <c r="Z75" i="33"/>
  <c r="V92" i="33"/>
  <c r="Z93" i="33"/>
  <c r="V39" i="33"/>
  <c r="AC22" i="33"/>
  <c r="AC28" i="33"/>
  <c r="W33" i="33"/>
  <c r="W39" i="33"/>
  <c r="AC46" i="33"/>
  <c r="AC52" i="33"/>
  <c r="AC58" i="33"/>
  <c r="W63" i="33"/>
  <c r="W66" i="33"/>
  <c r="AC72" i="33"/>
  <c r="AC107" i="33"/>
  <c r="T64" i="33"/>
  <c r="U64" i="33" s="1"/>
  <c r="T75" i="33"/>
  <c r="U75" i="33" s="1"/>
  <c r="AA83" i="33"/>
  <c r="V84" i="33"/>
  <c r="T93" i="33"/>
  <c r="U93" i="33" s="1"/>
  <c r="AA95" i="33"/>
  <c r="V63" i="33"/>
  <c r="T49" i="33"/>
  <c r="U49" i="33" s="1"/>
  <c r="T55" i="33"/>
  <c r="U55" i="33" s="1"/>
  <c r="T61" i="33"/>
  <c r="U61" i="33" s="1"/>
  <c r="Z80" i="33"/>
  <c r="AC82" i="33"/>
  <c r="AB83" i="33"/>
  <c r="W84" i="33"/>
  <c r="Z92" i="33"/>
  <c r="AB95" i="33"/>
  <c r="W92" i="33"/>
  <c r="Z13" i="33"/>
  <c r="Z18" i="33"/>
  <c r="Z21" i="33"/>
  <c r="Z24" i="33"/>
  <c r="Z27" i="33"/>
  <c r="Z30" i="33"/>
  <c r="Z33" i="33"/>
  <c r="V34" i="33"/>
  <c r="X34" i="33" s="1"/>
  <c r="Z36" i="33"/>
  <c r="Z39" i="33"/>
  <c r="V40" i="33"/>
  <c r="X40" i="33" s="1"/>
  <c r="Z42" i="33"/>
  <c r="Z45" i="33"/>
  <c r="Z48" i="33"/>
  <c r="V49" i="33"/>
  <c r="Z51" i="33"/>
  <c r="Z54" i="33"/>
  <c r="V55" i="33"/>
  <c r="Z57" i="33"/>
  <c r="Z60" i="33"/>
  <c r="V61" i="33"/>
  <c r="X61" i="33" s="1"/>
  <c r="Y61" i="33" s="1"/>
  <c r="Z63" i="33"/>
  <c r="V64" i="33"/>
  <c r="Z66" i="33"/>
  <c r="Z71" i="33"/>
  <c r="Z74" i="33"/>
  <c r="V75" i="33"/>
  <c r="AA77" i="33"/>
  <c r="AA80" i="33"/>
  <c r="AA92" i="33"/>
  <c r="V93" i="33"/>
  <c r="AC104" i="33"/>
  <c r="Z106" i="33"/>
  <c r="AA109" i="33"/>
  <c r="Z116" i="33"/>
  <c r="AA119" i="33"/>
  <c r="V33" i="33"/>
  <c r="X33" i="33" s="1"/>
  <c r="Y33" i="33" s="1"/>
  <c r="AA13" i="33"/>
  <c r="AA21" i="33"/>
  <c r="AA27" i="33"/>
  <c r="AA33" i="33"/>
  <c r="AA39" i="33"/>
  <c r="AA45" i="33"/>
  <c r="W49" i="33"/>
  <c r="AA51" i="33"/>
  <c r="W55" i="33"/>
  <c r="AA57" i="33"/>
  <c r="W61" i="33"/>
  <c r="AA63" i="33"/>
  <c r="AA71" i="33"/>
  <c r="W75" i="33"/>
  <c r="AB77" i="33"/>
  <c r="Z79" i="33"/>
  <c r="W93" i="33"/>
  <c r="AA106" i="33"/>
  <c r="AB109" i="33"/>
  <c r="AB119" i="33"/>
  <c r="AA155" i="33"/>
  <c r="AB155" i="33"/>
  <c r="Z155" i="33"/>
  <c r="AB78" i="33"/>
  <c r="AB110" i="33"/>
  <c r="AA81" i="33"/>
  <c r="AA93" i="33"/>
  <c r="Z104" i="33"/>
  <c r="AA117" i="33"/>
  <c r="Z128" i="33"/>
  <c r="AA135" i="33"/>
  <c r="AB137" i="33"/>
  <c r="Z146" i="33"/>
  <c r="AA79" i="33"/>
  <c r="AB81" i="33"/>
  <c r="AA91" i="33"/>
  <c r="AB93" i="33"/>
  <c r="Z102" i="33"/>
  <c r="AA104" i="33"/>
  <c r="AA115" i="33"/>
  <c r="AB117" i="33"/>
  <c r="Z126" i="33"/>
  <c r="AA128" i="33"/>
  <c r="AA133" i="33"/>
  <c r="AB135" i="33"/>
  <c r="Z144" i="33"/>
  <c r="AA146" i="33"/>
  <c r="AB79" i="33"/>
  <c r="Z88" i="33"/>
  <c r="AB91" i="33"/>
  <c r="Z100" i="33"/>
  <c r="AA102" i="33"/>
  <c r="AA113" i="33"/>
  <c r="AB115" i="33"/>
  <c r="Z124" i="33"/>
  <c r="AA126" i="33"/>
  <c r="AA131" i="33"/>
  <c r="AB133" i="33"/>
  <c r="Z142" i="33"/>
  <c r="AA144" i="33"/>
  <c r="AB113" i="33"/>
  <c r="AB131" i="33"/>
  <c r="AA157" i="33"/>
  <c r="AB157" i="33"/>
  <c r="Z90" i="33"/>
  <c r="AA103" i="33"/>
  <c r="Z114" i="33"/>
  <c r="AA127" i="33"/>
  <c r="Z132" i="33"/>
  <c r="AA89" i="33"/>
  <c r="AA90" i="33"/>
  <c r="AA101" i="33"/>
  <c r="AB103" i="33"/>
  <c r="Z112" i="33"/>
  <c r="AA114" i="33"/>
  <c r="AA125" i="33"/>
  <c r="AB127" i="33"/>
  <c r="Z130" i="33"/>
  <c r="AA132" i="33"/>
  <c r="AA87" i="33"/>
  <c r="AB89" i="33"/>
  <c r="AA99" i="33"/>
  <c r="AB101" i="33"/>
  <c r="AA123" i="33"/>
  <c r="AB125" i="33"/>
  <c r="AA141" i="33"/>
  <c r="Z156" i="33"/>
  <c r="AA154" i="33"/>
  <c r="BO12" i="30"/>
  <c r="BO13" i="30"/>
  <c r="Y40" i="33" l="1"/>
  <c r="X43" i="33"/>
  <c r="Y43" i="33" s="1"/>
  <c r="X57" i="33"/>
  <c r="Y57" i="33" s="1"/>
  <c r="X65" i="33"/>
  <c r="Y65" i="33" s="1"/>
  <c r="X18" i="33"/>
  <c r="Y18" i="33" s="1"/>
  <c r="X63" i="33"/>
  <c r="Y63" i="33" s="1"/>
  <c r="X27" i="33"/>
  <c r="Y27" i="33" s="1"/>
  <c r="X67" i="33"/>
  <c r="Y67" i="33" s="1"/>
  <c r="X75" i="33"/>
  <c r="Y75" i="33" s="1"/>
  <c r="X70" i="33"/>
  <c r="Y70" i="33" s="1"/>
  <c r="X96" i="33"/>
  <c r="Y96" i="33" s="1"/>
  <c r="X69" i="33"/>
  <c r="Y69" i="33" s="1"/>
  <c r="X55" i="33"/>
  <c r="Y55" i="33" s="1"/>
  <c r="X92" i="33"/>
  <c r="Y92" i="33" s="1"/>
  <c r="X87" i="33"/>
  <c r="Y87" i="33" s="1"/>
  <c r="X91" i="33"/>
  <c r="Y91" i="33" s="1"/>
  <c r="X146" i="33"/>
  <c r="Y146" i="33" s="1"/>
  <c r="X60" i="33"/>
  <c r="Y60" i="33" s="1"/>
  <c r="X59" i="33"/>
  <c r="Y59" i="33" s="1"/>
  <c r="X114" i="33"/>
  <c r="Y114" i="33" s="1"/>
  <c r="X45" i="33"/>
  <c r="Y45" i="33" s="1"/>
  <c r="X36" i="33"/>
  <c r="Y36" i="33" s="1"/>
  <c r="X111" i="33"/>
  <c r="Y111" i="33" s="1"/>
  <c r="X30" i="33"/>
  <c r="Y30" i="33" s="1"/>
  <c r="X71" i="33"/>
  <c r="Y71" i="33" s="1"/>
  <c r="X29" i="33"/>
  <c r="Y29" i="33" s="1"/>
  <c r="X94" i="33"/>
  <c r="Y94" i="33" s="1"/>
  <c r="X50" i="33"/>
  <c r="Y50" i="33" s="1"/>
  <c r="X127" i="33"/>
  <c r="Y127" i="33" s="1"/>
  <c r="X117" i="33"/>
  <c r="Y117" i="33" s="1"/>
  <c r="X47" i="33"/>
  <c r="Y47" i="33" s="1"/>
  <c r="X12" i="33"/>
  <c r="Y12" i="33" s="1"/>
  <c r="X105" i="33"/>
  <c r="Y105" i="33" s="1"/>
  <c r="X66" i="33"/>
  <c r="Y66" i="33" s="1"/>
  <c r="X53" i="33"/>
  <c r="Y53" i="33" s="1"/>
  <c r="X143" i="33"/>
  <c r="Y143" i="33" s="1"/>
  <c r="X64" i="33"/>
  <c r="Y64" i="33" s="1"/>
  <c r="X49" i="33"/>
  <c r="Y49" i="33" s="1"/>
  <c r="X84" i="33"/>
  <c r="Y84" i="33" s="1"/>
  <c r="X22" i="33"/>
  <c r="Y22" i="33" s="1"/>
  <c r="X123" i="33"/>
  <c r="Y123" i="33" s="1"/>
  <c r="X153" i="33"/>
  <c r="Y153" i="33" s="1"/>
  <c r="X142" i="33"/>
  <c r="Y142" i="33" s="1"/>
  <c r="X141" i="33"/>
  <c r="Y141" i="33" s="1"/>
  <c r="X95" i="33"/>
  <c r="Y95" i="33" s="1"/>
  <c r="X76" i="33"/>
  <c r="Y76" i="33" s="1"/>
  <c r="X51" i="33"/>
  <c r="Y51" i="33" s="1"/>
  <c r="X90" i="33"/>
  <c r="Y90" i="33" s="1"/>
  <c r="X85" i="33"/>
  <c r="Y85" i="33" s="1"/>
  <c r="X104" i="33"/>
  <c r="Y104" i="33" s="1"/>
  <c r="X116" i="33"/>
  <c r="Y116" i="33" s="1"/>
  <c r="X44" i="33"/>
  <c r="Y44" i="33" s="1"/>
  <c r="X62" i="33"/>
  <c r="Y62" i="33" s="1"/>
  <c r="X21" i="33"/>
  <c r="Y21" i="33" s="1"/>
  <c r="X41" i="33"/>
  <c r="Y41" i="33" s="1"/>
  <c r="X17" i="33"/>
  <c r="Y17" i="33" s="1"/>
  <c r="X52" i="33"/>
  <c r="Y52" i="33" s="1"/>
  <c r="X32" i="33"/>
  <c r="Y32" i="33" s="1"/>
  <c r="X135" i="33"/>
  <c r="Y135" i="33" s="1"/>
  <c r="X110" i="33"/>
  <c r="Y110" i="33" s="1"/>
  <c r="X38" i="33"/>
  <c r="Y38" i="33" s="1"/>
  <c r="X39" i="33"/>
  <c r="Y39" i="33" s="1"/>
  <c r="X147" i="33"/>
  <c r="Y147" i="33" s="1"/>
  <c r="X74" i="33"/>
  <c r="Y74" i="33" s="1"/>
  <c r="X140" i="33"/>
  <c r="Y140" i="33" s="1"/>
  <c r="X119" i="33"/>
  <c r="Y119" i="33" s="1"/>
  <c r="X23" i="33"/>
  <c r="Y23" i="33" s="1"/>
  <c r="X98" i="33"/>
  <c r="Y98" i="33" s="1"/>
  <c r="X46" i="33"/>
  <c r="Y46" i="33" s="1"/>
  <c r="X25" i="33"/>
  <c r="Y25" i="33" s="1"/>
  <c r="X93" i="33"/>
  <c r="Y93" i="33" s="1"/>
  <c r="X20" i="33"/>
  <c r="Y20" i="33" s="1"/>
  <c r="X107" i="33"/>
  <c r="Y107" i="33" s="1"/>
  <c r="X130" i="33"/>
  <c r="Y130" i="33" s="1"/>
  <c r="X139" i="33"/>
  <c r="Y139" i="33" s="1"/>
  <c r="X118" i="33"/>
  <c r="Y118" i="33" s="1"/>
  <c r="X19" i="33"/>
  <c r="Y19" i="33" s="1"/>
  <c r="X72" i="33"/>
  <c r="Y72" i="33" s="1"/>
  <c r="X89" i="33"/>
  <c r="Y89" i="33" s="1"/>
  <c r="X58" i="33"/>
  <c r="Y58" i="33" s="1"/>
  <c r="X137" i="33"/>
  <c r="Y137" i="33" s="1"/>
  <c r="X35" i="33"/>
  <c r="Y35" i="33" s="1"/>
  <c r="X77" i="33"/>
  <c r="Y77" i="33" s="1"/>
  <c r="X125" i="33"/>
  <c r="Y125" i="33" s="1"/>
  <c r="Y80" i="33"/>
  <c r="Y34" i="33"/>
  <c r="X86" i="33"/>
  <c r="Y86" i="33" s="1"/>
  <c r="Y83" i="33"/>
  <c r="X26" i="33"/>
  <c r="Y26" i="33" s="1"/>
  <c r="X155" i="33"/>
  <c r="S155" i="33"/>
  <c r="AC155" i="33" s="1"/>
  <c r="S157" i="33"/>
  <c r="AC157" i="33" s="1"/>
  <c r="S15" i="33"/>
  <c r="AC15" i="33" s="1"/>
  <c r="S78" i="33"/>
  <c r="AC78" i="33" s="1"/>
  <c r="X150" i="33"/>
  <c r="S150" i="33"/>
  <c r="AC150" i="33" s="1"/>
  <c r="S16" i="33"/>
  <c r="AC16" i="33" s="1"/>
  <c r="S156" i="33"/>
  <c r="AC156" i="33" s="1"/>
  <c r="X154" i="33"/>
  <c r="S154" i="33"/>
  <c r="AC154" i="33" s="1"/>
  <c r="S14" i="33"/>
  <c r="AC14" i="33" s="1"/>
  <c r="X56" i="33"/>
  <c r="Y56" i="33" s="1"/>
  <c r="X134" i="33"/>
  <c r="S134" i="33"/>
  <c r="AC134" i="33" s="1"/>
  <c r="X133" i="33"/>
  <c r="S133" i="33"/>
  <c r="AC133" i="33" s="1"/>
  <c r="Y81" i="33"/>
  <c r="AC125" i="33"/>
  <c r="X128" i="33"/>
  <c r="Y128" i="33" s="1"/>
  <c r="Y24" i="33"/>
  <c r="Y132" i="33"/>
  <c r="X156" i="33"/>
  <c r="Y102" i="33"/>
  <c r="AC149" i="33"/>
  <c r="X149" i="33"/>
  <c r="AC132" i="33"/>
  <c r="X157" i="33"/>
  <c r="Y122" i="33"/>
  <c r="Y148" i="33"/>
  <c r="Y68" i="33"/>
  <c r="AC145" i="33"/>
  <c r="Y131" i="33"/>
  <c r="AC53" i="33"/>
  <c r="Y97" i="33"/>
  <c r="Y73" i="33"/>
  <c r="AC81" i="33"/>
  <c r="Y151" i="33"/>
  <c r="AC18" i="33"/>
  <c r="AC27" i="33"/>
  <c r="X78" i="33"/>
  <c r="Y31" i="33"/>
  <c r="Y121" i="33"/>
  <c r="AC105" i="33"/>
  <c r="Y79" i="33"/>
  <c r="BN11" i="7"/>
  <c r="BN11" i="30"/>
  <c r="BN11" i="28"/>
  <c r="BN11" i="26"/>
  <c r="Y157" i="33" l="1"/>
  <c r="Y156" i="33"/>
  <c r="Y150" i="33"/>
  <c r="Y78" i="33"/>
  <c r="Y154" i="33"/>
  <c r="Y15" i="33"/>
  <c r="Y16" i="33"/>
  <c r="Y155" i="33"/>
  <c r="Y14" i="33"/>
  <c r="Y133" i="33"/>
  <c r="Y134" i="33"/>
  <c r="Y149" i="33"/>
  <c r="AC129" i="33"/>
  <c r="Y129" i="33"/>
  <c r="Y145" i="33"/>
  <c r="AC146" i="33"/>
  <c r="H11" i="30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J14" i="7"/>
  <c r="BM15" i="7"/>
  <c r="BN15" i="7"/>
  <c r="BM14" i="7"/>
  <c r="BN14" i="7"/>
  <c r="BO14" i="7"/>
  <c r="AM93" i="7"/>
  <c r="BU13" i="7" l="1"/>
  <c r="BW13" i="7"/>
  <c r="BV13" i="7"/>
  <c r="BO12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O11" i="7"/>
  <c r="BP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P12" i="7"/>
  <c r="I194" i="26"/>
  <c r="I194" i="28"/>
  <c r="I194" i="30"/>
  <c r="I194" i="7"/>
  <c r="H14" i="26"/>
  <c r="I14" i="26"/>
  <c r="H15" i="26"/>
  <c r="I15" i="26"/>
  <c r="H20" i="26"/>
  <c r="I20" i="26"/>
  <c r="H25" i="26"/>
  <c r="I25" i="26"/>
  <c r="H26" i="26"/>
  <c r="I26" i="26"/>
  <c r="H27" i="26"/>
  <c r="I27" i="26"/>
  <c r="H28" i="26"/>
  <c r="I28" i="26"/>
  <c r="H29" i="26"/>
  <c r="I29" i="26"/>
  <c r="H30" i="26"/>
  <c r="I30" i="26"/>
  <c r="H31" i="26"/>
  <c r="I31" i="26"/>
  <c r="H32" i="26"/>
  <c r="I32" i="26"/>
  <c r="H33" i="26"/>
  <c r="I33" i="26"/>
  <c r="H34" i="26"/>
  <c r="I34" i="26"/>
  <c r="H35" i="26"/>
  <c r="I35" i="26"/>
  <c r="H36" i="26"/>
  <c r="I36" i="26"/>
  <c r="H37" i="26"/>
  <c r="I37" i="26"/>
  <c r="H38" i="26"/>
  <c r="I38" i="26"/>
  <c r="H39" i="26"/>
  <c r="I39" i="26"/>
  <c r="H40" i="26"/>
  <c r="I40" i="26"/>
  <c r="H41" i="26"/>
  <c r="I41" i="26"/>
  <c r="H42" i="26"/>
  <c r="I42" i="26"/>
  <c r="H43" i="26"/>
  <c r="I43" i="26"/>
  <c r="H44" i="26"/>
  <c r="I44" i="26"/>
  <c r="H45" i="26"/>
  <c r="I45" i="26"/>
  <c r="H46" i="26"/>
  <c r="I46" i="26"/>
  <c r="H47" i="26"/>
  <c r="I47" i="26"/>
  <c r="H48" i="26"/>
  <c r="I48" i="26"/>
  <c r="H49" i="26"/>
  <c r="I49" i="26"/>
  <c r="H50" i="26"/>
  <c r="I50" i="26"/>
  <c r="H51" i="26"/>
  <c r="I51" i="26"/>
  <c r="H52" i="26"/>
  <c r="I52" i="26"/>
  <c r="H53" i="26"/>
  <c r="I53" i="26"/>
  <c r="H54" i="26"/>
  <c r="I54" i="26"/>
  <c r="H55" i="26"/>
  <c r="I55" i="26"/>
  <c r="H56" i="26"/>
  <c r="I56" i="26"/>
  <c r="H57" i="26"/>
  <c r="I57" i="26"/>
  <c r="H58" i="26"/>
  <c r="I58" i="26"/>
  <c r="H59" i="26"/>
  <c r="I59" i="26"/>
  <c r="H60" i="26"/>
  <c r="I60" i="26"/>
  <c r="H61" i="26"/>
  <c r="I61" i="26"/>
  <c r="H62" i="26"/>
  <c r="I62" i="26"/>
  <c r="H63" i="26"/>
  <c r="I63" i="26"/>
  <c r="H64" i="26"/>
  <c r="I64" i="26"/>
  <c r="H65" i="26"/>
  <c r="I65" i="26"/>
  <c r="H66" i="26"/>
  <c r="I66" i="26"/>
  <c r="H67" i="26"/>
  <c r="I67" i="26"/>
  <c r="H68" i="26"/>
  <c r="I68" i="26"/>
  <c r="H69" i="26"/>
  <c r="I69" i="26"/>
  <c r="H70" i="26"/>
  <c r="I70" i="26"/>
  <c r="H71" i="26"/>
  <c r="I71" i="26"/>
  <c r="H72" i="26"/>
  <c r="I72" i="26"/>
  <c r="H73" i="26"/>
  <c r="I73" i="26"/>
  <c r="H74" i="26"/>
  <c r="I74" i="26"/>
  <c r="H75" i="26"/>
  <c r="I75" i="26"/>
  <c r="H76" i="26"/>
  <c r="I76" i="26"/>
  <c r="H81" i="26"/>
  <c r="I81" i="26"/>
  <c r="H82" i="26"/>
  <c r="I82" i="26"/>
  <c r="H83" i="26"/>
  <c r="I83" i="26"/>
  <c r="H84" i="26"/>
  <c r="I84" i="26"/>
  <c r="H85" i="26"/>
  <c r="I85" i="26"/>
  <c r="H86" i="26"/>
  <c r="I86" i="26"/>
  <c r="H90" i="26"/>
  <c r="I90" i="26"/>
  <c r="H91" i="26"/>
  <c r="I91" i="26"/>
  <c r="H92" i="26"/>
  <c r="I92" i="26"/>
  <c r="H93" i="26"/>
  <c r="I93" i="26"/>
  <c r="H98" i="26"/>
  <c r="I98" i="26"/>
  <c r="H99" i="26"/>
  <c r="I99" i="26"/>
  <c r="H100" i="26"/>
  <c r="I100" i="26"/>
  <c r="H101" i="26"/>
  <c r="I101" i="26"/>
  <c r="H102" i="26"/>
  <c r="I102" i="26"/>
  <c r="H103" i="26"/>
  <c r="I103" i="26"/>
  <c r="H104" i="26"/>
  <c r="I104" i="26"/>
  <c r="H105" i="26"/>
  <c r="I105" i="26"/>
  <c r="H106" i="26"/>
  <c r="I106" i="26"/>
  <c r="H107" i="26"/>
  <c r="I107" i="26"/>
  <c r="H108" i="26"/>
  <c r="I108" i="26"/>
  <c r="H121" i="26"/>
  <c r="I121" i="26"/>
  <c r="H122" i="26"/>
  <c r="I122" i="26"/>
  <c r="H123" i="26"/>
  <c r="I123" i="26"/>
  <c r="H124" i="26"/>
  <c r="I124" i="26"/>
  <c r="H125" i="26"/>
  <c r="I125" i="26"/>
  <c r="H126" i="26"/>
  <c r="I126" i="26"/>
  <c r="H127" i="26"/>
  <c r="I127" i="26"/>
  <c r="H128" i="26"/>
  <c r="I128" i="26"/>
  <c r="H129" i="26"/>
  <c r="I129" i="26"/>
  <c r="H130" i="26"/>
  <c r="I130" i="26"/>
  <c r="H131" i="26"/>
  <c r="I131" i="26"/>
  <c r="H132" i="26"/>
  <c r="I132" i="26"/>
  <c r="H133" i="26"/>
  <c r="I133" i="26"/>
  <c r="H134" i="26"/>
  <c r="I134" i="26"/>
  <c r="H135" i="26"/>
  <c r="I135" i="26"/>
  <c r="H136" i="26"/>
  <c r="I136" i="26"/>
  <c r="H137" i="26"/>
  <c r="I137" i="26"/>
  <c r="H138" i="26"/>
  <c r="I138" i="26"/>
  <c r="H139" i="26"/>
  <c r="I139" i="26"/>
  <c r="H140" i="26"/>
  <c r="I140" i="26"/>
  <c r="H141" i="26"/>
  <c r="I141" i="26"/>
  <c r="H142" i="26"/>
  <c r="I142" i="26"/>
  <c r="H143" i="26"/>
  <c r="I143" i="26"/>
  <c r="H144" i="26"/>
  <c r="I144" i="26"/>
  <c r="H145" i="26"/>
  <c r="I145" i="26"/>
  <c r="H146" i="26"/>
  <c r="I146" i="26"/>
  <c r="H147" i="26"/>
  <c r="I147" i="26"/>
  <c r="H148" i="26"/>
  <c r="I148" i="26"/>
  <c r="H149" i="26"/>
  <c r="I149" i="26"/>
  <c r="H150" i="26"/>
  <c r="I150" i="26"/>
  <c r="H151" i="26"/>
  <c r="I151" i="26"/>
  <c r="H176" i="26"/>
  <c r="I176" i="26"/>
  <c r="H177" i="26"/>
  <c r="I177" i="26"/>
  <c r="H184" i="26"/>
  <c r="I184" i="26"/>
  <c r="H178" i="26"/>
  <c r="I178" i="26"/>
  <c r="H179" i="26"/>
  <c r="I179" i="26"/>
  <c r="H180" i="26"/>
  <c r="I180" i="26"/>
  <c r="H181" i="26"/>
  <c r="I181" i="26"/>
  <c r="H182" i="26"/>
  <c r="I182" i="26"/>
  <c r="H183" i="26"/>
  <c r="I183" i="26"/>
  <c r="H191" i="26"/>
  <c r="I191" i="26"/>
  <c r="H192" i="26"/>
  <c r="I192" i="26"/>
  <c r="H193" i="26"/>
  <c r="I193" i="26"/>
  <c r="H194" i="26"/>
  <c r="H195" i="26"/>
  <c r="I195" i="26"/>
  <c r="H210" i="26"/>
  <c r="I210" i="26"/>
  <c r="H211" i="26"/>
  <c r="I211" i="26"/>
  <c r="H214" i="26"/>
  <c r="I214" i="26"/>
  <c r="H219" i="26"/>
  <c r="I219" i="26"/>
  <c r="H232" i="26"/>
  <c r="I232" i="26"/>
  <c r="H233" i="26"/>
  <c r="I233" i="26"/>
  <c r="H234" i="26"/>
  <c r="I234" i="26"/>
  <c r="H235" i="26"/>
  <c r="I235" i="26"/>
  <c r="H236" i="26"/>
  <c r="I236" i="26"/>
  <c r="H14" i="28"/>
  <c r="I14" i="28"/>
  <c r="H15" i="28"/>
  <c r="I15" i="28"/>
  <c r="H20" i="28"/>
  <c r="I20" i="28"/>
  <c r="H25" i="28"/>
  <c r="I25" i="28"/>
  <c r="H26" i="28"/>
  <c r="I26" i="28"/>
  <c r="H27" i="28"/>
  <c r="I27" i="28"/>
  <c r="H28" i="28"/>
  <c r="I28" i="28"/>
  <c r="H29" i="28"/>
  <c r="I29" i="28"/>
  <c r="H30" i="28"/>
  <c r="I30" i="28"/>
  <c r="H31" i="28"/>
  <c r="I31" i="28"/>
  <c r="H32" i="28"/>
  <c r="I32" i="28"/>
  <c r="H33" i="28"/>
  <c r="I33" i="28"/>
  <c r="H34" i="28"/>
  <c r="I34" i="28"/>
  <c r="H35" i="28"/>
  <c r="I35" i="28"/>
  <c r="H36" i="28"/>
  <c r="I36" i="28"/>
  <c r="H37" i="28"/>
  <c r="I37" i="28"/>
  <c r="H38" i="28"/>
  <c r="I38" i="28"/>
  <c r="H39" i="28"/>
  <c r="I39" i="28"/>
  <c r="H40" i="28"/>
  <c r="I40" i="28"/>
  <c r="H41" i="28"/>
  <c r="I41" i="28"/>
  <c r="H42" i="28"/>
  <c r="I42" i="28"/>
  <c r="H43" i="28"/>
  <c r="I43" i="28"/>
  <c r="H44" i="28"/>
  <c r="I44" i="28"/>
  <c r="H45" i="28"/>
  <c r="I45" i="28"/>
  <c r="H46" i="28"/>
  <c r="I46" i="28"/>
  <c r="H47" i="28"/>
  <c r="I47" i="28"/>
  <c r="H48" i="28"/>
  <c r="I48" i="28"/>
  <c r="H49" i="28"/>
  <c r="I49" i="28"/>
  <c r="H50" i="28"/>
  <c r="I50" i="28"/>
  <c r="H51" i="28"/>
  <c r="I51" i="28"/>
  <c r="H52" i="28"/>
  <c r="I52" i="28"/>
  <c r="H53" i="28"/>
  <c r="I53" i="28"/>
  <c r="H54" i="28"/>
  <c r="I54" i="28"/>
  <c r="H55" i="28"/>
  <c r="I55" i="28"/>
  <c r="H56" i="28"/>
  <c r="I56" i="28"/>
  <c r="H57" i="28"/>
  <c r="I57" i="28"/>
  <c r="H58" i="28"/>
  <c r="I58" i="28"/>
  <c r="H59" i="28"/>
  <c r="I59" i="28"/>
  <c r="H60" i="28"/>
  <c r="I60" i="28"/>
  <c r="H61" i="28"/>
  <c r="I61" i="28"/>
  <c r="H62" i="28"/>
  <c r="I62" i="28"/>
  <c r="H63" i="28"/>
  <c r="I63" i="28"/>
  <c r="H64" i="28"/>
  <c r="I64" i="28"/>
  <c r="H65" i="28"/>
  <c r="I65" i="28"/>
  <c r="H66" i="28"/>
  <c r="I66" i="28"/>
  <c r="H67" i="28"/>
  <c r="I67" i="28"/>
  <c r="H68" i="28"/>
  <c r="I68" i="28"/>
  <c r="H69" i="28"/>
  <c r="I69" i="28"/>
  <c r="H70" i="28"/>
  <c r="I70" i="28"/>
  <c r="H71" i="28"/>
  <c r="I71" i="28"/>
  <c r="H72" i="28"/>
  <c r="I72" i="28"/>
  <c r="H73" i="28"/>
  <c r="I73" i="28"/>
  <c r="H74" i="28"/>
  <c r="I74" i="28"/>
  <c r="H75" i="28"/>
  <c r="I75" i="28"/>
  <c r="H76" i="28"/>
  <c r="I76" i="28"/>
  <c r="H81" i="28"/>
  <c r="I81" i="28"/>
  <c r="H82" i="28"/>
  <c r="I82" i="28"/>
  <c r="H83" i="28"/>
  <c r="I83" i="28"/>
  <c r="H84" i="28"/>
  <c r="I84" i="28"/>
  <c r="H85" i="28"/>
  <c r="I85" i="28"/>
  <c r="H86" i="28"/>
  <c r="I86" i="28"/>
  <c r="H90" i="28"/>
  <c r="I90" i="28"/>
  <c r="H91" i="28"/>
  <c r="I91" i="28"/>
  <c r="H92" i="28"/>
  <c r="I92" i="28"/>
  <c r="H93" i="28"/>
  <c r="I93" i="28"/>
  <c r="H98" i="28"/>
  <c r="I98" i="28"/>
  <c r="H99" i="28"/>
  <c r="I99" i="28"/>
  <c r="H100" i="28"/>
  <c r="I100" i="28"/>
  <c r="H101" i="28"/>
  <c r="I101" i="28"/>
  <c r="H102" i="28"/>
  <c r="I102" i="28"/>
  <c r="H103" i="28"/>
  <c r="I103" i="28"/>
  <c r="H104" i="28"/>
  <c r="I104" i="28"/>
  <c r="H105" i="28"/>
  <c r="I105" i="28"/>
  <c r="H106" i="28"/>
  <c r="I106" i="28"/>
  <c r="H107" i="28"/>
  <c r="I107" i="28"/>
  <c r="H108" i="28"/>
  <c r="I108" i="28"/>
  <c r="H121" i="28"/>
  <c r="I121" i="28"/>
  <c r="H122" i="28"/>
  <c r="I122" i="28"/>
  <c r="H123" i="28"/>
  <c r="I123" i="28"/>
  <c r="H124" i="28"/>
  <c r="I124" i="28"/>
  <c r="H125" i="28"/>
  <c r="I125" i="28"/>
  <c r="H126" i="28"/>
  <c r="I126" i="28"/>
  <c r="H127" i="28"/>
  <c r="I127" i="28"/>
  <c r="H128" i="28"/>
  <c r="I128" i="28"/>
  <c r="H129" i="28"/>
  <c r="I129" i="28"/>
  <c r="H130" i="28"/>
  <c r="I130" i="28"/>
  <c r="H131" i="28"/>
  <c r="I131" i="28"/>
  <c r="H132" i="28"/>
  <c r="I132" i="28"/>
  <c r="H133" i="28"/>
  <c r="I133" i="28"/>
  <c r="H134" i="28"/>
  <c r="I134" i="28"/>
  <c r="H135" i="28"/>
  <c r="I135" i="28"/>
  <c r="H136" i="28"/>
  <c r="I136" i="28"/>
  <c r="H137" i="28"/>
  <c r="I137" i="28"/>
  <c r="H138" i="28"/>
  <c r="I138" i="28"/>
  <c r="H139" i="28"/>
  <c r="I139" i="28"/>
  <c r="H140" i="28"/>
  <c r="I140" i="28"/>
  <c r="H141" i="28"/>
  <c r="I141" i="28"/>
  <c r="H142" i="28"/>
  <c r="I142" i="28"/>
  <c r="H143" i="28"/>
  <c r="I143" i="28"/>
  <c r="H144" i="28"/>
  <c r="I144" i="28"/>
  <c r="H145" i="28"/>
  <c r="I145" i="28"/>
  <c r="H146" i="28"/>
  <c r="I146" i="28"/>
  <c r="H147" i="28"/>
  <c r="I147" i="28"/>
  <c r="H148" i="28"/>
  <c r="I148" i="28"/>
  <c r="H149" i="28"/>
  <c r="I149" i="28"/>
  <c r="H150" i="28"/>
  <c r="I150" i="28"/>
  <c r="H151" i="28"/>
  <c r="I151" i="28"/>
  <c r="H176" i="28"/>
  <c r="I176" i="28"/>
  <c r="H177" i="28"/>
  <c r="I177" i="28"/>
  <c r="H184" i="28"/>
  <c r="I184" i="28"/>
  <c r="H178" i="28"/>
  <c r="I178" i="28"/>
  <c r="H179" i="28"/>
  <c r="I179" i="28"/>
  <c r="H180" i="28"/>
  <c r="I180" i="28"/>
  <c r="H181" i="28"/>
  <c r="I181" i="28"/>
  <c r="H182" i="28"/>
  <c r="I182" i="28"/>
  <c r="H183" i="28"/>
  <c r="I183" i="28"/>
  <c r="H191" i="28"/>
  <c r="I191" i="28"/>
  <c r="H192" i="28"/>
  <c r="I192" i="28"/>
  <c r="H193" i="28"/>
  <c r="I193" i="28"/>
  <c r="H194" i="28"/>
  <c r="H195" i="28"/>
  <c r="I195" i="28"/>
  <c r="H210" i="28"/>
  <c r="I210" i="28"/>
  <c r="H211" i="28"/>
  <c r="I211" i="28"/>
  <c r="H214" i="28"/>
  <c r="I214" i="28"/>
  <c r="H219" i="28"/>
  <c r="I219" i="28"/>
  <c r="H232" i="28"/>
  <c r="I232" i="28"/>
  <c r="H233" i="28"/>
  <c r="I233" i="28"/>
  <c r="H234" i="28"/>
  <c r="I234" i="28"/>
  <c r="H235" i="28"/>
  <c r="I235" i="28"/>
  <c r="H236" i="28"/>
  <c r="I236" i="28"/>
  <c r="H14" i="30"/>
  <c r="I14" i="30"/>
  <c r="H15" i="30"/>
  <c r="I15" i="30"/>
  <c r="H20" i="30"/>
  <c r="I20" i="30"/>
  <c r="H25" i="30"/>
  <c r="I25" i="30"/>
  <c r="H26" i="30"/>
  <c r="I26" i="30"/>
  <c r="H27" i="30"/>
  <c r="I27" i="30"/>
  <c r="H28" i="30"/>
  <c r="I28" i="30"/>
  <c r="H29" i="30"/>
  <c r="I29" i="30"/>
  <c r="H30" i="30"/>
  <c r="I30" i="30"/>
  <c r="H31" i="30"/>
  <c r="I31" i="30"/>
  <c r="H32" i="30"/>
  <c r="I32" i="30"/>
  <c r="H33" i="30"/>
  <c r="I33" i="30"/>
  <c r="H34" i="30"/>
  <c r="I34" i="30"/>
  <c r="H35" i="30"/>
  <c r="I35" i="30"/>
  <c r="H36" i="30"/>
  <c r="I36" i="30"/>
  <c r="H37" i="30"/>
  <c r="I37" i="30"/>
  <c r="H38" i="30"/>
  <c r="I38" i="30"/>
  <c r="H39" i="30"/>
  <c r="I39" i="30"/>
  <c r="H40" i="30"/>
  <c r="I40" i="30"/>
  <c r="H41" i="30"/>
  <c r="I41" i="30"/>
  <c r="H42" i="30"/>
  <c r="I42" i="30"/>
  <c r="H43" i="30"/>
  <c r="I43" i="30"/>
  <c r="H44" i="30"/>
  <c r="I44" i="30"/>
  <c r="H45" i="30"/>
  <c r="I45" i="30"/>
  <c r="H46" i="30"/>
  <c r="I46" i="30"/>
  <c r="H47" i="30"/>
  <c r="I47" i="30"/>
  <c r="H48" i="30"/>
  <c r="I48" i="30"/>
  <c r="H49" i="30"/>
  <c r="I49" i="30"/>
  <c r="H50" i="30"/>
  <c r="I50" i="30"/>
  <c r="H51" i="30"/>
  <c r="I51" i="30"/>
  <c r="H52" i="30"/>
  <c r="I52" i="30"/>
  <c r="H53" i="30"/>
  <c r="I53" i="30"/>
  <c r="H54" i="30"/>
  <c r="I54" i="30"/>
  <c r="H55" i="30"/>
  <c r="I55" i="30"/>
  <c r="H56" i="30"/>
  <c r="I56" i="30"/>
  <c r="H57" i="30"/>
  <c r="I57" i="30"/>
  <c r="H58" i="30"/>
  <c r="I58" i="30"/>
  <c r="H59" i="30"/>
  <c r="I59" i="30"/>
  <c r="H60" i="30"/>
  <c r="I60" i="30"/>
  <c r="H61" i="30"/>
  <c r="I61" i="30"/>
  <c r="H62" i="30"/>
  <c r="I62" i="30"/>
  <c r="H63" i="30"/>
  <c r="I63" i="30"/>
  <c r="H64" i="30"/>
  <c r="I64" i="30"/>
  <c r="H65" i="30"/>
  <c r="I65" i="30"/>
  <c r="H66" i="30"/>
  <c r="I66" i="30"/>
  <c r="H67" i="30"/>
  <c r="I67" i="30"/>
  <c r="H68" i="30"/>
  <c r="I68" i="30"/>
  <c r="H69" i="30"/>
  <c r="I69" i="30"/>
  <c r="H70" i="30"/>
  <c r="I70" i="30"/>
  <c r="H71" i="30"/>
  <c r="I71" i="30"/>
  <c r="H72" i="30"/>
  <c r="I72" i="30"/>
  <c r="H73" i="30"/>
  <c r="I73" i="30"/>
  <c r="H74" i="30"/>
  <c r="I74" i="30"/>
  <c r="H75" i="30"/>
  <c r="I75" i="30"/>
  <c r="H76" i="30"/>
  <c r="I76" i="30"/>
  <c r="H81" i="30"/>
  <c r="I81" i="30"/>
  <c r="H82" i="30"/>
  <c r="I82" i="30"/>
  <c r="H83" i="30"/>
  <c r="I83" i="30"/>
  <c r="H84" i="30"/>
  <c r="I84" i="30"/>
  <c r="H85" i="30"/>
  <c r="I85" i="30"/>
  <c r="H86" i="30"/>
  <c r="I86" i="30"/>
  <c r="H90" i="30"/>
  <c r="I90" i="30"/>
  <c r="H91" i="30"/>
  <c r="I91" i="30"/>
  <c r="H92" i="30"/>
  <c r="I92" i="30"/>
  <c r="H93" i="30"/>
  <c r="I93" i="30"/>
  <c r="H98" i="30"/>
  <c r="I98" i="30"/>
  <c r="H99" i="30"/>
  <c r="I99" i="30"/>
  <c r="H100" i="30"/>
  <c r="I100" i="30"/>
  <c r="H101" i="30"/>
  <c r="I101" i="30"/>
  <c r="H102" i="30"/>
  <c r="I102" i="30"/>
  <c r="H103" i="30"/>
  <c r="I103" i="30"/>
  <c r="H104" i="30"/>
  <c r="I104" i="30"/>
  <c r="H105" i="30"/>
  <c r="I105" i="30"/>
  <c r="H106" i="30"/>
  <c r="I106" i="30"/>
  <c r="H107" i="30"/>
  <c r="I107" i="30"/>
  <c r="H108" i="30"/>
  <c r="I108" i="30"/>
  <c r="H121" i="30"/>
  <c r="I121" i="30"/>
  <c r="H122" i="30"/>
  <c r="I122" i="30"/>
  <c r="H123" i="30"/>
  <c r="I123" i="30"/>
  <c r="H124" i="30"/>
  <c r="I124" i="30"/>
  <c r="H125" i="30"/>
  <c r="I125" i="30"/>
  <c r="H126" i="30"/>
  <c r="I126" i="30"/>
  <c r="H127" i="30"/>
  <c r="I127" i="30"/>
  <c r="H128" i="30"/>
  <c r="I128" i="30"/>
  <c r="H129" i="30"/>
  <c r="I129" i="30"/>
  <c r="H130" i="30"/>
  <c r="I130" i="30"/>
  <c r="H131" i="30"/>
  <c r="I131" i="30"/>
  <c r="H132" i="30"/>
  <c r="I132" i="30"/>
  <c r="H133" i="30"/>
  <c r="I133" i="30"/>
  <c r="H134" i="30"/>
  <c r="I134" i="30"/>
  <c r="H135" i="30"/>
  <c r="I135" i="30"/>
  <c r="H136" i="30"/>
  <c r="I136" i="30"/>
  <c r="H137" i="30"/>
  <c r="I137" i="30"/>
  <c r="H138" i="30"/>
  <c r="I138" i="30"/>
  <c r="H139" i="30"/>
  <c r="I139" i="30"/>
  <c r="H140" i="30"/>
  <c r="I140" i="30"/>
  <c r="H141" i="30"/>
  <c r="I141" i="30"/>
  <c r="H142" i="30"/>
  <c r="I142" i="30"/>
  <c r="H143" i="30"/>
  <c r="I143" i="30"/>
  <c r="H144" i="30"/>
  <c r="I144" i="30"/>
  <c r="H145" i="30"/>
  <c r="I145" i="30"/>
  <c r="H146" i="30"/>
  <c r="I146" i="30"/>
  <c r="H147" i="30"/>
  <c r="I147" i="30"/>
  <c r="H148" i="30"/>
  <c r="I148" i="30"/>
  <c r="H149" i="30"/>
  <c r="I149" i="30"/>
  <c r="H150" i="30"/>
  <c r="I150" i="30"/>
  <c r="H151" i="30"/>
  <c r="I151" i="30"/>
  <c r="H176" i="30"/>
  <c r="I176" i="30"/>
  <c r="H177" i="30"/>
  <c r="I177" i="30"/>
  <c r="H184" i="30"/>
  <c r="I184" i="30"/>
  <c r="H178" i="30"/>
  <c r="I178" i="30"/>
  <c r="H179" i="30"/>
  <c r="I179" i="30"/>
  <c r="H180" i="30"/>
  <c r="I180" i="30"/>
  <c r="H181" i="30"/>
  <c r="I181" i="30"/>
  <c r="H182" i="30"/>
  <c r="I182" i="30"/>
  <c r="H183" i="30"/>
  <c r="I183" i="30"/>
  <c r="H191" i="30"/>
  <c r="I191" i="30"/>
  <c r="H192" i="30"/>
  <c r="I192" i="30"/>
  <c r="H193" i="30"/>
  <c r="I193" i="30"/>
  <c r="H194" i="30"/>
  <c r="H195" i="30"/>
  <c r="I195" i="30"/>
  <c r="H210" i="30"/>
  <c r="I210" i="30"/>
  <c r="H211" i="30"/>
  <c r="I211" i="30"/>
  <c r="H214" i="30"/>
  <c r="I214" i="30"/>
  <c r="H219" i="30"/>
  <c r="I219" i="30"/>
  <c r="H232" i="30"/>
  <c r="I232" i="30"/>
  <c r="H233" i="30"/>
  <c r="I233" i="30"/>
  <c r="H234" i="30"/>
  <c r="I234" i="30"/>
  <c r="H235" i="30"/>
  <c r="I235" i="30"/>
  <c r="H236" i="30"/>
  <c r="I236" i="30"/>
  <c r="H14" i="7"/>
  <c r="I14" i="7"/>
  <c r="H15" i="7"/>
  <c r="I15" i="7"/>
  <c r="H20" i="7"/>
  <c r="I20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H56" i="7"/>
  <c r="I56" i="7"/>
  <c r="H57" i="7"/>
  <c r="I57" i="7"/>
  <c r="H58" i="7"/>
  <c r="I58" i="7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81" i="7"/>
  <c r="I81" i="7"/>
  <c r="H82" i="7"/>
  <c r="I82" i="7"/>
  <c r="H83" i="7"/>
  <c r="I83" i="7"/>
  <c r="H84" i="7"/>
  <c r="I84" i="7"/>
  <c r="H85" i="7"/>
  <c r="I85" i="7"/>
  <c r="H86" i="7"/>
  <c r="I86" i="7"/>
  <c r="H90" i="7"/>
  <c r="I90" i="7"/>
  <c r="H91" i="7"/>
  <c r="I91" i="7"/>
  <c r="H92" i="7"/>
  <c r="I92" i="7"/>
  <c r="H93" i="7"/>
  <c r="I93" i="7"/>
  <c r="H98" i="7"/>
  <c r="I98" i="7"/>
  <c r="H99" i="7"/>
  <c r="I99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108" i="7"/>
  <c r="I108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H130" i="7"/>
  <c r="I130" i="7"/>
  <c r="H131" i="7"/>
  <c r="I131" i="7"/>
  <c r="H132" i="7"/>
  <c r="I132" i="7"/>
  <c r="H133" i="7"/>
  <c r="I133" i="7"/>
  <c r="H134" i="7"/>
  <c r="I134" i="7"/>
  <c r="H135" i="7"/>
  <c r="I135" i="7"/>
  <c r="H136" i="7"/>
  <c r="I136" i="7"/>
  <c r="H137" i="7"/>
  <c r="I137" i="7"/>
  <c r="H138" i="7"/>
  <c r="I138" i="7"/>
  <c r="H139" i="7"/>
  <c r="I139" i="7"/>
  <c r="H140" i="7"/>
  <c r="I140" i="7"/>
  <c r="H141" i="7"/>
  <c r="I141" i="7"/>
  <c r="H142" i="7"/>
  <c r="I142" i="7"/>
  <c r="H143" i="7"/>
  <c r="I143" i="7"/>
  <c r="H144" i="7"/>
  <c r="I144" i="7"/>
  <c r="H145" i="7"/>
  <c r="I145" i="7"/>
  <c r="H146" i="7"/>
  <c r="I146" i="7"/>
  <c r="H147" i="7"/>
  <c r="I147" i="7"/>
  <c r="H148" i="7"/>
  <c r="I148" i="7"/>
  <c r="H149" i="7"/>
  <c r="I149" i="7"/>
  <c r="H150" i="7"/>
  <c r="I150" i="7"/>
  <c r="H151" i="7"/>
  <c r="I151" i="7"/>
  <c r="H176" i="7"/>
  <c r="I176" i="7"/>
  <c r="H177" i="7"/>
  <c r="I177" i="7"/>
  <c r="H184" i="7"/>
  <c r="I184" i="7"/>
  <c r="H178" i="7"/>
  <c r="I178" i="7"/>
  <c r="H179" i="7"/>
  <c r="I179" i="7"/>
  <c r="H180" i="7"/>
  <c r="I180" i="7"/>
  <c r="H181" i="7"/>
  <c r="I181" i="7"/>
  <c r="H182" i="7"/>
  <c r="I182" i="7"/>
  <c r="H183" i="7"/>
  <c r="I183" i="7"/>
  <c r="H191" i="7"/>
  <c r="I191" i="7"/>
  <c r="H192" i="7"/>
  <c r="I192" i="7"/>
  <c r="H193" i="7"/>
  <c r="I193" i="7"/>
  <c r="H194" i="7"/>
  <c r="H195" i="7"/>
  <c r="I195" i="7"/>
  <c r="H210" i="7"/>
  <c r="I210" i="7"/>
  <c r="H211" i="7"/>
  <c r="I211" i="7"/>
  <c r="H214" i="7"/>
  <c r="I214" i="7"/>
  <c r="H219" i="7"/>
  <c r="I219" i="7"/>
  <c r="H232" i="7"/>
  <c r="I232" i="7"/>
  <c r="H233" i="7"/>
  <c r="I233" i="7"/>
  <c r="H234" i="7"/>
  <c r="I234" i="7"/>
  <c r="H235" i="7"/>
  <c r="I235" i="7"/>
  <c r="H236" i="7"/>
  <c r="I236" i="7"/>
  <c r="H12" i="26"/>
  <c r="I12" i="26"/>
  <c r="H13" i="26"/>
  <c r="I13" i="26"/>
  <c r="H12" i="28"/>
  <c r="I12" i="28"/>
  <c r="H13" i="28"/>
  <c r="I13" i="28"/>
  <c r="H12" i="30"/>
  <c r="I12" i="30"/>
  <c r="H13" i="30"/>
  <c r="I13" i="30"/>
  <c r="H12" i="7"/>
  <c r="I12" i="7"/>
  <c r="H13" i="7"/>
  <c r="I13" i="7"/>
  <c r="H11" i="7"/>
  <c r="H11" i="26"/>
  <c r="H11" i="28"/>
  <c r="BW26" i="7" l="1"/>
  <c r="BV26" i="7"/>
  <c r="BU26" i="7"/>
  <c r="BW11" i="7"/>
  <c r="BV11" i="7"/>
  <c r="BU11" i="7"/>
  <c r="H242" i="32"/>
  <c r="G242" i="32"/>
  <c r="H241" i="32"/>
  <c r="G241" i="32"/>
  <c r="H236" i="32"/>
  <c r="G236" i="32"/>
  <c r="H235" i="32"/>
  <c r="G235" i="32"/>
  <c r="H234" i="32"/>
  <c r="G234" i="32"/>
  <c r="H233" i="32"/>
  <c r="G233" i="32"/>
  <c r="H232" i="32"/>
  <c r="G232" i="32"/>
  <c r="H219" i="32"/>
  <c r="G219" i="32"/>
  <c r="H214" i="32"/>
  <c r="G214" i="32"/>
  <c r="H213" i="32"/>
  <c r="G213" i="32"/>
  <c r="H212" i="32"/>
  <c r="G212" i="32"/>
  <c r="H211" i="32"/>
  <c r="G211" i="32"/>
  <c r="H210" i="32"/>
  <c r="G210" i="32"/>
  <c r="H207" i="32"/>
  <c r="G207" i="32"/>
  <c r="H206" i="32"/>
  <c r="G206" i="32"/>
  <c r="H205" i="32"/>
  <c r="G205" i="32"/>
  <c r="H204" i="32"/>
  <c r="G204" i="32"/>
  <c r="H203" i="32"/>
  <c r="G203" i="32"/>
  <c r="H202" i="32"/>
  <c r="G202" i="32"/>
  <c r="H201" i="32"/>
  <c r="G201" i="32"/>
  <c r="H200" i="32"/>
  <c r="G200" i="32"/>
  <c r="H199" i="32"/>
  <c r="G199" i="32"/>
  <c r="H198" i="32"/>
  <c r="G198" i="32"/>
  <c r="H197" i="32"/>
  <c r="G197" i="32"/>
  <c r="H196" i="32"/>
  <c r="G196" i="32"/>
  <c r="H195" i="32"/>
  <c r="G195" i="32"/>
  <c r="H194" i="32"/>
  <c r="G194" i="32"/>
  <c r="H193" i="32"/>
  <c r="G193" i="32"/>
  <c r="H192" i="32"/>
  <c r="G192" i="32"/>
  <c r="H191" i="32"/>
  <c r="G191" i="32"/>
  <c r="H183" i="32"/>
  <c r="G183" i="32"/>
  <c r="H182" i="32"/>
  <c r="G182" i="32"/>
  <c r="H181" i="32"/>
  <c r="G181" i="32"/>
  <c r="H180" i="32"/>
  <c r="G180" i="32"/>
  <c r="H179" i="32"/>
  <c r="G179" i="32"/>
  <c r="H178" i="32"/>
  <c r="G178" i="32"/>
  <c r="H184" i="32"/>
  <c r="G184" i="32"/>
  <c r="H177" i="32"/>
  <c r="G177" i="32"/>
  <c r="H176" i="32"/>
  <c r="G176" i="32"/>
  <c r="H151" i="32"/>
  <c r="G151" i="32"/>
  <c r="H150" i="32"/>
  <c r="G150" i="32"/>
  <c r="H149" i="32"/>
  <c r="G149" i="32"/>
  <c r="H148" i="32"/>
  <c r="G148" i="32"/>
  <c r="H147" i="32"/>
  <c r="G147" i="32"/>
  <c r="H146" i="32"/>
  <c r="G146" i="32"/>
  <c r="H145" i="32"/>
  <c r="G145" i="32"/>
  <c r="H144" i="32"/>
  <c r="G144" i="32"/>
  <c r="H143" i="32"/>
  <c r="G143" i="32"/>
  <c r="H142" i="32"/>
  <c r="G142" i="32"/>
  <c r="H141" i="32"/>
  <c r="G141" i="32"/>
  <c r="H140" i="32"/>
  <c r="G140" i="32"/>
  <c r="H139" i="32"/>
  <c r="G139" i="32"/>
  <c r="H138" i="32"/>
  <c r="G138" i="32"/>
  <c r="H137" i="32"/>
  <c r="G137" i="32"/>
  <c r="H136" i="32"/>
  <c r="G136" i="32"/>
  <c r="H135" i="32"/>
  <c r="G135" i="32"/>
  <c r="H134" i="32"/>
  <c r="G134" i="32"/>
  <c r="H133" i="32"/>
  <c r="G133" i="32"/>
  <c r="H132" i="32"/>
  <c r="G132" i="32"/>
  <c r="H131" i="32"/>
  <c r="G131" i="32"/>
  <c r="H130" i="32"/>
  <c r="G130" i="32"/>
  <c r="H129" i="32"/>
  <c r="G129" i="32"/>
  <c r="H128" i="32"/>
  <c r="G128" i="32"/>
  <c r="H127" i="32"/>
  <c r="G127" i="32"/>
  <c r="H126" i="32"/>
  <c r="G126" i="32"/>
  <c r="H125" i="32"/>
  <c r="G125" i="32"/>
  <c r="H124" i="32"/>
  <c r="G124" i="32"/>
  <c r="H123" i="32"/>
  <c r="G123" i="32"/>
  <c r="H122" i="32"/>
  <c r="G122" i="32"/>
  <c r="H121" i="32"/>
  <c r="G121" i="32"/>
  <c r="H108" i="32"/>
  <c r="G108" i="32"/>
  <c r="H107" i="32"/>
  <c r="G107" i="32"/>
  <c r="H106" i="32"/>
  <c r="G106" i="32"/>
  <c r="H105" i="32"/>
  <c r="G105" i="32"/>
  <c r="H104" i="32"/>
  <c r="G104" i="32"/>
  <c r="H103" i="32"/>
  <c r="G103" i="32"/>
  <c r="H102" i="32"/>
  <c r="G102" i="32"/>
  <c r="H101" i="32"/>
  <c r="G101" i="32"/>
  <c r="H100" i="32"/>
  <c r="G100" i="32"/>
  <c r="H99" i="32"/>
  <c r="G99" i="32"/>
  <c r="H98" i="32"/>
  <c r="G98" i="32"/>
  <c r="H93" i="32"/>
  <c r="G93" i="32"/>
  <c r="H92" i="32"/>
  <c r="G92" i="32"/>
  <c r="H91" i="32"/>
  <c r="G91" i="32"/>
  <c r="H90" i="32"/>
  <c r="G90" i="32"/>
  <c r="H86" i="32"/>
  <c r="G86" i="32"/>
  <c r="H85" i="32"/>
  <c r="G85" i="32"/>
  <c r="H84" i="32"/>
  <c r="G84" i="32"/>
  <c r="H83" i="32"/>
  <c r="G83" i="32"/>
  <c r="H82" i="32"/>
  <c r="G82" i="32"/>
  <c r="H81" i="32"/>
  <c r="G81" i="32"/>
  <c r="H76" i="32"/>
  <c r="G76" i="32"/>
  <c r="H75" i="32"/>
  <c r="G75" i="32"/>
  <c r="H74" i="32"/>
  <c r="G74" i="32"/>
  <c r="H73" i="32"/>
  <c r="G73" i="32"/>
  <c r="H72" i="32"/>
  <c r="G72" i="32"/>
  <c r="H71" i="32"/>
  <c r="G71" i="32"/>
  <c r="H70" i="32"/>
  <c r="G70" i="32"/>
  <c r="H69" i="32"/>
  <c r="G69" i="32"/>
  <c r="H68" i="32"/>
  <c r="G68" i="32"/>
  <c r="H67" i="32"/>
  <c r="G67" i="32"/>
  <c r="H66" i="32"/>
  <c r="G66" i="32"/>
  <c r="H65" i="32"/>
  <c r="G65" i="32"/>
  <c r="H64" i="32"/>
  <c r="G64" i="32"/>
  <c r="H63" i="32"/>
  <c r="G63" i="32"/>
  <c r="H62" i="32"/>
  <c r="G62" i="32"/>
  <c r="H61" i="32"/>
  <c r="G61" i="32"/>
  <c r="H60" i="32"/>
  <c r="G60" i="32"/>
  <c r="H59" i="32"/>
  <c r="G59" i="32"/>
  <c r="H58" i="32"/>
  <c r="G58" i="32"/>
  <c r="H57" i="32"/>
  <c r="G57" i="32"/>
  <c r="H56" i="32"/>
  <c r="G56" i="32"/>
  <c r="H55" i="32"/>
  <c r="G55" i="32"/>
  <c r="H54" i="32"/>
  <c r="G54" i="32"/>
  <c r="H53" i="32"/>
  <c r="G53" i="32"/>
  <c r="H52" i="32"/>
  <c r="G52" i="32"/>
  <c r="H51" i="32"/>
  <c r="G51" i="32"/>
  <c r="H50" i="32"/>
  <c r="G50" i="32"/>
  <c r="H49" i="32"/>
  <c r="G49" i="32"/>
  <c r="H48" i="32"/>
  <c r="G48" i="32"/>
  <c r="H47" i="32"/>
  <c r="G47" i="32"/>
  <c r="H46" i="32"/>
  <c r="G46" i="32"/>
  <c r="H45" i="32"/>
  <c r="G45" i="32"/>
  <c r="H44" i="32"/>
  <c r="G44" i="32"/>
  <c r="H43" i="32"/>
  <c r="G43" i="32"/>
  <c r="H42" i="32"/>
  <c r="G42" i="32"/>
  <c r="H41" i="32"/>
  <c r="G41" i="32"/>
  <c r="H40" i="32"/>
  <c r="G40" i="32"/>
  <c r="H39" i="32"/>
  <c r="G39" i="32"/>
  <c r="H38" i="32"/>
  <c r="G38" i="32"/>
  <c r="H37" i="32"/>
  <c r="G37" i="32"/>
  <c r="H36" i="32"/>
  <c r="G36" i="32"/>
  <c r="H35" i="32"/>
  <c r="G35" i="32"/>
  <c r="H34" i="32"/>
  <c r="G34" i="32"/>
  <c r="H33" i="32"/>
  <c r="G33" i="32"/>
  <c r="H32" i="32"/>
  <c r="G32" i="32"/>
  <c r="H31" i="32"/>
  <c r="G31" i="32"/>
  <c r="H30" i="32"/>
  <c r="G30" i="32"/>
  <c r="H29" i="32"/>
  <c r="G29" i="32"/>
  <c r="H28" i="32"/>
  <c r="G28" i="32"/>
  <c r="H27" i="32"/>
  <c r="G27" i="32"/>
  <c r="H26" i="32"/>
  <c r="G26" i="32"/>
  <c r="H25" i="32"/>
  <c r="G25" i="32"/>
  <c r="H20" i="32"/>
  <c r="G20" i="32"/>
  <c r="H15" i="32"/>
  <c r="G15" i="32"/>
  <c r="H14" i="32"/>
  <c r="G14" i="32"/>
  <c r="H13" i="32"/>
  <c r="G13" i="32"/>
  <c r="H12" i="32"/>
  <c r="G12" i="32"/>
  <c r="H11" i="32"/>
  <c r="G11" i="32"/>
  <c r="BS207" i="28" l="1"/>
  <c r="BS207" i="26"/>
  <c r="BS207" i="7"/>
  <c r="BS207" i="30"/>
  <c r="BS235" i="7"/>
  <c r="BS235" i="28"/>
  <c r="BS235" i="26"/>
  <c r="BS235" i="30"/>
  <c r="BS137" i="7"/>
  <c r="BS137" i="26"/>
  <c r="BS137" i="30"/>
  <c r="BS137" i="28"/>
  <c r="BT14" i="7"/>
  <c r="BT14" i="28"/>
  <c r="BT14" i="30"/>
  <c r="BT14" i="26"/>
  <c r="BS33" i="26"/>
  <c r="BS33" i="30"/>
  <c r="BS33" i="7"/>
  <c r="BS33" i="28"/>
  <c r="BS72" i="7"/>
  <c r="BS72" i="26"/>
  <c r="BS72" i="28"/>
  <c r="BS72" i="30"/>
  <c r="BT13" i="26"/>
  <c r="BT13" i="7"/>
  <c r="BT13" i="30"/>
  <c r="BT13" i="28"/>
  <c r="BT35" i="7"/>
  <c r="BT35" i="28"/>
  <c r="BT35" i="30"/>
  <c r="BT35" i="26"/>
  <c r="BT53" i="7"/>
  <c r="BT53" i="28"/>
  <c r="BT53" i="26"/>
  <c r="BT53" i="30"/>
  <c r="BT146" i="26"/>
  <c r="BT146" i="7"/>
  <c r="BT146" i="30"/>
  <c r="BT146" i="28"/>
  <c r="BT194" i="26"/>
  <c r="BT194" i="7"/>
  <c r="BT194" i="30"/>
  <c r="BT194" i="28"/>
  <c r="BT32" i="26"/>
  <c r="BT32" i="7"/>
  <c r="BT32" i="30"/>
  <c r="BT32" i="28"/>
  <c r="BT50" i="26"/>
  <c r="BT50" i="7"/>
  <c r="BT50" i="30"/>
  <c r="BT50" i="28"/>
  <c r="BT68" i="26"/>
  <c r="BT68" i="7"/>
  <c r="BT68" i="30"/>
  <c r="BT68" i="28"/>
  <c r="BT93" i="26"/>
  <c r="BT93" i="7"/>
  <c r="BT93" i="30"/>
  <c r="BT93" i="28"/>
  <c r="BT127" i="26"/>
  <c r="BT127" i="7"/>
  <c r="BT127" i="28"/>
  <c r="BT127" i="30"/>
  <c r="BT145" i="26"/>
  <c r="BT145" i="7"/>
  <c r="BT145" i="30"/>
  <c r="BT145" i="28"/>
  <c r="BT191" i="7"/>
  <c r="BT191" i="28"/>
  <c r="BT191" i="26"/>
  <c r="BT191" i="30"/>
  <c r="BS202" i="26"/>
  <c r="BS202" i="28"/>
  <c r="BS202" i="30"/>
  <c r="BS202" i="7"/>
  <c r="BT212" i="28"/>
  <c r="BT212" i="26"/>
  <c r="BT212" i="7"/>
  <c r="BT212" i="30"/>
  <c r="BT26" i="26"/>
  <c r="BT26" i="7"/>
  <c r="BT26" i="28"/>
  <c r="BT26" i="30"/>
  <c r="BT178" i="7"/>
  <c r="BT178" i="28"/>
  <c r="BT178" i="26"/>
  <c r="BT178" i="30"/>
  <c r="BT200" i="26"/>
  <c r="BT200" i="7"/>
  <c r="BT200" i="30"/>
  <c r="BT200" i="28"/>
  <c r="BS58" i="26"/>
  <c r="BS58" i="30"/>
  <c r="BS58" i="28"/>
  <c r="BS58" i="7"/>
  <c r="BS108" i="7"/>
  <c r="BS108" i="28"/>
  <c r="BS108" i="26"/>
  <c r="BS108" i="30"/>
  <c r="BS136" i="26"/>
  <c r="BS136" i="7"/>
  <c r="BS136" i="28"/>
  <c r="BS136" i="30"/>
  <c r="BS177" i="26"/>
  <c r="BS177" i="7"/>
  <c r="BS177" i="28"/>
  <c r="BS177" i="30"/>
  <c r="BS35" i="26"/>
  <c r="BS35" i="7"/>
  <c r="BS35" i="28"/>
  <c r="BS35" i="30"/>
  <c r="BS27" i="26"/>
  <c r="BS27" i="30"/>
  <c r="BS27" i="7"/>
  <c r="BS27" i="28"/>
  <c r="BS28" i="26"/>
  <c r="BS28" i="30"/>
  <c r="BS28" i="7"/>
  <c r="BS28" i="28"/>
  <c r="BS29" i="26"/>
  <c r="BS29" i="7"/>
  <c r="BS29" i="30"/>
  <c r="BS29" i="28"/>
  <c r="BS30" i="7"/>
  <c r="BS30" i="26"/>
  <c r="BS30" i="30"/>
  <c r="BS30" i="28"/>
  <c r="BS31" i="7"/>
  <c r="BS31" i="30"/>
  <c r="BS31" i="26"/>
  <c r="BS31" i="28"/>
  <c r="BS45" i="26"/>
  <c r="BS45" i="30"/>
  <c r="BS45" i="7"/>
  <c r="BS45" i="28"/>
  <c r="BS46" i="26"/>
  <c r="BS46" i="30"/>
  <c r="BS46" i="7"/>
  <c r="BS46" i="28"/>
  <c r="BS47" i="26"/>
  <c r="BS47" i="7"/>
  <c r="BS47" i="30"/>
  <c r="BS47" i="28"/>
  <c r="BS48" i="7"/>
  <c r="BS48" i="26"/>
  <c r="BS48" i="28"/>
  <c r="BS48" i="30"/>
  <c r="BS49" i="7"/>
  <c r="BS49" i="26"/>
  <c r="BS49" i="28"/>
  <c r="BS49" i="30"/>
  <c r="BS63" i="26"/>
  <c r="BS63" i="30"/>
  <c r="BS63" i="7"/>
  <c r="BS63" i="28"/>
  <c r="BS64" i="26"/>
  <c r="BS64" i="30"/>
  <c r="BS64" i="7"/>
  <c r="BS64" i="28"/>
  <c r="BS65" i="26"/>
  <c r="BS65" i="7"/>
  <c r="BS65" i="30"/>
  <c r="BS65" i="28"/>
  <c r="BS66" i="7"/>
  <c r="BS66" i="26"/>
  <c r="BS66" i="28"/>
  <c r="BS66" i="30"/>
  <c r="BS67" i="7"/>
  <c r="BS67" i="26"/>
  <c r="BS67" i="30"/>
  <c r="BS67" i="28"/>
  <c r="BS85" i="26"/>
  <c r="BS85" i="7"/>
  <c r="BS85" i="28"/>
  <c r="BS85" i="30"/>
  <c r="BS86" i="26"/>
  <c r="BS86" i="7"/>
  <c r="BS86" i="30"/>
  <c r="BS86" i="28"/>
  <c r="BS90" i="26"/>
  <c r="BS90" i="7"/>
  <c r="BS90" i="28"/>
  <c r="BS90" i="30"/>
  <c r="BS91" i="7"/>
  <c r="BS91" i="26"/>
  <c r="BS91" i="30"/>
  <c r="BS91" i="28"/>
  <c r="BS92" i="7"/>
  <c r="BS92" i="26"/>
  <c r="BS92" i="30"/>
  <c r="BS92" i="28"/>
  <c r="BS122" i="26"/>
  <c r="BS122" i="7"/>
  <c r="BS122" i="28"/>
  <c r="BS122" i="30"/>
  <c r="BS123" i="26"/>
  <c r="BS123" i="28"/>
  <c r="BS123" i="7"/>
  <c r="BS123" i="30"/>
  <c r="BS124" i="26"/>
  <c r="BS124" i="7"/>
  <c r="BS124" i="28"/>
  <c r="BS124" i="30"/>
  <c r="BS125" i="7"/>
  <c r="BS125" i="26"/>
  <c r="BS125" i="30"/>
  <c r="BS125" i="28"/>
  <c r="BS126" i="7"/>
  <c r="BS126" i="28"/>
  <c r="BS126" i="26"/>
  <c r="BS126" i="30"/>
  <c r="BS140" i="26"/>
  <c r="BS140" i="7"/>
  <c r="BS140" i="28"/>
  <c r="BS140" i="30"/>
  <c r="BS141" i="26"/>
  <c r="BS141" i="7"/>
  <c r="BS141" i="30"/>
  <c r="BS141" i="28"/>
  <c r="BS142" i="26"/>
  <c r="BS142" i="7"/>
  <c r="BS142" i="28"/>
  <c r="BS142" i="30"/>
  <c r="BS143" i="7"/>
  <c r="BS143" i="26"/>
  <c r="BS143" i="30"/>
  <c r="BS143" i="28"/>
  <c r="BS144" i="7"/>
  <c r="BS144" i="28"/>
  <c r="BS144" i="26"/>
  <c r="BS144" i="30"/>
  <c r="BS179" i="7"/>
  <c r="BS179" i="26"/>
  <c r="BS179" i="28"/>
  <c r="BS179" i="30"/>
  <c r="BS180" i="7"/>
  <c r="BS180" i="28"/>
  <c r="BS180" i="26"/>
  <c r="BS180" i="30"/>
  <c r="BS181" i="7"/>
  <c r="BS181" i="28"/>
  <c r="BS181" i="26"/>
  <c r="BS181" i="30"/>
  <c r="BS182" i="26"/>
  <c r="BS182" i="7"/>
  <c r="BS182" i="30"/>
  <c r="BS182" i="28"/>
  <c r="BS183" i="26"/>
  <c r="BS183" i="28"/>
  <c r="BS183" i="7"/>
  <c r="BS183" i="30"/>
  <c r="BS201" i="28"/>
  <c r="BS201" i="26"/>
  <c r="BS201" i="7"/>
  <c r="BS201" i="30"/>
  <c r="BT202" i="7"/>
  <c r="BT202" i="28"/>
  <c r="BT202" i="30"/>
  <c r="BT202" i="26"/>
  <c r="BS211" i="26"/>
  <c r="BS211" i="7"/>
  <c r="BS211" i="28"/>
  <c r="BS211" i="30"/>
  <c r="BT62" i="26"/>
  <c r="BT62" i="7"/>
  <c r="BT62" i="28"/>
  <c r="BT62" i="30"/>
  <c r="BS20" i="7"/>
  <c r="BS20" i="26"/>
  <c r="BS20" i="30"/>
  <c r="BS20" i="28"/>
  <c r="BS234" i="7"/>
  <c r="BS234" i="26"/>
  <c r="BS234" i="28"/>
  <c r="BS234" i="30"/>
  <c r="BT27" i="26"/>
  <c r="BT27" i="7"/>
  <c r="BT27" i="30"/>
  <c r="BT27" i="28"/>
  <c r="BT28" i="7"/>
  <c r="BT28" i="28"/>
  <c r="BT28" i="30"/>
  <c r="BT28" i="26"/>
  <c r="BT29" i="7"/>
  <c r="BT29" i="28"/>
  <c r="BT29" i="30"/>
  <c r="BT29" i="26"/>
  <c r="BT30" i="28"/>
  <c r="BT30" i="26"/>
  <c r="BT30" i="7"/>
  <c r="BT30" i="30"/>
  <c r="BT31" i="28"/>
  <c r="BT31" i="26"/>
  <c r="BT31" i="7"/>
  <c r="BT31" i="30"/>
  <c r="BT45" i="26"/>
  <c r="BT45" i="7"/>
  <c r="BT45" i="30"/>
  <c r="BT45" i="28"/>
  <c r="BT46" i="7"/>
  <c r="BT46" i="28"/>
  <c r="BT46" i="26"/>
  <c r="BT46" i="30"/>
  <c r="BT47" i="7"/>
  <c r="BT47" i="28"/>
  <c r="BT47" i="30"/>
  <c r="BT47" i="26"/>
  <c r="BT48" i="28"/>
  <c r="BT48" i="26"/>
  <c r="BT48" i="30"/>
  <c r="BT48" i="7"/>
  <c r="BT49" i="28"/>
  <c r="BT49" i="26"/>
  <c r="BT49" i="7"/>
  <c r="BT49" i="30"/>
  <c r="BT63" i="26"/>
  <c r="BT63" i="7"/>
  <c r="BT63" i="28"/>
  <c r="BT63" i="30"/>
  <c r="BT64" i="7"/>
  <c r="BT64" i="28"/>
  <c r="BT64" i="26"/>
  <c r="BT64" i="30"/>
  <c r="BT65" i="7"/>
  <c r="BT65" i="28"/>
  <c r="BT65" i="30"/>
  <c r="BT65" i="26"/>
  <c r="BT66" i="28"/>
  <c r="BT66" i="26"/>
  <c r="BT66" i="30"/>
  <c r="BT66" i="7"/>
  <c r="BT67" i="28"/>
  <c r="BT67" i="26"/>
  <c r="BT67" i="7"/>
  <c r="BT67" i="30"/>
  <c r="BT85" i="26"/>
  <c r="BT85" i="7"/>
  <c r="BT85" i="28"/>
  <c r="BT85" i="30"/>
  <c r="BT86" i="7"/>
  <c r="BT86" i="28"/>
  <c r="BT86" i="26"/>
  <c r="BT86" i="30"/>
  <c r="BT90" i="7"/>
  <c r="BT90" i="28"/>
  <c r="BT90" i="30"/>
  <c r="BT90" i="26"/>
  <c r="BT91" i="28"/>
  <c r="BT91" i="26"/>
  <c r="BT91" i="7"/>
  <c r="BT91" i="30"/>
  <c r="BT92" i="28"/>
  <c r="BT92" i="26"/>
  <c r="BT92" i="7"/>
  <c r="BT92" i="30"/>
  <c r="BT122" i="26"/>
  <c r="BT122" i="7"/>
  <c r="BT122" i="30"/>
  <c r="BT122" i="28"/>
  <c r="BT123" i="7"/>
  <c r="BT123" i="28"/>
  <c r="BT123" i="26"/>
  <c r="BT123" i="30"/>
  <c r="BT124" i="7"/>
  <c r="BT124" i="28"/>
  <c r="BT124" i="30"/>
  <c r="BT124" i="26"/>
  <c r="BT125" i="28"/>
  <c r="BT125" i="26"/>
  <c r="BT125" i="30"/>
  <c r="BT125" i="7"/>
  <c r="BT126" i="28"/>
  <c r="BT126" i="26"/>
  <c r="BT126" i="7"/>
  <c r="BT126" i="30"/>
  <c r="BT140" i="26"/>
  <c r="BT140" i="7"/>
  <c r="BT140" i="28"/>
  <c r="BT140" i="30"/>
  <c r="BT141" i="7"/>
  <c r="BT141" i="28"/>
  <c r="BT141" i="26"/>
  <c r="BT141" i="30"/>
  <c r="BT142" i="7"/>
  <c r="BT142" i="28"/>
  <c r="BT142" i="26"/>
  <c r="BT142" i="30"/>
  <c r="BT143" i="28"/>
  <c r="BT143" i="26"/>
  <c r="BT143" i="7"/>
  <c r="BT143" i="30"/>
  <c r="BT144" i="28"/>
  <c r="BT144" i="26"/>
  <c r="BT144" i="7"/>
  <c r="BT144" i="30"/>
  <c r="BT179" i="28"/>
  <c r="BT179" i="26"/>
  <c r="BT179" i="7"/>
  <c r="BT179" i="30"/>
  <c r="BT180" i="28"/>
  <c r="BT180" i="26"/>
  <c r="BT180" i="7"/>
  <c r="BT180" i="30"/>
  <c r="BT181" i="26"/>
  <c r="BT181" i="7"/>
  <c r="BT181" i="30"/>
  <c r="BT181" i="28"/>
  <c r="BT182" i="26"/>
  <c r="BT182" i="7"/>
  <c r="BT182" i="30"/>
  <c r="BT182" i="28"/>
  <c r="BT183" i="7"/>
  <c r="BT183" i="28"/>
  <c r="BT183" i="30"/>
  <c r="BT183" i="26"/>
  <c r="BT201" i="26"/>
  <c r="BT201" i="7"/>
  <c r="BT201" i="30"/>
  <c r="BT201" i="28"/>
  <c r="BT211" i="7"/>
  <c r="BT211" i="28"/>
  <c r="BT211" i="26"/>
  <c r="BT211" i="30"/>
  <c r="BS26" i="7"/>
  <c r="BS26" i="28"/>
  <c r="BS26" i="26"/>
  <c r="BS26" i="30"/>
  <c r="BS44" i="7"/>
  <c r="BS44" i="28"/>
  <c r="BS44" i="30"/>
  <c r="BS44" i="26"/>
  <c r="BS62" i="7"/>
  <c r="BS62" i="26"/>
  <c r="BS62" i="28"/>
  <c r="BS62" i="30"/>
  <c r="BS84" i="7"/>
  <c r="BS84" i="28"/>
  <c r="BS84" i="26"/>
  <c r="BS84" i="30"/>
  <c r="BS121" i="7"/>
  <c r="BS121" i="26"/>
  <c r="BS121" i="28"/>
  <c r="BS121" i="30"/>
  <c r="BS139" i="7"/>
  <c r="BS139" i="26"/>
  <c r="BS139" i="28"/>
  <c r="BS139" i="30"/>
  <c r="BS178" i="26"/>
  <c r="BS178" i="7"/>
  <c r="BS178" i="28"/>
  <c r="BS178" i="30"/>
  <c r="BS200" i="7"/>
  <c r="BS200" i="28"/>
  <c r="BS200" i="26"/>
  <c r="BS200" i="30"/>
  <c r="BS210" i="26"/>
  <c r="BS210" i="28"/>
  <c r="BS210" i="30"/>
  <c r="BS210" i="7"/>
  <c r="BS42" i="7"/>
  <c r="BS42" i="26"/>
  <c r="BS42" i="28"/>
  <c r="BS42" i="30"/>
  <c r="BS60" i="7"/>
  <c r="BS60" i="26"/>
  <c r="BS60" i="28"/>
  <c r="BS60" i="30"/>
  <c r="BS81" i="26"/>
  <c r="BS81" i="7"/>
  <c r="BS81" i="28"/>
  <c r="BS81" i="30"/>
  <c r="BS104" i="26"/>
  <c r="BS104" i="7"/>
  <c r="BS104" i="28"/>
  <c r="BS104" i="30"/>
  <c r="BS106" i="26"/>
  <c r="BS106" i="7"/>
  <c r="BS106" i="28"/>
  <c r="BS106" i="30"/>
  <c r="BS176" i="7"/>
  <c r="BS176" i="26"/>
  <c r="BS176" i="28"/>
  <c r="BS176" i="30"/>
  <c r="BS198" i="7"/>
  <c r="BS198" i="26"/>
  <c r="BS198" i="28"/>
  <c r="BS198" i="30"/>
  <c r="BT207" i="26"/>
  <c r="BT207" i="7"/>
  <c r="BT207" i="30"/>
  <c r="BT207" i="28"/>
  <c r="BT235" i="28"/>
  <c r="BT235" i="26"/>
  <c r="BT235" i="7"/>
  <c r="BT235" i="30"/>
  <c r="BT236" i="26"/>
  <c r="BT236" i="7"/>
  <c r="BT236" i="28"/>
  <c r="BT236" i="30"/>
  <c r="BT241" i="26"/>
  <c r="BT241" i="7"/>
  <c r="BT241" i="30"/>
  <c r="BT241" i="28"/>
  <c r="BT15" i="7"/>
  <c r="BT15" i="28"/>
  <c r="BT15" i="30"/>
  <c r="BT15" i="26"/>
  <c r="BT20" i="26"/>
  <c r="BT20" i="28"/>
  <c r="BT20" i="30"/>
  <c r="BT20" i="7"/>
  <c r="BT25" i="28"/>
  <c r="BT25" i="26"/>
  <c r="BT25" i="7"/>
  <c r="BT25" i="30"/>
  <c r="BT39" i="26"/>
  <c r="BT39" i="7"/>
  <c r="BT39" i="30"/>
  <c r="BT39" i="28"/>
  <c r="BT40" i="7"/>
  <c r="BT40" i="28"/>
  <c r="BT40" i="26"/>
  <c r="BT40" i="30"/>
  <c r="BT41" i="7"/>
  <c r="BT41" i="28"/>
  <c r="BT41" i="30"/>
  <c r="BT41" i="26"/>
  <c r="BT42" i="28"/>
  <c r="BT42" i="26"/>
  <c r="BT42" i="7"/>
  <c r="BT42" i="30"/>
  <c r="BT43" i="28"/>
  <c r="BT43" i="26"/>
  <c r="BT43" i="7"/>
  <c r="BT43" i="30"/>
  <c r="BT57" i="26"/>
  <c r="BT57" i="7"/>
  <c r="BT57" i="30"/>
  <c r="BT57" i="28"/>
  <c r="BT58" i="7"/>
  <c r="BT58" i="28"/>
  <c r="BT58" i="30"/>
  <c r="BT58" i="26"/>
  <c r="BT59" i="7"/>
  <c r="BT59" i="28"/>
  <c r="BT59" i="26"/>
  <c r="BT59" i="30"/>
  <c r="BT60" i="28"/>
  <c r="BT60" i="26"/>
  <c r="BT60" i="7"/>
  <c r="BT60" i="30"/>
  <c r="BT61" i="28"/>
  <c r="BT61" i="26"/>
  <c r="BT61" i="7"/>
  <c r="BT61" i="30"/>
  <c r="BT75" i="26"/>
  <c r="BT75" i="7"/>
  <c r="BT75" i="28"/>
  <c r="BT75" i="30"/>
  <c r="BT76" i="7"/>
  <c r="BT76" i="28"/>
  <c r="BT76" i="26"/>
  <c r="BT76" i="30"/>
  <c r="BT81" i="7"/>
  <c r="BT81" i="28"/>
  <c r="BT81" i="30"/>
  <c r="BT81" i="26"/>
  <c r="BT82" i="28"/>
  <c r="BT82" i="26"/>
  <c r="BT82" i="30"/>
  <c r="BT82" i="7"/>
  <c r="BT83" i="28"/>
  <c r="BT83" i="26"/>
  <c r="BT83" i="7"/>
  <c r="BT83" i="30"/>
  <c r="BT104" i="26"/>
  <c r="BT104" i="7"/>
  <c r="BT104" i="30"/>
  <c r="BT104" i="28"/>
  <c r="BT105" i="7"/>
  <c r="BT105" i="28"/>
  <c r="BT105" i="26"/>
  <c r="BT105" i="30"/>
  <c r="BT106" i="7"/>
  <c r="BT106" i="28"/>
  <c r="BT106" i="30"/>
  <c r="BT106" i="26"/>
  <c r="BT107" i="28"/>
  <c r="BT107" i="26"/>
  <c r="BT107" i="30"/>
  <c r="BT107" i="7"/>
  <c r="BT108" i="28"/>
  <c r="BT108" i="26"/>
  <c r="BT108" i="7"/>
  <c r="BT108" i="30"/>
  <c r="BT134" i="26"/>
  <c r="BT134" i="7"/>
  <c r="BT134" i="30"/>
  <c r="BT134" i="28"/>
  <c r="BT135" i="7"/>
  <c r="BT135" i="28"/>
  <c r="BT135" i="26"/>
  <c r="BT135" i="30"/>
  <c r="BT136" i="7"/>
  <c r="BT136" i="28"/>
  <c r="BT136" i="26"/>
  <c r="BT136" i="30"/>
  <c r="BT137" i="28"/>
  <c r="BT137" i="26"/>
  <c r="BT137" i="30"/>
  <c r="BT137" i="7"/>
  <c r="BT138" i="28"/>
  <c r="BT138" i="26"/>
  <c r="BT138" i="7"/>
  <c r="BT138" i="30"/>
  <c r="BT176" i="26"/>
  <c r="BT176" i="7"/>
  <c r="BT176" i="30"/>
  <c r="BT176" i="28"/>
  <c r="BT177" i="26"/>
  <c r="BT177" i="7"/>
  <c r="BT177" i="28"/>
  <c r="BT177" i="30"/>
  <c r="BT184" i="7"/>
  <c r="BT184" i="28"/>
  <c r="BT184" i="26"/>
  <c r="BT184" i="30"/>
  <c r="BT198" i="28"/>
  <c r="BT198" i="26"/>
  <c r="BT198" i="7"/>
  <c r="BT198" i="30"/>
  <c r="BT206" i="26"/>
  <c r="BT206" i="7"/>
  <c r="BT206" i="30"/>
  <c r="BT206" i="28"/>
  <c r="BT234" i="28"/>
  <c r="BT234" i="26"/>
  <c r="BT234" i="7"/>
  <c r="BT234" i="30"/>
  <c r="BT210" i="7"/>
  <c r="BT210" i="28"/>
  <c r="BT210" i="26"/>
  <c r="BT210" i="30"/>
  <c r="BS236" i="28"/>
  <c r="BS236" i="7"/>
  <c r="BS236" i="26"/>
  <c r="BS236" i="30"/>
  <c r="BS15" i="26"/>
  <c r="BS15" i="7"/>
  <c r="BS15" i="28"/>
  <c r="BS15" i="30"/>
  <c r="BS41" i="26"/>
  <c r="BS41" i="7"/>
  <c r="BS41" i="30"/>
  <c r="BS41" i="28"/>
  <c r="BT199" i="28"/>
  <c r="BT199" i="26"/>
  <c r="BT199" i="7"/>
  <c r="BT199" i="30"/>
  <c r="BS206" i="7"/>
  <c r="BS206" i="28"/>
  <c r="BS206" i="30"/>
  <c r="BS206" i="26"/>
  <c r="BS14" i="26"/>
  <c r="BS14" i="30"/>
  <c r="BS14" i="28"/>
  <c r="BS14" i="7"/>
  <c r="BS38" i="7"/>
  <c r="BS38" i="26"/>
  <c r="BS38" i="30"/>
  <c r="BS38" i="28"/>
  <c r="BS56" i="7"/>
  <c r="BS56" i="26"/>
  <c r="BS56" i="28"/>
  <c r="BS56" i="30"/>
  <c r="BS74" i="7"/>
  <c r="BS74" i="26"/>
  <c r="BS74" i="28"/>
  <c r="BS74" i="30"/>
  <c r="BS103" i="7"/>
  <c r="BS103" i="28"/>
  <c r="BS103" i="26"/>
  <c r="BS103" i="30"/>
  <c r="BS133" i="7"/>
  <c r="BS133" i="26"/>
  <c r="BS133" i="28"/>
  <c r="BS133" i="30"/>
  <c r="BS151" i="7"/>
  <c r="BS151" i="28"/>
  <c r="BS151" i="26"/>
  <c r="BS151" i="30"/>
  <c r="BS197" i="26"/>
  <c r="BS197" i="7"/>
  <c r="BS197" i="28"/>
  <c r="BS197" i="30"/>
  <c r="BS205" i="7"/>
  <c r="BS205" i="28"/>
  <c r="BS205" i="26"/>
  <c r="BS205" i="30"/>
  <c r="BS233" i="26"/>
  <c r="BS233" i="7"/>
  <c r="BS233" i="28"/>
  <c r="BS233" i="30"/>
  <c r="BT44" i="26"/>
  <c r="BT44" i="7"/>
  <c r="BT44" i="28"/>
  <c r="BT44" i="30"/>
  <c r="BT121" i="26"/>
  <c r="BT121" i="7"/>
  <c r="BT121" i="30"/>
  <c r="BT121" i="28"/>
  <c r="BS40" i="26"/>
  <c r="BS40" i="30"/>
  <c r="BS40" i="28"/>
  <c r="BS40" i="7"/>
  <c r="BS43" i="7"/>
  <c r="BS43" i="26"/>
  <c r="BS43" i="30"/>
  <c r="BS43" i="28"/>
  <c r="BS57" i="26"/>
  <c r="BS57" i="30"/>
  <c r="BS57" i="7"/>
  <c r="BS57" i="28"/>
  <c r="BS82" i="7"/>
  <c r="BS82" i="26"/>
  <c r="BS82" i="30"/>
  <c r="BS82" i="28"/>
  <c r="BS107" i="7"/>
  <c r="BS107" i="26"/>
  <c r="BS107" i="30"/>
  <c r="BS107" i="28"/>
  <c r="BS138" i="7"/>
  <c r="BS138" i="28"/>
  <c r="BS138" i="26"/>
  <c r="BS138" i="30"/>
  <c r="BS184" i="26"/>
  <c r="BS184" i="28"/>
  <c r="BS184" i="30"/>
  <c r="BS184" i="7"/>
  <c r="BT56" i="26"/>
  <c r="BT56" i="7"/>
  <c r="BT56" i="28"/>
  <c r="BT56" i="30"/>
  <c r="BT74" i="26"/>
  <c r="BT74" i="7"/>
  <c r="BT74" i="30"/>
  <c r="BT74" i="28"/>
  <c r="BT103" i="26"/>
  <c r="BT103" i="7"/>
  <c r="BT103" i="28"/>
  <c r="BT103" i="30"/>
  <c r="BT133" i="26"/>
  <c r="BT133" i="7"/>
  <c r="BT133" i="30"/>
  <c r="BT133" i="28"/>
  <c r="BT151" i="26"/>
  <c r="BT151" i="7"/>
  <c r="BT151" i="28"/>
  <c r="BT151" i="30"/>
  <c r="BT197" i="7"/>
  <c r="BT197" i="28"/>
  <c r="BT197" i="26"/>
  <c r="BT197" i="30"/>
  <c r="BS204" i="7"/>
  <c r="BS204" i="26"/>
  <c r="BS204" i="28"/>
  <c r="BS204" i="30"/>
  <c r="BT205" i="28"/>
  <c r="BT205" i="26"/>
  <c r="BT205" i="7"/>
  <c r="BT205" i="30"/>
  <c r="BT233" i="7"/>
  <c r="BT233" i="28"/>
  <c r="BT233" i="26"/>
  <c r="BT233" i="30"/>
  <c r="BT84" i="26"/>
  <c r="BT84" i="7"/>
  <c r="BT84" i="28"/>
  <c r="BT84" i="30"/>
  <c r="BT139" i="26"/>
  <c r="BT139" i="7"/>
  <c r="BT139" i="28"/>
  <c r="BT139" i="30"/>
  <c r="BS241" i="28"/>
  <c r="BS241" i="26"/>
  <c r="BS241" i="7"/>
  <c r="BS241" i="30"/>
  <c r="BS25" i="7"/>
  <c r="BS25" i="30"/>
  <c r="BS25" i="26"/>
  <c r="BS25" i="28"/>
  <c r="BS39" i="26"/>
  <c r="BS39" i="30"/>
  <c r="BS39" i="7"/>
  <c r="BS39" i="28"/>
  <c r="BS61" i="7"/>
  <c r="BS61" i="26"/>
  <c r="BS61" i="28"/>
  <c r="BS61" i="30"/>
  <c r="BS83" i="7"/>
  <c r="BS83" i="26"/>
  <c r="BS83" i="30"/>
  <c r="BS83" i="28"/>
  <c r="BS105" i="26"/>
  <c r="BS105" i="30"/>
  <c r="BS105" i="28"/>
  <c r="BS105" i="7"/>
  <c r="BS134" i="26"/>
  <c r="BS134" i="7"/>
  <c r="BS134" i="28"/>
  <c r="BS134" i="30"/>
  <c r="BS12" i="7"/>
  <c r="BS12" i="30"/>
  <c r="BS12" i="26"/>
  <c r="BS12" i="28"/>
  <c r="BS36" i="7"/>
  <c r="BS36" i="26"/>
  <c r="BS36" i="28"/>
  <c r="BS36" i="30"/>
  <c r="BS37" i="7"/>
  <c r="BS37" i="30"/>
  <c r="BS37" i="26"/>
  <c r="BS37" i="28"/>
  <c r="BS51" i="26"/>
  <c r="BS51" i="30"/>
  <c r="BS51" i="7"/>
  <c r="BS51" i="28"/>
  <c r="BS52" i="26"/>
  <c r="BS52" i="30"/>
  <c r="BS52" i="7"/>
  <c r="BS52" i="28"/>
  <c r="BS53" i="26"/>
  <c r="BS53" i="7"/>
  <c r="BS53" i="28"/>
  <c r="BS53" i="30"/>
  <c r="BS54" i="7"/>
  <c r="BS54" i="26"/>
  <c r="BS54" i="28"/>
  <c r="BS54" i="30"/>
  <c r="BS55" i="7"/>
  <c r="BS55" i="26"/>
  <c r="BS55" i="30"/>
  <c r="BS55" i="28"/>
  <c r="BS69" i="26"/>
  <c r="BS69" i="30"/>
  <c r="BS69" i="7"/>
  <c r="BS69" i="28"/>
  <c r="BS70" i="26"/>
  <c r="BS70" i="28"/>
  <c r="BS70" i="7"/>
  <c r="BS70" i="30"/>
  <c r="BS98" i="26"/>
  <c r="BS98" i="7"/>
  <c r="BS98" i="28"/>
  <c r="BS98" i="30"/>
  <c r="BS99" i="26"/>
  <c r="BS99" i="7"/>
  <c r="BS99" i="28"/>
  <c r="BS99" i="30"/>
  <c r="BS100" i="26"/>
  <c r="BS100" i="7"/>
  <c r="BS100" i="28"/>
  <c r="BS100" i="30"/>
  <c r="BS101" i="7"/>
  <c r="BS101" i="26"/>
  <c r="BS101" i="30"/>
  <c r="BS101" i="28"/>
  <c r="BS102" i="7"/>
  <c r="BS102" i="28"/>
  <c r="BS102" i="26"/>
  <c r="BS102" i="30"/>
  <c r="BS128" i="26"/>
  <c r="BS128" i="7"/>
  <c r="BS128" i="28"/>
  <c r="BS128" i="30"/>
  <c r="BS129" i="26"/>
  <c r="BS129" i="7"/>
  <c r="BS129" i="30"/>
  <c r="BS129" i="28"/>
  <c r="BS130" i="26"/>
  <c r="BS130" i="7"/>
  <c r="BS130" i="28"/>
  <c r="BS130" i="30"/>
  <c r="BS131" i="7"/>
  <c r="BS131" i="26"/>
  <c r="BS131" i="30"/>
  <c r="BS131" i="28"/>
  <c r="BS132" i="7"/>
  <c r="BS132" i="28"/>
  <c r="BS132" i="26"/>
  <c r="BS132" i="30"/>
  <c r="BS146" i="26"/>
  <c r="BS146" i="7"/>
  <c r="BS146" i="28"/>
  <c r="BS146" i="30"/>
  <c r="BS147" i="26"/>
  <c r="BS147" i="7"/>
  <c r="BS147" i="28"/>
  <c r="BS147" i="30"/>
  <c r="BS148" i="26"/>
  <c r="BS148" i="7"/>
  <c r="BS148" i="28"/>
  <c r="BS148" i="30"/>
  <c r="BS149" i="7"/>
  <c r="BS149" i="26"/>
  <c r="BS149" i="30"/>
  <c r="BS149" i="28"/>
  <c r="BS150" i="7"/>
  <c r="BS150" i="28"/>
  <c r="BS150" i="26"/>
  <c r="BS150" i="30"/>
  <c r="BS192" i="7"/>
  <c r="BS192" i="26"/>
  <c r="BS192" i="28"/>
  <c r="BS192" i="30"/>
  <c r="BS193" i="7"/>
  <c r="BS193" i="28"/>
  <c r="BS193" i="26"/>
  <c r="BS193" i="30"/>
  <c r="BS194" i="7"/>
  <c r="BS194" i="26"/>
  <c r="BS194" i="30"/>
  <c r="BS194" i="28"/>
  <c r="BS195" i="26"/>
  <c r="BS195" i="7"/>
  <c r="BS195" i="30"/>
  <c r="BS195" i="28"/>
  <c r="BS196" i="26"/>
  <c r="BS196" i="28"/>
  <c r="BS196" i="7"/>
  <c r="BS196" i="30"/>
  <c r="BT204" i="28"/>
  <c r="BT204" i="26"/>
  <c r="BT204" i="7"/>
  <c r="BT204" i="30"/>
  <c r="BS214" i="7"/>
  <c r="BS214" i="26"/>
  <c r="BS214" i="28"/>
  <c r="BS214" i="30"/>
  <c r="BS219" i="28"/>
  <c r="BS219" i="26"/>
  <c r="BS219" i="7"/>
  <c r="BS219" i="30"/>
  <c r="BS232" i="26"/>
  <c r="BS232" i="28"/>
  <c r="BS232" i="30"/>
  <c r="BS232" i="7"/>
  <c r="BS199" i="7"/>
  <c r="BS199" i="28"/>
  <c r="BS199" i="26"/>
  <c r="BS199" i="30"/>
  <c r="BS242" i="26"/>
  <c r="BS242" i="28"/>
  <c r="BS242" i="30"/>
  <c r="BS242" i="7"/>
  <c r="BS59" i="26"/>
  <c r="BS59" i="7"/>
  <c r="BS59" i="30"/>
  <c r="BS59" i="28"/>
  <c r="BS76" i="26"/>
  <c r="BS76" i="28"/>
  <c r="BS76" i="30"/>
  <c r="BS76" i="7"/>
  <c r="BT38" i="26"/>
  <c r="BT38" i="7"/>
  <c r="BT38" i="28"/>
  <c r="BT38" i="30"/>
  <c r="BS11" i="7"/>
  <c r="BS11" i="26"/>
  <c r="BS11" i="28"/>
  <c r="BS11" i="30"/>
  <c r="BS13" i="26"/>
  <c r="BS13" i="30"/>
  <c r="BS13" i="7"/>
  <c r="BS13" i="28"/>
  <c r="BS34" i="26"/>
  <c r="BS34" i="30"/>
  <c r="BS34" i="28"/>
  <c r="BS34" i="7"/>
  <c r="BS71" i="26"/>
  <c r="BS71" i="7"/>
  <c r="BS71" i="28"/>
  <c r="BS71" i="30"/>
  <c r="BT11" i="28"/>
  <c r="BT11" i="26"/>
  <c r="BT11" i="7"/>
  <c r="BT11" i="30"/>
  <c r="BT34" i="7"/>
  <c r="BT34" i="28"/>
  <c r="BT34" i="26"/>
  <c r="BT34" i="30"/>
  <c r="BT37" i="28"/>
  <c r="BT37" i="26"/>
  <c r="BT37" i="7"/>
  <c r="BT37" i="30"/>
  <c r="BT51" i="26"/>
  <c r="BT51" i="7"/>
  <c r="BT51" i="30"/>
  <c r="BT51" i="28"/>
  <c r="BT55" i="28"/>
  <c r="BT55" i="26"/>
  <c r="BT55" i="7"/>
  <c r="BT55" i="30"/>
  <c r="BT70" i="7"/>
  <c r="BT70" i="28"/>
  <c r="BT70" i="26"/>
  <c r="BT70" i="30"/>
  <c r="BT73" i="28"/>
  <c r="BT73" i="26"/>
  <c r="BT73" i="7"/>
  <c r="BT73" i="30"/>
  <c r="BT99" i="7"/>
  <c r="BT99" i="28"/>
  <c r="BT99" i="26"/>
  <c r="BT99" i="30"/>
  <c r="BT101" i="28"/>
  <c r="BT101" i="26"/>
  <c r="BT101" i="7"/>
  <c r="BT101" i="30"/>
  <c r="BT128" i="26"/>
  <c r="BT128" i="7"/>
  <c r="BT128" i="30"/>
  <c r="BT128" i="28"/>
  <c r="BT131" i="28"/>
  <c r="BT131" i="26"/>
  <c r="BT131" i="30"/>
  <c r="BT131" i="7"/>
  <c r="BT147" i="7"/>
  <c r="BT147" i="28"/>
  <c r="BT147" i="26"/>
  <c r="BT147" i="30"/>
  <c r="BT150" i="28"/>
  <c r="BT150" i="26"/>
  <c r="BT150" i="7"/>
  <c r="BT150" i="30"/>
  <c r="BT193" i="28"/>
  <c r="BT193" i="26"/>
  <c r="BT193" i="7"/>
  <c r="BT193" i="30"/>
  <c r="BT195" i="26"/>
  <c r="BT195" i="7"/>
  <c r="BT195" i="30"/>
  <c r="BT195" i="28"/>
  <c r="BS203" i="26"/>
  <c r="BS203" i="7"/>
  <c r="BS203" i="28"/>
  <c r="BS203" i="30"/>
  <c r="BS213" i="7"/>
  <c r="BS213" i="28"/>
  <c r="BS213" i="26"/>
  <c r="BS213" i="30"/>
  <c r="BT219" i="26"/>
  <c r="BT219" i="7"/>
  <c r="BT219" i="28"/>
  <c r="BT219" i="30"/>
  <c r="BT232" i="7"/>
  <c r="BT232" i="28"/>
  <c r="BT232" i="26"/>
  <c r="BT232" i="30"/>
  <c r="BS75" i="26"/>
  <c r="BS75" i="7"/>
  <c r="BS75" i="30"/>
  <c r="BS75" i="28"/>
  <c r="BS135" i="26"/>
  <c r="BS135" i="28"/>
  <c r="BS135" i="30"/>
  <c r="BS135" i="7"/>
  <c r="BT242" i="7"/>
  <c r="BT242" i="28"/>
  <c r="BT242" i="26"/>
  <c r="BT242" i="30"/>
  <c r="BS73" i="7"/>
  <c r="BS73" i="26"/>
  <c r="BS73" i="30"/>
  <c r="BS73" i="28"/>
  <c r="BT12" i="26"/>
  <c r="BT12" i="7"/>
  <c r="BT12" i="30"/>
  <c r="BT12" i="28"/>
  <c r="BT33" i="26"/>
  <c r="BT33" i="7"/>
  <c r="BT33" i="28"/>
  <c r="BT33" i="30"/>
  <c r="BT36" i="28"/>
  <c r="BT36" i="26"/>
  <c r="BT36" i="30"/>
  <c r="BT36" i="7"/>
  <c r="BT52" i="7"/>
  <c r="BT52" i="28"/>
  <c r="BT52" i="30"/>
  <c r="BT52" i="26"/>
  <c r="BT54" i="28"/>
  <c r="BT54" i="26"/>
  <c r="BT54" i="7"/>
  <c r="BT54" i="30"/>
  <c r="BT69" i="26"/>
  <c r="BT69" i="7"/>
  <c r="BT69" i="28"/>
  <c r="BT69" i="30"/>
  <c r="BT71" i="7"/>
  <c r="BT71" i="28"/>
  <c r="BT71" i="30"/>
  <c r="BT71" i="26"/>
  <c r="BT72" i="28"/>
  <c r="BT72" i="26"/>
  <c r="BT72" i="30"/>
  <c r="BT72" i="7"/>
  <c r="BT98" i="26"/>
  <c r="BT98" i="7"/>
  <c r="BT98" i="30"/>
  <c r="BT98" i="28"/>
  <c r="BT100" i="7"/>
  <c r="BT100" i="28"/>
  <c r="BT100" i="30"/>
  <c r="BT100" i="26"/>
  <c r="BT102" i="28"/>
  <c r="BT102" i="26"/>
  <c r="BT102" i="7"/>
  <c r="BT102" i="30"/>
  <c r="BT129" i="7"/>
  <c r="BT129" i="28"/>
  <c r="BT129" i="26"/>
  <c r="BT129" i="30"/>
  <c r="BT130" i="7"/>
  <c r="BT130" i="28"/>
  <c r="BT130" i="26"/>
  <c r="BT130" i="30"/>
  <c r="BT132" i="28"/>
  <c r="BT132" i="26"/>
  <c r="BT132" i="7"/>
  <c r="BT132" i="30"/>
  <c r="BT148" i="7"/>
  <c r="BT148" i="28"/>
  <c r="BT148" i="26"/>
  <c r="BT148" i="30"/>
  <c r="BT149" i="28"/>
  <c r="BT149" i="26"/>
  <c r="BT149" i="7"/>
  <c r="BT149" i="30"/>
  <c r="BT192" i="28"/>
  <c r="BT192" i="26"/>
  <c r="BT192" i="7"/>
  <c r="BT192" i="30"/>
  <c r="BT196" i="7"/>
  <c r="BT196" i="28"/>
  <c r="BT196" i="26"/>
  <c r="BT196" i="30"/>
  <c r="BT214" i="26"/>
  <c r="BT214" i="7"/>
  <c r="BT214" i="30"/>
  <c r="BT214" i="28"/>
  <c r="BS32" i="7"/>
  <c r="BS32" i="26"/>
  <c r="BS32" i="28"/>
  <c r="BS32" i="30"/>
  <c r="BS50" i="7"/>
  <c r="BS50" i="30"/>
  <c r="BS50" i="28"/>
  <c r="BS50" i="26"/>
  <c r="BS68" i="7"/>
  <c r="BS68" i="28"/>
  <c r="BS68" i="30"/>
  <c r="BS68" i="26"/>
  <c r="BS93" i="7"/>
  <c r="BS93" i="26"/>
  <c r="BS93" i="28"/>
  <c r="BS93" i="30"/>
  <c r="BS127" i="7"/>
  <c r="BS127" i="28"/>
  <c r="BS127" i="26"/>
  <c r="BS127" i="30"/>
  <c r="BS145" i="7"/>
  <c r="BS145" i="28"/>
  <c r="BS145" i="26"/>
  <c r="BS145" i="30"/>
  <c r="BS191" i="26"/>
  <c r="BS191" i="7"/>
  <c r="BS191" i="28"/>
  <c r="BS191" i="30"/>
  <c r="BT203" i="7"/>
  <c r="BT203" i="28"/>
  <c r="BT203" i="26"/>
  <c r="BT203" i="30"/>
  <c r="BS212" i="7"/>
  <c r="BS212" i="26"/>
  <c r="BS212" i="28"/>
  <c r="BS212" i="30"/>
  <c r="BT213" i="28"/>
  <c r="BT213" i="26"/>
  <c r="BT213" i="7"/>
  <c r="BT213" i="30"/>
  <c r="I11" i="7"/>
  <c r="I11" i="26"/>
  <c r="I11" i="28"/>
  <c r="I11" i="30"/>
  <c r="H242" i="26"/>
  <c r="H242" i="30"/>
  <c r="H242" i="28"/>
  <c r="H242" i="7"/>
  <c r="I242" i="7"/>
  <c r="I242" i="28"/>
  <c r="I242" i="30"/>
  <c r="I242" i="26"/>
  <c r="H241" i="28"/>
  <c r="H241" i="26"/>
  <c r="H241" i="7"/>
  <c r="H241" i="30"/>
  <c r="I241" i="7"/>
  <c r="I241" i="28"/>
  <c r="I241" i="30"/>
  <c r="I241" i="26"/>
  <c r="H212" i="26"/>
  <c r="H212" i="30"/>
  <c r="H212" i="28"/>
  <c r="H212" i="7"/>
  <c r="I212" i="26"/>
  <c r="I212" i="30"/>
  <c r="I212" i="7"/>
  <c r="I212" i="28"/>
  <c r="I213" i="7"/>
  <c r="I213" i="26"/>
  <c r="I213" i="30"/>
  <c r="I213" i="28"/>
  <c r="H213" i="26"/>
  <c r="H213" i="30"/>
  <c r="H213" i="28"/>
  <c r="H213" i="7"/>
  <c r="H197" i="28"/>
  <c r="H197" i="26"/>
  <c r="H197" i="7"/>
  <c r="H197" i="30"/>
  <c r="H203" i="7"/>
  <c r="H203" i="30"/>
  <c r="H203" i="28"/>
  <c r="H203" i="26"/>
  <c r="H198" i="30"/>
  <c r="H198" i="28"/>
  <c r="H198" i="26"/>
  <c r="H198" i="7"/>
  <c r="H204" i="7"/>
  <c r="H204" i="30"/>
  <c r="H204" i="28"/>
  <c r="H204" i="26"/>
  <c r="H199" i="7"/>
  <c r="H199" i="26"/>
  <c r="H199" i="30"/>
  <c r="H199" i="28"/>
  <c r="H205" i="30"/>
  <c r="H205" i="28"/>
  <c r="H205" i="7"/>
  <c r="H205" i="26"/>
  <c r="H200" i="28"/>
  <c r="H200" i="7"/>
  <c r="H200" i="30"/>
  <c r="H200" i="26"/>
  <c r="H201" i="30"/>
  <c r="H201" i="26"/>
  <c r="H201" i="28"/>
  <c r="H201" i="7"/>
  <c r="H207" i="7"/>
  <c r="H207" i="30"/>
  <c r="H207" i="28"/>
  <c r="H207" i="26"/>
  <c r="H196" i="26"/>
  <c r="H196" i="7"/>
  <c r="H196" i="30"/>
  <c r="H196" i="28"/>
  <c r="H202" i="7"/>
  <c r="H202" i="30"/>
  <c r="H202" i="28"/>
  <c r="H202" i="26"/>
  <c r="H206" i="7"/>
  <c r="H206" i="30"/>
  <c r="H206" i="28"/>
  <c r="H206" i="26"/>
  <c r="I203" i="28"/>
  <c r="I203" i="26"/>
  <c r="I203" i="30"/>
  <c r="I203" i="7"/>
  <c r="I204" i="30"/>
  <c r="I204" i="28"/>
  <c r="I204" i="26"/>
  <c r="I204" i="7"/>
  <c r="I197" i="28"/>
  <c r="I197" i="26"/>
  <c r="I197" i="7"/>
  <c r="I197" i="30"/>
  <c r="I198" i="30"/>
  <c r="I198" i="7"/>
  <c r="I198" i="28"/>
  <c r="I198" i="26"/>
  <c r="I199" i="7"/>
  <c r="I199" i="30"/>
  <c r="I199" i="28"/>
  <c r="I199" i="26"/>
  <c r="I205" i="7"/>
  <c r="I205" i="28"/>
  <c r="I205" i="30"/>
  <c r="I205" i="26"/>
  <c r="I200" i="7"/>
  <c r="I200" i="30"/>
  <c r="I200" i="28"/>
  <c r="I200" i="26"/>
  <c r="I206" i="30"/>
  <c r="I206" i="28"/>
  <c r="I206" i="7"/>
  <c r="I206" i="26"/>
  <c r="I201" i="30"/>
  <c r="I201" i="7"/>
  <c r="I201" i="28"/>
  <c r="I201" i="26"/>
  <c r="I207" i="30"/>
  <c r="I207" i="7"/>
  <c r="I207" i="28"/>
  <c r="I207" i="26"/>
  <c r="I202" i="26"/>
  <c r="I202" i="7"/>
  <c r="I202" i="30"/>
  <c r="I202" i="28"/>
  <c r="I196" i="28"/>
  <c r="I196" i="26"/>
  <c r="I196" i="30"/>
  <c r="I196" i="7"/>
  <c r="O26" i="7"/>
  <c r="P26" i="7"/>
  <c r="Q26" i="7"/>
  <c r="R26" i="7"/>
  <c r="S26" i="7" s="1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G67" i="30"/>
  <c r="BH67" i="30"/>
  <c r="BI67" i="30"/>
  <c r="BJ67" i="30"/>
  <c r="BK67" i="30"/>
  <c r="BL67" i="30"/>
  <c r="BM67" i="30"/>
  <c r="BN67" i="30"/>
  <c r="BO67" i="30"/>
  <c r="BP67" i="30"/>
  <c r="AN68" i="30"/>
  <c r="AO68" i="30"/>
  <c r="AP68" i="30"/>
  <c r="AQ68" i="30"/>
  <c r="AR68" i="30"/>
  <c r="AS68" i="30"/>
  <c r="AT68" i="30"/>
  <c r="AU68" i="30"/>
  <c r="AV68" i="30"/>
  <c r="AW68" i="30"/>
  <c r="AX68" i="30"/>
  <c r="AY68" i="30"/>
  <c r="AZ68" i="30"/>
  <c r="BA68" i="30"/>
  <c r="BB68" i="30"/>
  <c r="BC68" i="30"/>
  <c r="BD68" i="30"/>
  <c r="BE68" i="30"/>
  <c r="BF68" i="30"/>
  <c r="BG68" i="30"/>
  <c r="BH68" i="30"/>
  <c r="BI68" i="30"/>
  <c r="BJ68" i="30"/>
  <c r="BK68" i="30"/>
  <c r="BL68" i="30"/>
  <c r="BM68" i="30"/>
  <c r="BN68" i="30"/>
  <c r="BO68" i="30"/>
  <c r="BP68" i="30"/>
  <c r="AN69" i="30"/>
  <c r="AO69" i="30"/>
  <c r="AP69" i="30"/>
  <c r="AQ69" i="30"/>
  <c r="AR69" i="30"/>
  <c r="AS69" i="30"/>
  <c r="AT69" i="30"/>
  <c r="AU69" i="30"/>
  <c r="AV69" i="30"/>
  <c r="AW69" i="30"/>
  <c r="AX69" i="30"/>
  <c r="AY69" i="30"/>
  <c r="AZ69" i="30"/>
  <c r="BA69" i="30"/>
  <c r="BB69" i="30"/>
  <c r="BC69" i="30"/>
  <c r="BD69" i="30"/>
  <c r="BE69" i="30"/>
  <c r="BF69" i="30"/>
  <c r="BG69" i="30"/>
  <c r="BH69" i="30"/>
  <c r="BI69" i="30"/>
  <c r="BJ69" i="30"/>
  <c r="BK69" i="30"/>
  <c r="BL69" i="30"/>
  <c r="BM69" i="30"/>
  <c r="BN69" i="30"/>
  <c r="BO69" i="30"/>
  <c r="BP69" i="30"/>
  <c r="AN70" i="30"/>
  <c r="AO70" i="30"/>
  <c r="AP70" i="30"/>
  <c r="AQ70" i="30"/>
  <c r="AR70" i="30"/>
  <c r="AS70" i="30"/>
  <c r="AT70" i="30"/>
  <c r="AU70" i="30"/>
  <c r="AV70" i="30"/>
  <c r="AW70" i="30"/>
  <c r="AX70" i="30"/>
  <c r="AY70" i="30"/>
  <c r="AZ70" i="30"/>
  <c r="BA70" i="30"/>
  <c r="BB70" i="30"/>
  <c r="BC70" i="30"/>
  <c r="BD70" i="30"/>
  <c r="BE70" i="30"/>
  <c r="BF70" i="30"/>
  <c r="BG70" i="30"/>
  <c r="BH70" i="30"/>
  <c r="BI70" i="30"/>
  <c r="BJ70" i="30"/>
  <c r="BK70" i="30"/>
  <c r="BL70" i="30"/>
  <c r="BM70" i="30"/>
  <c r="BN70" i="30"/>
  <c r="BO70" i="30"/>
  <c r="BP70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G66" i="30"/>
  <c r="BH66" i="30"/>
  <c r="BI66" i="30"/>
  <c r="BJ66" i="30"/>
  <c r="BK66" i="30"/>
  <c r="BL66" i="30"/>
  <c r="BM66" i="30"/>
  <c r="BN66" i="30"/>
  <c r="BO66" i="30"/>
  <c r="BP66" i="30"/>
  <c r="AN66" i="30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G67" i="28"/>
  <c r="BH67" i="28"/>
  <c r="BI67" i="28"/>
  <c r="BJ67" i="28"/>
  <c r="BK67" i="28"/>
  <c r="BL67" i="28"/>
  <c r="BM67" i="28"/>
  <c r="BN67" i="28"/>
  <c r="BO67" i="28"/>
  <c r="BP67" i="28"/>
  <c r="AN68" i="28"/>
  <c r="AO68" i="28"/>
  <c r="AP68" i="28"/>
  <c r="AQ68" i="28"/>
  <c r="AR68" i="28"/>
  <c r="AS68" i="28"/>
  <c r="AT68" i="28"/>
  <c r="AU68" i="28"/>
  <c r="AV68" i="28"/>
  <c r="AW68" i="28"/>
  <c r="AX68" i="28"/>
  <c r="AY68" i="28"/>
  <c r="AZ68" i="28"/>
  <c r="BA68" i="28"/>
  <c r="BB68" i="28"/>
  <c r="BC68" i="28"/>
  <c r="BD68" i="28"/>
  <c r="BE68" i="28"/>
  <c r="BF68" i="28"/>
  <c r="BG68" i="28"/>
  <c r="BH68" i="28"/>
  <c r="BI68" i="28"/>
  <c r="BJ68" i="28"/>
  <c r="BK68" i="28"/>
  <c r="BL68" i="28"/>
  <c r="BM68" i="28"/>
  <c r="BN68" i="28"/>
  <c r="BO68" i="28"/>
  <c r="BP68" i="28"/>
  <c r="AN69" i="28"/>
  <c r="AO69" i="28"/>
  <c r="AP69" i="28"/>
  <c r="AQ69" i="28"/>
  <c r="AR69" i="28"/>
  <c r="AS69" i="28"/>
  <c r="AT69" i="28"/>
  <c r="AU69" i="28"/>
  <c r="AV69" i="28"/>
  <c r="AW69" i="28"/>
  <c r="AX69" i="28"/>
  <c r="AY69" i="28"/>
  <c r="AZ69" i="28"/>
  <c r="BA69" i="28"/>
  <c r="BB69" i="28"/>
  <c r="BC69" i="28"/>
  <c r="BD69" i="28"/>
  <c r="BE69" i="28"/>
  <c r="BF69" i="28"/>
  <c r="BG69" i="28"/>
  <c r="BH69" i="28"/>
  <c r="BI69" i="28"/>
  <c r="BJ69" i="28"/>
  <c r="BK69" i="28"/>
  <c r="BL69" i="28"/>
  <c r="BM69" i="28"/>
  <c r="BN69" i="28"/>
  <c r="BO69" i="28"/>
  <c r="BP69" i="28"/>
  <c r="AN70" i="28"/>
  <c r="AO70" i="28"/>
  <c r="AP70" i="28"/>
  <c r="AQ70" i="28"/>
  <c r="AR70" i="28"/>
  <c r="AS70" i="28"/>
  <c r="AT70" i="28"/>
  <c r="AU70" i="28"/>
  <c r="AV70" i="28"/>
  <c r="AW70" i="28"/>
  <c r="AX70" i="28"/>
  <c r="AY70" i="28"/>
  <c r="AZ70" i="28"/>
  <c r="BA70" i="28"/>
  <c r="BB70" i="28"/>
  <c r="BC70" i="28"/>
  <c r="BD70" i="28"/>
  <c r="BE70" i="28"/>
  <c r="BF70" i="28"/>
  <c r="BG70" i="28"/>
  <c r="BH70" i="28"/>
  <c r="BI70" i="28"/>
  <c r="BJ70" i="28"/>
  <c r="BK70" i="28"/>
  <c r="BL70" i="28"/>
  <c r="BM70" i="28"/>
  <c r="BN70" i="28"/>
  <c r="BO70" i="28"/>
  <c r="BP70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G66" i="28"/>
  <c r="BH66" i="28"/>
  <c r="BI66" i="28"/>
  <c r="BJ66" i="28"/>
  <c r="BK66" i="28"/>
  <c r="BL66" i="28"/>
  <c r="BM66" i="28"/>
  <c r="BN66" i="28"/>
  <c r="BO66" i="28"/>
  <c r="BP66" i="28"/>
  <c r="AN66" i="28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G67" i="26"/>
  <c r="BH67" i="26"/>
  <c r="BI67" i="26"/>
  <c r="BJ67" i="26"/>
  <c r="BK67" i="26"/>
  <c r="BL67" i="26"/>
  <c r="BM67" i="26"/>
  <c r="BN67" i="26"/>
  <c r="BO67" i="26"/>
  <c r="BP67" i="26"/>
  <c r="AN68" i="26"/>
  <c r="AO68" i="26"/>
  <c r="AP68" i="26"/>
  <c r="AQ68" i="26"/>
  <c r="AR68" i="26"/>
  <c r="AS68" i="26"/>
  <c r="AT68" i="26"/>
  <c r="AU68" i="26"/>
  <c r="AV68" i="26"/>
  <c r="AW68" i="26"/>
  <c r="AX68" i="26"/>
  <c r="AY68" i="26"/>
  <c r="AZ68" i="26"/>
  <c r="BA68" i="26"/>
  <c r="BB68" i="26"/>
  <c r="BC68" i="26"/>
  <c r="BD68" i="26"/>
  <c r="BE68" i="26"/>
  <c r="BF68" i="26"/>
  <c r="BG68" i="26"/>
  <c r="BH68" i="26"/>
  <c r="BI68" i="26"/>
  <c r="BJ68" i="26"/>
  <c r="BK68" i="26"/>
  <c r="BL68" i="26"/>
  <c r="BM68" i="26"/>
  <c r="BN68" i="26"/>
  <c r="BO68" i="26"/>
  <c r="BP68" i="26"/>
  <c r="AN69" i="26"/>
  <c r="AO69" i="26"/>
  <c r="AP69" i="26"/>
  <c r="AQ69" i="26"/>
  <c r="AR69" i="26"/>
  <c r="AS69" i="26"/>
  <c r="AT69" i="26"/>
  <c r="AU69" i="26"/>
  <c r="AV69" i="26"/>
  <c r="AW69" i="26"/>
  <c r="AX69" i="26"/>
  <c r="AY69" i="26"/>
  <c r="AZ69" i="26"/>
  <c r="BA69" i="26"/>
  <c r="BB69" i="26"/>
  <c r="BC69" i="26"/>
  <c r="BD69" i="26"/>
  <c r="BE69" i="26"/>
  <c r="BF69" i="26"/>
  <c r="BG69" i="26"/>
  <c r="BH69" i="26"/>
  <c r="BI69" i="26"/>
  <c r="BJ69" i="26"/>
  <c r="BK69" i="26"/>
  <c r="BL69" i="26"/>
  <c r="BM69" i="26"/>
  <c r="BN69" i="26"/>
  <c r="BO69" i="26"/>
  <c r="BP69" i="26"/>
  <c r="AN70" i="26"/>
  <c r="AO70" i="26"/>
  <c r="AP70" i="26"/>
  <c r="AQ70" i="26"/>
  <c r="AR70" i="26"/>
  <c r="AS70" i="26"/>
  <c r="AT70" i="26"/>
  <c r="AU70" i="26"/>
  <c r="AV70" i="26"/>
  <c r="AW70" i="26"/>
  <c r="AX70" i="26"/>
  <c r="AY70" i="26"/>
  <c r="AZ70" i="26"/>
  <c r="BA70" i="26"/>
  <c r="BB70" i="26"/>
  <c r="BC70" i="26"/>
  <c r="BD70" i="26"/>
  <c r="BE70" i="26"/>
  <c r="BF70" i="26"/>
  <c r="BG70" i="26"/>
  <c r="BH70" i="26"/>
  <c r="BI70" i="26"/>
  <c r="BJ70" i="26"/>
  <c r="BK70" i="26"/>
  <c r="BL70" i="26"/>
  <c r="BM70" i="26"/>
  <c r="BN70" i="26"/>
  <c r="BO70" i="26"/>
  <c r="BP70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G66" i="26"/>
  <c r="BH66" i="26"/>
  <c r="BI66" i="26"/>
  <c r="BJ66" i="26"/>
  <c r="BK66" i="26"/>
  <c r="BL66" i="26"/>
  <c r="BM66" i="26"/>
  <c r="BN66" i="26"/>
  <c r="BO66" i="26"/>
  <c r="BP66" i="26"/>
  <c r="AN66" i="26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AN66" i="7"/>
  <c r="AN91" i="30"/>
  <c r="AO91" i="30"/>
  <c r="AP91" i="30"/>
  <c r="AQ91" i="30"/>
  <c r="AR91" i="30"/>
  <c r="AS91" i="30"/>
  <c r="AT91" i="30"/>
  <c r="AU91" i="30"/>
  <c r="AV91" i="30"/>
  <c r="AW91" i="30"/>
  <c r="AX91" i="30"/>
  <c r="AY91" i="30"/>
  <c r="AZ91" i="30"/>
  <c r="BA91" i="30"/>
  <c r="BB91" i="30"/>
  <c r="BC91" i="30"/>
  <c r="BD91" i="30"/>
  <c r="BE91" i="30"/>
  <c r="BF91" i="30"/>
  <c r="BG91" i="30"/>
  <c r="BH91" i="30"/>
  <c r="BI91" i="30"/>
  <c r="BJ91" i="30"/>
  <c r="BK91" i="30"/>
  <c r="BL91" i="30"/>
  <c r="BM91" i="30"/>
  <c r="BN91" i="30"/>
  <c r="BO91" i="30"/>
  <c r="BP91" i="30"/>
  <c r="AN92" i="30"/>
  <c r="AO92" i="30"/>
  <c r="AP92" i="30"/>
  <c r="AQ92" i="30"/>
  <c r="AR92" i="30"/>
  <c r="AS92" i="30"/>
  <c r="AT92" i="30"/>
  <c r="AU92" i="30"/>
  <c r="AV92" i="30"/>
  <c r="AW92" i="30"/>
  <c r="AX92" i="30"/>
  <c r="AY92" i="30"/>
  <c r="AZ92" i="30"/>
  <c r="BA92" i="30"/>
  <c r="BB92" i="30"/>
  <c r="BC92" i="30"/>
  <c r="BD92" i="30"/>
  <c r="BE92" i="30"/>
  <c r="BF92" i="30"/>
  <c r="BG92" i="30"/>
  <c r="BH92" i="30"/>
  <c r="BI92" i="30"/>
  <c r="BJ92" i="30"/>
  <c r="BK92" i="30"/>
  <c r="BL92" i="30"/>
  <c r="BM92" i="30"/>
  <c r="BN92" i="30"/>
  <c r="BO92" i="30"/>
  <c r="BP92" i="30"/>
  <c r="AO90" i="30"/>
  <c r="AP90" i="30"/>
  <c r="AQ90" i="30"/>
  <c r="AR90" i="30"/>
  <c r="AS90" i="30"/>
  <c r="AT90" i="30"/>
  <c r="AU90" i="30"/>
  <c r="AV90" i="30"/>
  <c r="AW90" i="30"/>
  <c r="AX90" i="30"/>
  <c r="AY90" i="30"/>
  <c r="AZ90" i="30"/>
  <c r="BA90" i="30"/>
  <c r="BB90" i="30"/>
  <c r="BC90" i="30"/>
  <c r="BD90" i="30"/>
  <c r="BE90" i="30"/>
  <c r="BF90" i="30"/>
  <c r="BG90" i="30"/>
  <c r="BH90" i="30"/>
  <c r="BI90" i="30"/>
  <c r="BJ90" i="30"/>
  <c r="BK90" i="30"/>
  <c r="BL90" i="30"/>
  <c r="BM90" i="30"/>
  <c r="BN90" i="30"/>
  <c r="BO90" i="30"/>
  <c r="BP90" i="30"/>
  <c r="AN90" i="30"/>
  <c r="AK91" i="30"/>
  <c r="AL91" i="30"/>
  <c r="AM91" i="30"/>
  <c r="AK92" i="30"/>
  <c r="AL92" i="30"/>
  <c r="AM92" i="30"/>
  <c r="AL90" i="30"/>
  <c r="AM90" i="30"/>
  <c r="AK90" i="30"/>
  <c r="AN91" i="28"/>
  <c r="AO91" i="28"/>
  <c r="AP91" i="28"/>
  <c r="AQ91" i="28"/>
  <c r="AR91" i="28"/>
  <c r="AS91" i="28"/>
  <c r="AT91" i="28"/>
  <c r="AU91" i="28"/>
  <c r="AV91" i="28"/>
  <c r="AW91" i="28"/>
  <c r="AX91" i="28"/>
  <c r="AY91" i="28"/>
  <c r="AZ91" i="28"/>
  <c r="BA91" i="28"/>
  <c r="BB91" i="28"/>
  <c r="BC91" i="28"/>
  <c r="BD91" i="28"/>
  <c r="BE91" i="28"/>
  <c r="BF91" i="28"/>
  <c r="BG91" i="28"/>
  <c r="BH91" i="28"/>
  <c r="BI91" i="28"/>
  <c r="BJ91" i="28"/>
  <c r="BK91" i="28"/>
  <c r="BL91" i="28"/>
  <c r="BM91" i="28"/>
  <c r="BN91" i="28"/>
  <c r="BO91" i="28"/>
  <c r="BP91" i="28"/>
  <c r="AN92" i="28"/>
  <c r="AO92" i="28"/>
  <c r="AP92" i="28"/>
  <c r="AQ92" i="28"/>
  <c r="AR92" i="28"/>
  <c r="AS92" i="28"/>
  <c r="AT92" i="28"/>
  <c r="AU92" i="28"/>
  <c r="AV92" i="28"/>
  <c r="AW92" i="28"/>
  <c r="AX92" i="28"/>
  <c r="AY92" i="28"/>
  <c r="AZ92" i="28"/>
  <c r="BA92" i="28"/>
  <c r="BB92" i="28"/>
  <c r="BC92" i="28"/>
  <c r="BD92" i="28"/>
  <c r="BE92" i="28"/>
  <c r="BF92" i="28"/>
  <c r="BG92" i="28"/>
  <c r="BH92" i="28"/>
  <c r="BI92" i="28"/>
  <c r="BJ92" i="28"/>
  <c r="BK92" i="28"/>
  <c r="BL92" i="28"/>
  <c r="BM92" i="28"/>
  <c r="BN92" i="28"/>
  <c r="BO92" i="28"/>
  <c r="BP92" i="28"/>
  <c r="AO90" i="28"/>
  <c r="AP90" i="28"/>
  <c r="AQ90" i="28"/>
  <c r="AR90" i="28"/>
  <c r="AS90" i="28"/>
  <c r="AT90" i="28"/>
  <c r="AU90" i="28"/>
  <c r="AV90" i="28"/>
  <c r="AW90" i="28"/>
  <c r="AX90" i="28"/>
  <c r="AY90" i="28"/>
  <c r="AZ90" i="28"/>
  <c r="BA90" i="28"/>
  <c r="BB90" i="28"/>
  <c r="BC90" i="28"/>
  <c r="BD90" i="28"/>
  <c r="BE90" i="28"/>
  <c r="BF90" i="28"/>
  <c r="BG90" i="28"/>
  <c r="BH90" i="28"/>
  <c r="BI90" i="28"/>
  <c r="BJ90" i="28"/>
  <c r="BK90" i="28"/>
  <c r="BL90" i="28"/>
  <c r="BM90" i="28"/>
  <c r="BN90" i="28"/>
  <c r="BO90" i="28"/>
  <c r="BP90" i="28"/>
  <c r="AN90" i="28"/>
  <c r="AK91" i="28"/>
  <c r="AL91" i="28"/>
  <c r="AM91" i="28"/>
  <c r="AK92" i="28"/>
  <c r="AL92" i="28"/>
  <c r="AM92" i="28"/>
  <c r="AL90" i="28"/>
  <c r="AM90" i="28"/>
  <c r="AK90" i="28"/>
  <c r="AN91" i="26"/>
  <c r="AO91" i="26"/>
  <c r="AP91" i="26"/>
  <c r="AQ91" i="26"/>
  <c r="AR91" i="26"/>
  <c r="AS91" i="26"/>
  <c r="AT91" i="26"/>
  <c r="AU91" i="26"/>
  <c r="AV91" i="26"/>
  <c r="AW91" i="26"/>
  <c r="AX91" i="26"/>
  <c r="AY91" i="26"/>
  <c r="AZ91" i="26"/>
  <c r="BA91" i="26"/>
  <c r="BB91" i="26"/>
  <c r="BC91" i="26"/>
  <c r="BD91" i="26"/>
  <c r="BE91" i="26"/>
  <c r="BF91" i="26"/>
  <c r="BG91" i="26"/>
  <c r="BH91" i="26"/>
  <c r="BI91" i="26"/>
  <c r="BJ91" i="26"/>
  <c r="BK91" i="26"/>
  <c r="BL91" i="26"/>
  <c r="BM91" i="26"/>
  <c r="BN91" i="26"/>
  <c r="BO91" i="26"/>
  <c r="BP91" i="26"/>
  <c r="AN92" i="26"/>
  <c r="AO92" i="26"/>
  <c r="AP92" i="26"/>
  <c r="AQ92" i="26"/>
  <c r="AR92" i="26"/>
  <c r="AS92" i="26"/>
  <c r="AT92" i="26"/>
  <c r="AU92" i="26"/>
  <c r="AV92" i="26"/>
  <c r="AW92" i="26"/>
  <c r="AX92" i="26"/>
  <c r="AY92" i="26"/>
  <c r="AZ92" i="26"/>
  <c r="BA92" i="26"/>
  <c r="BB92" i="26"/>
  <c r="BC92" i="26"/>
  <c r="BD92" i="26"/>
  <c r="BE92" i="26"/>
  <c r="BF92" i="26"/>
  <c r="BG92" i="26"/>
  <c r="BH92" i="26"/>
  <c r="BI92" i="26"/>
  <c r="BJ92" i="26"/>
  <c r="BK92" i="26"/>
  <c r="BL92" i="26"/>
  <c r="BM92" i="26"/>
  <c r="BN92" i="26"/>
  <c r="BO92" i="26"/>
  <c r="BP92" i="26"/>
  <c r="AO90" i="26"/>
  <c r="AP90" i="26"/>
  <c r="AQ90" i="26"/>
  <c r="AR90" i="26"/>
  <c r="AS90" i="26"/>
  <c r="AT90" i="26"/>
  <c r="AU90" i="26"/>
  <c r="AV90" i="26"/>
  <c r="AW90" i="26"/>
  <c r="AX90" i="26"/>
  <c r="AY90" i="26"/>
  <c r="AZ90" i="26"/>
  <c r="BA90" i="26"/>
  <c r="BB90" i="26"/>
  <c r="BC90" i="26"/>
  <c r="BD90" i="26"/>
  <c r="BE90" i="26"/>
  <c r="BF90" i="26"/>
  <c r="BG90" i="26"/>
  <c r="BH90" i="26"/>
  <c r="BI90" i="26"/>
  <c r="BJ90" i="26"/>
  <c r="BK90" i="26"/>
  <c r="BL90" i="26"/>
  <c r="BM90" i="26"/>
  <c r="BN90" i="26"/>
  <c r="BO90" i="26"/>
  <c r="BP90" i="26"/>
  <c r="AN90" i="26"/>
  <c r="AK91" i="26"/>
  <c r="AL91" i="26"/>
  <c r="AM91" i="26"/>
  <c r="AK92" i="26"/>
  <c r="AL92" i="26"/>
  <c r="AM92" i="26"/>
  <c r="AL90" i="26"/>
  <c r="AM90" i="26"/>
  <c r="AK90" i="26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AN90" i="7"/>
  <c r="AK91" i="7"/>
  <c r="AL91" i="7"/>
  <c r="AM91" i="7"/>
  <c r="AK92" i="7"/>
  <c r="AL92" i="7"/>
  <c r="AM92" i="7"/>
  <c r="AL90" i="7"/>
  <c r="AM90" i="7"/>
  <c r="AK90" i="7"/>
  <c r="AM213" i="30"/>
  <c r="AM212" i="30"/>
  <c r="AL213" i="30"/>
  <c r="AL212" i="30"/>
  <c r="AK213" i="30"/>
  <c r="AK212" i="30"/>
  <c r="AM213" i="28"/>
  <c r="AM212" i="28"/>
  <c r="AL213" i="28"/>
  <c r="AL212" i="28"/>
  <c r="AK213" i="28"/>
  <c r="AK212" i="28"/>
  <c r="AM213" i="26"/>
  <c r="AM212" i="26"/>
  <c r="AL213" i="26"/>
  <c r="AL212" i="26"/>
  <c r="AK213" i="26"/>
  <c r="AK212" i="26"/>
  <c r="BP213" i="28"/>
  <c r="BO213" i="28"/>
  <c r="BN213" i="28"/>
  <c r="BM213" i="28"/>
  <c r="BL213" i="28"/>
  <c r="BK213" i="28"/>
  <c r="BJ213" i="28"/>
  <c r="BI213" i="28"/>
  <c r="BH213" i="28"/>
  <c r="BG213" i="28"/>
  <c r="BF213" i="28"/>
  <c r="BE213" i="28"/>
  <c r="BD213" i="28"/>
  <c r="BC213" i="28"/>
  <c r="BB213" i="28"/>
  <c r="BA213" i="28"/>
  <c r="AZ213" i="28"/>
  <c r="AY213" i="28"/>
  <c r="AX213" i="28"/>
  <c r="AW213" i="28"/>
  <c r="AV213" i="28"/>
  <c r="AU213" i="28"/>
  <c r="AT213" i="28"/>
  <c r="AS213" i="28"/>
  <c r="AR213" i="28"/>
  <c r="AQ213" i="28"/>
  <c r="AP213" i="28"/>
  <c r="AO213" i="28"/>
  <c r="AN213" i="28"/>
  <c r="BP212" i="28"/>
  <c r="BO212" i="28"/>
  <c r="BN212" i="28"/>
  <c r="BM212" i="28"/>
  <c r="BL212" i="28"/>
  <c r="BK212" i="28"/>
  <c r="BJ212" i="28"/>
  <c r="BI212" i="28"/>
  <c r="BH212" i="28"/>
  <c r="BG212" i="28"/>
  <c r="BF212" i="28"/>
  <c r="BE212" i="28"/>
  <c r="BD212" i="28"/>
  <c r="BC212" i="28"/>
  <c r="BB212" i="28"/>
  <c r="BA212" i="28"/>
  <c r="AZ212" i="28"/>
  <c r="AY212" i="28"/>
  <c r="AX212" i="28"/>
  <c r="AW212" i="28"/>
  <c r="AV212" i="28"/>
  <c r="AU212" i="28"/>
  <c r="AT212" i="28"/>
  <c r="AS212" i="28"/>
  <c r="AR212" i="28"/>
  <c r="AQ212" i="28"/>
  <c r="AP212" i="28"/>
  <c r="AO212" i="28"/>
  <c r="AN212" i="28"/>
  <c r="BP213" i="30"/>
  <c r="BO213" i="30"/>
  <c r="BN213" i="30"/>
  <c r="BM213" i="30"/>
  <c r="BL213" i="30"/>
  <c r="BK213" i="30"/>
  <c r="BJ213" i="30"/>
  <c r="BI213" i="30"/>
  <c r="BH213" i="30"/>
  <c r="BG213" i="30"/>
  <c r="BF213" i="30"/>
  <c r="BE213" i="30"/>
  <c r="BD213" i="30"/>
  <c r="BC213" i="30"/>
  <c r="BB213" i="30"/>
  <c r="BA213" i="30"/>
  <c r="AZ213" i="30"/>
  <c r="AY213" i="30"/>
  <c r="AX213" i="30"/>
  <c r="AW213" i="30"/>
  <c r="AV213" i="30"/>
  <c r="AU213" i="30"/>
  <c r="AT213" i="30"/>
  <c r="AS213" i="30"/>
  <c r="AR213" i="30"/>
  <c r="AQ213" i="30"/>
  <c r="AP213" i="30"/>
  <c r="AO213" i="30"/>
  <c r="AN213" i="30"/>
  <c r="BP212" i="30"/>
  <c r="BO212" i="30"/>
  <c r="BN212" i="30"/>
  <c r="BM212" i="30"/>
  <c r="BL212" i="30"/>
  <c r="BK212" i="30"/>
  <c r="BJ212" i="30"/>
  <c r="BI212" i="30"/>
  <c r="BH212" i="30"/>
  <c r="BG212" i="30"/>
  <c r="BF212" i="30"/>
  <c r="BE212" i="30"/>
  <c r="BD212" i="30"/>
  <c r="BC212" i="30"/>
  <c r="BB212" i="30"/>
  <c r="BA212" i="30"/>
  <c r="AZ212" i="30"/>
  <c r="AY212" i="30"/>
  <c r="AX212" i="30"/>
  <c r="AW212" i="30"/>
  <c r="AV212" i="30"/>
  <c r="AU212" i="30"/>
  <c r="AT212" i="30"/>
  <c r="AS212" i="30"/>
  <c r="AR212" i="30"/>
  <c r="AQ212" i="30"/>
  <c r="AP212" i="30"/>
  <c r="AO212" i="30"/>
  <c r="AN212" i="30"/>
  <c r="BP213" i="26"/>
  <c r="BO213" i="26"/>
  <c r="BN213" i="26"/>
  <c r="BM213" i="26"/>
  <c r="BL213" i="26"/>
  <c r="BK213" i="26"/>
  <c r="BJ213" i="26"/>
  <c r="BI213" i="26"/>
  <c r="BH213" i="26"/>
  <c r="BG213" i="26"/>
  <c r="BF213" i="26"/>
  <c r="BE213" i="26"/>
  <c r="BD213" i="26"/>
  <c r="BC213" i="26"/>
  <c r="BB213" i="26"/>
  <c r="BA213" i="26"/>
  <c r="AZ213" i="26"/>
  <c r="AY213" i="26"/>
  <c r="AX213" i="26"/>
  <c r="AW213" i="26"/>
  <c r="AV213" i="26"/>
  <c r="AU213" i="26"/>
  <c r="AT213" i="26"/>
  <c r="AS213" i="26"/>
  <c r="AR213" i="26"/>
  <c r="AQ213" i="26"/>
  <c r="AP213" i="26"/>
  <c r="AO213" i="26"/>
  <c r="AN213" i="26"/>
  <c r="BP212" i="26"/>
  <c r="BO212" i="26"/>
  <c r="BN212" i="26"/>
  <c r="BM212" i="26"/>
  <c r="BL212" i="26"/>
  <c r="BK212" i="26"/>
  <c r="BJ212" i="26"/>
  <c r="BI212" i="26"/>
  <c r="BH212" i="26"/>
  <c r="BG212" i="26"/>
  <c r="BF212" i="26"/>
  <c r="BE212" i="26"/>
  <c r="BD212" i="26"/>
  <c r="BC212" i="26"/>
  <c r="BB212" i="26"/>
  <c r="BA212" i="26"/>
  <c r="AZ212" i="26"/>
  <c r="AY212" i="26"/>
  <c r="AX212" i="26"/>
  <c r="AW212" i="26"/>
  <c r="AV212" i="26"/>
  <c r="AU212" i="26"/>
  <c r="AT212" i="26"/>
  <c r="AS212" i="26"/>
  <c r="AR212" i="26"/>
  <c r="AQ212" i="26"/>
  <c r="AP212" i="26"/>
  <c r="AO212" i="26"/>
  <c r="AN212" i="26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BI212" i="7"/>
  <c r="BJ212" i="7"/>
  <c r="BK212" i="7"/>
  <c r="BL212" i="7"/>
  <c r="BM212" i="7"/>
  <c r="BN212" i="7"/>
  <c r="BO212" i="7"/>
  <c r="BP212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BI213" i="7"/>
  <c r="BJ213" i="7"/>
  <c r="BK213" i="7"/>
  <c r="BL213" i="7"/>
  <c r="BM213" i="7"/>
  <c r="BN213" i="7"/>
  <c r="BO213" i="7"/>
  <c r="BP213" i="7"/>
  <c r="AN213" i="7"/>
  <c r="AN212" i="7"/>
  <c r="AL212" i="7"/>
  <c r="AM212" i="7"/>
  <c r="AL213" i="7"/>
  <c r="AM213" i="7"/>
  <c r="AK213" i="7"/>
  <c r="AK212" i="7"/>
  <c r="BW212" i="7" l="1"/>
  <c r="BV212" i="7"/>
  <c r="BU212" i="7"/>
  <c r="BV90" i="26"/>
  <c r="BU90" i="26"/>
  <c r="BW90" i="26"/>
  <c r="BW90" i="28"/>
  <c r="BV90" i="28"/>
  <c r="BU90" i="28"/>
  <c r="BV212" i="26"/>
  <c r="BW212" i="26"/>
  <c r="BU212" i="26"/>
  <c r="BU213" i="26"/>
  <c r="BW213" i="26"/>
  <c r="BV213" i="26"/>
  <c r="BU213" i="30"/>
  <c r="BV213" i="30"/>
  <c r="BW213" i="30"/>
  <c r="BV213" i="7"/>
  <c r="BU213" i="7"/>
  <c r="BW213" i="7"/>
  <c r="BU91" i="28"/>
  <c r="BV91" i="28"/>
  <c r="BW91" i="28"/>
  <c r="BV91" i="26"/>
  <c r="BW91" i="26"/>
  <c r="BU91" i="26"/>
  <c r="BW90" i="7"/>
  <c r="BV90" i="7"/>
  <c r="BU90" i="7"/>
  <c r="BW213" i="28"/>
  <c r="BV213" i="28"/>
  <c r="BU213" i="28"/>
  <c r="BW92" i="7"/>
  <c r="BU92" i="7"/>
  <c r="BV92" i="7"/>
  <c r="BW92" i="26"/>
  <c r="BV92" i="26"/>
  <c r="BU92" i="26"/>
  <c r="BV92" i="28"/>
  <c r="BW92" i="28"/>
  <c r="BU92" i="28"/>
  <c r="BU92" i="30"/>
  <c r="BW92" i="30"/>
  <c r="BV92" i="30"/>
  <c r="BW91" i="7"/>
  <c r="BV91" i="7"/>
  <c r="BU91" i="7"/>
  <c r="BW91" i="30"/>
  <c r="BV91" i="30"/>
  <c r="BU91" i="30"/>
  <c r="BW212" i="28"/>
  <c r="BU212" i="28"/>
  <c r="BV212" i="28"/>
  <c r="BU90" i="30"/>
  <c r="BV90" i="30"/>
  <c r="BW90" i="30"/>
  <c r="BW212" i="30"/>
  <c r="BV212" i="30"/>
  <c r="BU212" i="30"/>
  <c r="O213" i="30"/>
  <c r="R90" i="30"/>
  <c r="S90" i="30" s="1"/>
  <c r="O213" i="26"/>
  <c r="P212" i="28"/>
  <c r="P90" i="30"/>
  <c r="R213" i="28"/>
  <c r="S213" i="28" s="1"/>
  <c r="O92" i="30"/>
  <c r="Q213" i="7"/>
  <c r="O213" i="28"/>
  <c r="O212" i="30"/>
  <c r="Q91" i="7"/>
  <c r="P91" i="26"/>
  <c r="Q92" i="26"/>
  <c r="P91" i="28"/>
  <c r="R92" i="28"/>
  <c r="S92" i="28" s="1"/>
  <c r="P212" i="30"/>
  <c r="Q91" i="30"/>
  <c r="Q90" i="28"/>
  <c r="O90" i="30"/>
  <c r="R91" i="26"/>
  <c r="S91" i="26" s="1"/>
  <c r="Q212" i="30"/>
  <c r="R212" i="30"/>
  <c r="S212" i="30" s="1"/>
  <c r="Q91" i="26"/>
  <c r="O90" i="7"/>
  <c r="Q213" i="30"/>
  <c r="P212" i="26"/>
  <c r="R212" i="26"/>
  <c r="S212" i="26" s="1"/>
  <c r="O212" i="26"/>
  <c r="Q212" i="26"/>
  <c r="P213" i="30"/>
  <c r="R92" i="7"/>
  <c r="S92" i="7" s="1"/>
  <c r="O92" i="26"/>
  <c r="P92" i="26"/>
  <c r="R92" i="26"/>
  <c r="S92" i="26" s="1"/>
  <c r="Q92" i="28"/>
  <c r="O92" i="28"/>
  <c r="P92" i="28"/>
  <c r="P92" i="30"/>
  <c r="Q92" i="30"/>
  <c r="R92" i="30"/>
  <c r="S92" i="30" s="1"/>
  <c r="P213" i="7"/>
  <c r="R213" i="26"/>
  <c r="S213" i="26" s="1"/>
  <c r="P213" i="26"/>
  <c r="Q213" i="26"/>
  <c r="O91" i="26"/>
  <c r="R91" i="28"/>
  <c r="S91" i="28" s="1"/>
  <c r="Q91" i="28"/>
  <c r="O91" i="28"/>
  <c r="P91" i="30"/>
  <c r="R91" i="30"/>
  <c r="S91" i="30" s="1"/>
  <c r="R213" i="30"/>
  <c r="S213" i="30" s="1"/>
  <c r="O91" i="30"/>
  <c r="Q90" i="30"/>
  <c r="O212" i="28"/>
  <c r="Q212" i="28"/>
  <c r="R212" i="28"/>
  <c r="S212" i="28" s="1"/>
  <c r="O90" i="26"/>
  <c r="Q90" i="26"/>
  <c r="P90" i="26"/>
  <c r="R90" i="26"/>
  <c r="S90" i="26" s="1"/>
  <c r="P90" i="28"/>
  <c r="R90" i="28"/>
  <c r="S90" i="28" s="1"/>
  <c r="O90" i="28"/>
  <c r="P212" i="7"/>
  <c r="R213" i="7"/>
  <c r="S213" i="7" s="1"/>
  <c r="P213" i="28"/>
  <c r="Q213" i="28"/>
  <c r="Q212" i="7"/>
  <c r="O92" i="7"/>
  <c r="P92" i="7"/>
  <c r="Q92" i="7"/>
  <c r="O212" i="7"/>
  <c r="R91" i="7"/>
  <c r="S91" i="7" s="1"/>
  <c r="O91" i="7"/>
  <c r="P91" i="7"/>
  <c r="R212" i="7"/>
  <c r="S212" i="7" s="1"/>
  <c r="O213" i="7"/>
  <c r="P90" i="7"/>
  <c r="Q90" i="7"/>
  <c r="R90" i="7"/>
  <c r="S90" i="7" s="1"/>
  <c r="AM236" i="28"/>
  <c r="AL236" i="28"/>
  <c r="AK236" i="28"/>
  <c r="AM235" i="28"/>
  <c r="AL235" i="28"/>
  <c r="AK235" i="28"/>
  <c r="AL235" i="26"/>
  <c r="AM235" i="26"/>
  <c r="AL236" i="26"/>
  <c r="AM236" i="26"/>
  <c r="AK236" i="26"/>
  <c r="AK235" i="26"/>
  <c r="AL235" i="7"/>
  <c r="AM235" i="7"/>
  <c r="AL236" i="7"/>
  <c r="AM236" i="7"/>
  <c r="AK236" i="7"/>
  <c r="AK235" i="7"/>
  <c r="AL235" i="30"/>
  <c r="AM235" i="30"/>
  <c r="AL236" i="30"/>
  <c r="AM236" i="30"/>
  <c r="AK235" i="30"/>
  <c r="AK236" i="30"/>
  <c r="AL191" i="30"/>
  <c r="AM191" i="30"/>
  <c r="AL192" i="30"/>
  <c r="AM192" i="30"/>
  <c r="AL193" i="30"/>
  <c r="AM193" i="30"/>
  <c r="AK193" i="30"/>
  <c r="AK192" i="30"/>
  <c r="AK191" i="30"/>
  <c r="AL191" i="28"/>
  <c r="AM191" i="28"/>
  <c r="AL192" i="28"/>
  <c r="AM192" i="28"/>
  <c r="AL193" i="28"/>
  <c r="AM193" i="28"/>
  <c r="AK193" i="28"/>
  <c r="AK192" i="28"/>
  <c r="AK191" i="28"/>
  <c r="AL191" i="26"/>
  <c r="AM191" i="26"/>
  <c r="AL192" i="26"/>
  <c r="AM192" i="26"/>
  <c r="AL193" i="26"/>
  <c r="AM193" i="26"/>
  <c r="AK193" i="26"/>
  <c r="AK192" i="26"/>
  <c r="AK191" i="26"/>
  <c r="AL191" i="7"/>
  <c r="AM191" i="7"/>
  <c r="AL192" i="7"/>
  <c r="AM192" i="7"/>
  <c r="AL193" i="7"/>
  <c r="AM193" i="7"/>
  <c r="AK193" i="7"/>
  <c r="AK192" i="7"/>
  <c r="AK19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BC241" i="7"/>
  <c r="BD241" i="7"/>
  <c r="BE241" i="7"/>
  <c r="BF241" i="7"/>
  <c r="BG241" i="7"/>
  <c r="BH241" i="7"/>
  <c r="BI241" i="7"/>
  <c r="BJ241" i="7"/>
  <c r="BK241" i="7"/>
  <c r="BL241" i="7"/>
  <c r="BM241" i="7"/>
  <c r="BN241" i="7"/>
  <c r="BO241" i="7"/>
  <c r="BP241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BC242" i="7"/>
  <c r="BD242" i="7"/>
  <c r="BE242" i="7"/>
  <c r="BF242" i="7"/>
  <c r="BG242" i="7"/>
  <c r="BH242" i="7"/>
  <c r="BI242" i="7"/>
  <c r="BJ242" i="7"/>
  <c r="BK242" i="7"/>
  <c r="BL242" i="7"/>
  <c r="BM242" i="7"/>
  <c r="BN242" i="7"/>
  <c r="BO242" i="7"/>
  <c r="BP242" i="7"/>
  <c r="AO241" i="26"/>
  <c r="AP241" i="26"/>
  <c r="AQ241" i="26"/>
  <c r="AR241" i="26"/>
  <c r="AS241" i="26"/>
  <c r="AT241" i="26"/>
  <c r="AU241" i="26"/>
  <c r="AV241" i="26"/>
  <c r="AW241" i="26"/>
  <c r="AX241" i="26"/>
  <c r="AY241" i="26"/>
  <c r="AZ241" i="26"/>
  <c r="BA241" i="26"/>
  <c r="BB241" i="26"/>
  <c r="BC241" i="26"/>
  <c r="BD241" i="26"/>
  <c r="BE241" i="26"/>
  <c r="BF241" i="26"/>
  <c r="BG241" i="26"/>
  <c r="BH241" i="26"/>
  <c r="BI241" i="26"/>
  <c r="BJ241" i="26"/>
  <c r="BK241" i="26"/>
  <c r="BL241" i="26"/>
  <c r="BM241" i="26"/>
  <c r="BN241" i="26"/>
  <c r="BO241" i="26"/>
  <c r="BP241" i="26"/>
  <c r="AO242" i="26"/>
  <c r="AP242" i="26"/>
  <c r="AQ242" i="26"/>
  <c r="AR242" i="26"/>
  <c r="AS242" i="26"/>
  <c r="AT242" i="26"/>
  <c r="AU242" i="26"/>
  <c r="AV242" i="26"/>
  <c r="AW242" i="26"/>
  <c r="AX242" i="26"/>
  <c r="AY242" i="26"/>
  <c r="AZ242" i="26"/>
  <c r="BA242" i="26"/>
  <c r="BB242" i="26"/>
  <c r="BC242" i="26"/>
  <c r="BD242" i="26"/>
  <c r="BE242" i="26"/>
  <c r="BF242" i="26"/>
  <c r="BG242" i="26"/>
  <c r="BH242" i="26"/>
  <c r="BI242" i="26"/>
  <c r="BJ242" i="26"/>
  <c r="BK242" i="26"/>
  <c r="BL242" i="26"/>
  <c r="BM242" i="26"/>
  <c r="BN242" i="26"/>
  <c r="BO242" i="26"/>
  <c r="BP242" i="26"/>
  <c r="AO241" i="28"/>
  <c r="AP241" i="28"/>
  <c r="AQ241" i="28"/>
  <c r="AR241" i="28"/>
  <c r="AS241" i="28"/>
  <c r="AT241" i="28"/>
  <c r="AU241" i="28"/>
  <c r="AV241" i="28"/>
  <c r="AW241" i="28"/>
  <c r="AX241" i="28"/>
  <c r="AY241" i="28"/>
  <c r="AZ241" i="28"/>
  <c r="BA241" i="28"/>
  <c r="BB241" i="28"/>
  <c r="BC241" i="28"/>
  <c r="BD241" i="28"/>
  <c r="BE241" i="28"/>
  <c r="BF241" i="28"/>
  <c r="BG241" i="28"/>
  <c r="BH241" i="28"/>
  <c r="BI241" i="28"/>
  <c r="BJ241" i="28"/>
  <c r="BK241" i="28"/>
  <c r="BL241" i="28"/>
  <c r="BM241" i="28"/>
  <c r="BN241" i="28"/>
  <c r="BO241" i="28"/>
  <c r="BP241" i="28"/>
  <c r="AO242" i="28"/>
  <c r="AP242" i="28"/>
  <c r="AQ242" i="28"/>
  <c r="AR242" i="28"/>
  <c r="AS242" i="28"/>
  <c r="AT242" i="28"/>
  <c r="AU242" i="28"/>
  <c r="AV242" i="28"/>
  <c r="AW242" i="28"/>
  <c r="AX242" i="28"/>
  <c r="AY242" i="28"/>
  <c r="AZ242" i="28"/>
  <c r="BA242" i="28"/>
  <c r="BB242" i="28"/>
  <c r="BC242" i="28"/>
  <c r="BD242" i="28"/>
  <c r="BE242" i="28"/>
  <c r="BF242" i="28"/>
  <c r="BG242" i="28"/>
  <c r="BH242" i="28"/>
  <c r="BI242" i="28"/>
  <c r="BJ242" i="28"/>
  <c r="BK242" i="28"/>
  <c r="BL242" i="28"/>
  <c r="BM242" i="28"/>
  <c r="BN242" i="28"/>
  <c r="BO242" i="28"/>
  <c r="BP242" i="28"/>
  <c r="AO241" i="30"/>
  <c r="AP241" i="30"/>
  <c r="AQ241" i="30"/>
  <c r="AR241" i="30"/>
  <c r="AS241" i="30"/>
  <c r="AT241" i="30"/>
  <c r="AU241" i="30"/>
  <c r="AV241" i="30"/>
  <c r="AW241" i="30"/>
  <c r="AX241" i="30"/>
  <c r="AY241" i="30"/>
  <c r="AZ241" i="30"/>
  <c r="BA241" i="30"/>
  <c r="BB241" i="30"/>
  <c r="BC241" i="30"/>
  <c r="BD241" i="30"/>
  <c r="BE241" i="30"/>
  <c r="BF241" i="30"/>
  <c r="BG241" i="30"/>
  <c r="BH241" i="30"/>
  <c r="BI241" i="30"/>
  <c r="BJ241" i="30"/>
  <c r="BK241" i="30"/>
  <c r="BL241" i="30"/>
  <c r="BM241" i="30"/>
  <c r="BN241" i="30"/>
  <c r="BO241" i="30"/>
  <c r="BP241" i="30"/>
  <c r="AO242" i="30"/>
  <c r="AP242" i="30"/>
  <c r="AQ242" i="30"/>
  <c r="AR242" i="30"/>
  <c r="AS242" i="30"/>
  <c r="AT242" i="30"/>
  <c r="AU242" i="30"/>
  <c r="AV242" i="30"/>
  <c r="AW242" i="30"/>
  <c r="AX242" i="30"/>
  <c r="AY242" i="30"/>
  <c r="AZ242" i="30"/>
  <c r="BA242" i="30"/>
  <c r="BB242" i="30"/>
  <c r="BC242" i="30"/>
  <c r="BD242" i="30"/>
  <c r="BE242" i="30"/>
  <c r="BF242" i="30"/>
  <c r="BG242" i="30"/>
  <c r="BH242" i="30"/>
  <c r="BI242" i="30"/>
  <c r="BJ242" i="30"/>
  <c r="BK242" i="30"/>
  <c r="BL242" i="30"/>
  <c r="BM242" i="30"/>
  <c r="BN242" i="30"/>
  <c r="BO242" i="30"/>
  <c r="BP242" i="30"/>
  <c r="AL241" i="7"/>
  <c r="AM241" i="7"/>
  <c r="AL242" i="7"/>
  <c r="AM242" i="7"/>
  <c r="AL241" i="26"/>
  <c r="AM241" i="26"/>
  <c r="AL242" i="26"/>
  <c r="AM242" i="26"/>
  <c r="AL241" i="28"/>
  <c r="AM241" i="28"/>
  <c r="AL242" i="28"/>
  <c r="AM242" i="28"/>
  <c r="AL241" i="30"/>
  <c r="AM241" i="30"/>
  <c r="AL242" i="30"/>
  <c r="AM242" i="30"/>
  <c r="AN241" i="30"/>
  <c r="AN241" i="28"/>
  <c r="AN241" i="26"/>
  <c r="AN241" i="7"/>
  <c r="AN242" i="7"/>
  <c r="AN242" i="30"/>
  <c r="AN242" i="28"/>
  <c r="AN242" i="26"/>
  <c r="AK242" i="30"/>
  <c r="AK241" i="30"/>
  <c r="AK242" i="28"/>
  <c r="AK241" i="28"/>
  <c r="AK242" i="26"/>
  <c r="AK241" i="26"/>
  <c r="AK242" i="7"/>
  <c r="AK241" i="7"/>
  <c r="AE242" i="26"/>
  <c r="M242" i="26"/>
  <c r="L242" i="26"/>
  <c r="AE241" i="26"/>
  <c r="M241" i="26"/>
  <c r="L241" i="26"/>
  <c r="AE242" i="28"/>
  <c r="M242" i="28"/>
  <c r="L242" i="28"/>
  <c r="AE241" i="28"/>
  <c r="M241" i="28"/>
  <c r="L241" i="28"/>
  <c r="AE242" i="30"/>
  <c r="M242" i="30"/>
  <c r="L242" i="30"/>
  <c r="AE241" i="30"/>
  <c r="M241" i="30"/>
  <c r="L241" i="30"/>
  <c r="AE242" i="7"/>
  <c r="M242" i="7"/>
  <c r="L242" i="7"/>
  <c r="AE241" i="7"/>
  <c r="M241" i="7"/>
  <c r="L241" i="7"/>
  <c r="BW241" i="7" l="1"/>
  <c r="BU241" i="7"/>
  <c r="BV241" i="7"/>
  <c r="BW242" i="26"/>
  <c r="BV242" i="26"/>
  <c r="BU242" i="26"/>
  <c r="BW235" i="26"/>
  <c r="BU235" i="26"/>
  <c r="BV235" i="26"/>
  <c r="BW241" i="26"/>
  <c r="BV241" i="26"/>
  <c r="BU241" i="26"/>
  <c r="BU241" i="28"/>
  <c r="BV241" i="28"/>
  <c r="BW241" i="28"/>
  <c r="BW242" i="28"/>
  <c r="BV242" i="28"/>
  <c r="BU242" i="28"/>
  <c r="BU235" i="30"/>
  <c r="BV235" i="30"/>
  <c r="BW235" i="30"/>
  <c r="BW242" i="7"/>
  <c r="BU242" i="7"/>
  <c r="BV242" i="7"/>
  <c r="BW191" i="26"/>
  <c r="BU191" i="26"/>
  <c r="BV191" i="26"/>
  <c r="BU193" i="26"/>
  <c r="BV193" i="26"/>
  <c r="BW193" i="26"/>
  <c r="BV191" i="7"/>
  <c r="BW191" i="7"/>
  <c r="BU191" i="7"/>
  <c r="BU236" i="30"/>
  <c r="BV236" i="30"/>
  <c r="BW236" i="30"/>
  <c r="BU192" i="7"/>
  <c r="BW192" i="7"/>
  <c r="BV192" i="7"/>
  <c r="BV236" i="26"/>
  <c r="BU236" i="26"/>
  <c r="BW236" i="26"/>
  <c r="BV241" i="30"/>
  <c r="BW241" i="30"/>
  <c r="BU241" i="30"/>
  <c r="BW193" i="7"/>
  <c r="BV193" i="7"/>
  <c r="BU193" i="7"/>
  <c r="BW192" i="26"/>
  <c r="BV192" i="26"/>
  <c r="BU192" i="26"/>
  <c r="BU242" i="30"/>
  <c r="BV242" i="30"/>
  <c r="BW242" i="30"/>
  <c r="BV191" i="30"/>
  <c r="BW191" i="30"/>
  <c r="BU191" i="30"/>
  <c r="BW193" i="30"/>
  <c r="BU193" i="30"/>
  <c r="BV193" i="30"/>
  <c r="BW193" i="28"/>
  <c r="BU193" i="28"/>
  <c r="BV193" i="28"/>
  <c r="BU236" i="28"/>
  <c r="BW236" i="28"/>
  <c r="BV236" i="28"/>
  <c r="BW191" i="28"/>
  <c r="BV191" i="28"/>
  <c r="BU191" i="28"/>
  <c r="BW235" i="7"/>
  <c r="BV235" i="7"/>
  <c r="BU235" i="7"/>
  <c r="BU235" i="28"/>
  <c r="BV235" i="28"/>
  <c r="BW235" i="28"/>
  <c r="BU192" i="30"/>
  <c r="BV192" i="30"/>
  <c r="BW192" i="30"/>
  <c r="BU192" i="28"/>
  <c r="BW192" i="28"/>
  <c r="BV192" i="28"/>
  <c r="BW236" i="7"/>
  <c r="BV236" i="7"/>
  <c r="BU236" i="7"/>
  <c r="O192" i="30"/>
  <c r="P192" i="30"/>
  <c r="Q192" i="30"/>
  <c r="R192" i="30"/>
  <c r="S192" i="30" s="1"/>
  <c r="O192" i="28"/>
  <c r="P192" i="28"/>
  <c r="Q192" i="28"/>
  <c r="R192" i="28"/>
  <c r="S192" i="28" s="1"/>
  <c r="R191" i="26"/>
  <c r="S191" i="26" s="1"/>
  <c r="O191" i="26"/>
  <c r="Q191" i="26"/>
  <c r="P191" i="26"/>
  <c r="O236" i="28"/>
  <c r="Q236" i="28"/>
  <c r="P236" i="28"/>
  <c r="R236" i="28"/>
  <c r="O193" i="26"/>
  <c r="P193" i="26"/>
  <c r="Q193" i="26"/>
  <c r="R193" i="26"/>
  <c r="S193" i="26" s="1"/>
  <c r="W242" i="28"/>
  <c r="O242" i="28"/>
  <c r="R242" i="28"/>
  <c r="P242" i="28"/>
  <c r="Q242" i="28"/>
  <c r="AB242" i="28" s="1"/>
  <c r="P235" i="30"/>
  <c r="Q235" i="30"/>
  <c r="O235" i="30"/>
  <c r="R235" i="30"/>
  <c r="O236" i="26"/>
  <c r="Q236" i="26"/>
  <c r="P236" i="26"/>
  <c r="R236" i="26"/>
  <c r="W241" i="30"/>
  <c r="O241" i="30"/>
  <c r="P241" i="30"/>
  <c r="R241" i="30"/>
  <c r="Q241" i="30"/>
  <c r="AB241" i="30" s="1"/>
  <c r="R241" i="26"/>
  <c r="O241" i="26"/>
  <c r="P241" i="26"/>
  <c r="Q241" i="26"/>
  <c r="AB241" i="26" s="1"/>
  <c r="O236" i="30"/>
  <c r="P236" i="30"/>
  <c r="Q236" i="30"/>
  <c r="R236" i="30"/>
  <c r="O235" i="26"/>
  <c r="Q235" i="26"/>
  <c r="P235" i="26"/>
  <c r="R235" i="26"/>
  <c r="W242" i="30"/>
  <c r="P242" i="30"/>
  <c r="Q242" i="30"/>
  <c r="AB242" i="30" s="1"/>
  <c r="R242" i="30"/>
  <c r="O242" i="30"/>
  <c r="R191" i="30"/>
  <c r="S191" i="30" s="1"/>
  <c r="O191" i="30"/>
  <c r="Q191" i="30"/>
  <c r="P191" i="30"/>
  <c r="W242" i="26"/>
  <c r="O242" i="26"/>
  <c r="Q242" i="26"/>
  <c r="AA242" i="26" s="1"/>
  <c r="R242" i="26"/>
  <c r="P242" i="26"/>
  <c r="W241" i="28"/>
  <c r="R241" i="28"/>
  <c r="O241" i="28"/>
  <c r="P241" i="28"/>
  <c r="Q241" i="28"/>
  <c r="AB241" i="28" s="1"/>
  <c r="R193" i="30"/>
  <c r="S193" i="30" s="1"/>
  <c r="Q193" i="30"/>
  <c r="O193" i="30"/>
  <c r="P193" i="30"/>
  <c r="Q193" i="28"/>
  <c r="R193" i="28"/>
  <c r="S193" i="28" s="1"/>
  <c r="P193" i="28"/>
  <c r="O193" i="28"/>
  <c r="P192" i="26"/>
  <c r="R192" i="26"/>
  <c r="S192" i="26" s="1"/>
  <c r="O192" i="26"/>
  <c r="Q192" i="26"/>
  <c r="O191" i="28"/>
  <c r="P191" i="28"/>
  <c r="Q191" i="28"/>
  <c r="R191" i="28"/>
  <c r="S191" i="28" s="1"/>
  <c r="O235" i="28"/>
  <c r="R235" i="28"/>
  <c r="Q235" i="28"/>
  <c r="P235" i="28"/>
  <c r="O236" i="7"/>
  <c r="Q236" i="7"/>
  <c r="P236" i="7"/>
  <c r="R236" i="7"/>
  <c r="W241" i="7"/>
  <c r="O241" i="7"/>
  <c r="Q241" i="7"/>
  <c r="AB241" i="7" s="1"/>
  <c r="R241" i="7"/>
  <c r="P241" i="7"/>
  <c r="R235" i="7"/>
  <c r="P235" i="7"/>
  <c r="O235" i="7"/>
  <c r="Q235" i="7"/>
  <c r="W242" i="7"/>
  <c r="R242" i="7"/>
  <c r="O242" i="7"/>
  <c r="P242" i="7"/>
  <c r="Q242" i="7"/>
  <c r="AA242" i="7" s="1"/>
  <c r="P191" i="7"/>
  <c r="R191" i="7"/>
  <c r="S191" i="7" s="1"/>
  <c r="Q191" i="7"/>
  <c r="O191" i="7"/>
  <c r="O193" i="7"/>
  <c r="P193" i="7"/>
  <c r="R193" i="7"/>
  <c r="S193" i="7" s="1"/>
  <c r="Q193" i="7"/>
  <c r="Q192" i="7"/>
  <c r="O192" i="7"/>
  <c r="P192" i="7"/>
  <c r="R192" i="7"/>
  <c r="S192" i="7" s="1"/>
  <c r="W241" i="26"/>
  <c r="BX241" i="26" l="1"/>
  <c r="BX242" i="26"/>
  <c r="BX241" i="7"/>
  <c r="BX241" i="30"/>
  <c r="BX242" i="28"/>
  <c r="BX242" i="7"/>
  <c r="BX242" i="30"/>
  <c r="BX241" i="28"/>
  <c r="AA241" i="7"/>
  <c r="T241" i="7"/>
  <c r="U241" i="7" s="1"/>
  <c r="T242" i="28"/>
  <c r="U242" i="28" s="1"/>
  <c r="T241" i="30"/>
  <c r="U241" i="30" s="1"/>
  <c r="AA241" i="30"/>
  <c r="V242" i="28"/>
  <c r="S242" i="28" s="1"/>
  <c r="T241" i="28"/>
  <c r="U241" i="28" s="1"/>
  <c r="T241" i="26"/>
  <c r="U241" i="26" s="1"/>
  <c r="V241" i="26"/>
  <c r="S241" i="26" s="1"/>
  <c r="AA241" i="26"/>
  <c r="Z241" i="7"/>
  <c r="Z241" i="26"/>
  <c r="V241" i="7"/>
  <c r="S241" i="7" s="1"/>
  <c r="AA241" i="28"/>
  <c r="AB242" i="7"/>
  <c r="T242" i="7"/>
  <c r="U242" i="7" s="1"/>
  <c r="V241" i="30"/>
  <c r="S241" i="30" s="1"/>
  <c r="V242" i="7"/>
  <c r="S242" i="7" s="1"/>
  <c r="Z241" i="30"/>
  <c r="V241" i="28"/>
  <c r="S241" i="28" s="1"/>
  <c r="V242" i="30"/>
  <c r="S242" i="30" s="1"/>
  <c r="Z242" i="30"/>
  <c r="AA242" i="28"/>
  <c r="Z241" i="28"/>
  <c r="T242" i="30"/>
  <c r="U242" i="30" s="1"/>
  <c r="Z242" i="28"/>
  <c r="AA242" i="30"/>
  <c r="Z242" i="7"/>
  <c r="AB242" i="26"/>
  <c r="T242" i="26"/>
  <c r="U242" i="26" s="1"/>
  <c r="Z242" i="26"/>
  <c r="V242" i="26"/>
  <c r="S242" i="26" s="1"/>
  <c r="X242" i="26" l="1"/>
  <c r="Y242" i="26" s="1"/>
  <c r="X241" i="7"/>
  <c r="Y241" i="7" s="1"/>
  <c r="X242" i="28"/>
  <c r="Y242" i="28" s="1"/>
  <c r="X241" i="30"/>
  <c r="Y241" i="30" s="1"/>
  <c r="X241" i="26"/>
  <c r="Y241" i="26" s="1"/>
  <c r="X241" i="28"/>
  <c r="Y241" i="28" s="1"/>
  <c r="X242" i="30"/>
  <c r="Y242" i="30" s="1"/>
  <c r="X242" i="7"/>
  <c r="Y242" i="7" s="1"/>
  <c r="AC242" i="30"/>
  <c r="AC241" i="26"/>
  <c r="AC242" i="7"/>
  <c r="AC241" i="30"/>
  <c r="AC242" i="28"/>
  <c r="AC242" i="26"/>
  <c r="AC241" i="7"/>
  <c r="AC241" i="28"/>
  <c r="AL11" i="30"/>
  <c r="AM11" i="30"/>
  <c r="AL12" i="30"/>
  <c r="AM12" i="30"/>
  <c r="AL13" i="30"/>
  <c r="AM13" i="30"/>
  <c r="AL14" i="30"/>
  <c r="AM14" i="30"/>
  <c r="AL15" i="30"/>
  <c r="AM15" i="30"/>
  <c r="AL20" i="30"/>
  <c r="AM20" i="30"/>
  <c r="AL25" i="30"/>
  <c r="AM25" i="30"/>
  <c r="AL26" i="30"/>
  <c r="AM26" i="30"/>
  <c r="AL27" i="30"/>
  <c r="AM27" i="30"/>
  <c r="AL28" i="30"/>
  <c r="AM28" i="30"/>
  <c r="AL29" i="30"/>
  <c r="AM29" i="30"/>
  <c r="AL30" i="30"/>
  <c r="AM30" i="30"/>
  <c r="AL31" i="30"/>
  <c r="AM31" i="30"/>
  <c r="AL32" i="30"/>
  <c r="AM32" i="30"/>
  <c r="AL33" i="30"/>
  <c r="AM33" i="30"/>
  <c r="AL34" i="30"/>
  <c r="AM34" i="30"/>
  <c r="AL35" i="30"/>
  <c r="AM35" i="30"/>
  <c r="AL36" i="30"/>
  <c r="AM36" i="30"/>
  <c r="AL37" i="30"/>
  <c r="AM37" i="30"/>
  <c r="AL38" i="30"/>
  <c r="AM38" i="30"/>
  <c r="AL39" i="30"/>
  <c r="AM39" i="30"/>
  <c r="AL40" i="30"/>
  <c r="AM40" i="30"/>
  <c r="AL41" i="30"/>
  <c r="AM41" i="30"/>
  <c r="AL42" i="30"/>
  <c r="AM42" i="30"/>
  <c r="AL43" i="30"/>
  <c r="AM43" i="30"/>
  <c r="AL44" i="30"/>
  <c r="AM44" i="30"/>
  <c r="AL45" i="30"/>
  <c r="AM45" i="30"/>
  <c r="AL46" i="30"/>
  <c r="AM46" i="30"/>
  <c r="AL47" i="30"/>
  <c r="AM47" i="30"/>
  <c r="AL48" i="30"/>
  <c r="AM48" i="30"/>
  <c r="AL49" i="30"/>
  <c r="AM49" i="30"/>
  <c r="AL50" i="30"/>
  <c r="AM50" i="30"/>
  <c r="AL51" i="30"/>
  <c r="AM51" i="30"/>
  <c r="AL52" i="30"/>
  <c r="AM52" i="30"/>
  <c r="AL53" i="30"/>
  <c r="AM53" i="30"/>
  <c r="AL54" i="30"/>
  <c r="AM54" i="30"/>
  <c r="AL55" i="30"/>
  <c r="AM55" i="30"/>
  <c r="AL56" i="30"/>
  <c r="AM56" i="30"/>
  <c r="AL57" i="30"/>
  <c r="AM57" i="30"/>
  <c r="AL58" i="30"/>
  <c r="AM58" i="30"/>
  <c r="AL59" i="30"/>
  <c r="AM59" i="30"/>
  <c r="AL60" i="30"/>
  <c r="AM60" i="30"/>
  <c r="AL61" i="30"/>
  <c r="AM61" i="30"/>
  <c r="AL62" i="30"/>
  <c r="AM62" i="30"/>
  <c r="AL63" i="30"/>
  <c r="AM63" i="30"/>
  <c r="AL64" i="30"/>
  <c r="AM64" i="30"/>
  <c r="AL65" i="30"/>
  <c r="AM65" i="30"/>
  <c r="AL66" i="30"/>
  <c r="AM66" i="30"/>
  <c r="AL67" i="30"/>
  <c r="AM67" i="30"/>
  <c r="AL68" i="30"/>
  <c r="AM68" i="30"/>
  <c r="AL69" i="30"/>
  <c r="AM69" i="30"/>
  <c r="AL70" i="30"/>
  <c r="AM70" i="30"/>
  <c r="AL71" i="30"/>
  <c r="AM71" i="30"/>
  <c r="AL72" i="30"/>
  <c r="AM72" i="30"/>
  <c r="AL73" i="30"/>
  <c r="AM73" i="30"/>
  <c r="AL74" i="30"/>
  <c r="AM74" i="30"/>
  <c r="AL75" i="30"/>
  <c r="AM75" i="30"/>
  <c r="AL76" i="30"/>
  <c r="AM76" i="30"/>
  <c r="AL81" i="30"/>
  <c r="AM81" i="30"/>
  <c r="AL82" i="30"/>
  <c r="AM82" i="30"/>
  <c r="AL83" i="30"/>
  <c r="AM83" i="30"/>
  <c r="AL84" i="30"/>
  <c r="AM84" i="30"/>
  <c r="AL85" i="30"/>
  <c r="AM85" i="30"/>
  <c r="AL86" i="30"/>
  <c r="AM86" i="30"/>
  <c r="AL93" i="30"/>
  <c r="AM93" i="30"/>
  <c r="AL98" i="30"/>
  <c r="AM98" i="30"/>
  <c r="AL99" i="30"/>
  <c r="AM99" i="30"/>
  <c r="AL100" i="30"/>
  <c r="AM100" i="30"/>
  <c r="AL101" i="30"/>
  <c r="AM101" i="30"/>
  <c r="AL102" i="30"/>
  <c r="AM102" i="30"/>
  <c r="AL103" i="30"/>
  <c r="AM103" i="30"/>
  <c r="AL104" i="30"/>
  <c r="AM104" i="30"/>
  <c r="AL105" i="30"/>
  <c r="AM105" i="30"/>
  <c r="AL106" i="30"/>
  <c r="AM106" i="30"/>
  <c r="AL107" i="30"/>
  <c r="AM107" i="30"/>
  <c r="AL108" i="30"/>
  <c r="AM108" i="30"/>
  <c r="AL121" i="30"/>
  <c r="AM121" i="30"/>
  <c r="AL122" i="30"/>
  <c r="AM122" i="30"/>
  <c r="AL123" i="30"/>
  <c r="AM123" i="30"/>
  <c r="AL124" i="30"/>
  <c r="AM124" i="30"/>
  <c r="AL125" i="30"/>
  <c r="AM125" i="30"/>
  <c r="AL126" i="30"/>
  <c r="AM126" i="30"/>
  <c r="AL127" i="30"/>
  <c r="AM127" i="30"/>
  <c r="AL128" i="30"/>
  <c r="AM128" i="30"/>
  <c r="AL129" i="30"/>
  <c r="AM129" i="30"/>
  <c r="AL130" i="30"/>
  <c r="AM130" i="30"/>
  <c r="AL131" i="30"/>
  <c r="AM131" i="30"/>
  <c r="AL132" i="30"/>
  <c r="AM132" i="30"/>
  <c r="AL133" i="30"/>
  <c r="AM133" i="30"/>
  <c r="AL134" i="30"/>
  <c r="AM134" i="30"/>
  <c r="AL135" i="30"/>
  <c r="AM135" i="30"/>
  <c r="AL136" i="30"/>
  <c r="AM136" i="30"/>
  <c r="AL137" i="30"/>
  <c r="AM137" i="30"/>
  <c r="AL138" i="30"/>
  <c r="AM138" i="30"/>
  <c r="AL139" i="30"/>
  <c r="AM139" i="30"/>
  <c r="AL140" i="30"/>
  <c r="AM140" i="30"/>
  <c r="AL141" i="30"/>
  <c r="AM141" i="30"/>
  <c r="AL142" i="30"/>
  <c r="AM142" i="30"/>
  <c r="AL143" i="30"/>
  <c r="AM143" i="30"/>
  <c r="AL144" i="30"/>
  <c r="AM144" i="30"/>
  <c r="AL145" i="30"/>
  <c r="AM145" i="30"/>
  <c r="AL146" i="30"/>
  <c r="AM146" i="30"/>
  <c r="AL147" i="30"/>
  <c r="AM147" i="30"/>
  <c r="AL148" i="30"/>
  <c r="AM148" i="30"/>
  <c r="AL149" i="30"/>
  <c r="AM149" i="30"/>
  <c r="AL150" i="30"/>
  <c r="AM150" i="30"/>
  <c r="AL151" i="30"/>
  <c r="AM151" i="30"/>
  <c r="AL176" i="30"/>
  <c r="AM176" i="30"/>
  <c r="AL177" i="30"/>
  <c r="AM177" i="30"/>
  <c r="AL184" i="30"/>
  <c r="AM184" i="30"/>
  <c r="AL178" i="30"/>
  <c r="AM178" i="30"/>
  <c r="AL179" i="30"/>
  <c r="AM179" i="30"/>
  <c r="AL180" i="30"/>
  <c r="AM180" i="30"/>
  <c r="AL181" i="30"/>
  <c r="AM181" i="30"/>
  <c r="AL182" i="30"/>
  <c r="AM182" i="30"/>
  <c r="AL183" i="30"/>
  <c r="AM183" i="30"/>
  <c r="AL194" i="30"/>
  <c r="AM194" i="30"/>
  <c r="AL195" i="30"/>
  <c r="AM195" i="30"/>
  <c r="AL196" i="30"/>
  <c r="AM196" i="30"/>
  <c r="AL197" i="30"/>
  <c r="AM197" i="30"/>
  <c r="AL198" i="30"/>
  <c r="AM198" i="30"/>
  <c r="AL199" i="30"/>
  <c r="AM199" i="30"/>
  <c r="AL200" i="30"/>
  <c r="AM200" i="30"/>
  <c r="AL201" i="30"/>
  <c r="AM201" i="30"/>
  <c r="AL202" i="30"/>
  <c r="AM202" i="30"/>
  <c r="AL203" i="30"/>
  <c r="AM203" i="30"/>
  <c r="AL204" i="30"/>
  <c r="AM204" i="30"/>
  <c r="AL205" i="30"/>
  <c r="AM205" i="30"/>
  <c r="AL206" i="30"/>
  <c r="AM206" i="30"/>
  <c r="AL207" i="30"/>
  <c r="AM207" i="30"/>
  <c r="AL210" i="30"/>
  <c r="AM210" i="30"/>
  <c r="AL211" i="30"/>
  <c r="AM211" i="30"/>
  <c r="AL214" i="30"/>
  <c r="AM214" i="30"/>
  <c r="AL219" i="30"/>
  <c r="AM219" i="30"/>
  <c r="AL232" i="30"/>
  <c r="AM232" i="30"/>
  <c r="AL233" i="30"/>
  <c r="AM233" i="30"/>
  <c r="AL234" i="30"/>
  <c r="AM234" i="30"/>
  <c r="AK234" i="30"/>
  <c r="AK233" i="30"/>
  <c r="AK232" i="30"/>
  <c r="AK219" i="30"/>
  <c r="AK214" i="30"/>
  <c r="AK211" i="30"/>
  <c r="AK210" i="30"/>
  <c r="AK207" i="30"/>
  <c r="AK206" i="30"/>
  <c r="AK205" i="30"/>
  <c r="AK204" i="30"/>
  <c r="AK203" i="30"/>
  <c r="AK202" i="30"/>
  <c r="AK201" i="30"/>
  <c r="AK200" i="30"/>
  <c r="AK199" i="30"/>
  <c r="AK198" i="30"/>
  <c r="AK197" i="30"/>
  <c r="AK196" i="30"/>
  <c r="AK195" i="30"/>
  <c r="AK194" i="30"/>
  <c r="AK183" i="30"/>
  <c r="AK182" i="30"/>
  <c r="AK181" i="30"/>
  <c r="AK180" i="30"/>
  <c r="AK179" i="30"/>
  <c r="AK178" i="30"/>
  <c r="AK184" i="30"/>
  <c r="AK177" i="30"/>
  <c r="AK176" i="30"/>
  <c r="AK151" i="30"/>
  <c r="AK150" i="30"/>
  <c r="AK149" i="30"/>
  <c r="AK148" i="30"/>
  <c r="AK147" i="30"/>
  <c r="AK146" i="30"/>
  <c r="AK145" i="30"/>
  <c r="AK144" i="30"/>
  <c r="AK143" i="30"/>
  <c r="AK142" i="30"/>
  <c r="AK141" i="30"/>
  <c r="AK140" i="30"/>
  <c r="AK139" i="30"/>
  <c r="AK138" i="30"/>
  <c r="AK137" i="30"/>
  <c r="AK136" i="30"/>
  <c r="AK135" i="30"/>
  <c r="AK134" i="30"/>
  <c r="AK133" i="30"/>
  <c r="AK132" i="30"/>
  <c r="AK131" i="30"/>
  <c r="AK130" i="30"/>
  <c r="AK129" i="30"/>
  <c r="AK128" i="30"/>
  <c r="AK127" i="30"/>
  <c r="AK126" i="30"/>
  <c r="AK125" i="30"/>
  <c r="AK124" i="30"/>
  <c r="AK123" i="30"/>
  <c r="AK122" i="30"/>
  <c r="AK121" i="30"/>
  <c r="AK108" i="30"/>
  <c r="AK107" i="30"/>
  <c r="AK106" i="30"/>
  <c r="AK105" i="30"/>
  <c r="AK104" i="30"/>
  <c r="AK103" i="30"/>
  <c r="AK102" i="30"/>
  <c r="AK101" i="30"/>
  <c r="AK100" i="30"/>
  <c r="AK99" i="30"/>
  <c r="AK98" i="30"/>
  <c r="AK93" i="30"/>
  <c r="AK86" i="30"/>
  <c r="AK85" i="30"/>
  <c r="AK84" i="30"/>
  <c r="AK83" i="30"/>
  <c r="AK82" i="30"/>
  <c r="AK81" i="30"/>
  <c r="AK76" i="30"/>
  <c r="AK75" i="30"/>
  <c r="AK74" i="30"/>
  <c r="AK73" i="30"/>
  <c r="AK72" i="30"/>
  <c r="AK71" i="30"/>
  <c r="AK70" i="30"/>
  <c r="AK69" i="30"/>
  <c r="AK68" i="30"/>
  <c r="AK67" i="30"/>
  <c r="AK66" i="30"/>
  <c r="AK65" i="30"/>
  <c r="AK64" i="30"/>
  <c r="AK63" i="30"/>
  <c r="AK62" i="30"/>
  <c r="AK61" i="30"/>
  <c r="AK60" i="30"/>
  <c r="AK59" i="30"/>
  <c r="AK58" i="30"/>
  <c r="AK57" i="30"/>
  <c r="AK56" i="30"/>
  <c r="AK55" i="30"/>
  <c r="AK54" i="30"/>
  <c r="AK53" i="30"/>
  <c r="AK52" i="30"/>
  <c r="AK51" i="30"/>
  <c r="AK50" i="30"/>
  <c r="AK49" i="30"/>
  <c r="AK48" i="30"/>
  <c r="AK47" i="30"/>
  <c r="AK46" i="30"/>
  <c r="AK45" i="30"/>
  <c r="AK44" i="30"/>
  <c r="AK43" i="30"/>
  <c r="AK42" i="30"/>
  <c r="AK41" i="30"/>
  <c r="AK40" i="30"/>
  <c r="AK39" i="30"/>
  <c r="AK38" i="30"/>
  <c r="AK37" i="30"/>
  <c r="AK36" i="30"/>
  <c r="AK35" i="30"/>
  <c r="AK34" i="30"/>
  <c r="AK33" i="30"/>
  <c r="AK32" i="30"/>
  <c r="AK31" i="30"/>
  <c r="AK30" i="30"/>
  <c r="AK29" i="30"/>
  <c r="AK28" i="30"/>
  <c r="AK27" i="30"/>
  <c r="AK26" i="30"/>
  <c r="AK25" i="30"/>
  <c r="AK20" i="30"/>
  <c r="AK15" i="30"/>
  <c r="AK14" i="30"/>
  <c r="AK13" i="30"/>
  <c r="AK12" i="30"/>
  <c r="AK11" i="30"/>
  <c r="AE236" i="30"/>
  <c r="M236" i="30"/>
  <c r="L236" i="30"/>
  <c r="AE235" i="30"/>
  <c r="M235" i="30"/>
  <c r="L235" i="30"/>
  <c r="BP234" i="30"/>
  <c r="BO234" i="30"/>
  <c r="BN234" i="30"/>
  <c r="BM234" i="30"/>
  <c r="BL234" i="30"/>
  <c r="BK234" i="30"/>
  <c r="BJ234" i="30"/>
  <c r="BI234" i="30"/>
  <c r="BH234" i="30"/>
  <c r="BG234" i="30"/>
  <c r="BF234" i="30"/>
  <c r="BE234" i="30"/>
  <c r="BD234" i="30"/>
  <c r="BC234" i="30"/>
  <c r="BB234" i="30"/>
  <c r="BA234" i="30"/>
  <c r="AZ234" i="30"/>
  <c r="AY234" i="30"/>
  <c r="AX234" i="30"/>
  <c r="AW234" i="30"/>
  <c r="AV234" i="30"/>
  <c r="AU234" i="30"/>
  <c r="AT234" i="30"/>
  <c r="AS234" i="30"/>
  <c r="AR234" i="30"/>
  <c r="AQ234" i="30"/>
  <c r="AP234" i="30"/>
  <c r="AO234" i="30"/>
  <c r="AN234" i="30"/>
  <c r="AE234" i="30"/>
  <c r="M234" i="30"/>
  <c r="L234" i="30"/>
  <c r="BP233" i="30"/>
  <c r="BO233" i="30"/>
  <c r="BN233" i="30"/>
  <c r="BM233" i="30"/>
  <c r="BL233" i="30"/>
  <c r="BK233" i="30"/>
  <c r="BJ233" i="30"/>
  <c r="BI233" i="30"/>
  <c r="BH233" i="30"/>
  <c r="BG233" i="30"/>
  <c r="BF233" i="30"/>
  <c r="BE233" i="30"/>
  <c r="BD233" i="30"/>
  <c r="BC233" i="30"/>
  <c r="BB233" i="30"/>
  <c r="BA233" i="30"/>
  <c r="AZ233" i="30"/>
  <c r="AY233" i="30"/>
  <c r="AX233" i="30"/>
  <c r="AW233" i="30"/>
  <c r="AV233" i="30"/>
  <c r="AU233" i="30"/>
  <c r="AT233" i="30"/>
  <c r="AS233" i="30"/>
  <c r="AR233" i="30"/>
  <c r="AQ233" i="30"/>
  <c r="AP233" i="30"/>
  <c r="AO233" i="30"/>
  <c r="AN233" i="30"/>
  <c r="AE233" i="30"/>
  <c r="M233" i="30"/>
  <c r="L233" i="30"/>
  <c r="BP232" i="30"/>
  <c r="BO232" i="30"/>
  <c r="BN232" i="30"/>
  <c r="BM232" i="30"/>
  <c r="BL232" i="30"/>
  <c r="BK232" i="30"/>
  <c r="BJ232" i="30"/>
  <c r="BI232" i="30"/>
  <c r="BH232" i="30"/>
  <c r="BG232" i="30"/>
  <c r="BF232" i="30"/>
  <c r="BE232" i="30"/>
  <c r="BD232" i="30"/>
  <c r="BC232" i="30"/>
  <c r="BB232" i="30"/>
  <c r="BA232" i="30"/>
  <c r="AZ232" i="30"/>
  <c r="AY232" i="30"/>
  <c r="AX232" i="30"/>
  <c r="AW232" i="30"/>
  <c r="AV232" i="30"/>
  <c r="AU232" i="30"/>
  <c r="AT232" i="30"/>
  <c r="AS232" i="30"/>
  <c r="AR232" i="30"/>
  <c r="AQ232" i="30"/>
  <c r="AP232" i="30"/>
  <c r="AO232" i="30"/>
  <c r="AN232" i="30"/>
  <c r="AE232" i="30"/>
  <c r="M232" i="30"/>
  <c r="L232" i="30"/>
  <c r="BP219" i="30"/>
  <c r="BO219" i="30"/>
  <c r="BN219" i="30"/>
  <c r="BM219" i="30"/>
  <c r="BL219" i="30"/>
  <c r="BK219" i="30"/>
  <c r="BJ219" i="30"/>
  <c r="BI219" i="30"/>
  <c r="BH219" i="30"/>
  <c r="BG219" i="30"/>
  <c r="BF219" i="30"/>
  <c r="BE219" i="30"/>
  <c r="BD219" i="30"/>
  <c r="BC219" i="30"/>
  <c r="BB219" i="30"/>
  <c r="BA219" i="30"/>
  <c r="AZ219" i="30"/>
  <c r="AY219" i="30"/>
  <c r="AX219" i="30"/>
  <c r="AW219" i="30"/>
  <c r="AV219" i="30"/>
  <c r="AU219" i="30"/>
  <c r="AT219" i="30"/>
  <c r="AS219" i="30"/>
  <c r="AR219" i="30"/>
  <c r="AQ219" i="30"/>
  <c r="AP219" i="30"/>
  <c r="AO219" i="30"/>
  <c r="AN219" i="30"/>
  <c r="AE219" i="30"/>
  <c r="M219" i="30"/>
  <c r="L219" i="30"/>
  <c r="BP214" i="30"/>
  <c r="BO214" i="30"/>
  <c r="BN214" i="30"/>
  <c r="BM214" i="30"/>
  <c r="BL214" i="30"/>
  <c r="BK214" i="30"/>
  <c r="BJ214" i="30"/>
  <c r="BI214" i="30"/>
  <c r="BH214" i="30"/>
  <c r="BG214" i="30"/>
  <c r="BF214" i="30"/>
  <c r="BE214" i="30"/>
  <c r="BD214" i="30"/>
  <c r="BC214" i="30"/>
  <c r="BB214" i="30"/>
  <c r="BA214" i="30"/>
  <c r="AZ214" i="30"/>
  <c r="AY214" i="30"/>
  <c r="AX214" i="30"/>
  <c r="AW214" i="30"/>
  <c r="AV214" i="30"/>
  <c r="AU214" i="30"/>
  <c r="AT214" i="30"/>
  <c r="AS214" i="30"/>
  <c r="AR214" i="30"/>
  <c r="AQ214" i="30"/>
  <c r="AP214" i="30"/>
  <c r="AO214" i="30"/>
  <c r="AN214" i="30"/>
  <c r="AE214" i="30"/>
  <c r="M214" i="30"/>
  <c r="L214" i="30"/>
  <c r="M213" i="30"/>
  <c r="L213" i="30"/>
  <c r="M212" i="30"/>
  <c r="L212" i="30"/>
  <c r="BP211" i="30"/>
  <c r="BO211" i="30"/>
  <c r="BN211" i="30"/>
  <c r="BM211" i="30"/>
  <c r="BL211" i="30"/>
  <c r="BK211" i="30"/>
  <c r="BJ211" i="30"/>
  <c r="BI211" i="30"/>
  <c r="BH211" i="30"/>
  <c r="BG211" i="30"/>
  <c r="BF211" i="30"/>
  <c r="BE211" i="30"/>
  <c r="BD211" i="30"/>
  <c r="BC211" i="30"/>
  <c r="BB211" i="30"/>
  <c r="BA211" i="30"/>
  <c r="AZ211" i="30"/>
  <c r="AY211" i="30"/>
  <c r="AX211" i="30"/>
  <c r="AW211" i="30"/>
  <c r="AV211" i="30"/>
  <c r="AU211" i="30"/>
  <c r="AT211" i="30"/>
  <c r="AS211" i="30"/>
  <c r="AR211" i="30"/>
  <c r="AQ211" i="30"/>
  <c r="AP211" i="30"/>
  <c r="AO211" i="30"/>
  <c r="AN211" i="30"/>
  <c r="AE211" i="30"/>
  <c r="M211" i="30"/>
  <c r="L211" i="30"/>
  <c r="BP210" i="30"/>
  <c r="BO210" i="30"/>
  <c r="BN210" i="30"/>
  <c r="BM210" i="30"/>
  <c r="BL210" i="30"/>
  <c r="BK210" i="30"/>
  <c r="BJ210" i="30"/>
  <c r="BI210" i="30"/>
  <c r="BH210" i="30"/>
  <c r="BG210" i="30"/>
  <c r="BF210" i="30"/>
  <c r="BE210" i="30"/>
  <c r="BD210" i="30"/>
  <c r="BC210" i="30"/>
  <c r="BB210" i="30"/>
  <c r="BA210" i="30"/>
  <c r="AZ210" i="30"/>
  <c r="AY210" i="30"/>
  <c r="AX210" i="30"/>
  <c r="AW210" i="30"/>
  <c r="AV210" i="30"/>
  <c r="AU210" i="30"/>
  <c r="AT210" i="30"/>
  <c r="AS210" i="30"/>
  <c r="AR210" i="30"/>
  <c r="AQ210" i="30"/>
  <c r="AP210" i="30"/>
  <c r="AO210" i="30"/>
  <c r="AN210" i="30"/>
  <c r="AE210" i="30"/>
  <c r="M210" i="30"/>
  <c r="L210" i="30"/>
  <c r="AE207" i="30"/>
  <c r="M207" i="30"/>
  <c r="L207" i="30"/>
  <c r="AE206" i="30"/>
  <c r="M206" i="30"/>
  <c r="L206" i="30"/>
  <c r="AE205" i="30"/>
  <c r="M205" i="30"/>
  <c r="L205" i="30"/>
  <c r="AE204" i="30"/>
  <c r="M204" i="30"/>
  <c r="L204" i="30"/>
  <c r="AE203" i="30"/>
  <c r="M203" i="30"/>
  <c r="L203" i="30"/>
  <c r="AE202" i="30"/>
  <c r="M202" i="30"/>
  <c r="L202" i="30"/>
  <c r="AE201" i="30"/>
  <c r="M201" i="30"/>
  <c r="L201" i="30"/>
  <c r="AE200" i="30"/>
  <c r="M200" i="30"/>
  <c r="L200" i="30"/>
  <c r="AE199" i="30"/>
  <c r="M199" i="30"/>
  <c r="L199" i="30"/>
  <c r="AE198" i="30"/>
  <c r="M198" i="30"/>
  <c r="L198" i="30"/>
  <c r="AE197" i="30"/>
  <c r="M197" i="30"/>
  <c r="L197" i="30"/>
  <c r="AE196" i="30"/>
  <c r="M196" i="30"/>
  <c r="L196" i="30"/>
  <c r="AE195" i="30"/>
  <c r="M195" i="30"/>
  <c r="L195" i="30"/>
  <c r="AE194" i="30"/>
  <c r="M194" i="30"/>
  <c r="L194" i="30"/>
  <c r="AE193" i="30"/>
  <c r="M193" i="30"/>
  <c r="L193" i="30"/>
  <c r="AE192" i="30"/>
  <c r="M192" i="30"/>
  <c r="L192" i="30"/>
  <c r="AE191" i="30"/>
  <c r="M191" i="30"/>
  <c r="L191" i="30"/>
  <c r="BP183" i="30"/>
  <c r="BO183" i="30"/>
  <c r="BN183" i="30"/>
  <c r="BM183" i="30"/>
  <c r="BL183" i="30"/>
  <c r="BK183" i="30"/>
  <c r="BJ183" i="30"/>
  <c r="BI183" i="30"/>
  <c r="BH183" i="30"/>
  <c r="BG183" i="30"/>
  <c r="BF183" i="30"/>
  <c r="BE183" i="30"/>
  <c r="BD183" i="30"/>
  <c r="BC183" i="30"/>
  <c r="BB183" i="30"/>
  <c r="BA183" i="30"/>
  <c r="AZ183" i="30"/>
  <c r="AY183" i="30"/>
  <c r="AX183" i="30"/>
  <c r="AW183" i="30"/>
  <c r="AV183" i="30"/>
  <c r="AU183" i="30"/>
  <c r="AT183" i="30"/>
  <c r="AS183" i="30"/>
  <c r="AR183" i="30"/>
  <c r="AQ183" i="30"/>
  <c r="AP183" i="30"/>
  <c r="AO183" i="30"/>
  <c r="AN183" i="30"/>
  <c r="AE183" i="30"/>
  <c r="M183" i="30"/>
  <c r="L183" i="30"/>
  <c r="BP182" i="30"/>
  <c r="BO182" i="30"/>
  <c r="BN182" i="30"/>
  <c r="BM182" i="30"/>
  <c r="BL182" i="30"/>
  <c r="BK182" i="30"/>
  <c r="BJ182" i="30"/>
  <c r="BI182" i="30"/>
  <c r="BH182" i="30"/>
  <c r="BG182" i="30"/>
  <c r="BF182" i="30"/>
  <c r="BE182" i="30"/>
  <c r="BD182" i="30"/>
  <c r="BC182" i="30"/>
  <c r="BB182" i="30"/>
  <c r="BA182" i="30"/>
  <c r="AZ182" i="30"/>
  <c r="AY182" i="30"/>
  <c r="AX182" i="30"/>
  <c r="AW182" i="30"/>
  <c r="AV182" i="30"/>
  <c r="AU182" i="30"/>
  <c r="AT182" i="30"/>
  <c r="AS182" i="30"/>
  <c r="AR182" i="30"/>
  <c r="AQ182" i="30"/>
  <c r="AP182" i="30"/>
  <c r="AO182" i="30"/>
  <c r="AN182" i="30"/>
  <c r="AE182" i="30"/>
  <c r="M182" i="30"/>
  <c r="L182" i="30"/>
  <c r="BP181" i="30"/>
  <c r="BO181" i="30"/>
  <c r="BN181" i="30"/>
  <c r="BM181" i="30"/>
  <c r="BL181" i="30"/>
  <c r="BK181" i="30"/>
  <c r="BJ181" i="30"/>
  <c r="BI181" i="30"/>
  <c r="BH181" i="30"/>
  <c r="BG181" i="30"/>
  <c r="BF181" i="30"/>
  <c r="BE181" i="30"/>
  <c r="BD181" i="30"/>
  <c r="BC181" i="30"/>
  <c r="BB181" i="30"/>
  <c r="BA181" i="30"/>
  <c r="AZ181" i="30"/>
  <c r="AY181" i="30"/>
  <c r="AX181" i="30"/>
  <c r="AW181" i="30"/>
  <c r="AV181" i="30"/>
  <c r="AU181" i="30"/>
  <c r="AT181" i="30"/>
  <c r="AS181" i="30"/>
  <c r="AR181" i="30"/>
  <c r="AQ181" i="30"/>
  <c r="AP181" i="30"/>
  <c r="AO181" i="30"/>
  <c r="AN181" i="30"/>
  <c r="AE181" i="30"/>
  <c r="M181" i="30"/>
  <c r="L181" i="30"/>
  <c r="BP180" i="30"/>
  <c r="BO180" i="30"/>
  <c r="BN180" i="30"/>
  <c r="BM180" i="30"/>
  <c r="BL180" i="30"/>
  <c r="BK180" i="30"/>
  <c r="BJ180" i="30"/>
  <c r="BI180" i="30"/>
  <c r="BH180" i="30"/>
  <c r="BG180" i="30"/>
  <c r="BF180" i="30"/>
  <c r="BE180" i="30"/>
  <c r="BD180" i="30"/>
  <c r="BC180" i="30"/>
  <c r="BB180" i="30"/>
  <c r="BA180" i="30"/>
  <c r="AZ180" i="30"/>
  <c r="AY180" i="30"/>
  <c r="AX180" i="30"/>
  <c r="AW180" i="30"/>
  <c r="AV180" i="30"/>
  <c r="AU180" i="30"/>
  <c r="AT180" i="30"/>
  <c r="AS180" i="30"/>
  <c r="AR180" i="30"/>
  <c r="AQ180" i="30"/>
  <c r="AP180" i="30"/>
  <c r="AO180" i="30"/>
  <c r="AN180" i="30"/>
  <c r="AE180" i="30"/>
  <c r="M180" i="30"/>
  <c r="L180" i="30"/>
  <c r="BP179" i="30"/>
  <c r="BO179" i="30"/>
  <c r="BN179" i="30"/>
  <c r="BM179" i="30"/>
  <c r="BL179" i="30"/>
  <c r="BK179" i="30"/>
  <c r="BJ179" i="30"/>
  <c r="BI179" i="30"/>
  <c r="BH179" i="30"/>
  <c r="BG179" i="30"/>
  <c r="BF179" i="30"/>
  <c r="BE179" i="30"/>
  <c r="BD179" i="30"/>
  <c r="BC179" i="30"/>
  <c r="BB179" i="30"/>
  <c r="BA179" i="30"/>
  <c r="AZ179" i="30"/>
  <c r="AY179" i="30"/>
  <c r="AX179" i="30"/>
  <c r="AW179" i="30"/>
  <c r="AV179" i="30"/>
  <c r="AU179" i="30"/>
  <c r="AT179" i="30"/>
  <c r="AS179" i="30"/>
  <c r="AR179" i="30"/>
  <c r="AQ179" i="30"/>
  <c r="AP179" i="30"/>
  <c r="AO179" i="30"/>
  <c r="AN179" i="30"/>
  <c r="AE179" i="30"/>
  <c r="M179" i="30"/>
  <c r="L179" i="30"/>
  <c r="BP178" i="30"/>
  <c r="BO178" i="30"/>
  <c r="BN178" i="30"/>
  <c r="BM178" i="30"/>
  <c r="BL178" i="30"/>
  <c r="BK178" i="30"/>
  <c r="BJ178" i="30"/>
  <c r="BI178" i="30"/>
  <c r="BH178" i="30"/>
  <c r="BG178" i="30"/>
  <c r="BF178" i="30"/>
  <c r="BE178" i="30"/>
  <c r="BD178" i="30"/>
  <c r="BC178" i="30"/>
  <c r="BB178" i="30"/>
  <c r="BA178" i="30"/>
  <c r="AZ178" i="30"/>
  <c r="AY178" i="30"/>
  <c r="AX178" i="30"/>
  <c r="AW178" i="30"/>
  <c r="AV178" i="30"/>
  <c r="AU178" i="30"/>
  <c r="AT178" i="30"/>
  <c r="AS178" i="30"/>
  <c r="AR178" i="30"/>
  <c r="AQ178" i="30"/>
  <c r="AP178" i="30"/>
  <c r="AO178" i="30"/>
  <c r="AN178" i="30"/>
  <c r="AE178" i="30"/>
  <c r="M178" i="30"/>
  <c r="L178" i="30"/>
  <c r="M184" i="30"/>
  <c r="L184" i="30"/>
  <c r="M177" i="30"/>
  <c r="L177" i="30"/>
  <c r="M176" i="30"/>
  <c r="L176" i="30"/>
  <c r="BP151" i="30"/>
  <c r="BO151" i="30"/>
  <c r="BN151" i="30"/>
  <c r="BM151" i="30"/>
  <c r="BL151" i="30"/>
  <c r="BK151" i="30"/>
  <c r="BJ151" i="30"/>
  <c r="BI151" i="30"/>
  <c r="BH151" i="30"/>
  <c r="BG151" i="30"/>
  <c r="BF151" i="30"/>
  <c r="BE151" i="30"/>
  <c r="BD151" i="30"/>
  <c r="BC151" i="30"/>
  <c r="BB151" i="30"/>
  <c r="BA151" i="30"/>
  <c r="AZ151" i="30"/>
  <c r="AY151" i="30"/>
  <c r="AX151" i="30"/>
  <c r="AW151" i="30"/>
  <c r="AV151" i="30"/>
  <c r="AU151" i="30"/>
  <c r="AT151" i="30"/>
  <c r="AS151" i="30"/>
  <c r="AR151" i="30"/>
  <c r="AQ151" i="30"/>
  <c r="AP151" i="30"/>
  <c r="AO151" i="30"/>
  <c r="AN151" i="30"/>
  <c r="AE151" i="30"/>
  <c r="M151" i="30"/>
  <c r="L151" i="30"/>
  <c r="BP150" i="30"/>
  <c r="BO150" i="30"/>
  <c r="BN150" i="30"/>
  <c r="BM150" i="30"/>
  <c r="BL150" i="30"/>
  <c r="BK150" i="30"/>
  <c r="BJ150" i="30"/>
  <c r="BI150" i="30"/>
  <c r="BH150" i="30"/>
  <c r="BG150" i="30"/>
  <c r="BF150" i="30"/>
  <c r="BE150" i="30"/>
  <c r="BD150" i="30"/>
  <c r="BC150" i="30"/>
  <c r="BB150" i="30"/>
  <c r="BA150" i="30"/>
  <c r="AZ150" i="30"/>
  <c r="AY150" i="30"/>
  <c r="AX150" i="30"/>
  <c r="AW150" i="30"/>
  <c r="AV150" i="30"/>
  <c r="AU150" i="30"/>
  <c r="AT150" i="30"/>
  <c r="AS150" i="30"/>
  <c r="AR150" i="30"/>
  <c r="AQ150" i="30"/>
  <c r="AP150" i="30"/>
  <c r="AO150" i="30"/>
  <c r="AN150" i="30"/>
  <c r="AE150" i="30"/>
  <c r="M150" i="30"/>
  <c r="L150" i="30"/>
  <c r="BP149" i="30"/>
  <c r="BO149" i="30"/>
  <c r="BN149" i="30"/>
  <c r="BM149" i="30"/>
  <c r="BL149" i="30"/>
  <c r="BK149" i="30"/>
  <c r="BJ149" i="30"/>
  <c r="BI149" i="30"/>
  <c r="BH149" i="30"/>
  <c r="BG149" i="30"/>
  <c r="BF149" i="30"/>
  <c r="BE149" i="30"/>
  <c r="BD149" i="30"/>
  <c r="BC149" i="30"/>
  <c r="BB149" i="30"/>
  <c r="BA149" i="30"/>
  <c r="AZ149" i="30"/>
  <c r="AY149" i="30"/>
  <c r="AX149" i="30"/>
  <c r="AW149" i="30"/>
  <c r="AV149" i="30"/>
  <c r="AU149" i="30"/>
  <c r="AT149" i="30"/>
  <c r="AS149" i="30"/>
  <c r="AR149" i="30"/>
  <c r="AQ149" i="30"/>
  <c r="AP149" i="30"/>
  <c r="AO149" i="30"/>
  <c r="AN149" i="30"/>
  <c r="AE149" i="30"/>
  <c r="M149" i="30"/>
  <c r="L149" i="30"/>
  <c r="BP148" i="30"/>
  <c r="BO148" i="30"/>
  <c r="BN148" i="30"/>
  <c r="BM148" i="30"/>
  <c r="BL148" i="30"/>
  <c r="BK148" i="30"/>
  <c r="BJ148" i="30"/>
  <c r="BI148" i="30"/>
  <c r="BH148" i="30"/>
  <c r="BG148" i="30"/>
  <c r="BF148" i="30"/>
  <c r="BE148" i="30"/>
  <c r="BD148" i="30"/>
  <c r="BC148" i="30"/>
  <c r="BB148" i="30"/>
  <c r="BA148" i="30"/>
  <c r="AZ148" i="30"/>
  <c r="AY148" i="30"/>
  <c r="AX148" i="30"/>
  <c r="AW148" i="30"/>
  <c r="AV148" i="30"/>
  <c r="AU148" i="30"/>
  <c r="AT148" i="30"/>
  <c r="AS148" i="30"/>
  <c r="AR148" i="30"/>
  <c r="AQ148" i="30"/>
  <c r="AP148" i="30"/>
  <c r="AO148" i="30"/>
  <c r="AN148" i="30"/>
  <c r="AE148" i="30"/>
  <c r="M148" i="30"/>
  <c r="L148" i="30"/>
  <c r="BP147" i="30"/>
  <c r="BO147" i="30"/>
  <c r="BN147" i="30"/>
  <c r="BM147" i="30"/>
  <c r="BL147" i="30"/>
  <c r="BK147" i="30"/>
  <c r="BJ147" i="30"/>
  <c r="BI147" i="30"/>
  <c r="BH147" i="30"/>
  <c r="BG147" i="30"/>
  <c r="BF147" i="30"/>
  <c r="BE147" i="30"/>
  <c r="BD147" i="30"/>
  <c r="BC147" i="30"/>
  <c r="BB147" i="30"/>
  <c r="BA147" i="30"/>
  <c r="AZ147" i="30"/>
  <c r="AY147" i="30"/>
  <c r="AX147" i="30"/>
  <c r="AW147" i="30"/>
  <c r="AV147" i="30"/>
  <c r="AU147" i="30"/>
  <c r="AT147" i="30"/>
  <c r="AS147" i="30"/>
  <c r="AR147" i="30"/>
  <c r="AQ147" i="30"/>
  <c r="AP147" i="30"/>
  <c r="AO147" i="30"/>
  <c r="AN147" i="30"/>
  <c r="AE147" i="30"/>
  <c r="M147" i="30"/>
  <c r="L147" i="30"/>
  <c r="BP146" i="30"/>
  <c r="BO146" i="30"/>
  <c r="BN146" i="30"/>
  <c r="BM146" i="30"/>
  <c r="BL146" i="30"/>
  <c r="BK146" i="30"/>
  <c r="BJ146" i="30"/>
  <c r="BI146" i="30"/>
  <c r="BH146" i="30"/>
  <c r="BG146" i="30"/>
  <c r="BF146" i="30"/>
  <c r="BE146" i="30"/>
  <c r="BD146" i="30"/>
  <c r="BC146" i="30"/>
  <c r="BB146" i="30"/>
  <c r="BA146" i="30"/>
  <c r="AZ146" i="30"/>
  <c r="AY146" i="30"/>
  <c r="AX146" i="30"/>
  <c r="AW146" i="30"/>
  <c r="AV146" i="30"/>
  <c r="AU146" i="30"/>
  <c r="AT146" i="30"/>
  <c r="AS146" i="30"/>
  <c r="AR146" i="30"/>
  <c r="AQ146" i="30"/>
  <c r="AP146" i="30"/>
  <c r="AO146" i="30"/>
  <c r="AN146" i="30"/>
  <c r="AE146" i="30"/>
  <c r="M146" i="30"/>
  <c r="L146" i="30"/>
  <c r="BP145" i="30"/>
  <c r="BO145" i="30"/>
  <c r="BN145" i="30"/>
  <c r="BM145" i="30"/>
  <c r="BL145" i="30"/>
  <c r="BK145" i="30"/>
  <c r="BJ145" i="30"/>
  <c r="BI145" i="30"/>
  <c r="BH145" i="30"/>
  <c r="BG145" i="30"/>
  <c r="BF145" i="30"/>
  <c r="BE145" i="30"/>
  <c r="BD145" i="30"/>
  <c r="BC145" i="30"/>
  <c r="BB145" i="30"/>
  <c r="BA145" i="30"/>
  <c r="AZ145" i="30"/>
  <c r="AY145" i="30"/>
  <c r="AX145" i="30"/>
  <c r="AW145" i="30"/>
  <c r="AV145" i="30"/>
  <c r="AU145" i="30"/>
  <c r="AT145" i="30"/>
  <c r="AS145" i="30"/>
  <c r="AR145" i="30"/>
  <c r="AQ145" i="30"/>
  <c r="AP145" i="30"/>
  <c r="AO145" i="30"/>
  <c r="AN145" i="30"/>
  <c r="AE145" i="30"/>
  <c r="M145" i="30"/>
  <c r="L145" i="30"/>
  <c r="BP144" i="30"/>
  <c r="BO144" i="30"/>
  <c r="BN144" i="30"/>
  <c r="BM144" i="30"/>
  <c r="BL144" i="30"/>
  <c r="BK144" i="30"/>
  <c r="BJ144" i="30"/>
  <c r="BI144" i="30"/>
  <c r="BH144" i="30"/>
  <c r="BG144" i="30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E144" i="30"/>
  <c r="M144" i="30"/>
  <c r="L144" i="30"/>
  <c r="BP143" i="30"/>
  <c r="BO143" i="30"/>
  <c r="BN143" i="30"/>
  <c r="BM143" i="30"/>
  <c r="BL143" i="30"/>
  <c r="BK143" i="30"/>
  <c r="BJ143" i="30"/>
  <c r="BI143" i="30"/>
  <c r="BH143" i="30"/>
  <c r="BG143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E143" i="30"/>
  <c r="M143" i="30"/>
  <c r="L143" i="30"/>
  <c r="BP142" i="30"/>
  <c r="BO142" i="30"/>
  <c r="BN142" i="30"/>
  <c r="BM142" i="30"/>
  <c r="BL142" i="30"/>
  <c r="BK142" i="30"/>
  <c r="BJ142" i="30"/>
  <c r="BI142" i="30"/>
  <c r="BH142" i="30"/>
  <c r="BG142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E142" i="30"/>
  <c r="M142" i="30"/>
  <c r="L142" i="30"/>
  <c r="BP141" i="30"/>
  <c r="BO141" i="30"/>
  <c r="BN141" i="30"/>
  <c r="BM141" i="30"/>
  <c r="BL141" i="30"/>
  <c r="BK141" i="30"/>
  <c r="BJ141" i="30"/>
  <c r="BI141" i="30"/>
  <c r="BH141" i="30"/>
  <c r="BG141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E141" i="30"/>
  <c r="M141" i="30"/>
  <c r="L141" i="30"/>
  <c r="BP140" i="30"/>
  <c r="BO140" i="30"/>
  <c r="BN140" i="30"/>
  <c r="BM140" i="30"/>
  <c r="BL140" i="30"/>
  <c r="BK140" i="30"/>
  <c r="BJ140" i="30"/>
  <c r="BI140" i="30"/>
  <c r="BH140" i="30"/>
  <c r="BG140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E140" i="30"/>
  <c r="M140" i="30"/>
  <c r="L140" i="30"/>
  <c r="BP139" i="30"/>
  <c r="BO139" i="30"/>
  <c r="BN139" i="30"/>
  <c r="BM139" i="30"/>
  <c r="BL139" i="30"/>
  <c r="BK139" i="30"/>
  <c r="BJ139" i="30"/>
  <c r="BI139" i="30"/>
  <c r="BH139" i="30"/>
  <c r="BG139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E139" i="30"/>
  <c r="M139" i="30"/>
  <c r="L139" i="30"/>
  <c r="AE138" i="30"/>
  <c r="M138" i="30"/>
  <c r="L138" i="30"/>
  <c r="AE137" i="30"/>
  <c r="M137" i="30"/>
  <c r="L137" i="30"/>
  <c r="BP136" i="30"/>
  <c r="BO136" i="30"/>
  <c r="BN136" i="30"/>
  <c r="BM136" i="30"/>
  <c r="BL136" i="30"/>
  <c r="BK136" i="30"/>
  <c r="BJ136" i="30"/>
  <c r="BI136" i="30"/>
  <c r="BH136" i="30"/>
  <c r="BG136" i="30"/>
  <c r="BF136" i="30"/>
  <c r="BE136" i="30"/>
  <c r="BD136" i="30"/>
  <c r="BC136" i="30"/>
  <c r="BB136" i="30"/>
  <c r="BA136" i="30"/>
  <c r="AZ136" i="30"/>
  <c r="AY136" i="30"/>
  <c r="AX136" i="30"/>
  <c r="AW136" i="30"/>
  <c r="AV136" i="30"/>
  <c r="AU136" i="30"/>
  <c r="AT136" i="30"/>
  <c r="AS136" i="30"/>
  <c r="AR136" i="30"/>
  <c r="AQ136" i="30"/>
  <c r="AP136" i="30"/>
  <c r="AO136" i="30"/>
  <c r="AN136" i="30"/>
  <c r="AE136" i="30"/>
  <c r="M136" i="30"/>
  <c r="L136" i="30"/>
  <c r="BP135" i="30"/>
  <c r="BO135" i="30"/>
  <c r="BN135" i="30"/>
  <c r="BM135" i="30"/>
  <c r="BL135" i="30"/>
  <c r="BK135" i="30"/>
  <c r="BJ135" i="30"/>
  <c r="BI135" i="30"/>
  <c r="BH135" i="30"/>
  <c r="BG135" i="30"/>
  <c r="BF135" i="30"/>
  <c r="BE135" i="30"/>
  <c r="BD135" i="30"/>
  <c r="BC135" i="30"/>
  <c r="BB135" i="30"/>
  <c r="BA135" i="30"/>
  <c r="AZ135" i="30"/>
  <c r="AY135" i="30"/>
  <c r="AX135" i="30"/>
  <c r="AW135" i="30"/>
  <c r="AV135" i="30"/>
  <c r="AU135" i="30"/>
  <c r="AT135" i="30"/>
  <c r="AS135" i="30"/>
  <c r="AR135" i="30"/>
  <c r="AQ135" i="30"/>
  <c r="AP135" i="30"/>
  <c r="AO135" i="30"/>
  <c r="AN135" i="30"/>
  <c r="AE135" i="30"/>
  <c r="M135" i="30"/>
  <c r="L135" i="30"/>
  <c r="AE134" i="30"/>
  <c r="M134" i="30"/>
  <c r="L134" i="30"/>
  <c r="AE133" i="30"/>
  <c r="M133" i="30"/>
  <c r="L133" i="30"/>
  <c r="AE132" i="30"/>
  <c r="M132" i="30"/>
  <c r="L132" i="30"/>
  <c r="AE131" i="30"/>
  <c r="M131" i="30"/>
  <c r="L131" i="30"/>
  <c r="AE130" i="30"/>
  <c r="M130" i="30"/>
  <c r="L130" i="30"/>
  <c r="AE129" i="30"/>
  <c r="M129" i="30"/>
  <c r="L129" i="30"/>
  <c r="AE128" i="30"/>
  <c r="M128" i="30"/>
  <c r="L128" i="30"/>
  <c r="AE127" i="30"/>
  <c r="M127" i="30"/>
  <c r="L127" i="30"/>
  <c r="BP126" i="30"/>
  <c r="BO126" i="30"/>
  <c r="BN126" i="30"/>
  <c r="BM126" i="30"/>
  <c r="BL126" i="30"/>
  <c r="BK126" i="30"/>
  <c r="BJ126" i="30"/>
  <c r="BI126" i="30"/>
  <c r="BH126" i="30"/>
  <c r="BG126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E126" i="30"/>
  <c r="M126" i="30"/>
  <c r="L126" i="30"/>
  <c r="BP125" i="30"/>
  <c r="BO125" i="30"/>
  <c r="BN125" i="30"/>
  <c r="BM125" i="30"/>
  <c r="BL125" i="30"/>
  <c r="BK125" i="30"/>
  <c r="BJ125" i="30"/>
  <c r="BI125" i="30"/>
  <c r="BH125" i="30"/>
  <c r="BG125" i="30"/>
  <c r="BF125" i="30"/>
  <c r="BE125" i="30"/>
  <c r="BD125" i="30"/>
  <c r="BC125" i="30"/>
  <c r="BB125" i="30"/>
  <c r="BA125" i="30"/>
  <c r="AZ125" i="30"/>
  <c r="AY125" i="30"/>
  <c r="AX125" i="30"/>
  <c r="AW125" i="30"/>
  <c r="AV125" i="30"/>
  <c r="AU125" i="30"/>
  <c r="AT125" i="30"/>
  <c r="AS125" i="30"/>
  <c r="AR125" i="30"/>
  <c r="AQ125" i="30"/>
  <c r="AP125" i="30"/>
  <c r="AO125" i="30"/>
  <c r="AN125" i="30"/>
  <c r="AE125" i="30"/>
  <c r="M125" i="30"/>
  <c r="L125" i="30"/>
  <c r="BP124" i="30"/>
  <c r="BO124" i="30"/>
  <c r="BN124" i="30"/>
  <c r="BM124" i="30"/>
  <c r="BL124" i="30"/>
  <c r="BK124" i="30"/>
  <c r="BJ124" i="30"/>
  <c r="BI124" i="30"/>
  <c r="BH124" i="30"/>
  <c r="BG124" i="30"/>
  <c r="BF124" i="30"/>
  <c r="BE124" i="30"/>
  <c r="BD124" i="30"/>
  <c r="BC124" i="30"/>
  <c r="BB124" i="30"/>
  <c r="BA124" i="30"/>
  <c r="AZ124" i="30"/>
  <c r="AY124" i="30"/>
  <c r="AX124" i="30"/>
  <c r="AW124" i="30"/>
  <c r="AV124" i="30"/>
  <c r="AU124" i="30"/>
  <c r="AT124" i="30"/>
  <c r="AS124" i="30"/>
  <c r="AR124" i="30"/>
  <c r="AQ124" i="30"/>
  <c r="AP124" i="30"/>
  <c r="AO124" i="30"/>
  <c r="AN124" i="30"/>
  <c r="AE124" i="30"/>
  <c r="M124" i="30"/>
  <c r="L124" i="30"/>
  <c r="BP123" i="30"/>
  <c r="BO123" i="30"/>
  <c r="BN123" i="30"/>
  <c r="BM123" i="30"/>
  <c r="BL123" i="30"/>
  <c r="BK123" i="30"/>
  <c r="BJ123" i="30"/>
  <c r="BI123" i="30"/>
  <c r="BH123" i="30"/>
  <c r="BG123" i="30"/>
  <c r="BF123" i="30"/>
  <c r="BE123" i="30"/>
  <c r="BD123" i="30"/>
  <c r="BC123" i="30"/>
  <c r="BB123" i="30"/>
  <c r="BA123" i="30"/>
  <c r="AZ123" i="30"/>
  <c r="AY123" i="30"/>
  <c r="AX123" i="30"/>
  <c r="AW123" i="30"/>
  <c r="AV123" i="30"/>
  <c r="AU123" i="30"/>
  <c r="AT123" i="30"/>
  <c r="AS123" i="30"/>
  <c r="AR123" i="30"/>
  <c r="AQ123" i="30"/>
  <c r="AP123" i="30"/>
  <c r="AO123" i="30"/>
  <c r="AN123" i="30"/>
  <c r="AE123" i="30"/>
  <c r="M123" i="30"/>
  <c r="L123" i="30"/>
  <c r="BP122" i="30"/>
  <c r="BO122" i="30"/>
  <c r="BN122" i="30"/>
  <c r="BM122" i="30"/>
  <c r="BL122" i="30"/>
  <c r="BK122" i="30"/>
  <c r="BJ122" i="30"/>
  <c r="BI122" i="30"/>
  <c r="BH122" i="30"/>
  <c r="BG122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E122" i="30"/>
  <c r="M122" i="30"/>
  <c r="L122" i="30"/>
  <c r="BP121" i="30"/>
  <c r="BO121" i="30"/>
  <c r="BN121" i="30"/>
  <c r="BM121" i="30"/>
  <c r="BL121" i="30"/>
  <c r="BK121" i="30"/>
  <c r="BJ121" i="30"/>
  <c r="BI121" i="30"/>
  <c r="BH121" i="30"/>
  <c r="BG121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E121" i="30"/>
  <c r="M121" i="30"/>
  <c r="L121" i="30"/>
  <c r="AE108" i="30"/>
  <c r="M108" i="30"/>
  <c r="L108" i="30"/>
  <c r="AE107" i="30"/>
  <c r="M107" i="30"/>
  <c r="L107" i="30"/>
  <c r="BP106" i="30"/>
  <c r="BO106" i="30"/>
  <c r="BN106" i="30"/>
  <c r="BM106" i="30"/>
  <c r="BL106" i="30"/>
  <c r="BK106" i="30"/>
  <c r="BJ106" i="30"/>
  <c r="BI106" i="30"/>
  <c r="BH106" i="30"/>
  <c r="BG106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E106" i="30"/>
  <c r="M106" i="30"/>
  <c r="L106" i="30"/>
  <c r="BP105" i="30"/>
  <c r="BO105" i="30"/>
  <c r="BN105" i="30"/>
  <c r="BM105" i="30"/>
  <c r="BL105" i="30"/>
  <c r="BK105" i="30"/>
  <c r="BJ105" i="30"/>
  <c r="BI105" i="30"/>
  <c r="BH105" i="30"/>
  <c r="BG105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E105" i="30"/>
  <c r="M105" i="30"/>
  <c r="L105" i="30"/>
  <c r="BP104" i="30"/>
  <c r="BO104" i="30"/>
  <c r="BN104" i="30"/>
  <c r="BM104" i="30"/>
  <c r="BL104" i="30"/>
  <c r="BK104" i="30"/>
  <c r="BJ104" i="30"/>
  <c r="BI104" i="30"/>
  <c r="BH104" i="30"/>
  <c r="BG104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E104" i="30"/>
  <c r="M104" i="30"/>
  <c r="L104" i="30"/>
  <c r="AE103" i="30"/>
  <c r="M103" i="30"/>
  <c r="L103" i="30"/>
  <c r="AE102" i="30"/>
  <c r="M102" i="30"/>
  <c r="L102" i="30"/>
  <c r="AE101" i="30"/>
  <c r="M101" i="30"/>
  <c r="L101" i="30"/>
  <c r="AE100" i="30"/>
  <c r="M100" i="30"/>
  <c r="L100" i="30"/>
  <c r="AE99" i="30"/>
  <c r="M99" i="30"/>
  <c r="L99" i="30"/>
  <c r="AE98" i="30"/>
  <c r="M98" i="30"/>
  <c r="L98" i="30"/>
  <c r="AE93" i="30"/>
  <c r="M93" i="30"/>
  <c r="L93" i="30"/>
  <c r="AE92" i="30"/>
  <c r="M92" i="30"/>
  <c r="L92" i="30"/>
  <c r="AE91" i="30"/>
  <c r="M91" i="30"/>
  <c r="L91" i="30"/>
  <c r="AE90" i="30"/>
  <c r="M90" i="30"/>
  <c r="L90" i="30"/>
  <c r="AE86" i="30"/>
  <c r="M86" i="30"/>
  <c r="L86" i="30"/>
  <c r="AE85" i="30"/>
  <c r="M85" i="30"/>
  <c r="L85" i="30"/>
  <c r="AE84" i="30"/>
  <c r="M84" i="30"/>
  <c r="L84" i="30"/>
  <c r="AE83" i="30"/>
  <c r="M83" i="30"/>
  <c r="L83" i="30"/>
  <c r="AE82" i="30"/>
  <c r="M82" i="30"/>
  <c r="L82" i="30"/>
  <c r="AE81" i="30"/>
  <c r="M81" i="30"/>
  <c r="L81" i="30"/>
  <c r="AE76" i="30"/>
  <c r="M76" i="30"/>
  <c r="L76" i="30"/>
  <c r="BP75" i="30"/>
  <c r="BO75" i="30"/>
  <c r="BN75" i="30"/>
  <c r="BM75" i="30"/>
  <c r="BL75" i="30"/>
  <c r="BK75" i="30"/>
  <c r="BJ75" i="30"/>
  <c r="BI75" i="30"/>
  <c r="BH75" i="30"/>
  <c r="BG75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E75" i="30"/>
  <c r="M75" i="30"/>
  <c r="L75" i="30"/>
  <c r="BP74" i="30"/>
  <c r="BO74" i="30"/>
  <c r="BN74" i="30"/>
  <c r="BM74" i="30"/>
  <c r="BL74" i="30"/>
  <c r="BK74" i="30"/>
  <c r="BJ74" i="30"/>
  <c r="BI74" i="30"/>
  <c r="BH74" i="30"/>
  <c r="BG74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E74" i="30"/>
  <c r="M74" i="30"/>
  <c r="L74" i="30"/>
  <c r="BP73" i="30"/>
  <c r="BO73" i="30"/>
  <c r="BN73" i="30"/>
  <c r="BM73" i="30"/>
  <c r="BL73" i="30"/>
  <c r="BK73" i="30"/>
  <c r="BJ73" i="30"/>
  <c r="BI73" i="30"/>
  <c r="BH73" i="30"/>
  <c r="BG73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E73" i="30"/>
  <c r="M73" i="30"/>
  <c r="L73" i="30"/>
  <c r="BP72" i="30"/>
  <c r="BO72" i="30"/>
  <c r="BN72" i="30"/>
  <c r="BM72" i="30"/>
  <c r="BL72" i="30"/>
  <c r="BK72" i="30"/>
  <c r="BJ72" i="30"/>
  <c r="BI72" i="30"/>
  <c r="BH72" i="30"/>
  <c r="BG72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E72" i="30"/>
  <c r="M72" i="30"/>
  <c r="L72" i="30"/>
  <c r="AE71" i="30"/>
  <c r="M71" i="30"/>
  <c r="L71" i="30"/>
  <c r="AE70" i="30"/>
  <c r="M70" i="30"/>
  <c r="L70" i="30"/>
  <c r="AE69" i="30"/>
  <c r="M69" i="30"/>
  <c r="L69" i="30"/>
  <c r="AE68" i="30"/>
  <c r="M68" i="30"/>
  <c r="L68" i="30"/>
  <c r="AE67" i="30"/>
  <c r="M67" i="30"/>
  <c r="L67" i="30"/>
  <c r="AE66" i="30"/>
  <c r="M66" i="30"/>
  <c r="L66" i="30"/>
  <c r="AE65" i="30"/>
  <c r="M65" i="30"/>
  <c r="L65" i="30"/>
  <c r="AE64" i="30"/>
  <c r="M64" i="30"/>
  <c r="L64" i="30"/>
  <c r="AE63" i="30"/>
  <c r="M63" i="30"/>
  <c r="L63" i="30"/>
  <c r="AE62" i="30"/>
  <c r="M62" i="30"/>
  <c r="L62" i="30"/>
  <c r="BP61" i="30"/>
  <c r="BO61" i="30"/>
  <c r="BN61" i="30"/>
  <c r="BM61" i="30"/>
  <c r="BL61" i="30"/>
  <c r="BK61" i="30"/>
  <c r="BJ61" i="30"/>
  <c r="BI61" i="30"/>
  <c r="BH61" i="30"/>
  <c r="BG61" i="30"/>
  <c r="BF61" i="30"/>
  <c r="BE61" i="30"/>
  <c r="BD61" i="30"/>
  <c r="BC61" i="30"/>
  <c r="BB61" i="30"/>
  <c r="BA61" i="30"/>
  <c r="AZ61" i="30"/>
  <c r="AY61" i="30"/>
  <c r="AX61" i="30"/>
  <c r="AW61" i="30"/>
  <c r="AV61" i="30"/>
  <c r="AU61" i="30"/>
  <c r="AT61" i="30"/>
  <c r="AS61" i="30"/>
  <c r="AR61" i="30"/>
  <c r="AQ61" i="30"/>
  <c r="AP61" i="30"/>
  <c r="AO61" i="30"/>
  <c r="AN61" i="30"/>
  <c r="AE61" i="30"/>
  <c r="M61" i="30"/>
  <c r="L61" i="30"/>
  <c r="BP60" i="30"/>
  <c r="BO60" i="30"/>
  <c r="BN60" i="30"/>
  <c r="BM60" i="30"/>
  <c r="BL60" i="30"/>
  <c r="BK60" i="30"/>
  <c r="BJ60" i="30"/>
  <c r="BI60" i="30"/>
  <c r="BH60" i="30"/>
  <c r="BG60" i="30"/>
  <c r="BF60" i="30"/>
  <c r="BE60" i="30"/>
  <c r="BD60" i="30"/>
  <c r="BC60" i="30"/>
  <c r="BB60" i="30"/>
  <c r="BA60" i="30"/>
  <c r="AZ60" i="30"/>
  <c r="AY60" i="30"/>
  <c r="AX60" i="30"/>
  <c r="AW60" i="30"/>
  <c r="AV60" i="30"/>
  <c r="AU60" i="30"/>
  <c r="AT60" i="30"/>
  <c r="AS60" i="30"/>
  <c r="AR60" i="30"/>
  <c r="AQ60" i="30"/>
  <c r="AP60" i="30"/>
  <c r="AO60" i="30"/>
  <c r="AN60" i="30"/>
  <c r="AE60" i="30"/>
  <c r="M60" i="30"/>
  <c r="L60" i="30"/>
  <c r="BP59" i="30"/>
  <c r="BO59" i="30"/>
  <c r="BN59" i="30"/>
  <c r="BM59" i="30"/>
  <c r="BL59" i="30"/>
  <c r="BK59" i="30"/>
  <c r="BJ59" i="30"/>
  <c r="BI59" i="30"/>
  <c r="BH59" i="30"/>
  <c r="BG59" i="30"/>
  <c r="BF59" i="30"/>
  <c r="BE59" i="30"/>
  <c r="BD59" i="30"/>
  <c r="BC59" i="30"/>
  <c r="BB59" i="30"/>
  <c r="BA59" i="30"/>
  <c r="AZ59" i="30"/>
  <c r="AY59" i="30"/>
  <c r="AX59" i="30"/>
  <c r="AW59" i="30"/>
  <c r="AV59" i="30"/>
  <c r="AU59" i="30"/>
  <c r="AT59" i="30"/>
  <c r="AS59" i="30"/>
  <c r="AR59" i="30"/>
  <c r="AQ59" i="30"/>
  <c r="AP59" i="30"/>
  <c r="AO59" i="30"/>
  <c r="AN59" i="30"/>
  <c r="AE59" i="30"/>
  <c r="M59" i="30"/>
  <c r="L59" i="30"/>
  <c r="AE58" i="30"/>
  <c r="M58" i="30"/>
  <c r="L58" i="30"/>
  <c r="AE57" i="30"/>
  <c r="M57" i="30"/>
  <c r="L57" i="30"/>
  <c r="BP56" i="30"/>
  <c r="BO56" i="30"/>
  <c r="BN56" i="30"/>
  <c r="BM56" i="30"/>
  <c r="BL56" i="30"/>
  <c r="BK56" i="30"/>
  <c r="BJ56" i="30"/>
  <c r="BI56" i="30"/>
  <c r="BH56" i="30"/>
  <c r="BG56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E56" i="30"/>
  <c r="M56" i="30"/>
  <c r="L56" i="30"/>
  <c r="BP55" i="30"/>
  <c r="BO55" i="30"/>
  <c r="BN55" i="30"/>
  <c r="BM55" i="30"/>
  <c r="BL55" i="30"/>
  <c r="BK55" i="30"/>
  <c r="BJ55" i="30"/>
  <c r="BI55" i="30"/>
  <c r="BH55" i="30"/>
  <c r="BG55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E55" i="30"/>
  <c r="M55" i="30"/>
  <c r="L55" i="30"/>
  <c r="BP54" i="30"/>
  <c r="BO54" i="30"/>
  <c r="BN54" i="30"/>
  <c r="BM54" i="30"/>
  <c r="BL54" i="30"/>
  <c r="BK54" i="30"/>
  <c r="BJ54" i="30"/>
  <c r="BI54" i="30"/>
  <c r="BH54" i="30"/>
  <c r="BG54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E54" i="30"/>
  <c r="M54" i="30"/>
  <c r="L54" i="30"/>
  <c r="BP53" i="30"/>
  <c r="BO53" i="30"/>
  <c r="BN53" i="30"/>
  <c r="BM53" i="30"/>
  <c r="BL53" i="30"/>
  <c r="BK53" i="30"/>
  <c r="BJ53" i="30"/>
  <c r="BI53" i="30"/>
  <c r="BH53" i="30"/>
  <c r="BG53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E53" i="30"/>
  <c r="M53" i="30"/>
  <c r="L53" i="30"/>
  <c r="BP52" i="30"/>
  <c r="BO52" i="30"/>
  <c r="BN52" i="30"/>
  <c r="BM52" i="30"/>
  <c r="BL52" i="30"/>
  <c r="BK52" i="30"/>
  <c r="BJ52" i="30"/>
  <c r="BI52" i="30"/>
  <c r="BH52" i="30"/>
  <c r="BG52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E52" i="30"/>
  <c r="M52" i="30"/>
  <c r="L52" i="30"/>
  <c r="BP51" i="30"/>
  <c r="BO51" i="30"/>
  <c r="BN51" i="30"/>
  <c r="BM51" i="30"/>
  <c r="BL51" i="30"/>
  <c r="BK51" i="30"/>
  <c r="BJ51" i="30"/>
  <c r="BI51" i="30"/>
  <c r="BH51" i="30"/>
  <c r="BG51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E51" i="30"/>
  <c r="M51" i="30"/>
  <c r="L51" i="30"/>
  <c r="BP50" i="30"/>
  <c r="BO50" i="30"/>
  <c r="BN50" i="30"/>
  <c r="BM50" i="30"/>
  <c r="BL50" i="30"/>
  <c r="BK50" i="30"/>
  <c r="BJ50" i="30"/>
  <c r="BI50" i="30"/>
  <c r="BH50" i="30"/>
  <c r="BG50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E50" i="30"/>
  <c r="M50" i="30"/>
  <c r="L50" i="30"/>
  <c r="BP49" i="30"/>
  <c r="BO49" i="30"/>
  <c r="BN49" i="30"/>
  <c r="BM49" i="30"/>
  <c r="BL49" i="30"/>
  <c r="BK49" i="30"/>
  <c r="BJ49" i="30"/>
  <c r="BI49" i="30"/>
  <c r="BH49" i="30"/>
  <c r="BG49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E49" i="30"/>
  <c r="M49" i="30"/>
  <c r="L49" i="30"/>
  <c r="BP48" i="30"/>
  <c r="BO48" i="30"/>
  <c r="BN48" i="30"/>
  <c r="BM48" i="30"/>
  <c r="BL48" i="30"/>
  <c r="BK48" i="30"/>
  <c r="BJ48" i="30"/>
  <c r="BI48" i="30"/>
  <c r="BH48" i="30"/>
  <c r="BG48" i="30"/>
  <c r="BF48" i="30"/>
  <c r="BE48" i="30"/>
  <c r="BD48" i="30"/>
  <c r="BC48" i="30"/>
  <c r="BB48" i="30"/>
  <c r="BA48" i="30"/>
  <c r="AZ48" i="30"/>
  <c r="AY48" i="30"/>
  <c r="AX48" i="30"/>
  <c r="AW48" i="30"/>
  <c r="AV48" i="30"/>
  <c r="AU48" i="30"/>
  <c r="AT48" i="30"/>
  <c r="AS48" i="30"/>
  <c r="AR48" i="30"/>
  <c r="AQ48" i="30"/>
  <c r="AP48" i="30"/>
  <c r="AO48" i="30"/>
  <c r="AN48" i="30"/>
  <c r="AE48" i="30"/>
  <c r="M48" i="30"/>
  <c r="L48" i="30"/>
  <c r="BP47" i="30"/>
  <c r="BO47" i="30"/>
  <c r="BN47" i="30"/>
  <c r="BM47" i="30"/>
  <c r="BL47" i="30"/>
  <c r="BK47" i="30"/>
  <c r="BJ47" i="30"/>
  <c r="BI47" i="30"/>
  <c r="BH47" i="30"/>
  <c r="BG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T47" i="30"/>
  <c r="AS47" i="30"/>
  <c r="AR47" i="30"/>
  <c r="AQ47" i="30"/>
  <c r="AP47" i="30"/>
  <c r="AO47" i="30"/>
  <c r="AN47" i="30"/>
  <c r="AE47" i="30"/>
  <c r="M47" i="30"/>
  <c r="L47" i="30"/>
  <c r="BP46" i="30"/>
  <c r="BO46" i="30"/>
  <c r="BN46" i="30"/>
  <c r="BM46" i="30"/>
  <c r="BL46" i="30"/>
  <c r="BK46" i="30"/>
  <c r="BJ46" i="30"/>
  <c r="BI46" i="30"/>
  <c r="BH46" i="30"/>
  <c r="BG46" i="30"/>
  <c r="BF46" i="30"/>
  <c r="BE46" i="30"/>
  <c r="BD46" i="30"/>
  <c r="BC46" i="30"/>
  <c r="BB46" i="30"/>
  <c r="BA46" i="30"/>
  <c r="AZ46" i="30"/>
  <c r="AY46" i="30"/>
  <c r="AX46" i="30"/>
  <c r="AW46" i="30"/>
  <c r="AV46" i="30"/>
  <c r="AU46" i="30"/>
  <c r="AT46" i="30"/>
  <c r="AS46" i="30"/>
  <c r="AR46" i="30"/>
  <c r="AQ46" i="30"/>
  <c r="AP46" i="30"/>
  <c r="AO46" i="30"/>
  <c r="AN46" i="30"/>
  <c r="AE46" i="30"/>
  <c r="M46" i="30"/>
  <c r="L46" i="30"/>
  <c r="BP45" i="30"/>
  <c r="BO45" i="30"/>
  <c r="BN45" i="30"/>
  <c r="BM45" i="30"/>
  <c r="BL45" i="30"/>
  <c r="BK45" i="30"/>
  <c r="BJ45" i="30"/>
  <c r="BI45" i="30"/>
  <c r="BH45" i="30"/>
  <c r="BG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E45" i="30"/>
  <c r="M45" i="30"/>
  <c r="L45" i="30"/>
  <c r="BP44" i="30"/>
  <c r="BO44" i="30"/>
  <c r="BN44" i="30"/>
  <c r="BM44" i="30"/>
  <c r="BL44" i="30"/>
  <c r="BK44" i="30"/>
  <c r="BJ44" i="30"/>
  <c r="BI44" i="30"/>
  <c r="BH44" i="30"/>
  <c r="BG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E44" i="30"/>
  <c r="M44" i="30"/>
  <c r="L44" i="30"/>
  <c r="BP43" i="30"/>
  <c r="BO43" i="30"/>
  <c r="BN43" i="30"/>
  <c r="BM43" i="30"/>
  <c r="BL43" i="30"/>
  <c r="BK43" i="30"/>
  <c r="BJ43" i="30"/>
  <c r="BI43" i="30"/>
  <c r="BH43" i="30"/>
  <c r="BG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E43" i="30"/>
  <c r="M43" i="30"/>
  <c r="L43" i="30"/>
  <c r="BP42" i="30"/>
  <c r="BO42" i="30"/>
  <c r="BN42" i="30"/>
  <c r="BM42" i="30"/>
  <c r="BL42" i="30"/>
  <c r="BK42" i="30"/>
  <c r="BJ42" i="30"/>
  <c r="BI42" i="30"/>
  <c r="BH42" i="30"/>
  <c r="BG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E42" i="30"/>
  <c r="M42" i="30"/>
  <c r="L42" i="30"/>
  <c r="BP41" i="30"/>
  <c r="BO41" i="30"/>
  <c r="BN41" i="30"/>
  <c r="BM41" i="30"/>
  <c r="BL41" i="30"/>
  <c r="BK41" i="30"/>
  <c r="BJ41" i="30"/>
  <c r="BI41" i="30"/>
  <c r="BH41" i="30"/>
  <c r="BG41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E41" i="30"/>
  <c r="M41" i="30"/>
  <c r="L41" i="30"/>
  <c r="BP40" i="30"/>
  <c r="BO40" i="30"/>
  <c r="BN40" i="30"/>
  <c r="BM40" i="30"/>
  <c r="BL40" i="30"/>
  <c r="BK40" i="30"/>
  <c r="BJ40" i="30"/>
  <c r="BI40" i="30"/>
  <c r="BH40" i="30"/>
  <c r="BG40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E40" i="30"/>
  <c r="M40" i="30"/>
  <c r="L40" i="30"/>
  <c r="BP39" i="30"/>
  <c r="BO39" i="30"/>
  <c r="BN39" i="30"/>
  <c r="BM39" i="30"/>
  <c r="BL39" i="30"/>
  <c r="BK39" i="30"/>
  <c r="BJ39" i="30"/>
  <c r="BI39" i="30"/>
  <c r="BH39" i="30"/>
  <c r="BG39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E39" i="30"/>
  <c r="M39" i="30"/>
  <c r="L39" i="30"/>
  <c r="BP38" i="30"/>
  <c r="BO38" i="30"/>
  <c r="BN38" i="30"/>
  <c r="BM38" i="30"/>
  <c r="BL38" i="30"/>
  <c r="BK38" i="30"/>
  <c r="BJ38" i="30"/>
  <c r="BI38" i="30"/>
  <c r="BH38" i="30"/>
  <c r="BG38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E38" i="30"/>
  <c r="M38" i="30"/>
  <c r="L38" i="30"/>
  <c r="BP37" i="30"/>
  <c r="BO37" i="30"/>
  <c r="BN37" i="30"/>
  <c r="BM37" i="30"/>
  <c r="BL37" i="30"/>
  <c r="BK37" i="30"/>
  <c r="BJ37" i="30"/>
  <c r="BI37" i="30"/>
  <c r="BH37" i="30"/>
  <c r="BG37" i="30"/>
  <c r="BF37" i="30"/>
  <c r="BE37" i="30"/>
  <c r="BD37" i="30"/>
  <c r="BC37" i="30"/>
  <c r="BB37" i="30"/>
  <c r="BA37" i="30"/>
  <c r="AZ37" i="30"/>
  <c r="AY37" i="30"/>
  <c r="AX37" i="30"/>
  <c r="AW37" i="30"/>
  <c r="AV37" i="30"/>
  <c r="AU37" i="30"/>
  <c r="AT37" i="30"/>
  <c r="AS37" i="30"/>
  <c r="AR37" i="30"/>
  <c r="AQ37" i="30"/>
  <c r="AP37" i="30"/>
  <c r="AO37" i="30"/>
  <c r="AN37" i="30"/>
  <c r="AE37" i="30"/>
  <c r="M37" i="30"/>
  <c r="L37" i="30"/>
  <c r="BP36" i="30"/>
  <c r="BO36" i="30"/>
  <c r="BN36" i="30"/>
  <c r="BM36" i="30"/>
  <c r="BL36" i="30"/>
  <c r="BK36" i="30"/>
  <c r="BJ36" i="30"/>
  <c r="BI36" i="30"/>
  <c r="BH36" i="30"/>
  <c r="BG36" i="30"/>
  <c r="BF36" i="30"/>
  <c r="BE36" i="30"/>
  <c r="BD36" i="30"/>
  <c r="BC36" i="30"/>
  <c r="BB36" i="30"/>
  <c r="BA36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E36" i="30"/>
  <c r="M36" i="30"/>
  <c r="L36" i="30"/>
  <c r="BP35" i="30"/>
  <c r="BO35" i="30"/>
  <c r="BN35" i="30"/>
  <c r="BM35" i="30"/>
  <c r="BL35" i="30"/>
  <c r="BK35" i="30"/>
  <c r="BJ35" i="30"/>
  <c r="BI35" i="30"/>
  <c r="BH35" i="30"/>
  <c r="BG35" i="30"/>
  <c r="BF35" i="30"/>
  <c r="BE35" i="30"/>
  <c r="BD35" i="30"/>
  <c r="BC35" i="30"/>
  <c r="BB35" i="30"/>
  <c r="BA35" i="30"/>
  <c r="AZ35" i="30"/>
  <c r="AY35" i="30"/>
  <c r="AX35" i="30"/>
  <c r="AW35" i="30"/>
  <c r="AV35" i="30"/>
  <c r="AU35" i="30"/>
  <c r="AT35" i="30"/>
  <c r="AS35" i="30"/>
  <c r="AR35" i="30"/>
  <c r="AQ35" i="30"/>
  <c r="AP35" i="30"/>
  <c r="AO35" i="30"/>
  <c r="AN35" i="30"/>
  <c r="AE35" i="30"/>
  <c r="M35" i="30"/>
  <c r="L35" i="30"/>
  <c r="BP34" i="30"/>
  <c r="BO34" i="30"/>
  <c r="BN34" i="30"/>
  <c r="BM34" i="30"/>
  <c r="BL34" i="30"/>
  <c r="BK34" i="30"/>
  <c r="BJ34" i="30"/>
  <c r="BI34" i="30"/>
  <c r="BH34" i="30"/>
  <c r="BG34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E34" i="30"/>
  <c r="M34" i="30"/>
  <c r="L34" i="30"/>
  <c r="BP33" i="30"/>
  <c r="BO33" i="30"/>
  <c r="BN33" i="30"/>
  <c r="BM33" i="30"/>
  <c r="BL33" i="30"/>
  <c r="BK33" i="30"/>
  <c r="BJ33" i="30"/>
  <c r="BI33" i="30"/>
  <c r="BH33" i="30"/>
  <c r="BG33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E33" i="30"/>
  <c r="M33" i="30"/>
  <c r="L33" i="30"/>
  <c r="BP32" i="30"/>
  <c r="BO32" i="30"/>
  <c r="BN32" i="30"/>
  <c r="BM32" i="30"/>
  <c r="BL32" i="30"/>
  <c r="BK32" i="30"/>
  <c r="BJ32" i="30"/>
  <c r="BI32" i="30"/>
  <c r="BH32" i="30"/>
  <c r="BG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E32" i="30"/>
  <c r="M32" i="30"/>
  <c r="L32" i="30"/>
  <c r="BP31" i="30"/>
  <c r="BO31" i="30"/>
  <c r="BN31" i="30"/>
  <c r="BM31" i="30"/>
  <c r="BL31" i="30"/>
  <c r="BK31" i="30"/>
  <c r="BJ31" i="30"/>
  <c r="BI31" i="30"/>
  <c r="BH31" i="30"/>
  <c r="BG31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E31" i="30"/>
  <c r="M31" i="30"/>
  <c r="L31" i="30"/>
  <c r="BP30" i="30"/>
  <c r="BO30" i="30"/>
  <c r="BN30" i="30"/>
  <c r="BM30" i="30"/>
  <c r="BL30" i="30"/>
  <c r="BK30" i="30"/>
  <c r="BJ30" i="30"/>
  <c r="BI30" i="30"/>
  <c r="BH30" i="30"/>
  <c r="BG30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E30" i="30"/>
  <c r="M30" i="30"/>
  <c r="L30" i="30"/>
  <c r="BP29" i="30"/>
  <c r="BO29" i="30"/>
  <c r="BN29" i="30"/>
  <c r="BM29" i="30"/>
  <c r="BL29" i="30"/>
  <c r="BK29" i="30"/>
  <c r="BJ29" i="30"/>
  <c r="BI29" i="30"/>
  <c r="BH29" i="30"/>
  <c r="BG29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E29" i="30"/>
  <c r="M29" i="30"/>
  <c r="L29" i="30"/>
  <c r="BP28" i="30"/>
  <c r="BO28" i="30"/>
  <c r="BN28" i="30"/>
  <c r="BM28" i="30"/>
  <c r="BL28" i="30"/>
  <c r="BK28" i="30"/>
  <c r="BJ28" i="30"/>
  <c r="BI28" i="30"/>
  <c r="BH28" i="30"/>
  <c r="BG28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E28" i="30"/>
  <c r="M28" i="30"/>
  <c r="L28" i="30"/>
  <c r="BP27" i="30"/>
  <c r="BO27" i="30"/>
  <c r="BN27" i="30"/>
  <c r="BM27" i="30"/>
  <c r="BL27" i="30"/>
  <c r="BK27" i="30"/>
  <c r="BJ27" i="30"/>
  <c r="BI27" i="30"/>
  <c r="BH27" i="30"/>
  <c r="BG27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E27" i="30"/>
  <c r="M27" i="30"/>
  <c r="L27" i="30"/>
  <c r="BP26" i="30"/>
  <c r="BO26" i="30"/>
  <c r="BN26" i="30"/>
  <c r="BM26" i="30"/>
  <c r="BL26" i="30"/>
  <c r="BK26" i="30"/>
  <c r="BJ26" i="30"/>
  <c r="BI26" i="30"/>
  <c r="BH26" i="30"/>
  <c r="BG26" i="30"/>
  <c r="BF26" i="30"/>
  <c r="BE26" i="30"/>
  <c r="BD26" i="30"/>
  <c r="BC26" i="30"/>
  <c r="BB26" i="30"/>
  <c r="BA26" i="30"/>
  <c r="AZ26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E26" i="30"/>
  <c r="M26" i="30"/>
  <c r="L26" i="30"/>
  <c r="BP25" i="30"/>
  <c r="BO25" i="30"/>
  <c r="BN25" i="30"/>
  <c r="BM25" i="30"/>
  <c r="BL25" i="30"/>
  <c r="BK25" i="30"/>
  <c r="BJ25" i="30"/>
  <c r="BI25" i="30"/>
  <c r="BH25" i="30"/>
  <c r="BG25" i="30"/>
  <c r="BF25" i="30"/>
  <c r="BE25" i="30"/>
  <c r="BD25" i="30"/>
  <c r="BC25" i="30"/>
  <c r="BB25" i="30"/>
  <c r="BA25" i="30"/>
  <c r="AZ25" i="30"/>
  <c r="AY25" i="30"/>
  <c r="AX25" i="30"/>
  <c r="AW25" i="30"/>
  <c r="AV25" i="30"/>
  <c r="AU25" i="30"/>
  <c r="AT25" i="30"/>
  <c r="AS25" i="30"/>
  <c r="AR25" i="30"/>
  <c r="AQ25" i="30"/>
  <c r="AP25" i="30"/>
  <c r="AO25" i="30"/>
  <c r="AN25" i="30"/>
  <c r="AE25" i="30"/>
  <c r="M25" i="30"/>
  <c r="L25" i="30"/>
  <c r="BP20" i="30"/>
  <c r="BO20" i="30"/>
  <c r="BN20" i="30"/>
  <c r="BM20" i="30"/>
  <c r="BL20" i="30"/>
  <c r="BK20" i="30"/>
  <c r="BJ20" i="30"/>
  <c r="BI20" i="30"/>
  <c r="BH20" i="30"/>
  <c r="BG20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E20" i="30"/>
  <c r="M20" i="30"/>
  <c r="L20" i="30"/>
  <c r="BP15" i="30"/>
  <c r="BO15" i="30"/>
  <c r="BN15" i="30"/>
  <c r="BM15" i="30"/>
  <c r="BL15" i="30"/>
  <c r="BK15" i="30"/>
  <c r="BJ15" i="30"/>
  <c r="BI15" i="30"/>
  <c r="BH15" i="30"/>
  <c r="BG15" i="30"/>
  <c r="BF15" i="30"/>
  <c r="BE15" i="30"/>
  <c r="BD15" i="30"/>
  <c r="BC15" i="30"/>
  <c r="BB15" i="30"/>
  <c r="BA15" i="30"/>
  <c r="AZ15" i="30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E15" i="30"/>
  <c r="M15" i="30"/>
  <c r="L15" i="30"/>
  <c r="BP14" i="30"/>
  <c r="BO14" i="30"/>
  <c r="BN14" i="30"/>
  <c r="BM14" i="30"/>
  <c r="BL14" i="30"/>
  <c r="BK14" i="30"/>
  <c r="BJ14" i="30"/>
  <c r="BI14" i="30"/>
  <c r="BH14" i="30"/>
  <c r="BG14" i="30"/>
  <c r="BF14" i="30"/>
  <c r="BE14" i="30"/>
  <c r="BD14" i="30"/>
  <c r="BC14" i="30"/>
  <c r="BB14" i="30"/>
  <c r="BA14" i="30"/>
  <c r="AZ14" i="30"/>
  <c r="AY14" i="30"/>
  <c r="AX14" i="30"/>
  <c r="AW14" i="30"/>
  <c r="AV14" i="30"/>
  <c r="AU14" i="30"/>
  <c r="AT14" i="30"/>
  <c r="AS14" i="30"/>
  <c r="AR14" i="30"/>
  <c r="AQ14" i="30"/>
  <c r="AP14" i="30"/>
  <c r="AO14" i="30"/>
  <c r="AN14" i="30"/>
  <c r="AE14" i="30"/>
  <c r="M14" i="30"/>
  <c r="L14" i="30"/>
  <c r="BP13" i="30"/>
  <c r="BN13" i="30"/>
  <c r="BM13" i="30"/>
  <c r="BL13" i="30"/>
  <c r="BK13" i="30"/>
  <c r="BJ13" i="30"/>
  <c r="BI13" i="30"/>
  <c r="BH13" i="30"/>
  <c r="BG13" i="30"/>
  <c r="BF13" i="30"/>
  <c r="BE13" i="30"/>
  <c r="BD13" i="30"/>
  <c r="BC13" i="30"/>
  <c r="BB13" i="30"/>
  <c r="BA13" i="30"/>
  <c r="AZ13" i="30"/>
  <c r="AY13" i="30"/>
  <c r="AX13" i="30"/>
  <c r="AW13" i="30"/>
  <c r="AV13" i="30"/>
  <c r="AU13" i="30"/>
  <c r="AT13" i="30"/>
  <c r="AS13" i="30"/>
  <c r="AR13" i="30"/>
  <c r="AQ13" i="30"/>
  <c r="AP13" i="30"/>
  <c r="AO13" i="30"/>
  <c r="AN13" i="30"/>
  <c r="AE13" i="30"/>
  <c r="M13" i="30"/>
  <c r="L13" i="30"/>
  <c r="BP12" i="30"/>
  <c r="BN12" i="30"/>
  <c r="BM12" i="30"/>
  <c r="BL12" i="30"/>
  <c r="BK12" i="30"/>
  <c r="BJ12" i="30"/>
  <c r="BI12" i="30"/>
  <c r="BH12" i="30"/>
  <c r="BG12" i="30"/>
  <c r="BF12" i="30"/>
  <c r="BE12" i="30"/>
  <c r="BD12" i="30"/>
  <c r="BC12" i="30"/>
  <c r="BB12" i="30"/>
  <c r="BA12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E12" i="30"/>
  <c r="M12" i="30"/>
  <c r="L12" i="30"/>
  <c r="BP11" i="30"/>
  <c r="BO11" i="30"/>
  <c r="BM11" i="30"/>
  <c r="BL11" i="30"/>
  <c r="BK11" i="30"/>
  <c r="BJ11" i="30"/>
  <c r="BI11" i="30"/>
  <c r="BH11" i="30"/>
  <c r="BG11" i="30"/>
  <c r="BF11" i="30"/>
  <c r="BE11" i="30"/>
  <c r="BD11" i="30"/>
  <c r="BC11" i="30"/>
  <c r="BB11" i="30"/>
  <c r="BA11" i="30"/>
  <c r="AZ11" i="30"/>
  <c r="AY11" i="30"/>
  <c r="AX11" i="30"/>
  <c r="AW11" i="30"/>
  <c r="AV11" i="30"/>
  <c r="AU11" i="30"/>
  <c r="AT11" i="30"/>
  <c r="AS11" i="30"/>
  <c r="AR11" i="30"/>
  <c r="AQ11" i="30"/>
  <c r="AP11" i="30"/>
  <c r="AO11" i="30"/>
  <c r="AN11" i="30"/>
  <c r="AE11" i="30"/>
  <c r="M11" i="30"/>
  <c r="L11" i="30"/>
  <c r="AL11" i="28"/>
  <c r="AM11" i="28"/>
  <c r="AL12" i="28"/>
  <c r="AM12" i="28"/>
  <c r="AL13" i="28"/>
  <c r="AM13" i="28"/>
  <c r="AL14" i="28"/>
  <c r="AM14" i="28"/>
  <c r="AL15" i="28"/>
  <c r="AM15" i="28"/>
  <c r="AL20" i="28"/>
  <c r="AM20" i="28"/>
  <c r="AL25" i="28"/>
  <c r="AM25" i="28"/>
  <c r="AL26" i="28"/>
  <c r="AM26" i="28"/>
  <c r="AL27" i="28"/>
  <c r="AM27" i="28"/>
  <c r="AL28" i="28"/>
  <c r="AM28" i="28"/>
  <c r="AL29" i="28"/>
  <c r="AM29" i="28"/>
  <c r="AL30" i="28"/>
  <c r="AM30" i="28"/>
  <c r="AL31" i="28"/>
  <c r="AM31" i="28"/>
  <c r="AL32" i="28"/>
  <c r="AM32" i="28"/>
  <c r="AL33" i="28"/>
  <c r="AM33" i="28"/>
  <c r="AL34" i="28"/>
  <c r="AM34" i="28"/>
  <c r="AL35" i="28"/>
  <c r="AM35" i="28"/>
  <c r="AL36" i="28"/>
  <c r="AM36" i="28"/>
  <c r="AL37" i="28"/>
  <c r="AM37" i="28"/>
  <c r="AL38" i="28"/>
  <c r="AM38" i="28"/>
  <c r="AL39" i="28"/>
  <c r="AM39" i="28"/>
  <c r="AL40" i="28"/>
  <c r="AM40" i="28"/>
  <c r="AL41" i="28"/>
  <c r="AM41" i="28"/>
  <c r="AL42" i="28"/>
  <c r="AM42" i="28"/>
  <c r="AL43" i="28"/>
  <c r="AM43" i="28"/>
  <c r="AL44" i="28"/>
  <c r="AM44" i="28"/>
  <c r="AL45" i="28"/>
  <c r="AM45" i="28"/>
  <c r="AL46" i="28"/>
  <c r="AM46" i="28"/>
  <c r="AL47" i="28"/>
  <c r="AM47" i="28"/>
  <c r="AL48" i="28"/>
  <c r="AM48" i="28"/>
  <c r="AL49" i="28"/>
  <c r="AM49" i="28"/>
  <c r="AL50" i="28"/>
  <c r="AM50" i="28"/>
  <c r="AL51" i="28"/>
  <c r="AM51" i="28"/>
  <c r="AL52" i="28"/>
  <c r="AM52" i="28"/>
  <c r="AL53" i="28"/>
  <c r="AM53" i="28"/>
  <c r="AL54" i="28"/>
  <c r="AM54" i="28"/>
  <c r="AL55" i="28"/>
  <c r="AM55" i="28"/>
  <c r="AL56" i="28"/>
  <c r="AM56" i="28"/>
  <c r="AL57" i="28"/>
  <c r="AM57" i="28"/>
  <c r="AL58" i="28"/>
  <c r="AM58" i="28"/>
  <c r="AL59" i="28"/>
  <c r="AM59" i="28"/>
  <c r="AL60" i="28"/>
  <c r="AM60" i="28"/>
  <c r="AL61" i="28"/>
  <c r="AM61" i="28"/>
  <c r="AL62" i="28"/>
  <c r="AM62" i="28"/>
  <c r="AL63" i="28"/>
  <c r="AM63" i="28"/>
  <c r="AL64" i="28"/>
  <c r="AM64" i="28"/>
  <c r="AL65" i="28"/>
  <c r="AM65" i="28"/>
  <c r="AL66" i="28"/>
  <c r="AM66" i="28"/>
  <c r="AL67" i="28"/>
  <c r="AM67" i="28"/>
  <c r="AL68" i="28"/>
  <c r="AM68" i="28"/>
  <c r="AL69" i="28"/>
  <c r="AM69" i="28"/>
  <c r="AL70" i="28"/>
  <c r="AM70" i="28"/>
  <c r="AL71" i="28"/>
  <c r="AM71" i="28"/>
  <c r="AL72" i="28"/>
  <c r="AM72" i="28"/>
  <c r="AL73" i="28"/>
  <c r="AM73" i="28"/>
  <c r="AL74" i="28"/>
  <c r="AM74" i="28"/>
  <c r="AL75" i="28"/>
  <c r="AM75" i="28"/>
  <c r="AL76" i="28"/>
  <c r="AM76" i="28"/>
  <c r="AL81" i="28"/>
  <c r="AM81" i="28"/>
  <c r="AL82" i="28"/>
  <c r="AM82" i="28"/>
  <c r="AL83" i="28"/>
  <c r="AM83" i="28"/>
  <c r="AL84" i="28"/>
  <c r="AM84" i="28"/>
  <c r="AL85" i="28"/>
  <c r="AM85" i="28"/>
  <c r="AL86" i="28"/>
  <c r="AM86" i="28"/>
  <c r="AL93" i="28"/>
  <c r="AM93" i="28"/>
  <c r="AL98" i="28"/>
  <c r="AM98" i="28"/>
  <c r="AL99" i="28"/>
  <c r="AM99" i="28"/>
  <c r="AL100" i="28"/>
  <c r="AM100" i="28"/>
  <c r="AL101" i="28"/>
  <c r="AM101" i="28"/>
  <c r="AL102" i="28"/>
  <c r="AM102" i="28"/>
  <c r="AL103" i="28"/>
  <c r="AM103" i="28"/>
  <c r="AL104" i="28"/>
  <c r="AM104" i="28"/>
  <c r="AL105" i="28"/>
  <c r="AM105" i="28"/>
  <c r="AL106" i="28"/>
  <c r="AM106" i="28"/>
  <c r="AL107" i="28"/>
  <c r="AM107" i="28"/>
  <c r="AL108" i="28"/>
  <c r="AM108" i="28"/>
  <c r="AL121" i="28"/>
  <c r="AM121" i="28"/>
  <c r="AL122" i="28"/>
  <c r="AM122" i="28"/>
  <c r="AL123" i="28"/>
  <c r="AM123" i="28"/>
  <c r="AL124" i="28"/>
  <c r="AM124" i="28"/>
  <c r="AL125" i="28"/>
  <c r="AM125" i="28"/>
  <c r="AL126" i="28"/>
  <c r="AM126" i="28"/>
  <c r="AL127" i="28"/>
  <c r="AM127" i="28"/>
  <c r="AL128" i="28"/>
  <c r="AM128" i="28"/>
  <c r="AL129" i="28"/>
  <c r="AM129" i="28"/>
  <c r="AL130" i="28"/>
  <c r="AM130" i="28"/>
  <c r="AL131" i="28"/>
  <c r="AM131" i="28"/>
  <c r="AL132" i="28"/>
  <c r="AM132" i="28"/>
  <c r="AL133" i="28"/>
  <c r="AM133" i="28"/>
  <c r="AL134" i="28"/>
  <c r="AM134" i="28"/>
  <c r="AL135" i="28"/>
  <c r="AM135" i="28"/>
  <c r="AL136" i="28"/>
  <c r="AM136" i="28"/>
  <c r="AL137" i="28"/>
  <c r="AM137" i="28"/>
  <c r="AL138" i="28"/>
  <c r="AM138" i="28"/>
  <c r="AL139" i="28"/>
  <c r="AM139" i="28"/>
  <c r="AL140" i="28"/>
  <c r="AM140" i="28"/>
  <c r="AL141" i="28"/>
  <c r="AM141" i="28"/>
  <c r="AL142" i="28"/>
  <c r="AM142" i="28"/>
  <c r="AL143" i="28"/>
  <c r="AM143" i="28"/>
  <c r="AL144" i="28"/>
  <c r="AM144" i="28"/>
  <c r="AL145" i="28"/>
  <c r="AM145" i="28"/>
  <c r="AL146" i="28"/>
  <c r="AM146" i="28"/>
  <c r="AL147" i="28"/>
  <c r="AM147" i="28"/>
  <c r="AL148" i="28"/>
  <c r="AM148" i="28"/>
  <c r="AL149" i="28"/>
  <c r="AM149" i="28"/>
  <c r="AL150" i="28"/>
  <c r="AM150" i="28"/>
  <c r="AL151" i="28"/>
  <c r="AM151" i="28"/>
  <c r="AL176" i="28"/>
  <c r="AM176" i="28"/>
  <c r="AL177" i="28"/>
  <c r="AM177" i="28"/>
  <c r="AL184" i="28"/>
  <c r="AM184" i="28"/>
  <c r="AL178" i="28"/>
  <c r="AM178" i="28"/>
  <c r="AL179" i="28"/>
  <c r="AM179" i="28"/>
  <c r="AL180" i="28"/>
  <c r="AM180" i="28"/>
  <c r="AL181" i="28"/>
  <c r="AM181" i="28"/>
  <c r="AL182" i="28"/>
  <c r="AM182" i="28"/>
  <c r="AL183" i="28"/>
  <c r="AM183" i="28"/>
  <c r="AL194" i="28"/>
  <c r="AM194" i="28"/>
  <c r="AL195" i="28"/>
  <c r="AM195" i="28"/>
  <c r="AL196" i="28"/>
  <c r="AM196" i="28"/>
  <c r="AL197" i="28"/>
  <c r="AM197" i="28"/>
  <c r="AL198" i="28"/>
  <c r="AM198" i="28"/>
  <c r="AL199" i="28"/>
  <c r="AM199" i="28"/>
  <c r="AL200" i="28"/>
  <c r="AM200" i="28"/>
  <c r="AL201" i="28"/>
  <c r="AM201" i="28"/>
  <c r="AL202" i="28"/>
  <c r="AM202" i="28"/>
  <c r="AL203" i="28"/>
  <c r="AM203" i="28"/>
  <c r="AL204" i="28"/>
  <c r="AM204" i="28"/>
  <c r="AL205" i="28"/>
  <c r="AM205" i="28"/>
  <c r="AL206" i="28"/>
  <c r="AM206" i="28"/>
  <c r="AL207" i="28"/>
  <c r="AM207" i="28"/>
  <c r="AL210" i="28"/>
  <c r="AM210" i="28"/>
  <c r="AL211" i="28"/>
  <c r="AM211" i="28"/>
  <c r="AL214" i="28"/>
  <c r="AM214" i="28"/>
  <c r="AL219" i="28"/>
  <c r="AM219" i="28"/>
  <c r="AL232" i="28"/>
  <c r="AM232" i="28"/>
  <c r="AL233" i="28"/>
  <c r="AM233" i="28"/>
  <c r="AL234" i="28"/>
  <c r="AM234" i="28"/>
  <c r="W236" i="28"/>
  <c r="W235" i="28"/>
  <c r="AK234" i="28"/>
  <c r="AK233" i="28"/>
  <c r="AK232" i="28"/>
  <c r="AK219" i="28"/>
  <c r="AK214" i="28"/>
  <c r="AK211" i="28"/>
  <c r="AK210" i="28"/>
  <c r="AK207" i="28"/>
  <c r="AK206" i="28"/>
  <c r="AK205" i="28"/>
  <c r="AK204" i="28"/>
  <c r="AK203" i="28"/>
  <c r="AK202" i="28"/>
  <c r="AK201" i="28"/>
  <c r="AK200" i="28"/>
  <c r="AK199" i="28"/>
  <c r="AK198" i="28"/>
  <c r="AK197" i="28"/>
  <c r="AK196" i="28"/>
  <c r="AK195" i="28"/>
  <c r="AK194" i="28"/>
  <c r="AK183" i="28"/>
  <c r="AK182" i="28"/>
  <c r="AK181" i="28"/>
  <c r="AK180" i="28"/>
  <c r="AK179" i="28"/>
  <c r="AK178" i="28"/>
  <c r="AK184" i="28"/>
  <c r="AK177" i="28"/>
  <c r="AK176" i="28"/>
  <c r="AK151" i="28"/>
  <c r="AK150" i="28"/>
  <c r="AK149" i="28"/>
  <c r="AK148" i="28"/>
  <c r="AK147" i="28"/>
  <c r="AK146" i="28"/>
  <c r="AK145" i="28"/>
  <c r="AK144" i="28"/>
  <c r="AK143" i="28"/>
  <c r="AK142" i="28"/>
  <c r="AK141" i="28"/>
  <c r="AK140" i="28"/>
  <c r="AK139" i="28"/>
  <c r="AK138" i="28"/>
  <c r="AK137" i="28"/>
  <c r="AK136" i="28"/>
  <c r="AK135" i="28"/>
  <c r="AK134" i="28"/>
  <c r="AK133" i="28"/>
  <c r="AK132" i="28"/>
  <c r="AK131" i="28"/>
  <c r="AK130" i="28"/>
  <c r="AK129" i="28"/>
  <c r="AK128" i="28"/>
  <c r="AK127" i="28"/>
  <c r="AK126" i="28"/>
  <c r="AK125" i="28"/>
  <c r="AK124" i="28"/>
  <c r="AK123" i="28"/>
  <c r="AK122" i="28"/>
  <c r="AK121" i="28"/>
  <c r="AK108" i="28"/>
  <c r="AK107" i="28"/>
  <c r="AK106" i="28"/>
  <c r="AK105" i="28"/>
  <c r="AK104" i="28"/>
  <c r="AK103" i="28"/>
  <c r="AK102" i="28"/>
  <c r="AK101" i="28"/>
  <c r="AK100" i="28"/>
  <c r="AK99" i="28"/>
  <c r="AK98" i="28"/>
  <c r="AK93" i="28"/>
  <c r="AK86" i="28"/>
  <c r="AK85" i="28"/>
  <c r="AK84" i="28"/>
  <c r="AK83" i="28"/>
  <c r="AK82" i="28"/>
  <c r="AK81" i="28"/>
  <c r="AK76" i="28"/>
  <c r="AK75" i="28"/>
  <c r="AK74" i="28"/>
  <c r="AK73" i="28"/>
  <c r="AK72" i="28"/>
  <c r="AK71" i="28"/>
  <c r="AK70" i="28"/>
  <c r="AK69" i="28"/>
  <c r="AK68" i="28"/>
  <c r="AK67" i="28"/>
  <c r="AK66" i="28"/>
  <c r="AK65" i="28"/>
  <c r="AK64" i="28"/>
  <c r="AK63" i="28"/>
  <c r="AK62" i="28"/>
  <c r="AK61" i="28"/>
  <c r="AK60" i="28"/>
  <c r="AK59" i="28"/>
  <c r="AK58" i="28"/>
  <c r="AK57" i="28"/>
  <c r="AK56" i="28"/>
  <c r="AK55" i="28"/>
  <c r="AK54" i="28"/>
  <c r="AK53" i="28"/>
  <c r="AK52" i="28"/>
  <c r="AK51" i="28"/>
  <c r="AK50" i="28"/>
  <c r="AK49" i="28"/>
  <c r="AK48" i="28"/>
  <c r="AK47" i="28"/>
  <c r="AK46" i="28"/>
  <c r="AK45" i="28"/>
  <c r="AK44" i="28"/>
  <c r="AK43" i="28"/>
  <c r="AK42" i="28"/>
  <c r="AK41" i="28"/>
  <c r="AK40" i="28"/>
  <c r="AK39" i="28"/>
  <c r="AK38" i="28"/>
  <c r="AK37" i="28"/>
  <c r="AK36" i="28"/>
  <c r="AK35" i="28"/>
  <c r="AK34" i="28"/>
  <c r="AK33" i="28"/>
  <c r="AK32" i="28"/>
  <c r="AK31" i="28"/>
  <c r="AK30" i="28"/>
  <c r="AK29" i="28"/>
  <c r="AK28" i="28"/>
  <c r="AK27" i="28"/>
  <c r="AK26" i="28"/>
  <c r="AK25" i="28"/>
  <c r="AK20" i="28"/>
  <c r="AK15" i="28"/>
  <c r="AK14" i="28"/>
  <c r="AK13" i="28"/>
  <c r="AK12" i="28"/>
  <c r="AK11" i="28"/>
  <c r="AE236" i="28"/>
  <c r="M236" i="28"/>
  <c r="L236" i="28"/>
  <c r="AE235" i="28"/>
  <c r="M235" i="28"/>
  <c r="L235" i="28"/>
  <c r="BP234" i="28"/>
  <c r="BO234" i="28"/>
  <c r="BN234" i="28"/>
  <c r="BM234" i="28"/>
  <c r="BL234" i="28"/>
  <c r="BK234" i="28"/>
  <c r="BJ234" i="28"/>
  <c r="BI234" i="28"/>
  <c r="BH234" i="28"/>
  <c r="BG234" i="28"/>
  <c r="BF234" i="28"/>
  <c r="BE234" i="28"/>
  <c r="BD234" i="28"/>
  <c r="BC234" i="28"/>
  <c r="BB234" i="28"/>
  <c r="BA234" i="28"/>
  <c r="AZ234" i="28"/>
  <c r="AY234" i="28"/>
  <c r="AX234" i="28"/>
  <c r="AW234" i="28"/>
  <c r="AV234" i="28"/>
  <c r="AU234" i="28"/>
  <c r="AT234" i="28"/>
  <c r="AS234" i="28"/>
  <c r="AR234" i="28"/>
  <c r="AQ234" i="28"/>
  <c r="AP234" i="28"/>
  <c r="AO234" i="28"/>
  <c r="AN234" i="28"/>
  <c r="AE234" i="28"/>
  <c r="M234" i="28"/>
  <c r="L234" i="28"/>
  <c r="BP233" i="28"/>
  <c r="BO233" i="28"/>
  <c r="BN233" i="28"/>
  <c r="BM233" i="28"/>
  <c r="BL233" i="28"/>
  <c r="BK233" i="28"/>
  <c r="BJ233" i="28"/>
  <c r="BI233" i="28"/>
  <c r="BH233" i="28"/>
  <c r="BG233" i="28"/>
  <c r="BF233" i="28"/>
  <c r="BE233" i="28"/>
  <c r="BD233" i="28"/>
  <c r="BC233" i="28"/>
  <c r="BB233" i="28"/>
  <c r="BA233" i="28"/>
  <c r="AZ233" i="28"/>
  <c r="AY233" i="28"/>
  <c r="AX233" i="28"/>
  <c r="AW233" i="28"/>
  <c r="AV233" i="28"/>
  <c r="AU233" i="28"/>
  <c r="AT233" i="28"/>
  <c r="AS233" i="28"/>
  <c r="AR233" i="28"/>
  <c r="AQ233" i="28"/>
  <c r="AP233" i="28"/>
  <c r="AO233" i="28"/>
  <c r="AN233" i="28"/>
  <c r="AE233" i="28"/>
  <c r="M233" i="28"/>
  <c r="L233" i="28"/>
  <c r="BP232" i="28"/>
  <c r="BO232" i="28"/>
  <c r="BN232" i="28"/>
  <c r="BM232" i="28"/>
  <c r="BL232" i="28"/>
  <c r="BK232" i="28"/>
  <c r="BJ232" i="28"/>
  <c r="BI232" i="28"/>
  <c r="BH232" i="28"/>
  <c r="BG232" i="28"/>
  <c r="BF232" i="28"/>
  <c r="BE232" i="28"/>
  <c r="BD232" i="28"/>
  <c r="BC232" i="28"/>
  <c r="BB232" i="28"/>
  <c r="BA232" i="28"/>
  <c r="AZ232" i="28"/>
  <c r="AY232" i="28"/>
  <c r="AX232" i="28"/>
  <c r="AW232" i="28"/>
  <c r="AV232" i="28"/>
  <c r="AU232" i="28"/>
  <c r="AT232" i="28"/>
  <c r="AS232" i="28"/>
  <c r="AR232" i="28"/>
  <c r="AQ232" i="28"/>
  <c r="AP232" i="28"/>
  <c r="AO232" i="28"/>
  <c r="AN232" i="28"/>
  <c r="AE232" i="28"/>
  <c r="M232" i="28"/>
  <c r="L232" i="28"/>
  <c r="BP219" i="28"/>
  <c r="BO219" i="28"/>
  <c r="BN219" i="28"/>
  <c r="BM219" i="28"/>
  <c r="BL219" i="28"/>
  <c r="BK219" i="28"/>
  <c r="BJ219" i="28"/>
  <c r="BI219" i="28"/>
  <c r="BH219" i="28"/>
  <c r="BG219" i="28"/>
  <c r="BF219" i="28"/>
  <c r="BE219" i="28"/>
  <c r="BD219" i="28"/>
  <c r="BC219" i="28"/>
  <c r="BB219" i="28"/>
  <c r="BA219" i="28"/>
  <c r="AZ219" i="28"/>
  <c r="AY219" i="28"/>
  <c r="AX219" i="28"/>
  <c r="AW219" i="28"/>
  <c r="AV219" i="28"/>
  <c r="AU219" i="28"/>
  <c r="AT219" i="28"/>
  <c r="AS219" i="28"/>
  <c r="AR219" i="28"/>
  <c r="AQ219" i="28"/>
  <c r="AP219" i="28"/>
  <c r="AO219" i="28"/>
  <c r="AN219" i="28"/>
  <c r="AE219" i="28"/>
  <c r="M219" i="28"/>
  <c r="L219" i="28"/>
  <c r="BP214" i="28"/>
  <c r="BO214" i="28"/>
  <c r="BN214" i="28"/>
  <c r="BM214" i="28"/>
  <c r="BL214" i="28"/>
  <c r="BK214" i="28"/>
  <c r="BJ214" i="28"/>
  <c r="BI214" i="28"/>
  <c r="BH214" i="28"/>
  <c r="BG214" i="28"/>
  <c r="BF214" i="28"/>
  <c r="BE214" i="28"/>
  <c r="BD214" i="28"/>
  <c r="BC214" i="28"/>
  <c r="BB214" i="28"/>
  <c r="BA214" i="28"/>
  <c r="AZ214" i="28"/>
  <c r="AY214" i="28"/>
  <c r="AX214" i="28"/>
  <c r="AW214" i="28"/>
  <c r="AV214" i="28"/>
  <c r="AU214" i="28"/>
  <c r="AT214" i="28"/>
  <c r="AS214" i="28"/>
  <c r="AR214" i="28"/>
  <c r="AQ214" i="28"/>
  <c r="AP214" i="28"/>
  <c r="AO214" i="28"/>
  <c r="AN214" i="28"/>
  <c r="AE214" i="28"/>
  <c r="M214" i="28"/>
  <c r="L214" i="28"/>
  <c r="M213" i="28"/>
  <c r="L213" i="28"/>
  <c r="M212" i="28"/>
  <c r="L212" i="28"/>
  <c r="BP211" i="28"/>
  <c r="BO211" i="28"/>
  <c r="BN211" i="28"/>
  <c r="BM211" i="28"/>
  <c r="BL211" i="28"/>
  <c r="BK211" i="28"/>
  <c r="BJ211" i="28"/>
  <c r="BI211" i="28"/>
  <c r="BH211" i="28"/>
  <c r="BG211" i="28"/>
  <c r="BF211" i="28"/>
  <c r="BE211" i="28"/>
  <c r="BD211" i="28"/>
  <c r="BC211" i="28"/>
  <c r="BB211" i="28"/>
  <c r="BA211" i="28"/>
  <c r="AZ211" i="28"/>
  <c r="AY211" i="28"/>
  <c r="AX211" i="28"/>
  <c r="AW211" i="28"/>
  <c r="AV211" i="28"/>
  <c r="AU211" i="28"/>
  <c r="AT211" i="28"/>
  <c r="AS211" i="28"/>
  <c r="AR211" i="28"/>
  <c r="AQ211" i="28"/>
  <c r="AP211" i="28"/>
  <c r="AO211" i="28"/>
  <c r="AN211" i="28"/>
  <c r="AE211" i="28"/>
  <c r="M211" i="28"/>
  <c r="L211" i="28"/>
  <c r="BP210" i="28"/>
  <c r="BO210" i="28"/>
  <c r="BN210" i="28"/>
  <c r="BM210" i="28"/>
  <c r="BL210" i="28"/>
  <c r="BK210" i="28"/>
  <c r="BJ210" i="28"/>
  <c r="BI210" i="28"/>
  <c r="BH210" i="28"/>
  <c r="BG210" i="28"/>
  <c r="BF210" i="28"/>
  <c r="BE210" i="28"/>
  <c r="BD210" i="28"/>
  <c r="BC210" i="28"/>
  <c r="BB210" i="28"/>
  <c r="BA210" i="28"/>
  <c r="AZ210" i="28"/>
  <c r="AY210" i="28"/>
  <c r="AX210" i="28"/>
  <c r="AW210" i="28"/>
  <c r="AV210" i="28"/>
  <c r="AU210" i="28"/>
  <c r="AT210" i="28"/>
  <c r="AS210" i="28"/>
  <c r="AR210" i="28"/>
  <c r="AQ210" i="28"/>
  <c r="AP210" i="28"/>
  <c r="AO210" i="28"/>
  <c r="AN210" i="28"/>
  <c r="AE210" i="28"/>
  <c r="M210" i="28"/>
  <c r="L210" i="28"/>
  <c r="AE207" i="28"/>
  <c r="M207" i="28"/>
  <c r="L207" i="28"/>
  <c r="AE206" i="28"/>
  <c r="M206" i="28"/>
  <c r="L206" i="28"/>
  <c r="AE205" i="28"/>
  <c r="M205" i="28"/>
  <c r="L205" i="28"/>
  <c r="AE204" i="28"/>
  <c r="M204" i="28"/>
  <c r="L204" i="28"/>
  <c r="AE203" i="28"/>
  <c r="M203" i="28"/>
  <c r="L203" i="28"/>
  <c r="AE202" i="28"/>
  <c r="M202" i="28"/>
  <c r="L202" i="28"/>
  <c r="AE201" i="28"/>
  <c r="M201" i="28"/>
  <c r="L201" i="28"/>
  <c r="AE200" i="28"/>
  <c r="M200" i="28"/>
  <c r="L200" i="28"/>
  <c r="AE199" i="28"/>
  <c r="M199" i="28"/>
  <c r="L199" i="28"/>
  <c r="AE198" i="28"/>
  <c r="M198" i="28"/>
  <c r="L198" i="28"/>
  <c r="AE197" i="28"/>
  <c r="M197" i="28"/>
  <c r="L197" i="28"/>
  <c r="AE196" i="28"/>
  <c r="M196" i="28"/>
  <c r="L196" i="28"/>
  <c r="AE195" i="28"/>
  <c r="M195" i="28"/>
  <c r="L195" i="28"/>
  <c r="AE194" i="28"/>
  <c r="M194" i="28"/>
  <c r="L194" i="28"/>
  <c r="AE193" i="28"/>
  <c r="M193" i="28"/>
  <c r="L193" i="28"/>
  <c r="AE192" i="28"/>
  <c r="M192" i="28"/>
  <c r="L192" i="28"/>
  <c r="AE191" i="28"/>
  <c r="M191" i="28"/>
  <c r="L191" i="28"/>
  <c r="BP183" i="28"/>
  <c r="BO183" i="28"/>
  <c r="BN183" i="28"/>
  <c r="BM183" i="28"/>
  <c r="BL183" i="28"/>
  <c r="BK183" i="28"/>
  <c r="BJ183" i="28"/>
  <c r="BI183" i="28"/>
  <c r="BH183" i="28"/>
  <c r="BG183" i="28"/>
  <c r="BF183" i="28"/>
  <c r="BE183" i="28"/>
  <c r="BD183" i="28"/>
  <c r="BC183" i="28"/>
  <c r="BB183" i="28"/>
  <c r="BA183" i="28"/>
  <c r="AZ183" i="28"/>
  <c r="AY183" i="28"/>
  <c r="AX183" i="28"/>
  <c r="AW183" i="28"/>
  <c r="AV183" i="28"/>
  <c r="AU183" i="28"/>
  <c r="AT183" i="28"/>
  <c r="AS183" i="28"/>
  <c r="AR183" i="28"/>
  <c r="AQ183" i="28"/>
  <c r="AP183" i="28"/>
  <c r="AO183" i="28"/>
  <c r="AN183" i="28"/>
  <c r="AE183" i="28"/>
  <c r="M183" i="28"/>
  <c r="L183" i="28"/>
  <c r="BP182" i="28"/>
  <c r="BO182" i="28"/>
  <c r="BN182" i="28"/>
  <c r="BM182" i="28"/>
  <c r="BL182" i="28"/>
  <c r="BK182" i="28"/>
  <c r="BJ182" i="28"/>
  <c r="BI182" i="28"/>
  <c r="BH182" i="28"/>
  <c r="BG182" i="28"/>
  <c r="BF182" i="28"/>
  <c r="BE182" i="28"/>
  <c r="BD182" i="28"/>
  <c r="BC182" i="28"/>
  <c r="BB182" i="28"/>
  <c r="BA182" i="28"/>
  <c r="AZ182" i="28"/>
  <c r="AY182" i="28"/>
  <c r="AX182" i="28"/>
  <c r="AW182" i="28"/>
  <c r="AV182" i="28"/>
  <c r="AU182" i="28"/>
  <c r="AT182" i="28"/>
  <c r="AS182" i="28"/>
  <c r="AR182" i="28"/>
  <c r="AQ182" i="28"/>
  <c r="AP182" i="28"/>
  <c r="AO182" i="28"/>
  <c r="AN182" i="28"/>
  <c r="AE182" i="28"/>
  <c r="M182" i="28"/>
  <c r="L182" i="28"/>
  <c r="BP181" i="28"/>
  <c r="BO181" i="28"/>
  <c r="BN181" i="28"/>
  <c r="BM181" i="28"/>
  <c r="BL181" i="28"/>
  <c r="BK181" i="28"/>
  <c r="BJ181" i="28"/>
  <c r="BI181" i="28"/>
  <c r="BH181" i="28"/>
  <c r="BG181" i="28"/>
  <c r="BF181" i="28"/>
  <c r="BE181" i="28"/>
  <c r="BD181" i="28"/>
  <c r="BC181" i="28"/>
  <c r="BB181" i="28"/>
  <c r="BA181" i="28"/>
  <c r="AZ181" i="28"/>
  <c r="AY181" i="28"/>
  <c r="AX181" i="28"/>
  <c r="AW181" i="28"/>
  <c r="AV181" i="28"/>
  <c r="AU181" i="28"/>
  <c r="AT181" i="28"/>
  <c r="AS181" i="28"/>
  <c r="AR181" i="28"/>
  <c r="AQ181" i="28"/>
  <c r="AP181" i="28"/>
  <c r="AO181" i="28"/>
  <c r="AN181" i="28"/>
  <c r="AE181" i="28"/>
  <c r="M181" i="28"/>
  <c r="L181" i="28"/>
  <c r="BP180" i="28"/>
  <c r="BO180" i="28"/>
  <c r="BN180" i="28"/>
  <c r="BM180" i="28"/>
  <c r="BL180" i="28"/>
  <c r="BK180" i="28"/>
  <c r="BJ180" i="28"/>
  <c r="BI180" i="28"/>
  <c r="BH180" i="28"/>
  <c r="BG180" i="28"/>
  <c r="BF180" i="28"/>
  <c r="BE180" i="28"/>
  <c r="BD180" i="28"/>
  <c r="BC180" i="28"/>
  <c r="BB180" i="28"/>
  <c r="BA180" i="28"/>
  <c r="AZ180" i="28"/>
  <c r="AY180" i="28"/>
  <c r="AX180" i="28"/>
  <c r="AW180" i="28"/>
  <c r="AV180" i="28"/>
  <c r="AU180" i="28"/>
  <c r="AT180" i="28"/>
  <c r="AS180" i="28"/>
  <c r="AR180" i="28"/>
  <c r="AQ180" i="28"/>
  <c r="AP180" i="28"/>
  <c r="AO180" i="28"/>
  <c r="AN180" i="28"/>
  <c r="AE180" i="28"/>
  <c r="M180" i="28"/>
  <c r="L180" i="28"/>
  <c r="BP179" i="28"/>
  <c r="BO179" i="28"/>
  <c r="BN179" i="28"/>
  <c r="BM179" i="28"/>
  <c r="BL179" i="28"/>
  <c r="BK179" i="28"/>
  <c r="BJ179" i="28"/>
  <c r="BI179" i="28"/>
  <c r="BH179" i="28"/>
  <c r="BG179" i="28"/>
  <c r="BF179" i="28"/>
  <c r="BE179" i="28"/>
  <c r="BD179" i="28"/>
  <c r="BC179" i="28"/>
  <c r="BB179" i="28"/>
  <c r="BA179" i="28"/>
  <c r="AZ179" i="28"/>
  <c r="AY179" i="28"/>
  <c r="AX179" i="28"/>
  <c r="AW179" i="28"/>
  <c r="AV179" i="28"/>
  <c r="AU179" i="28"/>
  <c r="AT179" i="28"/>
  <c r="AS179" i="28"/>
  <c r="AR179" i="28"/>
  <c r="AQ179" i="28"/>
  <c r="AP179" i="28"/>
  <c r="AO179" i="28"/>
  <c r="AN179" i="28"/>
  <c r="AE179" i="28"/>
  <c r="M179" i="28"/>
  <c r="L179" i="28"/>
  <c r="BP178" i="28"/>
  <c r="BO178" i="28"/>
  <c r="BN178" i="28"/>
  <c r="BM178" i="28"/>
  <c r="BL178" i="28"/>
  <c r="BK178" i="28"/>
  <c r="BJ178" i="28"/>
  <c r="BI178" i="28"/>
  <c r="BH178" i="28"/>
  <c r="BG178" i="28"/>
  <c r="BF178" i="28"/>
  <c r="BE178" i="28"/>
  <c r="BD178" i="28"/>
  <c r="BC178" i="28"/>
  <c r="BB178" i="28"/>
  <c r="BA178" i="28"/>
  <c r="AZ178" i="28"/>
  <c r="AY178" i="28"/>
  <c r="AX178" i="28"/>
  <c r="AW178" i="28"/>
  <c r="AV178" i="28"/>
  <c r="AU178" i="28"/>
  <c r="AT178" i="28"/>
  <c r="AS178" i="28"/>
  <c r="AR178" i="28"/>
  <c r="AQ178" i="28"/>
  <c r="AP178" i="28"/>
  <c r="AO178" i="28"/>
  <c r="AN178" i="28"/>
  <c r="AE178" i="28"/>
  <c r="M178" i="28"/>
  <c r="L178" i="28"/>
  <c r="M184" i="28"/>
  <c r="L184" i="28"/>
  <c r="M177" i="28"/>
  <c r="L177" i="28"/>
  <c r="M176" i="28"/>
  <c r="L176" i="28"/>
  <c r="BP151" i="28"/>
  <c r="BO151" i="28"/>
  <c r="BN151" i="28"/>
  <c r="BM151" i="28"/>
  <c r="BL151" i="28"/>
  <c r="BK151" i="28"/>
  <c r="BJ151" i="28"/>
  <c r="BI151" i="28"/>
  <c r="BH151" i="28"/>
  <c r="BG151" i="28"/>
  <c r="BF151" i="28"/>
  <c r="BE151" i="28"/>
  <c r="BD151" i="28"/>
  <c r="BC151" i="28"/>
  <c r="BB151" i="28"/>
  <c r="BA151" i="28"/>
  <c r="AZ151" i="28"/>
  <c r="AY151" i="28"/>
  <c r="AX151" i="28"/>
  <c r="AW151" i="28"/>
  <c r="AV151" i="28"/>
  <c r="AU151" i="28"/>
  <c r="AT151" i="28"/>
  <c r="AS151" i="28"/>
  <c r="AR151" i="28"/>
  <c r="AQ151" i="28"/>
  <c r="AP151" i="28"/>
  <c r="AO151" i="28"/>
  <c r="AN151" i="28"/>
  <c r="AE151" i="28"/>
  <c r="M151" i="28"/>
  <c r="L151" i="28"/>
  <c r="BP150" i="28"/>
  <c r="BO150" i="28"/>
  <c r="BN150" i="28"/>
  <c r="BM150" i="28"/>
  <c r="BL150" i="28"/>
  <c r="BK150" i="28"/>
  <c r="BJ150" i="28"/>
  <c r="BI150" i="28"/>
  <c r="BH150" i="28"/>
  <c r="BG150" i="28"/>
  <c r="BF150" i="28"/>
  <c r="BE150" i="28"/>
  <c r="BD150" i="28"/>
  <c r="BC150" i="28"/>
  <c r="BB150" i="28"/>
  <c r="BA150" i="28"/>
  <c r="AZ150" i="28"/>
  <c r="AY150" i="28"/>
  <c r="AX150" i="28"/>
  <c r="AW150" i="28"/>
  <c r="AV150" i="28"/>
  <c r="AU150" i="28"/>
  <c r="AT150" i="28"/>
  <c r="AS150" i="28"/>
  <c r="AR150" i="28"/>
  <c r="AQ150" i="28"/>
  <c r="AP150" i="28"/>
  <c r="AO150" i="28"/>
  <c r="AN150" i="28"/>
  <c r="AE150" i="28"/>
  <c r="M150" i="28"/>
  <c r="L150" i="28"/>
  <c r="BP149" i="28"/>
  <c r="BO149" i="28"/>
  <c r="BN149" i="28"/>
  <c r="BM149" i="28"/>
  <c r="BL149" i="28"/>
  <c r="BK149" i="28"/>
  <c r="BJ149" i="28"/>
  <c r="BI149" i="28"/>
  <c r="BH149" i="28"/>
  <c r="BG149" i="28"/>
  <c r="BF149" i="28"/>
  <c r="BE149" i="28"/>
  <c r="BD149" i="28"/>
  <c r="BC149" i="28"/>
  <c r="BB149" i="28"/>
  <c r="BA149" i="28"/>
  <c r="AZ149" i="28"/>
  <c r="AY149" i="28"/>
  <c r="AX149" i="28"/>
  <c r="AW149" i="28"/>
  <c r="AV149" i="28"/>
  <c r="AU149" i="28"/>
  <c r="AT149" i="28"/>
  <c r="AS149" i="28"/>
  <c r="AR149" i="28"/>
  <c r="AQ149" i="28"/>
  <c r="AP149" i="28"/>
  <c r="AO149" i="28"/>
  <c r="AN149" i="28"/>
  <c r="AE149" i="28"/>
  <c r="M149" i="28"/>
  <c r="L149" i="28"/>
  <c r="BP148" i="28"/>
  <c r="BO148" i="28"/>
  <c r="BN148" i="28"/>
  <c r="BM148" i="28"/>
  <c r="BL148" i="28"/>
  <c r="BK148" i="28"/>
  <c r="BJ148" i="28"/>
  <c r="BI148" i="28"/>
  <c r="BH148" i="28"/>
  <c r="BG148" i="28"/>
  <c r="BF148" i="28"/>
  <c r="BE148" i="28"/>
  <c r="BD148" i="28"/>
  <c r="BC148" i="28"/>
  <c r="BB148" i="28"/>
  <c r="BA148" i="28"/>
  <c r="AZ148" i="28"/>
  <c r="AY148" i="28"/>
  <c r="AX148" i="28"/>
  <c r="AW148" i="28"/>
  <c r="AV148" i="28"/>
  <c r="AU148" i="28"/>
  <c r="AT148" i="28"/>
  <c r="AS148" i="28"/>
  <c r="AR148" i="28"/>
  <c r="AQ148" i="28"/>
  <c r="AP148" i="28"/>
  <c r="AO148" i="28"/>
  <c r="AN148" i="28"/>
  <c r="AE148" i="28"/>
  <c r="M148" i="28"/>
  <c r="L148" i="28"/>
  <c r="BP147" i="28"/>
  <c r="BO147" i="28"/>
  <c r="BN147" i="28"/>
  <c r="BM147" i="28"/>
  <c r="BL147" i="28"/>
  <c r="BK147" i="28"/>
  <c r="BJ147" i="28"/>
  <c r="BI147" i="28"/>
  <c r="BH147" i="28"/>
  <c r="BG147" i="28"/>
  <c r="BF147" i="28"/>
  <c r="BE147" i="28"/>
  <c r="BD147" i="28"/>
  <c r="BC147" i="28"/>
  <c r="BB147" i="28"/>
  <c r="BA147" i="28"/>
  <c r="AZ147" i="28"/>
  <c r="AY147" i="28"/>
  <c r="AX147" i="28"/>
  <c r="AW147" i="28"/>
  <c r="AV147" i="28"/>
  <c r="AU147" i="28"/>
  <c r="AT147" i="28"/>
  <c r="AS147" i="28"/>
  <c r="AR147" i="28"/>
  <c r="AQ147" i="28"/>
  <c r="AP147" i="28"/>
  <c r="AO147" i="28"/>
  <c r="AN147" i="28"/>
  <c r="AE147" i="28"/>
  <c r="M147" i="28"/>
  <c r="L147" i="28"/>
  <c r="BP146" i="28"/>
  <c r="BO146" i="28"/>
  <c r="BN146" i="28"/>
  <c r="BM146" i="28"/>
  <c r="BL146" i="28"/>
  <c r="BK146" i="28"/>
  <c r="BJ146" i="28"/>
  <c r="BI146" i="28"/>
  <c r="BH146" i="28"/>
  <c r="BG146" i="28"/>
  <c r="BF146" i="28"/>
  <c r="BE146" i="28"/>
  <c r="BD146" i="28"/>
  <c r="BC146" i="28"/>
  <c r="BB146" i="28"/>
  <c r="BA146" i="28"/>
  <c r="AZ146" i="28"/>
  <c r="AY146" i="28"/>
  <c r="AX146" i="28"/>
  <c r="AW146" i="28"/>
  <c r="AV146" i="28"/>
  <c r="AU146" i="28"/>
  <c r="AT146" i="28"/>
  <c r="AS146" i="28"/>
  <c r="AR146" i="28"/>
  <c r="AQ146" i="28"/>
  <c r="AP146" i="28"/>
  <c r="AO146" i="28"/>
  <c r="AN146" i="28"/>
  <c r="AE146" i="28"/>
  <c r="M146" i="28"/>
  <c r="L146" i="28"/>
  <c r="BP145" i="28"/>
  <c r="BO145" i="28"/>
  <c r="BN145" i="28"/>
  <c r="BM145" i="28"/>
  <c r="BL145" i="28"/>
  <c r="BK145" i="28"/>
  <c r="BJ145" i="28"/>
  <c r="BI145" i="28"/>
  <c r="BH145" i="28"/>
  <c r="BG145" i="28"/>
  <c r="BF145" i="28"/>
  <c r="BE145" i="28"/>
  <c r="BD145" i="28"/>
  <c r="BC145" i="28"/>
  <c r="BB145" i="28"/>
  <c r="BA145" i="28"/>
  <c r="AZ145" i="28"/>
  <c r="AY145" i="28"/>
  <c r="AX145" i="28"/>
  <c r="AW145" i="28"/>
  <c r="AV145" i="28"/>
  <c r="AU145" i="28"/>
  <c r="AT145" i="28"/>
  <c r="AS145" i="28"/>
  <c r="AR145" i="28"/>
  <c r="AQ145" i="28"/>
  <c r="AP145" i="28"/>
  <c r="AO145" i="28"/>
  <c r="AN145" i="28"/>
  <c r="AE145" i="28"/>
  <c r="M145" i="28"/>
  <c r="L145" i="28"/>
  <c r="BP144" i="28"/>
  <c r="BO144" i="28"/>
  <c r="BN144" i="28"/>
  <c r="BM144" i="28"/>
  <c r="BL144" i="28"/>
  <c r="BK144" i="28"/>
  <c r="BJ144" i="28"/>
  <c r="BI144" i="28"/>
  <c r="BH144" i="28"/>
  <c r="BG144" i="28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E144" i="28"/>
  <c r="M144" i="28"/>
  <c r="L144" i="28"/>
  <c r="BP143" i="28"/>
  <c r="BO143" i="28"/>
  <c r="BN143" i="28"/>
  <c r="BM143" i="28"/>
  <c r="BL143" i="28"/>
  <c r="BK143" i="28"/>
  <c r="BJ143" i="28"/>
  <c r="BI143" i="28"/>
  <c r="BH143" i="28"/>
  <c r="BG143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E143" i="28"/>
  <c r="M143" i="28"/>
  <c r="L143" i="28"/>
  <c r="BP142" i="28"/>
  <c r="BO142" i="28"/>
  <c r="BN142" i="28"/>
  <c r="BM142" i="28"/>
  <c r="BL142" i="28"/>
  <c r="BK142" i="28"/>
  <c r="BJ142" i="28"/>
  <c r="BI142" i="28"/>
  <c r="BH142" i="28"/>
  <c r="BG142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E142" i="28"/>
  <c r="M142" i="28"/>
  <c r="L142" i="28"/>
  <c r="BP141" i="28"/>
  <c r="BO141" i="28"/>
  <c r="BN141" i="28"/>
  <c r="BM141" i="28"/>
  <c r="BL141" i="28"/>
  <c r="BK141" i="28"/>
  <c r="BJ141" i="28"/>
  <c r="BI141" i="28"/>
  <c r="BH141" i="28"/>
  <c r="BG141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E141" i="28"/>
  <c r="M141" i="28"/>
  <c r="L141" i="28"/>
  <c r="BP140" i="28"/>
  <c r="BO140" i="28"/>
  <c r="BN140" i="28"/>
  <c r="BM140" i="28"/>
  <c r="BL140" i="28"/>
  <c r="BK140" i="28"/>
  <c r="BJ140" i="28"/>
  <c r="BI140" i="28"/>
  <c r="BH140" i="28"/>
  <c r="BG140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E140" i="28"/>
  <c r="M140" i="28"/>
  <c r="L140" i="28"/>
  <c r="BP139" i="28"/>
  <c r="BO139" i="28"/>
  <c r="BN139" i="28"/>
  <c r="BM139" i="28"/>
  <c r="BL139" i="28"/>
  <c r="BK139" i="28"/>
  <c r="BJ139" i="28"/>
  <c r="BI139" i="28"/>
  <c r="BH139" i="28"/>
  <c r="BG139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E139" i="28"/>
  <c r="M139" i="28"/>
  <c r="L139" i="28"/>
  <c r="AE138" i="28"/>
  <c r="M138" i="28"/>
  <c r="L138" i="28"/>
  <c r="AE137" i="28"/>
  <c r="M137" i="28"/>
  <c r="L137" i="28"/>
  <c r="BP136" i="28"/>
  <c r="BO136" i="28"/>
  <c r="BN136" i="28"/>
  <c r="BM136" i="28"/>
  <c r="BL136" i="28"/>
  <c r="BK136" i="28"/>
  <c r="BJ136" i="28"/>
  <c r="BI136" i="28"/>
  <c r="BH136" i="28"/>
  <c r="BG136" i="28"/>
  <c r="BF136" i="28"/>
  <c r="BE136" i="28"/>
  <c r="BD136" i="28"/>
  <c r="BC136" i="28"/>
  <c r="BB136" i="28"/>
  <c r="BA136" i="28"/>
  <c r="AZ136" i="28"/>
  <c r="AY136" i="28"/>
  <c r="AX136" i="28"/>
  <c r="AW136" i="28"/>
  <c r="AV136" i="28"/>
  <c r="AU136" i="28"/>
  <c r="AT136" i="28"/>
  <c r="AS136" i="28"/>
  <c r="AR136" i="28"/>
  <c r="AQ136" i="28"/>
  <c r="AP136" i="28"/>
  <c r="AO136" i="28"/>
  <c r="AN136" i="28"/>
  <c r="AE136" i="28"/>
  <c r="M136" i="28"/>
  <c r="L136" i="28"/>
  <c r="BP135" i="28"/>
  <c r="BO135" i="28"/>
  <c r="BN135" i="28"/>
  <c r="BM135" i="28"/>
  <c r="BL135" i="28"/>
  <c r="BK135" i="28"/>
  <c r="BJ135" i="28"/>
  <c r="BI135" i="28"/>
  <c r="BH135" i="28"/>
  <c r="BG135" i="28"/>
  <c r="BF135" i="28"/>
  <c r="BE135" i="28"/>
  <c r="BD135" i="28"/>
  <c r="BC135" i="28"/>
  <c r="BB135" i="28"/>
  <c r="BA135" i="28"/>
  <c r="AZ135" i="28"/>
  <c r="AY135" i="28"/>
  <c r="AX135" i="28"/>
  <c r="AW135" i="28"/>
  <c r="AV135" i="28"/>
  <c r="AU135" i="28"/>
  <c r="AT135" i="28"/>
  <c r="AS135" i="28"/>
  <c r="AR135" i="28"/>
  <c r="AQ135" i="28"/>
  <c r="AP135" i="28"/>
  <c r="AO135" i="28"/>
  <c r="AN135" i="28"/>
  <c r="AE135" i="28"/>
  <c r="M135" i="28"/>
  <c r="L135" i="28"/>
  <c r="AE134" i="28"/>
  <c r="M134" i="28"/>
  <c r="L134" i="28"/>
  <c r="AE133" i="28"/>
  <c r="M133" i="28"/>
  <c r="L133" i="28"/>
  <c r="AE132" i="28"/>
  <c r="M132" i="28"/>
  <c r="L132" i="28"/>
  <c r="AE131" i="28"/>
  <c r="M131" i="28"/>
  <c r="L131" i="28"/>
  <c r="AE130" i="28"/>
  <c r="M130" i="28"/>
  <c r="L130" i="28"/>
  <c r="AE129" i="28"/>
  <c r="M129" i="28"/>
  <c r="L129" i="28"/>
  <c r="AE128" i="28"/>
  <c r="M128" i="28"/>
  <c r="L128" i="28"/>
  <c r="AE127" i="28"/>
  <c r="M127" i="28"/>
  <c r="L127" i="28"/>
  <c r="BP126" i="28"/>
  <c r="BO126" i="28"/>
  <c r="BN126" i="28"/>
  <c r="BM126" i="28"/>
  <c r="BL126" i="28"/>
  <c r="BK126" i="28"/>
  <c r="BJ126" i="28"/>
  <c r="BI126" i="28"/>
  <c r="BH126" i="28"/>
  <c r="BG126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E126" i="28"/>
  <c r="M126" i="28"/>
  <c r="L126" i="28"/>
  <c r="BP125" i="28"/>
  <c r="BO125" i="28"/>
  <c r="BN125" i="28"/>
  <c r="BM125" i="28"/>
  <c r="BL125" i="28"/>
  <c r="BK125" i="28"/>
  <c r="BJ125" i="28"/>
  <c r="BI125" i="28"/>
  <c r="BH125" i="28"/>
  <c r="BG125" i="28"/>
  <c r="BF125" i="28"/>
  <c r="BE125" i="28"/>
  <c r="BD125" i="28"/>
  <c r="BC125" i="28"/>
  <c r="BB125" i="28"/>
  <c r="BA125" i="28"/>
  <c r="AZ125" i="28"/>
  <c r="AY125" i="28"/>
  <c r="AX125" i="28"/>
  <c r="AW125" i="28"/>
  <c r="AV125" i="28"/>
  <c r="AU125" i="28"/>
  <c r="AT125" i="28"/>
  <c r="AS125" i="28"/>
  <c r="AR125" i="28"/>
  <c r="AQ125" i="28"/>
  <c r="AP125" i="28"/>
  <c r="AO125" i="28"/>
  <c r="AN125" i="28"/>
  <c r="AE125" i="28"/>
  <c r="M125" i="28"/>
  <c r="L125" i="28"/>
  <c r="BP124" i="28"/>
  <c r="BO124" i="28"/>
  <c r="BN124" i="28"/>
  <c r="BM124" i="28"/>
  <c r="BL124" i="28"/>
  <c r="BK124" i="28"/>
  <c r="BJ124" i="28"/>
  <c r="BI124" i="28"/>
  <c r="BH124" i="28"/>
  <c r="BG124" i="28"/>
  <c r="BF124" i="28"/>
  <c r="BE124" i="28"/>
  <c r="BD124" i="28"/>
  <c r="BC124" i="28"/>
  <c r="BB124" i="28"/>
  <c r="BA124" i="28"/>
  <c r="AZ124" i="28"/>
  <c r="AY124" i="28"/>
  <c r="AX124" i="28"/>
  <c r="AW124" i="28"/>
  <c r="AV124" i="28"/>
  <c r="AU124" i="28"/>
  <c r="AT124" i="28"/>
  <c r="AS124" i="28"/>
  <c r="AR124" i="28"/>
  <c r="AQ124" i="28"/>
  <c r="AP124" i="28"/>
  <c r="AO124" i="28"/>
  <c r="AN124" i="28"/>
  <c r="AE124" i="28"/>
  <c r="M124" i="28"/>
  <c r="L124" i="28"/>
  <c r="BP123" i="28"/>
  <c r="BO123" i="28"/>
  <c r="BN123" i="28"/>
  <c r="BM123" i="28"/>
  <c r="BL123" i="28"/>
  <c r="BK123" i="28"/>
  <c r="BJ123" i="28"/>
  <c r="BI123" i="28"/>
  <c r="BH123" i="28"/>
  <c r="BG123" i="28"/>
  <c r="BF123" i="28"/>
  <c r="BE123" i="28"/>
  <c r="BD123" i="28"/>
  <c r="BC123" i="28"/>
  <c r="BB123" i="28"/>
  <c r="BA123" i="28"/>
  <c r="AZ123" i="28"/>
  <c r="AY123" i="28"/>
  <c r="AX123" i="28"/>
  <c r="AW123" i="28"/>
  <c r="AV123" i="28"/>
  <c r="AU123" i="28"/>
  <c r="AT123" i="28"/>
  <c r="AS123" i="28"/>
  <c r="AR123" i="28"/>
  <c r="AQ123" i="28"/>
  <c r="AP123" i="28"/>
  <c r="AO123" i="28"/>
  <c r="AN123" i="28"/>
  <c r="AE123" i="28"/>
  <c r="M123" i="28"/>
  <c r="L123" i="28"/>
  <c r="BP122" i="28"/>
  <c r="BO122" i="28"/>
  <c r="BN122" i="28"/>
  <c r="BM122" i="28"/>
  <c r="BL122" i="28"/>
  <c r="BK122" i="28"/>
  <c r="BJ122" i="28"/>
  <c r="BI122" i="28"/>
  <c r="BH122" i="28"/>
  <c r="BG122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E122" i="28"/>
  <c r="M122" i="28"/>
  <c r="L122" i="28"/>
  <c r="BP121" i="28"/>
  <c r="BO121" i="28"/>
  <c r="BN121" i="28"/>
  <c r="BM121" i="28"/>
  <c r="BL121" i="28"/>
  <c r="BK121" i="28"/>
  <c r="BJ121" i="28"/>
  <c r="BI121" i="28"/>
  <c r="BH121" i="28"/>
  <c r="BG121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E121" i="28"/>
  <c r="M121" i="28"/>
  <c r="L121" i="28"/>
  <c r="AE108" i="28"/>
  <c r="M108" i="28"/>
  <c r="L108" i="28"/>
  <c r="AE107" i="28"/>
  <c r="M107" i="28"/>
  <c r="L107" i="28"/>
  <c r="BP106" i="28"/>
  <c r="BO106" i="28"/>
  <c r="BN106" i="28"/>
  <c r="BM106" i="28"/>
  <c r="BL106" i="28"/>
  <c r="BK106" i="28"/>
  <c r="BJ106" i="28"/>
  <c r="BI106" i="28"/>
  <c r="BH106" i="28"/>
  <c r="BG106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E106" i="28"/>
  <c r="M106" i="28"/>
  <c r="L106" i="28"/>
  <c r="BP105" i="28"/>
  <c r="BO105" i="28"/>
  <c r="BN105" i="28"/>
  <c r="BM105" i="28"/>
  <c r="BL105" i="28"/>
  <c r="BK105" i="28"/>
  <c r="BJ105" i="28"/>
  <c r="BI105" i="28"/>
  <c r="BH105" i="28"/>
  <c r="BG105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E105" i="28"/>
  <c r="M105" i="28"/>
  <c r="L105" i="28"/>
  <c r="BP104" i="28"/>
  <c r="BO104" i="28"/>
  <c r="BN104" i="28"/>
  <c r="BM104" i="28"/>
  <c r="BL104" i="28"/>
  <c r="BK104" i="28"/>
  <c r="BJ104" i="28"/>
  <c r="BI104" i="28"/>
  <c r="BH104" i="28"/>
  <c r="BG104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E104" i="28"/>
  <c r="M104" i="28"/>
  <c r="L104" i="28"/>
  <c r="AE103" i="28"/>
  <c r="M103" i="28"/>
  <c r="L103" i="28"/>
  <c r="AE102" i="28"/>
  <c r="M102" i="28"/>
  <c r="L102" i="28"/>
  <c r="AE101" i="28"/>
  <c r="M101" i="28"/>
  <c r="L101" i="28"/>
  <c r="AE100" i="28"/>
  <c r="M100" i="28"/>
  <c r="L100" i="28"/>
  <c r="AE99" i="28"/>
  <c r="M99" i="28"/>
  <c r="L99" i="28"/>
  <c r="AE98" i="28"/>
  <c r="M98" i="28"/>
  <c r="L98" i="28"/>
  <c r="AE93" i="28"/>
  <c r="M93" i="28"/>
  <c r="L93" i="28"/>
  <c r="AE92" i="28"/>
  <c r="M92" i="28"/>
  <c r="L92" i="28"/>
  <c r="AE91" i="28"/>
  <c r="M91" i="28"/>
  <c r="L91" i="28"/>
  <c r="AE90" i="28"/>
  <c r="M90" i="28"/>
  <c r="L90" i="28"/>
  <c r="AE86" i="28"/>
  <c r="M86" i="28"/>
  <c r="L86" i="28"/>
  <c r="AE85" i="28"/>
  <c r="M85" i="28"/>
  <c r="L85" i="28"/>
  <c r="AE84" i="28"/>
  <c r="M84" i="28"/>
  <c r="L84" i="28"/>
  <c r="AE83" i="28"/>
  <c r="M83" i="28"/>
  <c r="L83" i="28"/>
  <c r="AE82" i="28"/>
  <c r="M82" i="28"/>
  <c r="L82" i="28"/>
  <c r="AE81" i="28"/>
  <c r="M81" i="28"/>
  <c r="L81" i="28"/>
  <c r="AE76" i="28"/>
  <c r="M76" i="28"/>
  <c r="L76" i="28"/>
  <c r="BP75" i="28"/>
  <c r="BO75" i="28"/>
  <c r="BN75" i="28"/>
  <c r="BM75" i="28"/>
  <c r="BL75" i="28"/>
  <c r="BK75" i="28"/>
  <c r="BJ75" i="28"/>
  <c r="BI75" i="28"/>
  <c r="BH75" i="28"/>
  <c r="BG75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E75" i="28"/>
  <c r="M75" i="28"/>
  <c r="L75" i="28"/>
  <c r="BP74" i="28"/>
  <c r="BO74" i="28"/>
  <c r="BN74" i="28"/>
  <c r="BM74" i="28"/>
  <c r="BL74" i="28"/>
  <c r="BK74" i="28"/>
  <c r="BJ74" i="28"/>
  <c r="BI74" i="28"/>
  <c r="BH74" i="28"/>
  <c r="BG74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E74" i="28"/>
  <c r="M74" i="28"/>
  <c r="L74" i="28"/>
  <c r="BP73" i="28"/>
  <c r="BO73" i="28"/>
  <c r="BN73" i="28"/>
  <c r="BM73" i="28"/>
  <c r="BL73" i="28"/>
  <c r="BK73" i="28"/>
  <c r="BJ73" i="28"/>
  <c r="BI73" i="28"/>
  <c r="BH73" i="28"/>
  <c r="BG73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E73" i="28"/>
  <c r="M73" i="28"/>
  <c r="L73" i="28"/>
  <c r="BP72" i="28"/>
  <c r="BO72" i="28"/>
  <c r="BN72" i="28"/>
  <c r="BM72" i="28"/>
  <c r="BL72" i="28"/>
  <c r="BK72" i="28"/>
  <c r="BJ72" i="28"/>
  <c r="BI72" i="28"/>
  <c r="BH72" i="28"/>
  <c r="BG72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E72" i="28"/>
  <c r="M72" i="28"/>
  <c r="L72" i="28"/>
  <c r="AE71" i="28"/>
  <c r="M71" i="28"/>
  <c r="L71" i="28"/>
  <c r="AE70" i="28"/>
  <c r="M70" i="28"/>
  <c r="L70" i="28"/>
  <c r="AE69" i="28"/>
  <c r="M69" i="28"/>
  <c r="L69" i="28"/>
  <c r="AE68" i="28"/>
  <c r="M68" i="28"/>
  <c r="L68" i="28"/>
  <c r="AE67" i="28"/>
  <c r="M67" i="28"/>
  <c r="L67" i="28"/>
  <c r="AE66" i="28"/>
  <c r="M66" i="28"/>
  <c r="L66" i="28"/>
  <c r="AE65" i="28"/>
  <c r="M65" i="28"/>
  <c r="L65" i="28"/>
  <c r="AE64" i="28"/>
  <c r="M64" i="28"/>
  <c r="L64" i="28"/>
  <c r="AE63" i="28"/>
  <c r="M63" i="28"/>
  <c r="L63" i="28"/>
  <c r="AE62" i="28"/>
  <c r="M62" i="28"/>
  <c r="L62" i="28"/>
  <c r="BP61" i="28"/>
  <c r="BO61" i="28"/>
  <c r="BN61" i="28"/>
  <c r="BM61" i="28"/>
  <c r="BL61" i="28"/>
  <c r="BK61" i="28"/>
  <c r="BJ61" i="28"/>
  <c r="BI61" i="28"/>
  <c r="BH61" i="28"/>
  <c r="BG61" i="28"/>
  <c r="BF61" i="28"/>
  <c r="BE61" i="28"/>
  <c r="BD61" i="28"/>
  <c r="BC61" i="28"/>
  <c r="BB61" i="28"/>
  <c r="BA61" i="28"/>
  <c r="AZ61" i="28"/>
  <c r="AY61" i="28"/>
  <c r="AX61" i="28"/>
  <c r="AW61" i="28"/>
  <c r="AV61" i="28"/>
  <c r="AU61" i="28"/>
  <c r="AT61" i="28"/>
  <c r="AS61" i="28"/>
  <c r="AR61" i="28"/>
  <c r="AQ61" i="28"/>
  <c r="AP61" i="28"/>
  <c r="AO61" i="28"/>
  <c r="AN61" i="28"/>
  <c r="AE61" i="28"/>
  <c r="M61" i="28"/>
  <c r="L61" i="28"/>
  <c r="BP60" i="28"/>
  <c r="BO60" i="28"/>
  <c r="BN60" i="28"/>
  <c r="BM60" i="28"/>
  <c r="BL60" i="28"/>
  <c r="BK60" i="28"/>
  <c r="BJ60" i="28"/>
  <c r="BI60" i="28"/>
  <c r="BH60" i="28"/>
  <c r="BG60" i="28"/>
  <c r="BF60" i="28"/>
  <c r="BE60" i="28"/>
  <c r="BD60" i="28"/>
  <c r="BC60" i="28"/>
  <c r="BB60" i="28"/>
  <c r="BA60" i="28"/>
  <c r="AZ60" i="28"/>
  <c r="AY60" i="28"/>
  <c r="AX60" i="28"/>
  <c r="AW60" i="28"/>
  <c r="AV60" i="28"/>
  <c r="AU60" i="28"/>
  <c r="AT60" i="28"/>
  <c r="AS60" i="28"/>
  <c r="AR60" i="28"/>
  <c r="AQ60" i="28"/>
  <c r="AP60" i="28"/>
  <c r="AO60" i="28"/>
  <c r="AN60" i="28"/>
  <c r="AE60" i="28"/>
  <c r="M60" i="28"/>
  <c r="L60" i="28"/>
  <c r="BP59" i="28"/>
  <c r="BO59" i="28"/>
  <c r="BN59" i="28"/>
  <c r="BM59" i="28"/>
  <c r="BL59" i="28"/>
  <c r="BK59" i="28"/>
  <c r="BJ59" i="28"/>
  <c r="BI59" i="28"/>
  <c r="BH59" i="28"/>
  <c r="BG59" i="28"/>
  <c r="BF59" i="28"/>
  <c r="BE59" i="28"/>
  <c r="BD59" i="28"/>
  <c r="BC59" i="28"/>
  <c r="BB59" i="28"/>
  <c r="BA59" i="28"/>
  <c r="AZ59" i="28"/>
  <c r="AY59" i="28"/>
  <c r="AX59" i="28"/>
  <c r="AW59" i="28"/>
  <c r="AV59" i="28"/>
  <c r="AU59" i="28"/>
  <c r="AT59" i="28"/>
  <c r="AS59" i="28"/>
  <c r="AR59" i="28"/>
  <c r="AQ59" i="28"/>
  <c r="AP59" i="28"/>
  <c r="AO59" i="28"/>
  <c r="AN59" i="28"/>
  <c r="AE59" i="28"/>
  <c r="M59" i="28"/>
  <c r="L59" i="28"/>
  <c r="AE58" i="28"/>
  <c r="M58" i="28"/>
  <c r="L58" i="28"/>
  <c r="AE57" i="28"/>
  <c r="M57" i="28"/>
  <c r="L57" i="28"/>
  <c r="BP56" i="28"/>
  <c r="BO56" i="28"/>
  <c r="BN56" i="28"/>
  <c r="BM56" i="28"/>
  <c r="BL56" i="28"/>
  <c r="BK56" i="28"/>
  <c r="BJ56" i="28"/>
  <c r="BI56" i="28"/>
  <c r="BH56" i="28"/>
  <c r="BG56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E56" i="28"/>
  <c r="M56" i="28"/>
  <c r="L56" i="28"/>
  <c r="BP55" i="28"/>
  <c r="BO55" i="28"/>
  <c r="BN55" i="28"/>
  <c r="BM55" i="28"/>
  <c r="BL55" i="28"/>
  <c r="BK55" i="28"/>
  <c r="BJ55" i="28"/>
  <c r="BI55" i="28"/>
  <c r="BH55" i="28"/>
  <c r="BG55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E55" i="28"/>
  <c r="M55" i="28"/>
  <c r="L55" i="28"/>
  <c r="BP54" i="28"/>
  <c r="BO54" i="28"/>
  <c r="BN54" i="28"/>
  <c r="BM54" i="28"/>
  <c r="BL54" i="28"/>
  <c r="BK54" i="28"/>
  <c r="BJ54" i="28"/>
  <c r="BI54" i="28"/>
  <c r="BH54" i="28"/>
  <c r="BG54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E54" i="28"/>
  <c r="M54" i="28"/>
  <c r="L54" i="28"/>
  <c r="BP53" i="28"/>
  <c r="BO53" i="28"/>
  <c r="BN53" i="28"/>
  <c r="BM53" i="28"/>
  <c r="BL53" i="28"/>
  <c r="BK53" i="28"/>
  <c r="BJ53" i="28"/>
  <c r="BI53" i="28"/>
  <c r="BH53" i="28"/>
  <c r="BG53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E53" i="28"/>
  <c r="M53" i="28"/>
  <c r="L53" i="28"/>
  <c r="BP52" i="28"/>
  <c r="BO52" i="28"/>
  <c r="BN52" i="28"/>
  <c r="BM52" i="28"/>
  <c r="BL52" i="28"/>
  <c r="BK52" i="28"/>
  <c r="BJ52" i="28"/>
  <c r="BI52" i="28"/>
  <c r="BH52" i="28"/>
  <c r="BG52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E52" i="28"/>
  <c r="M52" i="28"/>
  <c r="L52" i="28"/>
  <c r="BP51" i="28"/>
  <c r="BO51" i="28"/>
  <c r="BN51" i="28"/>
  <c r="BM51" i="28"/>
  <c r="BL51" i="28"/>
  <c r="BK51" i="28"/>
  <c r="BJ51" i="28"/>
  <c r="BI51" i="28"/>
  <c r="BH51" i="28"/>
  <c r="BG51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E51" i="28"/>
  <c r="M51" i="28"/>
  <c r="L51" i="28"/>
  <c r="BP50" i="28"/>
  <c r="BO50" i="28"/>
  <c r="BN50" i="28"/>
  <c r="BM50" i="28"/>
  <c r="BL50" i="28"/>
  <c r="BK50" i="28"/>
  <c r="BJ50" i="28"/>
  <c r="BI50" i="28"/>
  <c r="BH50" i="28"/>
  <c r="BG50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E50" i="28"/>
  <c r="M50" i="28"/>
  <c r="L50" i="28"/>
  <c r="BP49" i="28"/>
  <c r="BO49" i="28"/>
  <c r="BN49" i="28"/>
  <c r="BM49" i="28"/>
  <c r="BL49" i="28"/>
  <c r="BK49" i="28"/>
  <c r="BJ49" i="28"/>
  <c r="BI49" i="28"/>
  <c r="BH49" i="28"/>
  <c r="BG49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E49" i="28"/>
  <c r="M49" i="28"/>
  <c r="L49" i="28"/>
  <c r="BP48" i="28"/>
  <c r="BO48" i="28"/>
  <c r="BN48" i="28"/>
  <c r="BM48" i="28"/>
  <c r="BL48" i="28"/>
  <c r="BK48" i="28"/>
  <c r="BJ48" i="28"/>
  <c r="BI48" i="28"/>
  <c r="BH48" i="28"/>
  <c r="BG48" i="28"/>
  <c r="BF48" i="28"/>
  <c r="BE48" i="28"/>
  <c r="BD48" i="28"/>
  <c r="BC48" i="28"/>
  <c r="BB48" i="28"/>
  <c r="BA48" i="28"/>
  <c r="AZ48" i="28"/>
  <c r="AY48" i="28"/>
  <c r="AX48" i="28"/>
  <c r="AW48" i="28"/>
  <c r="AV48" i="28"/>
  <c r="AU48" i="28"/>
  <c r="AT48" i="28"/>
  <c r="AS48" i="28"/>
  <c r="AR48" i="28"/>
  <c r="AQ48" i="28"/>
  <c r="AP48" i="28"/>
  <c r="AO48" i="28"/>
  <c r="AN48" i="28"/>
  <c r="AE48" i="28"/>
  <c r="M48" i="28"/>
  <c r="L48" i="28"/>
  <c r="BP47" i="28"/>
  <c r="BO47" i="28"/>
  <c r="BN47" i="28"/>
  <c r="BM47" i="28"/>
  <c r="BL47" i="28"/>
  <c r="BK47" i="28"/>
  <c r="BJ47" i="28"/>
  <c r="BI47" i="28"/>
  <c r="BH47" i="28"/>
  <c r="BG47" i="28"/>
  <c r="BF47" i="28"/>
  <c r="BE47" i="28"/>
  <c r="BD47" i="28"/>
  <c r="BC47" i="28"/>
  <c r="BB47" i="28"/>
  <c r="BA47" i="28"/>
  <c r="AZ47" i="28"/>
  <c r="AY47" i="28"/>
  <c r="AX47" i="28"/>
  <c r="AW47" i="28"/>
  <c r="AV47" i="28"/>
  <c r="AU47" i="28"/>
  <c r="AT47" i="28"/>
  <c r="AS47" i="28"/>
  <c r="AR47" i="28"/>
  <c r="AQ47" i="28"/>
  <c r="AP47" i="28"/>
  <c r="AO47" i="28"/>
  <c r="AN47" i="28"/>
  <c r="AE47" i="28"/>
  <c r="M47" i="28"/>
  <c r="L47" i="28"/>
  <c r="BP46" i="28"/>
  <c r="BO46" i="28"/>
  <c r="BN46" i="28"/>
  <c r="BM46" i="28"/>
  <c r="BL46" i="28"/>
  <c r="BK46" i="28"/>
  <c r="BJ46" i="28"/>
  <c r="BI46" i="28"/>
  <c r="BH46" i="28"/>
  <c r="BG46" i="28"/>
  <c r="BF46" i="28"/>
  <c r="BE46" i="28"/>
  <c r="BD46" i="28"/>
  <c r="BC46" i="28"/>
  <c r="BB46" i="28"/>
  <c r="BA46" i="28"/>
  <c r="AZ46" i="28"/>
  <c r="AY46" i="28"/>
  <c r="AX46" i="28"/>
  <c r="AW46" i="28"/>
  <c r="AV46" i="28"/>
  <c r="AU46" i="28"/>
  <c r="AT46" i="28"/>
  <c r="AS46" i="28"/>
  <c r="AR46" i="28"/>
  <c r="AQ46" i="28"/>
  <c r="AP46" i="28"/>
  <c r="AO46" i="28"/>
  <c r="AN46" i="28"/>
  <c r="AE46" i="28"/>
  <c r="M46" i="28"/>
  <c r="L46" i="28"/>
  <c r="BP45" i="28"/>
  <c r="BO45" i="28"/>
  <c r="BN45" i="28"/>
  <c r="BM45" i="28"/>
  <c r="BL45" i="28"/>
  <c r="BK45" i="28"/>
  <c r="BJ45" i="28"/>
  <c r="BI45" i="28"/>
  <c r="BH45" i="28"/>
  <c r="BG45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E45" i="28"/>
  <c r="M45" i="28"/>
  <c r="L45" i="28"/>
  <c r="BP44" i="28"/>
  <c r="BO44" i="28"/>
  <c r="BN44" i="28"/>
  <c r="BM44" i="28"/>
  <c r="BL44" i="28"/>
  <c r="BK44" i="28"/>
  <c r="BJ44" i="28"/>
  <c r="BI44" i="28"/>
  <c r="BH44" i="28"/>
  <c r="BG44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E44" i="28"/>
  <c r="M44" i="28"/>
  <c r="L44" i="28"/>
  <c r="BP43" i="28"/>
  <c r="BO43" i="28"/>
  <c r="BN43" i="28"/>
  <c r="BM43" i="28"/>
  <c r="BL43" i="28"/>
  <c r="BK43" i="28"/>
  <c r="BJ43" i="28"/>
  <c r="BI43" i="28"/>
  <c r="BH43" i="28"/>
  <c r="BG43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E43" i="28"/>
  <c r="M43" i="28"/>
  <c r="L43" i="28"/>
  <c r="BP42" i="28"/>
  <c r="BO42" i="28"/>
  <c r="BN42" i="28"/>
  <c r="BM42" i="28"/>
  <c r="BL42" i="28"/>
  <c r="BK42" i="28"/>
  <c r="BJ42" i="28"/>
  <c r="BI42" i="28"/>
  <c r="BH42" i="28"/>
  <c r="BG42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E42" i="28"/>
  <c r="M42" i="28"/>
  <c r="L42" i="28"/>
  <c r="BP41" i="28"/>
  <c r="BO41" i="28"/>
  <c r="BN41" i="28"/>
  <c r="BM41" i="28"/>
  <c r="BL41" i="28"/>
  <c r="BK41" i="28"/>
  <c r="BJ41" i="28"/>
  <c r="BI41" i="28"/>
  <c r="BH41" i="28"/>
  <c r="BG41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E41" i="28"/>
  <c r="M41" i="28"/>
  <c r="L41" i="28"/>
  <c r="BP40" i="28"/>
  <c r="BO40" i="28"/>
  <c r="BN40" i="28"/>
  <c r="BM40" i="28"/>
  <c r="BL40" i="28"/>
  <c r="BK40" i="28"/>
  <c r="BJ40" i="28"/>
  <c r="BI40" i="28"/>
  <c r="BH40" i="28"/>
  <c r="BG40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E40" i="28"/>
  <c r="M40" i="28"/>
  <c r="L40" i="28"/>
  <c r="BP39" i="28"/>
  <c r="BO39" i="28"/>
  <c r="BN39" i="28"/>
  <c r="BM39" i="28"/>
  <c r="BL39" i="28"/>
  <c r="BK39" i="28"/>
  <c r="BJ39" i="28"/>
  <c r="BI39" i="28"/>
  <c r="BH39" i="28"/>
  <c r="BG39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E39" i="28"/>
  <c r="M39" i="28"/>
  <c r="L39" i="28"/>
  <c r="BP38" i="28"/>
  <c r="BO38" i="28"/>
  <c r="BN38" i="28"/>
  <c r="BM38" i="28"/>
  <c r="BL38" i="28"/>
  <c r="BK38" i="28"/>
  <c r="BJ38" i="28"/>
  <c r="BI38" i="28"/>
  <c r="BH38" i="28"/>
  <c r="BG38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E38" i="28"/>
  <c r="M38" i="28"/>
  <c r="L38" i="28"/>
  <c r="BP37" i="28"/>
  <c r="BO37" i="28"/>
  <c r="BN37" i="28"/>
  <c r="BM37" i="28"/>
  <c r="BL37" i="28"/>
  <c r="BK37" i="28"/>
  <c r="BJ37" i="28"/>
  <c r="BI37" i="28"/>
  <c r="BH37" i="28"/>
  <c r="BG37" i="28"/>
  <c r="BF37" i="28"/>
  <c r="BE37" i="28"/>
  <c r="BD37" i="28"/>
  <c r="BC37" i="28"/>
  <c r="BB37" i="28"/>
  <c r="BA37" i="28"/>
  <c r="AZ37" i="28"/>
  <c r="AY37" i="28"/>
  <c r="AX37" i="28"/>
  <c r="AW37" i="28"/>
  <c r="AV37" i="28"/>
  <c r="AU37" i="28"/>
  <c r="AT37" i="28"/>
  <c r="AS37" i="28"/>
  <c r="AR37" i="28"/>
  <c r="AQ37" i="28"/>
  <c r="AP37" i="28"/>
  <c r="AO37" i="28"/>
  <c r="AN37" i="28"/>
  <c r="AE37" i="28"/>
  <c r="M37" i="28"/>
  <c r="L37" i="28"/>
  <c r="BP36" i="28"/>
  <c r="BO36" i="28"/>
  <c r="BN36" i="28"/>
  <c r="BM36" i="28"/>
  <c r="BL36" i="28"/>
  <c r="BK36" i="28"/>
  <c r="BJ36" i="28"/>
  <c r="BI36" i="28"/>
  <c r="BH36" i="28"/>
  <c r="BG36" i="28"/>
  <c r="BF36" i="28"/>
  <c r="BE36" i="28"/>
  <c r="BD36" i="28"/>
  <c r="BC36" i="28"/>
  <c r="BB36" i="28"/>
  <c r="BA36" i="28"/>
  <c r="AZ36" i="28"/>
  <c r="AY36" i="28"/>
  <c r="AX36" i="28"/>
  <c r="AW36" i="28"/>
  <c r="AV36" i="28"/>
  <c r="AU36" i="28"/>
  <c r="AT36" i="28"/>
  <c r="AS36" i="28"/>
  <c r="AR36" i="28"/>
  <c r="AQ36" i="28"/>
  <c r="AP36" i="28"/>
  <c r="AO36" i="28"/>
  <c r="AN36" i="28"/>
  <c r="AE36" i="28"/>
  <c r="M36" i="28"/>
  <c r="L36" i="28"/>
  <c r="BP35" i="28"/>
  <c r="BO35" i="28"/>
  <c r="BN35" i="28"/>
  <c r="BM35" i="28"/>
  <c r="BL35" i="28"/>
  <c r="BK35" i="28"/>
  <c r="BJ35" i="28"/>
  <c r="BI35" i="28"/>
  <c r="BH35" i="28"/>
  <c r="BG35" i="28"/>
  <c r="BF35" i="28"/>
  <c r="BE35" i="28"/>
  <c r="BD35" i="28"/>
  <c r="BC35" i="28"/>
  <c r="BB35" i="28"/>
  <c r="BA35" i="28"/>
  <c r="AZ35" i="28"/>
  <c r="AY35" i="28"/>
  <c r="AX35" i="28"/>
  <c r="AW35" i="28"/>
  <c r="AV35" i="28"/>
  <c r="AU35" i="28"/>
  <c r="AT35" i="28"/>
  <c r="AS35" i="28"/>
  <c r="AR35" i="28"/>
  <c r="AQ35" i="28"/>
  <c r="AP35" i="28"/>
  <c r="AO35" i="28"/>
  <c r="AN35" i="28"/>
  <c r="AE35" i="28"/>
  <c r="M35" i="28"/>
  <c r="L35" i="28"/>
  <c r="BP34" i="28"/>
  <c r="BO34" i="28"/>
  <c r="BN34" i="28"/>
  <c r="BM34" i="28"/>
  <c r="BL34" i="28"/>
  <c r="BK34" i="28"/>
  <c r="BJ34" i="28"/>
  <c r="BI34" i="28"/>
  <c r="BH34" i="28"/>
  <c r="BG34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E34" i="28"/>
  <c r="M34" i="28"/>
  <c r="L34" i="28"/>
  <c r="BP33" i="28"/>
  <c r="BO33" i="28"/>
  <c r="BN33" i="28"/>
  <c r="BM33" i="28"/>
  <c r="BL33" i="28"/>
  <c r="BK33" i="28"/>
  <c r="BJ33" i="28"/>
  <c r="BI33" i="28"/>
  <c r="BH33" i="28"/>
  <c r="BG33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E33" i="28"/>
  <c r="M33" i="28"/>
  <c r="L33" i="28"/>
  <c r="BP32" i="28"/>
  <c r="BO32" i="28"/>
  <c r="BN32" i="28"/>
  <c r="BM32" i="28"/>
  <c r="BL32" i="28"/>
  <c r="BK32" i="28"/>
  <c r="BJ32" i="28"/>
  <c r="BI32" i="28"/>
  <c r="BH32" i="28"/>
  <c r="BG32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E32" i="28"/>
  <c r="M32" i="28"/>
  <c r="L32" i="28"/>
  <c r="BP31" i="28"/>
  <c r="BO31" i="28"/>
  <c r="BN31" i="28"/>
  <c r="BM31" i="28"/>
  <c r="BL31" i="28"/>
  <c r="BK31" i="28"/>
  <c r="BJ31" i="28"/>
  <c r="BI31" i="28"/>
  <c r="BH31" i="28"/>
  <c r="BG31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E31" i="28"/>
  <c r="M31" i="28"/>
  <c r="L31" i="28"/>
  <c r="BP30" i="28"/>
  <c r="BO30" i="28"/>
  <c r="BN30" i="28"/>
  <c r="BM30" i="28"/>
  <c r="BL30" i="28"/>
  <c r="BK30" i="28"/>
  <c r="BJ30" i="28"/>
  <c r="BI30" i="28"/>
  <c r="BH30" i="28"/>
  <c r="BG30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E30" i="28"/>
  <c r="M30" i="28"/>
  <c r="L30" i="28"/>
  <c r="BP29" i="28"/>
  <c r="BO29" i="28"/>
  <c r="BN29" i="28"/>
  <c r="BM29" i="28"/>
  <c r="BL29" i="28"/>
  <c r="BK29" i="28"/>
  <c r="BJ29" i="28"/>
  <c r="BI29" i="28"/>
  <c r="BH29" i="28"/>
  <c r="BG29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E29" i="28"/>
  <c r="M29" i="28"/>
  <c r="L29" i="28"/>
  <c r="BP28" i="28"/>
  <c r="BO28" i="28"/>
  <c r="BN28" i="28"/>
  <c r="BM28" i="28"/>
  <c r="BL28" i="28"/>
  <c r="BK28" i="28"/>
  <c r="BJ28" i="28"/>
  <c r="BI28" i="28"/>
  <c r="BH28" i="28"/>
  <c r="BG28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E28" i="28"/>
  <c r="M28" i="28"/>
  <c r="L28" i="28"/>
  <c r="BP27" i="28"/>
  <c r="BO27" i="28"/>
  <c r="BN27" i="28"/>
  <c r="BM27" i="28"/>
  <c r="BL27" i="28"/>
  <c r="BK27" i="28"/>
  <c r="BJ27" i="28"/>
  <c r="BI27" i="28"/>
  <c r="BH27" i="28"/>
  <c r="BG27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E27" i="28"/>
  <c r="M27" i="28"/>
  <c r="L27" i="28"/>
  <c r="BP26" i="28"/>
  <c r="BO26" i="28"/>
  <c r="BN26" i="28"/>
  <c r="BM26" i="28"/>
  <c r="BL26" i="28"/>
  <c r="BK26" i="28"/>
  <c r="BJ26" i="28"/>
  <c r="BI26" i="28"/>
  <c r="BH26" i="28"/>
  <c r="BG26" i="28"/>
  <c r="BF26" i="28"/>
  <c r="BE26" i="28"/>
  <c r="BD26" i="28"/>
  <c r="BC26" i="28"/>
  <c r="BB26" i="28"/>
  <c r="BA26" i="28"/>
  <c r="AZ26" i="28"/>
  <c r="AY26" i="28"/>
  <c r="AX26" i="28"/>
  <c r="AW26" i="28"/>
  <c r="AV26" i="28"/>
  <c r="AU26" i="28"/>
  <c r="AT26" i="28"/>
  <c r="AS26" i="28"/>
  <c r="AR26" i="28"/>
  <c r="AQ26" i="28"/>
  <c r="AP26" i="28"/>
  <c r="AO26" i="28"/>
  <c r="AN26" i="28"/>
  <c r="AE26" i="28"/>
  <c r="M26" i="28"/>
  <c r="L26" i="28"/>
  <c r="BP25" i="28"/>
  <c r="BO25" i="28"/>
  <c r="BN25" i="28"/>
  <c r="BM25" i="28"/>
  <c r="BL25" i="28"/>
  <c r="BK25" i="28"/>
  <c r="BJ25" i="28"/>
  <c r="BI25" i="28"/>
  <c r="BH25" i="28"/>
  <c r="BG25" i="28"/>
  <c r="BF25" i="28"/>
  <c r="BE25" i="28"/>
  <c r="BD25" i="28"/>
  <c r="BC25" i="28"/>
  <c r="BB25" i="28"/>
  <c r="BA25" i="28"/>
  <c r="AZ25" i="28"/>
  <c r="AY25" i="28"/>
  <c r="AX25" i="28"/>
  <c r="AW25" i="28"/>
  <c r="AV25" i="28"/>
  <c r="AU25" i="28"/>
  <c r="AT25" i="28"/>
  <c r="AS25" i="28"/>
  <c r="AR25" i="28"/>
  <c r="AQ25" i="28"/>
  <c r="AP25" i="28"/>
  <c r="AO25" i="28"/>
  <c r="AN25" i="28"/>
  <c r="AE25" i="28"/>
  <c r="M25" i="28"/>
  <c r="L25" i="28"/>
  <c r="BP20" i="28"/>
  <c r="BO20" i="28"/>
  <c r="BN20" i="28"/>
  <c r="BM20" i="28"/>
  <c r="BL20" i="28"/>
  <c r="BK20" i="28"/>
  <c r="BJ20" i="28"/>
  <c r="BI20" i="28"/>
  <c r="BH20" i="28"/>
  <c r="BG20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E20" i="28"/>
  <c r="M20" i="28"/>
  <c r="L20" i="28"/>
  <c r="BP15" i="28"/>
  <c r="BO15" i="28"/>
  <c r="BN15" i="28"/>
  <c r="BM15" i="28"/>
  <c r="BL15" i="28"/>
  <c r="BK15" i="28"/>
  <c r="BJ15" i="28"/>
  <c r="BI15" i="28"/>
  <c r="BH15" i="28"/>
  <c r="BG15" i="28"/>
  <c r="BF15" i="28"/>
  <c r="BE15" i="28"/>
  <c r="BD15" i="28"/>
  <c r="BC15" i="28"/>
  <c r="BB15" i="28"/>
  <c r="BA15" i="28"/>
  <c r="AZ15" i="28"/>
  <c r="AY15" i="28"/>
  <c r="AX15" i="28"/>
  <c r="AW15" i="28"/>
  <c r="AV15" i="28"/>
  <c r="AU15" i="28"/>
  <c r="AT15" i="28"/>
  <c r="AS15" i="28"/>
  <c r="AR15" i="28"/>
  <c r="AQ15" i="28"/>
  <c r="AP15" i="28"/>
  <c r="AO15" i="28"/>
  <c r="AN15" i="28"/>
  <c r="AE15" i="28"/>
  <c r="M15" i="28"/>
  <c r="L15" i="28"/>
  <c r="BP14" i="28"/>
  <c r="BO14" i="28"/>
  <c r="BN14" i="28"/>
  <c r="BM14" i="28"/>
  <c r="BL14" i="28"/>
  <c r="BK14" i="28"/>
  <c r="BJ14" i="28"/>
  <c r="BI14" i="28"/>
  <c r="BH14" i="28"/>
  <c r="BG14" i="28"/>
  <c r="BF14" i="28"/>
  <c r="BE14" i="28"/>
  <c r="BD14" i="28"/>
  <c r="BC14" i="28"/>
  <c r="BB14" i="28"/>
  <c r="BA14" i="28"/>
  <c r="AZ14" i="28"/>
  <c r="AY14" i="28"/>
  <c r="AX14" i="28"/>
  <c r="AW14" i="28"/>
  <c r="AV14" i="28"/>
  <c r="AU14" i="28"/>
  <c r="AT14" i="28"/>
  <c r="AS14" i="28"/>
  <c r="AR14" i="28"/>
  <c r="AQ14" i="28"/>
  <c r="AP14" i="28"/>
  <c r="AO14" i="28"/>
  <c r="AN14" i="28"/>
  <c r="AE14" i="28"/>
  <c r="M14" i="28"/>
  <c r="L14" i="28"/>
  <c r="BP13" i="28"/>
  <c r="BO13" i="28"/>
  <c r="BN13" i="28"/>
  <c r="BM13" i="28"/>
  <c r="BL13" i="28"/>
  <c r="BK13" i="28"/>
  <c r="BJ13" i="28"/>
  <c r="BI13" i="28"/>
  <c r="BH13" i="28"/>
  <c r="BG13" i="28"/>
  <c r="BF13" i="28"/>
  <c r="BE13" i="28"/>
  <c r="BD13" i="28"/>
  <c r="BC13" i="28"/>
  <c r="BB13" i="28"/>
  <c r="BA13" i="28"/>
  <c r="AZ13" i="28"/>
  <c r="AY13" i="28"/>
  <c r="AX13" i="28"/>
  <c r="AW13" i="28"/>
  <c r="AV13" i="28"/>
  <c r="AU13" i="28"/>
  <c r="AT13" i="28"/>
  <c r="AS13" i="28"/>
  <c r="AR13" i="28"/>
  <c r="AQ13" i="28"/>
  <c r="AP13" i="28"/>
  <c r="AO13" i="28"/>
  <c r="AN13" i="28"/>
  <c r="AE13" i="28"/>
  <c r="M13" i="28"/>
  <c r="L13" i="28"/>
  <c r="BP12" i="28"/>
  <c r="BO12" i="28"/>
  <c r="BN12" i="28"/>
  <c r="BM12" i="28"/>
  <c r="BL12" i="28"/>
  <c r="BK12" i="28"/>
  <c r="BJ12" i="28"/>
  <c r="BI12" i="28"/>
  <c r="BH12" i="28"/>
  <c r="BG12" i="28"/>
  <c r="BF12" i="28"/>
  <c r="BE12" i="28"/>
  <c r="BD12" i="28"/>
  <c r="BC12" i="28"/>
  <c r="BB12" i="28"/>
  <c r="BA12" i="28"/>
  <c r="AZ12" i="28"/>
  <c r="AY12" i="28"/>
  <c r="AX12" i="28"/>
  <c r="AW12" i="28"/>
  <c r="AV12" i="28"/>
  <c r="AU12" i="28"/>
  <c r="AT12" i="28"/>
  <c r="AS12" i="28"/>
  <c r="AR12" i="28"/>
  <c r="AQ12" i="28"/>
  <c r="AP12" i="28"/>
  <c r="AO12" i="28"/>
  <c r="AN12" i="28"/>
  <c r="AE12" i="28"/>
  <c r="M12" i="28"/>
  <c r="L12" i="28"/>
  <c r="BP11" i="28"/>
  <c r="BO11" i="28"/>
  <c r="BM11" i="28"/>
  <c r="BL11" i="28"/>
  <c r="BK11" i="28"/>
  <c r="BJ11" i="28"/>
  <c r="BI11" i="28"/>
  <c r="BH11" i="28"/>
  <c r="BG11" i="28"/>
  <c r="BF11" i="28"/>
  <c r="BE11" i="28"/>
  <c r="BD11" i="28"/>
  <c r="BC11" i="28"/>
  <c r="BB11" i="28"/>
  <c r="BA11" i="28"/>
  <c r="AZ11" i="28"/>
  <c r="AY11" i="28"/>
  <c r="AX11" i="28"/>
  <c r="AW11" i="28"/>
  <c r="AV11" i="28"/>
  <c r="AU11" i="28"/>
  <c r="AT11" i="28"/>
  <c r="AS11" i="28"/>
  <c r="AR11" i="28"/>
  <c r="AQ11" i="28"/>
  <c r="AP11" i="28"/>
  <c r="AO11" i="28"/>
  <c r="AN11" i="28"/>
  <c r="AE11" i="28"/>
  <c r="M11" i="28"/>
  <c r="L11" i="28"/>
  <c r="AL11" i="26"/>
  <c r="AM11" i="26"/>
  <c r="AL12" i="26"/>
  <c r="AM12" i="26"/>
  <c r="AL13" i="26"/>
  <c r="AM13" i="26"/>
  <c r="AL14" i="26"/>
  <c r="AM14" i="26"/>
  <c r="AL15" i="26"/>
  <c r="AM15" i="26"/>
  <c r="AL20" i="26"/>
  <c r="AM20" i="26"/>
  <c r="AL25" i="26"/>
  <c r="AM25" i="26"/>
  <c r="AL26" i="26"/>
  <c r="AM26" i="26"/>
  <c r="AL27" i="26"/>
  <c r="AM27" i="26"/>
  <c r="AL28" i="26"/>
  <c r="AM28" i="26"/>
  <c r="AL29" i="26"/>
  <c r="AM29" i="26"/>
  <c r="AL30" i="26"/>
  <c r="AM30" i="26"/>
  <c r="AL31" i="26"/>
  <c r="AM31" i="26"/>
  <c r="AL32" i="26"/>
  <c r="AM32" i="26"/>
  <c r="AL33" i="26"/>
  <c r="AM33" i="26"/>
  <c r="AL34" i="26"/>
  <c r="AM34" i="26"/>
  <c r="AL35" i="26"/>
  <c r="AM35" i="26"/>
  <c r="AL36" i="26"/>
  <c r="AM36" i="26"/>
  <c r="AL37" i="26"/>
  <c r="AM37" i="26"/>
  <c r="AL38" i="26"/>
  <c r="AM38" i="26"/>
  <c r="AL39" i="26"/>
  <c r="AM39" i="26"/>
  <c r="AL40" i="26"/>
  <c r="AM40" i="26"/>
  <c r="AL41" i="26"/>
  <c r="AM41" i="26"/>
  <c r="AL42" i="26"/>
  <c r="AM42" i="26"/>
  <c r="AL43" i="26"/>
  <c r="AM43" i="26"/>
  <c r="AL44" i="26"/>
  <c r="AM44" i="26"/>
  <c r="AL45" i="26"/>
  <c r="AM45" i="26"/>
  <c r="AL46" i="26"/>
  <c r="AM46" i="26"/>
  <c r="AL47" i="26"/>
  <c r="AM47" i="26"/>
  <c r="AL48" i="26"/>
  <c r="AM48" i="26"/>
  <c r="AL49" i="26"/>
  <c r="AM49" i="26"/>
  <c r="AL50" i="26"/>
  <c r="AM50" i="26"/>
  <c r="AL51" i="26"/>
  <c r="AM51" i="26"/>
  <c r="AL52" i="26"/>
  <c r="AM52" i="26"/>
  <c r="AL53" i="26"/>
  <c r="AM53" i="26"/>
  <c r="AL54" i="26"/>
  <c r="AM54" i="26"/>
  <c r="AL55" i="26"/>
  <c r="AM55" i="26"/>
  <c r="AL56" i="26"/>
  <c r="AM56" i="26"/>
  <c r="AL57" i="26"/>
  <c r="AM57" i="26"/>
  <c r="AL58" i="26"/>
  <c r="AM58" i="26"/>
  <c r="AL59" i="26"/>
  <c r="AM59" i="26"/>
  <c r="AL60" i="26"/>
  <c r="AM60" i="26"/>
  <c r="AL61" i="26"/>
  <c r="AM61" i="26"/>
  <c r="AL62" i="26"/>
  <c r="AM62" i="26"/>
  <c r="AL63" i="26"/>
  <c r="AM63" i="26"/>
  <c r="AL64" i="26"/>
  <c r="AM64" i="26"/>
  <c r="AL65" i="26"/>
  <c r="AM65" i="26"/>
  <c r="AL66" i="26"/>
  <c r="AM66" i="26"/>
  <c r="AL67" i="26"/>
  <c r="AM67" i="26"/>
  <c r="AL68" i="26"/>
  <c r="AM68" i="26"/>
  <c r="AL69" i="26"/>
  <c r="AM69" i="26"/>
  <c r="AL70" i="26"/>
  <c r="AM70" i="26"/>
  <c r="AL71" i="26"/>
  <c r="AM71" i="26"/>
  <c r="AL72" i="26"/>
  <c r="AM72" i="26"/>
  <c r="AL73" i="26"/>
  <c r="AM73" i="26"/>
  <c r="AL74" i="26"/>
  <c r="AM74" i="26"/>
  <c r="AL75" i="26"/>
  <c r="AM75" i="26"/>
  <c r="AL76" i="26"/>
  <c r="AM76" i="26"/>
  <c r="AL81" i="26"/>
  <c r="AM81" i="26"/>
  <c r="AL82" i="26"/>
  <c r="AM82" i="26"/>
  <c r="AL83" i="26"/>
  <c r="AM83" i="26"/>
  <c r="AL84" i="26"/>
  <c r="AM84" i="26"/>
  <c r="AL85" i="26"/>
  <c r="AM85" i="26"/>
  <c r="AL86" i="26"/>
  <c r="AM86" i="26"/>
  <c r="AL93" i="26"/>
  <c r="AM93" i="26"/>
  <c r="AL98" i="26"/>
  <c r="AM98" i="26"/>
  <c r="AL99" i="26"/>
  <c r="AM99" i="26"/>
  <c r="AL100" i="26"/>
  <c r="AM100" i="26"/>
  <c r="AL101" i="26"/>
  <c r="AM101" i="26"/>
  <c r="AL102" i="26"/>
  <c r="AM102" i="26"/>
  <c r="AL103" i="26"/>
  <c r="AM103" i="26"/>
  <c r="AL104" i="26"/>
  <c r="AM104" i="26"/>
  <c r="AL105" i="26"/>
  <c r="AM105" i="26"/>
  <c r="AL106" i="26"/>
  <c r="AM106" i="26"/>
  <c r="AL107" i="26"/>
  <c r="AM107" i="26"/>
  <c r="AL108" i="26"/>
  <c r="AM108" i="26"/>
  <c r="AL121" i="26"/>
  <c r="AM121" i="26"/>
  <c r="AL122" i="26"/>
  <c r="AM122" i="26"/>
  <c r="AL123" i="26"/>
  <c r="AM123" i="26"/>
  <c r="AL124" i="26"/>
  <c r="AM124" i="26"/>
  <c r="AL125" i="26"/>
  <c r="AM125" i="26"/>
  <c r="AL126" i="26"/>
  <c r="AM126" i="26"/>
  <c r="AL127" i="26"/>
  <c r="AM127" i="26"/>
  <c r="AL128" i="26"/>
  <c r="AM128" i="26"/>
  <c r="AL129" i="26"/>
  <c r="AM129" i="26"/>
  <c r="AL130" i="26"/>
  <c r="AM130" i="26"/>
  <c r="AL131" i="26"/>
  <c r="AM131" i="26"/>
  <c r="AL132" i="26"/>
  <c r="AM132" i="26"/>
  <c r="AL133" i="26"/>
  <c r="AM133" i="26"/>
  <c r="AL134" i="26"/>
  <c r="AM134" i="26"/>
  <c r="AL135" i="26"/>
  <c r="AM135" i="26"/>
  <c r="AL136" i="26"/>
  <c r="AM136" i="26"/>
  <c r="AL137" i="26"/>
  <c r="AM137" i="26"/>
  <c r="AL138" i="26"/>
  <c r="AM138" i="26"/>
  <c r="AL139" i="26"/>
  <c r="AM139" i="26"/>
  <c r="AL140" i="26"/>
  <c r="AM140" i="26"/>
  <c r="AL141" i="26"/>
  <c r="AM141" i="26"/>
  <c r="AL142" i="26"/>
  <c r="AM142" i="26"/>
  <c r="AL143" i="26"/>
  <c r="AM143" i="26"/>
  <c r="AL144" i="26"/>
  <c r="AM144" i="26"/>
  <c r="AL145" i="26"/>
  <c r="AM145" i="26"/>
  <c r="AL146" i="26"/>
  <c r="AM146" i="26"/>
  <c r="AL147" i="26"/>
  <c r="AM147" i="26"/>
  <c r="AL148" i="26"/>
  <c r="AM148" i="26"/>
  <c r="AL149" i="26"/>
  <c r="AM149" i="26"/>
  <c r="AL150" i="26"/>
  <c r="AM150" i="26"/>
  <c r="AL151" i="26"/>
  <c r="AM151" i="26"/>
  <c r="AL176" i="26"/>
  <c r="AM176" i="26"/>
  <c r="AL177" i="26"/>
  <c r="AM177" i="26"/>
  <c r="AL184" i="26"/>
  <c r="AM184" i="26"/>
  <c r="AL178" i="26"/>
  <c r="AM178" i="26"/>
  <c r="AL179" i="26"/>
  <c r="AM179" i="26"/>
  <c r="AL180" i="26"/>
  <c r="AM180" i="26"/>
  <c r="AL181" i="26"/>
  <c r="AM181" i="26"/>
  <c r="AL182" i="26"/>
  <c r="AM182" i="26"/>
  <c r="AL183" i="26"/>
  <c r="AM183" i="26"/>
  <c r="AL194" i="26"/>
  <c r="AM194" i="26"/>
  <c r="AL195" i="26"/>
  <c r="AM195" i="26"/>
  <c r="AL196" i="26"/>
  <c r="AM196" i="26"/>
  <c r="AL197" i="26"/>
  <c r="AM197" i="26"/>
  <c r="AL198" i="26"/>
  <c r="AM198" i="26"/>
  <c r="AL199" i="26"/>
  <c r="AM199" i="26"/>
  <c r="AL200" i="26"/>
  <c r="AM200" i="26"/>
  <c r="AL201" i="26"/>
  <c r="AM201" i="26"/>
  <c r="AL202" i="26"/>
  <c r="AM202" i="26"/>
  <c r="AL203" i="26"/>
  <c r="AM203" i="26"/>
  <c r="AL204" i="26"/>
  <c r="AM204" i="26"/>
  <c r="AL205" i="26"/>
  <c r="AM205" i="26"/>
  <c r="AL206" i="26"/>
  <c r="AM206" i="26"/>
  <c r="AL207" i="26"/>
  <c r="AM207" i="26"/>
  <c r="AL210" i="26"/>
  <c r="AM210" i="26"/>
  <c r="AL211" i="26"/>
  <c r="AM211" i="26"/>
  <c r="AL214" i="26"/>
  <c r="AM214" i="26"/>
  <c r="AL219" i="26"/>
  <c r="AM219" i="26"/>
  <c r="AL232" i="26"/>
  <c r="AM232" i="26"/>
  <c r="AL233" i="26"/>
  <c r="AM233" i="26"/>
  <c r="AL234" i="26"/>
  <c r="AM234" i="26"/>
  <c r="W236" i="26"/>
  <c r="AK234" i="26"/>
  <c r="AK233" i="26"/>
  <c r="AK232" i="26"/>
  <c r="AK219" i="26"/>
  <c r="AK214" i="26"/>
  <c r="AK211" i="26"/>
  <c r="AK210" i="26"/>
  <c r="AK207" i="26"/>
  <c r="AK206" i="26"/>
  <c r="AK205" i="26"/>
  <c r="AK204" i="26"/>
  <c r="AK203" i="26"/>
  <c r="AK202" i="26"/>
  <c r="AK201" i="26"/>
  <c r="AK200" i="26"/>
  <c r="AK199" i="26"/>
  <c r="AK198" i="26"/>
  <c r="AK197" i="26"/>
  <c r="AK196" i="26"/>
  <c r="AK195" i="26"/>
  <c r="AK194" i="26"/>
  <c r="AK183" i="26"/>
  <c r="AK182" i="26"/>
  <c r="AK181" i="26"/>
  <c r="AK180" i="26"/>
  <c r="AK179" i="26"/>
  <c r="AK178" i="26"/>
  <c r="AK184" i="26"/>
  <c r="AK177" i="26"/>
  <c r="AK176" i="26"/>
  <c r="AK151" i="26"/>
  <c r="AK150" i="26"/>
  <c r="AK149" i="26"/>
  <c r="AK148" i="26"/>
  <c r="AK147" i="26"/>
  <c r="AK146" i="26"/>
  <c r="AK145" i="26"/>
  <c r="AK144" i="26"/>
  <c r="AK143" i="26"/>
  <c r="AK142" i="26"/>
  <c r="AK141" i="26"/>
  <c r="AK140" i="26"/>
  <c r="AK139" i="26"/>
  <c r="AK138" i="26"/>
  <c r="AK137" i="26"/>
  <c r="AK136" i="26"/>
  <c r="AK135" i="26"/>
  <c r="AK134" i="26"/>
  <c r="AK133" i="26"/>
  <c r="AK132" i="26"/>
  <c r="AK131" i="26"/>
  <c r="AK130" i="26"/>
  <c r="AK129" i="26"/>
  <c r="AK128" i="26"/>
  <c r="AK127" i="26"/>
  <c r="AK126" i="26"/>
  <c r="AK125" i="26"/>
  <c r="AK124" i="26"/>
  <c r="AK123" i="26"/>
  <c r="AK122" i="26"/>
  <c r="AK121" i="26"/>
  <c r="AK108" i="26"/>
  <c r="AK107" i="26"/>
  <c r="AK106" i="26"/>
  <c r="AK105" i="26"/>
  <c r="AK104" i="26"/>
  <c r="AK103" i="26"/>
  <c r="AK102" i="26"/>
  <c r="AK101" i="26"/>
  <c r="AK100" i="26"/>
  <c r="AK99" i="26"/>
  <c r="AK98" i="26"/>
  <c r="AK93" i="26"/>
  <c r="AK86" i="26"/>
  <c r="AK85" i="26"/>
  <c r="AK84" i="26"/>
  <c r="AK83" i="26"/>
  <c r="AK82" i="26"/>
  <c r="AK81" i="26"/>
  <c r="AK76" i="26"/>
  <c r="AK75" i="26"/>
  <c r="AK74" i="26"/>
  <c r="AK73" i="26"/>
  <c r="AK72" i="26"/>
  <c r="AK71" i="26"/>
  <c r="AK70" i="26"/>
  <c r="AK69" i="26"/>
  <c r="AK68" i="26"/>
  <c r="AK67" i="26"/>
  <c r="AK66" i="26"/>
  <c r="AK65" i="26"/>
  <c r="AK64" i="26"/>
  <c r="AK63" i="26"/>
  <c r="AK62" i="26"/>
  <c r="AK61" i="26"/>
  <c r="AK60" i="26"/>
  <c r="AK59" i="26"/>
  <c r="AK58" i="26"/>
  <c r="AK57" i="26"/>
  <c r="AK56" i="26"/>
  <c r="AK55" i="26"/>
  <c r="AK54" i="26"/>
  <c r="AK53" i="26"/>
  <c r="AK52" i="26"/>
  <c r="AK51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0" i="26"/>
  <c r="AK15" i="26"/>
  <c r="AK14" i="26"/>
  <c r="AK13" i="26"/>
  <c r="AK12" i="26"/>
  <c r="AK11" i="26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BP179" i="7"/>
  <c r="BO179" i="7"/>
  <c r="BN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BP178" i="7"/>
  <c r="BO178" i="7"/>
  <c r="BN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E236" i="26"/>
  <c r="M236" i="26"/>
  <c r="L236" i="26"/>
  <c r="AE235" i="26"/>
  <c r="M235" i="26"/>
  <c r="L235" i="26"/>
  <c r="BP234" i="26"/>
  <c r="BO234" i="26"/>
  <c r="BN234" i="26"/>
  <c r="BM234" i="26"/>
  <c r="BL234" i="26"/>
  <c r="BK234" i="26"/>
  <c r="BJ234" i="26"/>
  <c r="BI234" i="26"/>
  <c r="BH234" i="26"/>
  <c r="BG234" i="26"/>
  <c r="BF234" i="26"/>
  <c r="BE234" i="26"/>
  <c r="BD234" i="26"/>
  <c r="BC234" i="26"/>
  <c r="BB234" i="26"/>
  <c r="BA234" i="26"/>
  <c r="AZ234" i="26"/>
  <c r="AY234" i="26"/>
  <c r="AX234" i="26"/>
  <c r="AW234" i="26"/>
  <c r="AV234" i="26"/>
  <c r="AU234" i="26"/>
  <c r="AT234" i="26"/>
  <c r="AS234" i="26"/>
  <c r="AR234" i="26"/>
  <c r="AQ234" i="26"/>
  <c r="AP234" i="26"/>
  <c r="AO234" i="26"/>
  <c r="AN234" i="26"/>
  <c r="AE234" i="26"/>
  <c r="M234" i="26"/>
  <c r="L234" i="26"/>
  <c r="BP233" i="26"/>
  <c r="BO233" i="26"/>
  <c r="BN233" i="26"/>
  <c r="BM233" i="26"/>
  <c r="BL233" i="26"/>
  <c r="BK233" i="26"/>
  <c r="BJ233" i="26"/>
  <c r="BI233" i="26"/>
  <c r="BH233" i="26"/>
  <c r="BG233" i="26"/>
  <c r="BF233" i="26"/>
  <c r="BE233" i="26"/>
  <c r="BD233" i="26"/>
  <c r="BC233" i="26"/>
  <c r="BB233" i="26"/>
  <c r="BA233" i="26"/>
  <c r="AZ233" i="26"/>
  <c r="AY233" i="26"/>
  <c r="AX233" i="26"/>
  <c r="AW233" i="26"/>
  <c r="AV233" i="26"/>
  <c r="AU233" i="26"/>
  <c r="AT233" i="26"/>
  <c r="AS233" i="26"/>
  <c r="AR233" i="26"/>
  <c r="AQ233" i="26"/>
  <c r="AP233" i="26"/>
  <c r="AO233" i="26"/>
  <c r="AN233" i="26"/>
  <c r="AE233" i="26"/>
  <c r="M233" i="26"/>
  <c r="L233" i="26"/>
  <c r="BP232" i="26"/>
  <c r="BO232" i="26"/>
  <c r="BN232" i="26"/>
  <c r="BM232" i="26"/>
  <c r="BL232" i="26"/>
  <c r="BK232" i="26"/>
  <c r="BJ232" i="26"/>
  <c r="BI232" i="26"/>
  <c r="BH232" i="26"/>
  <c r="BG232" i="26"/>
  <c r="BF232" i="26"/>
  <c r="BE232" i="26"/>
  <c r="BD232" i="26"/>
  <c r="BC232" i="26"/>
  <c r="BB232" i="26"/>
  <c r="BA232" i="26"/>
  <c r="AZ232" i="26"/>
  <c r="AY232" i="26"/>
  <c r="AX232" i="26"/>
  <c r="AW232" i="26"/>
  <c r="AV232" i="26"/>
  <c r="AU232" i="26"/>
  <c r="AT232" i="26"/>
  <c r="AS232" i="26"/>
  <c r="AR232" i="26"/>
  <c r="AQ232" i="26"/>
  <c r="AP232" i="26"/>
  <c r="AO232" i="26"/>
  <c r="AN232" i="26"/>
  <c r="AE232" i="26"/>
  <c r="M232" i="26"/>
  <c r="L232" i="26"/>
  <c r="BP219" i="26"/>
  <c r="BO219" i="26"/>
  <c r="BN219" i="26"/>
  <c r="BM219" i="26"/>
  <c r="BL219" i="26"/>
  <c r="BK219" i="26"/>
  <c r="BJ219" i="26"/>
  <c r="BI219" i="26"/>
  <c r="BH219" i="26"/>
  <c r="BG219" i="26"/>
  <c r="BF219" i="26"/>
  <c r="BE219" i="26"/>
  <c r="BD219" i="26"/>
  <c r="BC219" i="26"/>
  <c r="BB219" i="26"/>
  <c r="BA219" i="26"/>
  <c r="AZ219" i="26"/>
  <c r="AY219" i="26"/>
  <c r="AX219" i="26"/>
  <c r="AW219" i="26"/>
  <c r="AV219" i="26"/>
  <c r="AU219" i="26"/>
  <c r="AT219" i="26"/>
  <c r="AS219" i="26"/>
  <c r="AR219" i="26"/>
  <c r="AQ219" i="26"/>
  <c r="AP219" i="26"/>
  <c r="AO219" i="26"/>
  <c r="AN219" i="26"/>
  <c r="AE219" i="26"/>
  <c r="M219" i="26"/>
  <c r="L219" i="26"/>
  <c r="BP214" i="26"/>
  <c r="BO214" i="26"/>
  <c r="BN214" i="26"/>
  <c r="BM214" i="26"/>
  <c r="BL214" i="26"/>
  <c r="BK214" i="26"/>
  <c r="BJ214" i="26"/>
  <c r="BI214" i="26"/>
  <c r="BH214" i="26"/>
  <c r="BG214" i="26"/>
  <c r="BF214" i="26"/>
  <c r="BE214" i="26"/>
  <c r="BD214" i="26"/>
  <c r="BC214" i="26"/>
  <c r="BB214" i="26"/>
  <c r="BA214" i="26"/>
  <c r="AZ214" i="26"/>
  <c r="AY214" i="26"/>
  <c r="AX214" i="26"/>
  <c r="AW214" i="26"/>
  <c r="AV214" i="26"/>
  <c r="AU214" i="26"/>
  <c r="AT214" i="26"/>
  <c r="AS214" i="26"/>
  <c r="AR214" i="26"/>
  <c r="AQ214" i="26"/>
  <c r="AP214" i="26"/>
  <c r="AO214" i="26"/>
  <c r="AN214" i="26"/>
  <c r="AE214" i="26"/>
  <c r="M214" i="26"/>
  <c r="L214" i="26"/>
  <c r="M213" i="26"/>
  <c r="L213" i="26"/>
  <c r="M212" i="26"/>
  <c r="L212" i="26"/>
  <c r="BP211" i="26"/>
  <c r="BO211" i="26"/>
  <c r="BN211" i="26"/>
  <c r="BM211" i="26"/>
  <c r="BL211" i="26"/>
  <c r="BK211" i="26"/>
  <c r="BJ211" i="26"/>
  <c r="BI211" i="26"/>
  <c r="BH211" i="26"/>
  <c r="BG211" i="26"/>
  <c r="BF211" i="26"/>
  <c r="BE211" i="26"/>
  <c r="BD211" i="26"/>
  <c r="BC211" i="26"/>
  <c r="BB211" i="26"/>
  <c r="BA211" i="26"/>
  <c r="AZ211" i="26"/>
  <c r="AY211" i="26"/>
  <c r="AX211" i="26"/>
  <c r="AW211" i="26"/>
  <c r="AV211" i="26"/>
  <c r="AU211" i="26"/>
  <c r="AT211" i="26"/>
  <c r="AS211" i="26"/>
  <c r="AR211" i="26"/>
  <c r="AQ211" i="26"/>
  <c r="AP211" i="26"/>
  <c r="AO211" i="26"/>
  <c r="AN211" i="26"/>
  <c r="AE211" i="26"/>
  <c r="M211" i="26"/>
  <c r="L211" i="26"/>
  <c r="BP210" i="26"/>
  <c r="BO210" i="26"/>
  <c r="BN210" i="26"/>
  <c r="BM210" i="26"/>
  <c r="BL210" i="26"/>
  <c r="BK210" i="26"/>
  <c r="BJ210" i="26"/>
  <c r="BI210" i="26"/>
  <c r="BH210" i="26"/>
  <c r="BG210" i="26"/>
  <c r="BF210" i="26"/>
  <c r="BE210" i="26"/>
  <c r="BD210" i="26"/>
  <c r="BC210" i="26"/>
  <c r="BB210" i="26"/>
  <c r="BA210" i="26"/>
  <c r="AZ210" i="26"/>
  <c r="AY210" i="26"/>
  <c r="AX210" i="26"/>
  <c r="AW210" i="26"/>
  <c r="AV210" i="26"/>
  <c r="AU210" i="26"/>
  <c r="AT210" i="26"/>
  <c r="AS210" i="26"/>
  <c r="AR210" i="26"/>
  <c r="AQ210" i="26"/>
  <c r="AP210" i="26"/>
  <c r="AO210" i="26"/>
  <c r="AN210" i="26"/>
  <c r="AE210" i="26"/>
  <c r="M210" i="26"/>
  <c r="L210" i="26"/>
  <c r="AE207" i="26"/>
  <c r="M207" i="26"/>
  <c r="L207" i="26"/>
  <c r="AE206" i="26"/>
  <c r="M206" i="26"/>
  <c r="L206" i="26"/>
  <c r="AE205" i="26"/>
  <c r="M205" i="26"/>
  <c r="L205" i="26"/>
  <c r="AE204" i="26"/>
  <c r="M204" i="26"/>
  <c r="L204" i="26"/>
  <c r="AE203" i="26"/>
  <c r="M203" i="26"/>
  <c r="L203" i="26"/>
  <c r="AE202" i="26"/>
  <c r="M202" i="26"/>
  <c r="L202" i="26"/>
  <c r="AE201" i="26"/>
  <c r="M201" i="26"/>
  <c r="L201" i="26"/>
  <c r="AE200" i="26"/>
  <c r="M200" i="26"/>
  <c r="L200" i="26"/>
  <c r="AE199" i="26"/>
  <c r="M199" i="26"/>
  <c r="L199" i="26"/>
  <c r="AE198" i="26"/>
  <c r="M198" i="26"/>
  <c r="L198" i="26"/>
  <c r="AE197" i="26"/>
  <c r="M197" i="26"/>
  <c r="L197" i="26"/>
  <c r="AE196" i="26"/>
  <c r="M196" i="26"/>
  <c r="L196" i="26"/>
  <c r="AE195" i="26"/>
  <c r="M195" i="26"/>
  <c r="L195" i="26"/>
  <c r="AE194" i="26"/>
  <c r="M194" i="26"/>
  <c r="L194" i="26"/>
  <c r="AE193" i="26"/>
  <c r="M193" i="26"/>
  <c r="L193" i="26"/>
  <c r="AE192" i="26"/>
  <c r="M192" i="26"/>
  <c r="L192" i="26"/>
  <c r="AE191" i="26"/>
  <c r="M191" i="26"/>
  <c r="L191" i="26"/>
  <c r="BP183" i="26"/>
  <c r="BO183" i="26"/>
  <c r="BN183" i="26"/>
  <c r="BM183" i="26"/>
  <c r="BL183" i="26"/>
  <c r="BK183" i="26"/>
  <c r="BJ183" i="26"/>
  <c r="BI183" i="26"/>
  <c r="BH183" i="26"/>
  <c r="BG183" i="26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T183" i="26"/>
  <c r="AS183" i="26"/>
  <c r="AR183" i="26"/>
  <c r="AQ183" i="26"/>
  <c r="AP183" i="26"/>
  <c r="AO183" i="26"/>
  <c r="AN183" i="26"/>
  <c r="AE183" i="26"/>
  <c r="M183" i="26"/>
  <c r="L183" i="26"/>
  <c r="BP182" i="26"/>
  <c r="BO182" i="26"/>
  <c r="BN182" i="26"/>
  <c r="BM182" i="26"/>
  <c r="BL182" i="26"/>
  <c r="BK182" i="26"/>
  <c r="BJ182" i="26"/>
  <c r="BI182" i="26"/>
  <c r="BH182" i="26"/>
  <c r="BG182" i="26"/>
  <c r="BF182" i="26"/>
  <c r="BE182" i="26"/>
  <c r="BD182" i="26"/>
  <c r="BC182" i="26"/>
  <c r="BB182" i="26"/>
  <c r="BA182" i="26"/>
  <c r="AZ182" i="26"/>
  <c r="AY182" i="26"/>
  <c r="AX182" i="26"/>
  <c r="AW182" i="26"/>
  <c r="AV182" i="26"/>
  <c r="AU182" i="26"/>
  <c r="AT182" i="26"/>
  <c r="AS182" i="26"/>
  <c r="AR182" i="26"/>
  <c r="AQ182" i="26"/>
  <c r="AP182" i="26"/>
  <c r="AO182" i="26"/>
  <c r="AN182" i="26"/>
  <c r="AE182" i="26"/>
  <c r="M182" i="26"/>
  <c r="L182" i="26"/>
  <c r="BP181" i="26"/>
  <c r="BO181" i="26"/>
  <c r="BN181" i="26"/>
  <c r="BM181" i="26"/>
  <c r="BL181" i="26"/>
  <c r="BK181" i="26"/>
  <c r="BJ181" i="26"/>
  <c r="BI181" i="26"/>
  <c r="BH181" i="26"/>
  <c r="BG181" i="26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AT181" i="26"/>
  <c r="AS181" i="26"/>
  <c r="AR181" i="26"/>
  <c r="AQ181" i="26"/>
  <c r="AP181" i="26"/>
  <c r="AO181" i="26"/>
  <c r="AN181" i="26"/>
  <c r="AE181" i="26"/>
  <c r="M181" i="26"/>
  <c r="L181" i="26"/>
  <c r="BP180" i="26"/>
  <c r="BO180" i="26"/>
  <c r="BN180" i="26"/>
  <c r="BM180" i="26"/>
  <c r="BL180" i="26"/>
  <c r="BK180" i="26"/>
  <c r="BJ180" i="26"/>
  <c r="BI180" i="26"/>
  <c r="BH180" i="26"/>
  <c r="BG180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T180" i="26"/>
  <c r="AS180" i="26"/>
  <c r="AR180" i="26"/>
  <c r="AQ180" i="26"/>
  <c r="AP180" i="26"/>
  <c r="AO180" i="26"/>
  <c r="AN180" i="26"/>
  <c r="AE180" i="26"/>
  <c r="M180" i="26"/>
  <c r="L180" i="26"/>
  <c r="BP179" i="26"/>
  <c r="BO179" i="26"/>
  <c r="BN179" i="26"/>
  <c r="BM179" i="26"/>
  <c r="BL179" i="26"/>
  <c r="BK179" i="26"/>
  <c r="BJ179" i="26"/>
  <c r="BI179" i="26"/>
  <c r="BH179" i="26"/>
  <c r="BG179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AU179" i="26"/>
  <c r="AT179" i="26"/>
  <c r="AS179" i="26"/>
  <c r="AR179" i="26"/>
  <c r="AQ179" i="26"/>
  <c r="AP179" i="26"/>
  <c r="AO179" i="26"/>
  <c r="AN179" i="26"/>
  <c r="AE179" i="26"/>
  <c r="M179" i="26"/>
  <c r="L179" i="26"/>
  <c r="BP178" i="26"/>
  <c r="BO178" i="26"/>
  <c r="BN178" i="26"/>
  <c r="BM178" i="26"/>
  <c r="BL178" i="26"/>
  <c r="BK178" i="26"/>
  <c r="BJ178" i="26"/>
  <c r="BI178" i="26"/>
  <c r="BH178" i="26"/>
  <c r="BG178" i="26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AT178" i="26"/>
  <c r="AS178" i="26"/>
  <c r="AR178" i="26"/>
  <c r="AQ178" i="26"/>
  <c r="AP178" i="26"/>
  <c r="AO178" i="26"/>
  <c r="AN178" i="26"/>
  <c r="AE178" i="26"/>
  <c r="M178" i="26"/>
  <c r="L178" i="26"/>
  <c r="M184" i="26"/>
  <c r="L184" i="26"/>
  <c r="M177" i="26"/>
  <c r="L177" i="26"/>
  <c r="M176" i="26"/>
  <c r="L176" i="26"/>
  <c r="BP151" i="26"/>
  <c r="BO151" i="26"/>
  <c r="BN151" i="26"/>
  <c r="BM151" i="26"/>
  <c r="BL151" i="26"/>
  <c r="BK151" i="26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T151" i="26"/>
  <c r="AS151" i="26"/>
  <c r="AR151" i="26"/>
  <c r="AQ151" i="26"/>
  <c r="AP151" i="26"/>
  <c r="AO151" i="26"/>
  <c r="AN151" i="26"/>
  <c r="AE151" i="26"/>
  <c r="M151" i="26"/>
  <c r="L151" i="26"/>
  <c r="BP150" i="26"/>
  <c r="BO150" i="26"/>
  <c r="BN150" i="26"/>
  <c r="BM150" i="26"/>
  <c r="BL150" i="26"/>
  <c r="BK150" i="26"/>
  <c r="BJ150" i="26"/>
  <c r="BI150" i="26"/>
  <c r="BH150" i="26"/>
  <c r="BG150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AT150" i="26"/>
  <c r="AS150" i="26"/>
  <c r="AR150" i="26"/>
  <c r="AQ150" i="26"/>
  <c r="AP150" i="26"/>
  <c r="AO150" i="26"/>
  <c r="AN150" i="26"/>
  <c r="AE150" i="26"/>
  <c r="M150" i="26"/>
  <c r="L150" i="26"/>
  <c r="BP149" i="26"/>
  <c r="BO149" i="26"/>
  <c r="BN149" i="26"/>
  <c r="BM149" i="26"/>
  <c r="BL149" i="26"/>
  <c r="BK149" i="26"/>
  <c r="BJ149" i="26"/>
  <c r="BI149" i="26"/>
  <c r="BH149" i="26"/>
  <c r="BG149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T149" i="26"/>
  <c r="AS149" i="26"/>
  <c r="AR149" i="26"/>
  <c r="AQ149" i="26"/>
  <c r="AP149" i="26"/>
  <c r="AO149" i="26"/>
  <c r="AN149" i="26"/>
  <c r="AE149" i="26"/>
  <c r="M149" i="26"/>
  <c r="L149" i="26"/>
  <c r="BP148" i="26"/>
  <c r="BO148" i="26"/>
  <c r="BN148" i="26"/>
  <c r="BM148" i="26"/>
  <c r="BL148" i="26"/>
  <c r="BK148" i="26"/>
  <c r="BJ148" i="26"/>
  <c r="BI148" i="26"/>
  <c r="BH148" i="26"/>
  <c r="BG148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T148" i="26"/>
  <c r="AS148" i="26"/>
  <c r="AR148" i="26"/>
  <c r="AQ148" i="26"/>
  <c r="AP148" i="26"/>
  <c r="AO148" i="26"/>
  <c r="AN148" i="26"/>
  <c r="AE148" i="26"/>
  <c r="M148" i="26"/>
  <c r="L148" i="26"/>
  <c r="BP147" i="26"/>
  <c r="BO147" i="26"/>
  <c r="BN147" i="26"/>
  <c r="BM147" i="26"/>
  <c r="BL147" i="26"/>
  <c r="BK147" i="26"/>
  <c r="BJ147" i="26"/>
  <c r="BI147" i="26"/>
  <c r="BH147" i="26"/>
  <c r="BG147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AT147" i="26"/>
  <c r="AS147" i="26"/>
  <c r="AR147" i="26"/>
  <c r="AQ147" i="26"/>
  <c r="AP147" i="26"/>
  <c r="AO147" i="26"/>
  <c r="AN147" i="26"/>
  <c r="AE147" i="26"/>
  <c r="M147" i="26"/>
  <c r="L147" i="26"/>
  <c r="BP146" i="26"/>
  <c r="BO146" i="26"/>
  <c r="BN146" i="26"/>
  <c r="BM146" i="26"/>
  <c r="BL146" i="26"/>
  <c r="BK146" i="26"/>
  <c r="BJ146" i="26"/>
  <c r="BI146" i="26"/>
  <c r="BH146" i="26"/>
  <c r="BG146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AU146" i="26"/>
  <c r="AT146" i="26"/>
  <c r="AS146" i="26"/>
  <c r="AR146" i="26"/>
  <c r="AQ146" i="26"/>
  <c r="AP146" i="26"/>
  <c r="AO146" i="26"/>
  <c r="AN146" i="26"/>
  <c r="AE146" i="26"/>
  <c r="M146" i="26"/>
  <c r="L146" i="26"/>
  <c r="BP145" i="26"/>
  <c r="BO145" i="26"/>
  <c r="BN145" i="26"/>
  <c r="BM145" i="26"/>
  <c r="BL145" i="26"/>
  <c r="BK145" i="26"/>
  <c r="BJ145" i="26"/>
  <c r="BI145" i="26"/>
  <c r="BH145" i="26"/>
  <c r="BG145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T145" i="26"/>
  <c r="AS145" i="26"/>
  <c r="AR145" i="26"/>
  <c r="AQ145" i="26"/>
  <c r="AP145" i="26"/>
  <c r="AO145" i="26"/>
  <c r="AN145" i="26"/>
  <c r="AE145" i="26"/>
  <c r="M145" i="26"/>
  <c r="L145" i="26"/>
  <c r="BP144" i="26"/>
  <c r="BO144" i="26"/>
  <c r="BN144" i="26"/>
  <c r="BM144" i="26"/>
  <c r="BL144" i="26"/>
  <c r="BK144" i="26"/>
  <c r="BJ144" i="26"/>
  <c r="BI144" i="26"/>
  <c r="BH144" i="26"/>
  <c r="BG144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E144" i="26"/>
  <c r="M144" i="26"/>
  <c r="L144" i="26"/>
  <c r="BP143" i="26"/>
  <c r="BO143" i="26"/>
  <c r="BN143" i="26"/>
  <c r="BM143" i="26"/>
  <c r="BL143" i="26"/>
  <c r="BK143" i="26"/>
  <c r="BJ143" i="26"/>
  <c r="BI143" i="26"/>
  <c r="BH143" i="26"/>
  <c r="BG143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E143" i="26"/>
  <c r="M143" i="26"/>
  <c r="L143" i="26"/>
  <c r="BP142" i="26"/>
  <c r="BO142" i="26"/>
  <c r="BN142" i="26"/>
  <c r="BM142" i="26"/>
  <c r="BL142" i="26"/>
  <c r="BK142" i="26"/>
  <c r="BJ142" i="26"/>
  <c r="BI142" i="26"/>
  <c r="BH142" i="26"/>
  <c r="BG142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E142" i="26"/>
  <c r="M142" i="26"/>
  <c r="L142" i="26"/>
  <c r="BP141" i="26"/>
  <c r="BO141" i="26"/>
  <c r="BN141" i="26"/>
  <c r="BM141" i="26"/>
  <c r="BL141" i="26"/>
  <c r="BK141" i="26"/>
  <c r="BJ141" i="26"/>
  <c r="BI141" i="26"/>
  <c r="BH141" i="26"/>
  <c r="BG141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E141" i="26"/>
  <c r="M141" i="26"/>
  <c r="L141" i="26"/>
  <c r="BP140" i="26"/>
  <c r="BO140" i="26"/>
  <c r="BN140" i="26"/>
  <c r="BM140" i="26"/>
  <c r="BL140" i="26"/>
  <c r="BK140" i="26"/>
  <c r="BJ140" i="26"/>
  <c r="BI140" i="26"/>
  <c r="BH140" i="26"/>
  <c r="BG140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E140" i="26"/>
  <c r="M140" i="26"/>
  <c r="L140" i="26"/>
  <c r="BP139" i="26"/>
  <c r="BO139" i="26"/>
  <c r="BN139" i="26"/>
  <c r="BM139" i="26"/>
  <c r="BL139" i="26"/>
  <c r="BK139" i="26"/>
  <c r="BJ139" i="26"/>
  <c r="BI139" i="26"/>
  <c r="BH139" i="26"/>
  <c r="BG139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E139" i="26"/>
  <c r="M139" i="26"/>
  <c r="L139" i="26"/>
  <c r="AE138" i="26"/>
  <c r="M138" i="26"/>
  <c r="L138" i="26"/>
  <c r="AE137" i="26"/>
  <c r="M137" i="26"/>
  <c r="L137" i="26"/>
  <c r="BP136" i="26"/>
  <c r="BO136" i="26"/>
  <c r="BN136" i="26"/>
  <c r="BM136" i="26"/>
  <c r="BL136" i="26"/>
  <c r="BK136" i="26"/>
  <c r="BJ136" i="26"/>
  <c r="BI136" i="26"/>
  <c r="BH136" i="26"/>
  <c r="BG136" i="26"/>
  <c r="BF136" i="26"/>
  <c r="BE136" i="26"/>
  <c r="BD136" i="26"/>
  <c r="BC136" i="26"/>
  <c r="BB136" i="26"/>
  <c r="BA136" i="26"/>
  <c r="AZ136" i="26"/>
  <c r="AY136" i="26"/>
  <c r="AX136" i="26"/>
  <c r="AW136" i="26"/>
  <c r="AV136" i="26"/>
  <c r="AU136" i="26"/>
  <c r="AT136" i="26"/>
  <c r="AS136" i="26"/>
  <c r="AR136" i="26"/>
  <c r="AQ136" i="26"/>
  <c r="AP136" i="26"/>
  <c r="AO136" i="26"/>
  <c r="AN136" i="26"/>
  <c r="AE136" i="26"/>
  <c r="M136" i="26"/>
  <c r="L136" i="26"/>
  <c r="BP135" i="26"/>
  <c r="BO135" i="26"/>
  <c r="BN135" i="26"/>
  <c r="BM135" i="26"/>
  <c r="BL135" i="26"/>
  <c r="BK135" i="26"/>
  <c r="BJ135" i="26"/>
  <c r="BI135" i="26"/>
  <c r="BH135" i="26"/>
  <c r="BG135" i="26"/>
  <c r="BF135" i="26"/>
  <c r="BE135" i="26"/>
  <c r="BD135" i="26"/>
  <c r="BC135" i="26"/>
  <c r="BB135" i="26"/>
  <c r="BA135" i="26"/>
  <c r="AZ135" i="26"/>
  <c r="AY135" i="26"/>
  <c r="AX135" i="26"/>
  <c r="AW135" i="26"/>
  <c r="AV135" i="26"/>
  <c r="AU135" i="26"/>
  <c r="AT135" i="26"/>
  <c r="AS135" i="26"/>
  <c r="AR135" i="26"/>
  <c r="AQ135" i="26"/>
  <c r="AP135" i="26"/>
  <c r="AO135" i="26"/>
  <c r="AN135" i="26"/>
  <c r="AE135" i="26"/>
  <c r="M135" i="26"/>
  <c r="L135" i="26"/>
  <c r="AE134" i="26"/>
  <c r="M134" i="26"/>
  <c r="L134" i="26"/>
  <c r="AE133" i="26"/>
  <c r="M133" i="26"/>
  <c r="L133" i="26"/>
  <c r="AE132" i="26"/>
  <c r="M132" i="26"/>
  <c r="L132" i="26"/>
  <c r="AE131" i="26"/>
  <c r="M131" i="26"/>
  <c r="L131" i="26"/>
  <c r="AE130" i="26"/>
  <c r="M130" i="26"/>
  <c r="L130" i="26"/>
  <c r="AE129" i="26"/>
  <c r="M129" i="26"/>
  <c r="L129" i="26"/>
  <c r="AE128" i="26"/>
  <c r="M128" i="26"/>
  <c r="L128" i="26"/>
  <c r="AE127" i="26"/>
  <c r="M127" i="26"/>
  <c r="L127" i="26"/>
  <c r="BP126" i="26"/>
  <c r="BO126" i="26"/>
  <c r="BN126" i="26"/>
  <c r="BM126" i="26"/>
  <c r="BL126" i="26"/>
  <c r="BK126" i="26"/>
  <c r="BJ126" i="26"/>
  <c r="BI126" i="26"/>
  <c r="BH126" i="26"/>
  <c r="BG126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E126" i="26"/>
  <c r="M126" i="26"/>
  <c r="L126" i="26"/>
  <c r="BP125" i="26"/>
  <c r="BO125" i="26"/>
  <c r="BN125" i="26"/>
  <c r="BM125" i="26"/>
  <c r="BL125" i="26"/>
  <c r="BK125" i="26"/>
  <c r="BJ125" i="26"/>
  <c r="BI125" i="26"/>
  <c r="BH125" i="26"/>
  <c r="BG125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T125" i="26"/>
  <c r="AS125" i="26"/>
  <c r="AR125" i="26"/>
  <c r="AQ125" i="26"/>
  <c r="AP125" i="26"/>
  <c r="AO125" i="26"/>
  <c r="AN125" i="26"/>
  <c r="AE125" i="26"/>
  <c r="M125" i="26"/>
  <c r="L125" i="26"/>
  <c r="BP124" i="26"/>
  <c r="BO124" i="26"/>
  <c r="BN124" i="26"/>
  <c r="BM124" i="26"/>
  <c r="BL124" i="26"/>
  <c r="BK124" i="26"/>
  <c r="BJ124" i="26"/>
  <c r="BI124" i="26"/>
  <c r="BH124" i="26"/>
  <c r="BG124" i="26"/>
  <c r="BF124" i="26"/>
  <c r="BE124" i="26"/>
  <c r="BD124" i="26"/>
  <c r="BC124" i="26"/>
  <c r="BB124" i="26"/>
  <c r="BA124" i="26"/>
  <c r="AZ124" i="26"/>
  <c r="AY124" i="26"/>
  <c r="AX124" i="26"/>
  <c r="AW124" i="26"/>
  <c r="AV124" i="26"/>
  <c r="AU124" i="26"/>
  <c r="AT124" i="26"/>
  <c r="AS124" i="26"/>
  <c r="AR124" i="26"/>
  <c r="AQ124" i="26"/>
  <c r="AP124" i="26"/>
  <c r="AO124" i="26"/>
  <c r="AN124" i="26"/>
  <c r="AE124" i="26"/>
  <c r="M124" i="26"/>
  <c r="L124" i="26"/>
  <c r="BP123" i="26"/>
  <c r="BO123" i="26"/>
  <c r="BN123" i="26"/>
  <c r="BM123" i="26"/>
  <c r="BL123" i="26"/>
  <c r="BK123" i="26"/>
  <c r="BJ123" i="26"/>
  <c r="BI123" i="26"/>
  <c r="BH123" i="26"/>
  <c r="BG123" i="26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T123" i="26"/>
  <c r="AS123" i="26"/>
  <c r="AR123" i="26"/>
  <c r="AQ123" i="26"/>
  <c r="AP123" i="26"/>
  <c r="AO123" i="26"/>
  <c r="AN123" i="26"/>
  <c r="AE123" i="26"/>
  <c r="M123" i="26"/>
  <c r="L123" i="26"/>
  <c r="BP122" i="26"/>
  <c r="BO122" i="26"/>
  <c r="BN122" i="26"/>
  <c r="BM122" i="26"/>
  <c r="BL122" i="26"/>
  <c r="BK122" i="26"/>
  <c r="BJ122" i="26"/>
  <c r="BI122" i="26"/>
  <c r="BH122" i="26"/>
  <c r="BG122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E122" i="26"/>
  <c r="M122" i="26"/>
  <c r="L122" i="26"/>
  <c r="BP121" i="26"/>
  <c r="BO121" i="26"/>
  <c r="BN121" i="26"/>
  <c r="BM121" i="26"/>
  <c r="BL121" i="26"/>
  <c r="BK121" i="26"/>
  <c r="BJ121" i="26"/>
  <c r="BI121" i="26"/>
  <c r="BH121" i="26"/>
  <c r="BG121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E121" i="26"/>
  <c r="M121" i="26"/>
  <c r="L121" i="26"/>
  <c r="AE108" i="26"/>
  <c r="M108" i="26"/>
  <c r="L108" i="26"/>
  <c r="AE107" i="26"/>
  <c r="M107" i="26"/>
  <c r="L107" i="26"/>
  <c r="BP106" i="26"/>
  <c r="BO106" i="26"/>
  <c r="BN106" i="26"/>
  <c r="BM106" i="26"/>
  <c r="BL106" i="26"/>
  <c r="BK106" i="26"/>
  <c r="BJ106" i="26"/>
  <c r="BI106" i="26"/>
  <c r="BH106" i="26"/>
  <c r="BG106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E106" i="26"/>
  <c r="M106" i="26"/>
  <c r="L106" i="26"/>
  <c r="BP105" i="26"/>
  <c r="BO105" i="26"/>
  <c r="BN105" i="26"/>
  <c r="BM105" i="26"/>
  <c r="BL105" i="26"/>
  <c r="BK105" i="26"/>
  <c r="BJ105" i="26"/>
  <c r="BI105" i="26"/>
  <c r="BH105" i="26"/>
  <c r="BG105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E105" i="26"/>
  <c r="M105" i="26"/>
  <c r="L105" i="26"/>
  <c r="BP104" i="26"/>
  <c r="BO104" i="26"/>
  <c r="BN104" i="26"/>
  <c r="BM104" i="26"/>
  <c r="BL104" i="26"/>
  <c r="BK104" i="26"/>
  <c r="BJ104" i="26"/>
  <c r="BI104" i="26"/>
  <c r="BH104" i="26"/>
  <c r="BG104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E104" i="26"/>
  <c r="M104" i="26"/>
  <c r="L104" i="26"/>
  <c r="AE103" i="26"/>
  <c r="M103" i="26"/>
  <c r="L103" i="26"/>
  <c r="AE102" i="26"/>
  <c r="M102" i="26"/>
  <c r="L102" i="26"/>
  <c r="AE101" i="26"/>
  <c r="M101" i="26"/>
  <c r="L101" i="26"/>
  <c r="AE100" i="26"/>
  <c r="M100" i="26"/>
  <c r="L100" i="26"/>
  <c r="AE99" i="26"/>
  <c r="M99" i="26"/>
  <c r="L99" i="26"/>
  <c r="AE98" i="26"/>
  <c r="M98" i="26"/>
  <c r="L98" i="26"/>
  <c r="AE93" i="26"/>
  <c r="M93" i="26"/>
  <c r="L93" i="26"/>
  <c r="AE92" i="26"/>
  <c r="M92" i="26"/>
  <c r="L92" i="26"/>
  <c r="AE91" i="26"/>
  <c r="M91" i="26"/>
  <c r="L91" i="26"/>
  <c r="AE90" i="26"/>
  <c r="M90" i="26"/>
  <c r="L90" i="26"/>
  <c r="AE86" i="26"/>
  <c r="M86" i="26"/>
  <c r="L86" i="26"/>
  <c r="AE85" i="26"/>
  <c r="M85" i="26"/>
  <c r="L85" i="26"/>
  <c r="AE84" i="26"/>
  <c r="M84" i="26"/>
  <c r="L84" i="26"/>
  <c r="AE83" i="26"/>
  <c r="M83" i="26"/>
  <c r="L83" i="26"/>
  <c r="AE82" i="26"/>
  <c r="M82" i="26"/>
  <c r="L82" i="26"/>
  <c r="AE81" i="26"/>
  <c r="M81" i="26"/>
  <c r="L81" i="26"/>
  <c r="AE76" i="26"/>
  <c r="M76" i="26"/>
  <c r="L76" i="26"/>
  <c r="BP75" i="26"/>
  <c r="BO75" i="26"/>
  <c r="BN75" i="26"/>
  <c r="BM75" i="26"/>
  <c r="BL75" i="26"/>
  <c r="BK75" i="26"/>
  <c r="BJ75" i="26"/>
  <c r="BI75" i="26"/>
  <c r="BH75" i="26"/>
  <c r="BG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E75" i="26"/>
  <c r="M75" i="26"/>
  <c r="L75" i="26"/>
  <c r="BP74" i="26"/>
  <c r="BO74" i="26"/>
  <c r="BN74" i="26"/>
  <c r="BM74" i="26"/>
  <c r="BL74" i="26"/>
  <c r="BK74" i="26"/>
  <c r="BJ74" i="26"/>
  <c r="BI74" i="26"/>
  <c r="BH74" i="26"/>
  <c r="BG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E74" i="26"/>
  <c r="M74" i="26"/>
  <c r="L74" i="26"/>
  <c r="BP73" i="26"/>
  <c r="BO73" i="26"/>
  <c r="BN73" i="26"/>
  <c r="BM73" i="26"/>
  <c r="BL73" i="26"/>
  <c r="BK73" i="26"/>
  <c r="BJ73" i="26"/>
  <c r="BI73" i="26"/>
  <c r="BH73" i="26"/>
  <c r="BG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E73" i="26"/>
  <c r="M73" i="26"/>
  <c r="L73" i="26"/>
  <c r="BP72" i="26"/>
  <c r="BO72" i="26"/>
  <c r="BN72" i="26"/>
  <c r="BM72" i="26"/>
  <c r="BL72" i="26"/>
  <c r="BK72" i="26"/>
  <c r="BJ72" i="26"/>
  <c r="BI72" i="26"/>
  <c r="BH72" i="26"/>
  <c r="BG72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E72" i="26"/>
  <c r="M72" i="26"/>
  <c r="L72" i="26"/>
  <c r="AE71" i="26"/>
  <c r="M71" i="26"/>
  <c r="L71" i="26"/>
  <c r="AE70" i="26"/>
  <c r="M70" i="26"/>
  <c r="L70" i="26"/>
  <c r="AE69" i="26"/>
  <c r="M69" i="26"/>
  <c r="L69" i="26"/>
  <c r="AE68" i="26"/>
  <c r="M68" i="26"/>
  <c r="L68" i="26"/>
  <c r="AE67" i="26"/>
  <c r="M67" i="26"/>
  <c r="L67" i="26"/>
  <c r="AE66" i="26"/>
  <c r="M66" i="26"/>
  <c r="L66" i="26"/>
  <c r="AE65" i="26"/>
  <c r="M65" i="26"/>
  <c r="L65" i="26"/>
  <c r="AE64" i="26"/>
  <c r="M64" i="26"/>
  <c r="L64" i="26"/>
  <c r="AE63" i="26"/>
  <c r="M63" i="26"/>
  <c r="L63" i="26"/>
  <c r="AE62" i="26"/>
  <c r="M62" i="26"/>
  <c r="L62" i="26"/>
  <c r="BP61" i="26"/>
  <c r="BO61" i="26"/>
  <c r="BN61" i="26"/>
  <c r="BM61" i="26"/>
  <c r="BL61" i="26"/>
  <c r="BK61" i="26"/>
  <c r="BJ61" i="26"/>
  <c r="BI61" i="26"/>
  <c r="BH61" i="26"/>
  <c r="BG61" i="26"/>
  <c r="BF61" i="26"/>
  <c r="BE61" i="26"/>
  <c r="BD61" i="26"/>
  <c r="BC61" i="26"/>
  <c r="BB61" i="26"/>
  <c r="BA61" i="26"/>
  <c r="AZ61" i="26"/>
  <c r="AY61" i="26"/>
  <c r="AX61" i="26"/>
  <c r="AW61" i="26"/>
  <c r="AV61" i="26"/>
  <c r="AU61" i="26"/>
  <c r="AT61" i="26"/>
  <c r="AS61" i="26"/>
  <c r="AR61" i="26"/>
  <c r="AQ61" i="26"/>
  <c r="AP61" i="26"/>
  <c r="AO61" i="26"/>
  <c r="AN61" i="26"/>
  <c r="AE61" i="26"/>
  <c r="M61" i="26"/>
  <c r="L61" i="26"/>
  <c r="BP60" i="26"/>
  <c r="BO60" i="26"/>
  <c r="BN60" i="26"/>
  <c r="BM60" i="26"/>
  <c r="BL60" i="26"/>
  <c r="BK60" i="26"/>
  <c r="BJ60" i="26"/>
  <c r="BI60" i="26"/>
  <c r="BH60" i="26"/>
  <c r="BG60" i="26"/>
  <c r="BF60" i="26"/>
  <c r="BE60" i="26"/>
  <c r="BD60" i="26"/>
  <c r="BC60" i="26"/>
  <c r="BB60" i="26"/>
  <c r="BA60" i="26"/>
  <c r="AZ60" i="26"/>
  <c r="AY60" i="26"/>
  <c r="AX60" i="26"/>
  <c r="AW60" i="26"/>
  <c r="AV60" i="26"/>
  <c r="AU60" i="26"/>
  <c r="AT60" i="26"/>
  <c r="AS60" i="26"/>
  <c r="AR60" i="26"/>
  <c r="AQ60" i="26"/>
  <c r="AP60" i="26"/>
  <c r="AO60" i="26"/>
  <c r="AN60" i="26"/>
  <c r="AE60" i="26"/>
  <c r="M60" i="26"/>
  <c r="L60" i="26"/>
  <c r="BP59" i="26"/>
  <c r="BO59" i="26"/>
  <c r="BN59" i="26"/>
  <c r="BM59" i="26"/>
  <c r="BL59" i="26"/>
  <c r="BK59" i="26"/>
  <c r="BJ59" i="26"/>
  <c r="BI59" i="26"/>
  <c r="BH59" i="26"/>
  <c r="BG59" i="26"/>
  <c r="BF59" i="26"/>
  <c r="BE59" i="26"/>
  <c r="BD59" i="26"/>
  <c r="BC59" i="26"/>
  <c r="BB59" i="26"/>
  <c r="BA59" i="26"/>
  <c r="AZ59" i="26"/>
  <c r="AY59" i="26"/>
  <c r="AX59" i="26"/>
  <c r="AW59" i="26"/>
  <c r="AV59" i="26"/>
  <c r="AU59" i="26"/>
  <c r="AT59" i="26"/>
  <c r="AS59" i="26"/>
  <c r="AR59" i="26"/>
  <c r="AQ59" i="26"/>
  <c r="AP59" i="26"/>
  <c r="AO59" i="26"/>
  <c r="AN59" i="26"/>
  <c r="AE59" i="26"/>
  <c r="M59" i="26"/>
  <c r="L59" i="26"/>
  <c r="AE58" i="26"/>
  <c r="M58" i="26"/>
  <c r="L58" i="26"/>
  <c r="AE57" i="26"/>
  <c r="M57" i="26"/>
  <c r="L57" i="26"/>
  <c r="BP56" i="26"/>
  <c r="BO56" i="26"/>
  <c r="BN56" i="26"/>
  <c r="BM56" i="26"/>
  <c r="BL56" i="26"/>
  <c r="BK56" i="26"/>
  <c r="BJ56" i="26"/>
  <c r="BI56" i="26"/>
  <c r="BH56" i="26"/>
  <c r="BG56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E56" i="26"/>
  <c r="M56" i="26"/>
  <c r="L56" i="26"/>
  <c r="BP55" i="26"/>
  <c r="BO55" i="26"/>
  <c r="BN55" i="26"/>
  <c r="BM55" i="26"/>
  <c r="BL55" i="26"/>
  <c r="BK55" i="26"/>
  <c r="BJ55" i="26"/>
  <c r="BI55" i="26"/>
  <c r="BH55" i="26"/>
  <c r="BG55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E55" i="26"/>
  <c r="M55" i="26"/>
  <c r="L55" i="26"/>
  <c r="BP54" i="26"/>
  <c r="BO54" i="26"/>
  <c r="BN54" i="26"/>
  <c r="BM54" i="26"/>
  <c r="BL54" i="26"/>
  <c r="BK54" i="26"/>
  <c r="BJ54" i="26"/>
  <c r="BI54" i="26"/>
  <c r="BH54" i="26"/>
  <c r="BG54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E54" i="26"/>
  <c r="M54" i="26"/>
  <c r="L54" i="26"/>
  <c r="BP53" i="26"/>
  <c r="BO53" i="26"/>
  <c r="BN53" i="26"/>
  <c r="BM53" i="26"/>
  <c r="BL53" i="26"/>
  <c r="BK53" i="26"/>
  <c r="BJ53" i="26"/>
  <c r="BI53" i="26"/>
  <c r="BH53" i="26"/>
  <c r="BG53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E53" i="26"/>
  <c r="M53" i="26"/>
  <c r="L53" i="26"/>
  <c r="BP52" i="26"/>
  <c r="BO52" i="26"/>
  <c r="BN52" i="26"/>
  <c r="BM52" i="26"/>
  <c r="BL52" i="26"/>
  <c r="BK52" i="26"/>
  <c r="BJ52" i="26"/>
  <c r="BI52" i="26"/>
  <c r="BH52" i="26"/>
  <c r="BG52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E52" i="26"/>
  <c r="M52" i="26"/>
  <c r="L52" i="26"/>
  <c r="BP51" i="26"/>
  <c r="BO51" i="26"/>
  <c r="BN51" i="26"/>
  <c r="BM51" i="26"/>
  <c r="BL51" i="26"/>
  <c r="BK51" i="26"/>
  <c r="BJ51" i="26"/>
  <c r="BI51" i="26"/>
  <c r="BH51" i="26"/>
  <c r="BG51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E51" i="26"/>
  <c r="M51" i="26"/>
  <c r="L51" i="26"/>
  <c r="BP50" i="26"/>
  <c r="BO50" i="26"/>
  <c r="BN50" i="26"/>
  <c r="BM50" i="26"/>
  <c r="BL50" i="26"/>
  <c r="BK50" i="26"/>
  <c r="BJ50" i="26"/>
  <c r="BI50" i="26"/>
  <c r="BH50" i="26"/>
  <c r="BG50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E50" i="26"/>
  <c r="M50" i="26"/>
  <c r="L50" i="26"/>
  <c r="BP49" i="26"/>
  <c r="BO49" i="26"/>
  <c r="BN49" i="26"/>
  <c r="BM49" i="26"/>
  <c r="BL49" i="26"/>
  <c r="BK49" i="26"/>
  <c r="BJ49" i="26"/>
  <c r="BI49" i="26"/>
  <c r="BH49" i="26"/>
  <c r="BG49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E49" i="26"/>
  <c r="M49" i="26"/>
  <c r="L49" i="26"/>
  <c r="BP48" i="26"/>
  <c r="BO48" i="26"/>
  <c r="BN48" i="26"/>
  <c r="BM48" i="26"/>
  <c r="BL48" i="26"/>
  <c r="BK48" i="26"/>
  <c r="BJ48" i="26"/>
  <c r="BI48" i="26"/>
  <c r="BH48" i="26"/>
  <c r="BG48" i="26"/>
  <c r="BF48" i="26"/>
  <c r="BE48" i="26"/>
  <c r="BD48" i="26"/>
  <c r="BC48" i="26"/>
  <c r="BB48" i="26"/>
  <c r="BA48" i="26"/>
  <c r="AZ48" i="26"/>
  <c r="AY48" i="26"/>
  <c r="AX48" i="26"/>
  <c r="AW48" i="26"/>
  <c r="AV48" i="26"/>
  <c r="AU48" i="26"/>
  <c r="AT48" i="26"/>
  <c r="AS48" i="26"/>
  <c r="AR48" i="26"/>
  <c r="AQ48" i="26"/>
  <c r="AP48" i="26"/>
  <c r="AO48" i="26"/>
  <c r="AN48" i="26"/>
  <c r="AE48" i="26"/>
  <c r="M48" i="26"/>
  <c r="L48" i="26"/>
  <c r="BP47" i="26"/>
  <c r="BO47" i="26"/>
  <c r="BN47" i="26"/>
  <c r="BM47" i="26"/>
  <c r="BL47" i="26"/>
  <c r="BK47" i="26"/>
  <c r="BJ47" i="26"/>
  <c r="BI47" i="26"/>
  <c r="BH47" i="26"/>
  <c r="BG47" i="26"/>
  <c r="BF47" i="26"/>
  <c r="BE47" i="26"/>
  <c r="BD47" i="26"/>
  <c r="BC47" i="26"/>
  <c r="BB47" i="26"/>
  <c r="BA47" i="26"/>
  <c r="AZ47" i="26"/>
  <c r="AY47" i="26"/>
  <c r="AX47" i="26"/>
  <c r="AW47" i="26"/>
  <c r="AV47" i="26"/>
  <c r="AU47" i="26"/>
  <c r="AT47" i="26"/>
  <c r="AS47" i="26"/>
  <c r="AR47" i="26"/>
  <c r="AQ47" i="26"/>
  <c r="AP47" i="26"/>
  <c r="AO47" i="26"/>
  <c r="AN47" i="26"/>
  <c r="AE47" i="26"/>
  <c r="M47" i="26"/>
  <c r="L47" i="26"/>
  <c r="BP46" i="26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E46" i="26"/>
  <c r="M46" i="26"/>
  <c r="L46" i="26"/>
  <c r="BP45" i="26"/>
  <c r="BO45" i="26"/>
  <c r="BN45" i="26"/>
  <c r="BM45" i="26"/>
  <c r="BL45" i="26"/>
  <c r="BK45" i="26"/>
  <c r="BJ45" i="26"/>
  <c r="BI45" i="26"/>
  <c r="BH45" i="26"/>
  <c r="BG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E45" i="26"/>
  <c r="M45" i="26"/>
  <c r="L45" i="26"/>
  <c r="BP44" i="26"/>
  <c r="BO44" i="26"/>
  <c r="BN44" i="26"/>
  <c r="BM44" i="26"/>
  <c r="BL44" i="26"/>
  <c r="BK44" i="26"/>
  <c r="BJ44" i="26"/>
  <c r="BI44" i="26"/>
  <c r="BH44" i="26"/>
  <c r="BG44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E44" i="26"/>
  <c r="M44" i="26"/>
  <c r="L44" i="26"/>
  <c r="BP43" i="26"/>
  <c r="BO43" i="26"/>
  <c r="BN43" i="26"/>
  <c r="BM43" i="26"/>
  <c r="BL43" i="26"/>
  <c r="BK43" i="26"/>
  <c r="BJ43" i="26"/>
  <c r="BI43" i="26"/>
  <c r="BH43" i="26"/>
  <c r="BG43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E43" i="26"/>
  <c r="M43" i="26"/>
  <c r="L43" i="26"/>
  <c r="BP42" i="26"/>
  <c r="BO42" i="26"/>
  <c r="BN42" i="26"/>
  <c r="BM42" i="26"/>
  <c r="BL42" i="26"/>
  <c r="BK42" i="26"/>
  <c r="BJ42" i="26"/>
  <c r="BI42" i="26"/>
  <c r="BH42" i="26"/>
  <c r="BG42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E42" i="26"/>
  <c r="M42" i="26"/>
  <c r="L42" i="26"/>
  <c r="BP41" i="26"/>
  <c r="BO41" i="26"/>
  <c r="BN41" i="26"/>
  <c r="BM41" i="26"/>
  <c r="BL41" i="26"/>
  <c r="BK41" i="26"/>
  <c r="BJ41" i="26"/>
  <c r="BI41" i="26"/>
  <c r="BH41" i="26"/>
  <c r="BG41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E41" i="26"/>
  <c r="M41" i="26"/>
  <c r="L41" i="26"/>
  <c r="BP40" i="26"/>
  <c r="BO40" i="26"/>
  <c r="BN40" i="26"/>
  <c r="BM40" i="26"/>
  <c r="BL40" i="26"/>
  <c r="BK40" i="26"/>
  <c r="BJ40" i="26"/>
  <c r="BI40" i="26"/>
  <c r="BH40" i="26"/>
  <c r="BG40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E40" i="26"/>
  <c r="M40" i="26"/>
  <c r="L40" i="26"/>
  <c r="BP39" i="26"/>
  <c r="BO39" i="26"/>
  <c r="BN39" i="26"/>
  <c r="BM39" i="26"/>
  <c r="BL39" i="26"/>
  <c r="BK39" i="26"/>
  <c r="BJ39" i="26"/>
  <c r="BI39" i="26"/>
  <c r="BH39" i="26"/>
  <c r="BG39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E39" i="26"/>
  <c r="M39" i="26"/>
  <c r="L39" i="26"/>
  <c r="BP38" i="26"/>
  <c r="BO38" i="26"/>
  <c r="BN38" i="26"/>
  <c r="BM38" i="26"/>
  <c r="BL38" i="26"/>
  <c r="BK38" i="26"/>
  <c r="BJ38" i="26"/>
  <c r="BI38" i="26"/>
  <c r="BH38" i="26"/>
  <c r="BG38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E38" i="26"/>
  <c r="M38" i="26"/>
  <c r="L38" i="26"/>
  <c r="BP37" i="26"/>
  <c r="BO37" i="26"/>
  <c r="BN37" i="26"/>
  <c r="BM37" i="26"/>
  <c r="BL37" i="26"/>
  <c r="BK37" i="26"/>
  <c r="BJ37" i="26"/>
  <c r="BI37" i="26"/>
  <c r="BH37" i="26"/>
  <c r="BG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AT37" i="26"/>
  <c r="AS37" i="26"/>
  <c r="AR37" i="26"/>
  <c r="AQ37" i="26"/>
  <c r="AP37" i="26"/>
  <c r="AO37" i="26"/>
  <c r="AN37" i="26"/>
  <c r="AE37" i="26"/>
  <c r="M37" i="26"/>
  <c r="L37" i="26"/>
  <c r="BP36" i="26"/>
  <c r="BO36" i="26"/>
  <c r="BN36" i="26"/>
  <c r="BM36" i="26"/>
  <c r="BL36" i="26"/>
  <c r="BK36" i="26"/>
  <c r="BJ36" i="26"/>
  <c r="BI36" i="26"/>
  <c r="BH36" i="26"/>
  <c r="BG36" i="26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T36" i="26"/>
  <c r="AS36" i="26"/>
  <c r="AR36" i="26"/>
  <c r="AQ36" i="26"/>
  <c r="AP36" i="26"/>
  <c r="AO36" i="26"/>
  <c r="AN36" i="26"/>
  <c r="AE36" i="26"/>
  <c r="M36" i="26"/>
  <c r="L36" i="26"/>
  <c r="BP35" i="26"/>
  <c r="BO35" i="26"/>
  <c r="BN35" i="26"/>
  <c r="BM35" i="26"/>
  <c r="BL35" i="26"/>
  <c r="BK35" i="26"/>
  <c r="BJ35" i="26"/>
  <c r="BI35" i="26"/>
  <c r="BH35" i="26"/>
  <c r="BG35" i="26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T35" i="26"/>
  <c r="AS35" i="26"/>
  <c r="AR35" i="26"/>
  <c r="AQ35" i="26"/>
  <c r="AP35" i="26"/>
  <c r="AO35" i="26"/>
  <c r="AN35" i="26"/>
  <c r="AE35" i="26"/>
  <c r="M35" i="26"/>
  <c r="L35" i="26"/>
  <c r="BP34" i="26"/>
  <c r="BO34" i="26"/>
  <c r="BN34" i="26"/>
  <c r="BM34" i="26"/>
  <c r="BL34" i="26"/>
  <c r="BK34" i="26"/>
  <c r="BJ34" i="26"/>
  <c r="BI34" i="26"/>
  <c r="BH34" i="26"/>
  <c r="BG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E34" i="26"/>
  <c r="M34" i="26"/>
  <c r="L34" i="26"/>
  <c r="BP33" i="26"/>
  <c r="BO33" i="26"/>
  <c r="BN33" i="26"/>
  <c r="BM33" i="26"/>
  <c r="BL33" i="26"/>
  <c r="BK33" i="26"/>
  <c r="BJ33" i="26"/>
  <c r="BI33" i="26"/>
  <c r="BH33" i="26"/>
  <c r="BG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E33" i="26"/>
  <c r="M33" i="26"/>
  <c r="L33" i="26"/>
  <c r="BP32" i="26"/>
  <c r="BO32" i="26"/>
  <c r="BN32" i="26"/>
  <c r="BM32" i="26"/>
  <c r="BL32" i="26"/>
  <c r="BK32" i="26"/>
  <c r="BJ32" i="26"/>
  <c r="BI32" i="26"/>
  <c r="BH32" i="26"/>
  <c r="BG32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E32" i="26"/>
  <c r="M32" i="26"/>
  <c r="L32" i="26"/>
  <c r="BP31" i="26"/>
  <c r="BO31" i="26"/>
  <c r="BN31" i="26"/>
  <c r="BM31" i="26"/>
  <c r="BL31" i="26"/>
  <c r="BK31" i="26"/>
  <c r="BJ31" i="26"/>
  <c r="BI31" i="26"/>
  <c r="BH31" i="26"/>
  <c r="BG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E31" i="26"/>
  <c r="M31" i="26"/>
  <c r="L31" i="26"/>
  <c r="BP30" i="26"/>
  <c r="BO30" i="26"/>
  <c r="BN30" i="26"/>
  <c r="BM30" i="26"/>
  <c r="BL30" i="26"/>
  <c r="BK30" i="26"/>
  <c r="BJ30" i="26"/>
  <c r="BI30" i="26"/>
  <c r="BH30" i="26"/>
  <c r="BG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E30" i="26"/>
  <c r="M30" i="26"/>
  <c r="L30" i="26"/>
  <c r="BP29" i="26"/>
  <c r="BO29" i="26"/>
  <c r="BN29" i="26"/>
  <c r="BM29" i="26"/>
  <c r="BL29" i="26"/>
  <c r="BK29" i="26"/>
  <c r="BJ29" i="26"/>
  <c r="BI29" i="26"/>
  <c r="BH29" i="26"/>
  <c r="BG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E29" i="26"/>
  <c r="M29" i="26"/>
  <c r="L29" i="26"/>
  <c r="BP28" i="26"/>
  <c r="BO28" i="26"/>
  <c r="BN28" i="26"/>
  <c r="BM28" i="26"/>
  <c r="BL28" i="26"/>
  <c r="BK28" i="26"/>
  <c r="BJ28" i="26"/>
  <c r="BI28" i="26"/>
  <c r="BH28" i="26"/>
  <c r="BG28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E28" i="26"/>
  <c r="M28" i="26"/>
  <c r="L28" i="26"/>
  <c r="BP27" i="26"/>
  <c r="BO27" i="26"/>
  <c r="BN27" i="26"/>
  <c r="BM27" i="26"/>
  <c r="BL27" i="26"/>
  <c r="BK27" i="26"/>
  <c r="BJ27" i="26"/>
  <c r="BI27" i="26"/>
  <c r="BH27" i="26"/>
  <c r="BG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E27" i="26"/>
  <c r="M27" i="26"/>
  <c r="L27" i="26"/>
  <c r="BP26" i="26"/>
  <c r="BO26" i="26"/>
  <c r="BN26" i="26"/>
  <c r="BM26" i="26"/>
  <c r="BL26" i="26"/>
  <c r="BK26" i="26"/>
  <c r="BJ26" i="26"/>
  <c r="BI26" i="26"/>
  <c r="BH26" i="26"/>
  <c r="BG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T26" i="26"/>
  <c r="AS26" i="26"/>
  <c r="AR26" i="26"/>
  <c r="AQ26" i="26"/>
  <c r="AP26" i="26"/>
  <c r="AO26" i="26"/>
  <c r="AN26" i="26"/>
  <c r="AE26" i="26"/>
  <c r="M26" i="26"/>
  <c r="L26" i="26"/>
  <c r="BP25" i="26"/>
  <c r="BO25" i="26"/>
  <c r="BN25" i="26"/>
  <c r="BM25" i="26"/>
  <c r="BL25" i="26"/>
  <c r="BK25" i="26"/>
  <c r="BJ25" i="26"/>
  <c r="BI25" i="26"/>
  <c r="BH25" i="26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AS25" i="26"/>
  <c r="AR25" i="26"/>
  <c r="AQ25" i="26"/>
  <c r="AP25" i="26"/>
  <c r="AO25" i="26"/>
  <c r="AN25" i="26"/>
  <c r="AE25" i="26"/>
  <c r="M25" i="26"/>
  <c r="L25" i="26"/>
  <c r="BP20" i="26"/>
  <c r="BO20" i="26"/>
  <c r="BN20" i="26"/>
  <c r="BM20" i="26"/>
  <c r="BL20" i="26"/>
  <c r="BK20" i="26"/>
  <c r="BJ20" i="26"/>
  <c r="BI20" i="26"/>
  <c r="BH20" i="26"/>
  <c r="BG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E20" i="26"/>
  <c r="M20" i="26"/>
  <c r="L20" i="26"/>
  <c r="BP15" i="26"/>
  <c r="BO15" i="26"/>
  <c r="BN15" i="26"/>
  <c r="BM15" i="26"/>
  <c r="BL15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E15" i="26"/>
  <c r="M15" i="26"/>
  <c r="L15" i="26"/>
  <c r="BP14" i="26"/>
  <c r="BO14" i="26"/>
  <c r="BN14" i="26"/>
  <c r="BM14" i="26"/>
  <c r="BL14" i="26"/>
  <c r="BK14" i="26"/>
  <c r="BJ14" i="26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E14" i="26"/>
  <c r="M14" i="26"/>
  <c r="L14" i="26"/>
  <c r="BP13" i="26"/>
  <c r="BO13" i="26"/>
  <c r="BN13" i="26"/>
  <c r="BM13" i="26"/>
  <c r="BL1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E13" i="26"/>
  <c r="M13" i="26"/>
  <c r="L13" i="26"/>
  <c r="BP12" i="26"/>
  <c r="BO12" i="26"/>
  <c r="BN12" i="26"/>
  <c r="BM12" i="26"/>
  <c r="BL12" i="26"/>
  <c r="BK12" i="26"/>
  <c r="BJ12" i="26"/>
  <c r="BI12" i="26"/>
  <c r="BH12" i="26"/>
  <c r="BG12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E12" i="26"/>
  <c r="M12" i="26"/>
  <c r="L12" i="26"/>
  <c r="BP11" i="26"/>
  <c r="BO11" i="26"/>
  <c r="BM11" i="26"/>
  <c r="BL11" i="26"/>
  <c r="BK11" i="26"/>
  <c r="BJ11" i="26"/>
  <c r="BI11" i="26"/>
  <c r="BH11" i="26"/>
  <c r="BG11" i="26"/>
  <c r="BF11" i="26"/>
  <c r="BE11" i="26"/>
  <c r="BD11" i="26"/>
  <c r="BC11" i="26"/>
  <c r="BB11" i="26"/>
  <c r="BA11" i="26"/>
  <c r="AZ11" i="26"/>
  <c r="AY11" i="26"/>
  <c r="AX11" i="26"/>
  <c r="AW11" i="26"/>
  <c r="AV11" i="26"/>
  <c r="AU11" i="26"/>
  <c r="AT11" i="26"/>
  <c r="AS11" i="26"/>
  <c r="AR11" i="26"/>
  <c r="AQ11" i="26"/>
  <c r="AP11" i="26"/>
  <c r="AO11" i="26"/>
  <c r="AN11" i="26"/>
  <c r="AE11" i="26"/>
  <c r="M11" i="26"/>
  <c r="L11" i="26"/>
  <c r="AN178" i="7"/>
  <c r="AK211" i="7"/>
  <c r="AL211" i="7"/>
  <c r="AM211" i="7"/>
  <c r="AL210" i="7"/>
  <c r="AM210" i="7"/>
  <c r="AK210" i="7"/>
  <c r="L212" i="7"/>
  <c r="M212" i="7"/>
  <c r="L213" i="7"/>
  <c r="M213" i="7"/>
  <c r="AK179" i="7"/>
  <c r="AL179" i="7"/>
  <c r="AM179" i="7"/>
  <c r="AK180" i="7"/>
  <c r="AL180" i="7"/>
  <c r="AM180" i="7"/>
  <c r="AK181" i="7"/>
  <c r="AL181" i="7"/>
  <c r="AM181" i="7"/>
  <c r="AK182" i="7"/>
  <c r="AL182" i="7"/>
  <c r="AM182" i="7"/>
  <c r="AK183" i="7"/>
  <c r="AL183" i="7"/>
  <c r="AM183" i="7"/>
  <c r="AL178" i="7"/>
  <c r="AM178" i="7"/>
  <c r="AK178" i="7"/>
  <c r="BX90" i="28" l="1"/>
  <c r="BX193" i="28"/>
  <c r="BX236" i="28"/>
  <c r="BX192" i="26"/>
  <c r="BX235" i="26"/>
  <c r="BX91" i="28"/>
  <c r="BX92" i="28"/>
  <c r="BX191" i="28"/>
  <c r="BX92" i="26"/>
  <c r="BX192" i="30"/>
  <c r="BX235" i="30"/>
  <c r="BX91" i="26"/>
  <c r="BX90" i="30"/>
  <c r="BX193" i="30"/>
  <c r="BX236" i="30"/>
  <c r="BX90" i="26"/>
  <c r="BX91" i="30"/>
  <c r="BX92" i="30"/>
  <c r="BX191" i="30"/>
  <c r="BX193" i="26"/>
  <c r="BX236" i="26"/>
  <c r="BX191" i="26"/>
  <c r="BX192" i="28"/>
  <c r="BX235" i="28"/>
  <c r="BW144" i="26"/>
  <c r="BV144" i="26"/>
  <c r="BU144" i="26"/>
  <c r="BV67" i="30"/>
  <c r="BW67" i="30"/>
  <c r="BU67" i="30"/>
  <c r="BW26" i="26"/>
  <c r="BU26" i="26"/>
  <c r="BV26" i="26"/>
  <c r="BW50" i="26"/>
  <c r="BU50" i="26"/>
  <c r="BV50" i="26"/>
  <c r="BW62" i="26"/>
  <c r="BV62" i="26"/>
  <c r="BU62" i="26"/>
  <c r="BW74" i="26"/>
  <c r="BU74" i="26"/>
  <c r="BV74" i="26"/>
  <c r="BW124" i="26"/>
  <c r="BU124" i="26"/>
  <c r="BV124" i="26"/>
  <c r="BU136" i="26"/>
  <c r="BW136" i="26"/>
  <c r="BV136" i="26"/>
  <c r="BW148" i="26"/>
  <c r="BV148" i="26"/>
  <c r="BU148" i="26"/>
  <c r="BU183" i="26"/>
  <c r="BV183" i="26"/>
  <c r="BW183" i="26"/>
  <c r="BW32" i="28"/>
  <c r="BV32" i="28"/>
  <c r="BU32" i="28"/>
  <c r="BW44" i="28"/>
  <c r="BV44" i="28"/>
  <c r="BU44" i="28"/>
  <c r="BW68" i="28"/>
  <c r="BU68" i="28"/>
  <c r="BV68" i="28"/>
  <c r="BW84" i="28"/>
  <c r="BV84" i="28"/>
  <c r="BU84" i="28"/>
  <c r="BW130" i="28"/>
  <c r="BV130" i="28"/>
  <c r="BU130" i="28"/>
  <c r="BW142" i="28"/>
  <c r="BV142" i="28"/>
  <c r="BU142" i="28"/>
  <c r="BW199" i="28"/>
  <c r="BV199" i="28"/>
  <c r="BU199" i="28"/>
  <c r="BV219" i="28"/>
  <c r="BU219" i="28"/>
  <c r="BW219" i="28"/>
  <c r="BU15" i="30"/>
  <c r="BV15" i="30"/>
  <c r="BW15" i="30"/>
  <c r="BU35" i="30"/>
  <c r="BV35" i="30"/>
  <c r="BW35" i="30"/>
  <c r="BV47" i="30"/>
  <c r="BW47" i="30"/>
  <c r="BU47" i="30"/>
  <c r="BU59" i="30"/>
  <c r="BV59" i="30"/>
  <c r="BW59" i="30"/>
  <c r="BV71" i="30"/>
  <c r="BW71" i="30"/>
  <c r="BU71" i="30"/>
  <c r="BU93" i="30"/>
  <c r="BV93" i="30"/>
  <c r="BW93" i="30"/>
  <c r="BU121" i="30"/>
  <c r="BV121" i="30"/>
  <c r="BW121" i="30"/>
  <c r="BV133" i="30"/>
  <c r="BW133" i="30"/>
  <c r="BU133" i="30"/>
  <c r="BV145" i="30"/>
  <c r="BW145" i="30"/>
  <c r="BU145" i="30"/>
  <c r="BW180" i="30"/>
  <c r="BV180" i="30"/>
  <c r="BU180" i="30"/>
  <c r="BW202" i="30"/>
  <c r="BV202" i="30"/>
  <c r="BU202" i="30"/>
  <c r="BU234" i="30"/>
  <c r="BV234" i="30"/>
  <c r="BW234" i="30"/>
  <c r="BW29" i="26"/>
  <c r="BU29" i="26"/>
  <c r="BV29" i="26"/>
  <c r="BU41" i="26"/>
  <c r="BW41" i="26"/>
  <c r="BV41" i="26"/>
  <c r="BW53" i="26"/>
  <c r="BU53" i="26"/>
  <c r="BV53" i="26"/>
  <c r="BU65" i="26"/>
  <c r="BW65" i="26"/>
  <c r="BV65" i="26"/>
  <c r="BW81" i="26"/>
  <c r="BU81" i="26"/>
  <c r="BV81" i="26"/>
  <c r="BW103" i="26"/>
  <c r="BV103" i="26"/>
  <c r="BU103" i="26"/>
  <c r="BW127" i="26"/>
  <c r="BU127" i="26"/>
  <c r="BV127" i="26"/>
  <c r="BW139" i="26"/>
  <c r="BU139" i="26"/>
  <c r="BV139" i="26"/>
  <c r="BW151" i="26"/>
  <c r="BV151" i="26"/>
  <c r="BU151" i="26"/>
  <c r="BW196" i="26"/>
  <c r="BV196" i="26"/>
  <c r="BU196" i="26"/>
  <c r="BW210" i="26"/>
  <c r="BV210" i="26"/>
  <c r="BU210" i="26"/>
  <c r="BW15" i="28"/>
  <c r="BV15" i="28"/>
  <c r="BU15" i="28"/>
  <c r="BW35" i="28"/>
  <c r="BU35" i="28"/>
  <c r="BV35" i="28"/>
  <c r="BW47" i="28"/>
  <c r="BV47" i="28"/>
  <c r="BU47" i="28"/>
  <c r="BW59" i="28"/>
  <c r="BV59" i="28"/>
  <c r="BU59" i="28"/>
  <c r="BW71" i="28"/>
  <c r="BV71" i="28"/>
  <c r="BU71" i="28"/>
  <c r="BV93" i="28"/>
  <c r="BW93" i="28"/>
  <c r="BU93" i="28"/>
  <c r="BV121" i="28"/>
  <c r="BW121" i="28"/>
  <c r="BU121" i="28"/>
  <c r="BW133" i="28"/>
  <c r="BV133" i="28"/>
  <c r="BU133" i="28"/>
  <c r="BV145" i="28"/>
  <c r="BU145" i="28"/>
  <c r="BW145" i="28"/>
  <c r="BW180" i="28"/>
  <c r="BV180" i="28"/>
  <c r="BU180" i="28"/>
  <c r="BV202" i="28"/>
  <c r="BU202" i="28"/>
  <c r="BW202" i="28"/>
  <c r="BW234" i="28"/>
  <c r="BV234" i="28"/>
  <c r="BU234" i="28"/>
  <c r="BW26" i="30"/>
  <c r="BV26" i="30"/>
  <c r="BU26" i="30"/>
  <c r="BU38" i="30"/>
  <c r="BV38" i="30"/>
  <c r="BW38" i="30"/>
  <c r="BU50" i="30"/>
  <c r="BW50" i="30"/>
  <c r="BV50" i="30"/>
  <c r="BV62" i="30"/>
  <c r="BW62" i="30"/>
  <c r="BU62" i="30"/>
  <c r="BU74" i="30"/>
  <c r="BV74" i="30"/>
  <c r="BW74" i="30"/>
  <c r="BU100" i="30"/>
  <c r="BV100" i="30"/>
  <c r="BW100" i="30"/>
  <c r="BU124" i="30"/>
  <c r="BV124" i="30"/>
  <c r="BW124" i="30"/>
  <c r="BV136" i="30"/>
  <c r="BW136" i="30"/>
  <c r="BU136" i="30"/>
  <c r="BV148" i="30"/>
  <c r="BW148" i="30"/>
  <c r="BU148" i="30"/>
  <c r="BW183" i="30"/>
  <c r="BU183" i="30"/>
  <c r="BV183" i="30"/>
  <c r="BW205" i="30"/>
  <c r="BV205" i="30"/>
  <c r="BU205" i="30"/>
  <c r="BV180" i="7"/>
  <c r="BU180" i="7"/>
  <c r="BW180" i="7"/>
  <c r="BU34" i="26"/>
  <c r="BW34" i="26"/>
  <c r="BV34" i="26"/>
  <c r="BU86" i="26"/>
  <c r="BV86" i="26"/>
  <c r="BW86" i="26"/>
  <c r="BW132" i="26"/>
  <c r="BV132" i="26"/>
  <c r="BU132" i="26"/>
  <c r="BW201" i="26"/>
  <c r="BV201" i="26"/>
  <c r="BU201" i="26"/>
  <c r="BV28" i="28"/>
  <c r="BW28" i="28"/>
  <c r="BU28" i="28"/>
  <c r="BV64" i="28"/>
  <c r="BU64" i="28"/>
  <c r="BW64" i="28"/>
  <c r="BV102" i="28"/>
  <c r="BU102" i="28"/>
  <c r="BW102" i="28"/>
  <c r="BV138" i="28"/>
  <c r="BW138" i="28"/>
  <c r="BU138" i="28"/>
  <c r="BU195" i="28"/>
  <c r="BW195" i="28"/>
  <c r="BV195" i="28"/>
  <c r="BV55" i="30"/>
  <c r="BW55" i="30"/>
  <c r="BU55" i="30"/>
  <c r="BV105" i="30"/>
  <c r="BW105" i="30"/>
  <c r="BU105" i="30"/>
  <c r="BW141" i="30"/>
  <c r="BU141" i="30"/>
  <c r="BV141" i="30"/>
  <c r="BU214" i="30"/>
  <c r="BV214" i="30"/>
  <c r="BW214" i="30"/>
  <c r="BW30" i="26"/>
  <c r="BV30" i="26"/>
  <c r="BU30" i="26"/>
  <c r="BW82" i="26"/>
  <c r="BV82" i="26"/>
  <c r="BU82" i="26"/>
  <c r="BV176" i="26"/>
  <c r="BU176" i="26"/>
  <c r="BW176" i="26"/>
  <c r="BW36" i="28"/>
  <c r="BV36" i="28"/>
  <c r="BU36" i="28"/>
  <c r="BV72" i="28"/>
  <c r="BW72" i="28"/>
  <c r="BU72" i="28"/>
  <c r="BW122" i="28"/>
  <c r="BV122" i="28"/>
  <c r="BU122" i="28"/>
  <c r="BW146" i="28"/>
  <c r="BV146" i="28"/>
  <c r="BU146" i="28"/>
  <c r="BW203" i="28"/>
  <c r="BV203" i="28"/>
  <c r="BU203" i="28"/>
  <c r="BW51" i="30"/>
  <c r="BU51" i="30"/>
  <c r="BV51" i="30"/>
  <c r="BV149" i="30"/>
  <c r="BW149" i="30"/>
  <c r="BU149" i="30"/>
  <c r="BW11" i="26"/>
  <c r="BV11" i="26"/>
  <c r="BU11" i="26"/>
  <c r="BW31" i="26"/>
  <c r="BV31" i="26"/>
  <c r="BU31" i="26"/>
  <c r="BW43" i="26"/>
  <c r="BV43" i="26"/>
  <c r="BU43" i="26"/>
  <c r="BV55" i="26"/>
  <c r="BU55" i="26"/>
  <c r="BW55" i="26"/>
  <c r="BW67" i="26"/>
  <c r="BV67" i="26"/>
  <c r="BU67" i="26"/>
  <c r="BW83" i="26"/>
  <c r="BV83" i="26"/>
  <c r="BU83" i="26"/>
  <c r="BW105" i="26"/>
  <c r="BU105" i="26"/>
  <c r="BV105" i="26"/>
  <c r="BU129" i="26"/>
  <c r="BW129" i="26"/>
  <c r="BV129" i="26"/>
  <c r="BW141" i="26"/>
  <c r="BU141" i="26"/>
  <c r="BV141" i="26"/>
  <c r="BV177" i="26"/>
  <c r="BU177" i="26"/>
  <c r="BW177" i="26"/>
  <c r="BU198" i="26"/>
  <c r="BW198" i="26"/>
  <c r="BV198" i="26"/>
  <c r="BU214" i="26"/>
  <c r="BW214" i="26"/>
  <c r="BV214" i="26"/>
  <c r="BU25" i="28"/>
  <c r="BV25" i="28"/>
  <c r="BW25" i="28"/>
  <c r="BU37" i="28"/>
  <c r="BV37" i="28"/>
  <c r="BW37" i="28"/>
  <c r="BW49" i="28"/>
  <c r="BV49" i="28"/>
  <c r="BU49" i="28"/>
  <c r="BW61" i="28"/>
  <c r="BV61" i="28"/>
  <c r="BU61" i="28"/>
  <c r="BV73" i="28"/>
  <c r="BW73" i="28"/>
  <c r="BU73" i="28"/>
  <c r="BV99" i="28"/>
  <c r="BU99" i="28"/>
  <c r="BW99" i="28"/>
  <c r="BV123" i="28"/>
  <c r="BU123" i="28"/>
  <c r="BW123" i="28"/>
  <c r="BV135" i="28"/>
  <c r="BU135" i="28"/>
  <c r="BW135" i="28"/>
  <c r="BV147" i="28"/>
  <c r="BU147" i="28"/>
  <c r="BW147" i="28"/>
  <c r="BV182" i="28"/>
  <c r="BU182" i="28"/>
  <c r="BW182" i="28"/>
  <c r="BW204" i="28"/>
  <c r="BU204" i="28"/>
  <c r="BV204" i="28"/>
  <c r="BV28" i="30"/>
  <c r="BW28" i="30"/>
  <c r="BU28" i="30"/>
  <c r="BV40" i="30"/>
  <c r="BW40" i="30"/>
  <c r="BU40" i="30"/>
  <c r="BV52" i="30"/>
  <c r="BW52" i="30"/>
  <c r="BU52" i="30"/>
  <c r="BV64" i="30"/>
  <c r="BW64" i="30"/>
  <c r="BU64" i="30"/>
  <c r="BV76" i="30"/>
  <c r="BW76" i="30"/>
  <c r="BU76" i="30"/>
  <c r="BV102" i="30"/>
  <c r="BW102" i="30"/>
  <c r="BU102" i="30"/>
  <c r="BV126" i="30"/>
  <c r="BW126" i="30"/>
  <c r="BU126" i="30"/>
  <c r="BW138" i="30"/>
  <c r="BV138" i="30"/>
  <c r="BU138" i="30"/>
  <c r="BW150" i="30"/>
  <c r="BU150" i="30"/>
  <c r="BV150" i="30"/>
  <c r="BU195" i="30"/>
  <c r="BV195" i="30"/>
  <c r="BW195" i="30"/>
  <c r="BU207" i="30"/>
  <c r="BV207" i="30"/>
  <c r="BW207" i="30"/>
  <c r="BW46" i="26"/>
  <c r="BV46" i="26"/>
  <c r="BU46" i="26"/>
  <c r="BW207" i="28"/>
  <c r="BU207" i="28"/>
  <c r="BV207" i="28"/>
  <c r="BW198" i="30"/>
  <c r="BV198" i="30"/>
  <c r="BU198" i="30"/>
  <c r="BW210" i="7"/>
  <c r="BU210" i="7"/>
  <c r="BV210" i="7"/>
  <c r="BW54" i="26"/>
  <c r="BV54" i="26"/>
  <c r="BU54" i="26"/>
  <c r="BW104" i="26"/>
  <c r="BV104" i="26"/>
  <c r="BU104" i="26"/>
  <c r="BU140" i="26"/>
  <c r="BW140" i="26"/>
  <c r="BV140" i="26"/>
  <c r="BW197" i="26"/>
  <c r="BV197" i="26"/>
  <c r="BU197" i="26"/>
  <c r="BV48" i="28"/>
  <c r="BU48" i="28"/>
  <c r="BW48" i="28"/>
  <c r="BW39" i="30"/>
  <c r="BU39" i="30"/>
  <c r="BV39" i="30"/>
  <c r="BW75" i="30"/>
  <c r="BV75" i="30"/>
  <c r="BU75" i="30"/>
  <c r="BU101" i="30"/>
  <c r="BV101" i="30"/>
  <c r="BW101" i="30"/>
  <c r="BU137" i="30"/>
  <c r="BV137" i="30"/>
  <c r="BW137" i="30"/>
  <c r="BV194" i="30"/>
  <c r="BW194" i="30"/>
  <c r="BU194" i="30"/>
  <c r="BW12" i="26"/>
  <c r="BU12" i="26"/>
  <c r="BV12" i="26"/>
  <c r="BW32" i="26"/>
  <c r="BV32" i="26"/>
  <c r="BU32" i="26"/>
  <c r="BW44" i="26"/>
  <c r="BU44" i="26"/>
  <c r="BV44" i="26"/>
  <c r="BW56" i="26"/>
  <c r="BU56" i="26"/>
  <c r="BV56" i="26"/>
  <c r="BW68" i="26"/>
  <c r="BU68" i="26"/>
  <c r="BV68" i="26"/>
  <c r="BW84" i="26"/>
  <c r="BV84" i="26"/>
  <c r="BU84" i="26"/>
  <c r="BV106" i="26"/>
  <c r="BU106" i="26"/>
  <c r="BW106" i="26"/>
  <c r="BV130" i="26"/>
  <c r="BU130" i="26"/>
  <c r="BW130" i="26"/>
  <c r="BV142" i="26"/>
  <c r="BU142" i="26"/>
  <c r="BW142" i="26"/>
  <c r="BW184" i="26"/>
  <c r="BV184" i="26"/>
  <c r="BU184" i="26"/>
  <c r="BU199" i="26"/>
  <c r="BW199" i="26"/>
  <c r="BV199" i="26"/>
  <c r="BW219" i="26"/>
  <c r="BV219" i="26"/>
  <c r="BU219" i="26"/>
  <c r="BW26" i="28"/>
  <c r="BV26" i="28"/>
  <c r="BU26" i="28"/>
  <c r="BW38" i="28"/>
  <c r="BU38" i="28"/>
  <c r="BV38" i="28"/>
  <c r="BU50" i="28"/>
  <c r="BW50" i="28"/>
  <c r="BV50" i="28"/>
  <c r="BU62" i="28"/>
  <c r="BV62" i="28"/>
  <c r="BW62" i="28"/>
  <c r="BV74" i="28"/>
  <c r="BU74" i="28"/>
  <c r="BW74" i="28"/>
  <c r="BU100" i="28"/>
  <c r="BV100" i="28"/>
  <c r="BW100" i="28"/>
  <c r="BU124" i="28"/>
  <c r="BV124" i="28"/>
  <c r="BW124" i="28"/>
  <c r="BW136" i="28"/>
  <c r="BU136" i="28"/>
  <c r="BV136" i="28"/>
  <c r="BU148" i="28"/>
  <c r="BV148" i="28"/>
  <c r="BW148" i="28"/>
  <c r="BV183" i="28"/>
  <c r="BU183" i="28"/>
  <c r="BW183" i="28"/>
  <c r="BU205" i="28"/>
  <c r="BV205" i="28"/>
  <c r="BW205" i="28"/>
  <c r="BV29" i="30"/>
  <c r="BU29" i="30"/>
  <c r="BW29" i="30"/>
  <c r="BW41" i="30"/>
  <c r="BV41" i="30"/>
  <c r="BU41" i="30"/>
  <c r="BU53" i="30"/>
  <c r="BV53" i="30"/>
  <c r="BW53" i="30"/>
  <c r="BU65" i="30"/>
  <c r="BW65" i="30"/>
  <c r="BV65" i="30"/>
  <c r="BU81" i="30"/>
  <c r="BV81" i="30"/>
  <c r="BW81" i="30"/>
  <c r="BU103" i="30"/>
  <c r="BV103" i="30"/>
  <c r="BW103" i="30"/>
  <c r="BU127" i="30"/>
  <c r="BV127" i="30"/>
  <c r="BW127" i="30"/>
  <c r="BV139" i="30"/>
  <c r="BW139" i="30"/>
  <c r="BU139" i="30"/>
  <c r="BV151" i="30"/>
  <c r="BW151" i="30"/>
  <c r="BU151" i="30"/>
  <c r="BW196" i="30"/>
  <c r="BU196" i="30"/>
  <c r="BV196" i="30"/>
  <c r="BW210" i="30"/>
  <c r="BU210" i="30"/>
  <c r="BV210" i="30"/>
  <c r="BW42" i="26"/>
  <c r="BV42" i="26"/>
  <c r="BU42" i="26"/>
  <c r="BW66" i="26"/>
  <c r="BV66" i="26"/>
  <c r="BU66" i="26"/>
  <c r="BU128" i="26"/>
  <c r="BW128" i="26"/>
  <c r="BV128" i="26"/>
  <c r="BW211" i="26"/>
  <c r="BV211" i="26"/>
  <c r="BU211" i="26"/>
  <c r="BW20" i="28"/>
  <c r="BV20" i="28"/>
  <c r="BU20" i="28"/>
  <c r="BW60" i="28"/>
  <c r="BV60" i="28"/>
  <c r="BU60" i="28"/>
  <c r="BU98" i="28"/>
  <c r="BW98" i="28"/>
  <c r="BV98" i="28"/>
  <c r="BW134" i="28"/>
  <c r="BV134" i="28"/>
  <c r="BU134" i="28"/>
  <c r="BU181" i="28"/>
  <c r="BW181" i="28"/>
  <c r="BV181" i="28"/>
  <c r="BW27" i="30"/>
  <c r="BU27" i="30"/>
  <c r="BV27" i="30"/>
  <c r="BW63" i="30"/>
  <c r="BU63" i="30"/>
  <c r="BV63" i="30"/>
  <c r="BU125" i="30"/>
  <c r="BV125" i="30"/>
  <c r="BW125" i="30"/>
  <c r="BV206" i="30"/>
  <c r="BW206" i="30"/>
  <c r="BU206" i="30"/>
  <c r="BV181" i="7"/>
  <c r="BW181" i="7"/>
  <c r="BU181" i="7"/>
  <c r="BV178" i="7"/>
  <c r="BW178" i="7"/>
  <c r="BU178" i="7"/>
  <c r="BW13" i="26"/>
  <c r="BV13" i="26"/>
  <c r="BU13" i="26"/>
  <c r="BW33" i="26"/>
  <c r="BU33" i="26"/>
  <c r="BV33" i="26"/>
  <c r="BW45" i="26"/>
  <c r="BV45" i="26"/>
  <c r="BU45" i="26"/>
  <c r="BW57" i="26"/>
  <c r="BV57" i="26"/>
  <c r="BU57" i="26"/>
  <c r="BU69" i="26"/>
  <c r="BV69" i="26"/>
  <c r="BW69" i="26"/>
  <c r="BW85" i="26"/>
  <c r="BU85" i="26"/>
  <c r="BV85" i="26"/>
  <c r="BV107" i="26"/>
  <c r="BU107" i="26"/>
  <c r="BW107" i="26"/>
  <c r="BV131" i="26"/>
  <c r="BU131" i="26"/>
  <c r="BW131" i="26"/>
  <c r="BV143" i="26"/>
  <c r="BW143" i="26"/>
  <c r="BU143" i="26"/>
  <c r="BW178" i="26"/>
  <c r="BV178" i="26"/>
  <c r="BU178" i="26"/>
  <c r="BW200" i="26"/>
  <c r="BU200" i="26"/>
  <c r="BV200" i="26"/>
  <c r="BW232" i="26"/>
  <c r="BV232" i="26"/>
  <c r="BU232" i="26"/>
  <c r="BW27" i="28"/>
  <c r="BU27" i="28"/>
  <c r="BV27" i="28"/>
  <c r="BW39" i="28"/>
  <c r="BV39" i="28"/>
  <c r="BU39" i="28"/>
  <c r="BW51" i="28"/>
  <c r="BV51" i="28"/>
  <c r="BU51" i="28"/>
  <c r="BV63" i="28"/>
  <c r="BU63" i="28"/>
  <c r="BW63" i="28"/>
  <c r="BW75" i="28"/>
  <c r="BV75" i="28"/>
  <c r="BU75" i="28"/>
  <c r="BW101" i="28"/>
  <c r="BU101" i="28"/>
  <c r="BV101" i="28"/>
  <c r="BW125" i="28"/>
  <c r="BU125" i="28"/>
  <c r="BV125" i="28"/>
  <c r="BW137" i="28"/>
  <c r="BU137" i="28"/>
  <c r="BV137" i="28"/>
  <c r="BW149" i="28"/>
  <c r="BU149" i="28"/>
  <c r="BV149" i="28"/>
  <c r="BU194" i="28"/>
  <c r="BW194" i="28"/>
  <c r="BV194" i="28"/>
  <c r="BU206" i="28"/>
  <c r="BV206" i="28"/>
  <c r="BW206" i="28"/>
  <c r="BW30" i="30"/>
  <c r="BU30" i="30"/>
  <c r="BV30" i="30"/>
  <c r="BW42" i="30"/>
  <c r="BU42" i="30"/>
  <c r="BV42" i="30"/>
  <c r="BW54" i="30"/>
  <c r="BU54" i="30"/>
  <c r="BV54" i="30"/>
  <c r="BW66" i="30"/>
  <c r="BV66" i="30"/>
  <c r="BU66" i="30"/>
  <c r="BW82" i="30"/>
  <c r="BU82" i="30"/>
  <c r="BV82" i="30"/>
  <c r="BW104" i="30"/>
  <c r="BU104" i="30"/>
  <c r="BV104" i="30"/>
  <c r="BW128" i="30"/>
  <c r="BU128" i="30"/>
  <c r="BV128" i="30"/>
  <c r="BV140" i="30"/>
  <c r="BW140" i="30"/>
  <c r="BU140" i="30"/>
  <c r="BV176" i="30"/>
  <c r="BW176" i="30"/>
  <c r="BU176" i="30"/>
  <c r="BV197" i="30"/>
  <c r="BU197" i="30"/>
  <c r="BW197" i="30"/>
  <c r="BV211" i="30"/>
  <c r="BU211" i="30"/>
  <c r="BW211" i="30"/>
  <c r="BW14" i="26"/>
  <c r="BU14" i="26"/>
  <c r="BV14" i="26"/>
  <c r="BU58" i="26"/>
  <c r="BW58" i="26"/>
  <c r="BV58" i="26"/>
  <c r="BW108" i="26"/>
  <c r="BV108" i="26"/>
  <c r="BU108" i="26"/>
  <c r="BW179" i="26"/>
  <c r="BU179" i="26"/>
  <c r="BV179" i="26"/>
  <c r="BW233" i="26"/>
  <c r="BU233" i="26"/>
  <c r="BV233" i="26"/>
  <c r="BV40" i="28"/>
  <c r="BU40" i="28"/>
  <c r="BW40" i="28"/>
  <c r="BV76" i="28"/>
  <c r="BU76" i="28"/>
  <c r="BW76" i="28"/>
  <c r="BV126" i="28"/>
  <c r="BW126" i="28"/>
  <c r="BU126" i="28"/>
  <c r="BW150" i="28"/>
  <c r="BU150" i="28"/>
  <c r="BV150" i="28"/>
  <c r="BV31" i="30"/>
  <c r="BW31" i="30"/>
  <c r="BU31" i="30"/>
  <c r="BV43" i="30"/>
  <c r="BW43" i="30"/>
  <c r="BU43" i="30"/>
  <c r="BV83" i="30"/>
  <c r="BW83" i="30"/>
  <c r="BU83" i="30"/>
  <c r="BW129" i="30"/>
  <c r="BV129" i="30"/>
  <c r="BU129" i="30"/>
  <c r="BV177" i="30"/>
  <c r="BU177" i="30"/>
  <c r="BW177" i="30"/>
  <c r="BV35" i="26"/>
  <c r="BU35" i="26"/>
  <c r="BW35" i="26"/>
  <c r="BV59" i="26"/>
  <c r="BU59" i="26"/>
  <c r="BW59" i="26"/>
  <c r="BV71" i="26"/>
  <c r="BU71" i="26"/>
  <c r="BW71" i="26"/>
  <c r="BW121" i="26"/>
  <c r="BU121" i="26"/>
  <c r="BV121" i="26"/>
  <c r="BW133" i="26"/>
  <c r="BV133" i="26"/>
  <c r="BU133" i="26"/>
  <c r="BW145" i="26"/>
  <c r="BV145" i="26"/>
  <c r="BU145" i="26"/>
  <c r="BW202" i="26"/>
  <c r="BV202" i="26"/>
  <c r="BU202" i="26"/>
  <c r="BV234" i="26"/>
  <c r="BW234" i="26"/>
  <c r="BU234" i="26"/>
  <c r="BW29" i="28"/>
  <c r="BV29" i="28"/>
  <c r="BU29" i="28"/>
  <c r="BV65" i="28"/>
  <c r="BW65" i="28"/>
  <c r="BU65" i="28"/>
  <c r="BW139" i="28"/>
  <c r="BV139" i="28"/>
  <c r="BU139" i="28"/>
  <c r="BW196" i="28"/>
  <c r="BV196" i="28"/>
  <c r="BU196" i="28"/>
  <c r="BV12" i="30"/>
  <c r="BW12" i="30"/>
  <c r="BU12" i="30"/>
  <c r="BU44" i="30"/>
  <c r="BW44" i="30"/>
  <c r="BV44" i="30"/>
  <c r="BV56" i="30"/>
  <c r="BU56" i="30"/>
  <c r="BW56" i="30"/>
  <c r="BW84" i="30"/>
  <c r="BV84" i="30"/>
  <c r="BU84" i="30"/>
  <c r="BU106" i="30"/>
  <c r="BV106" i="30"/>
  <c r="BW106" i="30"/>
  <c r="BV130" i="30"/>
  <c r="BW130" i="30"/>
  <c r="BU130" i="30"/>
  <c r="BV142" i="30"/>
  <c r="BW142" i="30"/>
  <c r="BU142" i="30"/>
  <c r="BW199" i="30"/>
  <c r="BU199" i="30"/>
  <c r="BV199" i="30"/>
  <c r="BU219" i="30"/>
  <c r="BV219" i="30"/>
  <c r="BW219" i="30"/>
  <c r="BW20" i="26"/>
  <c r="BV20" i="26"/>
  <c r="BU20" i="26"/>
  <c r="BV36" i="26"/>
  <c r="BW36" i="26"/>
  <c r="BU36" i="26"/>
  <c r="BV48" i="26"/>
  <c r="BU48" i="26"/>
  <c r="BW48" i="26"/>
  <c r="BW60" i="26"/>
  <c r="BV60" i="26"/>
  <c r="BU60" i="26"/>
  <c r="BV72" i="26"/>
  <c r="BU72" i="26"/>
  <c r="BW72" i="26"/>
  <c r="BW98" i="26"/>
  <c r="BU98" i="26"/>
  <c r="BV98" i="26"/>
  <c r="BU122" i="26"/>
  <c r="BW122" i="26"/>
  <c r="BV122" i="26"/>
  <c r="BU134" i="26"/>
  <c r="BW134" i="26"/>
  <c r="BV134" i="26"/>
  <c r="BU146" i="26"/>
  <c r="BW146" i="26"/>
  <c r="BV146" i="26"/>
  <c r="BW181" i="26"/>
  <c r="BV181" i="26"/>
  <c r="BU181" i="26"/>
  <c r="BW203" i="26"/>
  <c r="BU203" i="26"/>
  <c r="BV203" i="26"/>
  <c r="BU30" i="28"/>
  <c r="BW30" i="28"/>
  <c r="BV30" i="28"/>
  <c r="BW42" i="28"/>
  <c r="BU42" i="28"/>
  <c r="BV42" i="28"/>
  <c r="BW54" i="28"/>
  <c r="BV54" i="28"/>
  <c r="BU54" i="28"/>
  <c r="BW66" i="28"/>
  <c r="BU66" i="28"/>
  <c r="BV66" i="28"/>
  <c r="BW82" i="28"/>
  <c r="BU82" i="28"/>
  <c r="BV82" i="28"/>
  <c r="BU104" i="28"/>
  <c r="BW104" i="28"/>
  <c r="BV104" i="28"/>
  <c r="BU128" i="28"/>
  <c r="BW128" i="28"/>
  <c r="BV128" i="28"/>
  <c r="BU140" i="28"/>
  <c r="BW140" i="28"/>
  <c r="BV140" i="28"/>
  <c r="BU176" i="28"/>
  <c r="BW176" i="28"/>
  <c r="BV176" i="28"/>
  <c r="BW197" i="28"/>
  <c r="BV197" i="28"/>
  <c r="BU197" i="28"/>
  <c r="BV211" i="28"/>
  <c r="BU211" i="28"/>
  <c r="BW211" i="28"/>
  <c r="BV13" i="30"/>
  <c r="BW13" i="30"/>
  <c r="BU13" i="30"/>
  <c r="BW33" i="30"/>
  <c r="BU33" i="30"/>
  <c r="BV33" i="30"/>
  <c r="BW45" i="30"/>
  <c r="BU45" i="30"/>
  <c r="BV45" i="30"/>
  <c r="BW57" i="30"/>
  <c r="BU57" i="30"/>
  <c r="BV57" i="30"/>
  <c r="BW69" i="30"/>
  <c r="BU69" i="30"/>
  <c r="BV69" i="30"/>
  <c r="BU85" i="30"/>
  <c r="BV85" i="30"/>
  <c r="BW85" i="30"/>
  <c r="BU107" i="30"/>
  <c r="BW107" i="30"/>
  <c r="BV107" i="30"/>
  <c r="BV131" i="30"/>
  <c r="BW131" i="30"/>
  <c r="BU131" i="30"/>
  <c r="BU143" i="30"/>
  <c r="BV143" i="30"/>
  <c r="BW143" i="30"/>
  <c r="BV178" i="30"/>
  <c r="BW178" i="30"/>
  <c r="BU178" i="30"/>
  <c r="BV200" i="30"/>
  <c r="BU200" i="30"/>
  <c r="BW200" i="30"/>
  <c r="BW232" i="30"/>
  <c r="BU232" i="30"/>
  <c r="BV232" i="30"/>
  <c r="BW211" i="7"/>
  <c r="BV211" i="7"/>
  <c r="BU211" i="7"/>
  <c r="BV15" i="26"/>
  <c r="BU15" i="26"/>
  <c r="BW15" i="26"/>
  <c r="BV47" i="26"/>
  <c r="BU47" i="26"/>
  <c r="BW47" i="26"/>
  <c r="BW93" i="26"/>
  <c r="BV93" i="26"/>
  <c r="BU93" i="26"/>
  <c r="BU180" i="26"/>
  <c r="BV180" i="26"/>
  <c r="BW180" i="26"/>
  <c r="BW41" i="28"/>
  <c r="BV41" i="28"/>
  <c r="BU41" i="28"/>
  <c r="BW53" i="28"/>
  <c r="BV53" i="28"/>
  <c r="BU53" i="28"/>
  <c r="BU81" i="28"/>
  <c r="BW81" i="28"/>
  <c r="BV81" i="28"/>
  <c r="BW103" i="28"/>
  <c r="BV103" i="28"/>
  <c r="BU103" i="28"/>
  <c r="BW127" i="28"/>
  <c r="BU127" i="28"/>
  <c r="BV127" i="28"/>
  <c r="BW151" i="28"/>
  <c r="BU151" i="28"/>
  <c r="BV151" i="28"/>
  <c r="BW210" i="28"/>
  <c r="BV210" i="28"/>
  <c r="BU210" i="28"/>
  <c r="BU32" i="30"/>
  <c r="BW32" i="30"/>
  <c r="BV32" i="30"/>
  <c r="BU68" i="30"/>
  <c r="BV68" i="30"/>
  <c r="BW68" i="30"/>
  <c r="BW184" i="30"/>
  <c r="BV184" i="30"/>
  <c r="BU184" i="30"/>
  <c r="BW183" i="7"/>
  <c r="BU183" i="7"/>
  <c r="BV183" i="7"/>
  <c r="BW179" i="7"/>
  <c r="BV179" i="7"/>
  <c r="BU179" i="7"/>
  <c r="BW25" i="26"/>
  <c r="BV25" i="26"/>
  <c r="BU25" i="26"/>
  <c r="BW37" i="26"/>
  <c r="BV37" i="26"/>
  <c r="BU37" i="26"/>
  <c r="BW49" i="26"/>
  <c r="BV49" i="26"/>
  <c r="BU49" i="26"/>
  <c r="BW61" i="26"/>
  <c r="BV61" i="26"/>
  <c r="BU61" i="26"/>
  <c r="BW73" i="26"/>
  <c r="BV73" i="26"/>
  <c r="BU73" i="26"/>
  <c r="BU99" i="26"/>
  <c r="BW99" i="26"/>
  <c r="BV99" i="26"/>
  <c r="BU123" i="26"/>
  <c r="BW123" i="26"/>
  <c r="BV123" i="26"/>
  <c r="BU135" i="26"/>
  <c r="BW135" i="26"/>
  <c r="BV135" i="26"/>
  <c r="BU147" i="26"/>
  <c r="BW147" i="26"/>
  <c r="BV147" i="26"/>
  <c r="BW182" i="26"/>
  <c r="BV182" i="26"/>
  <c r="BU182" i="26"/>
  <c r="BU204" i="26"/>
  <c r="BV204" i="26"/>
  <c r="BW204" i="26"/>
  <c r="BV11" i="28"/>
  <c r="BU11" i="28"/>
  <c r="BW11" i="28"/>
  <c r="BU31" i="28"/>
  <c r="BW31" i="28"/>
  <c r="BV31" i="28"/>
  <c r="BV43" i="28"/>
  <c r="BU43" i="28"/>
  <c r="BW43" i="28"/>
  <c r="BW55" i="28"/>
  <c r="BV55" i="28"/>
  <c r="BU55" i="28"/>
  <c r="BW67" i="28"/>
  <c r="BU67" i="28"/>
  <c r="BV67" i="28"/>
  <c r="BW83" i="28"/>
  <c r="BU83" i="28"/>
  <c r="BV83" i="28"/>
  <c r="BU105" i="28"/>
  <c r="BV105" i="28"/>
  <c r="BW105" i="28"/>
  <c r="BU129" i="28"/>
  <c r="BW129" i="28"/>
  <c r="BV129" i="28"/>
  <c r="BU141" i="28"/>
  <c r="BV141" i="28"/>
  <c r="BW141" i="28"/>
  <c r="BU177" i="28"/>
  <c r="BW177" i="28"/>
  <c r="BV177" i="28"/>
  <c r="BW198" i="28"/>
  <c r="BU198" i="28"/>
  <c r="BV198" i="28"/>
  <c r="BU214" i="28"/>
  <c r="BW214" i="28"/>
  <c r="BV214" i="28"/>
  <c r="BV14" i="30"/>
  <c r="BW14" i="30"/>
  <c r="BU14" i="30"/>
  <c r="BV34" i="30"/>
  <c r="BW34" i="30"/>
  <c r="BU34" i="30"/>
  <c r="BV46" i="30"/>
  <c r="BW46" i="30"/>
  <c r="BU46" i="30"/>
  <c r="BV58" i="30"/>
  <c r="BW58" i="30"/>
  <c r="BU58" i="30"/>
  <c r="BV70" i="30"/>
  <c r="BW70" i="30"/>
  <c r="BU70" i="30"/>
  <c r="BU86" i="30"/>
  <c r="BW86" i="30"/>
  <c r="BV86" i="30"/>
  <c r="BV108" i="30"/>
  <c r="BW108" i="30"/>
  <c r="BU108" i="30"/>
  <c r="BW132" i="30"/>
  <c r="BV132" i="30"/>
  <c r="BU132" i="30"/>
  <c r="BW144" i="30"/>
  <c r="BV144" i="30"/>
  <c r="BU144" i="30"/>
  <c r="BU179" i="30"/>
  <c r="BV179" i="30"/>
  <c r="BW179" i="30"/>
  <c r="BW201" i="30"/>
  <c r="BU201" i="30"/>
  <c r="BV201" i="30"/>
  <c r="BU233" i="30"/>
  <c r="BV233" i="30"/>
  <c r="BW233" i="30"/>
  <c r="BW27" i="26"/>
  <c r="BV27" i="26"/>
  <c r="BU27" i="26"/>
  <c r="BW39" i="26"/>
  <c r="BU39" i="26"/>
  <c r="BV39" i="26"/>
  <c r="BU51" i="26"/>
  <c r="BV51" i="26"/>
  <c r="BW51" i="26"/>
  <c r="BW63" i="26"/>
  <c r="BV63" i="26"/>
  <c r="BU63" i="26"/>
  <c r="BU75" i="26"/>
  <c r="BW75" i="26"/>
  <c r="BV75" i="26"/>
  <c r="BW101" i="26"/>
  <c r="BV101" i="26"/>
  <c r="BU101" i="26"/>
  <c r="BW125" i="26"/>
  <c r="BV125" i="26"/>
  <c r="BU125" i="26"/>
  <c r="BW137" i="26"/>
  <c r="BV137" i="26"/>
  <c r="BU137" i="26"/>
  <c r="BW149" i="26"/>
  <c r="BV149" i="26"/>
  <c r="BU149" i="26"/>
  <c r="BV194" i="26"/>
  <c r="BU194" i="26"/>
  <c r="BW194" i="26"/>
  <c r="BV206" i="26"/>
  <c r="BU206" i="26"/>
  <c r="BW206" i="26"/>
  <c r="BU13" i="28"/>
  <c r="BV13" i="28"/>
  <c r="BW13" i="28"/>
  <c r="BU33" i="28"/>
  <c r="BV33" i="28"/>
  <c r="BW33" i="28"/>
  <c r="BU45" i="28"/>
  <c r="BW45" i="28"/>
  <c r="BV45" i="28"/>
  <c r="BU57" i="28"/>
  <c r="BW57" i="28"/>
  <c r="BV57" i="28"/>
  <c r="BU69" i="28"/>
  <c r="BW69" i="28"/>
  <c r="BV69" i="28"/>
  <c r="BU85" i="28"/>
  <c r="BW85" i="28"/>
  <c r="BV85" i="28"/>
  <c r="BW107" i="28"/>
  <c r="BV107" i="28"/>
  <c r="BU107" i="28"/>
  <c r="BV131" i="28"/>
  <c r="BU131" i="28"/>
  <c r="BW131" i="28"/>
  <c r="BV143" i="28"/>
  <c r="BW143" i="28"/>
  <c r="BU143" i="28"/>
  <c r="BW178" i="28"/>
  <c r="BV178" i="28"/>
  <c r="BU178" i="28"/>
  <c r="BW200" i="28"/>
  <c r="BV200" i="28"/>
  <c r="BU200" i="28"/>
  <c r="BW232" i="28"/>
  <c r="BV232" i="28"/>
  <c r="BU232" i="28"/>
  <c r="BW20" i="30"/>
  <c r="BU20" i="30"/>
  <c r="BV20" i="30"/>
  <c r="BW36" i="30"/>
  <c r="BU36" i="30"/>
  <c r="BV36" i="30"/>
  <c r="BW48" i="30"/>
  <c r="BU48" i="30"/>
  <c r="BV48" i="30"/>
  <c r="BW60" i="30"/>
  <c r="BU60" i="30"/>
  <c r="BV60" i="30"/>
  <c r="BW72" i="30"/>
  <c r="BU72" i="30"/>
  <c r="BV72" i="30"/>
  <c r="BV98" i="30"/>
  <c r="BU98" i="30"/>
  <c r="BW98" i="30"/>
  <c r="BU122" i="30"/>
  <c r="BW122" i="30"/>
  <c r="BV122" i="30"/>
  <c r="BU134" i="30"/>
  <c r="BV134" i="30"/>
  <c r="BW134" i="30"/>
  <c r="BU146" i="30"/>
  <c r="BV146" i="30"/>
  <c r="BW146" i="30"/>
  <c r="BV181" i="30"/>
  <c r="BW181" i="30"/>
  <c r="BU181" i="30"/>
  <c r="BV203" i="30"/>
  <c r="BU203" i="30"/>
  <c r="BW203" i="30"/>
  <c r="BW70" i="26"/>
  <c r="BU70" i="26"/>
  <c r="BV70" i="26"/>
  <c r="BV52" i="28"/>
  <c r="BU52" i="28"/>
  <c r="BW52" i="28"/>
  <c r="BU38" i="26"/>
  <c r="BV38" i="26"/>
  <c r="BW38" i="26"/>
  <c r="BW100" i="26"/>
  <c r="BV100" i="26"/>
  <c r="BU100" i="26"/>
  <c r="BV205" i="26"/>
  <c r="BU205" i="26"/>
  <c r="BW205" i="26"/>
  <c r="BU12" i="28"/>
  <c r="BV12" i="28"/>
  <c r="BW12" i="28"/>
  <c r="BU56" i="28"/>
  <c r="BV56" i="28"/>
  <c r="BW56" i="28"/>
  <c r="BW106" i="28"/>
  <c r="BV106" i="28"/>
  <c r="BU106" i="28"/>
  <c r="BW184" i="28"/>
  <c r="BV184" i="28"/>
  <c r="BU184" i="28"/>
  <c r="BW182" i="7"/>
  <c r="BV182" i="7"/>
  <c r="BU182" i="7"/>
  <c r="BU28" i="26"/>
  <c r="BW28" i="26"/>
  <c r="BV28" i="26"/>
  <c r="BU40" i="26"/>
  <c r="BV40" i="26"/>
  <c r="BW40" i="26"/>
  <c r="BU52" i="26"/>
  <c r="BW52" i="26"/>
  <c r="BV52" i="26"/>
  <c r="BU64" i="26"/>
  <c r="BW64" i="26"/>
  <c r="BV64" i="26"/>
  <c r="BU76" i="26"/>
  <c r="BW76" i="26"/>
  <c r="BV76" i="26"/>
  <c r="BW102" i="26"/>
  <c r="BV102" i="26"/>
  <c r="BU102" i="26"/>
  <c r="BV126" i="26"/>
  <c r="BU126" i="26"/>
  <c r="BW126" i="26"/>
  <c r="BW138" i="26"/>
  <c r="BV138" i="26"/>
  <c r="BU138" i="26"/>
  <c r="BW150" i="26"/>
  <c r="BV150" i="26"/>
  <c r="BU150" i="26"/>
  <c r="BV195" i="26"/>
  <c r="BU195" i="26"/>
  <c r="BW195" i="26"/>
  <c r="BU207" i="26"/>
  <c r="BV207" i="26"/>
  <c r="BW207" i="26"/>
  <c r="BW14" i="28"/>
  <c r="BV14" i="28"/>
  <c r="BU14" i="28"/>
  <c r="BW34" i="28"/>
  <c r="BV34" i="28"/>
  <c r="BU34" i="28"/>
  <c r="BV46" i="28"/>
  <c r="BU46" i="28"/>
  <c r="BW46" i="28"/>
  <c r="BU58" i="28"/>
  <c r="BW58" i="28"/>
  <c r="BV58" i="28"/>
  <c r="BW70" i="28"/>
  <c r="BU70" i="28"/>
  <c r="BV70" i="28"/>
  <c r="BW86" i="28"/>
  <c r="BV86" i="28"/>
  <c r="BU86" i="28"/>
  <c r="BV108" i="28"/>
  <c r="BW108" i="28"/>
  <c r="BU108" i="28"/>
  <c r="BV132" i="28"/>
  <c r="BU132" i="28"/>
  <c r="BW132" i="28"/>
  <c r="BV144" i="28"/>
  <c r="BU144" i="28"/>
  <c r="BW144" i="28"/>
  <c r="BW179" i="28"/>
  <c r="BV179" i="28"/>
  <c r="BU179" i="28"/>
  <c r="BV201" i="28"/>
  <c r="BU201" i="28"/>
  <c r="BW201" i="28"/>
  <c r="BW233" i="28"/>
  <c r="BV233" i="28"/>
  <c r="BU233" i="28"/>
  <c r="BV25" i="30"/>
  <c r="BW25" i="30"/>
  <c r="BU25" i="30"/>
  <c r="BV37" i="30"/>
  <c r="BW37" i="30"/>
  <c r="BU37" i="30"/>
  <c r="BV49" i="30"/>
  <c r="BW49" i="30"/>
  <c r="BU49" i="30"/>
  <c r="BV61" i="30"/>
  <c r="BW61" i="30"/>
  <c r="BU61" i="30"/>
  <c r="BV73" i="30"/>
  <c r="BW73" i="30"/>
  <c r="BU73" i="30"/>
  <c r="BV99" i="30"/>
  <c r="BW99" i="30"/>
  <c r="BU99" i="30"/>
  <c r="BV123" i="30"/>
  <c r="BW123" i="30"/>
  <c r="BU123" i="30"/>
  <c r="BW135" i="30"/>
  <c r="BV135" i="30"/>
  <c r="BU135" i="30"/>
  <c r="BW147" i="30"/>
  <c r="BU147" i="30"/>
  <c r="BV147" i="30"/>
  <c r="BW182" i="30"/>
  <c r="BU182" i="30"/>
  <c r="BV182" i="30"/>
  <c r="BU204" i="30"/>
  <c r="BV204" i="30"/>
  <c r="BW204" i="30"/>
  <c r="BV11" i="30"/>
  <c r="BU11" i="30"/>
  <c r="BW11" i="30"/>
  <c r="W14" i="26"/>
  <c r="W14" i="30"/>
  <c r="W15" i="30"/>
  <c r="O27" i="30"/>
  <c r="P27" i="30"/>
  <c r="Q27" i="30"/>
  <c r="R27" i="30"/>
  <c r="P39" i="30"/>
  <c r="Q39" i="30"/>
  <c r="O39" i="30"/>
  <c r="R39" i="30"/>
  <c r="S39" i="30" s="1"/>
  <c r="Q51" i="30"/>
  <c r="O51" i="30"/>
  <c r="P51" i="30"/>
  <c r="R51" i="30"/>
  <c r="S51" i="30" s="1"/>
  <c r="AC51" i="30" s="1"/>
  <c r="O63" i="30"/>
  <c r="R63" i="30"/>
  <c r="S63" i="30" s="1"/>
  <c r="AC63" i="30" s="1"/>
  <c r="P63" i="30"/>
  <c r="Q63" i="30"/>
  <c r="Q75" i="30"/>
  <c r="T75" i="30" s="1"/>
  <c r="U75" i="30" s="1"/>
  <c r="P75" i="30"/>
  <c r="R75" i="30"/>
  <c r="S75" i="30" s="1"/>
  <c r="AC75" i="30" s="1"/>
  <c r="O75" i="30"/>
  <c r="Q101" i="30"/>
  <c r="T101" i="30" s="1"/>
  <c r="U101" i="30" s="1"/>
  <c r="O101" i="30"/>
  <c r="R101" i="30"/>
  <c r="S101" i="30" s="1"/>
  <c r="AC101" i="30" s="1"/>
  <c r="P101" i="30"/>
  <c r="P125" i="30"/>
  <c r="Q125" i="30"/>
  <c r="O125" i="30"/>
  <c r="R125" i="30"/>
  <c r="O137" i="30"/>
  <c r="Q137" i="30"/>
  <c r="P137" i="30"/>
  <c r="R137" i="30"/>
  <c r="S137" i="30" s="1"/>
  <c r="AC137" i="30" s="1"/>
  <c r="O149" i="30"/>
  <c r="R149" i="30"/>
  <c r="S149" i="30" s="1"/>
  <c r="AC149" i="30" s="1"/>
  <c r="P149" i="30"/>
  <c r="Q149" i="30"/>
  <c r="P194" i="30"/>
  <c r="R194" i="30"/>
  <c r="O194" i="30"/>
  <c r="Q194" i="30"/>
  <c r="T194" i="30" s="1"/>
  <c r="U194" i="30" s="1"/>
  <c r="P206" i="30"/>
  <c r="O206" i="30"/>
  <c r="Q206" i="30"/>
  <c r="R206" i="30"/>
  <c r="S206" i="30" s="1"/>
  <c r="Q32" i="26"/>
  <c r="R32" i="26"/>
  <c r="S32" i="26" s="1"/>
  <c r="AC32" i="26" s="1"/>
  <c r="O32" i="26"/>
  <c r="P32" i="26"/>
  <c r="P84" i="26"/>
  <c r="R84" i="26"/>
  <c r="S84" i="26" s="1"/>
  <c r="AC84" i="26" s="1"/>
  <c r="O84" i="26"/>
  <c r="Q84" i="26"/>
  <c r="T84" i="26" s="1"/>
  <c r="U84" i="26" s="1"/>
  <c r="R142" i="26"/>
  <c r="S142" i="26" s="1"/>
  <c r="AC142" i="26" s="1"/>
  <c r="O142" i="26"/>
  <c r="Q142" i="26"/>
  <c r="P142" i="26"/>
  <c r="P219" i="26"/>
  <c r="Q219" i="26"/>
  <c r="R219" i="26"/>
  <c r="O219" i="26"/>
  <c r="O37" i="28"/>
  <c r="P37" i="28"/>
  <c r="R37" i="28"/>
  <c r="S37" i="28" s="1"/>
  <c r="Q37" i="28"/>
  <c r="Q123" i="28"/>
  <c r="P123" i="28"/>
  <c r="R123" i="28"/>
  <c r="S123" i="28" s="1"/>
  <c r="AC123" i="28" s="1"/>
  <c r="O123" i="28"/>
  <c r="O99" i="30"/>
  <c r="Q99" i="30"/>
  <c r="R99" i="30"/>
  <c r="S99" i="30" s="1"/>
  <c r="P99" i="30"/>
  <c r="P85" i="26"/>
  <c r="R85" i="26"/>
  <c r="S85" i="26" s="1"/>
  <c r="AC85" i="26" s="1"/>
  <c r="Q85" i="26"/>
  <c r="T85" i="26" s="1"/>
  <c r="U85" i="26" s="1"/>
  <c r="O85" i="26"/>
  <c r="P200" i="26"/>
  <c r="Q200" i="26"/>
  <c r="O200" i="26"/>
  <c r="R200" i="26"/>
  <c r="S200" i="26" s="1"/>
  <c r="O26" i="28"/>
  <c r="Q26" i="28"/>
  <c r="T26" i="28" s="1"/>
  <c r="U26" i="28" s="1"/>
  <c r="R26" i="28"/>
  <c r="S26" i="28" s="1"/>
  <c r="AC26" i="28" s="1"/>
  <c r="P26" i="28"/>
  <c r="O100" i="30"/>
  <c r="P100" i="30"/>
  <c r="Q100" i="30"/>
  <c r="R100" i="30"/>
  <c r="S100" i="30" s="1"/>
  <c r="AC100" i="30" s="1"/>
  <c r="R58" i="26"/>
  <c r="S58" i="26" s="1"/>
  <c r="AC58" i="26" s="1"/>
  <c r="P58" i="26"/>
  <c r="Q58" i="26"/>
  <c r="T58" i="26" s="1"/>
  <c r="U58" i="26" s="1"/>
  <c r="O58" i="26"/>
  <c r="P108" i="26"/>
  <c r="O108" i="26"/>
  <c r="Q108" i="26"/>
  <c r="R108" i="26"/>
  <c r="P179" i="26"/>
  <c r="Q179" i="26"/>
  <c r="O179" i="26"/>
  <c r="R179" i="26"/>
  <c r="S179" i="26" s="1"/>
  <c r="AC179" i="26" s="1"/>
  <c r="O233" i="26"/>
  <c r="Q233" i="26"/>
  <c r="AB233" i="26" s="1"/>
  <c r="P233" i="26"/>
  <c r="R233" i="26"/>
  <c r="S233" i="26" s="1"/>
  <c r="AC233" i="26" s="1"/>
  <c r="R39" i="28"/>
  <c r="O39" i="28"/>
  <c r="P39" i="28"/>
  <c r="Q39" i="28"/>
  <c r="R63" i="28"/>
  <c r="S63" i="28" s="1"/>
  <c r="AC63" i="28" s="1"/>
  <c r="O63" i="28"/>
  <c r="Q63" i="28"/>
  <c r="P63" i="28"/>
  <c r="O101" i="28"/>
  <c r="R101" i="28"/>
  <c r="S101" i="28" s="1"/>
  <c r="AC101" i="28" s="1"/>
  <c r="P101" i="28"/>
  <c r="Q101" i="28"/>
  <c r="T101" i="28" s="1"/>
  <c r="U101" i="28" s="1"/>
  <c r="R149" i="28"/>
  <c r="S149" i="28" s="1"/>
  <c r="AC149" i="28" s="1"/>
  <c r="P149" i="28"/>
  <c r="Q149" i="28"/>
  <c r="T149" i="28" s="1"/>
  <c r="U149" i="28" s="1"/>
  <c r="O149" i="28"/>
  <c r="O206" i="28"/>
  <c r="Q206" i="28"/>
  <c r="R206" i="28"/>
  <c r="P206" i="28"/>
  <c r="P35" i="26"/>
  <c r="Q35" i="26"/>
  <c r="R35" i="26"/>
  <c r="S35" i="26" s="1"/>
  <c r="AC35" i="26" s="1"/>
  <c r="O35" i="26"/>
  <c r="O47" i="26"/>
  <c r="P47" i="26"/>
  <c r="Q47" i="26"/>
  <c r="AB47" i="26" s="1"/>
  <c r="R47" i="26"/>
  <c r="S47" i="26" s="1"/>
  <c r="AC47" i="26" s="1"/>
  <c r="O59" i="26"/>
  <c r="Q59" i="26"/>
  <c r="R59" i="26"/>
  <c r="S59" i="26" s="1"/>
  <c r="P59" i="26"/>
  <c r="P71" i="26"/>
  <c r="Q71" i="26"/>
  <c r="R71" i="26"/>
  <c r="S71" i="26" s="1"/>
  <c r="AC71" i="26" s="1"/>
  <c r="O71" i="26"/>
  <c r="O93" i="26"/>
  <c r="Q93" i="26"/>
  <c r="T93" i="26" s="1"/>
  <c r="U93" i="26" s="1"/>
  <c r="P93" i="26"/>
  <c r="R93" i="26"/>
  <c r="P121" i="26"/>
  <c r="Q121" i="26"/>
  <c r="T121" i="26" s="1"/>
  <c r="U121" i="26" s="1"/>
  <c r="O121" i="26"/>
  <c r="R121" i="26"/>
  <c r="S121" i="26" s="1"/>
  <c r="AC121" i="26" s="1"/>
  <c r="O133" i="26"/>
  <c r="Q133" i="26"/>
  <c r="AB133" i="26" s="1"/>
  <c r="R133" i="26"/>
  <c r="S133" i="26" s="1"/>
  <c r="AC133" i="26" s="1"/>
  <c r="P133" i="26"/>
  <c r="P145" i="26"/>
  <c r="Q145" i="26"/>
  <c r="R145" i="26"/>
  <c r="O145" i="26"/>
  <c r="O180" i="26"/>
  <c r="Q180" i="26"/>
  <c r="T180" i="26" s="1"/>
  <c r="U180" i="26" s="1"/>
  <c r="P180" i="26"/>
  <c r="R180" i="26"/>
  <c r="S180" i="26" s="1"/>
  <c r="O202" i="26"/>
  <c r="P202" i="26"/>
  <c r="Q202" i="26"/>
  <c r="R202" i="26"/>
  <c r="O234" i="26"/>
  <c r="P234" i="26"/>
  <c r="Q234" i="26"/>
  <c r="R234" i="26"/>
  <c r="R28" i="28"/>
  <c r="S28" i="28" s="1"/>
  <c r="AC28" i="28" s="1"/>
  <c r="O28" i="28"/>
  <c r="Q28" i="28"/>
  <c r="T28" i="28" s="1"/>
  <c r="U28" i="28" s="1"/>
  <c r="P28" i="28"/>
  <c r="P40" i="28"/>
  <c r="R40" i="28"/>
  <c r="S40" i="28" s="1"/>
  <c r="AC40" i="28" s="1"/>
  <c r="O40" i="28"/>
  <c r="Q40" i="28"/>
  <c r="T40" i="28" s="1"/>
  <c r="U40" i="28" s="1"/>
  <c r="R52" i="28"/>
  <c r="S52" i="28" s="1"/>
  <c r="AC52" i="28" s="1"/>
  <c r="Q52" i="28"/>
  <c r="T52" i="28" s="1"/>
  <c r="U52" i="28" s="1"/>
  <c r="P52" i="28"/>
  <c r="O52" i="28"/>
  <c r="P64" i="28"/>
  <c r="R64" i="28"/>
  <c r="S64" i="28" s="1"/>
  <c r="O64" i="28"/>
  <c r="Q64" i="28"/>
  <c r="R76" i="28"/>
  <c r="O76" i="28"/>
  <c r="Q76" i="28"/>
  <c r="P76" i="28"/>
  <c r="O102" i="28"/>
  <c r="Q102" i="28"/>
  <c r="P102" i="28"/>
  <c r="R102" i="28"/>
  <c r="S102" i="28" s="1"/>
  <c r="AC102" i="28" s="1"/>
  <c r="P126" i="28"/>
  <c r="O126" i="28"/>
  <c r="R126" i="28"/>
  <c r="S126" i="28" s="1"/>
  <c r="AC126" i="28" s="1"/>
  <c r="Q126" i="28"/>
  <c r="R138" i="28"/>
  <c r="S138" i="28" s="1"/>
  <c r="AC138" i="28" s="1"/>
  <c r="O138" i="28"/>
  <c r="P138" i="28"/>
  <c r="Q138" i="28"/>
  <c r="O150" i="28"/>
  <c r="P150" i="28"/>
  <c r="R150" i="28"/>
  <c r="Q150" i="28"/>
  <c r="O195" i="28"/>
  <c r="Q195" i="28"/>
  <c r="T195" i="28" s="1"/>
  <c r="U195" i="28" s="1"/>
  <c r="R195" i="28"/>
  <c r="P195" i="28"/>
  <c r="P207" i="28"/>
  <c r="O207" i="28"/>
  <c r="Q207" i="28"/>
  <c r="R207" i="28"/>
  <c r="S207" i="28" s="1"/>
  <c r="Q28" i="30"/>
  <c r="R28" i="30"/>
  <c r="S28" i="30" s="1"/>
  <c r="P28" i="30"/>
  <c r="O28" i="30"/>
  <c r="P40" i="30"/>
  <c r="Q40" i="30"/>
  <c r="R40" i="30"/>
  <c r="O40" i="30"/>
  <c r="O52" i="30"/>
  <c r="Q52" i="30"/>
  <c r="R52" i="30"/>
  <c r="S52" i="30" s="1"/>
  <c r="AC52" i="30" s="1"/>
  <c r="P52" i="30"/>
  <c r="O64" i="30"/>
  <c r="P64" i="30"/>
  <c r="R64" i="30"/>
  <c r="S64" i="30" s="1"/>
  <c r="AC64" i="30" s="1"/>
  <c r="Q64" i="30"/>
  <c r="O76" i="30"/>
  <c r="Q76" i="30"/>
  <c r="R76" i="30"/>
  <c r="S76" i="30" s="1"/>
  <c r="P76" i="30"/>
  <c r="P102" i="30"/>
  <c r="Q102" i="30"/>
  <c r="R102" i="30"/>
  <c r="S102" i="30" s="1"/>
  <c r="AC102" i="30" s="1"/>
  <c r="O102" i="30"/>
  <c r="R126" i="30"/>
  <c r="S126" i="30" s="1"/>
  <c r="AC126" i="30" s="1"/>
  <c r="O126" i="30"/>
  <c r="Q126" i="30"/>
  <c r="P126" i="30"/>
  <c r="O138" i="30"/>
  <c r="P138" i="30"/>
  <c r="R138" i="30"/>
  <c r="S138" i="30" s="1"/>
  <c r="Q138" i="30"/>
  <c r="Q150" i="30"/>
  <c r="T150" i="30" s="1"/>
  <c r="U150" i="30" s="1"/>
  <c r="R150" i="30"/>
  <c r="O150" i="30"/>
  <c r="P150" i="30"/>
  <c r="O195" i="30"/>
  <c r="Q195" i="30"/>
  <c r="R195" i="30"/>
  <c r="P195" i="30"/>
  <c r="R207" i="30"/>
  <c r="S207" i="30" s="1"/>
  <c r="O207" i="30"/>
  <c r="P207" i="30"/>
  <c r="Q207" i="30"/>
  <c r="O61" i="28"/>
  <c r="R61" i="28"/>
  <c r="S61" i="28" s="1"/>
  <c r="AC61" i="28" s="1"/>
  <c r="P61" i="28"/>
  <c r="Q61" i="28"/>
  <c r="O147" i="28"/>
  <c r="P147" i="28"/>
  <c r="Q147" i="28"/>
  <c r="T147" i="28" s="1"/>
  <c r="U147" i="28" s="1"/>
  <c r="R147" i="28"/>
  <c r="S147" i="28" s="1"/>
  <c r="O37" i="30"/>
  <c r="R37" i="30"/>
  <c r="Q37" i="30"/>
  <c r="P37" i="30"/>
  <c r="P73" i="30"/>
  <c r="R73" i="30"/>
  <c r="S73" i="30" s="1"/>
  <c r="O73" i="30"/>
  <c r="Q73" i="30"/>
  <c r="AB73" i="30" s="1"/>
  <c r="O135" i="30"/>
  <c r="P135" i="30"/>
  <c r="R135" i="30"/>
  <c r="S135" i="30" s="1"/>
  <c r="Q135" i="30"/>
  <c r="T135" i="30" s="1"/>
  <c r="U135" i="30" s="1"/>
  <c r="Q204" i="30"/>
  <c r="R204" i="30"/>
  <c r="S204" i="30" s="1"/>
  <c r="O204" i="30"/>
  <c r="P204" i="30"/>
  <c r="P69" i="26"/>
  <c r="Q69" i="26"/>
  <c r="AB69" i="26" s="1"/>
  <c r="O69" i="26"/>
  <c r="R69" i="26"/>
  <c r="S69" i="26" s="1"/>
  <c r="P62" i="28"/>
  <c r="R62" i="28"/>
  <c r="Q62" i="28"/>
  <c r="O62" i="28"/>
  <c r="P50" i="30"/>
  <c r="Q50" i="30"/>
  <c r="O50" i="30"/>
  <c r="R50" i="30"/>
  <c r="S50" i="30" s="1"/>
  <c r="AC50" i="30" s="1"/>
  <c r="Q74" i="30"/>
  <c r="O74" i="30"/>
  <c r="R74" i="30"/>
  <c r="S74" i="30" s="1"/>
  <c r="AC74" i="30" s="1"/>
  <c r="P74" i="30"/>
  <c r="O124" i="30"/>
  <c r="Q124" i="30"/>
  <c r="P124" i="30"/>
  <c r="R124" i="30"/>
  <c r="S124" i="30" s="1"/>
  <c r="P148" i="30"/>
  <c r="Q148" i="30"/>
  <c r="T148" i="30" s="1"/>
  <c r="U148" i="30" s="1"/>
  <c r="O148" i="30"/>
  <c r="R148" i="30"/>
  <c r="S148" i="30" s="1"/>
  <c r="P205" i="30"/>
  <c r="R205" i="30"/>
  <c r="S205" i="30" s="1"/>
  <c r="O205" i="30"/>
  <c r="Q205" i="30"/>
  <c r="T205" i="30" s="1"/>
  <c r="U205" i="30" s="1"/>
  <c r="O34" i="26"/>
  <c r="R34" i="26"/>
  <c r="S34" i="26" s="1"/>
  <c r="AC34" i="26" s="1"/>
  <c r="P34" i="26"/>
  <c r="Q34" i="26"/>
  <c r="P70" i="26"/>
  <c r="Q70" i="26"/>
  <c r="R70" i="26"/>
  <c r="S70" i="26" s="1"/>
  <c r="AC70" i="26" s="1"/>
  <c r="O70" i="26"/>
  <c r="P144" i="26"/>
  <c r="Q144" i="26"/>
  <c r="R144" i="26"/>
  <c r="O144" i="26"/>
  <c r="O27" i="28"/>
  <c r="Q27" i="28"/>
  <c r="P27" i="28"/>
  <c r="R27" i="28"/>
  <c r="S27" i="28" s="1"/>
  <c r="AC27" i="28" s="1"/>
  <c r="O125" i="28"/>
  <c r="P125" i="28"/>
  <c r="Q125" i="28"/>
  <c r="R125" i="28"/>
  <c r="S125" i="28" s="1"/>
  <c r="AC125" i="28" s="1"/>
  <c r="O36" i="26"/>
  <c r="Q36" i="26"/>
  <c r="T36" i="26" s="1"/>
  <c r="U36" i="26" s="1"/>
  <c r="R36" i="26"/>
  <c r="S36" i="26" s="1"/>
  <c r="AC36" i="26" s="1"/>
  <c r="P36" i="26"/>
  <c r="Q48" i="26"/>
  <c r="T48" i="26" s="1"/>
  <c r="U48" i="26" s="1"/>
  <c r="R48" i="26"/>
  <c r="O48" i="26"/>
  <c r="P48" i="26"/>
  <c r="O60" i="26"/>
  <c r="P60" i="26"/>
  <c r="Q60" i="26"/>
  <c r="R60" i="26"/>
  <c r="O72" i="26"/>
  <c r="P72" i="26"/>
  <c r="R72" i="26"/>
  <c r="S72" i="26" s="1"/>
  <c r="Q72" i="26"/>
  <c r="T72" i="26" s="1"/>
  <c r="U72" i="26" s="1"/>
  <c r="O122" i="26"/>
  <c r="Q122" i="26"/>
  <c r="T122" i="26" s="1"/>
  <c r="U122" i="26" s="1"/>
  <c r="P122" i="26"/>
  <c r="R122" i="26"/>
  <c r="S122" i="26" s="1"/>
  <c r="R134" i="26"/>
  <c r="S134" i="26" s="1"/>
  <c r="O134" i="26"/>
  <c r="P134" i="26"/>
  <c r="Q134" i="26"/>
  <c r="O146" i="26"/>
  <c r="Q146" i="26"/>
  <c r="P146" i="26"/>
  <c r="R146" i="26"/>
  <c r="S146" i="26" s="1"/>
  <c r="AC146" i="26" s="1"/>
  <c r="O181" i="26"/>
  <c r="R181" i="26"/>
  <c r="S181" i="26" s="1"/>
  <c r="AC181" i="26" s="1"/>
  <c r="P181" i="26"/>
  <c r="Q181" i="26"/>
  <c r="AB181" i="26" s="1"/>
  <c r="P203" i="26"/>
  <c r="Q203" i="26"/>
  <c r="O203" i="26"/>
  <c r="R203" i="26"/>
  <c r="S203" i="26" s="1"/>
  <c r="O29" i="28"/>
  <c r="Q29" i="28"/>
  <c r="P29" i="28"/>
  <c r="R29" i="28"/>
  <c r="P41" i="28"/>
  <c r="O41" i="28"/>
  <c r="Q41" i="28"/>
  <c r="T41" i="28" s="1"/>
  <c r="U41" i="28" s="1"/>
  <c r="R41" i="28"/>
  <c r="O53" i="28"/>
  <c r="R53" i="28"/>
  <c r="S53" i="28" s="1"/>
  <c r="AC53" i="28" s="1"/>
  <c r="P53" i="28"/>
  <c r="Q53" i="28"/>
  <c r="P65" i="28"/>
  <c r="O65" i="28"/>
  <c r="Q65" i="28"/>
  <c r="AB65" i="28" s="1"/>
  <c r="R65" i="28"/>
  <c r="S65" i="28" s="1"/>
  <c r="Q81" i="28"/>
  <c r="O81" i="28"/>
  <c r="P81" i="28"/>
  <c r="R81" i="28"/>
  <c r="R103" i="28"/>
  <c r="Q103" i="28"/>
  <c r="O103" i="28"/>
  <c r="P103" i="28"/>
  <c r="O127" i="28"/>
  <c r="Q127" i="28"/>
  <c r="R127" i="28"/>
  <c r="S127" i="28" s="1"/>
  <c r="AC127" i="28" s="1"/>
  <c r="P127" i="28"/>
  <c r="O139" i="28"/>
  <c r="P139" i="28"/>
  <c r="R139" i="28"/>
  <c r="Q139" i="28"/>
  <c r="O151" i="28"/>
  <c r="Q151" i="28"/>
  <c r="R151" i="28"/>
  <c r="S151" i="28" s="1"/>
  <c r="AC151" i="28" s="1"/>
  <c r="P151" i="28"/>
  <c r="Q196" i="28"/>
  <c r="T196" i="28" s="1"/>
  <c r="U196" i="28" s="1"/>
  <c r="R196" i="28"/>
  <c r="S196" i="28" s="1"/>
  <c r="P196" i="28"/>
  <c r="O196" i="28"/>
  <c r="Q210" i="28"/>
  <c r="R210" i="28"/>
  <c r="S210" i="28" s="1"/>
  <c r="AC210" i="28" s="1"/>
  <c r="O210" i="28"/>
  <c r="P210" i="28"/>
  <c r="Q29" i="30"/>
  <c r="T29" i="30" s="1"/>
  <c r="U29" i="30" s="1"/>
  <c r="R29" i="30"/>
  <c r="S29" i="30" s="1"/>
  <c r="AC29" i="30" s="1"/>
  <c r="P29" i="30"/>
  <c r="O29" i="30"/>
  <c r="P41" i="30"/>
  <c r="R41" i="30"/>
  <c r="S41" i="30" s="1"/>
  <c r="AC41" i="30" s="1"/>
  <c r="O41" i="30"/>
  <c r="Q41" i="30"/>
  <c r="T41" i="30" s="1"/>
  <c r="U41" i="30" s="1"/>
  <c r="O53" i="30"/>
  <c r="P53" i="30"/>
  <c r="Q53" i="30"/>
  <c r="R53" i="30"/>
  <c r="S53" i="30" s="1"/>
  <c r="AC53" i="30" s="1"/>
  <c r="O65" i="30"/>
  <c r="P65" i="30"/>
  <c r="Q65" i="30"/>
  <c r="R65" i="30"/>
  <c r="S65" i="30" s="1"/>
  <c r="AC65" i="30" s="1"/>
  <c r="O81" i="30"/>
  <c r="P81" i="30"/>
  <c r="Q81" i="30"/>
  <c r="T81" i="30" s="1"/>
  <c r="U81" i="30" s="1"/>
  <c r="R81" i="30"/>
  <c r="P103" i="30"/>
  <c r="R103" i="30"/>
  <c r="O103" i="30"/>
  <c r="Q103" i="30"/>
  <c r="O127" i="30"/>
  <c r="P127" i="30"/>
  <c r="Q127" i="30"/>
  <c r="R127" i="30"/>
  <c r="S127" i="30" s="1"/>
  <c r="AC127" i="30" s="1"/>
  <c r="R139" i="30"/>
  <c r="S139" i="30" s="1"/>
  <c r="O139" i="30"/>
  <c r="P139" i="30"/>
  <c r="Q139" i="30"/>
  <c r="T139" i="30" s="1"/>
  <c r="U139" i="30" s="1"/>
  <c r="O151" i="30"/>
  <c r="Q151" i="30"/>
  <c r="R151" i="30"/>
  <c r="S151" i="30" s="1"/>
  <c r="AC151" i="30" s="1"/>
  <c r="P151" i="30"/>
  <c r="O196" i="30"/>
  <c r="P196" i="30"/>
  <c r="Q196" i="30"/>
  <c r="T196" i="30" s="1"/>
  <c r="U196" i="30" s="1"/>
  <c r="R196" i="30"/>
  <c r="S196" i="30" s="1"/>
  <c r="O210" i="30"/>
  <c r="Q210" i="30"/>
  <c r="T210" i="30" s="1"/>
  <c r="U210" i="30" s="1"/>
  <c r="P210" i="30"/>
  <c r="R210" i="30"/>
  <c r="S210" i="30" s="1"/>
  <c r="O44" i="26"/>
  <c r="P44" i="26"/>
  <c r="Q44" i="26"/>
  <c r="R44" i="26"/>
  <c r="S44" i="26" s="1"/>
  <c r="AC44" i="26" s="1"/>
  <c r="R106" i="26"/>
  <c r="S106" i="26" s="1"/>
  <c r="AC106" i="26" s="1"/>
  <c r="P106" i="26"/>
  <c r="Q106" i="26"/>
  <c r="T106" i="26" s="1"/>
  <c r="U106" i="26" s="1"/>
  <c r="O106" i="26"/>
  <c r="O199" i="26"/>
  <c r="R199" i="26"/>
  <c r="P199" i="26"/>
  <c r="Q199" i="26"/>
  <c r="AB199" i="26" s="1"/>
  <c r="R25" i="28"/>
  <c r="S25" i="28" s="1"/>
  <c r="AC25" i="28" s="1"/>
  <c r="O25" i="28"/>
  <c r="P25" i="28"/>
  <c r="Q25" i="28"/>
  <c r="T25" i="28" s="1"/>
  <c r="U25" i="28" s="1"/>
  <c r="P99" i="28"/>
  <c r="R99" i="28"/>
  <c r="S99" i="28" s="1"/>
  <c r="AC99" i="28" s="1"/>
  <c r="O99" i="28"/>
  <c r="Q99" i="28"/>
  <c r="Q147" i="30"/>
  <c r="R147" i="30"/>
  <c r="O147" i="30"/>
  <c r="P147" i="30"/>
  <c r="P33" i="26"/>
  <c r="R33" i="26"/>
  <c r="S33" i="26" s="1"/>
  <c r="O33" i="26"/>
  <c r="Q33" i="26"/>
  <c r="T33" i="26" s="1"/>
  <c r="U33" i="26" s="1"/>
  <c r="O107" i="26"/>
  <c r="Q107" i="26"/>
  <c r="P107" i="26"/>
  <c r="R107" i="26"/>
  <c r="S107" i="26" s="1"/>
  <c r="O178" i="26"/>
  <c r="Q178" i="26"/>
  <c r="R178" i="26"/>
  <c r="P178" i="26"/>
  <c r="Q26" i="30"/>
  <c r="AB26" i="30" s="1"/>
  <c r="R26" i="30"/>
  <c r="S26" i="30" s="1"/>
  <c r="AC26" i="30" s="1"/>
  <c r="P26" i="30"/>
  <c r="O26" i="30"/>
  <c r="P46" i="26"/>
  <c r="R46" i="26"/>
  <c r="S46" i="26" s="1"/>
  <c r="O46" i="26"/>
  <c r="Q46" i="26"/>
  <c r="T46" i="26" s="1"/>
  <c r="U46" i="26" s="1"/>
  <c r="P86" i="26"/>
  <c r="Q86" i="26"/>
  <c r="O86" i="26"/>
  <c r="R86" i="26"/>
  <c r="S86" i="26" s="1"/>
  <c r="AC86" i="26" s="1"/>
  <c r="O132" i="26"/>
  <c r="P132" i="26"/>
  <c r="R132" i="26"/>
  <c r="S132" i="26" s="1"/>
  <c r="Q132" i="26"/>
  <c r="AB132" i="26" s="1"/>
  <c r="O201" i="26"/>
  <c r="Q201" i="26"/>
  <c r="T201" i="26" s="1"/>
  <c r="U201" i="26" s="1"/>
  <c r="R201" i="26"/>
  <c r="S201" i="26" s="1"/>
  <c r="P201" i="26"/>
  <c r="O51" i="28"/>
  <c r="Q51" i="28"/>
  <c r="T51" i="28" s="1"/>
  <c r="U51" i="28" s="1"/>
  <c r="P51" i="28"/>
  <c r="R51" i="28"/>
  <c r="S51" i="28" s="1"/>
  <c r="O75" i="28"/>
  <c r="Q75" i="28"/>
  <c r="T75" i="28" s="1"/>
  <c r="U75" i="28" s="1"/>
  <c r="P75" i="28"/>
  <c r="R75" i="28"/>
  <c r="O137" i="28"/>
  <c r="P137" i="28"/>
  <c r="Q137" i="28"/>
  <c r="R137" i="28"/>
  <c r="W194" i="28"/>
  <c r="O194" i="28"/>
  <c r="Q194" i="28"/>
  <c r="R194" i="28"/>
  <c r="P194" i="28"/>
  <c r="P20" i="26"/>
  <c r="Q20" i="26"/>
  <c r="T20" i="26" s="1"/>
  <c r="U20" i="26" s="1"/>
  <c r="R20" i="26"/>
  <c r="O20" i="26"/>
  <c r="R98" i="26"/>
  <c r="S98" i="26" s="1"/>
  <c r="O98" i="26"/>
  <c r="Q98" i="26"/>
  <c r="P98" i="26"/>
  <c r="O25" i="26"/>
  <c r="Q25" i="26"/>
  <c r="R25" i="26"/>
  <c r="S25" i="26" s="1"/>
  <c r="AC25" i="26" s="1"/>
  <c r="P25" i="26"/>
  <c r="O37" i="26"/>
  <c r="Q37" i="26"/>
  <c r="R37" i="26"/>
  <c r="P37" i="26"/>
  <c r="O49" i="26"/>
  <c r="Q49" i="26"/>
  <c r="T49" i="26" s="1"/>
  <c r="U49" i="26" s="1"/>
  <c r="R49" i="26"/>
  <c r="S49" i="26" s="1"/>
  <c r="AC49" i="26" s="1"/>
  <c r="P49" i="26"/>
  <c r="Q61" i="26"/>
  <c r="R61" i="26"/>
  <c r="S61" i="26" s="1"/>
  <c r="AC61" i="26" s="1"/>
  <c r="P61" i="26"/>
  <c r="O61" i="26"/>
  <c r="O73" i="26"/>
  <c r="P73" i="26"/>
  <c r="Q73" i="26"/>
  <c r="R73" i="26"/>
  <c r="S73" i="26" s="1"/>
  <c r="O99" i="26"/>
  <c r="Q99" i="26"/>
  <c r="T99" i="26" s="1"/>
  <c r="U99" i="26" s="1"/>
  <c r="P99" i="26"/>
  <c r="R99" i="26"/>
  <c r="S99" i="26" s="1"/>
  <c r="O123" i="26"/>
  <c r="P123" i="26"/>
  <c r="Q123" i="26"/>
  <c r="R123" i="26"/>
  <c r="S123" i="26" s="1"/>
  <c r="O135" i="26"/>
  <c r="Q135" i="26"/>
  <c r="T135" i="26" s="1"/>
  <c r="U135" i="26" s="1"/>
  <c r="P135" i="26"/>
  <c r="R135" i="26"/>
  <c r="S135" i="26" s="1"/>
  <c r="P147" i="26"/>
  <c r="Q147" i="26"/>
  <c r="O147" i="26"/>
  <c r="R147" i="26"/>
  <c r="S147" i="26" s="1"/>
  <c r="AC147" i="26" s="1"/>
  <c r="P182" i="26"/>
  <c r="Q182" i="26"/>
  <c r="O182" i="26"/>
  <c r="R182" i="26"/>
  <c r="S182" i="26" s="1"/>
  <c r="AC182" i="26" s="1"/>
  <c r="O204" i="26"/>
  <c r="Q204" i="26"/>
  <c r="AB204" i="26" s="1"/>
  <c r="R204" i="26"/>
  <c r="S204" i="26" s="1"/>
  <c r="P204" i="26"/>
  <c r="P30" i="28"/>
  <c r="O30" i="28"/>
  <c r="Q30" i="28"/>
  <c r="R30" i="28"/>
  <c r="S30" i="28" s="1"/>
  <c r="AC30" i="28" s="1"/>
  <c r="P42" i="28"/>
  <c r="O42" i="28"/>
  <c r="Q42" i="28"/>
  <c r="R42" i="28"/>
  <c r="S42" i="28" s="1"/>
  <c r="AC42" i="28" s="1"/>
  <c r="O54" i="28"/>
  <c r="Q54" i="28"/>
  <c r="P54" i="28"/>
  <c r="R54" i="28"/>
  <c r="S54" i="28" s="1"/>
  <c r="P66" i="28"/>
  <c r="O66" i="28"/>
  <c r="Q66" i="28"/>
  <c r="R66" i="28"/>
  <c r="S66" i="28" s="1"/>
  <c r="AC66" i="28" s="1"/>
  <c r="P82" i="28"/>
  <c r="O82" i="28"/>
  <c r="Q82" i="28"/>
  <c r="R82" i="28"/>
  <c r="S82" i="28" s="1"/>
  <c r="AC82" i="28" s="1"/>
  <c r="P104" i="28"/>
  <c r="R104" i="28"/>
  <c r="S104" i="28" s="1"/>
  <c r="O104" i="28"/>
  <c r="Q104" i="28"/>
  <c r="T104" i="28" s="1"/>
  <c r="U104" i="28" s="1"/>
  <c r="O128" i="28"/>
  <c r="P128" i="28"/>
  <c r="R128" i="28"/>
  <c r="S128" i="28" s="1"/>
  <c r="Q128" i="28"/>
  <c r="AB128" i="28" s="1"/>
  <c r="P140" i="28"/>
  <c r="Q140" i="28"/>
  <c r="T140" i="28" s="1"/>
  <c r="U140" i="28" s="1"/>
  <c r="R140" i="28"/>
  <c r="S140" i="28" s="1"/>
  <c r="AC140" i="28" s="1"/>
  <c r="O140" i="28"/>
  <c r="O176" i="28"/>
  <c r="P176" i="28"/>
  <c r="Q176" i="28"/>
  <c r="R176" i="28"/>
  <c r="S176" i="28" s="1"/>
  <c r="O197" i="28"/>
  <c r="Q197" i="28"/>
  <c r="R197" i="28"/>
  <c r="S197" i="28" s="1"/>
  <c r="P197" i="28"/>
  <c r="O211" i="28"/>
  <c r="Q211" i="28"/>
  <c r="R211" i="28"/>
  <c r="P211" i="28"/>
  <c r="P30" i="30"/>
  <c r="R30" i="30"/>
  <c r="S30" i="30" s="1"/>
  <c r="AC30" i="30" s="1"/>
  <c r="O30" i="30"/>
  <c r="Q30" i="30"/>
  <c r="O42" i="30"/>
  <c r="P42" i="30"/>
  <c r="Q42" i="30"/>
  <c r="AB42" i="30" s="1"/>
  <c r="R42" i="30"/>
  <c r="S42" i="30" s="1"/>
  <c r="AC42" i="30" s="1"/>
  <c r="R54" i="30"/>
  <c r="Q54" i="30"/>
  <c r="T54" i="30" s="1"/>
  <c r="U54" i="30" s="1"/>
  <c r="O54" i="30"/>
  <c r="P54" i="30"/>
  <c r="Q66" i="30"/>
  <c r="AB66" i="30" s="1"/>
  <c r="O66" i="30"/>
  <c r="R66" i="30"/>
  <c r="S66" i="30" s="1"/>
  <c r="AC66" i="30" s="1"/>
  <c r="P66" i="30"/>
  <c r="P82" i="30"/>
  <c r="R82" i="30"/>
  <c r="S82" i="30" s="1"/>
  <c r="AC82" i="30" s="1"/>
  <c r="O82" i="30"/>
  <c r="Q82" i="30"/>
  <c r="O104" i="30"/>
  <c r="Q104" i="30"/>
  <c r="P104" i="30"/>
  <c r="R104" i="30"/>
  <c r="S104" i="30" s="1"/>
  <c r="AC104" i="30" s="1"/>
  <c r="P128" i="30"/>
  <c r="Q128" i="30"/>
  <c r="O128" i="30"/>
  <c r="R128" i="30"/>
  <c r="S128" i="30" s="1"/>
  <c r="AC128" i="30" s="1"/>
  <c r="P140" i="30"/>
  <c r="O140" i="30"/>
  <c r="Q140" i="30"/>
  <c r="T140" i="30" s="1"/>
  <c r="U140" i="30" s="1"/>
  <c r="R140" i="30"/>
  <c r="S140" i="30" s="1"/>
  <c r="O176" i="30"/>
  <c r="Q176" i="30"/>
  <c r="T176" i="30" s="1"/>
  <c r="U176" i="30" s="1"/>
  <c r="R176" i="30"/>
  <c r="S176" i="30" s="1"/>
  <c r="P176" i="30"/>
  <c r="P197" i="30"/>
  <c r="R197" i="30"/>
  <c r="S197" i="30" s="1"/>
  <c r="Q197" i="30"/>
  <c r="O197" i="30"/>
  <c r="O211" i="30"/>
  <c r="P211" i="30"/>
  <c r="R211" i="30"/>
  <c r="S211" i="30" s="1"/>
  <c r="AC211" i="30" s="1"/>
  <c r="Q211" i="30"/>
  <c r="T211" i="30" s="1"/>
  <c r="U211" i="30" s="1"/>
  <c r="O130" i="26"/>
  <c r="Q130" i="26"/>
  <c r="T130" i="26" s="1"/>
  <c r="U130" i="26" s="1"/>
  <c r="P130" i="26"/>
  <c r="R130" i="26"/>
  <c r="S130" i="26" s="1"/>
  <c r="AC130" i="26" s="1"/>
  <c r="P204" i="28"/>
  <c r="Q204" i="28"/>
  <c r="R204" i="28"/>
  <c r="S204" i="28" s="1"/>
  <c r="O204" i="28"/>
  <c r="O143" i="26"/>
  <c r="Q143" i="26"/>
  <c r="P143" i="26"/>
  <c r="R143" i="26"/>
  <c r="S143" i="26" s="1"/>
  <c r="AC143" i="26" s="1"/>
  <c r="O62" i="26"/>
  <c r="Q62" i="26"/>
  <c r="R62" i="26"/>
  <c r="S62" i="26" s="1"/>
  <c r="AC62" i="26" s="1"/>
  <c r="P62" i="26"/>
  <c r="O43" i="28"/>
  <c r="Q43" i="28"/>
  <c r="P43" i="28"/>
  <c r="R43" i="28"/>
  <c r="S43" i="28" s="1"/>
  <c r="AC43" i="28" s="1"/>
  <c r="P55" i="30"/>
  <c r="R55" i="30"/>
  <c r="O55" i="30"/>
  <c r="Q55" i="30"/>
  <c r="T55" i="30" s="1"/>
  <c r="U55" i="30" s="1"/>
  <c r="W214" i="30"/>
  <c r="Q214" i="30"/>
  <c r="AA214" i="30" s="1"/>
  <c r="O214" i="30"/>
  <c r="P214" i="30"/>
  <c r="R214" i="30"/>
  <c r="P27" i="26"/>
  <c r="Q27" i="26"/>
  <c r="AB27" i="26" s="1"/>
  <c r="O27" i="26"/>
  <c r="R27" i="26"/>
  <c r="O39" i="26"/>
  <c r="P39" i="26"/>
  <c r="Q39" i="26"/>
  <c r="T39" i="26" s="1"/>
  <c r="U39" i="26" s="1"/>
  <c r="R39" i="26"/>
  <c r="S39" i="26" s="1"/>
  <c r="AC39" i="26" s="1"/>
  <c r="O51" i="26"/>
  <c r="P51" i="26"/>
  <c r="R51" i="26"/>
  <c r="S51" i="26" s="1"/>
  <c r="Q51" i="26"/>
  <c r="O63" i="26"/>
  <c r="P63" i="26"/>
  <c r="R63" i="26"/>
  <c r="S63" i="26" s="1"/>
  <c r="AC63" i="26" s="1"/>
  <c r="Q63" i="26"/>
  <c r="AB63" i="26" s="1"/>
  <c r="P75" i="26"/>
  <c r="R75" i="26"/>
  <c r="S75" i="26" s="1"/>
  <c r="O75" i="26"/>
  <c r="Q75" i="26"/>
  <c r="T75" i="26" s="1"/>
  <c r="U75" i="26" s="1"/>
  <c r="Q101" i="26"/>
  <c r="AB101" i="26" s="1"/>
  <c r="R101" i="26"/>
  <c r="S101" i="26" s="1"/>
  <c r="AC101" i="26" s="1"/>
  <c r="O101" i="26"/>
  <c r="P101" i="26"/>
  <c r="O125" i="26"/>
  <c r="Q125" i="26"/>
  <c r="T125" i="26" s="1"/>
  <c r="U125" i="26" s="1"/>
  <c r="P125" i="26"/>
  <c r="R125" i="26"/>
  <c r="R137" i="26"/>
  <c r="S137" i="26" s="1"/>
  <c r="O137" i="26"/>
  <c r="P137" i="26"/>
  <c r="Q137" i="26"/>
  <c r="AB137" i="26" s="1"/>
  <c r="P149" i="26"/>
  <c r="R149" i="26"/>
  <c r="S149" i="26" s="1"/>
  <c r="AC149" i="26" s="1"/>
  <c r="Q149" i="26"/>
  <c r="O149" i="26"/>
  <c r="W194" i="26"/>
  <c r="P194" i="26"/>
  <c r="Q194" i="26"/>
  <c r="R194" i="26"/>
  <c r="O194" i="26"/>
  <c r="P206" i="26"/>
  <c r="Q206" i="26"/>
  <c r="R206" i="26"/>
  <c r="O206" i="26"/>
  <c r="P32" i="28"/>
  <c r="R32" i="28"/>
  <c r="S32" i="28" s="1"/>
  <c r="AC32" i="28" s="1"/>
  <c r="O32" i="28"/>
  <c r="Q32" i="28"/>
  <c r="O44" i="28"/>
  <c r="P44" i="28"/>
  <c r="Q44" i="28"/>
  <c r="R44" i="28"/>
  <c r="S44" i="28" s="1"/>
  <c r="Q56" i="28"/>
  <c r="T56" i="28" s="1"/>
  <c r="U56" i="28" s="1"/>
  <c r="P56" i="28"/>
  <c r="R56" i="28"/>
  <c r="O56" i="28"/>
  <c r="O68" i="28"/>
  <c r="P68" i="28"/>
  <c r="Q68" i="28"/>
  <c r="T68" i="28" s="1"/>
  <c r="U68" i="28" s="1"/>
  <c r="R68" i="28"/>
  <c r="S68" i="28" s="1"/>
  <c r="AC68" i="28" s="1"/>
  <c r="P84" i="28"/>
  <c r="R84" i="28"/>
  <c r="S84" i="28" s="1"/>
  <c r="O84" i="28"/>
  <c r="Q84" i="28"/>
  <c r="T84" i="28" s="1"/>
  <c r="U84" i="28" s="1"/>
  <c r="P106" i="28"/>
  <c r="O106" i="28"/>
  <c r="Q106" i="28"/>
  <c r="R106" i="28"/>
  <c r="S106" i="28" s="1"/>
  <c r="AC106" i="28" s="1"/>
  <c r="O130" i="28"/>
  <c r="R130" i="28"/>
  <c r="S130" i="28" s="1"/>
  <c r="Q130" i="28"/>
  <c r="T130" i="28" s="1"/>
  <c r="U130" i="28" s="1"/>
  <c r="P130" i="28"/>
  <c r="O142" i="28"/>
  <c r="Q142" i="28"/>
  <c r="T142" i="28" s="1"/>
  <c r="U142" i="28" s="1"/>
  <c r="R142" i="28"/>
  <c r="S142" i="28" s="1"/>
  <c r="AC142" i="28" s="1"/>
  <c r="P142" i="28"/>
  <c r="O184" i="28"/>
  <c r="R184" i="28"/>
  <c r="S184" i="28" s="1"/>
  <c r="P184" i="28"/>
  <c r="Q184" i="28"/>
  <c r="T184" i="28" s="1"/>
  <c r="U184" i="28" s="1"/>
  <c r="Q199" i="28"/>
  <c r="R199" i="28"/>
  <c r="S199" i="28" s="1"/>
  <c r="O199" i="28"/>
  <c r="P199" i="28"/>
  <c r="Q219" i="28"/>
  <c r="O219" i="28"/>
  <c r="P219" i="28"/>
  <c r="R219" i="28"/>
  <c r="P32" i="30"/>
  <c r="Q32" i="30"/>
  <c r="AB32" i="30" s="1"/>
  <c r="O32" i="30"/>
  <c r="R32" i="30"/>
  <c r="S32" i="30" s="1"/>
  <c r="R44" i="30"/>
  <c r="S44" i="30" s="1"/>
  <c r="P44" i="30"/>
  <c r="Q44" i="30"/>
  <c r="O44" i="30"/>
  <c r="O56" i="30"/>
  <c r="P56" i="30"/>
  <c r="Q56" i="30"/>
  <c r="AB56" i="30" s="1"/>
  <c r="R56" i="30"/>
  <c r="S56" i="30" s="1"/>
  <c r="AC56" i="30" s="1"/>
  <c r="O68" i="30"/>
  <c r="P68" i="30"/>
  <c r="Q68" i="30"/>
  <c r="AB68" i="30" s="1"/>
  <c r="R68" i="30"/>
  <c r="S68" i="30" s="1"/>
  <c r="O84" i="30"/>
  <c r="P84" i="30"/>
  <c r="R84" i="30"/>
  <c r="S84" i="30" s="1"/>
  <c r="AC84" i="30" s="1"/>
  <c r="Q84" i="30"/>
  <c r="T84" i="30" s="1"/>
  <c r="U84" i="30" s="1"/>
  <c r="R106" i="30"/>
  <c r="S106" i="30" s="1"/>
  <c r="AC106" i="30" s="1"/>
  <c r="P106" i="30"/>
  <c r="Q106" i="30"/>
  <c r="O106" i="30"/>
  <c r="O130" i="30"/>
  <c r="Q130" i="30"/>
  <c r="T130" i="30" s="1"/>
  <c r="U130" i="30" s="1"/>
  <c r="R130" i="30"/>
  <c r="P130" i="30"/>
  <c r="Q142" i="30"/>
  <c r="P142" i="30"/>
  <c r="R142" i="30"/>
  <c r="S142" i="30" s="1"/>
  <c r="AC142" i="30" s="1"/>
  <c r="O142" i="30"/>
  <c r="P184" i="30"/>
  <c r="R184" i="30"/>
  <c r="S184" i="30" s="1"/>
  <c r="O184" i="30"/>
  <c r="Q184" i="30"/>
  <c r="O199" i="30"/>
  <c r="P199" i="30"/>
  <c r="R199" i="30"/>
  <c r="S199" i="30" s="1"/>
  <c r="Q199" i="30"/>
  <c r="AB199" i="30" s="1"/>
  <c r="P219" i="30"/>
  <c r="Q219" i="30"/>
  <c r="O219" i="30"/>
  <c r="R219" i="30"/>
  <c r="P49" i="28"/>
  <c r="O49" i="28"/>
  <c r="Q49" i="28"/>
  <c r="R49" i="28"/>
  <c r="S49" i="28" s="1"/>
  <c r="AC49" i="28" s="1"/>
  <c r="P73" i="28"/>
  <c r="O73" i="28"/>
  <c r="Q73" i="28"/>
  <c r="R73" i="28"/>
  <c r="S73" i="28" s="1"/>
  <c r="P182" i="28"/>
  <c r="Q182" i="28"/>
  <c r="T182" i="28" s="1"/>
  <c r="U182" i="28" s="1"/>
  <c r="R182" i="28"/>
  <c r="O182" i="28"/>
  <c r="Q61" i="30"/>
  <c r="P61" i="30"/>
  <c r="O61" i="30"/>
  <c r="R61" i="30"/>
  <c r="S61" i="30" s="1"/>
  <c r="AC61" i="30" s="1"/>
  <c r="O123" i="30"/>
  <c r="Q123" i="30"/>
  <c r="R123" i="30"/>
  <c r="S123" i="30" s="1"/>
  <c r="AC123" i="30" s="1"/>
  <c r="P123" i="30"/>
  <c r="O182" i="30"/>
  <c r="Q182" i="30"/>
  <c r="P182" i="30"/>
  <c r="R182" i="30"/>
  <c r="S182" i="30" s="1"/>
  <c r="R45" i="26"/>
  <c r="S45" i="26" s="1"/>
  <c r="AC45" i="26" s="1"/>
  <c r="O45" i="26"/>
  <c r="P45" i="26"/>
  <c r="Q45" i="26"/>
  <c r="Q232" i="26"/>
  <c r="R232" i="26"/>
  <c r="S232" i="26" s="1"/>
  <c r="AC232" i="26" s="1"/>
  <c r="P232" i="26"/>
  <c r="O232" i="26"/>
  <c r="O148" i="28"/>
  <c r="P148" i="28"/>
  <c r="Q148" i="28"/>
  <c r="R148" i="28"/>
  <c r="S148" i="28" s="1"/>
  <c r="AC148" i="28" s="1"/>
  <c r="O38" i="30"/>
  <c r="Q38" i="30"/>
  <c r="R38" i="30"/>
  <c r="S38" i="30" s="1"/>
  <c r="AC38" i="30" s="1"/>
  <c r="P38" i="30"/>
  <c r="P62" i="30"/>
  <c r="Q62" i="30"/>
  <c r="O62" i="30"/>
  <c r="R62" i="30"/>
  <c r="S62" i="30" s="1"/>
  <c r="AC62" i="30" s="1"/>
  <c r="O136" i="30"/>
  <c r="P136" i="30"/>
  <c r="Q136" i="30"/>
  <c r="R136" i="30"/>
  <c r="S136" i="30" s="1"/>
  <c r="O183" i="30"/>
  <c r="Q183" i="30"/>
  <c r="P183" i="30"/>
  <c r="R183" i="30"/>
  <c r="O38" i="26"/>
  <c r="Q38" i="26"/>
  <c r="R38" i="26"/>
  <c r="S38" i="26" s="1"/>
  <c r="AC38" i="26" s="1"/>
  <c r="P38" i="26"/>
  <c r="O129" i="28"/>
  <c r="P129" i="28"/>
  <c r="Q129" i="28"/>
  <c r="T129" i="28" s="1"/>
  <c r="U129" i="28" s="1"/>
  <c r="R129" i="28"/>
  <c r="O105" i="30"/>
  <c r="P105" i="30"/>
  <c r="Q105" i="30"/>
  <c r="T105" i="30" s="1"/>
  <c r="U105" i="30" s="1"/>
  <c r="R105" i="30"/>
  <c r="S105" i="30" s="1"/>
  <c r="AC105" i="30" s="1"/>
  <c r="O28" i="26"/>
  <c r="Q28" i="26"/>
  <c r="R28" i="26"/>
  <c r="P28" i="26"/>
  <c r="Q40" i="26"/>
  <c r="T40" i="26" s="1"/>
  <c r="U40" i="26" s="1"/>
  <c r="R40" i="26"/>
  <c r="S40" i="26" s="1"/>
  <c r="AC40" i="26" s="1"/>
  <c r="O40" i="26"/>
  <c r="P40" i="26"/>
  <c r="O52" i="26"/>
  <c r="P52" i="26"/>
  <c r="Q52" i="26"/>
  <c r="R52" i="26"/>
  <c r="S52" i="26" s="1"/>
  <c r="AC52" i="26" s="1"/>
  <c r="O64" i="26"/>
  <c r="P64" i="26"/>
  <c r="R64" i="26"/>
  <c r="S64" i="26" s="1"/>
  <c r="AC64" i="26" s="1"/>
  <c r="Q64" i="26"/>
  <c r="O76" i="26"/>
  <c r="P76" i="26"/>
  <c r="Q76" i="26"/>
  <c r="R76" i="26"/>
  <c r="S76" i="26" s="1"/>
  <c r="AC76" i="26" s="1"/>
  <c r="O102" i="26"/>
  <c r="Q102" i="26"/>
  <c r="T102" i="26" s="1"/>
  <c r="U102" i="26" s="1"/>
  <c r="P102" i="26"/>
  <c r="R102" i="26"/>
  <c r="S102" i="26" s="1"/>
  <c r="P126" i="26"/>
  <c r="Q126" i="26"/>
  <c r="R126" i="26"/>
  <c r="O126" i="26"/>
  <c r="P138" i="26"/>
  <c r="R138" i="26"/>
  <c r="S138" i="26" s="1"/>
  <c r="AC138" i="26" s="1"/>
  <c r="Q138" i="26"/>
  <c r="T138" i="26" s="1"/>
  <c r="U138" i="26" s="1"/>
  <c r="O138" i="26"/>
  <c r="R150" i="26"/>
  <c r="S150" i="26" s="1"/>
  <c r="AC150" i="26" s="1"/>
  <c r="P150" i="26"/>
  <c r="Q150" i="26"/>
  <c r="O150" i="26"/>
  <c r="O195" i="26"/>
  <c r="Q195" i="26"/>
  <c r="P195" i="26"/>
  <c r="R195" i="26"/>
  <c r="O207" i="26"/>
  <c r="Q207" i="26"/>
  <c r="P207" i="26"/>
  <c r="R207" i="26"/>
  <c r="S207" i="26" s="1"/>
  <c r="O33" i="28"/>
  <c r="Q33" i="28"/>
  <c r="R33" i="28"/>
  <c r="S33" i="28" s="1"/>
  <c r="AC33" i="28" s="1"/>
  <c r="P33" i="28"/>
  <c r="O45" i="28"/>
  <c r="R45" i="28"/>
  <c r="S45" i="28" s="1"/>
  <c r="AC45" i="28" s="1"/>
  <c r="P45" i="28"/>
  <c r="Q45" i="28"/>
  <c r="P57" i="28"/>
  <c r="O57" i="28"/>
  <c r="Q57" i="28"/>
  <c r="T57" i="28" s="1"/>
  <c r="U57" i="28" s="1"/>
  <c r="R57" i="28"/>
  <c r="S57" i="28" s="1"/>
  <c r="AC57" i="28" s="1"/>
  <c r="O69" i="28"/>
  <c r="R69" i="28"/>
  <c r="P69" i="28"/>
  <c r="Q69" i="28"/>
  <c r="O85" i="28"/>
  <c r="P85" i="28"/>
  <c r="Q85" i="28"/>
  <c r="R85" i="28"/>
  <c r="P107" i="28"/>
  <c r="R107" i="28"/>
  <c r="S107" i="28" s="1"/>
  <c r="AC107" i="28" s="1"/>
  <c r="Q107" i="28"/>
  <c r="T107" i="28" s="1"/>
  <c r="U107" i="28" s="1"/>
  <c r="O107" i="28"/>
  <c r="O131" i="28"/>
  <c r="Q131" i="28"/>
  <c r="R131" i="28"/>
  <c r="P131" i="28"/>
  <c r="O143" i="28"/>
  <c r="P143" i="28"/>
  <c r="Q143" i="28"/>
  <c r="R143" i="28"/>
  <c r="S143" i="28" s="1"/>
  <c r="AC143" i="28" s="1"/>
  <c r="R178" i="28"/>
  <c r="S178" i="28" s="1"/>
  <c r="AC178" i="28" s="1"/>
  <c r="O178" i="28"/>
  <c r="P178" i="28"/>
  <c r="Q178" i="28"/>
  <c r="O200" i="28"/>
  <c r="Q200" i="28"/>
  <c r="T200" i="28" s="1"/>
  <c r="U200" i="28" s="1"/>
  <c r="R200" i="28"/>
  <c r="S200" i="28" s="1"/>
  <c r="P200" i="28"/>
  <c r="P232" i="28"/>
  <c r="Q232" i="28"/>
  <c r="T232" i="28" s="1"/>
  <c r="U232" i="28" s="1"/>
  <c r="O232" i="28"/>
  <c r="R232" i="28"/>
  <c r="S232" i="28" s="1"/>
  <c r="Q33" i="30"/>
  <c r="T33" i="30" s="1"/>
  <c r="U33" i="30" s="1"/>
  <c r="R33" i="30"/>
  <c r="S33" i="30" s="1"/>
  <c r="AC33" i="30" s="1"/>
  <c r="O33" i="30"/>
  <c r="P33" i="30"/>
  <c r="O45" i="30"/>
  <c r="R45" i="30"/>
  <c r="S45" i="30" s="1"/>
  <c r="AC45" i="30" s="1"/>
  <c r="P45" i="30"/>
  <c r="Q45" i="30"/>
  <c r="O57" i="30"/>
  <c r="P57" i="30"/>
  <c r="R57" i="30"/>
  <c r="Q57" i="30"/>
  <c r="T57" i="30" s="1"/>
  <c r="U57" i="30" s="1"/>
  <c r="P69" i="30"/>
  <c r="Q69" i="30"/>
  <c r="R69" i="30"/>
  <c r="O69" i="30"/>
  <c r="P85" i="30"/>
  <c r="R85" i="30"/>
  <c r="S85" i="30" s="1"/>
  <c r="AC85" i="30" s="1"/>
  <c r="O85" i="30"/>
  <c r="Q85" i="30"/>
  <c r="AB85" i="30" s="1"/>
  <c r="P107" i="30"/>
  <c r="R107" i="30"/>
  <c r="S107" i="30" s="1"/>
  <c r="Q107" i="30"/>
  <c r="T107" i="30" s="1"/>
  <c r="U107" i="30" s="1"/>
  <c r="O107" i="30"/>
  <c r="Q131" i="30"/>
  <c r="T131" i="30" s="1"/>
  <c r="U131" i="30" s="1"/>
  <c r="R131" i="30"/>
  <c r="S131" i="30" s="1"/>
  <c r="AC131" i="30" s="1"/>
  <c r="O131" i="30"/>
  <c r="P131" i="30"/>
  <c r="O143" i="30"/>
  <c r="P143" i="30"/>
  <c r="Q143" i="30"/>
  <c r="R143" i="30"/>
  <c r="S143" i="30" s="1"/>
  <c r="AC143" i="30" s="1"/>
  <c r="P178" i="30"/>
  <c r="R178" i="30"/>
  <c r="S178" i="30" s="1"/>
  <c r="O178" i="30"/>
  <c r="Q178" i="30"/>
  <c r="P200" i="30"/>
  <c r="R200" i="30"/>
  <c r="S200" i="30" s="1"/>
  <c r="O200" i="30"/>
  <c r="Q200" i="30"/>
  <c r="AB200" i="30" s="1"/>
  <c r="O232" i="30"/>
  <c r="Q232" i="30"/>
  <c r="R232" i="30"/>
  <c r="S232" i="30" s="1"/>
  <c r="AC232" i="30" s="1"/>
  <c r="P232" i="30"/>
  <c r="O56" i="26"/>
  <c r="P56" i="26"/>
  <c r="R56" i="26"/>
  <c r="Q56" i="26"/>
  <c r="P135" i="28"/>
  <c r="Q135" i="28"/>
  <c r="R135" i="28"/>
  <c r="S135" i="28" s="1"/>
  <c r="AC135" i="28" s="1"/>
  <c r="O135" i="28"/>
  <c r="R25" i="30"/>
  <c r="S25" i="30" s="1"/>
  <c r="AC25" i="30" s="1"/>
  <c r="O25" i="30"/>
  <c r="Q25" i="30"/>
  <c r="P25" i="30"/>
  <c r="P57" i="26"/>
  <c r="Q57" i="26"/>
  <c r="AB57" i="26" s="1"/>
  <c r="R57" i="26"/>
  <c r="S57" i="26" s="1"/>
  <c r="O57" i="26"/>
  <c r="P38" i="28"/>
  <c r="R38" i="28"/>
  <c r="S38" i="28" s="1"/>
  <c r="AC38" i="28" s="1"/>
  <c r="Q38" i="28"/>
  <c r="T38" i="28" s="1"/>
  <c r="U38" i="28" s="1"/>
  <c r="O38" i="28"/>
  <c r="Q74" i="28"/>
  <c r="T74" i="28" s="1"/>
  <c r="U74" i="28" s="1"/>
  <c r="P74" i="28"/>
  <c r="R74" i="28"/>
  <c r="S74" i="28" s="1"/>
  <c r="O74" i="28"/>
  <c r="P124" i="28"/>
  <c r="R124" i="28"/>
  <c r="S124" i="28" s="1"/>
  <c r="AC124" i="28" s="1"/>
  <c r="O124" i="28"/>
  <c r="Q124" i="28"/>
  <c r="Q205" i="28"/>
  <c r="T205" i="28" s="1"/>
  <c r="U205" i="28" s="1"/>
  <c r="R205" i="28"/>
  <c r="P205" i="28"/>
  <c r="O205" i="28"/>
  <c r="O26" i="26"/>
  <c r="P26" i="26"/>
  <c r="R26" i="26"/>
  <c r="S26" i="26" s="1"/>
  <c r="Q26" i="26"/>
  <c r="T26" i="26" s="1"/>
  <c r="U26" i="26" s="1"/>
  <c r="Q74" i="26"/>
  <c r="R74" i="26"/>
  <c r="S74" i="26" s="1"/>
  <c r="AC74" i="26" s="1"/>
  <c r="O74" i="26"/>
  <c r="P74" i="26"/>
  <c r="P124" i="26"/>
  <c r="Q124" i="26"/>
  <c r="R124" i="26"/>
  <c r="O124" i="26"/>
  <c r="O136" i="26"/>
  <c r="Q136" i="26"/>
  <c r="P136" i="26"/>
  <c r="R136" i="26"/>
  <c r="S136" i="26" s="1"/>
  <c r="P183" i="26"/>
  <c r="R183" i="26"/>
  <c r="S183" i="26" s="1"/>
  <c r="Q183" i="26"/>
  <c r="O183" i="26"/>
  <c r="Q31" i="28"/>
  <c r="R31" i="28"/>
  <c r="O31" i="28"/>
  <c r="P31" i="28"/>
  <c r="O67" i="28"/>
  <c r="Q67" i="28"/>
  <c r="P67" i="28"/>
  <c r="R67" i="28"/>
  <c r="S67" i="28" s="1"/>
  <c r="O105" i="28"/>
  <c r="P105" i="28"/>
  <c r="Q105" i="28"/>
  <c r="AB105" i="28" s="1"/>
  <c r="R105" i="28"/>
  <c r="S105" i="28" s="1"/>
  <c r="O177" i="28"/>
  <c r="P177" i="28"/>
  <c r="R177" i="28"/>
  <c r="S177" i="28" s="1"/>
  <c r="Q177" i="28"/>
  <c r="T177" i="28" s="1"/>
  <c r="U177" i="28" s="1"/>
  <c r="W214" i="28"/>
  <c r="P214" i="28"/>
  <c r="Q214" i="28"/>
  <c r="O214" i="28"/>
  <c r="R214" i="28"/>
  <c r="Q31" i="30"/>
  <c r="T31" i="30" s="1"/>
  <c r="U31" i="30" s="1"/>
  <c r="R31" i="30"/>
  <c r="S31" i="30" s="1"/>
  <c r="AC31" i="30" s="1"/>
  <c r="O31" i="30"/>
  <c r="P31" i="30"/>
  <c r="O67" i="30"/>
  <c r="Q67" i="30"/>
  <c r="T67" i="30" s="1"/>
  <c r="U67" i="30" s="1"/>
  <c r="P67" i="30"/>
  <c r="R67" i="30"/>
  <c r="P129" i="30"/>
  <c r="R129" i="30"/>
  <c r="S129" i="30" s="1"/>
  <c r="O129" i="30"/>
  <c r="Q129" i="30"/>
  <c r="T129" i="30" s="1"/>
  <c r="U129" i="30" s="1"/>
  <c r="O198" i="30"/>
  <c r="Q198" i="30"/>
  <c r="P198" i="30"/>
  <c r="R198" i="30"/>
  <c r="S198" i="30" s="1"/>
  <c r="P29" i="26"/>
  <c r="Q29" i="26"/>
  <c r="T29" i="26" s="1"/>
  <c r="U29" i="26" s="1"/>
  <c r="O29" i="26"/>
  <c r="R29" i="26"/>
  <c r="S29" i="26" s="1"/>
  <c r="O41" i="26"/>
  <c r="Q41" i="26"/>
  <c r="AB41" i="26" s="1"/>
  <c r="R41" i="26"/>
  <c r="S41" i="26" s="1"/>
  <c r="P41" i="26"/>
  <c r="Q53" i="26"/>
  <c r="R53" i="26"/>
  <c r="S53" i="26" s="1"/>
  <c r="AC53" i="26" s="1"/>
  <c r="O53" i="26"/>
  <c r="P53" i="26"/>
  <c r="O65" i="26"/>
  <c r="P65" i="26"/>
  <c r="Q65" i="26"/>
  <c r="R65" i="26"/>
  <c r="S65" i="26" s="1"/>
  <c r="O81" i="26"/>
  <c r="P81" i="26"/>
  <c r="R81" i="26"/>
  <c r="S81" i="26" s="1"/>
  <c r="AC81" i="26" s="1"/>
  <c r="Q81" i="26"/>
  <c r="P103" i="26"/>
  <c r="Q103" i="26"/>
  <c r="O103" i="26"/>
  <c r="R103" i="26"/>
  <c r="S103" i="26" s="1"/>
  <c r="AC103" i="26" s="1"/>
  <c r="O127" i="26"/>
  <c r="Q127" i="26"/>
  <c r="AB127" i="26" s="1"/>
  <c r="R127" i="26"/>
  <c r="S127" i="26" s="1"/>
  <c r="P127" i="26"/>
  <c r="O139" i="26"/>
  <c r="P139" i="26"/>
  <c r="R139" i="26"/>
  <c r="Q139" i="26"/>
  <c r="T139" i="26" s="1"/>
  <c r="U139" i="26" s="1"/>
  <c r="P151" i="26"/>
  <c r="R151" i="26"/>
  <c r="O151" i="26"/>
  <c r="Q151" i="26"/>
  <c r="O196" i="26"/>
  <c r="Q196" i="26"/>
  <c r="R196" i="26"/>
  <c r="S196" i="26" s="1"/>
  <c r="P196" i="26"/>
  <c r="O210" i="26"/>
  <c r="Q210" i="26"/>
  <c r="R210" i="26"/>
  <c r="S210" i="26" s="1"/>
  <c r="P210" i="26"/>
  <c r="O34" i="28"/>
  <c r="P34" i="28"/>
  <c r="R34" i="28"/>
  <c r="S34" i="28" s="1"/>
  <c r="AC34" i="28" s="1"/>
  <c r="Q34" i="28"/>
  <c r="O46" i="28"/>
  <c r="Q46" i="28"/>
  <c r="P46" i="28"/>
  <c r="R46" i="28"/>
  <c r="S46" i="28" s="1"/>
  <c r="P58" i="28"/>
  <c r="O58" i="28"/>
  <c r="Q58" i="28"/>
  <c r="R58" i="28"/>
  <c r="S58" i="28" s="1"/>
  <c r="AC58" i="28" s="1"/>
  <c r="O70" i="28"/>
  <c r="Q70" i="28"/>
  <c r="P70" i="28"/>
  <c r="R70" i="28"/>
  <c r="S70" i="28" s="1"/>
  <c r="AC70" i="28" s="1"/>
  <c r="O86" i="28"/>
  <c r="R86" i="28"/>
  <c r="S86" i="28" s="1"/>
  <c r="AC86" i="28" s="1"/>
  <c r="P86" i="28"/>
  <c r="Q86" i="28"/>
  <c r="R108" i="28"/>
  <c r="S108" i="28" s="1"/>
  <c r="AC108" i="28" s="1"/>
  <c r="O108" i="28"/>
  <c r="Q108" i="28"/>
  <c r="P108" i="28"/>
  <c r="P132" i="28"/>
  <c r="Q132" i="28"/>
  <c r="R132" i="28"/>
  <c r="S132" i="28" s="1"/>
  <c r="AC132" i="28" s="1"/>
  <c r="O132" i="28"/>
  <c r="P144" i="28"/>
  <c r="Q144" i="28"/>
  <c r="R144" i="28"/>
  <c r="S144" i="28" s="1"/>
  <c r="O144" i="28"/>
  <c r="O179" i="28"/>
  <c r="Q179" i="28"/>
  <c r="R179" i="28"/>
  <c r="S179" i="28" s="1"/>
  <c r="AC179" i="28" s="1"/>
  <c r="P179" i="28"/>
  <c r="O201" i="28"/>
  <c r="P201" i="28"/>
  <c r="Q201" i="28"/>
  <c r="T201" i="28" s="1"/>
  <c r="U201" i="28" s="1"/>
  <c r="R201" i="28"/>
  <c r="S201" i="28" s="1"/>
  <c r="P233" i="28"/>
  <c r="Q233" i="28"/>
  <c r="O233" i="28"/>
  <c r="R233" i="28"/>
  <c r="S233" i="28" s="1"/>
  <c r="P34" i="30"/>
  <c r="Q34" i="30"/>
  <c r="T34" i="30" s="1"/>
  <c r="U34" i="30" s="1"/>
  <c r="O34" i="30"/>
  <c r="R34" i="30"/>
  <c r="S34" i="30" s="1"/>
  <c r="AC34" i="30" s="1"/>
  <c r="O46" i="30"/>
  <c r="P46" i="30"/>
  <c r="Q46" i="30"/>
  <c r="T46" i="30" s="1"/>
  <c r="U46" i="30" s="1"/>
  <c r="R46" i="30"/>
  <c r="S46" i="30" s="1"/>
  <c r="R58" i="30"/>
  <c r="O58" i="30"/>
  <c r="Q58" i="30"/>
  <c r="P58" i="30"/>
  <c r="O70" i="30"/>
  <c r="Q70" i="30"/>
  <c r="P70" i="30"/>
  <c r="R70" i="30"/>
  <c r="S70" i="30" s="1"/>
  <c r="AC70" i="30" s="1"/>
  <c r="Q86" i="30"/>
  <c r="T86" i="30" s="1"/>
  <c r="U86" i="30" s="1"/>
  <c r="P86" i="30"/>
  <c r="R86" i="30"/>
  <c r="S86" i="30" s="1"/>
  <c r="O86" i="30"/>
  <c r="O108" i="30"/>
  <c r="Q108" i="30"/>
  <c r="R108" i="30"/>
  <c r="S108" i="30" s="1"/>
  <c r="P108" i="30"/>
  <c r="O132" i="30"/>
  <c r="Q132" i="30"/>
  <c r="R132" i="30"/>
  <c r="S132" i="30" s="1"/>
  <c r="AC132" i="30" s="1"/>
  <c r="P132" i="30"/>
  <c r="Q144" i="30"/>
  <c r="R144" i="30"/>
  <c r="S144" i="30" s="1"/>
  <c r="P144" i="30"/>
  <c r="O144" i="30"/>
  <c r="P179" i="30"/>
  <c r="R179" i="30"/>
  <c r="S179" i="30" s="1"/>
  <c r="AC179" i="30" s="1"/>
  <c r="O179" i="30"/>
  <c r="Q179" i="30"/>
  <c r="P201" i="30"/>
  <c r="Q201" i="30"/>
  <c r="O201" i="30"/>
  <c r="R201" i="30"/>
  <c r="S201" i="30" s="1"/>
  <c r="Q233" i="30"/>
  <c r="R233" i="30"/>
  <c r="S233" i="30" s="1"/>
  <c r="AC233" i="30" s="1"/>
  <c r="O233" i="30"/>
  <c r="P233" i="30"/>
  <c r="O68" i="26"/>
  <c r="P68" i="26"/>
  <c r="R68" i="26"/>
  <c r="S68" i="26" s="1"/>
  <c r="AC68" i="26" s="1"/>
  <c r="Q68" i="26"/>
  <c r="P49" i="30"/>
  <c r="Q49" i="30"/>
  <c r="R49" i="30"/>
  <c r="O49" i="30"/>
  <c r="O131" i="26"/>
  <c r="P131" i="26"/>
  <c r="Q131" i="26"/>
  <c r="AB131" i="26" s="1"/>
  <c r="R131" i="26"/>
  <c r="S131" i="26" s="1"/>
  <c r="AC131" i="26" s="1"/>
  <c r="Q50" i="28"/>
  <c r="T50" i="28" s="1"/>
  <c r="U50" i="28" s="1"/>
  <c r="P50" i="28"/>
  <c r="R50" i="28"/>
  <c r="S50" i="28" s="1"/>
  <c r="O50" i="28"/>
  <c r="O100" i="28"/>
  <c r="P100" i="28"/>
  <c r="Q100" i="28"/>
  <c r="T100" i="28" s="1"/>
  <c r="U100" i="28" s="1"/>
  <c r="R100" i="28"/>
  <c r="S100" i="28" s="1"/>
  <c r="O136" i="28"/>
  <c r="P136" i="28"/>
  <c r="Q136" i="28"/>
  <c r="R136" i="28"/>
  <c r="O183" i="28"/>
  <c r="Q183" i="28"/>
  <c r="T183" i="28" s="1"/>
  <c r="U183" i="28" s="1"/>
  <c r="R183" i="28"/>
  <c r="S183" i="28" s="1"/>
  <c r="AC183" i="28" s="1"/>
  <c r="P183" i="28"/>
  <c r="O50" i="26"/>
  <c r="P50" i="26"/>
  <c r="Q50" i="26"/>
  <c r="R50" i="26"/>
  <c r="S50" i="26" s="1"/>
  <c r="AC50" i="26" s="1"/>
  <c r="P100" i="26"/>
  <c r="O100" i="26"/>
  <c r="R100" i="26"/>
  <c r="S100" i="26" s="1"/>
  <c r="AC100" i="26" s="1"/>
  <c r="Q100" i="26"/>
  <c r="T100" i="26" s="1"/>
  <c r="U100" i="26" s="1"/>
  <c r="O148" i="26"/>
  <c r="P148" i="26"/>
  <c r="R148" i="26"/>
  <c r="S148" i="26" s="1"/>
  <c r="AC148" i="26" s="1"/>
  <c r="Q148" i="26"/>
  <c r="T148" i="26" s="1"/>
  <c r="U148" i="26" s="1"/>
  <c r="O205" i="26"/>
  <c r="P205" i="26"/>
  <c r="Q205" i="26"/>
  <c r="T205" i="26" s="1"/>
  <c r="U205" i="26" s="1"/>
  <c r="R205" i="26"/>
  <c r="S205" i="26" s="1"/>
  <c r="R55" i="28"/>
  <c r="O55" i="28"/>
  <c r="P55" i="28"/>
  <c r="Q55" i="28"/>
  <c r="Q83" i="28"/>
  <c r="O83" i="28"/>
  <c r="P83" i="28"/>
  <c r="R83" i="28"/>
  <c r="S83" i="28" s="1"/>
  <c r="AC83" i="28" s="1"/>
  <c r="Q141" i="28"/>
  <c r="T141" i="28" s="1"/>
  <c r="U141" i="28" s="1"/>
  <c r="R141" i="28"/>
  <c r="S141" i="28" s="1"/>
  <c r="AC141" i="28" s="1"/>
  <c r="P141" i="28"/>
  <c r="O141" i="28"/>
  <c r="R198" i="28"/>
  <c r="S198" i="28" s="1"/>
  <c r="O198" i="28"/>
  <c r="P198" i="28"/>
  <c r="Q198" i="28"/>
  <c r="O43" i="30"/>
  <c r="P43" i="30"/>
  <c r="Q43" i="30"/>
  <c r="R43" i="30"/>
  <c r="R83" i="30"/>
  <c r="S83" i="30" s="1"/>
  <c r="AC83" i="30" s="1"/>
  <c r="P83" i="30"/>
  <c r="Q83" i="30"/>
  <c r="O83" i="30"/>
  <c r="P141" i="30"/>
  <c r="Q141" i="30"/>
  <c r="O141" i="30"/>
  <c r="R141" i="30"/>
  <c r="S141" i="30" s="1"/>
  <c r="AC141" i="30" s="1"/>
  <c r="R177" i="30"/>
  <c r="S177" i="30" s="1"/>
  <c r="P177" i="30"/>
  <c r="Q177" i="30"/>
  <c r="T177" i="30" s="1"/>
  <c r="U177" i="30" s="1"/>
  <c r="O177" i="30"/>
  <c r="O30" i="26"/>
  <c r="P30" i="26"/>
  <c r="R30" i="26"/>
  <c r="Q30" i="26"/>
  <c r="T30" i="26" s="1"/>
  <c r="U30" i="26" s="1"/>
  <c r="O42" i="26"/>
  <c r="P42" i="26"/>
  <c r="R42" i="26"/>
  <c r="S42" i="26" s="1"/>
  <c r="AC42" i="26" s="1"/>
  <c r="Q42" i="26"/>
  <c r="T42" i="26" s="1"/>
  <c r="U42" i="26" s="1"/>
  <c r="P54" i="26"/>
  <c r="R54" i="26"/>
  <c r="O54" i="26"/>
  <c r="Q54" i="26"/>
  <c r="R66" i="26"/>
  <c r="S66" i="26" s="1"/>
  <c r="O66" i="26"/>
  <c r="P66" i="26"/>
  <c r="Q66" i="26"/>
  <c r="AB66" i="26" s="1"/>
  <c r="P82" i="26"/>
  <c r="R82" i="26"/>
  <c r="S82" i="26" s="1"/>
  <c r="AC82" i="26" s="1"/>
  <c r="O82" i="26"/>
  <c r="Q82" i="26"/>
  <c r="AB82" i="26" s="1"/>
  <c r="O104" i="26"/>
  <c r="P104" i="26"/>
  <c r="R104" i="26"/>
  <c r="S104" i="26" s="1"/>
  <c r="AC104" i="26" s="1"/>
  <c r="Q104" i="26"/>
  <c r="P128" i="26"/>
  <c r="O128" i="26"/>
  <c r="Q128" i="26"/>
  <c r="R128" i="26"/>
  <c r="O140" i="26"/>
  <c r="P140" i="26"/>
  <c r="R140" i="26"/>
  <c r="S140" i="26" s="1"/>
  <c r="AC140" i="26" s="1"/>
  <c r="Q140" i="26"/>
  <c r="O176" i="26"/>
  <c r="Q176" i="26"/>
  <c r="T176" i="26" s="1"/>
  <c r="U176" i="26" s="1"/>
  <c r="R176" i="26"/>
  <c r="S176" i="26" s="1"/>
  <c r="P176" i="26"/>
  <c r="P197" i="26"/>
  <c r="Q197" i="26"/>
  <c r="T197" i="26" s="1"/>
  <c r="U197" i="26" s="1"/>
  <c r="O197" i="26"/>
  <c r="R197" i="26"/>
  <c r="O211" i="26"/>
  <c r="P211" i="26"/>
  <c r="R211" i="26"/>
  <c r="S211" i="26" s="1"/>
  <c r="AC211" i="26" s="1"/>
  <c r="Q211" i="26"/>
  <c r="P35" i="28"/>
  <c r="R35" i="28"/>
  <c r="Q35" i="28"/>
  <c r="O35" i="28"/>
  <c r="R47" i="28"/>
  <c r="Q47" i="28"/>
  <c r="O47" i="28"/>
  <c r="P47" i="28"/>
  <c r="O59" i="28"/>
  <c r="Q59" i="28"/>
  <c r="P59" i="28"/>
  <c r="R59" i="28"/>
  <c r="R71" i="28"/>
  <c r="O71" i="28"/>
  <c r="P71" i="28"/>
  <c r="Q71" i="28"/>
  <c r="O93" i="28"/>
  <c r="Q93" i="28"/>
  <c r="P93" i="28"/>
  <c r="R93" i="28"/>
  <c r="Q121" i="28"/>
  <c r="O121" i="28"/>
  <c r="P121" i="28"/>
  <c r="R121" i="28"/>
  <c r="S121" i="28" s="1"/>
  <c r="AC121" i="28" s="1"/>
  <c r="P133" i="28"/>
  <c r="Q133" i="28"/>
  <c r="R133" i="28"/>
  <c r="O133" i="28"/>
  <c r="P145" i="28"/>
  <c r="Q145" i="28"/>
  <c r="O145" i="28"/>
  <c r="R145" i="28"/>
  <c r="S145" i="28" s="1"/>
  <c r="AC145" i="28" s="1"/>
  <c r="O180" i="28"/>
  <c r="Q180" i="28"/>
  <c r="T180" i="28" s="1"/>
  <c r="U180" i="28" s="1"/>
  <c r="R180" i="28"/>
  <c r="S180" i="28" s="1"/>
  <c r="AC180" i="28" s="1"/>
  <c r="P180" i="28"/>
  <c r="Q202" i="28"/>
  <c r="T202" i="28" s="1"/>
  <c r="U202" i="28" s="1"/>
  <c r="R202" i="28"/>
  <c r="P202" i="28"/>
  <c r="O202" i="28"/>
  <c r="O234" i="28"/>
  <c r="P234" i="28"/>
  <c r="Q234" i="28"/>
  <c r="R234" i="28"/>
  <c r="S234" i="28" s="1"/>
  <c r="O35" i="30"/>
  <c r="P35" i="30"/>
  <c r="Q35" i="30"/>
  <c r="R35" i="30"/>
  <c r="S35" i="30" s="1"/>
  <c r="Q47" i="30"/>
  <c r="T47" i="30" s="1"/>
  <c r="U47" i="30" s="1"/>
  <c r="R47" i="30"/>
  <c r="S47" i="30" s="1"/>
  <c r="AC47" i="30" s="1"/>
  <c r="O47" i="30"/>
  <c r="P47" i="30"/>
  <c r="P59" i="30"/>
  <c r="Q59" i="30"/>
  <c r="O59" i="30"/>
  <c r="R59" i="30"/>
  <c r="S59" i="30" s="1"/>
  <c r="O71" i="30"/>
  <c r="Q71" i="30"/>
  <c r="R71" i="30"/>
  <c r="P71" i="30"/>
  <c r="R93" i="30"/>
  <c r="O93" i="30"/>
  <c r="P93" i="30"/>
  <c r="Q93" i="30"/>
  <c r="AA93" i="30" s="1"/>
  <c r="Q121" i="30"/>
  <c r="T121" i="30" s="1"/>
  <c r="U121" i="30" s="1"/>
  <c r="O121" i="30"/>
  <c r="P121" i="30"/>
  <c r="R121" i="30"/>
  <c r="S121" i="30" s="1"/>
  <c r="AC121" i="30" s="1"/>
  <c r="O133" i="30"/>
  <c r="P133" i="30"/>
  <c r="Q133" i="30"/>
  <c r="R133" i="30"/>
  <c r="P145" i="30"/>
  <c r="R145" i="30"/>
  <c r="S145" i="30" s="1"/>
  <c r="AC145" i="30" s="1"/>
  <c r="O145" i="30"/>
  <c r="Q145" i="30"/>
  <c r="R180" i="30"/>
  <c r="O180" i="30"/>
  <c r="P180" i="30"/>
  <c r="Q180" i="30"/>
  <c r="O202" i="30"/>
  <c r="Q202" i="30"/>
  <c r="R202" i="30"/>
  <c r="S202" i="30" s="1"/>
  <c r="P202" i="30"/>
  <c r="O234" i="30"/>
  <c r="P234" i="30"/>
  <c r="R234" i="30"/>
  <c r="S234" i="30" s="1"/>
  <c r="AC234" i="30" s="1"/>
  <c r="Q234" i="30"/>
  <c r="P184" i="26"/>
  <c r="R184" i="26"/>
  <c r="S184" i="26" s="1"/>
  <c r="O184" i="26"/>
  <c r="Q184" i="26"/>
  <c r="O31" i="26"/>
  <c r="P31" i="26"/>
  <c r="Q31" i="26"/>
  <c r="R31" i="26"/>
  <c r="S31" i="26" s="1"/>
  <c r="AC31" i="26" s="1"/>
  <c r="O43" i="26"/>
  <c r="P43" i="26"/>
  <c r="R43" i="26"/>
  <c r="S43" i="26" s="1"/>
  <c r="AC43" i="26" s="1"/>
  <c r="Q43" i="26"/>
  <c r="O55" i="26"/>
  <c r="P55" i="26"/>
  <c r="R55" i="26"/>
  <c r="S55" i="26" s="1"/>
  <c r="Q55" i="26"/>
  <c r="P67" i="26"/>
  <c r="R67" i="26"/>
  <c r="O67" i="26"/>
  <c r="Q67" i="26"/>
  <c r="R83" i="26"/>
  <c r="S83" i="26" s="1"/>
  <c r="AC83" i="26" s="1"/>
  <c r="O83" i="26"/>
  <c r="Q83" i="26"/>
  <c r="P83" i="26"/>
  <c r="O105" i="26"/>
  <c r="Q105" i="26"/>
  <c r="R105" i="26"/>
  <c r="S105" i="26" s="1"/>
  <c r="P105" i="26"/>
  <c r="P129" i="26"/>
  <c r="Q129" i="26"/>
  <c r="AB129" i="26" s="1"/>
  <c r="O129" i="26"/>
  <c r="R129" i="26"/>
  <c r="S129" i="26" s="1"/>
  <c r="O141" i="26"/>
  <c r="Q141" i="26"/>
  <c r="P141" i="26"/>
  <c r="R141" i="26"/>
  <c r="S141" i="26" s="1"/>
  <c r="AC141" i="26" s="1"/>
  <c r="R177" i="26"/>
  <c r="S177" i="26" s="1"/>
  <c r="O177" i="26"/>
  <c r="Q177" i="26"/>
  <c r="P177" i="26"/>
  <c r="O198" i="26"/>
  <c r="Q198" i="26"/>
  <c r="P198" i="26"/>
  <c r="R198" i="26"/>
  <c r="P214" i="26"/>
  <c r="R214" i="26"/>
  <c r="O214" i="26"/>
  <c r="Q214" i="26"/>
  <c r="T214" i="26" s="1"/>
  <c r="U214" i="26" s="1"/>
  <c r="O20" i="28"/>
  <c r="Q20" i="28"/>
  <c r="P20" i="28"/>
  <c r="R20" i="28"/>
  <c r="Q36" i="28"/>
  <c r="R36" i="28"/>
  <c r="S36" i="28" s="1"/>
  <c r="AC36" i="28" s="1"/>
  <c r="O36" i="28"/>
  <c r="P36" i="28"/>
  <c r="P48" i="28"/>
  <c r="R48" i="28"/>
  <c r="S48" i="28" s="1"/>
  <c r="AC48" i="28" s="1"/>
  <c r="O48" i="28"/>
  <c r="Q48" i="28"/>
  <c r="R60" i="28"/>
  <c r="S60" i="28" s="1"/>
  <c r="Q60" i="28"/>
  <c r="O60" i="28"/>
  <c r="P60" i="28"/>
  <c r="P72" i="28"/>
  <c r="R72" i="28"/>
  <c r="S72" i="28" s="1"/>
  <c r="AC72" i="28" s="1"/>
  <c r="O72" i="28"/>
  <c r="Q72" i="28"/>
  <c r="R98" i="28"/>
  <c r="S98" i="28" s="1"/>
  <c r="AC98" i="28" s="1"/>
  <c r="O98" i="28"/>
  <c r="P98" i="28"/>
  <c r="Q98" i="28"/>
  <c r="T98" i="28" s="1"/>
  <c r="U98" i="28" s="1"/>
  <c r="P122" i="28"/>
  <c r="R122" i="28"/>
  <c r="S122" i="28" s="1"/>
  <c r="AC122" i="28" s="1"/>
  <c r="O122" i="28"/>
  <c r="Q122" i="28"/>
  <c r="T122" i="28" s="1"/>
  <c r="U122" i="28" s="1"/>
  <c r="O134" i="28"/>
  <c r="P134" i="28"/>
  <c r="Q134" i="28"/>
  <c r="T134" i="28" s="1"/>
  <c r="U134" i="28" s="1"/>
  <c r="R134" i="28"/>
  <c r="S134" i="28" s="1"/>
  <c r="P146" i="28"/>
  <c r="Q146" i="28"/>
  <c r="O146" i="28"/>
  <c r="R146" i="28"/>
  <c r="Q181" i="28"/>
  <c r="T181" i="28" s="1"/>
  <c r="U181" i="28" s="1"/>
  <c r="R181" i="28"/>
  <c r="S181" i="28" s="1"/>
  <c r="AC181" i="28" s="1"/>
  <c r="O181" i="28"/>
  <c r="P181" i="28"/>
  <c r="O203" i="28"/>
  <c r="Q203" i="28"/>
  <c r="R203" i="28"/>
  <c r="S203" i="28" s="1"/>
  <c r="P203" i="28"/>
  <c r="O20" i="30"/>
  <c r="P20" i="30"/>
  <c r="R20" i="30"/>
  <c r="Q20" i="30"/>
  <c r="R36" i="30"/>
  <c r="O36" i="30"/>
  <c r="P36" i="30"/>
  <c r="Q36" i="30"/>
  <c r="AB36" i="30" s="1"/>
  <c r="P48" i="30"/>
  <c r="R48" i="30"/>
  <c r="S48" i="30" s="1"/>
  <c r="AC48" i="30" s="1"/>
  <c r="O48" i="30"/>
  <c r="Q48" i="30"/>
  <c r="T48" i="30" s="1"/>
  <c r="U48" i="30" s="1"/>
  <c r="R60" i="30"/>
  <c r="O60" i="30"/>
  <c r="P60" i="30"/>
  <c r="Q60" i="30"/>
  <c r="R72" i="30"/>
  <c r="S72" i="30" s="1"/>
  <c r="O72" i="30"/>
  <c r="P72" i="30"/>
  <c r="Q72" i="30"/>
  <c r="T72" i="30" s="1"/>
  <c r="U72" i="30" s="1"/>
  <c r="P98" i="30"/>
  <c r="R98" i="30"/>
  <c r="S98" i="30" s="1"/>
  <c r="AC98" i="30" s="1"/>
  <c r="O98" i="30"/>
  <c r="Q98" i="30"/>
  <c r="P122" i="30"/>
  <c r="Q122" i="30"/>
  <c r="T122" i="30" s="1"/>
  <c r="U122" i="30" s="1"/>
  <c r="O122" i="30"/>
  <c r="R122" i="30"/>
  <c r="S122" i="30" s="1"/>
  <c r="AC122" i="30" s="1"/>
  <c r="Q134" i="30"/>
  <c r="R134" i="30"/>
  <c r="S134" i="30" s="1"/>
  <c r="AC134" i="30" s="1"/>
  <c r="O134" i="30"/>
  <c r="P134" i="30"/>
  <c r="O146" i="30"/>
  <c r="R146" i="30"/>
  <c r="S146" i="30" s="1"/>
  <c r="AC146" i="30" s="1"/>
  <c r="P146" i="30"/>
  <c r="Q146" i="30"/>
  <c r="P181" i="30"/>
  <c r="R181" i="30"/>
  <c r="Q181" i="30"/>
  <c r="O181" i="30"/>
  <c r="P203" i="30"/>
  <c r="O203" i="30"/>
  <c r="Q203" i="30"/>
  <c r="T203" i="30" s="1"/>
  <c r="U203" i="30" s="1"/>
  <c r="R203" i="30"/>
  <c r="O183" i="7"/>
  <c r="Q183" i="7"/>
  <c r="P183" i="7"/>
  <c r="R183" i="7"/>
  <c r="S183" i="7" s="1"/>
  <c r="P179" i="7"/>
  <c r="O179" i="7"/>
  <c r="Q179" i="7"/>
  <c r="R179" i="7"/>
  <c r="S179" i="7" s="1"/>
  <c r="R182" i="7"/>
  <c r="S182" i="7" s="1"/>
  <c r="O182" i="7"/>
  <c r="P182" i="7"/>
  <c r="Q182" i="7"/>
  <c r="Q181" i="7"/>
  <c r="R181" i="7"/>
  <c r="S181" i="7" s="1"/>
  <c r="P181" i="7"/>
  <c r="O181" i="7"/>
  <c r="O210" i="7"/>
  <c r="Q210" i="7"/>
  <c r="P210" i="7"/>
  <c r="R210" i="7"/>
  <c r="S210" i="7" s="1"/>
  <c r="P180" i="7"/>
  <c r="Q180" i="7"/>
  <c r="R180" i="7"/>
  <c r="S180" i="7" s="1"/>
  <c r="O180" i="7"/>
  <c r="O178" i="7"/>
  <c r="R178" i="7"/>
  <c r="S178" i="7" s="1"/>
  <c r="P178" i="7"/>
  <c r="Q178" i="7"/>
  <c r="O211" i="7"/>
  <c r="P211" i="7"/>
  <c r="Q211" i="7"/>
  <c r="R211" i="7"/>
  <c r="S211" i="7" s="1"/>
  <c r="AA236" i="30"/>
  <c r="O11" i="30"/>
  <c r="W236" i="30"/>
  <c r="AB236" i="28"/>
  <c r="R11" i="30"/>
  <c r="S11" i="30" s="1"/>
  <c r="W194" i="30"/>
  <c r="AC90" i="26"/>
  <c r="Q11" i="30"/>
  <c r="AC193" i="26"/>
  <c r="AC92" i="30"/>
  <c r="T191" i="28"/>
  <c r="U191" i="28" s="1"/>
  <c r="Q15" i="26"/>
  <c r="AB15" i="26" s="1"/>
  <c r="T91" i="26"/>
  <c r="U91" i="26" s="1"/>
  <c r="P11" i="26"/>
  <c r="AA236" i="26"/>
  <c r="O15" i="30"/>
  <c r="O14" i="30"/>
  <c r="O12" i="30"/>
  <c r="R15" i="30"/>
  <c r="Q12" i="30"/>
  <c r="T12" i="30" s="1"/>
  <c r="U12" i="30" s="1"/>
  <c r="AB192" i="30"/>
  <c r="O13" i="30"/>
  <c r="R12" i="30"/>
  <c r="R13" i="30"/>
  <c r="S13" i="30" s="1"/>
  <c r="P11" i="30"/>
  <c r="P12" i="30"/>
  <c r="P13" i="30"/>
  <c r="Q14" i="30"/>
  <c r="R14" i="30"/>
  <c r="P14" i="30"/>
  <c r="Q13" i="30"/>
  <c r="T13" i="30" s="1"/>
  <c r="U13" i="30" s="1"/>
  <c r="W20" i="30"/>
  <c r="Q15" i="30"/>
  <c r="P15" i="30"/>
  <c r="T91" i="30"/>
  <c r="U91" i="30" s="1"/>
  <c r="AC91" i="30"/>
  <c r="W93" i="30"/>
  <c r="W235" i="30"/>
  <c r="T191" i="30"/>
  <c r="U191" i="30" s="1"/>
  <c r="AC191" i="30"/>
  <c r="AC90" i="30"/>
  <c r="AC193" i="30"/>
  <c r="W219" i="30"/>
  <c r="W195" i="30"/>
  <c r="T213" i="30"/>
  <c r="U213" i="30" s="1"/>
  <c r="AC192" i="30"/>
  <c r="R13" i="28"/>
  <c r="S13" i="28" s="1"/>
  <c r="AC193" i="28"/>
  <c r="AC192" i="28"/>
  <c r="O14" i="28"/>
  <c r="W14" i="28"/>
  <c r="R14" i="28"/>
  <c r="Q14" i="28"/>
  <c r="T14" i="28" s="1"/>
  <c r="U14" i="28" s="1"/>
  <c r="P15" i="28"/>
  <c r="O15" i="28"/>
  <c r="R15" i="28"/>
  <c r="P14" i="28"/>
  <c r="O12" i="28"/>
  <c r="P12" i="28"/>
  <c r="Q15" i="28"/>
  <c r="R11" i="28"/>
  <c r="Q11" i="28"/>
  <c r="P11" i="28"/>
  <c r="O11" i="28"/>
  <c r="Q13" i="28"/>
  <c r="P13" i="28"/>
  <c r="O13" i="28"/>
  <c r="R12" i="28"/>
  <c r="Q12" i="28"/>
  <c r="AC90" i="28"/>
  <c r="W20" i="28"/>
  <c r="W15" i="28"/>
  <c r="W93" i="28"/>
  <c r="AC92" i="28"/>
  <c r="W219" i="28"/>
  <c r="AC91" i="28"/>
  <c r="T235" i="28"/>
  <c r="U235" i="28" s="1"/>
  <c r="W195" i="28"/>
  <c r="T193" i="28"/>
  <c r="U193" i="28" s="1"/>
  <c r="R15" i="26"/>
  <c r="AB92" i="26"/>
  <c r="P12" i="26"/>
  <c r="R14" i="26"/>
  <c r="Q13" i="26"/>
  <c r="T13" i="26" s="1"/>
  <c r="U13" i="26" s="1"/>
  <c r="O11" i="26"/>
  <c r="Q11" i="26"/>
  <c r="T11" i="26" s="1"/>
  <c r="U11" i="26" s="1"/>
  <c r="O12" i="26"/>
  <c r="R11" i="26"/>
  <c r="W93" i="26"/>
  <c r="W15" i="26"/>
  <c r="O13" i="26"/>
  <c r="O14" i="26"/>
  <c r="R13" i="26"/>
  <c r="P14" i="26"/>
  <c r="Q12" i="26"/>
  <c r="R12" i="26"/>
  <c r="Q14" i="26"/>
  <c r="O15" i="26"/>
  <c r="T191" i="26"/>
  <c r="U191" i="26" s="1"/>
  <c r="AC191" i="26"/>
  <c r="W20" i="26"/>
  <c r="P15" i="26"/>
  <c r="AC92" i="26"/>
  <c r="W195" i="26"/>
  <c r="P13" i="26"/>
  <c r="W219" i="26"/>
  <c r="T235" i="26"/>
  <c r="U235" i="26" s="1"/>
  <c r="W235" i="26"/>
  <c r="T213" i="26"/>
  <c r="U213" i="26" s="1"/>
  <c r="W214" i="26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25" i="7"/>
  <c r="AN20" i="7"/>
  <c r="AN15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K14" i="7"/>
  <c r="BL14" i="7"/>
  <c r="BP14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O15" i="7"/>
  <c r="BP15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BB214" i="7"/>
  <c r="BC214" i="7"/>
  <c r="BD214" i="7"/>
  <c r="BE214" i="7"/>
  <c r="BF214" i="7"/>
  <c r="BG214" i="7"/>
  <c r="BH214" i="7"/>
  <c r="BI214" i="7"/>
  <c r="BJ214" i="7"/>
  <c r="BK214" i="7"/>
  <c r="BL214" i="7"/>
  <c r="BM214" i="7"/>
  <c r="BN214" i="7"/>
  <c r="BO214" i="7"/>
  <c r="BP214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BB219" i="7"/>
  <c r="BC219" i="7"/>
  <c r="BD219" i="7"/>
  <c r="BE219" i="7"/>
  <c r="BF219" i="7"/>
  <c r="BG219" i="7"/>
  <c r="BH219" i="7"/>
  <c r="BI219" i="7"/>
  <c r="BJ219" i="7"/>
  <c r="BK219" i="7"/>
  <c r="BL219" i="7"/>
  <c r="BM219" i="7"/>
  <c r="BN219" i="7"/>
  <c r="BO219" i="7"/>
  <c r="BP219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BB232" i="7"/>
  <c r="BC232" i="7"/>
  <c r="BD232" i="7"/>
  <c r="BE232" i="7"/>
  <c r="BF232" i="7"/>
  <c r="BG232" i="7"/>
  <c r="BH232" i="7"/>
  <c r="BI232" i="7"/>
  <c r="BJ232" i="7"/>
  <c r="BK232" i="7"/>
  <c r="BL232" i="7"/>
  <c r="BM232" i="7"/>
  <c r="BN232" i="7"/>
  <c r="BO232" i="7"/>
  <c r="BP232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BB233" i="7"/>
  <c r="BC233" i="7"/>
  <c r="BD233" i="7"/>
  <c r="BE233" i="7"/>
  <c r="BF233" i="7"/>
  <c r="BG233" i="7"/>
  <c r="BH233" i="7"/>
  <c r="BI233" i="7"/>
  <c r="BJ233" i="7"/>
  <c r="BK233" i="7"/>
  <c r="BL233" i="7"/>
  <c r="BM233" i="7"/>
  <c r="BN233" i="7"/>
  <c r="BO233" i="7"/>
  <c r="BP233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BC234" i="7"/>
  <c r="BD234" i="7"/>
  <c r="BE234" i="7"/>
  <c r="BF234" i="7"/>
  <c r="BG234" i="7"/>
  <c r="BH234" i="7"/>
  <c r="BI234" i="7"/>
  <c r="BJ234" i="7"/>
  <c r="BK234" i="7"/>
  <c r="BL234" i="7"/>
  <c r="BM234" i="7"/>
  <c r="BN234" i="7"/>
  <c r="BO234" i="7"/>
  <c r="BP234" i="7"/>
  <c r="AN75" i="7"/>
  <c r="AN74" i="7"/>
  <c r="AN73" i="7"/>
  <c r="AN72" i="7"/>
  <c r="AN219" i="7"/>
  <c r="AN214" i="7"/>
  <c r="AN136" i="7"/>
  <c r="AN135" i="7"/>
  <c r="AN124" i="7"/>
  <c r="AN123" i="7"/>
  <c r="AN122" i="7"/>
  <c r="AN121" i="7"/>
  <c r="AN50" i="7"/>
  <c r="AN51" i="7"/>
  <c r="AN52" i="7"/>
  <c r="AN53" i="7"/>
  <c r="AN54" i="7"/>
  <c r="AN49" i="7"/>
  <c r="AL14" i="7"/>
  <c r="AM14" i="7"/>
  <c r="AL15" i="7"/>
  <c r="AM15" i="7"/>
  <c r="AL20" i="7"/>
  <c r="AM20" i="7"/>
  <c r="AL25" i="7"/>
  <c r="AM25" i="7"/>
  <c r="AL27" i="7"/>
  <c r="AM27" i="7"/>
  <c r="AL28" i="7"/>
  <c r="AM28" i="7"/>
  <c r="AL29" i="7"/>
  <c r="AM29" i="7"/>
  <c r="AL30" i="7"/>
  <c r="AM30" i="7"/>
  <c r="AL31" i="7"/>
  <c r="AM31" i="7"/>
  <c r="AL32" i="7"/>
  <c r="AM32" i="7"/>
  <c r="AL33" i="7"/>
  <c r="AM33" i="7"/>
  <c r="AL34" i="7"/>
  <c r="AM34" i="7"/>
  <c r="AL35" i="7"/>
  <c r="AM35" i="7"/>
  <c r="AL36" i="7"/>
  <c r="AM36" i="7"/>
  <c r="AL37" i="7"/>
  <c r="AM37" i="7"/>
  <c r="AL38" i="7"/>
  <c r="AM38" i="7"/>
  <c r="AL39" i="7"/>
  <c r="AM39" i="7"/>
  <c r="AL40" i="7"/>
  <c r="AM40" i="7"/>
  <c r="AL41" i="7"/>
  <c r="AM41" i="7"/>
  <c r="AL42" i="7"/>
  <c r="AM42" i="7"/>
  <c r="AL43" i="7"/>
  <c r="AM43" i="7"/>
  <c r="AL44" i="7"/>
  <c r="AM44" i="7"/>
  <c r="AL45" i="7"/>
  <c r="AM45" i="7"/>
  <c r="AL46" i="7"/>
  <c r="AM46" i="7"/>
  <c r="AL47" i="7"/>
  <c r="AM47" i="7"/>
  <c r="AL48" i="7"/>
  <c r="AM48" i="7"/>
  <c r="AL49" i="7"/>
  <c r="AM49" i="7"/>
  <c r="AL50" i="7"/>
  <c r="AM50" i="7"/>
  <c r="AL51" i="7"/>
  <c r="AM51" i="7"/>
  <c r="AL52" i="7"/>
  <c r="AM52" i="7"/>
  <c r="AL53" i="7"/>
  <c r="AM53" i="7"/>
  <c r="AL54" i="7"/>
  <c r="AM54" i="7"/>
  <c r="AL55" i="7"/>
  <c r="AM55" i="7"/>
  <c r="AL56" i="7"/>
  <c r="AM56" i="7"/>
  <c r="AL57" i="7"/>
  <c r="AM57" i="7"/>
  <c r="AL58" i="7"/>
  <c r="AM58" i="7"/>
  <c r="AL59" i="7"/>
  <c r="AM59" i="7"/>
  <c r="AL60" i="7"/>
  <c r="AM60" i="7"/>
  <c r="AL61" i="7"/>
  <c r="AM61" i="7"/>
  <c r="AL62" i="7"/>
  <c r="AM62" i="7"/>
  <c r="AL63" i="7"/>
  <c r="AM63" i="7"/>
  <c r="AL64" i="7"/>
  <c r="AM64" i="7"/>
  <c r="AL65" i="7"/>
  <c r="AM65" i="7"/>
  <c r="AL66" i="7"/>
  <c r="AM66" i="7"/>
  <c r="AL67" i="7"/>
  <c r="AM67" i="7"/>
  <c r="AL68" i="7"/>
  <c r="AM68" i="7"/>
  <c r="AL69" i="7"/>
  <c r="AM69" i="7"/>
  <c r="AL70" i="7"/>
  <c r="AM70" i="7"/>
  <c r="AL71" i="7"/>
  <c r="AM71" i="7"/>
  <c r="AL72" i="7"/>
  <c r="AM72" i="7"/>
  <c r="AL73" i="7"/>
  <c r="AM73" i="7"/>
  <c r="AL74" i="7"/>
  <c r="AM74" i="7"/>
  <c r="AL75" i="7"/>
  <c r="AM75" i="7"/>
  <c r="AL76" i="7"/>
  <c r="AM76" i="7"/>
  <c r="AL81" i="7"/>
  <c r="AM81" i="7"/>
  <c r="AL82" i="7"/>
  <c r="AM82" i="7"/>
  <c r="AL83" i="7"/>
  <c r="AM83" i="7"/>
  <c r="AL84" i="7"/>
  <c r="AM84" i="7"/>
  <c r="AL85" i="7"/>
  <c r="AM85" i="7"/>
  <c r="AL86" i="7"/>
  <c r="AM86" i="7"/>
  <c r="AL93" i="7"/>
  <c r="AL98" i="7"/>
  <c r="AM98" i="7"/>
  <c r="AL99" i="7"/>
  <c r="AM99" i="7"/>
  <c r="AL100" i="7"/>
  <c r="AM100" i="7"/>
  <c r="AL101" i="7"/>
  <c r="AM101" i="7"/>
  <c r="AL102" i="7"/>
  <c r="AM102" i="7"/>
  <c r="AL103" i="7"/>
  <c r="AM103" i="7"/>
  <c r="AL104" i="7"/>
  <c r="AM104" i="7"/>
  <c r="AL105" i="7"/>
  <c r="AM105" i="7"/>
  <c r="AL106" i="7"/>
  <c r="AM106" i="7"/>
  <c r="AL107" i="7"/>
  <c r="AM107" i="7"/>
  <c r="AL108" i="7"/>
  <c r="AM108" i="7"/>
  <c r="AL121" i="7"/>
  <c r="AM121" i="7"/>
  <c r="AL122" i="7"/>
  <c r="AM122" i="7"/>
  <c r="AL123" i="7"/>
  <c r="AM123" i="7"/>
  <c r="AL124" i="7"/>
  <c r="AM124" i="7"/>
  <c r="AL125" i="7"/>
  <c r="AM125" i="7"/>
  <c r="AL126" i="7"/>
  <c r="AM126" i="7"/>
  <c r="AL127" i="7"/>
  <c r="AM127" i="7"/>
  <c r="AL128" i="7"/>
  <c r="AM128" i="7"/>
  <c r="AL129" i="7"/>
  <c r="AM129" i="7"/>
  <c r="AL130" i="7"/>
  <c r="AM130" i="7"/>
  <c r="AL131" i="7"/>
  <c r="AM131" i="7"/>
  <c r="AL132" i="7"/>
  <c r="AM132" i="7"/>
  <c r="AL133" i="7"/>
  <c r="AM133" i="7"/>
  <c r="AL134" i="7"/>
  <c r="AM134" i="7"/>
  <c r="AL135" i="7"/>
  <c r="AM135" i="7"/>
  <c r="AL136" i="7"/>
  <c r="AM136" i="7"/>
  <c r="AL137" i="7"/>
  <c r="AM137" i="7"/>
  <c r="AL138" i="7"/>
  <c r="AM138" i="7"/>
  <c r="AL139" i="7"/>
  <c r="AM139" i="7"/>
  <c r="AL140" i="7"/>
  <c r="AM140" i="7"/>
  <c r="AL141" i="7"/>
  <c r="AM141" i="7"/>
  <c r="AL142" i="7"/>
  <c r="AM142" i="7"/>
  <c r="AL143" i="7"/>
  <c r="AM143" i="7"/>
  <c r="AL144" i="7"/>
  <c r="AM144" i="7"/>
  <c r="AL145" i="7"/>
  <c r="AM145" i="7"/>
  <c r="AL146" i="7"/>
  <c r="AM146" i="7"/>
  <c r="AL147" i="7"/>
  <c r="AM147" i="7"/>
  <c r="AL148" i="7"/>
  <c r="AM148" i="7"/>
  <c r="AL149" i="7"/>
  <c r="AM149" i="7"/>
  <c r="AL150" i="7"/>
  <c r="AM150" i="7"/>
  <c r="AL151" i="7"/>
  <c r="AM151" i="7"/>
  <c r="AL176" i="7"/>
  <c r="AM176" i="7"/>
  <c r="AL177" i="7"/>
  <c r="AM177" i="7"/>
  <c r="AL184" i="7"/>
  <c r="AM184" i="7"/>
  <c r="AL194" i="7"/>
  <c r="AM194" i="7"/>
  <c r="AL195" i="7"/>
  <c r="AM195" i="7"/>
  <c r="AL196" i="7"/>
  <c r="AM196" i="7"/>
  <c r="AL197" i="7"/>
  <c r="AM197" i="7"/>
  <c r="AL198" i="7"/>
  <c r="AM198" i="7"/>
  <c r="AL199" i="7"/>
  <c r="AM199" i="7"/>
  <c r="AL200" i="7"/>
  <c r="AM200" i="7"/>
  <c r="AL201" i="7"/>
  <c r="AM201" i="7"/>
  <c r="AL202" i="7"/>
  <c r="AM202" i="7"/>
  <c r="AL203" i="7"/>
  <c r="AM203" i="7"/>
  <c r="AL204" i="7"/>
  <c r="AM204" i="7"/>
  <c r="AL205" i="7"/>
  <c r="AM205" i="7"/>
  <c r="AL206" i="7"/>
  <c r="AM206" i="7"/>
  <c r="AL207" i="7"/>
  <c r="AM207" i="7"/>
  <c r="AL214" i="7"/>
  <c r="AM214" i="7"/>
  <c r="AL219" i="7"/>
  <c r="AM219" i="7"/>
  <c r="AL232" i="7"/>
  <c r="AM232" i="7"/>
  <c r="AL233" i="7"/>
  <c r="AM233" i="7"/>
  <c r="AL234" i="7"/>
  <c r="AM234" i="7"/>
  <c r="AK219" i="7"/>
  <c r="AK214" i="7"/>
  <c r="AK177" i="7"/>
  <c r="AK184" i="7"/>
  <c r="AK176" i="7"/>
  <c r="AK136" i="7"/>
  <c r="AK135" i="7"/>
  <c r="AK128" i="7"/>
  <c r="AK127" i="7"/>
  <c r="AK124" i="7"/>
  <c r="AK123" i="7"/>
  <c r="AK122" i="7"/>
  <c r="AK121" i="7"/>
  <c r="AK93" i="7"/>
  <c r="AK86" i="7"/>
  <c r="AK66" i="7"/>
  <c r="AK67" i="7"/>
  <c r="AK68" i="7"/>
  <c r="AK69" i="7"/>
  <c r="AK70" i="7"/>
  <c r="AK71" i="7"/>
  <c r="AK72" i="7"/>
  <c r="AK73" i="7"/>
  <c r="AK74" i="7"/>
  <c r="AK75" i="7"/>
  <c r="AK76" i="7"/>
  <c r="AK81" i="7"/>
  <c r="AK82" i="7"/>
  <c r="AK83" i="7"/>
  <c r="AK84" i="7"/>
  <c r="AK85" i="7"/>
  <c r="AK65" i="7"/>
  <c r="AK50" i="7"/>
  <c r="AK51" i="7"/>
  <c r="AK52" i="7"/>
  <c r="AK53" i="7"/>
  <c r="AK54" i="7"/>
  <c r="AK49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25" i="7"/>
  <c r="AK20" i="7"/>
  <c r="AK15" i="7"/>
  <c r="AN233" i="7"/>
  <c r="AN234" i="7"/>
  <c r="AN232" i="7"/>
  <c r="AK233" i="7"/>
  <c r="AK234" i="7"/>
  <c r="AK232" i="7"/>
  <c r="BX74" i="28" l="1"/>
  <c r="BX150" i="26"/>
  <c r="BX106" i="30"/>
  <c r="BX46" i="26"/>
  <c r="BX99" i="28"/>
  <c r="BX203" i="26"/>
  <c r="BX148" i="30"/>
  <c r="BX50" i="30"/>
  <c r="BX64" i="28"/>
  <c r="BX121" i="26"/>
  <c r="BX84" i="26"/>
  <c r="BX194" i="30"/>
  <c r="BX125" i="30"/>
  <c r="BX122" i="28"/>
  <c r="BX184" i="26"/>
  <c r="BX59" i="30"/>
  <c r="BX145" i="28"/>
  <c r="BX197" i="26"/>
  <c r="BX201" i="30"/>
  <c r="BX34" i="30"/>
  <c r="BX129" i="30"/>
  <c r="BX214" i="28"/>
  <c r="BX179" i="26"/>
  <c r="W196" i="28"/>
  <c r="BX83" i="26"/>
  <c r="BX125" i="26"/>
  <c r="BX66" i="30"/>
  <c r="BX177" i="26"/>
  <c r="BX41" i="28"/>
  <c r="BX108" i="26"/>
  <c r="BX15" i="26"/>
  <c r="BX98" i="26"/>
  <c r="BX132" i="28"/>
  <c r="BX102" i="30"/>
  <c r="BX71" i="26"/>
  <c r="BX65" i="28"/>
  <c r="BX207" i="28"/>
  <c r="BX124" i="26"/>
  <c r="BX38" i="28"/>
  <c r="BX135" i="28"/>
  <c r="BX69" i="30"/>
  <c r="W196" i="26"/>
  <c r="BX200" i="30"/>
  <c r="BX219" i="30"/>
  <c r="BX199" i="28"/>
  <c r="BX32" i="28"/>
  <c r="BX176" i="28"/>
  <c r="BX204" i="26"/>
  <c r="BX37" i="26"/>
  <c r="BX57" i="28"/>
  <c r="W205" i="30"/>
  <c r="BX82" i="26"/>
  <c r="BX141" i="30"/>
  <c r="BX233" i="30"/>
  <c r="BX151" i="26"/>
  <c r="BX103" i="26"/>
  <c r="BX53" i="26"/>
  <c r="BX31" i="30"/>
  <c r="BX232" i="26"/>
  <c r="BX56" i="28"/>
  <c r="BX51" i="26"/>
  <c r="BX82" i="28"/>
  <c r="BX42" i="28"/>
  <c r="BX86" i="26"/>
  <c r="BX147" i="30"/>
  <c r="BX41" i="30"/>
  <c r="BX205" i="30"/>
  <c r="BX69" i="26"/>
  <c r="BX73" i="30"/>
  <c r="BX150" i="30"/>
  <c r="BX40" i="28"/>
  <c r="BX200" i="26"/>
  <c r="AA206" i="30"/>
  <c r="BX39" i="30"/>
  <c r="BX134" i="30"/>
  <c r="BX49" i="30"/>
  <c r="BX70" i="26"/>
  <c r="BX40" i="30"/>
  <c r="BX85" i="26"/>
  <c r="BX128" i="26"/>
  <c r="BX58" i="28"/>
  <c r="BX61" i="30"/>
  <c r="BX197" i="28"/>
  <c r="BX126" i="28"/>
  <c r="BX39" i="26"/>
  <c r="BX103" i="28"/>
  <c r="BX204" i="30"/>
  <c r="BX128" i="28"/>
  <c r="BX99" i="26"/>
  <c r="BX134" i="26"/>
  <c r="BX207" i="30"/>
  <c r="BX63" i="28"/>
  <c r="BX11" i="28"/>
  <c r="BX122" i="30"/>
  <c r="BX146" i="28"/>
  <c r="BX48" i="28"/>
  <c r="BX214" i="26"/>
  <c r="BX202" i="28"/>
  <c r="BX133" i="28"/>
  <c r="BX35" i="28"/>
  <c r="BX177" i="30"/>
  <c r="BX50" i="28"/>
  <c r="BX144" i="28"/>
  <c r="BX67" i="28"/>
  <c r="BX136" i="26"/>
  <c r="BX26" i="26"/>
  <c r="BX232" i="30"/>
  <c r="BX143" i="30"/>
  <c r="BX45" i="30"/>
  <c r="BX200" i="28"/>
  <c r="BX131" i="28"/>
  <c r="BX69" i="28"/>
  <c r="BX33" i="28"/>
  <c r="BX102" i="26"/>
  <c r="BX52" i="26"/>
  <c r="BX105" i="30"/>
  <c r="BX183" i="30"/>
  <c r="BX38" i="30"/>
  <c r="BX56" i="30"/>
  <c r="BX142" i="28"/>
  <c r="BX44" i="28"/>
  <c r="W197" i="30"/>
  <c r="BX128" i="30"/>
  <c r="BX30" i="30"/>
  <c r="BX104" i="28"/>
  <c r="BX26" i="30"/>
  <c r="BX62" i="28"/>
  <c r="BX28" i="30"/>
  <c r="BX52" i="28"/>
  <c r="BX145" i="26"/>
  <c r="BX149" i="28"/>
  <c r="BX219" i="26"/>
  <c r="BX145" i="30"/>
  <c r="BX54" i="26"/>
  <c r="BX179" i="30"/>
  <c r="BX233" i="28"/>
  <c r="BX29" i="26"/>
  <c r="BX205" i="28"/>
  <c r="BX107" i="28"/>
  <c r="BX138" i="26"/>
  <c r="BX182" i="28"/>
  <c r="BX142" i="30"/>
  <c r="BX44" i="30"/>
  <c r="BX33" i="26"/>
  <c r="BX103" i="30"/>
  <c r="BX107" i="30"/>
  <c r="BX206" i="26"/>
  <c r="BX183" i="26"/>
  <c r="BX126" i="26"/>
  <c r="BX146" i="30"/>
  <c r="BX203" i="28"/>
  <c r="BX198" i="26"/>
  <c r="BX100" i="26"/>
  <c r="BX62" i="30"/>
  <c r="BX62" i="26"/>
  <c r="BX130" i="26"/>
  <c r="BX176" i="30"/>
  <c r="BX104" i="30"/>
  <c r="BX211" i="28"/>
  <c r="BX25" i="26"/>
  <c r="BX194" i="28"/>
  <c r="BX74" i="30"/>
  <c r="BX76" i="28"/>
  <c r="BX142" i="26"/>
  <c r="BX206" i="30"/>
  <c r="BX57" i="26"/>
  <c r="BX202" i="30"/>
  <c r="BX71" i="30"/>
  <c r="BX180" i="28"/>
  <c r="BX14" i="28"/>
  <c r="BX40" i="26"/>
  <c r="BX12" i="28"/>
  <c r="BX61" i="26"/>
  <c r="BX144" i="26"/>
  <c r="BX124" i="28"/>
  <c r="BX178" i="30"/>
  <c r="BX232" i="28"/>
  <c r="BX32" i="30"/>
  <c r="BX73" i="28"/>
  <c r="BX106" i="28"/>
  <c r="BX15" i="28"/>
  <c r="BX181" i="28"/>
  <c r="BX60" i="28"/>
  <c r="BX141" i="28"/>
  <c r="BX11" i="26"/>
  <c r="BX105" i="26"/>
  <c r="BX55" i="26"/>
  <c r="BX180" i="30"/>
  <c r="BX121" i="30"/>
  <c r="BX66" i="26"/>
  <c r="BX143" i="26"/>
  <c r="BX211" i="30"/>
  <c r="BX42" i="30"/>
  <c r="BX49" i="26"/>
  <c r="BX28" i="28"/>
  <c r="BX15" i="30"/>
  <c r="BU93" i="7"/>
  <c r="BW93" i="7"/>
  <c r="BV93" i="7"/>
  <c r="BX60" i="30"/>
  <c r="BX98" i="28"/>
  <c r="BX47" i="30"/>
  <c r="BX63" i="26"/>
  <c r="BX210" i="28"/>
  <c r="BX48" i="26"/>
  <c r="BX32" i="26"/>
  <c r="BU124" i="7"/>
  <c r="BW124" i="7"/>
  <c r="BV124" i="7"/>
  <c r="BW49" i="7"/>
  <c r="BU49" i="7"/>
  <c r="BV49" i="7"/>
  <c r="BU121" i="7"/>
  <c r="BW121" i="7"/>
  <c r="BV121" i="7"/>
  <c r="BX14" i="26"/>
  <c r="BX20" i="30"/>
  <c r="BX141" i="26"/>
  <c r="BX43" i="26"/>
  <c r="BX93" i="30"/>
  <c r="BX71" i="28"/>
  <c r="BX83" i="28"/>
  <c r="BX58" i="30"/>
  <c r="BX31" i="28"/>
  <c r="BX131" i="30"/>
  <c r="BX33" i="30"/>
  <c r="BX149" i="26"/>
  <c r="BX43" i="28"/>
  <c r="BX54" i="28"/>
  <c r="BX135" i="26"/>
  <c r="BX73" i="26"/>
  <c r="BX25" i="28"/>
  <c r="BX81" i="28"/>
  <c r="BX126" i="30"/>
  <c r="BX39" i="28"/>
  <c r="BX101" i="30"/>
  <c r="BX51" i="30"/>
  <c r="BW232" i="7"/>
  <c r="BU232" i="7"/>
  <c r="BV232" i="7"/>
  <c r="BU27" i="7"/>
  <c r="BV27" i="7"/>
  <c r="BW27" i="7"/>
  <c r="BW86" i="7"/>
  <c r="BU86" i="7"/>
  <c r="BV86" i="7"/>
  <c r="BW37" i="7"/>
  <c r="BV37" i="7"/>
  <c r="BU37" i="7"/>
  <c r="BW75" i="7"/>
  <c r="BU75" i="7"/>
  <c r="BV75" i="7"/>
  <c r="BU74" i="7"/>
  <c r="BV74" i="7"/>
  <c r="BW74" i="7"/>
  <c r="BX13" i="26"/>
  <c r="BX234" i="30"/>
  <c r="BX176" i="26"/>
  <c r="BX104" i="26"/>
  <c r="BX43" i="30"/>
  <c r="BX148" i="26"/>
  <c r="BX183" i="28"/>
  <c r="BX68" i="26"/>
  <c r="BX108" i="30"/>
  <c r="BX86" i="28"/>
  <c r="BX46" i="28"/>
  <c r="BX196" i="26"/>
  <c r="BX127" i="26"/>
  <c r="BX65" i="26"/>
  <c r="BX67" i="30"/>
  <c r="BX178" i="28"/>
  <c r="BX101" i="26"/>
  <c r="BX140" i="28"/>
  <c r="BX75" i="28"/>
  <c r="BX132" i="26"/>
  <c r="BX44" i="26"/>
  <c r="BX151" i="30"/>
  <c r="BX53" i="30"/>
  <c r="BX139" i="28"/>
  <c r="BX181" i="26"/>
  <c r="BX122" i="26"/>
  <c r="BX27" i="28"/>
  <c r="BX34" i="26"/>
  <c r="BX124" i="30"/>
  <c r="BX135" i="30"/>
  <c r="BX147" i="28"/>
  <c r="BX195" i="30"/>
  <c r="BX64" i="30"/>
  <c r="BX150" i="28"/>
  <c r="BX102" i="28"/>
  <c r="BX234" i="26"/>
  <c r="BX93" i="26"/>
  <c r="BX47" i="26"/>
  <c r="BX26" i="28"/>
  <c r="BX99" i="30"/>
  <c r="BX149" i="30"/>
  <c r="BW25" i="7"/>
  <c r="BU25" i="7"/>
  <c r="BV25" i="7"/>
  <c r="BU81" i="7"/>
  <c r="BW81" i="7"/>
  <c r="BV81" i="7"/>
  <c r="BW177" i="7"/>
  <c r="BU177" i="7"/>
  <c r="BV177" i="7"/>
  <c r="BW38" i="7"/>
  <c r="BV38" i="7"/>
  <c r="BU38" i="7"/>
  <c r="BV76" i="7"/>
  <c r="BU76" i="7"/>
  <c r="BW76" i="7"/>
  <c r="BW214" i="7"/>
  <c r="BV214" i="7"/>
  <c r="BU214" i="7"/>
  <c r="BW54" i="7"/>
  <c r="BV54" i="7"/>
  <c r="BU54" i="7"/>
  <c r="BW219" i="7"/>
  <c r="BV219" i="7"/>
  <c r="BU219" i="7"/>
  <c r="BU36" i="7"/>
  <c r="BW36" i="7"/>
  <c r="BV36" i="7"/>
  <c r="BU53" i="7"/>
  <c r="BV53" i="7"/>
  <c r="BW53" i="7"/>
  <c r="BW122" i="7"/>
  <c r="BV122" i="7"/>
  <c r="BU122" i="7"/>
  <c r="BW35" i="7"/>
  <c r="BV35" i="7"/>
  <c r="BU35" i="7"/>
  <c r="BV52" i="7"/>
  <c r="BU52" i="7"/>
  <c r="BW52" i="7"/>
  <c r="BW73" i="7"/>
  <c r="BU73" i="7"/>
  <c r="BV73" i="7"/>
  <c r="BV123" i="7"/>
  <c r="BU123" i="7"/>
  <c r="BW123" i="7"/>
  <c r="W204" i="26"/>
  <c r="BX14" i="30"/>
  <c r="BX48" i="30"/>
  <c r="BX72" i="28"/>
  <c r="BX36" i="28"/>
  <c r="BX129" i="26"/>
  <c r="BX67" i="26"/>
  <c r="BX144" i="30"/>
  <c r="BX86" i="30"/>
  <c r="BX177" i="28"/>
  <c r="BX207" i="26"/>
  <c r="BX76" i="26"/>
  <c r="BX129" i="28"/>
  <c r="BX136" i="30"/>
  <c r="BX148" i="28"/>
  <c r="BX182" i="30"/>
  <c r="BX84" i="30"/>
  <c r="BX130" i="28"/>
  <c r="BX68" i="28"/>
  <c r="BX214" i="30"/>
  <c r="BX54" i="30"/>
  <c r="BX182" i="26"/>
  <c r="BX196" i="28"/>
  <c r="BX35" i="26"/>
  <c r="BX58" i="26"/>
  <c r="BX123" i="28"/>
  <c r="BX75" i="30"/>
  <c r="BW51" i="7"/>
  <c r="BU51" i="7"/>
  <c r="BV51" i="7"/>
  <c r="BU33" i="7"/>
  <c r="BW33" i="7"/>
  <c r="BV33" i="7"/>
  <c r="BW71" i="7"/>
  <c r="BV71" i="7"/>
  <c r="BU71" i="7"/>
  <c r="BV127" i="7"/>
  <c r="BW127" i="7"/>
  <c r="BU127" i="7"/>
  <c r="BX121" i="28"/>
  <c r="BX55" i="28"/>
  <c r="BX74" i="26"/>
  <c r="BX123" i="26"/>
  <c r="BX139" i="30"/>
  <c r="BX138" i="28"/>
  <c r="BU234" i="7"/>
  <c r="BV234" i="7"/>
  <c r="BW234" i="7"/>
  <c r="BU50" i="7"/>
  <c r="BW50" i="7"/>
  <c r="BV50" i="7"/>
  <c r="BX134" i="28"/>
  <c r="BX198" i="28"/>
  <c r="BV233" i="7"/>
  <c r="BW233" i="7"/>
  <c r="BU233" i="7"/>
  <c r="BW32" i="7"/>
  <c r="BU32" i="7"/>
  <c r="BV32" i="7"/>
  <c r="BU65" i="7"/>
  <c r="BW65" i="7"/>
  <c r="BV65" i="7"/>
  <c r="BW70" i="7"/>
  <c r="BU70" i="7"/>
  <c r="BV70" i="7"/>
  <c r="BU128" i="7"/>
  <c r="BW128" i="7"/>
  <c r="BV128" i="7"/>
  <c r="BX31" i="26"/>
  <c r="BX133" i="30"/>
  <c r="BX35" i="30"/>
  <c r="BX59" i="28"/>
  <c r="BX211" i="26"/>
  <c r="BX140" i="26"/>
  <c r="BX42" i="26"/>
  <c r="BX136" i="28"/>
  <c r="BX131" i="26"/>
  <c r="BX46" i="30"/>
  <c r="BX201" i="28"/>
  <c r="BX70" i="28"/>
  <c r="BX34" i="28"/>
  <c r="BX198" i="30"/>
  <c r="BX75" i="26"/>
  <c r="BX51" i="28"/>
  <c r="BX178" i="26"/>
  <c r="BX199" i="26"/>
  <c r="BX210" i="30"/>
  <c r="BX81" i="30"/>
  <c r="BX127" i="28"/>
  <c r="BX29" i="28"/>
  <c r="BX146" i="26"/>
  <c r="BX72" i="26"/>
  <c r="BX36" i="26"/>
  <c r="BX61" i="28"/>
  <c r="BX52" i="30"/>
  <c r="BX202" i="26"/>
  <c r="BX133" i="26"/>
  <c r="BX101" i="28"/>
  <c r="BX233" i="26"/>
  <c r="BX137" i="30"/>
  <c r="BX105" i="28"/>
  <c r="BX56" i="26"/>
  <c r="BX57" i="30"/>
  <c r="BX143" i="28"/>
  <c r="BX85" i="28"/>
  <c r="BX45" i="28"/>
  <c r="BX195" i="26"/>
  <c r="BX64" i="26"/>
  <c r="BX28" i="26"/>
  <c r="BX38" i="26"/>
  <c r="BX123" i="30"/>
  <c r="BX199" i="30"/>
  <c r="BX130" i="30"/>
  <c r="BX68" i="30"/>
  <c r="BX184" i="28"/>
  <c r="BX137" i="26"/>
  <c r="BX55" i="30"/>
  <c r="BX82" i="30"/>
  <c r="BX147" i="26"/>
  <c r="BX106" i="26"/>
  <c r="BX29" i="30"/>
  <c r="BV31" i="7"/>
  <c r="BW31" i="7"/>
  <c r="BU31" i="7"/>
  <c r="BV135" i="7"/>
  <c r="BU135" i="7"/>
  <c r="BW135" i="7"/>
  <c r="BU136" i="7"/>
  <c r="BV136" i="7"/>
  <c r="BW136" i="7"/>
  <c r="BX12" i="26"/>
  <c r="BX203" i="30"/>
  <c r="BX72" i="30"/>
  <c r="BX36" i="30"/>
  <c r="BX47" i="28"/>
  <c r="BX194" i="26"/>
  <c r="BX140" i="30"/>
  <c r="BX66" i="28"/>
  <c r="BX30" i="28"/>
  <c r="BV34" i="7"/>
  <c r="BU34" i="7"/>
  <c r="BW34" i="7"/>
  <c r="BU85" i="7"/>
  <c r="BW85" i="7"/>
  <c r="BV85" i="7"/>
  <c r="BV84" i="7"/>
  <c r="BU84" i="7"/>
  <c r="BW84" i="7"/>
  <c r="BV29" i="7"/>
  <c r="BW29" i="7"/>
  <c r="BU29" i="7"/>
  <c r="BV67" i="7"/>
  <c r="BU67" i="7"/>
  <c r="BW67" i="7"/>
  <c r="BX13" i="30"/>
  <c r="BX20" i="28"/>
  <c r="BX108" i="28"/>
  <c r="BX85" i="30"/>
  <c r="BX184" i="30"/>
  <c r="BX84" i="28"/>
  <c r="BV72" i="7"/>
  <c r="BU72" i="7"/>
  <c r="BW72" i="7"/>
  <c r="BU69" i="7"/>
  <c r="BW69" i="7"/>
  <c r="BV69" i="7"/>
  <c r="BW30" i="7"/>
  <c r="BV30" i="7"/>
  <c r="BU30" i="7"/>
  <c r="BV68" i="7"/>
  <c r="BU68" i="7"/>
  <c r="BW68" i="7"/>
  <c r="BW15" i="7"/>
  <c r="BV15" i="7"/>
  <c r="BU15" i="7"/>
  <c r="BV83" i="7"/>
  <c r="BW83" i="7"/>
  <c r="BU83" i="7"/>
  <c r="BW176" i="7"/>
  <c r="BV176" i="7"/>
  <c r="BU176" i="7"/>
  <c r="BW20" i="7"/>
  <c r="BV20" i="7"/>
  <c r="BU20" i="7"/>
  <c r="BV28" i="7"/>
  <c r="BU28" i="7"/>
  <c r="BW28" i="7"/>
  <c r="BW82" i="7"/>
  <c r="BV82" i="7"/>
  <c r="BU82" i="7"/>
  <c r="BW66" i="7"/>
  <c r="BV66" i="7"/>
  <c r="BU66" i="7"/>
  <c r="BW184" i="7"/>
  <c r="BU184" i="7"/>
  <c r="BV184" i="7"/>
  <c r="BX13" i="28"/>
  <c r="BX181" i="30"/>
  <c r="BX234" i="28"/>
  <c r="BX93" i="28"/>
  <c r="BX30" i="26"/>
  <c r="BX205" i="26"/>
  <c r="BX50" i="26"/>
  <c r="BX100" i="28"/>
  <c r="BX132" i="30"/>
  <c r="BX70" i="30"/>
  <c r="BX179" i="28"/>
  <c r="BX210" i="26"/>
  <c r="BX139" i="26"/>
  <c r="BX81" i="26"/>
  <c r="BX41" i="26"/>
  <c r="BX25" i="30"/>
  <c r="BX45" i="26"/>
  <c r="BX49" i="28"/>
  <c r="BX219" i="28"/>
  <c r="BX27" i="26"/>
  <c r="BX204" i="28"/>
  <c r="BX197" i="30"/>
  <c r="BX20" i="26"/>
  <c r="BX137" i="28"/>
  <c r="BX201" i="26"/>
  <c r="BX107" i="26"/>
  <c r="BX196" i="30"/>
  <c r="BX127" i="30"/>
  <c r="BX65" i="30"/>
  <c r="BX151" i="28"/>
  <c r="BX53" i="28"/>
  <c r="BX60" i="26"/>
  <c r="BX125" i="28"/>
  <c r="BX37" i="30"/>
  <c r="BX138" i="30"/>
  <c r="BX76" i="30"/>
  <c r="BX195" i="28"/>
  <c r="BX180" i="26"/>
  <c r="BX59" i="26"/>
  <c r="BX206" i="28"/>
  <c r="BX100" i="30"/>
  <c r="BX37" i="28"/>
  <c r="BX63" i="30"/>
  <c r="BX27" i="30"/>
  <c r="BX12" i="30"/>
  <c r="BX83" i="30"/>
  <c r="BX98" i="30"/>
  <c r="W207" i="26"/>
  <c r="W204" i="30"/>
  <c r="W201" i="26"/>
  <c r="W200" i="26"/>
  <c r="W207" i="28"/>
  <c r="W207" i="30"/>
  <c r="W203" i="28"/>
  <c r="W198" i="28"/>
  <c r="W206" i="28"/>
  <c r="AA207" i="26"/>
  <c r="W202" i="30"/>
  <c r="W201" i="28"/>
  <c r="W201" i="30"/>
  <c r="W206" i="30"/>
  <c r="W197" i="28"/>
  <c r="W198" i="30"/>
  <c r="W202" i="26"/>
  <c r="W203" i="26"/>
  <c r="W196" i="30"/>
  <c r="W203" i="30"/>
  <c r="AA203" i="28"/>
  <c r="S67" i="30"/>
  <c r="AC67" i="30" s="1"/>
  <c r="S48" i="26"/>
  <c r="AC48" i="26" s="1"/>
  <c r="S62" i="28"/>
  <c r="AC62" i="28" s="1"/>
  <c r="S67" i="26"/>
  <c r="AC67" i="26" s="1"/>
  <c r="S133" i="30"/>
  <c r="AC133" i="30" s="1"/>
  <c r="S58" i="30"/>
  <c r="AC58" i="30" s="1"/>
  <c r="S136" i="28"/>
  <c r="AC136" i="28" s="1"/>
  <c r="S35" i="28"/>
  <c r="AC35" i="28" s="1"/>
  <c r="S69" i="28"/>
  <c r="AC69" i="28" s="1"/>
  <c r="W202" i="28"/>
  <c r="S202" i="28"/>
  <c r="S36" i="30"/>
  <c r="AC36" i="30" s="1"/>
  <c r="S183" i="30"/>
  <c r="AC183" i="30" s="1"/>
  <c r="S147" i="30"/>
  <c r="AC147" i="30" s="1"/>
  <c r="S199" i="26"/>
  <c r="W199" i="26"/>
  <c r="W197" i="26"/>
  <c r="S197" i="26"/>
  <c r="S128" i="26"/>
  <c r="AC128" i="26" s="1"/>
  <c r="S125" i="26"/>
  <c r="AC125" i="26" s="1"/>
  <c r="S27" i="26"/>
  <c r="AC27" i="26" s="1"/>
  <c r="S55" i="30"/>
  <c r="AC55" i="30" s="1"/>
  <c r="S11" i="28"/>
  <c r="AC11" i="28" s="1"/>
  <c r="S60" i="26"/>
  <c r="AC60" i="26" s="1"/>
  <c r="AC148" i="30"/>
  <c r="S12" i="26"/>
  <c r="AC12" i="26" s="1"/>
  <c r="S49" i="30"/>
  <c r="AC49" i="30" s="1"/>
  <c r="S60" i="30"/>
  <c r="AC60" i="30" s="1"/>
  <c r="S85" i="28"/>
  <c r="AC85" i="28" s="1"/>
  <c r="S182" i="28"/>
  <c r="AC182" i="28" s="1"/>
  <c r="S133" i="28"/>
  <c r="AC133" i="28" s="1"/>
  <c r="S37" i="26"/>
  <c r="AC37" i="26" s="1"/>
  <c r="S75" i="28"/>
  <c r="AC75" i="28" s="1"/>
  <c r="S234" i="26"/>
  <c r="AC234" i="26" s="1"/>
  <c r="S108" i="26"/>
  <c r="AC108" i="26" s="1"/>
  <c r="AC13" i="30"/>
  <c r="W200" i="30"/>
  <c r="S76" i="28"/>
  <c r="AC76" i="28" s="1"/>
  <c r="AC13" i="28"/>
  <c r="W206" i="26"/>
  <c r="S56" i="28"/>
  <c r="AC56" i="28" s="1"/>
  <c r="W198" i="26"/>
  <c r="AC123" i="26"/>
  <c r="AC134" i="26"/>
  <c r="AC59" i="26"/>
  <c r="S30" i="26"/>
  <c r="AC30" i="26" s="1"/>
  <c r="S180" i="30"/>
  <c r="AC180" i="30" s="1"/>
  <c r="S139" i="28"/>
  <c r="AC139" i="28" s="1"/>
  <c r="AC11" i="30"/>
  <c r="W205" i="28"/>
  <c r="AC136" i="30"/>
  <c r="AC44" i="28"/>
  <c r="AC210" i="30"/>
  <c r="AC122" i="26"/>
  <c r="AC124" i="30"/>
  <c r="AC64" i="28"/>
  <c r="AC37" i="28"/>
  <c r="S125" i="30"/>
  <c r="AC125" i="30" s="1"/>
  <c r="AC182" i="30"/>
  <c r="AC84" i="28"/>
  <c r="S131" i="28"/>
  <c r="AC131" i="28" s="1"/>
  <c r="S126" i="26"/>
  <c r="AC126" i="26" s="1"/>
  <c r="S12" i="30"/>
  <c r="AC12" i="30" s="1"/>
  <c r="S12" i="28"/>
  <c r="AC12" i="28" s="1"/>
  <c r="S129" i="28"/>
  <c r="AC129" i="28" s="1"/>
  <c r="S27" i="30"/>
  <c r="AC27" i="30" s="1"/>
  <c r="S103" i="28"/>
  <c r="AC103" i="28" s="1"/>
  <c r="S40" i="30"/>
  <c r="AC40" i="30" s="1"/>
  <c r="S11" i="26"/>
  <c r="AC11" i="26" s="1"/>
  <c r="S206" i="26"/>
  <c r="S206" i="28"/>
  <c r="S103" i="30"/>
  <c r="AC103" i="30" s="1"/>
  <c r="S81" i="28"/>
  <c r="AC81" i="28" s="1"/>
  <c r="AC210" i="26"/>
  <c r="AC41" i="26"/>
  <c r="AC99" i="26"/>
  <c r="AC139" i="30"/>
  <c r="S13" i="26"/>
  <c r="AC13" i="26" s="1"/>
  <c r="S54" i="30"/>
  <c r="AC54" i="30" s="1"/>
  <c r="S81" i="30"/>
  <c r="AC81" i="30" s="1"/>
  <c r="S202" i="26"/>
  <c r="AC105" i="26"/>
  <c r="AC183" i="26"/>
  <c r="AC102" i="26"/>
  <c r="AC44" i="30"/>
  <c r="AA199" i="28"/>
  <c r="AC107" i="26"/>
  <c r="AC69" i="26"/>
  <c r="AC28" i="30"/>
  <c r="AC99" i="30"/>
  <c r="S198" i="26"/>
  <c r="S71" i="30"/>
  <c r="AC71" i="30" s="1"/>
  <c r="S69" i="30"/>
  <c r="AC69" i="30" s="1"/>
  <c r="S124" i="26"/>
  <c r="AC124" i="26" s="1"/>
  <c r="AC55" i="26"/>
  <c r="AC178" i="30"/>
  <c r="AC73" i="28"/>
  <c r="W199" i="30"/>
  <c r="AC32" i="30"/>
  <c r="W204" i="28"/>
  <c r="AC72" i="26"/>
  <c r="S205" i="28"/>
  <c r="S203" i="30"/>
  <c r="S71" i="28"/>
  <c r="AC71" i="28" s="1"/>
  <c r="S54" i="26"/>
  <c r="AC54" i="26" s="1"/>
  <c r="S57" i="30"/>
  <c r="AC57" i="30" s="1"/>
  <c r="S137" i="28"/>
  <c r="AC137" i="28" s="1"/>
  <c r="S55" i="28"/>
  <c r="AC55" i="28" s="1"/>
  <c r="S41" i="28"/>
  <c r="AC41" i="28" s="1"/>
  <c r="S150" i="28"/>
  <c r="AC150" i="28" s="1"/>
  <c r="S145" i="26"/>
  <c r="AC145" i="26" s="1"/>
  <c r="AC60" i="28"/>
  <c r="AC108" i="30"/>
  <c r="AC233" i="28"/>
  <c r="AC46" i="28"/>
  <c r="AC29" i="26"/>
  <c r="AC129" i="30"/>
  <c r="AC67" i="28"/>
  <c r="AC136" i="26"/>
  <c r="AC232" i="28"/>
  <c r="AC98" i="26"/>
  <c r="S178" i="26"/>
  <c r="AC178" i="26" s="1"/>
  <c r="S37" i="30"/>
  <c r="AC37" i="30" s="1"/>
  <c r="S56" i="26"/>
  <c r="AC56" i="26" s="1"/>
  <c r="S181" i="30"/>
  <c r="AC181" i="30" s="1"/>
  <c r="S146" i="28"/>
  <c r="AC146" i="28" s="1"/>
  <c r="S59" i="28"/>
  <c r="AC59" i="28" s="1"/>
  <c r="S130" i="30"/>
  <c r="AC130" i="30" s="1"/>
  <c r="S39" i="28"/>
  <c r="AC39" i="28" s="1"/>
  <c r="S43" i="30"/>
  <c r="AC43" i="30" s="1"/>
  <c r="S211" i="28"/>
  <c r="AC211" i="28" s="1"/>
  <c r="S29" i="28"/>
  <c r="AC29" i="28" s="1"/>
  <c r="S150" i="30"/>
  <c r="AC150" i="30" s="1"/>
  <c r="AC234" i="28"/>
  <c r="AC144" i="28"/>
  <c r="AC26" i="26"/>
  <c r="AC74" i="28"/>
  <c r="AC51" i="26"/>
  <c r="AC54" i="28"/>
  <c r="AC135" i="26"/>
  <c r="AC73" i="26"/>
  <c r="S151" i="26"/>
  <c r="AC151" i="26" s="1"/>
  <c r="S47" i="28"/>
  <c r="AC47" i="28" s="1"/>
  <c r="S139" i="26"/>
  <c r="AC139" i="26" s="1"/>
  <c r="S28" i="26"/>
  <c r="AC28" i="26" s="1"/>
  <c r="S144" i="26"/>
  <c r="AC144" i="26" s="1"/>
  <c r="S31" i="28"/>
  <c r="AC31" i="28" s="1"/>
  <c r="W200" i="28"/>
  <c r="W205" i="26"/>
  <c r="W199" i="28"/>
  <c r="T197" i="30"/>
  <c r="U197" i="30" s="1"/>
  <c r="BX11" i="30"/>
  <c r="R76" i="7"/>
  <c r="S76" i="7" s="1"/>
  <c r="O76" i="7"/>
  <c r="P76" i="7"/>
  <c r="Q76" i="7"/>
  <c r="P219" i="7"/>
  <c r="R219" i="7"/>
  <c r="O219" i="7"/>
  <c r="Q219" i="7"/>
  <c r="O232" i="7"/>
  <c r="R232" i="7"/>
  <c r="S232" i="7" s="1"/>
  <c r="P232" i="7"/>
  <c r="Q232" i="7"/>
  <c r="R36" i="7"/>
  <c r="S36" i="7" s="1"/>
  <c r="O36" i="7"/>
  <c r="P36" i="7"/>
  <c r="Q36" i="7"/>
  <c r="O53" i="7"/>
  <c r="Q53" i="7"/>
  <c r="P53" i="7"/>
  <c r="R53" i="7"/>
  <c r="S53" i="7" s="1"/>
  <c r="O74" i="7"/>
  <c r="Q74" i="7"/>
  <c r="R74" i="7"/>
  <c r="S74" i="7" s="1"/>
  <c r="P74" i="7"/>
  <c r="P122" i="7"/>
  <c r="Q122" i="7"/>
  <c r="R122" i="7"/>
  <c r="S122" i="7" s="1"/>
  <c r="O122" i="7"/>
  <c r="O214" i="7"/>
  <c r="P214" i="7"/>
  <c r="Q214" i="7"/>
  <c r="R214" i="7"/>
  <c r="O37" i="7"/>
  <c r="P37" i="7"/>
  <c r="Q37" i="7"/>
  <c r="R37" i="7"/>
  <c r="S37" i="7" s="1"/>
  <c r="P35" i="7"/>
  <c r="Q35" i="7"/>
  <c r="R35" i="7"/>
  <c r="S35" i="7" s="1"/>
  <c r="O35" i="7"/>
  <c r="Q123" i="7"/>
  <c r="O123" i="7"/>
  <c r="P123" i="7"/>
  <c r="R123" i="7"/>
  <c r="S123" i="7" s="1"/>
  <c r="P234" i="7"/>
  <c r="R234" i="7"/>
  <c r="S234" i="7" s="1"/>
  <c r="O234" i="7"/>
  <c r="Q234" i="7"/>
  <c r="R52" i="7"/>
  <c r="S52" i="7" s="1"/>
  <c r="O52" i="7"/>
  <c r="P52" i="7"/>
  <c r="Q52" i="7"/>
  <c r="P73" i="7"/>
  <c r="O73" i="7"/>
  <c r="Q73" i="7"/>
  <c r="R73" i="7"/>
  <c r="S73" i="7" s="1"/>
  <c r="O233" i="7"/>
  <c r="P233" i="7"/>
  <c r="Q233" i="7"/>
  <c r="R233" i="7"/>
  <c r="S233" i="7" s="1"/>
  <c r="O34" i="7"/>
  <c r="Q34" i="7"/>
  <c r="R34" i="7"/>
  <c r="S34" i="7" s="1"/>
  <c r="P34" i="7"/>
  <c r="O51" i="7"/>
  <c r="Q51" i="7"/>
  <c r="R51" i="7"/>
  <c r="S51" i="7" s="1"/>
  <c r="P51" i="7"/>
  <c r="O72" i="7"/>
  <c r="P72" i="7"/>
  <c r="R72" i="7"/>
  <c r="S72" i="7" s="1"/>
  <c r="Q72" i="7"/>
  <c r="O124" i="7"/>
  <c r="Q124" i="7"/>
  <c r="P124" i="7"/>
  <c r="R124" i="7"/>
  <c r="S124" i="7" s="1"/>
  <c r="O54" i="7"/>
  <c r="P54" i="7"/>
  <c r="Q54" i="7"/>
  <c r="R54" i="7"/>
  <c r="S54" i="7" s="1"/>
  <c r="O33" i="7"/>
  <c r="Q33" i="7"/>
  <c r="P33" i="7"/>
  <c r="R33" i="7"/>
  <c r="S33" i="7" s="1"/>
  <c r="O50" i="7"/>
  <c r="Q50" i="7"/>
  <c r="R50" i="7"/>
  <c r="S50" i="7" s="1"/>
  <c r="P50" i="7"/>
  <c r="P71" i="7"/>
  <c r="R71" i="7"/>
  <c r="S71" i="7" s="1"/>
  <c r="O71" i="7"/>
  <c r="Q71" i="7"/>
  <c r="O127" i="7"/>
  <c r="P127" i="7"/>
  <c r="R127" i="7"/>
  <c r="S127" i="7" s="1"/>
  <c r="Q127" i="7"/>
  <c r="O93" i="7"/>
  <c r="P93" i="7"/>
  <c r="Q93" i="7"/>
  <c r="R93" i="7"/>
  <c r="P121" i="7"/>
  <c r="Q121" i="7"/>
  <c r="R121" i="7"/>
  <c r="S121" i="7" s="1"/>
  <c r="O121" i="7"/>
  <c r="R31" i="7"/>
  <c r="S31" i="7" s="1"/>
  <c r="O31" i="7"/>
  <c r="P31" i="7"/>
  <c r="Q31" i="7"/>
  <c r="P85" i="7"/>
  <c r="O85" i="7"/>
  <c r="Q85" i="7"/>
  <c r="R85" i="7"/>
  <c r="S85" i="7" s="1"/>
  <c r="O69" i="7"/>
  <c r="Q69" i="7"/>
  <c r="P69" i="7"/>
  <c r="R69" i="7"/>
  <c r="S69" i="7" s="1"/>
  <c r="O135" i="7"/>
  <c r="Q135" i="7"/>
  <c r="P135" i="7"/>
  <c r="R135" i="7"/>
  <c r="S135" i="7" s="1"/>
  <c r="O38" i="7"/>
  <c r="P38" i="7"/>
  <c r="R38" i="7"/>
  <c r="S38" i="7" s="1"/>
  <c r="Q38" i="7"/>
  <c r="R65" i="7"/>
  <c r="S65" i="7" s="1"/>
  <c r="O65" i="7"/>
  <c r="P65" i="7"/>
  <c r="Q65" i="7"/>
  <c r="O20" i="7"/>
  <c r="P20" i="7"/>
  <c r="R20" i="7"/>
  <c r="Q20" i="7"/>
  <c r="O30" i="7"/>
  <c r="Q30" i="7"/>
  <c r="R30" i="7"/>
  <c r="S30" i="7" s="1"/>
  <c r="P30" i="7"/>
  <c r="O84" i="7"/>
  <c r="Q84" i="7"/>
  <c r="R84" i="7"/>
  <c r="S84" i="7" s="1"/>
  <c r="P84" i="7"/>
  <c r="Q68" i="7"/>
  <c r="O68" i="7"/>
  <c r="P68" i="7"/>
  <c r="R68" i="7"/>
  <c r="S68" i="7" s="1"/>
  <c r="O136" i="7"/>
  <c r="P136" i="7"/>
  <c r="R136" i="7"/>
  <c r="S136" i="7" s="1"/>
  <c r="Q136" i="7"/>
  <c r="O32" i="7"/>
  <c r="P32" i="7"/>
  <c r="Q32" i="7"/>
  <c r="R32" i="7"/>
  <c r="S32" i="7" s="1"/>
  <c r="O128" i="7"/>
  <c r="P128" i="7"/>
  <c r="Q128" i="7"/>
  <c r="R128" i="7"/>
  <c r="S128" i="7" s="1"/>
  <c r="O29" i="7"/>
  <c r="Q29" i="7"/>
  <c r="R29" i="7"/>
  <c r="S29" i="7" s="1"/>
  <c r="P29" i="7"/>
  <c r="P83" i="7"/>
  <c r="R83" i="7"/>
  <c r="S83" i="7" s="1"/>
  <c r="O83" i="7"/>
  <c r="Q83" i="7"/>
  <c r="O67" i="7"/>
  <c r="P67" i="7"/>
  <c r="R67" i="7"/>
  <c r="S67" i="7" s="1"/>
  <c r="Q67" i="7"/>
  <c r="O176" i="7"/>
  <c r="P176" i="7"/>
  <c r="Q176" i="7"/>
  <c r="R176" i="7"/>
  <c r="S176" i="7" s="1"/>
  <c r="P49" i="7"/>
  <c r="O49" i="7"/>
  <c r="Q49" i="7"/>
  <c r="R49" i="7"/>
  <c r="S49" i="7" s="1"/>
  <c r="O70" i="7"/>
  <c r="P70" i="7"/>
  <c r="Q70" i="7"/>
  <c r="R70" i="7"/>
  <c r="S70" i="7" s="1"/>
  <c r="O28" i="7"/>
  <c r="Q28" i="7"/>
  <c r="P28" i="7"/>
  <c r="R28" i="7"/>
  <c r="S28" i="7" s="1"/>
  <c r="O82" i="7"/>
  <c r="P82" i="7"/>
  <c r="Q82" i="7"/>
  <c r="R82" i="7"/>
  <c r="S82" i="7" s="1"/>
  <c r="P66" i="7"/>
  <c r="Q66" i="7"/>
  <c r="R66" i="7"/>
  <c r="S66" i="7" s="1"/>
  <c r="O66" i="7"/>
  <c r="O184" i="7"/>
  <c r="Q184" i="7"/>
  <c r="R184" i="7"/>
  <c r="S184" i="7" s="1"/>
  <c r="P184" i="7"/>
  <c r="O75" i="7"/>
  <c r="Q75" i="7"/>
  <c r="R75" i="7"/>
  <c r="S75" i="7" s="1"/>
  <c r="P75" i="7"/>
  <c r="O25" i="7"/>
  <c r="P25" i="7"/>
  <c r="Q25" i="7"/>
  <c r="R25" i="7"/>
  <c r="S25" i="7" s="1"/>
  <c r="O27" i="7"/>
  <c r="Q27" i="7"/>
  <c r="P27" i="7"/>
  <c r="R27" i="7"/>
  <c r="S27" i="7" s="1"/>
  <c r="O81" i="7"/>
  <c r="P81" i="7"/>
  <c r="Q81" i="7"/>
  <c r="R81" i="7"/>
  <c r="S81" i="7" s="1"/>
  <c r="P86" i="7"/>
  <c r="R86" i="7"/>
  <c r="S86" i="7" s="1"/>
  <c r="Q86" i="7"/>
  <c r="O86" i="7"/>
  <c r="O177" i="7"/>
  <c r="Q177" i="7"/>
  <c r="P177" i="7"/>
  <c r="R177" i="7"/>
  <c r="S177" i="7" s="1"/>
  <c r="T63" i="26"/>
  <c r="U63" i="26" s="1"/>
  <c r="AA100" i="30"/>
  <c r="T203" i="28"/>
  <c r="U203" i="28" s="1"/>
  <c r="AB195" i="28"/>
  <c r="V195" i="28"/>
  <c r="S195" i="28" s="1"/>
  <c r="AA195" i="28"/>
  <c r="AB93" i="30"/>
  <c r="T93" i="30"/>
  <c r="U93" i="30" s="1"/>
  <c r="AA65" i="30"/>
  <c r="V132" i="28"/>
  <c r="Z93" i="30"/>
  <c r="Z57" i="26"/>
  <c r="AA105" i="28"/>
  <c r="V99" i="30"/>
  <c r="W91" i="26"/>
  <c r="T204" i="26"/>
  <c r="U204" i="26" s="1"/>
  <c r="AB202" i="28"/>
  <c r="AA202" i="28"/>
  <c r="Z202" i="28"/>
  <c r="AA194" i="30"/>
  <c r="AB194" i="30"/>
  <c r="T132" i="26"/>
  <c r="U132" i="26" s="1"/>
  <c r="T236" i="30"/>
  <c r="U236" i="30" s="1"/>
  <c r="Z199" i="30"/>
  <c r="W134" i="28"/>
  <c r="AB191" i="28"/>
  <c r="T137" i="26"/>
  <c r="U137" i="26" s="1"/>
  <c r="AB134" i="28"/>
  <c r="AB236" i="30"/>
  <c r="Z236" i="30"/>
  <c r="V106" i="30"/>
  <c r="AA64" i="28"/>
  <c r="W212" i="28"/>
  <c r="AA61" i="30"/>
  <c r="AA99" i="28"/>
  <c r="V196" i="28"/>
  <c r="W63" i="26"/>
  <c r="W35" i="30"/>
  <c r="V195" i="26"/>
  <c r="S195" i="26" s="1"/>
  <c r="V203" i="28"/>
  <c r="T105" i="28"/>
  <c r="U105" i="28" s="1"/>
  <c r="AB131" i="30"/>
  <c r="V86" i="28"/>
  <c r="V213" i="30"/>
  <c r="V194" i="30"/>
  <c r="S194" i="30" s="1"/>
  <c r="T36" i="30"/>
  <c r="U36" i="30" s="1"/>
  <c r="AA46" i="30"/>
  <c r="AB72" i="30"/>
  <c r="W123" i="26"/>
  <c r="W151" i="26"/>
  <c r="AA137" i="26"/>
  <c r="Z65" i="28"/>
  <c r="T127" i="26"/>
  <c r="U127" i="26" s="1"/>
  <c r="W41" i="26"/>
  <c r="AB203" i="28"/>
  <c r="AB46" i="30"/>
  <c r="AA72" i="30"/>
  <c r="T56" i="30"/>
  <c r="U56" i="30" s="1"/>
  <c r="V27" i="30"/>
  <c r="AB38" i="28"/>
  <c r="Z127" i="26"/>
  <c r="AB104" i="28"/>
  <c r="Z203" i="28"/>
  <c r="V202" i="28"/>
  <c r="AA204" i="26"/>
  <c r="Z207" i="26"/>
  <c r="W11" i="30"/>
  <c r="Z63" i="26"/>
  <c r="Z199" i="26"/>
  <c r="AA199" i="30"/>
  <c r="T57" i="26"/>
  <c r="U57" i="26" s="1"/>
  <c r="AA63" i="26"/>
  <c r="V199" i="26"/>
  <c r="V41" i="26"/>
  <c r="V232" i="28"/>
  <c r="T11" i="30"/>
  <c r="U11" i="30" s="1"/>
  <c r="V236" i="28"/>
  <c r="S236" i="28" s="1"/>
  <c r="W180" i="30"/>
  <c r="V181" i="30"/>
  <c r="W140" i="30"/>
  <c r="AB140" i="30"/>
  <c r="AA46" i="26"/>
  <c r="V132" i="26"/>
  <c r="T47" i="26"/>
  <c r="U47" i="26" s="1"/>
  <c r="AB46" i="26"/>
  <c r="W52" i="28"/>
  <c r="AB30" i="26"/>
  <c r="V92" i="30"/>
  <c r="V50" i="30"/>
  <c r="V36" i="26"/>
  <c r="T66" i="30"/>
  <c r="U66" i="30" s="1"/>
  <c r="V26" i="30"/>
  <c r="AB36" i="26"/>
  <c r="V69" i="26"/>
  <c r="T69" i="26"/>
  <c r="U69" i="26" s="1"/>
  <c r="V37" i="26"/>
  <c r="T66" i="26"/>
  <c r="U66" i="26" s="1"/>
  <c r="AB135" i="30"/>
  <c r="W184" i="30"/>
  <c r="AB57" i="28"/>
  <c r="W82" i="30"/>
  <c r="V181" i="26"/>
  <c r="AA69" i="26"/>
  <c r="Z47" i="26"/>
  <c r="AB214" i="30"/>
  <c r="V212" i="26"/>
  <c r="V235" i="26"/>
  <c r="S235" i="26" s="1"/>
  <c r="Z181" i="26"/>
  <c r="Z41" i="26"/>
  <c r="Z69" i="26"/>
  <c r="V65" i="26"/>
  <c r="AB130" i="26"/>
  <c r="W181" i="26"/>
  <c r="W177" i="28"/>
  <c r="AB141" i="28"/>
  <c r="Z105" i="28"/>
  <c r="T236" i="28"/>
  <c r="U236" i="28" s="1"/>
  <c r="V138" i="30"/>
  <c r="V66" i="30"/>
  <c r="V65" i="30"/>
  <c r="Z103" i="26"/>
  <c r="AA181" i="26"/>
  <c r="T41" i="26"/>
  <c r="U41" i="26" s="1"/>
  <c r="V130" i="26"/>
  <c r="AB58" i="26"/>
  <c r="T206" i="30"/>
  <c r="U206" i="30" s="1"/>
  <c r="W83" i="26"/>
  <c r="W64" i="28"/>
  <c r="V76" i="28"/>
  <c r="AA236" i="28"/>
  <c r="Z236" i="28"/>
  <c r="W176" i="28"/>
  <c r="W65" i="30"/>
  <c r="Z65" i="30"/>
  <c r="Z11" i="30"/>
  <c r="T214" i="30"/>
  <c r="U214" i="30" s="1"/>
  <c r="V57" i="30"/>
  <c r="W139" i="28"/>
  <c r="AC105" i="28"/>
  <c r="V45" i="26"/>
  <c r="T64" i="28"/>
  <c r="U64" i="28" s="1"/>
  <c r="T131" i="26"/>
  <c r="U131" i="26" s="1"/>
  <c r="W61" i="26"/>
  <c r="W43" i="30"/>
  <c r="AB65" i="30"/>
  <c r="T27" i="26"/>
  <c r="U27" i="26" s="1"/>
  <c r="AA41" i="26"/>
  <c r="V103" i="28"/>
  <c r="T65" i="30"/>
  <c r="U65" i="30" s="1"/>
  <c r="V11" i="30"/>
  <c r="AB49" i="26"/>
  <c r="Z99" i="28"/>
  <c r="V135" i="28"/>
  <c r="W73" i="30"/>
  <c r="V212" i="7"/>
  <c r="T99" i="28"/>
  <c r="U99" i="28" s="1"/>
  <c r="Z64" i="28"/>
  <c r="V52" i="28"/>
  <c r="X52" i="28" s="1"/>
  <c r="Y52" i="28" s="1"/>
  <c r="V202" i="30"/>
  <c r="T32" i="30"/>
  <c r="U32" i="30" s="1"/>
  <c r="V70" i="28"/>
  <c r="V128" i="26"/>
  <c r="W232" i="28"/>
  <c r="V67" i="28"/>
  <c r="W75" i="26"/>
  <c r="T233" i="26"/>
  <c r="U233" i="26" s="1"/>
  <c r="W36" i="26"/>
  <c r="T73" i="30"/>
  <c r="U73" i="30" s="1"/>
  <c r="AA36" i="26"/>
  <c r="T236" i="26"/>
  <c r="U236" i="26" s="1"/>
  <c r="Z83" i="26"/>
  <c r="V53" i="26"/>
  <c r="AA66" i="26"/>
  <c r="Z191" i="28"/>
  <c r="V126" i="28"/>
  <c r="AB100" i="28"/>
  <c r="W131" i="28"/>
  <c r="T184" i="30"/>
  <c r="U184" i="30" s="1"/>
  <c r="AB148" i="30"/>
  <c r="V81" i="30"/>
  <c r="T85" i="30"/>
  <c r="U85" i="30" s="1"/>
  <c r="W106" i="28"/>
  <c r="T207" i="26"/>
  <c r="U207" i="26" s="1"/>
  <c r="V198" i="26"/>
  <c r="X198" i="26" s="1"/>
  <c r="T129" i="26"/>
  <c r="U129" i="26" s="1"/>
  <c r="W90" i="26"/>
  <c r="T15" i="26"/>
  <c r="U15" i="26" s="1"/>
  <c r="V63" i="26"/>
  <c r="X63" i="26" s="1"/>
  <c r="Y63" i="26" s="1"/>
  <c r="Z36" i="26"/>
  <c r="T65" i="28"/>
  <c r="U65" i="28" s="1"/>
  <c r="V64" i="28"/>
  <c r="AB26" i="28"/>
  <c r="W61" i="30"/>
  <c r="AB121" i="30"/>
  <c r="Z123" i="26"/>
  <c r="V123" i="26"/>
  <c r="AB91" i="26"/>
  <c r="AB236" i="26"/>
  <c r="AA81" i="30"/>
  <c r="Z36" i="30"/>
  <c r="W131" i="26"/>
  <c r="Z236" i="26"/>
  <c r="AB103" i="26"/>
  <c r="Z82" i="26"/>
  <c r="V82" i="26"/>
  <c r="V47" i="26"/>
  <c r="AA47" i="26"/>
  <c r="W81" i="30"/>
  <c r="W47" i="30"/>
  <c r="V61" i="30"/>
  <c r="AB81" i="30"/>
  <c r="V83" i="26"/>
  <c r="W76" i="26"/>
  <c r="AA102" i="26"/>
  <c r="AA15" i="26"/>
  <c r="W193" i="26"/>
  <c r="W129" i="26"/>
  <c r="T103" i="28"/>
  <c r="U103" i="28" s="1"/>
  <c r="Z195" i="28"/>
  <c r="AB64" i="28"/>
  <c r="AB106" i="28"/>
  <c r="V47" i="30"/>
  <c r="AB61" i="30"/>
  <c r="Z81" i="30"/>
  <c r="AB11" i="30"/>
  <c r="Z232" i="28"/>
  <c r="T200" i="30"/>
  <c r="U200" i="30" s="1"/>
  <c r="T103" i="26"/>
  <c r="U103" i="26" s="1"/>
  <c r="AB20" i="26"/>
  <c r="AA232" i="28"/>
  <c r="Z214" i="30"/>
  <c r="W135" i="30"/>
  <c r="AA200" i="30"/>
  <c r="AB103" i="28"/>
  <c r="Z130" i="30"/>
  <c r="V20" i="26"/>
  <c r="S20" i="26" s="1"/>
  <c r="Z61" i="30"/>
  <c r="V15" i="26"/>
  <c r="V44" i="28"/>
  <c r="V59" i="30"/>
  <c r="AA11" i="30"/>
  <c r="Z101" i="30"/>
  <c r="W130" i="30"/>
  <c r="V74" i="26"/>
  <c r="AB130" i="30"/>
  <c r="T123" i="26"/>
  <c r="U123" i="26" s="1"/>
  <c r="AA123" i="26"/>
  <c r="AB123" i="26"/>
  <c r="AB232" i="28"/>
  <c r="V236" i="26"/>
  <c r="S236" i="26" s="1"/>
  <c r="AA20" i="26"/>
  <c r="Z194" i="30"/>
  <c r="V63" i="30"/>
  <c r="V130" i="30"/>
  <c r="V102" i="26"/>
  <c r="W47" i="26"/>
  <c r="AB130" i="28"/>
  <c r="AA100" i="28"/>
  <c r="T181" i="26"/>
  <c r="U181" i="26" s="1"/>
  <c r="W130" i="26"/>
  <c r="T76" i="28"/>
  <c r="U76" i="28" s="1"/>
  <c r="V30" i="28"/>
  <c r="AA130" i="30"/>
  <c r="V100" i="30"/>
  <c r="W102" i="30"/>
  <c r="T61" i="30"/>
  <c r="U61" i="30" s="1"/>
  <c r="V151" i="26"/>
  <c r="Z131" i="26"/>
  <c r="AB99" i="28"/>
  <c r="V68" i="30"/>
  <c r="W39" i="30"/>
  <c r="W49" i="30"/>
  <c r="W76" i="30"/>
  <c r="T199" i="26"/>
  <c r="U199" i="26" s="1"/>
  <c r="V233" i="26"/>
  <c r="W107" i="26"/>
  <c r="Z49" i="26"/>
  <c r="W69" i="26"/>
  <c r="V125" i="28"/>
  <c r="V66" i="28"/>
  <c r="W105" i="28"/>
  <c r="V99" i="28"/>
  <c r="T106" i="28"/>
  <c r="U106" i="28" s="1"/>
  <c r="AA135" i="30"/>
  <c r="AA193" i="26"/>
  <c r="Z102" i="26"/>
  <c r="T82" i="26"/>
  <c r="U82" i="26" s="1"/>
  <c r="AB13" i="26"/>
  <c r="T199" i="28"/>
  <c r="U199" i="28" s="1"/>
  <c r="V134" i="28"/>
  <c r="X134" i="28" s="1"/>
  <c r="W34" i="28"/>
  <c r="V103" i="30"/>
  <c r="Z12" i="30"/>
  <c r="V176" i="28"/>
  <c r="V131" i="26"/>
  <c r="AB193" i="26"/>
  <c r="W102" i="26"/>
  <c r="AA199" i="26"/>
  <c r="V38" i="26"/>
  <c r="W82" i="26"/>
  <c r="V199" i="28"/>
  <c r="Z199" i="28"/>
  <c r="AC65" i="28"/>
  <c r="AB51" i="28"/>
  <c r="V105" i="28"/>
  <c r="AB199" i="28"/>
  <c r="W75" i="30"/>
  <c r="T42" i="30"/>
  <c r="U42" i="30" s="1"/>
  <c r="AA82" i="26"/>
  <c r="AA49" i="26"/>
  <c r="T128" i="28"/>
  <c r="U128" i="28" s="1"/>
  <c r="W128" i="30"/>
  <c r="W34" i="30"/>
  <c r="W12" i="30"/>
  <c r="AB101" i="30"/>
  <c r="T193" i="26"/>
  <c r="U193" i="26" s="1"/>
  <c r="AB102" i="26"/>
  <c r="Z130" i="28"/>
  <c r="AC191" i="28"/>
  <c r="T176" i="28"/>
  <c r="U176" i="28" s="1"/>
  <c r="V128" i="28"/>
  <c r="V74" i="28"/>
  <c r="W178" i="30"/>
  <c r="W100" i="30"/>
  <c r="V75" i="28"/>
  <c r="V193" i="26"/>
  <c r="W99" i="28"/>
  <c r="AB207" i="26"/>
  <c r="V126" i="26"/>
  <c r="T151" i="26"/>
  <c r="U151" i="26" s="1"/>
  <c r="W99" i="26"/>
  <c r="V233" i="28"/>
  <c r="V191" i="28"/>
  <c r="W128" i="28"/>
  <c r="W65" i="28"/>
  <c r="Z103" i="28"/>
  <c r="V140" i="28"/>
  <c r="W56" i="28"/>
  <c r="W74" i="28"/>
  <c r="V143" i="30"/>
  <c r="V184" i="30"/>
  <c r="V233" i="30"/>
  <c r="Z100" i="30"/>
  <c r="AB100" i="30"/>
  <c r="V35" i="30"/>
  <c r="AA131" i="26"/>
  <c r="Z26" i="28"/>
  <c r="AC46" i="30"/>
  <c r="W81" i="28"/>
  <c r="W49" i="26"/>
  <c r="AC127" i="26"/>
  <c r="V127" i="26"/>
  <c r="Z66" i="26"/>
  <c r="V60" i="28"/>
  <c r="AA103" i="28"/>
  <c r="W85" i="28"/>
  <c r="W64" i="30"/>
  <c r="T100" i="30"/>
  <c r="U100" i="30" s="1"/>
  <c r="W68" i="30"/>
  <c r="Z46" i="26"/>
  <c r="W145" i="26"/>
  <c r="W74" i="26"/>
  <c r="W213" i="28"/>
  <c r="W191" i="28"/>
  <c r="V145" i="26"/>
  <c r="T92" i="26"/>
  <c r="U92" i="26" s="1"/>
  <c r="AA130" i="26"/>
  <c r="V49" i="26"/>
  <c r="V181" i="28"/>
  <c r="W140" i="28"/>
  <c r="W104" i="28"/>
  <c r="W27" i="28"/>
  <c r="W44" i="28"/>
  <c r="W51" i="28"/>
  <c r="V212" i="28"/>
  <c r="V206" i="30"/>
  <c r="Z206" i="30"/>
  <c r="T102" i="30"/>
  <c r="U102" i="30" s="1"/>
  <c r="Z193" i="26"/>
  <c r="W98" i="26"/>
  <c r="V64" i="26"/>
  <c r="T74" i="26"/>
  <c r="U74" i="26" s="1"/>
  <c r="V29" i="26"/>
  <c r="Z15" i="26"/>
  <c r="V73" i="28"/>
  <c r="AB206" i="30"/>
  <c r="W74" i="30"/>
  <c r="AA101" i="30"/>
  <c r="W145" i="30"/>
  <c r="V76" i="30"/>
  <c r="W136" i="30"/>
  <c r="V197" i="30"/>
  <c r="V39" i="30"/>
  <c r="V46" i="30"/>
  <c r="AB57" i="30"/>
  <c r="AA36" i="30"/>
  <c r="AA76" i="30"/>
  <c r="AB107" i="30"/>
  <c r="AB76" i="30"/>
  <c r="T76" i="30"/>
  <c r="U76" i="30" s="1"/>
  <c r="AA180" i="30"/>
  <c r="W107" i="30"/>
  <c r="W85" i="30"/>
  <c r="AC76" i="30"/>
  <c r="T39" i="30"/>
  <c r="U39" i="30" s="1"/>
  <c r="AB180" i="30"/>
  <c r="Z76" i="30"/>
  <c r="V41" i="30"/>
  <c r="AA86" i="30"/>
  <c r="V34" i="30"/>
  <c r="W30" i="30"/>
  <c r="V207" i="30"/>
  <c r="T64" i="30"/>
  <c r="U64" i="30" s="1"/>
  <c r="Z180" i="30"/>
  <c r="AB86" i="30"/>
  <c r="V54" i="30"/>
  <c r="W138" i="30"/>
  <c r="T192" i="30"/>
  <c r="U192" i="30" s="1"/>
  <c r="V180" i="30"/>
  <c r="T180" i="30"/>
  <c r="U180" i="30" s="1"/>
  <c r="V71" i="30"/>
  <c r="T26" i="30"/>
  <c r="U26" i="30" s="1"/>
  <c r="V125" i="30"/>
  <c r="V124" i="30"/>
  <c r="T138" i="30"/>
  <c r="U138" i="30" s="1"/>
  <c r="T68" i="30"/>
  <c r="U68" i="30" s="1"/>
  <c r="V192" i="30"/>
  <c r="W41" i="30"/>
  <c r="AA66" i="30"/>
  <c r="W53" i="30"/>
  <c r="AC35" i="30"/>
  <c r="AA12" i="30"/>
  <c r="W26" i="30"/>
  <c r="AB84" i="30"/>
  <c r="W210" i="30"/>
  <c r="V86" i="30"/>
  <c r="V36" i="30"/>
  <c r="T49" i="30"/>
  <c r="U49" i="30" s="1"/>
  <c r="Z86" i="30"/>
  <c r="AB12" i="30"/>
  <c r="V121" i="30"/>
  <c r="W177" i="30"/>
  <c r="V236" i="30"/>
  <c r="S236" i="30" s="1"/>
  <c r="W144" i="30"/>
  <c r="W36" i="30"/>
  <c r="Z66" i="30"/>
  <c r="Z73" i="30"/>
  <c r="V144" i="30"/>
  <c r="T30" i="30"/>
  <c r="U30" i="30" s="1"/>
  <c r="Z84" i="30"/>
  <c r="V85" i="30"/>
  <c r="X85" i="30" s="1"/>
  <c r="Y85" i="30" s="1"/>
  <c r="V33" i="30"/>
  <c r="Z85" i="30"/>
  <c r="Z148" i="30"/>
  <c r="Z131" i="30"/>
  <c r="AC138" i="30"/>
  <c r="V214" i="30"/>
  <c r="S214" i="30" s="1"/>
  <c r="AA192" i="30"/>
  <c r="T199" i="30"/>
  <c r="U199" i="30" s="1"/>
  <c r="V199" i="30"/>
  <c r="V140" i="30"/>
  <c r="AA131" i="30"/>
  <c r="Z46" i="30"/>
  <c r="V131" i="30"/>
  <c r="AA203" i="30"/>
  <c r="AB203" i="30"/>
  <c r="Z203" i="30"/>
  <c r="V205" i="30"/>
  <c r="Z57" i="30"/>
  <c r="V182" i="30"/>
  <c r="W46" i="30"/>
  <c r="V203" i="30"/>
  <c r="W131" i="30"/>
  <c r="AA57" i="30"/>
  <c r="AC73" i="30"/>
  <c r="AA54" i="30"/>
  <c r="V122" i="30"/>
  <c r="W213" i="30"/>
  <c r="AC86" i="30"/>
  <c r="T74" i="30"/>
  <c r="U74" i="30" s="1"/>
  <c r="W54" i="30"/>
  <c r="AB54" i="30"/>
  <c r="V178" i="30"/>
  <c r="W84" i="30"/>
  <c r="AA84" i="30"/>
  <c r="V84" i="30"/>
  <c r="W91" i="30"/>
  <c r="V72" i="30"/>
  <c r="W44" i="30"/>
  <c r="AC68" i="30"/>
  <c r="W72" i="30"/>
  <c r="V31" i="30"/>
  <c r="V12" i="30"/>
  <c r="W66" i="30"/>
  <c r="W57" i="30"/>
  <c r="AC39" i="30"/>
  <c r="AA25" i="30"/>
  <c r="Z25" i="30"/>
  <c r="AB25" i="30"/>
  <c r="Z51" i="30"/>
  <c r="AB51" i="30"/>
  <c r="AA51" i="30"/>
  <c r="W51" i="30"/>
  <c r="AA179" i="30"/>
  <c r="Z179" i="30"/>
  <c r="AB179" i="30"/>
  <c r="Z37" i="30"/>
  <c r="AB37" i="30"/>
  <c r="W37" i="30"/>
  <c r="AA37" i="30"/>
  <c r="V37" i="30"/>
  <c r="AB90" i="30"/>
  <c r="W90" i="30"/>
  <c r="AA90" i="30"/>
  <c r="Z90" i="30"/>
  <c r="V90" i="30"/>
  <c r="T90" i="30"/>
  <c r="U90" i="30" s="1"/>
  <c r="V30" i="30"/>
  <c r="AB149" i="30"/>
  <c r="V149" i="30"/>
  <c r="Z149" i="30"/>
  <c r="AA149" i="30"/>
  <c r="W149" i="30"/>
  <c r="T149" i="30"/>
  <c r="U149" i="30" s="1"/>
  <c r="Z210" i="30"/>
  <c r="AA210" i="30"/>
  <c r="AB210" i="30"/>
  <c r="V210" i="30"/>
  <c r="Z70" i="30"/>
  <c r="AB70" i="30"/>
  <c r="AA70" i="30"/>
  <c r="W70" i="30"/>
  <c r="AA233" i="30"/>
  <c r="T233" i="30"/>
  <c r="U233" i="30" s="1"/>
  <c r="AB233" i="30"/>
  <c r="Z233" i="30"/>
  <c r="W233" i="30"/>
  <c r="V129" i="30"/>
  <c r="V150" i="30"/>
  <c r="AB58" i="30"/>
  <c r="AA58" i="30"/>
  <c r="T58" i="30"/>
  <c r="U58" i="30" s="1"/>
  <c r="Z58" i="30"/>
  <c r="V73" i="30"/>
  <c r="X73" i="30" s="1"/>
  <c r="T126" i="30"/>
  <c r="U126" i="30" s="1"/>
  <c r="W126" i="30"/>
  <c r="AB126" i="30"/>
  <c r="Z126" i="30"/>
  <c r="V126" i="30"/>
  <c r="AA126" i="30"/>
  <c r="T53" i="30"/>
  <c r="U53" i="30" s="1"/>
  <c r="AA20" i="30"/>
  <c r="Z20" i="30"/>
  <c r="T20" i="30"/>
  <c r="U20" i="30" s="1"/>
  <c r="AB20" i="30"/>
  <c r="V20" i="30"/>
  <c r="S20" i="30" s="1"/>
  <c r="AA140" i="30"/>
  <c r="AA71" i="30"/>
  <c r="Z71" i="30"/>
  <c r="AB71" i="30"/>
  <c r="AB41" i="30"/>
  <c r="AA41" i="30"/>
  <c r="Z41" i="30"/>
  <c r="V69" i="30"/>
  <c r="Z135" i="30"/>
  <c r="AB75" i="30"/>
  <c r="V75" i="30"/>
  <c r="AA75" i="30"/>
  <c r="Z75" i="30"/>
  <c r="AA73" i="30"/>
  <c r="V212" i="30"/>
  <c r="Z191" i="30"/>
  <c r="AB191" i="30"/>
  <c r="AA191" i="30"/>
  <c r="AA63" i="30"/>
  <c r="Z63" i="30"/>
  <c r="AB63" i="30"/>
  <c r="T63" i="30"/>
  <c r="U63" i="30" s="1"/>
  <c r="Z44" i="30"/>
  <c r="AB44" i="30"/>
  <c r="AA44" i="30"/>
  <c r="T44" i="30"/>
  <c r="U44" i="30" s="1"/>
  <c r="V29" i="30"/>
  <c r="AB30" i="30"/>
  <c r="Z30" i="30"/>
  <c r="AA30" i="30"/>
  <c r="AB141" i="30"/>
  <c r="V141" i="30"/>
  <c r="T141" i="30"/>
  <c r="U141" i="30" s="1"/>
  <c r="AA141" i="30"/>
  <c r="Z141" i="30"/>
  <c r="W141" i="30"/>
  <c r="Z13" i="30"/>
  <c r="W13" i="30"/>
  <c r="AB13" i="30"/>
  <c r="AA13" i="30"/>
  <c r="Z219" i="30"/>
  <c r="AA219" i="30"/>
  <c r="V219" i="30"/>
  <c r="S219" i="30" s="1"/>
  <c r="AB219" i="30"/>
  <c r="AB178" i="30"/>
  <c r="AA178" i="30"/>
  <c r="Z178" i="30"/>
  <c r="AA139" i="30"/>
  <c r="AB139" i="30"/>
  <c r="Z139" i="30"/>
  <c r="V139" i="30"/>
  <c r="W191" i="30"/>
  <c r="V101" i="30"/>
  <c r="AB145" i="30"/>
  <c r="AA145" i="30"/>
  <c r="Z145" i="30"/>
  <c r="V58" i="30"/>
  <c r="W63" i="30"/>
  <c r="AA43" i="30"/>
  <c r="Z43" i="30"/>
  <c r="T43" i="30"/>
  <c r="U43" i="30" s="1"/>
  <c r="AB43" i="30"/>
  <c r="V43" i="30"/>
  <c r="Z52" i="30"/>
  <c r="AB52" i="30"/>
  <c r="AA52" i="30"/>
  <c r="W52" i="30"/>
  <c r="T52" i="30"/>
  <c r="U52" i="30" s="1"/>
  <c r="AC135" i="30"/>
  <c r="W56" i="30"/>
  <c r="T134" i="30"/>
  <c r="U134" i="30" s="1"/>
  <c r="W134" i="30"/>
  <c r="AB134" i="30"/>
  <c r="V134" i="30"/>
  <c r="Z134" i="30"/>
  <c r="AA134" i="30"/>
  <c r="AB83" i="30"/>
  <c r="Z83" i="30"/>
  <c r="T83" i="30"/>
  <c r="U83" i="30" s="1"/>
  <c r="W83" i="30"/>
  <c r="V83" i="30"/>
  <c r="AA83" i="30"/>
  <c r="AA182" i="30"/>
  <c r="W182" i="30"/>
  <c r="Z182" i="30"/>
  <c r="T182" i="30"/>
  <c r="U182" i="30" s="1"/>
  <c r="AB182" i="30"/>
  <c r="Z195" i="30"/>
  <c r="T195" i="30"/>
  <c r="U195" i="30" s="1"/>
  <c r="AB195" i="30"/>
  <c r="AA195" i="30"/>
  <c r="AB146" i="30"/>
  <c r="AA146" i="30"/>
  <c r="Z146" i="30"/>
  <c r="V146" i="30"/>
  <c r="T146" i="30"/>
  <c r="U146" i="30" s="1"/>
  <c r="AB82" i="30"/>
  <c r="AA82" i="30"/>
  <c r="Z82" i="30"/>
  <c r="T82" i="30"/>
  <c r="U82" i="30" s="1"/>
  <c r="V82" i="30"/>
  <c r="AA235" i="30"/>
  <c r="Z235" i="30"/>
  <c r="AB235" i="30"/>
  <c r="V179" i="30"/>
  <c r="W58" i="30"/>
  <c r="Z60" i="30"/>
  <c r="AA60" i="30"/>
  <c r="AB60" i="30"/>
  <c r="V60" i="30"/>
  <c r="T60" i="30"/>
  <c r="U60" i="30" s="1"/>
  <c r="Z48" i="30"/>
  <c r="AA48" i="30"/>
  <c r="AB48" i="30"/>
  <c r="V48" i="30"/>
  <c r="Z140" i="30"/>
  <c r="AB38" i="30"/>
  <c r="W38" i="30"/>
  <c r="AA38" i="30"/>
  <c r="T38" i="30"/>
  <c r="U38" i="30" s="1"/>
  <c r="Z38" i="30"/>
  <c r="V107" i="30"/>
  <c r="X107" i="30" s="1"/>
  <c r="V42" i="30"/>
  <c r="W176" i="30"/>
  <c r="T123" i="30"/>
  <c r="U123" i="30" s="1"/>
  <c r="Z123" i="30"/>
  <c r="V123" i="30"/>
  <c r="AB123" i="30"/>
  <c r="AA123" i="30"/>
  <c r="W123" i="30"/>
  <c r="T143" i="30"/>
  <c r="U143" i="30" s="1"/>
  <c r="AB127" i="30"/>
  <c r="AA127" i="30"/>
  <c r="Z127" i="30"/>
  <c r="V127" i="30"/>
  <c r="V176" i="30"/>
  <c r="V183" i="30"/>
  <c r="T183" i="30"/>
  <c r="U183" i="30" s="1"/>
  <c r="AB183" i="30"/>
  <c r="AA183" i="30"/>
  <c r="Z183" i="30"/>
  <c r="W183" i="30"/>
  <c r="AA67" i="30"/>
  <c r="V67" i="30"/>
  <c r="W67" i="30"/>
  <c r="Z67" i="30"/>
  <c r="AB67" i="30"/>
  <c r="AB108" i="30"/>
  <c r="W108" i="30"/>
  <c r="Z108" i="30"/>
  <c r="AA108" i="30"/>
  <c r="V108" i="30"/>
  <c r="T108" i="30"/>
  <c r="U108" i="30" s="1"/>
  <c r="AA232" i="30"/>
  <c r="Z232" i="30"/>
  <c r="AB232" i="30"/>
  <c r="W139" i="30"/>
  <c r="W101" i="30"/>
  <c r="W142" i="30"/>
  <c r="T142" i="30"/>
  <c r="U142" i="30" s="1"/>
  <c r="AB142" i="30"/>
  <c r="AA142" i="30"/>
  <c r="Z142" i="30"/>
  <c r="W127" i="30"/>
  <c r="T219" i="30"/>
  <c r="U219" i="30" s="1"/>
  <c r="AA150" i="30"/>
  <c r="W150" i="30"/>
  <c r="AB150" i="30"/>
  <c r="Z150" i="30"/>
  <c r="T232" i="30"/>
  <c r="U232" i="30" s="1"/>
  <c r="T51" i="30"/>
  <c r="U51" i="30" s="1"/>
  <c r="W179" i="30"/>
  <c r="T145" i="30"/>
  <c r="U145" i="30" s="1"/>
  <c r="AB27" i="30"/>
  <c r="Z27" i="30"/>
  <c r="AA27" i="30"/>
  <c r="W27" i="30"/>
  <c r="T27" i="30"/>
  <c r="U27" i="30" s="1"/>
  <c r="Z136" i="30"/>
  <c r="AA136" i="30"/>
  <c r="AB136" i="30"/>
  <c r="T136" i="30"/>
  <c r="U136" i="30" s="1"/>
  <c r="V136" i="30"/>
  <c r="AB69" i="30"/>
  <c r="T69" i="30"/>
  <c r="U69" i="30" s="1"/>
  <c r="AA69" i="30"/>
  <c r="Z69" i="30"/>
  <c r="W69" i="30"/>
  <c r="Z55" i="30"/>
  <c r="AB55" i="30"/>
  <c r="V55" i="30"/>
  <c r="W55" i="30"/>
  <c r="AA55" i="30"/>
  <c r="T37" i="30"/>
  <c r="U37" i="30" s="1"/>
  <c r="AC59" i="30"/>
  <c r="V13" i="30"/>
  <c r="T25" i="30"/>
  <c r="U25" i="30" s="1"/>
  <c r="AA49" i="30"/>
  <c r="AB49" i="30"/>
  <c r="Z49" i="30"/>
  <c r="AB211" i="30"/>
  <c r="Z211" i="30"/>
  <c r="AA211" i="30"/>
  <c r="AB35" i="30"/>
  <c r="AA35" i="30"/>
  <c r="Z35" i="30"/>
  <c r="AB14" i="30"/>
  <c r="AA14" i="30"/>
  <c r="Z14" i="30"/>
  <c r="T14" i="30"/>
  <c r="U14" i="30" s="1"/>
  <c r="AA85" i="30"/>
  <c r="AA121" i="30"/>
  <c r="Z107" i="30"/>
  <c r="Z54" i="30"/>
  <c r="AA26" i="30"/>
  <c r="W42" i="30"/>
  <c r="AA201" i="30"/>
  <c r="AB201" i="30"/>
  <c r="Z201" i="30"/>
  <c r="T201" i="30"/>
  <c r="U201" i="30" s="1"/>
  <c r="V201" i="30"/>
  <c r="AB122" i="30"/>
  <c r="AA122" i="30"/>
  <c r="W122" i="30"/>
  <c r="Z122" i="30"/>
  <c r="Z196" i="30"/>
  <c r="AA196" i="30"/>
  <c r="AB196" i="30"/>
  <c r="V196" i="30"/>
  <c r="T198" i="30"/>
  <c r="U198" i="30" s="1"/>
  <c r="AA198" i="30"/>
  <c r="AB198" i="30"/>
  <c r="V198" i="30"/>
  <c r="Z198" i="30"/>
  <c r="AA147" i="30"/>
  <c r="AB147" i="30"/>
  <c r="Z147" i="30"/>
  <c r="V147" i="30"/>
  <c r="Z132" i="30"/>
  <c r="AB132" i="30"/>
  <c r="AA132" i="30"/>
  <c r="V132" i="30"/>
  <c r="W132" i="30"/>
  <c r="AA92" i="30"/>
  <c r="Z92" i="30"/>
  <c r="AB92" i="30"/>
  <c r="W92" i="30"/>
  <c r="T92" i="30"/>
  <c r="U92" i="30" s="1"/>
  <c r="T235" i="30"/>
  <c r="U235" i="30" s="1"/>
  <c r="AC107" i="30"/>
  <c r="V232" i="30"/>
  <c r="Z129" i="30"/>
  <c r="AB129" i="30"/>
  <c r="AA129" i="30"/>
  <c r="W129" i="30"/>
  <c r="AA45" i="30"/>
  <c r="AB45" i="30"/>
  <c r="Z45" i="30"/>
  <c r="W45" i="30"/>
  <c r="AB53" i="30"/>
  <c r="Z53" i="30"/>
  <c r="AA53" i="30"/>
  <c r="Z62" i="30"/>
  <c r="AA62" i="30"/>
  <c r="AB62" i="30"/>
  <c r="W62" i="30"/>
  <c r="W32" i="30"/>
  <c r="AB98" i="30"/>
  <c r="AA98" i="30"/>
  <c r="Z98" i="30"/>
  <c r="T98" i="30"/>
  <c r="U98" i="30" s="1"/>
  <c r="W98" i="30"/>
  <c r="V98" i="30"/>
  <c r="AA107" i="30"/>
  <c r="AA42" i="30"/>
  <c r="Z193" i="30"/>
  <c r="AB193" i="30"/>
  <c r="AA193" i="30"/>
  <c r="V193" i="30"/>
  <c r="W193" i="30"/>
  <c r="T104" i="30"/>
  <c r="U104" i="30" s="1"/>
  <c r="Z104" i="30"/>
  <c r="AA104" i="30"/>
  <c r="AB104" i="30"/>
  <c r="W104" i="30"/>
  <c r="T202" i="30"/>
  <c r="U202" i="30" s="1"/>
  <c r="AB202" i="30"/>
  <c r="AA202" i="30"/>
  <c r="Z202" i="30"/>
  <c r="V195" i="30"/>
  <c r="S195" i="30" s="1"/>
  <c r="W105" i="30"/>
  <c r="AA105" i="30"/>
  <c r="Z105" i="30"/>
  <c r="AB105" i="30"/>
  <c r="V105" i="30"/>
  <c r="Z128" i="30"/>
  <c r="AA128" i="30"/>
  <c r="AB128" i="30"/>
  <c r="V128" i="30"/>
  <c r="V177" i="30"/>
  <c r="X177" i="30" s="1"/>
  <c r="Y177" i="30" s="1"/>
  <c r="Z64" i="30"/>
  <c r="AB64" i="30"/>
  <c r="AA64" i="30"/>
  <c r="V64" i="30"/>
  <c r="W232" i="30"/>
  <c r="AC140" i="30"/>
  <c r="T179" i="30"/>
  <c r="U179" i="30" s="1"/>
  <c r="AB137" i="30"/>
  <c r="AA137" i="30"/>
  <c r="Z137" i="30"/>
  <c r="T137" i="30"/>
  <c r="U137" i="30" s="1"/>
  <c r="W137" i="30"/>
  <c r="V137" i="30"/>
  <c r="AB99" i="30"/>
  <c r="T99" i="30"/>
  <c r="U99" i="30" s="1"/>
  <c r="Z99" i="30"/>
  <c r="AA99" i="30"/>
  <c r="W99" i="30"/>
  <c r="AB91" i="30"/>
  <c r="AA91" i="30"/>
  <c r="Z91" i="30"/>
  <c r="V91" i="30"/>
  <c r="AC144" i="30"/>
  <c r="V45" i="30"/>
  <c r="AB50" i="30"/>
  <c r="AA50" i="30"/>
  <c r="T50" i="30"/>
  <c r="U50" i="30" s="1"/>
  <c r="Z50" i="30"/>
  <c r="W50" i="30"/>
  <c r="V135" i="30"/>
  <c r="Z59" i="30"/>
  <c r="AB59" i="30"/>
  <c r="AA59" i="30"/>
  <c r="W211" i="30"/>
  <c r="V53" i="30"/>
  <c r="T71" i="30"/>
  <c r="U71" i="30" s="1"/>
  <c r="W121" i="30"/>
  <c r="T127" i="30"/>
  <c r="U127" i="30" s="1"/>
  <c r="AB124" i="30"/>
  <c r="W124" i="30"/>
  <c r="Z124" i="30"/>
  <c r="AA124" i="30"/>
  <c r="T124" i="30"/>
  <c r="U124" i="30" s="1"/>
  <c r="AB106" i="30"/>
  <c r="AA106" i="30"/>
  <c r="T106" i="30"/>
  <c r="U106" i="30" s="1"/>
  <c r="W106" i="30"/>
  <c r="Z106" i="30"/>
  <c r="AA197" i="30"/>
  <c r="Z197" i="30"/>
  <c r="AB197" i="30"/>
  <c r="T70" i="30"/>
  <c r="U70" i="30" s="1"/>
  <c r="W192" i="30"/>
  <c r="V44" i="30"/>
  <c r="W212" i="30"/>
  <c r="T212" i="30"/>
  <c r="U212" i="30" s="1"/>
  <c r="AB40" i="30"/>
  <c r="Z40" i="30"/>
  <c r="AA40" i="30"/>
  <c r="T40" i="30"/>
  <c r="U40" i="30" s="1"/>
  <c r="W40" i="30"/>
  <c r="T144" i="30"/>
  <c r="U144" i="30" s="1"/>
  <c r="V25" i="30"/>
  <c r="V49" i="30"/>
  <c r="AA32" i="30"/>
  <c r="W71" i="30"/>
  <c r="Z121" i="30"/>
  <c r="Z72" i="30"/>
  <c r="Z68" i="30"/>
  <c r="Z26" i="30"/>
  <c r="Z42" i="30"/>
  <c r="AB143" i="30"/>
  <c r="Z143" i="30"/>
  <c r="AA143" i="30"/>
  <c r="W133" i="30"/>
  <c r="T133" i="30"/>
  <c r="U133" i="30" s="1"/>
  <c r="AB133" i="30"/>
  <c r="AA133" i="30"/>
  <c r="Z133" i="30"/>
  <c r="Z200" i="30"/>
  <c r="V200" i="30"/>
  <c r="W146" i="30"/>
  <c r="V133" i="30"/>
  <c r="T147" i="30"/>
  <c r="U147" i="30" s="1"/>
  <c r="Z138" i="30"/>
  <c r="AB138" i="30"/>
  <c r="AA138" i="30"/>
  <c r="T151" i="30"/>
  <c r="U151" i="30" s="1"/>
  <c r="AA151" i="30"/>
  <c r="Z151" i="30"/>
  <c r="W151" i="30"/>
  <c r="AB151" i="30"/>
  <c r="V151" i="30"/>
  <c r="T132" i="30"/>
  <c r="U132" i="30" s="1"/>
  <c r="V56" i="30"/>
  <c r="W147" i="30"/>
  <c r="AB102" i="30"/>
  <c r="AA102" i="30"/>
  <c r="Z102" i="30"/>
  <c r="V102" i="30"/>
  <c r="V148" i="30"/>
  <c r="V145" i="30"/>
  <c r="Z204" i="30"/>
  <c r="AB204" i="30"/>
  <c r="AA204" i="30"/>
  <c r="V204" i="30"/>
  <c r="T204" i="30"/>
  <c r="U204" i="30" s="1"/>
  <c r="T59" i="30"/>
  <c r="U59" i="30" s="1"/>
  <c r="Z29" i="30"/>
  <c r="W29" i="30"/>
  <c r="AB29" i="30"/>
  <c r="AA29" i="30"/>
  <c r="V142" i="30"/>
  <c r="AB33" i="30"/>
  <c r="Z33" i="30"/>
  <c r="AA33" i="30"/>
  <c r="W33" i="30"/>
  <c r="V211" i="30"/>
  <c r="W60" i="30"/>
  <c r="AB47" i="30"/>
  <c r="Z47" i="30"/>
  <c r="AA47" i="30"/>
  <c r="V32" i="30"/>
  <c r="X32" i="30" s="1"/>
  <c r="Y32" i="30" s="1"/>
  <c r="W59" i="30"/>
  <c r="AA68" i="30"/>
  <c r="V38" i="30"/>
  <c r="AB181" i="30"/>
  <c r="AA181" i="30"/>
  <c r="T181" i="30"/>
  <c r="U181" i="30" s="1"/>
  <c r="Z181" i="30"/>
  <c r="W181" i="30"/>
  <c r="AA125" i="30"/>
  <c r="W125" i="30"/>
  <c r="Z125" i="30"/>
  <c r="T125" i="30"/>
  <c r="U125" i="30" s="1"/>
  <c r="AB125" i="30"/>
  <c r="T193" i="30"/>
  <c r="U193" i="30" s="1"/>
  <c r="V62" i="30"/>
  <c r="V191" i="30"/>
  <c r="Z192" i="30"/>
  <c r="V52" i="30"/>
  <c r="AB103" i="30"/>
  <c r="W103" i="30"/>
  <c r="T103" i="30"/>
  <c r="U103" i="30" s="1"/>
  <c r="AA103" i="30"/>
  <c r="Z103" i="30"/>
  <c r="W148" i="30"/>
  <c r="V93" i="30"/>
  <c r="S93" i="30" s="1"/>
  <c r="AB15" i="30"/>
  <c r="Z15" i="30"/>
  <c r="AA15" i="30"/>
  <c r="V15" i="30"/>
  <c r="T15" i="30"/>
  <c r="U15" i="30" s="1"/>
  <c r="AA144" i="30"/>
  <c r="AB144" i="30"/>
  <c r="Z144" i="30"/>
  <c r="T45" i="30"/>
  <c r="U45" i="30" s="1"/>
  <c r="AA28" i="30"/>
  <c r="Z28" i="30"/>
  <c r="V28" i="30"/>
  <c r="AB28" i="30"/>
  <c r="W28" i="30"/>
  <c r="W86" i="30"/>
  <c r="T28" i="30"/>
  <c r="U28" i="30" s="1"/>
  <c r="V104" i="30"/>
  <c r="W48" i="30"/>
  <c r="Z32" i="30"/>
  <c r="Z31" i="30"/>
  <c r="AB31" i="30"/>
  <c r="AA31" i="30"/>
  <c r="AA56" i="30"/>
  <c r="W31" i="30"/>
  <c r="V70" i="30"/>
  <c r="T234" i="30"/>
  <c r="U234" i="30" s="1"/>
  <c r="AA234" i="30"/>
  <c r="Z234" i="30"/>
  <c r="W234" i="30"/>
  <c r="V234" i="30"/>
  <c r="AB234" i="30"/>
  <c r="W143" i="30"/>
  <c r="AA205" i="30"/>
  <c r="Z205" i="30"/>
  <c r="AB205" i="30"/>
  <c r="T128" i="30"/>
  <c r="U128" i="30" s="1"/>
  <c r="T178" i="30"/>
  <c r="U178" i="30" s="1"/>
  <c r="Z74" i="30"/>
  <c r="AB74" i="30"/>
  <c r="AA74" i="30"/>
  <c r="V74" i="30"/>
  <c r="T62" i="30"/>
  <c r="U62" i="30" s="1"/>
  <c r="Z207" i="30"/>
  <c r="AA207" i="30"/>
  <c r="T207" i="30"/>
  <c r="U207" i="30" s="1"/>
  <c r="AB207" i="30"/>
  <c r="V51" i="30"/>
  <c r="AA148" i="30"/>
  <c r="V235" i="30"/>
  <c r="S235" i="30" s="1"/>
  <c r="W25" i="30"/>
  <c r="V40" i="30"/>
  <c r="AA39" i="30"/>
  <c r="AB39" i="30"/>
  <c r="Z39" i="30"/>
  <c r="AA34" i="30"/>
  <c r="Z34" i="30"/>
  <c r="AB34" i="30"/>
  <c r="Z56" i="30"/>
  <c r="T35" i="30"/>
  <c r="U35" i="30" s="1"/>
  <c r="V14" i="30"/>
  <c r="W53" i="28"/>
  <c r="AB68" i="28"/>
  <c r="W46" i="28"/>
  <c r="AB131" i="28"/>
  <c r="T212" i="28"/>
  <c r="U212" i="28" s="1"/>
  <c r="AB122" i="28"/>
  <c r="W138" i="28"/>
  <c r="W142" i="28"/>
  <c r="W183" i="28"/>
  <c r="V43" i="28"/>
  <c r="V20" i="28"/>
  <c r="S20" i="28" s="1"/>
  <c r="V131" i="28"/>
  <c r="V142" i="28"/>
  <c r="V148" i="28"/>
  <c r="AB147" i="28"/>
  <c r="AA131" i="28"/>
  <c r="T131" i="28"/>
  <c r="U131" i="28" s="1"/>
  <c r="Z131" i="28"/>
  <c r="V138" i="28"/>
  <c r="X138" i="28" s="1"/>
  <c r="Y138" i="28" s="1"/>
  <c r="W47" i="28"/>
  <c r="V81" i="28"/>
  <c r="V26" i="28"/>
  <c r="V198" i="28"/>
  <c r="W28" i="28"/>
  <c r="W26" i="28"/>
  <c r="V151" i="28"/>
  <c r="V53" i="28"/>
  <c r="Z141" i="28"/>
  <c r="V46" i="28"/>
  <c r="W233" i="28"/>
  <c r="W45" i="28"/>
  <c r="AA141" i="28"/>
  <c r="V141" i="28"/>
  <c r="V178" i="28"/>
  <c r="W211" i="28"/>
  <c r="AC104" i="28"/>
  <c r="V184" i="28"/>
  <c r="W25" i="28"/>
  <c r="V50" i="28"/>
  <c r="W126" i="28"/>
  <c r="W62" i="28"/>
  <c r="W86" i="28"/>
  <c r="AA122" i="28"/>
  <c r="W135" i="28"/>
  <c r="AA104" i="28"/>
  <c r="W41" i="28"/>
  <c r="W57" i="28"/>
  <c r="V211" i="28"/>
  <c r="W146" i="28"/>
  <c r="AC100" i="28"/>
  <c r="AA191" i="28"/>
  <c r="W122" i="28"/>
  <c r="T46" i="28"/>
  <c r="U46" i="28" s="1"/>
  <c r="Z57" i="28"/>
  <c r="V100" i="28"/>
  <c r="V25" i="28"/>
  <c r="W40" i="28"/>
  <c r="T73" i="28"/>
  <c r="U73" i="28" s="1"/>
  <c r="W100" i="28"/>
  <c r="W103" i="28"/>
  <c r="V127" i="28"/>
  <c r="V194" i="28"/>
  <c r="S194" i="28" s="1"/>
  <c r="V101" i="28"/>
  <c r="AA26" i="28"/>
  <c r="V180" i="28"/>
  <c r="V71" i="28"/>
  <c r="T219" i="28"/>
  <c r="U219" i="28" s="1"/>
  <c r="V177" i="28"/>
  <c r="X177" i="28" s="1"/>
  <c r="Y177" i="28" s="1"/>
  <c r="V85" i="28"/>
  <c r="W184" i="28"/>
  <c r="W141" i="28"/>
  <c r="AC50" i="28"/>
  <c r="AB91" i="28"/>
  <c r="AA91" i="28"/>
  <c r="T91" i="28"/>
  <c r="U91" i="28" s="1"/>
  <c r="Z91" i="28"/>
  <c r="W91" i="28"/>
  <c r="AB59" i="28"/>
  <c r="AA59" i="28"/>
  <c r="Z59" i="28"/>
  <c r="W59" i="28"/>
  <c r="T59" i="28"/>
  <c r="U59" i="28" s="1"/>
  <c r="AA93" i="28"/>
  <c r="Z93" i="28"/>
  <c r="AB93" i="28"/>
  <c r="W181" i="28"/>
  <c r="AB197" i="28"/>
  <c r="AA197" i="28"/>
  <c r="Z197" i="28"/>
  <c r="V106" i="28"/>
  <c r="W68" i="28"/>
  <c r="AA138" i="28"/>
  <c r="Z138" i="28"/>
  <c r="AB138" i="28"/>
  <c r="Z37" i="28"/>
  <c r="T37" i="28"/>
  <c r="U37" i="28" s="1"/>
  <c r="AA37" i="28"/>
  <c r="W37" i="28"/>
  <c r="V37" i="28"/>
  <c r="AB37" i="28"/>
  <c r="AB140" i="28"/>
  <c r="AA140" i="28"/>
  <c r="Z140" i="28"/>
  <c r="T102" i="28"/>
  <c r="U102" i="28" s="1"/>
  <c r="AB102" i="28"/>
  <c r="AA102" i="28"/>
  <c r="Z102" i="28"/>
  <c r="V102" i="28"/>
  <c r="X102" i="28" s="1"/>
  <c r="Y102" i="28" s="1"/>
  <c r="W102" i="28"/>
  <c r="W107" i="28"/>
  <c r="Z40" i="28"/>
  <c r="AA40" i="28"/>
  <c r="AB40" i="28"/>
  <c r="Z144" i="28"/>
  <c r="AB144" i="28"/>
  <c r="AA144" i="28"/>
  <c r="T144" i="28"/>
  <c r="U144" i="28" s="1"/>
  <c r="W144" i="28"/>
  <c r="V144" i="28"/>
  <c r="V31" i="28"/>
  <c r="V197" i="28"/>
  <c r="V41" i="28"/>
  <c r="AB13" i="28"/>
  <c r="AA13" i="28"/>
  <c r="V13" i="28"/>
  <c r="Z13" i="28"/>
  <c r="Z68" i="28"/>
  <c r="Z207" i="28"/>
  <c r="AA207" i="28"/>
  <c r="AB207" i="28"/>
  <c r="AA84" i="28"/>
  <c r="AB84" i="28"/>
  <c r="Z84" i="28"/>
  <c r="AA61" i="28"/>
  <c r="AB61" i="28"/>
  <c r="Z61" i="28"/>
  <c r="AA121" i="28"/>
  <c r="Z121" i="28"/>
  <c r="AB121" i="28"/>
  <c r="Z210" i="28"/>
  <c r="T210" i="28"/>
  <c r="U210" i="28" s="1"/>
  <c r="AB210" i="28"/>
  <c r="AA210" i="28"/>
  <c r="W210" i="28"/>
  <c r="V210" i="28"/>
  <c r="AB142" i="28"/>
  <c r="AA142" i="28"/>
  <c r="Z142" i="28"/>
  <c r="Z148" i="28"/>
  <c r="T148" i="28"/>
  <c r="U148" i="28" s="1"/>
  <c r="AB148" i="28"/>
  <c r="AA148" i="28"/>
  <c r="V207" i="28"/>
  <c r="AB31" i="28"/>
  <c r="AA31" i="28"/>
  <c r="W31" i="28"/>
  <c r="Z31" i="28"/>
  <c r="T31" i="28"/>
  <c r="U31" i="28" s="1"/>
  <c r="AB63" i="28"/>
  <c r="AA63" i="28"/>
  <c r="Z63" i="28"/>
  <c r="W63" i="28"/>
  <c r="V63" i="28"/>
  <c r="V68" i="28"/>
  <c r="T13" i="28"/>
  <c r="U13" i="28" s="1"/>
  <c r="AB15" i="28"/>
  <c r="AA15" i="28"/>
  <c r="Z15" i="28"/>
  <c r="T15" i="28"/>
  <c r="U15" i="28" s="1"/>
  <c r="V15" i="28"/>
  <c r="AA68" i="28"/>
  <c r="T179" i="28"/>
  <c r="U179" i="28" s="1"/>
  <c r="AB179" i="28"/>
  <c r="AA179" i="28"/>
  <c r="Z179" i="28"/>
  <c r="W179" i="28"/>
  <c r="V179" i="28"/>
  <c r="AB58" i="28"/>
  <c r="Z58" i="28"/>
  <c r="AA58" i="28"/>
  <c r="W58" i="28"/>
  <c r="T58" i="28"/>
  <c r="U58" i="28" s="1"/>
  <c r="AB143" i="28"/>
  <c r="AA143" i="28"/>
  <c r="Z143" i="28"/>
  <c r="T143" i="28"/>
  <c r="U143" i="28" s="1"/>
  <c r="W143" i="28"/>
  <c r="AB47" i="28"/>
  <c r="AA47" i="28"/>
  <c r="Z47" i="28"/>
  <c r="V47" i="28"/>
  <c r="T47" i="28"/>
  <c r="U47" i="28" s="1"/>
  <c r="T206" i="28"/>
  <c r="U206" i="28" s="1"/>
  <c r="Z206" i="28"/>
  <c r="AA206" i="28"/>
  <c r="V206" i="28"/>
  <c r="AB206" i="28"/>
  <c r="T207" i="28"/>
  <c r="U207" i="28" s="1"/>
  <c r="AB201" i="28"/>
  <c r="AA201" i="28"/>
  <c r="Z201" i="28"/>
  <c r="W145" i="28"/>
  <c r="AA71" i="28"/>
  <c r="AB71" i="28"/>
  <c r="W71" i="28"/>
  <c r="Z71" i="28"/>
  <c r="T71" i="28"/>
  <c r="U71" i="28" s="1"/>
  <c r="Z200" i="28"/>
  <c r="AB200" i="28"/>
  <c r="AA200" i="28"/>
  <c r="V200" i="28"/>
  <c r="AB73" i="28"/>
  <c r="Z73" i="28"/>
  <c r="AA73" i="28"/>
  <c r="W73" i="28"/>
  <c r="AB214" i="28"/>
  <c r="AA214" i="28"/>
  <c r="Z214" i="28"/>
  <c r="T214" i="28"/>
  <c r="U214" i="28" s="1"/>
  <c r="V214" i="28"/>
  <c r="S214" i="28" s="1"/>
  <c r="T234" i="28"/>
  <c r="U234" i="28" s="1"/>
  <c r="W234" i="28"/>
  <c r="AA234" i="28"/>
  <c r="AB234" i="28"/>
  <c r="Z234" i="28"/>
  <c r="AB20" i="28"/>
  <c r="AA20" i="28"/>
  <c r="T20" i="28"/>
  <c r="U20" i="28" s="1"/>
  <c r="Z20" i="28"/>
  <c r="T90" i="28"/>
  <c r="U90" i="28" s="1"/>
  <c r="Z90" i="28"/>
  <c r="W90" i="28"/>
  <c r="AB90" i="28"/>
  <c r="AA90" i="28"/>
  <c r="T63" i="28"/>
  <c r="U63" i="28" s="1"/>
  <c r="AB27" i="28"/>
  <c r="AA27" i="28"/>
  <c r="T27" i="28"/>
  <c r="U27" i="28" s="1"/>
  <c r="Z27" i="28"/>
  <c r="V27" i="28"/>
  <c r="AA182" i="28"/>
  <c r="Z182" i="28"/>
  <c r="AB182" i="28"/>
  <c r="W12" i="28"/>
  <c r="T12" i="28"/>
  <c r="U12" i="28" s="1"/>
  <c r="AA12" i="28"/>
  <c r="Z12" i="28"/>
  <c r="AB12" i="28"/>
  <c r="AB55" i="28"/>
  <c r="AA55" i="28"/>
  <c r="W55" i="28"/>
  <c r="T55" i="28"/>
  <c r="U55" i="28" s="1"/>
  <c r="V55" i="28"/>
  <c r="Z55" i="28"/>
  <c r="T121" i="28"/>
  <c r="U121" i="28" s="1"/>
  <c r="AA32" i="28"/>
  <c r="W32" i="28"/>
  <c r="T32" i="28"/>
  <c r="U32" i="28" s="1"/>
  <c r="AB32" i="28"/>
  <c r="Z32" i="28"/>
  <c r="V57" i="28"/>
  <c r="AB46" i="28"/>
  <c r="AA46" i="28"/>
  <c r="Z46" i="28"/>
  <c r="Z51" i="28"/>
  <c r="Z192" i="28"/>
  <c r="V192" i="28"/>
  <c r="AB192" i="28"/>
  <c r="AA192" i="28"/>
  <c r="W192" i="28"/>
  <c r="T192" i="28"/>
  <c r="U192" i="28" s="1"/>
  <c r="AB133" i="28"/>
  <c r="AA133" i="28"/>
  <c r="Z133" i="28"/>
  <c r="T133" i="28"/>
  <c r="U133" i="28" s="1"/>
  <c r="W133" i="28"/>
  <c r="V133" i="28"/>
  <c r="AB151" i="28"/>
  <c r="T151" i="28"/>
  <c r="U151" i="28" s="1"/>
  <c r="AA151" i="28"/>
  <c r="Z151" i="28"/>
  <c r="Z69" i="28"/>
  <c r="W69" i="28"/>
  <c r="V69" i="28"/>
  <c r="AB69" i="28"/>
  <c r="AA69" i="28"/>
  <c r="T69" i="28"/>
  <c r="U69" i="28" s="1"/>
  <c r="V32" i="28"/>
  <c r="AA62" i="28"/>
  <c r="Z62" i="28"/>
  <c r="AB62" i="28"/>
  <c r="Z123" i="28"/>
  <c r="V123" i="28"/>
  <c r="AA123" i="28"/>
  <c r="T123" i="28"/>
  <c r="U123" i="28" s="1"/>
  <c r="AB123" i="28"/>
  <c r="Z204" i="28"/>
  <c r="AA204" i="28"/>
  <c r="AB204" i="28"/>
  <c r="T204" i="28"/>
  <c r="U204" i="28" s="1"/>
  <c r="V204" i="28"/>
  <c r="AC147" i="28"/>
  <c r="Z147" i="28"/>
  <c r="Z146" i="28"/>
  <c r="AA146" i="28"/>
  <c r="AB146" i="28"/>
  <c r="T146" i="28"/>
  <c r="U146" i="28" s="1"/>
  <c r="AA127" i="28"/>
  <c r="AB127" i="28"/>
  <c r="Z127" i="28"/>
  <c r="W127" i="28"/>
  <c r="T127" i="28"/>
  <c r="U127" i="28" s="1"/>
  <c r="W67" i="28"/>
  <c r="V42" i="28"/>
  <c r="AB33" i="28"/>
  <c r="AA33" i="28"/>
  <c r="Z33" i="28"/>
  <c r="T33" i="28"/>
  <c r="U33" i="28" s="1"/>
  <c r="W33" i="28"/>
  <c r="V33" i="28"/>
  <c r="V91" i="28"/>
  <c r="AB149" i="28"/>
  <c r="AA149" i="28"/>
  <c r="Z149" i="28"/>
  <c r="V149" i="28"/>
  <c r="W149" i="28"/>
  <c r="Z11" i="28"/>
  <c r="AB11" i="28"/>
  <c r="AA11" i="28"/>
  <c r="W11" i="28"/>
  <c r="T136" i="28"/>
  <c r="U136" i="28" s="1"/>
  <c r="AB136" i="28"/>
  <c r="W136" i="28"/>
  <c r="AA136" i="28"/>
  <c r="Z136" i="28"/>
  <c r="V136" i="28"/>
  <c r="Z29" i="28"/>
  <c r="W29" i="28"/>
  <c r="V29" i="28"/>
  <c r="AB29" i="28"/>
  <c r="AA29" i="28"/>
  <c r="AC51" i="28"/>
  <c r="AA57" i="28"/>
  <c r="AA66" i="28"/>
  <c r="AB66" i="28"/>
  <c r="T66" i="28"/>
  <c r="U66" i="28" s="1"/>
  <c r="Z66" i="28"/>
  <c r="W66" i="28"/>
  <c r="T62" i="28"/>
  <c r="U62" i="28" s="1"/>
  <c r="AA51" i="28"/>
  <c r="AA211" i="28"/>
  <c r="Z211" i="28"/>
  <c r="AB211" i="28"/>
  <c r="AB86" i="28"/>
  <c r="AA86" i="28"/>
  <c r="Z86" i="28"/>
  <c r="V84" i="28"/>
  <c r="W43" i="28"/>
  <c r="AA43" i="28"/>
  <c r="T43" i="28"/>
  <c r="U43" i="28" s="1"/>
  <c r="AB43" i="28"/>
  <c r="Z43" i="28"/>
  <c r="AA50" i="28"/>
  <c r="Z50" i="28"/>
  <c r="W50" i="28"/>
  <c r="AB50" i="28"/>
  <c r="V90" i="28"/>
  <c r="AB135" i="28"/>
  <c r="AA135" i="28"/>
  <c r="Z135" i="28"/>
  <c r="T135" i="28"/>
  <c r="U135" i="28" s="1"/>
  <c r="V59" i="28"/>
  <c r="AA106" i="28"/>
  <c r="AB34" i="28"/>
  <c r="AA34" i="28"/>
  <c r="Z34" i="28"/>
  <c r="V34" i="28"/>
  <c r="X34" i="28" s="1"/>
  <c r="Y34" i="28" s="1"/>
  <c r="V143" i="28"/>
  <c r="V62" i="28"/>
  <c r="AB35" i="28"/>
  <c r="AA35" i="28"/>
  <c r="Z35" i="28"/>
  <c r="W35" i="28"/>
  <c r="V35" i="28"/>
  <c r="V147" i="28"/>
  <c r="AB235" i="28"/>
  <c r="Z235" i="28"/>
  <c r="AA235" i="28"/>
  <c r="V235" i="28"/>
  <c r="S235" i="28" s="1"/>
  <c r="T233" i="28"/>
  <c r="U233" i="28" s="1"/>
  <c r="AB98" i="28"/>
  <c r="Z98" i="28"/>
  <c r="W98" i="28"/>
  <c r="AA98" i="28"/>
  <c r="T138" i="28"/>
  <c r="U138" i="28" s="1"/>
  <c r="AA129" i="28"/>
  <c r="Z129" i="28"/>
  <c r="AB129" i="28"/>
  <c r="V129" i="28"/>
  <c r="W129" i="28"/>
  <c r="W84" i="28"/>
  <c r="W121" i="28"/>
  <c r="T93" i="28"/>
  <c r="U93" i="28" s="1"/>
  <c r="Z39" i="28"/>
  <c r="AB39" i="28"/>
  <c r="AA39" i="28"/>
  <c r="V39" i="28"/>
  <c r="T39" i="28"/>
  <c r="U39" i="28" s="1"/>
  <c r="Z75" i="28"/>
  <c r="AA75" i="28"/>
  <c r="AB75" i="28"/>
  <c r="W75" i="28"/>
  <c r="AB205" i="28"/>
  <c r="AA205" i="28"/>
  <c r="Z205" i="28"/>
  <c r="AA65" i="28"/>
  <c r="AB25" i="28"/>
  <c r="AA25" i="28"/>
  <c r="Z25" i="28"/>
  <c r="V58" i="28"/>
  <c r="X58" i="28" s="1"/>
  <c r="Y58" i="28" s="1"/>
  <c r="T61" i="28"/>
  <c r="U61" i="28" s="1"/>
  <c r="AA28" i="28"/>
  <c r="AB28" i="28"/>
  <c r="Z28" i="28"/>
  <c r="AA101" i="28"/>
  <c r="Z101" i="28"/>
  <c r="AB101" i="28"/>
  <c r="T29" i="28"/>
  <c r="U29" i="28" s="1"/>
  <c r="AA14" i="28"/>
  <c r="Z14" i="28"/>
  <c r="AB14" i="28"/>
  <c r="V38" i="28"/>
  <c r="AB139" i="28"/>
  <c r="AA139" i="28"/>
  <c r="Z139" i="28"/>
  <c r="V139" i="28"/>
  <c r="T139" i="28"/>
  <c r="U139" i="28" s="1"/>
  <c r="AB124" i="28"/>
  <c r="AA124" i="28"/>
  <c r="T124" i="28"/>
  <c r="U124" i="28" s="1"/>
  <c r="W124" i="28"/>
  <c r="Z124" i="28"/>
  <c r="V124" i="28"/>
  <c r="T198" i="28"/>
  <c r="U198" i="28" s="1"/>
  <c r="AB198" i="28"/>
  <c r="AA198" i="28"/>
  <c r="Z198" i="28"/>
  <c r="V146" i="28"/>
  <c r="X146" i="28" s="1"/>
  <c r="Z67" i="28"/>
  <c r="AB67" i="28"/>
  <c r="AA67" i="28"/>
  <c r="T67" i="28"/>
  <c r="U67" i="28" s="1"/>
  <c r="Z178" i="28"/>
  <c r="AB178" i="28"/>
  <c r="AA178" i="28"/>
  <c r="W178" i="28"/>
  <c r="T178" i="28"/>
  <c r="U178" i="28" s="1"/>
  <c r="AB92" i="28"/>
  <c r="AA92" i="28"/>
  <c r="Z92" i="28"/>
  <c r="T92" i="28"/>
  <c r="U92" i="28" s="1"/>
  <c r="W39" i="28"/>
  <c r="AB72" i="28"/>
  <c r="Z72" i="28"/>
  <c r="AA72" i="28"/>
  <c r="W72" i="28"/>
  <c r="V72" i="28"/>
  <c r="T48" i="28"/>
  <c r="U48" i="28" s="1"/>
  <c r="AB48" i="28"/>
  <c r="V48" i="28"/>
  <c r="Z48" i="28"/>
  <c r="AA48" i="28"/>
  <c r="W48" i="28"/>
  <c r="T11" i="28"/>
  <c r="U11" i="28" s="1"/>
  <c r="AB41" i="28"/>
  <c r="Z41" i="28"/>
  <c r="AA41" i="28"/>
  <c r="AA44" i="28"/>
  <c r="Z44" i="28"/>
  <c r="T44" i="28"/>
  <c r="U44" i="28" s="1"/>
  <c r="AB44" i="28"/>
  <c r="V51" i="28"/>
  <c r="W42" i="28"/>
  <c r="AA42" i="28"/>
  <c r="Z42" i="28"/>
  <c r="AB42" i="28"/>
  <c r="T42" i="28"/>
  <c r="U42" i="28" s="1"/>
  <c r="W38" i="28"/>
  <c r="T137" i="28"/>
  <c r="U137" i="28" s="1"/>
  <c r="W137" i="28"/>
  <c r="AB137" i="28"/>
  <c r="AA137" i="28"/>
  <c r="Z137" i="28"/>
  <c r="V137" i="28"/>
  <c r="W151" i="28"/>
  <c r="AA132" i="28"/>
  <c r="AB132" i="28"/>
  <c r="T132" i="28"/>
  <c r="U132" i="28" s="1"/>
  <c r="Z132" i="28"/>
  <c r="W132" i="28"/>
  <c r="W123" i="28"/>
  <c r="AB125" i="28"/>
  <c r="W125" i="28"/>
  <c r="AA125" i="28"/>
  <c r="Z125" i="28"/>
  <c r="T125" i="28"/>
  <c r="U125" i="28" s="1"/>
  <c r="AB126" i="28"/>
  <c r="AA126" i="28"/>
  <c r="Z126" i="28"/>
  <c r="T126" i="28"/>
  <c r="U126" i="28" s="1"/>
  <c r="AB145" i="28"/>
  <c r="Z145" i="28"/>
  <c r="V145" i="28"/>
  <c r="T145" i="28"/>
  <c r="U145" i="28" s="1"/>
  <c r="AA145" i="28"/>
  <c r="V104" i="28"/>
  <c r="V92" i="28"/>
  <c r="AB108" i="28"/>
  <c r="AA108" i="28"/>
  <c r="V108" i="28"/>
  <c r="X108" i="28" s="1"/>
  <c r="Y108" i="28" s="1"/>
  <c r="Z108" i="28"/>
  <c r="W108" i="28"/>
  <c r="T108" i="28"/>
  <c r="U108" i="28" s="1"/>
  <c r="V234" i="28"/>
  <c r="V93" i="28"/>
  <c r="S93" i="28" s="1"/>
  <c r="AA45" i="28"/>
  <c r="Z45" i="28"/>
  <c r="AB45" i="28"/>
  <c r="T45" i="28"/>
  <c r="U45" i="28" s="1"/>
  <c r="V45" i="28"/>
  <c r="W13" i="28"/>
  <c r="V61" i="28"/>
  <c r="AA70" i="28"/>
  <c r="T70" i="28"/>
  <c r="U70" i="28" s="1"/>
  <c r="AB70" i="28"/>
  <c r="Z70" i="28"/>
  <c r="W70" i="28"/>
  <c r="V40" i="28"/>
  <c r="AA147" i="28"/>
  <c r="AA56" i="28"/>
  <c r="AB56" i="28"/>
  <c r="Z56" i="28"/>
  <c r="V56" i="28"/>
  <c r="T35" i="28"/>
  <c r="U35" i="28" s="1"/>
  <c r="W30" i="28"/>
  <c r="AB30" i="28"/>
  <c r="AA30" i="28"/>
  <c r="Z30" i="28"/>
  <c r="T30" i="28"/>
  <c r="U30" i="28" s="1"/>
  <c r="AB74" i="28"/>
  <c r="Z74" i="28"/>
  <c r="AA74" i="28"/>
  <c r="Z106" i="28"/>
  <c r="T34" i="28"/>
  <c r="U34" i="28" s="1"/>
  <c r="V201" i="28"/>
  <c r="AA36" i="28"/>
  <c r="Z36" i="28"/>
  <c r="AB36" i="28"/>
  <c r="T36" i="28"/>
  <c r="U36" i="28" s="1"/>
  <c r="W36" i="28"/>
  <c r="V36" i="28"/>
  <c r="AA130" i="28"/>
  <c r="V130" i="28"/>
  <c r="W130" i="28"/>
  <c r="T211" i="28"/>
  <c r="U211" i="28" s="1"/>
  <c r="V213" i="28"/>
  <c r="AC130" i="28"/>
  <c r="AB193" i="28"/>
  <c r="AA193" i="28"/>
  <c r="Z193" i="28"/>
  <c r="W193" i="28"/>
  <c r="V193" i="28"/>
  <c r="Z180" i="28"/>
  <c r="AB180" i="28"/>
  <c r="AA180" i="28"/>
  <c r="W180" i="28"/>
  <c r="AC134" i="28"/>
  <c r="AA134" i="28"/>
  <c r="Z134" i="28"/>
  <c r="W148" i="28"/>
  <c r="T197" i="28"/>
  <c r="U197" i="28" s="1"/>
  <c r="V98" i="28"/>
  <c r="X98" i="28" s="1"/>
  <c r="Y98" i="28" s="1"/>
  <c r="T86" i="28"/>
  <c r="U86" i="28" s="1"/>
  <c r="AB183" i="28"/>
  <c r="Z183" i="28"/>
  <c r="AA183" i="28"/>
  <c r="V183" i="28"/>
  <c r="V65" i="28"/>
  <c r="X65" i="28" s="1"/>
  <c r="Z150" i="28"/>
  <c r="T150" i="28"/>
  <c r="U150" i="28" s="1"/>
  <c r="AB150" i="28"/>
  <c r="AA150" i="28"/>
  <c r="W150" i="28"/>
  <c r="V150" i="28"/>
  <c r="AB54" i="28"/>
  <c r="AA54" i="28"/>
  <c r="Z54" i="28"/>
  <c r="V54" i="28"/>
  <c r="T54" i="28"/>
  <c r="U54" i="28" s="1"/>
  <c r="W54" i="28"/>
  <c r="V182" i="28"/>
  <c r="Z104" i="28"/>
  <c r="W61" i="28"/>
  <c r="W147" i="28"/>
  <c r="W76" i="28"/>
  <c r="AB76" i="28"/>
  <c r="Z76" i="28"/>
  <c r="AA76" i="28"/>
  <c r="V121" i="28"/>
  <c r="Z100" i="28"/>
  <c r="T83" i="28"/>
  <c r="U83" i="28" s="1"/>
  <c r="AA83" i="28"/>
  <c r="AB83" i="28"/>
  <c r="Z83" i="28"/>
  <c r="W83" i="28"/>
  <c r="V83" i="28"/>
  <c r="W101" i="28"/>
  <c r="Z122" i="28"/>
  <c r="V14" i="28"/>
  <c r="Z38" i="28"/>
  <c r="AB181" i="28"/>
  <c r="AA181" i="28"/>
  <c r="Z181" i="28"/>
  <c r="AB233" i="28"/>
  <c r="AA233" i="28"/>
  <c r="Z233" i="28"/>
  <c r="Z219" i="28"/>
  <c r="AB219" i="28"/>
  <c r="AA219" i="28"/>
  <c r="V219" i="28"/>
  <c r="S219" i="28" s="1"/>
  <c r="T213" i="28"/>
  <c r="U213" i="28" s="1"/>
  <c r="AC128" i="28"/>
  <c r="AA128" i="28"/>
  <c r="Z128" i="28"/>
  <c r="T72" i="28"/>
  <c r="U72" i="28" s="1"/>
  <c r="T60" i="28"/>
  <c r="U60" i="28" s="1"/>
  <c r="AB60" i="28"/>
  <c r="W60" i="28"/>
  <c r="AA60" i="28"/>
  <c r="Z60" i="28"/>
  <c r="W92" i="28"/>
  <c r="W49" i="28"/>
  <c r="AB49" i="28"/>
  <c r="AA49" i="28"/>
  <c r="Z49" i="28"/>
  <c r="T49" i="28"/>
  <c r="U49" i="28" s="1"/>
  <c r="Z196" i="28"/>
  <c r="AB196" i="28"/>
  <c r="AA196" i="28"/>
  <c r="AB82" i="28"/>
  <c r="Z82" i="28"/>
  <c r="AA82" i="28"/>
  <c r="W82" i="28"/>
  <c r="V82" i="28"/>
  <c r="T82" i="28"/>
  <c r="U82" i="28" s="1"/>
  <c r="AA85" i="28"/>
  <c r="Z85" i="28"/>
  <c r="AB85" i="28"/>
  <c r="T85" i="28"/>
  <c r="U85" i="28" s="1"/>
  <c r="T194" i="28"/>
  <c r="U194" i="28" s="1"/>
  <c r="Z194" i="28"/>
  <c r="AB194" i="28"/>
  <c r="AA194" i="28"/>
  <c r="AB107" i="28"/>
  <c r="AA107" i="28"/>
  <c r="Z107" i="28"/>
  <c r="V107" i="28"/>
  <c r="Z52" i="28"/>
  <c r="AA52" i="28"/>
  <c r="AB52" i="28"/>
  <c r="W182" i="28"/>
  <c r="V205" i="28"/>
  <c r="AA53" i="28"/>
  <c r="Z53" i="28"/>
  <c r="AB53" i="28"/>
  <c r="T53" i="28"/>
  <c r="U53" i="28" s="1"/>
  <c r="V28" i="28"/>
  <c r="V49" i="28"/>
  <c r="X49" i="28" s="1"/>
  <c r="Y49" i="28" s="1"/>
  <c r="AA81" i="28"/>
  <c r="AB81" i="28"/>
  <c r="Z81" i="28"/>
  <c r="T81" i="28"/>
  <c r="U81" i="28" s="1"/>
  <c r="V122" i="28"/>
  <c r="V12" i="28"/>
  <c r="V11" i="28"/>
  <c r="AA38" i="28"/>
  <c r="W183" i="26"/>
  <c r="W180" i="26"/>
  <c r="W92" i="26"/>
  <c r="V99" i="26"/>
  <c r="W65" i="26"/>
  <c r="V177" i="26"/>
  <c r="V92" i="26"/>
  <c r="V197" i="26"/>
  <c r="V58" i="26"/>
  <c r="T65" i="26"/>
  <c r="U65" i="26" s="1"/>
  <c r="AB125" i="26"/>
  <c r="V61" i="26"/>
  <c r="V54" i="26"/>
  <c r="V12" i="26"/>
  <c r="W133" i="26"/>
  <c r="Z58" i="26"/>
  <c r="V135" i="26"/>
  <c r="W213" i="26"/>
  <c r="T90" i="26"/>
  <c r="U90" i="26" s="1"/>
  <c r="AA138" i="26"/>
  <c r="T133" i="26"/>
  <c r="U133" i="26" s="1"/>
  <c r="W58" i="26"/>
  <c r="W46" i="26"/>
  <c r="V34" i="26"/>
  <c r="V207" i="26"/>
  <c r="W148" i="26"/>
  <c r="W124" i="26"/>
  <c r="V90" i="26"/>
  <c r="W210" i="26"/>
  <c r="V138" i="26"/>
  <c r="V133" i="26"/>
  <c r="W138" i="26"/>
  <c r="AA133" i="26"/>
  <c r="AC46" i="26"/>
  <c r="V203" i="26"/>
  <c r="V76" i="26"/>
  <c r="AB138" i="26"/>
  <c r="Z133" i="26"/>
  <c r="W233" i="26"/>
  <c r="V180" i="26"/>
  <c r="Z138" i="26"/>
  <c r="V27" i="26"/>
  <c r="W146" i="26"/>
  <c r="AA233" i="26"/>
  <c r="Z233" i="26"/>
  <c r="Z130" i="26"/>
  <c r="V142" i="26"/>
  <c r="V44" i="26"/>
  <c r="Z27" i="26"/>
  <c r="V55" i="26"/>
  <c r="W177" i="26"/>
  <c r="W191" i="26"/>
  <c r="W211" i="26"/>
  <c r="T177" i="26"/>
  <c r="U177" i="26" s="1"/>
  <c r="W192" i="26"/>
  <c r="V129" i="26"/>
  <c r="V13" i="26"/>
  <c r="W34" i="26"/>
  <c r="V210" i="26"/>
  <c r="V191" i="26"/>
  <c r="W29" i="26"/>
  <c r="Z125" i="26"/>
  <c r="AC65" i="26"/>
  <c r="T101" i="26"/>
  <c r="U101" i="26" s="1"/>
  <c r="Z132" i="26"/>
  <c r="T210" i="26"/>
  <c r="U210" i="26" s="1"/>
  <c r="V125" i="26"/>
  <c r="AA127" i="26"/>
  <c r="V204" i="26"/>
  <c r="V200" i="26"/>
  <c r="W125" i="26"/>
  <c r="T183" i="26"/>
  <c r="U183" i="26" s="1"/>
  <c r="AA129" i="26"/>
  <c r="Z204" i="26"/>
  <c r="T195" i="26"/>
  <c r="U195" i="26" s="1"/>
  <c r="AA91" i="26"/>
  <c r="V93" i="26"/>
  <c r="S93" i="26" s="1"/>
  <c r="W127" i="26"/>
  <c r="V42" i="26"/>
  <c r="Z13" i="26"/>
  <c r="V183" i="26"/>
  <c r="V124" i="26"/>
  <c r="Z129" i="26"/>
  <c r="AC180" i="26"/>
  <c r="AC129" i="26"/>
  <c r="V46" i="26"/>
  <c r="T61" i="26"/>
  <c r="U61" i="26" s="1"/>
  <c r="Z92" i="26"/>
  <c r="T83" i="26"/>
  <c r="U83" i="26" s="1"/>
  <c r="AB83" i="26"/>
  <c r="AA83" i="26"/>
  <c r="AA58" i="26"/>
  <c r="V219" i="26"/>
  <c r="S219" i="26" s="1"/>
  <c r="V84" i="26"/>
  <c r="V33" i="26"/>
  <c r="W62" i="26"/>
  <c r="AA125" i="26"/>
  <c r="T234" i="26"/>
  <c r="U234" i="26" s="1"/>
  <c r="AB234" i="26"/>
  <c r="AA234" i="26"/>
  <c r="Z234" i="26"/>
  <c r="W234" i="26"/>
  <c r="V234" i="26"/>
  <c r="AA203" i="26"/>
  <c r="AB203" i="26"/>
  <c r="Z203" i="26"/>
  <c r="AB73" i="26"/>
  <c r="W73" i="26"/>
  <c r="T73" i="26"/>
  <c r="U73" i="26" s="1"/>
  <c r="V73" i="26"/>
  <c r="AA73" i="26"/>
  <c r="Z73" i="26"/>
  <c r="AB149" i="26"/>
  <c r="AA149" i="26"/>
  <c r="Z149" i="26"/>
  <c r="W149" i="26"/>
  <c r="V149" i="26"/>
  <c r="T149" i="26"/>
  <c r="U149" i="26" s="1"/>
  <c r="T59" i="26"/>
  <c r="U59" i="26" s="1"/>
  <c r="AB59" i="26"/>
  <c r="AA59" i="26"/>
  <c r="Z59" i="26"/>
  <c r="W59" i="26"/>
  <c r="Z107" i="26"/>
  <c r="AA107" i="26"/>
  <c r="AB107" i="26"/>
  <c r="Z54" i="26"/>
  <c r="T54" i="26"/>
  <c r="U54" i="26" s="1"/>
  <c r="AA54" i="26"/>
  <c r="AB54" i="26"/>
  <c r="Z12" i="26"/>
  <c r="AB12" i="26"/>
  <c r="AA12" i="26"/>
  <c r="AC75" i="26"/>
  <c r="W28" i="26"/>
  <c r="AB45" i="26"/>
  <c r="AA45" i="26"/>
  <c r="Z45" i="26"/>
  <c r="W45" i="26"/>
  <c r="Z101" i="26"/>
  <c r="Z98" i="26"/>
  <c r="AB98" i="26"/>
  <c r="AA98" i="26"/>
  <c r="T98" i="26"/>
  <c r="U98" i="26" s="1"/>
  <c r="V98" i="26"/>
  <c r="V75" i="26"/>
  <c r="V40" i="26"/>
  <c r="T206" i="26"/>
  <c r="U206" i="26" s="1"/>
  <c r="Z206" i="26"/>
  <c r="V206" i="26"/>
  <c r="AB206" i="26"/>
  <c r="AA206" i="26"/>
  <c r="W132" i="26"/>
  <c r="AB214" i="26"/>
  <c r="AA214" i="26"/>
  <c r="Z214" i="26"/>
  <c r="AB108" i="26"/>
  <c r="AA108" i="26"/>
  <c r="Z108" i="26"/>
  <c r="V108" i="26"/>
  <c r="T108" i="26"/>
  <c r="U108" i="26" s="1"/>
  <c r="W108" i="26"/>
  <c r="AB192" i="26"/>
  <c r="AA192" i="26"/>
  <c r="Z192" i="26"/>
  <c r="V192" i="26"/>
  <c r="Z67" i="26"/>
  <c r="V67" i="26"/>
  <c r="AB67" i="26"/>
  <c r="AA67" i="26"/>
  <c r="T67" i="26"/>
  <c r="U67" i="26" s="1"/>
  <c r="AA140" i="26"/>
  <c r="AB140" i="26"/>
  <c r="Z140" i="26"/>
  <c r="AB85" i="26"/>
  <c r="AA85" i="26"/>
  <c r="Z85" i="26"/>
  <c r="W85" i="26"/>
  <c r="V85" i="26"/>
  <c r="V57" i="26"/>
  <c r="AC57" i="26"/>
  <c r="W57" i="26"/>
  <c r="AA56" i="26"/>
  <c r="Z56" i="26"/>
  <c r="AB56" i="26"/>
  <c r="Z150" i="26"/>
  <c r="T150" i="26"/>
  <c r="U150" i="26" s="1"/>
  <c r="AB150" i="26"/>
  <c r="V150" i="26"/>
  <c r="AA150" i="26"/>
  <c r="W150" i="26"/>
  <c r="AB51" i="26"/>
  <c r="AA51" i="26"/>
  <c r="Z51" i="26"/>
  <c r="W51" i="26"/>
  <c r="V51" i="26"/>
  <c r="AA14" i="26"/>
  <c r="Z14" i="26"/>
  <c r="T14" i="26"/>
  <c r="U14" i="26" s="1"/>
  <c r="AB14" i="26"/>
  <c r="V14" i="26"/>
  <c r="AA57" i="26"/>
  <c r="V31" i="26"/>
  <c r="T141" i="26"/>
  <c r="U141" i="26" s="1"/>
  <c r="W141" i="26"/>
  <c r="AB141" i="26"/>
  <c r="AA141" i="26"/>
  <c r="V141" i="26"/>
  <c r="Z141" i="26"/>
  <c r="T202" i="26"/>
  <c r="U202" i="26" s="1"/>
  <c r="AB202" i="26"/>
  <c r="AA202" i="26"/>
  <c r="V202" i="26"/>
  <c r="Z202" i="26"/>
  <c r="V214" i="26"/>
  <c r="S214" i="26" s="1"/>
  <c r="Z151" i="26"/>
  <c r="AB151" i="26"/>
  <c r="AA151" i="26"/>
  <c r="AA146" i="26"/>
  <c r="AB146" i="26"/>
  <c r="Z146" i="26"/>
  <c r="AC192" i="26"/>
  <c r="AB183" i="26"/>
  <c r="Z183" i="26"/>
  <c r="AA183" i="26"/>
  <c r="W140" i="26"/>
  <c r="V56" i="26"/>
  <c r="V11" i="26"/>
  <c r="AA200" i="26"/>
  <c r="Z200" i="26"/>
  <c r="AB200" i="26"/>
  <c r="T200" i="26"/>
  <c r="U200" i="26" s="1"/>
  <c r="AB81" i="26"/>
  <c r="AA81" i="26"/>
  <c r="Z81" i="26"/>
  <c r="T81" i="26"/>
  <c r="U81" i="26" s="1"/>
  <c r="W55" i="26"/>
  <c r="Z55" i="26"/>
  <c r="AA55" i="26"/>
  <c r="AB55" i="26"/>
  <c r="T55" i="26"/>
  <c r="U55" i="26" s="1"/>
  <c r="W40" i="26"/>
  <c r="T51" i="26"/>
  <c r="U51" i="26" s="1"/>
  <c r="W11" i="26"/>
  <c r="W54" i="26"/>
  <c r="V81" i="26"/>
  <c r="T126" i="26"/>
  <c r="U126" i="26" s="1"/>
  <c r="AB126" i="26"/>
  <c r="AA126" i="26"/>
  <c r="Z126" i="26"/>
  <c r="W126" i="26"/>
  <c r="AA13" i="26"/>
  <c r="AA178" i="26"/>
  <c r="Z178" i="26"/>
  <c r="W178" i="26"/>
  <c r="AB178" i="26"/>
  <c r="V176" i="26"/>
  <c r="AA136" i="26"/>
  <c r="Z136" i="26"/>
  <c r="W136" i="26"/>
  <c r="V136" i="26"/>
  <c r="AB136" i="26"/>
  <c r="AB142" i="26"/>
  <c r="AA142" i="26"/>
  <c r="Z142" i="26"/>
  <c r="AB232" i="26"/>
  <c r="Z232" i="26"/>
  <c r="AA232" i="26"/>
  <c r="T232" i="26"/>
  <c r="U232" i="26" s="1"/>
  <c r="AA105" i="26"/>
  <c r="AB105" i="26"/>
  <c r="Z105" i="26"/>
  <c r="W105" i="26"/>
  <c r="T105" i="26"/>
  <c r="U105" i="26" s="1"/>
  <c r="V105" i="26"/>
  <c r="T203" i="26"/>
  <c r="U203" i="26" s="1"/>
  <c r="T192" i="26"/>
  <c r="U192" i="26" s="1"/>
  <c r="AB76" i="26"/>
  <c r="T76" i="26"/>
  <c r="U76" i="26" s="1"/>
  <c r="AA76" i="26"/>
  <c r="Z76" i="26"/>
  <c r="T107" i="26"/>
  <c r="U107" i="26" s="1"/>
  <c r="AA84" i="26"/>
  <c r="Z84" i="26"/>
  <c r="AB84" i="26"/>
  <c r="T12" i="26"/>
  <c r="U12" i="26" s="1"/>
  <c r="T43" i="26"/>
  <c r="U43" i="26" s="1"/>
  <c r="Z43" i="26"/>
  <c r="W43" i="26"/>
  <c r="AB43" i="26"/>
  <c r="AA43" i="26"/>
  <c r="W81" i="26"/>
  <c r="T31" i="26"/>
  <c r="U31" i="26" s="1"/>
  <c r="AB31" i="26"/>
  <c r="AA31" i="26"/>
  <c r="W31" i="26"/>
  <c r="Z31" i="26"/>
  <c r="W13" i="26"/>
  <c r="W27" i="26"/>
  <c r="AA52" i="26"/>
  <c r="Z52" i="26"/>
  <c r="AB52" i="26"/>
  <c r="T52" i="26"/>
  <c r="U52" i="26" s="1"/>
  <c r="V52" i="26"/>
  <c r="V211" i="26"/>
  <c r="V232" i="26"/>
  <c r="Z139" i="26"/>
  <c r="AB139" i="26"/>
  <c r="AA139" i="26"/>
  <c r="AB143" i="26"/>
  <c r="AA143" i="26"/>
  <c r="Z143" i="26"/>
  <c r="T143" i="26"/>
  <c r="U143" i="26" s="1"/>
  <c r="AB148" i="26"/>
  <c r="AA148" i="26"/>
  <c r="Z148" i="26"/>
  <c r="V148" i="26"/>
  <c r="AB235" i="26"/>
  <c r="AA235" i="26"/>
  <c r="Z235" i="26"/>
  <c r="AB50" i="26"/>
  <c r="AA50" i="26"/>
  <c r="W50" i="26"/>
  <c r="Z50" i="26"/>
  <c r="T50" i="26"/>
  <c r="U50" i="26" s="1"/>
  <c r="V101" i="26"/>
  <c r="T60" i="26"/>
  <c r="U60" i="26" s="1"/>
  <c r="Z60" i="26"/>
  <c r="AB60" i="26"/>
  <c r="AA60" i="26"/>
  <c r="W60" i="26"/>
  <c r="W67" i="26"/>
  <c r="W84" i="26"/>
  <c r="AA132" i="26"/>
  <c r="V35" i="26"/>
  <c r="AA195" i="26"/>
  <c r="AB195" i="26"/>
  <c r="Z195" i="26"/>
  <c r="AB38" i="26"/>
  <c r="AA38" i="26"/>
  <c r="Z38" i="26"/>
  <c r="W38" i="26"/>
  <c r="T38" i="26"/>
  <c r="U38" i="26" s="1"/>
  <c r="Z99" i="26"/>
  <c r="AA99" i="26"/>
  <c r="AB99" i="26"/>
  <c r="V66" i="26"/>
  <c r="AC66" i="26"/>
  <c r="W66" i="26"/>
  <c r="AB26" i="26"/>
  <c r="AA26" i="26"/>
  <c r="Z26" i="26"/>
  <c r="AC33" i="26"/>
  <c r="AB68" i="26"/>
  <c r="AA68" i="26"/>
  <c r="Z68" i="26"/>
  <c r="AA135" i="26"/>
  <c r="AB135" i="26"/>
  <c r="Z135" i="26"/>
  <c r="W135" i="26"/>
  <c r="AB72" i="26"/>
  <c r="AA72" i="26"/>
  <c r="Z72" i="26"/>
  <c r="W72" i="26"/>
  <c r="V72" i="26"/>
  <c r="V62" i="26"/>
  <c r="W12" i="26"/>
  <c r="AA27" i="26"/>
  <c r="Z40" i="26"/>
  <c r="AB40" i="26"/>
  <c r="AA40" i="26"/>
  <c r="W232" i="26"/>
  <c r="V139" i="26"/>
  <c r="T146" i="26"/>
  <c r="U146" i="26" s="1"/>
  <c r="V143" i="26"/>
  <c r="AC137" i="26"/>
  <c r="AB106" i="26"/>
  <c r="AA106" i="26"/>
  <c r="Z106" i="26"/>
  <c r="W106" i="26"/>
  <c r="V106" i="26"/>
  <c r="AB201" i="26"/>
  <c r="AA201" i="26"/>
  <c r="Z201" i="26"/>
  <c r="V201" i="26"/>
  <c r="Z210" i="26"/>
  <c r="AA210" i="26"/>
  <c r="AB210" i="26"/>
  <c r="W35" i="26"/>
  <c r="AB64" i="26"/>
  <c r="AA64" i="26"/>
  <c r="Z64" i="26"/>
  <c r="T64" i="26"/>
  <c r="U64" i="26" s="1"/>
  <c r="W64" i="26"/>
  <c r="AB74" i="26"/>
  <c r="AA74" i="26"/>
  <c r="Z74" i="26"/>
  <c r="Z48" i="26"/>
  <c r="W48" i="26"/>
  <c r="AB48" i="26"/>
  <c r="AA48" i="26"/>
  <c r="W134" i="26"/>
  <c r="AB134" i="26"/>
  <c r="AA134" i="26"/>
  <c r="Z134" i="26"/>
  <c r="T134" i="26"/>
  <c r="U134" i="26" s="1"/>
  <c r="AA101" i="26"/>
  <c r="V60" i="26"/>
  <c r="W30" i="26"/>
  <c r="Z20" i="26"/>
  <c r="V26" i="26"/>
  <c r="Z128" i="26"/>
  <c r="AA128" i="26"/>
  <c r="T128" i="26"/>
  <c r="U128" i="26" s="1"/>
  <c r="AB128" i="26"/>
  <c r="Z53" i="26"/>
  <c r="AA53" i="26"/>
  <c r="AB53" i="26"/>
  <c r="T53" i="26"/>
  <c r="U53" i="26" s="1"/>
  <c r="Z34" i="26"/>
  <c r="AB34" i="26"/>
  <c r="AA34" i="26"/>
  <c r="AB197" i="26"/>
  <c r="AA197" i="26"/>
  <c r="Z197" i="26"/>
  <c r="W176" i="26"/>
  <c r="T178" i="26"/>
  <c r="U178" i="26" s="1"/>
  <c r="W139" i="26"/>
  <c r="V146" i="26"/>
  <c r="AB100" i="26"/>
  <c r="AA100" i="26"/>
  <c r="Z100" i="26"/>
  <c r="W100" i="26"/>
  <c r="V100" i="26"/>
  <c r="X100" i="26" s="1"/>
  <c r="Y100" i="26" s="1"/>
  <c r="W143" i="26"/>
  <c r="AA103" i="26"/>
  <c r="W103" i="26"/>
  <c r="V103" i="26"/>
  <c r="AB122" i="26"/>
  <c r="AA122" i="26"/>
  <c r="W122" i="26"/>
  <c r="V122" i="26"/>
  <c r="Z122" i="26"/>
  <c r="Z144" i="26"/>
  <c r="AB144" i="26"/>
  <c r="AA144" i="26"/>
  <c r="T144" i="26"/>
  <c r="U144" i="26" s="1"/>
  <c r="W144" i="26"/>
  <c r="V144" i="26"/>
  <c r="T140" i="26"/>
  <c r="U140" i="26" s="1"/>
  <c r="W53" i="26"/>
  <c r="AC91" i="26"/>
  <c r="W26" i="26"/>
  <c r="AA65" i="26"/>
  <c r="AB65" i="26"/>
  <c r="Z65" i="26"/>
  <c r="V48" i="26"/>
  <c r="V30" i="26"/>
  <c r="AA61" i="26"/>
  <c r="AB61" i="26"/>
  <c r="Z61" i="26"/>
  <c r="Z30" i="26"/>
  <c r="T56" i="26"/>
  <c r="U56" i="26" s="1"/>
  <c r="T70" i="26"/>
  <c r="U70" i="26" s="1"/>
  <c r="AB70" i="26"/>
  <c r="AA70" i="26"/>
  <c r="Z70" i="26"/>
  <c r="W70" i="26"/>
  <c r="V70" i="26"/>
  <c r="AB211" i="26"/>
  <c r="AA211" i="26"/>
  <c r="Z211" i="26"/>
  <c r="T211" i="26"/>
  <c r="U211" i="26" s="1"/>
  <c r="T147" i="26"/>
  <c r="U147" i="26" s="1"/>
  <c r="Z147" i="26"/>
  <c r="W147" i="26"/>
  <c r="V147" i="26"/>
  <c r="AB147" i="26"/>
  <c r="AA147" i="26"/>
  <c r="W184" i="26"/>
  <c r="V184" i="26"/>
  <c r="T184" i="26"/>
  <c r="U184" i="26" s="1"/>
  <c r="T37" i="26"/>
  <c r="U37" i="26" s="1"/>
  <c r="W37" i="26"/>
  <c r="AA37" i="26"/>
  <c r="AB37" i="26"/>
  <c r="Z37" i="26"/>
  <c r="AB145" i="26"/>
  <c r="AA145" i="26"/>
  <c r="Z145" i="26"/>
  <c r="T145" i="26"/>
  <c r="U145" i="26" s="1"/>
  <c r="V178" i="26"/>
  <c r="T136" i="26"/>
  <c r="U136" i="26" s="1"/>
  <c r="AC132" i="26"/>
  <c r="V137" i="26"/>
  <c r="AB196" i="26"/>
  <c r="T196" i="26"/>
  <c r="U196" i="26" s="1"/>
  <c r="Z196" i="26"/>
  <c r="V196" i="26"/>
  <c r="AA196" i="26"/>
  <c r="AB205" i="26"/>
  <c r="AA205" i="26"/>
  <c r="Z205" i="26"/>
  <c r="V205" i="26"/>
  <c r="W101" i="26"/>
  <c r="Z90" i="26"/>
  <c r="AB90" i="26"/>
  <c r="AA90" i="26"/>
  <c r="V140" i="26"/>
  <c r="W56" i="26"/>
  <c r="AB180" i="26"/>
  <c r="Z180" i="26"/>
  <c r="AA180" i="26"/>
  <c r="Z42" i="26"/>
  <c r="AB42" i="26"/>
  <c r="AA42" i="26"/>
  <c r="W42" i="26"/>
  <c r="T25" i="26"/>
  <c r="U25" i="26" s="1"/>
  <c r="AB25" i="26"/>
  <c r="W25" i="26"/>
  <c r="AA25" i="26"/>
  <c r="Z25" i="26"/>
  <c r="AB32" i="26"/>
  <c r="AA32" i="26"/>
  <c r="T32" i="26"/>
  <c r="U32" i="26" s="1"/>
  <c r="Z32" i="26"/>
  <c r="W32" i="26"/>
  <c r="V32" i="26"/>
  <c r="Z182" i="26"/>
  <c r="AA182" i="26"/>
  <c r="W182" i="26"/>
  <c r="AB182" i="26"/>
  <c r="V182" i="26"/>
  <c r="T182" i="26"/>
  <c r="U182" i="26" s="1"/>
  <c r="T68" i="26"/>
  <c r="U68" i="26" s="1"/>
  <c r="Z93" i="26"/>
  <c r="AA93" i="26"/>
  <c r="AB93" i="26"/>
  <c r="AB11" i="26"/>
  <c r="AA11" i="26"/>
  <c r="Z11" i="26"/>
  <c r="AB35" i="26"/>
  <c r="AA35" i="26"/>
  <c r="Z35" i="26"/>
  <c r="T35" i="26"/>
  <c r="U35" i="26" s="1"/>
  <c r="AB121" i="26"/>
  <c r="AA121" i="26"/>
  <c r="Z121" i="26"/>
  <c r="V121" i="26"/>
  <c r="W121" i="26"/>
  <c r="W137" i="26"/>
  <c r="T142" i="26"/>
  <c r="U142" i="26" s="1"/>
  <c r="W128" i="26"/>
  <c r="T179" i="26"/>
  <c r="U179" i="26" s="1"/>
  <c r="W179" i="26"/>
  <c r="V179" i="26"/>
  <c r="AB179" i="26"/>
  <c r="AA179" i="26"/>
  <c r="Z179" i="26"/>
  <c r="Z137" i="26"/>
  <c r="Z28" i="26"/>
  <c r="T28" i="26"/>
  <c r="U28" i="26" s="1"/>
  <c r="AB28" i="26"/>
  <c r="AA28" i="26"/>
  <c r="V28" i="26"/>
  <c r="AA191" i="26"/>
  <c r="AB191" i="26"/>
  <c r="Z191" i="26"/>
  <c r="V107" i="26"/>
  <c r="V91" i="26"/>
  <c r="V59" i="26"/>
  <c r="V68" i="26"/>
  <c r="Z91" i="26"/>
  <c r="T45" i="26"/>
  <c r="U45" i="26" s="1"/>
  <c r="AA92" i="26"/>
  <c r="V43" i="26"/>
  <c r="AB71" i="26"/>
  <c r="AA71" i="26"/>
  <c r="W71" i="26"/>
  <c r="T71" i="26"/>
  <c r="U71" i="26" s="1"/>
  <c r="Z71" i="26"/>
  <c r="V71" i="26"/>
  <c r="AB39" i="26"/>
  <c r="AA39" i="26"/>
  <c r="Z39" i="26"/>
  <c r="W39" i="26"/>
  <c r="V39" i="26"/>
  <c r="AA194" i="26"/>
  <c r="Z194" i="26"/>
  <c r="T194" i="26"/>
  <c r="U194" i="26" s="1"/>
  <c r="V194" i="26"/>
  <c r="S194" i="26" s="1"/>
  <c r="AB194" i="26"/>
  <c r="AB62" i="26"/>
  <c r="AA62" i="26"/>
  <c r="Z62" i="26"/>
  <c r="T62" i="26"/>
  <c r="U62" i="26" s="1"/>
  <c r="AA30" i="26"/>
  <c r="V213" i="26"/>
  <c r="AB104" i="26"/>
  <c r="AA104" i="26"/>
  <c r="Z104" i="26"/>
  <c r="W104" i="26"/>
  <c r="V104" i="26"/>
  <c r="T198" i="26"/>
  <c r="U198" i="26" s="1"/>
  <c r="AB198" i="26"/>
  <c r="AA198" i="26"/>
  <c r="Z198" i="26"/>
  <c r="T212" i="26"/>
  <c r="U212" i="26" s="1"/>
  <c r="W212" i="26"/>
  <c r="W142" i="26"/>
  <c r="Z124" i="26"/>
  <c r="AB124" i="26"/>
  <c r="AA124" i="26"/>
  <c r="T124" i="26"/>
  <c r="U124" i="26" s="1"/>
  <c r="AB86" i="26"/>
  <c r="AA86" i="26"/>
  <c r="T86" i="26"/>
  <c r="U86" i="26" s="1"/>
  <c r="Z86" i="26"/>
  <c r="W86" i="26"/>
  <c r="V86" i="26"/>
  <c r="W52" i="26"/>
  <c r="Z219" i="26"/>
  <c r="AB219" i="26"/>
  <c r="AA219" i="26"/>
  <c r="T219" i="26"/>
  <c r="U219" i="26" s="1"/>
  <c r="V50" i="26"/>
  <c r="AB44" i="26"/>
  <c r="AA44" i="26"/>
  <c r="T44" i="26"/>
  <c r="U44" i="26" s="1"/>
  <c r="Z44" i="26"/>
  <c r="W44" i="26"/>
  <c r="AA29" i="26"/>
  <c r="Z29" i="26"/>
  <c r="AB29" i="26"/>
  <c r="W68" i="26"/>
  <c r="AB33" i="26"/>
  <c r="AA33" i="26"/>
  <c r="Z33" i="26"/>
  <c r="W33" i="26"/>
  <c r="T104" i="26"/>
  <c r="U104" i="26" s="1"/>
  <c r="V134" i="26"/>
  <c r="X134" i="26" s="1"/>
  <c r="Y134" i="26" s="1"/>
  <c r="AA75" i="26"/>
  <c r="Z75" i="26"/>
  <c r="AB75" i="26"/>
  <c r="T34" i="26"/>
  <c r="U34" i="26" s="1"/>
  <c r="V25" i="26"/>
  <c r="W212" i="7"/>
  <c r="T212" i="7"/>
  <c r="U212" i="7" s="1"/>
  <c r="V213" i="7"/>
  <c r="T213" i="7"/>
  <c r="U213" i="7" s="1"/>
  <c r="W213" i="7"/>
  <c r="W236" i="7"/>
  <c r="AE236" i="7"/>
  <c r="M236" i="7"/>
  <c r="L236" i="7"/>
  <c r="AE235" i="7"/>
  <c r="M235" i="7"/>
  <c r="L235" i="7"/>
  <c r="AE234" i="7"/>
  <c r="M234" i="7"/>
  <c r="L234" i="7"/>
  <c r="AE233" i="7"/>
  <c r="M233" i="7"/>
  <c r="L233" i="7"/>
  <c r="AE232" i="7"/>
  <c r="M232" i="7"/>
  <c r="L232" i="7"/>
  <c r="X195" i="28" l="1"/>
  <c r="Y195" i="28" s="1"/>
  <c r="X98" i="30"/>
  <c r="Y98" i="30" s="1"/>
  <c r="X58" i="30"/>
  <c r="Y58" i="30" s="1"/>
  <c r="X71" i="30"/>
  <c r="Y71" i="30" s="1"/>
  <c r="X62" i="26"/>
  <c r="Y62" i="26" s="1"/>
  <c r="X63" i="28"/>
  <c r="Y63" i="28" s="1"/>
  <c r="X53" i="30"/>
  <c r="Y53" i="30" s="1"/>
  <c r="X61" i="26"/>
  <c r="Y61" i="26" s="1"/>
  <c r="BX236" i="7"/>
  <c r="BX234" i="7"/>
  <c r="X236" i="30"/>
  <c r="Y236" i="30" s="1"/>
  <c r="Y198" i="26"/>
  <c r="BX235" i="7"/>
  <c r="BX233" i="7"/>
  <c r="BX232" i="7"/>
  <c r="X29" i="30"/>
  <c r="Y29" i="30" s="1"/>
  <c r="X71" i="26"/>
  <c r="Y71" i="26" s="1"/>
  <c r="X103" i="26"/>
  <c r="Y103" i="26" s="1"/>
  <c r="X138" i="26"/>
  <c r="Y138" i="26" s="1"/>
  <c r="X137" i="30"/>
  <c r="Y137" i="30" s="1"/>
  <c r="X128" i="26"/>
  <c r="Y128" i="26" s="1"/>
  <c r="X100" i="28"/>
  <c r="Y100" i="28" s="1"/>
  <c r="X86" i="30"/>
  <c r="X57" i="30"/>
  <c r="Y57" i="30" s="1"/>
  <c r="X99" i="26"/>
  <c r="Y99" i="26" s="1"/>
  <c r="X202" i="30"/>
  <c r="Y202" i="30" s="1"/>
  <c r="X75" i="26"/>
  <c r="Y75" i="26" s="1"/>
  <c r="X98" i="26"/>
  <c r="Y98" i="26" s="1"/>
  <c r="X62" i="30"/>
  <c r="Y62" i="30" s="1"/>
  <c r="X65" i="30"/>
  <c r="Y65" i="30" s="1"/>
  <c r="X105" i="26"/>
  <c r="Y105" i="26" s="1"/>
  <c r="X64" i="28"/>
  <c r="Y64" i="28" s="1"/>
  <c r="X84" i="26"/>
  <c r="Y84" i="26" s="1"/>
  <c r="X35" i="28"/>
  <c r="Y35" i="28" s="1"/>
  <c r="X131" i="28"/>
  <c r="Y131" i="28" s="1"/>
  <c r="X101" i="30"/>
  <c r="Y101" i="30" s="1"/>
  <c r="X35" i="30"/>
  <c r="Y35" i="30" s="1"/>
  <c r="X91" i="26"/>
  <c r="Y91" i="26" s="1"/>
  <c r="X56" i="30"/>
  <c r="Y56" i="30" s="1"/>
  <c r="X12" i="30"/>
  <c r="Y12" i="30" s="1"/>
  <c r="X51" i="28"/>
  <c r="Y51" i="28" s="1"/>
  <c r="X38" i="30"/>
  <c r="Y38" i="30" s="1"/>
  <c r="X32" i="26"/>
  <c r="Y32" i="26" s="1"/>
  <c r="X60" i="26"/>
  <c r="Y60" i="26" s="1"/>
  <c r="X150" i="30"/>
  <c r="Y150" i="30" s="1"/>
  <c r="X139" i="26"/>
  <c r="Y139" i="26" s="1"/>
  <c r="X182" i="28"/>
  <c r="Y182" i="28" s="1"/>
  <c r="X182" i="26"/>
  <c r="Y182" i="26" s="1"/>
  <c r="X67" i="26"/>
  <c r="Y67" i="26" s="1"/>
  <c r="X25" i="26"/>
  <c r="Y25" i="26" s="1"/>
  <c r="X122" i="26"/>
  <c r="Y122" i="26" s="1"/>
  <c r="X124" i="26"/>
  <c r="Y124" i="26" s="1"/>
  <c r="X69" i="26"/>
  <c r="Y69" i="26" s="1"/>
  <c r="X27" i="26"/>
  <c r="Y27" i="26" s="1"/>
  <c r="X234" i="28"/>
  <c r="Y234" i="28" s="1"/>
  <c r="X33" i="28"/>
  <c r="Y33" i="28" s="1"/>
  <c r="X25" i="28"/>
  <c r="Y25" i="28" s="1"/>
  <c r="X140" i="30"/>
  <c r="Y140" i="30" s="1"/>
  <c r="X36" i="30"/>
  <c r="Y36" i="30" s="1"/>
  <c r="X181" i="26"/>
  <c r="Y181" i="26" s="1"/>
  <c r="X36" i="26"/>
  <c r="Y36" i="26" s="1"/>
  <c r="X144" i="26"/>
  <c r="Y144" i="26" s="1"/>
  <c r="X70" i="28"/>
  <c r="Y70" i="28" s="1"/>
  <c r="X75" i="30"/>
  <c r="Y75" i="30" s="1"/>
  <c r="X123" i="26"/>
  <c r="Y123" i="26" s="1"/>
  <c r="X50" i="26"/>
  <c r="Y50" i="26" s="1"/>
  <c r="X123" i="28"/>
  <c r="Y123" i="28" s="1"/>
  <c r="X46" i="28"/>
  <c r="Y46" i="28" s="1"/>
  <c r="X74" i="30"/>
  <c r="Y74" i="30" s="1"/>
  <c r="X91" i="30"/>
  <c r="Y91" i="30" s="1"/>
  <c r="X30" i="30"/>
  <c r="Y30" i="30" s="1"/>
  <c r="X232" i="28"/>
  <c r="Y232" i="28" s="1"/>
  <c r="X12" i="26"/>
  <c r="Y12" i="26" s="1"/>
  <c r="X61" i="28"/>
  <c r="Y61" i="28" s="1"/>
  <c r="Y146" i="28"/>
  <c r="X151" i="30"/>
  <c r="Y151" i="30" s="1"/>
  <c r="X73" i="28"/>
  <c r="Y73" i="28" s="1"/>
  <c r="X140" i="28"/>
  <c r="Y140" i="28" s="1"/>
  <c r="X43" i="26"/>
  <c r="Y43" i="26" s="1"/>
  <c r="X66" i="26"/>
  <c r="Y66" i="26" s="1"/>
  <c r="X46" i="30"/>
  <c r="Y46" i="30" s="1"/>
  <c r="X59" i="28"/>
  <c r="Y59" i="28" s="1"/>
  <c r="X136" i="28"/>
  <c r="Y136" i="28" s="1"/>
  <c r="X27" i="28"/>
  <c r="Y27" i="28" s="1"/>
  <c r="X28" i="30"/>
  <c r="Y28" i="30" s="1"/>
  <c r="X151" i="28"/>
  <c r="Y151" i="28" s="1"/>
  <c r="X146" i="26"/>
  <c r="Y146" i="26" s="1"/>
  <c r="X106" i="26"/>
  <c r="Y106" i="26" s="1"/>
  <c r="X136" i="26"/>
  <c r="Y136" i="26" s="1"/>
  <c r="X149" i="26"/>
  <c r="Y149" i="26" s="1"/>
  <c r="X183" i="26"/>
  <c r="Y183" i="26" s="1"/>
  <c r="X183" i="28"/>
  <c r="Y183" i="28" s="1"/>
  <c r="X72" i="28"/>
  <c r="Y72" i="28" s="1"/>
  <c r="X124" i="28"/>
  <c r="Y124" i="28" s="1"/>
  <c r="X34" i="26"/>
  <c r="Y34" i="26" s="1"/>
  <c r="X39" i="26"/>
  <c r="Y39" i="26" s="1"/>
  <c r="X56" i="26"/>
  <c r="Y56" i="26" s="1"/>
  <c r="X85" i="26"/>
  <c r="Y85" i="26" s="1"/>
  <c r="X33" i="26"/>
  <c r="Y33" i="26" s="1"/>
  <c r="X210" i="26"/>
  <c r="Y210" i="26" s="1"/>
  <c r="X92" i="28"/>
  <c r="Y92" i="28" s="1"/>
  <c r="X133" i="28"/>
  <c r="Y133" i="28" s="1"/>
  <c r="X210" i="28"/>
  <c r="Y210" i="28" s="1"/>
  <c r="X127" i="28"/>
  <c r="Y127" i="28" s="1"/>
  <c r="X142" i="28"/>
  <c r="Y142" i="28" s="1"/>
  <c r="X70" i="30"/>
  <c r="Y70" i="30" s="1"/>
  <c r="X44" i="30"/>
  <c r="Y44" i="30" s="1"/>
  <c r="X129" i="30"/>
  <c r="Y129" i="30" s="1"/>
  <c r="X30" i="28"/>
  <c r="Y30" i="28" s="1"/>
  <c r="X132" i="26"/>
  <c r="Y132" i="26" s="1"/>
  <c r="X38" i="28"/>
  <c r="Y38" i="28" s="1"/>
  <c r="X122" i="28"/>
  <c r="Y122" i="28" s="1"/>
  <c r="X144" i="28"/>
  <c r="Y144" i="28" s="1"/>
  <c r="X198" i="28"/>
  <c r="Y198" i="28" s="1"/>
  <c r="X64" i="30"/>
  <c r="Y64" i="30" s="1"/>
  <c r="X135" i="28"/>
  <c r="Y135" i="28" s="1"/>
  <c r="X82" i="30"/>
  <c r="Y82" i="30" s="1"/>
  <c r="X26" i="28"/>
  <c r="Y26" i="28" s="1"/>
  <c r="X37" i="30"/>
  <c r="Y37" i="30" s="1"/>
  <c r="X213" i="26"/>
  <c r="Y213" i="26" s="1"/>
  <c r="X31" i="28"/>
  <c r="Y31" i="28" s="1"/>
  <c r="X68" i="26"/>
  <c r="Y68" i="26" s="1"/>
  <c r="X129" i="26"/>
  <c r="Y129" i="26" s="1"/>
  <c r="X59" i="26"/>
  <c r="Y59" i="26" s="1"/>
  <c r="X234" i="26"/>
  <c r="Y234" i="26" s="1"/>
  <c r="X42" i="26"/>
  <c r="Y42" i="26" s="1"/>
  <c r="X125" i="26"/>
  <c r="Y125" i="26" s="1"/>
  <c r="X133" i="26"/>
  <c r="Y133" i="26" s="1"/>
  <c r="X92" i="26"/>
  <c r="Y92" i="26" s="1"/>
  <c r="X121" i="28"/>
  <c r="Y121" i="28" s="1"/>
  <c r="X36" i="28"/>
  <c r="Y36" i="28" s="1"/>
  <c r="X145" i="28"/>
  <c r="Y145" i="28" s="1"/>
  <c r="X91" i="28"/>
  <c r="Y91" i="28" s="1"/>
  <c r="X57" i="28"/>
  <c r="Y57" i="28" s="1"/>
  <c r="X179" i="28"/>
  <c r="Y179" i="28" s="1"/>
  <c r="X141" i="28"/>
  <c r="Y141" i="28" s="1"/>
  <c r="X81" i="28"/>
  <c r="Y81" i="28" s="1"/>
  <c r="X134" i="30"/>
  <c r="Y134" i="30" s="1"/>
  <c r="X84" i="30"/>
  <c r="Y84" i="30" s="1"/>
  <c r="X76" i="30"/>
  <c r="Y76" i="30" s="1"/>
  <c r="X176" i="28"/>
  <c r="Y176" i="28" s="1"/>
  <c r="X99" i="28"/>
  <c r="Y99" i="28" s="1"/>
  <c r="X68" i="30"/>
  <c r="Y68" i="30" s="1"/>
  <c r="X86" i="28"/>
  <c r="Y86" i="28" s="1"/>
  <c r="X179" i="26"/>
  <c r="Y179" i="26" s="1"/>
  <c r="X51" i="26"/>
  <c r="Y51" i="26" s="1"/>
  <c r="X90" i="26"/>
  <c r="Y90" i="26" s="1"/>
  <c r="X82" i="28"/>
  <c r="Y82" i="28" s="1"/>
  <c r="X106" i="28"/>
  <c r="Y106" i="28" s="1"/>
  <c r="X234" i="30"/>
  <c r="Y234" i="30" s="1"/>
  <c r="X55" i="30"/>
  <c r="Y55" i="30" s="1"/>
  <c r="X151" i="26"/>
  <c r="Y151" i="26" s="1"/>
  <c r="X53" i="26"/>
  <c r="Y53" i="26" s="1"/>
  <c r="X130" i="26"/>
  <c r="Y130" i="26" s="1"/>
  <c r="X104" i="26"/>
  <c r="Y104" i="26" s="1"/>
  <c r="X143" i="26"/>
  <c r="Y143" i="26" s="1"/>
  <c r="X40" i="26"/>
  <c r="Y40" i="26" s="1"/>
  <c r="X104" i="30"/>
  <c r="Y104" i="30" s="1"/>
  <c r="X52" i="30"/>
  <c r="Y52" i="30" s="1"/>
  <c r="X65" i="26"/>
  <c r="Y65" i="26" s="1"/>
  <c r="X75" i="28"/>
  <c r="Y75" i="28" s="1"/>
  <c r="X41" i="26"/>
  <c r="Y41" i="26" s="1"/>
  <c r="X143" i="30"/>
  <c r="Y143" i="30" s="1"/>
  <c r="X70" i="26"/>
  <c r="Y70" i="26" s="1"/>
  <c r="X48" i="26"/>
  <c r="Y48" i="26" s="1"/>
  <c r="X54" i="26"/>
  <c r="Y54" i="26" s="1"/>
  <c r="X29" i="28"/>
  <c r="Y29" i="28" s="1"/>
  <c r="X37" i="28"/>
  <c r="Y37" i="28" s="1"/>
  <c r="X53" i="28"/>
  <c r="Y53" i="28" s="1"/>
  <c r="X40" i="30"/>
  <c r="Y40" i="30" s="1"/>
  <c r="X90" i="30"/>
  <c r="Y90" i="30" s="1"/>
  <c r="X100" i="30"/>
  <c r="Y100" i="30" s="1"/>
  <c r="X148" i="28"/>
  <c r="Y148" i="28" s="1"/>
  <c r="X180" i="30"/>
  <c r="Y180" i="30" s="1"/>
  <c r="X37" i="26"/>
  <c r="Y37" i="26" s="1"/>
  <c r="X11" i="28"/>
  <c r="Y11" i="28" s="1"/>
  <c r="X11" i="30"/>
  <c r="Y11" i="30" s="1"/>
  <c r="X195" i="26"/>
  <c r="Y195" i="26" s="1"/>
  <c r="S14" i="28"/>
  <c r="AC14" i="28" s="1"/>
  <c r="X93" i="28"/>
  <c r="Y93" i="28" s="1"/>
  <c r="S15" i="30"/>
  <c r="AC15" i="30" s="1"/>
  <c r="S14" i="26"/>
  <c r="AC14" i="26" s="1"/>
  <c r="S15" i="28"/>
  <c r="AC15" i="28" s="1"/>
  <c r="X219" i="26"/>
  <c r="Y219" i="26" s="1"/>
  <c r="S14" i="30"/>
  <c r="AC14" i="30" s="1"/>
  <c r="S15" i="26"/>
  <c r="AC15" i="26" s="1"/>
  <c r="X194" i="30"/>
  <c r="Y194" i="30" s="1"/>
  <c r="X197" i="28"/>
  <c r="Y197" i="28" s="1"/>
  <c r="X207" i="30"/>
  <c r="Y207" i="30" s="1"/>
  <c r="X194" i="28"/>
  <c r="Y194" i="28" s="1"/>
  <c r="X20" i="30"/>
  <c r="Y20" i="30" s="1"/>
  <c r="X219" i="30"/>
  <c r="Y219" i="30" s="1"/>
  <c r="X15" i="30"/>
  <c r="X15" i="28"/>
  <c r="X195" i="30"/>
  <c r="Y195" i="30" s="1"/>
  <c r="X214" i="26"/>
  <c r="Y214" i="26" s="1"/>
  <c r="X20" i="26"/>
  <c r="Y20" i="26" s="1"/>
  <c r="X14" i="26"/>
  <c r="X14" i="30"/>
  <c r="X20" i="28"/>
  <c r="Y20" i="28" s="1"/>
  <c r="X207" i="28"/>
  <c r="Y207" i="28" s="1"/>
  <c r="X200" i="26"/>
  <c r="Y200" i="26" s="1"/>
  <c r="X202" i="26"/>
  <c r="Y202" i="26" s="1"/>
  <c r="X207" i="26"/>
  <c r="Y207" i="26" s="1"/>
  <c r="X205" i="26"/>
  <c r="Y205" i="26" s="1"/>
  <c r="X201" i="26"/>
  <c r="Y201" i="26" s="1"/>
  <c r="X204" i="28"/>
  <c r="Y204" i="28" s="1"/>
  <c r="X202" i="28"/>
  <c r="Y202" i="28" s="1"/>
  <c r="X197" i="30"/>
  <c r="Y197" i="30" s="1"/>
  <c r="X206" i="26"/>
  <c r="Y206" i="26" s="1"/>
  <c r="X198" i="30"/>
  <c r="Y198" i="30" s="1"/>
  <c r="X196" i="28"/>
  <c r="Y196" i="28" s="1"/>
  <c r="X236" i="26"/>
  <c r="Y236" i="26" s="1"/>
  <c r="X235" i="28"/>
  <c r="Y235" i="28" s="1"/>
  <c r="X206" i="28"/>
  <c r="Y206" i="28" s="1"/>
  <c r="X214" i="30"/>
  <c r="Y214" i="30" s="1"/>
  <c r="X194" i="26"/>
  <c r="Y194" i="26" s="1"/>
  <c r="X201" i="30"/>
  <c r="Y201" i="30" s="1"/>
  <c r="X200" i="28"/>
  <c r="Y200" i="28" s="1"/>
  <c r="X204" i="26"/>
  <c r="Y204" i="26" s="1"/>
  <c r="X203" i="26"/>
  <c r="Y203" i="26" s="1"/>
  <c r="X205" i="30"/>
  <c r="Y205" i="30" s="1"/>
  <c r="X15" i="26"/>
  <c r="X196" i="26"/>
  <c r="Y196" i="26" s="1"/>
  <c r="X203" i="30"/>
  <c r="Y203" i="30" s="1"/>
  <c r="X201" i="28"/>
  <c r="Y201" i="28" s="1"/>
  <c r="X205" i="28"/>
  <c r="Y205" i="28" s="1"/>
  <c r="X199" i="28"/>
  <c r="Y199" i="28" s="1"/>
  <c r="X236" i="28"/>
  <c r="Y236" i="28" s="1"/>
  <c r="X199" i="30"/>
  <c r="Y199" i="30" s="1"/>
  <c r="X196" i="30"/>
  <c r="Y196" i="30" s="1"/>
  <c r="X93" i="30"/>
  <c r="Y93" i="30" s="1"/>
  <c r="X235" i="26"/>
  <c r="Y235" i="26" s="1"/>
  <c r="X93" i="26"/>
  <c r="Y93" i="26" s="1"/>
  <c r="X219" i="28"/>
  <c r="Y219" i="28" s="1"/>
  <c r="X214" i="28"/>
  <c r="Y214" i="28" s="1"/>
  <c r="X14" i="28"/>
  <c r="X235" i="30"/>
  <c r="Y235" i="30" s="1"/>
  <c r="X199" i="26"/>
  <c r="Y199" i="26" s="1"/>
  <c r="X200" i="30"/>
  <c r="Y200" i="30" s="1"/>
  <c r="X203" i="28"/>
  <c r="Y203" i="28" s="1"/>
  <c r="X197" i="26"/>
  <c r="Y197" i="26" s="1"/>
  <c r="X204" i="30"/>
  <c r="Y204" i="30" s="1"/>
  <c r="X206" i="30"/>
  <c r="Y206" i="30" s="1"/>
  <c r="AC93" i="26"/>
  <c r="AC197" i="26"/>
  <c r="AC205" i="30"/>
  <c r="AC214" i="30"/>
  <c r="AC206" i="30"/>
  <c r="AC236" i="26"/>
  <c r="AC200" i="30"/>
  <c r="AC202" i="28"/>
  <c r="AC205" i="26"/>
  <c r="AC236" i="28"/>
  <c r="AC201" i="26"/>
  <c r="AC93" i="30"/>
  <c r="AC236" i="30"/>
  <c r="AC199" i="28"/>
  <c r="AC235" i="30"/>
  <c r="AC194" i="30"/>
  <c r="AC20" i="26"/>
  <c r="AC199" i="26"/>
  <c r="AC201" i="28"/>
  <c r="AC219" i="26"/>
  <c r="AC219" i="28"/>
  <c r="AC204" i="28"/>
  <c r="AC203" i="28"/>
  <c r="AC235" i="28"/>
  <c r="AC196" i="30"/>
  <c r="AC206" i="26"/>
  <c r="AC200" i="26"/>
  <c r="AC207" i="26"/>
  <c r="AC93" i="28"/>
  <c r="AC200" i="28"/>
  <c r="AC207" i="28"/>
  <c r="AC194" i="28"/>
  <c r="AC20" i="30"/>
  <c r="AC197" i="30"/>
  <c r="AC198" i="26"/>
  <c r="AC235" i="26"/>
  <c r="AC195" i="26"/>
  <c r="AC195" i="28"/>
  <c r="AC196" i="26"/>
  <c r="AC214" i="26"/>
  <c r="AC204" i="26"/>
  <c r="AC197" i="28"/>
  <c r="AC198" i="30"/>
  <c r="AC203" i="30"/>
  <c r="AC204" i="30"/>
  <c r="AC203" i="26"/>
  <c r="AC214" i="28"/>
  <c r="AC201" i="30"/>
  <c r="AC199" i="30"/>
  <c r="AC202" i="30"/>
  <c r="AC194" i="26"/>
  <c r="AC195" i="30"/>
  <c r="AC196" i="28"/>
  <c r="AC202" i="26"/>
  <c r="AC205" i="28"/>
  <c r="AC206" i="28"/>
  <c r="AC198" i="28"/>
  <c r="AC20" i="28"/>
  <c r="AC219" i="30"/>
  <c r="AC207" i="30"/>
  <c r="X212" i="28"/>
  <c r="Y212" i="28" s="1"/>
  <c r="X193" i="26"/>
  <c r="Y193" i="26" s="1"/>
  <c r="X191" i="30"/>
  <c r="Y191" i="30" s="1"/>
  <c r="X192" i="30"/>
  <c r="Y192" i="30" s="1"/>
  <c r="X193" i="28"/>
  <c r="Y193" i="28" s="1"/>
  <c r="X191" i="28"/>
  <c r="Y191" i="28" s="1"/>
  <c r="X212" i="7"/>
  <c r="Y212" i="7" s="1"/>
  <c r="X132" i="28"/>
  <c r="Y132" i="28" s="1"/>
  <c r="X99" i="30"/>
  <c r="Y99" i="30" s="1"/>
  <c r="X106" i="30"/>
  <c r="Y106" i="30" s="1"/>
  <c r="X27" i="30"/>
  <c r="Y27" i="30" s="1"/>
  <c r="X213" i="30"/>
  <c r="Y213" i="30" s="1"/>
  <c r="X105" i="28"/>
  <c r="Y105" i="28" s="1"/>
  <c r="X108" i="30"/>
  <c r="Y108" i="30" s="1"/>
  <c r="X105" i="30"/>
  <c r="Y105" i="30" s="1"/>
  <c r="X102" i="30"/>
  <c r="Y102" i="30" s="1"/>
  <c r="X107" i="26"/>
  <c r="Y107" i="26" s="1"/>
  <c r="X107" i="28"/>
  <c r="Y107" i="28" s="1"/>
  <c r="X104" i="28"/>
  <c r="Y104" i="28" s="1"/>
  <c r="X108" i="26"/>
  <c r="Y108" i="26" s="1"/>
  <c r="X101" i="28"/>
  <c r="Y101" i="28" s="1"/>
  <c r="X101" i="26"/>
  <c r="Y101" i="26" s="1"/>
  <c r="X102" i="26"/>
  <c r="Y102" i="26" s="1"/>
  <c r="X233" i="30"/>
  <c r="Y233" i="30" s="1"/>
  <c r="X103" i="28"/>
  <c r="Y103" i="28" s="1"/>
  <c r="X12" i="28"/>
  <c r="Y12" i="28" s="1"/>
  <c r="X58" i="26"/>
  <c r="Y58" i="26" s="1"/>
  <c r="X61" i="30"/>
  <c r="Y61" i="30" s="1"/>
  <c r="X55" i="26"/>
  <c r="Y55" i="26" s="1"/>
  <c r="X126" i="30"/>
  <c r="Y126" i="30" s="1"/>
  <c r="X56" i="28"/>
  <c r="Y56" i="28" s="1"/>
  <c r="X63" i="30"/>
  <c r="Y63" i="30" s="1"/>
  <c r="X232" i="26"/>
  <c r="Y232" i="26" s="1"/>
  <c r="X11" i="26"/>
  <c r="Y11" i="26" s="1"/>
  <c r="X55" i="28"/>
  <c r="Y55" i="28" s="1"/>
  <c r="X232" i="30"/>
  <c r="Y232" i="30" s="1"/>
  <c r="X60" i="30"/>
  <c r="Y60" i="30" s="1"/>
  <c r="X233" i="28"/>
  <c r="Y233" i="28" s="1"/>
  <c r="X103" i="30"/>
  <c r="Y103" i="30" s="1"/>
  <c r="X125" i="28"/>
  <c r="Y125" i="28" s="1"/>
  <c r="X39" i="28"/>
  <c r="Y39" i="28" s="1"/>
  <c r="X43" i="28"/>
  <c r="Y43" i="28" s="1"/>
  <c r="X13" i="30"/>
  <c r="Y13" i="30" s="1"/>
  <c r="X41" i="30"/>
  <c r="Y41" i="30" s="1"/>
  <c r="X13" i="26"/>
  <c r="Y13" i="26" s="1"/>
  <c r="X40" i="28"/>
  <c r="Y40" i="28" s="1"/>
  <c r="X62" i="28"/>
  <c r="Y62" i="28" s="1"/>
  <c r="X13" i="28"/>
  <c r="Y13" i="28" s="1"/>
  <c r="X125" i="30"/>
  <c r="Y125" i="30" s="1"/>
  <c r="X64" i="26"/>
  <c r="Y64" i="26" s="1"/>
  <c r="X126" i="28"/>
  <c r="Y126" i="28" s="1"/>
  <c r="X42" i="28"/>
  <c r="Y42" i="28" s="1"/>
  <c r="X42" i="30"/>
  <c r="Y42" i="30" s="1"/>
  <c r="X39" i="30"/>
  <c r="Y39" i="30" s="1"/>
  <c r="X43" i="30"/>
  <c r="Y43" i="30" s="1"/>
  <c r="X60" i="28"/>
  <c r="Y60" i="28" s="1"/>
  <c r="X126" i="26"/>
  <c r="Y126" i="26" s="1"/>
  <c r="X233" i="26"/>
  <c r="Y233" i="26" s="1"/>
  <c r="X59" i="30"/>
  <c r="Y59" i="30" s="1"/>
  <c r="X57" i="26"/>
  <c r="Y57" i="26" s="1"/>
  <c r="X41" i="28"/>
  <c r="Y41" i="28" s="1"/>
  <c r="X213" i="7"/>
  <c r="Y213" i="7" s="1"/>
  <c r="X213" i="28"/>
  <c r="Y213" i="28" s="1"/>
  <c r="X212" i="30"/>
  <c r="Y212" i="30" s="1"/>
  <c r="X212" i="26"/>
  <c r="Y212" i="26" s="1"/>
  <c r="X191" i="26"/>
  <c r="Y191" i="26" s="1"/>
  <c r="X183" i="30"/>
  <c r="Y183" i="30" s="1"/>
  <c r="X211" i="26"/>
  <c r="Y211" i="26" s="1"/>
  <c r="X210" i="30"/>
  <c r="Y210" i="30" s="1"/>
  <c r="X192" i="28"/>
  <c r="Y192" i="28" s="1"/>
  <c r="X193" i="30"/>
  <c r="Y193" i="30" s="1"/>
  <c r="X182" i="30"/>
  <c r="Y182" i="30" s="1"/>
  <c r="X211" i="30"/>
  <c r="Y211" i="30" s="1"/>
  <c r="X192" i="26"/>
  <c r="Y192" i="26" s="1"/>
  <c r="X211" i="28"/>
  <c r="Y211" i="28" s="1"/>
  <c r="X181" i="28"/>
  <c r="Y181" i="28" s="1"/>
  <c r="X180" i="28"/>
  <c r="Y180" i="28" s="1"/>
  <c r="X178" i="30"/>
  <c r="Y178" i="30" s="1"/>
  <c r="X179" i="30"/>
  <c r="Y179" i="30" s="1"/>
  <c r="X180" i="26"/>
  <c r="Y180" i="26" s="1"/>
  <c r="X178" i="28"/>
  <c r="Y178" i="28" s="1"/>
  <c r="X181" i="30"/>
  <c r="Y181" i="30" s="1"/>
  <c r="X178" i="26"/>
  <c r="Y178" i="26" s="1"/>
  <c r="X150" i="26"/>
  <c r="Y150" i="26" s="1"/>
  <c r="X149" i="28"/>
  <c r="Y149" i="28" s="1"/>
  <c r="X149" i="30"/>
  <c r="Y149" i="30" s="1"/>
  <c r="X147" i="28"/>
  <c r="Y147" i="28" s="1"/>
  <c r="X139" i="28"/>
  <c r="Y139" i="28" s="1"/>
  <c r="X146" i="30"/>
  <c r="Y146" i="30" s="1"/>
  <c r="X145" i="30"/>
  <c r="Y145" i="30" s="1"/>
  <c r="X147" i="30"/>
  <c r="Y147" i="30" s="1"/>
  <c r="X139" i="30"/>
  <c r="Y139" i="30" s="1"/>
  <c r="X143" i="28"/>
  <c r="Y143" i="28" s="1"/>
  <c r="X141" i="26"/>
  <c r="Y141" i="26" s="1"/>
  <c r="X141" i="30"/>
  <c r="Y141" i="30" s="1"/>
  <c r="X142" i="26"/>
  <c r="Y142" i="26" s="1"/>
  <c r="X148" i="30"/>
  <c r="Y148" i="30" s="1"/>
  <c r="X140" i="26"/>
  <c r="Y140" i="26" s="1"/>
  <c r="X148" i="26"/>
  <c r="Y148" i="26" s="1"/>
  <c r="X147" i="26"/>
  <c r="Y147" i="26" s="1"/>
  <c r="X150" i="28"/>
  <c r="Y150" i="28" s="1"/>
  <c r="X142" i="30"/>
  <c r="Y142" i="30" s="1"/>
  <c r="X144" i="30"/>
  <c r="Y144" i="30" s="1"/>
  <c r="X145" i="26"/>
  <c r="Y145" i="26" s="1"/>
  <c r="X130" i="28"/>
  <c r="Y130" i="28" s="1"/>
  <c r="X45" i="28"/>
  <c r="Y45" i="28" s="1"/>
  <c r="X129" i="28"/>
  <c r="Y129" i="28" s="1"/>
  <c r="X48" i="30"/>
  <c r="Y48" i="30" s="1"/>
  <c r="X138" i="30"/>
  <c r="Y138" i="30" s="1"/>
  <c r="X131" i="26"/>
  <c r="Y131" i="26" s="1"/>
  <c r="X130" i="30"/>
  <c r="Y130" i="30" s="1"/>
  <c r="X44" i="28"/>
  <c r="Y44" i="28" s="1"/>
  <c r="X132" i="30"/>
  <c r="Y132" i="30" s="1"/>
  <c r="X48" i="28"/>
  <c r="Y48" i="28" s="1"/>
  <c r="X47" i="26"/>
  <c r="Y47" i="26" s="1"/>
  <c r="X47" i="28"/>
  <c r="Y47" i="28" s="1"/>
  <c r="X44" i="26"/>
  <c r="Y44" i="26" s="1"/>
  <c r="X46" i="26"/>
  <c r="Y46" i="26" s="1"/>
  <c r="X47" i="30"/>
  <c r="Y47" i="30" s="1"/>
  <c r="X137" i="28"/>
  <c r="Y137" i="28" s="1"/>
  <c r="X137" i="26"/>
  <c r="Y137" i="26" s="1"/>
  <c r="X133" i="30"/>
  <c r="Y133" i="30" s="1"/>
  <c r="X45" i="30"/>
  <c r="Y45" i="30" s="1"/>
  <c r="X131" i="30"/>
  <c r="Y131" i="30" s="1"/>
  <c r="X45" i="26"/>
  <c r="Y45" i="26" s="1"/>
  <c r="X30" i="26"/>
  <c r="Y30" i="26" s="1"/>
  <c r="X28" i="26"/>
  <c r="Y28" i="26" s="1"/>
  <c r="X54" i="30"/>
  <c r="Y54" i="30" s="1"/>
  <c r="X76" i="26"/>
  <c r="Y76" i="26" s="1"/>
  <c r="X28" i="28"/>
  <c r="Y28" i="28" s="1"/>
  <c r="X69" i="30"/>
  <c r="Y69" i="30" s="1"/>
  <c r="X177" i="26"/>
  <c r="Y177" i="26" s="1"/>
  <c r="X83" i="28"/>
  <c r="Y83" i="28" s="1"/>
  <c r="X51" i="30"/>
  <c r="Y51" i="30" s="1"/>
  <c r="X74" i="28"/>
  <c r="Y74" i="28" s="1"/>
  <c r="X81" i="30"/>
  <c r="Y81" i="30" s="1"/>
  <c r="X50" i="30"/>
  <c r="Y50" i="30" s="1"/>
  <c r="X121" i="30"/>
  <c r="Y121" i="30" s="1"/>
  <c r="X128" i="28"/>
  <c r="Y128" i="28" s="1"/>
  <c r="X68" i="28"/>
  <c r="Y68" i="28" s="1"/>
  <c r="X122" i="30"/>
  <c r="Y122" i="30" s="1"/>
  <c r="X67" i="30"/>
  <c r="Y67" i="30" s="1"/>
  <c r="X81" i="26"/>
  <c r="Y81" i="26" s="1"/>
  <c r="X85" i="28"/>
  <c r="Y85" i="28" s="1"/>
  <c r="X49" i="30"/>
  <c r="Y49" i="30" s="1"/>
  <c r="X25" i="30"/>
  <c r="Y25" i="30" s="1"/>
  <c r="X71" i="28"/>
  <c r="Y71" i="28" s="1"/>
  <c r="X50" i="28"/>
  <c r="Y50" i="28" s="1"/>
  <c r="X135" i="30"/>
  <c r="Y135" i="30" s="1"/>
  <c r="X128" i="30"/>
  <c r="Y128" i="30" s="1"/>
  <c r="X136" i="30"/>
  <c r="Y136" i="30" s="1"/>
  <c r="X184" i="26"/>
  <c r="Y184" i="26" s="1"/>
  <c r="X52" i="26"/>
  <c r="Y52" i="26" s="1"/>
  <c r="X73" i="26"/>
  <c r="Y73" i="26" s="1"/>
  <c r="X54" i="28"/>
  <c r="Y54" i="28" s="1"/>
  <c r="X69" i="28"/>
  <c r="Y69" i="28" s="1"/>
  <c r="X123" i="30"/>
  <c r="Y123" i="30" s="1"/>
  <c r="X34" i="30"/>
  <c r="Y34" i="30" s="1"/>
  <c r="X29" i="26"/>
  <c r="Y29" i="26" s="1"/>
  <c r="X66" i="28"/>
  <c r="Y66" i="28" s="1"/>
  <c r="X92" i="30"/>
  <c r="Y92" i="30" s="1"/>
  <c r="X84" i="28"/>
  <c r="Y84" i="28" s="1"/>
  <c r="X31" i="26"/>
  <c r="Y31" i="26" s="1"/>
  <c r="X127" i="30"/>
  <c r="Y127" i="30" s="1"/>
  <c r="X31" i="30"/>
  <c r="Y31" i="30" s="1"/>
  <c r="X72" i="30"/>
  <c r="Y72" i="30" s="1"/>
  <c r="X86" i="26"/>
  <c r="Y86" i="26" s="1"/>
  <c r="X26" i="26"/>
  <c r="Y26" i="26" s="1"/>
  <c r="X72" i="26"/>
  <c r="Y72" i="26" s="1"/>
  <c r="X176" i="26"/>
  <c r="Y176" i="26" s="1"/>
  <c r="X184" i="30"/>
  <c r="Y184" i="30" s="1"/>
  <c r="X127" i="26"/>
  <c r="Y127" i="26" s="1"/>
  <c r="X121" i="26"/>
  <c r="Y121" i="26" s="1"/>
  <c r="X38" i="26"/>
  <c r="Y38" i="26" s="1"/>
  <c r="X74" i="26"/>
  <c r="Y74" i="26" s="1"/>
  <c r="X83" i="26"/>
  <c r="Y83" i="26" s="1"/>
  <c r="X26" i="30"/>
  <c r="Y26" i="30" s="1"/>
  <c r="X32" i="28"/>
  <c r="Y32" i="28" s="1"/>
  <c r="X90" i="28"/>
  <c r="Y90" i="28" s="1"/>
  <c r="X66" i="30"/>
  <c r="Y66" i="30" s="1"/>
  <c r="X35" i="26"/>
  <c r="Y35" i="26" s="1"/>
  <c r="X135" i="26"/>
  <c r="Y135" i="26" s="1"/>
  <c r="X184" i="28"/>
  <c r="Y184" i="28" s="1"/>
  <c r="X176" i="30"/>
  <c r="Y176" i="30" s="1"/>
  <c r="X83" i="30"/>
  <c r="Y83" i="30" s="1"/>
  <c r="X33" i="30"/>
  <c r="Y33" i="30" s="1"/>
  <c r="X124" i="30"/>
  <c r="Y124" i="30" s="1"/>
  <c r="X49" i="26"/>
  <c r="Y49" i="26" s="1"/>
  <c r="X82" i="26"/>
  <c r="Y82" i="26" s="1"/>
  <c r="X67" i="28"/>
  <c r="Y67" i="28" s="1"/>
  <c r="X76" i="28"/>
  <c r="Y76" i="28" s="1"/>
  <c r="Y65" i="28"/>
  <c r="Y73" i="30"/>
  <c r="Y86" i="30"/>
  <c r="AC72" i="30"/>
  <c r="Y107" i="30"/>
  <c r="Y134" i="28"/>
  <c r="AB236" i="7"/>
  <c r="T234" i="7"/>
  <c r="U234" i="7" s="1"/>
  <c r="AB232" i="7"/>
  <c r="W235" i="7"/>
  <c r="T232" i="7"/>
  <c r="U232" i="7" s="1"/>
  <c r="Z232" i="7"/>
  <c r="Y14" i="28" l="1"/>
  <c r="Y15" i="26"/>
  <c r="Y14" i="30"/>
  <c r="Y14" i="26"/>
  <c r="Y15" i="30"/>
  <c r="Y15" i="28"/>
  <c r="W233" i="7"/>
  <c r="W234" i="7"/>
  <c r="V232" i="7"/>
  <c r="W232" i="7"/>
  <c r="AA232" i="7"/>
  <c r="Z236" i="7"/>
  <c r="V236" i="7"/>
  <c r="S236" i="7" s="1"/>
  <c r="T236" i="7"/>
  <c r="U236" i="7" s="1"/>
  <c r="AA236" i="7"/>
  <c r="AB235" i="7"/>
  <c r="AA235" i="7"/>
  <c r="Z235" i="7"/>
  <c r="T235" i="7"/>
  <c r="U235" i="7" s="1"/>
  <c r="V234" i="7"/>
  <c r="AC234" i="7" s="1"/>
  <c r="V235" i="7"/>
  <c r="S235" i="7" s="1"/>
  <c r="AA233" i="7"/>
  <c r="AB233" i="7"/>
  <c r="Z233" i="7"/>
  <c r="V233" i="7"/>
  <c r="AC233" i="7" s="1"/>
  <c r="T233" i="7"/>
  <c r="U233" i="7" s="1"/>
  <c r="AB234" i="7"/>
  <c r="AA234" i="7"/>
  <c r="Z234" i="7"/>
  <c r="X236" i="7" l="1"/>
  <c r="Y236" i="7" s="1"/>
  <c r="X235" i="7"/>
  <c r="Y235" i="7" s="1"/>
  <c r="AC236" i="7"/>
  <c r="AC235" i="7"/>
  <c r="X233" i="7"/>
  <c r="Y233" i="7" s="1"/>
  <c r="X234" i="7"/>
  <c r="Y234" i="7" s="1"/>
  <c r="AC232" i="7"/>
  <c r="X232" i="7"/>
  <c r="AE219" i="7"/>
  <c r="M219" i="7"/>
  <c r="L219" i="7"/>
  <c r="AE214" i="7"/>
  <c r="M214" i="7"/>
  <c r="L214" i="7"/>
  <c r="AE211" i="7"/>
  <c r="M211" i="7"/>
  <c r="L211" i="7"/>
  <c r="AE210" i="7"/>
  <c r="M210" i="7"/>
  <c r="L210" i="7"/>
  <c r="AK103" i="7"/>
  <c r="AE103" i="7"/>
  <c r="M103" i="7"/>
  <c r="L103" i="7"/>
  <c r="L176" i="7"/>
  <c r="M176" i="7"/>
  <c r="L177" i="7"/>
  <c r="M177" i="7"/>
  <c r="L184" i="7"/>
  <c r="M184" i="7"/>
  <c r="BX219" i="7" l="1"/>
  <c r="BX211" i="7"/>
  <c r="BX214" i="7"/>
  <c r="BX177" i="7"/>
  <c r="BX184" i="7"/>
  <c r="BX176" i="7"/>
  <c r="BX210" i="7"/>
  <c r="BV103" i="7"/>
  <c r="BW103" i="7"/>
  <c r="BU103" i="7"/>
  <c r="Q103" i="7"/>
  <c r="AB103" i="7" s="1"/>
  <c r="O103" i="7"/>
  <c r="P103" i="7"/>
  <c r="R103" i="7"/>
  <c r="Y232" i="7"/>
  <c r="AB214" i="7"/>
  <c r="W219" i="7"/>
  <c r="W214" i="7"/>
  <c r="T177" i="7"/>
  <c r="U177" i="7" s="1"/>
  <c r="T176" i="7"/>
  <c r="U176" i="7" s="1"/>
  <c r="BX103" i="7" l="1"/>
  <c r="S103" i="7"/>
  <c r="AC103" i="7" s="1"/>
  <c r="Z219" i="7"/>
  <c r="V214" i="7"/>
  <c r="S214" i="7" s="1"/>
  <c r="AA214" i="7"/>
  <c r="T214" i="7"/>
  <c r="U214" i="7" s="1"/>
  <c r="W211" i="7"/>
  <c r="V210" i="7"/>
  <c r="AC210" i="7" s="1"/>
  <c r="Z214" i="7"/>
  <c r="T219" i="7"/>
  <c r="U219" i="7" s="1"/>
  <c r="AB219" i="7"/>
  <c r="V219" i="7"/>
  <c r="S219" i="7" s="1"/>
  <c r="AA219" i="7"/>
  <c r="W210" i="7"/>
  <c r="T103" i="7"/>
  <c r="U103" i="7" s="1"/>
  <c r="AA103" i="7"/>
  <c r="Z211" i="7"/>
  <c r="AB211" i="7"/>
  <c r="T211" i="7"/>
  <c r="U211" i="7" s="1"/>
  <c r="V211" i="7"/>
  <c r="AC211" i="7" s="1"/>
  <c r="AA211" i="7"/>
  <c r="AB210" i="7"/>
  <c r="T210" i="7"/>
  <c r="U210" i="7" s="1"/>
  <c r="AA210" i="7"/>
  <c r="Z210" i="7"/>
  <c r="W103" i="7"/>
  <c r="Z103" i="7"/>
  <c r="V103" i="7"/>
  <c r="X103" i="7" s="1"/>
  <c r="V177" i="7"/>
  <c r="W177" i="7"/>
  <c r="V176" i="7"/>
  <c r="W176" i="7"/>
  <c r="V184" i="7"/>
  <c r="W184" i="7"/>
  <c r="T184" i="7"/>
  <c r="U184" i="7" s="1"/>
  <c r="X214" i="7" l="1"/>
  <c r="Y214" i="7" s="1"/>
  <c r="Y103" i="7"/>
  <c r="X219" i="7"/>
  <c r="Y219" i="7" s="1"/>
  <c r="AC219" i="7"/>
  <c r="AC214" i="7"/>
  <c r="X177" i="7"/>
  <c r="Y177" i="7" s="1"/>
  <c r="X210" i="7"/>
  <c r="Y210" i="7" s="1"/>
  <c r="X211" i="7"/>
  <c r="Y211" i="7" s="1"/>
  <c r="X184" i="7"/>
  <c r="Y184" i="7" s="1"/>
  <c r="X176" i="7"/>
  <c r="Y176" i="7" s="1"/>
  <c r="AK59" i="7" l="1"/>
  <c r="AK60" i="7"/>
  <c r="AK106" i="7" l="1"/>
  <c r="AN106" i="7"/>
  <c r="AN105" i="7"/>
  <c r="AN104" i="7"/>
  <c r="AN14" i="7"/>
  <c r="AN39" i="7"/>
  <c r="AN40" i="7"/>
  <c r="AN41" i="7"/>
  <c r="AN42" i="7"/>
  <c r="AN43" i="7"/>
  <c r="AN44" i="7"/>
  <c r="AN45" i="7"/>
  <c r="AN46" i="7"/>
  <c r="AN47" i="7"/>
  <c r="AN48" i="7"/>
  <c r="AN55" i="7"/>
  <c r="AN56" i="7"/>
  <c r="AN59" i="7"/>
  <c r="AN60" i="7"/>
  <c r="AN61" i="7"/>
  <c r="AN125" i="7"/>
  <c r="AN126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K207" i="7"/>
  <c r="AK206" i="7"/>
  <c r="AK205" i="7"/>
  <c r="AK204" i="7"/>
  <c r="AK203" i="7"/>
  <c r="AK202" i="7"/>
  <c r="AK201" i="7"/>
  <c r="AK200" i="7"/>
  <c r="AK199" i="7"/>
  <c r="AK198" i="7"/>
  <c r="AK197" i="7"/>
  <c r="AK196" i="7"/>
  <c r="AK195" i="7"/>
  <c r="AK194" i="7"/>
  <c r="AK151" i="7"/>
  <c r="AK150" i="7"/>
  <c r="AK149" i="7"/>
  <c r="AK148" i="7"/>
  <c r="AK147" i="7"/>
  <c r="AK146" i="7"/>
  <c r="AK145" i="7"/>
  <c r="AK144" i="7"/>
  <c r="AK143" i="7"/>
  <c r="AK142" i="7"/>
  <c r="AK141" i="7"/>
  <c r="AK140" i="7"/>
  <c r="AK139" i="7"/>
  <c r="AK138" i="7"/>
  <c r="AK137" i="7"/>
  <c r="AK134" i="7"/>
  <c r="AK133" i="7"/>
  <c r="AK132" i="7"/>
  <c r="AK131" i="7"/>
  <c r="AK130" i="7"/>
  <c r="AK129" i="7"/>
  <c r="AK126" i="7"/>
  <c r="AK125" i="7"/>
  <c r="AK108" i="7"/>
  <c r="AK107" i="7"/>
  <c r="AK105" i="7"/>
  <c r="AK104" i="7"/>
  <c r="AK102" i="7"/>
  <c r="AK101" i="7"/>
  <c r="AK100" i="7"/>
  <c r="AK99" i="7"/>
  <c r="AK98" i="7"/>
  <c r="AK64" i="7"/>
  <c r="AK63" i="7"/>
  <c r="AK62" i="7"/>
  <c r="AK61" i="7"/>
  <c r="AK58" i="7"/>
  <c r="AK57" i="7"/>
  <c r="AK56" i="7"/>
  <c r="AK55" i="7"/>
  <c r="AK48" i="7"/>
  <c r="AK47" i="7"/>
  <c r="AK46" i="7"/>
  <c r="AK45" i="7"/>
  <c r="AK44" i="7"/>
  <c r="AK43" i="7"/>
  <c r="AK42" i="7"/>
  <c r="AK41" i="7"/>
  <c r="AK40" i="7"/>
  <c r="AK39" i="7"/>
  <c r="AK14" i="7"/>
  <c r="AK12" i="7"/>
  <c r="AE102" i="7"/>
  <c r="M102" i="7"/>
  <c r="L102" i="7"/>
  <c r="AE100" i="7"/>
  <c r="M100" i="7"/>
  <c r="L100" i="7"/>
  <c r="AE106" i="7"/>
  <c r="M106" i="7"/>
  <c r="L106" i="7"/>
  <c r="BU60" i="7" l="1"/>
  <c r="BV60" i="7"/>
  <c r="BW60" i="7"/>
  <c r="BV59" i="7"/>
  <c r="BU59" i="7"/>
  <c r="BW59" i="7"/>
  <c r="BW125" i="7"/>
  <c r="BV125" i="7"/>
  <c r="BU125" i="7"/>
  <c r="BW207" i="7"/>
  <c r="BV207" i="7"/>
  <c r="BU207" i="7"/>
  <c r="BW63" i="7"/>
  <c r="BV63" i="7"/>
  <c r="BU63" i="7"/>
  <c r="BW196" i="7"/>
  <c r="BU196" i="7"/>
  <c r="BV196" i="7"/>
  <c r="BW143" i="7"/>
  <c r="BV143" i="7"/>
  <c r="BU143" i="7"/>
  <c r="BU45" i="7"/>
  <c r="BW45" i="7"/>
  <c r="BV45" i="7"/>
  <c r="BW144" i="7"/>
  <c r="BU144" i="7"/>
  <c r="BV144" i="7"/>
  <c r="BW46" i="7"/>
  <c r="BU46" i="7"/>
  <c r="BV46" i="7"/>
  <c r="BU145" i="7"/>
  <c r="BV145" i="7"/>
  <c r="BW145" i="7"/>
  <c r="BW47" i="7"/>
  <c r="BV47" i="7"/>
  <c r="BU47" i="7"/>
  <c r="BW146" i="7"/>
  <c r="BU146" i="7"/>
  <c r="BV146" i="7"/>
  <c r="BU133" i="7"/>
  <c r="BV133" i="7"/>
  <c r="BW133" i="7"/>
  <c r="BV12" i="7"/>
  <c r="BU12" i="7"/>
  <c r="BW12" i="7"/>
  <c r="BV55" i="7"/>
  <c r="BW55" i="7"/>
  <c r="BU55" i="7"/>
  <c r="BV102" i="7"/>
  <c r="BW102" i="7"/>
  <c r="BU102" i="7"/>
  <c r="BW134" i="7"/>
  <c r="BV134" i="7"/>
  <c r="BU134" i="7"/>
  <c r="BU148" i="7"/>
  <c r="BV148" i="7"/>
  <c r="BW148" i="7"/>
  <c r="BW202" i="7"/>
  <c r="BU202" i="7"/>
  <c r="BV202" i="7"/>
  <c r="BU62" i="7"/>
  <c r="BW62" i="7"/>
  <c r="BV62" i="7"/>
  <c r="BV195" i="7"/>
  <c r="BW195" i="7"/>
  <c r="BU195" i="7"/>
  <c r="BW43" i="7"/>
  <c r="BV43" i="7"/>
  <c r="BU43" i="7"/>
  <c r="BW142" i="7"/>
  <c r="BV142" i="7"/>
  <c r="BU142" i="7"/>
  <c r="BV64" i="7"/>
  <c r="BU64" i="7"/>
  <c r="BW64" i="7"/>
  <c r="BW197" i="7"/>
  <c r="BV197" i="7"/>
  <c r="BU197" i="7"/>
  <c r="BW98" i="7"/>
  <c r="BV98" i="7"/>
  <c r="BU98" i="7"/>
  <c r="BW198" i="7"/>
  <c r="BU198" i="7"/>
  <c r="BV198" i="7"/>
  <c r="BV99" i="7"/>
  <c r="BU99" i="7"/>
  <c r="BW99" i="7"/>
  <c r="BV199" i="7"/>
  <c r="BU199" i="7"/>
  <c r="BW199" i="7"/>
  <c r="BW132" i="7"/>
  <c r="BU132" i="7"/>
  <c r="BV132" i="7"/>
  <c r="BV48" i="7"/>
  <c r="BU48" i="7"/>
  <c r="BW48" i="7"/>
  <c r="BV147" i="7"/>
  <c r="BU147" i="7"/>
  <c r="BW147" i="7"/>
  <c r="BW14" i="7"/>
  <c r="BU14" i="7"/>
  <c r="BV14" i="7"/>
  <c r="BV56" i="7"/>
  <c r="BW56" i="7"/>
  <c r="BU56" i="7"/>
  <c r="BW137" i="7"/>
  <c r="BV137" i="7"/>
  <c r="BU137" i="7"/>
  <c r="BV203" i="7"/>
  <c r="BU203" i="7"/>
  <c r="BW203" i="7"/>
  <c r="BU57" i="7"/>
  <c r="BV57" i="7"/>
  <c r="BW57" i="7"/>
  <c r="BW105" i="7"/>
  <c r="BU105" i="7"/>
  <c r="BV105" i="7"/>
  <c r="BV150" i="7"/>
  <c r="BW150" i="7"/>
  <c r="BU150" i="7"/>
  <c r="BV40" i="7"/>
  <c r="BU40" i="7"/>
  <c r="BW40" i="7"/>
  <c r="BW58" i="7"/>
  <c r="BU58" i="7"/>
  <c r="BV58" i="7"/>
  <c r="BU107" i="7"/>
  <c r="BW107" i="7"/>
  <c r="BV107" i="7"/>
  <c r="BV139" i="7"/>
  <c r="BU139" i="7"/>
  <c r="BW139" i="7"/>
  <c r="BV151" i="7"/>
  <c r="BW151" i="7"/>
  <c r="BU151" i="7"/>
  <c r="BW205" i="7"/>
  <c r="BV205" i="7"/>
  <c r="BU205" i="7"/>
  <c r="BW42" i="7"/>
  <c r="BV42" i="7"/>
  <c r="BU42" i="7"/>
  <c r="BW141" i="7"/>
  <c r="BU141" i="7"/>
  <c r="BV141" i="7"/>
  <c r="BV126" i="7"/>
  <c r="BU126" i="7"/>
  <c r="BW126" i="7"/>
  <c r="BU44" i="7"/>
  <c r="BV44" i="7"/>
  <c r="BW44" i="7"/>
  <c r="BW129" i="7"/>
  <c r="BU129" i="7"/>
  <c r="BV129" i="7"/>
  <c r="BW130" i="7"/>
  <c r="BV130" i="7"/>
  <c r="BU130" i="7"/>
  <c r="BU131" i="7"/>
  <c r="BV131" i="7"/>
  <c r="BW131" i="7"/>
  <c r="BU100" i="7"/>
  <c r="BV100" i="7"/>
  <c r="BW100" i="7"/>
  <c r="BW200" i="7"/>
  <c r="BV200" i="7"/>
  <c r="BU200" i="7"/>
  <c r="BW101" i="7"/>
  <c r="BV101" i="7"/>
  <c r="BU101" i="7"/>
  <c r="BW201" i="7"/>
  <c r="BV201" i="7"/>
  <c r="BU201" i="7"/>
  <c r="BU104" i="7"/>
  <c r="BV104" i="7"/>
  <c r="BW104" i="7"/>
  <c r="BW149" i="7"/>
  <c r="BV149" i="7"/>
  <c r="BU149" i="7"/>
  <c r="BU39" i="7"/>
  <c r="BV39" i="7"/>
  <c r="BW39" i="7"/>
  <c r="BV138" i="7"/>
  <c r="BW138" i="7"/>
  <c r="BU138" i="7"/>
  <c r="BU204" i="7"/>
  <c r="BW204" i="7"/>
  <c r="BV204" i="7"/>
  <c r="BV41" i="7"/>
  <c r="BU41" i="7"/>
  <c r="BW41" i="7"/>
  <c r="BW61" i="7"/>
  <c r="BU61" i="7"/>
  <c r="BV61" i="7"/>
  <c r="BW108" i="7"/>
  <c r="BU108" i="7"/>
  <c r="BV108" i="7"/>
  <c r="BU140" i="7"/>
  <c r="BW140" i="7"/>
  <c r="BV140" i="7"/>
  <c r="BW194" i="7"/>
  <c r="BV194" i="7"/>
  <c r="BU194" i="7"/>
  <c r="BW206" i="7"/>
  <c r="BV206" i="7"/>
  <c r="BU206" i="7"/>
  <c r="BW106" i="7"/>
  <c r="BV106" i="7"/>
  <c r="BU106" i="7"/>
  <c r="O62" i="7"/>
  <c r="P62" i="7"/>
  <c r="R62" i="7"/>
  <c r="S62" i="7" s="1"/>
  <c r="Q62" i="7"/>
  <c r="O141" i="7"/>
  <c r="P141" i="7"/>
  <c r="Q141" i="7"/>
  <c r="R141" i="7"/>
  <c r="S141" i="7" s="1"/>
  <c r="P207" i="7"/>
  <c r="R207" i="7"/>
  <c r="S207" i="7" s="1"/>
  <c r="O207" i="7"/>
  <c r="Q207" i="7"/>
  <c r="P63" i="7"/>
  <c r="R63" i="7"/>
  <c r="S63" i="7" s="1"/>
  <c r="O63" i="7"/>
  <c r="Q63" i="7"/>
  <c r="Q142" i="7"/>
  <c r="O142" i="7"/>
  <c r="P142" i="7"/>
  <c r="R142" i="7"/>
  <c r="S142" i="7" s="1"/>
  <c r="O129" i="7"/>
  <c r="Q129" i="7"/>
  <c r="R129" i="7"/>
  <c r="S129" i="7" s="1"/>
  <c r="P129" i="7"/>
  <c r="O130" i="7"/>
  <c r="Q130" i="7"/>
  <c r="R130" i="7"/>
  <c r="S130" i="7" s="1"/>
  <c r="P130" i="7"/>
  <c r="O99" i="7"/>
  <c r="P99" i="7"/>
  <c r="R99" i="7"/>
  <c r="S99" i="7" s="1"/>
  <c r="Q99" i="7"/>
  <c r="P199" i="7"/>
  <c r="O199" i="7"/>
  <c r="Q199" i="7"/>
  <c r="R199" i="7"/>
  <c r="S199" i="7" s="1"/>
  <c r="P132" i="7"/>
  <c r="Q132" i="7"/>
  <c r="R132" i="7"/>
  <c r="S132" i="7" s="1"/>
  <c r="O132" i="7"/>
  <c r="Q60" i="7"/>
  <c r="O60" i="7"/>
  <c r="P60" i="7"/>
  <c r="R60" i="7"/>
  <c r="S60" i="7" s="1"/>
  <c r="O48" i="7"/>
  <c r="P48" i="7"/>
  <c r="R48" i="7"/>
  <c r="S48" i="7" s="1"/>
  <c r="Q48" i="7"/>
  <c r="P201" i="7"/>
  <c r="R201" i="7"/>
  <c r="S201" i="7" s="1"/>
  <c r="O201" i="7"/>
  <c r="Q201" i="7"/>
  <c r="O59" i="7"/>
  <c r="P59" i="7"/>
  <c r="R59" i="7"/>
  <c r="S59" i="7" s="1"/>
  <c r="Q59" i="7"/>
  <c r="R134" i="7"/>
  <c r="S134" i="7" s="1"/>
  <c r="O134" i="7"/>
  <c r="P134" i="7"/>
  <c r="Q134" i="7"/>
  <c r="P202" i="7"/>
  <c r="O202" i="7"/>
  <c r="R202" i="7"/>
  <c r="S202" i="7" s="1"/>
  <c r="Q202" i="7"/>
  <c r="O56" i="7"/>
  <c r="Q56" i="7"/>
  <c r="R56" i="7"/>
  <c r="S56" i="7" s="1"/>
  <c r="P56" i="7"/>
  <c r="O104" i="7"/>
  <c r="P104" i="7"/>
  <c r="Q104" i="7"/>
  <c r="R104" i="7"/>
  <c r="S104" i="7" s="1"/>
  <c r="Q137" i="7"/>
  <c r="R137" i="7"/>
  <c r="S137" i="7" s="1"/>
  <c r="O137" i="7"/>
  <c r="P137" i="7"/>
  <c r="O149" i="7"/>
  <c r="Q149" i="7"/>
  <c r="R149" i="7"/>
  <c r="S149" i="7" s="1"/>
  <c r="P149" i="7"/>
  <c r="O203" i="7"/>
  <c r="P203" i="7"/>
  <c r="R203" i="7"/>
  <c r="S203" i="7" s="1"/>
  <c r="Q203" i="7"/>
  <c r="P126" i="7"/>
  <c r="R126" i="7"/>
  <c r="S126" i="7" s="1"/>
  <c r="O126" i="7"/>
  <c r="Q126" i="7"/>
  <c r="Q44" i="7"/>
  <c r="O44" i="7"/>
  <c r="P44" i="7"/>
  <c r="R44" i="7"/>
  <c r="S44" i="7" s="1"/>
  <c r="O143" i="7"/>
  <c r="P143" i="7"/>
  <c r="Q143" i="7"/>
  <c r="R143" i="7"/>
  <c r="S143" i="7" s="1"/>
  <c r="Q98" i="7"/>
  <c r="O98" i="7"/>
  <c r="P98" i="7"/>
  <c r="R98" i="7"/>
  <c r="S98" i="7" s="1"/>
  <c r="O144" i="7"/>
  <c r="Q144" i="7"/>
  <c r="P144" i="7"/>
  <c r="R144" i="7"/>
  <c r="S144" i="7" s="1"/>
  <c r="O46" i="7"/>
  <c r="Q46" i="7"/>
  <c r="P46" i="7"/>
  <c r="R46" i="7"/>
  <c r="S46" i="7" s="1"/>
  <c r="O145" i="7"/>
  <c r="Q145" i="7"/>
  <c r="R145" i="7"/>
  <c r="S145" i="7" s="1"/>
  <c r="P145" i="7"/>
  <c r="O100" i="7"/>
  <c r="P100" i="7"/>
  <c r="Q100" i="7"/>
  <c r="T100" i="7" s="1"/>
  <c r="U100" i="7" s="1"/>
  <c r="R100" i="7"/>
  <c r="S100" i="7" s="1"/>
  <c r="AC100" i="7" s="1"/>
  <c r="O200" i="7"/>
  <c r="P200" i="7"/>
  <c r="R200" i="7"/>
  <c r="S200" i="7" s="1"/>
  <c r="Q200" i="7"/>
  <c r="P133" i="7"/>
  <c r="Q133" i="7"/>
  <c r="R133" i="7"/>
  <c r="S133" i="7" s="1"/>
  <c r="O133" i="7"/>
  <c r="P102" i="7"/>
  <c r="Q102" i="7"/>
  <c r="R102" i="7"/>
  <c r="S102" i="7" s="1"/>
  <c r="O102" i="7"/>
  <c r="Q39" i="7"/>
  <c r="O39" i="7"/>
  <c r="R39" i="7"/>
  <c r="S39" i="7" s="1"/>
  <c r="P39" i="7"/>
  <c r="O105" i="7"/>
  <c r="P105" i="7"/>
  <c r="Q105" i="7"/>
  <c r="R105" i="7"/>
  <c r="S105" i="7" s="1"/>
  <c r="O138" i="7"/>
  <c r="P138" i="7"/>
  <c r="R138" i="7"/>
  <c r="S138" i="7" s="1"/>
  <c r="Q138" i="7"/>
  <c r="P204" i="7"/>
  <c r="R204" i="7"/>
  <c r="S204" i="7" s="1"/>
  <c r="O204" i="7"/>
  <c r="Q204" i="7"/>
  <c r="P58" i="7"/>
  <c r="Q58" i="7"/>
  <c r="R58" i="7"/>
  <c r="S58" i="7" s="1"/>
  <c r="O58" i="7"/>
  <c r="O139" i="7"/>
  <c r="P139" i="7"/>
  <c r="Q139" i="7"/>
  <c r="R139" i="7"/>
  <c r="S139" i="7" s="1"/>
  <c r="P151" i="7"/>
  <c r="R151" i="7"/>
  <c r="S151" i="7" s="1"/>
  <c r="Q151" i="7"/>
  <c r="O151" i="7"/>
  <c r="P205" i="7"/>
  <c r="O205" i="7"/>
  <c r="Q205" i="7"/>
  <c r="R205" i="7"/>
  <c r="S205" i="7" s="1"/>
  <c r="O42" i="7"/>
  <c r="Q42" i="7"/>
  <c r="R42" i="7"/>
  <c r="S42" i="7" s="1"/>
  <c r="P42" i="7"/>
  <c r="O125" i="7"/>
  <c r="P125" i="7"/>
  <c r="R125" i="7"/>
  <c r="S125" i="7" s="1"/>
  <c r="Q125" i="7"/>
  <c r="P195" i="7"/>
  <c r="R195" i="7"/>
  <c r="O195" i="7"/>
  <c r="Q195" i="7"/>
  <c r="T195" i="7" s="1"/>
  <c r="U195" i="7" s="1"/>
  <c r="P43" i="7"/>
  <c r="Q43" i="7"/>
  <c r="R43" i="7"/>
  <c r="S43" i="7" s="1"/>
  <c r="O43" i="7"/>
  <c r="O196" i="7"/>
  <c r="P196" i="7"/>
  <c r="Q196" i="7"/>
  <c r="R196" i="7"/>
  <c r="S196" i="7" s="1"/>
  <c r="O64" i="7"/>
  <c r="Q64" i="7"/>
  <c r="R64" i="7"/>
  <c r="S64" i="7" s="1"/>
  <c r="P64" i="7"/>
  <c r="O197" i="7"/>
  <c r="Q197" i="7"/>
  <c r="P197" i="7"/>
  <c r="R197" i="7"/>
  <c r="S197" i="7" s="1"/>
  <c r="O45" i="7"/>
  <c r="P45" i="7"/>
  <c r="Q45" i="7"/>
  <c r="R45" i="7"/>
  <c r="S45" i="7" s="1"/>
  <c r="P198" i="7"/>
  <c r="R198" i="7"/>
  <c r="S198" i="7" s="1"/>
  <c r="O198" i="7"/>
  <c r="Q198" i="7"/>
  <c r="O131" i="7"/>
  <c r="P131" i="7"/>
  <c r="Q131" i="7"/>
  <c r="R131" i="7"/>
  <c r="S131" i="7" s="1"/>
  <c r="P47" i="7"/>
  <c r="R47" i="7"/>
  <c r="S47" i="7" s="1"/>
  <c r="Q47" i="7"/>
  <c r="O47" i="7"/>
  <c r="O146" i="7"/>
  <c r="Q146" i="7"/>
  <c r="R146" i="7"/>
  <c r="S146" i="7" s="1"/>
  <c r="P146" i="7"/>
  <c r="O101" i="7"/>
  <c r="Q101" i="7"/>
  <c r="R101" i="7"/>
  <c r="S101" i="7" s="1"/>
  <c r="P101" i="7"/>
  <c r="O147" i="7"/>
  <c r="P147" i="7"/>
  <c r="Q147" i="7"/>
  <c r="R147" i="7"/>
  <c r="S147" i="7" s="1"/>
  <c r="P55" i="7"/>
  <c r="R55" i="7"/>
  <c r="S55" i="7" s="1"/>
  <c r="O55" i="7"/>
  <c r="Q55" i="7"/>
  <c r="O148" i="7"/>
  <c r="Q148" i="7"/>
  <c r="R148" i="7"/>
  <c r="S148" i="7" s="1"/>
  <c r="P148" i="7"/>
  <c r="P57" i="7"/>
  <c r="O57" i="7"/>
  <c r="Q57" i="7"/>
  <c r="R57" i="7"/>
  <c r="S57" i="7" s="1"/>
  <c r="R150" i="7"/>
  <c r="S150" i="7" s="1"/>
  <c r="O150" i="7"/>
  <c r="P150" i="7"/>
  <c r="Q150" i="7"/>
  <c r="O40" i="7"/>
  <c r="P40" i="7"/>
  <c r="R40" i="7"/>
  <c r="S40" i="7" s="1"/>
  <c r="Q40" i="7"/>
  <c r="P107" i="7"/>
  <c r="O107" i="7"/>
  <c r="R107" i="7"/>
  <c r="S107" i="7" s="1"/>
  <c r="Q107" i="7"/>
  <c r="P41" i="7"/>
  <c r="O41" i="7"/>
  <c r="Q41" i="7"/>
  <c r="R41" i="7"/>
  <c r="S41" i="7" s="1"/>
  <c r="O61" i="7"/>
  <c r="P61" i="7"/>
  <c r="R61" i="7"/>
  <c r="S61" i="7" s="1"/>
  <c r="Q61" i="7"/>
  <c r="O108" i="7"/>
  <c r="P108" i="7"/>
  <c r="Q108" i="7"/>
  <c r="R108" i="7"/>
  <c r="S108" i="7" s="1"/>
  <c r="P140" i="7"/>
  <c r="R140" i="7"/>
  <c r="S140" i="7" s="1"/>
  <c r="Q140" i="7"/>
  <c r="O140" i="7"/>
  <c r="O194" i="7"/>
  <c r="Q194" i="7"/>
  <c r="P194" i="7"/>
  <c r="R194" i="7"/>
  <c r="O206" i="7"/>
  <c r="P206" i="7"/>
  <c r="R206" i="7"/>
  <c r="S206" i="7" s="1"/>
  <c r="Q206" i="7"/>
  <c r="P106" i="7"/>
  <c r="R106" i="7"/>
  <c r="S106" i="7" s="1"/>
  <c r="O106" i="7"/>
  <c r="Q106" i="7"/>
  <c r="W20" i="7"/>
  <c r="W195" i="7"/>
  <c r="W194" i="7"/>
  <c r="W15" i="7"/>
  <c r="W14" i="7"/>
  <c r="T93" i="7"/>
  <c r="U93" i="7" s="1"/>
  <c r="W93" i="7"/>
  <c r="BX106" i="7" l="1"/>
  <c r="BX102" i="7"/>
  <c r="BX100" i="7"/>
  <c r="AC102" i="7"/>
  <c r="V106" i="7"/>
  <c r="T194" i="7"/>
  <c r="U194" i="7" s="1"/>
  <c r="V102" i="7"/>
  <c r="T106" i="7"/>
  <c r="U106" i="7" s="1"/>
  <c r="W106" i="7"/>
  <c r="W102" i="7"/>
  <c r="T102" i="7"/>
  <c r="U102" i="7" s="1"/>
  <c r="V100" i="7"/>
  <c r="W100" i="7"/>
  <c r="AB106" i="7"/>
  <c r="AB102" i="7"/>
  <c r="AA106" i="7"/>
  <c r="AA102" i="7"/>
  <c r="AC106" i="7"/>
  <c r="Z102" i="7"/>
  <c r="Z106" i="7"/>
  <c r="AA100" i="7"/>
  <c r="Z100" i="7"/>
  <c r="AB100" i="7"/>
  <c r="AE64" i="7"/>
  <c r="M64" i="7"/>
  <c r="W64" i="7" s="1"/>
  <c r="L64" i="7"/>
  <c r="BX64" i="7" l="1"/>
  <c r="X102" i="7"/>
  <c r="Y102" i="7" s="1"/>
  <c r="X100" i="7"/>
  <c r="Y100" i="7" s="1"/>
  <c r="X106" i="7"/>
  <c r="Y106" i="7" s="1"/>
  <c r="V64" i="7"/>
  <c r="X64" i="7" s="1"/>
  <c r="Y64" i="7" s="1"/>
  <c r="T64" i="7"/>
  <c r="U64" i="7" s="1"/>
  <c r="AC64" i="7"/>
  <c r="AB64" i="7" l="1"/>
  <c r="AA64" i="7"/>
  <c r="Z64" i="7"/>
  <c r="AE61" i="7" l="1"/>
  <c r="M61" i="7"/>
  <c r="L61" i="7"/>
  <c r="BX61" i="7" l="1"/>
  <c r="AC61" i="7"/>
  <c r="W61" i="7" l="1"/>
  <c r="T61" i="7"/>
  <c r="U61" i="7" s="1"/>
  <c r="V61" i="7"/>
  <c r="X61" i="7" s="1"/>
  <c r="Y61" i="7" s="1"/>
  <c r="AB61" i="7"/>
  <c r="AA61" i="7"/>
  <c r="Z61" i="7"/>
  <c r="AE201" i="7"/>
  <c r="M201" i="7"/>
  <c r="W201" i="7" s="1"/>
  <c r="L201" i="7"/>
  <c r="AE200" i="7"/>
  <c r="M200" i="7"/>
  <c r="W200" i="7" s="1"/>
  <c r="L200" i="7"/>
  <c r="AE108" i="7"/>
  <c r="M108" i="7"/>
  <c r="W108" i="7" s="1"/>
  <c r="L108" i="7"/>
  <c r="AE105" i="7"/>
  <c r="M105" i="7"/>
  <c r="W105" i="7" s="1"/>
  <c r="L105" i="7"/>
  <c r="AE99" i="7"/>
  <c r="M99" i="7"/>
  <c r="W99" i="7" s="1"/>
  <c r="L99" i="7"/>
  <c r="AE101" i="7"/>
  <c r="M101" i="7"/>
  <c r="W101" i="7" s="1"/>
  <c r="L101" i="7"/>
  <c r="AE207" i="7"/>
  <c r="M207" i="7"/>
  <c r="W207" i="7" s="1"/>
  <c r="L207" i="7"/>
  <c r="AE206" i="7"/>
  <c r="M206" i="7"/>
  <c r="W206" i="7" s="1"/>
  <c r="L206" i="7"/>
  <c r="AE205" i="7"/>
  <c r="M205" i="7"/>
  <c r="W205" i="7" s="1"/>
  <c r="L205" i="7"/>
  <c r="AE204" i="7"/>
  <c r="M204" i="7"/>
  <c r="W204" i="7" s="1"/>
  <c r="L204" i="7"/>
  <c r="AE203" i="7"/>
  <c r="M203" i="7"/>
  <c r="W203" i="7" s="1"/>
  <c r="L203" i="7"/>
  <c r="AE198" i="7"/>
  <c r="M198" i="7"/>
  <c r="W198" i="7" s="1"/>
  <c r="L198" i="7"/>
  <c r="AE199" i="7"/>
  <c r="M199" i="7"/>
  <c r="W199" i="7" s="1"/>
  <c r="L199" i="7"/>
  <c r="AE197" i="7"/>
  <c r="M197" i="7"/>
  <c r="W197" i="7" s="1"/>
  <c r="L197" i="7"/>
  <c r="AE63" i="7"/>
  <c r="M63" i="7"/>
  <c r="W63" i="7" s="1"/>
  <c r="L63" i="7"/>
  <c r="AE60" i="7"/>
  <c r="M60" i="7"/>
  <c r="L60" i="7"/>
  <c r="AE58" i="7"/>
  <c r="M58" i="7"/>
  <c r="W58" i="7" s="1"/>
  <c r="L58" i="7"/>
  <c r="AE126" i="7"/>
  <c r="M126" i="7"/>
  <c r="L126" i="7"/>
  <c r="AE183" i="7"/>
  <c r="M183" i="7"/>
  <c r="L183" i="7"/>
  <c r="AE182" i="7"/>
  <c r="M182" i="7"/>
  <c r="L182" i="7"/>
  <c r="AE179" i="7"/>
  <c r="M179" i="7"/>
  <c r="L179" i="7"/>
  <c r="AE180" i="7"/>
  <c r="M180" i="7"/>
  <c r="L180" i="7"/>
  <c r="AE138" i="7"/>
  <c r="M138" i="7"/>
  <c r="W138" i="7" s="1"/>
  <c r="L138" i="7"/>
  <c r="AE133" i="7"/>
  <c r="M133" i="7"/>
  <c r="W133" i="7" s="1"/>
  <c r="L133" i="7"/>
  <c r="AE131" i="7"/>
  <c r="M131" i="7"/>
  <c r="W131" i="7" s="1"/>
  <c r="L131" i="7"/>
  <c r="AE48" i="7"/>
  <c r="M48" i="7"/>
  <c r="L48" i="7"/>
  <c r="AE45" i="7"/>
  <c r="M45" i="7"/>
  <c r="L45" i="7"/>
  <c r="AE46" i="7"/>
  <c r="M46" i="7"/>
  <c r="L46" i="7"/>
  <c r="L47" i="7"/>
  <c r="M47" i="7"/>
  <c r="AE47" i="7"/>
  <c r="AE136" i="7"/>
  <c r="M136" i="7"/>
  <c r="L136" i="7"/>
  <c r="AE128" i="7"/>
  <c r="M128" i="7"/>
  <c r="W128" i="7" s="1"/>
  <c r="L128" i="7"/>
  <c r="AE73" i="7"/>
  <c r="M73" i="7"/>
  <c r="W73" i="7" s="1"/>
  <c r="L73" i="7"/>
  <c r="AE37" i="7"/>
  <c r="M37" i="7"/>
  <c r="L37" i="7"/>
  <c r="AE38" i="7"/>
  <c r="M38" i="7"/>
  <c r="L38" i="7"/>
  <c r="AE35" i="7"/>
  <c r="M35" i="7"/>
  <c r="L35" i="7"/>
  <c r="AE34" i="7"/>
  <c r="M34" i="7"/>
  <c r="L34" i="7"/>
  <c r="BX38" i="7" l="1"/>
  <c r="BX136" i="7"/>
  <c r="BX48" i="7"/>
  <c r="BX180" i="7"/>
  <c r="BX126" i="7"/>
  <c r="BX197" i="7"/>
  <c r="BX204" i="7"/>
  <c r="BX101" i="7"/>
  <c r="BX200" i="7"/>
  <c r="BX37" i="7"/>
  <c r="BX131" i="7"/>
  <c r="BX179" i="7"/>
  <c r="BX58" i="7"/>
  <c r="BX199" i="7"/>
  <c r="BX205" i="7"/>
  <c r="BX99" i="7"/>
  <c r="BX201" i="7"/>
  <c r="BX35" i="7"/>
  <c r="BX128" i="7"/>
  <c r="BX45" i="7"/>
  <c r="BX138" i="7"/>
  <c r="BX183" i="7"/>
  <c r="BX63" i="7"/>
  <c r="BX203" i="7"/>
  <c r="BX207" i="7"/>
  <c r="BX108" i="7"/>
  <c r="BX34" i="7"/>
  <c r="BX73" i="7"/>
  <c r="BX46" i="7"/>
  <c r="BX133" i="7"/>
  <c r="BX182" i="7"/>
  <c r="BX60" i="7"/>
  <c r="BX198" i="7"/>
  <c r="BX206" i="7"/>
  <c r="BX105" i="7"/>
  <c r="BX47" i="7"/>
  <c r="T201" i="7"/>
  <c r="U201" i="7" s="1"/>
  <c r="T207" i="7"/>
  <c r="U207" i="7" s="1"/>
  <c r="T205" i="7"/>
  <c r="U205" i="7" s="1"/>
  <c r="T198" i="7"/>
  <c r="U198" i="7" s="1"/>
  <c r="T206" i="7"/>
  <c r="U206" i="7" s="1"/>
  <c r="T197" i="7"/>
  <c r="U197" i="7" s="1"/>
  <c r="T204" i="7"/>
  <c r="U204" i="7" s="1"/>
  <c r="T200" i="7"/>
  <c r="U200" i="7" s="1"/>
  <c r="T199" i="7"/>
  <c r="U199" i="7" s="1"/>
  <c r="T203" i="7"/>
  <c r="U203" i="7" s="1"/>
  <c r="V203" i="7"/>
  <c r="X203" i="7" s="1"/>
  <c r="V199" i="7"/>
  <c r="X199" i="7" s="1"/>
  <c r="V205" i="7"/>
  <c r="X205" i="7" s="1"/>
  <c r="V201" i="7"/>
  <c r="X201" i="7" s="1"/>
  <c r="V198" i="7"/>
  <c r="X198" i="7" s="1"/>
  <c r="V206" i="7"/>
  <c r="X206" i="7" s="1"/>
  <c r="V200" i="7"/>
  <c r="X200" i="7" s="1"/>
  <c r="V207" i="7"/>
  <c r="X207" i="7" s="1"/>
  <c r="V197" i="7"/>
  <c r="X197" i="7" s="1"/>
  <c r="V204" i="7"/>
  <c r="X204" i="7" s="1"/>
  <c r="V105" i="7"/>
  <c r="X105" i="7" s="1"/>
  <c r="Y105" i="7" s="1"/>
  <c r="T105" i="7"/>
  <c r="U105" i="7" s="1"/>
  <c r="V73" i="7"/>
  <c r="X73" i="7" s="1"/>
  <c r="Y73" i="7" s="1"/>
  <c r="T73" i="7"/>
  <c r="U73" i="7" s="1"/>
  <c r="T133" i="7"/>
  <c r="U133" i="7" s="1"/>
  <c r="V133" i="7"/>
  <c r="X133" i="7" s="1"/>
  <c r="Y133" i="7" s="1"/>
  <c r="V138" i="7"/>
  <c r="X138" i="7" s="1"/>
  <c r="Y138" i="7" s="1"/>
  <c r="T138" i="7"/>
  <c r="U138" i="7" s="1"/>
  <c r="V128" i="7"/>
  <c r="X128" i="7" s="1"/>
  <c r="Y128" i="7" s="1"/>
  <c r="T128" i="7"/>
  <c r="U128" i="7" s="1"/>
  <c r="V108" i="7"/>
  <c r="X108" i="7" s="1"/>
  <c r="Y108" i="7" s="1"/>
  <c r="T108" i="7"/>
  <c r="U108" i="7" s="1"/>
  <c r="T101" i="7"/>
  <c r="U101" i="7" s="1"/>
  <c r="V101" i="7"/>
  <c r="X101" i="7" s="1"/>
  <c r="Y101" i="7" s="1"/>
  <c r="AB183" i="7"/>
  <c r="AB136" i="7"/>
  <c r="AB60" i="7"/>
  <c r="AC48" i="7"/>
  <c r="AC47" i="7"/>
  <c r="AC37" i="7"/>
  <c r="O15" i="7"/>
  <c r="Q15" i="7"/>
  <c r="R15" i="7"/>
  <c r="P15" i="7"/>
  <c r="R14" i="7"/>
  <c r="O14" i="7"/>
  <c r="Q14" i="7"/>
  <c r="P14" i="7"/>
  <c r="O13" i="7"/>
  <c r="P13" i="7"/>
  <c r="Q13" i="7"/>
  <c r="R13" i="7"/>
  <c r="S13" i="7" s="1"/>
  <c r="Q12" i="7"/>
  <c r="R12" i="7"/>
  <c r="S12" i="7" s="1"/>
  <c r="O12" i="7"/>
  <c r="P12" i="7"/>
  <c r="Q11" i="7"/>
  <c r="P11" i="7"/>
  <c r="R11" i="7"/>
  <c r="S11" i="7" s="1"/>
  <c r="O11" i="7"/>
  <c r="V63" i="7"/>
  <c r="X63" i="7" s="1"/>
  <c r="Y63" i="7" s="1"/>
  <c r="T63" i="7"/>
  <c r="U63" i="7" s="1"/>
  <c r="V131" i="7"/>
  <c r="X131" i="7" s="1"/>
  <c r="Y131" i="7" s="1"/>
  <c r="T131" i="7"/>
  <c r="U131" i="7" s="1"/>
  <c r="V99" i="7"/>
  <c r="X99" i="7" s="1"/>
  <c r="Y99" i="7" s="1"/>
  <c r="T99" i="7"/>
  <c r="U99" i="7" s="1"/>
  <c r="V58" i="7"/>
  <c r="X58" i="7" s="1"/>
  <c r="Y58" i="7" s="1"/>
  <c r="T58" i="7"/>
  <c r="U58" i="7" s="1"/>
  <c r="AC101" i="7"/>
  <c r="AB201" i="7"/>
  <c r="AB105" i="7"/>
  <c r="AB108" i="7"/>
  <c r="AB204" i="7"/>
  <c r="AB99" i="7"/>
  <c r="AA198" i="7"/>
  <c r="AB73" i="7"/>
  <c r="M202" i="7"/>
  <c r="W202" i="7" s="1"/>
  <c r="L202" i="7"/>
  <c r="M196" i="7"/>
  <c r="W196" i="7" s="1"/>
  <c r="L196" i="7"/>
  <c r="BX196" i="7" l="1"/>
  <c r="BX202" i="7"/>
  <c r="Y205" i="7"/>
  <c r="T202" i="7"/>
  <c r="U202" i="7" s="1"/>
  <c r="Y200" i="7"/>
  <c r="Y207" i="7"/>
  <c r="T196" i="7"/>
  <c r="U196" i="7" s="1"/>
  <c r="V196" i="7"/>
  <c r="X196" i="7" s="1"/>
  <c r="V202" i="7"/>
  <c r="X202" i="7" s="1"/>
  <c r="Y197" i="7"/>
  <c r="Y198" i="7"/>
  <c r="Y206" i="7"/>
  <c r="Y201" i="7"/>
  <c r="Y203" i="7"/>
  <c r="Y204" i="7"/>
  <c r="Y199" i="7"/>
  <c r="V37" i="7"/>
  <c r="V180" i="7"/>
  <c r="V183" i="7"/>
  <c r="V179" i="7"/>
  <c r="V48" i="7"/>
  <c r="V126" i="7"/>
  <c r="X126" i="7" s="1"/>
  <c r="Y126" i="7" s="1"/>
  <c r="V60" i="7"/>
  <c r="AB126" i="7"/>
  <c r="T15" i="7"/>
  <c r="U15" i="7" s="1"/>
  <c r="T35" i="7"/>
  <c r="U35" i="7" s="1"/>
  <c r="W35" i="7"/>
  <c r="T47" i="7"/>
  <c r="U47" i="7" s="1"/>
  <c r="W47" i="7"/>
  <c r="W45" i="7"/>
  <c r="T45" i="7"/>
  <c r="U45" i="7" s="1"/>
  <c r="T136" i="7"/>
  <c r="U136" i="7" s="1"/>
  <c r="W136" i="7"/>
  <c r="T179" i="7"/>
  <c r="U179" i="7" s="1"/>
  <c r="W179" i="7"/>
  <c r="V136" i="7"/>
  <c r="T20" i="7"/>
  <c r="U20" i="7" s="1"/>
  <c r="T48" i="7"/>
  <c r="U48" i="7" s="1"/>
  <c r="W48" i="7"/>
  <c r="T182" i="7"/>
  <c r="U182" i="7" s="1"/>
  <c r="W182" i="7"/>
  <c r="W180" i="7"/>
  <c r="T180" i="7"/>
  <c r="U180" i="7" s="1"/>
  <c r="T14" i="7"/>
  <c r="U14" i="7" s="1"/>
  <c r="W34" i="7"/>
  <c r="T34" i="7"/>
  <c r="U34" i="7" s="1"/>
  <c r="T46" i="7"/>
  <c r="U46" i="7" s="1"/>
  <c r="W46" i="7"/>
  <c r="W126" i="7"/>
  <c r="T126" i="7"/>
  <c r="U126" i="7" s="1"/>
  <c r="W183" i="7"/>
  <c r="T183" i="7"/>
  <c r="U183" i="7" s="1"/>
  <c r="V35" i="7"/>
  <c r="V182" i="7"/>
  <c r="T37" i="7"/>
  <c r="U37" i="7" s="1"/>
  <c r="W37" i="7"/>
  <c r="T60" i="7"/>
  <c r="U60" i="7" s="1"/>
  <c r="W60" i="7"/>
  <c r="V46" i="7"/>
  <c r="V34" i="7"/>
  <c r="V47" i="7"/>
  <c r="V45" i="7"/>
  <c r="AC207" i="7"/>
  <c r="AB45" i="7"/>
  <c r="AA101" i="7"/>
  <c r="AC200" i="7"/>
  <c r="AC204" i="7"/>
  <c r="AC198" i="7"/>
  <c r="AC201" i="7"/>
  <c r="AC203" i="7"/>
  <c r="Z46" i="7"/>
  <c r="AC197" i="7"/>
  <c r="AC45" i="7"/>
  <c r="Z45" i="7"/>
  <c r="AB199" i="7"/>
  <c r="AC199" i="7"/>
  <c r="AC179" i="7"/>
  <c r="AA45" i="7"/>
  <c r="AA128" i="7"/>
  <c r="Z138" i="7"/>
  <c r="AC108" i="7"/>
  <c r="AA201" i="7"/>
  <c r="AC105" i="7"/>
  <c r="Z108" i="7"/>
  <c r="Z201" i="7"/>
  <c r="Z105" i="7"/>
  <c r="AA105" i="7"/>
  <c r="AA108" i="7"/>
  <c r="AB200" i="7"/>
  <c r="AA200" i="7"/>
  <c r="Z200" i="7"/>
  <c r="AA204" i="7"/>
  <c r="Z204" i="7"/>
  <c r="Z101" i="7"/>
  <c r="AB101" i="7"/>
  <c r="AC99" i="7"/>
  <c r="AA99" i="7"/>
  <c r="AA199" i="7"/>
  <c r="Z99" i="7"/>
  <c r="Z199" i="7"/>
  <c r="Z198" i="7"/>
  <c r="AB198" i="7"/>
  <c r="AA206" i="7"/>
  <c r="Z206" i="7"/>
  <c r="AB206" i="7"/>
  <c r="AC206" i="7"/>
  <c r="AB207" i="7"/>
  <c r="Z207" i="7"/>
  <c r="AA207" i="7"/>
  <c r="AB203" i="7"/>
  <c r="Z203" i="7"/>
  <c r="AA203" i="7"/>
  <c r="AB205" i="7"/>
  <c r="AA205" i="7"/>
  <c r="Z205" i="7"/>
  <c r="AC205" i="7"/>
  <c r="AB197" i="7"/>
  <c r="AA197" i="7"/>
  <c r="Z197" i="7"/>
  <c r="AC182" i="7"/>
  <c r="AC58" i="7"/>
  <c r="AA183" i="7"/>
  <c r="AC126" i="7"/>
  <c r="AC63" i="7"/>
  <c r="AA60" i="7"/>
  <c r="Z60" i="7"/>
  <c r="Z63" i="7"/>
  <c r="AB63" i="7"/>
  <c r="AA63" i="7"/>
  <c r="AC183" i="7"/>
  <c r="Z183" i="7"/>
  <c r="Z126" i="7"/>
  <c r="AB58" i="7"/>
  <c r="AA58" i="7"/>
  <c r="Z58" i="7"/>
  <c r="AA126" i="7"/>
  <c r="Z182" i="7"/>
  <c r="AA182" i="7"/>
  <c r="AB182" i="7"/>
  <c r="AC138" i="7"/>
  <c r="AC136" i="7"/>
  <c r="AC180" i="7"/>
  <c r="AB179" i="7"/>
  <c r="AA179" i="7"/>
  <c r="Z179" i="7"/>
  <c r="AA138" i="7"/>
  <c r="AB138" i="7"/>
  <c r="AB180" i="7"/>
  <c r="AA180" i="7"/>
  <c r="Z180" i="7"/>
  <c r="AB46" i="7"/>
  <c r="AA46" i="7"/>
  <c r="AC133" i="7"/>
  <c r="AB131" i="7"/>
  <c r="AA131" i="7"/>
  <c r="Z131" i="7"/>
  <c r="AA136" i="7"/>
  <c r="AB133" i="7"/>
  <c r="AA133" i="7"/>
  <c r="Z133" i="7"/>
  <c r="Z136" i="7"/>
  <c r="AC35" i="7"/>
  <c r="AC131" i="7"/>
  <c r="AC46" i="7"/>
  <c r="AC128" i="7"/>
  <c r="AB48" i="7"/>
  <c r="AA48" i="7"/>
  <c r="Z48" i="7"/>
  <c r="AB128" i="7"/>
  <c r="Z128" i="7"/>
  <c r="Z47" i="7"/>
  <c r="AA47" i="7"/>
  <c r="AB47" i="7"/>
  <c r="AC34" i="7"/>
  <c r="AA73" i="7"/>
  <c r="Z73" i="7"/>
  <c r="AB37" i="7"/>
  <c r="AA37" i="7"/>
  <c r="Z37" i="7"/>
  <c r="AB35" i="7"/>
  <c r="Z35" i="7"/>
  <c r="AA35" i="7"/>
  <c r="AA34" i="7"/>
  <c r="Z34" i="7"/>
  <c r="AB34" i="7"/>
  <c r="X47" i="7" l="1"/>
  <c r="Y47" i="7" s="1"/>
  <c r="X136" i="7"/>
  <c r="Y136" i="7" s="1"/>
  <c r="Y202" i="7"/>
  <c r="Y196" i="7"/>
  <c r="X179" i="7"/>
  <c r="Y179" i="7" s="1"/>
  <c r="X180" i="7"/>
  <c r="Y180" i="7" s="1"/>
  <c r="X48" i="7"/>
  <c r="Y48" i="7" s="1"/>
  <c r="X46" i="7"/>
  <c r="Y46" i="7" s="1"/>
  <c r="X182" i="7"/>
  <c r="Y182" i="7" s="1"/>
  <c r="X35" i="7"/>
  <c r="Y35" i="7" s="1"/>
  <c r="X183" i="7"/>
  <c r="Y183" i="7" s="1"/>
  <c r="X34" i="7"/>
  <c r="Y34" i="7" s="1"/>
  <c r="X60" i="7"/>
  <c r="Y60" i="7" s="1"/>
  <c r="X45" i="7"/>
  <c r="Y45" i="7" s="1"/>
  <c r="X37" i="7"/>
  <c r="Y37" i="7" s="1"/>
  <c r="AC73" i="7"/>
  <c r="AC60" i="7"/>
  <c r="AE141" i="7" l="1"/>
  <c r="M141" i="7"/>
  <c r="W141" i="7" s="1"/>
  <c r="L141" i="7"/>
  <c r="AE140" i="7"/>
  <c r="M140" i="7"/>
  <c r="W140" i="7" s="1"/>
  <c r="L140" i="7"/>
  <c r="BX140" i="7" s="1"/>
  <c r="AE143" i="7"/>
  <c r="M143" i="7"/>
  <c r="W143" i="7" s="1"/>
  <c r="L143" i="7"/>
  <c r="AE142" i="7"/>
  <c r="M142" i="7"/>
  <c r="W142" i="7" s="1"/>
  <c r="L142" i="7"/>
  <c r="AE145" i="7"/>
  <c r="M145" i="7"/>
  <c r="W145" i="7" s="1"/>
  <c r="L145" i="7"/>
  <c r="AE144" i="7"/>
  <c r="M144" i="7"/>
  <c r="W144" i="7" s="1"/>
  <c r="L144" i="7"/>
  <c r="BX144" i="7" s="1"/>
  <c r="AE147" i="7"/>
  <c r="M147" i="7"/>
  <c r="W147" i="7" s="1"/>
  <c r="L147" i="7"/>
  <c r="AE146" i="7"/>
  <c r="M146" i="7"/>
  <c r="W146" i="7" s="1"/>
  <c r="L146" i="7"/>
  <c r="BX146" i="7" s="1"/>
  <c r="AE149" i="7"/>
  <c r="M149" i="7"/>
  <c r="W149" i="7" s="1"/>
  <c r="L149" i="7"/>
  <c r="AE148" i="7"/>
  <c r="M148" i="7"/>
  <c r="W148" i="7" s="1"/>
  <c r="L148" i="7"/>
  <c r="BX148" i="7" s="1"/>
  <c r="AE150" i="7"/>
  <c r="M150" i="7"/>
  <c r="W150" i="7" s="1"/>
  <c r="L150" i="7"/>
  <c r="AE151" i="7"/>
  <c r="M151" i="7"/>
  <c r="W151" i="7" s="1"/>
  <c r="L151" i="7"/>
  <c r="BX151" i="7" s="1"/>
  <c r="BX142" i="7" l="1"/>
  <c r="BX149" i="7"/>
  <c r="BX145" i="7"/>
  <c r="BX141" i="7"/>
  <c r="BX150" i="7"/>
  <c r="BX147" i="7"/>
  <c r="BX143" i="7"/>
  <c r="V146" i="7"/>
  <c r="X146" i="7" s="1"/>
  <c r="Y146" i="7" s="1"/>
  <c r="T146" i="7"/>
  <c r="U146" i="7" s="1"/>
  <c r="V143" i="7"/>
  <c r="X143" i="7" s="1"/>
  <c r="Y143" i="7" s="1"/>
  <c r="T143" i="7"/>
  <c r="U143" i="7" s="1"/>
  <c r="V140" i="7"/>
  <c r="X140" i="7" s="1"/>
  <c r="Y140" i="7" s="1"/>
  <c r="T140" i="7"/>
  <c r="U140" i="7" s="1"/>
  <c r="V150" i="7"/>
  <c r="X150" i="7" s="1"/>
  <c r="Y150" i="7" s="1"/>
  <c r="T150" i="7"/>
  <c r="U150" i="7" s="1"/>
  <c r="V151" i="7"/>
  <c r="X151" i="7" s="1"/>
  <c r="Y151" i="7" s="1"/>
  <c r="T151" i="7"/>
  <c r="U151" i="7" s="1"/>
  <c r="V144" i="7"/>
  <c r="X144" i="7" s="1"/>
  <c r="Y144" i="7" s="1"/>
  <c r="T144" i="7"/>
  <c r="U144" i="7" s="1"/>
  <c r="V149" i="7"/>
  <c r="X149" i="7" s="1"/>
  <c r="Y149" i="7" s="1"/>
  <c r="T149" i="7"/>
  <c r="U149" i="7" s="1"/>
  <c r="V145" i="7"/>
  <c r="X145" i="7" s="1"/>
  <c r="Y145" i="7" s="1"/>
  <c r="T145" i="7"/>
  <c r="U145" i="7" s="1"/>
  <c r="V141" i="7"/>
  <c r="X141" i="7" s="1"/>
  <c r="Y141" i="7" s="1"/>
  <c r="T141" i="7"/>
  <c r="U141" i="7" s="1"/>
  <c r="V148" i="7"/>
  <c r="X148" i="7" s="1"/>
  <c r="Y148" i="7" s="1"/>
  <c r="T148" i="7"/>
  <c r="U148" i="7" s="1"/>
  <c r="V142" i="7"/>
  <c r="X142" i="7" s="1"/>
  <c r="Y142" i="7" s="1"/>
  <c r="T142" i="7"/>
  <c r="U142" i="7" s="1"/>
  <c r="V147" i="7"/>
  <c r="X147" i="7" s="1"/>
  <c r="Y147" i="7" s="1"/>
  <c r="T147" i="7"/>
  <c r="U147" i="7" s="1"/>
  <c r="AC141" i="7"/>
  <c r="AC140" i="7"/>
  <c r="AB142" i="7"/>
  <c r="AC142" i="7"/>
  <c r="AC143" i="7"/>
  <c r="AC144" i="7"/>
  <c r="AC146" i="7"/>
  <c r="AC145" i="7"/>
  <c r="AC148" i="7"/>
  <c r="AC147" i="7"/>
  <c r="AC149" i="7"/>
  <c r="AC151" i="7"/>
  <c r="AC150" i="7"/>
  <c r="AA142" i="7" l="1"/>
  <c r="Z142" i="7"/>
  <c r="Z143" i="7"/>
  <c r="AB141" i="7"/>
  <c r="AA141" i="7"/>
  <c r="Z141" i="7"/>
  <c r="AA143" i="7"/>
  <c r="AA140" i="7"/>
  <c r="Z140" i="7"/>
  <c r="AB140" i="7"/>
  <c r="AB143" i="7"/>
  <c r="AB144" i="7"/>
  <c r="AA144" i="7"/>
  <c r="Z144" i="7"/>
  <c r="Z145" i="7"/>
  <c r="AB145" i="7"/>
  <c r="AA145" i="7"/>
  <c r="Z147" i="7"/>
  <c r="AB147" i="7"/>
  <c r="AA147" i="7"/>
  <c r="AB146" i="7"/>
  <c r="Z146" i="7"/>
  <c r="AA146" i="7"/>
  <c r="AB148" i="7"/>
  <c r="AA148" i="7"/>
  <c r="Z148" i="7"/>
  <c r="Z149" i="7"/>
  <c r="AB149" i="7"/>
  <c r="AA149" i="7"/>
  <c r="AB150" i="7"/>
  <c r="Z150" i="7"/>
  <c r="AA150" i="7"/>
  <c r="AB151" i="7"/>
  <c r="AA151" i="7"/>
  <c r="Z151" i="7"/>
  <c r="AC38" i="7" l="1"/>
  <c r="AC53" i="7"/>
  <c r="AE52" i="7"/>
  <c r="AC52" i="7"/>
  <c r="M52" i="7"/>
  <c r="W52" i="7" s="1"/>
  <c r="L52" i="7"/>
  <c r="BX52" i="7" s="1"/>
  <c r="AE53" i="7"/>
  <c r="M53" i="7"/>
  <c r="W53" i="7" s="1"/>
  <c r="L53" i="7"/>
  <c r="BX53" i="7" s="1"/>
  <c r="AE54" i="7"/>
  <c r="M54" i="7"/>
  <c r="W54" i="7" s="1"/>
  <c r="L54" i="7"/>
  <c r="BX54" i="7" l="1"/>
  <c r="AB38" i="7"/>
  <c r="T38" i="7"/>
  <c r="U38" i="7" s="1"/>
  <c r="Z38" i="7"/>
  <c r="AA38" i="7"/>
  <c r="V38" i="7"/>
  <c r="W38" i="7"/>
  <c r="V54" i="7"/>
  <c r="X54" i="7" s="1"/>
  <c r="Y54" i="7" s="1"/>
  <c r="T54" i="7"/>
  <c r="U54" i="7" s="1"/>
  <c r="V53" i="7"/>
  <c r="X53" i="7" s="1"/>
  <c r="Y53" i="7" s="1"/>
  <c r="T53" i="7"/>
  <c r="U53" i="7" s="1"/>
  <c r="V52" i="7"/>
  <c r="X52" i="7" s="1"/>
  <c r="Y52" i="7" s="1"/>
  <c r="T52" i="7"/>
  <c r="U52" i="7" s="1"/>
  <c r="AA52" i="7"/>
  <c r="Z52" i="7"/>
  <c r="AB52" i="7"/>
  <c r="AC54" i="7"/>
  <c r="X38" i="7" l="1"/>
  <c r="Y38" i="7" s="1"/>
  <c r="AB53" i="7"/>
  <c r="AA53" i="7"/>
  <c r="Z53" i="7"/>
  <c r="Z54" i="7"/>
  <c r="AB54" i="7"/>
  <c r="AA54" i="7"/>
  <c r="AE137" i="7" l="1"/>
  <c r="AC137" i="7"/>
  <c r="M137" i="7"/>
  <c r="W137" i="7" s="1"/>
  <c r="L137" i="7"/>
  <c r="BX137" i="7" s="1"/>
  <c r="AE132" i="7"/>
  <c r="M132" i="7"/>
  <c r="W132" i="7" s="1"/>
  <c r="L132" i="7"/>
  <c r="AE134" i="7"/>
  <c r="AC134" i="7"/>
  <c r="M134" i="7"/>
  <c r="W134" i="7" s="1"/>
  <c r="L134" i="7"/>
  <c r="BX134" i="7" s="1"/>
  <c r="AE130" i="7"/>
  <c r="AC130" i="7"/>
  <c r="M130" i="7"/>
  <c r="W130" i="7" s="1"/>
  <c r="L130" i="7"/>
  <c r="AE129" i="7"/>
  <c r="AC129" i="7"/>
  <c r="M129" i="7"/>
  <c r="W129" i="7" s="1"/>
  <c r="L129" i="7"/>
  <c r="AE127" i="7"/>
  <c r="M127" i="7"/>
  <c r="W127" i="7" s="1"/>
  <c r="L127" i="7"/>
  <c r="BX127" i="7" l="1"/>
  <c r="BX130" i="7"/>
  <c r="BX129" i="7"/>
  <c r="BX132" i="7"/>
  <c r="V127" i="7"/>
  <c r="X127" i="7" s="1"/>
  <c r="Y127" i="7" s="1"/>
  <c r="T127" i="7"/>
  <c r="U127" i="7" s="1"/>
  <c r="V129" i="7"/>
  <c r="X129" i="7" s="1"/>
  <c r="Y129" i="7" s="1"/>
  <c r="T129" i="7"/>
  <c r="U129" i="7" s="1"/>
  <c r="V137" i="7"/>
  <c r="X137" i="7" s="1"/>
  <c r="Y137" i="7" s="1"/>
  <c r="T137" i="7"/>
  <c r="U137" i="7" s="1"/>
  <c r="V132" i="7"/>
  <c r="X132" i="7" s="1"/>
  <c r="Y132" i="7" s="1"/>
  <c r="T132" i="7"/>
  <c r="U132" i="7" s="1"/>
  <c r="V130" i="7"/>
  <c r="X130" i="7" s="1"/>
  <c r="Y130" i="7" s="1"/>
  <c r="T130" i="7"/>
  <c r="U130" i="7" s="1"/>
  <c r="V134" i="7"/>
  <c r="X134" i="7" s="1"/>
  <c r="Y134" i="7" s="1"/>
  <c r="T134" i="7"/>
  <c r="U134" i="7" s="1"/>
  <c r="AB134" i="7"/>
  <c r="AA130" i="7"/>
  <c r="Z129" i="7"/>
  <c r="AB137" i="7"/>
  <c r="AB132" i="7"/>
  <c r="AB127" i="7"/>
  <c r="AB129" i="7"/>
  <c r="AA127" i="7"/>
  <c r="AC127" i="7"/>
  <c r="AA129" i="7"/>
  <c r="Z127" i="7"/>
  <c r="AA132" i="7"/>
  <c r="Z137" i="7"/>
  <c r="AA137" i="7"/>
  <c r="AC132" i="7"/>
  <c r="AB130" i="7"/>
  <c r="Z134" i="7"/>
  <c r="Z130" i="7"/>
  <c r="AA134" i="7"/>
  <c r="Z132" i="7"/>
  <c r="AE76" i="7"/>
  <c r="M76" i="7"/>
  <c r="W76" i="7" s="1"/>
  <c r="L76" i="7"/>
  <c r="AE75" i="7"/>
  <c r="M75" i="7"/>
  <c r="W75" i="7" s="1"/>
  <c r="L75" i="7"/>
  <c r="AE74" i="7"/>
  <c r="M74" i="7"/>
  <c r="W74" i="7" s="1"/>
  <c r="L74" i="7"/>
  <c r="AE72" i="7"/>
  <c r="M72" i="7"/>
  <c r="W72" i="7" s="1"/>
  <c r="L72" i="7"/>
  <c r="AE71" i="7"/>
  <c r="M71" i="7"/>
  <c r="W71" i="7" s="1"/>
  <c r="L71" i="7"/>
  <c r="BX74" i="7" l="1"/>
  <c r="BX71" i="7"/>
  <c r="BX76" i="7"/>
  <c r="BX72" i="7"/>
  <c r="BX75" i="7"/>
  <c r="V71" i="7"/>
  <c r="X71" i="7" s="1"/>
  <c r="Y71" i="7" s="1"/>
  <c r="T71" i="7"/>
  <c r="U71" i="7" s="1"/>
  <c r="V74" i="7"/>
  <c r="X74" i="7" s="1"/>
  <c r="Y74" i="7" s="1"/>
  <c r="T74" i="7"/>
  <c r="U74" i="7" s="1"/>
  <c r="V72" i="7"/>
  <c r="X72" i="7" s="1"/>
  <c r="Y72" i="7" s="1"/>
  <c r="T72" i="7"/>
  <c r="U72" i="7" s="1"/>
  <c r="V76" i="7"/>
  <c r="X76" i="7" s="1"/>
  <c r="Y76" i="7" s="1"/>
  <c r="T76" i="7"/>
  <c r="U76" i="7" s="1"/>
  <c r="V75" i="7"/>
  <c r="X75" i="7" s="1"/>
  <c r="Y75" i="7" s="1"/>
  <c r="T75" i="7"/>
  <c r="U75" i="7" s="1"/>
  <c r="AB74" i="7"/>
  <c r="AB71" i="7"/>
  <c r="AB76" i="7"/>
  <c r="Z72" i="7"/>
  <c r="AA75" i="7"/>
  <c r="AC72" i="7"/>
  <c r="AC74" i="7"/>
  <c r="AA71" i="7"/>
  <c r="AC71" i="7"/>
  <c r="Z76" i="7"/>
  <c r="AB75" i="7"/>
  <c r="AC76" i="7"/>
  <c r="AA76" i="7"/>
  <c r="Z74" i="7"/>
  <c r="AB72" i="7"/>
  <c r="Z71" i="7"/>
  <c r="AC75" i="7"/>
  <c r="AA72" i="7"/>
  <c r="AA74" i="7"/>
  <c r="Z75" i="7"/>
  <c r="AE82" i="7" l="1"/>
  <c r="M82" i="7"/>
  <c r="W82" i="7" s="1"/>
  <c r="L82" i="7"/>
  <c r="AE81" i="7"/>
  <c r="M81" i="7"/>
  <c r="W81" i="7" s="1"/>
  <c r="L81" i="7"/>
  <c r="AE70" i="7"/>
  <c r="M70" i="7"/>
  <c r="W70" i="7" s="1"/>
  <c r="L70" i="7"/>
  <c r="AE69" i="7"/>
  <c r="M69" i="7"/>
  <c r="W69" i="7" s="1"/>
  <c r="L69" i="7"/>
  <c r="AE68" i="7"/>
  <c r="M68" i="7"/>
  <c r="W68" i="7" s="1"/>
  <c r="L68" i="7"/>
  <c r="AE67" i="7"/>
  <c r="M67" i="7"/>
  <c r="W67" i="7" s="1"/>
  <c r="L67" i="7"/>
  <c r="AE66" i="7"/>
  <c r="M66" i="7"/>
  <c r="W66" i="7" s="1"/>
  <c r="L66" i="7"/>
  <c r="AE65" i="7"/>
  <c r="AC65" i="7"/>
  <c r="M65" i="7"/>
  <c r="W65" i="7" s="1"/>
  <c r="L65" i="7"/>
  <c r="AE62" i="7"/>
  <c r="M62" i="7"/>
  <c r="W62" i="7" s="1"/>
  <c r="L62" i="7"/>
  <c r="AE59" i="7"/>
  <c r="M59" i="7"/>
  <c r="W59" i="7" s="1"/>
  <c r="L59" i="7"/>
  <c r="AE57" i="7"/>
  <c r="M57" i="7"/>
  <c r="W57" i="7" s="1"/>
  <c r="L57" i="7"/>
  <c r="AE91" i="7"/>
  <c r="M91" i="7"/>
  <c r="W91" i="7" s="1"/>
  <c r="L91" i="7"/>
  <c r="AE90" i="7"/>
  <c r="M90" i="7"/>
  <c r="W90" i="7" s="1"/>
  <c r="L90" i="7"/>
  <c r="AE86" i="7"/>
  <c r="M86" i="7"/>
  <c r="W86" i="7" s="1"/>
  <c r="L86" i="7"/>
  <c r="AE85" i="7"/>
  <c r="M85" i="7"/>
  <c r="W85" i="7" s="1"/>
  <c r="L85" i="7"/>
  <c r="AE84" i="7"/>
  <c r="M84" i="7"/>
  <c r="W84" i="7" s="1"/>
  <c r="L84" i="7"/>
  <c r="AE83" i="7"/>
  <c r="M83" i="7"/>
  <c r="W83" i="7" s="1"/>
  <c r="L83" i="7"/>
  <c r="AE98" i="7"/>
  <c r="M98" i="7"/>
  <c r="W98" i="7" s="1"/>
  <c r="L98" i="7"/>
  <c r="AE93" i="7"/>
  <c r="M93" i="7"/>
  <c r="L93" i="7"/>
  <c r="AE92" i="7"/>
  <c r="M92" i="7"/>
  <c r="W92" i="7" s="1"/>
  <c r="L92" i="7"/>
  <c r="AE104" i="7"/>
  <c r="M104" i="7"/>
  <c r="W104" i="7" s="1"/>
  <c r="L104" i="7"/>
  <c r="AE107" i="7"/>
  <c r="AC107" i="7"/>
  <c r="M107" i="7"/>
  <c r="W107" i="7" s="1"/>
  <c r="L107" i="7"/>
  <c r="AE40" i="7"/>
  <c r="AC40" i="7"/>
  <c r="M40" i="7"/>
  <c r="W40" i="7" s="1"/>
  <c r="L40" i="7"/>
  <c r="BX68" i="7" l="1"/>
  <c r="BX82" i="7"/>
  <c r="BX93" i="7"/>
  <c r="BX85" i="7"/>
  <c r="BX67" i="7"/>
  <c r="BX81" i="7"/>
  <c r="BX98" i="7"/>
  <c r="BX40" i="7"/>
  <c r="BX69" i="7"/>
  <c r="BX66" i="7"/>
  <c r="BX70" i="7"/>
  <c r="BX107" i="7"/>
  <c r="BX104" i="7"/>
  <c r="BX83" i="7"/>
  <c r="BX57" i="7"/>
  <c r="BX86" i="7"/>
  <c r="BX59" i="7"/>
  <c r="BX90" i="7"/>
  <c r="BX62" i="7"/>
  <c r="BX92" i="7"/>
  <c r="BX84" i="7"/>
  <c r="BX91" i="7"/>
  <c r="BX65" i="7"/>
  <c r="V93" i="7"/>
  <c r="S93" i="7" s="1"/>
  <c r="AC93" i="7" s="1"/>
  <c r="V40" i="7"/>
  <c r="X40" i="7" s="1"/>
  <c r="Y40" i="7" s="1"/>
  <c r="T40" i="7"/>
  <c r="U40" i="7" s="1"/>
  <c r="V66" i="7"/>
  <c r="X66" i="7" s="1"/>
  <c r="Y66" i="7" s="1"/>
  <c r="T66" i="7"/>
  <c r="U66" i="7" s="1"/>
  <c r="V70" i="7"/>
  <c r="X70" i="7" s="1"/>
  <c r="Y70" i="7" s="1"/>
  <c r="T70" i="7"/>
  <c r="U70" i="7" s="1"/>
  <c r="V85" i="7"/>
  <c r="X85" i="7" s="1"/>
  <c r="Y85" i="7" s="1"/>
  <c r="T85" i="7"/>
  <c r="U85" i="7" s="1"/>
  <c r="T107" i="7"/>
  <c r="U107" i="7" s="1"/>
  <c r="V107" i="7"/>
  <c r="X107" i="7" s="1"/>
  <c r="Y107" i="7" s="1"/>
  <c r="T86" i="7"/>
  <c r="U86" i="7" s="1"/>
  <c r="V86" i="7"/>
  <c r="X86" i="7" s="1"/>
  <c r="Y86" i="7" s="1"/>
  <c r="V59" i="7"/>
  <c r="X59" i="7" s="1"/>
  <c r="Y59" i="7" s="1"/>
  <c r="T59" i="7"/>
  <c r="U59" i="7" s="1"/>
  <c r="T67" i="7"/>
  <c r="U67" i="7" s="1"/>
  <c r="V67" i="7"/>
  <c r="X67" i="7" s="1"/>
  <c r="Y67" i="7" s="1"/>
  <c r="V81" i="7"/>
  <c r="X81" i="7" s="1"/>
  <c r="Y81" i="7" s="1"/>
  <c r="T81" i="7"/>
  <c r="U81" i="7" s="1"/>
  <c r="V98" i="7"/>
  <c r="X98" i="7" s="1"/>
  <c r="Y98" i="7" s="1"/>
  <c r="T98" i="7"/>
  <c r="U98" i="7" s="1"/>
  <c r="T104" i="7"/>
  <c r="U104" i="7" s="1"/>
  <c r="V104" i="7"/>
  <c r="X104" i="7" s="1"/>
  <c r="Y104" i="7" s="1"/>
  <c r="V83" i="7"/>
  <c r="X83" i="7" s="1"/>
  <c r="Y83" i="7" s="1"/>
  <c r="T83" i="7"/>
  <c r="U83" i="7" s="1"/>
  <c r="V90" i="7"/>
  <c r="X90" i="7" s="1"/>
  <c r="Y90" i="7" s="1"/>
  <c r="T90" i="7"/>
  <c r="U90" i="7" s="1"/>
  <c r="V62" i="7"/>
  <c r="X62" i="7" s="1"/>
  <c r="Y62" i="7" s="1"/>
  <c r="T62" i="7"/>
  <c r="U62" i="7" s="1"/>
  <c r="V69" i="7"/>
  <c r="X69" i="7" s="1"/>
  <c r="Y69" i="7" s="1"/>
  <c r="T69" i="7"/>
  <c r="U69" i="7" s="1"/>
  <c r="T57" i="7"/>
  <c r="U57" i="7" s="1"/>
  <c r="V57" i="7"/>
  <c r="X57" i="7" s="1"/>
  <c r="Y57" i="7" s="1"/>
  <c r="V68" i="7"/>
  <c r="X68" i="7" s="1"/>
  <c r="Y68" i="7" s="1"/>
  <c r="T68" i="7"/>
  <c r="U68" i="7" s="1"/>
  <c r="V82" i="7"/>
  <c r="X82" i="7" s="1"/>
  <c r="Y82" i="7" s="1"/>
  <c r="T82" i="7"/>
  <c r="U82" i="7" s="1"/>
  <c r="V92" i="7"/>
  <c r="X92" i="7" s="1"/>
  <c r="Y92" i="7" s="1"/>
  <c r="T92" i="7"/>
  <c r="U92" i="7" s="1"/>
  <c r="V84" i="7"/>
  <c r="X84" i="7" s="1"/>
  <c r="Y84" i="7" s="1"/>
  <c r="T84" i="7"/>
  <c r="U84" i="7" s="1"/>
  <c r="T91" i="7"/>
  <c r="U91" i="7" s="1"/>
  <c r="V91" i="7"/>
  <c r="X91" i="7" s="1"/>
  <c r="Y91" i="7" s="1"/>
  <c r="T65" i="7"/>
  <c r="U65" i="7" s="1"/>
  <c r="V65" i="7"/>
  <c r="X65" i="7" s="1"/>
  <c r="Y65" i="7" s="1"/>
  <c r="AB83" i="7"/>
  <c r="AB92" i="7"/>
  <c r="AB104" i="7"/>
  <c r="AB67" i="7"/>
  <c r="AB85" i="7"/>
  <c r="AB62" i="7"/>
  <c r="AB98" i="7"/>
  <c r="AB68" i="7"/>
  <c r="AB107" i="7"/>
  <c r="AB86" i="7"/>
  <c r="AB81" i="7"/>
  <c r="AA57" i="7"/>
  <c r="AA91" i="7"/>
  <c r="Z90" i="7"/>
  <c r="Z93" i="7"/>
  <c r="AA82" i="7"/>
  <c r="AA84" i="7"/>
  <c r="AA66" i="7"/>
  <c r="AA70" i="7"/>
  <c r="Z59" i="7"/>
  <c r="AA65" i="7"/>
  <c r="Z69" i="7"/>
  <c r="AC82" i="7"/>
  <c r="AC83" i="7"/>
  <c r="AC69" i="7"/>
  <c r="AC62" i="7"/>
  <c r="AC81" i="7"/>
  <c r="AC68" i="7"/>
  <c r="Z57" i="7"/>
  <c r="Z70" i="7"/>
  <c r="AB65" i="7"/>
  <c r="AB82" i="7"/>
  <c r="AB90" i="7"/>
  <c r="AC91" i="7"/>
  <c r="AC57" i="7"/>
  <c r="AB57" i="7"/>
  <c r="AC59" i="7"/>
  <c r="AB59" i="7"/>
  <c r="AA69" i="7"/>
  <c r="AC70" i="7"/>
  <c r="AB70" i="7"/>
  <c r="AB69" i="7"/>
  <c r="AC85" i="7"/>
  <c r="AA59" i="7"/>
  <c r="AC84" i="7"/>
  <c r="Z67" i="7"/>
  <c r="Z65" i="7"/>
  <c r="Z66" i="7"/>
  <c r="AA67" i="7"/>
  <c r="Z82" i="7"/>
  <c r="AB91" i="7"/>
  <c r="AA90" i="7"/>
  <c r="AC66" i="7"/>
  <c r="AB66" i="7"/>
  <c r="AC67" i="7"/>
  <c r="Z62" i="7"/>
  <c r="Z68" i="7"/>
  <c r="Z81" i="7"/>
  <c r="Z91" i="7"/>
  <c r="AA62" i="7"/>
  <c r="AA68" i="7"/>
  <c r="AA81" i="7"/>
  <c r="AC90" i="7"/>
  <c r="Z83" i="7"/>
  <c r="Z84" i="7"/>
  <c r="Z85" i="7"/>
  <c r="AA83" i="7"/>
  <c r="AB84" i="7"/>
  <c r="AA85" i="7"/>
  <c r="AC86" i="7"/>
  <c r="AC92" i="7"/>
  <c r="Z86" i="7"/>
  <c r="AA86" i="7"/>
  <c r="AC98" i="7"/>
  <c r="AC104" i="7"/>
  <c r="AA93" i="7"/>
  <c r="AB93" i="7"/>
  <c r="Z98" i="7"/>
  <c r="Z104" i="7"/>
  <c r="AA98" i="7"/>
  <c r="Z92" i="7"/>
  <c r="AA92" i="7"/>
  <c r="AA104" i="7"/>
  <c r="Z107" i="7"/>
  <c r="AA107" i="7"/>
  <c r="AB40" i="7"/>
  <c r="Z40" i="7"/>
  <c r="AA40" i="7"/>
  <c r="X93" i="7" l="1"/>
  <c r="Y93" i="7" s="1"/>
  <c r="AE43" i="7"/>
  <c r="AC43" i="7"/>
  <c r="M43" i="7"/>
  <c r="W43" i="7" s="1"/>
  <c r="L43" i="7"/>
  <c r="AE202" i="7"/>
  <c r="AB202" i="7"/>
  <c r="AE196" i="7"/>
  <c r="AA196" i="7"/>
  <c r="AE195" i="7"/>
  <c r="M195" i="7"/>
  <c r="L195" i="7"/>
  <c r="AE194" i="7"/>
  <c r="M194" i="7"/>
  <c r="L194" i="7"/>
  <c r="AE193" i="7"/>
  <c r="M193" i="7"/>
  <c r="W193" i="7" s="1"/>
  <c r="L193" i="7"/>
  <c r="AE192" i="7"/>
  <c r="M192" i="7"/>
  <c r="W192" i="7" s="1"/>
  <c r="L192" i="7"/>
  <c r="AE191" i="7"/>
  <c r="M191" i="7"/>
  <c r="W191" i="7" s="1"/>
  <c r="L191" i="7"/>
  <c r="AE181" i="7"/>
  <c r="M181" i="7"/>
  <c r="W181" i="7" s="1"/>
  <c r="L181" i="7"/>
  <c r="AE178" i="7"/>
  <c r="M178" i="7"/>
  <c r="W178" i="7" s="1"/>
  <c r="L178" i="7"/>
  <c r="AE139" i="7"/>
  <c r="M139" i="7"/>
  <c r="W139" i="7" s="1"/>
  <c r="L139" i="7"/>
  <c r="AE135" i="7"/>
  <c r="M135" i="7"/>
  <c r="W135" i="7" s="1"/>
  <c r="L135" i="7"/>
  <c r="AE125" i="7"/>
  <c r="M125" i="7"/>
  <c r="W125" i="7" s="1"/>
  <c r="L125" i="7"/>
  <c r="AE124" i="7"/>
  <c r="AC124" i="7"/>
  <c r="M124" i="7"/>
  <c r="W124" i="7" s="1"/>
  <c r="L124" i="7"/>
  <c r="AE123" i="7"/>
  <c r="M123" i="7"/>
  <c r="W123" i="7" s="1"/>
  <c r="L123" i="7"/>
  <c r="AE122" i="7"/>
  <c r="AC122" i="7"/>
  <c r="M122" i="7"/>
  <c r="W122" i="7" s="1"/>
  <c r="L122" i="7"/>
  <c r="AE121" i="7"/>
  <c r="AC121" i="7"/>
  <c r="M121" i="7"/>
  <c r="W121" i="7" s="1"/>
  <c r="L121" i="7"/>
  <c r="AE56" i="7"/>
  <c r="M56" i="7"/>
  <c r="W56" i="7" s="1"/>
  <c r="L56" i="7"/>
  <c r="AE55" i="7"/>
  <c r="M55" i="7"/>
  <c r="W55" i="7" s="1"/>
  <c r="L55" i="7"/>
  <c r="AE51" i="7"/>
  <c r="M51" i="7"/>
  <c r="W51" i="7" s="1"/>
  <c r="L51" i="7"/>
  <c r="AE50" i="7"/>
  <c r="AC50" i="7"/>
  <c r="M50" i="7"/>
  <c r="W50" i="7" s="1"/>
  <c r="L50" i="7"/>
  <c r="AE49" i="7"/>
  <c r="AC49" i="7"/>
  <c r="M49" i="7"/>
  <c r="W49" i="7" s="1"/>
  <c r="L49" i="7"/>
  <c r="AE44" i="7"/>
  <c r="AC44" i="7"/>
  <c r="M44" i="7"/>
  <c r="W44" i="7" s="1"/>
  <c r="L44" i="7"/>
  <c r="AE42" i="7"/>
  <c r="M42" i="7"/>
  <c r="W42" i="7" s="1"/>
  <c r="L42" i="7"/>
  <c r="AE41" i="7"/>
  <c r="M41" i="7"/>
  <c r="W41" i="7" s="1"/>
  <c r="L41" i="7"/>
  <c r="AE39" i="7"/>
  <c r="M39" i="7"/>
  <c r="W39" i="7" s="1"/>
  <c r="L39" i="7"/>
  <c r="AE36" i="7"/>
  <c r="M36" i="7"/>
  <c r="W36" i="7" s="1"/>
  <c r="L36" i="7"/>
  <c r="AE33" i="7"/>
  <c r="AC33" i="7"/>
  <c r="M33" i="7"/>
  <c r="W33" i="7" s="1"/>
  <c r="L33" i="7"/>
  <c r="AE32" i="7"/>
  <c r="AC32" i="7"/>
  <c r="M32" i="7"/>
  <c r="W32" i="7" s="1"/>
  <c r="L32" i="7"/>
  <c r="AE31" i="7"/>
  <c r="AC31" i="7"/>
  <c r="M31" i="7"/>
  <c r="W31" i="7" s="1"/>
  <c r="L31" i="7"/>
  <c r="AE30" i="7"/>
  <c r="AC30" i="7"/>
  <c r="M30" i="7"/>
  <c r="W30" i="7" s="1"/>
  <c r="L30" i="7"/>
  <c r="AE29" i="7"/>
  <c r="M29" i="7"/>
  <c r="W29" i="7" s="1"/>
  <c r="L29" i="7"/>
  <c r="AE28" i="7"/>
  <c r="M28" i="7"/>
  <c r="W28" i="7" s="1"/>
  <c r="L28" i="7"/>
  <c r="AE27" i="7"/>
  <c r="AC27" i="7"/>
  <c r="M27" i="7"/>
  <c r="W27" i="7" s="1"/>
  <c r="L27" i="7"/>
  <c r="AE26" i="7"/>
  <c r="M26" i="7"/>
  <c r="W26" i="7" s="1"/>
  <c r="L26" i="7"/>
  <c r="AE25" i="7"/>
  <c r="M25" i="7"/>
  <c r="W25" i="7" s="1"/>
  <c r="L25" i="7"/>
  <c r="AE20" i="7"/>
  <c r="M20" i="7"/>
  <c r="L20" i="7"/>
  <c r="AE15" i="7"/>
  <c r="AB15" i="7"/>
  <c r="M15" i="7"/>
  <c r="L15" i="7"/>
  <c r="AE14" i="7"/>
  <c r="M14" i="7"/>
  <c r="L14" i="7"/>
  <c r="AE13" i="7"/>
  <c r="M13" i="7"/>
  <c r="W13" i="7" s="1"/>
  <c r="L13" i="7"/>
  <c r="AE12" i="7"/>
  <c r="AC12" i="7"/>
  <c r="M12" i="7"/>
  <c r="W12" i="7" s="1"/>
  <c r="L12" i="7"/>
  <c r="AE11" i="7"/>
  <c r="M11" i="7"/>
  <c r="L11" i="7"/>
  <c r="BX20" i="7" l="1"/>
  <c r="BX25" i="7"/>
  <c r="BX32" i="7"/>
  <c r="BX49" i="7"/>
  <c r="BX13" i="7"/>
  <c r="BX39" i="7"/>
  <c r="BX55" i="7"/>
  <c r="BX135" i="7"/>
  <c r="BX191" i="7"/>
  <c r="BX195" i="7"/>
  <c r="BX26" i="7"/>
  <c r="BX14" i="7"/>
  <c r="BX41" i="7"/>
  <c r="BX56" i="7"/>
  <c r="BX122" i="7"/>
  <c r="BX11" i="7"/>
  <c r="BX27" i="7"/>
  <c r="BX43" i="7"/>
  <c r="BX139" i="7"/>
  <c r="BX192" i="7"/>
  <c r="BX15" i="7"/>
  <c r="BX42" i="7"/>
  <c r="BX121" i="7"/>
  <c r="BX178" i="7"/>
  <c r="BX31" i="7"/>
  <c r="BX36" i="7"/>
  <c r="BX44" i="7"/>
  <c r="BX51" i="7"/>
  <c r="BX125" i="7"/>
  <c r="BX181" i="7"/>
  <c r="BX194" i="7"/>
  <c r="BX29" i="7"/>
  <c r="BX123" i="7"/>
  <c r="BX30" i="7"/>
  <c r="BX33" i="7"/>
  <c r="BX50" i="7"/>
  <c r="BX124" i="7"/>
  <c r="BX193" i="7"/>
  <c r="BX12" i="7"/>
  <c r="BX28" i="7"/>
  <c r="V14" i="7"/>
  <c r="V15" i="7"/>
  <c r="V195" i="7"/>
  <c r="V194" i="7"/>
  <c r="V20" i="7"/>
  <c r="V44" i="7"/>
  <c r="X44" i="7" s="1"/>
  <c r="Y44" i="7" s="1"/>
  <c r="T44" i="7"/>
  <c r="U44" i="7" s="1"/>
  <c r="V51" i="7"/>
  <c r="X51" i="7" s="1"/>
  <c r="Y51" i="7" s="1"/>
  <c r="T51" i="7"/>
  <c r="U51" i="7" s="1"/>
  <c r="V125" i="7"/>
  <c r="X125" i="7" s="1"/>
  <c r="Y125" i="7" s="1"/>
  <c r="T125" i="7"/>
  <c r="U125" i="7" s="1"/>
  <c r="V181" i="7"/>
  <c r="X181" i="7" s="1"/>
  <c r="Y181" i="7" s="1"/>
  <c r="T181" i="7"/>
  <c r="U181" i="7" s="1"/>
  <c r="V122" i="7"/>
  <c r="X122" i="7" s="1"/>
  <c r="Y122" i="7" s="1"/>
  <c r="T122" i="7"/>
  <c r="U122" i="7" s="1"/>
  <c r="V36" i="7"/>
  <c r="X36" i="7" s="1"/>
  <c r="Y36" i="7" s="1"/>
  <c r="T36" i="7"/>
  <c r="U36" i="7" s="1"/>
  <c r="V13" i="7"/>
  <c r="X13" i="7" s="1"/>
  <c r="Y13" i="7" s="1"/>
  <c r="T13" i="7"/>
  <c r="U13" i="7" s="1"/>
  <c r="V39" i="7"/>
  <c r="X39" i="7" s="1"/>
  <c r="Y39" i="7" s="1"/>
  <c r="T39" i="7"/>
  <c r="U39" i="7" s="1"/>
  <c r="V55" i="7"/>
  <c r="X55" i="7" s="1"/>
  <c r="Y55" i="7" s="1"/>
  <c r="T55" i="7"/>
  <c r="U55" i="7" s="1"/>
  <c r="V135" i="7"/>
  <c r="X135" i="7" s="1"/>
  <c r="Y135" i="7" s="1"/>
  <c r="T135" i="7"/>
  <c r="U135" i="7" s="1"/>
  <c r="V191" i="7"/>
  <c r="X191" i="7" s="1"/>
  <c r="Y191" i="7" s="1"/>
  <c r="T191" i="7"/>
  <c r="U191" i="7" s="1"/>
  <c r="V31" i="7"/>
  <c r="X31" i="7" s="1"/>
  <c r="Y31" i="7" s="1"/>
  <c r="T31" i="7"/>
  <c r="U31" i="7" s="1"/>
  <c r="V28" i="7"/>
  <c r="X28" i="7" s="1"/>
  <c r="Y28" i="7" s="1"/>
  <c r="T28" i="7"/>
  <c r="U28" i="7" s="1"/>
  <c r="V49" i="7"/>
  <c r="X49" i="7" s="1"/>
  <c r="Y49" i="7" s="1"/>
  <c r="T49" i="7"/>
  <c r="U49" i="7" s="1"/>
  <c r="V12" i="7"/>
  <c r="X12" i="7" s="1"/>
  <c r="Y12" i="7" s="1"/>
  <c r="T12" i="7"/>
  <c r="U12" i="7" s="1"/>
  <c r="V29" i="7"/>
  <c r="X29" i="7" s="1"/>
  <c r="Y29" i="7" s="1"/>
  <c r="T29" i="7"/>
  <c r="U29" i="7" s="1"/>
  <c r="V123" i="7"/>
  <c r="X123" i="7" s="1"/>
  <c r="Y123" i="7" s="1"/>
  <c r="T123" i="7"/>
  <c r="U123" i="7" s="1"/>
  <c r="V41" i="7"/>
  <c r="X41" i="7" s="1"/>
  <c r="Y41" i="7" s="1"/>
  <c r="T41" i="7"/>
  <c r="U41" i="7" s="1"/>
  <c r="V56" i="7"/>
  <c r="X56" i="7" s="1"/>
  <c r="Y56" i="7" s="1"/>
  <c r="T56" i="7"/>
  <c r="U56" i="7" s="1"/>
  <c r="V139" i="7"/>
  <c r="X139" i="7" s="1"/>
  <c r="Y139" i="7" s="1"/>
  <c r="T139" i="7"/>
  <c r="U139" i="7" s="1"/>
  <c r="V192" i="7"/>
  <c r="X192" i="7" s="1"/>
  <c r="Y192" i="7" s="1"/>
  <c r="T192" i="7"/>
  <c r="U192" i="7" s="1"/>
  <c r="V32" i="7"/>
  <c r="X32" i="7" s="1"/>
  <c r="Y32" i="7" s="1"/>
  <c r="T32" i="7"/>
  <c r="U32" i="7" s="1"/>
  <c r="V26" i="7"/>
  <c r="X26" i="7" s="1"/>
  <c r="Y26" i="7" s="1"/>
  <c r="T26" i="7"/>
  <c r="U26" i="7" s="1"/>
  <c r="V43" i="7"/>
  <c r="X43" i="7" s="1"/>
  <c r="Y43" i="7" s="1"/>
  <c r="T43" i="7"/>
  <c r="U43" i="7" s="1"/>
  <c r="V30" i="7"/>
  <c r="X30" i="7" s="1"/>
  <c r="Y30" i="7" s="1"/>
  <c r="T30" i="7"/>
  <c r="U30" i="7" s="1"/>
  <c r="V33" i="7"/>
  <c r="X33" i="7" s="1"/>
  <c r="Y33" i="7" s="1"/>
  <c r="T33" i="7"/>
  <c r="U33" i="7" s="1"/>
  <c r="V50" i="7"/>
  <c r="X50" i="7" s="1"/>
  <c r="Y50" i="7" s="1"/>
  <c r="T50" i="7"/>
  <c r="U50" i="7" s="1"/>
  <c r="V124" i="7"/>
  <c r="X124" i="7" s="1"/>
  <c r="Y124" i="7" s="1"/>
  <c r="T124" i="7"/>
  <c r="U124" i="7" s="1"/>
  <c r="V25" i="7"/>
  <c r="X25" i="7" s="1"/>
  <c r="Y25" i="7" s="1"/>
  <c r="T25" i="7"/>
  <c r="U25" i="7" s="1"/>
  <c r="V42" i="7"/>
  <c r="X42" i="7" s="1"/>
  <c r="Y42" i="7" s="1"/>
  <c r="T42" i="7"/>
  <c r="U42" i="7" s="1"/>
  <c r="V121" i="7"/>
  <c r="X121" i="7" s="1"/>
  <c r="Y121" i="7" s="1"/>
  <c r="T121" i="7"/>
  <c r="U121" i="7" s="1"/>
  <c r="V178" i="7"/>
  <c r="X178" i="7" s="1"/>
  <c r="Y178" i="7" s="1"/>
  <c r="T178" i="7"/>
  <c r="U178" i="7" s="1"/>
  <c r="V193" i="7"/>
  <c r="X193" i="7" s="1"/>
  <c r="Y193" i="7" s="1"/>
  <c r="T193" i="7"/>
  <c r="U193" i="7" s="1"/>
  <c r="V27" i="7"/>
  <c r="X27" i="7" s="1"/>
  <c r="Y27" i="7" s="1"/>
  <c r="T27" i="7"/>
  <c r="U27" i="7" s="1"/>
  <c r="AC202" i="7"/>
  <c r="AC196" i="7"/>
  <c r="Z194" i="7"/>
  <c r="AA192" i="7"/>
  <c r="AA193" i="7"/>
  <c r="Z181" i="7"/>
  <c r="AC178" i="7"/>
  <c r="Z135" i="7"/>
  <c r="AC135" i="7"/>
  <c r="AC139" i="7"/>
  <c r="AA139" i="7"/>
  <c r="AA125" i="7"/>
  <c r="AB43" i="7"/>
  <c r="Z41" i="7"/>
  <c r="Z12" i="7"/>
  <c r="AA42" i="7"/>
  <c r="AC56" i="7"/>
  <c r="Z14" i="7"/>
  <c r="Z43" i="7"/>
  <c r="AB11" i="7"/>
  <c r="AA43" i="7"/>
  <c r="AA49" i="7"/>
  <c r="AB13" i="7"/>
  <c r="AB44" i="7"/>
  <c r="T11" i="7"/>
  <c r="U11" i="7" s="1"/>
  <c r="AC55" i="7"/>
  <c r="V11" i="7"/>
  <c r="W11" i="7"/>
  <c r="AA32" i="7"/>
  <c r="AB27" i="7"/>
  <c r="AC193" i="7"/>
  <c r="AB25" i="7"/>
  <c r="AA121" i="7"/>
  <c r="AC192" i="7"/>
  <c r="AC125" i="7"/>
  <c r="AC191" i="7"/>
  <c r="AA33" i="7"/>
  <c r="AB50" i="7"/>
  <c r="AB193" i="7"/>
  <c r="Z202" i="7"/>
  <c r="AB31" i="7"/>
  <c r="AA202" i="7"/>
  <c r="AB196" i="7"/>
  <c r="AB139" i="7"/>
  <c r="AB122" i="7"/>
  <c r="AB125" i="7"/>
  <c r="AB14" i="7"/>
  <c r="AB178" i="7"/>
  <c r="AA178" i="7"/>
  <c r="Z178" i="7"/>
  <c r="AA15" i="7"/>
  <c r="AB33" i="7"/>
  <c r="Z139" i="7"/>
  <c r="AA181" i="7"/>
  <c r="Z196" i="7"/>
  <c r="Z44" i="7"/>
  <c r="Z49" i="7"/>
  <c r="Z121" i="7"/>
  <c r="AB42" i="7"/>
  <c r="AA44" i="7"/>
  <c r="AB49" i="7"/>
  <c r="Z50" i="7"/>
  <c r="AB121" i="7"/>
  <c r="Z122" i="7"/>
  <c r="Z192" i="7"/>
  <c r="AA41" i="7"/>
  <c r="AA50" i="7"/>
  <c r="AA122" i="7"/>
  <c r="AB192" i="7"/>
  <c r="Z193" i="7"/>
  <c r="AB30" i="7"/>
  <c r="AB41" i="7"/>
  <c r="AC51" i="7"/>
  <c r="AC123" i="7"/>
  <c r="AA135" i="7"/>
  <c r="AA194" i="7"/>
  <c r="Z26" i="7"/>
  <c r="AB29" i="7"/>
  <c r="Z36" i="7"/>
  <c r="Z125" i="7"/>
  <c r="Z39" i="7"/>
  <c r="AA31" i="7"/>
  <c r="AB39" i="7"/>
  <c r="AC39" i="7"/>
  <c r="Z33" i="7"/>
  <c r="AC29" i="7"/>
  <c r="Z20" i="7"/>
  <c r="AA39" i="7"/>
  <c r="AC26" i="7"/>
  <c r="AC11" i="7"/>
  <c r="AB12" i="7"/>
  <c r="AC13" i="7"/>
  <c r="AA30" i="7"/>
  <c r="Z13" i="7"/>
  <c r="Z29" i="7"/>
  <c r="AA11" i="7"/>
  <c r="Z28" i="7"/>
  <c r="AB28" i="7"/>
  <c r="AA26" i="7"/>
  <c r="Z25" i="7"/>
  <c r="AB26" i="7"/>
  <c r="AA27" i="7"/>
  <c r="AC28" i="7"/>
  <c r="AB20" i="7"/>
  <c r="AC25" i="7"/>
  <c r="AA14" i="7"/>
  <c r="AA12" i="7"/>
  <c r="AA20" i="7"/>
  <c r="AA28" i="7"/>
  <c r="AB32" i="7"/>
  <c r="AB124" i="7"/>
  <c r="AA124" i="7"/>
  <c r="Z124" i="7"/>
  <c r="AA13" i="7"/>
  <c r="AA25" i="7"/>
  <c r="AA29" i="7"/>
  <c r="AA36" i="7"/>
  <c r="AB56" i="7"/>
  <c r="AA56" i="7"/>
  <c r="Z56" i="7"/>
  <c r="Z123" i="7"/>
  <c r="AB123" i="7"/>
  <c r="AA123" i="7"/>
  <c r="Z30" i="7"/>
  <c r="AC36" i="7"/>
  <c r="AB36" i="7"/>
  <c r="Z42" i="7"/>
  <c r="Z55" i="7"/>
  <c r="AB55" i="7"/>
  <c r="AA55" i="7"/>
  <c r="AB195" i="7"/>
  <c r="AA195" i="7"/>
  <c r="Z195" i="7"/>
  <c r="Z11" i="7"/>
  <c r="Z15" i="7"/>
  <c r="Z27" i="7"/>
  <c r="Z31" i="7"/>
  <c r="AC41" i="7"/>
  <c r="AC42" i="7"/>
  <c r="Z51" i="7"/>
  <c r="AB51" i="7"/>
  <c r="AA51" i="7"/>
  <c r="AB191" i="7"/>
  <c r="AA191" i="7"/>
  <c r="Z191" i="7"/>
  <c r="Z32" i="7"/>
  <c r="AB135" i="7"/>
  <c r="AB181" i="7"/>
  <c r="AB194" i="7"/>
  <c r="X20" i="7" l="1"/>
  <c r="S20" i="7"/>
  <c r="AC20" i="7" s="1"/>
  <c r="X194" i="7"/>
  <c r="S194" i="7"/>
  <c r="AC194" i="7" s="1"/>
  <c r="X195" i="7"/>
  <c r="S195" i="7"/>
  <c r="AC195" i="7" s="1"/>
  <c r="X15" i="7"/>
  <c r="S15" i="7"/>
  <c r="AC15" i="7" s="1"/>
  <c r="X14" i="7"/>
  <c r="S14" i="7"/>
  <c r="AC14" i="7" s="1"/>
  <c r="AC181" i="7"/>
  <c r="X11" i="7"/>
  <c r="Y11" i="7" s="1"/>
  <c r="Y14" i="7" l="1"/>
  <c r="Y20" i="7"/>
  <c r="Y15" i="7"/>
  <c r="Y195" i="7"/>
  <c r="Y19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FAE71E2B-F53B-464F-B478-DA18B7A55179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FFC46B53-53F6-4C1B-9538-E6E0314FC397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32A45340-C1C5-4D16-8CF0-7B427E65F9F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0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0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935C955A-8A70-4440-B652-8D6BDD01F86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AD30CA60-9F26-4913-88F2-276D513CFD9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D6127253-B9CE-4711-A5E1-B2F411966112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31B1CD0D-348B-4365-A85B-F4BFE9F55EE3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A041A76C-F5E0-445D-A25A-B109766323F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3133E5A-105E-4A6C-B398-5E826F1055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97EB2B83-1522-487C-A7CB-73B56CE39755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343ADC7B-79CF-4043-AA9E-3D77119F623A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346C34A3-144B-4B4E-BA0E-6B916D0C2DA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<sst xmlns="http://schemas.openxmlformats.org/spreadsheetml/2006/main" count="4645" uniqueCount="460">
  <si>
    <t>Mean</t>
  </si>
  <si>
    <t>SPC</t>
    <phoneticPr fontId="17" type="noConversion"/>
  </si>
  <si>
    <t>Description</t>
    <phoneticPr fontId="15"/>
  </si>
  <si>
    <t>USL</t>
  </si>
  <si>
    <t>LSL</t>
  </si>
  <si>
    <t>Maximum</t>
  </si>
  <si>
    <t>Minimum</t>
  </si>
  <si>
    <t>Std Dev</t>
  </si>
  <si>
    <t>Cp</t>
  </si>
  <si>
    <t>UCPK</t>
    <phoneticPr fontId="18" type="noConversion"/>
  </si>
  <si>
    <t>LCPK</t>
    <phoneticPr fontId="18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</si>
  <si>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</si>
  <si>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</si>
  <si>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</si>
  <si>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</si>
  <si>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</si>
  <si>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</si>
  <si>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</si>
  <si>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</si>
  <si>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</si>
  <si>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</si>
  <si>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</si>
  <si>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</si>
  <si>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</si>
  <si>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</si>
  <si>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</si>
  <si>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>Dimension Type</t>
  </si>
  <si>
    <t>GD&amp;T</t>
  </si>
  <si>
    <t>Tolerance</t>
  </si>
  <si>
    <t>Date :</t>
  </si>
  <si>
    <t>Revision</t>
  </si>
  <si>
    <t>Date</t>
  </si>
  <si>
    <t>Revised by</t>
  </si>
  <si>
    <t>Description of Changes</t>
  </si>
  <si>
    <t>Revision Control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</si>
  <si>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</si>
  <si>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</si>
  <si>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</si>
  <si>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</si>
  <si>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</si>
  <si>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</si>
  <si>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</si>
  <si>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</si>
  <si>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</si>
  <si>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</si>
  <si>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t>Notes</t>
  </si>
  <si>
    <t>DO NOT DELETE COLUMNS</t>
  </si>
  <si>
    <t>TOL+</t>
  </si>
  <si>
    <t>TOL-</t>
  </si>
  <si>
    <t>Target Cpk</t>
  </si>
  <si>
    <t>Tolerance needed to hit target Cpk</t>
  </si>
  <si>
    <t>100% Gauged</t>
  </si>
  <si>
    <t>No</t>
  </si>
  <si>
    <t>Tool # / Build / DOE Name :</t>
  </si>
  <si>
    <t>Ca</t>
  </si>
  <si>
    <t>Ca Level</t>
  </si>
  <si>
    <t>Rev 4.3</t>
  </si>
  <si>
    <t>Flatness</t>
  </si>
  <si>
    <t>Parallelism</t>
  </si>
  <si>
    <t>3-1</t>
  </si>
  <si>
    <t>Distance</t>
  </si>
  <si>
    <t>3-2</t>
  </si>
  <si>
    <t>3-3</t>
  </si>
  <si>
    <t>8-1</t>
  </si>
  <si>
    <t>8-2</t>
  </si>
  <si>
    <t>12-1</t>
  </si>
  <si>
    <t>12-2</t>
  </si>
  <si>
    <t>18-1</t>
  </si>
  <si>
    <t>18-2</t>
  </si>
  <si>
    <t>58-1</t>
  </si>
  <si>
    <t>58-2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</si>
  <si>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</si>
  <si>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</si>
  <si>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</si>
  <si>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</si>
  <si>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</si>
  <si>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 xml:space="preserve"> 38-1</t>
  </si>
  <si>
    <t xml:space="preserve"> 38-2</t>
  </si>
  <si>
    <t xml:space="preserve"> 48-1</t>
  </si>
  <si>
    <t xml:space="preserve"> 48-2</t>
  </si>
  <si>
    <t xml:space="preserve"> 48-3</t>
  </si>
  <si>
    <t>27-2</t>
  </si>
  <si>
    <t>27-3</t>
  </si>
  <si>
    <t>27-4</t>
  </si>
  <si>
    <t>16_1</t>
  </si>
  <si>
    <t>16_2</t>
  </si>
  <si>
    <t>18-3</t>
  </si>
  <si>
    <t>27-1</t>
  </si>
  <si>
    <t>81</t>
  </si>
  <si>
    <t>82</t>
  </si>
  <si>
    <t>Distance</t>
    <phoneticPr fontId="48" type="noConversion"/>
  </si>
  <si>
    <t>2CAV</t>
  </si>
  <si>
    <t>3CAV</t>
  </si>
  <si>
    <t>4CAV</t>
  </si>
  <si>
    <t>Dpamstech</t>
    <phoneticPr fontId="48" type="noConversion"/>
  </si>
  <si>
    <t>83</t>
  </si>
  <si>
    <t>84</t>
  </si>
  <si>
    <t>67_1</t>
    <phoneticPr fontId="48" type="noConversion"/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</si>
  <si>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</si>
  <si>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</si>
  <si>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</si>
  <si>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</si>
  <si>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</si>
  <si>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</si>
  <si>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</si>
  <si>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</si>
  <si>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</si>
  <si>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</si>
  <si>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</si>
  <si>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</si>
  <si>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Zhongqi.Li</t>
    <phoneticPr fontId="47" type="noConversion"/>
  </si>
  <si>
    <t>Initial release(for A6.1)</t>
    <phoneticPr fontId="47" type="noConversion"/>
  </si>
  <si>
    <t xml:space="preserve"> 39</t>
    <phoneticPr fontId="48" type="noConversion"/>
  </si>
  <si>
    <t>13-1</t>
    <phoneticPr fontId="48" type="noConversion"/>
  </si>
  <si>
    <t>13-2</t>
  </si>
  <si>
    <t>13-3</t>
  </si>
  <si>
    <t>14-1</t>
    <phoneticPr fontId="48" type="noConversion"/>
  </si>
  <si>
    <t>14-2</t>
  </si>
  <si>
    <t>14-3</t>
  </si>
  <si>
    <t>37-1</t>
    <phoneticPr fontId="48" type="noConversion"/>
  </si>
  <si>
    <t>37-2</t>
  </si>
  <si>
    <t>60-1</t>
    <phoneticPr fontId="48" type="noConversion"/>
  </si>
  <si>
    <t>60-2</t>
  </si>
  <si>
    <t>65-1</t>
    <phoneticPr fontId="48" type="noConversion"/>
  </si>
  <si>
    <t>65-2</t>
  </si>
  <si>
    <t>19-1</t>
    <phoneticPr fontId="48" type="noConversion"/>
  </si>
  <si>
    <t>19-2</t>
  </si>
  <si>
    <t>19-3</t>
  </si>
  <si>
    <t>24-1</t>
    <phoneticPr fontId="48" type="noConversion"/>
  </si>
  <si>
    <t>24-2</t>
  </si>
  <si>
    <t>62-1</t>
    <phoneticPr fontId="48" type="noConversion"/>
  </si>
  <si>
    <t>62-2</t>
  </si>
  <si>
    <t>63-1</t>
    <phoneticPr fontId="48" type="noConversion"/>
  </si>
  <si>
    <t>63-2</t>
    <phoneticPr fontId="48" type="noConversion"/>
  </si>
  <si>
    <t>72-1</t>
    <phoneticPr fontId="48" type="noConversion"/>
  </si>
  <si>
    <t>72-2</t>
  </si>
  <si>
    <t>72-3</t>
  </si>
  <si>
    <t>73-1</t>
    <phoneticPr fontId="48" type="noConversion"/>
  </si>
  <si>
    <t>73-2</t>
  </si>
  <si>
    <t>73-3</t>
  </si>
  <si>
    <t>51-1</t>
    <phoneticPr fontId="48" type="noConversion"/>
  </si>
  <si>
    <t>51-2</t>
  </si>
  <si>
    <t>C</t>
    <phoneticPr fontId="48" type="noConversion"/>
  </si>
  <si>
    <t>E</t>
    <phoneticPr fontId="48" type="noConversion"/>
  </si>
  <si>
    <t>F</t>
    <phoneticPr fontId="48" type="noConversion"/>
  </si>
  <si>
    <t>D</t>
    <phoneticPr fontId="48" type="noConversion"/>
  </si>
  <si>
    <t>G</t>
    <phoneticPr fontId="48" type="noConversion"/>
  </si>
  <si>
    <t>H</t>
    <phoneticPr fontId="48" type="noConversion"/>
  </si>
  <si>
    <t>J</t>
    <phoneticPr fontId="48" type="noConversion"/>
  </si>
  <si>
    <t>I</t>
    <phoneticPr fontId="48" type="noConversion"/>
  </si>
  <si>
    <t>K</t>
    <phoneticPr fontId="48" type="noConversion"/>
  </si>
  <si>
    <t>L</t>
    <phoneticPr fontId="48" type="noConversion"/>
  </si>
  <si>
    <t>M</t>
    <phoneticPr fontId="48" type="noConversion"/>
  </si>
  <si>
    <t>N</t>
    <phoneticPr fontId="48" type="noConversion"/>
  </si>
  <si>
    <t>P</t>
    <phoneticPr fontId="48" type="noConversion"/>
  </si>
  <si>
    <t>R</t>
    <phoneticPr fontId="48" type="noConversion"/>
  </si>
  <si>
    <t>X</t>
    <phoneticPr fontId="48" type="noConversion"/>
  </si>
  <si>
    <t>Y</t>
    <phoneticPr fontId="48" type="noConversion"/>
  </si>
  <si>
    <t>Z</t>
    <phoneticPr fontId="48" type="noConversion"/>
  </si>
  <si>
    <t>AA</t>
    <phoneticPr fontId="48" type="noConversion"/>
  </si>
  <si>
    <t>AB</t>
    <phoneticPr fontId="48" type="noConversion"/>
  </si>
  <si>
    <t>AC</t>
    <phoneticPr fontId="48" type="noConversion"/>
  </si>
  <si>
    <t>AN</t>
    <phoneticPr fontId="48" type="noConversion"/>
  </si>
  <si>
    <t>AO</t>
    <phoneticPr fontId="48" type="noConversion"/>
  </si>
  <si>
    <t>AE</t>
    <phoneticPr fontId="48" type="noConversion"/>
  </si>
  <si>
    <t>AF</t>
    <phoneticPr fontId="48" type="noConversion"/>
  </si>
  <si>
    <t>AD</t>
    <phoneticPr fontId="48" type="noConversion"/>
  </si>
  <si>
    <t>AG</t>
    <phoneticPr fontId="48" type="noConversion"/>
  </si>
  <si>
    <t>AH</t>
    <phoneticPr fontId="48" type="noConversion"/>
  </si>
  <si>
    <t>AI</t>
    <phoneticPr fontId="48" type="noConversion"/>
  </si>
  <si>
    <t>AL</t>
    <phoneticPr fontId="48" type="noConversion"/>
  </si>
  <si>
    <t>AM</t>
    <phoneticPr fontId="48" type="noConversion"/>
  </si>
  <si>
    <t>30-1</t>
    <phoneticPr fontId="48" type="noConversion"/>
  </si>
  <si>
    <t>30-2</t>
  </si>
  <si>
    <t>31-1</t>
    <phoneticPr fontId="48" type="noConversion"/>
  </si>
  <si>
    <t>31-2</t>
  </si>
  <si>
    <t>32-1</t>
    <phoneticPr fontId="48" type="noConversion"/>
  </si>
  <si>
    <t>32-2</t>
  </si>
  <si>
    <t>50-1</t>
    <phoneticPr fontId="48" type="noConversion"/>
  </si>
  <si>
    <t>50-2</t>
  </si>
  <si>
    <t>52-1</t>
    <phoneticPr fontId="48" type="noConversion"/>
  </si>
  <si>
    <t>52-2</t>
  </si>
  <si>
    <t>53-1</t>
    <phoneticPr fontId="48" type="noConversion"/>
  </si>
  <si>
    <t>53-2</t>
  </si>
  <si>
    <t>59-1</t>
    <phoneticPr fontId="48" type="noConversion"/>
  </si>
  <si>
    <t>59-2</t>
  </si>
  <si>
    <t>66-1</t>
    <phoneticPr fontId="48" type="noConversion"/>
  </si>
  <si>
    <t>66-2</t>
  </si>
  <si>
    <t>85-1</t>
    <phoneticPr fontId="48" type="noConversion"/>
  </si>
  <si>
    <t>85-2</t>
  </si>
  <si>
    <t>85-3</t>
  </si>
  <si>
    <t>85-4</t>
  </si>
  <si>
    <t>85-5</t>
  </si>
  <si>
    <t>85-6</t>
  </si>
  <si>
    <t>86-1</t>
    <phoneticPr fontId="48" type="noConversion"/>
  </si>
  <si>
    <t>86-2</t>
  </si>
  <si>
    <t>86-3</t>
  </si>
  <si>
    <t>86-4</t>
  </si>
  <si>
    <t>86-5</t>
  </si>
  <si>
    <t>86-6</t>
  </si>
  <si>
    <t>Enhanced Cpk DATA (2) Sheet - Enclosures MD</t>
  </si>
  <si>
    <t>31-3</t>
    <phoneticPr fontId="48" type="noConversion"/>
  </si>
  <si>
    <t>50-3</t>
    <phoneticPr fontId="48" type="noConversion"/>
  </si>
  <si>
    <t>52-3</t>
    <phoneticPr fontId="48" type="noConversion"/>
  </si>
  <si>
    <t>S</t>
    <phoneticPr fontId="17" type="noConversion"/>
  </si>
  <si>
    <t>80</t>
    <phoneticPr fontId="48" type="noConversion"/>
  </si>
  <si>
    <t>@@@@@@</t>
    <phoneticPr fontId="48" type="noConversion"/>
  </si>
  <si>
    <t>Angle</t>
  </si>
  <si>
    <t>51-3</t>
    <phoneticPr fontId="48" type="noConversion"/>
  </si>
  <si>
    <t>AZ</t>
    <phoneticPr fontId="48" type="noConversion"/>
  </si>
  <si>
    <t>Height</t>
    <phoneticPr fontId="48" type="noConversion"/>
  </si>
  <si>
    <t>90-1</t>
  </si>
  <si>
    <t>90-2</t>
  </si>
  <si>
    <t>BA</t>
    <phoneticPr fontId="48" type="noConversion"/>
  </si>
  <si>
    <t>BB</t>
    <phoneticPr fontId="48" type="noConversion"/>
  </si>
  <si>
    <t>94-1</t>
    <phoneticPr fontId="48" type="noConversion"/>
  </si>
  <si>
    <t>94-2</t>
  </si>
  <si>
    <t>Face profile degree</t>
    <phoneticPr fontId="48" type="noConversion"/>
  </si>
  <si>
    <t>BC</t>
    <phoneticPr fontId="48" type="noConversion"/>
  </si>
  <si>
    <t>BD</t>
    <phoneticPr fontId="48" type="noConversion"/>
  </si>
  <si>
    <t>AX</t>
    <phoneticPr fontId="48" type="noConversion"/>
  </si>
  <si>
    <t>AU</t>
    <phoneticPr fontId="48" type="noConversion"/>
  </si>
  <si>
    <t>AV</t>
    <phoneticPr fontId="48" type="noConversion"/>
  </si>
  <si>
    <t>AY</t>
    <phoneticPr fontId="48" type="noConversion"/>
  </si>
  <si>
    <t>AW</t>
    <phoneticPr fontId="48" type="noConversion"/>
  </si>
  <si>
    <t>90-1 (DC)</t>
    <phoneticPr fontId="48" type="noConversion"/>
  </si>
  <si>
    <t>90-2 (DC)</t>
  </si>
  <si>
    <t>96</t>
    <phoneticPr fontId="48" type="noConversion"/>
  </si>
  <si>
    <t>97</t>
    <phoneticPr fontId="48" type="noConversion"/>
  </si>
  <si>
    <t>Y Carrier</t>
    <phoneticPr fontId="22" type="noConversion"/>
  </si>
  <si>
    <t>(DC)</t>
    <phoneticPr fontId="48" type="noConversion"/>
  </si>
  <si>
    <t>99</t>
    <phoneticPr fontId="48" type="noConversion"/>
  </si>
  <si>
    <t>100</t>
    <phoneticPr fontId="48" type="noConversion"/>
  </si>
  <si>
    <t xml:space="preserve">     MEASURED DATA 1CAV</t>
    <phoneticPr fontId="48" type="noConversion"/>
  </si>
  <si>
    <t xml:space="preserve">     MEASURED DATA 2CAV</t>
    <phoneticPr fontId="48" type="noConversion"/>
  </si>
  <si>
    <t xml:space="preserve">     MEASURED DATA 3CAV</t>
    <phoneticPr fontId="48" type="noConversion"/>
  </si>
  <si>
    <t xml:space="preserve">     MEASURED DATA 4CAV</t>
    <phoneticPr fontId="48" type="noConversion"/>
  </si>
  <si>
    <t>(PGM Rev.07)</t>
    <phoneticPr fontId="48" type="noConversion"/>
  </si>
  <si>
    <t>MSOP Rev.07</t>
    <phoneticPr fontId="48" type="noConversion"/>
  </si>
  <si>
    <t>817-11234-07</t>
    <phoneticPr fontId="48" type="noConversion"/>
  </si>
  <si>
    <t>Enhanced Cpk Data Sheet - Enclosures MD</t>
  </si>
  <si>
    <t>Dpamstech</t>
    <phoneticPr fontId="47" type="noConversion"/>
  </si>
  <si>
    <t>@@@@</t>
    <phoneticPr fontId="22" type="noConversion"/>
  </si>
  <si>
    <t>240@@@ (Lot.240@@@)</t>
    <phoneticPr fontId="22" type="noConversion"/>
  </si>
  <si>
    <t>1CAV</t>
    <phoneticPr fontId="48" type="noConversion"/>
  </si>
  <si>
    <t>FAI</t>
    <phoneticPr fontId="22" type="noConversion"/>
  </si>
  <si>
    <t>C</t>
  </si>
  <si>
    <t>G</t>
  </si>
  <si>
    <t>H</t>
  </si>
  <si>
    <t>I</t>
  </si>
  <si>
    <t>K</t>
  </si>
  <si>
    <t>M</t>
  </si>
  <si>
    <t>13-1</t>
  </si>
  <si>
    <t>14-1</t>
  </si>
  <si>
    <t>X</t>
  </si>
  <si>
    <t>Z</t>
  </si>
  <si>
    <t>AA</t>
  </si>
  <si>
    <t>AB</t>
  </si>
  <si>
    <t>AC</t>
  </si>
  <si>
    <t>AE</t>
  </si>
  <si>
    <t>AG</t>
  </si>
  <si>
    <t>37-1</t>
  </si>
  <si>
    <t>AL</t>
  </si>
  <si>
    <t>AX</t>
  </si>
  <si>
    <t>AW</t>
  </si>
  <si>
    <t>AM</t>
  </si>
  <si>
    <t>AN</t>
  </si>
  <si>
    <t>80</t>
  </si>
  <si>
    <t>86-1</t>
  </si>
  <si>
    <t>D</t>
  </si>
  <si>
    <t>E</t>
  </si>
  <si>
    <t>F</t>
  </si>
  <si>
    <t>J</t>
  </si>
  <si>
    <t>L</t>
  </si>
  <si>
    <t>N</t>
  </si>
  <si>
    <t>P</t>
  </si>
  <si>
    <t>R</t>
  </si>
  <si>
    <t>S</t>
  </si>
  <si>
    <t>19-1</t>
  </si>
  <si>
    <t>24-1</t>
  </si>
  <si>
    <t>Y</t>
  </si>
  <si>
    <t>30-1</t>
  </si>
  <si>
    <t>31-1</t>
  </si>
  <si>
    <t>31-3</t>
  </si>
  <si>
    <t>32-1</t>
  </si>
  <si>
    <t>AY</t>
  </si>
  <si>
    <t>AU</t>
  </si>
  <si>
    <t>AV</t>
  </si>
  <si>
    <t xml:space="preserve"> 39</t>
  </si>
  <si>
    <t>50-1</t>
  </si>
  <si>
    <t>50-3</t>
  </si>
  <si>
    <t>51-1</t>
  </si>
  <si>
    <t>51-3</t>
  </si>
  <si>
    <t>AO</t>
  </si>
  <si>
    <t>52-1</t>
  </si>
  <si>
    <t>52-3</t>
  </si>
  <si>
    <t>53-1</t>
  </si>
  <si>
    <t>AF</t>
  </si>
  <si>
    <t>AD</t>
  </si>
  <si>
    <t>59-1</t>
  </si>
  <si>
    <t>60-1</t>
  </si>
  <si>
    <t>62-1</t>
  </si>
  <si>
    <t>63-1</t>
  </si>
  <si>
    <t>63-2</t>
  </si>
  <si>
    <t>AH</t>
  </si>
  <si>
    <t>65-1</t>
  </si>
  <si>
    <t>66-1</t>
  </si>
  <si>
    <t>AI</t>
  </si>
  <si>
    <t>67_1</t>
  </si>
  <si>
    <t>72-1</t>
  </si>
  <si>
    <t>73-1</t>
  </si>
  <si>
    <t>85-1</t>
  </si>
  <si>
    <t>AZ</t>
  </si>
  <si>
    <t>90-1 (DC)</t>
  </si>
  <si>
    <t>BA</t>
  </si>
  <si>
    <t>BB</t>
  </si>
  <si>
    <t>BC</t>
  </si>
  <si>
    <t>94-1</t>
  </si>
  <si>
    <t>BD</t>
  </si>
  <si>
    <t>96</t>
  </si>
  <si>
    <t>97</t>
  </si>
  <si>
    <t>99</t>
  </si>
  <si>
    <t>100</t>
  </si>
  <si>
    <t>판정</t>
    <phoneticPr fontId="48" type="noConversion"/>
  </si>
  <si>
    <t>Parallelism</t>
    <phoneticPr fontId="48" type="noConversion"/>
  </si>
  <si>
    <t>FAI</t>
    <phoneticPr fontId="48" type="noConversion"/>
  </si>
  <si>
    <t>25@@@@ (Lot.25@@@@)</t>
    <phoneticPr fontId="48" type="noConversion"/>
  </si>
  <si>
    <t xml:space="preserve">A3.1 / T@ / POR @ </t>
    <phoneticPr fontId="48" type="noConversion"/>
  </si>
  <si>
    <t>BE</t>
    <phoneticPr fontId="48" type="noConversion"/>
  </si>
  <si>
    <t>BF</t>
    <phoneticPr fontId="48" type="noConversion"/>
  </si>
  <si>
    <t>817-11234</t>
    <phoneticPr fontId="47" type="noConversion"/>
  </si>
  <si>
    <t>Y Carrier</t>
    <phoneticPr fontId="0" type="noConversion"/>
  </si>
  <si>
    <t xml:space="preserve">     MEASURED DATA</t>
  </si>
  <si>
    <t>FAI</t>
    <phoneticPr fontId="0" type="noConversion"/>
  </si>
  <si>
    <t>SPC</t>
    <phoneticPr fontId="0" type="noConversion"/>
  </si>
  <si>
    <t>Description</t>
    <phoneticPr fontId="0"/>
  </si>
  <si>
    <t>UCPK</t>
    <phoneticPr fontId="0" type="noConversion"/>
  </si>
  <si>
    <t>LCPK</t>
    <phoneticPr fontId="0" type="noConversion"/>
  </si>
  <si>
    <t>3-1(P1)</t>
  </si>
  <si>
    <t>NO</t>
  </si>
  <si>
    <t>3-2(P2)</t>
  </si>
  <si>
    <t>3-3(P3)</t>
  </si>
  <si>
    <t>8-1(P1)</t>
  </si>
  <si>
    <t>8-2(P2)</t>
  </si>
  <si>
    <t>12-1(P1)</t>
  </si>
  <si>
    <t>12-2(P2)</t>
  </si>
  <si>
    <t>13-1(P1)</t>
  </si>
  <si>
    <t>13-2(P2)</t>
  </si>
  <si>
    <t>13-3(P3)</t>
  </si>
  <si>
    <t>14-1(P1)</t>
  </si>
  <si>
    <t>14-2(P2)</t>
  </si>
  <si>
    <t>14-3(P3)</t>
  </si>
  <si>
    <t>16-1(P1)</t>
  </si>
  <si>
    <t>16-2(P2)</t>
  </si>
  <si>
    <t>18-1(P1)</t>
  </si>
  <si>
    <t>18-2(P2)</t>
  </si>
  <si>
    <t>18-3(P3)</t>
  </si>
  <si>
    <t>19-1(P1)</t>
  </si>
  <si>
    <t>19-2(P2)</t>
  </si>
  <si>
    <t>19-3(P3)</t>
  </si>
  <si>
    <t>24-1(P1)</t>
  </si>
  <si>
    <t>24-2(P2)</t>
  </si>
  <si>
    <t>27-1(B1)</t>
  </si>
  <si>
    <t>27-2(B2)</t>
  </si>
  <si>
    <t>27-3(B3)</t>
  </si>
  <si>
    <t>27-4(B4)</t>
  </si>
  <si>
    <t>30-1(P1)</t>
  </si>
  <si>
    <t>30-2(P2)</t>
  </si>
  <si>
    <t>31-1(P1)</t>
  </si>
  <si>
    <t>31-2(P3)</t>
  </si>
  <si>
    <t>31-3(P5)</t>
  </si>
  <si>
    <t>32-1(P2)</t>
  </si>
  <si>
    <t>32-2(P4)</t>
  </si>
  <si>
    <t>32-3(P6)</t>
  </si>
  <si>
    <t>34-1(P1)</t>
  </si>
  <si>
    <t>34-2(P3)</t>
  </si>
  <si>
    <t>34-3(P5)</t>
  </si>
  <si>
    <t>35-1(P1)</t>
  </si>
  <si>
    <t>35-2(P3)</t>
  </si>
  <si>
    <t>38-1(P1)</t>
  </si>
  <si>
    <t>38-2(P2)</t>
  </si>
  <si>
    <t>48-1(P2)</t>
  </si>
  <si>
    <t>48-2(P4)</t>
  </si>
  <si>
    <t>48-3(P6)</t>
  </si>
  <si>
    <t>49</t>
  </si>
  <si>
    <t>50-1(P1)</t>
  </si>
  <si>
    <t>50-2(P2)</t>
  </si>
  <si>
    <t>50-3(P3)</t>
  </si>
  <si>
    <t>51-1(P1)</t>
  </si>
  <si>
    <t>51-2(P2)</t>
  </si>
  <si>
    <t>51-3(P3)</t>
  </si>
  <si>
    <t>58-1(P1)</t>
  </si>
  <si>
    <t>58-2(P2)</t>
  </si>
  <si>
    <t>59-1(P1)</t>
  </si>
  <si>
    <t>59-2(P2)</t>
  </si>
  <si>
    <t>60-1(P1)</t>
  </si>
  <si>
    <t>60-2(P2)</t>
  </si>
  <si>
    <t>62-1(P1)</t>
  </si>
  <si>
    <t>62-2(P2)</t>
  </si>
  <si>
    <t>63-1(P1)</t>
  </si>
  <si>
    <t>63-2(P2)</t>
  </si>
  <si>
    <t>64</t>
  </si>
  <si>
    <t>65-1(P2)</t>
  </si>
  <si>
    <t>65-2(P4)</t>
  </si>
  <si>
    <t>66-1(P1)</t>
  </si>
  <si>
    <t>66-2(P2)</t>
  </si>
  <si>
    <t>67-1A(P1)</t>
  </si>
  <si>
    <t>67-2A(P2)</t>
  </si>
  <si>
    <t>67-3A(P3)</t>
  </si>
  <si>
    <t>67-4A(P4)</t>
  </si>
  <si>
    <t>67-5A(P5)</t>
  </si>
  <si>
    <t>67-6A(P6)</t>
  </si>
  <si>
    <t>67-7A(P7)</t>
  </si>
  <si>
    <t>67-8A(P8)</t>
  </si>
  <si>
    <t>67-9A(P9)</t>
  </si>
  <si>
    <t>67-10A(P10)</t>
  </si>
  <si>
    <t>67-11A(P11)</t>
  </si>
  <si>
    <t>67-12A(P12)</t>
  </si>
  <si>
    <t>67-13A(P13)</t>
  </si>
  <si>
    <t>70</t>
  </si>
  <si>
    <t>Chamfer</t>
  </si>
  <si>
    <t>71</t>
  </si>
  <si>
    <t>72-1(P1)</t>
  </si>
  <si>
    <t>72-2(P2)</t>
  </si>
  <si>
    <t>72-3(P3)</t>
  </si>
  <si>
    <t>73-1(P1)</t>
  </si>
  <si>
    <t>73-2(P2)</t>
  </si>
  <si>
    <t>73-3(P3)</t>
  </si>
  <si>
    <t>74</t>
  </si>
  <si>
    <t>85-1(A1)</t>
  </si>
  <si>
    <t>85-2(A2)</t>
  </si>
  <si>
    <t>85-3(A3)</t>
  </si>
  <si>
    <t>85-4(A4)</t>
  </si>
  <si>
    <t>85-5(A5)</t>
  </si>
  <si>
    <t>85-6(A6)</t>
  </si>
  <si>
    <t>86-1(A1)</t>
  </si>
  <si>
    <t>86-2(A2)</t>
  </si>
  <si>
    <t>86-3(A3)</t>
  </si>
  <si>
    <t>86-4(A4)</t>
  </si>
  <si>
    <t xml:space="preserve"> 86-5(A5)</t>
  </si>
  <si>
    <t>86-6(A6)</t>
  </si>
  <si>
    <t>90-1(M1)</t>
  </si>
  <si>
    <t>90-2(M2)</t>
  </si>
  <si>
    <t>91</t>
  </si>
  <si>
    <t>94-1(C1)</t>
  </si>
  <si>
    <t>94-2(C2)</t>
  </si>
  <si>
    <t>95</t>
  </si>
  <si>
    <t>Surface profile</t>
  </si>
  <si>
    <t>BE</t>
  </si>
  <si>
    <t>BF</t>
  </si>
  <si>
    <t>OOC SPC</t>
  </si>
  <si>
    <t>@@@</t>
    <phoneticPr fontId="48" type="noConversion"/>
  </si>
  <si>
    <r>
      <rPr>
        <b/>
        <sz val="10"/>
        <rFont val="맑은 고딕"/>
        <family val="2"/>
        <charset val="129"/>
      </rPr>
      <t>측정일 : 25</t>
    </r>
    <r>
      <rPr>
        <b/>
        <sz val="10"/>
        <rFont val="Arial"/>
        <family val="2"/>
      </rPr>
      <t xml:space="preserve">@@@@ / </t>
    </r>
    <r>
      <rPr>
        <b/>
        <sz val="10"/>
        <rFont val="맑은 고딕"/>
        <family val="2"/>
        <charset val="129"/>
      </rPr>
      <t>사출일 :25</t>
    </r>
    <r>
      <rPr>
        <b/>
        <sz val="10"/>
        <rFont val="Arial"/>
        <family val="2"/>
      </rPr>
      <t>@@@@</t>
    </r>
    <phoneticPr fontId="48" type="noConversion"/>
  </si>
  <si>
    <t>@ Tool / MP</t>
    <phoneticPr fontId="48" type="noConversion"/>
  </si>
  <si>
    <t>MP</t>
    <phoneticPr fontId="48" type="noConversion"/>
  </si>
  <si>
    <t>없는 캐비티</t>
    <phoneticPr fontId="47" type="noConversion"/>
  </si>
  <si>
    <t>들어간차수</t>
    <phoneticPr fontId="47" type="noConversion"/>
  </si>
  <si>
    <t>들어간 캐비티</t>
    <phoneticPr fontId="47" type="noConversion"/>
  </si>
  <si>
    <t>들어간 생산일</t>
    <phoneticPr fontId="47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</si>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</sst>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.0000"/>
    <numFmt numFmtId="182" formatCode="_-* #,##0.000_-;\-* #,##0.000_-;_-* &quot;-&quot;_-;_-@_-"/>
    <numFmt numFmtId="183" formatCode="0_);[Red]\(0\)"/>
  </numFmts>
  <fonts count="8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0"/>
      <color rgb="FF000000"/>
      <name val="맑은 고딕"/>
      <family val="2"/>
      <scheme val="minor"/>
    </font>
    <font>
      <b/>
      <sz val="9"/>
      <color rgb="FF000000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color rgb="FF000000"/>
      <name val="Calibri"/>
      <family val="2"/>
    </font>
    <font>
      <sz val="9"/>
      <name val="맑은 고딕"/>
      <family val="3"/>
      <charset val="134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name val="Arial"/>
      <family val="2"/>
    </font>
    <font>
      <sz val="11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Arial"/>
      <family val="2"/>
      <charset val="134"/>
    </font>
    <font>
      <b/>
      <i/>
      <sz val="10"/>
      <color theme="1"/>
      <name val="Arial"/>
      <family val="2"/>
    </font>
    <font>
      <b/>
      <sz val="9"/>
      <color theme="1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0"/>
      <name val="Arial"/>
      <family val="2"/>
      <charset val="129"/>
    </font>
    <font>
      <b/>
      <sz val="10"/>
      <name val="맑은 고딕"/>
      <family val="2"/>
      <charset val="129"/>
    </font>
    <font>
      <sz val="12"/>
      <color rgb="FF000000"/>
      <name val="Lucida Grande"/>
      <family val="2"/>
    </font>
    <font>
      <sz val="8"/>
      <color rgb="FF000000"/>
      <name val="Lucida Grande"/>
      <family val="2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i/>
      <sz val="8"/>
      <color theme="1"/>
      <name val="맑은 고딕"/>
      <family val="3"/>
      <charset val="129"/>
      <scheme val="major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835">
    <xf numFmtId="0" fontId="0" fillId="0" borderId="0"/>
    <xf numFmtId="0" fontId="21" fillId="0" borderId="0"/>
    <xf numFmtId="9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/>
    <xf numFmtId="9" fontId="37" fillId="0" borderId="0" applyFont="0" applyFill="0" applyBorder="0" applyAlignment="0" applyProtection="0"/>
    <xf numFmtId="0" fontId="38" fillId="0" borderId="0"/>
    <xf numFmtId="178" fontId="14" fillId="0" borderId="0" applyFill="0" applyBorder="0" applyAlignment="0"/>
    <xf numFmtId="179" fontId="14" fillId="0" borderId="0" applyFill="0" applyBorder="0" applyAlignment="0"/>
    <xf numFmtId="0" fontId="20" fillId="0" borderId="10" applyNumberFormat="0" applyAlignment="0" applyProtection="0">
      <alignment horizontal="left" vertical="center"/>
    </xf>
    <xf numFmtId="0" fontId="20" fillId="0" borderId="6">
      <alignment horizontal="left" vertical="center"/>
    </xf>
    <xf numFmtId="179" fontId="14" fillId="0" borderId="0" applyFill="0" applyBorder="0" applyAlignment="0"/>
    <xf numFmtId="0" fontId="21" fillId="0" borderId="0"/>
    <xf numFmtId="179" fontId="14" fillId="0" borderId="0" applyFill="0" applyBorder="0" applyAlignment="0"/>
    <xf numFmtId="49" fontId="39" fillId="0" borderId="0" applyFill="0" applyBorder="0" applyAlignment="0"/>
    <xf numFmtId="179" fontId="14" fillId="0" borderId="0" applyFill="0" applyBorder="0" applyAlignment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1" borderId="19" applyNumberFormat="0" applyAlignment="0" applyProtection="0">
      <alignment vertical="center"/>
    </xf>
    <xf numFmtId="0" fontId="57" fillId="12" borderId="20" applyNumberFormat="0" applyAlignment="0" applyProtection="0">
      <alignment vertical="center"/>
    </xf>
    <xf numFmtId="0" fontId="58" fillId="12" borderId="19" applyNumberFormat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0" fillId="13" borderId="2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23" applyNumberFormat="0" applyFont="0" applyAlignment="0" applyProtection="0">
      <alignment vertical="center"/>
    </xf>
    <xf numFmtId="0" fontId="11" fillId="0" borderId="0">
      <alignment vertical="center"/>
    </xf>
    <xf numFmtId="0" fontId="11" fillId="14" borderId="23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4" borderId="23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4" borderId="2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4" borderId="23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2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2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216">
    <xf numFmtId="0" fontId="0" fillId="0" borderId="0" xfId="0"/>
    <xf numFmtId="0" fontId="14" fillId="2" borderId="0" xfId="0" applyFont="1" applyFill="1" applyProtection="1">
      <protection locked="0"/>
    </xf>
    <xf numFmtId="176" fontId="27" fillId="0" borderId="4" xfId="0" applyNumberFormat="1" applyFont="1" applyBorder="1" applyAlignment="1">
      <alignment horizontal="center"/>
    </xf>
    <xf numFmtId="177" fontId="14" fillId="2" borderId="4" xfId="7" applyNumberFormat="1" applyFont="1" applyFill="1" applyBorder="1" applyAlignment="1">
      <alignment horizontal="center"/>
    </xf>
    <xf numFmtId="177" fontId="14" fillId="2" borderId="4" xfId="1" applyNumberFormat="1" applyFont="1" applyFill="1" applyBorder="1" applyAlignment="1">
      <alignment horizontal="center"/>
    </xf>
    <xf numFmtId="176" fontId="14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4" fillId="2" borderId="0" xfId="0" applyFont="1" applyFill="1"/>
    <xf numFmtId="0" fontId="29" fillId="2" borderId="0" xfId="0" applyFont="1" applyFill="1"/>
    <xf numFmtId="0" fontId="14" fillId="2" borderId="0" xfId="0" applyFont="1" applyFill="1" applyAlignment="1">
      <alignment horizontal="center"/>
    </xf>
    <xf numFmtId="0" fontId="28" fillId="2" borderId="0" xfId="0" applyFont="1" applyFill="1"/>
    <xf numFmtId="14" fontId="16" fillId="4" borderId="4" xfId="0" applyNumberFormat="1" applyFont="1" applyFill="1" applyBorder="1" applyProtection="1">
      <protection locked="0"/>
    </xf>
    <xf numFmtId="49" fontId="14" fillId="4" borderId="4" xfId="1" applyNumberFormat="1" applyFont="1" applyFill="1" applyBorder="1" applyAlignment="1" applyProtection="1">
      <alignment horizontal="center" wrapText="1"/>
      <protection locked="0"/>
    </xf>
    <xf numFmtId="176" fontId="16" fillId="4" borderId="4" xfId="0" applyNumberFormat="1" applyFont="1" applyFill="1" applyBorder="1" applyAlignment="1" applyProtection="1">
      <alignment horizontal="center"/>
      <protection locked="0"/>
    </xf>
    <xf numFmtId="176" fontId="14" fillId="4" borderId="4" xfId="7" applyNumberFormat="1" applyFont="1" applyFill="1" applyBorder="1" applyAlignment="1" applyProtection="1">
      <alignment horizontal="center" wrapText="1"/>
      <protection locked="0"/>
    </xf>
    <xf numFmtId="49" fontId="14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14" fillId="3" borderId="7" xfId="0" applyNumberFormat="1" applyFont="1" applyFill="1" applyBorder="1" applyAlignment="1" applyProtection="1">
      <alignment horizontal="center"/>
      <protection locked="0"/>
    </xf>
    <xf numFmtId="0" fontId="33" fillId="6" borderId="0" xfId="0" applyFont="1" applyFill="1"/>
    <xf numFmtId="0" fontId="19" fillId="2" borderId="4" xfId="7" applyFont="1" applyFill="1" applyBorder="1" applyAlignment="1" applyProtection="1">
      <alignment horizontal="center"/>
      <protection locked="0"/>
    </xf>
    <xf numFmtId="0" fontId="35" fillId="4" borderId="3" xfId="0" applyFont="1" applyFill="1" applyBorder="1" applyAlignment="1" applyProtection="1">
      <alignment horizontal="center"/>
      <protection locked="0"/>
    </xf>
    <xf numFmtId="0" fontId="35" fillId="6" borderId="0" xfId="0" applyFont="1" applyFill="1"/>
    <xf numFmtId="0" fontId="36" fillId="0" borderId="0" xfId="0" applyFont="1"/>
    <xf numFmtId="176" fontId="14" fillId="3" borderId="1" xfId="0" applyNumberFormat="1" applyFont="1" applyFill="1" applyBorder="1" applyAlignment="1" applyProtection="1">
      <alignment horizontal="center"/>
      <protection locked="0"/>
    </xf>
    <xf numFmtId="0" fontId="31" fillId="5" borderId="9" xfId="0" applyFont="1" applyFill="1" applyBorder="1"/>
    <xf numFmtId="0" fontId="34" fillId="6" borderId="5" xfId="0" applyFont="1" applyFill="1" applyBorder="1"/>
    <xf numFmtId="0" fontId="35" fillId="6" borderId="5" xfId="0" applyFont="1" applyFill="1" applyBorder="1"/>
    <xf numFmtId="0" fontId="33" fillId="6" borderId="5" xfId="0" applyFont="1" applyFill="1" applyBorder="1"/>
    <xf numFmtId="176" fontId="14" fillId="2" borderId="4" xfId="7" applyNumberFormat="1" applyFont="1" applyFill="1" applyBorder="1" applyAlignment="1" applyProtection="1">
      <alignment horizontal="center"/>
      <protection locked="0"/>
    </xf>
    <xf numFmtId="0" fontId="31" fillId="5" borderId="5" xfId="0" applyFont="1" applyFill="1" applyBorder="1"/>
    <xf numFmtId="176" fontId="14" fillId="2" borderId="1" xfId="2" applyNumberFormat="1" applyFont="1" applyFill="1" applyBorder="1" applyAlignment="1" applyProtection="1">
      <alignment horizontal="center"/>
    </xf>
    <xf numFmtId="14" fontId="16" fillId="3" borderId="5" xfId="0" applyNumberFormat="1" applyFont="1" applyFill="1" applyBorder="1" applyProtection="1">
      <protection locked="0"/>
    </xf>
    <xf numFmtId="0" fontId="14" fillId="2" borderId="14" xfId="0" applyFont="1" applyFill="1" applyBorder="1" applyProtection="1">
      <protection locked="0"/>
    </xf>
    <xf numFmtId="0" fontId="28" fillId="2" borderId="0" xfId="0" applyFont="1" applyFill="1" applyAlignment="1">
      <alignment horizontal="center"/>
    </xf>
    <xf numFmtId="176" fontId="19" fillId="2" borderId="9" xfId="1" applyNumberFormat="1" applyFont="1" applyFill="1" applyBorder="1"/>
    <xf numFmtId="0" fontId="19" fillId="2" borderId="9" xfId="1" applyFont="1" applyFill="1" applyBorder="1"/>
    <xf numFmtId="2" fontId="19" fillId="2" borderId="9" xfId="1" applyNumberFormat="1" applyFont="1" applyFill="1" applyBorder="1"/>
    <xf numFmtId="0" fontId="19" fillId="2" borderId="3" xfId="1" applyFont="1" applyFill="1" applyBorder="1" applyAlignment="1" applyProtection="1">
      <alignment horizontal="center" wrapText="1"/>
      <protection locked="0"/>
    </xf>
    <xf numFmtId="0" fontId="19" fillId="2" borderId="4" xfId="1" applyFont="1" applyFill="1" applyBorder="1" applyAlignment="1" applyProtection="1">
      <alignment horizontal="center" vertical="center"/>
      <protection locked="0"/>
    </xf>
    <xf numFmtId="0" fontId="19" fillId="2" borderId="3" xfId="1" applyFont="1" applyFill="1" applyBorder="1" applyAlignment="1">
      <alignment horizontal="center" vertical="center"/>
    </xf>
    <xf numFmtId="2" fontId="19" fillId="2" borderId="3" xfId="1" applyNumberFormat="1" applyFont="1" applyFill="1" applyBorder="1" applyAlignment="1">
      <alignment horizontal="center" vertical="center"/>
    </xf>
    <xf numFmtId="176" fontId="19" fillId="2" borderId="3" xfId="1" applyNumberFormat="1" applyFont="1" applyFill="1" applyBorder="1" applyAlignment="1">
      <alignment horizontal="center" vertical="center"/>
    </xf>
    <xf numFmtId="0" fontId="42" fillId="0" borderId="9" xfId="1" applyFont="1" applyBorder="1" applyAlignment="1" applyProtection="1">
      <alignment wrapText="1"/>
      <protection locked="0"/>
    </xf>
    <xf numFmtId="0" fontId="19" fillId="3" borderId="1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wrapText="1"/>
    </xf>
    <xf numFmtId="58" fontId="19" fillId="3" borderId="9" xfId="1" applyNumberFormat="1" applyFont="1" applyFill="1" applyBorder="1" applyAlignment="1" applyProtection="1">
      <alignment wrapText="1"/>
      <protection locked="0"/>
    </xf>
    <xf numFmtId="2" fontId="19" fillId="3" borderId="9" xfId="1" applyNumberFormat="1" applyFont="1" applyFill="1" applyBorder="1" applyAlignment="1" applyProtection="1">
      <alignment wrapText="1"/>
      <protection locked="0"/>
    </xf>
    <xf numFmtId="58" fontId="19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9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9" fillId="3" borderId="3" xfId="0" applyFont="1" applyFill="1" applyBorder="1" applyAlignment="1">
      <alignment horizontal="center" vertical="center" wrapText="1"/>
    </xf>
    <xf numFmtId="0" fontId="32" fillId="3" borderId="9" xfId="0" quotePrefix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wrapText="1"/>
    </xf>
    <xf numFmtId="176" fontId="19" fillId="2" borderId="3" xfId="1" quotePrefix="1" applyNumberFormat="1" applyFont="1" applyFill="1" applyBorder="1" applyAlignment="1">
      <alignment horizontal="center" vertical="center"/>
    </xf>
    <xf numFmtId="176" fontId="19" fillId="2" borderId="3" xfId="1" quotePrefix="1" applyNumberFormat="1" applyFont="1" applyFill="1" applyBorder="1" applyAlignment="1">
      <alignment horizontal="center" vertical="center" wrapText="1"/>
    </xf>
    <xf numFmtId="0" fontId="31" fillId="5" borderId="15" xfId="0" applyFont="1" applyFill="1" applyBorder="1"/>
    <xf numFmtId="0" fontId="19" fillId="3" borderId="0" xfId="7" applyFont="1" applyFill="1" applyAlignment="1" applyProtection="1">
      <alignment horizontal="center"/>
      <protection locked="0"/>
    </xf>
    <xf numFmtId="0" fontId="19" fillId="3" borderId="15" xfId="7" applyFont="1" applyFill="1" applyBorder="1" applyAlignment="1" applyProtection="1">
      <alignment horizontal="center"/>
      <protection locked="0"/>
    </xf>
    <xf numFmtId="0" fontId="40" fillId="0" borderId="4" xfId="0" applyFont="1" applyBorder="1" applyAlignment="1">
      <alignment horizontal="center" vertical="center"/>
    </xf>
    <xf numFmtId="49" fontId="4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9" fillId="2" borderId="9" xfId="1" applyFont="1" applyFill="1" applyBorder="1" applyAlignment="1">
      <alignment wrapText="1"/>
    </xf>
    <xf numFmtId="0" fontId="31" fillId="3" borderId="0" xfId="0" applyFont="1" applyFill="1" applyAlignment="1">
      <alignment vertical="center"/>
    </xf>
    <xf numFmtId="0" fontId="31" fillId="3" borderId="15" xfId="0" applyFont="1" applyFill="1" applyBorder="1" applyAlignment="1">
      <alignment vertical="center"/>
    </xf>
    <xf numFmtId="0" fontId="31" fillId="3" borderId="9" xfId="0" applyFont="1" applyFill="1" applyBorder="1" applyAlignment="1">
      <alignment vertical="center"/>
    </xf>
    <xf numFmtId="49" fontId="19" fillId="3" borderId="3" xfId="0" quotePrefix="1" applyNumberFormat="1" applyFont="1" applyFill="1" applyBorder="1" applyAlignment="1">
      <alignment horizontal="center" vertical="center" wrapText="1"/>
    </xf>
    <xf numFmtId="2" fontId="14" fillId="4" borderId="2" xfId="0" applyNumberFormat="1" applyFont="1" applyFill="1" applyBorder="1" applyAlignment="1">
      <alignment horizontal="center" vertical="center" wrapText="1"/>
    </xf>
    <xf numFmtId="9" fontId="14" fillId="2" borderId="1" xfId="2" applyFont="1" applyFill="1" applyBorder="1" applyAlignment="1" applyProtection="1">
      <alignment horizontal="center"/>
    </xf>
    <xf numFmtId="0" fontId="14" fillId="7" borderId="8" xfId="0" applyFont="1" applyFill="1" applyBorder="1" applyAlignment="1" applyProtection="1">
      <alignment horizontal="center" wrapText="1"/>
      <protection locked="0"/>
    </xf>
    <xf numFmtId="176" fontId="19" fillId="3" borderId="3" xfId="1" quotePrefix="1" applyNumberFormat="1" applyFont="1" applyFill="1" applyBorder="1" applyAlignment="1">
      <alignment horizontal="center" vertical="center"/>
    </xf>
    <xf numFmtId="49" fontId="14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9" fillId="0" borderId="4" xfId="7" applyFont="1" applyBorder="1" applyAlignment="1" applyProtection="1">
      <alignment horizontal="left"/>
      <protection locked="0"/>
    </xf>
    <xf numFmtId="2" fontId="43" fillId="7" borderId="8" xfId="0" quotePrefix="1" applyNumberFormat="1" applyFont="1" applyFill="1" applyBorder="1" applyAlignment="1" applyProtection="1">
      <alignment horizontal="center"/>
      <protection locked="0"/>
    </xf>
    <xf numFmtId="10" fontId="14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45" fillId="0" borderId="0" xfId="0" applyFont="1"/>
    <xf numFmtId="14" fontId="16" fillId="4" borderId="4" xfId="0" quotePrefix="1" applyNumberFormat="1" applyFont="1" applyFill="1" applyBorder="1" applyAlignment="1" applyProtection="1">
      <alignment horizontal="left"/>
      <protection locked="0"/>
    </xf>
    <xf numFmtId="0" fontId="43" fillId="39" borderId="8" xfId="0" applyFont="1" applyFill="1" applyBorder="1" applyAlignment="1" applyProtection="1">
      <alignment horizontal="center"/>
      <protection locked="0"/>
    </xf>
    <xf numFmtId="0" fontId="43" fillId="39" borderId="8" xfId="0" quotePrefix="1" applyFont="1" applyFill="1" applyBorder="1" applyAlignment="1" applyProtection="1">
      <alignment horizontal="center"/>
      <protection locked="0"/>
    </xf>
    <xf numFmtId="181" fontId="14" fillId="4" borderId="4" xfId="7" applyNumberFormat="1" applyFont="1" applyFill="1" applyBorder="1" applyAlignment="1" applyProtection="1">
      <alignment horizontal="center" wrapText="1"/>
      <protection locked="0"/>
    </xf>
    <xf numFmtId="20" fontId="19" fillId="2" borderId="1" xfId="1" applyNumberFormat="1" applyFont="1" applyFill="1" applyBorder="1" applyAlignment="1" applyProtection="1">
      <alignment vertical="center"/>
      <protection locked="0"/>
    </xf>
    <xf numFmtId="0" fontId="43" fillId="4" borderId="3" xfId="0" applyFont="1" applyFill="1" applyBorder="1" applyAlignment="1" applyProtection="1">
      <alignment horizontal="center"/>
      <protection locked="0"/>
    </xf>
    <xf numFmtId="0" fontId="43" fillId="4" borderId="8" xfId="0" applyFont="1" applyFill="1" applyBorder="1" applyAlignment="1" applyProtection="1">
      <alignment horizontal="center"/>
      <protection locked="0"/>
    </xf>
    <xf numFmtId="0" fontId="14" fillId="39" borderId="8" xfId="0" applyFont="1" applyFill="1" applyBorder="1" applyAlignment="1" applyProtection="1">
      <alignment horizontal="center" wrapText="1"/>
      <protection locked="0"/>
    </xf>
    <xf numFmtId="0" fontId="43" fillId="39" borderId="3" xfId="0" applyFont="1" applyFill="1" applyBorder="1" applyAlignment="1" applyProtection="1">
      <alignment horizontal="center"/>
      <protection locked="0"/>
    </xf>
    <xf numFmtId="0" fontId="43" fillId="4" borderId="8" xfId="0" quotePrefix="1" applyFont="1" applyFill="1" applyBorder="1" applyAlignment="1" applyProtection="1">
      <alignment horizontal="center"/>
      <protection locked="0"/>
    </xf>
    <xf numFmtId="2" fontId="43" fillId="4" borderId="8" xfId="0" quotePrefix="1" applyNumberFormat="1" applyFont="1" applyFill="1" applyBorder="1" applyAlignment="1" applyProtection="1">
      <alignment horizontal="center"/>
      <protection locked="0"/>
    </xf>
    <xf numFmtId="1" fontId="43" fillId="4" borderId="8" xfId="0" quotePrefix="1" applyNumberFormat="1" applyFont="1" applyFill="1" applyBorder="1" applyAlignment="1" applyProtection="1">
      <alignment horizontal="center"/>
      <protection locked="0"/>
    </xf>
    <xf numFmtId="17" fontId="43" fillId="4" borderId="8" xfId="0" quotePrefix="1" applyNumberFormat="1" applyFont="1" applyFill="1" applyBorder="1" applyAlignment="1" applyProtection="1">
      <alignment horizontal="center"/>
      <protection locked="0"/>
    </xf>
    <xf numFmtId="0" fontId="14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2" borderId="0" xfId="0" applyFont="1" applyFill="1" applyAlignment="1" applyProtection="1">
      <alignment horizontal="center" vertical="center"/>
      <protection locked="0"/>
    </xf>
    <xf numFmtId="9" fontId="14" fillId="2" borderId="0" xfId="0" applyNumberFormat="1" applyFont="1" applyFill="1" applyProtection="1">
      <protection locked="0"/>
    </xf>
    <xf numFmtId="0" fontId="66" fillId="2" borderId="4" xfId="0" applyFont="1" applyFill="1" applyBorder="1" applyAlignment="1" applyProtection="1">
      <alignment horizontal="center" vertical="center"/>
      <protection locked="0"/>
    </xf>
    <xf numFmtId="181" fontId="0" fillId="0" borderId="4" xfId="0" applyNumberFormat="1" applyBorder="1" applyAlignment="1">
      <alignment horizontal="center" vertical="center"/>
    </xf>
    <xf numFmtId="182" fontId="0" fillId="0" borderId="4" xfId="2834" applyNumberFormat="1" applyFont="1" applyBorder="1" applyAlignment="1">
      <alignment horizontal="center" vertical="center"/>
    </xf>
    <xf numFmtId="1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39" borderId="8" xfId="0" quotePrefix="1" applyNumberFormat="1" applyFont="1" applyFill="1" applyBorder="1" applyAlignment="1" applyProtection="1">
      <alignment horizontal="center"/>
      <protection locked="0"/>
    </xf>
    <xf numFmtId="0" fontId="43" fillId="40" borderId="3" xfId="0" applyFont="1" applyFill="1" applyBorder="1" applyAlignment="1" applyProtection="1">
      <alignment horizontal="center"/>
      <protection locked="0"/>
    </xf>
    <xf numFmtId="1" fontId="43" fillId="40" borderId="8" xfId="0" quotePrefix="1" applyNumberFormat="1" applyFont="1" applyFill="1" applyBorder="1" applyAlignment="1" applyProtection="1">
      <alignment horizontal="center"/>
      <protection locked="0"/>
    </xf>
    <xf numFmtId="0" fontId="14" fillId="40" borderId="8" xfId="0" applyFont="1" applyFill="1" applyBorder="1" applyAlignment="1" applyProtection="1">
      <alignment horizontal="center" wrapText="1"/>
      <protection locked="0"/>
    </xf>
    <xf numFmtId="176" fontId="16" fillId="41" borderId="4" xfId="0" applyNumberFormat="1" applyFont="1" applyFill="1" applyBorder="1" applyAlignment="1" applyProtection="1">
      <alignment horizontal="center"/>
      <protection locked="0"/>
    </xf>
    <xf numFmtId="176" fontId="14" fillId="41" borderId="4" xfId="7" applyNumberFormat="1" applyFont="1" applyFill="1" applyBorder="1" applyAlignment="1" applyProtection="1">
      <alignment horizontal="center" wrapText="1"/>
      <protection locked="0"/>
    </xf>
    <xf numFmtId="183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40" borderId="8" xfId="0" quotePrefix="1" applyNumberFormat="1" applyFont="1" applyFill="1" applyBorder="1" applyAlignment="1" applyProtection="1">
      <alignment horizontal="center"/>
      <protection locked="0"/>
    </xf>
    <xf numFmtId="2" fontId="43" fillId="41" borderId="8" xfId="0" quotePrefix="1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43" fillId="4" borderId="4" xfId="0" applyFont="1" applyFill="1" applyBorder="1" applyAlignment="1" applyProtection="1">
      <alignment horizontal="center"/>
      <protection locked="0"/>
    </xf>
    <xf numFmtId="0" fontId="67" fillId="6" borderId="3" xfId="0" applyFont="1" applyFill="1" applyBorder="1" applyAlignment="1">
      <alignment horizontal="center" vertical="center" wrapText="1"/>
    </xf>
    <xf numFmtId="176" fontId="43" fillId="4" borderId="4" xfId="0" applyNumberFormat="1" applyFont="1" applyFill="1" applyBorder="1" applyAlignment="1" applyProtection="1">
      <alignment horizontal="center"/>
      <protection locked="0"/>
    </xf>
    <xf numFmtId="14" fontId="16" fillId="42" borderId="4" xfId="0" applyNumberFormat="1" applyFont="1" applyFill="1" applyBorder="1" applyProtection="1">
      <protection locked="0"/>
    </xf>
    <xf numFmtId="14" fontId="16" fillId="3" borderId="5" xfId="0" applyNumberFormat="1" applyFont="1" applyFill="1" applyBorder="1"/>
    <xf numFmtId="0" fontId="14" fillId="2" borderId="14" xfId="0" applyFont="1" applyFill="1" applyBorder="1"/>
    <xf numFmtId="0" fontId="16" fillId="42" borderId="4" xfId="0" applyFont="1" applyFill="1" applyBorder="1" applyAlignment="1" applyProtection="1">
      <alignment horizontal="left"/>
      <protection locked="0"/>
    </xf>
    <xf numFmtId="58" fontId="19" fillId="3" borderId="9" xfId="1" applyNumberFormat="1" applyFont="1" applyFill="1" applyBorder="1" applyAlignment="1">
      <alignment wrapText="1"/>
    </xf>
    <xf numFmtId="2" fontId="19" fillId="3" borderId="9" xfId="1" applyNumberFormat="1" applyFont="1" applyFill="1" applyBorder="1" applyAlignment="1">
      <alignment wrapText="1"/>
    </xf>
    <xf numFmtId="0" fontId="42" fillId="0" borderId="9" xfId="1" applyFont="1" applyBorder="1" applyAlignment="1">
      <alignment wrapText="1"/>
    </xf>
    <xf numFmtId="0" fontId="31" fillId="5" borderId="7" xfId="0" applyFont="1" applyFill="1" applyBorder="1" applyAlignment="1">
      <alignment vertical="center"/>
    </xf>
    <xf numFmtId="0" fontId="31" fillId="5" borderId="12" xfId="0" applyFont="1" applyFill="1" applyBorder="1" applyAlignment="1">
      <alignment vertical="center"/>
    </xf>
    <xf numFmtId="0" fontId="31" fillId="5" borderId="8" xfId="0" applyFont="1" applyFill="1" applyBorder="1" applyAlignment="1">
      <alignment vertical="center"/>
    </xf>
    <xf numFmtId="58" fontId="19" fillId="3" borderId="3" xfId="1" applyNumberFormat="1" applyFont="1" applyFill="1" applyBorder="1" applyAlignment="1">
      <alignment horizontal="center" vertical="center" wrapText="1"/>
    </xf>
    <xf numFmtId="2" fontId="19" fillId="3" borderId="3" xfId="1" applyNumberFormat="1" applyFont="1" applyFill="1" applyBorder="1" applyAlignment="1">
      <alignment horizontal="center" vertical="center" wrapText="1"/>
    </xf>
    <xf numFmtId="0" fontId="34" fillId="6" borderId="15" xfId="0" applyFont="1" applyFill="1" applyBorder="1"/>
    <xf numFmtId="0" fontId="19" fillId="2" borderId="4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68" fillId="42" borderId="6" xfId="0" applyFont="1" applyFill="1" applyBorder="1" applyAlignment="1">
      <alignment horizontal="center" vertical="center" wrapText="1"/>
    </xf>
    <xf numFmtId="0" fontId="14" fillId="42" borderId="4" xfId="0" applyFont="1" applyFill="1" applyBorder="1" applyAlignment="1">
      <alignment horizontal="center" vertical="center" wrapText="1"/>
    </xf>
    <xf numFmtId="0" fontId="43" fillId="7" borderId="8" xfId="0" applyFont="1" applyFill="1" applyBorder="1" applyAlignment="1" applyProtection="1">
      <alignment horizontal="center"/>
      <protection locked="0"/>
    </xf>
    <xf numFmtId="176" fontId="14" fillId="42" borderId="4" xfId="0" applyNumberFormat="1" applyFont="1" applyFill="1" applyBorder="1" applyAlignment="1" applyProtection="1">
      <alignment horizontal="center"/>
      <protection locked="0"/>
    </xf>
    <xf numFmtId="49" fontId="14" fillId="42" borderId="7" xfId="7" applyNumberFormat="1" applyFont="1" applyFill="1" applyBorder="1" applyAlignment="1" applyProtection="1">
      <alignment horizontal="center" vertical="center" wrapText="1"/>
      <protection locked="0"/>
    </xf>
    <xf numFmtId="176" fontId="14" fillId="3" borderId="7" xfId="0" applyNumberFormat="1" applyFont="1" applyFill="1" applyBorder="1" applyAlignment="1">
      <alignment horizontal="center"/>
    </xf>
    <xf numFmtId="176" fontId="14" fillId="2" borderId="4" xfId="7" applyNumberFormat="1" applyFont="1" applyFill="1" applyBorder="1" applyAlignment="1">
      <alignment horizontal="center"/>
    </xf>
    <xf numFmtId="0" fontId="19" fillId="2" borderId="4" xfId="7" applyFont="1" applyFill="1" applyBorder="1" applyAlignment="1">
      <alignment horizontal="center"/>
    </xf>
    <xf numFmtId="0" fontId="19" fillId="0" borderId="4" xfId="7" applyFont="1" applyBorder="1" applyAlignment="1">
      <alignment horizontal="left"/>
    </xf>
    <xf numFmtId="0" fontId="19" fillId="3" borderId="0" xfId="7" applyFont="1" applyFill="1" applyAlignment="1">
      <alignment horizontal="center"/>
    </xf>
    <xf numFmtId="0" fontId="19" fillId="3" borderId="15" xfId="7" applyFont="1" applyFill="1" applyBorder="1" applyAlignment="1">
      <alignment horizontal="center"/>
    </xf>
    <xf numFmtId="176" fontId="14" fillId="3" borderId="1" xfId="0" applyNumberFormat="1" applyFont="1" applyFill="1" applyBorder="1" applyAlignment="1">
      <alignment horizontal="center"/>
    </xf>
    <xf numFmtId="176" fontId="27" fillId="0" borderId="1" xfId="0" applyNumberFormat="1" applyFont="1" applyBorder="1" applyAlignment="1">
      <alignment horizontal="center"/>
    </xf>
    <xf numFmtId="176" fontId="69" fillId="0" borderId="4" xfId="0" applyNumberFormat="1" applyFont="1" applyBorder="1" applyAlignment="1">
      <alignment horizontal="center"/>
    </xf>
    <xf numFmtId="14" fontId="68" fillId="42" borderId="6" xfId="0" applyNumberFormat="1" applyFont="1" applyFill="1" applyBorder="1" applyAlignment="1">
      <alignment horizontal="center" vertical="center" wrapText="1"/>
    </xf>
    <xf numFmtId="178" fontId="14" fillId="2" borderId="1" xfId="2" applyNumberFormat="1" applyFont="1" applyFill="1" applyBorder="1" applyAlignment="1" applyProtection="1">
      <alignment horizontal="center"/>
    </xf>
    <xf numFmtId="0" fontId="40" fillId="6" borderId="0" xfId="0" applyFont="1" applyFill="1"/>
    <xf numFmtId="0" fontId="70" fillId="6" borderId="5" xfId="0" applyFont="1" applyFill="1" applyBorder="1"/>
    <xf numFmtId="49" fontId="68" fillId="42" borderId="6" xfId="0" applyNumberFormat="1" applyFont="1" applyFill="1" applyBorder="1" applyAlignment="1">
      <alignment horizontal="center" vertical="center" wrapText="1"/>
    </xf>
    <xf numFmtId="0" fontId="68" fillId="42" borderId="6" xfId="0" quotePrefix="1" applyFont="1" applyFill="1" applyBorder="1" applyAlignment="1">
      <alignment horizontal="center" vertical="center" wrapText="1"/>
    </xf>
    <xf numFmtId="17" fontId="68" fillId="42" borderId="6" xfId="0" applyNumberFormat="1" applyFont="1" applyFill="1" applyBorder="1" applyAlignment="1">
      <alignment horizontal="center" vertical="center" wrapText="1"/>
    </xf>
    <xf numFmtId="17" fontId="68" fillId="42" borderId="6" xfId="0" quotePrefix="1" applyNumberFormat="1" applyFont="1" applyFill="1" applyBorder="1" applyAlignment="1">
      <alignment horizontal="center" vertical="center" wrapText="1"/>
    </xf>
    <xf numFmtId="49" fontId="14" fillId="42" borderId="4" xfId="7" applyNumberFormat="1" applyFont="1" applyFill="1" applyBorder="1" applyAlignment="1" applyProtection="1">
      <alignment horizontal="center" vertical="center" wrapText="1"/>
      <protection locked="0"/>
    </xf>
    <xf numFmtId="0" fontId="43" fillId="7" borderId="8" xfId="0" applyFont="1" applyFill="1" applyBorder="1" applyAlignment="1" applyProtection="1">
      <alignment horizontal="center" vertical="center"/>
      <protection locked="0"/>
    </xf>
    <xf numFmtId="2" fontId="27" fillId="0" borderId="4" xfId="0" applyNumberFormat="1" applyFont="1" applyBorder="1" applyAlignment="1">
      <alignment horizontal="center"/>
    </xf>
    <xf numFmtId="0" fontId="76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45" fillId="0" borderId="29" xfId="0" applyFont="1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9" fontId="71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79" fillId="2" borderId="0" xfId="0" applyFont="1" applyFill="1" applyAlignment="1" applyProtection="1">
      <alignment horizontal="center" vertical="center"/>
      <protection locked="0"/>
    </xf>
    <xf numFmtId="0" fontId="80" fillId="2" borderId="0" xfId="0" applyFont="1" applyFill="1" applyAlignment="1">
      <alignment horizontal="center" vertical="center"/>
    </xf>
    <xf numFmtId="0" fontId="81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4" fontId="16" fillId="42" borderId="1" xfId="0" applyNumberFormat="1" applyFont="1" applyFill="1" applyBorder="1" applyAlignment="1" applyProtection="1">
      <alignment horizontal="left"/>
      <protection locked="0"/>
    </xf>
    <xf numFmtId="14" fontId="16" fillId="42" borderId="6" xfId="0" applyNumberFormat="1" applyFont="1" applyFill="1" applyBorder="1" applyAlignment="1" applyProtection="1">
      <alignment horizontal="left"/>
      <protection locked="0"/>
    </xf>
    <xf numFmtId="14" fontId="16" fillId="42" borderId="2" xfId="0" applyNumberFormat="1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right"/>
    </xf>
    <xf numFmtId="0" fontId="14" fillId="4" borderId="1" xfId="0" quotePrefix="1" applyFont="1" applyFill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14" fontId="72" fillId="42" borderId="1" xfId="0" applyNumberFormat="1" applyFont="1" applyFill="1" applyBorder="1" applyAlignment="1" applyProtection="1">
      <alignment horizontal="left"/>
      <protection locked="0"/>
    </xf>
    <xf numFmtId="0" fontId="14" fillId="4" borderId="1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14" fontId="16" fillId="42" borderId="1" xfId="0" quotePrefix="1" applyNumberFormat="1" applyFont="1" applyFill="1" applyBorder="1" applyAlignment="1" applyProtection="1">
      <alignment horizontal="left"/>
      <protection locked="0"/>
    </xf>
    <xf numFmtId="0" fontId="31" fillId="5" borderId="1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0" fontId="31" fillId="3" borderId="0" xfId="0" applyFont="1" applyFill="1" applyAlignment="1">
      <alignment horizontal="center" vertical="center"/>
    </xf>
    <xf numFmtId="0" fontId="31" fillId="5" borderId="13" xfId="0" applyFont="1" applyFill="1" applyBorder="1" applyAlignment="1">
      <alignment horizontal="left" vertical="center"/>
    </xf>
    <xf numFmtId="0" fontId="31" fillId="5" borderId="11" xfId="0" applyFont="1" applyFill="1" applyBorder="1" applyAlignment="1">
      <alignment horizontal="left" vertical="center"/>
    </xf>
    <xf numFmtId="0" fontId="31" fillId="5" borderId="25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67" fillId="6" borderId="9" xfId="0" applyFont="1" applyFill="1" applyBorder="1" applyAlignment="1">
      <alignment horizontal="center" vertical="center"/>
    </xf>
    <xf numFmtId="0" fontId="67" fillId="6" borderId="5" xfId="0" applyFont="1" applyFill="1" applyBorder="1" applyAlignment="1">
      <alignment horizontal="center" vertical="center"/>
    </xf>
    <xf numFmtId="0" fontId="67" fillId="6" borderId="3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/>
    </xf>
    <xf numFmtId="0" fontId="31" fillId="5" borderId="7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0" fontId="67" fillId="6" borderId="9" xfId="0" applyFont="1" applyFill="1" applyBorder="1" applyAlignment="1">
      <alignment horizontal="center" vertical="center" wrapText="1"/>
    </xf>
    <xf numFmtId="0" fontId="67" fillId="6" borderId="5" xfId="0" applyFont="1" applyFill="1" applyBorder="1" applyAlignment="1">
      <alignment horizontal="center" vertical="center" wrapText="1"/>
    </xf>
    <xf numFmtId="14" fontId="16" fillId="4" borderId="1" xfId="0" quotePrefix="1" applyNumberFormat="1" applyFont="1" applyFill="1" applyBorder="1" applyAlignment="1" applyProtection="1">
      <alignment horizontal="left"/>
      <protection locked="0"/>
    </xf>
    <xf numFmtId="14" fontId="16" fillId="4" borderId="6" xfId="0" applyNumberFormat="1" applyFont="1" applyFill="1" applyBorder="1" applyAlignment="1" applyProtection="1">
      <alignment horizontal="left"/>
      <protection locked="0"/>
    </xf>
    <xf numFmtId="14" fontId="16" fillId="4" borderId="2" xfId="0" applyNumberFormat="1" applyFont="1" applyFill="1" applyBorder="1" applyAlignment="1" applyProtection="1">
      <alignment horizontal="left"/>
      <protection locked="0"/>
    </xf>
    <xf numFmtId="14" fontId="16" fillId="4" borderId="1" xfId="0" applyNumberFormat="1" applyFont="1" applyFill="1" applyBorder="1" applyAlignment="1" applyProtection="1">
      <alignment horizontal="left"/>
      <protection locked="0"/>
    </xf>
    <xf numFmtId="0" fontId="41" fillId="0" borderId="0" xfId="0" applyFont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9" fillId="2" borderId="25" xfId="1" applyFont="1" applyFill="1" applyBorder="1" applyAlignment="1">
      <alignment horizontal="center" vertical="center"/>
    </xf>
    <xf numFmtId="0" fontId="65" fillId="2" borderId="4" xfId="0" applyFont="1" applyFill="1" applyBorder="1" applyAlignment="1" applyProtection="1">
      <alignment horizontal="center" vertical="center"/>
      <protection locked="0"/>
    </xf>
  </cellXfs>
  <cellStyles count="2835">
    <cellStyle name="___CPK__" xfId="40" xr:uid="{00000000-0005-0000-0000-000000000000}"/>
    <cellStyle name="20% - 강조색1" xfId="2523" builtinId="30" customBuiltin="1"/>
    <cellStyle name="20% - 강조색1 2" xfId="2550" xr:uid="{00000000-0005-0000-0000-000002000000}"/>
    <cellStyle name="20% - 강조색1 2 2" xfId="2692" xr:uid="{00000000-0005-0000-0000-000003000000}"/>
    <cellStyle name="20% - 강조색1 3" xfId="2570" xr:uid="{00000000-0005-0000-0000-000004000000}"/>
    <cellStyle name="20% - 강조색1 3 2" xfId="2712" xr:uid="{00000000-0005-0000-0000-000005000000}"/>
    <cellStyle name="20% - 강조색1 4" xfId="2591" xr:uid="{00000000-0005-0000-0000-000006000000}"/>
    <cellStyle name="20% - 강조색1 4 2" xfId="2733" xr:uid="{00000000-0005-0000-0000-000007000000}"/>
    <cellStyle name="20% - 강조색1 5" xfId="2611" xr:uid="{00000000-0005-0000-0000-000008000000}"/>
    <cellStyle name="20% - 강조색1 5 2" xfId="2753" xr:uid="{00000000-0005-0000-0000-000009000000}"/>
    <cellStyle name="20% - 강조색1 6" xfId="2631" xr:uid="{00000000-0005-0000-0000-00000A000000}"/>
    <cellStyle name="20% - 강조색1 6 2" xfId="2773" xr:uid="{00000000-0005-0000-0000-00000B000000}"/>
    <cellStyle name="20% - 강조색1 7" xfId="2651" xr:uid="{00000000-0005-0000-0000-00000C000000}"/>
    <cellStyle name="20% - 강조색1 7 2" xfId="2793" xr:uid="{00000000-0005-0000-0000-00000D000000}"/>
    <cellStyle name="20% - 강조색1 8" xfId="2813" xr:uid="{00000000-0005-0000-0000-00000E000000}"/>
    <cellStyle name="20% - 강조색1 9" xfId="2670" xr:uid="{00000000-0005-0000-0000-00000F000000}"/>
    <cellStyle name="20% - 강조색2" xfId="2527" builtinId="34" customBuiltin="1"/>
    <cellStyle name="20% - 강조색2 2" xfId="2553" xr:uid="{00000000-0005-0000-0000-000011000000}"/>
    <cellStyle name="20% - 강조색2 2 2" xfId="2695" xr:uid="{00000000-0005-0000-0000-000012000000}"/>
    <cellStyle name="20% - 강조색2 3" xfId="2573" xr:uid="{00000000-0005-0000-0000-000013000000}"/>
    <cellStyle name="20% - 강조색2 3 2" xfId="2715" xr:uid="{00000000-0005-0000-0000-000014000000}"/>
    <cellStyle name="20% - 강조색2 4" xfId="2594" xr:uid="{00000000-0005-0000-0000-000015000000}"/>
    <cellStyle name="20% - 강조색2 4 2" xfId="2736" xr:uid="{00000000-0005-0000-0000-000016000000}"/>
    <cellStyle name="20% - 강조색2 5" xfId="2614" xr:uid="{00000000-0005-0000-0000-000017000000}"/>
    <cellStyle name="20% - 강조색2 5 2" xfId="2756" xr:uid="{00000000-0005-0000-0000-000018000000}"/>
    <cellStyle name="20% - 강조색2 6" xfId="2634" xr:uid="{00000000-0005-0000-0000-000019000000}"/>
    <cellStyle name="20% - 강조색2 6 2" xfId="2776" xr:uid="{00000000-0005-0000-0000-00001A000000}"/>
    <cellStyle name="20% - 강조색2 7" xfId="2654" xr:uid="{00000000-0005-0000-0000-00001B000000}"/>
    <cellStyle name="20% - 강조색2 7 2" xfId="2796" xr:uid="{00000000-0005-0000-0000-00001C000000}"/>
    <cellStyle name="20% - 강조색2 8" xfId="2816" xr:uid="{00000000-0005-0000-0000-00001D000000}"/>
    <cellStyle name="20% - 강조색2 9" xfId="2673" xr:uid="{00000000-0005-0000-0000-00001E000000}"/>
    <cellStyle name="20% - 강조색3" xfId="2531" builtinId="38" customBuiltin="1"/>
    <cellStyle name="20% - 강조색3 2" xfId="2556" xr:uid="{00000000-0005-0000-0000-000020000000}"/>
    <cellStyle name="20% - 강조색3 2 2" xfId="2698" xr:uid="{00000000-0005-0000-0000-000021000000}"/>
    <cellStyle name="20% - 강조색3 3" xfId="2576" xr:uid="{00000000-0005-0000-0000-000022000000}"/>
    <cellStyle name="20% - 강조색3 3 2" xfId="2718" xr:uid="{00000000-0005-0000-0000-000023000000}"/>
    <cellStyle name="20% - 강조색3 4" xfId="2597" xr:uid="{00000000-0005-0000-0000-000024000000}"/>
    <cellStyle name="20% - 강조색3 4 2" xfId="2739" xr:uid="{00000000-0005-0000-0000-000025000000}"/>
    <cellStyle name="20% - 강조색3 5" xfId="2617" xr:uid="{00000000-0005-0000-0000-000026000000}"/>
    <cellStyle name="20% - 강조색3 5 2" xfId="2759" xr:uid="{00000000-0005-0000-0000-000027000000}"/>
    <cellStyle name="20% - 강조색3 6" xfId="2637" xr:uid="{00000000-0005-0000-0000-000028000000}"/>
    <cellStyle name="20% - 강조색3 6 2" xfId="2779" xr:uid="{00000000-0005-0000-0000-000029000000}"/>
    <cellStyle name="20% - 강조색3 7" xfId="2657" xr:uid="{00000000-0005-0000-0000-00002A000000}"/>
    <cellStyle name="20% - 강조색3 7 2" xfId="2799" xr:uid="{00000000-0005-0000-0000-00002B000000}"/>
    <cellStyle name="20% - 강조색3 8" xfId="2819" xr:uid="{00000000-0005-0000-0000-00002C000000}"/>
    <cellStyle name="20% - 강조색3 9" xfId="2676" xr:uid="{00000000-0005-0000-0000-00002D000000}"/>
    <cellStyle name="20% - 강조색4" xfId="2535" builtinId="42" customBuiltin="1"/>
    <cellStyle name="20% - 강조색4 2" xfId="2559" xr:uid="{00000000-0005-0000-0000-00002F000000}"/>
    <cellStyle name="20% - 강조색4 2 2" xfId="2701" xr:uid="{00000000-0005-0000-0000-000030000000}"/>
    <cellStyle name="20% - 강조색4 3" xfId="2579" xr:uid="{00000000-0005-0000-0000-000031000000}"/>
    <cellStyle name="20% - 강조색4 3 2" xfId="2721" xr:uid="{00000000-0005-0000-0000-000032000000}"/>
    <cellStyle name="20% - 강조색4 4" xfId="2600" xr:uid="{00000000-0005-0000-0000-000033000000}"/>
    <cellStyle name="20% - 강조색4 4 2" xfId="2742" xr:uid="{00000000-0005-0000-0000-000034000000}"/>
    <cellStyle name="20% - 강조색4 5" xfId="2620" xr:uid="{00000000-0005-0000-0000-000035000000}"/>
    <cellStyle name="20% - 강조색4 5 2" xfId="2762" xr:uid="{00000000-0005-0000-0000-000036000000}"/>
    <cellStyle name="20% - 강조색4 6" xfId="2640" xr:uid="{00000000-0005-0000-0000-000037000000}"/>
    <cellStyle name="20% - 강조색4 6 2" xfId="2782" xr:uid="{00000000-0005-0000-0000-000038000000}"/>
    <cellStyle name="20% - 강조색4 7" xfId="2660" xr:uid="{00000000-0005-0000-0000-000039000000}"/>
    <cellStyle name="20% - 강조색4 7 2" xfId="2802" xr:uid="{00000000-0005-0000-0000-00003A000000}"/>
    <cellStyle name="20% - 강조색4 8" xfId="2822" xr:uid="{00000000-0005-0000-0000-00003B000000}"/>
    <cellStyle name="20% - 강조색4 9" xfId="2679" xr:uid="{00000000-0005-0000-0000-00003C000000}"/>
    <cellStyle name="20% - 강조색5" xfId="2539" builtinId="46" customBuiltin="1"/>
    <cellStyle name="20% - 강조색5 2" xfId="2562" xr:uid="{00000000-0005-0000-0000-00003E000000}"/>
    <cellStyle name="20% - 강조색5 2 2" xfId="2704" xr:uid="{00000000-0005-0000-0000-00003F000000}"/>
    <cellStyle name="20% - 강조색5 3" xfId="2582" xr:uid="{00000000-0005-0000-0000-000040000000}"/>
    <cellStyle name="20% - 강조색5 3 2" xfId="2724" xr:uid="{00000000-0005-0000-0000-000041000000}"/>
    <cellStyle name="20% - 강조색5 4" xfId="2603" xr:uid="{00000000-0005-0000-0000-000042000000}"/>
    <cellStyle name="20% - 강조색5 4 2" xfId="2745" xr:uid="{00000000-0005-0000-0000-000043000000}"/>
    <cellStyle name="20% - 강조색5 5" xfId="2623" xr:uid="{00000000-0005-0000-0000-000044000000}"/>
    <cellStyle name="20% - 강조색5 5 2" xfId="2765" xr:uid="{00000000-0005-0000-0000-000045000000}"/>
    <cellStyle name="20% - 강조색5 6" xfId="2643" xr:uid="{00000000-0005-0000-0000-000046000000}"/>
    <cellStyle name="20% - 강조색5 6 2" xfId="2785" xr:uid="{00000000-0005-0000-0000-000047000000}"/>
    <cellStyle name="20% - 강조색5 7" xfId="2663" xr:uid="{00000000-0005-0000-0000-000048000000}"/>
    <cellStyle name="20% - 강조색5 7 2" xfId="2805" xr:uid="{00000000-0005-0000-0000-000049000000}"/>
    <cellStyle name="20% - 강조색5 8" xfId="2825" xr:uid="{00000000-0005-0000-0000-00004A000000}"/>
    <cellStyle name="20% - 강조색5 9" xfId="2682" xr:uid="{00000000-0005-0000-0000-00004B000000}"/>
    <cellStyle name="20% - 강조색6" xfId="2543" builtinId="50" customBuiltin="1"/>
    <cellStyle name="20% - 강조색6 2" xfId="2565" xr:uid="{00000000-0005-0000-0000-00004D000000}"/>
    <cellStyle name="20% - 강조색6 2 2" xfId="2707" xr:uid="{00000000-0005-0000-0000-00004E000000}"/>
    <cellStyle name="20% - 강조색6 3" xfId="2585" xr:uid="{00000000-0005-0000-0000-00004F000000}"/>
    <cellStyle name="20% - 강조색6 3 2" xfId="2727" xr:uid="{00000000-0005-0000-0000-000050000000}"/>
    <cellStyle name="20% - 강조색6 4" xfId="2606" xr:uid="{00000000-0005-0000-0000-000051000000}"/>
    <cellStyle name="20% - 강조색6 4 2" xfId="2748" xr:uid="{00000000-0005-0000-0000-000052000000}"/>
    <cellStyle name="20% - 강조색6 5" xfId="2626" xr:uid="{00000000-0005-0000-0000-000053000000}"/>
    <cellStyle name="20% - 강조색6 5 2" xfId="2768" xr:uid="{00000000-0005-0000-0000-000054000000}"/>
    <cellStyle name="20% - 강조색6 6" xfId="2646" xr:uid="{00000000-0005-0000-0000-000055000000}"/>
    <cellStyle name="20% - 강조색6 6 2" xfId="2788" xr:uid="{00000000-0005-0000-0000-000056000000}"/>
    <cellStyle name="20% - 강조색6 7" xfId="2666" xr:uid="{00000000-0005-0000-0000-000057000000}"/>
    <cellStyle name="20% - 강조색6 7 2" xfId="2808" xr:uid="{00000000-0005-0000-0000-000058000000}"/>
    <cellStyle name="20% - 강조색6 8" xfId="2828" xr:uid="{00000000-0005-0000-0000-000059000000}"/>
    <cellStyle name="20% - 강조색6 9" xfId="2685" xr:uid="{00000000-0005-0000-0000-00005A000000}"/>
    <cellStyle name="40% - 강조색1" xfId="2524" builtinId="31" customBuiltin="1"/>
    <cellStyle name="40% - 강조색1 2" xfId="2551" xr:uid="{00000000-0005-0000-0000-00005C000000}"/>
    <cellStyle name="40% - 강조색1 2 2" xfId="2693" xr:uid="{00000000-0005-0000-0000-00005D000000}"/>
    <cellStyle name="40% - 강조색1 3" xfId="2571" xr:uid="{00000000-0005-0000-0000-00005E000000}"/>
    <cellStyle name="40% - 강조색1 3 2" xfId="2713" xr:uid="{00000000-0005-0000-0000-00005F000000}"/>
    <cellStyle name="40% - 강조색1 4" xfId="2592" xr:uid="{00000000-0005-0000-0000-000060000000}"/>
    <cellStyle name="40% - 강조색1 4 2" xfId="2734" xr:uid="{00000000-0005-0000-0000-000061000000}"/>
    <cellStyle name="40% - 강조색1 5" xfId="2612" xr:uid="{00000000-0005-0000-0000-000062000000}"/>
    <cellStyle name="40% - 강조색1 5 2" xfId="2754" xr:uid="{00000000-0005-0000-0000-000063000000}"/>
    <cellStyle name="40% - 강조색1 6" xfId="2632" xr:uid="{00000000-0005-0000-0000-000064000000}"/>
    <cellStyle name="40% - 강조색1 6 2" xfId="2774" xr:uid="{00000000-0005-0000-0000-000065000000}"/>
    <cellStyle name="40% - 강조색1 7" xfId="2652" xr:uid="{00000000-0005-0000-0000-000066000000}"/>
    <cellStyle name="40% - 강조색1 7 2" xfId="2794" xr:uid="{00000000-0005-0000-0000-000067000000}"/>
    <cellStyle name="40% - 강조색1 8" xfId="2814" xr:uid="{00000000-0005-0000-0000-000068000000}"/>
    <cellStyle name="40% - 강조색1 9" xfId="2671" xr:uid="{00000000-0005-0000-0000-000069000000}"/>
    <cellStyle name="40% - 강조색2" xfId="2528" builtinId="35" customBuiltin="1"/>
    <cellStyle name="40% - 강조색2 2" xfId="2554" xr:uid="{00000000-0005-0000-0000-00006B000000}"/>
    <cellStyle name="40% - 강조색2 2 2" xfId="2696" xr:uid="{00000000-0005-0000-0000-00006C000000}"/>
    <cellStyle name="40% - 강조색2 3" xfId="2574" xr:uid="{00000000-0005-0000-0000-00006D000000}"/>
    <cellStyle name="40% - 강조색2 3 2" xfId="2716" xr:uid="{00000000-0005-0000-0000-00006E000000}"/>
    <cellStyle name="40% - 강조색2 4" xfId="2595" xr:uid="{00000000-0005-0000-0000-00006F000000}"/>
    <cellStyle name="40% - 강조색2 4 2" xfId="2737" xr:uid="{00000000-0005-0000-0000-000070000000}"/>
    <cellStyle name="40% - 강조색2 5" xfId="2615" xr:uid="{00000000-0005-0000-0000-000071000000}"/>
    <cellStyle name="40% - 강조색2 5 2" xfId="2757" xr:uid="{00000000-0005-0000-0000-000072000000}"/>
    <cellStyle name="40% - 강조색2 6" xfId="2635" xr:uid="{00000000-0005-0000-0000-000073000000}"/>
    <cellStyle name="40% - 강조색2 6 2" xfId="2777" xr:uid="{00000000-0005-0000-0000-000074000000}"/>
    <cellStyle name="40% - 강조색2 7" xfId="2655" xr:uid="{00000000-0005-0000-0000-000075000000}"/>
    <cellStyle name="40% - 강조색2 7 2" xfId="2797" xr:uid="{00000000-0005-0000-0000-000076000000}"/>
    <cellStyle name="40% - 강조색2 8" xfId="2817" xr:uid="{00000000-0005-0000-0000-000077000000}"/>
    <cellStyle name="40% - 강조색2 9" xfId="2674" xr:uid="{00000000-0005-0000-0000-000078000000}"/>
    <cellStyle name="40% - 강조색3" xfId="2532" builtinId="39" customBuiltin="1"/>
    <cellStyle name="40% - 강조색3 2" xfId="2557" xr:uid="{00000000-0005-0000-0000-00007A000000}"/>
    <cellStyle name="40% - 강조색3 2 2" xfId="2699" xr:uid="{00000000-0005-0000-0000-00007B000000}"/>
    <cellStyle name="40% - 강조색3 3" xfId="2577" xr:uid="{00000000-0005-0000-0000-00007C000000}"/>
    <cellStyle name="40% - 강조색3 3 2" xfId="2719" xr:uid="{00000000-0005-0000-0000-00007D000000}"/>
    <cellStyle name="40% - 강조색3 4" xfId="2598" xr:uid="{00000000-0005-0000-0000-00007E000000}"/>
    <cellStyle name="40% - 강조색3 4 2" xfId="2740" xr:uid="{00000000-0005-0000-0000-00007F000000}"/>
    <cellStyle name="40% - 강조색3 5" xfId="2618" xr:uid="{00000000-0005-0000-0000-000080000000}"/>
    <cellStyle name="40% - 강조색3 5 2" xfId="2760" xr:uid="{00000000-0005-0000-0000-000081000000}"/>
    <cellStyle name="40% - 강조색3 6" xfId="2638" xr:uid="{00000000-0005-0000-0000-000082000000}"/>
    <cellStyle name="40% - 강조색3 6 2" xfId="2780" xr:uid="{00000000-0005-0000-0000-000083000000}"/>
    <cellStyle name="40% - 강조색3 7" xfId="2658" xr:uid="{00000000-0005-0000-0000-000084000000}"/>
    <cellStyle name="40% - 강조색3 7 2" xfId="2800" xr:uid="{00000000-0005-0000-0000-000085000000}"/>
    <cellStyle name="40% - 강조색3 8" xfId="2820" xr:uid="{00000000-0005-0000-0000-000086000000}"/>
    <cellStyle name="40% - 강조색3 9" xfId="2677" xr:uid="{00000000-0005-0000-0000-000087000000}"/>
    <cellStyle name="40% - 강조색4" xfId="2536" builtinId="43" customBuiltin="1"/>
    <cellStyle name="40% - 강조색4 2" xfId="2560" xr:uid="{00000000-0005-0000-0000-000089000000}"/>
    <cellStyle name="40% - 강조색4 2 2" xfId="2702" xr:uid="{00000000-0005-0000-0000-00008A000000}"/>
    <cellStyle name="40% - 강조색4 3" xfId="2580" xr:uid="{00000000-0005-0000-0000-00008B000000}"/>
    <cellStyle name="40% - 강조색4 3 2" xfId="2722" xr:uid="{00000000-0005-0000-0000-00008C000000}"/>
    <cellStyle name="40% - 강조색4 4" xfId="2601" xr:uid="{00000000-0005-0000-0000-00008D000000}"/>
    <cellStyle name="40% - 강조색4 4 2" xfId="2743" xr:uid="{00000000-0005-0000-0000-00008E000000}"/>
    <cellStyle name="40% - 강조색4 5" xfId="2621" xr:uid="{00000000-0005-0000-0000-00008F000000}"/>
    <cellStyle name="40% - 강조색4 5 2" xfId="2763" xr:uid="{00000000-0005-0000-0000-000090000000}"/>
    <cellStyle name="40% - 강조색4 6" xfId="2641" xr:uid="{00000000-0005-0000-0000-000091000000}"/>
    <cellStyle name="40% - 강조색4 6 2" xfId="2783" xr:uid="{00000000-0005-0000-0000-000092000000}"/>
    <cellStyle name="40% - 강조색4 7" xfId="2661" xr:uid="{00000000-0005-0000-0000-000093000000}"/>
    <cellStyle name="40% - 강조색4 7 2" xfId="2803" xr:uid="{00000000-0005-0000-0000-000094000000}"/>
    <cellStyle name="40% - 강조색4 8" xfId="2823" xr:uid="{00000000-0005-0000-0000-000095000000}"/>
    <cellStyle name="40% - 강조색4 9" xfId="2680" xr:uid="{00000000-0005-0000-0000-000096000000}"/>
    <cellStyle name="40% - 강조색5" xfId="2540" builtinId="47" customBuiltin="1"/>
    <cellStyle name="40% - 강조색5 2" xfId="2563" xr:uid="{00000000-0005-0000-0000-000098000000}"/>
    <cellStyle name="40% - 강조색5 2 2" xfId="2705" xr:uid="{00000000-0005-0000-0000-000099000000}"/>
    <cellStyle name="40% - 강조색5 3" xfId="2583" xr:uid="{00000000-0005-0000-0000-00009A000000}"/>
    <cellStyle name="40% - 강조색5 3 2" xfId="2725" xr:uid="{00000000-0005-0000-0000-00009B000000}"/>
    <cellStyle name="40% - 강조색5 4" xfId="2604" xr:uid="{00000000-0005-0000-0000-00009C000000}"/>
    <cellStyle name="40% - 강조색5 4 2" xfId="2746" xr:uid="{00000000-0005-0000-0000-00009D000000}"/>
    <cellStyle name="40% - 강조색5 5" xfId="2624" xr:uid="{00000000-0005-0000-0000-00009E000000}"/>
    <cellStyle name="40% - 강조색5 5 2" xfId="2766" xr:uid="{00000000-0005-0000-0000-00009F000000}"/>
    <cellStyle name="40% - 강조색5 6" xfId="2644" xr:uid="{00000000-0005-0000-0000-0000A0000000}"/>
    <cellStyle name="40% - 강조색5 6 2" xfId="2786" xr:uid="{00000000-0005-0000-0000-0000A1000000}"/>
    <cellStyle name="40% - 강조색5 7" xfId="2664" xr:uid="{00000000-0005-0000-0000-0000A2000000}"/>
    <cellStyle name="40% - 강조색5 7 2" xfId="2806" xr:uid="{00000000-0005-0000-0000-0000A3000000}"/>
    <cellStyle name="40% - 강조색5 8" xfId="2826" xr:uid="{00000000-0005-0000-0000-0000A4000000}"/>
    <cellStyle name="40% - 강조색5 9" xfId="2683" xr:uid="{00000000-0005-0000-0000-0000A5000000}"/>
    <cellStyle name="40% - 강조색6" xfId="2544" builtinId="51" customBuiltin="1"/>
    <cellStyle name="40% - 강조색6 2" xfId="2566" xr:uid="{00000000-0005-0000-0000-0000A7000000}"/>
    <cellStyle name="40% - 강조색6 2 2" xfId="2708" xr:uid="{00000000-0005-0000-0000-0000A8000000}"/>
    <cellStyle name="40% - 강조색6 3" xfId="2586" xr:uid="{00000000-0005-0000-0000-0000A9000000}"/>
    <cellStyle name="40% - 강조색6 3 2" xfId="2728" xr:uid="{00000000-0005-0000-0000-0000AA000000}"/>
    <cellStyle name="40% - 강조색6 4" xfId="2607" xr:uid="{00000000-0005-0000-0000-0000AB000000}"/>
    <cellStyle name="40% - 강조색6 4 2" xfId="2749" xr:uid="{00000000-0005-0000-0000-0000AC000000}"/>
    <cellStyle name="40% - 강조색6 5" xfId="2627" xr:uid="{00000000-0005-0000-0000-0000AD000000}"/>
    <cellStyle name="40% - 강조색6 5 2" xfId="2769" xr:uid="{00000000-0005-0000-0000-0000AE000000}"/>
    <cellStyle name="40% - 강조색6 6" xfId="2647" xr:uid="{00000000-0005-0000-0000-0000AF000000}"/>
    <cellStyle name="40% - 강조색6 6 2" xfId="2789" xr:uid="{00000000-0005-0000-0000-0000B0000000}"/>
    <cellStyle name="40% - 강조색6 7" xfId="2667" xr:uid="{00000000-0005-0000-0000-0000B1000000}"/>
    <cellStyle name="40% - 강조색6 7 2" xfId="2809" xr:uid="{00000000-0005-0000-0000-0000B2000000}"/>
    <cellStyle name="40% - 강조색6 8" xfId="2829" xr:uid="{00000000-0005-0000-0000-0000B3000000}"/>
    <cellStyle name="40% - 강조색6 9" xfId="2686" xr:uid="{00000000-0005-0000-0000-0000B4000000}"/>
    <cellStyle name="60% - 강조색1" xfId="2525" builtinId="32" customBuiltin="1"/>
    <cellStyle name="60% - 강조색1 2" xfId="2552" xr:uid="{00000000-0005-0000-0000-0000B6000000}"/>
    <cellStyle name="60% - 강조색1 2 2" xfId="2694" xr:uid="{00000000-0005-0000-0000-0000B7000000}"/>
    <cellStyle name="60% - 강조색1 3" xfId="2572" xr:uid="{00000000-0005-0000-0000-0000B8000000}"/>
    <cellStyle name="60% - 강조색1 3 2" xfId="2714" xr:uid="{00000000-0005-0000-0000-0000B9000000}"/>
    <cellStyle name="60% - 강조색1 4" xfId="2593" xr:uid="{00000000-0005-0000-0000-0000BA000000}"/>
    <cellStyle name="60% - 강조색1 4 2" xfId="2735" xr:uid="{00000000-0005-0000-0000-0000BB000000}"/>
    <cellStyle name="60% - 강조색1 5" xfId="2613" xr:uid="{00000000-0005-0000-0000-0000BC000000}"/>
    <cellStyle name="60% - 강조색1 5 2" xfId="2755" xr:uid="{00000000-0005-0000-0000-0000BD000000}"/>
    <cellStyle name="60% - 강조색1 6" xfId="2633" xr:uid="{00000000-0005-0000-0000-0000BE000000}"/>
    <cellStyle name="60% - 강조색1 6 2" xfId="2775" xr:uid="{00000000-0005-0000-0000-0000BF000000}"/>
    <cellStyle name="60% - 강조색1 7" xfId="2653" xr:uid="{00000000-0005-0000-0000-0000C0000000}"/>
    <cellStyle name="60% - 강조색1 7 2" xfId="2795" xr:uid="{00000000-0005-0000-0000-0000C1000000}"/>
    <cellStyle name="60% - 강조색1 8" xfId="2815" xr:uid="{00000000-0005-0000-0000-0000C2000000}"/>
    <cellStyle name="60% - 강조색1 9" xfId="2672" xr:uid="{00000000-0005-0000-0000-0000C3000000}"/>
    <cellStyle name="60% - 강조색2" xfId="2529" builtinId="36" customBuiltin="1"/>
    <cellStyle name="60% - 강조색2 2" xfId="2555" xr:uid="{00000000-0005-0000-0000-0000C5000000}"/>
    <cellStyle name="60% - 강조색2 2 2" xfId="2697" xr:uid="{00000000-0005-0000-0000-0000C6000000}"/>
    <cellStyle name="60% - 강조색2 3" xfId="2575" xr:uid="{00000000-0005-0000-0000-0000C7000000}"/>
    <cellStyle name="60% - 강조색2 3 2" xfId="2717" xr:uid="{00000000-0005-0000-0000-0000C8000000}"/>
    <cellStyle name="60% - 강조색2 4" xfId="2596" xr:uid="{00000000-0005-0000-0000-0000C9000000}"/>
    <cellStyle name="60% - 강조색2 4 2" xfId="2738" xr:uid="{00000000-0005-0000-0000-0000CA000000}"/>
    <cellStyle name="60% - 강조색2 5" xfId="2616" xr:uid="{00000000-0005-0000-0000-0000CB000000}"/>
    <cellStyle name="60% - 강조색2 5 2" xfId="2758" xr:uid="{00000000-0005-0000-0000-0000CC000000}"/>
    <cellStyle name="60% - 강조색2 6" xfId="2636" xr:uid="{00000000-0005-0000-0000-0000CD000000}"/>
    <cellStyle name="60% - 강조색2 6 2" xfId="2778" xr:uid="{00000000-0005-0000-0000-0000CE000000}"/>
    <cellStyle name="60% - 강조색2 7" xfId="2656" xr:uid="{00000000-0005-0000-0000-0000CF000000}"/>
    <cellStyle name="60% - 강조색2 7 2" xfId="2798" xr:uid="{00000000-0005-0000-0000-0000D0000000}"/>
    <cellStyle name="60% - 강조색2 8" xfId="2818" xr:uid="{00000000-0005-0000-0000-0000D1000000}"/>
    <cellStyle name="60% - 강조색2 9" xfId="2675" xr:uid="{00000000-0005-0000-0000-0000D2000000}"/>
    <cellStyle name="60% - 강조색3" xfId="2533" builtinId="40" customBuiltin="1"/>
    <cellStyle name="60% - 강조색3 2" xfId="2558" xr:uid="{00000000-0005-0000-0000-0000D4000000}"/>
    <cellStyle name="60% - 강조색3 2 2" xfId="2700" xr:uid="{00000000-0005-0000-0000-0000D5000000}"/>
    <cellStyle name="60% - 강조색3 3" xfId="2578" xr:uid="{00000000-0005-0000-0000-0000D6000000}"/>
    <cellStyle name="60% - 강조색3 3 2" xfId="2720" xr:uid="{00000000-0005-0000-0000-0000D7000000}"/>
    <cellStyle name="60% - 강조색3 4" xfId="2599" xr:uid="{00000000-0005-0000-0000-0000D8000000}"/>
    <cellStyle name="60% - 강조색3 4 2" xfId="2741" xr:uid="{00000000-0005-0000-0000-0000D9000000}"/>
    <cellStyle name="60% - 강조색3 5" xfId="2619" xr:uid="{00000000-0005-0000-0000-0000DA000000}"/>
    <cellStyle name="60% - 강조색3 5 2" xfId="2761" xr:uid="{00000000-0005-0000-0000-0000DB000000}"/>
    <cellStyle name="60% - 강조색3 6" xfId="2639" xr:uid="{00000000-0005-0000-0000-0000DC000000}"/>
    <cellStyle name="60% - 강조색3 6 2" xfId="2781" xr:uid="{00000000-0005-0000-0000-0000DD000000}"/>
    <cellStyle name="60% - 강조색3 7" xfId="2659" xr:uid="{00000000-0005-0000-0000-0000DE000000}"/>
    <cellStyle name="60% - 강조색3 7 2" xfId="2801" xr:uid="{00000000-0005-0000-0000-0000DF000000}"/>
    <cellStyle name="60% - 강조색3 8" xfId="2821" xr:uid="{00000000-0005-0000-0000-0000E0000000}"/>
    <cellStyle name="60% - 강조색3 9" xfId="2678" xr:uid="{00000000-0005-0000-0000-0000E1000000}"/>
    <cellStyle name="60% - 강조색4" xfId="2537" builtinId="44" customBuiltin="1"/>
    <cellStyle name="60% - 강조색4 2" xfId="2561" xr:uid="{00000000-0005-0000-0000-0000E3000000}"/>
    <cellStyle name="60% - 강조색4 2 2" xfId="2703" xr:uid="{00000000-0005-0000-0000-0000E4000000}"/>
    <cellStyle name="60% - 강조색4 3" xfId="2581" xr:uid="{00000000-0005-0000-0000-0000E5000000}"/>
    <cellStyle name="60% - 강조색4 3 2" xfId="2723" xr:uid="{00000000-0005-0000-0000-0000E6000000}"/>
    <cellStyle name="60% - 강조색4 4" xfId="2602" xr:uid="{00000000-0005-0000-0000-0000E7000000}"/>
    <cellStyle name="60% - 강조색4 4 2" xfId="2744" xr:uid="{00000000-0005-0000-0000-0000E8000000}"/>
    <cellStyle name="60% - 강조색4 5" xfId="2622" xr:uid="{00000000-0005-0000-0000-0000E9000000}"/>
    <cellStyle name="60% - 강조색4 5 2" xfId="2764" xr:uid="{00000000-0005-0000-0000-0000EA000000}"/>
    <cellStyle name="60% - 강조색4 6" xfId="2642" xr:uid="{00000000-0005-0000-0000-0000EB000000}"/>
    <cellStyle name="60% - 강조색4 6 2" xfId="2784" xr:uid="{00000000-0005-0000-0000-0000EC000000}"/>
    <cellStyle name="60% - 강조색4 7" xfId="2662" xr:uid="{00000000-0005-0000-0000-0000ED000000}"/>
    <cellStyle name="60% - 강조색4 7 2" xfId="2804" xr:uid="{00000000-0005-0000-0000-0000EE000000}"/>
    <cellStyle name="60% - 강조색4 8" xfId="2824" xr:uid="{00000000-0005-0000-0000-0000EF000000}"/>
    <cellStyle name="60% - 강조색4 9" xfId="2681" xr:uid="{00000000-0005-0000-0000-0000F0000000}"/>
    <cellStyle name="60% - 강조색5" xfId="2541" builtinId="48" customBuiltin="1"/>
    <cellStyle name="60% - 강조색5 2" xfId="2564" xr:uid="{00000000-0005-0000-0000-0000F2000000}"/>
    <cellStyle name="60% - 강조색5 2 2" xfId="2706" xr:uid="{00000000-0005-0000-0000-0000F3000000}"/>
    <cellStyle name="60% - 강조색5 3" xfId="2584" xr:uid="{00000000-0005-0000-0000-0000F4000000}"/>
    <cellStyle name="60% - 강조색5 3 2" xfId="2726" xr:uid="{00000000-0005-0000-0000-0000F5000000}"/>
    <cellStyle name="60% - 강조색5 4" xfId="2605" xr:uid="{00000000-0005-0000-0000-0000F6000000}"/>
    <cellStyle name="60% - 강조색5 4 2" xfId="2747" xr:uid="{00000000-0005-0000-0000-0000F7000000}"/>
    <cellStyle name="60% - 강조색5 5" xfId="2625" xr:uid="{00000000-0005-0000-0000-0000F8000000}"/>
    <cellStyle name="60% - 강조색5 5 2" xfId="2767" xr:uid="{00000000-0005-0000-0000-0000F9000000}"/>
    <cellStyle name="60% - 강조색5 6" xfId="2645" xr:uid="{00000000-0005-0000-0000-0000FA000000}"/>
    <cellStyle name="60% - 강조색5 6 2" xfId="2787" xr:uid="{00000000-0005-0000-0000-0000FB000000}"/>
    <cellStyle name="60% - 강조색5 7" xfId="2665" xr:uid="{00000000-0005-0000-0000-0000FC000000}"/>
    <cellStyle name="60% - 강조색5 7 2" xfId="2807" xr:uid="{00000000-0005-0000-0000-0000FD000000}"/>
    <cellStyle name="60% - 강조색5 8" xfId="2827" xr:uid="{00000000-0005-0000-0000-0000FE000000}"/>
    <cellStyle name="60% - 강조색5 9" xfId="2684" xr:uid="{00000000-0005-0000-0000-0000FF000000}"/>
    <cellStyle name="60% - 강조색6" xfId="2545" builtinId="52" customBuiltin="1"/>
    <cellStyle name="60% - 강조색6 2" xfId="2567" xr:uid="{00000000-0005-0000-0000-000001010000}"/>
    <cellStyle name="60% - 강조색6 2 2" xfId="2709" xr:uid="{00000000-0005-0000-0000-000002010000}"/>
    <cellStyle name="60% - 강조색6 3" xfId="2587" xr:uid="{00000000-0005-0000-0000-000003010000}"/>
    <cellStyle name="60% - 강조색6 3 2" xfId="2729" xr:uid="{00000000-0005-0000-0000-000004010000}"/>
    <cellStyle name="60% - 강조색6 4" xfId="2608" xr:uid="{00000000-0005-0000-0000-000005010000}"/>
    <cellStyle name="60% - 강조색6 4 2" xfId="2750" xr:uid="{00000000-0005-0000-0000-000006010000}"/>
    <cellStyle name="60% - 강조색6 5" xfId="2628" xr:uid="{00000000-0005-0000-0000-000007010000}"/>
    <cellStyle name="60% - 강조색6 5 2" xfId="2770" xr:uid="{00000000-0005-0000-0000-000008010000}"/>
    <cellStyle name="60% - 강조색6 6" xfId="2648" xr:uid="{00000000-0005-0000-0000-000009010000}"/>
    <cellStyle name="60% - 강조색6 6 2" xfId="2790" xr:uid="{00000000-0005-0000-0000-00000A010000}"/>
    <cellStyle name="60% - 강조색6 7" xfId="2668" xr:uid="{00000000-0005-0000-0000-00000B010000}"/>
    <cellStyle name="60% - 강조색6 7 2" xfId="2810" xr:uid="{00000000-0005-0000-0000-00000C010000}"/>
    <cellStyle name="60% - 강조색6 8" xfId="2830" xr:uid="{00000000-0005-0000-0000-00000D010000}"/>
    <cellStyle name="60% - 강조색6 9" xfId="2687" xr:uid="{00000000-0005-0000-0000-00000E010000}"/>
    <cellStyle name="Calc Percent (0)" xfId="41" xr:uid="{00000000-0005-0000-0000-00000F010000}"/>
    <cellStyle name="Enter Currency (0)" xfId="42" xr:uid="{00000000-0005-0000-0000-000010010000}"/>
    <cellStyle name="Header1" xfId="43" xr:uid="{00000000-0005-0000-0000-000011010000}"/>
    <cellStyle name="Header2" xfId="44" xr:uid="{00000000-0005-0000-0000-000012010000}"/>
    <cellStyle name="Link Currency (0)" xfId="45" xr:uid="{00000000-0005-0000-0000-000013010000}"/>
    <cellStyle name="Normal 2" xfId="38" xr:uid="{00000000-0005-0000-0000-000014010000}"/>
    <cellStyle name="Normal 2 2" xfId="46" xr:uid="{00000000-0005-0000-0000-000015010000}"/>
    <cellStyle name="Normal_Capability Study - IPEG EVT1 0713a.xls" xfId="7" xr:uid="{00000000-0005-0000-0000-000016010000}"/>
    <cellStyle name="Percent 2" xfId="39" xr:uid="{00000000-0005-0000-0000-000017010000}"/>
    <cellStyle name="PrePop Currency (0)" xfId="47" xr:uid="{00000000-0005-0000-0000-000018010000}"/>
    <cellStyle name="Text Indent A" xfId="48" xr:uid="{00000000-0005-0000-0000-000019010000}"/>
    <cellStyle name="Text Indent B" xfId="49" xr:uid="{00000000-0005-0000-0000-00001A010000}"/>
    <cellStyle name="강조색1" xfId="2522" builtinId="29" customBuiltin="1"/>
    <cellStyle name="강조색2" xfId="2526" builtinId="33" customBuiltin="1"/>
    <cellStyle name="강조색3" xfId="2530" builtinId="37" customBuiltin="1"/>
    <cellStyle name="강조색4" xfId="2534" builtinId="41" customBuiltin="1"/>
    <cellStyle name="강조색5" xfId="2538" builtinId="45" customBuiltin="1"/>
    <cellStyle name="강조색6" xfId="2542" builtinId="49" customBuiltin="1"/>
    <cellStyle name="경고문" xfId="2519" builtinId="11" customBuiltin="1"/>
    <cellStyle name="계산" xfId="2516" builtinId="22" customBuiltin="1"/>
    <cellStyle name="나쁨" xfId="2512" builtinId="27" customBuiltin="1"/>
    <cellStyle name="메모 2" xfId="2547" xr:uid="{00000000-0005-0000-0000-000024010000}"/>
    <cellStyle name="메모 2 2" xfId="2689" xr:uid="{00000000-0005-0000-0000-000025010000}"/>
    <cellStyle name="메모 3" xfId="2549" xr:uid="{00000000-0005-0000-0000-000026010000}"/>
    <cellStyle name="메모 3 2" xfId="2691" xr:uid="{00000000-0005-0000-0000-000027010000}"/>
    <cellStyle name="메모 4" xfId="2569" xr:uid="{00000000-0005-0000-0000-000028010000}"/>
    <cellStyle name="메모 4 2" xfId="2711" xr:uid="{00000000-0005-0000-0000-000029010000}"/>
    <cellStyle name="메모 5" xfId="2590" xr:uid="{00000000-0005-0000-0000-00002A010000}"/>
    <cellStyle name="메모 5 2" xfId="2732" xr:uid="{00000000-0005-0000-0000-00002B010000}"/>
    <cellStyle name="메모 6" xfId="2610" xr:uid="{00000000-0005-0000-0000-00002C010000}"/>
    <cellStyle name="메모 6 2" xfId="2752" xr:uid="{00000000-0005-0000-0000-00002D010000}"/>
    <cellStyle name="메모 7" xfId="2630" xr:uid="{00000000-0005-0000-0000-00002E010000}"/>
    <cellStyle name="메모 7 2" xfId="2772" xr:uid="{00000000-0005-0000-0000-00002F010000}"/>
    <cellStyle name="메모 8" xfId="2650" xr:uid="{00000000-0005-0000-0000-000030010000}"/>
    <cellStyle name="메모 8 2" xfId="2792" xr:uid="{00000000-0005-0000-0000-000031010000}"/>
    <cellStyle name="메모 9" xfId="2812" xr:uid="{00000000-0005-0000-0000-000032010000}"/>
    <cellStyle name="백분율" xfId="2" builtinId="5"/>
    <cellStyle name="보통" xfId="2513" builtinId="28" customBuiltin="1"/>
    <cellStyle name="常规_8364B 2009415" xfId="1" xr:uid="{00000000-0005-0000-0000-000035010000}"/>
    <cellStyle name="설명 텍스트" xfId="2520" builtinId="53" customBuiltin="1"/>
    <cellStyle name="셀 확인" xfId="2518" builtinId="23" customBuiltin="1"/>
    <cellStyle name="쉼표 [0]" xfId="2834" builtinId="6"/>
    <cellStyle name="연결된 셀" xfId="2517" builtinId="24" customBuiltin="1"/>
    <cellStyle name="열어 본 하이퍼링크" xfId="4" builtinId="9" hidden="1"/>
    <cellStyle name="열어 본 하이퍼링크" xfId="6" builtinId="9" hidden="1"/>
    <cellStyle name="열어 본 하이퍼링크" xfId="9" builtinId="9" hidden="1"/>
    <cellStyle name="열어 본 하이퍼링크" xfId="11" builtinId="9" hidden="1"/>
    <cellStyle name="열어 본 하이퍼링크" xfId="13" builtinId="9" hidden="1"/>
    <cellStyle name="열어 본 하이퍼링크" xfId="15" builtinId="9" hidden="1"/>
    <cellStyle name="열어 본 하이퍼링크" xfId="17" builtinId="9" hidden="1"/>
    <cellStyle name="열어 본 하이퍼링크" xfId="19" builtinId="9" hidden="1"/>
    <cellStyle name="열어 본 하이퍼링크" xfId="21" builtinId="9" hidden="1"/>
    <cellStyle name="열어 본 하이퍼링크" xfId="23" builtinId="9" hidden="1"/>
    <cellStyle name="열어 본 하이퍼링크" xfId="25" builtinId="9" hidden="1"/>
    <cellStyle name="열어 본 하이퍼링크" xfId="27" builtinId="9" hidden="1"/>
    <cellStyle name="열어 본 하이퍼링크" xfId="29" builtinId="9" hidden="1"/>
    <cellStyle name="열어 본 하이퍼링크" xfId="31" builtinId="9" hidden="1"/>
    <cellStyle name="열어 본 하이퍼링크" xfId="33" builtinId="9" hidden="1"/>
    <cellStyle name="열어 본 하이퍼링크" xfId="35" builtinId="9" hidden="1"/>
    <cellStyle name="열어 본 하이퍼링크" xfId="37" builtinId="9" hidden="1"/>
    <cellStyle name="열어 본 하이퍼링크" xfId="51" builtinId="9" hidden="1"/>
    <cellStyle name="열어 본 하이퍼링크" xfId="53" builtinId="9" hidden="1"/>
    <cellStyle name="열어 본 하이퍼링크" xfId="55" builtinId="9" hidden="1"/>
    <cellStyle name="열어 본 하이퍼링크" xfId="57" builtinId="9" hidden="1"/>
    <cellStyle name="열어 본 하이퍼링크" xfId="59" builtinId="9" hidden="1"/>
    <cellStyle name="열어 본 하이퍼링크" xfId="61" builtinId="9" hidden="1"/>
    <cellStyle name="열어 본 하이퍼링크" xfId="63" builtinId="9" hidden="1"/>
    <cellStyle name="열어 본 하이퍼링크" xfId="65" builtinId="9" hidden="1"/>
    <cellStyle name="열어 본 하이퍼링크" xfId="67" builtinId="9" hidden="1"/>
    <cellStyle name="열어 본 하이퍼링크" xfId="69" builtinId="9" hidden="1"/>
    <cellStyle name="열어 본 하이퍼링크" xfId="71" builtinId="9" hidden="1"/>
    <cellStyle name="열어 본 하이퍼링크" xfId="73" builtinId="9" hidden="1"/>
    <cellStyle name="열어 본 하이퍼링크" xfId="75" builtinId="9" hidden="1"/>
    <cellStyle name="열어 본 하이퍼링크" xfId="77" builtinId="9" hidden="1"/>
    <cellStyle name="열어 본 하이퍼링크" xfId="79" builtinId="9" hidden="1"/>
    <cellStyle name="열어 본 하이퍼링크" xfId="81" builtinId="9" hidden="1"/>
    <cellStyle name="열어 본 하이퍼링크" xfId="83" builtinId="9" hidden="1"/>
    <cellStyle name="열어 본 하이퍼링크" xfId="85" builtinId="9" hidden="1"/>
    <cellStyle name="열어 본 하이퍼링크" xfId="87" builtinId="9" hidden="1"/>
    <cellStyle name="열어 본 하이퍼링크" xfId="89" builtinId="9" hidden="1"/>
    <cellStyle name="열어 본 하이퍼링크" xfId="91" builtinId="9" hidden="1"/>
    <cellStyle name="열어 본 하이퍼링크" xfId="93" builtinId="9" hidden="1"/>
    <cellStyle name="열어 본 하이퍼링크" xfId="95" builtinId="9" hidden="1"/>
    <cellStyle name="열어 본 하이퍼링크" xfId="97" builtinId="9" hidden="1"/>
    <cellStyle name="열어 본 하이퍼링크" xfId="99" builtinId="9" hidden="1"/>
    <cellStyle name="열어 본 하이퍼링크" xfId="101" builtinId="9" hidden="1"/>
    <cellStyle name="열어 본 하이퍼링크" xfId="103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49" builtinId="9" hidden="1"/>
    <cellStyle name="열어 본 하이퍼링크" xfId="251" builtinId="9" hidden="1"/>
    <cellStyle name="열어 본 하이퍼링크" xfId="253" builtinId="9" hidden="1"/>
    <cellStyle name="열어 본 하이퍼링크" xfId="255" builtinId="9" hidden="1"/>
    <cellStyle name="열어 본 하이퍼링크" xfId="257" builtinId="9" hidden="1"/>
    <cellStyle name="열어 본 하이퍼링크" xfId="259" builtinId="9" hidden="1"/>
    <cellStyle name="열어 본 하이퍼링크" xfId="261" builtinId="9" hidden="1"/>
    <cellStyle name="열어 본 하이퍼링크" xfId="263" builtinId="9" hidden="1"/>
    <cellStyle name="열어 본 하이퍼링크" xfId="265" builtinId="9" hidden="1"/>
    <cellStyle name="열어 본 하이퍼링크" xfId="267" builtinId="9" hidden="1"/>
    <cellStyle name="열어 본 하이퍼링크" xfId="269" builtinId="9" hidden="1"/>
    <cellStyle name="열어 본 하이퍼링크" xfId="271" builtinId="9" hidden="1"/>
    <cellStyle name="열어 본 하이퍼링크" xfId="273" builtinId="9" hidden="1"/>
    <cellStyle name="열어 본 하이퍼링크" xfId="275" builtinId="9" hidden="1"/>
    <cellStyle name="열어 본 하이퍼링크" xfId="277" builtinId="9" hidden="1"/>
    <cellStyle name="열어 본 하이퍼링크" xfId="279" builtinId="9" hidden="1"/>
    <cellStyle name="열어 본 하이퍼링크" xfId="281" builtinId="9" hidden="1"/>
    <cellStyle name="열어 본 하이퍼링크" xfId="283" builtinId="9" hidden="1"/>
    <cellStyle name="열어 본 하이퍼링크" xfId="285" builtinId="9" hidden="1"/>
    <cellStyle name="열어 본 하이퍼링크" xfId="287" builtinId="9" hidden="1"/>
    <cellStyle name="열어 본 하이퍼링크" xfId="289" builtinId="9" hidden="1"/>
    <cellStyle name="열어 본 하이퍼링크" xfId="291" builtinId="9" hidden="1"/>
    <cellStyle name="열어 본 하이퍼링크" xfId="293" builtinId="9" hidden="1"/>
    <cellStyle name="열어 본 하이퍼링크" xfId="295" builtinId="9" hidden="1"/>
    <cellStyle name="열어 본 하이퍼링크" xfId="297" builtinId="9" hidden="1"/>
    <cellStyle name="열어 본 하이퍼링크" xfId="299" builtinId="9" hidden="1"/>
    <cellStyle name="열어 본 하이퍼링크" xfId="301" builtinId="9" hidden="1"/>
    <cellStyle name="열어 본 하이퍼링크" xfId="303" builtinId="9" hidden="1"/>
    <cellStyle name="열어 본 하이퍼링크" xfId="305" builtinId="9" hidden="1"/>
    <cellStyle name="열어 본 하이퍼링크" xfId="307" builtinId="9" hidden="1"/>
    <cellStyle name="열어 본 하이퍼링크" xfId="309" builtinId="9" hidden="1"/>
    <cellStyle name="열어 본 하이퍼링크" xfId="311" builtinId="9" hidden="1"/>
    <cellStyle name="열어 본 하이퍼링크" xfId="313" builtinId="9" hidden="1"/>
    <cellStyle name="열어 본 하이퍼링크" xfId="315" builtinId="9" hidden="1"/>
    <cellStyle name="열어 본 하이퍼링크" xfId="317" builtinId="9" hidden="1"/>
    <cellStyle name="열어 본 하이퍼링크" xfId="319" builtinId="9" hidden="1"/>
    <cellStyle name="열어 본 하이퍼링크" xfId="321" builtinId="9" hidden="1"/>
    <cellStyle name="열어 본 하이퍼링크" xfId="323" builtinId="9" hidden="1"/>
    <cellStyle name="열어 본 하이퍼링크" xfId="325" builtinId="9" hidden="1"/>
    <cellStyle name="열어 본 하이퍼링크" xfId="327" builtinId="9" hidden="1"/>
    <cellStyle name="열어 본 하이퍼링크" xfId="329" builtinId="9" hidden="1"/>
    <cellStyle name="열어 본 하이퍼링크" xfId="331" builtinId="9" hidden="1"/>
    <cellStyle name="열어 본 하이퍼링크" xfId="333" builtinId="9" hidden="1"/>
    <cellStyle name="열어 본 하이퍼링크" xfId="335" builtinId="9" hidden="1"/>
    <cellStyle name="열어 본 하이퍼링크" xfId="337" builtinId="9" hidden="1"/>
    <cellStyle name="열어 본 하이퍼링크" xfId="339" builtinId="9" hidden="1"/>
    <cellStyle name="열어 본 하이퍼링크" xfId="341" builtinId="9" hidden="1"/>
    <cellStyle name="열어 본 하이퍼링크" xfId="343" builtinId="9" hidden="1"/>
    <cellStyle name="열어 본 하이퍼링크" xfId="345" builtinId="9" hidden="1"/>
    <cellStyle name="열어 본 하이퍼링크" xfId="347" builtinId="9" hidden="1"/>
    <cellStyle name="열어 본 하이퍼링크" xfId="349" builtinId="9" hidden="1"/>
    <cellStyle name="열어 본 하이퍼링크" xfId="351" builtinId="9" hidden="1"/>
    <cellStyle name="열어 본 하이퍼링크" xfId="353" builtinId="9" hidden="1"/>
    <cellStyle name="열어 본 하이퍼링크" xfId="355" builtinId="9" hidden="1"/>
    <cellStyle name="열어 본 하이퍼링크" xfId="357" builtinId="9" hidden="1"/>
    <cellStyle name="열어 본 하이퍼링크" xfId="359" builtinId="9" hidden="1"/>
    <cellStyle name="열어 본 하이퍼링크" xfId="361" builtinId="9" hidden="1"/>
    <cellStyle name="열어 본 하이퍼링크" xfId="363" builtinId="9" hidden="1"/>
    <cellStyle name="열어 본 하이퍼링크" xfId="365" builtinId="9" hidden="1"/>
    <cellStyle name="열어 본 하이퍼링크" xfId="367" builtinId="9" hidden="1"/>
    <cellStyle name="열어 본 하이퍼링크" xfId="369" builtinId="9" hidden="1"/>
    <cellStyle name="열어 본 하이퍼링크" xfId="371" builtinId="9" hidden="1"/>
    <cellStyle name="열어 본 하이퍼링크" xfId="373" builtinId="9" hidden="1"/>
    <cellStyle name="열어 본 하이퍼링크" xfId="375" builtinId="9" hidden="1"/>
    <cellStyle name="열어 본 하이퍼링크" xfId="377" builtinId="9" hidden="1"/>
    <cellStyle name="열어 본 하이퍼링크" xfId="379" builtinId="9" hidden="1"/>
    <cellStyle name="열어 본 하이퍼링크" xfId="381" builtinId="9" hidden="1"/>
    <cellStyle name="열어 본 하이퍼링크" xfId="383" builtinId="9" hidden="1"/>
    <cellStyle name="열어 본 하이퍼링크" xfId="385" builtinId="9" hidden="1"/>
    <cellStyle name="열어 본 하이퍼링크" xfId="387" builtinId="9" hidden="1"/>
    <cellStyle name="열어 본 하이퍼링크" xfId="389" builtinId="9" hidden="1"/>
    <cellStyle name="열어 본 하이퍼링크" xfId="391" builtinId="9" hidden="1"/>
    <cellStyle name="열어 본 하이퍼링크" xfId="393" builtinId="9" hidden="1"/>
    <cellStyle name="열어 본 하이퍼링크" xfId="395" builtinId="9" hidden="1"/>
    <cellStyle name="열어 본 하이퍼링크" xfId="397" builtinId="9" hidden="1"/>
    <cellStyle name="열어 본 하이퍼링크" xfId="399" builtinId="9" hidden="1"/>
    <cellStyle name="열어 본 하이퍼링크" xfId="401" builtinId="9" hidden="1"/>
    <cellStyle name="열어 본 하이퍼링크" xfId="403" builtinId="9" hidden="1"/>
    <cellStyle name="열어 본 하이퍼링크" xfId="405" builtinId="9" hidden="1"/>
    <cellStyle name="열어 본 하이퍼링크" xfId="407" builtinId="9" hidden="1"/>
    <cellStyle name="열어 본 하이퍼링크" xfId="409" builtinId="9" hidden="1"/>
    <cellStyle name="열어 본 하이퍼링크" xfId="411" builtinId="9" hidden="1"/>
    <cellStyle name="열어 본 하이퍼링크" xfId="413" builtinId="9" hidden="1"/>
    <cellStyle name="열어 본 하이퍼링크" xfId="415" builtinId="9" hidden="1"/>
    <cellStyle name="열어 본 하이퍼링크" xfId="417" builtinId="9" hidden="1"/>
    <cellStyle name="열어 본 하이퍼링크" xfId="419" builtinId="9" hidden="1"/>
    <cellStyle name="열어 본 하이퍼링크" xfId="421" builtinId="9" hidden="1"/>
    <cellStyle name="열어 본 하이퍼링크" xfId="423" builtinId="9" hidden="1"/>
    <cellStyle name="열어 본 하이퍼링크" xfId="425" builtinId="9" hidden="1"/>
    <cellStyle name="열어 본 하이퍼링크" xfId="427" builtinId="9" hidden="1"/>
    <cellStyle name="열어 본 하이퍼링크" xfId="429" builtinId="9" hidden="1"/>
    <cellStyle name="열어 본 하이퍼링크" xfId="431" builtinId="9" hidden="1"/>
    <cellStyle name="열어 본 하이퍼링크" xfId="433" builtinId="9" hidden="1"/>
    <cellStyle name="열어 본 하이퍼링크" xfId="435" builtinId="9" hidden="1"/>
    <cellStyle name="열어 본 하이퍼링크" xfId="437" builtinId="9" hidden="1"/>
    <cellStyle name="열어 본 하이퍼링크" xfId="439" builtinId="9" hidden="1"/>
    <cellStyle name="열어 본 하이퍼링크" xfId="441" builtinId="9" hidden="1"/>
    <cellStyle name="열어 본 하이퍼링크" xfId="443" builtinId="9" hidden="1"/>
    <cellStyle name="열어 본 하이퍼링크" xfId="445" builtinId="9" hidden="1"/>
    <cellStyle name="열어 본 하이퍼링크" xfId="447" builtinId="9" hidden="1"/>
    <cellStyle name="열어 본 하이퍼링크" xfId="449" builtinId="9" hidden="1"/>
    <cellStyle name="열어 본 하이퍼링크" xfId="451" builtinId="9" hidden="1"/>
    <cellStyle name="열어 본 하이퍼링크" xfId="453" builtinId="9" hidden="1"/>
    <cellStyle name="열어 본 하이퍼링크" xfId="455" builtinId="9" hidden="1"/>
    <cellStyle name="열어 본 하이퍼링크" xfId="457" builtinId="9" hidden="1"/>
    <cellStyle name="열어 본 하이퍼링크" xfId="459" builtinId="9" hidden="1"/>
    <cellStyle name="열어 본 하이퍼링크" xfId="461" builtinId="9" hidden="1"/>
    <cellStyle name="열어 본 하이퍼링크" xfId="463" builtinId="9" hidden="1"/>
    <cellStyle name="열어 본 하이퍼링크" xfId="465" builtinId="9" hidden="1"/>
    <cellStyle name="열어 본 하이퍼링크" xfId="467" builtinId="9" hidden="1"/>
    <cellStyle name="열어 본 하이퍼링크" xfId="469" builtinId="9" hidden="1"/>
    <cellStyle name="열어 본 하이퍼링크" xfId="471" builtinId="9" hidden="1"/>
    <cellStyle name="열어 본 하이퍼링크" xfId="473" builtinId="9" hidden="1"/>
    <cellStyle name="열어 본 하이퍼링크" xfId="475" builtinId="9" hidden="1"/>
    <cellStyle name="열어 본 하이퍼링크" xfId="477" builtinId="9" hidden="1"/>
    <cellStyle name="열어 본 하이퍼링크" xfId="479" builtinId="9" hidden="1"/>
    <cellStyle name="열어 본 하이퍼링크" xfId="481" builtinId="9" hidden="1"/>
    <cellStyle name="열어 본 하이퍼링크" xfId="483" builtinId="9" hidden="1"/>
    <cellStyle name="열어 본 하이퍼링크" xfId="485" builtinId="9" hidden="1"/>
    <cellStyle name="열어 본 하이퍼링크" xfId="487" builtinId="9" hidden="1"/>
    <cellStyle name="열어 본 하이퍼링크" xfId="489" builtinId="9" hidden="1"/>
    <cellStyle name="열어 본 하이퍼링크" xfId="491" builtinId="9" hidden="1"/>
    <cellStyle name="열어 본 하이퍼링크" xfId="493" builtinId="9" hidden="1"/>
    <cellStyle name="열어 본 하이퍼링크" xfId="495" builtinId="9" hidden="1"/>
    <cellStyle name="열어 본 하이퍼링크" xfId="497" builtinId="9" hidden="1"/>
    <cellStyle name="열어 본 하이퍼링크" xfId="499" builtinId="9" hidden="1"/>
    <cellStyle name="열어 본 하이퍼링크" xfId="501" builtinId="9" hidden="1"/>
    <cellStyle name="열어 본 하이퍼링크" xfId="503" builtinId="9" hidden="1"/>
    <cellStyle name="열어 본 하이퍼링크" xfId="505" builtinId="9" hidden="1"/>
    <cellStyle name="열어 본 하이퍼링크" xfId="507" builtinId="9" hidden="1"/>
    <cellStyle name="열어 본 하이퍼링크" xfId="509" builtinId="9" hidden="1"/>
    <cellStyle name="열어 본 하이퍼링크" xfId="511" builtinId="9" hidden="1"/>
    <cellStyle name="열어 본 하이퍼링크" xfId="513" builtinId="9" hidden="1"/>
    <cellStyle name="열어 본 하이퍼링크" xfId="515" builtinId="9" hidden="1"/>
    <cellStyle name="열어 본 하이퍼링크" xfId="517" builtinId="9" hidden="1"/>
    <cellStyle name="열어 본 하이퍼링크" xfId="519" builtinId="9" hidden="1"/>
    <cellStyle name="열어 본 하이퍼링크" xfId="521" builtinId="9" hidden="1"/>
    <cellStyle name="열어 본 하이퍼링크" xfId="523" builtinId="9" hidden="1"/>
    <cellStyle name="열어 본 하이퍼링크" xfId="525" builtinId="9" hidden="1"/>
    <cellStyle name="열어 본 하이퍼링크" xfId="527" builtinId="9" hidden="1"/>
    <cellStyle name="열어 본 하이퍼링크" xfId="529" builtinId="9" hidden="1"/>
    <cellStyle name="열어 본 하이퍼링크" xfId="531" builtinId="9" hidden="1"/>
    <cellStyle name="열어 본 하이퍼링크" xfId="533" builtinId="9" hidden="1"/>
    <cellStyle name="열어 본 하이퍼링크" xfId="535" builtinId="9" hidden="1"/>
    <cellStyle name="열어 본 하이퍼링크" xfId="537" builtinId="9" hidden="1"/>
    <cellStyle name="열어 본 하이퍼링크" xfId="539" builtinId="9" hidden="1"/>
    <cellStyle name="열어 본 하이퍼링크" xfId="541" builtinId="9" hidden="1"/>
    <cellStyle name="열어 본 하이퍼링크" xfId="543" builtinId="9" hidden="1"/>
    <cellStyle name="열어 본 하이퍼링크" xfId="545" builtinId="9" hidden="1"/>
    <cellStyle name="열어 본 하이퍼링크" xfId="547" builtinId="9" hidden="1"/>
    <cellStyle name="열어 본 하이퍼링크" xfId="549" builtinId="9" hidden="1"/>
    <cellStyle name="열어 본 하이퍼링크" xfId="551" builtinId="9" hidden="1"/>
    <cellStyle name="열어 본 하이퍼링크" xfId="553" builtinId="9" hidden="1"/>
    <cellStyle name="열어 본 하이퍼링크" xfId="555" builtinId="9" hidden="1"/>
    <cellStyle name="열어 본 하이퍼링크" xfId="557" builtinId="9" hidden="1"/>
    <cellStyle name="열어 본 하이퍼링크" xfId="559" builtinId="9" hidden="1"/>
    <cellStyle name="열어 본 하이퍼링크" xfId="561" builtinId="9" hidden="1"/>
    <cellStyle name="열어 본 하이퍼링크" xfId="563" builtinId="9" hidden="1"/>
    <cellStyle name="열어 본 하이퍼링크" xfId="565" builtinId="9" hidden="1"/>
    <cellStyle name="열어 본 하이퍼링크" xfId="567" builtinId="9" hidden="1"/>
    <cellStyle name="열어 본 하이퍼링크" xfId="569" builtinId="9" hidden="1"/>
    <cellStyle name="열어 본 하이퍼링크" xfId="571" builtinId="9" hidden="1"/>
    <cellStyle name="열어 본 하이퍼링크" xfId="573" builtinId="9" hidden="1"/>
    <cellStyle name="열어 본 하이퍼링크" xfId="575" builtinId="9" hidden="1"/>
    <cellStyle name="열어 본 하이퍼링크" xfId="577" builtinId="9" hidden="1"/>
    <cellStyle name="열어 본 하이퍼링크" xfId="579" builtinId="9" hidden="1"/>
    <cellStyle name="열어 본 하이퍼링크" xfId="581" builtinId="9" hidden="1"/>
    <cellStyle name="열어 본 하이퍼링크" xfId="583" builtinId="9" hidden="1"/>
    <cellStyle name="열어 본 하이퍼링크" xfId="585" builtinId="9" hidden="1"/>
    <cellStyle name="열어 본 하이퍼링크" xfId="587" builtinId="9" hidden="1"/>
    <cellStyle name="열어 본 하이퍼링크" xfId="589" builtinId="9" hidden="1"/>
    <cellStyle name="열어 본 하이퍼링크" xfId="591" builtinId="9" hidden="1"/>
    <cellStyle name="열어 본 하이퍼링크" xfId="593" builtinId="9" hidden="1"/>
    <cellStyle name="열어 본 하이퍼링크" xfId="595" builtinId="9" hidden="1"/>
    <cellStyle name="열어 본 하이퍼링크" xfId="597" builtinId="9" hidden="1"/>
    <cellStyle name="열어 본 하이퍼링크" xfId="599" builtinId="9" hidden="1"/>
    <cellStyle name="열어 본 하이퍼링크" xfId="601" builtinId="9" hidden="1"/>
    <cellStyle name="열어 본 하이퍼링크" xfId="603" builtinId="9" hidden="1"/>
    <cellStyle name="열어 본 하이퍼링크" xfId="605" builtinId="9" hidden="1"/>
    <cellStyle name="열어 본 하이퍼링크" xfId="607" builtinId="9" hidden="1"/>
    <cellStyle name="열어 본 하이퍼링크" xfId="609" builtinId="9" hidden="1"/>
    <cellStyle name="열어 본 하이퍼링크" xfId="611" builtinId="9" hidden="1"/>
    <cellStyle name="열어 본 하이퍼링크" xfId="613" builtinId="9" hidden="1"/>
    <cellStyle name="열어 본 하이퍼링크" xfId="615" builtinId="9" hidden="1"/>
    <cellStyle name="열어 본 하이퍼링크" xfId="617" builtinId="9" hidden="1"/>
    <cellStyle name="열어 본 하이퍼링크" xfId="619" builtinId="9" hidden="1"/>
    <cellStyle name="열어 본 하이퍼링크" xfId="621" builtinId="9" hidden="1"/>
    <cellStyle name="열어 본 하이퍼링크" xfId="623" builtinId="9" hidden="1"/>
    <cellStyle name="열어 본 하이퍼링크" xfId="625" builtinId="9" hidden="1"/>
    <cellStyle name="열어 본 하이퍼링크" xfId="627" builtinId="9" hidden="1"/>
    <cellStyle name="열어 본 하이퍼링크" xfId="629" builtinId="9" hidden="1"/>
    <cellStyle name="열어 본 하이퍼링크" xfId="631" builtinId="9" hidden="1"/>
    <cellStyle name="열어 본 하이퍼링크" xfId="633" builtinId="9" hidden="1"/>
    <cellStyle name="열어 본 하이퍼링크" xfId="635" builtinId="9" hidden="1"/>
    <cellStyle name="열어 본 하이퍼링크" xfId="637" builtinId="9" hidden="1"/>
    <cellStyle name="열어 본 하이퍼링크" xfId="639" builtinId="9" hidden="1"/>
    <cellStyle name="열어 본 하이퍼링크" xfId="641" builtinId="9" hidden="1"/>
    <cellStyle name="열어 본 하이퍼링크" xfId="643" builtinId="9" hidden="1"/>
    <cellStyle name="열어 본 하이퍼링크" xfId="645" builtinId="9" hidden="1"/>
    <cellStyle name="열어 본 하이퍼링크" xfId="647" builtinId="9" hidden="1"/>
    <cellStyle name="열어 본 하이퍼링크" xfId="649" builtinId="9" hidden="1"/>
    <cellStyle name="열어 본 하이퍼링크" xfId="651" builtinId="9" hidden="1"/>
    <cellStyle name="열어 본 하이퍼링크" xfId="653" builtinId="9" hidden="1"/>
    <cellStyle name="열어 본 하이퍼링크" xfId="655" builtinId="9" hidden="1"/>
    <cellStyle name="열어 본 하이퍼링크" xfId="657" builtinId="9" hidden="1"/>
    <cellStyle name="열어 본 하이퍼링크" xfId="659" builtinId="9" hidden="1"/>
    <cellStyle name="열어 본 하이퍼링크" xfId="661" builtinId="9" hidden="1"/>
    <cellStyle name="열어 본 하이퍼링크" xfId="663" builtinId="9" hidden="1"/>
    <cellStyle name="열어 본 하이퍼링크" xfId="665" builtinId="9" hidden="1"/>
    <cellStyle name="열어 본 하이퍼링크" xfId="667" builtinId="9" hidden="1"/>
    <cellStyle name="열어 본 하이퍼링크" xfId="669" builtinId="9" hidden="1"/>
    <cellStyle name="열어 본 하이퍼링크" xfId="671" builtinId="9" hidden="1"/>
    <cellStyle name="열어 본 하이퍼링크" xfId="673" builtinId="9" hidden="1"/>
    <cellStyle name="열어 본 하이퍼링크" xfId="675" builtinId="9" hidden="1"/>
    <cellStyle name="열어 본 하이퍼링크" xfId="677" builtinId="9" hidden="1"/>
    <cellStyle name="열어 본 하이퍼링크" xfId="679" builtinId="9" hidden="1"/>
    <cellStyle name="열어 본 하이퍼링크" xfId="681" builtinId="9" hidden="1"/>
    <cellStyle name="열어 본 하이퍼링크" xfId="683" builtinId="9" hidden="1"/>
    <cellStyle name="열어 본 하이퍼링크" xfId="685" builtinId="9" hidden="1"/>
    <cellStyle name="열어 본 하이퍼링크" xfId="687" builtinId="9" hidden="1"/>
    <cellStyle name="열어 본 하이퍼링크" xfId="689" builtinId="9" hidden="1"/>
    <cellStyle name="열어 본 하이퍼링크" xfId="691" builtinId="9" hidden="1"/>
    <cellStyle name="열어 본 하이퍼링크" xfId="693" builtinId="9" hidden="1"/>
    <cellStyle name="열어 본 하이퍼링크" xfId="695" builtinId="9" hidden="1"/>
    <cellStyle name="열어 본 하이퍼링크" xfId="697" builtinId="9" hidden="1"/>
    <cellStyle name="열어 본 하이퍼링크" xfId="699" builtinId="9" hidden="1"/>
    <cellStyle name="열어 본 하이퍼링크" xfId="701" builtinId="9" hidden="1"/>
    <cellStyle name="열어 본 하이퍼링크" xfId="703" builtinId="9" hidden="1"/>
    <cellStyle name="열어 본 하이퍼링크" xfId="705" builtinId="9" hidden="1"/>
    <cellStyle name="열어 본 하이퍼링크" xfId="707" builtinId="9" hidden="1"/>
    <cellStyle name="열어 본 하이퍼링크" xfId="709" builtinId="9" hidden="1"/>
    <cellStyle name="열어 본 하이퍼링크" xfId="711" builtinId="9" hidden="1"/>
    <cellStyle name="열어 본 하이퍼링크" xfId="713" builtinId="9" hidden="1"/>
    <cellStyle name="열어 본 하이퍼링크" xfId="715" builtinId="9" hidden="1"/>
    <cellStyle name="열어 본 하이퍼링크" xfId="717" builtinId="9" hidden="1"/>
    <cellStyle name="열어 본 하이퍼링크" xfId="719" builtinId="9" hidden="1"/>
    <cellStyle name="열어 본 하이퍼링크" xfId="721" builtinId="9" hidden="1"/>
    <cellStyle name="열어 본 하이퍼링크" xfId="723" builtinId="9" hidden="1"/>
    <cellStyle name="열어 본 하이퍼링크" xfId="725" builtinId="9" hidden="1"/>
    <cellStyle name="열어 본 하이퍼링크" xfId="727" builtinId="9" hidden="1"/>
    <cellStyle name="열어 본 하이퍼링크" xfId="729" builtinId="9" hidden="1"/>
    <cellStyle name="열어 본 하이퍼링크" xfId="731" builtinId="9" hidden="1"/>
    <cellStyle name="열어 본 하이퍼링크" xfId="733" builtinId="9" hidden="1"/>
    <cellStyle name="열어 본 하이퍼링크" xfId="735" builtinId="9" hidden="1"/>
    <cellStyle name="열어 본 하이퍼링크" xfId="737" builtinId="9" hidden="1"/>
    <cellStyle name="열어 본 하이퍼링크" xfId="739" builtinId="9" hidden="1"/>
    <cellStyle name="열어 본 하이퍼링크" xfId="741" builtinId="9" hidden="1"/>
    <cellStyle name="열어 본 하이퍼링크" xfId="743" builtinId="9" hidden="1"/>
    <cellStyle name="열어 본 하이퍼링크" xfId="745" builtinId="9" hidden="1"/>
    <cellStyle name="열어 본 하이퍼링크" xfId="747" builtinId="9" hidden="1"/>
    <cellStyle name="열어 본 하이퍼링크" xfId="749" builtinId="9" hidden="1"/>
    <cellStyle name="열어 본 하이퍼링크" xfId="751" builtinId="9" hidden="1"/>
    <cellStyle name="열어 본 하이퍼링크" xfId="753" builtinId="9" hidden="1"/>
    <cellStyle name="열어 본 하이퍼링크" xfId="755" builtinId="9" hidden="1"/>
    <cellStyle name="열어 본 하이퍼링크" xfId="757" builtinId="9" hidden="1"/>
    <cellStyle name="열어 본 하이퍼링크" xfId="759" builtinId="9" hidden="1"/>
    <cellStyle name="열어 본 하이퍼링크" xfId="761" builtinId="9" hidden="1"/>
    <cellStyle name="열어 본 하이퍼링크" xfId="763" builtinId="9" hidden="1"/>
    <cellStyle name="열어 본 하이퍼링크" xfId="765" builtinId="9" hidden="1"/>
    <cellStyle name="열어 본 하이퍼링크" xfId="767" builtinId="9" hidden="1"/>
    <cellStyle name="열어 본 하이퍼링크" xfId="769" builtinId="9" hidden="1"/>
    <cellStyle name="열어 본 하이퍼링크" xfId="771" builtinId="9" hidden="1"/>
    <cellStyle name="열어 본 하이퍼링크" xfId="773" builtinId="9" hidden="1"/>
    <cellStyle name="열어 본 하이퍼링크" xfId="775" builtinId="9" hidden="1"/>
    <cellStyle name="열어 본 하이퍼링크" xfId="777" builtinId="9" hidden="1"/>
    <cellStyle name="열어 본 하이퍼링크" xfId="779" builtinId="9" hidden="1"/>
    <cellStyle name="열어 본 하이퍼링크" xfId="781" builtinId="9" hidden="1"/>
    <cellStyle name="열어 본 하이퍼링크" xfId="783" builtinId="9" hidden="1"/>
    <cellStyle name="열어 본 하이퍼링크" xfId="785" builtinId="9" hidden="1"/>
    <cellStyle name="열어 본 하이퍼링크" xfId="787" builtinId="9" hidden="1"/>
    <cellStyle name="열어 본 하이퍼링크" xfId="789" builtinId="9" hidden="1"/>
    <cellStyle name="열어 본 하이퍼링크" xfId="791" builtinId="9" hidden="1"/>
    <cellStyle name="열어 본 하이퍼링크" xfId="793" builtinId="9" hidden="1"/>
    <cellStyle name="열어 본 하이퍼링크" xfId="795" builtinId="9" hidden="1"/>
    <cellStyle name="열어 본 하이퍼링크" xfId="797" builtinId="9" hidden="1"/>
    <cellStyle name="열어 본 하이퍼링크" xfId="799" builtinId="9" hidden="1"/>
    <cellStyle name="열어 본 하이퍼링크" xfId="801" builtinId="9" hidden="1"/>
    <cellStyle name="열어 본 하이퍼링크" xfId="803" builtinId="9" hidden="1"/>
    <cellStyle name="열어 본 하이퍼링크" xfId="805" builtinId="9" hidden="1"/>
    <cellStyle name="열어 본 하이퍼링크" xfId="807" builtinId="9" hidden="1"/>
    <cellStyle name="열어 본 하이퍼링크" xfId="809" builtinId="9" hidden="1"/>
    <cellStyle name="열어 본 하이퍼링크" xfId="811" builtinId="9" hidden="1"/>
    <cellStyle name="열어 본 하이퍼링크" xfId="813" builtinId="9" hidden="1"/>
    <cellStyle name="열어 본 하이퍼링크" xfId="815" builtinId="9" hidden="1"/>
    <cellStyle name="열어 본 하이퍼링크" xfId="817" builtinId="9" hidden="1"/>
    <cellStyle name="열어 본 하이퍼링크" xfId="819" builtinId="9" hidden="1"/>
    <cellStyle name="열어 본 하이퍼링크" xfId="821" builtinId="9" hidden="1"/>
    <cellStyle name="열어 본 하이퍼링크" xfId="823" builtinId="9" hidden="1"/>
    <cellStyle name="열어 본 하이퍼링크" xfId="825" builtinId="9" hidden="1"/>
    <cellStyle name="열어 본 하이퍼링크" xfId="827" builtinId="9" hidden="1"/>
    <cellStyle name="열어 본 하이퍼링크" xfId="829" builtinId="9" hidden="1"/>
    <cellStyle name="열어 본 하이퍼링크" xfId="831" builtinId="9" hidden="1"/>
    <cellStyle name="열어 본 하이퍼링크" xfId="833" builtinId="9" hidden="1"/>
    <cellStyle name="열어 본 하이퍼링크" xfId="835" builtinId="9" hidden="1"/>
    <cellStyle name="열어 본 하이퍼링크" xfId="837" builtinId="9" hidden="1"/>
    <cellStyle name="열어 본 하이퍼링크" xfId="839" builtinId="9" hidden="1"/>
    <cellStyle name="열어 본 하이퍼링크" xfId="841" builtinId="9" hidden="1"/>
    <cellStyle name="열어 본 하이퍼링크" xfId="843" builtinId="9" hidden="1"/>
    <cellStyle name="열어 본 하이퍼링크" xfId="845" builtinId="9" hidden="1"/>
    <cellStyle name="열어 본 하이퍼링크" xfId="847" builtinId="9" hidden="1"/>
    <cellStyle name="열어 본 하이퍼링크" xfId="849" builtinId="9" hidden="1"/>
    <cellStyle name="열어 본 하이퍼링크" xfId="851" builtinId="9" hidden="1"/>
    <cellStyle name="열어 본 하이퍼링크" xfId="853" builtinId="9" hidden="1"/>
    <cellStyle name="열어 본 하이퍼링크" xfId="855" builtinId="9" hidden="1"/>
    <cellStyle name="열어 본 하이퍼링크" xfId="857" builtinId="9" hidden="1"/>
    <cellStyle name="열어 본 하이퍼링크" xfId="859" builtinId="9" hidden="1"/>
    <cellStyle name="열어 본 하이퍼링크" xfId="861" builtinId="9" hidden="1"/>
    <cellStyle name="열어 본 하이퍼링크" xfId="863" builtinId="9" hidden="1"/>
    <cellStyle name="열어 본 하이퍼링크" xfId="865" builtinId="9" hidden="1"/>
    <cellStyle name="열어 본 하이퍼링크" xfId="867" builtinId="9" hidden="1"/>
    <cellStyle name="열어 본 하이퍼링크" xfId="869" builtinId="9" hidden="1"/>
    <cellStyle name="열어 본 하이퍼링크" xfId="871" builtinId="9" hidden="1"/>
    <cellStyle name="열어 본 하이퍼링크" xfId="873" builtinId="9" hidden="1"/>
    <cellStyle name="열어 본 하이퍼링크" xfId="875" builtinId="9" hidden="1"/>
    <cellStyle name="열어 본 하이퍼링크" xfId="877" builtinId="9" hidden="1"/>
    <cellStyle name="열어 본 하이퍼링크" xfId="879" builtinId="9" hidden="1"/>
    <cellStyle name="열어 본 하이퍼링크" xfId="881" builtinId="9" hidden="1"/>
    <cellStyle name="열어 본 하이퍼링크" xfId="883" builtinId="9" hidden="1"/>
    <cellStyle name="열어 본 하이퍼링크" xfId="885" builtinId="9" hidden="1"/>
    <cellStyle name="열어 본 하이퍼링크" xfId="887" builtinId="9" hidden="1"/>
    <cellStyle name="열어 본 하이퍼링크" xfId="889" builtinId="9" hidden="1"/>
    <cellStyle name="열어 본 하이퍼링크" xfId="891" builtinId="9" hidden="1"/>
    <cellStyle name="열어 본 하이퍼링크" xfId="893" builtinId="9" hidden="1"/>
    <cellStyle name="열어 본 하이퍼링크" xfId="895" builtinId="9" hidden="1"/>
    <cellStyle name="열어 본 하이퍼링크" xfId="897" builtinId="9" hidden="1"/>
    <cellStyle name="열어 본 하이퍼링크" xfId="899" builtinId="9" hidden="1"/>
    <cellStyle name="열어 본 하이퍼링크" xfId="901" builtinId="9" hidden="1"/>
    <cellStyle name="열어 본 하이퍼링크" xfId="903" builtinId="9" hidden="1"/>
    <cellStyle name="열어 본 하이퍼링크" xfId="905" builtinId="9" hidden="1"/>
    <cellStyle name="열어 본 하이퍼링크" xfId="907" builtinId="9" hidden="1"/>
    <cellStyle name="열어 본 하이퍼링크" xfId="909" builtinId="9" hidden="1"/>
    <cellStyle name="열어 본 하이퍼링크" xfId="911" builtinId="9" hidden="1"/>
    <cellStyle name="열어 본 하이퍼링크" xfId="913" builtinId="9" hidden="1"/>
    <cellStyle name="열어 본 하이퍼링크" xfId="915" builtinId="9" hidden="1"/>
    <cellStyle name="열어 본 하이퍼링크" xfId="917" builtinId="9" hidden="1"/>
    <cellStyle name="열어 본 하이퍼링크" xfId="919" builtinId="9" hidden="1"/>
    <cellStyle name="열어 본 하이퍼링크" xfId="921" builtinId="9" hidden="1"/>
    <cellStyle name="열어 본 하이퍼링크" xfId="923" builtinId="9" hidden="1"/>
    <cellStyle name="열어 본 하이퍼링크" xfId="925" builtinId="9" hidden="1"/>
    <cellStyle name="열어 본 하이퍼링크" xfId="927" builtinId="9" hidden="1"/>
    <cellStyle name="열어 본 하이퍼링크" xfId="929" builtinId="9" hidden="1"/>
    <cellStyle name="열어 본 하이퍼링크" xfId="931" builtinId="9" hidden="1"/>
    <cellStyle name="열어 본 하이퍼링크" xfId="933" builtinId="9" hidden="1"/>
    <cellStyle name="열어 본 하이퍼링크" xfId="935" builtinId="9" hidden="1"/>
    <cellStyle name="열어 본 하이퍼링크" xfId="937" builtinId="9" hidden="1"/>
    <cellStyle name="열어 본 하이퍼링크" xfId="939" builtinId="9" hidden="1"/>
    <cellStyle name="열어 본 하이퍼링크" xfId="941" builtinId="9" hidden="1"/>
    <cellStyle name="열어 본 하이퍼링크" xfId="943" builtinId="9" hidden="1"/>
    <cellStyle name="열어 본 하이퍼링크" xfId="945" builtinId="9" hidden="1"/>
    <cellStyle name="열어 본 하이퍼링크" xfId="947" builtinId="9" hidden="1"/>
    <cellStyle name="열어 본 하이퍼링크" xfId="949" builtinId="9" hidden="1"/>
    <cellStyle name="열어 본 하이퍼링크" xfId="951" builtinId="9" hidden="1"/>
    <cellStyle name="열어 본 하이퍼링크" xfId="953" builtinId="9" hidden="1"/>
    <cellStyle name="열어 본 하이퍼링크" xfId="955" builtinId="9" hidden="1"/>
    <cellStyle name="열어 본 하이퍼링크" xfId="957" builtinId="9" hidden="1"/>
    <cellStyle name="열어 본 하이퍼링크" xfId="959" builtinId="9" hidden="1"/>
    <cellStyle name="열어 본 하이퍼링크" xfId="961" builtinId="9" hidden="1"/>
    <cellStyle name="열어 본 하이퍼링크" xfId="963" builtinId="9" hidden="1"/>
    <cellStyle name="열어 본 하이퍼링크" xfId="965" builtinId="9" hidden="1"/>
    <cellStyle name="열어 본 하이퍼링크" xfId="967" builtinId="9" hidden="1"/>
    <cellStyle name="열어 본 하이퍼링크" xfId="969" builtinId="9" hidden="1"/>
    <cellStyle name="열어 본 하이퍼링크" xfId="971" builtinId="9" hidden="1"/>
    <cellStyle name="열어 본 하이퍼링크" xfId="973" builtinId="9" hidden="1"/>
    <cellStyle name="열어 본 하이퍼링크" xfId="975" builtinId="9" hidden="1"/>
    <cellStyle name="열어 본 하이퍼링크" xfId="977" builtinId="9" hidden="1"/>
    <cellStyle name="열어 본 하이퍼링크" xfId="979" builtinId="9" hidden="1"/>
    <cellStyle name="열어 본 하이퍼링크" xfId="981" builtinId="9" hidden="1"/>
    <cellStyle name="열어 본 하이퍼링크" xfId="983" builtinId="9" hidden="1"/>
    <cellStyle name="열어 본 하이퍼링크" xfId="985" builtinId="9" hidden="1"/>
    <cellStyle name="열어 본 하이퍼링크" xfId="987" builtinId="9" hidden="1"/>
    <cellStyle name="열어 본 하이퍼링크" xfId="989" builtinId="9" hidden="1"/>
    <cellStyle name="열어 본 하이퍼링크" xfId="991" builtinId="9" hidden="1"/>
    <cellStyle name="열어 본 하이퍼링크" xfId="993" builtinId="9" hidden="1"/>
    <cellStyle name="열어 본 하이퍼링크" xfId="995" builtinId="9" hidden="1"/>
    <cellStyle name="열어 본 하이퍼링크" xfId="997" builtinId="9" hidden="1"/>
    <cellStyle name="열어 본 하이퍼링크" xfId="999" builtinId="9" hidden="1"/>
    <cellStyle name="열어 본 하이퍼링크" xfId="1001" builtinId="9" hidden="1"/>
    <cellStyle name="열어 본 하이퍼링크" xfId="1003" builtinId="9" hidden="1"/>
    <cellStyle name="열어 본 하이퍼링크" xfId="1005" builtinId="9" hidden="1"/>
    <cellStyle name="열어 본 하이퍼링크" xfId="1007" builtinId="9" hidden="1"/>
    <cellStyle name="열어 본 하이퍼링크" xfId="1009" builtinId="9" hidden="1"/>
    <cellStyle name="열어 본 하이퍼링크" xfId="1011" builtinId="9" hidden="1"/>
    <cellStyle name="열어 본 하이퍼링크" xfId="1013" builtinId="9" hidden="1"/>
    <cellStyle name="열어 본 하이퍼링크" xfId="1015" builtinId="9" hidden="1"/>
    <cellStyle name="열어 본 하이퍼링크" xfId="1017" builtinId="9" hidden="1"/>
    <cellStyle name="열어 본 하이퍼링크" xfId="1019" builtinId="9" hidden="1"/>
    <cellStyle name="열어 본 하이퍼링크" xfId="1021" builtinId="9" hidden="1"/>
    <cellStyle name="열어 본 하이퍼링크" xfId="1023" builtinId="9" hidden="1"/>
    <cellStyle name="열어 본 하이퍼링크" xfId="1025" builtinId="9" hidden="1"/>
    <cellStyle name="열어 본 하이퍼링크" xfId="1027" builtinId="9" hidden="1"/>
    <cellStyle name="열어 본 하이퍼링크" xfId="1029" builtinId="9" hidden="1"/>
    <cellStyle name="열어 본 하이퍼링크" xfId="1031" builtinId="9" hidden="1"/>
    <cellStyle name="열어 본 하이퍼링크" xfId="1033" builtinId="9" hidden="1"/>
    <cellStyle name="열어 본 하이퍼링크" xfId="1035" builtinId="9" hidden="1"/>
    <cellStyle name="열어 본 하이퍼링크" xfId="1037" builtinId="9" hidden="1"/>
    <cellStyle name="열어 본 하이퍼링크" xfId="1039" builtinId="9" hidden="1"/>
    <cellStyle name="열어 본 하이퍼링크" xfId="1041" builtinId="9" hidden="1"/>
    <cellStyle name="열어 본 하이퍼링크" xfId="1043" builtinId="9" hidden="1"/>
    <cellStyle name="열어 본 하이퍼링크" xfId="1045" builtinId="9" hidden="1"/>
    <cellStyle name="열어 본 하이퍼링크" xfId="1047" builtinId="9" hidden="1"/>
    <cellStyle name="열어 본 하이퍼링크" xfId="1049" builtinId="9" hidden="1"/>
    <cellStyle name="열어 본 하이퍼링크" xfId="1051" builtinId="9" hidden="1"/>
    <cellStyle name="열어 본 하이퍼링크" xfId="1053" builtinId="9" hidden="1"/>
    <cellStyle name="열어 본 하이퍼링크" xfId="1055" builtinId="9" hidden="1"/>
    <cellStyle name="열어 본 하이퍼링크" xfId="1057" builtinId="9" hidden="1"/>
    <cellStyle name="열어 본 하이퍼링크" xfId="1059" builtinId="9" hidden="1"/>
    <cellStyle name="열어 본 하이퍼링크" xfId="1061" builtinId="9" hidden="1"/>
    <cellStyle name="열어 본 하이퍼링크" xfId="1063" builtinId="9" hidden="1"/>
    <cellStyle name="열어 본 하이퍼링크" xfId="1065" builtinId="9" hidden="1"/>
    <cellStyle name="열어 본 하이퍼링크" xfId="1067" builtinId="9" hidden="1"/>
    <cellStyle name="열어 본 하이퍼링크" xfId="1069" builtinId="9" hidden="1"/>
    <cellStyle name="열어 본 하이퍼링크" xfId="1071" builtinId="9" hidden="1"/>
    <cellStyle name="열어 본 하이퍼링크" xfId="1073" builtinId="9" hidden="1"/>
    <cellStyle name="열어 본 하이퍼링크" xfId="1075" builtinId="9" hidden="1"/>
    <cellStyle name="열어 본 하이퍼링크" xfId="1077" builtinId="9" hidden="1"/>
    <cellStyle name="열어 본 하이퍼링크" xfId="1079" builtinId="9" hidden="1"/>
    <cellStyle name="열어 본 하이퍼링크" xfId="1081" builtinId="9" hidden="1"/>
    <cellStyle name="열어 본 하이퍼링크" xfId="1083" builtinId="9" hidden="1"/>
    <cellStyle name="열어 본 하이퍼링크" xfId="1085" builtinId="9" hidden="1"/>
    <cellStyle name="열어 본 하이퍼링크" xfId="1087" builtinId="9" hidden="1"/>
    <cellStyle name="열어 본 하이퍼링크" xfId="1089" builtinId="9" hidden="1"/>
    <cellStyle name="열어 본 하이퍼링크" xfId="1091" builtinId="9" hidden="1"/>
    <cellStyle name="열어 본 하이퍼링크" xfId="1093" builtinId="9" hidden="1"/>
    <cellStyle name="열어 본 하이퍼링크" xfId="1095" builtinId="9" hidden="1"/>
    <cellStyle name="열어 본 하이퍼링크" xfId="1097" builtinId="9" hidden="1"/>
    <cellStyle name="열어 본 하이퍼링크" xfId="1099" builtinId="9" hidden="1"/>
    <cellStyle name="열어 본 하이퍼링크" xfId="1101" builtinId="9" hidden="1"/>
    <cellStyle name="열어 본 하이퍼링크" xfId="1103" builtinId="9" hidden="1"/>
    <cellStyle name="열어 본 하이퍼링크" xfId="1105" builtinId="9" hidden="1"/>
    <cellStyle name="열어 본 하이퍼링크" xfId="1107" builtinId="9" hidden="1"/>
    <cellStyle name="열어 본 하이퍼링크" xfId="1109" builtinId="9" hidden="1"/>
    <cellStyle name="열어 본 하이퍼링크" xfId="1111" builtinId="9" hidden="1"/>
    <cellStyle name="열어 본 하이퍼링크" xfId="1113" builtinId="9" hidden="1"/>
    <cellStyle name="열어 본 하이퍼링크" xfId="1115" builtinId="9" hidden="1"/>
    <cellStyle name="열어 본 하이퍼링크" xfId="1117" builtinId="9" hidden="1"/>
    <cellStyle name="열어 본 하이퍼링크" xfId="1119" builtinId="9" hidden="1"/>
    <cellStyle name="열어 본 하이퍼링크" xfId="1121" builtinId="9" hidden="1"/>
    <cellStyle name="열어 본 하이퍼링크" xfId="1123" builtinId="9" hidden="1"/>
    <cellStyle name="열어 본 하이퍼링크" xfId="1125" builtinId="9" hidden="1"/>
    <cellStyle name="열어 본 하이퍼링크" xfId="1127" builtinId="9" hidden="1"/>
    <cellStyle name="열어 본 하이퍼링크" xfId="1129" builtinId="9" hidden="1"/>
    <cellStyle name="열어 본 하이퍼링크" xfId="1131" builtinId="9" hidden="1"/>
    <cellStyle name="열어 본 하이퍼링크" xfId="1133" builtinId="9" hidden="1"/>
    <cellStyle name="열어 본 하이퍼링크" xfId="1135" builtinId="9" hidden="1"/>
    <cellStyle name="열어 본 하이퍼링크" xfId="1137" builtinId="9" hidden="1"/>
    <cellStyle name="열어 본 하이퍼링크" xfId="1139" builtinId="9" hidden="1"/>
    <cellStyle name="열어 본 하이퍼링크" xfId="1141" builtinId="9" hidden="1"/>
    <cellStyle name="열어 본 하이퍼링크" xfId="1143" builtinId="9" hidden="1"/>
    <cellStyle name="열어 본 하이퍼링크" xfId="1145" builtinId="9" hidden="1"/>
    <cellStyle name="열어 본 하이퍼링크" xfId="1147" builtinId="9" hidden="1"/>
    <cellStyle name="열어 본 하이퍼링크" xfId="1149" builtinId="9" hidden="1"/>
    <cellStyle name="열어 본 하이퍼링크" xfId="1151" builtinId="9" hidden="1"/>
    <cellStyle name="열어 본 하이퍼링크" xfId="1153" builtinId="9" hidden="1"/>
    <cellStyle name="열어 본 하이퍼링크" xfId="1155" builtinId="9" hidden="1"/>
    <cellStyle name="열어 본 하이퍼링크" xfId="1157" builtinId="9" hidden="1"/>
    <cellStyle name="열어 본 하이퍼링크" xfId="1159" builtinId="9" hidden="1"/>
    <cellStyle name="열어 본 하이퍼링크" xfId="1161" builtinId="9" hidden="1"/>
    <cellStyle name="열어 본 하이퍼링크" xfId="1163" builtinId="9" hidden="1"/>
    <cellStyle name="열어 본 하이퍼링크" xfId="1165" builtinId="9" hidden="1"/>
    <cellStyle name="열어 본 하이퍼링크" xfId="1167" builtinId="9" hidden="1"/>
    <cellStyle name="열어 본 하이퍼링크" xfId="1169" builtinId="9" hidden="1"/>
    <cellStyle name="열어 본 하이퍼링크" xfId="1171" builtinId="9" hidden="1"/>
    <cellStyle name="열어 본 하이퍼링크" xfId="1173" builtinId="9" hidden="1"/>
    <cellStyle name="열어 본 하이퍼링크" xfId="1175" builtinId="9" hidden="1"/>
    <cellStyle name="열어 본 하이퍼링크" xfId="1177" builtinId="9" hidden="1"/>
    <cellStyle name="열어 본 하이퍼링크" xfId="1179" builtinId="9" hidden="1"/>
    <cellStyle name="열어 본 하이퍼링크" xfId="1181" builtinId="9" hidden="1"/>
    <cellStyle name="열어 본 하이퍼링크" xfId="1183" builtinId="9" hidden="1"/>
    <cellStyle name="열어 본 하이퍼링크" xfId="1185" builtinId="9" hidden="1"/>
    <cellStyle name="열어 본 하이퍼링크" xfId="1187" builtinId="9" hidden="1"/>
    <cellStyle name="열어 본 하이퍼링크" xfId="1189" builtinId="9" hidden="1"/>
    <cellStyle name="열어 본 하이퍼링크" xfId="1191" builtinId="9" hidden="1"/>
    <cellStyle name="열어 본 하이퍼링크" xfId="1193" builtinId="9" hidden="1"/>
    <cellStyle name="열어 본 하이퍼링크" xfId="1195" builtinId="9" hidden="1"/>
    <cellStyle name="열어 본 하이퍼링크" xfId="1197" builtinId="9" hidden="1"/>
    <cellStyle name="열어 본 하이퍼링크" xfId="1199" builtinId="9" hidden="1"/>
    <cellStyle name="열어 본 하이퍼링크" xfId="1201" builtinId="9" hidden="1"/>
    <cellStyle name="열어 본 하이퍼링크" xfId="1203" builtinId="9" hidden="1"/>
    <cellStyle name="열어 본 하이퍼링크" xfId="1205" builtinId="9" hidden="1"/>
    <cellStyle name="열어 본 하이퍼링크" xfId="1207" builtinId="9" hidden="1"/>
    <cellStyle name="열어 본 하이퍼링크" xfId="1209" builtinId="9" hidden="1"/>
    <cellStyle name="열어 본 하이퍼링크" xfId="1211" builtinId="9" hidden="1"/>
    <cellStyle name="열어 본 하이퍼링크" xfId="1213" builtinId="9" hidden="1"/>
    <cellStyle name="열어 본 하이퍼링크" xfId="1215" builtinId="9" hidden="1"/>
    <cellStyle name="열어 본 하이퍼링크" xfId="1217" builtinId="9" hidden="1"/>
    <cellStyle name="열어 본 하이퍼링크" xfId="1219" builtinId="9" hidden="1"/>
    <cellStyle name="열어 본 하이퍼링크" xfId="1221" builtinId="9" hidden="1"/>
    <cellStyle name="열어 본 하이퍼링크" xfId="1223" builtinId="9" hidden="1"/>
    <cellStyle name="열어 본 하이퍼링크" xfId="1225" builtinId="9" hidden="1"/>
    <cellStyle name="열어 본 하이퍼링크" xfId="1227" builtinId="9" hidden="1"/>
    <cellStyle name="열어 본 하이퍼링크" xfId="1229" builtinId="9" hidden="1"/>
    <cellStyle name="열어 본 하이퍼링크" xfId="1231" builtinId="9" hidden="1"/>
    <cellStyle name="열어 본 하이퍼링크" xfId="1233" builtinId="9" hidden="1"/>
    <cellStyle name="열어 본 하이퍼링크" xfId="1235" builtinId="9" hidden="1"/>
    <cellStyle name="열어 본 하이퍼링크" xfId="1237" builtinId="9" hidden="1"/>
    <cellStyle name="열어 본 하이퍼링크" xfId="1239" builtinId="9" hidden="1"/>
    <cellStyle name="열어 본 하이퍼링크" xfId="1241" builtinId="9" hidden="1"/>
    <cellStyle name="열어 본 하이퍼링크" xfId="1243" builtinId="9" hidden="1"/>
    <cellStyle name="열어 본 하이퍼링크" xfId="1245" builtinId="9" hidden="1"/>
    <cellStyle name="열어 본 하이퍼링크" xfId="1247" builtinId="9" hidden="1"/>
    <cellStyle name="열어 본 하이퍼링크" xfId="1249" builtinId="9" hidden="1"/>
    <cellStyle name="열어 본 하이퍼링크" xfId="1251" builtinId="9" hidden="1"/>
    <cellStyle name="열어 본 하이퍼링크" xfId="1253" builtinId="9" hidden="1"/>
    <cellStyle name="열어 본 하이퍼링크" xfId="1255" builtinId="9" hidden="1"/>
    <cellStyle name="열어 본 하이퍼링크" xfId="1257" builtinId="9" hidden="1"/>
    <cellStyle name="열어 본 하이퍼링크" xfId="1259" builtinId="9" hidden="1"/>
    <cellStyle name="열어 본 하이퍼링크" xfId="1261" builtinId="9" hidden="1"/>
    <cellStyle name="열어 본 하이퍼링크" xfId="1263" builtinId="9" hidden="1"/>
    <cellStyle name="열어 본 하이퍼링크" xfId="1265" builtinId="9" hidden="1"/>
    <cellStyle name="열어 본 하이퍼링크" xfId="1267" builtinId="9" hidden="1"/>
    <cellStyle name="열어 본 하이퍼링크" xfId="1269" builtinId="9" hidden="1"/>
    <cellStyle name="열어 본 하이퍼링크" xfId="1271" builtinId="9" hidden="1"/>
    <cellStyle name="열어 본 하이퍼링크" xfId="1273" builtinId="9" hidden="1"/>
    <cellStyle name="열어 본 하이퍼링크" xfId="1275" builtinId="9" hidden="1"/>
    <cellStyle name="열어 본 하이퍼링크" xfId="1277" builtinId="9" hidden="1"/>
    <cellStyle name="열어 본 하이퍼링크" xfId="1279" builtinId="9" hidden="1"/>
    <cellStyle name="열어 본 하이퍼링크" xfId="1281" builtinId="9" hidden="1"/>
    <cellStyle name="열어 본 하이퍼링크" xfId="1283" builtinId="9" hidden="1"/>
    <cellStyle name="열어 본 하이퍼링크" xfId="1285" builtinId="9" hidden="1"/>
    <cellStyle name="열어 본 하이퍼링크" xfId="1287" builtinId="9" hidden="1"/>
    <cellStyle name="열어 본 하이퍼링크" xfId="1289" builtinId="9" hidden="1"/>
    <cellStyle name="열어 본 하이퍼링크" xfId="1291" builtinId="9" hidden="1"/>
    <cellStyle name="열어 본 하이퍼링크" xfId="1293" builtinId="9" hidden="1"/>
    <cellStyle name="열어 본 하이퍼링크" xfId="1295" builtinId="9" hidden="1"/>
    <cellStyle name="열어 본 하이퍼링크" xfId="1297" builtinId="9" hidden="1"/>
    <cellStyle name="열어 본 하이퍼링크" xfId="1299" builtinId="9" hidden="1"/>
    <cellStyle name="열어 본 하이퍼링크" xfId="1301" builtinId="9" hidden="1"/>
    <cellStyle name="열어 본 하이퍼링크" xfId="1303" builtinId="9" hidden="1"/>
    <cellStyle name="열어 본 하이퍼링크" xfId="1305" builtinId="9" hidden="1"/>
    <cellStyle name="열어 본 하이퍼링크" xfId="1307" builtinId="9" hidden="1"/>
    <cellStyle name="열어 본 하이퍼링크" xfId="1309" builtinId="9" hidden="1"/>
    <cellStyle name="열어 본 하이퍼링크" xfId="1311" builtinId="9" hidden="1"/>
    <cellStyle name="열어 본 하이퍼링크" xfId="1313" builtinId="9" hidden="1"/>
    <cellStyle name="열어 본 하이퍼링크" xfId="1315" builtinId="9" hidden="1"/>
    <cellStyle name="열어 본 하이퍼링크" xfId="1317" builtinId="9" hidden="1"/>
    <cellStyle name="열어 본 하이퍼링크" xfId="1319" builtinId="9" hidden="1"/>
    <cellStyle name="열어 본 하이퍼링크" xfId="1321" builtinId="9" hidden="1"/>
    <cellStyle name="열어 본 하이퍼링크" xfId="1323" builtinId="9" hidden="1"/>
    <cellStyle name="열어 본 하이퍼링크" xfId="1325" builtinId="9" hidden="1"/>
    <cellStyle name="열어 본 하이퍼링크" xfId="1327" builtinId="9" hidden="1"/>
    <cellStyle name="열어 본 하이퍼링크" xfId="1329" builtinId="9" hidden="1"/>
    <cellStyle name="열어 본 하이퍼링크" xfId="1331" builtinId="9" hidden="1"/>
    <cellStyle name="열어 본 하이퍼링크" xfId="1333" builtinId="9" hidden="1"/>
    <cellStyle name="열어 본 하이퍼링크" xfId="1335" builtinId="9" hidden="1"/>
    <cellStyle name="열어 본 하이퍼링크" xfId="1337" builtinId="9" hidden="1"/>
    <cellStyle name="열어 본 하이퍼링크" xfId="1339" builtinId="9" hidden="1"/>
    <cellStyle name="열어 본 하이퍼링크" xfId="1341" builtinId="9" hidden="1"/>
    <cellStyle name="열어 본 하이퍼링크" xfId="1343" builtinId="9" hidden="1"/>
    <cellStyle name="열어 본 하이퍼링크" xfId="1345" builtinId="9" hidden="1"/>
    <cellStyle name="열어 본 하이퍼링크" xfId="1347" builtinId="9" hidden="1"/>
    <cellStyle name="열어 본 하이퍼링크" xfId="1349" builtinId="9" hidden="1"/>
    <cellStyle name="열어 본 하이퍼링크" xfId="1351" builtinId="9" hidden="1"/>
    <cellStyle name="열어 본 하이퍼링크" xfId="1353" builtinId="9" hidden="1"/>
    <cellStyle name="열어 본 하이퍼링크" xfId="1355" builtinId="9" hidden="1"/>
    <cellStyle name="열어 본 하이퍼링크" xfId="1357" builtinId="9" hidden="1"/>
    <cellStyle name="열어 본 하이퍼링크" xfId="1359" builtinId="9" hidden="1"/>
    <cellStyle name="열어 본 하이퍼링크" xfId="1361" builtinId="9" hidden="1"/>
    <cellStyle name="열어 본 하이퍼링크" xfId="1363" builtinId="9" hidden="1"/>
    <cellStyle name="열어 본 하이퍼링크" xfId="1365" builtinId="9" hidden="1"/>
    <cellStyle name="열어 본 하이퍼링크" xfId="1367" builtinId="9" hidden="1"/>
    <cellStyle name="열어 본 하이퍼링크" xfId="1369" builtinId="9" hidden="1"/>
    <cellStyle name="열어 본 하이퍼링크" xfId="1371" builtinId="9" hidden="1"/>
    <cellStyle name="열어 본 하이퍼링크" xfId="1373" builtinId="9" hidden="1"/>
    <cellStyle name="열어 본 하이퍼링크" xfId="1375" builtinId="9" hidden="1"/>
    <cellStyle name="열어 본 하이퍼링크" xfId="1377" builtinId="9" hidden="1"/>
    <cellStyle name="열어 본 하이퍼링크" xfId="1379" builtinId="9" hidden="1"/>
    <cellStyle name="열어 본 하이퍼링크" xfId="1381" builtinId="9" hidden="1"/>
    <cellStyle name="열어 본 하이퍼링크" xfId="1383" builtinId="9" hidden="1"/>
    <cellStyle name="열어 본 하이퍼링크" xfId="1385" builtinId="9" hidden="1"/>
    <cellStyle name="열어 본 하이퍼링크" xfId="1387" builtinId="9" hidden="1"/>
    <cellStyle name="열어 본 하이퍼링크" xfId="1389" builtinId="9" hidden="1"/>
    <cellStyle name="열어 본 하이퍼링크" xfId="1391" builtinId="9" hidden="1"/>
    <cellStyle name="열어 본 하이퍼링크" xfId="1393" builtinId="9" hidden="1"/>
    <cellStyle name="열어 본 하이퍼링크" xfId="1395" builtinId="9" hidden="1"/>
    <cellStyle name="열어 본 하이퍼링크" xfId="1397" builtinId="9" hidden="1"/>
    <cellStyle name="열어 본 하이퍼링크" xfId="1399" builtinId="9" hidden="1"/>
    <cellStyle name="열어 본 하이퍼링크" xfId="1401" builtinId="9" hidden="1"/>
    <cellStyle name="열어 본 하이퍼링크" xfId="1403" builtinId="9" hidden="1"/>
    <cellStyle name="열어 본 하이퍼링크" xfId="1405" builtinId="9" hidden="1"/>
    <cellStyle name="열어 본 하이퍼링크" xfId="1407" builtinId="9" hidden="1"/>
    <cellStyle name="열어 본 하이퍼링크" xfId="1409" builtinId="9" hidden="1"/>
    <cellStyle name="열어 본 하이퍼링크" xfId="1411" builtinId="9" hidden="1"/>
    <cellStyle name="열어 본 하이퍼링크" xfId="1413" builtinId="9" hidden="1"/>
    <cellStyle name="열어 본 하이퍼링크" xfId="1415" builtinId="9" hidden="1"/>
    <cellStyle name="열어 본 하이퍼링크" xfId="1417" builtinId="9" hidden="1"/>
    <cellStyle name="열어 본 하이퍼링크" xfId="1419" builtinId="9" hidden="1"/>
    <cellStyle name="열어 본 하이퍼링크" xfId="1421" builtinId="9" hidden="1"/>
    <cellStyle name="열어 본 하이퍼링크" xfId="1423" builtinId="9" hidden="1"/>
    <cellStyle name="열어 본 하이퍼링크" xfId="1425" builtinId="9" hidden="1"/>
    <cellStyle name="열어 본 하이퍼링크" xfId="1427" builtinId="9" hidden="1"/>
    <cellStyle name="열어 본 하이퍼링크" xfId="1429" builtinId="9" hidden="1"/>
    <cellStyle name="열어 본 하이퍼링크" xfId="1431" builtinId="9" hidden="1"/>
    <cellStyle name="열어 본 하이퍼링크" xfId="1433" builtinId="9" hidden="1"/>
    <cellStyle name="열어 본 하이퍼링크" xfId="1435" builtinId="9" hidden="1"/>
    <cellStyle name="열어 본 하이퍼링크" xfId="1437" builtinId="9" hidden="1"/>
    <cellStyle name="열어 본 하이퍼링크" xfId="1439" builtinId="9" hidden="1"/>
    <cellStyle name="열어 본 하이퍼링크" xfId="1441" builtinId="9" hidden="1"/>
    <cellStyle name="열어 본 하이퍼링크" xfId="1443" builtinId="9" hidden="1"/>
    <cellStyle name="열어 본 하이퍼링크" xfId="1445" builtinId="9" hidden="1"/>
    <cellStyle name="열어 본 하이퍼링크" xfId="1447" builtinId="9" hidden="1"/>
    <cellStyle name="열어 본 하이퍼링크" xfId="1449" builtinId="9" hidden="1"/>
    <cellStyle name="열어 본 하이퍼링크" xfId="1451" builtinId="9" hidden="1"/>
    <cellStyle name="열어 본 하이퍼링크" xfId="1453" builtinId="9" hidden="1"/>
    <cellStyle name="열어 본 하이퍼링크" xfId="1455" builtinId="9" hidden="1"/>
    <cellStyle name="열어 본 하이퍼링크" xfId="1457" builtinId="9" hidden="1"/>
    <cellStyle name="열어 본 하이퍼링크" xfId="1459" builtinId="9" hidden="1"/>
    <cellStyle name="열어 본 하이퍼링크" xfId="1461" builtinId="9" hidden="1"/>
    <cellStyle name="열어 본 하이퍼링크" xfId="1463" builtinId="9" hidden="1"/>
    <cellStyle name="열어 본 하이퍼링크" xfId="1465" builtinId="9" hidden="1"/>
    <cellStyle name="열어 본 하이퍼링크" xfId="1467" builtinId="9" hidden="1"/>
    <cellStyle name="열어 본 하이퍼링크" xfId="1469" builtinId="9" hidden="1"/>
    <cellStyle name="열어 본 하이퍼링크" xfId="1471" builtinId="9" hidden="1"/>
    <cellStyle name="열어 본 하이퍼링크" xfId="1473" builtinId="9" hidden="1"/>
    <cellStyle name="열어 본 하이퍼링크" xfId="1475" builtinId="9" hidden="1"/>
    <cellStyle name="열어 본 하이퍼링크" xfId="1477" builtinId="9" hidden="1"/>
    <cellStyle name="열어 본 하이퍼링크" xfId="1479" builtinId="9" hidden="1"/>
    <cellStyle name="열어 본 하이퍼링크" xfId="1481" builtinId="9" hidden="1"/>
    <cellStyle name="열어 본 하이퍼링크" xfId="1483" builtinId="9" hidden="1"/>
    <cellStyle name="열어 본 하이퍼링크" xfId="1485" builtinId="9" hidden="1"/>
    <cellStyle name="열어 본 하이퍼링크" xfId="1487" builtinId="9" hidden="1"/>
    <cellStyle name="열어 본 하이퍼링크" xfId="1489" builtinId="9" hidden="1"/>
    <cellStyle name="열어 본 하이퍼링크" xfId="1491" builtinId="9" hidden="1"/>
    <cellStyle name="열어 본 하이퍼링크" xfId="1493" builtinId="9" hidden="1"/>
    <cellStyle name="열어 본 하이퍼링크" xfId="1495" builtinId="9" hidden="1"/>
    <cellStyle name="열어 본 하이퍼링크" xfId="1497" builtinId="9" hidden="1"/>
    <cellStyle name="열어 본 하이퍼링크" xfId="1499" builtinId="9" hidden="1"/>
    <cellStyle name="열어 본 하이퍼링크" xfId="1501" builtinId="9" hidden="1"/>
    <cellStyle name="열어 본 하이퍼링크" xfId="1503" builtinId="9" hidden="1"/>
    <cellStyle name="열어 본 하이퍼링크" xfId="1505" builtinId="9" hidden="1"/>
    <cellStyle name="열어 본 하이퍼링크" xfId="1507" builtinId="9" hidden="1"/>
    <cellStyle name="열어 본 하이퍼링크" xfId="1509" builtinId="9" hidden="1"/>
    <cellStyle name="열어 본 하이퍼링크" xfId="1511" builtinId="9" hidden="1"/>
    <cellStyle name="열어 본 하이퍼링크" xfId="1513" builtinId="9" hidden="1"/>
    <cellStyle name="열어 본 하이퍼링크" xfId="1515" builtinId="9" hidden="1"/>
    <cellStyle name="열어 본 하이퍼링크" xfId="1517" builtinId="9" hidden="1"/>
    <cellStyle name="열어 본 하이퍼링크" xfId="1519" builtinId="9" hidden="1"/>
    <cellStyle name="열어 본 하이퍼링크" xfId="1521" builtinId="9" hidden="1"/>
    <cellStyle name="열어 본 하이퍼링크" xfId="1523" builtinId="9" hidden="1"/>
    <cellStyle name="열어 본 하이퍼링크" xfId="1525" builtinId="9" hidden="1"/>
    <cellStyle name="열어 본 하이퍼링크" xfId="1527" builtinId="9" hidden="1"/>
    <cellStyle name="열어 본 하이퍼링크" xfId="1529" builtinId="9" hidden="1"/>
    <cellStyle name="열어 본 하이퍼링크" xfId="1531" builtinId="9" hidden="1"/>
    <cellStyle name="열어 본 하이퍼링크" xfId="1533" builtinId="9" hidden="1"/>
    <cellStyle name="열어 본 하이퍼링크" xfId="1535" builtinId="9" hidden="1"/>
    <cellStyle name="열어 본 하이퍼링크" xfId="1537" builtinId="9" hidden="1"/>
    <cellStyle name="열어 본 하이퍼링크" xfId="1539" builtinId="9" hidden="1"/>
    <cellStyle name="열어 본 하이퍼링크" xfId="1541" builtinId="9" hidden="1"/>
    <cellStyle name="열어 본 하이퍼링크" xfId="1543" builtinId="9" hidden="1"/>
    <cellStyle name="열어 본 하이퍼링크" xfId="1545" builtinId="9" hidden="1"/>
    <cellStyle name="열어 본 하이퍼링크" xfId="1547" builtinId="9" hidden="1"/>
    <cellStyle name="열어 본 하이퍼링크" xfId="1549" builtinId="9" hidden="1"/>
    <cellStyle name="열어 본 하이퍼링크" xfId="1551" builtinId="9" hidden="1"/>
    <cellStyle name="열어 본 하이퍼링크" xfId="1553" builtinId="9" hidden="1"/>
    <cellStyle name="열어 본 하이퍼링크" xfId="1555" builtinId="9" hidden="1"/>
    <cellStyle name="열어 본 하이퍼링크" xfId="1557" builtinId="9" hidden="1"/>
    <cellStyle name="열어 본 하이퍼링크" xfId="1559" builtinId="9" hidden="1"/>
    <cellStyle name="열어 본 하이퍼링크" xfId="1561" builtinId="9" hidden="1"/>
    <cellStyle name="열어 본 하이퍼링크" xfId="1563" builtinId="9" hidden="1"/>
    <cellStyle name="열어 본 하이퍼링크" xfId="1565" builtinId="9" hidden="1"/>
    <cellStyle name="열어 본 하이퍼링크" xfId="1567" builtinId="9" hidden="1"/>
    <cellStyle name="열어 본 하이퍼링크" xfId="1569" builtinId="9" hidden="1"/>
    <cellStyle name="열어 본 하이퍼링크" xfId="1571" builtinId="9" hidden="1"/>
    <cellStyle name="열어 본 하이퍼링크" xfId="1573" builtinId="9" hidden="1"/>
    <cellStyle name="열어 본 하이퍼링크" xfId="1575" builtinId="9" hidden="1"/>
    <cellStyle name="열어 본 하이퍼링크" xfId="1577" builtinId="9" hidden="1"/>
    <cellStyle name="열어 본 하이퍼링크" xfId="1579" builtinId="9" hidden="1"/>
    <cellStyle name="열어 본 하이퍼링크" xfId="1581" builtinId="9" hidden="1"/>
    <cellStyle name="열어 본 하이퍼링크" xfId="1583" builtinId="9" hidden="1"/>
    <cellStyle name="열어 본 하이퍼링크" xfId="1585" builtinId="9" hidden="1"/>
    <cellStyle name="열어 본 하이퍼링크" xfId="1587" builtinId="9" hidden="1"/>
    <cellStyle name="열어 본 하이퍼링크" xfId="1589" builtinId="9" hidden="1"/>
    <cellStyle name="열어 본 하이퍼링크" xfId="1591" builtinId="9" hidden="1"/>
    <cellStyle name="열어 본 하이퍼링크" xfId="1593" builtinId="9" hidden="1"/>
    <cellStyle name="열어 본 하이퍼링크" xfId="1595" builtinId="9" hidden="1"/>
    <cellStyle name="열어 본 하이퍼링크" xfId="1597" builtinId="9" hidden="1"/>
    <cellStyle name="열어 본 하이퍼링크" xfId="1599" builtinId="9" hidden="1"/>
    <cellStyle name="열어 본 하이퍼링크" xfId="1601" builtinId="9" hidden="1"/>
    <cellStyle name="열어 본 하이퍼링크" xfId="1603" builtinId="9" hidden="1"/>
    <cellStyle name="열어 본 하이퍼링크" xfId="1605" builtinId="9" hidden="1"/>
    <cellStyle name="열어 본 하이퍼링크" xfId="1607" builtinId="9" hidden="1"/>
    <cellStyle name="열어 본 하이퍼링크" xfId="1609" builtinId="9" hidden="1"/>
    <cellStyle name="열어 본 하이퍼링크" xfId="1611" builtinId="9" hidden="1"/>
    <cellStyle name="열어 본 하이퍼링크" xfId="1613" builtinId="9" hidden="1"/>
    <cellStyle name="열어 본 하이퍼링크" xfId="1615" builtinId="9" hidden="1"/>
    <cellStyle name="열어 본 하이퍼링크" xfId="1617" builtinId="9" hidden="1"/>
    <cellStyle name="열어 본 하이퍼링크" xfId="1619" builtinId="9" hidden="1"/>
    <cellStyle name="열어 본 하이퍼링크" xfId="1621" builtinId="9" hidden="1"/>
    <cellStyle name="열어 본 하이퍼링크" xfId="1623" builtinId="9" hidden="1"/>
    <cellStyle name="열어 본 하이퍼링크" xfId="1625" builtinId="9" hidden="1"/>
    <cellStyle name="열어 본 하이퍼링크" xfId="1627" builtinId="9" hidden="1"/>
    <cellStyle name="열어 본 하이퍼링크" xfId="1629" builtinId="9" hidden="1"/>
    <cellStyle name="열어 본 하이퍼링크" xfId="1631" builtinId="9" hidden="1"/>
    <cellStyle name="열어 본 하이퍼링크" xfId="1633" builtinId="9" hidden="1"/>
    <cellStyle name="열어 본 하이퍼링크" xfId="1635" builtinId="9" hidden="1"/>
    <cellStyle name="열어 본 하이퍼링크" xfId="1637" builtinId="9" hidden="1"/>
    <cellStyle name="열어 본 하이퍼링크" xfId="1639" builtinId="9" hidden="1"/>
    <cellStyle name="열어 본 하이퍼링크" xfId="1641" builtinId="9" hidden="1"/>
    <cellStyle name="열어 본 하이퍼링크" xfId="1643" builtinId="9" hidden="1"/>
    <cellStyle name="열어 본 하이퍼링크" xfId="1645" builtinId="9" hidden="1"/>
    <cellStyle name="열어 본 하이퍼링크" xfId="1647" builtinId="9" hidden="1"/>
    <cellStyle name="열어 본 하이퍼링크" xfId="1649" builtinId="9" hidden="1"/>
    <cellStyle name="열어 본 하이퍼링크" xfId="1651" builtinId="9" hidden="1"/>
    <cellStyle name="열어 본 하이퍼링크" xfId="1653" builtinId="9" hidden="1"/>
    <cellStyle name="열어 본 하이퍼링크" xfId="1655" builtinId="9" hidden="1"/>
    <cellStyle name="열어 본 하이퍼링크" xfId="1657" builtinId="9" hidden="1"/>
    <cellStyle name="열어 본 하이퍼링크" xfId="1659" builtinId="9" hidden="1"/>
    <cellStyle name="열어 본 하이퍼링크" xfId="1661" builtinId="9" hidden="1"/>
    <cellStyle name="열어 본 하이퍼링크" xfId="1663" builtinId="9" hidden="1"/>
    <cellStyle name="열어 본 하이퍼링크" xfId="1665" builtinId="9" hidden="1"/>
    <cellStyle name="열어 본 하이퍼링크" xfId="1667" builtinId="9" hidden="1"/>
    <cellStyle name="열어 본 하이퍼링크" xfId="1669" builtinId="9" hidden="1"/>
    <cellStyle name="열어 본 하이퍼링크" xfId="1671" builtinId="9" hidden="1"/>
    <cellStyle name="열어 본 하이퍼링크" xfId="1673" builtinId="9" hidden="1"/>
    <cellStyle name="열어 본 하이퍼링크" xfId="1675" builtinId="9" hidden="1"/>
    <cellStyle name="열어 본 하이퍼링크" xfId="1677" builtinId="9" hidden="1"/>
    <cellStyle name="열어 본 하이퍼링크" xfId="1679" builtinId="9" hidden="1"/>
    <cellStyle name="열어 본 하이퍼링크" xfId="1681" builtinId="9" hidden="1"/>
    <cellStyle name="열어 본 하이퍼링크" xfId="1683" builtinId="9" hidden="1"/>
    <cellStyle name="열어 본 하이퍼링크" xfId="1685" builtinId="9" hidden="1"/>
    <cellStyle name="열어 본 하이퍼링크" xfId="1687" builtinId="9" hidden="1"/>
    <cellStyle name="열어 본 하이퍼링크" xfId="1689" builtinId="9" hidden="1"/>
    <cellStyle name="열어 본 하이퍼링크" xfId="1691" builtinId="9" hidden="1"/>
    <cellStyle name="열어 본 하이퍼링크" xfId="1693" builtinId="9" hidden="1"/>
    <cellStyle name="열어 본 하이퍼링크" xfId="1695" builtinId="9" hidden="1"/>
    <cellStyle name="열어 본 하이퍼링크" xfId="1697" builtinId="9" hidden="1"/>
    <cellStyle name="열어 본 하이퍼링크" xfId="1699" builtinId="9" hidden="1"/>
    <cellStyle name="열어 본 하이퍼링크" xfId="1701" builtinId="9" hidden="1"/>
    <cellStyle name="열어 본 하이퍼링크" xfId="1703" builtinId="9" hidden="1"/>
    <cellStyle name="열어 본 하이퍼링크" xfId="1705" builtinId="9" hidden="1"/>
    <cellStyle name="열어 본 하이퍼링크" xfId="1707" builtinId="9" hidden="1"/>
    <cellStyle name="열어 본 하이퍼링크" xfId="1709" builtinId="9" hidden="1"/>
    <cellStyle name="열어 본 하이퍼링크" xfId="1711" builtinId="9" hidden="1"/>
    <cellStyle name="열어 본 하이퍼링크" xfId="1713" builtinId="9" hidden="1"/>
    <cellStyle name="열어 본 하이퍼링크" xfId="1715" builtinId="9" hidden="1"/>
    <cellStyle name="열어 본 하이퍼링크" xfId="1717" builtinId="9" hidden="1"/>
    <cellStyle name="열어 본 하이퍼링크" xfId="1719" builtinId="9" hidden="1"/>
    <cellStyle name="열어 본 하이퍼링크" xfId="1721" builtinId="9" hidden="1"/>
    <cellStyle name="열어 본 하이퍼링크" xfId="1723" builtinId="9" hidden="1"/>
    <cellStyle name="열어 본 하이퍼링크" xfId="1725" builtinId="9" hidden="1"/>
    <cellStyle name="열어 본 하이퍼링크" xfId="1727" builtinId="9" hidden="1"/>
    <cellStyle name="열어 본 하이퍼링크" xfId="1729" builtinId="9" hidden="1"/>
    <cellStyle name="열어 본 하이퍼링크" xfId="1731" builtinId="9" hidden="1"/>
    <cellStyle name="열어 본 하이퍼링크" xfId="1733" builtinId="9" hidden="1"/>
    <cellStyle name="열어 본 하이퍼링크" xfId="1735" builtinId="9" hidden="1"/>
    <cellStyle name="열어 본 하이퍼링크" xfId="1737" builtinId="9" hidden="1"/>
    <cellStyle name="열어 본 하이퍼링크" xfId="1739" builtinId="9" hidden="1"/>
    <cellStyle name="열어 본 하이퍼링크" xfId="1741" builtinId="9" hidden="1"/>
    <cellStyle name="열어 본 하이퍼링크" xfId="1743" builtinId="9" hidden="1"/>
    <cellStyle name="열어 본 하이퍼링크" xfId="1745" builtinId="9" hidden="1"/>
    <cellStyle name="열어 본 하이퍼링크" xfId="1747" builtinId="9" hidden="1"/>
    <cellStyle name="열어 본 하이퍼링크" xfId="1749" builtinId="9" hidden="1"/>
    <cellStyle name="열어 본 하이퍼링크" xfId="1751" builtinId="9" hidden="1"/>
    <cellStyle name="열어 본 하이퍼링크" xfId="1753" builtinId="9" hidden="1"/>
    <cellStyle name="열어 본 하이퍼링크" xfId="1755" builtinId="9" hidden="1"/>
    <cellStyle name="열어 본 하이퍼링크" xfId="1757" builtinId="9" hidden="1"/>
    <cellStyle name="열어 본 하이퍼링크" xfId="1759" builtinId="9" hidden="1"/>
    <cellStyle name="열어 본 하이퍼링크" xfId="1761" builtinId="9" hidden="1"/>
    <cellStyle name="열어 본 하이퍼링크" xfId="1763" builtinId="9" hidden="1"/>
    <cellStyle name="열어 본 하이퍼링크" xfId="1765" builtinId="9" hidden="1"/>
    <cellStyle name="열어 본 하이퍼링크" xfId="1767" builtinId="9" hidden="1"/>
    <cellStyle name="열어 본 하이퍼링크" xfId="1769" builtinId="9" hidden="1"/>
    <cellStyle name="열어 본 하이퍼링크" xfId="1771" builtinId="9" hidden="1"/>
    <cellStyle name="열어 본 하이퍼링크" xfId="1773" builtinId="9" hidden="1"/>
    <cellStyle name="열어 본 하이퍼링크" xfId="1775" builtinId="9" hidden="1"/>
    <cellStyle name="열어 본 하이퍼링크" xfId="1777" builtinId="9" hidden="1"/>
    <cellStyle name="열어 본 하이퍼링크" xfId="1779" builtinId="9" hidden="1"/>
    <cellStyle name="열어 본 하이퍼링크" xfId="1781" builtinId="9" hidden="1"/>
    <cellStyle name="열어 본 하이퍼링크" xfId="1783" builtinId="9" hidden="1"/>
    <cellStyle name="열어 본 하이퍼링크" xfId="1785" builtinId="9" hidden="1"/>
    <cellStyle name="열어 본 하이퍼링크" xfId="1787" builtinId="9" hidden="1"/>
    <cellStyle name="열어 본 하이퍼링크" xfId="1789" builtinId="9" hidden="1"/>
    <cellStyle name="열어 본 하이퍼링크" xfId="1791" builtinId="9" hidden="1"/>
    <cellStyle name="열어 본 하이퍼링크" xfId="1793" builtinId="9" hidden="1"/>
    <cellStyle name="열어 본 하이퍼링크" xfId="1795" builtinId="9" hidden="1"/>
    <cellStyle name="열어 본 하이퍼링크" xfId="1797" builtinId="9" hidden="1"/>
    <cellStyle name="열어 본 하이퍼링크" xfId="1799" builtinId="9" hidden="1"/>
    <cellStyle name="열어 본 하이퍼링크" xfId="1801" builtinId="9" hidden="1"/>
    <cellStyle name="열어 본 하이퍼링크" xfId="1803" builtinId="9" hidden="1"/>
    <cellStyle name="열어 본 하이퍼링크" xfId="1805" builtinId="9" hidden="1"/>
    <cellStyle name="열어 본 하이퍼링크" xfId="1807" builtinId="9" hidden="1"/>
    <cellStyle name="열어 본 하이퍼링크" xfId="1809" builtinId="9" hidden="1"/>
    <cellStyle name="열어 본 하이퍼링크" xfId="1811" builtinId="9" hidden="1"/>
    <cellStyle name="열어 본 하이퍼링크" xfId="1813" builtinId="9" hidden="1"/>
    <cellStyle name="열어 본 하이퍼링크" xfId="1815" builtinId="9" hidden="1"/>
    <cellStyle name="열어 본 하이퍼링크" xfId="1817" builtinId="9" hidden="1"/>
    <cellStyle name="열어 본 하이퍼링크" xfId="1819" builtinId="9" hidden="1"/>
    <cellStyle name="열어 본 하이퍼링크" xfId="1821" builtinId="9" hidden="1"/>
    <cellStyle name="열어 본 하이퍼링크" xfId="1823" builtinId="9" hidden="1"/>
    <cellStyle name="열어 본 하이퍼링크" xfId="1825" builtinId="9" hidden="1"/>
    <cellStyle name="열어 본 하이퍼링크" xfId="1827" builtinId="9" hidden="1"/>
    <cellStyle name="열어 본 하이퍼링크" xfId="1829" builtinId="9" hidden="1"/>
    <cellStyle name="열어 본 하이퍼링크" xfId="1831" builtinId="9" hidden="1"/>
    <cellStyle name="열어 본 하이퍼링크" xfId="1833" builtinId="9" hidden="1"/>
    <cellStyle name="열어 본 하이퍼링크" xfId="1835" builtinId="9" hidden="1"/>
    <cellStyle name="열어 본 하이퍼링크" xfId="1837" builtinId="9" hidden="1"/>
    <cellStyle name="열어 본 하이퍼링크" xfId="1839" builtinId="9" hidden="1"/>
    <cellStyle name="열어 본 하이퍼링크" xfId="1841" builtinId="9" hidden="1"/>
    <cellStyle name="열어 본 하이퍼링크" xfId="1843" builtinId="9" hidden="1"/>
    <cellStyle name="열어 본 하이퍼링크" xfId="1845" builtinId="9" hidden="1"/>
    <cellStyle name="열어 본 하이퍼링크" xfId="1847" builtinId="9" hidden="1"/>
    <cellStyle name="열어 본 하이퍼링크" xfId="1849" builtinId="9" hidden="1"/>
    <cellStyle name="열어 본 하이퍼링크" xfId="1851" builtinId="9" hidden="1"/>
    <cellStyle name="열어 본 하이퍼링크" xfId="1853" builtinId="9" hidden="1"/>
    <cellStyle name="열어 본 하이퍼링크" xfId="1855" builtinId="9" hidden="1"/>
    <cellStyle name="열어 본 하이퍼링크" xfId="1857" builtinId="9" hidden="1"/>
    <cellStyle name="열어 본 하이퍼링크" xfId="1859" builtinId="9" hidden="1"/>
    <cellStyle name="열어 본 하이퍼링크" xfId="1861" builtinId="9" hidden="1"/>
    <cellStyle name="열어 본 하이퍼링크" xfId="1863" builtinId="9" hidden="1"/>
    <cellStyle name="열어 본 하이퍼링크" xfId="1865" builtinId="9" hidden="1"/>
    <cellStyle name="열어 본 하이퍼링크" xfId="1867" builtinId="9" hidden="1"/>
    <cellStyle name="열어 본 하이퍼링크" xfId="1869" builtinId="9" hidden="1"/>
    <cellStyle name="열어 본 하이퍼링크" xfId="1871" builtinId="9" hidden="1"/>
    <cellStyle name="열어 본 하이퍼링크" xfId="1873" builtinId="9" hidden="1"/>
    <cellStyle name="열어 본 하이퍼링크" xfId="1875" builtinId="9" hidden="1"/>
    <cellStyle name="열어 본 하이퍼링크" xfId="1877" builtinId="9" hidden="1"/>
    <cellStyle name="열어 본 하이퍼링크" xfId="1879" builtinId="9" hidden="1"/>
    <cellStyle name="열어 본 하이퍼링크" xfId="1881" builtinId="9" hidden="1"/>
    <cellStyle name="열어 본 하이퍼링크" xfId="1883" builtinId="9" hidden="1"/>
    <cellStyle name="열어 본 하이퍼링크" xfId="1885" builtinId="9" hidden="1"/>
    <cellStyle name="열어 본 하이퍼링크" xfId="1887" builtinId="9" hidden="1"/>
    <cellStyle name="열어 본 하이퍼링크" xfId="1889" builtinId="9" hidden="1"/>
    <cellStyle name="열어 본 하이퍼링크" xfId="1891" builtinId="9" hidden="1"/>
    <cellStyle name="열어 본 하이퍼링크" xfId="1893" builtinId="9" hidden="1"/>
    <cellStyle name="열어 본 하이퍼링크" xfId="1895" builtinId="9" hidden="1"/>
    <cellStyle name="열어 본 하이퍼링크" xfId="1897" builtinId="9" hidden="1"/>
    <cellStyle name="열어 본 하이퍼링크" xfId="1899" builtinId="9" hidden="1"/>
    <cellStyle name="열어 본 하이퍼링크" xfId="1901" builtinId="9" hidden="1"/>
    <cellStyle name="열어 본 하이퍼링크" xfId="1903" builtinId="9" hidden="1"/>
    <cellStyle name="열어 본 하이퍼링크" xfId="1905" builtinId="9" hidden="1"/>
    <cellStyle name="열어 본 하이퍼링크" xfId="1907" builtinId="9" hidden="1"/>
    <cellStyle name="열어 본 하이퍼링크" xfId="1909" builtinId="9" hidden="1"/>
    <cellStyle name="열어 본 하이퍼링크" xfId="1911" builtinId="9" hidden="1"/>
    <cellStyle name="열어 본 하이퍼링크" xfId="1913" builtinId="9" hidden="1"/>
    <cellStyle name="열어 본 하이퍼링크" xfId="1915" builtinId="9" hidden="1"/>
    <cellStyle name="열어 본 하이퍼링크" xfId="1917" builtinId="9" hidden="1"/>
    <cellStyle name="열어 본 하이퍼링크" xfId="1919" builtinId="9" hidden="1"/>
    <cellStyle name="열어 본 하이퍼링크" xfId="1921" builtinId="9" hidden="1"/>
    <cellStyle name="열어 본 하이퍼링크" xfId="1923" builtinId="9" hidden="1"/>
    <cellStyle name="열어 본 하이퍼링크" xfId="1925" builtinId="9" hidden="1"/>
    <cellStyle name="열어 본 하이퍼링크" xfId="1927" builtinId="9" hidden="1"/>
    <cellStyle name="열어 본 하이퍼링크" xfId="1929" builtinId="9" hidden="1"/>
    <cellStyle name="열어 본 하이퍼링크" xfId="1931" builtinId="9" hidden="1"/>
    <cellStyle name="열어 본 하이퍼링크" xfId="1933" builtinId="9" hidden="1"/>
    <cellStyle name="열어 본 하이퍼링크" xfId="1935" builtinId="9" hidden="1"/>
    <cellStyle name="열어 본 하이퍼링크" xfId="1937" builtinId="9" hidden="1"/>
    <cellStyle name="열어 본 하이퍼링크" xfId="1939" builtinId="9" hidden="1"/>
    <cellStyle name="열어 본 하이퍼링크" xfId="1941" builtinId="9" hidden="1"/>
    <cellStyle name="열어 본 하이퍼링크" xfId="1943" builtinId="9" hidden="1"/>
    <cellStyle name="열어 본 하이퍼링크" xfId="1945" builtinId="9" hidden="1"/>
    <cellStyle name="열어 본 하이퍼링크" xfId="1947" builtinId="9" hidden="1"/>
    <cellStyle name="열어 본 하이퍼링크" xfId="1949" builtinId="9" hidden="1"/>
    <cellStyle name="열어 본 하이퍼링크" xfId="1951" builtinId="9" hidden="1"/>
    <cellStyle name="열어 본 하이퍼링크" xfId="1953" builtinId="9" hidden="1"/>
    <cellStyle name="열어 본 하이퍼링크" xfId="1955" builtinId="9" hidden="1"/>
    <cellStyle name="열어 본 하이퍼링크" xfId="1957" builtinId="9" hidden="1"/>
    <cellStyle name="열어 본 하이퍼링크" xfId="1959" builtinId="9" hidden="1"/>
    <cellStyle name="열어 본 하이퍼링크" xfId="1961" builtinId="9" hidden="1"/>
    <cellStyle name="열어 본 하이퍼링크" xfId="1963" builtinId="9" hidden="1"/>
    <cellStyle name="열어 본 하이퍼링크" xfId="1965" builtinId="9" hidden="1"/>
    <cellStyle name="열어 본 하이퍼링크" xfId="1967" builtinId="9" hidden="1"/>
    <cellStyle name="열어 본 하이퍼링크" xfId="1969" builtinId="9" hidden="1"/>
    <cellStyle name="열어 본 하이퍼링크" xfId="1971" builtinId="9" hidden="1"/>
    <cellStyle name="열어 본 하이퍼링크" xfId="1973" builtinId="9" hidden="1"/>
    <cellStyle name="열어 본 하이퍼링크" xfId="1975" builtinId="9" hidden="1"/>
    <cellStyle name="열어 본 하이퍼링크" xfId="1977" builtinId="9" hidden="1"/>
    <cellStyle name="열어 본 하이퍼링크" xfId="1979" builtinId="9" hidden="1"/>
    <cellStyle name="열어 본 하이퍼링크" xfId="1981" builtinId="9" hidden="1"/>
    <cellStyle name="열어 본 하이퍼링크" xfId="1983" builtinId="9" hidden="1"/>
    <cellStyle name="열어 본 하이퍼링크" xfId="1985" builtinId="9" hidden="1"/>
    <cellStyle name="열어 본 하이퍼링크" xfId="1987" builtinId="9" hidden="1"/>
    <cellStyle name="열어 본 하이퍼링크" xfId="1989" builtinId="9" hidden="1"/>
    <cellStyle name="열어 본 하이퍼링크" xfId="1991" builtinId="9" hidden="1"/>
    <cellStyle name="열어 본 하이퍼링크" xfId="1993" builtinId="9" hidden="1"/>
    <cellStyle name="열어 본 하이퍼링크" xfId="1995" builtinId="9" hidden="1"/>
    <cellStyle name="열어 본 하이퍼링크" xfId="1997" builtinId="9" hidden="1"/>
    <cellStyle name="열어 본 하이퍼링크" xfId="1999" builtinId="9" hidden="1"/>
    <cellStyle name="열어 본 하이퍼링크" xfId="2001" builtinId="9" hidden="1"/>
    <cellStyle name="열어 본 하이퍼링크" xfId="2003" builtinId="9" hidden="1"/>
    <cellStyle name="열어 본 하이퍼링크" xfId="2005" builtinId="9" hidden="1"/>
    <cellStyle name="열어 본 하이퍼링크" xfId="2007" builtinId="9" hidden="1"/>
    <cellStyle name="열어 본 하이퍼링크" xfId="2009" builtinId="9" hidden="1"/>
    <cellStyle name="열어 본 하이퍼링크" xfId="2011" builtinId="9" hidden="1"/>
    <cellStyle name="열어 본 하이퍼링크" xfId="2013" builtinId="9" hidden="1"/>
    <cellStyle name="열어 본 하이퍼링크" xfId="2015" builtinId="9" hidden="1"/>
    <cellStyle name="열어 본 하이퍼링크" xfId="2017" builtinId="9" hidden="1"/>
    <cellStyle name="열어 본 하이퍼링크" xfId="2019" builtinId="9" hidden="1"/>
    <cellStyle name="열어 본 하이퍼링크" xfId="2021" builtinId="9" hidden="1"/>
    <cellStyle name="열어 본 하이퍼링크" xfId="2023" builtinId="9" hidden="1"/>
    <cellStyle name="열어 본 하이퍼링크" xfId="2025" builtinId="9" hidden="1"/>
    <cellStyle name="열어 본 하이퍼링크" xfId="2027" builtinId="9" hidden="1"/>
    <cellStyle name="열어 본 하이퍼링크" xfId="2029" builtinId="9" hidden="1"/>
    <cellStyle name="열어 본 하이퍼링크" xfId="2031" builtinId="9" hidden="1"/>
    <cellStyle name="열어 본 하이퍼링크" xfId="2033" builtinId="9" hidden="1"/>
    <cellStyle name="열어 본 하이퍼링크" xfId="2035" builtinId="9" hidden="1"/>
    <cellStyle name="열어 본 하이퍼링크" xfId="2037" builtinId="9" hidden="1"/>
    <cellStyle name="열어 본 하이퍼링크" xfId="2039" builtinId="9" hidden="1"/>
    <cellStyle name="열어 본 하이퍼링크" xfId="2041" builtinId="9" hidden="1"/>
    <cellStyle name="열어 본 하이퍼링크" xfId="2043" builtinId="9" hidden="1"/>
    <cellStyle name="열어 본 하이퍼링크" xfId="2045" builtinId="9" hidden="1"/>
    <cellStyle name="열어 본 하이퍼링크" xfId="2047" builtinId="9" hidden="1"/>
    <cellStyle name="열어 본 하이퍼링크" xfId="2049" builtinId="9" hidden="1"/>
    <cellStyle name="열어 본 하이퍼링크" xfId="2051" builtinId="9" hidden="1"/>
    <cellStyle name="열어 본 하이퍼링크" xfId="2053" builtinId="9" hidden="1"/>
    <cellStyle name="열어 본 하이퍼링크" xfId="2055" builtinId="9" hidden="1"/>
    <cellStyle name="열어 본 하이퍼링크" xfId="2057" builtinId="9" hidden="1"/>
    <cellStyle name="열어 본 하이퍼링크" xfId="2059" builtinId="9" hidden="1"/>
    <cellStyle name="열어 본 하이퍼링크" xfId="2061" builtinId="9" hidden="1"/>
    <cellStyle name="열어 본 하이퍼링크" xfId="2063" builtinId="9" hidden="1"/>
    <cellStyle name="열어 본 하이퍼링크" xfId="2065" builtinId="9" hidden="1"/>
    <cellStyle name="열어 본 하이퍼링크" xfId="2067" builtinId="9" hidden="1"/>
    <cellStyle name="열어 본 하이퍼링크" xfId="2069" builtinId="9" hidden="1"/>
    <cellStyle name="열어 본 하이퍼링크" xfId="2071" builtinId="9" hidden="1"/>
    <cellStyle name="열어 본 하이퍼링크" xfId="2073" builtinId="9" hidden="1"/>
    <cellStyle name="열어 본 하이퍼링크" xfId="2075" builtinId="9" hidden="1"/>
    <cellStyle name="열어 본 하이퍼링크" xfId="2077" builtinId="9" hidden="1"/>
    <cellStyle name="열어 본 하이퍼링크" xfId="2079" builtinId="9" hidden="1"/>
    <cellStyle name="열어 본 하이퍼링크" xfId="2081" builtinId="9" hidden="1"/>
    <cellStyle name="열어 본 하이퍼링크" xfId="2083" builtinId="9" hidden="1"/>
    <cellStyle name="열어 본 하이퍼링크" xfId="2085" builtinId="9" hidden="1"/>
    <cellStyle name="열어 본 하이퍼링크" xfId="2087" builtinId="9" hidden="1"/>
    <cellStyle name="열어 본 하이퍼링크" xfId="2089" builtinId="9" hidden="1"/>
    <cellStyle name="열어 본 하이퍼링크" xfId="2091" builtinId="9" hidden="1"/>
    <cellStyle name="열어 본 하이퍼링크" xfId="2093" builtinId="9" hidden="1"/>
    <cellStyle name="열어 본 하이퍼링크" xfId="2095" builtinId="9" hidden="1"/>
    <cellStyle name="열어 본 하이퍼링크" xfId="2097" builtinId="9" hidden="1"/>
    <cellStyle name="열어 본 하이퍼링크" xfId="2099" builtinId="9" hidden="1"/>
    <cellStyle name="열어 본 하이퍼링크" xfId="2101" builtinId="9" hidden="1"/>
    <cellStyle name="열어 본 하이퍼링크" xfId="2103" builtinId="9" hidden="1"/>
    <cellStyle name="열어 본 하이퍼링크" xfId="2105" builtinId="9" hidden="1"/>
    <cellStyle name="열어 본 하이퍼링크" xfId="2107" builtinId="9" hidden="1"/>
    <cellStyle name="열어 본 하이퍼링크" xfId="2109" builtinId="9" hidden="1"/>
    <cellStyle name="열어 본 하이퍼링크" xfId="2111" builtinId="9" hidden="1"/>
    <cellStyle name="열어 본 하이퍼링크" xfId="2113" builtinId="9" hidden="1"/>
    <cellStyle name="열어 본 하이퍼링크" xfId="2115" builtinId="9" hidden="1"/>
    <cellStyle name="열어 본 하이퍼링크" xfId="2117" builtinId="9" hidden="1"/>
    <cellStyle name="열어 본 하이퍼링크" xfId="2119" builtinId="9" hidden="1"/>
    <cellStyle name="열어 본 하이퍼링크" xfId="2121" builtinId="9" hidden="1"/>
    <cellStyle name="열어 본 하이퍼링크" xfId="2123" builtinId="9" hidden="1"/>
    <cellStyle name="열어 본 하이퍼링크" xfId="2125" builtinId="9" hidden="1"/>
    <cellStyle name="열어 본 하이퍼링크" xfId="2127" builtinId="9" hidden="1"/>
    <cellStyle name="열어 본 하이퍼링크" xfId="2129" builtinId="9" hidden="1"/>
    <cellStyle name="열어 본 하이퍼링크" xfId="2131" builtinId="9" hidden="1"/>
    <cellStyle name="열어 본 하이퍼링크" xfId="2133" builtinId="9" hidden="1"/>
    <cellStyle name="열어 본 하이퍼링크" xfId="2135" builtinId="9" hidden="1"/>
    <cellStyle name="열어 본 하이퍼링크" xfId="2137" builtinId="9" hidden="1"/>
    <cellStyle name="열어 본 하이퍼링크" xfId="2139" builtinId="9" hidden="1"/>
    <cellStyle name="열어 본 하이퍼링크" xfId="2141" builtinId="9" hidden="1"/>
    <cellStyle name="열어 본 하이퍼링크" xfId="2143" builtinId="9" hidden="1"/>
    <cellStyle name="열어 본 하이퍼링크" xfId="2145" builtinId="9" hidden="1"/>
    <cellStyle name="열어 본 하이퍼링크" xfId="2147" builtinId="9" hidden="1"/>
    <cellStyle name="열어 본 하이퍼링크" xfId="2149" builtinId="9" hidden="1"/>
    <cellStyle name="열어 본 하이퍼링크" xfId="2151" builtinId="9" hidden="1"/>
    <cellStyle name="열어 본 하이퍼링크" xfId="2153" builtinId="9" hidden="1"/>
    <cellStyle name="열어 본 하이퍼링크" xfId="2155" builtinId="9" hidden="1"/>
    <cellStyle name="열어 본 하이퍼링크" xfId="2157" builtinId="9" hidden="1"/>
    <cellStyle name="열어 본 하이퍼링크" xfId="2159" builtinId="9" hidden="1"/>
    <cellStyle name="열어 본 하이퍼링크" xfId="2161" builtinId="9" hidden="1"/>
    <cellStyle name="열어 본 하이퍼링크" xfId="2163" builtinId="9" hidden="1"/>
    <cellStyle name="열어 본 하이퍼링크" xfId="2165" builtinId="9" hidden="1"/>
    <cellStyle name="열어 본 하이퍼링크" xfId="2167" builtinId="9" hidden="1"/>
    <cellStyle name="열어 본 하이퍼링크" xfId="2169" builtinId="9" hidden="1"/>
    <cellStyle name="열어 본 하이퍼링크" xfId="2171" builtinId="9" hidden="1"/>
    <cellStyle name="열어 본 하이퍼링크" xfId="2173" builtinId="9" hidden="1"/>
    <cellStyle name="열어 본 하이퍼링크" xfId="2175" builtinId="9" hidden="1"/>
    <cellStyle name="열어 본 하이퍼링크" xfId="2177" builtinId="9" hidden="1"/>
    <cellStyle name="열어 본 하이퍼링크" xfId="2179" builtinId="9" hidden="1"/>
    <cellStyle name="열어 본 하이퍼링크" xfId="2181" builtinId="9" hidden="1"/>
    <cellStyle name="열어 본 하이퍼링크" xfId="2183" builtinId="9" hidden="1"/>
    <cellStyle name="열어 본 하이퍼링크" xfId="2185" builtinId="9" hidden="1"/>
    <cellStyle name="열어 본 하이퍼링크" xfId="2187" builtinId="9" hidden="1"/>
    <cellStyle name="열어 본 하이퍼링크" xfId="2189" builtinId="9" hidden="1"/>
    <cellStyle name="열어 본 하이퍼링크" xfId="2191" builtinId="9" hidden="1"/>
    <cellStyle name="열어 본 하이퍼링크" xfId="2193" builtinId="9" hidden="1"/>
    <cellStyle name="열어 본 하이퍼링크" xfId="2195" builtinId="9" hidden="1"/>
    <cellStyle name="열어 본 하이퍼링크" xfId="2197" builtinId="9" hidden="1"/>
    <cellStyle name="열어 본 하이퍼링크" xfId="2199" builtinId="9" hidden="1"/>
    <cellStyle name="열어 본 하이퍼링크" xfId="2201" builtinId="9" hidden="1"/>
    <cellStyle name="열어 본 하이퍼링크" xfId="2203" builtinId="9" hidden="1"/>
    <cellStyle name="열어 본 하이퍼링크" xfId="2205" builtinId="9" hidden="1"/>
    <cellStyle name="열어 본 하이퍼링크" xfId="2207" builtinId="9" hidden="1"/>
    <cellStyle name="열어 본 하이퍼링크" xfId="2209" builtinId="9" hidden="1"/>
    <cellStyle name="열어 본 하이퍼링크" xfId="2211" builtinId="9" hidden="1"/>
    <cellStyle name="열어 본 하이퍼링크" xfId="2213" builtinId="9" hidden="1"/>
    <cellStyle name="열어 본 하이퍼링크" xfId="2215" builtinId="9" hidden="1"/>
    <cellStyle name="열어 본 하이퍼링크" xfId="2217" builtinId="9" hidden="1"/>
    <cellStyle name="열어 본 하이퍼링크" xfId="2219" builtinId="9" hidden="1"/>
    <cellStyle name="열어 본 하이퍼링크" xfId="2221" builtinId="9" hidden="1"/>
    <cellStyle name="열어 본 하이퍼링크" xfId="2223" builtinId="9" hidden="1"/>
    <cellStyle name="열어 본 하이퍼링크" xfId="2225" builtinId="9" hidden="1"/>
    <cellStyle name="열어 본 하이퍼링크" xfId="2227" builtinId="9" hidden="1"/>
    <cellStyle name="열어 본 하이퍼링크" xfId="2229" builtinId="9" hidden="1"/>
    <cellStyle name="열어 본 하이퍼링크" xfId="2231" builtinId="9" hidden="1"/>
    <cellStyle name="열어 본 하이퍼링크" xfId="2233" builtinId="9" hidden="1"/>
    <cellStyle name="열어 본 하이퍼링크" xfId="2235" builtinId="9" hidden="1"/>
    <cellStyle name="열어 본 하이퍼링크" xfId="2237" builtinId="9" hidden="1"/>
    <cellStyle name="열어 본 하이퍼링크" xfId="2239" builtinId="9" hidden="1"/>
    <cellStyle name="열어 본 하이퍼링크" xfId="2241" builtinId="9" hidden="1"/>
    <cellStyle name="열어 본 하이퍼링크" xfId="2243" builtinId="9" hidden="1"/>
    <cellStyle name="열어 본 하이퍼링크" xfId="2245" builtinId="9" hidden="1"/>
    <cellStyle name="열어 본 하이퍼링크" xfId="2247" builtinId="9" hidden="1"/>
    <cellStyle name="열어 본 하이퍼링크" xfId="2249" builtinId="9" hidden="1"/>
    <cellStyle name="열어 본 하이퍼링크" xfId="2251" builtinId="9" hidden="1"/>
    <cellStyle name="열어 본 하이퍼링크" xfId="2253" builtinId="9" hidden="1"/>
    <cellStyle name="열어 본 하이퍼링크" xfId="2255" builtinId="9" hidden="1"/>
    <cellStyle name="열어 본 하이퍼링크" xfId="2257" builtinId="9" hidden="1"/>
    <cellStyle name="열어 본 하이퍼링크" xfId="2259" builtinId="9" hidden="1"/>
    <cellStyle name="열어 본 하이퍼링크" xfId="2261" builtinId="9" hidden="1"/>
    <cellStyle name="열어 본 하이퍼링크" xfId="2263" builtinId="9" hidden="1"/>
    <cellStyle name="열어 본 하이퍼링크" xfId="2265" builtinId="9" hidden="1"/>
    <cellStyle name="열어 본 하이퍼링크" xfId="2267" builtinId="9" hidden="1"/>
    <cellStyle name="열어 본 하이퍼링크" xfId="2269" builtinId="9" hidden="1"/>
    <cellStyle name="열어 본 하이퍼링크" xfId="2271" builtinId="9" hidden="1"/>
    <cellStyle name="열어 본 하이퍼링크" xfId="2273" builtinId="9" hidden="1"/>
    <cellStyle name="열어 본 하이퍼링크" xfId="2275" builtinId="9" hidden="1"/>
    <cellStyle name="열어 본 하이퍼링크" xfId="2277" builtinId="9" hidden="1"/>
    <cellStyle name="열어 본 하이퍼링크" xfId="2279" builtinId="9" hidden="1"/>
    <cellStyle name="열어 본 하이퍼링크" xfId="2281" builtinId="9" hidden="1"/>
    <cellStyle name="열어 본 하이퍼링크" xfId="2283" builtinId="9" hidden="1"/>
    <cellStyle name="열어 본 하이퍼링크" xfId="2285" builtinId="9" hidden="1"/>
    <cellStyle name="열어 본 하이퍼링크" xfId="2287" builtinId="9" hidden="1"/>
    <cellStyle name="열어 본 하이퍼링크" xfId="2289" builtinId="9" hidden="1"/>
    <cellStyle name="열어 본 하이퍼링크" xfId="2291" builtinId="9" hidden="1"/>
    <cellStyle name="열어 본 하이퍼링크" xfId="2293" builtinId="9" hidden="1"/>
    <cellStyle name="열어 본 하이퍼링크" xfId="2295" builtinId="9" hidden="1"/>
    <cellStyle name="열어 본 하이퍼링크" xfId="2297" builtinId="9" hidden="1"/>
    <cellStyle name="열어 본 하이퍼링크" xfId="2299" builtinId="9" hidden="1"/>
    <cellStyle name="열어 본 하이퍼링크" xfId="2301" builtinId="9" hidden="1"/>
    <cellStyle name="열어 본 하이퍼링크" xfId="2303" builtinId="9" hidden="1"/>
    <cellStyle name="열어 본 하이퍼링크" xfId="2305" builtinId="9" hidden="1"/>
    <cellStyle name="열어 본 하이퍼링크" xfId="2307" builtinId="9" hidden="1"/>
    <cellStyle name="열어 본 하이퍼링크" xfId="2309" builtinId="9" hidden="1"/>
    <cellStyle name="열어 본 하이퍼링크" xfId="2311" builtinId="9" hidden="1"/>
    <cellStyle name="열어 본 하이퍼링크" xfId="2313" builtinId="9" hidden="1"/>
    <cellStyle name="열어 본 하이퍼링크" xfId="2315" builtinId="9" hidden="1"/>
    <cellStyle name="열어 본 하이퍼링크" xfId="2317" builtinId="9" hidden="1"/>
    <cellStyle name="열어 본 하이퍼링크" xfId="2319" builtinId="9" hidden="1"/>
    <cellStyle name="열어 본 하이퍼링크" xfId="2321" builtinId="9" hidden="1"/>
    <cellStyle name="열어 본 하이퍼링크" xfId="2323" builtinId="9" hidden="1"/>
    <cellStyle name="열어 본 하이퍼링크" xfId="2325" builtinId="9" hidden="1"/>
    <cellStyle name="열어 본 하이퍼링크" xfId="2327" builtinId="9" hidden="1"/>
    <cellStyle name="열어 본 하이퍼링크" xfId="2329" builtinId="9" hidden="1"/>
    <cellStyle name="열어 본 하이퍼링크" xfId="2331" builtinId="9" hidden="1"/>
    <cellStyle name="열어 본 하이퍼링크" xfId="2333" builtinId="9" hidden="1"/>
    <cellStyle name="열어 본 하이퍼링크" xfId="2335" builtinId="9" hidden="1"/>
    <cellStyle name="열어 본 하이퍼링크" xfId="2337" builtinId="9" hidden="1"/>
    <cellStyle name="열어 본 하이퍼링크" xfId="2339" builtinId="9" hidden="1"/>
    <cellStyle name="열어 본 하이퍼링크" xfId="2341" builtinId="9" hidden="1"/>
    <cellStyle name="열어 본 하이퍼링크" xfId="2343" builtinId="9" hidden="1"/>
    <cellStyle name="열어 본 하이퍼링크" xfId="2345" builtinId="9" hidden="1"/>
    <cellStyle name="열어 본 하이퍼링크" xfId="2347" builtinId="9" hidden="1"/>
    <cellStyle name="열어 본 하이퍼링크" xfId="2349" builtinId="9" hidden="1"/>
    <cellStyle name="열어 본 하이퍼링크" xfId="2351" builtinId="9" hidden="1"/>
    <cellStyle name="열어 본 하이퍼링크" xfId="2353" builtinId="9" hidden="1"/>
    <cellStyle name="열어 본 하이퍼링크" xfId="2355" builtinId="9" hidden="1"/>
    <cellStyle name="열어 본 하이퍼링크" xfId="2357" builtinId="9" hidden="1"/>
    <cellStyle name="열어 본 하이퍼링크" xfId="2359" builtinId="9" hidden="1"/>
    <cellStyle name="열어 본 하이퍼링크" xfId="2361" builtinId="9" hidden="1"/>
    <cellStyle name="열어 본 하이퍼링크" xfId="2363" builtinId="9" hidden="1"/>
    <cellStyle name="열어 본 하이퍼링크" xfId="2365" builtinId="9" hidden="1"/>
    <cellStyle name="열어 본 하이퍼링크" xfId="2367" builtinId="9" hidden="1"/>
    <cellStyle name="열어 본 하이퍼링크" xfId="2369" builtinId="9" hidden="1"/>
    <cellStyle name="열어 본 하이퍼링크" xfId="2371" builtinId="9" hidden="1"/>
    <cellStyle name="열어 본 하이퍼링크" xfId="2373" builtinId="9" hidden="1"/>
    <cellStyle name="열어 본 하이퍼링크" xfId="2375" builtinId="9" hidden="1"/>
    <cellStyle name="열어 본 하이퍼링크" xfId="2377" builtinId="9" hidden="1"/>
    <cellStyle name="열어 본 하이퍼링크" xfId="2379" builtinId="9" hidden="1"/>
    <cellStyle name="열어 본 하이퍼링크" xfId="2381" builtinId="9" hidden="1"/>
    <cellStyle name="열어 본 하이퍼링크" xfId="2383" builtinId="9" hidden="1"/>
    <cellStyle name="열어 본 하이퍼링크" xfId="2385" builtinId="9" hidden="1"/>
    <cellStyle name="열어 본 하이퍼링크" xfId="2387" builtinId="9" hidden="1"/>
    <cellStyle name="열어 본 하이퍼링크" xfId="2389" builtinId="9" hidden="1"/>
    <cellStyle name="열어 본 하이퍼링크" xfId="2391" builtinId="9" hidden="1"/>
    <cellStyle name="열어 본 하이퍼링크" xfId="2393" builtinId="9" hidden="1"/>
    <cellStyle name="열어 본 하이퍼링크" xfId="2395" builtinId="9" hidden="1"/>
    <cellStyle name="열어 본 하이퍼링크" xfId="2397" builtinId="9" hidden="1"/>
    <cellStyle name="열어 본 하이퍼링크" xfId="2399" builtinId="9" hidden="1"/>
    <cellStyle name="열어 본 하이퍼링크" xfId="2401" builtinId="9" hidden="1"/>
    <cellStyle name="열어 본 하이퍼링크" xfId="2403" builtinId="9" hidden="1"/>
    <cellStyle name="열어 본 하이퍼링크" xfId="2405" builtinId="9" hidden="1"/>
    <cellStyle name="열어 본 하이퍼링크" xfId="2407" builtinId="9" hidden="1"/>
    <cellStyle name="열어 본 하이퍼링크" xfId="2409" builtinId="9" hidden="1"/>
    <cellStyle name="열어 본 하이퍼링크" xfId="2411" builtinId="9" hidden="1"/>
    <cellStyle name="열어 본 하이퍼링크" xfId="2413" builtinId="9" hidden="1"/>
    <cellStyle name="열어 본 하이퍼링크" xfId="2415" builtinId="9" hidden="1"/>
    <cellStyle name="열어 본 하이퍼링크" xfId="2417" builtinId="9" hidden="1"/>
    <cellStyle name="열어 본 하이퍼링크" xfId="2419" builtinId="9" hidden="1"/>
    <cellStyle name="열어 본 하이퍼링크" xfId="2421" builtinId="9" hidden="1"/>
    <cellStyle name="열어 본 하이퍼링크" xfId="2423" builtinId="9" hidden="1"/>
    <cellStyle name="열어 본 하이퍼링크" xfId="2425" builtinId="9" hidden="1"/>
    <cellStyle name="열어 본 하이퍼링크" xfId="2427" builtinId="9" hidden="1"/>
    <cellStyle name="열어 본 하이퍼링크" xfId="2429" builtinId="9" hidden="1"/>
    <cellStyle name="열어 본 하이퍼링크" xfId="2431" builtinId="9" hidden="1"/>
    <cellStyle name="열어 본 하이퍼링크" xfId="2433" builtinId="9" hidden="1"/>
    <cellStyle name="열어 본 하이퍼링크" xfId="2435" builtinId="9" hidden="1"/>
    <cellStyle name="열어 본 하이퍼링크" xfId="2437" builtinId="9" hidden="1"/>
    <cellStyle name="열어 본 하이퍼링크" xfId="2439" builtinId="9" hidden="1"/>
    <cellStyle name="열어 본 하이퍼링크" xfId="2441" builtinId="9" hidden="1"/>
    <cellStyle name="열어 본 하이퍼링크" xfId="2443" builtinId="9" hidden="1"/>
    <cellStyle name="열어 본 하이퍼링크" xfId="2445" builtinId="9" hidden="1"/>
    <cellStyle name="열어 본 하이퍼링크" xfId="2447" builtinId="9" hidden="1"/>
    <cellStyle name="열어 본 하이퍼링크" xfId="2449" builtinId="9" hidden="1"/>
    <cellStyle name="열어 본 하이퍼링크" xfId="2451" builtinId="9" hidden="1"/>
    <cellStyle name="열어 본 하이퍼링크" xfId="2453" builtinId="9" hidden="1"/>
    <cellStyle name="열어 본 하이퍼링크" xfId="2455" builtinId="9" hidden="1"/>
    <cellStyle name="열어 본 하이퍼링크" xfId="2457" builtinId="9" hidden="1"/>
    <cellStyle name="열어 본 하이퍼링크" xfId="2459" builtinId="9" hidden="1"/>
    <cellStyle name="열어 본 하이퍼링크" xfId="2461" builtinId="9" hidden="1"/>
    <cellStyle name="열어 본 하이퍼링크" xfId="2463" builtinId="9" hidden="1"/>
    <cellStyle name="열어 본 하이퍼링크" xfId="2465" builtinId="9" hidden="1"/>
    <cellStyle name="열어 본 하이퍼링크" xfId="2467" builtinId="9" hidden="1"/>
    <cellStyle name="열어 본 하이퍼링크" xfId="2469" builtinId="9" hidden="1"/>
    <cellStyle name="열어 본 하이퍼링크" xfId="2471" builtinId="9" hidden="1"/>
    <cellStyle name="열어 본 하이퍼링크" xfId="2473" builtinId="9" hidden="1"/>
    <cellStyle name="열어 본 하이퍼링크" xfId="2475" builtinId="9" hidden="1"/>
    <cellStyle name="열어 본 하이퍼링크" xfId="2477" builtinId="9" hidden="1"/>
    <cellStyle name="열어 본 하이퍼링크" xfId="2479" builtinId="9" hidden="1"/>
    <cellStyle name="열어 본 하이퍼링크" xfId="2481" builtinId="9" hidden="1"/>
    <cellStyle name="열어 본 하이퍼링크" xfId="2483" builtinId="9" hidden="1"/>
    <cellStyle name="열어 본 하이퍼링크" xfId="2485" builtinId="9" hidden="1"/>
    <cellStyle name="열어 본 하이퍼링크" xfId="2487" builtinId="9" hidden="1"/>
    <cellStyle name="열어 본 하이퍼링크" xfId="2489" builtinId="9" hidden="1"/>
    <cellStyle name="열어 본 하이퍼링크" xfId="2491" builtinId="9" hidden="1"/>
    <cellStyle name="열어 본 하이퍼링크" xfId="2493" builtinId="9" hidden="1"/>
    <cellStyle name="열어 본 하이퍼링크" xfId="2495" builtinId="9" hidden="1"/>
    <cellStyle name="열어 본 하이퍼링크" xfId="2497" builtinId="9" hidden="1"/>
    <cellStyle name="열어 본 하이퍼링크" xfId="2499" builtinId="9" hidden="1"/>
    <cellStyle name="열어 본 하이퍼링크" xfId="2501" builtinId="9" hidden="1"/>
    <cellStyle name="열어 본 하이퍼링크" xfId="2503" builtinId="9" hidden="1"/>
    <cellStyle name="열어 본 하이퍼링크" xfId="2505" builtinId="9" hidden="1"/>
    <cellStyle name="요약" xfId="2521" builtinId="25" customBuiltin="1"/>
    <cellStyle name="입력" xfId="2514" builtinId="20" customBuiltin="1"/>
    <cellStyle name="제목" xfId="2506" builtinId="15" customBuiltin="1"/>
    <cellStyle name="제목 1" xfId="2507" builtinId="16" customBuiltin="1"/>
    <cellStyle name="제목 2" xfId="2508" builtinId="17" customBuiltin="1"/>
    <cellStyle name="제목 3" xfId="2509" builtinId="18" customBuiltin="1"/>
    <cellStyle name="제목 4" xfId="2510" builtinId="19" customBuiltin="1"/>
    <cellStyle name="좋음" xfId="2511" builtinId="26" customBuiltin="1"/>
    <cellStyle name="출력" xfId="2515" builtinId="21" customBuiltin="1"/>
    <cellStyle name="표준" xfId="0" builtinId="0"/>
    <cellStyle name="표준 10" xfId="2831" xr:uid="{00000000-0005-0000-0000-000020060000}"/>
    <cellStyle name="표준 2" xfId="2546" xr:uid="{00000000-0005-0000-0000-000021060000}"/>
    <cellStyle name="표준 2 2" xfId="2688" xr:uid="{00000000-0005-0000-0000-000022060000}"/>
    <cellStyle name="표준 2 2 2" xfId="2833" xr:uid="{9438D000-2726-4DCD-A3C3-7798EFD5A5B2}"/>
    <cellStyle name="표준 2 3" xfId="2832" xr:uid="{EC11FEA0-43A6-4B87-80F5-750A92F5BE14}"/>
    <cellStyle name="표준 3" xfId="2548" xr:uid="{00000000-0005-0000-0000-000023060000}"/>
    <cellStyle name="표준 3 2" xfId="2588" xr:uid="{00000000-0005-0000-0000-000024060000}"/>
    <cellStyle name="표준 3 2 2" xfId="2730" xr:uid="{00000000-0005-0000-0000-000025060000}"/>
    <cellStyle name="표준 3 3" xfId="2690" xr:uid="{00000000-0005-0000-0000-000026060000}"/>
    <cellStyle name="표준 4" xfId="2568" xr:uid="{00000000-0005-0000-0000-000027060000}"/>
    <cellStyle name="표준 4 2" xfId="2710" xr:uid="{00000000-0005-0000-0000-000028060000}"/>
    <cellStyle name="표준 5" xfId="2589" xr:uid="{00000000-0005-0000-0000-000029060000}"/>
    <cellStyle name="표준 5 2" xfId="2731" xr:uid="{00000000-0005-0000-0000-00002A060000}"/>
    <cellStyle name="표준 6" xfId="2609" xr:uid="{00000000-0005-0000-0000-00002B060000}"/>
    <cellStyle name="표준 6 2" xfId="2751" xr:uid="{00000000-0005-0000-0000-00002C060000}"/>
    <cellStyle name="표준 7" xfId="2629" xr:uid="{00000000-0005-0000-0000-00002D060000}"/>
    <cellStyle name="표준 7 2" xfId="2771" xr:uid="{00000000-0005-0000-0000-00002E060000}"/>
    <cellStyle name="표준 8" xfId="2649" xr:uid="{00000000-0005-0000-0000-00002F060000}"/>
    <cellStyle name="표준 8 2" xfId="2791" xr:uid="{00000000-0005-0000-0000-000030060000}"/>
    <cellStyle name="표준 9" xfId="2669" xr:uid="{00000000-0005-0000-0000-000031060000}"/>
    <cellStyle name="표준 9 2" xfId="2811" xr:uid="{00000000-0005-0000-0000-000032060000}"/>
    <cellStyle name="하이퍼링크" xfId="3" builtinId="8" hidden="1"/>
    <cellStyle name="하이퍼링크" xfId="5" builtinId="8" hidden="1"/>
    <cellStyle name="하이퍼링크" xfId="8" builtinId="8" hidden="1"/>
    <cellStyle name="하이퍼링크" xfId="10" builtinId="8" hidden="1"/>
    <cellStyle name="하이퍼링크" xfId="12" builtinId="8" hidden="1"/>
    <cellStyle name="하이퍼링크" xfId="14" builtinId="8" hidden="1"/>
    <cellStyle name="하이퍼링크" xfId="16" builtinId="8" hidden="1"/>
    <cellStyle name="하이퍼링크" xfId="18" builtinId="8" hidden="1"/>
    <cellStyle name="하이퍼링크" xfId="20" builtinId="8" hidden="1"/>
    <cellStyle name="하이퍼링크" xfId="22" builtinId="8" hidden="1"/>
    <cellStyle name="하이퍼링크" xfId="24" builtinId="8" hidden="1"/>
    <cellStyle name="하이퍼링크" xfId="26" builtinId="8" hidden="1"/>
    <cellStyle name="하이퍼링크" xfId="28" builtinId="8" hidden="1"/>
    <cellStyle name="하이퍼링크" xfId="30" builtinId="8" hidden="1"/>
    <cellStyle name="하이퍼링크" xfId="32" builtinId="8" hidden="1"/>
    <cellStyle name="하이퍼링크" xfId="34" builtinId="8" hidden="1"/>
    <cellStyle name="하이퍼링크" xfId="36" builtinId="8" hidden="1"/>
    <cellStyle name="하이퍼링크" xfId="50" builtinId="8" hidden="1"/>
    <cellStyle name="하이퍼링크" xfId="52" builtinId="8" hidden="1"/>
    <cellStyle name="하이퍼링크" xfId="54" builtinId="8" hidden="1"/>
    <cellStyle name="하이퍼링크" xfId="56" builtinId="8" hidden="1"/>
    <cellStyle name="하이퍼링크" xfId="58" builtinId="8" hidden="1"/>
    <cellStyle name="하이퍼링크" xfId="60" builtinId="8" hidden="1"/>
    <cellStyle name="하이퍼링크" xfId="62" builtinId="8" hidden="1"/>
    <cellStyle name="하이퍼링크" xfId="64" builtinId="8" hidden="1"/>
    <cellStyle name="하이퍼링크" xfId="66" builtinId="8" hidden="1"/>
    <cellStyle name="하이퍼링크" xfId="68" builtinId="8" hidden="1"/>
    <cellStyle name="하이퍼링크" xfId="70" builtinId="8" hidden="1"/>
    <cellStyle name="하이퍼링크" xfId="72" builtinId="8" hidden="1"/>
    <cellStyle name="하이퍼링크" xfId="74" builtinId="8" hidden="1"/>
    <cellStyle name="하이퍼링크" xfId="76" builtinId="8" hidden="1"/>
    <cellStyle name="하이퍼링크" xfId="78" builtinId="8" hidden="1"/>
    <cellStyle name="하이퍼링크" xfId="80" builtinId="8" hidden="1"/>
    <cellStyle name="하이퍼링크" xfId="82" builtinId="8" hidden="1"/>
    <cellStyle name="하이퍼링크" xfId="84" builtinId="8" hidden="1"/>
    <cellStyle name="하이퍼링크" xfId="86" builtinId="8" hidden="1"/>
    <cellStyle name="하이퍼링크" xfId="88" builtinId="8" hidden="1"/>
    <cellStyle name="하이퍼링크" xfId="90" builtinId="8" hidden="1"/>
    <cellStyle name="하이퍼링크" xfId="92" builtinId="8" hidden="1"/>
    <cellStyle name="하이퍼링크" xfId="94" builtinId="8" hidden="1"/>
    <cellStyle name="하이퍼링크" xfId="96" builtinId="8" hidden="1"/>
    <cellStyle name="하이퍼링크" xfId="98" builtinId="8" hidden="1"/>
    <cellStyle name="하이퍼링크" xfId="100" builtinId="8" hidden="1"/>
    <cellStyle name="하이퍼링크" xfId="102" builtinId="8" hidden="1"/>
    <cellStyle name="하이퍼링크" xfId="104" builtinId="8" hidden="1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8" builtinId="8" hidden="1"/>
    <cellStyle name="하이퍼링크" xfId="250" builtinId="8" hidden="1"/>
    <cellStyle name="하이퍼링크" xfId="252" builtinId="8" hidden="1"/>
    <cellStyle name="하이퍼링크" xfId="254" builtinId="8" hidden="1"/>
    <cellStyle name="하이퍼링크" xfId="256" builtinId="8" hidden="1"/>
    <cellStyle name="하이퍼링크" xfId="258" builtinId="8" hidden="1"/>
    <cellStyle name="하이퍼링크" xfId="260" builtinId="8" hidden="1"/>
    <cellStyle name="하이퍼링크" xfId="262" builtinId="8" hidden="1"/>
    <cellStyle name="하이퍼링크" xfId="264" builtinId="8" hidden="1"/>
    <cellStyle name="하이퍼링크" xfId="266" builtinId="8" hidden="1"/>
    <cellStyle name="하이퍼링크" xfId="268" builtinId="8" hidden="1"/>
    <cellStyle name="하이퍼링크" xfId="270" builtinId="8" hidden="1"/>
    <cellStyle name="하이퍼링크" xfId="272" builtinId="8" hidden="1"/>
    <cellStyle name="하이퍼링크" xfId="274" builtinId="8" hidden="1"/>
    <cellStyle name="하이퍼링크" xfId="276" builtinId="8" hidden="1"/>
    <cellStyle name="하이퍼링크" xfId="278" builtinId="8" hidden="1"/>
    <cellStyle name="하이퍼링크" xfId="280" builtinId="8" hidden="1"/>
    <cellStyle name="하이퍼링크" xfId="282" builtinId="8" hidden="1"/>
    <cellStyle name="하이퍼링크" xfId="284" builtinId="8" hidden="1"/>
    <cellStyle name="하이퍼링크" xfId="286" builtinId="8" hidden="1"/>
    <cellStyle name="하이퍼링크" xfId="288" builtinId="8" hidden="1"/>
    <cellStyle name="하이퍼링크" xfId="290" builtinId="8" hidden="1"/>
    <cellStyle name="하이퍼링크" xfId="292" builtinId="8" hidden="1"/>
    <cellStyle name="하이퍼링크" xfId="294" builtinId="8" hidden="1"/>
    <cellStyle name="하이퍼링크" xfId="296" builtinId="8" hidden="1"/>
    <cellStyle name="하이퍼링크" xfId="298" builtinId="8" hidden="1"/>
    <cellStyle name="하이퍼링크" xfId="300" builtinId="8" hidden="1"/>
    <cellStyle name="하이퍼링크" xfId="302" builtinId="8" hidden="1"/>
    <cellStyle name="하이퍼링크" xfId="304" builtinId="8" hidden="1"/>
    <cellStyle name="하이퍼링크" xfId="306" builtinId="8" hidden="1"/>
    <cellStyle name="하이퍼링크" xfId="308" builtinId="8" hidden="1"/>
    <cellStyle name="하이퍼링크" xfId="310" builtinId="8" hidden="1"/>
    <cellStyle name="하이퍼링크" xfId="312" builtinId="8" hidden="1"/>
    <cellStyle name="하이퍼링크" xfId="314" builtinId="8" hidden="1"/>
    <cellStyle name="하이퍼링크" xfId="316" builtinId="8" hidden="1"/>
    <cellStyle name="하이퍼링크" xfId="318" builtinId="8" hidden="1"/>
    <cellStyle name="하이퍼링크" xfId="320" builtinId="8" hidden="1"/>
    <cellStyle name="하이퍼링크" xfId="322" builtinId="8" hidden="1"/>
    <cellStyle name="하이퍼링크" xfId="324" builtinId="8" hidden="1"/>
    <cellStyle name="하이퍼링크" xfId="326" builtinId="8" hidden="1"/>
    <cellStyle name="하이퍼링크" xfId="328" builtinId="8" hidden="1"/>
    <cellStyle name="하이퍼링크" xfId="330" builtinId="8" hidden="1"/>
    <cellStyle name="하이퍼링크" xfId="332" builtinId="8" hidden="1"/>
    <cellStyle name="하이퍼링크" xfId="334" builtinId="8" hidden="1"/>
    <cellStyle name="하이퍼링크" xfId="336" builtinId="8" hidden="1"/>
    <cellStyle name="하이퍼링크" xfId="338" builtinId="8" hidden="1"/>
    <cellStyle name="하이퍼링크" xfId="340" builtinId="8" hidden="1"/>
    <cellStyle name="하이퍼링크" xfId="342" builtinId="8" hidden="1"/>
    <cellStyle name="하이퍼링크" xfId="344" builtinId="8" hidden="1"/>
    <cellStyle name="하이퍼링크" xfId="346" builtinId="8" hidden="1"/>
    <cellStyle name="하이퍼링크" xfId="348" builtinId="8" hidden="1"/>
    <cellStyle name="하이퍼링크" xfId="350" builtinId="8" hidden="1"/>
    <cellStyle name="하이퍼링크" xfId="352" builtinId="8" hidden="1"/>
    <cellStyle name="하이퍼링크" xfId="354" builtinId="8" hidden="1"/>
    <cellStyle name="하이퍼링크" xfId="356" builtinId="8" hidden="1"/>
    <cellStyle name="하이퍼링크" xfId="358" builtinId="8" hidden="1"/>
    <cellStyle name="하이퍼링크" xfId="360" builtinId="8" hidden="1"/>
    <cellStyle name="하이퍼링크" xfId="362" builtinId="8" hidden="1"/>
    <cellStyle name="하이퍼링크" xfId="364" builtinId="8" hidden="1"/>
    <cellStyle name="하이퍼링크" xfId="366" builtinId="8" hidden="1"/>
    <cellStyle name="하이퍼링크" xfId="368" builtinId="8" hidden="1"/>
    <cellStyle name="하이퍼링크" xfId="370" builtinId="8" hidden="1"/>
    <cellStyle name="하이퍼링크" xfId="372" builtinId="8" hidden="1"/>
    <cellStyle name="하이퍼링크" xfId="374" builtinId="8" hidden="1"/>
    <cellStyle name="하이퍼링크" xfId="376" builtinId="8" hidden="1"/>
    <cellStyle name="하이퍼링크" xfId="378" builtinId="8" hidden="1"/>
    <cellStyle name="하이퍼링크" xfId="380" builtinId="8" hidden="1"/>
    <cellStyle name="하이퍼링크" xfId="382" builtinId="8" hidden="1"/>
    <cellStyle name="하이퍼링크" xfId="384" builtinId="8" hidden="1"/>
    <cellStyle name="하이퍼링크" xfId="386" builtinId="8" hidden="1"/>
    <cellStyle name="하이퍼링크" xfId="388" builtinId="8" hidden="1"/>
    <cellStyle name="하이퍼링크" xfId="390" builtinId="8" hidden="1"/>
    <cellStyle name="하이퍼링크" xfId="392" builtinId="8" hidden="1"/>
    <cellStyle name="하이퍼링크" xfId="394" builtinId="8" hidden="1"/>
    <cellStyle name="하이퍼링크" xfId="396" builtinId="8" hidden="1"/>
    <cellStyle name="하이퍼링크" xfId="398" builtinId="8" hidden="1"/>
    <cellStyle name="하이퍼링크" xfId="400" builtinId="8" hidden="1"/>
    <cellStyle name="하이퍼링크" xfId="402" builtinId="8" hidden="1"/>
    <cellStyle name="하이퍼링크" xfId="404" builtinId="8" hidden="1"/>
    <cellStyle name="하이퍼링크" xfId="406" builtinId="8" hidden="1"/>
    <cellStyle name="하이퍼링크" xfId="408" builtinId="8" hidden="1"/>
    <cellStyle name="하이퍼링크" xfId="410" builtinId="8" hidden="1"/>
    <cellStyle name="하이퍼링크" xfId="412" builtinId="8" hidden="1"/>
    <cellStyle name="하이퍼링크" xfId="414" builtinId="8" hidden="1"/>
    <cellStyle name="하이퍼링크" xfId="416" builtinId="8" hidden="1"/>
    <cellStyle name="하이퍼링크" xfId="418" builtinId="8" hidden="1"/>
    <cellStyle name="하이퍼링크" xfId="420" builtinId="8" hidden="1"/>
    <cellStyle name="하이퍼링크" xfId="422" builtinId="8" hidden="1"/>
    <cellStyle name="하이퍼링크" xfId="424" builtinId="8" hidden="1"/>
    <cellStyle name="하이퍼링크" xfId="426" builtinId="8" hidden="1"/>
    <cellStyle name="하이퍼링크" xfId="428" builtinId="8" hidden="1"/>
    <cellStyle name="하이퍼링크" xfId="430" builtinId="8" hidden="1"/>
    <cellStyle name="하이퍼링크" xfId="432" builtinId="8" hidden="1"/>
    <cellStyle name="하이퍼링크" xfId="434" builtinId="8" hidden="1"/>
    <cellStyle name="하이퍼링크" xfId="436" builtinId="8" hidden="1"/>
    <cellStyle name="하이퍼링크" xfId="438" builtinId="8" hidden="1"/>
    <cellStyle name="하이퍼링크" xfId="440" builtinId="8" hidden="1"/>
    <cellStyle name="하이퍼링크" xfId="442" builtinId="8" hidden="1"/>
    <cellStyle name="하이퍼링크" xfId="444" builtinId="8" hidden="1"/>
    <cellStyle name="하이퍼링크" xfId="446" builtinId="8" hidden="1"/>
    <cellStyle name="하이퍼링크" xfId="448" builtinId="8" hidden="1"/>
    <cellStyle name="하이퍼링크" xfId="450" builtinId="8" hidden="1"/>
    <cellStyle name="하이퍼링크" xfId="452" builtinId="8" hidden="1"/>
    <cellStyle name="하이퍼링크" xfId="454" builtinId="8" hidden="1"/>
    <cellStyle name="하이퍼링크" xfId="456" builtinId="8" hidden="1"/>
    <cellStyle name="하이퍼링크" xfId="458" builtinId="8" hidden="1"/>
    <cellStyle name="하이퍼링크" xfId="460" builtinId="8" hidden="1"/>
    <cellStyle name="하이퍼링크" xfId="462" builtinId="8" hidden="1"/>
    <cellStyle name="하이퍼링크" xfId="464" builtinId="8" hidden="1"/>
    <cellStyle name="하이퍼링크" xfId="466" builtinId="8" hidden="1"/>
    <cellStyle name="하이퍼링크" xfId="468" builtinId="8" hidden="1"/>
    <cellStyle name="하이퍼링크" xfId="470" builtinId="8" hidden="1"/>
    <cellStyle name="하이퍼링크" xfId="472" builtinId="8" hidden="1"/>
    <cellStyle name="하이퍼링크" xfId="474" builtinId="8" hidden="1"/>
    <cellStyle name="하이퍼링크" xfId="476" builtinId="8" hidden="1"/>
    <cellStyle name="하이퍼링크" xfId="478" builtinId="8" hidden="1"/>
    <cellStyle name="하이퍼링크" xfId="480" builtinId="8" hidden="1"/>
    <cellStyle name="하이퍼링크" xfId="482" builtinId="8" hidden="1"/>
    <cellStyle name="하이퍼링크" xfId="484" builtinId="8" hidden="1"/>
    <cellStyle name="하이퍼링크" xfId="486" builtinId="8" hidden="1"/>
    <cellStyle name="하이퍼링크" xfId="488" builtinId="8" hidden="1"/>
    <cellStyle name="하이퍼링크" xfId="490" builtinId="8" hidden="1"/>
    <cellStyle name="하이퍼링크" xfId="492" builtinId="8" hidden="1"/>
    <cellStyle name="하이퍼링크" xfId="494" builtinId="8" hidden="1"/>
    <cellStyle name="하이퍼링크" xfId="496" builtinId="8" hidden="1"/>
    <cellStyle name="하이퍼링크" xfId="498" builtinId="8" hidden="1"/>
    <cellStyle name="하이퍼링크" xfId="500" builtinId="8" hidden="1"/>
    <cellStyle name="하이퍼링크" xfId="502" builtinId="8" hidden="1"/>
    <cellStyle name="하이퍼링크" xfId="504" builtinId="8" hidden="1"/>
    <cellStyle name="하이퍼링크" xfId="506" builtinId="8" hidden="1"/>
    <cellStyle name="하이퍼링크" xfId="508" builtinId="8" hidden="1"/>
    <cellStyle name="하이퍼링크" xfId="510" builtinId="8" hidden="1"/>
    <cellStyle name="하이퍼링크" xfId="512" builtinId="8" hidden="1"/>
    <cellStyle name="하이퍼링크" xfId="514" builtinId="8" hidden="1"/>
    <cellStyle name="하이퍼링크" xfId="516" builtinId="8" hidden="1"/>
    <cellStyle name="하이퍼링크" xfId="518" builtinId="8" hidden="1"/>
    <cellStyle name="하이퍼링크" xfId="520" builtinId="8" hidden="1"/>
    <cellStyle name="하이퍼링크" xfId="522" builtinId="8" hidden="1"/>
    <cellStyle name="하이퍼링크" xfId="524" builtinId="8" hidden="1"/>
    <cellStyle name="하이퍼링크" xfId="526" builtinId="8" hidden="1"/>
    <cellStyle name="하이퍼링크" xfId="528" builtinId="8" hidden="1"/>
    <cellStyle name="하이퍼링크" xfId="530" builtinId="8" hidden="1"/>
    <cellStyle name="하이퍼링크" xfId="532" builtinId="8" hidden="1"/>
    <cellStyle name="하이퍼링크" xfId="534" builtinId="8" hidden="1"/>
    <cellStyle name="하이퍼링크" xfId="536" builtinId="8" hidden="1"/>
    <cellStyle name="하이퍼링크" xfId="538" builtinId="8" hidden="1"/>
    <cellStyle name="하이퍼링크" xfId="540" builtinId="8" hidden="1"/>
    <cellStyle name="하이퍼링크" xfId="542" builtinId="8" hidden="1"/>
    <cellStyle name="하이퍼링크" xfId="544" builtinId="8" hidden="1"/>
    <cellStyle name="하이퍼링크" xfId="546" builtinId="8" hidden="1"/>
    <cellStyle name="하이퍼링크" xfId="548" builtinId="8" hidden="1"/>
    <cellStyle name="하이퍼링크" xfId="550" builtinId="8" hidden="1"/>
    <cellStyle name="하이퍼링크" xfId="552" builtinId="8" hidden="1"/>
    <cellStyle name="하이퍼링크" xfId="554" builtinId="8" hidden="1"/>
    <cellStyle name="하이퍼링크" xfId="556" builtinId="8" hidden="1"/>
    <cellStyle name="하이퍼링크" xfId="558" builtinId="8" hidden="1"/>
    <cellStyle name="하이퍼링크" xfId="560" builtinId="8" hidden="1"/>
    <cellStyle name="하이퍼링크" xfId="562" builtinId="8" hidden="1"/>
    <cellStyle name="하이퍼링크" xfId="564" builtinId="8" hidden="1"/>
    <cellStyle name="하이퍼링크" xfId="566" builtinId="8" hidden="1"/>
    <cellStyle name="하이퍼링크" xfId="568" builtinId="8" hidden="1"/>
    <cellStyle name="하이퍼링크" xfId="570" builtinId="8" hidden="1"/>
    <cellStyle name="하이퍼링크" xfId="572" builtinId="8" hidden="1"/>
    <cellStyle name="하이퍼링크" xfId="574" builtinId="8" hidden="1"/>
    <cellStyle name="하이퍼링크" xfId="576" builtinId="8" hidden="1"/>
    <cellStyle name="하이퍼링크" xfId="578" builtinId="8" hidden="1"/>
    <cellStyle name="하이퍼링크" xfId="580" builtinId="8" hidden="1"/>
    <cellStyle name="하이퍼링크" xfId="582" builtinId="8" hidden="1"/>
    <cellStyle name="하이퍼링크" xfId="584" builtinId="8" hidden="1"/>
    <cellStyle name="하이퍼링크" xfId="586" builtinId="8" hidden="1"/>
    <cellStyle name="하이퍼링크" xfId="588" builtinId="8" hidden="1"/>
    <cellStyle name="하이퍼링크" xfId="590" builtinId="8" hidden="1"/>
    <cellStyle name="하이퍼링크" xfId="592" builtinId="8" hidden="1"/>
    <cellStyle name="하이퍼링크" xfId="594" builtinId="8" hidden="1"/>
    <cellStyle name="하이퍼링크" xfId="596" builtinId="8" hidden="1"/>
    <cellStyle name="하이퍼링크" xfId="598" builtinId="8" hidden="1"/>
    <cellStyle name="하이퍼링크" xfId="600" builtinId="8" hidden="1"/>
    <cellStyle name="하이퍼링크" xfId="602" builtinId="8" hidden="1"/>
    <cellStyle name="하이퍼링크" xfId="604" builtinId="8" hidden="1"/>
    <cellStyle name="하이퍼링크" xfId="606" builtinId="8" hidden="1"/>
    <cellStyle name="하이퍼링크" xfId="608" builtinId="8" hidden="1"/>
    <cellStyle name="하이퍼링크" xfId="610" builtinId="8" hidden="1"/>
    <cellStyle name="하이퍼링크" xfId="612" builtinId="8" hidden="1"/>
    <cellStyle name="하이퍼링크" xfId="614" builtinId="8" hidden="1"/>
    <cellStyle name="하이퍼링크" xfId="616" builtinId="8" hidden="1"/>
    <cellStyle name="하이퍼링크" xfId="618" builtinId="8" hidden="1"/>
    <cellStyle name="하이퍼링크" xfId="620" builtinId="8" hidden="1"/>
    <cellStyle name="하이퍼링크" xfId="622" builtinId="8" hidden="1"/>
    <cellStyle name="하이퍼링크" xfId="624" builtinId="8" hidden="1"/>
    <cellStyle name="하이퍼링크" xfId="626" builtinId="8" hidden="1"/>
    <cellStyle name="하이퍼링크" xfId="628" builtinId="8" hidden="1"/>
    <cellStyle name="하이퍼링크" xfId="630" builtinId="8" hidden="1"/>
    <cellStyle name="하이퍼링크" xfId="632" builtinId="8" hidden="1"/>
    <cellStyle name="하이퍼링크" xfId="634" builtinId="8" hidden="1"/>
    <cellStyle name="하이퍼링크" xfId="636" builtinId="8" hidden="1"/>
    <cellStyle name="하이퍼링크" xfId="638" builtinId="8" hidden="1"/>
    <cellStyle name="하이퍼링크" xfId="640" builtinId="8" hidden="1"/>
    <cellStyle name="하이퍼링크" xfId="642" builtinId="8" hidden="1"/>
    <cellStyle name="하이퍼링크" xfId="644" builtinId="8" hidden="1"/>
    <cellStyle name="하이퍼링크" xfId="646" builtinId="8" hidden="1"/>
    <cellStyle name="하이퍼링크" xfId="648" builtinId="8" hidden="1"/>
    <cellStyle name="하이퍼링크" xfId="650" builtinId="8" hidden="1"/>
    <cellStyle name="하이퍼링크" xfId="652" builtinId="8" hidden="1"/>
    <cellStyle name="하이퍼링크" xfId="654" builtinId="8" hidden="1"/>
    <cellStyle name="하이퍼링크" xfId="656" builtinId="8" hidden="1"/>
    <cellStyle name="하이퍼링크" xfId="658" builtinId="8" hidden="1"/>
    <cellStyle name="하이퍼링크" xfId="660" builtinId="8" hidden="1"/>
    <cellStyle name="하이퍼링크" xfId="662" builtinId="8" hidden="1"/>
    <cellStyle name="하이퍼링크" xfId="664" builtinId="8" hidden="1"/>
    <cellStyle name="하이퍼링크" xfId="666" builtinId="8" hidden="1"/>
    <cellStyle name="하이퍼링크" xfId="668" builtinId="8" hidden="1"/>
    <cellStyle name="하이퍼링크" xfId="670" builtinId="8" hidden="1"/>
    <cellStyle name="하이퍼링크" xfId="672" builtinId="8" hidden="1"/>
    <cellStyle name="하이퍼링크" xfId="674" builtinId="8" hidden="1"/>
    <cellStyle name="하이퍼링크" xfId="676" builtinId="8" hidden="1"/>
    <cellStyle name="하이퍼링크" xfId="678" builtinId="8" hidden="1"/>
    <cellStyle name="하이퍼링크" xfId="680" builtinId="8" hidden="1"/>
    <cellStyle name="하이퍼링크" xfId="682" builtinId="8" hidden="1"/>
    <cellStyle name="하이퍼링크" xfId="684" builtinId="8" hidden="1"/>
    <cellStyle name="하이퍼링크" xfId="686" builtinId="8" hidden="1"/>
    <cellStyle name="하이퍼링크" xfId="688" builtinId="8" hidden="1"/>
    <cellStyle name="하이퍼링크" xfId="690" builtinId="8" hidden="1"/>
    <cellStyle name="하이퍼링크" xfId="692" builtinId="8" hidden="1"/>
    <cellStyle name="하이퍼링크" xfId="694" builtinId="8" hidden="1"/>
    <cellStyle name="하이퍼링크" xfId="696" builtinId="8" hidden="1"/>
    <cellStyle name="하이퍼링크" xfId="698" builtinId="8" hidden="1"/>
    <cellStyle name="하이퍼링크" xfId="700" builtinId="8" hidden="1"/>
    <cellStyle name="하이퍼링크" xfId="702" builtinId="8" hidden="1"/>
    <cellStyle name="하이퍼링크" xfId="704" builtinId="8" hidden="1"/>
    <cellStyle name="하이퍼링크" xfId="706" builtinId="8" hidden="1"/>
    <cellStyle name="하이퍼링크" xfId="708" builtinId="8" hidden="1"/>
    <cellStyle name="하이퍼링크" xfId="710" builtinId="8" hidden="1"/>
    <cellStyle name="하이퍼링크" xfId="712" builtinId="8" hidden="1"/>
    <cellStyle name="하이퍼링크" xfId="714" builtinId="8" hidden="1"/>
    <cellStyle name="하이퍼링크" xfId="716" builtinId="8" hidden="1"/>
    <cellStyle name="하이퍼링크" xfId="718" builtinId="8" hidden="1"/>
    <cellStyle name="하이퍼링크" xfId="720" builtinId="8" hidden="1"/>
    <cellStyle name="하이퍼링크" xfId="722" builtinId="8" hidden="1"/>
    <cellStyle name="하이퍼링크" xfId="724" builtinId="8" hidden="1"/>
    <cellStyle name="하이퍼링크" xfId="726" builtinId="8" hidden="1"/>
    <cellStyle name="하이퍼링크" xfId="728" builtinId="8" hidden="1"/>
    <cellStyle name="하이퍼링크" xfId="730" builtinId="8" hidden="1"/>
    <cellStyle name="하이퍼링크" xfId="732" builtinId="8" hidden="1"/>
    <cellStyle name="하이퍼링크" xfId="734" builtinId="8" hidden="1"/>
    <cellStyle name="하이퍼링크" xfId="736" builtinId="8" hidden="1"/>
    <cellStyle name="하이퍼링크" xfId="738" builtinId="8" hidden="1"/>
    <cellStyle name="하이퍼링크" xfId="740" builtinId="8" hidden="1"/>
    <cellStyle name="하이퍼링크" xfId="742" builtinId="8" hidden="1"/>
    <cellStyle name="하이퍼링크" xfId="744" builtinId="8" hidden="1"/>
    <cellStyle name="하이퍼링크" xfId="746" builtinId="8" hidden="1"/>
    <cellStyle name="하이퍼링크" xfId="748" builtinId="8" hidden="1"/>
    <cellStyle name="하이퍼링크" xfId="750" builtinId="8" hidden="1"/>
    <cellStyle name="하이퍼링크" xfId="752" builtinId="8" hidden="1"/>
    <cellStyle name="하이퍼링크" xfId="754" builtinId="8" hidden="1"/>
    <cellStyle name="하이퍼링크" xfId="756" builtinId="8" hidden="1"/>
    <cellStyle name="하이퍼링크" xfId="758" builtinId="8" hidden="1"/>
    <cellStyle name="하이퍼링크" xfId="760" builtinId="8" hidden="1"/>
    <cellStyle name="하이퍼링크" xfId="762" builtinId="8" hidden="1"/>
    <cellStyle name="하이퍼링크" xfId="764" builtinId="8" hidden="1"/>
    <cellStyle name="하이퍼링크" xfId="766" builtinId="8" hidden="1"/>
    <cellStyle name="하이퍼링크" xfId="768" builtinId="8" hidden="1"/>
    <cellStyle name="하이퍼링크" xfId="770" builtinId="8" hidden="1"/>
    <cellStyle name="하이퍼링크" xfId="772" builtinId="8" hidden="1"/>
    <cellStyle name="하이퍼링크" xfId="774" builtinId="8" hidden="1"/>
    <cellStyle name="하이퍼링크" xfId="776" builtinId="8" hidden="1"/>
    <cellStyle name="하이퍼링크" xfId="778" builtinId="8" hidden="1"/>
    <cellStyle name="하이퍼링크" xfId="780" builtinId="8" hidden="1"/>
    <cellStyle name="하이퍼링크" xfId="782" builtinId="8" hidden="1"/>
    <cellStyle name="하이퍼링크" xfId="784" builtinId="8" hidden="1"/>
    <cellStyle name="하이퍼링크" xfId="786" builtinId="8" hidden="1"/>
    <cellStyle name="하이퍼링크" xfId="788" builtinId="8" hidden="1"/>
    <cellStyle name="하이퍼링크" xfId="790" builtinId="8" hidden="1"/>
    <cellStyle name="하이퍼링크" xfId="792" builtinId="8" hidden="1"/>
    <cellStyle name="하이퍼링크" xfId="794" builtinId="8" hidden="1"/>
    <cellStyle name="하이퍼링크" xfId="796" builtinId="8" hidden="1"/>
    <cellStyle name="하이퍼링크" xfId="798" builtinId="8" hidden="1"/>
    <cellStyle name="하이퍼링크" xfId="800" builtinId="8" hidden="1"/>
    <cellStyle name="하이퍼링크" xfId="802" builtinId="8" hidden="1"/>
    <cellStyle name="하이퍼링크" xfId="804" builtinId="8" hidden="1"/>
    <cellStyle name="하이퍼링크" xfId="806" builtinId="8" hidden="1"/>
    <cellStyle name="하이퍼링크" xfId="808" builtinId="8" hidden="1"/>
    <cellStyle name="하이퍼링크" xfId="810" builtinId="8" hidden="1"/>
    <cellStyle name="하이퍼링크" xfId="812" builtinId="8" hidden="1"/>
    <cellStyle name="하이퍼링크" xfId="814" builtinId="8" hidden="1"/>
    <cellStyle name="하이퍼링크" xfId="816" builtinId="8" hidden="1"/>
    <cellStyle name="하이퍼링크" xfId="818" builtinId="8" hidden="1"/>
    <cellStyle name="하이퍼링크" xfId="820" builtinId="8" hidden="1"/>
    <cellStyle name="하이퍼링크" xfId="822" builtinId="8" hidden="1"/>
    <cellStyle name="하이퍼링크" xfId="824" builtinId="8" hidden="1"/>
    <cellStyle name="하이퍼링크" xfId="826" builtinId="8" hidden="1"/>
    <cellStyle name="하이퍼링크" xfId="828" builtinId="8" hidden="1"/>
    <cellStyle name="하이퍼링크" xfId="830" builtinId="8" hidden="1"/>
    <cellStyle name="하이퍼링크" xfId="832" builtinId="8" hidden="1"/>
    <cellStyle name="하이퍼링크" xfId="834" builtinId="8" hidden="1"/>
    <cellStyle name="하이퍼링크" xfId="836" builtinId="8" hidden="1"/>
    <cellStyle name="하이퍼링크" xfId="838" builtinId="8" hidden="1"/>
    <cellStyle name="하이퍼링크" xfId="840" builtinId="8" hidden="1"/>
    <cellStyle name="하이퍼링크" xfId="842" builtinId="8" hidden="1"/>
    <cellStyle name="하이퍼링크" xfId="844" builtinId="8" hidden="1"/>
    <cellStyle name="하이퍼링크" xfId="846" builtinId="8" hidden="1"/>
    <cellStyle name="하이퍼링크" xfId="848" builtinId="8" hidden="1"/>
    <cellStyle name="하이퍼링크" xfId="850" builtinId="8" hidden="1"/>
    <cellStyle name="하이퍼링크" xfId="852" builtinId="8" hidden="1"/>
    <cellStyle name="하이퍼링크" xfId="854" builtinId="8" hidden="1"/>
    <cellStyle name="하이퍼링크" xfId="856" builtinId="8" hidden="1"/>
    <cellStyle name="하이퍼링크" xfId="858" builtinId="8" hidden="1"/>
    <cellStyle name="하이퍼링크" xfId="860" builtinId="8" hidden="1"/>
    <cellStyle name="하이퍼링크" xfId="862" builtinId="8" hidden="1"/>
    <cellStyle name="하이퍼링크" xfId="864" builtinId="8" hidden="1"/>
    <cellStyle name="하이퍼링크" xfId="866" builtinId="8" hidden="1"/>
    <cellStyle name="하이퍼링크" xfId="868" builtinId="8" hidden="1"/>
    <cellStyle name="하이퍼링크" xfId="870" builtinId="8" hidden="1"/>
    <cellStyle name="하이퍼링크" xfId="872" builtinId="8" hidden="1"/>
    <cellStyle name="하이퍼링크" xfId="874" builtinId="8" hidden="1"/>
    <cellStyle name="하이퍼링크" xfId="876" builtinId="8" hidden="1"/>
    <cellStyle name="하이퍼링크" xfId="878" builtinId="8" hidden="1"/>
    <cellStyle name="하이퍼링크" xfId="880" builtinId="8" hidden="1"/>
    <cellStyle name="하이퍼링크" xfId="882" builtinId="8" hidden="1"/>
    <cellStyle name="하이퍼링크" xfId="884" builtinId="8" hidden="1"/>
    <cellStyle name="하이퍼링크" xfId="886" builtinId="8" hidden="1"/>
    <cellStyle name="하이퍼링크" xfId="888" builtinId="8" hidden="1"/>
    <cellStyle name="하이퍼링크" xfId="890" builtinId="8" hidden="1"/>
    <cellStyle name="하이퍼링크" xfId="892" builtinId="8" hidden="1"/>
    <cellStyle name="하이퍼링크" xfId="894" builtinId="8" hidden="1"/>
    <cellStyle name="하이퍼링크" xfId="896" builtinId="8" hidden="1"/>
    <cellStyle name="하이퍼링크" xfId="898" builtinId="8" hidden="1"/>
    <cellStyle name="하이퍼링크" xfId="900" builtinId="8" hidden="1"/>
    <cellStyle name="하이퍼링크" xfId="902" builtinId="8" hidden="1"/>
    <cellStyle name="하이퍼링크" xfId="904" builtinId="8" hidden="1"/>
    <cellStyle name="하이퍼링크" xfId="906" builtinId="8" hidden="1"/>
    <cellStyle name="하이퍼링크" xfId="908" builtinId="8" hidden="1"/>
    <cellStyle name="하이퍼링크" xfId="910" builtinId="8" hidden="1"/>
    <cellStyle name="하이퍼링크" xfId="912" builtinId="8" hidden="1"/>
    <cellStyle name="하이퍼링크" xfId="914" builtinId="8" hidden="1"/>
    <cellStyle name="하이퍼링크" xfId="916" builtinId="8" hidden="1"/>
    <cellStyle name="하이퍼링크" xfId="918" builtinId="8" hidden="1"/>
    <cellStyle name="하이퍼링크" xfId="920" builtinId="8" hidden="1"/>
    <cellStyle name="하이퍼링크" xfId="922" builtinId="8" hidden="1"/>
    <cellStyle name="하이퍼링크" xfId="924" builtinId="8" hidden="1"/>
    <cellStyle name="하이퍼링크" xfId="926" builtinId="8" hidden="1"/>
    <cellStyle name="하이퍼링크" xfId="928" builtinId="8" hidden="1"/>
    <cellStyle name="하이퍼링크" xfId="930" builtinId="8" hidden="1"/>
    <cellStyle name="하이퍼링크" xfId="932" builtinId="8" hidden="1"/>
    <cellStyle name="하이퍼링크" xfId="934" builtinId="8" hidden="1"/>
    <cellStyle name="하이퍼링크" xfId="936" builtinId="8" hidden="1"/>
    <cellStyle name="하이퍼링크" xfId="938" builtinId="8" hidden="1"/>
    <cellStyle name="하이퍼링크" xfId="940" builtinId="8" hidden="1"/>
    <cellStyle name="하이퍼링크" xfId="942" builtinId="8" hidden="1"/>
    <cellStyle name="하이퍼링크" xfId="944" builtinId="8" hidden="1"/>
    <cellStyle name="하이퍼링크" xfId="946" builtinId="8" hidden="1"/>
    <cellStyle name="하이퍼링크" xfId="948" builtinId="8" hidden="1"/>
    <cellStyle name="하이퍼링크" xfId="950" builtinId="8" hidden="1"/>
    <cellStyle name="하이퍼링크" xfId="952" builtinId="8" hidden="1"/>
    <cellStyle name="하이퍼링크" xfId="954" builtinId="8" hidden="1"/>
    <cellStyle name="하이퍼링크" xfId="956" builtinId="8" hidden="1"/>
    <cellStyle name="하이퍼링크" xfId="958" builtinId="8" hidden="1"/>
    <cellStyle name="하이퍼링크" xfId="960" builtinId="8" hidden="1"/>
    <cellStyle name="하이퍼링크" xfId="962" builtinId="8" hidden="1"/>
    <cellStyle name="하이퍼링크" xfId="964" builtinId="8" hidden="1"/>
    <cellStyle name="하이퍼링크" xfId="966" builtinId="8" hidden="1"/>
    <cellStyle name="하이퍼링크" xfId="968" builtinId="8" hidden="1"/>
    <cellStyle name="하이퍼링크" xfId="970" builtinId="8" hidden="1"/>
    <cellStyle name="하이퍼링크" xfId="972" builtinId="8" hidden="1"/>
    <cellStyle name="하이퍼링크" xfId="974" builtinId="8" hidden="1"/>
    <cellStyle name="하이퍼링크" xfId="976" builtinId="8" hidden="1"/>
    <cellStyle name="하이퍼링크" xfId="978" builtinId="8" hidden="1"/>
    <cellStyle name="하이퍼링크" xfId="980" builtinId="8" hidden="1"/>
    <cellStyle name="하이퍼링크" xfId="982" builtinId="8" hidden="1"/>
    <cellStyle name="하이퍼링크" xfId="984" builtinId="8" hidden="1"/>
    <cellStyle name="하이퍼링크" xfId="986" builtinId="8" hidden="1"/>
    <cellStyle name="하이퍼링크" xfId="988" builtinId="8" hidden="1"/>
    <cellStyle name="하이퍼링크" xfId="990" builtinId="8" hidden="1"/>
    <cellStyle name="하이퍼링크" xfId="992" builtinId="8" hidden="1"/>
    <cellStyle name="하이퍼링크" xfId="994" builtinId="8" hidden="1"/>
    <cellStyle name="하이퍼링크" xfId="996" builtinId="8" hidden="1"/>
    <cellStyle name="하이퍼링크" xfId="998" builtinId="8" hidden="1"/>
    <cellStyle name="하이퍼링크" xfId="1000" builtinId="8" hidden="1"/>
    <cellStyle name="하이퍼링크" xfId="1002" builtinId="8" hidden="1"/>
    <cellStyle name="하이퍼링크" xfId="1004" builtinId="8" hidden="1"/>
    <cellStyle name="하이퍼링크" xfId="1006" builtinId="8" hidden="1"/>
    <cellStyle name="하이퍼링크" xfId="1008" builtinId="8" hidden="1"/>
    <cellStyle name="하이퍼링크" xfId="1010" builtinId="8" hidden="1"/>
    <cellStyle name="하이퍼링크" xfId="1012" builtinId="8" hidden="1"/>
    <cellStyle name="하이퍼링크" xfId="1014" builtinId="8" hidden="1"/>
    <cellStyle name="하이퍼링크" xfId="1016" builtinId="8" hidden="1"/>
    <cellStyle name="하이퍼링크" xfId="1018" builtinId="8" hidden="1"/>
    <cellStyle name="하이퍼링크" xfId="1020" builtinId="8" hidden="1"/>
    <cellStyle name="하이퍼링크" xfId="1022" builtinId="8" hidden="1"/>
    <cellStyle name="하이퍼링크" xfId="1024" builtinId="8" hidden="1"/>
    <cellStyle name="하이퍼링크" xfId="1026" builtinId="8" hidden="1"/>
    <cellStyle name="하이퍼링크" xfId="1028" builtinId="8" hidden="1"/>
    <cellStyle name="하이퍼링크" xfId="1030" builtinId="8" hidden="1"/>
    <cellStyle name="하이퍼링크" xfId="1032" builtinId="8" hidden="1"/>
    <cellStyle name="하이퍼링크" xfId="1034" builtinId="8" hidden="1"/>
    <cellStyle name="하이퍼링크" xfId="1036" builtinId="8" hidden="1"/>
    <cellStyle name="하이퍼링크" xfId="1038" builtinId="8" hidden="1"/>
    <cellStyle name="하이퍼링크" xfId="1040" builtinId="8" hidden="1"/>
    <cellStyle name="하이퍼링크" xfId="1042" builtinId="8" hidden="1"/>
    <cellStyle name="하이퍼링크" xfId="1044" builtinId="8" hidden="1"/>
    <cellStyle name="하이퍼링크" xfId="1046" builtinId="8" hidden="1"/>
    <cellStyle name="하이퍼링크" xfId="1048" builtinId="8" hidden="1"/>
    <cellStyle name="하이퍼링크" xfId="1050" builtinId="8" hidden="1"/>
    <cellStyle name="하이퍼링크" xfId="1052" builtinId="8" hidden="1"/>
    <cellStyle name="하이퍼링크" xfId="1054" builtinId="8" hidden="1"/>
    <cellStyle name="하이퍼링크" xfId="1056" builtinId="8" hidden="1"/>
    <cellStyle name="하이퍼링크" xfId="1058" builtinId="8" hidden="1"/>
    <cellStyle name="하이퍼링크" xfId="1060" builtinId="8" hidden="1"/>
    <cellStyle name="하이퍼링크" xfId="1062" builtinId="8" hidden="1"/>
    <cellStyle name="하이퍼링크" xfId="1064" builtinId="8" hidden="1"/>
    <cellStyle name="하이퍼링크" xfId="1066" builtinId="8" hidden="1"/>
    <cellStyle name="하이퍼링크" xfId="1068" builtinId="8" hidden="1"/>
    <cellStyle name="하이퍼링크" xfId="1070" builtinId="8" hidden="1"/>
    <cellStyle name="하이퍼링크" xfId="1072" builtinId="8" hidden="1"/>
    <cellStyle name="하이퍼링크" xfId="1074" builtinId="8" hidden="1"/>
    <cellStyle name="하이퍼링크" xfId="1076" builtinId="8" hidden="1"/>
    <cellStyle name="하이퍼링크" xfId="1078" builtinId="8" hidden="1"/>
    <cellStyle name="하이퍼링크" xfId="1080" builtinId="8" hidden="1"/>
    <cellStyle name="하이퍼링크" xfId="1082" builtinId="8" hidden="1"/>
    <cellStyle name="하이퍼링크" xfId="1084" builtinId="8" hidden="1"/>
    <cellStyle name="하이퍼링크" xfId="1086" builtinId="8" hidden="1"/>
    <cellStyle name="하이퍼링크" xfId="1088" builtinId="8" hidden="1"/>
    <cellStyle name="하이퍼링크" xfId="1090" builtinId="8" hidden="1"/>
    <cellStyle name="하이퍼링크" xfId="1092" builtinId="8" hidden="1"/>
    <cellStyle name="하이퍼링크" xfId="1094" builtinId="8" hidden="1"/>
    <cellStyle name="하이퍼링크" xfId="1096" builtinId="8" hidden="1"/>
    <cellStyle name="하이퍼링크" xfId="1098" builtinId="8" hidden="1"/>
    <cellStyle name="하이퍼링크" xfId="1100" builtinId="8" hidden="1"/>
    <cellStyle name="하이퍼링크" xfId="1102" builtinId="8" hidden="1"/>
    <cellStyle name="하이퍼링크" xfId="1104" builtinId="8" hidden="1"/>
    <cellStyle name="하이퍼링크" xfId="1106" builtinId="8" hidden="1"/>
    <cellStyle name="하이퍼링크" xfId="1108" builtinId="8" hidden="1"/>
    <cellStyle name="하이퍼링크" xfId="1110" builtinId="8" hidden="1"/>
    <cellStyle name="하이퍼링크" xfId="1112" builtinId="8" hidden="1"/>
    <cellStyle name="하이퍼링크" xfId="1114" builtinId="8" hidden="1"/>
    <cellStyle name="하이퍼링크" xfId="1116" builtinId="8" hidden="1"/>
    <cellStyle name="하이퍼링크" xfId="1118" builtinId="8" hidden="1"/>
    <cellStyle name="하이퍼링크" xfId="1120" builtinId="8" hidden="1"/>
    <cellStyle name="하이퍼링크" xfId="1122" builtinId="8" hidden="1"/>
    <cellStyle name="하이퍼링크" xfId="1124" builtinId="8" hidden="1"/>
    <cellStyle name="하이퍼링크" xfId="1126" builtinId="8" hidden="1"/>
    <cellStyle name="하이퍼링크" xfId="1128" builtinId="8" hidden="1"/>
    <cellStyle name="하이퍼링크" xfId="1130" builtinId="8" hidden="1"/>
    <cellStyle name="하이퍼링크" xfId="1132" builtinId="8" hidden="1"/>
    <cellStyle name="하이퍼링크" xfId="1134" builtinId="8" hidden="1"/>
    <cellStyle name="하이퍼링크" xfId="1136" builtinId="8" hidden="1"/>
    <cellStyle name="하이퍼링크" xfId="1138" builtinId="8" hidden="1"/>
    <cellStyle name="하이퍼링크" xfId="1140" builtinId="8" hidden="1"/>
    <cellStyle name="하이퍼링크" xfId="1142" builtinId="8" hidden="1"/>
    <cellStyle name="하이퍼링크" xfId="1144" builtinId="8" hidden="1"/>
    <cellStyle name="하이퍼링크" xfId="1146" builtinId="8" hidden="1"/>
    <cellStyle name="하이퍼링크" xfId="1148" builtinId="8" hidden="1"/>
    <cellStyle name="하이퍼링크" xfId="1150" builtinId="8" hidden="1"/>
    <cellStyle name="하이퍼링크" xfId="1152" builtinId="8" hidden="1"/>
    <cellStyle name="하이퍼링크" xfId="1154" builtinId="8" hidden="1"/>
    <cellStyle name="하이퍼링크" xfId="1156" builtinId="8" hidden="1"/>
    <cellStyle name="하이퍼링크" xfId="1158" builtinId="8" hidden="1"/>
    <cellStyle name="하이퍼링크" xfId="1160" builtinId="8" hidden="1"/>
    <cellStyle name="하이퍼링크" xfId="1162" builtinId="8" hidden="1"/>
    <cellStyle name="하이퍼링크" xfId="1164" builtinId="8" hidden="1"/>
    <cellStyle name="하이퍼링크" xfId="1166" builtinId="8" hidden="1"/>
    <cellStyle name="하이퍼링크" xfId="1168" builtinId="8" hidden="1"/>
    <cellStyle name="하이퍼링크" xfId="1170" builtinId="8" hidden="1"/>
    <cellStyle name="하이퍼링크" xfId="1172" builtinId="8" hidden="1"/>
    <cellStyle name="하이퍼링크" xfId="1174" builtinId="8" hidden="1"/>
    <cellStyle name="하이퍼링크" xfId="1176" builtinId="8" hidden="1"/>
    <cellStyle name="하이퍼링크" xfId="1178" builtinId="8" hidden="1"/>
    <cellStyle name="하이퍼링크" xfId="1180" builtinId="8" hidden="1"/>
    <cellStyle name="하이퍼링크" xfId="1182" builtinId="8" hidden="1"/>
    <cellStyle name="하이퍼링크" xfId="1184" builtinId="8" hidden="1"/>
    <cellStyle name="하이퍼링크" xfId="1186" builtinId="8" hidden="1"/>
    <cellStyle name="하이퍼링크" xfId="1188" builtinId="8" hidden="1"/>
    <cellStyle name="하이퍼링크" xfId="1190" builtinId="8" hidden="1"/>
    <cellStyle name="하이퍼링크" xfId="1192" builtinId="8" hidden="1"/>
    <cellStyle name="하이퍼링크" xfId="1194" builtinId="8" hidden="1"/>
    <cellStyle name="하이퍼링크" xfId="1196" builtinId="8" hidden="1"/>
    <cellStyle name="하이퍼링크" xfId="1198" builtinId="8" hidden="1"/>
    <cellStyle name="하이퍼링크" xfId="1200" builtinId="8" hidden="1"/>
    <cellStyle name="하이퍼링크" xfId="1202" builtinId="8" hidden="1"/>
    <cellStyle name="하이퍼링크" xfId="1204" builtinId="8" hidden="1"/>
    <cellStyle name="하이퍼링크" xfId="1206" builtinId="8" hidden="1"/>
    <cellStyle name="하이퍼링크" xfId="1208" builtinId="8" hidden="1"/>
    <cellStyle name="하이퍼링크" xfId="1210" builtinId="8" hidden="1"/>
    <cellStyle name="하이퍼링크" xfId="1212" builtinId="8" hidden="1"/>
    <cellStyle name="하이퍼링크" xfId="1214" builtinId="8" hidden="1"/>
    <cellStyle name="하이퍼링크" xfId="1216" builtinId="8" hidden="1"/>
    <cellStyle name="하이퍼링크" xfId="1218" builtinId="8" hidden="1"/>
    <cellStyle name="하이퍼링크" xfId="1220" builtinId="8" hidden="1"/>
    <cellStyle name="하이퍼링크" xfId="1222" builtinId="8" hidden="1"/>
    <cellStyle name="하이퍼링크" xfId="1224" builtinId="8" hidden="1"/>
    <cellStyle name="하이퍼링크" xfId="1226" builtinId="8" hidden="1"/>
    <cellStyle name="하이퍼링크" xfId="1228" builtinId="8" hidden="1"/>
    <cellStyle name="하이퍼링크" xfId="1230" builtinId="8" hidden="1"/>
    <cellStyle name="하이퍼링크" xfId="1232" builtinId="8" hidden="1"/>
    <cellStyle name="하이퍼링크" xfId="1234" builtinId="8" hidden="1"/>
    <cellStyle name="하이퍼링크" xfId="1236" builtinId="8" hidden="1"/>
    <cellStyle name="하이퍼링크" xfId="1238" builtinId="8" hidden="1"/>
    <cellStyle name="하이퍼링크" xfId="1240" builtinId="8" hidden="1"/>
    <cellStyle name="하이퍼링크" xfId="1242" builtinId="8" hidden="1"/>
    <cellStyle name="하이퍼링크" xfId="1244" builtinId="8" hidden="1"/>
    <cellStyle name="하이퍼링크" xfId="1246" builtinId="8" hidden="1"/>
    <cellStyle name="하이퍼링크" xfId="1248" builtinId="8" hidden="1"/>
    <cellStyle name="하이퍼링크" xfId="1250" builtinId="8" hidden="1"/>
    <cellStyle name="하이퍼링크" xfId="1252" builtinId="8" hidden="1"/>
    <cellStyle name="하이퍼링크" xfId="1254" builtinId="8" hidden="1"/>
    <cellStyle name="하이퍼링크" xfId="1256" builtinId="8" hidden="1"/>
    <cellStyle name="하이퍼링크" xfId="1258" builtinId="8" hidden="1"/>
    <cellStyle name="하이퍼링크" xfId="1260" builtinId="8" hidden="1"/>
    <cellStyle name="하이퍼링크" xfId="1262" builtinId="8" hidden="1"/>
    <cellStyle name="하이퍼링크" xfId="1264" builtinId="8" hidden="1"/>
    <cellStyle name="하이퍼링크" xfId="1266" builtinId="8" hidden="1"/>
    <cellStyle name="하이퍼링크" xfId="1268" builtinId="8" hidden="1"/>
    <cellStyle name="하이퍼링크" xfId="1270" builtinId="8" hidden="1"/>
    <cellStyle name="하이퍼링크" xfId="1272" builtinId="8" hidden="1"/>
    <cellStyle name="하이퍼링크" xfId="1274" builtinId="8" hidden="1"/>
    <cellStyle name="하이퍼링크" xfId="1276" builtinId="8" hidden="1"/>
    <cellStyle name="하이퍼링크" xfId="1278" builtinId="8" hidden="1"/>
    <cellStyle name="하이퍼링크" xfId="1280" builtinId="8" hidden="1"/>
    <cellStyle name="하이퍼링크" xfId="1282" builtinId="8" hidden="1"/>
    <cellStyle name="하이퍼링크" xfId="1284" builtinId="8" hidden="1"/>
    <cellStyle name="하이퍼링크" xfId="1286" builtinId="8" hidden="1"/>
    <cellStyle name="하이퍼링크" xfId="1288" builtinId="8" hidden="1"/>
    <cellStyle name="하이퍼링크" xfId="1290" builtinId="8" hidden="1"/>
    <cellStyle name="하이퍼링크" xfId="1292" builtinId="8" hidden="1"/>
    <cellStyle name="하이퍼링크" xfId="1294" builtinId="8" hidden="1"/>
    <cellStyle name="하이퍼링크" xfId="1296" builtinId="8" hidden="1"/>
    <cellStyle name="하이퍼링크" xfId="1298" builtinId="8" hidden="1"/>
    <cellStyle name="하이퍼링크" xfId="1300" builtinId="8" hidden="1"/>
    <cellStyle name="하이퍼링크" xfId="1302" builtinId="8" hidden="1"/>
    <cellStyle name="하이퍼링크" xfId="1304" builtinId="8" hidden="1"/>
    <cellStyle name="하이퍼링크" xfId="1306" builtinId="8" hidden="1"/>
    <cellStyle name="하이퍼링크" xfId="1308" builtinId="8" hidden="1"/>
    <cellStyle name="하이퍼링크" xfId="1310" builtinId="8" hidden="1"/>
    <cellStyle name="하이퍼링크" xfId="1312" builtinId="8" hidden="1"/>
    <cellStyle name="하이퍼링크" xfId="1314" builtinId="8" hidden="1"/>
    <cellStyle name="하이퍼링크" xfId="1316" builtinId="8" hidden="1"/>
    <cellStyle name="하이퍼링크" xfId="1318" builtinId="8" hidden="1"/>
    <cellStyle name="하이퍼링크" xfId="1320" builtinId="8" hidden="1"/>
    <cellStyle name="하이퍼링크" xfId="1322" builtinId="8" hidden="1"/>
    <cellStyle name="하이퍼링크" xfId="1324" builtinId="8" hidden="1"/>
    <cellStyle name="하이퍼링크" xfId="1326" builtinId="8" hidden="1"/>
    <cellStyle name="하이퍼링크" xfId="1328" builtinId="8" hidden="1"/>
    <cellStyle name="하이퍼링크" xfId="1330" builtinId="8" hidden="1"/>
    <cellStyle name="하이퍼링크" xfId="1332" builtinId="8" hidden="1"/>
    <cellStyle name="하이퍼링크" xfId="1334" builtinId="8" hidden="1"/>
    <cellStyle name="하이퍼링크" xfId="1336" builtinId="8" hidden="1"/>
    <cellStyle name="하이퍼링크" xfId="1338" builtinId="8" hidden="1"/>
    <cellStyle name="하이퍼링크" xfId="1340" builtinId="8" hidden="1"/>
    <cellStyle name="하이퍼링크" xfId="1342" builtinId="8" hidden="1"/>
    <cellStyle name="하이퍼링크" xfId="1344" builtinId="8" hidden="1"/>
    <cellStyle name="하이퍼링크" xfId="1346" builtinId="8" hidden="1"/>
    <cellStyle name="하이퍼링크" xfId="1348" builtinId="8" hidden="1"/>
    <cellStyle name="하이퍼링크" xfId="1350" builtinId="8" hidden="1"/>
    <cellStyle name="하이퍼링크" xfId="1352" builtinId="8" hidden="1"/>
    <cellStyle name="하이퍼링크" xfId="1354" builtinId="8" hidden="1"/>
    <cellStyle name="하이퍼링크" xfId="1356" builtinId="8" hidden="1"/>
    <cellStyle name="하이퍼링크" xfId="1358" builtinId="8" hidden="1"/>
    <cellStyle name="하이퍼링크" xfId="1360" builtinId="8" hidden="1"/>
    <cellStyle name="하이퍼링크" xfId="1362" builtinId="8" hidden="1"/>
    <cellStyle name="하이퍼링크" xfId="1364" builtinId="8" hidden="1"/>
    <cellStyle name="하이퍼링크" xfId="1366" builtinId="8" hidden="1"/>
    <cellStyle name="하이퍼링크" xfId="1368" builtinId="8" hidden="1"/>
    <cellStyle name="하이퍼링크" xfId="1370" builtinId="8" hidden="1"/>
    <cellStyle name="하이퍼링크" xfId="1372" builtinId="8" hidden="1"/>
    <cellStyle name="하이퍼링크" xfId="1374" builtinId="8" hidden="1"/>
    <cellStyle name="하이퍼링크" xfId="1376" builtinId="8" hidden="1"/>
    <cellStyle name="하이퍼링크" xfId="1378" builtinId="8" hidden="1"/>
    <cellStyle name="하이퍼링크" xfId="1380" builtinId="8" hidden="1"/>
    <cellStyle name="하이퍼링크" xfId="1382" builtinId="8" hidden="1"/>
    <cellStyle name="하이퍼링크" xfId="1384" builtinId="8" hidden="1"/>
    <cellStyle name="하이퍼링크" xfId="1386" builtinId="8" hidden="1"/>
    <cellStyle name="하이퍼링크" xfId="1388" builtinId="8" hidden="1"/>
    <cellStyle name="하이퍼링크" xfId="1390" builtinId="8" hidden="1"/>
    <cellStyle name="하이퍼링크" xfId="1392" builtinId="8" hidden="1"/>
    <cellStyle name="하이퍼링크" xfId="1394" builtinId="8" hidden="1"/>
    <cellStyle name="하이퍼링크" xfId="1396" builtinId="8" hidden="1"/>
    <cellStyle name="하이퍼링크" xfId="1398" builtinId="8" hidden="1"/>
    <cellStyle name="하이퍼링크" xfId="1400" builtinId="8" hidden="1"/>
    <cellStyle name="하이퍼링크" xfId="1402" builtinId="8" hidden="1"/>
    <cellStyle name="하이퍼링크" xfId="1404" builtinId="8" hidden="1"/>
    <cellStyle name="하이퍼링크" xfId="1406" builtinId="8" hidden="1"/>
    <cellStyle name="하이퍼링크" xfId="1408" builtinId="8" hidden="1"/>
    <cellStyle name="하이퍼링크" xfId="1410" builtinId="8" hidden="1"/>
    <cellStyle name="하이퍼링크" xfId="1412" builtinId="8" hidden="1"/>
    <cellStyle name="하이퍼링크" xfId="1414" builtinId="8" hidden="1"/>
    <cellStyle name="하이퍼링크" xfId="1416" builtinId="8" hidden="1"/>
    <cellStyle name="하이퍼링크" xfId="1418" builtinId="8" hidden="1"/>
    <cellStyle name="하이퍼링크" xfId="1420" builtinId="8" hidden="1"/>
    <cellStyle name="하이퍼링크" xfId="1422" builtinId="8" hidden="1"/>
    <cellStyle name="하이퍼링크" xfId="1424" builtinId="8" hidden="1"/>
    <cellStyle name="하이퍼링크" xfId="1426" builtinId="8" hidden="1"/>
    <cellStyle name="하이퍼링크" xfId="1428" builtinId="8" hidden="1"/>
    <cellStyle name="하이퍼링크" xfId="1430" builtinId="8" hidden="1"/>
    <cellStyle name="하이퍼링크" xfId="1432" builtinId="8" hidden="1"/>
    <cellStyle name="하이퍼링크" xfId="1434" builtinId="8" hidden="1"/>
    <cellStyle name="하이퍼링크" xfId="1436" builtinId="8" hidden="1"/>
    <cellStyle name="하이퍼링크" xfId="1438" builtinId="8" hidden="1"/>
    <cellStyle name="하이퍼링크" xfId="1440" builtinId="8" hidden="1"/>
    <cellStyle name="하이퍼링크" xfId="1442" builtinId="8" hidden="1"/>
    <cellStyle name="하이퍼링크" xfId="1444" builtinId="8" hidden="1"/>
    <cellStyle name="하이퍼링크" xfId="1446" builtinId="8" hidden="1"/>
    <cellStyle name="하이퍼링크" xfId="1448" builtinId="8" hidden="1"/>
    <cellStyle name="하이퍼링크" xfId="1450" builtinId="8" hidden="1"/>
    <cellStyle name="하이퍼링크" xfId="1452" builtinId="8" hidden="1"/>
    <cellStyle name="하이퍼링크" xfId="1454" builtinId="8" hidden="1"/>
    <cellStyle name="하이퍼링크" xfId="1456" builtinId="8" hidden="1"/>
    <cellStyle name="하이퍼링크" xfId="1458" builtinId="8" hidden="1"/>
    <cellStyle name="하이퍼링크" xfId="1460" builtinId="8" hidden="1"/>
    <cellStyle name="하이퍼링크" xfId="1462" builtinId="8" hidden="1"/>
    <cellStyle name="하이퍼링크" xfId="1464" builtinId="8" hidden="1"/>
    <cellStyle name="하이퍼링크" xfId="1466" builtinId="8" hidden="1"/>
    <cellStyle name="하이퍼링크" xfId="1468" builtinId="8" hidden="1"/>
    <cellStyle name="하이퍼링크" xfId="1470" builtinId="8" hidden="1"/>
    <cellStyle name="하이퍼링크" xfId="1472" builtinId="8" hidden="1"/>
    <cellStyle name="하이퍼링크" xfId="1474" builtinId="8" hidden="1"/>
    <cellStyle name="하이퍼링크" xfId="1476" builtinId="8" hidden="1"/>
    <cellStyle name="하이퍼링크" xfId="1478" builtinId="8" hidden="1"/>
    <cellStyle name="하이퍼링크" xfId="1480" builtinId="8" hidden="1"/>
    <cellStyle name="하이퍼링크" xfId="1482" builtinId="8" hidden="1"/>
    <cellStyle name="하이퍼링크" xfId="1484" builtinId="8" hidden="1"/>
    <cellStyle name="하이퍼링크" xfId="1486" builtinId="8" hidden="1"/>
    <cellStyle name="하이퍼링크" xfId="1488" builtinId="8" hidden="1"/>
    <cellStyle name="하이퍼링크" xfId="1490" builtinId="8" hidden="1"/>
    <cellStyle name="하이퍼링크" xfId="1492" builtinId="8" hidden="1"/>
    <cellStyle name="하이퍼링크" xfId="1494" builtinId="8" hidden="1"/>
    <cellStyle name="하이퍼링크" xfId="1496" builtinId="8" hidden="1"/>
    <cellStyle name="하이퍼링크" xfId="1498" builtinId="8" hidden="1"/>
    <cellStyle name="하이퍼링크" xfId="1500" builtinId="8" hidden="1"/>
    <cellStyle name="하이퍼링크" xfId="1502" builtinId="8" hidden="1"/>
    <cellStyle name="하이퍼링크" xfId="1504" builtinId="8" hidden="1"/>
    <cellStyle name="하이퍼링크" xfId="1506" builtinId="8" hidden="1"/>
    <cellStyle name="하이퍼링크" xfId="1508" builtinId="8" hidden="1"/>
    <cellStyle name="하이퍼링크" xfId="1510" builtinId="8" hidden="1"/>
    <cellStyle name="하이퍼링크" xfId="1512" builtinId="8" hidden="1"/>
    <cellStyle name="하이퍼링크" xfId="1514" builtinId="8" hidden="1"/>
    <cellStyle name="하이퍼링크" xfId="1516" builtinId="8" hidden="1"/>
    <cellStyle name="하이퍼링크" xfId="1518" builtinId="8" hidden="1"/>
    <cellStyle name="하이퍼링크" xfId="1520" builtinId="8" hidden="1"/>
    <cellStyle name="하이퍼링크" xfId="1522" builtinId="8" hidden="1"/>
    <cellStyle name="하이퍼링크" xfId="1524" builtinId="8" hidden="1"/>
    <cellStyle name="하이퍼링크" xfId="1526" builtinId="8" hidden="1"/>
    <cellStyle name="하이퍼링크" xfId="1528" builtinId="8" hidden="1"/>
    <cellStyle name="하이퍼링크" xfId="1530" builtinId="8" hidden="1"/>
    <cellStyle name="하이퍼링크" xfId="1532" builtinId="8" hidden="1"/>
    <cellStyle name="하이퍼링크" xfId="1534" builtinId="8" hidden="1"/>
    <cellStyle name="하이퍼링크" xfId="1536" builtinId="8" hidden="1"/>
    <cellStyle name="하이퍼링크" xfId="1538" builtinId="8" hidden="1"/>
    <cellStyle name="하이퍼링크" xfId="1540" builtinId="8" hidden="1"/>
    <cellStyle name="하이퍼링크" xfId="1542" builtinId="8" hidden="1"/>
    <cellStyle name="하이퍼링크" xfId="1544" builtinId="8" hidden="1"/>
    <cellStyle name="하이퍼링크" xfId="1546" builtinId="8" hidden="1"/>
    <cellStyle name="하이퍼링크" xfId="1548" builtinId="8" hidden="1"/>
    <cellStyle name="하이퍼링크" xfId="1550" builtinId="8" hidden="1"/>
    <cellStyle name="하이퍼링크" xfId="1552" builtinId="8" hidden="1"/>
    <cellStyle name="하이퍼링크" xfId="1554" builtinId="8" hidden="1"/>
    <cellStyle name="하이퍼링크" xfId="1556" builtinId="8" hidden="1"/>
    <cellStyle name="하이퍼링크" xfId="1558" builtinId="8" hidden="1"/>
    <cellStyle name="하이퍼링크" xfId="1560" builtinId="8" hidden="1"/>
    <cellStyle name="하이퍼링크" xfId="1562" builtinId="8" hidden="1"/>
    <cellStyle name="하이퍼링크" xfId="1564" builtinId="8" hidden="1"/>
    <cellStyle name="하이퍼링크" xfId="1566" builtinId="8" hidden="1"/>
    <cellStyle name="하이퍼링크" xfId="1568" builtinId="8" hidden="1"/>
    <cellStyle name="하이퍼링크" xfId="1570" builtinId="8" hidden="1"/>
    <cellStyle name="하이퍼링크" xfId="1572" builtinId="8" hidden="1"/>
    <cellStyle name="하이퍼링크" xfId="1574" builtinId="8" hidden="1"/>
    <cellStyle name="하이퍼링크" xfId="1576" builtinId="8" hidden="1"/>
    <cellStyle name="하이퍼링크" xfId="1578" builtinId="8" hidden="1"/>
    <cellStyle name="하이퍼링크" xfId="1580" builtinId="8" hidden="1"/>
    <cellStyle name="하이퍼링크" xfId="1582" builtinId="8" hidden="1"/>
    <cellStyle name="하이퍼링크" xfId="1584" builtinId="8" hidden="1"/>
    <cellStyle name="하이퍼링크" xfId="1586" builtinId="8" hidden="1"/>
    <cellStyle name="하이퍼링크" xfId="1588" builtinId="8" hidden="1"/>
    <cellStyle name="하이퍼링크" xfId="1590" builtinId="8" hidden="1"/>
    <cellStyle name="하이퍼링크" xfId="1592" builtinId="8" hidden="1"/>
    <cellStyle name="하이퍼링크" xfId="1594" builtinId="8" hidden="1"/>
    <cellStyle name="하이퍼링크" xfId="1596" builtinId="8" hidden="1"/>
    <cellStyle name="하이퍼링크" xfId="1598" builtinId="8" hidden="1"/>
    <cellStyle name="하이퍼링크" xfId="1600" builtinId="8" hidden="1"/>
    <cellStyle name="하이퍼링크" xfId="1602" builtinId="8" hidden="1"/>
    <cellStyle name="하이퍼링크" xfId="1604" builtinId="8" hidden="1"/>
    <cellStyle name="하이퍼링크" xfId="1606" builtinId="8" hidden="1"/>
    <cellStyle name="하이퍼링크" xfId="1608" builtinId="8" hidden="1"/>
    <cellStyle name="하이퍼링크" xfId="1610" builtinId="8" hidden="1"/>
    <cellStyle name="하이퍼링크" xfId="1612" builtinId="8" hidden="1"/>
    <cellStyle name="하이퍼링크" xfId="1614" builtinId="8" hidden="1"/>
    <cellStyle name="하이퍼링크" xfId="1616" builtinId="8" hidden="1"/>
    <cellStyle name="하이퍼링크" xfId="1618" builtinId="8" hidden="1"/>
    <cellStyle name="하이퍼링크" xfId="1620" builtinId="8" hidden="1"/>
    <cellStyle name="하이퍼링크" xfId="1622" builtinId="8" hidden="1"/>
    <cellStyle name="하이퍼링크" xfId="1624" builtinId="8" hidden="1"/>
    <cellStyle name="하이퍼링크" xfId="1626" builtinId="8" hidden="1"/>
    <cellStyle name="하이퍼링크" xfId="1628" builtinId="8" hidden="1"/>
    <cellStyle name="하이퍼링크" xfId="1630" builtinId="8" hidden="1"/>
    <cellStyle name="하이퍼링크" xfId="1632" builtinId="8" hidden="1"/>
    <cellStyle name="하이퍼링크" xfId="1634" builtinId="8" hidden="1"/>
    <cellStyle name="하이퍼링크" xfId="1636" builtinId="8" hidden="1"/>
    <cellStyle name="하이퍼링크" xfId="1638" builtinId="8" hidden="1"/>
    <cellStyle name="하이퍼링크" xfId="1640" builtinId="8" hidden="1"/>
    <cellStyle name="하이퍼링크" xfId="1642" builtinId="8" hidden="1"/>
    <cellStyle name="하이퍼링크" xfId="1644" builtinId="8" hidden="1"/>
    <cellStyle name="하이퍼링크" xfId="1646" builtinId="8" hidden="1"/>
    <cellStyle name="하이퍼링크" xfId="1648" builtinId="8" hidden="1"/>
    <cellStyle name="하이퍼링크" xfId="1650" builtinId="8" hidden="1"/>
    <cellStyle name="하이퍼링크" xfId="1652" builtinId="8" hidden="1"/>
    <cellStyle name="하이퍼링크" xfId="1654" builtinId="8" hidden="1"/>
    <cellStyle name="하이퍼링크" xfId="1656" builtinId="8" hidden="1"/>
    <cellStyle name="하이퍼링크" xfId="1658" builtinId="8" hidden="1"/>
    <cellStyle name="하이퍼링크" xfId="1660" builtinId="8" hidden="1"/>
    <cellStyle name="하이퍼링크" xfId="1662" builtinId="8" hidden="1"/>
    <cellStyle name="하이퍼링크" xfId="1664" builtinId="8" hidden="1"/>
    <cellStyle name="하이퍼링크" xfId="1666" builtinId="8" hidden="1"/>
    <cellStyle name="하이퍼링크" xfId="1668" builtinId="8" hidden="1"/>
    <cellStyle name="하이퍼링크" xfId="1670" builtinId="8" hidden="1"/>
    <cellStyle name="하이퍼링크" xfId="1672" builtinId="8" hidden="1"/>
    <cellStyle name="하이퍼링크" xfId="1674" builtinId="8" hidden="1"/>
    <cellStyle name="하이퍼링크" xfId="1676" builtinId="8" hidden="1"/>
    <cellStyle name="하이퍼링크" xfId="1678" builtinId="8" hidden="1"/>
    <cellStyle name="하이퍼링크" xfId="1680" builtinId="8" hidden="1"/>
    <cellStyle name="하이퍼링크" xfId="1682" builtinId="8" hidden="1"/>
    <cellStyle name="하이퍼링크" xfId="1684" builtinId="8" hidden="1"/>
    <cellStyle name="하이퍼링크" xfId="1686" builtinId="8" hidden="1"/>
    <cellStyle name="하이퍼링크" xfId="1688" builtinId="8" hidden="1"/>
    <cellStyle name="하이퍼링크" xfId="1690" builtinId="8" hidden="1"/>
    <cellStyle name="하이퍼링크" xfId="1692" builtinId="8" hidden="1"/>
    <cellStyle name="하이퍼링크" xfId="1694" builtinId="8" hidden="1"/>
    <cellStyle name="하이퍼링크" xfId="1696" builtinId="8" hidden="1"/>
    <cellStyle name="하이퍼링크" xfId="1698" builtinId="8" hidden="1"/>
    <cellStyle name="하이퍼링크" xfId="1700" builtinId="8" hidden="1"/>
    <cellStyle name="하이퍼링크" xfId="1702" builtinId="8" hidden="1"/>
    <cellStyle name="하이퍼링크" xfId="1704" builtinId="8" hidden="1"/>
    <cellStyle name="하이퍼링크" xfId="1706" builtinId="8" hidden="1"/>
    <cellStyle name="하이퍼링크" xfId="1708" builtinId="8" hidden="1"/>
    <cellStyle name="하이퍼링크" xfId="1710" builtinId="8" hidden="1"/>
    <cellStyle name="하이퍼링크" xfId="1712" builtinId="8" hidden="1"/>
    <cellStyle name="하이퍼링크" xfId="1714" builtinId="8" hidden="1"/>
    <cellStyle name="하이퍼링크" xfId="1716" builtinId="8" hidden="1"/>
    <cellStyle name="하이퍼링크" xfId="1718" builtinId="8" hidden="1"/>
    <cellStyle name="하이퍼링크" xfId="1720" builtinId="8" hidden="1"/>
    <cellStyle name="하이퍼링크" xfId="1722" builtinId="8" hidden="1"/>
    <cellStyle name="하이퍼링크" xfId="1724" builtinId="8" hidden="1"/>
    <cellStyle name="하이퍼링크" xfId="1726" builtinId="8" hidden="1"/>
    <cellStyle name="하이퍼링크" xfId="1728" builtinId="8" hidden="1"/>
    <cellStyle name="하이퍼링크" xfId="1730" builtinId="8" hidden="1"/>
    <cellStyle name="하이퍼링크" xfId="1732" builtinId="8" hidden="1"/>
    <cellStyle name="하이퍼링크" xfId="1734" builtinId="8" hidden="1"/>
    <cellStyle name="하이퍼링크" xfId="1736" builtinId="8" hidden="1"/>
    <cellStyle name="하이퍼링크" xfId="1738" builtinId="8" hidden="1"/>
    <cellStyle name="하이퍼링크" xfId="1740" builtinId="8" hidden="1"/>
    <cellStyle name="하이퍼링크" xfId="1742" builtinId="8" hidden="1"/>
    <cellStyle name="하이퍼링크" xfId="1744" builtinId="8" hidden="1"/>
    <cellStyle name="하이퍼링크" xfId="1746" builtinId="8" hidden="1"/>
    <cellStyle name="하이퍼링크" xfId="1748" builtinId="8" hidden="1"/>
    <cellStyle name="하이퍼링크" xfId="1750" builtinId="8" hidden="1"/>
    <cellStyle name="하이퍼링크" xfId="1752" builtinId="8" hidden="1"/>
    <cellStyle name="하이퍼링크" xfId="1754" builtinId="8" hidden="1"/>
    <cellStyle name="하이퍼링크" xfId="1756" builtinId="8" hidden="1"/>
    <cellStyle name="하이퍼링크" xfId="1758" builtinId="8" hidden="1"/>
    <cellStyle name="하이퍼링크" xfId="1760" builtinId="8" hidden="1"/>
    <cellStyle name="하이퍼링크" xfId="1762" builtinId="8" hidden="1"/>
    <cellStyle name="하이퍼링크" xfId="1764" builtinId="8" hidden="1"/>
    <cellStyle name="하이퍼링크" xfId="1766" builtinId="8" hidden="1"/>
    <cellStyle name="하이퍼링크" xfId="1768" builtinId="8" hidden="1"/>
    <cellStyle name="하이퍼링크" xfId="1770" builtinId="8" hidden="1"/>
    <cellStyle name="하이퍼링크" xfId="1772" builtinId="8" hidden="1"/>
    <cellStyle name="하이퍼링크" xfId="1774" builtinId="8" hidden="1"/>
    <cellStyle name="하이퍼링크" xfId="1776" builtinId="8" hidden="1"/>
    <cellStyle name="하이퍼링크" xfId="1778" builtinId="8" hidden="1"/>
    <cellStyle name="하이퍼링크" xfId="1780" builtinId="8" hidden="1"/>
    <cellStyle name="하이퍼링크" xfId="1782" builtinId="8" hidden="1"/>
    <cellStyle name="하이퍼링크" xfId="1784" builtinId="8" hidden="1"/>
    <cellStyle name="하이퍼링크" xfId="1786" builtinId="8" hidden="1"/>
    <cellStyle name="하이퍼링크" xfId="1788" builtinId="8" hidden="1"/>
    <cellStyle name="하이퍼링크" xfId="1790" builtinId="8" hidden="1"/>
    <cellStyle name="하이퍼링크" xfId="1792" builtinId="8" hidden="1"/>
    <cellStyle name="하이퍼링크" xfId="1794" builtinId="8" hidden="1"/>
    <cellStyle name="하이퍼링크" xfId="1796" builtinId="8" hidden="1"/>
    <cellStyle name="하이퍼링크" xfId="1798" builtinId="8" hidden="1"/>
    <cellStyle name="하이퍼링크" xfId="1800" builtinId="8" hidden="1"/>
    <cellStyle name="하이퍼링크" xfId="1802" builtinId="8" hidden="1"/>
    <cellStyle name="하이퍼링크" xfId="1804" builtinId="8" hidden="1"/>
    <cellStyle name="하이퍼링크" xfId="1806" builtinId="8" hidden="1"/>
    <cellStyle name="하이퍼링크" xfId="1808" builtinId="8" hidden="1"/>
    <cellStyle name="하이퍼링크" xfId="1810" builtinId="8" hidden="1"/>
    <cellStyle name="하이퍼링크" xfId="1812" builtinId="8" hidden="1"/>
    <cellStyle name="하이퍼링크" xfId="1814" builtinId="8" hidden="1"/>
    <cellStyle name="하이퍼링크" xfId="1816" builtinId="8" hidden="1"/>
    <cellStyle name="하이퍼링크" xfId="1818" builtinId="8" hidden="1"/>
    <cellStyle name="하이퍼링크" xfId="1820" builtinId="8" hidden="1"/>
    <cellStyle name="하이퍼링크" xfId="1822" builtinId="8" hidden="1"/>
    <cellStyle name="하이퍼링크" xfId="1824" builtinId="8" hidden="1"/>
    <cellStyle name="하이퍼링크" xfId="1826" builtinId="8" hidden="1"/>
    <cellStyle name="하이퍼링크" xfId="1828" builtinId="8" hidden="1"/>
    <cellStyle name="하이퍼링크" xfId="1830" builtinId="8" hidden="1"/>
    <cellStyle name="하이퍼링크" xfId="1832" builtinId="8" hidden="1"/>
    <cellStyle name="하이퍼링크" xfId="1834" builtinId="8" hidden="1"/>
    <cellStyle name="하이퍼링크" xfId="1836" builtinId="8" hidden="1"/>
    <cellStyle name="하이퍼링크" xfId="1838" builtinId="8" hidden="1"/>
    <cellStyle name="하이퍼링크" xfId="1840" builtinId="8" hidden="1"/>
    <cellStyle name="하이퍼링크" xfId="1842" builtinId="8" hidden="1"/>
    <cellStyle name="하이퍼링크" xfId="1844" builtinId="8" hidden="1"/>
    <cellStyle name="하이퍼링크" xfId="1846" builtinId="8" hidden="1"/>
    <cellStyle name="하이퍼링크" xfId="1848" builtinId="8" hidden="1"/>
    <cellStyle name="하이퍼링크" xfId="1850" builtinId="8" hidden="1"/>
    <cellStyle name="하이퍼링크" xfId="1852" builtinId="8" hidden="1"/>
    <cellStyle name="하이퍼링크" xfId="1854" builtinId="8" hidden="1"/>
    <cellStyle name="하이퍼링크" xfId="1856" builtinId="8" hidden="1"/>
    <cellStyle name="하이퍼링크" xfId="1858" builtinId="8" hidden="1"/>
    <cellStyle name="하이퍼링크" xfId="1860" builtinId="8" hidden="1"/>
    <cellStyle name="하이퍼링크" xfId="1862" builtinId="8" hidden="1"/>
    <cellStyle name="하이퍼링크" xfId="1864" builtinId="8" hidden="1"/>
    <cellStyle name="하이퍼링크" xfId="1866" builtinId="8" hidden="1"/>
    <cellStyle name="하이퍼링크" xfId="1868" builtinId="8" hidden="1"/>
    <cellStyle name="하이퍼링크" xfId="1870" builtinId="8" hidden="1"/>
    <cellStyle name="하이퍼링크" xfId="1872" builtinId="8" hidden="1"/>
    <cellStyle name="하이퍼링크" xfId="1874" builtinId="8" hidden="1"/>
    <cellStyle name="하이퍼링크" xfId="1876" builtinId="8" hidden="1"/>
    <cellStyle name="하이퍼링크" xfId="1878" builtinId="8" hidden="1"/>
    <cellStyle name="하이퍼링크" xfId="1880" builtinId="8" hidden="1"/>
    <cellStyle name="하이퍼링크" xfId="1882" builtinId="8" hidden="1"/>
    <cellStyle name="하이퍼링크" xfId="1884" builtinId="8" hidden="1"/>
    <cellStyle name="하이퍼링크" xfId="1886" builtinId="8" hidden="1"/>
    <cellStyle name="하이퍼링크" xfId="1888" builtinId="8" hidden="1"/>
    <cellStyle name="하이퍼링크" xfId="1890" builtinId="8" hidden="1"/>
    <cellStyle name="하이퍼링크" xfId="1892" builtinId="8" hidden="1"/>
    <cellStyle name="하이퍼링크" xfId="1894" builtinId="8" hidden="1"/>
    <cellStyle name="하이퍼링크" xfId="1896" builtinId="8" hidden="1"/>
    <cellStyle name="하이퍼링크" xfId="1898" builtinId="8" hidden="1"/>
    <cellStyle name="하이퍼링크" xfId="1900" builtinId="8" hidden="1"/>
    <cellStyle name="하이퍼링크" xfId="1902" builtinId="8" hidden="1"/>
    <cellStyle name="하이퍼링크" xfId="1904" builtinId="8" hidden="1"/>
    <cellStyle name="하이퍼링크" xfId="1906" builtinId="8" hidden="1"/>
    <cellStyle name="하이퍼링크" xfId="1908" builtinId="8" hidden="1"/>
    <cellStyle name="하이퍼링크" xfId="1910" builtinId="8" hidden="1"/>
    <cellStyle name="하이퍼링크" xfId="1912" builtinId="8" hidden="1"/>
    <cellStyle name="하이퍼링크" xfId="1914" builtinId="8" hidden="1"/>
    <cellStyle name="하이퍼링크" xfId="1916" builtinId="8" hidden="1"/>
    <cellStyle name="하이퍼링크" xfId="1918" builtinId="8" hidden="1"/>
    <cellStyle name="하이퍼링크" xfId="1920" builtinId="8" hidden="1"/>
    <cellStyle name="하이퍼링크" xfId="1922" builtinId="8" hidden="1"/>
    <cellStyle name="하이퍼링크" xfId="1924" builtinId="8" hidden="1"/>
    <cellStyle name="하이퍼링크" xfId="1926" builtinId="8" hidden="1"/>
    <cellStyle name="하이퍼링크" xfId="1928" builtinId="8" hidden="1"/>
    <cellStyle name="하이퍼링크" xfId="1930" builtinId="8" hidden="1"/>
    <cellStyle name="하이퍼링크" xfId="1932" builtinId="8" hidden="1"/>
    <cellStyle name="하이퍼링크" xfId="1934" builtinId="8" hidden="1"/>
    <cellStyle name="하이퍼링크" xfId="1936" builtinId="8" hidden="1"/>
    <cellStyle name="하이퍼링크" xfId="1938" builtinId="8" hidden="1"/>
    <cellStyle name="하이퍼링크" xfId="1940" builtinId="8" hidden="1"/>
    <cellStyle name="하이퍼링크" xfId="1942" builtinId="8" hidden="1"/>
    <cellStyle name="하이퍼링크" xfId="1944" builtinId="8" hidden="1"/>
    <cellStyle name="하이퍼링크" xfId="1946" builtinId="8" hidden="1"/>
    <cellStyle name="하이퍼링크" xfId="1948" builtinId="8" hidden="1"/>
    <cellStyle name="하이퍼링크" xfId="1950" builtinId="8" hidden="1"/>
    <cellStyle name="하이퍼링크" xfId="1952" builtinId="8" hidden="1"/>
    <cellStyle name="하이퍼링크" xfId="1954" builtinId="8" hidden="1"/>
    <cellStyle name="하이퍼링크" xfId="1956" builtinId="8" hidden="1"/>
    <cellStyle name="하이퍼링크" xfId="1958" builtinId="8" hidden="1"/>
    <cellStyle name="하이퍼링크" xfId="1960" builtinId="8" hidden="1"/>
    <cellStyle name="하이퍼링크" xfId="1962" builtinId="8" hidden="1"/>
    <cellStyle name="하이퍼링크" xfId="1964" builtinId="8" hidden="1"/>
    <cellStyle name="하이퍼링크" xfId="1966" builtinId="8" hidden="1"/>
    <cellStyle name="하이퍼링크" xfId="1968" builtinId="8" hidden="1"/>
    <cellStyle name="하이퍼링크" xfId="1970" builtinId="8" hidden="1"/>
    <cellStyle name="하이퍼링크" xfId="1972" builtinId="8" hidden="1"/>
    <cellStyle name="하이퍼링크" xfId="1974" builtinId="8" hidden="1"/>
    <cellStyle name="하이퍼링크" xfId="1976" builtinId="8" hidden="1"/>
    <cellStyle name="하이퍼링크" xfId="1978" builtinId="8" hidden="1"/>
    <cellStyle name="하이퍼링크" xfId="1980" builtinId="8" hidden="1"/>
    <cellStyle name="하이퍼링크" xfId="1982" builtinId="8" hidden="1"/>
    <cellStyle name="하이퍼링크" xfId="1984" builtinId="8" hidden="1"/>
    <cellStyle name="하이퍼링크" xfId="1986" builtinId="8" hidden="1"/>
    <cellStyle name="하이퍼링크" xfId="1988" builtinId="8" hidden="1"/>
    <cellStyle name="하이퍼링크" xfId="1990" builtinId="8" hidden="1"/>
    <cellStyle name="하이퍼링크" xfId="1992" builtinId="8" hidden="1"/>
    <cellStyle name="하이퍼링크" xfId="1994" builtinId="8" hidden="1"/>
    <cellStyle name="하이퍼링크" xfId="1996" builtinId="8" hidden="1"/>
    <cellStyle name="하이퍼링크" xfId="1998" builtinId="8" hidden="1"/>
    <cellStyle name="하이퍼링크" xfId="2000" builtinId="8" hidden="1"/>
    <cellStyle name="하이퍼링크" xfId="2002" builtinId="8" hidden="1"/>
    <cellStyle name="하이퍼링크" xfId="2004" builtinId="8" hidden="1"/>
    <cellStyle name="하이퍼링크" xfId="2006" builtinId="8" hidden="1"/>
    <cellStyle name="하이퍼링크" xfId="2008" builtinId="8" hidden="1"/>
    <cellStyle name="하이퍼링크" xfId="2010" builtinId="8" hidden="1"/>
    <cellStyle name="하이퍼링크" xfId="2012" builtinId="8" hidden="1"/>
    <cellStyle name="하이퍼링크" xfId="2014" builtinId="8" hidden="1"/>
    <cellStyle name="하이퍼링크" xfId="2016" builtinId="8" hidden="1"/>
    <cellStyle name="하이퍼링크" xfId="2018" builtinId="8" hidden="1"/>
    <cellStyle name="하이퍼링크" xfId="2020" builtinId="8" hidden="1"/>
    <cellStyle name="하이퍼링크" xfId="2022" builtinId="8" hidden="1"/>
    <cellStyle name="하이퍼링크" xfId="2024" builtinId="8" hidden="1"/>
    <cellStyle name="하이퍼링크" xfId="2026" builtinId="8" hidden="1"/>
    <cellStyle name="하이퍼링크" xfId="2028" builtinId="8" hidden="1"/>
    <cellStyle name="하이퍼링크" xfId="2030" builtinId="8" hidden="1"/>
    <cellStyle name="하이퍼링크" xfId="2032" builtinId="8" hidden="1"/>
    <cellStyle name="하이퍼링크" xfId="2034" builtinId="8" hidden="1"/>
    <cellStyle name="하이퍼링크" xfId="2036" builtinId="8" hidden="1"/>
    <cellStyle name="하이퍼링크" xfId="2038" builtinId="8" hidden="1"/>
    <cellStyle name="하이퍼링크" xfId="2040" builtinId="8" hidden="1"/>
    <cellStyle name="하이퍼링크" xfId="2042" builtinId="8" hidden="1"/>
    <cellStyle name="하이퍼링크" xfId="2044" builtinId="8" hidden="1"/>
    <cellStyle name="하이퍼링크" xfId="2046" builtinId="8" hidden="1"/>
    <cellStyle name="하이퍼링크" xfId="2048" builtinId="8" hidden="1"/>
    <cellStyle name="하이퍼링크" xfId="2050" builtinId="8" hidden="1"/>
    <cellStyle name="하이퍼링크" xfId="2052" builtinId="8" hidden="1"/>
    <cellStyle name="하이퍼링크" xfId="2054" builtinId="8" hidden="1"/>
    <cellStyle name="하이퍼링크" xfId="2056" builtinId="8" hidden="1"/>
    <cellStyle name="하이퍼링크" xfId="2058" builtinId="8" hidden="1"/>
    <cellStyle name="하이퍼링크" xfId="2060" builtinId="8" hidden="1"/>
    <cellStyle name="하이퍼링크" xfId="2062" builtinId="8" hidden="1"/>
    <cellStyle name="하이퍼링크" xfId="2064" builtinId="8" hidden="1"/>
    <cellStyle name="하이퍼링크" xfId="2066" builtinId="8" hidden="1"/>
    <cellStyle name="하이퍼링크" xfId="2068" builtinId="8" hidden="1"/>
    <cellStyle name="하이퍼링크" xfId="2070" builtinId="8" hidden="1"/>
    <cellStyle name="하이퍼링크" xfId="2072" builtinId="8" hidden="1"/>
    <cellStyle name="하이퍼링크" xfId="2074" builtinId="8" hidden="1"/>
    <cellStyle name="하이퍼링크" xfId="2076" builtinId="8" hidden="1"/>
    <cellStyle name="하이퍼링크" xfId="2078" builtinId="8" hidden="1"/>
    <cellStyle name="하이퍼링크" xfId="2080" builtinId="8" hidden="1"/>
    <cellStyle name="하이퍼링크" xfId="2082" builtinId="8" hidden="1"/>
    <cellStyle name="하이퍼링크" xfId="2084" builtinId="8" hidden="1"/>
    <cellStyle name="하이퍼링크" xfId="2086" builtinId="8" hidden="1"/>
    <cellStyle name="하이퍼링크" xfId="2088" builtinId="8" hidden="1"/>
    <cellStyle name="하이퍼링크" xfId="2090" builtinId="8" hidden="1"/>
    <cellStyle name="하이퍼링크" xfId="2092" builtinId="8" hidden="1"/>
    <cellStyle name="하이퍼링크" xfId="2094" builtinId="8" hidden="1"/>
    <cellStyle name="하이퍼링크" xfId="2096" builtinId="8" hidden="1"/>
    <cellStyle name="하이퍼링크" xfId="2098" builtinId="8" hidden="1"/>
    <cellStyle name="하이퍼링크" xfId="2100" builtinId="8" hidden="1"/>
    <cellStyle name="하이퍼링크" xfId="2102" builtinId="8" hidden="1"/>
    <cellStyle name="하이퍼링크" xfId="2104" builtinId="8" hidden="1"/>
    <cellStyle name="하이퍼링크" xfId="2106" builtinId="8" hidden="1"/>
    <cellStyle name="하이퍼링크" xfId="2108" builtinId="8" hidden="1"/>
    <cellStyle name="하이퍼링크" xfId="2110" builtinId="8" hidden="1"/>
    <cellStyle name="하이퍼링크" xfId="2112" builtinId="8" hidden="1"/>
    <cellStyle name="하이퍼링크" xfId="2114" builtinId="8" hidden="1"/>
    <cellStyle name="하이퍼링크" xfId="2116" builtinId="8" hidden="1"/>
    <cellStyle name="하이퍼링크" xfId="2118" builtinId="8" hidden="1"/>
    <cellStyle name="하이퍼링크" xfId="2120" builtinId="8" hidden="1"/>
    <cellStyle name="하이퍼링크" xfId="2122" builtinId="8" hidden="1"/>
    <cellStyle name="하이퍼링크" xfId="2124" builtinId="8" hidden="1"/>
    <cellStyle name="하이퍼링크" xfId="2126" builtinId="8" hidden="1"/>
    <cellStyle name="하이퍼링크" xfId="2128" builtinId="8" hidden="1"/>
    <cellStyle name="하이퍼링크" xfId="2130" builtinId="8" hidden="1"/>
    <cellStyle name="하이퍼링크" xfId="2132" builtinId="8" hidden="1"/>
    <cellStyle name="하이퍼링크" xfId="2134" builtinId="8" hidden="1"/>
    <cellStyle name="하이퍼링크" xfId="2136" builtinId="8" hidden="1"/>
    <cellStyle name="하이퍼링크" xfId="2138" builtinId="8" hidden="1"/>
    <cellStyle name="하이퍼링크" xfId="2140" builtinId="8" hidden="1"/>
    <cellStyle name="하이퍼링크" xfId="2142" builtinId="8" hidden="1"/>
    <cellStyle name="하이퍼링크" xfId="2144" builtinId="8" hidden="1"/>
    <cellStyle name="하이퍼링크" xfId="2146" builtinId="8" hidden="1"/>
    <cellStyle name="하이퍼링크" xfId="2148" builtinId="8" hidden="1"/>
    <cellStyle name="하이퍼링크" xfId="2150" builtinId="8" hidden="1"/>
    <cellStyle name="하이퍼링크" xfId="2152" builtinId="8" hidden="1"/>
    <cellStyle name="하이퍼링크" xfId="2154" builtinId="8" hidden="1"/>
    <cellStyle name="하이퍼링크" xfId="2156" builtinId="8" hidden="1"/>
    <cellStyle name="하이퍼링크" xfId="2158" builtinId="8" hidden="1"/>
    <cellStyle name="하이퍼링크" xfId="2160" builtinId="8" hidden="1"/>
    <cellStyle name="하이퍼링크" xfId="2162" builtinId="8" hidden="1"/>
    <cellStyle name="하이퍼링크" xfId="2164" builtinId="8" hidden="1"/>
    <cellStyle name="하이퍼링크" xfId="2166" builtinId="8" hidden="1"/>
    <cellStyle name="하이퍼링크" xfId="2168" builtinId="8" hidden="1"/>
    <cellStyle name="하이퍼링크" xfId="2170" builtinId="8" hidden="1"/>
    <cellStyle name="하이퍼링크" xfId="2172" builtinId="8" hidden="1"/>
    <cellStyle name="하이퍼링크" xfId="2174" builtinId="8" hidden="1"/>
    <cellStyle name="하이퍼링크" xfId="2176" builtinId="8" hidden="1"/>
    <cellStyle name="하이퍼링크" xfId="2178" builtinId="8" hidden="1"/>
    <cellStyle name="하이퍼링크" xfId="2180" builtinId="8" hidden="1"/>
    <cellStyle name="하이퍼링크" xfId="2182" builtinId="8" hidden="1"/>
    <cellStyle name="하이퍼링크" xfId="2184" builtinId="8" hidden="1"/>
    <cellStyle name="하이퍼링크" xfId="2186" builtinId="8" hidden="1"/>
    <cellStyle name="하이퍼링크" xfId="2188" builtinId="8" hidden="1"/>
    <cellStyle name="하이퍼링크" xfId="2190" builtinId="8" hidden="1"/>
    <cellStyle name="하이퍼링크" xfId="2192" builtinId="8" hidden="1"/>
    <cellStyle name="하이퍼링크" xfId="2194" builtinId="8" hidden="1"/>
    <cellStyle name="하이퍼링크" xfId="2196" builtinId="8" hidden="1"/>
    <cellStyle name="하이퍼링크" xfId="2198" builtinId="8" hidden="1"/>
    <cellStyle name="하이퍼링크" xfId="2200" builtinId="8" hidden="1"/>
    <cellStyle name="하이퍼링크" xfId="2202" builtinId="8" hidden="1"/>
    <cellStyle name="하이퍼링크" xfId="2204" builtinId="8" hidden="1"/>
    <cellStyle name="하이퍼링크" xfId="2206" builtinId="8" hidden="1"/>
    <cellStyle name="하이퍼링크" xfId="2208" builtinId="8" hidden="1"/>
    <cellStyle name="하이퍼링크" xfId="2210" builtinId="8" hidden="1"/>
    <cellStyle name="하이퍼링크" xfId="2212" builtinId="8" hidden="1"/>
    <cellStyle name="하이퍼링크" xfId="2214" builtinId="8" hidden="1"/>
    <cellStyle name="하이퍼링크" xfId="2216" builtinId="8" hidden="1"/>
    <cellStyle name="하이퍼링크" xfId="2218" builtinId="8" hidden="1"/>
    <cellStyle name="하이퍼링크" xfId="2220" builtinId="8" hidden="1"/>
    <cellStyle name="하이퍼링크" xfId="2222" builtinId="8" hidden="1"/>
    <cellStyle name="하이퍼링크" xfId="2224" builtinId="8" hidden="1"/>
    <cellStyle name="하이퍼링크" xfId="2226" builtinId="8" hidden="1"/>
    <cellStyle name="하이퍼링크" xfId="2228" builtinId="8" hidden="1"/>
    <cellStyle name="하이퍼링크" xfId="2230" builtinId="8" hidden="1"/>
    <cellStyle name="하이퍼링크" xfId="2232" builtinId="8" hidden="1"/>
    <cellStyle name="하이퍼링크" xfId="2234" builtinId="8" hidden="1"/>
    <cellStyle name="하이퍼링크" xfId="2236" builtinId="8" hidden="1"/>
    <cellStyle name="하이퍼링크" xfId="2238" builtinId="8" hidden="1"/>
    <cellStyle name="하이퍼링크" xfId="2240" builtinId="8" hidden="1"/>
    <cellStyle name="하이퍼링크" xfId="2242" builtinId="8" hidden="1"/>
    <cellStyle name="하이퍼링크" xfId="2244" builtinId="8" hidden="1"/>
    <cellStyle name="하이퍼링크" xfId="2246" builtinId="8" hidden="1"/>
    <cellStyle name="하이퍼링크" xfId="2248" builtinId="8" hidden="1"/>
    <cellStyle name="하이퍼링크" xfId="2250" builtinId="8" hidden="1"/>
    <cellStyle name="하이퍼링크" xfId="2252" builtinId="8" hidden="1"/>
    <cellStyle name="하이퍼링크" xfId="2254" builtinId="8" hidden="1"/>
    <cellStyle name="하이퍼링크" xfId="2256" builtinId="8" hidden="1"/>
    <cellStyle name="하이퍼링크" xfId="2258" builtinId="8" hidden="1"/>
    <cellStyle name="하이퍼링크" xfId="2260" builtinId="8" hidden="1"/>
    <cellStyle name="하이퍼링크" xfId="2262" builtinId="8" hidden="1"/>
    <cellStyle name="하이퍼링크" xfId="2264" builtinId="8" hidden="1"/>
    <cellStyle name="하이퍼링크" xfId="2266" builtinId="8" hidden="1"/>
    <cellStyle name="하이퍼링크" xfId="2268" builtinId="8" hidden="1"/>
    <cellStyle name="하이퍼링크" xfId="2270" builtinId="8" hidden="1"/>
    <cellStyle name="하이퍼링크" xfId="2272" builtinId="8" hidden="1"/>
    <cellStyle name="하이퍼링크" xfId="2274" builtinId="8" hidden="1"/>
    <cellStyle name="하이퍼링크" xfId="2276" builtinId="8" hidden="1"/>
    <cellStyle name="하이퍼링크" xfId="2278" builtinId="8" hidden="1"/>
    <cellStyle name="하이퍼링크" xfId="2280" builtinId="8" hidden="1"/>
    <cellStyle name="하이퍼링크" xfId="2282" builtinId="8" hidden="1"/>
    <cellStyle name="하이퍼링크" xfId="2284" builtinId="8" hidden="1"/>
    <cellStyle name="하이퍼링크" xfId="2286" builtinId="8" hidden="1"/>
    <cellStyle name="하이퍼링크" xfId="2288" builtinId="8" hidden="1"/>
    <cellStyle name="하이퍼링크" xfId="2290" builtinId="8" hidden="1"/>
    <cellStyle name="하이퍼링크" xfId="2292" builtinId="8" hidden="1"/>
    <cellStyle name="하이퍼링크" xfId="2294" builtinId="8" hidden="1"/>
    <cellStyle name="하이퍼링크" xfId="2296" builtinId="8" hidden="1"/>
    <cellStyle name="하이퍼링크" xfId="2298" builtinId="8" hidden="1"/>
    <cellStyle name="하이퍼링크" xfId="2300" builtinId="8" hidden="1"/>
    <cellStyle name="하이퍼링크" xfId="2302" builtinId="8" hidden="1"/>
    <cellStyle name="하이퍼링크" xfId="2304" builtinId="8" hidden="1"/>
    <cellStyle name="하이퍼링크" xfId="2306" builtinId="8" hidden="1"/>
    <cellStyle name="하이퍼링크" xfId="2308" builtinId="8" hidden="1"/>
    <cellStyle name="하이퍼링크" xfId="2310" builtinId="8" hidden="1"/>
    <cellStyle name="하이퍼링크" xfId="2312" builtinId="8" hidden="1"/>
    <cellStyle name="하이퍼링크" xfId="2314" builtinId="8" hidden="1"/>
    <cellStyle name="하이퍼링크" xfId="2316" builtinId="8" hidden="1"/>
    <cellStyle name="하이퍼링크" xfId="2318" builtinId="8" hidden="1"/>
    <cellStyle name="하이퍼링크" xfId="2320" builtinId="8" hidden="1"/>
    <cellStyle name="하이퍼링크" xfId="2322" builtinId="8" hidden="1"/>
    <cellStyle name="하이퍼링크" xfId="2324" builtinId="8" hidden="1"/>
    <cellStyle name="하이퍼링크" xfId="2326" builtinId="8" hidden="1"/>
    <cellStyle name="하이퍼링크" xfId="2328" builtinId="8" hidden="1"/>
    <cellStyle name="하이퍼링크" xfId="2330" builtinId="8" hidden="1"/>
    <cellStyle name="하이퍼링크" xfId="2332" builtinId="8" hidden="1"/>
    <cellStyle name="하이퍼링크" xfId="2334" builtinId="8" hidden="1"/>
    <cellStyle name="하이퍼링크" xfId="2336" builtinId="8" hidden="1"/>
    <cellStyle name="하이퍼링크" xfId="2338" builtinId="8" hidden="1"/>
    <cellStyle name="하이퍼링크" xfId="2340" builtinId="8" hidden="1"/>
    <cellStyle name="하이퍼링크" xfId="2342" builtinId="8" hidden="1"/>
    <cellStyle name="하이퍼링크" xfId="2344" builtinId="8" hidden="1"/>
    <cellStyle name="하이퍼링크" xfId="2346" builtinId="8" hidden="1"/>
    <cellStyle name="하이퍼링크" xfId="2348" builtinId="8" hidden="1"/>
    <cellStyle name="하이퍼링크" xfId="2350" builtinId="8" hidden="1"/>
    <cellStyle name="하이퍼링크" xfId="2352" builtinId="8" hidden="1"/>
    <cellStyle name="하이퍼링크" xfId="2354" builtinId="8" hidden="1"/>
    <cellStyle name="하이퍼링크" xfId="2356" builtinId="8" hidden="1"/>
    <cellStyle name="하이퍼링크" xfId="2358" builtinId="8" hidden="1"/>
    <cellStyle name="하이퍼링크" xfId="2360" builtinId="8" hidden="1"/>
    <cellStyle name="하이퍼링크" xfId="2362" builtinId="8" hidden="1"/>
    <cellStyle name="하이퍼링크" xfId="2364" builtinId="8" hidden="1"/>
    <cellStyle name="하이퍼링크" xfId="2366" builtinId="8" hidden="1"/>
    <cellStyle name="하이퍼링크" xfId="2368" builtinId="8" hidden="1"/>
    <cellStyle name="하이퍼링크" xfId="2370" builtinId="8" hidden="1"/>
    <cellStyle name="하이퍼링크" xfId="2372" builtinId="8" hidden="1"/>
    <cellStyle name="하이퍼링크" xfId="2374" builtinId="8" hidden="1"/>
    <cellStyle name="하이퍼링크" xfId="2376" builtinId="8" hidden="1"/>
    <cellStyle name="하이퍼링크" xfId="2378" builtinId="8" hidden="1"/>
    <cellStyle name="하이퍼링크" xfId="2380" builtinId="8" hidden="1"/>
    <cellStyle name="하이퍼링크" xfId="2382" builtinId="8" hidden="1"/>
    <cellStyle name="하이퍼링크" xfId="2384" builtinId="8" hidden="1"/>
    <cellStyle name="하이퍼링크" xfId="2386" builtinId="8" hidden="1"/>
    <cellStyle name="하이퍼링크" xfId="2388" builtinId="8" hidden="1"/>
    <cellStyle name="하이퍼링크" xfId="2390" builtinId="8" hidden="1"/>
    <cellStyle name="하이퍼링크" xfId="2392" builtinId="8" hidden="1"/>
    <cellStyle name="하이퍼링크" xfId="2394" builtinId="8" hidden="1"/>
    <cellStyle name="하이퍼링크" xfId="2396" builtinId="8" hidden="1"/>
    <cellStyle name="하이퍼링크" xfId="2398" builtinId="8" hidden="1"/>
    <cellStyle name="하이퍼링크" xfId="2400" builtinId="8" hidden="1"/>
    <cellStyle name="하이퍼링크" xfId="2402" builtinId="8" hidden="1"/>
    <cellStyle name="하이퍼링크" xfId="2404" builtinId="8" hidden="1"/>
    <cellStyle name="하이퍼링크" xfId="2406" builtinId="8" hidden="1"/>
    <cellStyle name="하이퍼링크" xfId="2408" builtinId="8" hidden="1"/>
    <cellStyle name="하이퍼링크" xfId="2410" builtinId="8" hidden="1"/>
    <cellStyle name="하이퍼링크" xfId="2412" builtinId="8" hidden="1"/>
    <cellStyle name="하이퍼링크" xfId="2414" builtinId="8" hidden="1"/>
    <cellStyle name="하이퍼링크" xfId="2416" builtinId="8" hidden="1"/>
    <cellStyle name="하이퍼링크" xfId="2418" builtinId="8" hidden="1"/>
    <cellStyle name="하이퍼링크" xfId="2420" builtinId="8" hidden="1"/>
    <cellStyle name="하이퍼링크" xfId="2422" builtinId="8" hidden="1"/>
    <cellStyle name="하이퍼링크" xfId="2424" builtinId="8" hidden="1"/>
    <cellStyle name="하이퍼링크" xfId="2426" builtinId="8" hidden="1"/>
    <cellStyle name="하이퍼링크" xfId="2428" builtinId="8" hidden="1"/>
    <cellStyle name="하이퍼링크" xfId="2430" builtinId="8" hidden="1"/>
    <cellStyle name="하이퍼링크" xfId="2432" builtinId="8" hidden="1"/>
    <cellStyle name="하이퍼링크" xfId="2434" builtinId="8" hidden="1"/>
    <cellStyle name="하이퍼링크" xfId="2436" builtinId="8" hidden="1"/>
    <cellStyle name="하이퍼링크" xfId="2438" builtinId="8" hidden="1"/>
    <cellStyle name="하이퍼링크" xfId="2440" builtinId="8" hidden="1"/>
    <cellStyle name="하이퍼링크" xfId="2442" builtinId="8" hidden="1"/>
    <cellStyle name="하이퍼링크" xfId="2444" builtinId="8" hidden="1"/>
    <cellStyle name="하이퍼링크" xfId="2446" builtinId="8" hidden="1"/>
    <cellStyle name="하이퍼링크" xfId="2448" builtinId="8" hidden="1"/>
    <cellStyle name="하이퍼링크" xfId="2450" builtinId="8" hidden="1"/>
    <cellStyle name="하이퍼링크" xfId="2452" builtinId="8" hidden="1"/>
    <cellStyle name="하이퍼링크" xfId="2454" builtinId="8" hidden="1"/>
    <cellStyle name="하이퍼링크" xfId="2456" builtinId="8" hidden="1"/>
    <cellStyle name="하이퍼링크" xfId="2458" builtinId="8" hidden="1"/>
    <cellStyle name="하이퍼링크" xfId="2460" builtinId="8" hidden="1"/>
    <cellStyle name="하이퍼링크" xfId="2462" builtinId="8" hidden="1"/>
    <cellStyle name="하이퍼링크" xfId="2464" builtinId="8" hidden="1"/>
    <cellStyle name="하이퍼링크" xfId="2466" builtinId="8" hidden="1"/>
    <cellStyle name="하이퍼링크" xfId="2468" builtinId="8" hidden="1"/>
    <cellStyle name="하이퍼링크" xfId="2470" builtinId="8" hidden="1"/>
    <cellStyle name="하이퍼링크" xfId="2472" builtinId="8" hidden="1"/>
    <cellStyle name="하이퍼링크" xfId="2474" builtinId="8" hidden="1"/>
    <cellStyle name="하이퍼링크" xfId="2476" builtinId="8" hidden="1"/>
    <cellStyle name="하이퍼링크" xfId="2478" builtinId="8" hidden="1"/>
    <cellStyle name="하이퍼링크" xfId="2480" builtinId="8" hidden="1"/>
    <cellStyle name="하이퍼링크" xfId="2482" builtinId="8" hidden="1"/>
    <cellStyle name="하이퍼링크" xfId="2484" builtinId="8" hidden="1"/>
    <cellStyle name="하이퍼링크" xfId="2486" builtinId="8" hidden="1"/>
    <cellStyle name="하이퍼링크" xfId="2488" builtinId="8" hidden="1"/>
    <cellStyle name="하이퍼링크" xfId="2490" builtinId="8" hidden="1"/>
    <cellStyle name="하이퍼링크" xfId="2492" builtinId="8" hidden="1"/>
    <cellStyle name="하이퍼링크" xfId="2494" builtinId="8" hidden="1"/>
    <cellStyle name="하이퍼링크" xfId="2496" builtinId="8" hidden="1"/>
    <cellStyle name="하이퍼링크" xfId="2498" builtinId="8" hidden="1"/>
    <cellStyle name="하이퍼링크" xfId="2500" builtinId="8" hidden="1"/>
    <cellStyle name="하이퍼링크" xfId="2502" builtinId="8" hidden="1"/>
    <cellStyle name="하이퍼링크" xfId="2504" builtinId="8" hidden="1"/>
  </cellStyles>
  <dxfs count="445"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mruColors>
      <color rgb="FFFF7F7F"/>
      <color rgb="FFFFD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13.24</c:v>
              </c:pt>
              <c:pt idx="1">
                <c:v>13.263999999999999</c:v>
              </c:pt>
              <c:pt idx="2">
                <c:v>13.288</c:v>
              </c:pt>
              <c:pt idx="3">
                <c:v>13.311999999999999</c:v>
              </c:pt>
              <c:pt idx="4">
                <c:v>13.336</c:v>
              </c:pt>
              <c:pt idx="5">
                <c:v>13.36</c:v>
              </c:pt>
              <c:pt idx="6">
                <c:v>13.384</c:v>
              </c:pt>
              <c:pt idx="7">
                <c:v>13.407999999999999</c:v>
              </c:pt>
              <c:pt idx="8">
                <c:v>13.432</c:v>
              </c:pt>
              <c:pt idx="9">
                <c:v>13.456</c:v>
              </c:pt>
              <c:pt idx="10">
                <c:v>13.48</c:v>
              </c:pt>
              <c:pt idx="11">
                <c:v>13.504</c:v>
              </c:pt>
              <c:pt idx="12">
                <c:v>13.528</c:v>
              </c:pt>
              <c:pt idx="13">
                <c:v>13.552</c:v>
              </c:pt>
              <c:pt idx="14">
                <c:v>13.576000000000001</c:v>
              </c:pt>
              <c:pt idx="15">
                <c:v>13.6</c:v>
              </c:pt>
              <c:pt idx="16">
                <c:v>13.624000000000001</c:v>
              </c:pt>
              <c:pt idx="17">
                <c:v>13.648</c:v>
              </c:pt>
              <c:pt idx="18">
                <c:v>13.672000000000001</c:v>
              </c:pt>
              <c:pt idx="19">
                <c:v>13.696</c:v>
              </c:pt>
              <c:pt idx="20">
                <c:v>13.72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11712"/>
        <c:axId val="6220056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2.8142376410883398E-5</c:v>
              </c:pt>
              <c:pt idx="1">
                <c:v>2.0763958838149101E-4</c:v>
              </c:pt>
              <c:pt idx="2">
                <c:v>1.2857591283259901E-3</c:v>
              </c:pt>
              <c:pt idx="3">
                <c:v>6.6820402298915799E-3</c:v>
              </c:pt>
              <c:pt idx="4">
                <c:v>2.9144642081586701E-2</c:v>
              </c:pt>
              <c:pt idx="5">
                <c:v>0.106686242595537</c:v>
              </c:pt>
              <c:pt idx="6">
                <c:v>0.327761567189568</c:v>
              </c:pt>
              <c:pt idx="7">
                <c:v>0.84509928813958801</c:v>
              </c:pt>
              <c:pt idx="8">
                <c:v>1.828763499318514</c:v>
              </c:pt>
              <c:pt idx="9">
                <c:v>3.321295023544375</c:v>
              </c:pt>
              <c:pt idx="10">
                <c:v>5.0624117476171646</c:v>
              </c:pt>
              <c:pt idx="11">
                <c:v>6.4760109816773506</c:v>
              </c:pt>
              <c:pt idx="12">
                <c:v>6.9527688071787814</c:v>
              </c:pt>
              <c:pt idx="13">
                <c:v>6.2648128419324136</c:v>
              </c:pt>
              <c:pt idx="14">
                <c:v>4.7376013589016397</c:v>
              </c:pt>
              <c:pt idx="15">
                <c:v>3.0068310667615439</c:v>
              </c:pt>
              <c:pt idx="16">
                <c:v>1.601620591005924</c:v>
              </c:pt>
              <c:pt idx="17">
                <c:v>0.71599560947915097</c:v>
              </c:pt>
              <c:pt idx="18">
                <c:v>0.26863412165033401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006784"/>
        <c:axId val="622006208"/>
      </c:scatterChart>
      <c:catAx>
        <c:axId val="5210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005632"/>
        <c:crosses val="autoZero"/>
        <c:auto val="1"/>
        <c:lblAlgn val="ctr"/>
        <c:lblOffset val="100"/>
        <c:noMultiLvlLbl val="0"/>
      </c:catAx>
      <c:valAx>
        <c:axId val="622005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11712"/>
        <c:crosses val="autoZero"/>
        <c:crossBetween val="between"/>
      </c:valAx>
      <c:valAx>
        <c:axId val="62200620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006784"/>
        <c:crosses val="max"/>
        <c:crossBetween val="midCat"/>
      </c:valAx>
      <c:valAx>
        <c:axId val="622006784"/>
        <c:scaling>
          <c:orientation val="minMax"/>
        </c:scaling>
        <c:delete val="1"/>
        <c:axPos val="b"/>
        <c:majorTickMark val="out"/>
        <c:minorTickMark val="none"/>
        <c:tickLblPos val="nextTo"/>
        <c:crossAx val="6220062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19.425000000000001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19.582000000000001</c:v>
              </c:pt>
              <c:pt idx="11">
                <c:v>19.608000000000001</c:v>
              </c:pt>
              <c:pt idx="12">
                <c:v>19.634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19.765000000000001</c:v>
              </c:pt>
              <c:pt idx="18">
                <c:v>19.791</c:v>
              </c:pt>
              <c:pt idx="19">
                <c:v>19.817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14272"/>
        <c:axId val="70238208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2.74526166861288E-3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0.41534881287974001</c:v>
              </c:pt>
              <c:pt idx="5">
                <c:v>1.285939700708421</c:v>
              </c:pt>
              <c:pt idx="6">
                <c:v>3.034779315316396</c:v>
              </c:pt>
              <c:pt idx="7">
                <c:v>5.4592440074750037</c:v>
              </c:pt>
              <c:pt idx="8">
                <c:v>7.4857751263659544</c:v>
              </c:pt>
              <c:pt idx="9">
                <c:v>7.8241997125922866</c:v>
              </c:pt>
              <c:pt idx="10">
                <c:v>6.2336447353413798</c:v>
              </c:pt>
              <c:pt idx="11">
                <c:v>3.7856737360063542</c:v>
              </c:pt>
              <c:pt idx="12">
                <c:v>1.7524406991510959</c:v>
              </c:pt>
              <c:pt idx="13">
                <c:v>0.61836157367618505</c:v>
              </c:pt>
              <c:pt idx="14">
                <c:v>0.166318542672347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5.7639940248244797E-5</c:v>
              </c:pt>
              <c:pt idx="19">
                <c:v>3.98948439130057E-6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83232"/>
        <c:axId val="702382656"/>
      </c:scatterChart>
      <c:catAx>
        <c:axId val="52101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2080"/>
        <c:crosses val="autoZero"/>
        <c:auto val="1"/>
        <c:lblAlgn val="ctr"/>
        <c:lblOffset val="100"/>
        <c:noMultiLvlLbl val="0"/>
      </c:catAx>
      <c:valAx>
        <c:axId val="702382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14272"/>
        <c:crosses val="autoZero"/>
        <c:crossBetween val="between"/>
      </c:valAx>
      <c:valAx>
        <c:axId val="7023826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3232"/>
        <c:crosses val="max"/>
        <c:crossBetween val="midCat"/>
      </c:valAx>
      <c:valAx>
        <c:axId val="702383232"/>
        <c:scaling>
          <c:orientation val="minMax"/>
        </c:scaling>
        <c:delete val="1"/>
        <c:axPos val="b"/>
        <c:majorTickMark val="out"/>
        <c:minorTickMark val="none"/>
        <c:tickLblPos val="nextTo"/>
        <c:crossAx val="702382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15.63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15.773999999999999</c:v>
              </c:pt>
              <c:pt idx="7">
                <c:v>15.798</c:v>
              </c:pt>
              <c:pt idx="8">
                <c:v>15.821999999999999</c:v>
              </c:pt>
              <c:pt idx="9">
                <c:v>15.846</c:v>
              </c:pt>
              <c:pt idx="10">
                <c:v>15.87</c:v>
              </c:pt>
              <c:pt idx="11">
                <c:v>15.894</c:v>
              </c:pt>
              <c:pt idx="12">
                <c:v>15.917999999999999</c:v>
              </c:pt>
              <c:pt idx="13">
                <c:v>15.942</c:v>
              </c:pt>
              <c:pt idx="14">
                <c:v>15.965999999999999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16.062000000000001</c:v>
              </c:pt>
              <c:pt idx="19">
                <c:v>16.085999999999981</c:v>
              </c:pt>
              <c:pt idx="20">
                <c:v>16.11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1065472"/>
        <c:axId val="7023878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5.9511175684109196E-9</c:v>
              </c:pt>
              <c:pt idx="1">
                <c:v>2.3093059067448401E-7</c:v>
              </c:pt>
              <c:pt idx="2">
                <c:v>6.3406810130306598E-6</c:v>
              </c:pt>
              <c:pt idx="3">
                <c:v>1.23186113215509E-4</c:v>
              </c:pt>
              <c:pt idx="4">
                <c:v>1.6933989677791899E-3</c:v>
              </c:pt>
              <c:pt idx="5">
                <c:v>1.6471316341792601E-2</c:v>
              </c:pt>
              <c:pt idx="6">
                <c:v>0.113362278970617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8.4355450931440004</c:v>
              </c:pt>
              <c:pt idx="13">
                <c:v>5.1553056508691144</c:v>
              </c:pt>
              <c:pt idx="14">
                <c:v>2.2292935495513642</c:v>
              </c:pt>
              <c:pt idx="15">
                <c:v>0.68210568982902997</c:v>
              </c:pt>
              <c:pt idx="16">
                <c:v>0.14767523057642801</c:v>
              </c:pt>
              <c:pt idx="17">
                <c:v>2.2622219686908699E-2</c:v>
              </c:pt>
              <c:pt idx="18">
                <c:v>2.4520783678655899E-3</c:v>
              </c:pt>
              <c:pt idx="19">
                <c:v>1.8806373151751199E-4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88992"/>
        <c:axId val="702388416"/>
      </c:scatterChart>
      <c:catAx>
        <c:axId val="52106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7840"/>
        <c:crosses val="autoZero"/>
        <c:auto val="1"/>
        <c:lblAlgn val="ctr"/>
        <c:lblOffset val="100"/>
        <c:noMultiLvlLbl val="0"/>
      </c:catAx>
      <c:valAx>
        <c:axId val="702387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1065472"/>
        <c:crosses val="autoZero"/>
        <c:crossBetween val="between"/>
      </c:valAx>
      <c:valAx>
        <c:axId val="70238841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02388992"/>
        <c:crosses val="max"/>
        <c:crossBetween val="midCat"/>
      </c:valAx>
      <c:valAx>
        <c:axId val="702388992"/>
        <c:scaling>
          <c:orientation val="minMax"/>
        </c:scaling>
        <c:delete val="1"/>
        <c:axPos val="b"/>
        <c:majorTickMark val="out"/>
        <c:minorTickMark val="none"/>
        <c:tickLblPos val="nextTo"/>
        <c:crossAx val="7023884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37.912999999999997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39.561999999999998</c:v>
              </c:pt>
              <c:pt idx="5">
                <c:v>39.973999999999997</c:v>
              </c:pt>
              <c:pt idx="6">
                <c:v>40.386000000000003</c:v>
              </c:pt>
              <c:pt idx="7">
                <c:v>40.798000000000002</c:v>
              </c:pt>
              <c:pt idx="8">
                <c:v>41.211000000000013</c:v>
              </c:pt>
              <c:pt idx="9">
                <c:v>41.623000000000012</c:v>
              </c:pt>
              <c:pt idx="10">
                <c:v>42.034999999999997</c:v>
              </c:pt>
              <c:pt idx="11">
                <c:v>42.447000000000003</c:v>
              </c:pt>
              <c:pt idx="12">
                <c:v>42.859000000000002</c:v>
              </c:pt>
              <c:pt idx="13">
                <c:v>43.271999999999998</c:v>
              </c:pt>
              <c:pt idx="14">
                <c:v>43.683999999999997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45.333000000000013</c:v>
              </c:pt>
              <c:pt idx="19">
                <c:v>45.744999999999997</c:v>
              </c:pt>
              <c:pt idx="20">
                <c:v>46.156999999999996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3069056"/>
        <c:axId val="5289433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1.36524596821481E-8</c:v>
              </c:pt>
              <c:pt idx="1">
                <c:v>2.84364934035357E-7</c:v>
              </c:pt>
              <c:pt idx="2">
                <c:v>4.4325768772231699E-6</c:v>
              </c:pt>
              <c:pt idx="3">
                <c:v>5.1707252759169001E-5</c:v>
              </c:pt>
              <c:pt idx="4">
                <c:v>4.5140050321243902E-4</c:v>
              </c:pt>
              <c:pt idx="5">
                <c:v>2.9490876091607101E-3</c:v>
              </c:pt>
              <c:pt idx="6">
                <c:v>1.4418775191486301E-2</c:v>
              </c:pt>
              <c:pt idx="7">
                <c:v>5.2757490271825802E-2</c:v>
              </c:pt>
              <c:pt idx="8">
                <c:v>0.14446243973244599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0.44749588499515103</c:v>
              </c:pt>
              <c:pt idx="13">
                <c:v>0.28763089517441998</c:v>
              </c:pt>
              <c:pt idx="14">
                <c:v>0.13835575418132801</c:v>
              </c:pt>
              <c:pt idx="15">
                <c:v>4.9805135445556398E-2</c:v>
              </c:pt>
              <c:pt idx="16">
                <c:v>1.3417334011876199E-2</c:v>
              </c:pt>
              <c:pt idx="17">
                <c:v>2.70503907709991E-3</c:v>
              </c:pt>
              <c:pt idx="18">
                <c:v>4.0812769055748E-4</c:v>
              </c:pt>
              <c:pt idx="19">
                <c:v>4.6082261743761699E-5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944512"/>
        <c:axId val="528943936"/>
      </c:scatterChart>
      <c:catAx>
        <c:axId val="59306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3360"/>
        <c:crosses val="autoZero"/>
        <c:auto val="1"/>
        <c:lblAlgn val="ctr"/>
        <c:lblOffset val="100"/>
        <c:noMultiLvlLbl val="0"/>
      </c:catAx>
      <c:valAx>
        <c:axId val="528943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3069056"/>
        <c:crosses val="autoZero"/>
        <c:crossBetween val="between"/>
      </c:valAx>
      <c:valAx>
        <c:axId val="528943936"/>
        <c:scaling>
          <c:orientation val="minMax"/>
          <c:max val="0.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4512"/>
        <c:crosses val="max"/>
        <c:crossBetween val="midCat"/>
      </c:valAx>
      <c:valAx>
        <c:axId val="528944512"/>
        <c:scaling>
          <c:orientation val="minMax"/>
        </c:scaling>
        <c:delete val="1"/>
        <c:axPos val="b"/>
        <c:majorTickMark val="out"/>
        <c:minorTickMark val="none"/>
        <c:tickLblPos val="nextTo"/>
        <c:crossAx val="5289439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</c:v>
              </c:pt>
              <c:pt idx="3">
                <c:v>39.08</c:v>
              </c:pt>
              <c:pt idx="4">
                <c:v>39.44</c:v>
              </c:pt>
              <c:pt idx="5">
                <c:v>39.799999999999997</c:v>
              </c:pt>
              <c:pt idx="6">
                <c:v>40.159999999999997</c:v>
              </c:pt>
              <c:pt idx="7">
                <c:v>40.520000000000003</c:v>
              </c:pt>
              <c:pt idx="8">
                <c:v>40.880000000000003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</c:v>
              </c:pt>
              <c:pt idx="17">
                <c:v>44.12</c:v>
              </c:pt>
              <c:pt idx="18">
                <c:v>44.48</c:v>
              </c:pt>
              <c:pt idx="19">
                <c:v>44.84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3716224"/>
        <c:axId val="5289479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8.0768876409805293E-6</c:v>
              </c:pt>
              <c:pt idx="1">
                <c:v>7.0770194712176004E-5</c:v>
              </c:pt>
              <c:pt idx="2">
                <c:v>4.8987094107929001E-4</c:v>
              </c:pt>
              <c:pt idx="3">
                <c:v>2.6787845805394E-3</c:v>
              </c:pt>
              <c:pt idx="4">
                <c:v>1.1572283608069001E-2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0.38158669796050698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0.44186066662124202</c:v>
              </c:pt>
              <c:pt idx="12">
                <c:v>0.28957829952449099</c:v>
              </c:pt>
              <c:pt idx="13">
                <c:v>0.14992419434547599</c:v>
              </c:pt>
              <c:pt idx="14">
                <c:v>6.1320046302124197E-2</c:v>
              </c:pt>
              <c:pt idx="15">
                <c:v>1.9813366118330698E-2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1.6247100886302199E-4</c:v>
              </c:pt>
              <c:pt idx="19">
                <c:v>2.0447105057280599E-5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76576"/>
        <c:axId val="528948544"/>
      </c:scatterChart>
      <c:catAx>
        <c:axId val="59371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28947968"/>
        <c:crosses val="autoZero"/>
        <c:auto val="1"/>
        <c:lblAlgn val="ctr"/>
        <c:lblOffset val="100"/>
        <c:noMultiLvlLbl val="0"/>
      </c:catAx>
      <c:valAx>
        <c:axId val="528947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3716224"/>
        <c:crosses val="autoZero"/>
        <c:crossBetween val="between"/>
      </c:valAx>
      <c:valAx>
        <c:axId val="528948544"/>
        <c:scaling>
          <c:orientation val="minMax"/>
          <c:max val="0.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76576"/>
        <c:crosses val="max"/>
        <c:crossBetween val="midCat"/>
      </c:valAx>
      <c:valAx>
        <c:axId val="535576576"/>
        <c:scaling>
          <c:orientation val="minMax"/>
        </c:scaling>
        <c:delete val="1"/>
        <c:axPos val="b"/>
        <c:majorTickMark val="out"/>
        <c:minorTickMark val="none"/>
        <c:tickLblPos val="nextTo"/>
        <c:crossAx val="5289485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8.9719999999999995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9.0440000000000005</c:v>
              </c:pt>
              <c:pt idx="9">
                <c:v>9.0619999999999994</c:v>
              </c:pt>
              <c:pt idx="10">
                <c:v>9.08</c:v>
              </c:pt>
              <c:pt idx="11">
                <c:v>9.0979999999999972</c:v>
              </c:pt>
              <c:pt idx="12">
                <c:v>9.1160000000000014</c:v>
              </c:pt>
              <c:pt idx="13">
                <c:v>9.1340000000000003</c:v>
              </c:pt>
              <c:pt idx="14">
                <c:v>9.1519999999999992</c:v>
              </c:pt>
              <c:pt idx="15">
                <c:v>9.17</c:v>
              </c:pt>
              <c:pt idx="16">
                <c:v>9.1880000000000006</c:v>
              </c:pt>
              <c:pt idx="17">
                <c:v>9.2060000000000013</c:v>
              </c:pt>
              <c:pt idx="18">
                <c:v>9.2240000000000002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2038784"/>
        <c:axId val="5355800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9.6039722067313707E-6</c:v>
              </c:pt>
              <c:pt idx="1">
                <c:v>2.8495546929274002E-4</c:v>
              </c:pt>
              <c:pt idx="2">
                <c:v>5.3408577551331601E-3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2.2343982660319699</c:v>
              </c:pt>
              <c:pt idx="6">
                <c:v>6.668470986728626</c:v>
              </c:pt>
              <c:pt idx="7">
                <c:v>12.57186813035438</c:v>
              </c:pt>
              <c:pt idx="8">
                <c:v>14.9720492978949</c:v>
              </c:pt>
              <c:pt idx="9">
                <c:v>11.263431332539399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0.304710438650653</c:v>
              </c:pt>
              <c:pt idx="13">
                <c:v>3.65013513229673E-2</c:v>
              </c:pt>
              <c:pt idx="14">
                <c:v>2.7620884287451299E-3</c:v>
              </c:pt>
              <c:pt idx="15">
                <c:v>1.3203075155317201E-4</c:v>
              </c:pt>
              <c:pt idx="16">
                <c:v>3.9867651029735004E-6</c:v>
              </c:pt>
              <c:pt idx="17">
                <c:v>7.6045625534283205E-8</c:v>
              </c:pt>
              <c:pt idx="18">
                <c:v>9.1629614827003699E-10</c:v>
              </c:pt>
              <c:pt idx="19">
                <c:v>6.9743786320418302E-12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81184"/>
        <c:axId val="535580608"/>
      </c:scatterChart>
      <c:catAx>
        <c:axId val="4203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80032"/>
        <c:crosses val="autoZero"/>
        <c:auto val="1"/>
        <c:lblAlgn val="ctr"/>
        <c:lblOffset val="100"/>
        <c:noMultiLvlLbl val="0"/>
      </c:catAx>
      <c:valAx>
        <c:axId val="5355800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2038784"/>
        <c:crosses val="autoZero"/>
        <c:crossBetween val="between"/>
      </c:valAx>
      <c:valAx>
        <c:axId val="535580608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5581184"/>
        <c:crosses val="max"/>
        <c:crossBetween val="midCat"/>
      </c:valAx>
      <c:valAx>
        <c:axId val="535581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355806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2.411</c:v>
              </c:pt>
              <c:pt idx="6">
                <c:v>2.4550000000000001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2.6320000000000001</c:v>
              </c:pt>
              <c:pt idx="11">
                <c:v>2.6760000000000002</c:v>
              </c:pt>
              <c:pt idx="12">
                <c:v>2.72</c:v>
              </c:pt>
              <c:pt idx="13">
                <c:v>2.7639999999999998</c:v>
              </c:pt>
              <c:pt idx="14">
                <c:v>2.8090000000000002</c:v>
              </c:pt>
              <c:pt idx="15">
                <c:v>2.8530000000000002</c:v>
              </c:pt>
              <c:pt idx="16">
                <c:v>2.896999999999998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94140160"/>
        <c:axId val="5383782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1.9802562521666398E-6</c:v>
              </c:pt>
              <c:pt idx="1">
                <c:v>2.5555048843772101E-5</c:v>
              </c:pt>
              <c:pt idx="2">
                <c:v>2.5799141259331E-4</c:v>
              </c:pt>
              <c:pt idx="3">
                <c:v>2.0375440113440599E-3</c:v>
              </c:pt>
              <c:pt idx="4">
                <c:v>1.2588731163001099E-2</c:v>
              </c:pt>
              <c:pt idx="5">
                <c:v>6.0845733754143601E-2</c:v>
              </c:pt>
              <c:pt idx="6">
                <c:v>0.23006551127008901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4.4725648280869068</c:v>
              </c:pt>
              <c:pt idx="12">
                <c:v>3.876299344485421</c:v>
              </c:pt>
              <c:pt idx="13">
                <c:v>2.6281562662109601</c:v>
              </c:pt>
              <c:pt idx="14">
                <c:v>1.3939855547640481</c:v>
              </c:pt>
              <c:pt idx="15">
                <c:v>0.57841370612526499</c:v>
              </c:pt>
              <c:pt idx="16">
                <c:v>0.187755250367305</c:v>
              </c:pt>
              <c:pt idx="17">
                <c:v>4.7678086606558E-2</c:v>
              </c:pt>
              <c:pt idx="18">
                <c:v>9.4714998956969207E-3</c:v>
              </c:pt>
              <c:pt idx="19">
                <c:v>1.4719461172094501E-3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79392"/>
        <c:axId val="538378816"/>
      </c:scatterChart>
      <c:catAx>
        <c:axId val="59414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78240"/>
        <c:crosses val="autoZero"/>
        <c:auto val="1"/>
        <c:lblAlgn val="ctr"/>
        <c:lblOffset val="100"/>
        <c:noMultiLvlLbl val="0"/>
      </c:catAx>
      <c:valAx>
        <c:axId val="5383782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4140160"/>
        <c:crosses val="autoZero"/>
        <c:crossBetween val="between"/>
      </c:valAx>
      <c:valAx>
        <c:axId val="538378816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79392"/>
        <c:crosses val="max"/>
        <c:crossBetween val="midCat"/>
      </c:valAx>
      <c:valAx>
        <c:axId val="538379392"/>
        <c:scaling>
          <c:orientation val="minMax"/>
        </c:scaling>
        <c:delete val="1"/>
        <c:axPos val="b"/>
        <c:majorTickMark val="out"/>
        <c:minorTickMark val="none"/>
        <c:tickLblPos val="nextTo"/>
        <c:crossAx val="5383788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2.395999999999999</c:v>
              </c:pt>
              <c:pt idx="2">
                <c:v>2.444</c:v>
              </c:pt>
              <c:pt idx="3">
                <c:v>2.492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2.83</c:v>
              </c:pt>
              <c:pt idx="11">
                <c:v>2.879</c:v>
              </c:pt>
              <c:pt idx="12">
                <c:v>2.927</c:v>
              </c:pt>
              <c:pt idx="13">
                <c:v>2.9750000000000001</c:v>
              </c:pt>
              <c:pt idx="14">
                <c:v>3.024</c:v>
              </c:pt>
              <c:pt idx="15">
                <c:v>3.0720000000000001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3.3140000000000001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3556864"/>
        <c:axId val="53838284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4.7039417549654397E-3</c:v>
              </c:pt>
              <c:pt idx="2">
                <c:v>2.09930394160097E-2</c:v>
              </c:pt>
              <c:pt idx="3">
                <c:v>7.7432632173205604E-2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1.2384575490101759</c:v>
              </c:pt>
              <c:pt idx="7">
                <c:v>2.1314280613813001</c:v>
              </c:pt>
              <c:pt idx="8">
                <c:v>3.031764713014125</c:v>
              </c:pt>
              <c:pt idx="9">
                <c:v>3.564146679132445</c:v>
              </c:pt>
              <c:pt idx="10">
                <c:v>3.462987339325883</c:v>
              </c:pt>
              <c:pt idx="11">
                <c:v>2.7808751998292598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5.3255158300108199E-2</c:v>
              </c:pt>
              <c:pt idx="17">
                <c:v>1.36302301893315E-2</c:v>
              </c:pt>
              <c:pt idx="18">
                <c:v>2.8832337881537001E-3</c:v>
              </c:pt>
              <c:pt idx="19">
                <c:v>5.0407096835731796E-4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84000"/>
        <c:axId val="538383424"/>
      </c:scatterChart>
      <c:catAx>
        <c:axId val="60355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82848"/>
        <c:crosses val="autoZero"/>
        <c:auto val="1"/>
        <c:lblAlgn val="ctr"/>
        <c:lblOffset val="100"/>
        <c:noMultiLvlLbl val="0"/>
      </c:catAx>
      <c:valAx>
        <c:axId val="538382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03556864"/>
        <c:crosses val="autoZero"/>
        <c:crossBetween val="between"/>
      </c:valAx>
      <c:valAx>
        <c:axId val="538383424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8384000"/>
        <c:crosses val="max"/>
        <c:crossBetween val="midCat"/>
      </c:valAx>
      <c:valAx>
        <c:axId val="538384000"/>
        <c:scaling>
          <c:orientation val="minMax"/>
        </c:scaling>
        <c:delete val="1"/>
        <c:axPos val="b"/>
        <c:majorTickMark val="out"/>
        <c:minorTickMark val="none"/>
        <c:tickLblPos val="nextTo"/>
        <c:crossAx val="5383834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8.6139999999999972</c:v>
              </c:pt>
              <c:pt idx="1">
                <c:v>8.64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8.7200000000000024</c:v>
              </c:pt>
              <c:pt idx="5">
                <c:v>8.7460000000000004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8.8520000000000003</c:v>
              </c:pt>
              <c:pt idx="10">
                <c:v>8.8789999999999996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8.9589999999999996</c:v>
              </c:pt>
              <c:pt idx="14">
                <c:v>8.9849999999999994</c:v>
              </c:pt>
              <c:pt idx="15">
                <c:v>9.0120000000000005</c:v>
              </c:pt>
              <c:pt idx="16">
                <c:v>9.0380000000000003</c:v>
              </c:pt>
              <c:pt idx="17">
                <c:v>9.0649999999999995</c:v>
              </c:pt>
              <c:pt idx="18">
                <c:v>9.0910000000000011</c:v>
              </c:pt>
              <c:pt idx="19">
                <c:v>9.1180000000000003</c:v>
              </c:pt>
              <c:pt idx="20">
                <c:v>9.1440000000000001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7790080"/>
        <c:axId val="5390183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2.2064331701114801E-4</c:v>
              </c:pt>
              <c:pt idx="1">
                <c:v>2.1488114725023602E-3</c:v>
              </c:pt>
              <c:pt idx="2">
                <c:v>1.5847519408698701E-2</c:v>
              </c:pt>
              <c:pt idx="3">
                <c:v>8.8507426417505905E-2</c:v>
              </c:pt>
              <c:pt idx="4">
                <c:v>0.37432908710701002</c:v>
              </c:pt>
              <c:pt idx="5">
                <c:v>1.198899777533968</c:v>
              </c:pt>
              <c:pt idx="6">
                <c:v>2.9078207154572668</c:v>
              </c:pt>
              <c:pt idx="7">
                <c:v>5.3408184436935766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6.24109844390882</c:v>
              </c:pt>
              <c:pt idx="11">
                <c:v>3.769840621640232</c:v>
              </c:pt>
              <c:pt idx="12">
                <c:v>1.7244094284444951</c:v>
              </c:pt>
              <c:pt idx="13">
                <c:v>0.59732849070737803</c:v>
              </c:pt>
              <c:pt idx="14">
                <c:v>0.156690083783491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5.3340737283508904E-4</c:v>
              </c:pt>
              <c:pt idx="18">
                <c:v>4.6016021318383902E-5</c:v>
              </c:pt>
              <c:pt idx="19">
                <c:v>3.0061770774656999E-6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19520"/>
        <c:axId val="539018944"/>
      </c:scatterChart>
      <c:catAx>
        <c:axId val="6077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18368"/>
        <c:crosses val="autoZero"/>
        <c:auto val="1"/>
        <c:lblAlgn val="ctr"/>
        <c:lblOffset val="100"/>
        <c:noMultiLvlLbl val="0"/>
      </c:catAx>
      <c:valAx>
        <c:axId val="5390183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07790080"/>
        <c:crosses val="autoZero"/>
        <c:crossBetween val="between"/>
      </c:valAx>
      <c:valAx>
        <c:axId val="53901894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19520"/>
        <c:crosses val="max"/>
        <c:crossBetween val="midCat"/>
      </c:valAx>
      <c:valAx>
        <c:axId val="539019520"/>
        <c:scaling>
          <c:orientation val="minMax"/>
        </c:scaling>
        <c:delete val="1"/>
        <c:axPos val="b"/>
        <c:majorTickMark val="out"/>
        <c:minorTickMark val="none"/>
        <c:tickLblPos val="nextTo"/>
        <c:crossAx val="5390189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8.6280000000000001</c:v>
              </c:pt>
              <c:pt idx="3">
                <c:v>8.657</c:v>
              </c:pt>
              <c:pt idx="4">
                <c:v>8.6850000000000005</c:v>
              </c:pt>
              <c:pt idx="5">
                <c:v>8.7140000000000004</c:v>
              </c:pt>
              <c:pt idx="6">
                <c:v>8.7430000000000003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8.9749999999999996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4495232"/>
        <c:axId val="53902297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6.49061314187247E-4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0.25097292780376501</c:v>
              </c:pt>
              <c:pt idx="6">
                <c:v>0.95358961554548505</c:v>
              </c:pt>
              <c:pt idx="7">
                <c:v>2.6166159696663591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1.200965296415677</c:v>
              </c:pt>
              <c:pt idx="14">
                <c:v>0.337609914448256</c:v>
              </c:pt>
              <c:pt idx="15">
                <c:v>6.8539924038347896E-2</c:v>
              </c:pt>
              <c:pt idx="16">
                <c:v>1.00488355425951E-2</c:v>
              </c:pt>
              <c:pt idx="17">
                <c:v>1.06397531386069E-3</c:v>
              </c:pt>
              <c:pt idx="18">
                <c:v>8.1356275378037293E-5</c:v>
              </c:pt>
              <c:pt idx="19">
                <c:v>4.4925638347380197E-6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4128"/>
        <c:axId val="539023552"/>
      </c:scatterChart>
      <c:catAx>
        <c:axId val="61449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22976"/>
        <c:crosses val="autoZero"/>
        <c:auto val="1"/>
        <c:lblAlgn val="ctr"/>
        <c:lblOffset val="100"/>
        <c:noMultiLvlLbl val="0"/>
      </c:catAx>
      <c:valAx>
        <c:axId val="539022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4495232"/>
        <c:crosses val="autoZero"/>
        <c:crossBetween val="between"/>
      </c:valAx>
      <c:valAx>
        <c:axId val="53902355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024128"/>
        <c:crosses val="max"/>
        <c:crossBetween val="midCat"/>
      </c:valAx>
      <c:valAx>
        <c:axId val="53902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53902355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8.8019999999999996</c:v>
              </c:pt>
              <c:pt idx="9">
                <c:v>8.8310000000000013</c:v>
              </c:pt>
              <c:pt idx="10">
                <c:v>8.859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8.9749999999999996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9.0619999999999994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7133056"/>
        <c:axId val="5394946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3.68114625603901E-6</c:v>
              </c:pt>
              <c:pt idx="1">
                <c:v>6.3638627684345394E-5</c:v>
              </c:pt>
              <c:pt idx="2">
                <c:v>8.0670234965826704E-4</c:v>
              </c:pt>
              <c:pt idx="3">
                <c:v>7.4982631709935299E-3</c:v>
              </c:pt>
              <c:pt idx="4">
                <c:v>5.1104918833580003E-2</c:v>
              </c:pt>
              <c:pt idx="5">
                <c:v>0.25539919675017198</c:v>
              </c:pt>
              <c:pt idx="6">
                <c:v>0.93590394904989904</c:v>
              </c:pt>
              <c:pt idx="7">
                <c:v>2.5147670615324871</c:v>
              </c:pt>
              <c:pt idx="8">
                <c:v>4.9547184126911681</c:v>
              </c:pt>
              <c:pt idx="9">
                <c:v>7.1580532149529814</c:v>
              </c:pt>
              <c:pt idx="10">
                <c:v>7.5827301113172387</c:v>
              </c:pt>
              <c:pt idx="11">
                <c:v>5.8899418250443372</c:v>
              </c:pt>
              <c:pt idx="12">
                <c:v>3.3546803338811828</c:v>
              </c:pt>
              <c:pt idx="13">
                <c:v>1.401025406564786</c:v>
              </c:pt>
              <c:pt idx="14">
                <c:v>0.42903785234029801</c:v>
              </c:pt>
              <c:pt idx="15">
                <c:v>9.6338513258151806E-2</c:v>
              </c:pt>
              <c:pt idx="16">
                <c:v>1.5862038526479799E-2</c:v>
              </c:pt>
              <c:pt idx="17">
                <c:v>1.9150176971689901E-3</c:v>
              </c:pt>
              <c:pt idx="18">
                <c:v>1.6952840296674399E-4</c:v>
              </c:pt>
              <c:pt idx="19">
                <c:v>1.10044200348454E-5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5808"/>
        <c:axId val="539495232"/>
      </c:scatterChart>
      <c:catAx>
        <c:axId val="61713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4656"/>
        <c:crosses val="autoZero"/>
        <c:auto val="1"/>
        <c:lblAlgn val="ctr"/>
        <c:lblOffset val="100"/>
        <c:noMultiLvlLbl val="0"/>
      </c:catAx>
      <c:valAx>
        <c:axId val="539494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7133056"/>
        <c:crosses val="autoZero"/>
        <c:crossBetween val="between"/>
      </c:valAx>
      <c:valAx>
        <c:axId val="539495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5808"/>
        <c:crosses val="max"/>
        <c:crossBetween val="midCat"/>
      </c:valAx>
      <c:valAx>
        <c:axId val="539495808"/>
        <c:scaling>
          <c:orientation val="minMax"/>
        </c:scaling>
        <c:delete val="1"/>
        <c:axPos val="b"/>
        <c:majorTickMark val="out"/>
        <c:minorTickMark val="none"/>
        <c:tickLblPos val="nextTo"/>
        <c:crossAx val="5394952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8.4849999999999994</c:v>
              </c:pt>
              <c:pt idx="1">
                <c:v>8.5190000000000001</c:v>
              </c:pt>
              <c:pt idx="2">
                <c:v>8.5519999999999996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8.7200000000000024</c:v>
              </c:pt>
              <c:pt idx="8">
                <c:v>8.7530000000000001</c:v>
              </c:pt>
              <c:pt idx="9">
                <c:v>8.7869999999999973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8.9550000000000001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9.0549999999999997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8824704"/>
        <c:axId val="5394986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9.3908700262753897E-11</c:v>
              </c:pt>
              <c:pt idx="1">
                <c:v>7.63557902662158E-9</c:v>
              </c:pt>
              <c:pt idx="2">
                <c:v>4.0682007791253602E-7</c:v>
              </c:pt>
              <c:pt idx="3">
                <c:v>1.4203222005798E-5</c:v>
              </c:pt>
              <c:pt idx="4">
                <c:v>3.2493459360408801E-4</c:v>
              </c:pt>
              <c:pt idx="5">
                <c:v>4.8711246141692702E-3</c:v>
              </c:pt>
              <c:pt idx="6">
                <c:v>4.7850529127113101E-2</c:v>
              </c:pt>
              <c:pt idx="7">
                <c:v>0.308012586736087</c:v>
              </c:pt>
              <c:pt idx="8">
                <c:v>1.299194464442472</c:v>
              </c:pt>
              <c:pt idx="9">
                <c:v>3.5909076560935449</c:v>
              </c:pt>
              <c:pt idx="10">
                <c:v>6.503672899544342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1.021457459745575</c:v>
              </c:pt>
              <c:pt idx="15">
                <c:v>0.223509486117656</c:v>
              </c:pt>
              <c:pt idx="16">
                <c:v>3.2047674317589599E-2</c:v>
              </c:pt>
              <c:pt idx="17">
                <c:v>3.0110741808865799E-3</c:v>
              </c:pt>
              <c:pt idx="18">
                <c:v>1.8538336857408199E-4</c:v>
              </c:pt>
              <c:pt idx="19">
                <c:v>7.4790159923164196E-6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9840"/>
        <c:axId val="539499264"/>
      </c:scatterChart>
      <c:catAx>
        <c:axId val="61882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8688"/>
        <c:crosses val="autoZero"/>
        <c:auto val="1"/>
        <c:lblAlgn val="ctr"/>
        <c:lblOffset val="100"/>
        <c:noMultiLvlLbl val="0"/>
      </c:catAx>
      <c:valAx>
        <c:axId val="539498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8824704"/>
        <c:crosses val="autoZero"/>
        <c:crossBetween val="between"/>
      </c:valAx>
      <c:valAx>
        <c:axId val="53949926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499840"/>
        <c:crosses val="max"/>
        <c:crossBetween val="midCat"/>
      </c:valAx>
      <c:valAx>
        <c:axId val="539499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3949926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8.6340000000000003</c:v>
              </c:pt>
              <c:pt idx="2">
                <c:v>8.6610000000000014</c:v>
              </c:pt>
              <c:pt idx="3">
                <c:v>8.6880000000000006</c:v>
              </c:pt>
              <c:pt idx="4">
                <c:v>8.7150000000000016</c:v>
              </c:pt>
              <c:pt idx="5">
                <c:v>8.7420000000000009</c:v>
              </c:pt>
              <c:pt idx="6">
                <c:v>8.7679999999999971</c:v>
              </c:pt>
              <c:pt idx="7">
                <c:v>8.7950000000000017</c:v>
              </c:pt>
              <c:pt idx="8">
                <c:v>8.8219999999999992</c:v>
              </c:pt>
              <c:pt idx="9">
                <c:v>8.8490000000000002</c:v>
              </c:pt>
              <c:pt idx="10">
                <c:v>8.8760000000000012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9.0370000000000008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9.1180000000000003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262976"/>
        <c:axId val="53962630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9.8304397356818198E-5</c:v>
              </c:pt>
              <c:pt idx="1">
                <c:v>1.0041830672377499E-3</c:v>
              </c:pt>
              <c:pt idx="2">
                <c:v>7.8454121560897708E-3</c:v>
              </c:pt>
              <c:pt idx="3">
                <c:v>4.6879336458656003E-2</c:v>
              </c:pt>
              <c:pt idx="4">
                <c:v>0.214244789347663</c:v>
              </c:pt>
              <c:pt idx="5">
                <c:v>0.74886230370539397</c:v>
              </c:pt>
              <c:pt idx="6">
                <c:v>2.0019653663232071</c:v>
              </c:pt>
              <c:pt idx="7">
                <c:v>4.0933043729700884</c:v>
              </c:pt>
              <c:pt idx="8">
                <c:v>6.4010969934036401</c:v>
              </c:pt>
              <c:pt idx="9">
                <c:v>7.6559249155911067</c:v>
              </c:pt>
              <c:pt idx="10">
                <c:v>7.0033183067281257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0.335860436986125</c:v>
              </c:pt>
              <c:pt idx="15">
                <c:v>8.0404460046833701E-2</c:v>
              </c:pt>
              <c:pt idx="16">
                <c:v>1.4721919851459601E-2</c:v>
              </c:pt>
              <c:pt idx="17">
                <c:v>2.0616349899210298E-3</c:v>
              </c:pt>
              <c:pt idx="18">
                <c:v>2.2081172065470099E-4</c:v>
              </c:pt>
              <c:pt idx="19">
                <c:v>1.80882055942816E-5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27456"/>
        <c:axId val="539626880"/>
      </c:scatterChart>
      <c:catAx>
        <c:axId val="61926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26304"/>
        <c:crosses val="autoZero"/>
        <c:auto val="1"/>
        <c:lblAlgn val="ctr"/>
        <c:lblOffset val="100"/>
        <c:noMultiLvlLbl val="0"/>
      </c:catAx>
      <c:valAx>
        <c:axId val="539626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262976"/>
        <c:crosses val="autoZero"/>
        <c:crossBetween val="between"/>
      </c:valAx>
      <c:valAx>
        <c:axId val="5396268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27456"/>
        <c:crosses val="max"/>
        <c:crossBetween val="midCat"/>
      </c:valAx>
      <c:valAx>
        <c:axId val="539627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39626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8.6139999999999972</c:v>
              </c:pt>
              <c:pt idx="2">
                <c:v>8.65</c:v>
              </c:pt>
              <c:pt idx="3">
                <c:v>8.6870000000000012</c:v>
              </c:pt>
              <c:pt idx="4">
                <c:v>8.7240000000000002</c:v>
              </c:pt>
              <c:pt idx="5">
                <c:v>8.76</c:v>
              </c:pt>
              <c:pt idx="6">
                <c:v>8.7970000000000006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8.9440000000000008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9.1280000000000001</c:v>
              </c:pt>
              <c:pt idx="16">
                <c:v>9.1640000000000015</c:v>
              </c:pt>
              <c:pt idx="17">
                <c:v>9.2010000000000005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316224"/>
        <c:axId val="539630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3.9941116466272402E-10</c:v>
              </c:pt>
              <c:pt idx="1">
                <c:v>2.2906064031605301E-7</c:v>
              </c:pt>
              <c:pt idx="2">
                <c:v>4.9610739109619503E-5</c:v>
              </c:pt>
              <c:pt idx="3">
                <c:v>4.0578489902669997E-3</c:v>
              </c:pt>
              <c:pt idx="4">
                <c:v>0.12534615651932601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1.5981262273490571</c:v>
              </c:pt>
              <c:pt idx="10">
                <c:v>0.143217458002146</c:v>
              </c:pt>
              <c:pt idx="11">
                <c:v>4.8470310314132096E-3</c:v>
              </c:pt>
              <c:pt idx="12">
                <c:v>6.1951324535324602E-5</c:v>
              </c:pt>
              <c:pt idx="13">
                <c:v>2.9903384773938202E-7</c:v>
              </c:pt>
              <c:pt idx="14">
                <c:v>5.4511114176829998E-10</c:v>
              </c:pt>
              <c:pt idx="15">
                <c:v>3.7527075896873998E-13</c:v>
              </c:pt>
              <c:pt idx="16">
                <c:v>9.75661907364416E-17</c:v>
              </c:pt>
              <c:pt idx="17">
                <c:v>9.5796342879214194E-21</c:v>
              </c:pt>
              <c:pt idx="18">
                <c:v>3.5521677518194301E-25</c:v>
              </c:pt>
              <c:pt idx="19">
                <c:v>4.97431131157908E-30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47776"/>
        <c:axId val="586547200"/>
      </c:scatterChart>
      <c:catAx>
        <c:axId val="61931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39630912"/>
        <c:crosses val="autoZero"/>
        <c:auto val="1"/>
        <c:lblAlgn val="ctr"/>
        <c:lblOffset val="100"/>
        <c:noMultiLvlLbl val="0"/>
      </c:catAx>
      <c:valAx>
        <c:axId val="539630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316224"/>
        <c:crosses val="autoZero"/>
        <c:crossBetween val="between"/>
      </c:valAx>
      <c:valAx>
        <c:axId val="58654720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47776"/>
        <c:crosses val="max"/>
        <c:crossBetween val="midCat"/>
      </c:valAx>
      <c:valAx>
        <c:axId val="586547776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4720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8.2780000000000005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19357184"/>
        <c:axId val="58655123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5.8444339925738199E-42</c:v>
              </c:pt>
              <c:pt idx="1">
                <c:v>2.5134026102721701E-34</c:v>
              </c:pt>
              <c:pt idx="2">
                <c:v>1.8769519703939198E-27</c:v>
              </c:pt>
              <c:pt idx="3">
                <c:v>2.43397071552817E-21</c:v>
              </c:pt>
              <c:pt idx="4">
                <c:v>5.4808742392865902E-16</c:v>
              </c:pt>
              <c:pt idx="5">
                <c:v>2.1431655162437599E-11</c:v>
              </c:pt>
              <c:pt idx="6">
                <c:v>1.45523122881304E-7</c:v>
              </c:pt>
              <c:pt idx="7">
                <c:v>1.7158531391425001E-4</c:v>
              </c:pt>
              <c:pt idx="8">
                <c:v>3.5131770386488403E-2</c:v>
              </c:pt>
              <c:pt idx="9">
                <c:v>1.2490843646235219</c:v>
              </c:pt>
              <c:pt idx="10">
                <c:v>7.7117922779075476</c:v>
              </c:pt>
              <c:pt idx="11">
                <c:v>8.2678138214719752</c:v>
              </c:pt>
              <c:pt idx="12">
                <c:v>1.539209971575104</c:v>
              </c:pt>
              <c:pt idx="13">
                <c:v>4.9759597927897498E-2</c:v>
              </c:pt>
              <c:pt idx="14">
                <c:v>2.7933648963671001E-4</c:v>
              </c:pt>
              <c:pt idx="15">
                <c:v>2.7230166338396E-7</c:v>
              </c:pt>
              <c:pt idx="16">
                <c:v>4.6094035487945399E-11</c:v>
              </c:pt>
              <c:pt idx="17">
                <c:v>1.35491167136663E-15</c:v>
              </c:pt>
              <c:pt idx="18">
                <c:v>6.9159054987776194E-21</c:v>
              </c:pt>
              <c:pt idx="19">
                <c:v>6.1299782161074201E-27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52384"/>
        <c:axId val="586551808"/>
      </c:scatterChart>
      <c:catAx>
        <c:axId val="61935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51232"/>
        <c:crosses val="autoZero"/>
        <c:auto val="1"/>
        <c:lblAlgn val="ctr"/>
        <c:lblOffset val="100"/>
        <c:noMultiLvlLbl val="0"/>
      </c:catAx>
      <c:valAx>
        <c:axId val="586551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19357184"/>
        <c:crosses val="autoZero"/>
        <c:crossBetween val="between"/>
      </c:valAx>
      <c:valAx>
        <c:axId val="58655180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52384"/>
        <c:crosses val="max"/>
        <c:crossBetween val="midCat"/>
      </c:valAx>
      <c:valAx>
        <c:axId val="586552384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518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8.5310000000000006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8.6880000000000006</c:v>
              </c:pt>
              <c:pt idx="5">
                <c:v>8.7270000000000003</c:v>
              </c:pt>
              <c:pt idx="6">
                <c:v>8.766</c:v>
              </c:pt>
              <c:pt idx="7">
                <c:v>8.8049999999999997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8.9619999999999997</c:v>
              </c:pt>
              <c:pt idx="12">
                <c:v>9.0010000000000012</c:v>
              </c:pt>
              <c:pt idx="13">
                <c:v>9.0410000000000004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9.1980000000000004</c:v>
              </c:pt>
              <c:pt idx="18">
                <c:v>9.2370000000000001</c:v>
              </c:pt>
              <c:pt idx="19">
                <c:v>9.2760000000000016</c:v>
              </c:pt>
              <c:pt idx="20">
                <c:v>9.3149999999999995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2150656"/>
        <c:axId val="5865887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1.8490291601409701E-13</c:v>
              </c:pt>
              <c:pt idx="1">
                <c:v>3.67746998998584E-10</c:v>
              </c:pt>
              <c:pt idx="2">
                <c:v>2.5846844030751999E-7</c:v>
              </c:pt>
              <c:pt idx="3">
                <c:v>6.4197618059693196E-5</c:v>
              </c:pt>
              <c:pt idx="4">
                <c:v>5.6348623937901698E-3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10.159467014120739</c:v>
              </c:pt>
              <c:pt idx="9">
                <c:v>4.9147328673814821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1.08368712280137E-3</c:v>
              </c:pt>
              <c:pt idx="13">
                <c:v>8.1760633949478294E-6</c:v>
              </c:pt>
              <c:pt idx="14">
                <c:v>2.1799149525936799E-8</c:v>
              </c:pt>
              <c:pt idx="15">
                <c:v>2.0539429323404401E-11</c:v>
              </c:pt>
              <c:pt idx="16">
                <c:v>6.8389702985943997E-15</c:v>
              </c:pt>
              <c:pt idx="17">
                <c:v>8.0472331607251302E-19</c:v>
              </c:pt>
              <c:pt idx="18">
                <c:v>3.3462314315009E-23</c:v>
              </c:pt>
              <c:pt idx="19">
                <c:v>4.9172114713040799E-28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89888"/>
        <c:axId val="586589312"/>
      </c:scatterChart>
      <c:catAx>
        <c:axId val="6221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88736"/>
        <c:crosses val="autoZero"/>
        <c:auto val="1"/>
        <c:lblAlgn val="ctr"/>
        <c:lblOffset val="100"/>
        <c:noMultiLvlLbl val="0"/>
      </c:catAx>
      <c:valAx>
        <c:axId val="5865887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2150656"/>
        <c:crosses val="autoZero"/>
        <c:crossBetween val="between"/>
      </c:valAx>
      <c:valAx>
        <c:axId val="586589312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89888"/>
        <c:crosses val="max"/>
        <c:crossBetween val="midCat"/>
      </c:valAx>
      <c:valAx>
        <c:axId val="586589888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893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8.4619999999999997</c:v>
              </c:pt>
              <c:pt idx="1">
                <c:v>8.5050000000000008</c:v>
              </c:pt>
              <c:pt idx="2">
                <c:v>8.548</c:v>
              </c:pt>
              <c:pt idx="3">
                <c:v>8.5910000000000011</c:v>
              </c:pt>
              <c:pt idx="4">
                <c:v>8.6340000000000003</c:v>
              </c:pt>
              <c:pt idx="5">
                <c:v>8.6770000000000014</c:v>
              </c:pt>
              <c:pt idx="6">
                <c:v>8.7200000000000024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8.8919999999999995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9.0210000000000008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9.2360000000000024</c:v>
              </c:pt>
              <c:pt idx="19">
                <c:v>9.2790000000000017</c:v>
              </c:pt>
              <c:pt idx="20">
                <c:v>9.3219999999999992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8823040"/>
        <c:axId val="586593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6.1398179729932704E-20</c:v>
              </c:pt>
              <c:pt idx="1">
                <c:v>1.48241006517003E-15</c:v>
              </c:pt>
              <c:pt idx="2">
                <c:v>1.04521071516911E-11</c:v>
              </c:pt>
              <c:pt idx="3">
                <c:v>2.1520990449734501E-8</c:v>
              </c:pt>
              <c:pt idx="4">
                <c:v>1.29402529825897E-5</c:v>
              </c:pt>
              <c:pt idx="5">
                <c:v>2.2721971498493899E-3</c:v>
              </c:pt>
              <c:pt idx="6">
                <c:v>0.116512490806469</c:v>
              </c:pt>
              <c:pt idx="7">
                <c:v>1.7447022597184321</c:v>
              </c:pt>
              <c:pt idx="8">
                <c:v>7.6294375287324199</c:v>
              </c:pt>
              <c:pt idx="9">
                <c:v>9.7428514278127132</c:v>
              </c:pt>
              <c:pt idx="10">
                <c:v>3.6333061951869721</c:v>
              </c:pt>
              <c:pt idx="11">
                <c:v>0.39567652031060802</c:v>
              </c:pt>
              <c:pt idx="12">
                <c:v>1.2583484571335599E-2</c:v>
              </c:pt>
              <c:pt idx="13">
                <c:v>1.16864854601734E-4</c:v>
              </c:pt>
              <c:pt idx="14">
                <c:v>3.1694892715713701E-7</c:v>
              </c:pt>
              <c:pt idx="15">
                <c:v>2.51025019756871E-10</c:v>
              </c:pt>
              <c:pt idx="16">
                <c:v>5.8058671580574704E-14</c:v>
              </c:pt>
              <c:pt idx="17">
                <c:v>3.9213855150810398E-18</c:v>
              </c:pt>
              <c:pt idx="18">
                <c:v>7.7345374531659103E-23</c:v>
              </c:pt>
              <c:pt idx="19">
                <c:v>4.4550390401135999E-28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94496"/>
        <c:axId val="586593920"/>
      </c:scatterChart>
      <c:catAx>
        <c:axId val="62882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93344"/>
        <c:crosses val="autoZero"/>
        <c:auto val="1"/>
        <c:lblAlgn val="ctr"/>
        <c:lblOffset val="100"/>
        <c:noMultiLvlLbl val="0"/>
      </c:catAx>
      <c:valAx>
        <c:axId val="586593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8823040"/>
        <c:crosses val="autoZero"/>
        <c:crossBetween val="between"/>
      </c:valAx>
      <c:valAx>
        <c:axId val="58659392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594496"/>
        <c:crosses val="max"/>
        <c:crossBetween val="midCat"/>
      </c:valAx>
      <c:valAx>
        <c:axId val="586594496"/>
        <c:scaling>
          <c:orientation val="minMax"/>
        </c:scaling>
        <c:delete val="1"/>
        <c:axPos val="b"/>
        <c:majorTickMark val="out"/>
        <c:minorTickMark val="none"/>
        <c:tickLblPos val="nextTo"/>
        <c:crossAx val="5865939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</c:v>
              </c:pt>
              <c:pt idx="2">
                <c:v>8.41</c:v>
              </c:pt>
              <c:pt idx="3">
                <c:v>8.4619999999999997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9.1299999999999972</c:v>
              </c:pt>
              <c:pt idx="17">
                <c:v>9.1810000000000009</c:v>
              </c:pt>
              <c:pt idx="18">
                <c:v>9.2330000000000005</c:v>
              </c:pt>
              <c:pt idx="19">
                <c:v>9.2839999999999971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277696"/>
        <c:axId val="5867946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5.8109380979643802E-37</c:v>
              </c:pt>
              <c:pt idx="1">
                <c:v>4.63951291473421E-30</c:v>
              </c:pt>
              <c:pt idx="2">
                <c:v>7.2726403026163404E-24</c:v>
              </c:pt>
              <c:pt idx="3">
                <c:v>2.23823551272276E-18</c:v>
              </c:pt>
              <c:pt idx="4">
                <c:v>1.35242220716672E-13</c:v>
              </c:pt>
              <c:pt idx="5">
                <c:v>1.60439939126383E-9</c:v>
              </c:pt>
              <c:pt idx="6">
                <c:v>3.7368635572541201E-6</c:v>
              </c:pt>
              <c:pt idx="7">
                <c:v>1.70881586477455E-3</c:v>
              </c:pt>
              <c:pt idx="8">
                <c:v>0.153418088714321</c:v>
              </c:pt>
              <c:pt idx="9">
                <c:v>2.7042768022228598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0.84827078833206404</c:v>
              </c:pt>
              <c:pt idx="13">
                <c:v>2.22168346494056E-2</c:v>
              </c:pt>
              <c:pt idx="14">
                <c:v>1.1424129778829501E-4</c:v>
              </c:pt>
              <c:pt idx="15">
                <c:v>1.15333998155834E-7</c:v>
              </c:pt>
              <c:pt idx="16">
                <c:v>2.2860453471676999E-11</c:v>
              </c:pt>
              <c:pt idx="17">
                <c:v>8.8962219334412697E-16</c:v>
              </c:pt>
              <c:pt idx="18">
                <c:v>6.7970372571122605E-21</c:v>
              </c:pt>
              <c:pt idx="19">
                <c:v>1.01959328450157E-26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95840"/>
        <c:axId val="586795264"/>
      </c:scatterChart>
      <c:catAx>
        <c:axId val="62927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4688"/>
        <c:crosses val="autoZero"/>
        <c:auto val="1"/>
        <c:lblAlgn val="ctr"/>
        <c:lblOffset val="100"/>
        <c:noMultiLvlLbl val="0"/>
      </c:catAx>
      <c:valAx>
        <c:axId val="586794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277696"/>
        <c:crosses val="autoZero"/>
        <c:crossBetween val="between"/>
      </c:valAx>
      <c:valAx>
        <c:axId val="58679526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5840"/>
        <c:crosses val="max"/>
        <c:crossBetween val="midCat"/>
      </c:valAx>
      <c:valAx>
        <c:axId val="586795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9526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24.46</c:v>
              </c:pt>
              <c:pt idx="1">
                <c:v>25.12</c:v>
              </c:pt>
              <c:pt idx="2">
                <c:v>25.78</c:v>
              </c:pt>
              <c:pt idx="3">
                <c:v>26.44</c:v>
              </c:pt>
              <c:pt idx="4">
                <c:v>27.1</c:v>
              </c:pt>
              <c:pt idx="5">
                <c:v>27.76</c:v>
              </c:pt>
              <c:pt idx="6">
                <c:v>28.42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32.380000000000003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36.340000000000003</c:v>
              </c:pt>
              <c:pt idx="19">
                <c:v>37</c:v>
              </c:pt>
              <c:pt idx="20">
                <c:v>37.659999999999997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541888"/>
        <c:axId val="58679929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8.7014015735969006E-6</c:v>
              </c:pt>
              <c:pt idx="1">
                <c:v>7.3045582405351705E-5</c:v>
              </c:pt>
              <c:pt idx="2">
                <c:v>4.81303626284081E-4</c:v>
              </c:pt>
              <c:pt idx="3">
                <c:v>2.4892283868120199E-3</c:v>
              </c:pt>
              <c:pt idx="4">
                <c:v>1.01048713734125E-2</c:v>
              </c:pt>
              <c:pt idx="5">
                <c:v>3.2197137917453197E-2</c:v>
              </c:pt>
              <c:pt idx="6">
                <c:v>8.0523784826997097E-2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0.121841364554471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1.26507752735167E-3</c:v>
              </c:pt>
              <c:pt idx="17">
                <c:v>2.2041889536670599E-4</c:v>
              </c:pt>
              <c:pt idx="18">
                <c:v>3.0144003784276499E-5</c:v>
              </c:pt>
              <c:pt idx="19">
                <c:v>3.23573899819548E-6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00448"/>
        <c:axId val="586799872"/>
      </c:scatterChart>
      <c:catAx>
        <c:axId val="6295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799296"/>
        <c:crosses val="autoZero"/>
        <c:auto val="1"/>
        <c:lblAlgn val="ctr"/>
        <c:lblOffset val="100"/>
        <c:noMultiLvlLbl val="0"/>
      </c:catAx>
      <c:valAx>
        <c:axId val="586799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541888"/>
        <c:crosses val="autoZero"/>
        <c:crossBetween val="between"/>
      </c:valAx>
      <c:valAx>
        <c:axId val="586799872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86800448"/>
        <c:crosses val="max"/>
        <c:crossBetween val="midCat"/>
      </c:valAx>
      <c:valAx>
        <c:axId val="586800448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9987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36.81</c:v>
              </c:pt>
              <c:pt idx="4">
                <c:v>37.47</c:v>
              </c:pt>
              <c:pt idx="5">
                <c:v>38.130000000000003</c:v>
              </c:pt>
              <c:pt idx="6">
                <c:v>38.79</c:v>
              </c:pt>
              <c:pt idx="7">
                <c:v>39.450000000000003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9586944"/>
        <c:axId val="5906624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5.27342645834743E-9</c:v>
              </c:pt>
              <c:pt idx="1">
                <c:v>1.14695839960287E-7</c:v>
              </c:pt>
              <c:pt idx="2">
                <c:v>1.8669634206925099E-6</c:v>
              </c:pt>
              <c:pt idx="3">
                <c:v>2.2743501192106499E-5</c:v>
              </c:pt>
              <c:pt idx="4">
                <c:v>2.0735389855074099E-4</c:v>
              </c:pt>
              <c:pt idx="5">
                <c:v>1.41481761618217E-3</c:v>
              </c:pt>
              <c:pt idx="6">
                <c:v>7.2247376696954E-3</c:v>
              </c:pt>
              <c:pt idx="7">
                <c:v>2.7610678342643601E-2</c:v>
              </c:pt>
              <c:pt idx="8">
                <c:v>7.8970600592236498E-2</c:v>
              </c:pt>
              <c:pt idx="9">
                <c:v>0.16903910149279799</c:v>
              </c:pt>
              <c:pt idx="10">
                <c:v>0.27079602218019899</c:v>
              </c:pt>
              <c:pt idx="11">
                <c:v>0.324661473784156</c:v>
              </c:pt>
              <c:pt idx="12">
                <c:v>0.291308127277981</c:v>
              </c:pt>
              <c:pt idx="13">
                <c:v>0.19561755079630799</c:v>
              </c:pt>
              <c:pt idx="14">
                <c:v>9.8309707318874798E-2</c:v>
              </c:pt>
              <c:pt idx="15">
                <c:v>3.69758664467058E-2</c:v>
              </c:pt>
              <c:pt idx="16">
                <c:v>1.0408153441237E-2</c:v>
              </c:pt>
              <c:pt idx="17">
                <c:v>2.1926150111772598E-3</c:v>
              </c:pt>
              <c:pt idx="18">
                <c:v>3.4568811645125503E-4</c:v>
              </c:pt>
              <c:pt idx="19">
                <c:v>4.0788702241931797E-5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663616"/>
        <c:axId val="590663040"/>
      </c:scatterChart>
      <c:catAx>
        <c:axId val="6295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2464"/>
        <c:crosses val="autoZero"/>
        <c:auto val="1"/>
        <c:lblAlgn val="ctr"/>
        <c:lblOffset val="100"/>
        <c:noMultiLvlLbl val="0"/>
      </c:catAx>
      <c:valAx>
        <c:axId val="590662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29586944"/>
        <c:crosses val="autoZero"/>
        <c:crossBetween val="between"/>
      </c:valAx>
      <c:valAx>
        <c:axId val="590663040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3616"/>
        <c:crosses val="max"/>
        <c:crossBetween val="midCat"/>
      </c:valAx>
      <c:valAx>
        <c:axId val="590663616"/>
        <c:scaling>
          <c:orientation val="minMax"/>
        </c:scaling>
        <c:delete val="1"/>
        <c:axPos val="b"/>
        <c:majorTickMark val="out"/>
        <c:minorTickMark val="none"/>
        <c:tickLblPos val="nextTo"/>
        <c:crossAx val="5906630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</c:v>
              </c:pt>
              <c:pt idx="1">
                <c:v>1.98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2.31</c:v>
              </c:pt>
              <c:pt idx="13">
                <c:v>2.34</c:v>
              </c:pt>
              <c:pt idx="14">
                <c:v>2.37</c:v>
              </c:pt>
              <c:pt idx="15">
                <c:v>2.4</c:v>
              </c:pt>
              <c:pt idx="16">
                <c:v>2.4300000000000002</c:v>
              </c:pt>
              <c:pt idx="17">
                <c:v>2.46</c:v>
              </c:pt>
              <c:pt idx="18">
                <c:v>2.4900000000000002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55870976"/>
        <c:axId val="5906670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3.82737971291567E-5</c:v>
              </c:pt>
              <c:pt idx="1">
                <c:v>2.9270877965624698E-4</c:v>
              </c:pt>
              <c:pt idx="2">
                <c:v>1.8510595376074199E-3</c:v>
              </c:pt>
              <c:pt idx="3">
                <c:v>9.6795575957227802E-3</c:v>
              </c:pt>
              <c:pt idx="4">
                <c:v>4.1854386936316698E-2</c:v>
              </c:pt>
              <c:pt idx="5">
                <c:v>0.14965006572310899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2.1866918765054719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2.7565761987763562</c:v>
              </c:pt>
              <c:pt idx="15">
                <c:v>1.473025176069561</c:v>
              </c:pt>
              <c:pt idx="16">
                <c:v>0.65087972967349905</c:v>
              </c:pt>
              <c:pt idx="17">
                <c:v>0.23781636285421401</c:v>
              </c:pt>
              <c:pt idx="18">
                <c:v>7.1851143734174394E-2</c:v>
              </c:pt>
              <c:pt idx="19">
                <c:v>1.7950486021767999E-2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482944"/>
        <c:axId val="599482368"/>
      </c:scatterChart>
      <c:catAx>
        <c:axId val="65587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0667072"/>
        <c:crosses val="autoZero"/>
        <c:auto val="1"/>
        <c:lblAlgn val="ctr"/>
        <c:lblOffset val="100"/>
        <c:noMultiLvlLbl val="0"/>
      </c:catAx>
      <c:valAx>
        <c:axId val="590667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55870976"/>
        <c:crosses val="autoZero"/>
        <c:crossBetween val="between"/>
      </c:valAx>
      <c:valAx>
        <c:axId val="59948236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2944"/>
        <c:crosses val="max"/>
        <c:crossBetween val="midCat"/>
      </c:valAx>
      <c:valAx>
        <c:axId val="599482944"/>
        <c:scaling>
          <c:orientation val="minMax"/>
        </c:scaling>
        <c:delete val="1"/>
        <c:axPos val="b"/>
        <c:majorTickMark val="out"/>
        <c:minorTickMark val="none"/>
        <c:tickLblPos val="nextTo"/>
        <c:crossAx val="5994823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</c:v>
              </c:pt>
              <c:pt idx="1">
                <c:v>1.98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2.31</c:v>
              </c:pt>
              <c:pt idx="13">
                <c:v>2.34</c:v>
              </c:pt>
              <c:pt idx="14">
                <c:v>2.37</c:v>
              </c:pt>
              <c:pt idx="15">
                <c:v>2.4</c:v>
              </c:pt>
              <c:pt idx="16">
                <c:v>2.4300000000000002</c:v>
              </c:pt>
              <c:pt idx="17">
                <c:v>2.46</c:v>
              </c:pt>
              <c:pt idx="18">
                <c:v>2.4900000000000002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55997952"/>
        <c:axId val="5994864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1.0977409155336E-4</c:v>
              </c:pt>
              <c:pt idx="1">
                <c:v>7.5596862944513998E-4</c:v>
              </c:pt>
              <c:pt idx="2">
                <c:v>4.3121179181176399E-3</c:v>
              </c:pt>
              <c:pt idx="3">
                <c:v>2.0373256582944602E-2</c:v>
              </c:pt>
              <c:pt idx="4">
                <c:v>7.97284158159451E-2</c:v>
              </c:pt>
              <c:pt idx="5">
                <c:v>0.25843346916930499</c:v>
              </c:pt>
              <c:pt idx="6">
                <c:v>0.69385291812439598</c:v>
              </c:pt>
              <c:pt idx="7">
                <c:v>1.5430108598991661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5.479880463700832</c:v>
              </c:pt>
              <c:pt idx="11">
                <c:v>5.7359354640284357</c:v>
              </c:pt>
              <c:pt idx="12">
                <c:v>4.9730214177124141</c:v>
              </c:pt>
              <c:pt idx="13">
                <c:v>3.5712422002363389</c:v>
              </c:pt>
              <c:pt idx="14">
                <c:v>2.1242282589991581</c:v>
              </c:pt>
              <c:pt idx="15">
                <c:v>1.0465644084051999</c:v>
              </c:pt>
              <c:pt idx="16">
                <c:v>0.42708433495499798</c:v>
              </c:pt>
              <c:pt idx="17">
                <c:v>0.14435911974708801</c:v>
              </c:pt>
              <c:pt idx="18">
                <c:v>4.0416462626025197E-2</c:v>
              </c:pt>
              <c:pt idx="19">
                <c:v>9.3724997902485205E-3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487552"/>
        <c:axId val="599486976"/>
      </c:scatterChart>
      <c:catAx>
        <c:axId val="65599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6400"/>
        <c:crosses val="autoZero"/>
        <c:auto val="1"/>
        <c:lblAlgn val="ctr"/>
        <c:lblOffset val="100"/>
        <c:noMultiLvlLbl val="0"/>
      </c:catAx>
      <c:valAx>
        <c:axId val="599486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655997952"/>
        <c:crosses val="autoZero"/>
        <c:crossBetween val="between"/>
      </c:valAx>
      <c:valAx>
        <c:axId val="59948697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99487552"/>
        <c:crosses val="max"/>
        <c:crossBetween val="midCat"/>
      </c:valAx>
      <c:valAx>
        <c:axId val="599487552"/>
        <c:scaling>
          <c:orientation val="minMax"/>
        </c:scaling>
        <c:delete val="1"/>
        <c:axPos val="b"/>
        <c:majorTickMark val="out"/>
        <c:minorTickMark val="none"/>
        <c:tickLblPos val="nextTo"/>
        <c:crossAx val="5994869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0481" name="Button 29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0482" name="Button 30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0483" name="Button 31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0484" name="Button 39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0485" name="Button 41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3</xdr:col>
          <xdr:colOff>657225</xdr:colOff>
          <xdr:row>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</xdr:col>
          <xdr:colOff>657225</xdr:colOff>
          <xdr:row>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161925</xdr:colOff>
          <xdr:row>0</xdr:row>
          <xdr:rowOff>0</xdr:rowOff>
        </xdr:from>
        <xdr:to>
          <xdr:col>7</xdr:col>
          <xdr:colOff>647700</xdr:colOff>
          <xdr:row>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1484" name="11CircleGroup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GrpSpPr/>
      </xdr:nvGrpSpPr>
      <xdr:grpSpPr>
        <a:xfrm>
          <a:off x="635000" y="647700"/>
          <a:ext cx="323850" cy="260350"/>
          <a:chOff x="635000" y="635000"/>
          <a:chExt cx="254000" cy="254000"/>
        </a:xfrm>
      </xdr:grpSpPr>
      <xdr:sp macro="" textlink="">
        <xdr:nvSpPr>
          <xdr:cNvPr id="1481" name="11Circle">
            <a:extLst>
              <a:ext uri="{FF2B5EF4-FFF2-40B4-BE49-F238E27FC236}">
                <a16:creationId xmlns:a16="http://schemas.microsoft.com/office/drawing/2014/main" id="{00000000-0008-0000-0100-0000C9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1482" name="11CircleCover">
            <a:extLst>
              <a:ext uri="{FF2B5EF4-FFF2-40B4-BE49-F238E27FC236}">
                <a16:creationId xmlns:a16="http://schemas.microsoft.com/office/drawing/2014/main" id="{00000000-0008-0000-0100-0000CA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1488" name="12CircleGroup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GrpSpPr/>
      </xdr:nvGrpSpPr>
      <xdr:grpSpPr>
        <a:xfrm>
          <a:off x="635000" y="2400300"/>
          <a:ext cx="323850" cy="285750"/>
          <a:chOff x="635000" y="2159000"/>
          <a:chExt cx="254000" cy="254000"/>
        </a:xfrm>
      </xdr:grpSpPr>
      <xdr:sp macro="" textlink="">
        <xdr:nvSpPr>
          <xdr:cNvPr id="1485" name="12Circle">
            <a:extLst>
              <a:ext uri="{FF2B5EF4-FFF2-40B4-BE49-F238E27FC236}">
                <a16:creationId xmlns:a16="http://schemas.microsoft.com/office/drawing/2014/main" id="{00000000-0008-0000-0100-0000CD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1486" name="12CircleCover">
            <a:extLst>
              <a:ext uri="{FF2B5EF4-FFF2-40B4-BE49-F238E27FC236}">
                <a16:creationId xmlns:a16="http://schemas.microsoft.com/office/drawing/2014/main" id="{00000000-0008-0000-0100-0000CE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1492" name="13CircleGroup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GrpSpPr/>
      </xdr:nvGrpSpPr>
      <xdr:grpSpPr>
        <a:xfrm>
          <a:off x="635000" y="4178300"/>
          <a:ext cx="323850" cy="285750"/>
          <a:chOff x="635000" y="3683000"/>
          <a:chExt cx="254000" cy="254000"/>
        </a:xfrm>
      </xdr:grpSpPr>
      <xdr:sp macro="" textlink="">
        <xdr:nvSpPr>
          <xdr:cNvPr id="1489" name="13Circle">
            <a:extLst>
              <a:ext uri="{FF2B5EF4-FFF2-40B4-BE49-F238E27FC236}">
                <a16:creationId xmlns:a16="http://schemas.microsoft.com/office/drawing/2014/main" id="{00000000-0008-0000-0100-0000D1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490" name="13CircleCover">
            <a:extLst>
              <a:ext uri="{FF2B5EF4-FFF2-40B4-BE49-F238E27FC236}">
                <a16:creationId xmlns:a16="http://schemas.microsoft.com/office/drawing/2014/main" id="{00000000-0008-0000-0100-0000D2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496" name="14CircleGroup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GrpSpPr/>
      </xdr:nvGrpSpPr>
      <xdr:grpSpPr>
        <a:xfrm>
          <a:off x="635000" y="5956300"/>
          <a:ext cx="323850" cy="285750"/>
          <a:chOff x="635000" y="5207000"/>
          <a:chExt cx="254000" cy="254000"/>
        </a:xfrm>
      </xdr:grpSpPr>
      <xdr:sp macro="" textlink="">
        <xdr:nvSpPr>
          <xdr:cNvPr id="1493" name="14Circle">
            <a:extLst>
              <a:ext uri="{FF2B5EF4-FFF2-40B4-BE49-F238E27FC236}">
                <a16:creationId xmlns:a16="http://schemas.microsoft.com/office/drawing/2014/main" id="{00000000-0008-0000-0100-0000D5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494" name="14CircleCover">
            <a:extLst>
              <a:ext uri="{FF2B5EF4-FFF2-40B4-BE49-F238E27FC236}">
                <a16:creationId xmlns:a16="http://schemas.microsoft.com/office/drawing/2014/main" id="{00000000-0008-0000-0100-0000D6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500" name="15CircleGroup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GrpSpPr/>
      </xdr:nvGrpSpPr>
      <xdr:grpSpPr>
        <a:xfrm>
          <a:off x="635000" y="7734300"/>
          <a:ext cx="323850" cy="285750"/>
          <a:chOff x="635000" y="6731000"/>
          <a:chExt cx="254000" cy="254000"/>
        </a:xfrm>
      </xdr:grpSpPr>
      <xdr:sp macro="" textlink="">
        <xdr:nvSpPr>
          <xdr:cNvPr id="1497" name="15Circle">
            <a:extLst>
              <a:ext uri="{FF2B5EF4-FFF2-40B4-BE49-F238E27FC236}">
                <a16:creationId xmlns:a16="http://schemas.microsoft.com/office/drawing/2014/main" id="{00000000-0008-0000-0100-0000D9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498" name="15CircleCover">
            <a:extLst>
              <a:ext uri="{FF2B5EF4-FFF2-40B4-BE49-F238E27FC236}">
                <a16:creationId xmlns:a16="http://schemas.microsoft.com/office/drawing/2014/main" id="{00000000-0008-0000-0100-0000DA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504" name="16CircleGroup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GrpSpPr/>
      </xdr:nvGrpSpPr>
      <xdr:grpSpPr>
        <a:xfrm>
          <a:off x="635000" y="9512300"/>
          <a:ext cx="323850" cy="285750"/>
          <a:chOff x="635000" y="8255000"/>
          <a:chExt cx="254000" cy="254000"/>
        </a:xfrm>
      </xdr:grpSpPr>
      <xdr:sp macro="" textlink="">
        <xdr:nvSpPr>
          <xdr:cNvPr id="1501" name="16Circle">
            <a:extLst>
              <a:ext uri="{FF2B5EF4-FFF2-40B4-BE49-F238E27FC236}">
                <a16:creationId xmlns:a16="http://schemas.microsoft.com/office/drawing/2014/main" id="{00000000-0008-0000-0100-0000DD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502" name="16CircleCover">
            <a:extLst>
              <a:ext uri="{FF2B5EF4-FFF2-40B4-BE49-F238E27FC236}">
                <a16:creationId xmlns:a16="http://schemas.microsoft.com/office/drawing/2014/main" id="{00000000-0008-0000-0100-0000DE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1508" name="17CircleGroup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GrpSpPr/>
      </xdr:nvGrpSpPr>
      <xdr:grpSpPr>
        <a:xfrm>
          <a:off x="635000" y="11290300"/>
          <a:ext cx="323850" cy="285750"/>
          <a:chOff x="635000" y="9779000"/>
          <a:chExt cx="254000" cy="254000"/>
        </a:xfrm>
      </xdr:grpSpPr>
      <xdr:sp macro="" textlink="">
        <xdr:nvSpPr>
          <xdr:cNvPr id="1505" name="17Circle">
            <a:extLst>
              <a:ext uri="{FF2B5EF4-FFF2-40B4-BE49-F238E27FC236}">
                <a16:creationId xmlns:a16="http://schemas.microsoft.com/office/drawing/2014/main" id="{00000000-0008-0000-0100-0000E1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1506" name="17CircleCover">
            <a:extLst>
              <a:ext uri="{FF2B5EF4-FFF2-40B4-BE49-F238E27FC236}">
                <a16:creationId xmlns:a16="http://schemas.microsoft.com/office/drawing/2014/main" id="{00000000-0008-0000-0100-0000E2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1512" name="18CircleGroup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GrpSpPr/>
      </xdr:nvGrpSpPr>
      <xdr:grpSpPr>
        <a:xfrm>
          <a:off x="635000" y="13068300"/>
          <a:ext cx="323850" cy="285750"/>
          <a:chOff x="635000" y="11303000"/>
          <a:chExt cx="254000" cy="254000"/>
        </a:xfrm>
      </xdr:grpSpPr>
      <xdr:sp macro="" textlink="">
        <xdr:nvSpPr>
          <xdr:cNvPr id="1509" name="18Circle">
            <a:extLst>
              <a:ext uri="{FF2B5EF4-FFF2-40B4-BE49-F238E27FC236}">
                <a16:creationId xmlns:a16="http://schemas.microsoft.com/office/drawing/2014/main" id="{00000000-0008-0000-0100-0000E5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99CCFF" mc:Ignorable="a14" a14:legacySpreadsheetColorIndex="44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1510" name="18CircleCover">
            <a:extLst>
              <a:ext uri="{FF2B5EF4-FFF2-40B4-BE49-F238E27FC236}">
                <a16:creationId xmlns:a16="http://schemas.microsoft.com/office/drawing/2014/main" id="{00000000-0008-0000-0100-0000E6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1516" name="19CircleGroup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GrpSpPr/>
      </xdr:nvGrpSpPr>
      <xdr:grpSpPr>
        <a:xfrm>
          <a:off x="635000" y="14846300"/>
          <a:ext cx="323850" cy="285750"/>
          <a:chOff x="635000" y="12827000"/>
          <a:chExt cx="254000" cy="254000"/>
        </a:xfrm>
      </xdr:grpSpPr>
      <xdr:sp macro="" textlink="">
        <xdr:nvSpPr>
          <xdr:cNvPr id="1513" name="19Circle">
            <a:extLst>
              <a:ext uri="{FF2B5EF4-FFF2-40B4-BE49-F238E27FC236}">
                <a16:creationId xmlns:a16="http://schemas.microsoft.com/office/drawing/2014/main" id="{00000000-0008-0000-0100-0000E9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1514" name="19CircleCover">
            <a:extLst>
              <a:ext uri="{FF2B5EF4-FFF2-40B4-BE49-F238E27FC236}">
                <a16:creationId xmlns:a16="http://schemas.microsoft.com/office/drawing/2014/main" id="{00000000-0008-0000-0100-0000EA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1520" name="20CircleGroup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GrpSpPr/>
      </xdr:nvGrpSpPr>
      <xdr:grpSpPr>
        <a:xfrm>
          <a:off x="635000" y="16624300"/>
          <a:ext cx="323850" cy="285750"/>
          <a:chOff x="635000" y="14351000"/>
          <a:chExt cx="254000" cy="254000"/>
        </a:xfrm>
      </xdr:grpSpPr>
      <xdr:sp macro="" textlink="">
        <xdr:nvSpPr>
          <xdr:cNvPr id="1517" name="20Circle">
            <a:extLst>
              <a:ext uri="{FF2B5EF4-FFF2-40B4-BE49-F238E27FC236}">
                <a16:creationId xmlns:a16="http://schemas.microsoft.com/office/drawing/2014/main" id="{00000000-0008-0000-0100-0000ED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1518" name="20CircleCover">
            <a:extLst>
              <a:ext uri="{FF2B5EF4-FFF2-40B4-BE49-F238E27FC236}">
                <a16:creationId xmlns:a16="http://schemas.microsoft.com/office/drawing/2014/main" id="{00000000-0008-0000-0100-0000EE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1524" name="21CircleGroup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GrpSpPr/>
      </xdr:nvGrpSpPr>
      <xdr:grpSpPr>
        <a:xfrm>
          <a:off x="3454400" y="647700"/>
          <a:ext cx="323850" cy="260350"/>
          <a:chOff x="3175000" y="635000"/>
          <a:chExt cx="254000" cy="254000"/>
        </a:xfrm>
      </xdr:grpSpPr>
      <xdr:sp macro="" textlink="">
        <xdr:nvSpPr>
          <xdr:cNvPr id="1521" name="21Circle">
            <a:extLst>
              <a:ext uri="{FF2B5EF4-FFF2-40B4-BE49-F238E27FC236}">
                <a16:creationId xmlns:a16="http://schemas.microsoft.com/office/drawing/2014/main" id="{00000000-0008-0000-0100-0000F1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1522" name="21CircleCover">
            <a:extLst>
              <a:ext uri="{FF2B5EF4-FFF2-40B4-BE49-F238E27FC236}">
                <a16:creationId xmlns:a16="http://schemas.microsoft.com/office/drawing/2014/main" id="{00000000-0008-0000-0100-0000F2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1528" name="22CircleGroup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GrpSpPr/>
      </xdr:nvGrpSpPr>
      <xdr:grpSpPr>
        <a:xfrm>
          <a:off x="3454400" y="2400300"/>
          <a:ext cx="323850" cy="285750"/>
          <a:chOff x="3175000" y="2159000"/>
          <a:chExt cx="254000" cy="254000"/>
        </a:xfrm>
      </xdr:grpSpPr>
      <xdr:sp macro="" textlink="">
        <xdr:nvSpPr>
          <xdr:cNvPr id="1525" name="22Circle">
            <a:extLst>
              <a:ext uri="{FF2B5EF4-FFF2-40B4-BE49-F238E27FC236}">
                <a16:creationId xmlns:a16="http://schemas.microsoft.com/office/drawing/2014/main" id="{00000000-0008-0000-0100-0000F5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1526" name="22CircleCover">
            <a:extLst>
              <a:ext uri="{FF2B5EF4-FFF2-40B4-BE49-F238E27FC236}">
                <a16:creationId xmlns:a16="http://schemas.microsoft.com/office/drawing/2014/main" id="{00000000-0008-0000-0100-0000F6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1532" name="23CircleGroup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GrpSpPr/>
      </xdr:nvGrpSpPr>
      <xdr:grpSpPr>
        <a:xfrm>
          <a:off x="3454400" y="4178300"/>
          <a:ext cx="323850" cy="285750"/>
          <a:chOff x="3175000" y="3683000"/>
          <a:chExt cx="254000" cy="254000"/>
        </a:xfrm>
      </xdr:grpSpPr>
      <xdr:sp macro="" textlink="">
        <xdr:nvSpPr>
          <xdr:cNvPr id="1529" name="23Circle">
            <a:extLst>
              <a:ext uri="{FF2B5EF4-FFF2-40B4-BE49-F238E27FC236}">
                <a16:creationId xmlns:a16="http://schemas.microsoft.com/office/drawing/2014/main" id="{00000000-0008-0000-0100-0000F9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1530" name="23CircleCover">
            <a:extLst>
              <a:ext uri="{FF2B5EF4-FFF2-40B4-BE49-F238E27FC236}">
                <a16:creationId xmlns:a16="http://schemas.microsoft.com/office/drawing/2014/main" id="{00000000-0008-0000-0100-0000FA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1536" name="24CircleGroup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GrpSpPr/>
      </xdr:nvGrpSpPr>
      <xdr:grpSpPr>
        <a:xfrm>
          <a:off x="3454400" y="5956300"/>
          <a:ext cx="323850" cy="285750"/>
          <a:chOff x="3175000" y="5207000"/>
          <a:chExt cx="254000" cy="254000"/>
        </a:xfrm>
      </xdr:grpSpPr>
      <xdr:sp macro="" textlink="">
        <xdr:nvSpPr>
          <xdr:cNvPr id="1533" name="24Circle">
            <a:extLst>
              <a:ext uri="{FF2B5EF4-FFF2-40B4-BE49-F238E27FC236}">
                <a16:creationId xmlns:a16="http://schemas.microsoft.com/office/drawing/2014/main" id="{00000000-0008-0000-0100-0000FD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1534" name="24CircleCover">
            <a:extLst>
              <a:ext uri="{FF2B5EF4-FFF2-40B4-BE49-F238E27FC236}">
                <a16:creationId xmlns:a16="http://schemas.microsoft.com/office/drawing/2014/main" id="{00000000-0008-0000-0100-0000FE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1540" name="25CircleGroup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GrpSpPr/>
      </xdr:nvGrpSpPr>
      <xdr:grpSpPr>
        <a:xfrm>
          <a:off x="3454400" y="7734300"/>
          <a:ext cx="323850" cy="285750"/>
          <a:chOff x="3175000" y="6731000"/>
          <a:chExt cx="254000" cy="254000"/>
        </a:xfrm>
      </xdr:grpSpPr>
      <xdr:sp macro="" textlink="">
        <xdr:nvSpPr>
          <xdr:cNvPr id="1537" name="25Circle">
            <a:extLst>
              <a:ext uri="{FF2B5EF4-FFF2-40B4-BE49-F238E27FC236}">
                <a16:creationId xmlns:a16="http://schemas.microsoft.com/office/drawing/2014/main" id="{00000000-0008-0000-0100-000001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1538" name="25CircleCover">
            <a:extLst>
              <a:ext uri="{FF2B5EF4-FFF2-40B4-BE49-F238E27FC236}">
                <a16:creationId xmlns:a16="http://schemas.microsoft.com/office/drawing/2014/main" id="{00000000-0008-0000-0100-000002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1544" name="26CircleGroup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GrpSpPr/>
      </xdr:nvGrpSpPr>
      <xdr:grpSpPr>
        <a:xfrm>
          <a:off x="3454400" y="9512300"/>
          <a:ext cx="323850" cy="285750"/>
          <a:chOff x="3175000" y="8255000"/>
          <a:chExt cx="254000" cy="254000"/>
        </a:xfrm>
      </xdr:grpSpPr>
      <xdr:sp macro="" textlink="">
        <xdr:nvSpPr>
          <xdr:cNvPr id="1541" name="26Circle">
            <a:extLst>
              <a:ext uri="{FF2B5EF4-FFF2-40B4-BE49-F238E27FC236}">
                <a16:creationId xmlns:a16="http://schemas.microsoft.com/office/drawing/2014/main" id="{00000000-0008-0000-0100-000005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1542" name="26CircleCover">
            <a:extLst>
              <a:ext uri="{FF2B5EF4-FFF2-40B4-BE49-F238E27FC236}">
                <a16:creationId xmlns:a16="http://schemas.microsoft.com/office/drawing/2014/main" id="{00000000-0008-0000-0100-000006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1548" name="27CircleGroup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GrpSpPr/>
      </xdr:nvGrpSpPr>
      <xdr:grpSpPr>
        <a:xfrm>
          <a:off x="3454400" y="11290300"/>
          <a:ext cx="323850" cy="285750"/>
          <a:chOff x="3175000" y="9779000"/>
          <a:chExt cx="254000" cy="254000"/>
        </a:xfrm>
      </xdr:grpSpPr>
      <xdr:sp macro="" textlink="">
        <xdr:nvSpPr>
          <xdr:cNvPr id="1545" name="27Circle">
            <a:extLst>
              <a:ext uri="{FF2B5EF4-FFF2-40B4-BE49-F238E27FC236}">
                <a16:creationId xmlns:a16="http://schemas.microsoft.com/office/drawing/2014/main" id="{00000000-0008-0000-0100-000009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1546" name="27CircleCover">
            <a:extLst>
              <a:ext uri="{FF2B5EF4-FFF2-40B4-BE49-F238E27FC236}">
                <a16:creationId xmlns:a16="http://schemas.microsoft.com/office/drawing/2014/main" id="{00000000-0008-0000-0100-00000A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1552" name="28CircleGroup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GrpSpPr/>
      </xdr:nvGrpSpPr>
      <xdr:grpSpPr>
        <a:xfrm>
          <a:off x="3454400" y="13068300"/>
          <a:ext cx="323850" cy="285750"/>
          <a:chOff x="3175000" y="11303000"/>
          <a:chExt cx="254000" cy="254000"/>
        </a:xfrm>
      </xdr:grpSpPr>
      <xdr:sp macro="" textlink="">
        <xdr:nvSpPr>
          <xdr:cNvPr id="1549" name="28Circle">
            <a:extLst>
              <a:ext uri="{FF2B5EF4-FFF2-40B4-BE49-F238E27FC236}">
                <a16:creationId xmlns:a16="http://schemas.microsoft.com/office/drawing/2014/main" id="{00000000-0008-0000-0100-00000D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1550" name="28CircleCover">
            <a:extLst>
              <a:ext uri="{FF2B5EF4-FFF2-40B4-BE49-F238E27FC236}">
                <a16:creationId xmlns:a16="http://schemas.microsoft.com/office/drawing/2014/main" id="{00000000-0008-0000-0100-00000E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1556" name="29CircleGroup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GrpSpPr/>
      </xdr:nvGrpSpPr>
      <xdr:grpSpPr>
        <a:xfrm>
          <a:off x="3454400" y="14846300"/>
          <a:ext cx="323850" cy="285750"/>
          <a:chOff x="3175000" y="12827000"/>
          <a:chExt cx="254000" cy="254000"/>
        </a:xfrm>
      </xdr:grpSpPr>
      <xdr:sp macro="" textlink="">
        <xdr:nvSpPr>
          <xdr:cNvPr id="1553" name="29Circle">
            <a:extLst>
              <a:ext uri="{FF2B5EF4-FFF2-40B4-BE49-F238E27FC236}">
                <a16:creationId xmlns:a16="http://schemas.microsoft.com/office/drawing/2014/main" id="{00000000-0008-0000-0100-000011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1554" name="29CircleCover">
            <a:extLst>
              <a:ext uri="{FF2B5EF4-FFF2-40B4-BE49-F238E27FC236}">
                <a16:creationId xmlns:a16="http://schemas.microsoft.com/office/drawing/2014/main" id="{00000000-0008-0000-0100-000012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1560" name="30CircleGroup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GrpSpPr/>
      </xdr:nvGrpSpPr>
      <xdr:grpSpPr>
        <a:xfrm>
          <a:off x="3454400" y="16624300"/>
          <a:ext cx="323850" cy="285750"/>
          <a:chOff x="3175000" y="14351000"/>
          <a:chExt cx="254000" cy="254000"/>
        </a:xfrm>
      </xdr:grpSpPr>
      <xdr:sp macro="" textlink="">
        <xdr:nvSpPr>
          <xdr:cNvPr id="1557" name="30Circle">
            <a:extLst>
              <a:ext uri="{FF2B5EF4-FFF2-40B4-BE49-F238E27FC236}">
                <a16:creationId xmlns:a16="http://schemas.microsoft.com/office/drawing/2014/main" id="{00000000-0008-0000-0100-000015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1558" name="30CircleCover">
            <a:extLst>
              <a:ext uri="{FF2B5EF4-FFF2-40B4-BE49-F238E27FC236}">
                <a16:creationId xmlns:a16="http://schemas.microsoft.com/office/drawing/2014/main" id="{00000000-0008-0000-0100-000016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1564" name="31CircleGroup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GrpSpPr/>
      </xdr:nvGrpSpPr>
      <xdr:grpSpPr>
        <a:xfrm>
          <a:off x="6273800" y="647700"/>
          <a:ext cx="254000" cy="260350"/>
          <a:chOff x="5715000" y="635000"/>
          <a:chExt cx="254000" cy="254000"/>
        </a:xfrm>
      </xdr:grpSpPr>
      <xdr:sp macro="" textlink="">
        <xdr:nvSpPr>
          <xdr:cNvPr id="1561" name="31Circle">
            <a:extLst>
              <a:ext uri="{FF2B5EF4-FFF2-40B4-BE49-F238E27FC236}">
                <a16:creationId xmlns:a16="http://schemas.microsoft.com/office/drawing/2014/main" id="{00000000-0008-0000-0100-000019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1562" name="31CircleCover">
            <a:extLst>
              <a:ext uri="{FF2B5EF4-FFF2-40B4-BE49-F238E27FC236}">
                <a16:creationId xmlns:a16="http://schemas.microsoft.com/office/drawing/2014/main" id="{00000000-0008-0000-0100-00001A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1568" name="32CircleGroup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GrpSpPr/>
      </xdr:nvGrpSpPr>
      <xdr:grpSpPr>
        <a:xfrm>
          <a:off x="6273800" y="2400300"/>
          <a:ext cx="254000" cy="285750"/>
          <a:chOff x="5715000" y="2159000"/>
          <a:chExt cx="254000" cy="254000"/>
        </a:xfrm>
      </xdr:grpSpPr>
      <xdr:sp macro="" textlink="">
        <xdr:nvSpPr>
          <xdr:cNvPr id="1565" name="32Circle">
            <a:extLst>
              <a:ext uri="{FF2B5EF4-FFF2-40B4-BE49-F238E27FC236}">
                <a16:creationId xmlns:a16="http://schemas.microsoft.com/office/drawing/2014/main" id="{00000000-0008-0000-0100-00001D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1566" name="32CircleCover">
            <a:extLst>
              <a:ext uri="{FF2B5EF4-FFF2-40B4-BE49-F238E27FC236}">
                <a16:creationId xmlns:a16="http://schemas.microsoft.com/office/drawing/2014/main" id="{00000000-0008-0000-0100-00001E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1575" name="11BlockGroup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GrpSpPr/>
      </xdr:nvGrpSpPr>
      <xdr:grpSpPr>
        <a:xfrm>
          <a:off x="958850" y="584200"/>
          <a:ext cx="2241550" cy="1593850"/>
          <a:chOff x="889000" y="571500"/>
          <a:chExt cx="2032000" cy="1397000"/>
        </a:xfrm>
      </xdr:grpSpPr>
      <xdr:sp macro="" textlink="">
        <xdr:nvSpPr>
          <xdr:cNvPr id="1569" name="11TITLE">
            <a:extLst>
              <a:ext uri="{FF2B5EF4-FFF2-40B4-BE49-F238E27FC236}">
                <a16:creationId xmlns:a16="http://schemas.microsoft.com/office/drawing/2014/main" id="{00000000-0008-0000-0100-00002106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1570" name="11CP">
            <a:extLst>
              <a:ext uri="{FF2B5EF4-FFF2-40B4-BE49-F238E27FC236}">
                <a16:creationId xmlns:a16="http://schemas.microsoft.com/office/drawing/2014/main" id="{00000000-0008-0000-0100-00002206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1571" name="11CPK">
            <a:extLst>
              <a:ext uri="{FF2B5EF4-FFF2-40B4-BE49-F238E27FC236}">
                <a16:creationId xmlns:a16="http://schemas.microsoft.com/office/drawing/2014/main" id="{00000000-0008-0000-0100-00002306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1572" name="Chart 1571">
            <a:extLst>
              <a:ext uri="{FF2B5EF4-FFF2-40B4-BE49-F238E27FC236}">
                <a16:creationId xmlns:a16="http://schemas.microsoft.com/office/drawing/2014/main" id="{00000000-0008-0000-0100-00002406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73" name="11BlockCover">
            <a:extLst>
              <a:ext uri="{FF2B5EF4-FFF2-40B4-BE49-F238E27FC236}">
                <a16:creationId xmlns:a16="http://schemas.microsoft.com/office/drawing/2014/main" id="{00000000-0008-0000-0100-00002506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1582" name="12BlockGroup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GrpSpPr/>
      </xdr:nvGrpSpPr>
      <xdr:grpSpPr>
        <a:xfrm>
          <a:off x="958850" y="2336800"/>
          <a:ext cx="2241550" cy="1619250"/>
          <a:chOff x="889000" y="2095500"/>
          <a:chExt cx="2032000" cy="1397000"/>
        </a:xfrm>
      </xdr:grpSpPr>
      <xdr:sp macro="" textlink="">
        <xdr:nvSpPr>
          <xdr:cNvPr id="1576" name="12TITLE">
            <a:extLst>
              <a:ext uri="{FF2B5EF4-FFF2-40B4-BE49-F238E27FC236}">
                <a16:creationId xmlns:a16="http://schemas.microsoft.com/office/drawing/2014/main" id="{00000000-0008-0000-0100-00002806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1577" name="12CP">
            <a:extLst>
              <a:ext uri="{FF2B5EF4-FFF2-40B4-BE49-F238E27FC236}">
                <a16:creationId xmlns:a16="http://schemas.microsoft.com/office/drawing/2014/main" id="{00000000-0008-0000-0100-00002906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1578" name="12CPK">
            <a:extLst>
              <a:ext uri="{FF2B5EF4-FFF2-40B4-BE49-F238E27FC236}">
                <a16:creationId xmlns:a16="http://schemas.microsoft.com/office/drawing/2014/main" id="{00000000-0008-0000-0100-00002A06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1579" name="Chart 1578">
            <a:extLst>
              <a:ext uri="{FF2B5EF4-FFF2-40B4-BE49-F238E27FC236}">
                <a16:creationId xmlns:a16="http://schemas.microsoft.com/office/drawing/2014/main" id="{00000000-0008-0000-0100-00002B06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80" name="12BlockCover">
            <a:extLst>
              <a:ext uri="{FF2B5EF4-FFF2-40B4-BE49-F238E27FC236}">
                <a16:creationId xmlns:a16="http://schemas.microsoft.com/office/drawing/2014/main" id="{00000000-0008-0000-0100-00002C06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1589" name="13BlockGroup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GrpSpPr/>
      </xdr:nvGrpSpPr>
      <xdr:grpSpPr>
        <a:xfrm>
          <a:off x="958850" y="4114800"/>
          <a:ext cx="2241550" cy="1619250"/>
          <a:chOff x="889000" y="3619500"/>
          <a:chExt cx="2032000" cy="1397000"/>
        </a:xfrm>
      </xdr:grpSpPr>
      <xdr:sp macro="" textlink="">
        <xdr:nvSpPr>
          <xdr:cNvPr id="1583" name="13TITLE">
            <a:extLst>
              <a:ext uri="{FF2B5EF4-FFF2-40B4-BE49-F238E27FC236}">
                <a16:creationId xmlns:a16="http://schemas.microsoft.com/office/drawing/2014/main" id="{00000000-0008-0000-0100-00002F06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1584" name="13CP">
            <a:extLst>
              <a:ext uri="{FF2B5EF4-FFF2-40B4-BE49-F238E27FC236}">
                <a16:creationId xmlns:a16="http://schemas.microsoft.com/office/drawing/2014/main" id="{00000000-0008-0000-0100-00003006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1585" name="13CPK">
            <a:extLst>
              <a:ext uri="{FF2B5EF4-FFF2-40B4-BE49-F238E27FC236}">
                <a16:creationId xmlns:a16="http://schemas.microsoft.com/office/drawing/2014/main" id="{00000000-0008-0000-0100-00003106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1586" name="Chart 1585">
            <a:extLst>
              <a:ext uri="{FF2B5EF4-FFF2-40B4-BE49-F238E27FC236}">
                <a16:creationId xmlns:a16="http://schemas.microsoft.com/office/drawing/2014/main" id="{00000000-0008-0000-0100-00003206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87" name="13BlockCover">
            <a:extLst>
              <a:ext uri="{FF2B5EF4-FFF2-40B4-BE49-F238E27FC236}">
                <a16:creationId xmlns:a16="http://schemas.microsoft.com/office/drawing/2014/main" id="{00000000-0008-0000-0100-00003306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1596" name="14BlockGroup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GrpSpPr/>
      </xdr:nvGrpSpPr>
      <xdr:grpSpPr>
        <a:xfrm>
          <a:off x="958850" y="5892800"/>
          <a:ext cx="2241550" cy="1619250"/>
          <a:chOff x="889000" y="5143500"/>
          <a:chExt cx="2032000" cy="1397000"/>
        </a:xfrm>
      </xdr:grpSpPr>
      <xdr:sp macro="" textlink="">
        <xdr:nvSpPr>
          <xdr:cNvPr id="1590" name="14TITLE">
            <a:extLst>
              <a:ext uri="{FF2B5EF4-FFF2-40B4-BE49-F238E27FC236}">
                <a16:creationId xmlns:a16="http://schemas.microsoft.com/office/drawing/2014/main" id="{00000000-0008-0000-0100-00003606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1" name="14CP">
            <a:extLst>
              <a:ext uri="{FF2B5EF4-FFF2-40B4-BE49-F238E27FC236}">
                <a16:creationId xmlns:a16="http://schemas.microsoft.com/office/drawing/2014/main" id="{00000000-0008-0000-0100-00003706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1592" name="14CPK">
            <a:extLst>
              <a:ext uri="{FF2B5EF4-FFF2-40B4-BE49-F238E27FC236}">
                <a16:creationId xmlns:a16="http://schemas.microsoft.com/office/drawing/2014/main" id="{00000000-0008-0000-0100-00003806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1593" name="Chart 1592">
            <a:extLst>
              <a:ext uri="{FF2B5EF4-FFF2-40B4-BE49-F238E27FC236}">
                <a16:creationId xmlns:a16="http://schemas.microsoft.com/office/drawing/2014/main" id="{00000000-0008-0000-0100-00003906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594" name="14BlockCover">
            <a:extLst>
              <a:ext uri="{FF2B5EF4-FFF2-40B4-BE49-F238E27FC236}">
                <a16:creationId xmlns:a16="http://schemas.microsoft.com/office/drawing/2014/main" id="{00000000-0008-0000-0100-00003A06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1603" name="15BlockGroup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GrpSpPr/>
      </xdr:nvGrpSpPr>
      <xdr:grpSpPr>
        <a:xfrm>
          <a:off x="958850" y="7670800"/>
          <a:ext cx="2241550" cy="1619250"/>
          <a:chOff x="889000" y="6667500"/>
          <a:chExt cx="2032000" cy="1397000"/>
        </a:xfrm>
      </xdr:grpSpPr>
      <xdr:sp macro="" textlink="">
        <xdr:nvSpPr>
          <xdr:cNvPr id="1597" name="15TITLE">
            <a:extLst>
              <a:ext uri="{FF2B5EF4-FFF2-40B4-BE49-F238E27FC236}">
                <a16:creationId xmlns:a16="http://schemas.microsoft.com/office/drawing/2014/main" id="{00000000-0008-0000-0100-00003D06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8" name="15CP">
            <a:extLst>
              <a:ext uri="{FF2B5EF4-FFF2-40B4-BE49-F238E27FC236}">
                <a16:creationId xmlns:a16="http://schemas.microsoft.com/office/drawing/2014/main" id="{00000000-0008-0000-0100-00003E06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1599" name="15CPK">
            <a:extLst>
              <a:ext uri="{FF2B5EF4-FFF2-40B4-BE49-F238E27FC236}">
                <a16:creationId xmlns:a16="http://schemas.microsoft.com/office/drawing/2014/main" id="{00000000-0008-0000-0100-00003F06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1600" name="Chart 1599">
            <a:extLst>
              <a:ext uri="{FF2B5EF4-FFF2-40B4-BE49-F238E27FC236}">
                <a16:creationId xmlns:a16="http://schemas.microsoft.com/office/drawing/2014/main" id="{00000000-0008-0000-0100-00004006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01" name="15BlockCover">
            <a:extLst>
              <a:ext uri="{FF2B5EF4-FFF2-40B4-BE49-F238E27FC236}">
                <a16:creationId xmlns:a16="http://schemas.microsoft.com/office/drawing/2014/main" id="{00000000-0008-0000-0100-00004106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1610" name="16BlockGroup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GrpSpPr/>
      </xdr:nvGrpSpPr>
      <xdr:grpSpPr>
        <a:xfrm>
          <a:off x="958850" y="9448800"/>
          <a:ext cx="2241550" cy="1619250"/>
          <a:chOff x="889000" y="8191500"/>
          <a:chExt cx="2032000" cy="1397000"/>
        </a:xfrm>
      </xdr:grpSpPr>
      <xdr:sp macro="" textlink="">
        <xdr:nvSpPr>
          <xdr:cNvPr id="1604" name="16TITLE">
            <a:extLst>
              <a:ext uri="{FF2B5EF4-FFF2-40B4-BE49-F238E27FC236}">
                <a16:creationId xmlns:a16="http://schemas.microsoft.com/office/drawing/2014/main" id="{00000000-0008-0000-0100-00004406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605" name="16CP">
            <a:extLst>
              <a:ext uri="{FF2B5EF4-FFF2-40B4-BE49-F238E27FC236}">
                <a16:creationId xmlns:a16="http://schemas.microsoft.com/office/drawing/2014/main" id="{00000000-0008-0000-0100-00004506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606" name="16CPK">
            <a:extLst>
              <a:ext uri="{FF2B5EF4-FFF2-40B4-BE49-F238E27FC236}">
                <a16:creationId xmlns:a16="http://schemas.microsoft.com/office/drawing/2014/main" id="{00000000-0008-0000-0100-00004606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607" name="Chart 1606">
            <a:extLst>
              <a:ext uri="{FF2B5EF4-FFF2-40B4-BE49-F238E27FC236}">
                <a16:creationId xmlns:a16="http://schemas.microsoft.com/office/drawing/2014/main" id="{00000000-0008-0000-0100-00004706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608" name="16BlockCover">
            <a:extLst>
              <a:ext uri="{FF2B5EF4-FFF2-40B4-BE49-F238E27FC236}">
                <a16:creationId xmlns:a16="http://schemas.microsoft.com/office/drawing/2014/main" id="{00000000-0008-0000-0100-00004806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617" name="17BlockGroup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GrpSpPr/>
      </xdr:nvGrpSpPr>
      <xdr:grpSpPr>
        <a:xfrm>
          <a:off x="958850" y="11226800"/>
          <a:ext cx="2241550" cy="1619250"/>
          <a:chOff x="889000" y="9715500"/>
          <a:chExt cx="2032000" cy="1397000"/>
        </a:xfrm>
      </xdr:grpSpPr>
      <xdr:sp macro="" textlink="">
        <xdr:nvSpPr>
          <xdr:cNvPr id="1611" name="17TITLE">
            <a:extLst>
              <a:ext uri="{FF2B5EF4-FFF2-40B4-BE49-F238E27FC236}">
                <a16:creationId xmlns:a16="http://schemas.microsoft.com/office/drawing/2014/main" id="{00000000-0008-0000-0100-00004B06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612" name="17CP">
            <a:extLst>
              <a:ext uri="{FF2B5EF4-FFF2-40B4-BE49-F238E27FC236}">
                <a16:creationId xmlns:a16="http://schemas.microsoft.com/office/drawing/2014/main" id="{00000000-0008-0000-0100-00004C06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613" name="17CPK">
            <a:extLst>
              <a:ext uri="{FF2B5EF4-FFF2-40B4-BE49-F238E27FC236}">
                <a16:creationId xmlns:a16="http://schemas.microsoft.com/office/drawing/2014/main" id="{00000000-0008-0000-0100-00004D06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614" name="Chart 1613">
            <a:extLst>
              <a:ext uri="{FF2B5EF4-FFF2-40B4-BE49-F238E27FC236}">
                <a16:creationId xmlns:a16="http://schemas.microsoft.com/office/drawing/2014/main" id="{00000000-0008-0000-0100-00004E06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615" name="17BlockCover">
            <a:extLst>
              <a:ext uri="{FF2B5EF4-FFF2-40B4-BE49-F238E27FC236}">
                <a16:creationId xmlns:a16="http://schemas.microsoft.com/office/drawing/2014/main" id="{00000000-0008-0000-0100-00004F06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624" name="18BlockGroup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GrpSpPr/>
      </xdr:nvGrpSpPr>
      <xdr:grpSpPr>
        <a:xfrm>
          <a:off x="958850" y="13004800"/>
          <a:ext cx="2241550" cy="1619250"/>
          <a:chOff x="889000" y="11239500"/>
          <a:chExt cx="2032000" cy="1397000"/>
        </a:xfrm>
      </xdr:grpSpPr>
      <xdr:sp macro="" textlink="">
        <xdr:nvSpPr>
          <xdr:cNvPr id="1618" name="18TITLE">
            <a:extLst>
              <a:ext uri="{FF2B5EF4-FFF2-40B4-BE49-F238E27FC236}">
                <a16:creationId xmlns:a16="http://schemas.microsoft.com/office/drawing/2014/main" id="{00000000-0008-0000-0100-00005206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619" name="18CP">
            <a:extLst>
              <a:ext uri="{FF2B5EF4-FFF2-40B4-BE49-F238E27FC236}">
                <a16:creationId xmlns:a16="http://schemas.microsoft.com/office/drawing/2014/main" id="{00000000-0008-0000-0100-00005306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620" name="18CPK">
            <a:extLst>
              <a:ext uri="{FF2B5EF4-FFF2-40B4-BE49-F238E27FC236}">
                <a16:creationId xmlns:a16="http://schemas.microsoft.com/office/drawing/2014/main" id="{00000000-0008-0000-0100-00005406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621" name="Chart 1620">
            <a:extLst>
              <a:ext uri="{FF2B5EF4-FFF2-40B4-BE49-F238E27FC236}">
                <a16:creationId xmlns:a16="http://schemas.microsoft.com/office/drawing/2014/main" id="{00000000-0008-0000-0100-00005506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22" name="18BlockCover">
            <a:extLst>
              <a:ext uri="{FF2B5EF4-FFF2-40B4-BE49-F238E27FC236}">
                <a16:creationId xmlns:a16="http://schemas.microsoft.com/office/drawing/2014/main" id="{00000000-0008-0000-0100-00005606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631" name="19BlockGroup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GrpSpPr/>
      </xdr:nvGrpSpPr>
      <xdr:grpSpPr>
        <a:xfrm>
          <a:off x="958850" y="14782800"/>
          <a:ext cx="2241550" cy="1619250"/>
          <a:chOff x="889000" y="12763500"/>
          <a:chExt cx="2032000" cy="1397000"/>
        </a:xfrm>
      </xdr:grpSpPr>
      <xdr:sp macro="" textlink="">
        <xdr:nvSpPr>
          <xdr:cNvPr id="1625" name="19TITLE">
            <a:extLst>
              <a:ext uri="{FF2B5EF4-FFF2-40B4-BE49-F238E27FC236}">
                <a16:creationId xmlns:a16="http://schemas.microsoft.com/office/drawing/2014/main" id="{00000000-0008-0000-0100-00005906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26" name="19CP">
            <a:extLst>
              <a:ext uri="{FF2B5EF4-FFF2-40B4-BE49-F238E27FC236}">
                <a16:creationId xmlns:a16="http://schemas.microsoft.com/office/drawing/2014/main" id="{00000000-0008-0000-0100-00005A06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627" name="19CPK">
            <a:extLst>
              <a:ext uri="{FF2B5EF4-FFF2-40B4-BE49-F238E27FC236}">
                <a16:creationId xmlns:a16="http://schemas.microsoft.com/office/drawing/2014/main" id="{00000000-0008-0000-0100-00005B06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628" name="Chart 1627">
            <a:extLst>
              <a:ext uri="{FF2B5EF4-FFF2-40B4-BE49-F238E27FC236}">
                <a16:creationId xmlns:a16="http://schemas.microsoft.com/office/drawing/2014/main" id="{00000000-0008-0000-0100-00005C06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629" name="19BlockCover">
            <a:extLst>
              <a:ext uri="{FF2B5EF4-FFF2-40B4-BE49-F238E27FC236}">
                <a16:creationId xmlns:a16="http://schemas.microsoft.com/office/drawing/2014/main" id="{00000000-0008-0000-0100-00005D06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74</xdr:row>
      <xdr:rowOff>0</xdr:rowOff>
    </xdr:from>
    <xdr:to>
      <xdr:col>4</xdr:col>
      <xdr:colOff>228600</xdr:colOff>
      <xdr:row>81</xdr:row>
      <xdr:rowOff>63500</xdr:rowOff>
    </xdr:to>
    <xdr:grpSp>
      <xdr:nvGrpSpPr>
        <xdr:cNvPr id="1638" name="20BlockGroup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GrpSpPr/>
      </xdr:nvGrpSpPr>
      <xdr:grpSpPr>
        <a:xfrm>
          <a:off x="958850" y="16560800"/>
          <a:ext cx="2241550" cy="1619250"/>
          <a:chOff x="889000" y="14287500"/>
          <a:chExt cx="2032000" cy="1397000"/>
        </a:xfrm>
      </xdr:grpSpPr>
      <xdr:sp macro="" textlink="">
        <xdr:nvSpPr>
          <xdr:cNvPr id="1632" name="20TITLE">
            <a:extLst>
              <a:ext uri="{FF2B5EF4-FFF2-40B4-BE49-F238E27FC236}">
                <a16:creationId xmlns:a16="http://schemas.microsoft.com/office/drawing/2014/main" id="{00000000-0008-0000-0100-00006006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33" name="20CP">
            <a:extLst>
              <a:ext uri="{FF2B5EF4-FFF2-40B4-BE49-F238E27FC236}">
                <a16:creationId xmlns:a16="http://schemas.microsoft.com/office/drawing/2014/main" id="{00000000-0008-0000-0100-00006106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634" name="20CPK">
            <a:extLst>
              <a:ext uri="{FF2B5EF4-FFF2-40B4-BE49-F238E27FC236}">
                <a16:creationId xmlns:a16="http://schemas.microsoft.com/office/drawing/2014/main" id="{00000000-0008-0000-0100-00006206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635" name="Chart 1634">
            <a:extLst>
              <a:ext uri="{FF2B5EF4-FFF2-40B4-BE49-F238E27FC236}">
                <a16:creationId xmlns:a16="http://schemas.microsoft.com/office/drawing/2014/main" id="{00000000-0008-0000-0100-00006306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636" name="20BlockCover">
            <a:extLst>
              <a:ext uri="{FF2B5EF4-FFF2-40B4-BE49-F238E27FC236}">
                <a16:creationId xmlns:a16="http://schemas.microsoft.com/office/drawing/2014/main" id="{00000000-0008-0000-0100-000064060000}"/>
              </a:ext>
            </a:extLst>
          </xdr:cNvPr>
          <xdr:cNvSpPr/>
        </xdr:nvSpPr>
        <xdr:spPr>
          <a:xfrm>
            <a:off x="889000" y="1428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645" name="21BlockGroup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GrpSpPr/>
      </xdr:nvGrpSpPr>
      <xdr:grpSpPr>
        <a:xfrm>
          <a:off x="3778250" y="584200"/>
          <a:ext cx="2241550" cy="1593850"/>
          <a:chOff x="3429000" y="571500"/>
          <a:chExt cx="2032000" cy="1397000"/>
        </a:xfrm>
      </xdr:grpSpPr>
      <xdr:sp macro="" textlink="">
        <xdr:nvSpPr>
          <xdr:cNvPr id="1639" name="21TITLE">
            <a:extLst>
              <a:ext uri="{FF2B5EF4-FFF2-40B4-BE49-F238E27FC236}">
                <a16:creationId xmlns:a16="http://schemas.microsoft.com/office/drawing/2014/main" id="{00000000-0008-0000-0100-00006706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0" name="21CP">
            <a:extLst>
              <a:ext uri="{FF2B5EF4-FFF2-40B4-BE49-F238E27FC236}">
                <a16:creationId xmlns:a16="http://schemas.microsoft.com/office/drawing/2014/main" id="{00000000-0008-0000-0100-00006806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641" name="21CPK">
            <a:extLst>
              <a:ext uri="{FF2B5EF4-FFF2-40B4-BE49-F238E27FC236}">
                <a16:creationId xmlns:a16="http://schemas.microsoft.com/office/drawing/2014/main" id="{00000000-0008-0000-0100-00006906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642" name="Chart 1641">
            <a:extLst>
              <a:ext uri="{FF2B5EF4-FFF2-40B4-BE49-F238E27FC236}">
                <a16:creationId xmlns:a16="http://schemas.microsoft.com/office/drawing/2014/main" id="{00000000-0008-0000-0100-00006A06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3" name="21BlockCover">
            <a:extLst>
              <a:ext uri="{FF2B5EF4-FFF2-40B4-BE49-F238E27FC236}">
                <a16:creationId xmlns:a16="http://schemas.microsoft.com/office/drawing/2014/main" id="{00000000-0008-0000-0100-00006B06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652" name="22BlockGroup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GrpSpPr/>
      </xdr:nvGrpSpPr>
      <xdr:grpSpPr>
        <a:xfrm>
          <a:off x="3778250" y="2336800"/>
          <a:ext cx="2241550" cy="1619250"/>
          <a:chOff x="3429000" y="2095500"/>
          <a:chExt cx="2032000" cy="1397000"/>
        </a:xfrm>
      </xdr:grpSpPr>
      <xdr:sp macro="" textlink="">
        <xdr:nvSpPr>
          <xdr:cNvPr id="1646" name="22TITLE">
            <a:extLst>
              <a:ext uri="{FF2B5EF4-FFF2-40B4-BE49-F238E27FC236}">
                <a16:creationId xmlns:a16="http://schemas.microsoft.com/office/drawing/2014/main" id="{00000000-0008-0000-0100-00006E06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7" name="22CP">
            <a:extLst>
              <a:ext uri="{FF2B5EF4-FFF2-40B4-BE49-F238E27FC236}">
                <a16:creationId xmlns:a16="http://schemas.microsoft.com/office/drawing/2014/main" id="{00000000-0008-0000-0100-00006F06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648" name="22CPK">
            <a:extLst>
              <a:ext uri="{FF2B5EF4-FFF2-40B4-BE49-F238E27FC236}">
                <a16:creationId xmlns:a16="http://schemas.microsoft.com/office/drawing/2014/main" id="{00000000-0008-0000-0100-00007006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649" name="Chart 1648">
            <a:extLst>
              <a:ext uri="{FF2B5EF4-FFF2-40B4-BE49-F238E27FC236}">
                <a16:creationId xmlns:a16="http://schemas.microsoft.com/office/drawing/2014/main" id="{00000000-0008-0000-0100-00007106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650" name="22BlockCover">
            <a:extLst>
              <a:ext uri="{FF2B5EF4-FFF2-40B4-BE49-F238E27FC236}">
                <a16:creationId xmlns:a16="http://schemas.microsoft.com/office/drawing/2014/main" id="{00000000-0008-0000-0100-00007206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659" name="23BlockGroup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GrpSpPr/>
      </xdr:nvGrpSpPr>
      <xdr:grpSpPr>
        <a:xfrm>
          <a:off x="3778250" y="4114800"/>
          <a:ext cx="2241550" cy="1619250"/>
          <a:chOff x="3429000" y="3619500"/>
          <a:chExt cx="2032000" cy="1397000"/>
        </a:xfrm>
      </xdr:grpSpPr>
      <xdr:sp macro="" textlink="">
        <xdr:nvSpPr>
          <xdr:cNvPr id="1653" name="23TITLE">
            <a:extLst>
              <a:ext uri="{FF2B5EF4-FFF2-40B4-BE49-F238E27FC236}">
                <a16:creationId xmlns:a16="http://schemas.microsoft.com/office/drawing/2014/main" id="{00000000-0008-0000-0100-00007506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54" name="23CP">
            <a:extLst>
              <a:ext uri="{FF2B5EF4-FFF2-40B4-BE49-F238E27FC236}">
                <a16:creationId xmlns:a16="http://schemas.microsoft.com/office/drawing/2014/main" id="{00000000-0008-0000-0100-00007606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655" name="23CPK">
            <a:extLst>
              <a:ext uri="{FF2B5EF4-FFF2-40B4-BE49-F238E27FC236}">
                <a16:creationId xmlns:a16="http://schemas.microsoft.com/office/drawing/2014/main" id="{00000000-0008-0000-0100-00007706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656" name="Chart 1655">
            <a:extLst>
              <a:ext uri="{FF2B5EF4-FFF2-40B4-BE49-F238E27FC236}">
                <a16:creationId xmlns:a16="http://schemas.microsoft.com/office/drawing/2014/main" id="{00000000-0008-0000-0100-00007806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657" name="23BlockCover">
            <a:extLst>
              <a:ext uri="{FF2B5EF4-FFF2-40B4-BE49-F238E27FC236}">
                <a16:creationId xmlns:a16="http://schemas.microsoft.com/office/drawing/2014/main" id="{00000000-0008-0000-0100-00007906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666" name="24BlockGroup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GrpSpPr/>
      </xdr:nvGrpSpPr>
      <xdr:grpSpPr>
        <a:xfrm>
          <a:off x="3778250" y="5892800"/>
          <a:ext cx="2241550" cy="1619250"/>
          <a:chOff x="3429000" y="5143500"/>
          <a:chExt cx="2032000" cy="1397000"/>
        </a:xfrm>
      </xdr:grpSpPr>
      <xdr:sp macro="" textlink="">
        <xdr:nvSpPr>
          <xdr:cNvPr id="1660" name="24TITLE">
            <a:extLst>
              <a:ext uri="{FF2B5EF4-FFF2-40B4-BE49-F238E27FC236}">
                <a16:creationId xmlns:a16="http://schemas.microsoft.com/office/drawing/2014/main" id="{00000000-0008-0000-0100-00007C06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1" name="24CP">
            <a:extLst>
              <a:ext uri="{FF2B5EF4-FFF2-40B4-BE49-F238E27FC236}">
                <a16:creationId xmlns:a16="http://schemas.microsoft.com/office/drawing/2014/main" id="{00000000-0008-0000-0100-00007D06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662" name="24CPK">
            <a:extLst>
              <a:ext uri="{FF2B5EF4-FFF2-40B4-BE49-F238E27FC236}">
                <a16:creationId xmlns:a16="http://schemas.microsoft.com/office/drawing/2014/main" id="{00000000-0008-0000-0100-00007E06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663" name="Chart 1662">
            <a:extLst>
              <a:ext uri="{FF2B5EF4-FFF2-40B4-BE49-F238E27FC236}">
                <a16:creationId xmlns:a16="http://schemas.microsoft.com/office/drawing/2014/main" id="{00000000-0008-0000-0100-00007F06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664" name="24BlockCover">
            <a:extLst>
              <a:ext uri="{FF2B5EF4-FFF2-40B4-BE49-F238E27FC236}">
                <a16:creationId xmlns:a16="http://schemas.microsoft.com/office/drawing/2014/main" id="{00000000-0008-0000-0100-00008006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673" name="25BlockGroup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GrpSpPr/>
      </xdr:nvGrpSpPr>
      <xdr:grpSpPr>
        <a:xfrm>
          <a:off x="3778250" y="7670800"/>
          <a:ext cx="2241550" cy="1619250"/>
          <a:chOff x="3429000" y="6667500"/>
          <a:chExt cx="2032000" cy="1397000"/>
        </a:xfrm>
      </xdr:grpSpPr>
      <xdr:sp macro="" textlink="">
        <xdr:nvSpPr>
          <xdr:cNvPr id="1667" name="25TITLE">
            <a:extLst>
              <a:ext uri="{FF2B5EF4-FFF2-40B4-BE49-F238E27FC236}">
                <a16:creationId xmlns:a16="http://schemas.microsoft.com/office/drawing/2014/main" id="{00000000-0008-0000-0100-00008306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8" name="25CP">
            <a:extLst>
              <a:ext uri="{FF2B5EF4-FFF2-40B4-BE49-F238E27FC236}">
                <a16:creationId xmlns:a16="http://schemas.microsoft.com/office/drawing/2014/main" id="{00000000-0008-0000-0100-00008406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669" name="25CPK">
            <a:extLst>
              <a:ext uri="{FF2B5EF4-FFF2-40B4-BE49-F238E27FC236}">
                <a16:creationId xmlns:a16="http://schemas.microsoft.com/office/drawing/2014/main" id="{00000000-0008-0000-0100-00008506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670" name="Chart 1669">
            <a:extLst>
              <a:ext uri="{FF2B5EF4-FFF2-40B4-BE49-F238E27FC236}">
                <a16:creationId xmlns:a16="http://schemas.microsoft.com/office/drawing/2014/main" id="{00000000-0008-0000-0100-00008606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671" name="25BlockCover">
            <a:extLst>
              <a:ext uri="{FF2B5EF4-FFF2-40B4-BE49-F238E27FC236}">
                <a16:creationId xmlns:a16="http://schemas.microsoft.com/office/drawing/2014/main" id="{00000000-0008-0000-0100-00008706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680" name="26BlockGroup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GrpSpPr/>
      </xdr:nvGrpSpPr>
      <xdr:grpSpPr>
        <a:xfrm>
          <a:off x="3778250" y="9448800"/>
          <a:ext cx="2241550" cy="1619250"/>
          <a:chOff x="3429000" y="8191500"/>
          <a:chExt cx="2032000" cy="1397000"/>
        </a:xfrm>
      </xdr:grpSpPr>
      <xdr:sp macro="" textlink="">
        <xdr:nvSpPr>
          <xdr:cNvPr id="1674" name="26TITLE">
            <a:extLst>
              <a:ext uri="{FF2B5EF4-FFF2-40B4-BE49-F238E27FC236}">
                <a16:creationId xmlns:a16="http://schemas.microsoft.com/office/drawing/2014/main" id="{00000000-0008-0000-0100-00008A06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75" name="26CP">
            <a:extLst>
              <a:ext uri="{FF2B5EF4-FFF2-40B4-BE49-F238E27FC236}">
                <a16:creationId xmlns:a16="http://schemas.microsoft.com/office/drawing/2014/main" id="{00000000-0008-0000-0100-00008B06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76" name="26CPK">
            <a:extLst>
              <a:ext uri="{FF2B5EF4-FFF2-40B4-BE49-F238E27FC236}">
                <a16:creationId xmlns:a16="http://schemas.microsoft.com/office/drawing/2014/main" id="{00000000-0008-0000-0100-00008C06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77" name="Chart 1676">
            <a:extLst>
              <a:ext uri="{FF2B5EF4-FFF2-40B4-BE49-F238E27FC236}">
                <a16:creationId xmlns:a16="http://schemas.microsoft.com/office/drawing/2014/main" id="{00000000-0008-0000-0100-00008D06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78" name="26BlockCover">
            <a:extLst>
              <a:ext uri="{FF2B5EF4-FFF2-40B4-BE49-F238E27FC236}">
                <a16:creationId xmlns:a16="http://schemas.microsoft.com/office/drawing/2014/main" id="{00000000-0008-0000-0100-00008E06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87" name="27BlockGroup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GrpSpPr/>
      </xdr:nvGrpSpPr>
      <xdr:grpSpPr>
        <a:xfrm>
          <a:off x="3778250" y="11226800"/>
          <a:ext cx="2241550" cy="1619250"/>
          <a:chOff x="3429000" y="9715500"/>
          <a:chExt cx="2032000" cy="1397000"/>
        </a:xfrm>
      </xdr:grpSpPr>
      <xdr:sp macro="" textlink="">
        <xdr:nvSpPr>
          <xdr:cNvPr id="1681" name="27TITLE">
            <a:extLst>
              <a:ext uri="{FF2B5EF4-FFF2-40B4-BE49-F238E27FC236}">
                <a16:creationId xmlns:a16="http://schemas.microsoft.com/office/drawing/2014/main" id="{00000000-0008-0000-0100-00009106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2" name="27CP">
            <a:extLst>
              <a:ext uri="{FF2B5EF4-FFF2-40B4-BE49-F238E27FC236}">
                <a16:creationId xmlns:a16="http://schemas.microsoft.com/office/drawing/2014/main" id="{00000000-0008-0000-0100-00009206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83" name="27CPK">
            <a:extLst>
              <a:ext uri="{FF2B5EF4-FFF2-40B4-BE49-F238E27FC236}">
                <a16:creationId xmlns:a16="http://schemas.microsoft.com/office/drawing/2014/main" id="{00000000-0008-0000-0100-00009306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4" name="Chart 1683">
            <a:extLst>
              <a:ext uri="{FF2B5EF4-FFF2-40B4-BE49-F238E27FC236}">
                <a16:creationId xmlns:a16="http://schemas.microsoft.com/office/drawing/2014/main" id="{00000000-0008-0000-0100-00009406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85" name="27BlockCover">
            <a:extLst>
              <a:ext uri="{FF2B5EF4-FFF2-40B4-BE49-F238E27FC236}">
                <a16:creationId xmlns:a16="http://schemas.microsoft.com/office/drawing/2014/main" id="{00000000-0008-0000-0100-00009506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694" name="28BlockGroup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GrpSpPr/>
      </xdr:nvGrpSpPr>
      <xdr:grpSpPr>
        <a:xfrm>
          <a:off x="3778250" y="13004800"/>
          <a:ext cx="2241550" cy="1619250"/>
          <a:chOff x="3429000" y="11239500"/>
          <a:chExt cx="2032000" cy="1397000"/>
        </a:xfrm>
      </xdr:grpSpPr>
      <xdr:sp macro="" textlink="">
        <xdr:nvSpPr>
          <xdr:cNvPr id="1688" name="28TITLE">
            <a:extLst>
              <a:ext uri="{FF2B5EF4-FFF2-40B4-BE49-F238E27FC236}">
                <a16:creationId xmlns:a16="http://schemas.microsoft.com/office/drawing/2014/main" id="{00000000-0008-0000-0100-00009806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9" name="28CP">
            <a:extLst>
              <a:ext uri="{FF2B5EF4-FFF2-40B4-BE49-F238E27FC236}">
                <a16:creationId xmlns:a16="http://schemas.microsoft.com/office/drawing/2014/main" id="{00000000-0008-0000-0100-00009906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690" name="28CPK">
            <a:extLst>
              <a:ext uri="{FF2B5EF4-FFF2-40B4-BE49-F238E27FC236}">
                <a16:creationId xmlns:a16="http://schemas.microsoft.com/office/drawing/2014/main" id="{00000000-0008-0000-0100-00009A06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691" name="Chart 1690">
            <a:extLst>
              <a:ext uri="{FF2B5EF4-FFF2-40B4-BE49-F238E27FC236}">
                <a16:creationId xmlns:a16="http://schemas.microsoft.com/office/drawing/2014/main" id="{00000000-0008-0000-0100-00009B06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92" name="28BlockCover">
            <a:extLst>
              <a:ext uri="{FF2B5EF4-FFF2-40B4-BE49-F238E27FC236}">
                <a16:creationId xmlns:a16="http://schemas.microsoft.com/office/drawing/2014/main" id="{00000000-0008-0000-0100-00009C06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01" name="29BlockGroup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GrpSpPr/>
      </xdr:nvGrpSpPr>
      <xdr:grpSpPr>
        <a:xfrm>
          <a:off x="3778250" y="14782800"/>
          <a:ext cx="2241550" cy="1619250"/>
          <a:chOff x="3429000" y="12763500"/>
          <a:chExt cx="2032000" cy="1397000"/>
        </a:xfrm>
      </xdr:grpSpPr>
      <xdr:sp macro="" textlink="">
        <xdr:nvSpPr>
          <xdr:cNvPr id="1695" name="29TITLE">
            <a:extLst>
              <a:ext uri="{FF2B5EF4-FFF2-40B4-BE49-F238E27FC236}">
                <a16:creationId xmlns:a16="http://schemas.microsoft.com/office/drawing/2014/main" id="{00000000-0008-0000-0100-00009F06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696" name="29CP">
            <a:extLst>
              <a:ext uri="{FF2B5EF4-FFF2-40B4-BE49-F238E27FC236}">
                <a16:creationId xmlns:a16="http://schemas.microsoft.com/office/drawing/2014/main" id="{00000000-0008-0000-0100-0000A006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697" name="29CPK">
            <a:extLst>
              <a:ext uri="{FF2B5EF4-FFF2-40B4-BE49-F238E27FC236}">
                <a16:creationId xmlns:a16="http://schemas.microsoft.com/office/drawing/2014/main" id="{00000000-0008-0000-0100-0000A106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698" name="Chart 1697">
            <a:extLst>
              <a:ext uri="{FF2B5EF4-FFF2-40B4-BE49-F238E27FC236}">
                <a16:creationId xmlns:a16="http://schemas.microsoft.com/office/drawing/2014/main" id="{00000000-0008-0000-0100-0000A206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699" name="29BlockCover">
            <a:extLst>
              <a:ext uri="{FF2B5EF4-FFF2-40B4-BE49-F238E27FC236}">
                <a16:creationId xmlns:a16="http://schemas.microsoft.com/office/drawing/2014/main" id="{00000000-0008-0000-0100-0000A306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708" name="30BlockGroup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GrpSpPr/>
      </xdr:nvGrpSpPr>
      <xdr:grpSpPr>
        <a:xfrm>
          <a:off x="3778250" y="16560800"/>
          <a:ext cx="2241550" cy="1619250"/>
          <a:chOff x="3429000" y="14287500"/>
          <a:chExt cx="2032000" cy="1397000"/>
        </a:xfrm>
      </xdr:grpSpPr>
      <xdr:sp macro="" textlink="">
        <xdr:nvSpPr>
          <xdr:cNvPr id="1702" name="30TITLE">
            <a:extLst>
              <a:ext uri="{FF2B5EF4-FFF2-40B4-BE49-F238E27FC236}">
                <a16:creationId xmlns:a16="http://schemas.microsoft.com/office/drawing/2014/main" id="{00000000-0008-0000-0100-0000A606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703" name="30CP">
            <a:extLst>
              <a:ext uri="{FF2B5EF4-FFF2-40B4-BE49-F238E27FC236}">
                <a16:creationId xmlns:a16="http://schemas.microsoft.com/office/drawing/2014/main" id="{00000000-0008-0000-0100-0000A706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704" name="30CPK">
            <a:extLst>
              <a:ext uri="{FF2B5EF4-FFF2-40B4-BE49-F238E27FC236}">
                <a16:creationId xmlns:a16="http://schemas.microsoft.com/office/drawing/2014/main" id="{00000000-0008-0000-0100-0000A806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705" name="Chart 1704">
            <a:extLst>
              <a:ext uri="{FF2B5EF4-FFF2-40B4-BE49-F238E27FC236}">
                <a16:creationId xmlns:a16="http://schemas.microsoft.com/office/drawing/2014/main" id="{00000000-0008-0000-0100-0000A906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06" name="30BlockCover">
            <a:extLst>
              <a:ext uri="{FF2B5EF4-FFF2-40B4-BE49-F238E27FC236}">
                <a16:creationId xmlns:a16="http://schemas.microsoft.com/office/drawing/2014/main" id="{00000000-0008-0000-0100-0000AA06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715" name="31BlockGroup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GrpSpPr/>
      </xdr:nvGrpSpPr>
      <xdr:grpSpPr>
        <a:xfrm>
          <a:off x="6527800" y="584200"/>
          <a:ext cx="2241550" cy="1593850"/>
          <a:chOff x="5969000" y="571500"/>
          <a:chExt cx="2032000" cy="1397000"/>
        </a:xfrm>
      </xdr:grpSpPr>
      <xdr:sp macro="" textlink="">
        <xdr:nvSpPr>
          <xdr:cNvPr id="1709" name="31TITLE">
            <a:extLst>
              <a:ext uri="{FF2B5EF4-FFF2-40B4-BE49-F238E27FC236}">
                <a16:creationId xmlns:a16="http://schemas.microsoft.com/office/drawing/2014/main" id="{00000000-0008-0000-0100-0000AD06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0" name="31CP">
            <a:extLst>
              <a:ext uri="{FF2B5EF4-FFF2-40B4-BE49-F238E27FC236}">
                <a16:creationId xmlns:a16="http://schemas.microsoft.com/office/drawing/2014/main" id="{00000000-0008-0000-0100-0000AE06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711" name="31CPK">
            <a:extLst>
              <a:ext uri="{FF2B5EF4-FFF2-40B4-BE49-F238E27FC236}">
                <a16:creationId xmlns:a16="http://schemas.microsoft.com/office/drawing/2014/main" id="{00000000-0008-0000-0100-0000AF06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712" name="Chart 1711">
            <a:extLst>
              <a:ext uri="{FF2B5EF4-FFF2-40B4-BE49-F238E27FC236}">
                <a16:creationId xmlns:a16="http://schemas.microsoft.com/office/drawing/2014/main" id="{00000000-0008-0000-0100-0000B006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713" name="31BlockCover">
            <a:extLst>
              <a:ext uri="{FF2B5EF4-FFF2-40B4-BE49-F238E27FC236}">
                <a16:creationId xmlns:a16="http://schemas.microsoft.com/office/drawing/2014/main" id="{00000000-0008-0000-0100-0000B106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722" name="32BlockGroup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GrpSpPr/>
      </xdr:nvGrpSpPr>
      <xdr:grpSpPr>
        <a:xfrm>
          <a:off x="6527800" y="2336800"/>
          <a:ext cx="2241550" cy="1619250"/>
          <a:chOff x="5969000" y="2095500"/>
          <a:chExt cx="2032000" cy="1397000"/>
        </a:xfrm>
      </xdr:grpSpPr>
      <xdr:sp macro="" textlink="">
        <xdr:nvSpPr>
          <xdr:cNvPr id="1716" name="32TITLE">
            <a:extLst>
              <a:ext uri="{FF2B5EF4-FFF2-40B4-BE49-F238E27FC236}">
                <a16:creationId xmlns:a16="http://schemas.microsoft.com/office/drawing/2014/main" id="{00000000-0008-0000-0100-0000B406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7" name="32CP">
            <a:extLst>
              <a:ext uri="{FF2B5EF4-FFF2-40B4-BE49-F238E27FC236}">
                <a16:creationId xmlns:a16="http://schemas.microsoft.com/office/drawing/2014/main" id="{00000000-0008-0000-0100-0000B506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718" name="32CPK">
            <a:extLst>
              <a:ext uri="{FF2B5EF4-FFF2-40B4-BE49-F238E27FC236}">
                <a16:creationId xmlns:a16="http://schemas.microsoft.com/office/drawing/2014/main" id="{00000000-0008-0000-0100-0000B606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719" name="Chart 1718">
            <a:extLst>
              <a:ext uri="{FF2B5EF4-FFF2-40B4-BE49-F238E27FC236}">
                <a16:creationId xmlns:a16="http://schemas.microsoft.com/office/drawing/2014/main" id="{00000000-0008-0000-0100-0000B706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20" name="32BlockCover">
            <a:extLst>
              <a:ext uri="{FF2B5EF4-FFF2-40B4-BE49-F238E27FC236}">
                <a16:creationId xmlns:a16="http://schemas.microsoft.com/office/drawing/2014/main" id="{00000000-0008-0000-0100-0000B806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4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4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4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4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4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5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5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6387" name="Button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5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6388" name="Button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5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6389" name="Button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5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6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8435" name="Butto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6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8437" name="Button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6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7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7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7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7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7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ctrlProp" Target="../ctrlProps/ctrlProp14.xml"/><Relationship Id="rId7" Type="http://schemas.openxmlformats.org/officeDocument/2006/relationships/ctrlProp" Target="../ctrlProps/ctrlProp1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ctrlProp" Target="../ctrlProps/ctrlProp19.xml"/><Relationship Id="rId7" Type="http://schemas.openxmlformats.org/officeDocument/2006/relationships/ctrlProp" Target="../ctrlProps/ctrlProp2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ctrlProp" Target="../ctrlProps/ctrlProp24.xml"/><Relationship Id="rId7" Type="http://schemas.openxmlformats.org/officeDocument/2006/relationships/ctrlProp" Target="../ctrlProps/ctrlProp28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C75F-95E5-40D9-87F1-B43CB27DD7F9}">
  <sheetPr codeName="Sheet1"/>
  <dimension ref="A1:ECP157"/>
  <sheetViews>
    <sheetView tabSelected="1" zoomScale="70" zoomScaleNormal="70" workbookViewId="0">
      <pane xSplit="14" ySplit="10" topLeftCell="Y11" activePane="bottomRight" state="frozenSplit"/>
      <selection activeCell="O31" sqref="O31"/>
      <selection pane="topRight" activeCell="O31" sqref="O31"/>
      <selection pane="bottomLeft" activeCell="O31" sqref="O31"/>
      <selection pane="bottomRight" activeCell="AK2" sqref="AK2"/>
    </sheetView>
  </sheetViews>
  <sheetFormatPr defaultColWidth="8.88671875" defaultRowHeight="17.25"/>
  <cols>
    <col min="1" max="1" width="0.88671875" customWidth="1"/>
    <col min="2" max="2" width="14.33203125" customWidth="1"/>
    <col min="3" max="3" width="10.44140625" bestFit="1" customWidth="1"/>
    <col min="4" max="4" width="27.33203125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7.88671875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  <col min="69" max="83" width="8.88671875" hidden="1" customWidth="1"/>
  </cols>
  <sheetData>
    <row r="1" spans="1:1002 1059:2040 2137:3061 3084:3474" s="8" customFormat="1" ht="21.95" customHeight="1">
      <c r="A1" s="172" t="s">
        <v>240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5"/>
      <c r="AG1" s="35"/>
      <c r="AH1" s="35"/>
      <c r="AI1" s="35"/>
      <c r="AJ1" s="1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1002 1059:2040 2137:3061 3084:3474" s="8" customFormat="1" ht="14.1" customHeight="1">
      <c r="B2" s="9" t="s">
        <v>56</v>
      </c>
      <c r="C2" s="9"/>
      <c r="S2" s="7"/>
      <c r="T2" s="7"/>
      <c r="U2" s="7"/>
      <c r="V2" s="173" t="s">
        <v>13</v>
      </c>
      <c r="W2" s="173"/>
      <c r="X2" s="7"/>
      <c r="Y2" s="168" t="s">
        <v>455</v>
      </c>
      <c r="AK2" s="171" t="str" cm="1">
        <f t="array" ref="AK2">TRANSPOSE(IFERROR(_xlfn._xlws.FILTER(CE10:CE160,CE10:CE160&lt;&gt;""),""))</f>
        <v/>
      </c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002 1059:2040 2137:3061 3084:3474" s="8" customFormat="1" ht="9" customHeight="1">
      <c r="Y3" s="169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1002 1059:2040 2137:3061 3084:3474" s="8" customFormat="1" ht="18.75" customHeight="1">
      <c r="B4" s="174" t="s">
        <v>14</v>
      </c>
      <c r="C4" s="175"/>
      <c r="D4" s="113" t="s">
        <v>330</v>
      </c>
      <c r="E4" s="114"/>
      <c r="F4" s="176" t="s">
        <v>15</v>
      </c>
      <c r="G4" s="177"/>
      <c r="H4" s="178" t="s">
        <v>94</v>
      </c>
      <c r="I4" s="179"/>
      <c r="J4" s="179"/>
      <c r="K4" s="179"/>
      <c r="L4" s="179"/>
      <c r="M4" s="180"/>
      <c r="N4" s="115"/>
      <c r="O4" s="174" t="s">
        <v>53</v>
      </c>
      <c r="P4" s="181"/>
      <c r="Q4" s="175"/>
      <c r="R4" s="182" t="s">
        <v>453</v>
      </c>
      <c r="S4" s="183"/>
      <c r="T4" s="183"/>
      <c r="U4" s="183"/>
      <c r="V4" s="183"/>
      <c r="W4" s="183"/>
      <c r="X4" s="165"/>
      <c r="Y4" s="170" t="s">
        <v>456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71" t="str" cm="1">
        <f t="array" ref="AK4">TRANSPOSE(_xlfn.ANCHORARRAY(BT10))</f>
        <v/>
      </c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1002 1059:2040 2137:3061 3084:3474" s="8" customFormat="1" ht="18.75" customHeight="1">
      <c r="B5" s="174" t="s">
        <v>16</v>
      </c>
      <c r="C5" s="175"/>
      <c r="D5" s="113" t="s">
        <v>331</v>
      </c>
      <c r="E5" s="114"/>
      <c r="F5" s="176" t="s">
        <v>17</v>
      </c>
      <c r="G5" s="177"/>
      <c r="H5" s="187" t="s">
        <v>451</v>
      </c>
      <c r="I5" s="179"/>
      <c r="J5" s="179"/>
      <c r="K5" s="179"/>
      <c r="L5" s="179"/>
      <c r="M5" s="180"/>
      <c r="N5" s="115"/>
      <c r="O5" s="174" t="s">
        <v>36</v>
      </c>
      <c r="P5" s="181"/>
      <c r="Q5" s="175"/>
      <c r="R5" s="185"/>
      <c r="S5" s="183"/>
      <c r="T5" s="183"/>
      <c r="U5" s="183"/>
      <c r="V5" s="183"/>
      <c r="W5" s="183"/>
      <c r="X5" s="166"/>
      <c r="Y5" s="170" t="s">
        <v>457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67" t="str" cm="1">
        <f t="array" ref="AK5">TRANSPOSE(_xlfn.ANCHORARRAY(BR10))</f>
        <v/>
      </c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1002 1059:2040 2137:3061 3084:3474" s="8" customFormat="1" ht="18.75" customHeight="1">
      <c r="B6" s="174" t="s">
        <v>18</v>
      </c>
      <c r="C6" s="175"/>
      <c r="D6" s="116">
        <v>9</v>
      </c>
      <c r="E6" s="114"/>
      <c r="F6" s="176" t="s">
        <v>29</v>
      </c>
      <c r="G6" s="177"/>
      <c r="H6" s="184" t="s">
        <v>452</v>
      </c>
      <c r="I6" s="179"/>
      <c r="J6" s="179"/>
      <c r="K6" s="179"/>
      <c r="L6" s="179"/>
      <c r="M6" s="180"/>
      <c r="N6" s="115"/>
      <c r="O6" s="174" t="s">
        <v>35</v>
      </c>
      <c r="P6" s="181"/>
      <c r="Q6" s="175"/>
      <c r="R6" s="185" t="s">
        <v>454</v>
      </c>
      <c r="S6" s="183"/>
      <c r="T6" s="183"/>
      <c r="U6" s="183"/>
      <c r="V6" s="183"/>
      <c r="W6" s="186"/>
      <c r="X6" s="7"/>
      <c r="Y6" s="170" t="s">
        <v>458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002 1059:2040 2137:3061 3084:3474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1002 1059:2040 2137:3061 3084:3474" s="10" customFormat="1" ht="15" customHeight="1">
      <c r="A8" s="26"/>
      <c r="B8" s="188" t="s">
        <v>19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6"/>
      <c r="O8" s="188" t="s">
        <v>25</v>
      </c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0"/>
      <c r="AG8" s="191" t="s">
        <v>46</v>
      </c>
      <c r="AH8" s="191"/>
      <c r="AI8" s="191"/>
      <c r="AJ8" s="26"/>
      <c r="AK8" s="192" t="s">
        <v>332</v>
      </c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3"/>
      <c r="BL8" s="193"/>
      <c r="BM8" s="193"/>
      <c r="BN8" s="193"/>
      <c r="BO8" s="193"/>
      <c r="BP8" s="194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</row>
    <row r="9" spans="1:1002 1059:2040 2137:3061 3084:3474" s="10" customFormat="1" ht="24.95" customHeight="1" thickBot="1">
      <c r="A9" s="31"/>
      <c r="B9" s="195" t="s">
        <v>333</v>
      </c>
      <c r="C9" s="195" t="s">
        <v>334</v>
      </c>
      <c r="D9" s="117"/>
      <c r="E9" s="117"/>
      <c r="F9" s="117"/>
      <c r="G9" s="11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97" t="s">
        <v>50</v>
      </c>
      <c r="AA9" s="198"/>
      <c r="AB9" s="45" t="s">
        <v>43</v>
      </c>
      <c r="AC9" s="69">
        <v>1.5</v>
      </c>
      <c r="AD9" s="119"/>
      <c r="AE9" s="119"/>
      <c r="AF9" s="67"/>
      <c r="AG9" s="65"/>
      <c r="AH9" s="65"/>
      <c r="AI9" s="66"/>
      <c r="AJ9" s="56"/>
      <c r="AK9" s="120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2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</row>
    <row r="10" spans="1:1002 1059:2040 2137:3061 3084:3474" s="24" customFormat="1" ht="25.5">
      <c r="A10" s="27"/>
      <c r="B10" s="196"/>
      <c r="C10" s="196"/>
      <c r="D10" s="123" t="s">
        <v>335</v>
      </c>
      <c r="E10" s="123" t="s">
        <v>49</v>
      </c>
      <c r="F10" s="123" t="s">
        <v>26</v>
      </c>
      <c r="G10" s="124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336</v>
      </c>
      <c r="W10" s="43" t="s">
        <v>337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53" t="s">
        <v>23</v>
      </c>
      <c r="AE10" s="53" t="s">
        <v>24</v>
      </c>
      <c r="AF10" s="53" t="s">
        <v>45</v>
      </c>
      <c r="AG10" s="65"/>
      <c r="AH10" s="65"/>
      <c r="AI10" s="66"/>
      <c r="AJ10" s="125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7"/>
      <c r="BQ10" s="24" t="str" cm="1">
        <f t="array" ref="BQ10:BQ41">TRANSPOSE(LEFT(AK10:BP10,1))</f>
        <v/>
      </c>
      <c r="BR10" s="24" t="str" cm="1">
        <f t="array" ref="BR10">_xlfn._xlws.SORT(_xlfn.UNIQUE(_xlfn.ANCHORARRAY(BQ10)))</f>
        <v/>
      </c>
      <c r="BS10" s="24" t="str" cm="1">
        <f t="array" ref="BS10:BS41">TRANSPOSE(LEFT(AK10:BP10,3))</f>
        <v/>
      </c>
      <c r="BT10" s="24" t="str" cm="1">
        <f t="array" ref="BT10">_xlfn._xlws.SORT(_xlfn.UNIQUE(_xlfn.ANCHORARRAY(BS10)))</f>
        <v/>
      </c>
      <c r="BU10" s="153" t="str" cm="1">
        <f t="array" ref="BU10">IF(BR10="","",_xlfn._xlws.FILTER($AJ$4:$BP$4,ISNUMBER(SEARCH(BR10,$AJ$4:$BP$4))))</f>
        <v/>
      </c>
      <c r="BV10" s="154"/>
      <c r="BW10" s="154"/>
      <c r="BX10" s="154"/>
      <c r="BY10" s="154" t="str" cm="1">
        <f t="array" ref="BY10">IF(BU10="","",IF(AND(MID(BU10,1,1)=MID(BU10:BX10,1,1)),"TRUE","FALSE"))</f>
        <v/>
      </c>
      <c r="CA10" s="155" t="str">
        <f>IF(BR10="","",SUBSTITUTE(SUBSTITUTE(COUNTIF(_xlfn.ANCHORARRAY(BU10),BR10&amp;"#1"),"1",""),"0",BR10&amp;"#1"))</f>
        <v/>
      </c>
      <c r="CB10" s="156" t="str">
        <f>IF(BR10="","",SUBSTITUTE(SUBSTITUTE(COUNTIF(_xlfn.ANCHORARRAY(BU10),BR10&amp;"#2"),"1",""),"0",BR10&amp;"#2"))</f>
        <v/>
      </c>
      <c r="CC10" s="156" t="str">
        <f>IF(BR10="","",SUBSTITUTE(SUBSTITUTE(COUNTIF(_xlfn.ANCHORARRAY(BU10),BR10&amp;"#3"),"1",""),"0",BR10&amp;"#3"))</f>
        <v/>
      </c>
      <c r="CD10" s="156" t="str">
        <f>IF(BR10="","",SUBSTITUTE(SUBSTITUTE(COUNTIF(_xlfn.ANCHORARRAY(BU10),BR10&amp;"#4"),"1",""),"0",BR10&amp;"#4"))</f>
        <v/>
      </c>
      <c r="CE10" s="157" t="str" cm="1">
        <f t="array" ref="CE10:CE129">_xlfn.TOCOL(CA10:CD160,3)</f>
        <v/>
      </c>
    </row>
    <row r="11" spans="1:1002 1059:2040 2137:3061 3084:3474" ht="15" customHeight="1">
      <c r="A11" s="18"/>
      <c r="B11" s="128" t="s">
        <v>338</v>
      </c>
      <c r="C11" s="129" t="s">
        <v>246</v>
      </c>
      <c r="D11" s="130" t="s">
        <v>60</v>
      </c>
      <c r="E11" s="71">
        <v>1.33</v>
      </c>
      <c r="F11" s="129" t="s">
        <v>28</v>
      </c>
      <c r="G11" s="131">
        <v>0.5</v>
      </c>
      <c r="H11" s="129">
        <v>0.01</v>
      </c>
      <c r="I11" s="131">
        <v>-0.01</v>
      </c>
      <c r="J11" s="129" t="s">
        <v>12</v>
      </c>
      <c r="K11" s="132" t="s">
        <v>339</v>
      </c>
      <c r="L11" s="133">
        <f>IF(AND(G11="",H11=""),"",IF(G11="",H11,G11+H11))</f>
        <v>0.51</v>
      </c>
      <c r="M11" s="133">
        <f>IF(AND(G11="",I11=""),"",IF(G11="",I11,G11+I11))</f>
        <v>0.49</v>
      </c>
      <c r="N11" s="28"/>
      <c r="O11" s="3" t="str">
        <f t="shared" ref="O11:O16" si="0">IF(OR($AK11="",ISNUMBER($AK11)=FALSE),"",MAX(AK11:BP11))</f>
        <v/>
      </c>
      <c r="P11" s="3" t="str">
        <f t="shared" ref="P11:P16" si="1">IF(OR($AK11="",ISNUMBER($AK11)=FALSE),"",MIN(AK11:BP11))</f>
        <v/>
      </c>
      <c r="Q11" s="3" t="str">
        <f t="shared" ref="Q11:Q16" si="2">IF(OR($AK11="",ISNUMBER($AK11)=FALSE),"",AVERAGE(AK11:BP11))</f>
        <v/>
      </c>
      <c r="R11" s="4" t="str">
        <f t="shared" ref="R11:R16" si="3">IF(OR($AK11="",ISNUMBER($AK11)=FALSE),"",STDEV(AK11:BP11))</f>
        <v/>
      </c>
      <c r="S11" s="5" t="str">
        <f t="shared" ref="S11:S16" si="4">IF(OR($AK11="",ISNUMBER($AK11)=FALSE),"",IF(AND(G11="",I11=""),V11,IF(AND(G11="",H11=""),W11,(H11+ABS(I11))/(6*R11))))</f>
        <v/>
      </c>
      <c r="T11" s="76" t="str">
        <f t="shared" ref="T11:T66" si="5">IF(OR($AK11="",ISNUMBER($AK11)=FALSE),"",IF(AND($F11="Tolerance",$G11&lt;&gt;""),($Q11-$G11)/(($L11-$M11)/2),IF(AND($F11="GD&amp;T",$H11&lt;&gt;""),$Q11/$H11,"")))</f>
        <v/>
      </c>
      <c r="U11" s="76" t="str">
        <f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66" si="6">IF(OR($AK11="",ISNUMBER($AK11)=FALSE),"",IF(H11="","",(L11-Q11)/(3*R11)))</f>
        <v/>
      </c>
      <c r="W11" s="5" t="str">
        <f t="shared" ref="W11:W66" si="7">IF(OR($AK11="",ISNUMBER($AK11)=FALSE),"",IF(I11="","",(Q11-M11)/(3*R11)))</f>
        <v/>
      </c>
      <c r="X11" s="5" t="str">
        <f t="shared" ref="X11:X66" si="8">IF(OR($AK11="",ISNUMBER($AK11)=FALSE),"",IF(AND(G11=0,I11=0),((H11)-(Q11))/(3*R11),MIN(V11:W11)))</f>
        <v/>
      </c>
      <c r="Y11" s="70" t="str">
        <f t="shared" ref="Y11:Y66" si="9">IF(OR($AK11="",ISNUMBER($AK11)=FALSE),"",IF(AND(G11=0,I11=0),NORMSDIST(3*X11),NORMSDIST(3*X11)+NORMSDIST(6*S11-3*X11)-1))</f>
        <v/>
      </c>
      <c r="Z11" s="32" t="str">
        <f>IF($Q11="","",IF(F11="Tolerance",IF(($E11*3*R11+Q11)-G11&lt;H11,"",($E11*3*R11+Q11)-G11),IF(OR(F11="GD&amp;T",F11="MAX"),IF(($E11*3*R11+Q11)&lt;H11,"",($E11*3*R11+Q11)),"")))</f>
        <v/>
      </c>
      <c r="AA11" s="32" t="str">
        <f>IF(Q11="","",IF(F11="Tolerance",IF(-(($E11*3*R11)-Q11)-G11&gt;I11,"",-(($E11*3*R11)-Q11)-G11),IF(F11="MIN",IF(-(($E11*3*R11)-Q11)&gt;I11,"",-(($E11*3*R11)-Q11)),"")))</f>
        <v/>
      </c>
      <c r="AB11" s="32" t="str">
        <f>IF(OR(G11="",Q11=""),"",(L11+M11)/2-Q11)</f>
        <v/>
      </c>
      <c r="AC11" s="32" t="str">
        <f t="shared" ref="AC11:AC66" si="10">IF(OR($S11&gt;$AC$9,$R11=""),"",$AC$9*6*$R11)</f>
        <v/>
      </c>
      <c r="AD11" s="134"/>
      <c r="AE11" s="135" t="str">
        <f>IF(AD11="","",IF(AD11&gt;=0.966,"Normal","Not Normal"))</f>
        <v/>
      </c>
      <c r="AF11" s="136"/>
      <c r="AG11" s="137"/>
      <c r="AH11" s="137"/>
      <c r="AI11" s="138"/>
      <c r="AJ11" s="2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t="str">
        <v/>
      </c>
      <c r="BS11" t="str">
        <v/>
      </c>
      <c r="BU11" s="153" t="str" cm="1">
        <f t="array" ref="BU11">IF(BR11="","",_xlfn._xlws.FILTER($AJ$4:$BP$4,ISNUMBER(SEARCH(BR11,$AJ$4:$BP$4))))</f>
        <v/>
      </c>
      <c r="BV11" s="154"/>
      <c r="BW11" s="154"/>
      <c r="BX11" s="154"/>
      <c r="BY11" s="154" t="str" cm="1">
        <f t="array" ref="BY11">IF(BU11="","",IF(AND(MID(BU11,1,1)=MID(BU11:BX11,1,1)),"TRUE","FALSE"))</f>
        <v/>
      </c>
      <c r="CA11" s="161" t="str">
        <f t="shared" ref="CA11:CA39" si="11">IF(BR11="","",SUBSTITUTE(SUBSTITUTE(COUNTIF(_xlfn.ANCHORARRAY(BU11),BR11&amp;"#1"),"1",""),"0",BR11&amp;"#1"))</f>
        <v/>
      </c>
      <c r="CB11" s="61" t="str">
        <f t="shared" ref="CB11:CB39" si="12">IF(BR11="","",SUBSTITUTE(SUBSTITUTE(COUNTIF(_xlfn.ANCHORARRAY(BU11),BR11&amp;"#2"),"1",""),"0",BR11&amp;"#2"))</f>
        <v/>
      </c>
      <c r="CC11" s="61" t="str">
        <f t="shared" ref="CC11:CC39" si="13">IF(BR11="","",SUBSTITUTE(SUBSTITUTE(COUNTIF(_xlfn.ANCHORARRAY(BU11),BR11&amp;"#3"),"1",""),"0",BR11&amp;"#3"))</f>
        <v/>
      </c>
      <c r="CD11" s="61" t="str">
        <f t="shared" ref="CD11:CD39" si="14">IF(BR11="","",SUBSTITUTE(SUBSTITUTE(COUNTIF(_xlfn.ANCHORARRAY(BU11),BR11&amp;"#4"),"1",""),"0",BR11&amp;"#4"))</f>
        <v/>
      </c>
      <c r="CE11" s="158" t="str">
        <v/>
      </c>
      <c r="MH11" s="78"/>
      <c r="SA11" s="78"/>
      <c r="SW11" s="78"/>
      <c r="AIU11" s="78"/>
      <c r="AKA11" s="78"/>
      <c r="AWN11" s="78"/>
      <c r="AXF11" s="78"/>
      <c r="BBJ11" s="78"/>
      <c r="BDF11" s="78"/>
      <c r="CJH11" s="78"/>
      <c r="CPI11" s="78"/>
      <c r="DJA11" s="78"/>
      <c r="DOK11" s="78"/>
      <c r="EBC11" s="78"/>
      <c r="ECG11" s="78"/>
    </row>
    <row r="12" spans="1:1002 1059:2040 2137:3061 3084:3474" ht="15" customHeight="1">
      <c r="A12" s="18"/>
      <c r="B12" s="128" t="s">
        <v>340</v>
      </c>
      <c r="C12" s="129" t="s">
        <v>246</v>
      </c>
      <c r="D12" s="130" t="s">
        <v>60</v>
      </c>
      <c r="E12" s="71">
        <v>1.33</v>
      </c>
      <c r="F12" s="129" t="s">
        <v>28</v>
      </c>
      <c r="G12" s="129">
        <v>0.5</v>
      </c>
      <c r="H12" s="129">
        <v>0.01</v>
      </c>
      <c r="I12" s="129">
        <v>-0.01</v>
      </c>
      <c r="J12" s="129" t="s">
        <v>12</v>
      </c>
      <c r="K12" s="132" t="s">
        <v>339</v>
      </c>
      <c r="L12" s="133">
        <f t="shared" ref="L12:L67" si="15">IF(AND(G12="",H12=""),"",IF(G12="",H12,G12+H12))</f>
        <v>0.51</v>
      </c>
      <c r="M12" s="139">
        <f t="shared" ref="M12:M67" si="16">IF(AND(G12="",I12=""),"",IF(G12="",I12,G12+I12))</f>
        <v>0.49</v>
      </c>
      <c r="N12" s="28"/>
      <c r="O12" s="3" t="str">
        <f t="shared" si="0"/>
        <v/>
      </c>
      <c r="P12" s="3" t="str">
        <f t="shared" si="1"/>
        <v/>
      </c>
      <c r="Q12" s="3" t="str">
        <f t="shared" si="2"/>
        <v/>
      </c>
      <c r="R12" s="4" t="str">
        <f t="shared" si="3"/>
        <v/>
      </c>
      <c r="S12" s="5" t="str">
        <f t="shared" si="4"/>
        <v/>
      </c>
      <c r="T12" s="76" t="str">
        <f t="shared" si="5"/>
        <v/>
      </c>
      <c r="U12" s="76" t="str">
        <f t="shared" ref="U12:U67" si="17">IF($T12="","",IF(ABS($T12)&lt;=0.125, "Level A",IF(AND(ABS($T12)&gt;0.125,ABS($T12)&lt;=0.25), "Level B",IF(AND(ABS($T12)&gt;0.25,ABS($T12)&lt;=0.5), "Level C", IF(ABS($T12)&gt;0.5, "Level D")))))</f>
        <v/>
      </c>
      <c r="V12" s="5" t="str">
        <f>IF(OR($AK12="",ISNUMBER($AK12)=FALSE),"",IF(H12="","",(L12-Q12)/(3*R12)))</f>
        <v/>
      </c>
      <c r="W12" s="5" t="str">
        <f>IF(OR($AK12="",ISNUMBER($AK12)=FALSE),"",IF(I12="","",(Q12-M12)/(3*R12)))</f>
        <v/>
      </c>
      <c r="X12" s="5" t="str">
        <f>IF(OR($AK12="",ISNUMBER($AK12)=FALSE),"",IF(AND(G12=0,I12=0),((H12)-(Q12))/(3*R12),MIN(V12:W12)))</f>
        <v/>
      </c>
      <c r="Y12" s="70" t="str">
        <f t="shared" si="9"/>
        <v/>
      </c>
      <c r="Z12" s="32" t="str">
        <f t="shared" ref="Z12:Z67" si="18">IF($Q12="","",IF(F12="Tolerance",IF(($E12*3*R12+Q12)-G12&lt;H12,"",($E12*3*R12+Q12)-G12),IF(OR(F12="GD&amp;T",F12="MAX"),IF(($E12*3*R12+Q12)&lt;H12,"",($E12*3*R12+Q12)),"")))</f>
        <v/>
      </c>
      <c r="AA12" s="32" t="str">
        <f t="shared" ref="AA12:AA67" si="19">IF(Q12="","",IF(F12="Tolerance",IF(-(($E12*3*R12)-Q12)-G12&gt;I12,"",-(($E12*3*R12)-Q12)-G12),IF(F12="MIN",IF(-(($E12*3*R12)-Q12)&gt;I12,"",-(($E12*3*R12)-Q12)),"")))</f>
        <v/>
      </c>
      <c r="AB12" s="32" t="str">
        <f t="shared" ref="AB12:AB67" si="20">IF(OR(G12="",Q12=""),"",(L12+M12)/2-Q12)</f>
        <v/>
      </c>
      <c r="AC12" s="32" t="str">
        <f t="shared" si="10"/>
        <v/>
      </c>
      <c r="AD12" s="134"/>
      <c r="AE12" s="135" t="str">
        <f t="shared" ref="AE12:AE67" si="21">IF(AD12="","",IF(AD12&gt;=0.966,"Normal","Not Normal"))</f>
        <v/>
      </c>
      <c r="AF12" s="136"/>
      <c r="AG12" s="137"/>
      <c r="AH12" s="137"/>
      <c r="AI12" s="138"/>
      <c r="AJ12" s="23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140"/>
      <c r="BQ12" t="str">
        <v/>
      </c>
      <c r="BS12" t="str">
        <v/>
      </c>
      <c r="BU12" s="153" t="str" cm="1">
        <f t="array" ref="BU12">IF(BR12="","",_xlfn._xlws.FILTER($AJ$4:$BP$4,ISNUMBER(SEARCH(BR12,$AJ$4:$BP$4))))</f>
        <v/>
      </c>
      <c r="BV12" s="154"/>
      <c r="BW12" s="154"/>
      <c r="BX12" s="154"/>
      <c r="BY12" s="154" t="str" cm="1">
        <f t="array" ref="BY12">IF(BU12="","",IF(AND(MID(BU12,1,1)=MID(BU12:BX12,1,1)),"TRUE","FALSE"))</f>
        <v/>
      </c>
      <c r="CA12" s="161" t="str">
        <f t="shared" si="11"/>
        <v/>
      </c>
      <c r="CB12" s="61" t="str">
        <f t="shared" si="12"/>
        <v/>
      </c>
      <c r="CC12" s="61" t="str">
        <f t="shared" si="13"/>
        <v/>
      </c>
      <c r="CD12" s="61" t="str">
        <f t="shared" si="14"/>
        <v/>
      </c>
      <c r="CE12" s="158" t="str">
        <v/>
      </c>
      <c r="EZ12" s="78"/>
      <c r="GH12" s="78"/>
      <c r="JB12" s="78"/>
      <c r="MV12" s="78"/>
      <c r="SA12" s="78"/>
      <c r="AKA12" s="78"/>
      <c r="ANX12" s="78"/>
      <c r="ARY12" s="78"/>
      <c r="AWV12" s="78"/>
      <c r="BIK12" s="78"/>
      <c r="BLJ12" s="78"/>
      <c r="BOB12" s="78"/>
      <c r="BPJ12" s="78"/>
      <c r="BPL12" s="78"/>
      <c r="BSZ12" s="78"/>
      <c r="BTG12" s="78"/>
      <c r="BUA12" s="78"/>
      <c r="BZL12" s="78"/>
      <c r="CNS12" s="78"/>
      <c r="CNV12" s="78"/>
      <c r="CNY12" s="78"/>
      <c r="CUR12" s="78"/>
      <c r="CYT12" s="78"/>
      <c r="CZB12" s="78"/>
      <c r="DHC12" s="78"/>
      <c r="DIJ12" s="78"/>
      <c r="DLK12" s="78"/>
      <c r="DSG12" s="78"/>
      <c r="DSK12" s="78"/>
      <c r="DTM12" s="78"/>
      <c r="DXW12" s="78"/>
      <c r="EAK12" s="78"/>
    </row>
    <row r="13" spans="1:1002 1059:2040 2137:3061 3084:3474" ht="15" customHeight="1">
      <c r="A13" s="18"/>
      <c r="B13" s="128" t="s">
        <v>341</v>
      </c>
      <c r="C13" s="129" t="s">
        <v>246</v>
      </c>
      <c r="D13" s="130" t="s">
        <v>60</v>
      </c>
      <c r="E13" s="71">
        <v>1.33</v>
      </c>
      <c r="F13" s="129" t="s">
        <v>28</v>
      </c>
      <c r="G13" s="129">
        <v>0.5</v>
      </c>
      <c r="H13" s="129">
        <v>0.01</v>
      </c>
      <c r="I13" s="129">
        <v>-0.01</v>
      </c>
      <c r="J13" s="129" t="s">
        <v>12</v>
      </c>
      <c r="K13" s="132" t="s">
        <v>339</v>
      </c>
      <c r="L13" s="133">
        <f t="shared" si="15"/>
        <v>0.51</v>
      </c>
      <c r="M13" s="139">
        <f t="shared" si="16"/>
        <v>0.49</v>
      </c>
      <c r="N13" s="28"/>
      <c r="O13" s="3" t="str">
        <f t="shared" si="0"/>
        <v/>
      </c>
      <c r="P13" s="3" t="str">
        <f t="shared" si="1"/>
        <v/>
      </c>
      <c r="Q13" s="3" t="str">
        <f t="shared" si="2"/>
        <v/>
      </c>
      <c r="R13" s="4" t="str">
        <f t="shared" si="3"/>
        <v/>
      </c>
      <c r="S13" s="5" t="str">
        <f t="shared" si="4"/>
        <v/>
      </c>
      <c r="T13" s="76" t="str">
        <f t="shared" si="5"/>
        <v/>
      </c>
      <c r="U13" s="76" t="str">
        <f t="shared" si="17"/>
        <v/>
      </c>
      <c r="V13" s="5" t="str">
        <f>IF(OR($AK13="",ISNUMBER($AK13)=FALSE),"",IF(H13="","",(L13-Q13)/(3*R13)))</f>
        <v/>
      </c>
      <c r="W13" s="5" t="str">
        <f>IF(OR($AK13="",ISNUMBER($AK13)=FALSE),"",IF(I13="","",(Q13-M13)/(3*R13)))</f>
        <v/>
      </c>
      <c r="X13" s="5" t="str">
        <f>IF(OR($AK13="",ISNUMBER($AK13)=FALSE),"",IF(AND(G13=0,I13=0),((H13)-(Q13))/(3*R13),MIN(V13:W13)))</f>
        <v/>
      </c>
      <c r="Y13" s="70" t="str">
        <f t="shared" si="9"/>
        <v/>
      </c>
      <c r="Z13" s="32" t="str">
        <f t="shared" si="18"/>
        <v/>
      </c>
      <c r="AA13" s="32" t="str">
        <f t="shared" si="19"/>
        <v/>
      </c>
      <c r="AB13" s="32" t="str">
        <f t="shared" si="20"/>
        <v/>
      </c>
      <c r="AC13" s="32" t="str">
        <f t="shared" si="10"/>
        <v/>
      </c>
      <c r="AD13" s="134"/>
      <c r="AE13" s="135" t="str">
        <f t="shared" si="21"/>
        <v/>
      </c>
      <c r="AF13" s="136"/>
      <c r="AG13" s="137"/>
      <c r="AH13" s="137"/>
      <c r="AI13" s="138"/>
      <c r="AJ13" s="2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140"/>
      <c r="BQ13" t="str">
        <v/>
      </c>
      <c r="BS13" t="str">
        <v/>
      </c>
      <c r="BU13" s="153" t="str" cm="1">
        <f t="array" ref="BU13">IF(BR13="","",_xlfn._xlws.FILTER($AJ$4:$BP$4,ISNUMBER(SEARCH(BR13,$AJ$4:$BP$4))))</f>
        <v/>
      </c>
      <c r="BV13" s="154"/>
      <c r="BW13" s="154"/>
      <c r="BX13" s="154"/>
      <c r="BY13" s="154" t="str" cm="1">
        <f t="array" ref="BY13">IF(BU13="","",IF(AND(MID(BU13,1,1)=MID(BU13:BX13,1,1)),"TRUE","FALSE"))</f>
        <v/>
      </c>
      <c r="CA13" s="161" t="str">
        <f t="shared" si="11"/>
        <v/>
      </c>
      <c r="CB13" s="61" t="str">
        <f t="shared" si="12"/>
        <v/>
      </c>
      <c r="CC13" s="61" t="str">
        <f t="shared" si="13"/>
        <v/>
      </c>
      <c r="CD13" s="61" t="str">
        <f t="shared" si="14"/>
        <v/>
      </c>
      <c r="CE13" s="158" t="str">
        <v/>
      </c>
      <c r="FA13" s="78"/>
      <c r="JB13" s="78"/>
      <c r="AFL13" s="78"/>
      <c r="BEV13" s="78"/>
      <c r="BJL13" s="78"/>
      <c r="BOO13" s="78"/>
      <c r="BPJ13" s="78"/>
      <c r="BRJ13" s="78"/>
      <c r="BRP13" s="78"/>
      <c r="BUA13" s="78"/>
      <c r="BVO13" s="78"/>
      <c r="BVW13" s="78"/>
      <c r="BYQ13" s="78"/>
      <c r="BZL13" s="78"/>
      <c r="DHF13" s="78"/>
      <c r="DIJ13" s="78"/>
      <c r="DOL13" s="78"/>
      <c r="EBJ13" s="78"/>
    </row>
    <row r="14" spans="1:1002 1059:2040 2137:3061 3084:3474" ht="15" customHeight="1">
      <c r="A14" s="18"/>
      <c r="B14" s="128">
        <v>4</v>
      </c>
      <c r="C14" s="129" t="s">
        <v>269</v>
      </c>
      <c r="D14" s="130" t="s">
        <v>58</v>
      </c>
      <c r="E14" s="71">
        <v>1.33</v>
      </c>
      <c r="F14" s="129" t="s">
        <v>27</v>
      </c>
      <c r="G14" s="129"/>
      <c r="H14" s="129">
        <v>0.02</v>
      </c>
      <c r="I14" s="129" t="s">
        <v>459</v>
      </c>
      <c r="J14" s="129" t="s">
        <v>12</v>
      </c>
      <c r="K14" s="132" t="s">
        <v>339</v>
      </c>
      <c r="L14" s="133">
        <f>IF(AND(G14="",H14=""),"",IF(G14="",H14,G14+H14))</f>
        <v>0.02</v>
      </c>
      <c r="M14" s="139" t="str">
        <f>IF(AND(G14="",I14=""),"",IF(G14="",I14,G14+I14))</f>
        <v/>
      </c>
      <c r="N14" s="28"/>
      <c r="O14" s="3" t="str">
        <f t="shared" si="0"/>
        <v/>
      </c>
      <c r="P14" s="3" t="str">
        <f t="shared" si="1"/>
        <v/>
      </c>
      <c r="Q14" s="3" t="str">
        <f t="shared" si="2"/>
        <v/>
      </c>
      <c r="R14" s="4" t="str">
        <f t="shared" si="3"/>
        <v/>
      </c>
      <c r="S14" s="5" t="str">
        <f t="shared" si="4"/>
        <v/>
      </c>
      <c r="T14" s="76" t="str">
        <f t="shared" si="5"/>
        <v/>
      </c>
      <c r="U14" s="76" t="str">
        <f t="shared" si="17"/>
        <v/>
      </c>
      <c r="V14" s="5" t="str">
        <f>IF(OR($AK14="",ISNUMBER($AK14)=FALSE),"",IF(H14="","",(L14-Q14)/(3*R14)))</f>
        <v/>
      </c>
      <c r="W14" s="5" t="str">
        <f>IF(OR($AK14="",ISNUMBER($AK14)=FALSE),"",IF(I14="","",(Q14-M14)/(3*R14)))</f>
        <v/>
      </c>
      <c r="X14" s="5" t="str">
        <f>IF(OR($AK14="",ISNUMBER($AK14)=FALSE),"",IF(AND(G14=0,I14=0),((H14)-(Q14))/(3*R14),MIN(V14:W14)))</f>
        <v/>
      </c>
      <c r="Y14" s="70" t="str">
        <f t="shared" si="9"/>
        <v/>
      </c>
      <c r="Z14" s="32" t="str">
        <f t="shared" si="18"/>
        <v/>
      </c>
      <c r="AA14" s="32" t="str">
        <f t="shared" si="19"/>
        <v/>
      </c>
      <c r="AB14" s="32" t="str">
        <f>IF(OR(G14="",Q14=""),"",(L14+M14)/2-Q14)</f>
        <v/>
      </c>
      <c r="AC14" s="32" t="str">
        <f t="shared" si="10"/>
        <v/>
      </c>
      <c r="AD14" s="134"/>
      <c r="AE14" s="135" t="str">
        <f t="shared" si="21"/>
        <v/>
      </c>
      <c r="AF14" s="136"/>
      <c r="AG14" s="137"/>
      <c r="AH14" s="137"/>
      <c r="AI14" s="138"/>
      <c r="AJ14" s="23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t="str">
        <v/>
      </c>
      <c r="BS14" t="str">
        <v/>
      </c>
      <c r="BU14" s="153" t="str" cm="1">
        <f t="array" ref="BU14">IF(BR14="","",_xlfn._xlws.FILTER($AJ$4:$BP$4,ISNUMBER(SEARCH(BR14,$AJ$4:$BP$4))))</f>
        <v/>
      </c>
      <c r="BV14" s="154"/>
      <c r="BW14" s="154"/>
      <c r="BX14" s="154"/>
      <c r="BY14" s="154" t="str" cm="1">
        <f t="array" ref="BY14">IF(BU14="","",IF(AND(MID(BU14,1,1)=MID(BU14:BX14,1,1)),"TRUE","FALSE"))</f>
        <v/>
      </c>
      <c r="CA14" s="161" t="str">
        <f t="shared" si="11"/>
        <v/>
      </c>
      <c r="CB14" s="61" t="str">
        <f t="shared" si="12"/>
        <v/>
      </c>
      <c r="CC14" s="61" t="str">
        <f t="shared" si="13"/>
        <v/>
      </c>
      <c r="CD14" s="61" t="str">
        <f t="shared" si="14"/>
        <v/>
      </c>
      <c r="CE14" s="158" t="str">
        <v/>
      </c>
      <c r="HS14" s="78"/>
      <c r="HT14" s="78"/>
      <c r="JK14" s="78"/>
      <c r="OI14" s="78"/>
      <c r="VH14" s="78"/>
      <c r="WL14" s="78"/>
      <c r="ZH14" s="78"/>
      <c r="AAE14" s="78"/>
      <c r="AIE14" s="78"/>
      <c r="AKA14" s="78"/>
      <c r="AKL14" s="78"/>
      <c r="ATJ14" s="78"/>
      <c r="BBO14" s="78"/>
      <c r="BEU14" s="78"/>
      <c r="BRU14" s="78"/>
      <c r="BTZ14" s="78"/>
      <c r="BZI14" s="78"/>
      <c r="CFZ14" s="78"/>
      <c r="CHF14" s="78"/>
      <c r="CKC14" s="78"/>
      <c r="CLC14" s="78"/>
      <c r="CMW14" s="78"/>
      <c r="CQN14" s="78"/>
      <c r="CXY14" s="78"/>
      <c r="DAM14" s="78"/>
      <c r="DDP14" s="78"/>
      <c r="DHE14" s="78"/>
      <c r="DHF14" s="78"/>
      <c r="DHH14" s="78"/>
      <c r="DHK14" s="78"/>
      <c r="DHR14" s="78"/>
      <c r="DHX14" s="78"/>
      <c r="DLK14" s="78"/>
      <c r="DNP14" s="78"/>
      <c r="DOO14" s="78"/>
      <c r="DZK14" s="78"/>
    </row>
    <row r="15" spans="1:1002 1059:2040 2137:3061 3084:3474" ht="15" customHeight="1">
      <c r="A15" s="18"/>
      <c r="B15" s="128">
        <v>5</v>
      </c>
      <c r="C15" s="129" t="s">
        <v>270</v>
      </c>
      <c r="D15" s="130" t="s">
        <v>58</v>
      </c>
      <c r="E15" s="71">
        <v>1.33</v>
      </c>
      <c r="F15" s="129" t="s">
        <v>27</v>
      </c>
      <c r="G15" s="129"/>
      <c r="H15" s="129">
        <v>2.5000000000000001E-2</v>
      </c>
      <c r="I15" s="129" t="s">
        <v>459</v>
      </c>
      <c r="J15" s="129" t="s">
        <v>12</v>
      </c>
      <c r="K15" s="132" t="s">
        <v>339</v>
      </c>
      <c r="L15" s="133">
        <f t="shared" si="15"/>
        <v>2.5000000000000001E-2</v>
      </c>
      <c r="M15" s="139" t="str">
        <f t="shared" si="16"/>
        <v/>
      </c>
      <c r="N15" s="29"/>
      <c r="O15" s="3" t="str">
        <f t="shared" si="0"/>
        <v/>
      </c>
      <c r="P15" s="3" t="str">
        <f t="shared" si="1"/>
        <v/>
      </c>
      <c r="Q15" s="3" t="str">
        <f t="shared" si="2"/>
        <v/>
      </c>
      <c r="R15" s="4" t="str">
        <f t="shared" si="3"/>
        <v/>
      </c>
      <c r="S15" s="5" t="str">
        <f t="shared" si="4"/>
        <v/>
      </c>
      <c r="T15" s="76" t="str">
        <f t="shared" si="5"/>
        <v/>
      </c>
      <c r="U15" s="76" t="str">
        <f t="shared" si="17"/>
        <v/>
      </c>
      <c r="V15" s="5" t="str">
        <f>IF(OR($AK15="",ISNUMBER($AK15)=FALSE),"",IF(H15="","",(L15-Q15)/(3*R15)))</f>
        <v/>
      </c>
      <c r="W15" s="5" t="str">
        <f>IF(OR($AK15="",ISNUMBER($AK15)=FALSE),"",IF(I15="","",(Q15-M15)/(3*R15)))</f>
        <v/>
      </c>
      <c r="X15" s="5" t="str">
        <f>IF(OR($AK15="",ISNUMBER($AK15)=FALSE),"",IF(AND(G15=0,I15=0),((H15)-(Q15))/(3*R15),MIN(V15:W15)))</f>
        <v/>
      </c>
      <c r="Y15" s="70" t="str">
        <f t="shared" si="9"/>
        <v/>
      </c>
      <c r="Z15" s="32" t="str">
        <f t="shared" si="18"/>
        <v/>
      </c>
      <c r="AA15" s="32" t="str">
        <f t="shared" si="19"/>
        <v/>
      </c>
      <c r="AB15" s="32" t="str">
        <f t="shared" si="20"/>
        <v/>
      </c>
      <c r="AC15" s="32" t="str">
        <f t="shared" si="10"/>
        <v/>
      </c>
      <c r="AD15" s="134"/>
      <c r="AE15" s="135" t="str">
        <f t="shared" si="21"/>
        <v/>
      </c>
      <c r="AF15" s="136"/>
      <c r="AG15" s="137"/>
      <c r="AH15" s="137"/>
      <c r="AI15" s="138"/>
      <c r="AJ15" s="20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t="str">
        <v/>
      </c>
      <c r="BS15" t="str">
        <v/>
      </c>
      <c r="BU15" s="153" t="str" cm="1">
        <f t="array" ref="BU15">IF(BR15="","",_xlfn._xlws.FILTER($AJ$4:$BP$4,ISNUMBER(SEARCH(BR15,$AJ$4:$BP$4))))</f>
        <v/>
      </c>
      <c r="BV15" s="154"/>
      <c r="BW15" s="154"/>
      <c r="BX15" s="154"/>
      <c r="BY15" s="154" t="str" cm="1">
        <f t="array" ref="BY15">IF(BU15="","",IF(AND(MID(BU15,1,1)=MID(BU15:BX15,1,1)),"TRUE","FALSE"))</f>
        <v/>
      </c>
      <c r="CA15" s="161" t="str">
        <f t="shared" si="11"/>
        <v/>
      </c>
      <c r="CB15" s="61" t="str">
        <f t="shared" si="12"/>
        <v/>
      </c>
      <c r="CC15" s="61" t="str">
        <f t="shared" si="13"/>
        <v/>
      </c>
      <c r="CD15" s="61" t="str">
        <f t="shared" si="14"/>
        <v/>
      </c>
      <c r="CE15" s="158" t="str">
        <v/>
      </c>
      <c r="GH15" s="78"/>
      <c r="HT15" s="78"/>
      <c r="JK15" s="78"/>
      <c r="PP15" s="78"/>
      <c r="VH15" s="78"/>
      <c r="WO15" s="78"/>
      <c r="ZH15" s="78"/>
      <c r="AAE15" s="78"/>
      <c r="AIE15" s="78"/>
      <c r="AKA15" s="78"/>
      <c r="AKL15" s="78"/>
      <c r="BBO15" s="78"/>
      <c r="BEU15" s="78"/>
      <c r="BQZ15" s="78"/>
      <c r="BRU15" s="78"/>
      <c r="BTZ15" s="78"/>
      <c r="BXC15" s="78"/>
      <c r="BZI15" s="78"/>
      <c r="CFZ15" s="78"/>
      <c r="CGL15" s="78"/>
      <c r="CHF15" s="78"/>
      <c r="CLC15" s="78"/>
      <c r="CMW15" s="78"/>
      <c r="CQN15" s="78"/>
      <c r="CXY15" s="78"/>
      <c r="DAM15" s="78"/>
      <c r="DDP15" s="78"/>
      <c r="DHE15" s="78"/>
      <c r="DHH15" s="78"/>
      <c r="DHX15" s="78"/>
      <c r="DNP15" s="78"/>
      <c r="DOO15" s="78"/>
      <c r="DZK15" s="78"/>
    </row>
    <row r="16" spans="1:1002 1059:2040 2137:3061 3084:3474" ht="15" customHeight="1">
      <c r="A16" s="18"/>
      <c r="B16" s="128">
        <v>6</v>
      </c>
      <c r="C16" s="129" t="s">
        <v>271</v>
      </c>
      <c r="D16" s="130" t="s">
        <v>57</v>
      </c>
      <c r="E16" s="71">
        <v>1.33</v>
      </c>
      <c r="F16" s="129" t="s">
        <v>27</v>
      </c>
      <c r="G16" s="131"/>
      <c r="H16" s="129">
        <v>0.02</v>
      </c>
      <c r="I16" s="131" t="s">
        <v>459</v>
      </c>
      <c r="J16" s="129" t="s">
        <v>12</v>
      </c>
      <c r="K16" s="132" t="s">
        <v>339</v>
      </c>
      <c r="L16" s="133">
        <f t="shared" si="15"/>
        <v>0.02</v>
      </c>
      <c r="M16" s="139" t="str">
        <f t="shared" si="16"/>
        <v/>
      </c>
      <c r="N16" s="29"/>
      <c r="O16" s="3" t="str">
        <f t="shared" si="0"/>
        <v/>
      </c>
      <c r="P16" s="3" t="str">
        <f t="shared" si="1"/>
        <v/>
      </c>
      <c r="Q16" s="3" t="str">
        <f t="shared" si="2"/>
        <v/>
      </c>
      <c r="R16" s="4" t="str">
        <f t="shared" si="3"/>
        <v/>
      </c>
      <c r="S16" s="5" t="str">
        <f t="shared" si="4"/>
        <v/>
      </c>
      <c r="T16" s="76" t="str">
        <f t="shared" si="5"/>
        <v/>
      </c>
      <c r="U16" s="76" t="str">
        <f t="shared" si="17"/>
        <v/>
      </c>
      <c r="V16" s="5" t="str">
        <f>IF(OR($AK16="",ISNUMBER($AK16)=FALSE),"",IF(H16="","",(L16-Q16)/(3*R16)))</f>
        <v/>
      </c>
      <c r="W16" s="5" t="str">
        <f>IF(OR($AK16="",ISNUMBER($AK16)=FALSE),"",IF(I16="","",(Q16-M16)/(3*R16)))</f>
        <v/>
      </c>
      <c r="X16" s="5" t="str">
        <f>IF(OR($AK16="",ISNUMBER($AK16)=FALSE),"",IF(AND(G16=0,I16=0),((H16)-(Q16))/(3*R16),MIN(V16:W16)))</f>
        <v/>
      </c>
      <c r="Y16" s="70" t="str">
        <f t="shared" si="9"/>
        <v/>
      </c>
      <c r="Z16" s="32" t="str">
        <f t="shared" si="18"/>
        <v/>
      </c>
      <c r="AA16" s="32" t="str">
        <f t="shared" si="19"/>
        <v/>
      </c>
      <c r="AB16" s="32" t="str">
        <f t="shared" si="20"/>
        <v/>
      </c>
      <c r="AC16" s="32" t="str">
        <f t="shared" si="10"/>
        <v/>
      </c>
      <c r="AD16" s="134"/>
      <c r="AE16" s="135" t="str">
        <f t="shared" si="21"/>
        <v/>
      </c>
      <c r="AF16" s="136"/>
      <c r="AG16" s="137"/>
      <c r="AH16" s="137"/>
      <c r="AI16" s="138"/>
      <c r="AJ16" s="20"/>
      <c r="AK16" s="2"/>
      <c r="AL16" s="2"/>
      <c r="AM16" s="2"/>
      <c r="AN16" s="2"/>
      <c r="AO16" s="2"/>
      <c r="AP16" s="141"/>
      <c r="AQ16" s="2"/>
      <c r="AR16" s="2"/>
      <c r="AS16" s="2"/>
      <c r="AT16" s="141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t="str">
        <v/>
      </c>
      <c r="BS16" t="str">
        <v/>
      </c>
      <c r="BU16" s="153" t="str" cm="1">
        <f t="array" ref="BU16">IF(BR16="","",_xlfn._xlws.FILTER($AJ$4:$BP$4,ISNUMBER(SEARCH(BR16,$AJ$4:$BP$4))))</f>
        <v/>
      </c>
      <c r="BV16" s="154"/>
      <c r="BW16" s="154"/>
      <c r="BX16" s="154"/>
      <c r="BY16" s="154" t="str" cm="1">
        <f t="array" ref="BY16">IF(BU16="","",IF(AND(MID(BU16,1,1)=MID(BU16:BX16,1,1)),"TRUE","FALSE"))</f>
        <v/>
      </c>
      <c r="CA16" s="161" t="str">
        <f t="shared" si="11"/>
        <v/>
      </c>
      <c r="CB16" s="61" t="str">
        <f t="shared" si="12"/>
        <v/>
      </c>
      <c r="CC16" s="61" t="str">
        <f t="shared" si="13"/>
        <v/>
      </c>
      <c r="CD16" s="61" t="str">
        <f t="shared" si="14"/>
        <v/>
      </c>
      <c r="CE16" s="158" t="str">
        <v/>
      </c>
      <c r="DV16" s="78"/>
      <c r="OU16" s="78"/>
      <c r="VC16" s="78"/>
      <c r="VM16" s="78"/>
      <c r="VT16" s="78"/>
      <c r="YI16" s="78"/>
      <c r="ZW16" s="78"/>
      <c r="AGO16" s="78"/>
      <c r="ALN16" s="78"/>
      <c r="ANS16" s="78"/>
      <c r="AUL16" s="78"/>
      <c r="BFX16" s="78"/>
      <c r="BLB16" s="78"/>
      <c r="BMR16" s="78"/>
      <c r="BNJ16" s="78"/>
      <c r="BSR16" s="78"/>
      <c r="BYX16" s="78"/>
      <c r="CDE16" s="78"/>
      <c r="CNR16" s="78"/>
      <c r="CQR16" s="78"/>
      <c r="CWG16" s="78"/>
      <c r="CXX16" s="78"/>
      <c r="CYC16" s="78"/>
      <c r="CZE16" s="78"/>
      <c r="DHU16" s="78"/>
      <c r="DKA16" s="78"/>
      <c r="DMS16" s="78"/>
      <c r="DNR16" s="78"/>
      <c r="DNW16" s="78"/>
      <c r="DRV16" s="78"/>
      <c r="ECP16" s="78"/>
    </row>
    <row r="17" spans="1:83" ht="15" customHeight="1">
      <c r="A17" s="18"/>
      <c r="B17" s="128">
        <v>7</v>
      </c>
      <c r="C17" s="129" t="s">
        <v>247</v>
      </c>
      <c r="D17" s="130" t="s">
        <v>60</v>
      </c>
      <c r="E17" s="71">
        <v>1.33</v>
      </c>
      <c r="F17" s="129" t="s">
        <v>28</v>
      </c>
      <c r="G17" s="129">
        <v>12.612</v>
      </c>
      <c r="H17" s="129">
        <v>0.02</v>
      </c>
      <c r="I17" s="129">
        <v>-0.02</v>
      </c>
      <c r="J17" s="129" t="s">
        <v>12</v>
      </c>
      <c r="K17" s="132" t="s">
        <v>339</v>
      </c>
      <c r="L17" s="133">
        <f t="shared" si="15"/>
        <v>12.632</v>
      </c>
      <c r="M17" s="139">
        <f t="shared" si="16"/>
        <v>12.592000000000001</v>
      </c>
      <c r="N17" s="29"/>
      <c r="O17" s="3" t="str">
        <f t="shared" ref="O17:O74" si="22">IF(OR($AK17="",ISNUMBER($AK17)=FALSE),"",MAX(AK17:BP17))</f>
        <v/>
      </c>
      <c r="P17" s="3" t="str">
        <f t="shared" ref="P17:P74" si="23">IF(OR($AK17="",ISNUMBER($AK17)=FALSE),"",MIN(AK17:BP17))</f>
        <v/>
      </c>
      <c r="Q17" s="3" t="str">
        <f t="shared" ref="Q17:Q74" si="24">IF(OR($AK17="",ISNUMBER($AK17)=FALSE),"",AVERAGE(AK17:BP17))</f>
        <v/>
      </c>
      <c r="R17" s="4" t="str">
        <f t="shared" ref="R17:R74" si="25">IF(OR($AK17="",ISNUMBER($AK17)=FALSE),"",STDEV(AK17:BP17))</f>
        <v/>
      </c>
      <c r="S17" s="5" t="str">
        <f t="shared" ref="S17:S74" si="26">IF(OR($AK17="",ISNUMBER($AK17)=FALSE),"",IF(AND(G17="",I17=""),V17,IF(AND(G17="",H17=""),W17,(H17+ABS(I17))/(6*R17))))</f>
        <v/>
      </c>
      <c r="T17" s="76" t="str">
        <f t="shared" si="5"/>
        <v/>
      </c>
      <c r="U17" s="76" t="str">
        <f t="shared" si="17"/>
        <v/>
      </c>
      <c r="V17" s="5" t="str">
        <f t="shared" si="6"/>
        <v/>
      </c>
      <c r="W17" s="5" t="str">
        <f t="shared" si="7"/>
        <v/>
      </c>
      <c r="X17" s="5" t="str">
        <f t="shared" si="8"/>
        <v/>
      </c>
      <c r="Y17" s="70" t="str">
        <f t="shared" si="9"/>
        <v/>
      </c>
      <c r="Z17" s="32" t="str">
        <f t="shared" si="18"/>
        <v/>
      </c>
      <c r="AA17" s="32" t="str">
        <f t="shared" si="19"/>
        <v/>
      </c>
      <c r="AB17" s="32" t="str">
        <f t="shared" si="20"/>
        <v/>
      </c>
      <c r="AC17" s="32" t="str">
        <f t="shared" si="10"/>
        <v/>
      </c>
      <c r="AD17" s="134"/>
      <c r="AE17" s="135" t="str">
        <f t="shared" si="21"/>
        <v/>
      </c>
      <c r="AF17" s="136"/>
      <c r="AG17" s="137"/>
      <c r="AH17" s="137"/>
      <c r="AI17" s="138"/>
      <c r="AJ17" s="20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t="str">
        <v/>
      </c>
      <c r="BS17" t="str">
        <v/>
      </c>
      <c r="BU17" s="153" t="str" cm="1">
        <f t="array" ref="BU17">IF(BR17="","",_xlfn._xlws.FILTER($AJ$4:$BP$4,ISNUMBER(SEARCH(BR17,$AJ$4:$BP$4))))</f>
        <v/>
      </c>
      <c r="BV17" s="154"/>
      <c r="BW17" s="154"/>
      <c r="BX17" s="154"/>
      <c r="BY17" s="154" t="str" cm="1">
        <f t="array" ref="BY17">IF(BU17="","",IF(AND(MID(BU17,1,1)=MID(BU17:BX17,1,1)),"TRUE","FALSE"))</f>
        <v/>
      </c>
      <c r="CA17" s="161" t="str">
        <f t="shared" si="11"/>
        <v/>
      </c>
      <c r="CB17" s="61" t="str">
        <f t="shared" si="12"/>
        <v/>
      </c>
      <c r="CC17" s="61" t="str">
        <f t="shared" si="13"/>
        <v/>
      </c>
      <c r="CD17" s="61" t="str">
        <f t="shared" si="14"/>
        <v/>
      </c>
      <c r="CE17" s="158" t="str">
        <v/>
      </c>
    </row>
    <row r="18" spans="1:83" ht="15" customHeight="1">
      <c r="A18" s="18"/>
      <c r="B18" s="142" t="s">
        <v>342</v>
      </c>
      <c r="C18" s="129" t="s">
        <v>248</v>
      </c>
      <c r="D18" s="130" t="s">
        <v>60</v>
      </c>
      <c r="E18" s="71">
        <v>1.33</v>
      </c>
      <c r="F18" s="129" t="s">
        <v>28</v>
      </c>
      <c r="G18" s="129">
        <v>0.04</v>
      </c>
      <c r="H18" s="129">
        <v>0.02</v>
      </c>
      <c r="I18" s="129">
        <v>-0.02</v>
      </c>
      <c r="J18" s="129" t="s">
        <v>12</v>
      </c>
      <c r="K18" s="132" t="s">
        <v>339</v>
      </c>
      <c r="L18" s="133">
        <f t="shared" si="15"/>
        <v>0.06</v>
      </c>
      <c r="M18" s="139">
        <f t="shared" si="16"/>
        <v>0.02</v>
      </c>
      <c r="N18" s="29"/>
      <c r="O18" s="3" t="str">
        <f t="shared" si="22"/>
        <v/>
      </c>
      <c r="P18" s="3" t="str">
        <f t="shared" si="23"/>
        <v/>
      </c>
      <c r="Q18" s="3" t="str">
        <f t="shared" si="24"/>
        <v/>
      </c>
      <c r="R18" s="4" t="str">
        <f t="shared" si="25"/>
        <v/>
      </c>
      <c r="S18" s="5" t="str">
        <f t="shared" si="26"/>
        <v/>
      </c>
      <c r="T18" s="76" t="str">
        <f t="shared" si="5"/>
        <v/>
      </c>
      <c r="U18" s="76" t="str">
        <f t="shared" si="17"/>
        <v/>
      </c>
      <c r="V18" s="5" t="str">
        <f t="shared" si="6"/>
        <v/>
      </c>
      <c r="W18" s="5" t="str">
        <f t="shared" si="7"/>
        <v/>
      </c>
      <c r="X18" s="5" t="str">
        <f t="shared" si="8"/>
        <v/>
      </c>
      <c r="Y18" s="70" t="str">
        <f t="shared" si="9"/>
        <v/>
      </c>
      <c r="Z18" s="32" t="str">
        <f t="shared" si="18"/>
        <v/>
      </c>
      <c r="AA18" s="32" t="str">
        <f t="shared" si="19"/>
        <v/>
      </c>
      <c r="AB18" s="32" t="str">
        <f t="shared" si="20"/>
        <v/>
      </c>
      <c r="AC18" s="32" t="str">
        <f t="shared" si="10"/>
        <v/>
      </c>
      <c r="AD18" s="134"/>
      <c r="AE18" s="135" t="str">
        <f t="shared" si="21"/>
        <v/>
      </c>
      <c r="AF18" s="136"/>
      <c r="AG18" s="137"/>
      <c r="AH18" s="137"/>
      <c r="AI18" s="138"/>
      <c r="AJ18" s="20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t="str">
        <v/>
      </c>
      <c r="BS18" t="str">
        <v/>
      </c>
      <c r="BU18" s="153" t="str" cm="1">
        <f t="array" ref="BU18">IF(BR18="","",_xlfn._xlws.FILTER($AJ$4:$BP$4,ISNUMBER(SEARCH(BR18,$AJ$4:$BP$4))))</f>
        <v/>
      </c>
      <c r="BV18" s="154"/>
      <c r="BW18" s="154"/>
      <c r="BX18" s="154"/>
      <c r="BY18" s="154" t="str" cm="1">
        <f t="array" ref="BY18">IF(BU18="","",IF(AND(MID(BU18,1,1)=MID(BU18:BX18,1,1)),"TRUE","FALSE"))</f>
        <v/>
      </c>
      <c r="CA18" s="161" t="str">
        <f t="shared" si="11"/>
        <v/>
      </c>
      <c r="CB18" s="61" t="str">
        <f t="shared" si="12"/>
        <v/>
      </c>
      <c r="CC18" s="61" t="str">
        <f t="shared" si="13"/>
        <v/>
      </c>
      <c r="CD18" s="61" t="str">
        <f t="shared" si="14"/>
        <v/>
      </c>
      <c r="CE18" s="158" t="str">
        <v/>
      </c>
    </row>
    <row r="19" spans="1:83" ht="15" customHeight="1">
      <c r="A19" s="18"/>
      <c r="B19" s="128" t="s">
        <v>343</v>
      </c>
      <c r="C19" s="129" t="s">
        <v>248</v>
      </c>
      <c r="D19" s="130" t="s">
        <v>60</v>
      </c>
      <c r="E19" s="71">
        <v>1.33</v>
      </c>
      <c r="F19" s="129" t="s">
        <v>28</v>
      </c>
      <c r="G19" s="129">
        <v>0.04</v>
      </c>
      <c r="H19" s="129">
        <v>0.02</v>
      </c>
      <c r="I19" s="129">
        <v>-0.02</v>
      </c>
      <c r="J19" s="129" t="s">
        <v>12</v>
      </c>
      <c r="K19" s="132" t="s">
        <v>339</v>
      </c>
      <c r="L19" s="133">
        <f t="shared" si="15"/>
        <v>0.06</v>
      </c>
      <c r="M19" s="139">
        <f t="shared" si="16"/>
        <v>0.02</v>
      </c>
      <c r="N19" s="29"/>
      <c r="O19" s="3" t="str">
        <f t="shared" si="22"/>
        <v/>
      </c>
      <c r="P19" s="3" t="str">
        <f t="shared" si="23"/>
        <v/>
      </c>
      <c r="Q19" s="3" t="str">
        <f t="shared" si="24"/>
        <v/>
      </c>
      <c r="R19" s="4" t="str">
        <f t="shared" si="25"/>
        <v/>
      </c>
      <c r="S19" s="5" t="str">
        <f t="shared" si="26"/>
        <v/>
      </c>
      <c r="T19" s="76" t="str">
        <f t="shared" si="5"/>
        <v/>
      </c>
      <c r="U19" s="76" t="str">
        <f t="shared" si="17"/>
        <v/>
      </c>
      <c r="V19" s="5" t="str">
        <f t="shared" si="6"/>
        <v/>
      </c>
      <c r="W19" s="5" t="str">
        <f t="shared" si="7"/>
        <v/>
      </c>
      <c r="X19" s="5" t="str">
        <f t="shared" si="8"/>
        <v/>
      </c>
      <c r="Y19" s="70" t="str">
        <f t="shared" si="9"/>
        <v/>
      </c>
      <c r="Z19" s="32" t="str">
        <f t="shared" si="18"/>
        <v/>
      </c>
      <c r="AA19" s="32" t="str">
        <f t="shared" si="19"/>
        <v/>
      </c>
      <c r="AB19" s="32" t="str">
        <f t="shared" si="20"/>
        <v/>
      </c>
      <c r="AC19" s="32" t="str">
        <f t="shared" si="10"/>
        <v/>
      </c>
      <c r="AD19" s="134"/>
      <c r="AE19" s="135" t="str">
        <f t="shared" si="21"/>
        <v/>
      </c>
      <c r="AF19" s="136"/>
      <c r="AG19" s="137"/>
      <c r="AH19" s="137"/>
      <c r="AI19" s="138"/>
      <c r="AJ19" s="20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t="str">
        <v/>
      </c>
      <c r="BS19" t="str">
        <v/>
      </c>
      <c r="BU19" s="153" t="str" cm="1">
        <f t="array" ref="BU19">IF(BR19="","",_xlfn._xlws.FILTER($AJ$4:$BP$4,ISNUMBER(SEARCH(BR19,$AJ$4:$BP$4))))</f>
        <v/>
      </c>
      <c r="BV19" s="154"/>
      <c r="BW19" s="154"/>
      <c r="BX19" s="154"/>
      <c r="BY19" s="154" t="str" cm="1">
        <f t="array" ref="BY19">IF(BU19="","",IF(AND(MID(BU19,1,1)=MID(BU19:BX19,1,1)),"TRUE","FALSE"))</f>
        <v/>
      </c>
      <c r="CA19" s="161" t="str">
        <f t="shared" si="11"/>
        <v/>
      </c>
      <c r="CB19" s="61" t="str">
        <f t="shared" si="12"/>
        <v/>
      </c>
      <c r="CC19" s="61" t="str">
        <f t="shared" si="13"/>
        <v/>
      </c>
      <c r="CD19" s="61" t="str">
        <f t="shared" si="14"/>
        <v/>
      </c>
      <c r="CE19" s="158" t="str">
        <v/>
      </c>
    </row>
    <row r="20" spans="1:83" ht="15" customHeight="1">
      <c r="A20" s="18"/>
      <c r="B20" s="128">
        <v>9</v>
      </c>
      <c r="C20" s="129" t="s">
        <v>249</v>
      </c>
      <c r="D20" s="130" t="s">
        <v>60</v>
      </c>
      <c r="E20" s="71">
        <v>1.33</v>
      </c>
      <c r="F20" s="129" t="s">
        <v>28</v>
      </c>
      <c r="G20" s="129">
        <v>12.382</v>
      </c>
      <c r="H20" s="129">
        <v>0.02</v>
      </c>
      <c r="I20" s="129">
        <v>-0.02</v>
      </c>
      <c r="J20" s="129" t="s">
        <v>12</v>
      </c>
      <c r="K20" s="132" t="s">
        <v>339</v>
      </c>
      <c r="L20" s="133">
        <f t="shared" si="15"/>
        <v>12.401999999999999</v>
      </c>
      <c r="M20" s="139">
        <f t="shared" si="16"/>
        <v>12.362</v>
      </c>
      <c r="N20" s="29"/>
      <c r="O20" s="3" t="str">
        <f t="shared" si="22"/>
        <v/>
      </c>
      <c r="P20" s="3" t="str">
        <f t="shared" si="23"/>
        <v/>
      </c>
      <c r="Q20" s="3" t="str">
        <f t="shared" si="24"/>
        <v/>
      </c>
      <c r="R20" s="4" t="str">
        <f t="shared" si="25"/>
        <v/>
      </c>
      <c r="S20" s="5" t="str">
        <f t="shared" si="26"/>
        <v/>
      </c>
      <c r="T20" s="76" t="str">
        <f t="shared" si="5"/>
        <v/>
      </c>
      <c r="U20" s="76" t="str">
        <f t="shared" si="17"/>
        <v/>
      </c>
      <c r="V20" s="5" t="str">
        <f t="shared" si="6"/>
        <v/>
      </c>
      <c r="W20" s="5" t="str">
        <f t="shared" si="7"/>
        <v/>
      </c>
      <c r="X20" s="5" t="str">
        <f t="shared" si="8"/>
        <v/>
      </c>
      <c r="Y20" s="143" t="str">
        <f t="shared" si="9"/>
        <v/>
      </c>
      <c r="Z20" s="32" t="str">
        <f t="shared" si="18"/>
        <v/>
      </c>
      <c r="AA20" s="32" t="str">
        <f t="shared" si="19"/>
        <v/>
      </c>
      <c r="AB20" s="32" t="str">
        <f t="shared" si="20"/>
        <v/>
      </c>
      <c r="AC20" s="32" t="str">
        <f t="shared" si="10"/>
        <v/>
      </c>
      <c r="AD20" s="134"/>
      <c r="AE20" s="135" t="str">
        <f t="shared" si="21"/>
        <v/>
      </c>
      <c r="AF20" s="136"/>
      <c r="AG20" s="137"/>
      <c r="AH20" s="137"/>
      <c r="AI20" s="138"/>
      <c r="AJ20" s="20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t="str">
        <v/>
      </c>
      <c r="BS20" t="str">
        <v/>
      </c>
      <c r="BU20" s="153" t="str" cm="1">
        <f t="array" ref="BU20">IF(BR20="","",_xlfn._xlws.FILTER($AJ$4:$BP$4,ISNUMBER(SEARCH(BR20,$AJ$4:$BP$4))))</f>
        <v/>
      </c>
      <c r="BV20" s="154"/>
      <c r="BW20" s="154"/>
      <c r="BX20" s="154"/>
      <c r="BY20" s="154" t="str" cm="1">
        <f t="array" ref="BY20">IF(BU20="","",IF(AND(MID(BU20,1,1)=MID(BU20:BX20,1,1)),"TRUE","FALSE"))</f>
        <v/>
      </c>
      <c r="CA20" s="161" t="str">
        <f t="shared" si="11"/>
        <v/>
      </c>
      <c r="CB20" s="61" t="str">
        <f t="shared" si="12"/>
        <v/>
      </c>
      <c r="CC20" s="61" t="str">
        <f t="shared" si="13"/>
        <v/>
      </c>
      <c r="CD20" s="61" t="str">
        <f t="shared" si="14"/>
        <v/>
      </c>
      <c r="CE20" s="158" t="str">
        <v/>
      </c>
    </row>
    <row r="21" spans="1:83" ht="15" customHeight="1">
      <c r="A21" s="18"/>
      <c r="B21" s="128">
        <v>10</v>
      </c>
      <c r="C21" s="129" t="s">
        <v>272</v>
      </c>
      <c r="D21" s="130" t="s">
        <v>60</v>
      </c>
      <c r="E21" s="71">
        <v>1.33</v>
      </c>
      <c r="F21" s="129" t="s">
        <v>28</v>
      </c>
      <c r="G21" s="129">
        <v>14.726000000000001</v>
      </c>
      <c r="H21" s="129">
        <v>0.02</v>
      </c>
      <c r="I21" s="129">
        <v>-0.02</v>
      </c>
      <c r="J21" s="129" t="s">
        <v>12</v>
      </c>
      <c r="K21" s="132" t="s">
        <v>339</v>
      </c>
      <c r="L21" s="133">
        <f t="shared" si="15"/>
        <v>14.746</v>
      </c>
      <c r="M21" s="139">
        <f t="shared" si="16"/>
        <v>14.706000000000001</v>
      </c>
      <c r="N21" s="29"/>
      <c r="O21" s="3" t="str">
        <f t="shared" si="22"/>
        <v/>
      </c>
      <c r="P21" s="3" t="str">
        <f t="shared" si="23"/>
        <v/>
      </c>
      <c r="Q21" s="3" t="str">
        <f t="shared" si="24"/>
        <v/>
      </c>
      <c r="R21" s="4" t="str">
        <f t="shared" si="25"/>
        <v/>
      </c>
      <c r="S21" s="5" t="str">
        <f t="shared" si="26"/>
        <v/>
      </c>
      <c r="T21" s="76" t="str">
        <f t="shared" si="5"/>
        <v/>
      </c>
      <c r="U21" s="76" t="str">
        <f t="shared" si="17"/>
        <v/>
      </c>
      <c r="V21" s="5" t="str">
        <f t="shared" si="6"/>
        <v/>
      </c>
      <c r="W21" s="5" t="str">
        <f t="shared" si="7"/>
        <v/>
      </c>
      <c r="X21" s="5" t="str">
        <f t="shared" si="8"/>
        <v/>
      </c>
      <c r="Y21" s="143" t="str">
        <f t="shared" si="9"/>
        <v/>
      </c>
      <c r="Z21" s="32" t="str">
        <f t="shared" si="18"/>
        <v/>
      </c>
      <c r="AA21" s="32" t="str">
        <f t="shared" si="19"/>
        <v/>
      </c>
      <c r="AB21" s="32" t="str">
        <f t="shared" si="20"/>
        <v/>
      </c>
      <c r="AC21" s="32" t="str">
        <f t="shared" si="10"/>
        <v/>
      </c>
      <c r="AD21" s="134"/>
      <c r="AE21" s="135" t="str">
        <f t="shared" si="21"/>
        <v/>
      </c>
      <c r="AF21" s="136"/>
      <c r="AG21" s="137"/>
      <c r="AH21" s="137"/>
      <c r="AI21" s="138"/>
      <c r="AJ21" s="20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t="str">
        <v/>
      </c>
      <c r="BS21" t="str">
        <v/>
      </c>
      <c r="BU21" s="153" t="str" cm="1">
        <f t="array" ref="BU21">IF(BR21="","",_xlfn._xlws.FILTER($AJ$4:$BP$4,ISNUMBER(SEARCH(BR21,$AJ$4:$BP$4))))</f>
        <v/>
      </c>
      <c r="BV21" s="154"/>
      <c r="BW21" s="154"/>
      <c r="BX21" s="154"/>
      <c r="BY21" s="154" t="str" cm="1">
        <f t="array" ref="BY21">IF(BU21="","",IF(AND(MID(BU21,1,1)=MID(BU21:BX21,1,1)),"TRUE","FALSE"))</f>
        <v/>
      </c>
      <c r="CA21" s="161" t="str">
        <f t="shared" si="11"/>
        <v/>
      </c>
      <c r="CB21" s="61" t="str">
        <f t="shared" si="12"/>
        <v/>
      </c>
      <c r="CC21" s="61" t="str">
        <f t="shared" si="13"/>
        <v/>
      </c>
      <c r="CD21" s="61" t="str">
        <f t="shared" si="14"/>
        <v/>
      </c>
      <c r="CE21" s="158" t="str">
        <v/>
      </c>
    </row>
    <row r="22" spans="1:83" ht="15" customHeight="1">
      <c r="A22" s="18"/>
      <c r="B22" s="128">
        <v>11</v>
      </c>
      <c r="C22" s="129" t="s">
        <v>250</v>
      </c>
      <c r="D22" s="130" t="s">
        <v>60</v>
      </c>
      <c r="E22" s="71">
        <v>1.33</v>
      </c>
      <c r="F22" s="129" t="s">
        <v>28</v>
      </c>
      <c r="G22" s="129">
        <v>14.506</v>
      </c>
      <c r="H22" s="129">
        <v>0.02</v>
      </c>
      <c r="I22" s="129">
        <v>-0.02</v>
      </c>
      <c r="J22" s="129" t="s">
        <v>12</v>
      </c>
      <c r="K22" s="132" t="s">
        <v>339</v>
      </c>
      <c r="L22" s="133">
        <f t="shared" si="15"/>
        <v>14.526</v>
      </c>
      <c r="M22" s="139">
        <f t="shared" si="16"/>
        <v>14.486000000000001</v>
      </c>
      <c r="N22" s="29"/>
      <c r="O22" s="3" t="str">
        <f t="shared" si="22"/>
        <v/>
      </c>
      <c r="P22" s="3" t="str">
        <f t="shared" si="23"/>
        <v/>
      </c>
      <c r="Q22" s="3" t="str">
        <f t="shared" si="24"/>
        <v/>
      </c>
      <c r="R22" s="4" t="str">
        <f t="shared" si="25"/>
        <v/>
      </c>
      <c r="S22" s="5" t="str">
        <f t="shared" si="26"/>
        <v/>
      </c>
      <c r="T22" s="76" t="str">
        <f t="shared" si="5"/>
        <v/>
      </c>
      <c r="U22" s="76" t="str">
        <f t="shared" si="17"/>
        <v/>
      </c>
      <c r="V22" s="5" t="str">
        <f t="shared" si="6"/>
        <v/>
      </c>
      <c r="W22" s="5" t="str">
        <f t="shared" si="7"/>
        <v/>
      </c>
      <c r="X22" s="5" t="str">
        <f t="shared" si="8"/>
        <v/>
      </c>
      <c r="Y22" s="143" t="str">
        <f t="shared" si="9"/>
        <v/>
      </c>
      <c r="Z22" s="32" t="str">
        <f t="shared" si="18"/>
        <v/>
      </c>
      <c r="AA22" s="32" t="str">
        <f t="shared" si="19"/>
        <v/>
      </c>
      <c r="AB22" s="32" t="str">
        <f t="shared" si="20"/>
        <v/>
      </c>
      <c r="AC22" s="32" t="str">
        <f t="shared" si="10"/>
        <v/>
      </c>
      <c r="AD22" s="134"/>
      <c r="AE22" s="135" t="str">
        <f t="shared" si="21"/>
        <v/>
      </c>
      <c r="AF22" s="136"/>
      <c r="AG22" s="137"/>
      <c r="AH22" s="137"/>
      <c r="AI22" s="138"/>
      <c r="AJ22" s="20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t="str">
        <v/>
      </c>
      <c r="BS22" t="str">
        <v/>
      </c>
      <c r="BU22" s="153" t="str" cm="1">
        <f t="array" ref="BU22">IF(BR22="","",_xlfn._xlws.FILTER($AJ$4:$BP$4,ISNUMBER(SEARCH(BR22,$AJ$4:$BP$4))))</f>
        <v/>
      </c>
      <c r="BV22" s="154"/>
      <c r="BW22" s="162"/>
      <c r="BX22" s="154"/>
      <c r="BY22" s="154" t="str" cm="1">
        <f t="array" ref="BY22">IF(BU22="","",IF(AND(MID(BU22,1,1)=MID(BU22:BX22,1,1)),"TRUE","FALSE"))</f>
        <v/>
      </c>
      <c r="CA22" s="161" t="str">
        <f t="shared" si="11"/>
        <v/>
      </c>
      <c r="CB22" s="61" t="str">
        <f t="shared" si="12"/>
        <v/>
      </c>
      <c r="CC22" s="61" t="str">
        <f t="shared" si="13"/>
        <v/>
      </c>
      <c r="CD22" s="61" t="str">
        <f t="shared" si="14"/>
        <v/>
      </c>
      <c r="CE22" s="159" t="str">
        <v/>
      </c>
    </row>
    <row r="23" spans="1:83" ht="15" customHeight="1">
      <c r="A23" s="18"/>
      <c r="B23" s="128" t="s">
        <v>344</v>
      </c>
      <c r="C23" s="129" t="s">
        <v>273</v>
      </c>
      <c r="D23" s="130" t="s">
        <v>60</v>
      </c>
      <c r="E23" s="71">
        <v>1.33</v>
      </c>
      <c r="F23" s="129" t="s">
        <v>28</v>
      </c>
      <c r="G23" s="129">
        <v>0.05</v>
      </c>
      <c r="H23" s="129">
        <v>0.02</v>
      </c>
      <c r="I23" s="129">
        <v>-0.02</v>
      </c>
      <c r="J23" s="129" t="s">
        <v>12</v>
      </c>
      <c r="K23" s="132" t="s">
        <v>339</v>
      </c>
      <c r="L23" s="133">
        <f t="shared" si="15"/>
        <v>7.0000000000000007E-2</v>
      </c>
      <c r="M23" s="139">
        <f t="shared" si="16"/>
        <v>3.0000000000000002E-2</v>
      </c>
      <c r="N23" s="29"/>
      <c r="O23" s="3" t="str">
        <f t="shared" si="22"/>
        <v/>
      </c>
      <c r="P23" s="3" t="str">
        <f t="shared" si="23"/>
        <v/>
      </c>
      <c r="Q23" s="3" t="str">
        <f t="shared" si="24"/>
        <v/>
      </c>
      <c r="R23" s="4" t="str">
        <f t="shared" si="25"/>
        <v/>
      </c>
      <c r="S23" s="5" t="str">
        <f t="shared" si="26"/>
        <v/>
      </c>
      <c r="T23" s="76" t="str">
        <f t="shared" si="5"/>
        <v/>
      </c>
      <c r="U23" s="76" t="str">
        <f t="shared" si="17"/>
        <v/>
      </c>
      <c r="V23" s="5" t="str">
        <f t="shared" si="6"/>
        <v/>
      </c>
      <c r="W23" s="5" t="str">
        <f t="shared" si="7"/>
        <v/>
      </c>
      <c r="X23" s="5" t="str">
        <f t="shared" si="8"/>
        <v/>
      </c>
      <c r="Y23" s="143" t="str">
        <f t="shared" si="9"/>
        <v/>
      </c>
      <c r="Z23" s="32" t="str">
        <f t="shared" si="18"/>
        <v/>
      </c>
      <c r="AA23" s="32" t="str">
        <f t="shared" si="19"/>
        <v/>
      </c>
      <c r="AB23" s="32" t="str">
        <f t="shared" si="20"/>
        <v/>
      </c>
      <c r="AC23" s="32" t="str">
        <f t="shared" si="10"/>
        <v/>
      </c>
      <c r="AD23" s="134"/>
      <c r="AE23" s="135" t="str">
        <f t="shared" si="21"/>
        <v/>
      </c>
      <c r="AF23" s="136"/>
      <c r="AG23" s="137"/>
      <c r="AH23" s="137"/>
      <c r="AI23" s="138"/>
      <c r="AJ23" s="20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t="str">
        <v/>
      </c>
      <c r="BS23" t="str">
        <v/>
      </c>
      <c r="BU23" s="153" t="str" cm="1">
        <f t="array" ref="BU23">IF(BR23="","",_xlfn._xlws.FILTER($AJ$4:$BP$4,ISNUMBER(SEARCH(BR23,$AJ$4:$BP$4))))</f>
        <v/>
      </c>
      <c r="BV23" s="154"/>
      <c r="BW23" s="154"/>
      <c r="BX23" s="154"/>
      <c r="BY23" s="154" t="str" cm="1">
        <f t="array" ref="BY23">IF(BU23="","",IF(AND(MID(BU23,1,1)=MID(BU23:BX23,1,1)),"TRUE","FALSE"))</f>
        <v/>
      </c>
      <c r="CA23" s="161" t="str">
        <f t="shared" si="11"/>
        <v/>
      </c>
      <c r="CB23" s="61" t="str">
        <f t="shared" si="12"/>
        <v/>
      </c>
      <c r="CC23" s="61" t="str">
        <f t="shared" si="13"/>
        <v/>
      </c>
      <c r="CD23" s="61" t="str">
        <f t="shared" si="14"/>
        <v/>
      </c>
      <c r="CE23" s="159" t="str">
        <v/>
      </c>
    </row>
    <row r="24" spans="1:83" ht="15" customHeight="1">
      <c r="A24" s="18"/>
      <c r="B24" s="128" t="s">
        <v>345</v>
      </c>
      <c r="C24" s="129" t="s">
        <v>273</v>
      </c>
      <c r="D24" s="130" t="s">
        <v>60</v>
      </c>
      <c r="E24" s="71">
        <v>1.33</v>
      </c>
      <c r="F24" s="129" t="s">
        <v>28</v>
      </c>
      <c r="G24" s="129">
        <v>0.05</v>
      </c>
      <c r="H24" s="129">
        <v>0.02</v>
      </c>
      <c r="I24" s="129">
        <v>-0.02</v>
      </c>
      <c r="J24" s="129" t="s">
        <v>12</v>
      </c>
      <c r="K24" s="132" t="s">
        <v>339</v>
      </c>
      <c r="L24" s="133">
        <f t="shared" si="15"/>
        <v>7.0000000000000007E-2</v>
      </c>
      <c r="M24" s="139">
        <f t="shared" si="16"/>
        <v>3.0000000000000002E-2</v>
      </c>
      <c r="N24" s="29"/>
      <c r="O24" s="3" t="str">
        <f t="shared" si="22"/>
        <v/>
      </c>
      <c r="P24" s="3" t="str">
        <f t="shared" si="23"/>
        <v/>
      </c>
      <c r="Q24" s="3" t="str">
        <f t="shared" si="24"/>
        <v/>
      </c>
      <c r="R24" s="4" t="str">
        <f t="shared" si="25"/>
        <v/>
      </c>
      <c r="S24" s="5" t="str">
        <f t="shared" si="26"/>
        <v/>
      </c>
      <c r="T24" s="76" t="str">
        <f t="shared" si="5"/>
        <v/>
      </c>
      <c r="U24" s="76" t="str">
        <f t="shared" si="17"/>
        <v/>
      </c>
      <c r="V24" s="5" t="str">
        <f t="shared" si="6"/>
        <v/>
      </c>
      <c r="W24" s="5" t="str">
        <f t="shared" si="7"/>
        <v/>
      </c>
      <c r="X24" s="5" t="str">
        <f t="shared" si="8"/>
        <v/>
      </c>
      <c r="Y24" s="143" t="str">
        <f t="shared" si="9"/>
        <v/>
      </c>
      <c r="Z24" s="32" t="str">
        <f t="shared" si="18"/>
        <v/>
      </c>
      <c r="AA24" s="32" t="str">
        <f t="shared" si="19"/>
        <v/>
      </c>
      <c r="AB24" s="32" t="str">
        <f t="shared" si="20"/>
        <v/>
      </c>
      <c r="AC24" s="32" t="str">
        <f t="shared" si="10"/>
        <v/>
      </c>
      <c r="AD24" s="134"/>
      <c r="AE24" s="135" t="str">
        <f t="shared" si="21"/>
        <v/>
      </c>
      <c r="AF24" s="136"/>
      <c r="AG24" s="137"/>
      <c r="AH24" s="137"/>
      <c r="AI24" s="138"/>
      <c r="AJ24" s="20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t="str">
        <v/>
      </c>
      <c r="BS24" t="str">
        <v/>
      </c>
      <c r="BU24" s="153" t="str" cm="1">
        <f t="array" ref="BU24">IF(BR24="","",_xlfn._xlws.FILTER($AJ$4:$BP$4,ISNUMBER(SEARCH(BR24,$AJ$4:$BP$4))))</f>
        <v/>
      </c>
      <c r="BV24" s="154"/>
      <c r="BW24" s="154"/>
      <c r="BX24" s="154"/>
      <c r="BY24" s="154" t="str" cm="1">
        <f t="array" ref="BY24">IF(BU24="","",IF(AND(MID(BU24,1,1)=MID(BU24:BX24,1,1)),"TRUE","FALSE"))</f>
        <v/>
      </c>
      <c r="CA24" s="161" t="str">
        <f t="shared" si="11"/>
        <v/>
      </c>
      <c r="CB24" s="61" t="str">
        <f t="shared" si="12"/>
        <v/>
      </c>
      <c r="CC24" s="61" t="str">
        <f t="shared" si="13"/>
        <v/>
      </c>
      <c r="CD24" s="61" t="str">
        <f t="shared" si="14"/>
        <v/>
      </c>
      <c r="CE24" s="158" t="str">
        <v/>
      </c>
    </row>
    <row r="25" spans="1:83" ht="15" customHeight="1">
      <c r="A25" s="18"/>
      <c r="B25" s="128" t="s">
        <v>346</v>
      </c>
      <c r="C25" s="129" t="s">
        <v>251</v>
      </c>
      <c r="D25" s="130" t="s">
        <v>60</v>
      </c>
      <c r="E25" s="71">
        <v>1.33</v>
      </c>
      <c r="F25" s="129" t="s">
        <v>28</v>
      </c>
      <c r="G25" s="129">
        <v>9.9190000000000005</v>
      </c>
      <c r="H25" s="129">
        <v>0.02</v>
      </c>
      <c r="I25" s="129">
        <v>-0.02</v>
      </c>
      <c r="J25" s="129" t="s">
        <v>12</v>
      </c>
      <c r="K25" s="132" t="s">
        <v>339</v>
      </c>
      <c r="L25" s="133">
        <f t="shared" si="15"/>
        <v>9.9390000000000001</v>
      </c>
      <c r="M25" s="139">
        <f t="shared" si="16"/>
        <v>9.8990000000000009</v>
      </c>
      <c r="N25" s="29"/>
      <c r="O25" s="3" t="str">
        <f t="shared" si="22"/>
        <v/>
      </c>
      <c r="P25" s="3" t="str">
        <f t="shared" si="23"/>
        <v/>
      </c>
      <c r="Q25" s="3" t="str">
        <f t="shared" si="24"/>
        <v/>
      </c>
      <c r="R25" s="4" t="str">
        <f t="shared" si="25"/>
        <v/>
      </c>
      <c r="S25" s="5" t="str">
        <f t="shared" si="26"/>
        <v/>
      </c>
      <c r="T25" s="76" t="str">
        <f t="shared" si="5"/>
        <v/>
      </c>
      <c r="U25" s="76" t="str">
        <f t="shared" si="17"/>
        <v/>
      </c>
      <c r="V25" s="5" t="str">
        <f t="shared" si="6"/>
        <v/>
      </c>
      <c r="W25" s="5" t="str">
        <f t="shared" si="7"/>
        <v/>
      </c>
      <c r="X25" s="5" t="str">
        <f t="shared" si="8"/>
        <v/>
      </c>
      <c r="Y25" s="143" t="str">
        <f t="shared" si="9"/>
        <v/>
      </c>
      <c r="Z25" s="32" t="str">
        <f t="shared" si="18"/>
        <v/>
      </c>
      <c r="AA25" s="32" t="str">
        <f t="shared" si="19"/>
        <v/>
      </c>
      <c r="AB25" s="32" t="str">
        <f t="shared" si="20"/>
        <v/>
      </c>
      <c r="AC25" s="32" t="str">
        <f t="shared" si="10"/>
        <v/>
      </c>
      <c r="AD25" s="134"/>
      <c r="AE25" s="135" t="str">
        <f t="shared" si="21"/>
        <v/>
      </c>
      <c r="AF25" s="136"/>
      <c r="AG25" s="137"/>
      <c r="AH25" s="137"/>
      <c r="AI25" s="138"/>
      <c r="AJ25" s="20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t="str">
        <v/>
      </c>
      <c r="BS25" t="str">
        <v/>
      </c>
      <c r="BU25" s="153" t="str" cm="1">
        <f t="array" ref="BU25">IF(BR25="","",_xlfn._xlws.FILTER($AJ$4:$BP$4,ISNUMBER(SEARCH(BR25,$AJ$4:$BP$4))))</f>
        <v/>
      </c>
      <c r="BV25" s="154"/>
      <c r="BW25" s="154"/>
      <c r="BX25" s="154"/>
      <c r="BY25" s="154" t="str" cm="1">
        <f t="array" ref="BY25">IF(BU25="","",IF(AND(MID(BU25,1,1)=MID(BU25:BX25,1,1)),"TRUE","FALSE"))</f>
        <v/>
      </c>
      <c r="CA25" s="161" t="str">
        <f t="shared" si="11"/>
        <v/>
      </c>
      <c r="CB25" s="61" t="str">
        <f t="shared" si="12"/>
        <v/>
      </c>
      <c r="CC25" s="61" t="str">
        <f t="shared" si="13"/>
        <v/>
      </c>
      <c r="CD25" s="61" t="str">
        <f t="shared" si="14"/>
        <v/>
      </c>
      <c r="CE25" s="158" t="str">
        <v/>
      </c>
    </row>
    <row r="26" spans="1:83" ht="15" customHeight="1">
      <c r="A26" s="18"/>
      <c r="B26" s="128" t="s">
        <v>347</v>
      </c>
      <c r="C26" s="129" t="s">
        <v>251</v>
      </c>
      <c r="D26" s="130" t="s">
        <v>60</v>
      </c>
      <c r="E26" s="71">
        <v>1.33</v>
      </c>
      <c r="F26" s="129" t="s">
        <v>28</v>
      </c>
      <c r="G26" s="129">
        <v>9.9190000000000005</v>
      </c>
      <c r="H26" s="129">
        <v>0.02</v>
      </c>
      <c r="I26" s="129">
        <v>-0.02</v>
      </c>
      <c r="J26" s="129" t="s">
        <v>12</v>
      </c>
      <c r="K26" s="132" t="s">
        <v>339</v>
      </c>
      <c r="L26" s="133">
        <f t="shared" si="15"/>
        <v>9.9390000000000001</v>
      </c>
      <c r="M26" s="139">
        <f t="shared" si="16"/>
        <v>9.8990000000000009</v>
      </c>
      <c r="N26" s="29"/>
      <c r="O26" s="3" t="str">
        <f t="shared" si="22"/>
        <v/>
      </c>
      <c r="P26" s="3" t="str">
        <f t="shared" si="23"/>
        <v/>
      </c>
      <c r="Q26" s="3" t="str">
        <f t="shared" si="24"/>
        <v/>
      </c>
      <c r="R26" s="4" t="str">
        <f t="shared" si="25"/>
        <v/>
      </c>
      <c r="S26" s="5" t="str">
        <f t="shared" si="26"/>
        <v/>
      </c>
      <c r="T26" s="76" t="str">
        <f t="shared" si="5"/>
        <v/>
      </c>
      <c r="U26" s="76" t="str">
        <f t="shared" si="17"/>
        <v/>
      </c>
      <c r="V26" s="5" t="str">
        <f t="shared" si="6"/>
        <v/>
      </c>
      <c r="W26" s="5" t="str">
        <f t="shared" si="7"/>
        <v/>
      </c>
      <c r="X26" s="5" t="str">
        <f t="shared" si="8"/>
        <v/>
      </c>
      <c r="Y26" s="143" t="str">
        <f t="shared" si="9"/>
        <v/>
      </c>
      <c r="Z26" s="32" t="str">
        <f t="shared" si="18"/>
        <v/>
      </c>
      <c r="AA26" s="32" t="str">
        <f t="shared" si="19"/>
        <v/>
      </c>
      <c r="AB26" s="32" t="str">
        <f t="shared" si="20"/>
        <v/>
      </c>
      <c r="AC26" s="32" t="str">
        <f t="shared" si="10"/>
        <v/>
      </c>
      <c r="AD26" s="134"/>
      <c r="AE26" s="135" t="str">
        <f t="shared" si="21"/>
        <v/>
      </c>
      <c r="AF26" s="136"/>
      <c r="AG26" s="137"/>
      <c r="AH26" s="137"/>
      <c r="AI26" s="138"/>
      <c r="AJ26" s="20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t="str">
        <v/>
      </c>
      <c r="BS26" t="str">
        <v/>
      </c>
      <c r="BU26" s="153" t="str" cm="1">
        <f t="array" ref="BU26">IF(BR26="","",_xlfn._xlws.FILTER($AJ$4:$BP$4,ISNUMBER(SEARCH(BR26,$AJ$4:$BP$4))))</f>
        <v/>
      </c>
      <c r="BV26" s="154"/>
      <c r="BW26" s="154"/>
      <c r="BX26" s="154"/>
      <c r="BY26" s="154" t="str" cm="1">
        <f t="array" ref="BY26">IF(BU26="","",IF(AND(MID(BU26,1,1)=MID(BU26:BX26,1,1)),"TRUE","FALSE"))</f>
        <v/>
      </c>
      <c r="CA26" s="161" t="str">
        <f t="shared" si="11"/>
        <v/>
      </c>
      <c r="CB26" s="61" t="str">
        <f t="shared" si="12"/>
        <v/>
      </c>
      <c r="CC26" s="61" t="str">
        <f t="shared" si="13"/>
        <v/>
      </c>
      <c r="CD26" s="61" t="str">
        <f t="shared" si="14"/>
        <v/>
      </c>
      <c r="CE26" s="158" t="str">
        <v/>
      </c>
    </row>
    <row r="27" spans="1:83" ht="15" customHeight="1">
      <c r="A27" s="18"/>
      <c r="B27" s="128" t="s">
        <v>348</v>
      </c>
      <c r="C27" s="129" t="s">
        <v>251</v>
      </c>
      <c r="D27" s="130" t="s">
        <v>60</v>
      </c>
      <c r="E27" s="71">
        <v>1.33</v>
      </c>
      <c r="F27" s="129" t="s">
        <v>28</v>
      </c>
      <c r="G27" s="129">
        <v>9.9190000000000005</v>
      </c>
      <c r="H27" s="129">
        <v>0.02</v>
      </c>
      <c r="I27" s="129">
        <v>-0.02</v>
      </c>
      <c r="J27" s="129" t="s">
        <v>12</v>
      </c>
      <c r="K27" s="132" t="s">
        <v>339</v>
      </c>
      <c r="L27" s="133">
        <f t="shared" si="15"/>
        <v>9.9390000000000001</v>
      </c>
      <c r="M27" s="139">
        <f t="shared" si="16"/>
        <v>9.8990000000000009</v>
      </c>
      <c r="N27" s="29"/>
      <c r="O27" s="3" t="str">
        <f t="shared" si="22"/>
        <v/>
      </c>
      <c r="P27" s="3" t="str">
        <f t="shared" si="23"/>
        <v/>
      </c>
      <c r="Q27" s="3" t="str">
        <f t="shared" si="24"/>
        <v/>
      </c>
      <c r="R27" s="4" t="str">
        <f t="shared" si="25"/>
        <v/>
      </c>
      <c r="S27" s="5" t="str">
        <f t="shared" si="26"/>
        <v/>
      </c>
      <c r="T27" s="76" t="str">
        <f t="shared" si="5"/>
        <v/>
      </c>
      <c r="U27" s="76" t="str">
        <f t="shared" si="17"/>
        <v/>
      </c>
      <c r="V27" s="5" t="str">
        <f t="shared" si="6"/>
        <v/>
      </c>
      <c r="W27" s="5" t="str">
        <f t="shared" si="7"/>
        <v/>
      </c>
      <c r="X27" s="5" t="str">
        <f t="shared" si="8"/>
        <v/>
      </c>
      <c r="Y27" s="143" t="str">
        <f t="shared" si="9"/>
        <v/>
      </c>
      <c r="Z27" s="32" t="str">
        <f t="shared" si="18"/>
        <v/>
      </c>
      <c r="AA27" s="32" t="str">
        <f t="shared" si="19"/>
        <v/>
      </c>
      <c r="AB27" s="32" t="str">
        <f t="shared" si="20"/>
        <v/>
      </c>
      <c r="AC27" s="32" t="str">
        <f t="shared" si="10"/>
        <v/>
      </c>
      <c r="AD27" s="134"/>
      <c r="AE27" s="135" t="str">
        <f t="shared" si="21"/>
        <v/>
      </c>
      <c r="AF27" s="136"/>
      <c r="AG27" s="137"/>
      <c r="AH27" s="137"/>
      <c r="AI27" s="138"/>
      <c r="AJ27" s="20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t="str">
        <v/>
      </c>
      <c r="BS27" t="str">
        <v/>
      </c>
      <c r="BU27" s="153" t="str" cm="1">
        <f t="array" ref="BU27">IF(BR27="","",_xlfn._xlws.FILTER($AJ$4:$BP$4,ISNUMBER(SEARCH(BR27,$AJ$4:$BP$4))))</f>
        <v/>
      </c>
      <c r="BV27" s="154"/>
      <c r="BW27" s="154"/>
      <c r="BX27" s="154"/>
      <c r="BY27" s="154" t="str" cm="1">
        <f t="array" ref="BY27">IF(BU27="","",IF(AND(MID(BU27,1,1)=MID(BU27:BX27,1,1)),"TRUE","FALSE"))</f>
        <v/>
      </c>
      <c r="CA27" s="161" t="str">
        <f t="shared" si="11"/>
        <v/>
      </c>
      <c r="CB27" s="61" t="str">
        <f t="shared" si="12"/>
        <v/>
      </c>
      <c r="CC27" s="61" t="str">
        <f t="shared" si="13"/>
        <v/>
      </c>
      <c r="CD27" s="61" t="str">
        <f t="shared" si="14"/>
        <v/>
      </c>
      <c r="CE27" s="158" t="str">
        <v/>
      </c>
    </row>
    <row r="28" spans="1:83" ht="15" customHeight="1">
      <c r="A28" s="18"/>
      <c r="B28" s="128" t="s">
        <v>349</v>
      </c>
      <c r="C28" s="129" t="s">
        <v>274</v>
      </c>
      <c r="D28" s="130" t="s">
        <v>60</v>
      </c>
      <c r="E28" s="71">
        <v>1.33</v>
      </c>
      <c r="F28" s="129" t="s">
        <v>28</v>
      </c>
      <c r="G28" s="129">
        <v>12.795</v>
      </c>
      <c r="H28" s="129">
        <v>0.02</v>
      </c>
      <c r="I28" s="129">
        <v>-0.02</v>
      </c>
      <c r="J28" s="129" t="s">
        <v>12</v>
      </c>
      <c r="K28" s="132" t="s">
        <v>339</v>
      </c>
      <c r="L28" s="133">
        <f t="shared" si="15"/>
        <v>12.815</v>
      </c>
      <c r="M28" s="139">
        <f t="shared" si="16"/>
        <v>12.775</v>
      </c>
      <c r="N28" s="29"/>
      <c r="O28" s="3" t="str">
        <f t="shared" si="22"/>
        <v/>
      </c>
      <c r="P28" s="3" t="str">
        <f t="shared" si="23"/>
        <v/>
      </c>
      <c r="Q28" s="3" t="str">
        <f t="shared" si="24"/>
        <v/>
      </c>
      <c r="R28" s="4" t="str">
        <f t="shared" si="25"/>
        <v/>
      </c>
      <c r="S28" s="5" t="str">
        <f t="shared" si="26"/>
        <v/>
      </c>
      <c r="T28" s="76" t="str">
        <f t="shared" si="5"/>
        <v/>
      </c>
      <c r="U28" s="76" t="str">
        <f t="shared" si="17"/>
        <v/>
      </c>
      <c r="V28" s="5" t="str">
        <f t="shared" si="6"/>
        <v/>
      </c>
      <c r="W28" s="5" t="str">
        <f t="shared" si="7"/>
        <v/>
      </c>
      <c r="X28" s="5" t="str">
        <f t="shared" si="8"/>
        <v/>
      </c>
      <c r="Y28" s="143" t="str">
        <f t="shared" si="9"/>
        <v/>
      </c>
      <c r="Z28" s="32" t="str">
        <f t="shared" si="18"/>
        <v/>
      </c>
      <c r="AA28" s="32" t="str">
        <f t="shared" si="19"/>
        <v/>
      </c>
      <c r="AB28" s="32" t="str">
        <f t="shared" si="20"/>
        <v/>
      </c>
      <c r="AC28" s="32" t="str">
        <f t="shared" si="10"/>
        <v/>
      </c>
      <c r="AD28" s="134"/>
      <c r="AE28" s="135" t="str">
        <f t="shared" si="21"/>
        <v/>
      </c>
      <c r="AF28" s="136"/>
      <c r="AG28" s="137"/>
      <c r="AH28" s="137"/>
      <c r="AI28" s="138"/>
      <c r="AJ28" s="20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t="str">
        <v/>
      </c>
      <c r="BS28" t="str">
        <v/>
      </c>
      <c r="BU28" s="153" t="str" cm="1">
        <f t="array" ref="BU28">IF(BR28="","",_xlfn._xlws.FILTER($AJ$4:$BP$4,ISNUMBER(SEARCH(BR28,$AJ$4:$BP$4))))</f>
        <v/>
      </c>
      <c r="BV28" s="154"/>
      <c r="BW28" s="154"/>
      <c r="BX28" s="154"/>
      <c r="BY28" s="154" t="str" cm="1">
        <f t="array" ref="BY28">IF(BU28="","",IF(AND(MID(BU28,1,1)=MID(BU28:BX28,1,1)),"TRUE","FALSE"))</f>
        <v/>
      </c>
      <c r="CA28" s="161" t="str">
        <f t="shared" si="11"/>
        <v/>
      </c>
      <c r="CB28" s="61" t="str">
        <f t="shared" si="12"/>
        <v/>
      </c>
      <c r="CC28" s="61" t="str">
        <f t="shared" si="13"/>
        <v/>
      </c>
      <c r="CD28" s="61" t="str">
        <f t="shared" si="14"/>
        <v/>
      </c>
      <c r="CE28" s="158" t="str">
        <v/>
      </c>
    </row>
    <row r="29" spans="1:83" ht="15" customHeight="1">
      <c r="A29" s="18"/>
      <c r="B29" s="128" t="s">
        <v>350</v>
      </c>
      <c r="C29" s="129" t="s">
        <v>274</v>
      </c>
      <c r="D29" s="130" t="s">
        <v>60</v>
      </c>
      <c r="E29" s="71">
        <v>1.33</v>
      </c>
      <c r="F29" s="129" t="s">
        <v>28</v>
      </c>
      <c r="G29" s="129">
        <v>12.795</v>
      </c>
      <c r="H29" s="129">
        <v>0.02</v>
      </c>
      <c r="I29" s="129">
        <v>-0.02</v>
      </c>
      <c r="J29" s="129" t="s">
        <v>12</v>
      </c>
      <c r="K29" s="132" t="s">
        <v>339</v>
      </c>
      <c r="L29" s="133">
        <f t="shared" si="15"/>
        <v>12.815</v>
      </c>
      <c r="M29" s="139">
        <f t="shared" si="16"/>
        <v>12.775</v>
      </c>
      <c r="N29" s="29"/>
      <c r="O29" s="3" t="str">
        <f t="shared" si="22"/>
        <v/>
      </c>
      <c r="P29" s="3" t="str">
        <f t="shared" si="23"/>
        <v/>
      </c>
      <c r="Q29" s="3" t="str">
        <f t="shared" si="24"/>
        <v/>
      </c>
      <c r="R29" s="4" t="str">
        <f t="shared" si="25"/>
        <v/>
      </c>
      <c r="S29" s="5" t="str">
        <f t="shared" si="26"/>
        <v/>
      </c>
      <c r="T29" s="76" t="str">
        <f t="shared" si="5"/>
        <v/>
      </c>
      <c r="U29" s="76" t="str">
        <f t="shared" si="17"/>
        <v/>
      </c>
      <c r="V29" s="5" t="str">
        <f t="shared" si="6"/>
        <v/>
      </c>
      <c r="W29" s="5" t="str">
        <f t="shared" si="7"/>
        <v/>
      </c>
      <c r="X29" s="5" t="str">
        <f t="shared" si="8"/>
        <v/>
      </c>
      <c r="Y29" s="143" t="str">
        <f t="shared" si="9"/>
        <v/>
      </c>
      <c r="Z29" s="32" t="str">
        <f t="shared" si="18"/>
        <v/>
      </c>
      <c r="AA29" s="32" t="str">
        <f t="shared" si="19"/>
        <v/>
      </c>
      <c r="AB29" s="32" t="str">
        <f t="shared" si="20"/>
        <v/>
      </c>
      <c r="AC29" s="32" t="str">
        <f t="shared" si="10"/>
        <v/>
      </c>
      <c r="AD29" s="134"/>
      <c r="AE29" s="135" t="str">
        <f t="shared" si="21"/>
        <v/>
      </c>
      <c r="AF29" s="136"/>
      <c r="AG29" s="137"/>
      <c r="AH29" s="137"/>
      <c r="AI29" s="138"/>
      <c r="AJ29" s="20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t="str">
        <v/>
      </c>
      <c r="BS29" t="str">
        <v/>
      </c>
      <c r="BU29" s="153" t="str" cm="1">
        <f t="array" ref="BU29">IF(BR29="","",_xlfn._xlws.FILTER($AJ$4:$BP$4,ISNUMBER(SEARCH(BR29,$AJ$4:$BP$4))))</f>
        <v/>
      </c>
      <c r="BV29" s="154"/>
      <c r="BW29" s="154"/>
      <c r="BX29" s="154"/>
      <c r="BY29" s="154" t="str" cm="1">
        <f t="array" ref="BY29">IF(BU29="","",IF(AND(MID(BU29,1,1)=MID(BU29:BX29,1,1)),"TRUE","FALSE"))</f>
        <v/>
      </c>
      <c r="CA29" s="161" t="str">
        <f t="shared" si="11"/>
        <v/>
      </c>
      <c r="CB29" s="61" t="str">
        <f t="shared" si="12"/>
        <v/>
      </c>
      <c r="CC29" s="61" t="str">
        <f t="shared" si="13"/>
        <v/>
      </c>
      <c r="CD29" s="61" t="str">
        <f t="shared" si="14"/>
        <v/>
      </c>
      <c r="CE29" s="158" t="str">
        <v/>
      </c>
    </row>
    <row r="30" spans="1:83" ht="15" customHeight="1">
      <c r="A30" s="144"/>
      <c r="B30" s="128" t="s">
        <v>351</v>
      </c>
      <c r="C30" s="129" t="s">
        <v>274</v>
      </c>
      <c r="D30" s="130" t="s">
        <v>60</v>
      </c>
      <c r="E30" s="71">
        <v>1.33</v>
      </c>
      <c r="F30" s="129" t="s">
        <v>28</v>
      </c>
      <c r="G30" s="129">
        <v>12.795</v>
      </c>
      <c r="H30" s="129">
        <v>0.02</v>
      </c>
      <c r="I30" s="129">
        <v>-0.02</v>
      </c>
      <c r="J30" s="129" t="s">
        <v>12</v>
      </c>
      <c r="K30" s="132" t="s">
        <v>339</v>
      </c>
      <c r="L30" s="133">
        <f t="shared" si="15"/>
        <v>12.815</v>
      </c>
      <c r="M30" s="139">
        <f t="shared" si="16"/>
        <v>12.775</v>
      </c>
      <c r="N30" s="145"/>
      <c r="O30" s="3" t="str">
        <f t="shared" si="22"/>
        <v/>
      </c>
      <c r="P30" s="3" t="str">
        <f t="shared" si="23"/>
        <v/>
      </c>
      <c r="Q30" s="3" t="str">
        <f t="shared" si="24"/>
        <v/>
      </c>
      <c r="R30" s="4" t="str">
        <f t="shared" si="25"/>
        <v/>
      </c>
      <c r="S30" s="5" t="str">
        <f t="shared" si="26"/>
        <v/>
      </c>
      <c r="T30" s="76" t="str">
        <f t="shared" si="5"/>
        <v/>
      </c>
      <c r="U30" s="76" t="str">
        <f t="shared" si="17"/>
        <v/>
      </c>
      <c r="V30" s="5" t="str">
        <f t="shared" si="6"/>
        <v/>
      </c>
      <c r="W30" s="5" t="str">
        <f t="shared" si="7"/>
        <v/>
      </c>
      <c r="X30" s="5" t="str">
        <f t="shared" si="8"/>
        <v/>
      </c>
      <c r="Y30" s="143" t="str">
        <f t="shared" si="9"/>
        <v/>
      </c>
      <c r="Z30" s="32" t="str">
        <f t="shared" si="18"/>
        <v/>
      </c>
      <c r="AA30" s="32" t="str">
        <f t="shared" si="19"/>
        <v/>
      </c>
      <c r="AB30" s="32" t="str">
        <f t="shared" si="20"/>
        <v/>
      </c>
      <c r="AC30" s="32" t="str">
        <f t="shared" si="10"/>
        <v/>
      </c>
      <c r="AD30" s="134"/>
      <c r="AE30" s="135" t="str">
        <f t="shared" si="21"/>
        <v/>
      </c>
      <c r="AF30" s="136"/>
      <c r="AG30" s="137"/>
      <c r="AH30" s="137"/>
      <c r="AI30" s="138"/>
      <c r="AJ30" s="20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t="str">
        <v/>
      </c>
      <c r="BS30" t="str">
        <v/>
      </c>
      <c r="BU30" s="153" t="str" cm="1">
        <f t="array" ref="BU30">IF(BR30="","",_xlfn._xlws.FILTER($AJ$4:$BP$4,ISNUMBER(SEARCH(BR30,$AJ$4:$BP$4))))</f>
        <v/>
      </c>
      <c r="BV30" s="154"/>
      <c r="BW30" s="154"/>
      <c r="BX30" s="154"/>
      <c r="BY30" s="154" t="str" cm="1">
        <f t="array" ref="BY30">IF(BU30="","",IF(AND(MID(BU30,1,1)=MID(BU30:BX30,1,1)),"TRUE","FALSE"))</f>
        <v/>
      </c>
      <c r="CA30" s="161" t="str">
        <f t="shared" si="11"/>
        <v/>
      </c>
      <c r="CB30" s="61" t="str">
        <f t="shared" si="12"/>
        <v/>
      </c>
      <c r="CC30" s="61" t="str">
        <f t="shared" si="13"/>
        <v/>
      </c>
      <c r="CD30" s="61" t="str">
        <f t="shared" si="14"/>
        <v/>
      </c>
      <c r="CE30" s="158" t="str">
        <v/>
      </c>
    </row>
    <row r="31" spans="1:83" ht="15" customHeight="1">
      <c r="A31" s="18"/>
      <c r="B31" s="128" t="s">
        <v>352</v>
      </c>
      <c r="C31" s="129" t="s">
        <v>275</v>
      </c>
      <c r="D31" s="130" t="s">
        <v>60</v>
      </c>
      <c r="E31" s="71">
        <v>1.33</v>
      </c>
      <c r="F31" s="129" t="s">
        <v>28</v>
      </c>
      <c r="G31" s="129">
        <v>0.105</v>
      </c>
      <c r="H31" s="129">
        <v>0.02</v>
      </c>
      <c r="I31" s="129">
        <v>-0.02</v>
      </c>
      <c r="J31" s="129" t="s">
        <v>12</v>
      </c>
      <c r="K31" s="132" t="s">
        <v>339</v>
      </c>
      <c r="L31" s="133">
        <f t="shared" si="15"/>
        <v>0.125</v>
      </c>
      <c r="M31" s="139">
        <f t="shared" si="16"/>
        <v>8.4999999999999992E-2</v>
      </c>
      <c r="N31" s="29"/>
      <c r="O31" s="3" t="str">
        <f t="shared" si="22"/>
        <v/>
      </c>
      <c r="P31" s="3" t="str">
        <f t="shared" si="23"/>
        <v/>
      </c>
      <c r="Q31" s="3" t="str">
        <f t="shared" si="24"/>
        <v/>
      </c>
      <c r="R31" s="4" t="str">
        <f t="shared" si="25"/>
        <v/>
      </c>
      <c r="S31" s="5" t="str">
        <f t="shared" si="26"/>
        <v/>
      </c>
      <c r="T31" s="76" t="str">
        <f t="shared" si="5"/>
        <v/>
      </c>
      <c r="U31" s="76" t="str">
        <f t="shared" si="17"/>
        <v/>
      </c>
      <c r="V31" s="5" t="str">
        <f t="shared" si="6"/>
        <v/>
      </c>
      <c r="W31" s="5" t="str">
        <f t="shared" si="7"/>
        <v/>
      </c>
      <c r="X31" s="5" t="str">
        <f t="shared" si="8"/>
        <v/>
      </c>
      <c r="Y31" s="143" t="str">
        <f t="shared" si="9"/>
        <v/>
      </c>
      <c r="Z31" s="32" t="str">
        <f t="shared" si="18"/>
        <v/>
      </c>
      <c r="AA31" s="32" t="str">
        <f t="shared" si="19"/>
        <v/>
      </c>
      <c r="AB31" s="32" t="str">
        <f t="shared" si="20"/>
        <v/>
      </c>
      <c r="AC31" s="32" t="str">
        <f t="shared" si="10"/>
        <v/>
      </c>
      <c r="AD31" s="134"/>
      <c r="AE31" s="135" t="str">
        <f t="shared" si="21"/>
        <v/>
      </c>
      <c r="AF31" s="136"/>
      <c r="AG31" s="137"/>
      <c r="AH31" s="137"/>
      <c r="AI31" s="138"/>
      <c r="AJ31" s="20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t="str">
        <v/>
      </c>
      <c r="BS31" t="str">
        <v/>
      </c>
      <c r="BU31" s="153" t="str" cm="1">
        <f t="array" ref="BU31">IF(BR31="","",_xlfn._xlws.FILTER($AJ$4:$BP$4,ISNUMBER(SEARCH(BR31,$AJ$4:$BP$4))))</f>
        <v/>
      </c>
      <c r="BV31" s="154"/>
      <c r="BW31" s="154"/>
      <c r="BX31" s="154"/>
      <c r="BY31" s="154" t="str" cm="1">
        <f t="array" ref="BY31">IF(BU31="","",IF(AND(MID(BU31,1,1)=MID(BU31:BX31,1,1)),"TRUE","FALSE"))</f>
        <v/>
      </c>
      <c r="CA31" s="161" t="str">
        <f t="shared" si="11"/>
        <v/>
      </c>
      <c r="CB31" s="61" t="str">
        <f t="shared" si="12"/>
        <v/>
      </c>
      <c r="CC31" s="61" t="str">
        <f t="shared" si="13"/>
        <v/>
      </c>
      <c r="CD31" s="61" t="str">
        <f t="shared" si="14"/>
        <v/>
      </c>
      <c r="CE31" s="158" t="str">
        <v/>
      </c>
    </row>
    <row r="32" spans="1:83" ht="15" customHeight="1">
      <c r="A32" s="18"/>
      <c r="B32" s="128" t="s">
        <v>353</v>
      </c>
      <c r="C32" s="129" t="s">
        <v>275</v>
      </c>
      <c r="D32" s="130" t="s">
        <v>60</v>
      </c>
      <c r="E32" s="71">
        <v>1.33</v>
      </c>
      <c r="F32" s="129" t="s">
        <v>28</v>
      </c>
      <c r="G32" s="129">
        <v>0.105</v>
      </c>
      <c r="H32" s="129">
        <v>0.02</v>
      </c>
      <c r="I32" s="129">
        <v>-0.02</v>
      </c>
      <c r="J32" s="129" t="s">
        <v>12</v>
      </c>
      <c r="K32" s="132" t="s">
        <v>339</v>
      </c>
      <c r="L32" s="133">
        <f t="shared" si="15"/>
        <v>0.125</v>
      </c>
      <c r="M32" s="139">
        <f t="shared" si="16"/>
        <v>8.4999999999999992E-2</v>
      </c>
      <c r="N32" s="29"/>
      <c r="O32" s="3" t="str">
        <f t="shared" si="22"/>
        <v/>
      </c>
      <c r="P32" s="3" t="str">
        <f t="shared" si="23"/>
        <v/>
      </c>
      <c r="Q32" s="3" t="str">
        <f t="shared" si="24"/>
        <v/>
      </c>
      <c r="R32" s="4" t="str">
        <f t="shared" si="25"/>
        <v/>
      </c>
      <c r="S32" s="5" t="str">
        <f t="shared" si="26"/>
        <v/>
      </c>
      <c r="T32" s="76" t="str">
        <f t="shared" si="5"/>
        <v/>
      </c>
      <c r="U32" s="76" t="str">
        <f t="shared" si="17"/>
        <v/>
      </c>
      <c r="V32" s="5" t="str">
        <f t="shared" si="6"/>
        <v/>
      </c>
      <c r="W32" s="5" t="str">
        <f t="shared" si="7"/>
        <v/>
      </c>
      <c r="X32" s="5" t="str">
        <f t="shared" si="8"/>
        <v/>
      </c>
      <c r="Y32" s="143" t="str">
        <f t="shared" si="9"/>
        <v/>
      </c>
      <c r="Z32" s="32" t="str">
        <f t="shared" si="18"/>
        <v/>
      </c>
      <c r="AA32" s="32" t="str">
        <f t="shared" si="19"/>
        <v/>
      </c>
      <c r="AB32" s="32" t="str">
        <f t="shared" si="20"/>
        <v/>
      </c>
      <c r="AC32" s="32" t="str">
        <f t="shared" si="10"/>
        <v/>
      </c>
      <c r="AD32" s="134"/>
      <c r="AE32" s="135" t="str">
        <f t="shared" si="21"/>
        <v/>
      </c>
      <c r="AF32" s="136"/>
      <c r="AG32" s="137"/>
      <c r="AH32" s="137"/>
      <c r="AI32" s="138"/>
      <c r="AJ32" s="20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t="str">
        <v/>
      </c>
      <c r="BS32" t="str">
        <v/>
      </c>
      <c r="BU32" s="153" t="str" cm="1">
        <f t="array" ref="BU32">IF(BR32="","",_xlfn._xlws.FILTER($AJ$4:$BP$4,ISNUMBER(SEARCH(BR32,$AJ$4:$BP$4))))</f>
        <v/>
      </c>
      <c r="BV32" s="154"/>
      <c r="BW32" s="154"/>
      <c r="BX32" s="154"/>
      <c r="BY32" s="154" t="str" cm="1">
        <f t="array" ref="BY32">IF(BU32="","",IF(AND(MID(BU32,1,1)=MID(BU32:BX32,1,1)),"TRUE","FALSE"))</f>
        <v/>
      </c>
      <c r="CA32" s="161" t="str">
        <f t="shared" si="11"/>
        <v/>
      </c>
      <c r="CB32" s="61" t="str">
        <f t="shared" si="12"/>
        <v/>
      </c>
      <c r="CC32" s="61" t="str">
        <f t="shared" si="13"/>
        <v/>
      </c>
      <c r="CD32" s="61" t="str">
        <f t="shared" si="14"/>
        <v/>
      </c>
      <c r="CE32" s="158" t="str">
        <v/>
      </c>
    </row>
    <row r="33" spans="1:83" ht="15" customHeight="1">
      <c r="A33" s="18"/>
      <c r="B33" s="128" t="s">
        <v>354</v>
      </c>
      <c r="C33" s="129" t="s">
        <v>276</v>
      </c>
      <c r="D33" s="130" t="s">
        <v>60</v>
      </c>
      <c r="E33" s="71">
        <v>1.33</v>
      </c>
      <c r="F33" s="129" t="s">
        <v>28</v>
      </c>
      <c r="G33" s="129">
        <v>0.91</v>
      </c>
      <c r="H33" s="129">
        <v>0.02</v>
      </c>
      <c r="I33" s="129">
        <v>-0.02</v>
      </c>
      <c r="J33" s="129" t="s">
        <v>12</v>
      </c>
      <c r="K33" s="132" t="s">
        <v>339</v>
      </c>
      <c r="L33" s="133">
        <f t="shared" si="15"/>
        <v>0.93</v>
      </c>
      <c r="M33" s="139">
        <f t="shared" si="16"/>
        <v>0.89</v>
      </c>
      <c r="N33" s="29"/>
      <c r="O33" s="3" t="str">
        <f t="shared" si="22"/>
        <v/>
      </c>
      <c r="P33" s="3" t="str">
        <f t="shared" si="23"/>
        <v/>
      </c>
      <c r="Q33" s="3" t="str">
        <f t="shared" si="24"/>
        <v/>
      </c>
      <c r="R33" s="4" t="str">
        <f t="shared" si="25"/>
        <v/>
      </c>
      <c r="S33" s="5" t="str">
        <f t="shared" si="26"/>
        <v/>
      </c>
      <c r="T33" s="76" t="str">
        <f t="shared" si="5"/>
        <v/>
      </c>
      <c r="U33" s="76" t="str">
        <f t="shared" si="17"/>
        <v/>
      </c>
      <c r="V33" s="5" t="str">
        <f t="shared" si="6"/>
        <v/>
      </c>
      <c r="W33" s="5" t="str">
        <f t="shared" si="7"/>
        <v/>
      </c>
      <c r="X33" s="5" t="str">
        <f t="shared" si="8"/>
        <v/>
      </c>
      <c r="Y33" s="143" t="str">
        <f t="shared" si="9"/>
        <v/>
      </c>
      <c r="Z33" s="32" t="str">
        <f t="shared" si="18"/>
        <v/>
      </c>
      <c r="AA33" s="32" t="str">
        <f t="shared" si="19"/>
        <v/>
      </c>
      <c r="AB33" s="32" t="str">
        <f t="shared" si="20"/>
        <v/>
      </c>
      <c r="AC33" s="32" t="str">
        <f t="shared" si="10"/>
        <v/>
      </c>
      <c r="AD33" s="134"/>
      <c r="AE33" s="135" t="str">
        <f t="shared" si="21"/>
        <v/>
      </c>
      <c r="AF33" s="136"/>
      <c r="AG33" s="137"/>
      <c r="AH33" s="137"/>
      <c r="AI33" s="138"/>
      <c r="AJ33" s="20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t="str">
        <v/>
      </c>
      <c r="BS33" t="str">
        <v/>
      </c>
      <c r="BU33" s="153" t="str" cm="1">
        <f t="array" ref="BU33">IF(BR33="","",_xlfn._xlws.FILTER($AJ$4:$BP$4,ISNUMBER(SEARCH(BR33,$AJ$4:$BP$4))))</f>
        <v/>
      </c>
      <c r="BV33" s="154"/>
      <c r="BW33" s="154"/>
      <c r="BX33" s="154"/>
      <c r="BY33" s="154" t="str" cm="1">
        <f t="array" ref="BY33">IF(BU33="","",IF(AND(MID(BU33,1,1)=MID(BU33:BX33,1,1)),"TRUE","FALSE"))</f>
        <v/>
      </c>
      <c r="CA33" s="161" t="str">
        <f t="shared" si="11"/>
        <v/>
      </c>
      <c r="CB33" s="61" t="str">
        <f t="shared" si="12"/>
        <v/>
      </c>
      <c r="CC33" s="61" t="str">
        <f t="shared" si="13"/>
        <v/>
      </c>
      <c r="CD33" s="61" t="str">
        <f t="shared" si="14"/>
        <v/>
      </c>
      <c r="CE33" s="158" t="str">
        <v/>
      </c>
    </row>
    <row r="34" spans="1:83" ht="15" customHeight="1">
      <c r="A34" s="18"/>
      <c r="B34" s="128" t="s">
        <v>355</v>
      </c>
      <c r="C34" s="129" t="s">
        <v>276</v>
      </c>
      <c r="D34" s="130" t="s">
        <v>60</v>
      </c>
      <c r="E34" s="71">
        <v>1.33</v>
      </c>
      <c r="F34" s="129" t="s">
        <v>28</v>
      </c>
      <c r="G34" s="129">
        <v>0.91</v>
      </c>
      <c r="H34" s="129">
        <v>0.02</v>
      </c>
      <c r="I34" s="129">
        <v>-0.02</v>
      </c>
      <c r="J34" s="129" t="s">
        <v>12</v>
      </c>
      <c r="K34" s="132" t="s">
        <v>339</v>
      </c>
      <c r="L34" s="133">
        <f t="shared" si="15"/>
        <v>0.93</v>
      </c>
      <c r="M34" s="139">
        <f t="shared" si="16"/>
        <v>0.89</v>
      </c>
      <c r="N34" s="29"/>
      <c r="O34" s="3" t="str">
        <f t="shared" si="22"/>
        <v/>
      </c>
      <c r="P34" s="3" t="str">
        <f t="shared" si="23"/>
        <v/>
      </c>
      <c r="Q34" s="3" t="str">
        <f t="shared" si="24"/>
        <v/>
      </c>
      <c r="R34" s="4" t="str">
        <f t="shared" si="25"/>
        <v/>
      </c>
      <c r="S34" s="5" t="str">
        <f t="shared" si="26"/>
        <v/>
      </c>
      <c r="T34" s="76" t="str">
        <f t="shared" si="5"/>
        <v/>
      </c>
      <c r="U34" s="76" t="str">
        <f t="shared" si="17"/>
        <v/>
      </c>
      <c r="V34" s="5" t="str">
        <f t="shared" si="6"/>
        <v/>
      </c>
      <c r="W34" s="5" t="str">
        <f t="shared" si="7"/>
        <v/>
      </c>
      <c r="X34" s="5" t="str">
        <f t="shared" si="8"/>
        <v/>
      </c>
      <c r="Y34" s="143" t="str">
        <f t="shared" si="9"/>
        <v/>
      </c>
      <c r="Z34" s="32" t="str">
        <f t="shared" si="18"/>
        <v/>
      </c>
      <c r="AA34" s="32" t="str">
        <f t="shared" si="19"/>
        <v/>
      </c>
      <c r="AB34" s="32" t="str">
        <f t="shared" si="20"/>
        <v/>
      </c>
      <c r="AC34" s="32" t="str">
        <f t="shared" si="10"/>
        <v/>
      </c>
      <c r="AD34" s="134"/>
      <c r="AE34" s="135" t="str">
        <f t="shared" si="21"/>
        <v/>
      </c>
      <c r="AF34" s="136"/>
      <c r="AG34" s="137"/>
      <c r="AH34" s="137"/>
      <c r="AI34" s="138"/>
      <c r="AJ34" s="20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t="str">
        <v/>
      </c>
      <c r="BS34" t="str">
        <v/>
      </c>
      <c r="BU34" s="153" t="str" cm="1">
        <f t="array" ref="BU34">IF(BR34="","",_xlfn._xlws.FILTER($AJ$4:$BP$4,ISNUMBER(SEARCH(BR34,$AJ$4:$BP$4))))</f>
        <v/>
      </c>
      <c r="BV34" s="154"/>
      <c r="BW34" s="154"/>
      <c r="BX34" s="154"/>
      <c r="BY34" s="154" t="str" cm="1">
        <f t="array" ref="BY34">IF(BU34="","",IF(AND(MID(BU34,1,1)=MID(BU34:BX34,1,1)),"TRUE","FALSE"))</f>
        <v/>
      </c>
      <c r="CA34" s="161" t="str">
        <f t="shared" si="11"/>
        <v/>
      </c>
      <c r="CB34" s="61" t="str">
        <f t="shared" si="12"/>
        <v/>
      </c>
      <c r="CC34" s="61" t="str">
        <f t="shared" si="13"/>
        <v/>
      </c>
      <c r="CD34" s="61" t="str">
        <f t="shared" si="14"/>
        <v/>
      </c>
      <c r="CE34" s="158" t="str">
        <v/>
      </c>
    </row>
    <row r="35" spans="1:83" ht="15" customHeight="1">
      <c r="A35" s="18"/>
      <c r="B35" s="128" t="s">
        <v>356</v>
      </c>
      <c r="C35" s="129" t="s">
        <v>276</v>
      </c>
      <c r="D35" s="130" t="s">
        <v>60</v>
      </c>
      <c r="E35" s="71">
        <v>1.33</v>
      </c>
      <c r="F35" s="129" t="s">
        <v>28</v>
      </c>
      <c r="G35" s="129">
        <v>0.91</v>
      </c>
      <c r="H35" s="129">
        <v>0.02</v>
      </c>
      <c r="I35" s="129">
        <v>-0.02</v>
      </c>
      <c r="J35" s="129" t="s">
        <v>12</v>
      </c>
      <c r="K35" s="132" t="s">
        <v>339</v>
      </c>
      <c r="L35" s="133">
        <f t="shared" si="15"/>
        <v>0.93</v>
      </c>
      <c r="M35" s="139">
        <f t="shared" si="16"/>
        <v>0.89</v>
      </c>
      <c r="N35" s="29"/>
      <c r="O35" s="3" t="str">
        <f t="shared" si="22"/>
        <v/>
      </c>
      <c r="P35" s="3" t="str">
        <f t="shared" si="23"/>
        <v/>
      </c>
      <c r="Q35" s="3" t="str">
        <f t="shared" si="24"/>
        <v/>
      </c>
      <c r="R35" s="4" t="str">
        <f t="shared" si="25"/>
        <v/>
      </c>
      <c r="S35" s="5" t="str">
        <f t="shared" si="26"/>
        <v/>
      </c>
      <c r="T35" s="76" t="str">
        <f t="shared" si="5"/>
        <v/>
      </c>
      <c r="U35" s="76" t="str">
        <f t="shared" si="17"/>
        <v/>
      </c>
      <c r="V35" s="5" t="str">
        <f t="shared" si="6"/>
        <v/>
      </c>
      <c r="W35" s="5" t="str">
        <f t="shared" si="7"/>
        <v/>
      </c>
      <c r="X35" s="5" t="str">
        <f t="shared" si="8"/>
        <v/>
      </c>
      <c r="Y35" s="143" t="str">
        <f t="shared" si="9"/>
        <v/>
      </c>
      <c r="Z35" s="32" t="str">
        <f t="shared" si="18"/>
        <v/>
      </c>
      <c r="AA35" s="32" t="str">
        <f t="shared" si="19"/>
        <v/>
      </c>
      <c r="AB35" s="32" t="str">
        <f t="shared" si="20"/>
        <v/>
      </c>
      <c r="AC35" s="32" t="str">
        <f t="shared" si="10"/>
        <v/>
      </c>
      <c r="AD35" s="134"/>
      <c r="AE35" s="135" t="str">
        <f t="shared" si="21"/>
        <v/>
      </c>
      <c r="AF35" s="136"/>
      <c r="AG35" s="137"/>
      <c r="AH35" s="137"/>
      <c r="AI35" s="138"/>
      <c r="AJ35" s="20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t="str">
        <v/>
      </c>
      <c r="BS35" t="str">
        <v/>
      </c>
      <c r="BU35" s="153" t="str" cm="1">
        <f t="array" ref="BU35">IF(BR35="","",_xlfn._xlws.FILTER($AJ$4:$BP$4,ISNUMBER(SEARCH(BR35,$AJ$4:$BP$4))))</f>
        <v/>
      </c>
      <c r="BV35" s="154"/>
      <c r="BW35" s="154"/>
      <c r="BX35" s="154"/>
      <c r="BY35" s="154" t="str" cm="1">
        <f t="array" ref="BY35">IF(BU35="","",IF(AND(MID(BU35,1,1)=MID(BU35:BX35,1,1)),"TRUE","FALSE"))</f>
        <v/>
      </c>
      <c r="CA35" s="161" t="str">
        <f t="shared" si="11"/>
        <v/>
      </c>
      <c r="CB35" s="61" t="str">
        <f t="shared" si="12"/>
        <v/>
      </c>
      <c r="CC35" s="61" t="str">
        <f t="shared" si="13"/>
        <v/>
      </c>
      <c r="CD35" s="61" t="str">
        <f t="shared" si="14"/>
        <v/>
      </c>
      <c r="CE35" s="158" t="str">
        <v/>
      </c>
    </row>
    <row r="36" spans="1:83" ht="15" customHeight="1">
      <c r="A36" s="18"/>
      <c r="B36" s="128" t="s">
        <v>357</v>
      </c>
      <c r="C36" s="129" t="s">
        <v>277</v>
      </c>
      <c r="D36" s="130" t="s">
        <v>60</v>
      </c>
      <c r="E36" s="71">
        <v>1.33</v>
      </c>
      <c r="F36" s="129" t="s">
        <v>28</v>
      </c>
      <c r="G36" s="129">
        <v>0.86</v>
      </c>
      <c r="H36" s="129">
        <v>2.5000000000000001E-2</v>
      </c>
      <c r="I36" s="129">
        <v>-2.5000000000000001E-2</v>
      </c>
      <c r="J36" s="129" t="s">
        <v>12</v>
      </c>
      <c r="K36" s="132" t="s">
        <v>339</v>
      </c>
      <c r="L36" s="133">
        <f t="shared" si="15"/>
        <v>0.88500000000000001</v>
      </c>
      <c r="M36" s="139">
        <f t="shared" si="16"/>
        <v>0.83499999999999996</v>
      </c>
      <c r="N36" s="29"/>
      <c r="O36" s="3" t="str">
        <f t="shared" si="22"/>
        <v/>
      </c>
      <c r="P36" s="3" t="str">
        <f t="shared" si="23"/>
        <v/>
      </c>
      <c r="Q36" s="3" t="str">
        <f t="shared" si="24"/>
        <v/>
      </c>
      <c r="R36" s="4" t="str">
        <f t="shared" si="25"/>
        <v/>
      </c>
      <c r="S36" s="5" t="str">
        <f t="shared" si="26"/>
        <v/>
      </c>
      <c r="T36" s="76" t="str">
        <f t="shared" si="5"/>
        <v/>
      </c>
      <c r="U36" s="76" t="str">
        <f t="shared" si="17"/>
        <v/>
      </c>
      <c r="V36" s="5" t="str">
        <f t="shared" si="6"/>
        <v/>
      </c>
      <c r="W36" s="5" t="str">
        <f t="shared" si="7"/>
        <v/>
      </c>
      <c r="X36" s="5" t="str">
        <f t="shared" si="8"/>
        <v/>
      </c>
      <c r="Y36" s="143" t="str">
        <f t="shared" si="9"/>
        <v/>
      </c>
      <c r="Z36" s="32" t="str">
        <f t="shared" si="18"/>
        <v/>
      </c>
      <c r="AA36" s="32" t="str">
        <f t="shared" si="19"/>
        <v/>
      </c>
      <c r="AB36" s="32" t="str">
        <f t="shared" si="20"/>
        <v/>
      </c>
      <c r="AC36" s="32" t="str">
        <f t="shared" si="10"/>
        <v/>
      </c>
      <c r="AD36" s="134"/>
      <c r="AE36" s="135" t="str">
        <f t="shared" si="21"/>
        <v/>
      </c>
      <c r="AF36" s="136"/>
      <c r="AG36" s="137"/>
      <c r="AH36" s="137"/>
      <c r="AI36" s="138"/>
      <c r="AJ36" s="20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t="str">
        <v/>
      </c>
      <c r="BS36" t="str">
        <v/>
      </c>
      <c r="BU36" s="153" t="str" cm="1">
        <f t="array" ref="BU36">IF(BR36="","",_xlfn._xlws.FILTER($AJ$4:$BP$4,ISNUMBER(SEARCH(BR36,$AJ$4:$BP$4))))</f>
        <v/>
      </c>
      <c r="BV36" s="154"/>
      <c r="BW36" s="154"/>
      <c r="BX36" s="154"/>
      <c r="BY36" s="154" t="str" cm="1">
        <f t="array" ref="BY36">IF(BU36="","",IF(AND(MID(BU36,1,1)=MID(BU36:BX36,1,1)),"TRUE","FALSE"))</f>
        <v/>
      </c>
      <c r="CA36" s="161" t="str">
        <f t="shared" si="11"/>
        <v/>
      </c>
      <c r="CB36" s="61" t="str">
        <f t="shared" si="12"/>
        <v/>
      </c>
      <c r="CC36" s="61" t="str">
        <f t="shared" si="13"/>
        <v/>
      </c>
      <c r="CD36" s="61" t="str">
        <f t="shared" si="14"/>
        <v/>
      </c>
      <c r="CE36" s="158" t="str">
        <v/>
      </c>
    </row>
    <row r="37" spans="1:83" ht="15" customHeight="1">
      <c r="A37" s="18"/>
      <c r="B37" s="128" t="s">
        <v>358</v>
      </c>
      <c r="C37" s="129" t="s">
        <v>277</v>
      </c>
      <c r="D37" s="130" t="s">
        <v>60</v>
      </c>
      <c r="E37" s="71">
        <v>1.33</v>
      </c>
      <c r="F37" s="129" t="s">
        <v>28</v>
      </c>
      <c r="G37" s="131">
        <v>0.86</v>
      </c>
      <c r="H37" s="129">
        <v>2.5000000000000001E-2</v>
      </c>
      <c r="I37" s="131">
        <v>-2.5000000000000001E-2</v>
      </c>
      <c r="J37" s="129" t="s">
        <v>12</v>
      </c>
      <c r="K37" s="132" t="s">
        <v>339</v>
      </c>
      <c r="L37" s="133">
        <f t="shared" si="15"/>
        <v>0.88500000000000001</v>
      </c>
      <c r="M37" s="139">
        <f t="shared" si="16"/>
        <v>0.83499999999999996</v>
      </c>
      <c r="N37" s="29"/>
      <c r="O37" s="3" t="str">
        <f t="shared" si="22"/>
        <v/>
      </c>
      <c r="P37" s="3" t="str">
        <f t="shared" si="23"/>
        <v/>
      </c>
      <c r="Q37" s="3" t="str">
        <f t="shared" si="24"/>
        <v/>
      </c>
      <c r="R37" s="4" t="str">
        <f t="shared" si="25"/>
        <v/>
      </c>
      <c r="S37" s="5" t="str">
        <f t="shared" si="26"/>
        <v/>
      </c>
      <c r="T37" s="76" t="str">
        <f t="shared" si="5"/>
        <v/>
      </c>
      <c r="U37" s="76" t="str">
        <f t="shared" si="17"/>
        <v/>
      </c>
      <c r="V37" s="5" t="str">
        <f t="shared" si="6"/>
        <v/>
      </c>
      <c r="W37" s="5" t="str">
        <f t="shared" si="7"/>
        <v/>
      </c>
      <c r="X37" s="5" t="str">
        <f t="shared" si="8"/>
        <v/>
      </c>
      <c r="Y37" s="143" t="str">
        <f t="shared" si="9"/>
        <v/>
      </c>
      <c r="Z37" s="32" t="str">
        <f t="shared" si="18"/>
        <v/>
      </c>
      <c r="AA37" s="32" t="str">
        <f t="shared" si="19"/>
        <v/>
      </c>
      <c r="AB37" s="32" t="str">
        <f t="shared" si="20"/>
        <v/>
      </c>
      <c r="AC37" s="32" t="str">
        <f t="shared" si="10"/>
        <v/>
      </c>
      <c r="AD37" s="134"/>
      <c r="AE37" s="135" t="str">
        <f t="shared" si="21"/>
        <v/>
      </c>
      <c r="AF37" s="136"/>
      <c r="AG37" s="137"/>
      <c r="AH37" s="137"/>
      <c r="AI37" s="138"/>
      <c r="AJ37" s="20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t="str">
        <v/>
      </c>
      <c r="BS37" t="str">
        <v/>
      </c>
      <c r="BU37" s="153" t="str" cm="1">
        <f t="array" ref="BU37">IF(BR37="","",_xlfn._xlws.FILTER($AJ$4:$BP$4,ISNUMBER(SEARCH(BR37,$AJ$4:$BP$4))))</f>
        <v/>
      </c>
      <c r="BV37" s="154"/>
      <c r="BW37" s="154"/>
      <c r="BX37" s="154"/>
      <c r="BY37" s="154" t="str" cm="1">
        <f t="array" ref="BY37">IF(BU37="","",IF(AND(MID(BU37,1,1)=MID(BU37:BX37,1,1)),"TRUE","FALSE"))</f>
        <v/>
      </c>
      <c r="CA37" s="161" t="str">
        <f t="shared" si="11"/>
        <v/>
      </c>
      <c r="CB37" s="61" t="str">
        <f t="shared" si="12"/>
        <v/>
      </c>
      <c r="CC37" s="61" t="str">
        <f t="shared" si="13"/>
        <v/>
      </c>
      <c r="CD37" s="61" t="str">
        <f t="shared" si="14"/>
        <v/>
      </c>
      <c r="CE37" s="158" t="str">
        <v/>
      </c>
    </row>
    <row r="38" spans="1:83" ht="15" customHeight="1">
      <c r="A38" s="18"/>
      <c r="B38" s="128" t="s">
        <v>359</v>
      </c>
      <c r="C38" s="129" t="s">
        <v>277</v>
      </c>
      <c r="D38" s="130" t="s">
        <v>60</v>
      </c>
      <c r="E38" s="71">
        <v>1.33</v>
      </c>
      <c r="F38" s="129" t="s">
        <v>28</v>
      </c>
      <c r="G38" s="129">
        <v>0.86</v>
      </c>
      <c r="H38" s="129">
        <v>2.5000000000000001E-2</v>
      </c>
      <c r="I38" s="129">
        <v>-2.5000000000000001E-2</v>
      </c>
      <c r="J38" s="129" t="s">
        <v>12</v>
      </c>
      <c r="K38" s="132" t="s">
        <v>339</v>
      </c>
      <c r="L38" s="133">
        <f t="shared" si="15"/>
        <v>0.88500000000000001</v>
      </c>
      <c r="M38" s="139">
        <f t="shared" si="16"/>
        <v>0.83499999999999996</v>
      </c>
      <c r="N38" s="29"/>
      <c r="O38" s="3" t="str">
        <f t="shared" si="22"/>
        <v/>
      </c>
      <c r="P38" s="3" t="str">
        <f t="shared" si="23"/>
        <v/>
      </c>
      <c r="Q38" s="3" t="str">
        <f t="shared" si="24"/>
        <v/>
      </c>
      <c r="R38" s="4" t="str">
        <f t="shared" si="25"/>
        <v/>
      </c>
      <c r="S38" s="5" t="str">
        <f t="shared" si="26"/>
        <v/>
      </c>
      <c r="T38" s="76" t="str">
        <f t="shared" si="5"/>
        <v/>
      </c>
      <c r="U38" s="76" t="str">
        <f t="shared" si="17"/>
        <v/>
      </c>
      <c r="V38" s="5" t="str">
        <f t="shared" si="6"/>
        <v/>
      </c>
      <c r="W38" s="5" t="str">
        <f t="shared" si="7"/>
        <v/>
      </c>
      <c r="X38" s="5" t="str">
        <f t="shared" si="8"/>
        <v/>
      </c>
      <c r="Y38" s="143" t="str">
        <f t="shared" si="9"/>
        <v/>
      </c>
      <c r="Z38" s="32" t="str">
        <f t="shared" si="18"/>
        <v/>
      </c>
      <c r="AA38" s="32" t="str">
        <f t="shared" si="19"/>
        <v/>
      </c>
      <c r="AB38" s="32" t="str">
        <f t="shared" si="20"/>
        <v/>
      </c>
      <c r="AC38" s="32" t="str">
        <f t="shared" si="10"/>
        <v/>
      </c>
      <c r="AD38" s="134"/>
      <c r="AE38" s="135" t="str">
        <f t="shared" si="21"/>
        <v/>
      </c>
      <c r="AF38" s="136"/>
      <c r="AG38" s="137"/>
      <c r="AH38" s="137"/>
      <c r="AI38" s="138"/>
      <c r="AJ38" s="20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t="str">
        <v/>
      </c>
      <c r="BS38" t="str">
        <v/>
      </c>
      <c r="BU38" s="153" t="str" cm="1">
        <f t="array" ref="BU38">IF(BR38="","",_xlfn._xlws.FILTER($AJ$4:$BP$4,ISNUMBER(SEARCH(BR38,$AJ$4:$BP$4))))</f>
        <v/>
      </c>
      <c r="BV38" s="154"/>
      <c r="BW38" s="154"/>
      <c r="BX38" s="154"/>
      <c r="BY38" s="154" t="str" cm="1">
        <f t="array" ref="BY38">IF(BU38="","",IF(AND(MID(BU38,1,1)=MID(BU38:BX38,1,1)),"TRUE","FALSE"))</f>
        <v/>
      </c>
      <c r="CA38" s="161" t="str">
        <f t="shared" si="11"/>
        <v/>
      </c>
      <c r="CB38" s="61" t="str">
        <f t="shared" si="12"/>
        <v/>
      </c>
      <c r="CC38" s="61" t="str">
        <f t="shared" si="13"/>
        <v/>
      </c>
      <c r="CD38" s="61" t="str">
        <f t="shared" si="14"/>
        <v/>
      </c>
      <c r="CE38" s="158" t="str">
        <v/>
      </c>
    </row>
    <row r="39" spans="1:83" ht="15" customHeight="1" thickBot="1">
      <c r="A39" s="18"/>
      <c r="B39" s="128" t="s">
        <v>360</v>
      </c>
      <c r="C39" s="129" t="s">
        <v>254</v>
      </c>
      <c r="D39" s="130" t="s">
        <v>60</v>
      </c>
      <c r="E39" s="71">
        <v>1.33</v>
      </c>
      <c r="F39" s="129" t="s">
        <v>28</v>
      </c>
      <c r="G39" s="129">
        <v>0.87</v>
      </c>
      <c r="H39" s="129">
        <v>2.5000000000000001E-2</v>
      </c>
      <c r="I39" s="129">
        <v>-2.5000000000000001E-2</v>
      </c>
      <c r="J39" s="129" t="s">
        <v>12</v>
      </c>
      <c r="K39" s="132" t="s">
        <v>339</v>
      </c>
      <c r="L39" s="133">
        <f t="shared" si="15"/>
        <v>0.89500000000000002</v>
      </c>
      <c r="M39" s="139">
        <f t="shared" si="16"/>
        <v>0.84499999999999997</v>
      </c>
      <c r="N39" s="29"/>
      <c r="O39" s="3" t="str">
        <f t="shared" si="22"/>
        <v/>
      </c>
      <c r="P39" s="3" t="str">
        <f t="shared" si="23"/>
        <v/>
      </c>
      <c r="Q39" s="3" t="str">
        <f t="shared" si="24"/>
        <v/>
      </c>
      <c r="R39" s="4" t="str">
        <f t="shared" si="25"/>
        <v/>
      </c>
      <c r="S39" s="5" t="str">
        <f t="shared" si="26"/>
        <v/>
      </c>
      <c r="T39" s="76" t="str">
        <f t="shared" si="5"/>
        <v/>
      </c>
      <c r="U39" s="76" t="str">
        <f t="shared" si="17"/>
        <v/>
      </c>
      <c r="V39" s="5" t="str">
        <f t="shared" si="6"/>
        <v/>
      </c>
      <c r="W39" s="5" t="str">
        <f t="shared" si="7"/>
        <v/>
      </c>
      <c r="X39" s="5" t="str">
        <f t="shared" si="8"/>
        <v/>
      </c>
      <c r="Y39" s="143" t="str">
        <f t="shared" si="9"/>
        <v/>
      </c>
      <c r="Z39" s="32" t="str">
        <f t="shared" si="18"/>
        <v/>
      </c>
      <c r="AA39" s="32" t="str">
        <f t="shared" si="19"/>
        <v/>
      </c>
      <c r="AB39" s="32" t="str">
        <f t="shared" si="20"/>
        <v/>
      </c>
      <c r="AC39" s="32" t="str">
        <f t="shared" si="10"/>
        <v/>
      </c>
      <c r="AD39" s="134"/>
      <c r="AE39" s="135" t="str">
        <f t="shared" si="21"/>
        <v/>
      </c>
      <c r="AF39" s="136"/>
      <c r="AG39" s="137"/>
      <c r="AH39" s="137"/>
      <c r="AI39" s="138"/>
      <c r="AJ39" s="20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t="str">
        <v/>
      </c>
      <c r="BS39" t="str">
        <v/>
      </c>
      <c r="BU39" s="153" t="str" cm="1">
        <f t="array" ref="BU39">IF(BR39="","",_xlfn._xlws.FILTER($AJ$4:$BP$4,ISNUMBER(SEARCH(BR39,$AJ$4:$BP$4))))</f>
        <v/>
      </c>
      <c r="BV39" s="154"/>
      <c r="BW39" s="154"/>
      <c r="BX39" s="154"/>
      <c r="BY39" s="154" t="str" cm="1">
        <f t="array" ref="BY39">IF(BU39="","",IF(AND(MID(BU39,1,1)=MID(BU39:BX39,1,1)),"TRUE","FALSE"))</f>
        <v/>
      </c>
      <c r="CA39" s="163" t="str">
        <f t="shared" si="11"/>
        <v/>
      </c>
      <c r="CB39" s="164" t="str">
        <f t="shared" si="12"/>
        <v/>
      </c>
      <c r="CC39" s="164" t="str">
        <f t="shared" si="13"/>
        <v/>
      </c>
      <c r="CD39" s="164" t="str">
        <f t="shared" si="14"/>
        <v/>
      </c>
      <c r="CE39" s="160" t="str">
        <v/>
      </c>
    </row>
    <row r="40" spans="1:83" ht="15" customHeight="1">
      <c r="A40" s="18"/>
      <c r="B40" s="128" t="s">
        <v>361</v>
      </c>
      <c r="C40" s="129" t="s">
        <v>254</v>
      </c>
      <c r="D40" s="130" t="s">
        <v>60</v>
      </c>
      <c r="E40" s="71">
        <v>1.33</v>
      </c>
      <c r="F40" s="129" t="s">
        <v>28</v>
      </c>
      <c r="G40" s="129">
        <v>0.87</v>
      </c>
      <c r="H40" s="129">
        <v>2.5000000000000001E-2</v>
      </c>
      <c r="I40" s="129">
        <v>-2.5000000000000001E-2</v>
      </c>
      <c r="J40" s="129" t="s">
        <v>12</v>
      </c>
      <c r="K40" s="132" t="s">
        <v>339</v>
      </c>
      <c r="L40" s="133">
        <f t="shared" si="15"/>
        <v>0.89500000000000002</v>
      </c>
      <c r="M40" s="139">
        <f t="shared" si="16"/>
        <v>0.84499999999999997</v>
      </c>
      <c r="N40" s="29"/>
      <c r="O40" s="3" t="str">
        <f t="shared" si="22"/>
        <v/>
      </c>
      <c r="P40" s="3" t="str">
        <f t="shared" si="23"/>
        <v/>
      </c>
      <c r="Q40" s="3" t="str">
        <f t="shared" si="24"/>
        <v/>
      </c>
      <c r="R40" s="4" t="str">
        <f t="shared" si="25"/>
        <v/>
      </c>
      <c r="S40" s="5" t="str">
        <f t="shared" si="26"/>
        <v/>
      </c>
      <c r="T40" s="76" t="str">
        <f t="shared" si="5"/>
        <v/>
      </c>
      <c r="U40" s="76" t="str">
        <f t="shared" si="17"/>
        <v/>
      </c>
      <c r="V40" s="5" t="str">
        <f t="shared" si="6"/>
        <v/>
      </c>
      <c r="W40" s="5" t="str">
        <f t="shared" si="7"/>
        <v/>
      </c>
      <c r="X40" s="5" t="str">
        <f t="shared" si="8"/>
        <v/>
      </c>
      <c r="Y40" s="143" t="str">
        <f t="shared" si="9"/>
        <v/>
      </c>
      <c r="Z40" s="32" t="str">
        <f t="shared" si="18"/>
        <v/>
      </c>
      <c r="AA40" s="32" t="str">
        <f t="shared" si="19"/>
        <v/>
      </c>
      <c r="AB40" s="32" t="str">
        <f t="shared" si="20"/>
        <v/>
      </c>
      <c r="AC40" s="32" t="str">
        <f t="shared" si="10"/>
        <v/>
      </c>
      <c r="AD40" s="134"/>
      <c r="AE40" s="135" t="str">
        <f t="shared" si="21"/>
        <v/>
      </c>
      <c r="AF40" s="136"/>
      <c r="AG40" s="137"/>
      <c r="AH40" s="137"/>
      <c r="AI40" s="138"/>
      <c r="AJ40" s="20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t="str">
        <v/>
      </c>
      <c r="BS40" t="str">
        <v/>
      </c>
      <c r="BU40" s="153" t="str" cm="1">
        <f t="array" ref="BU40">IF(BR40="","",_xlfn._xlws.FILTER($AJ$4:$BP$4,ISNUMBER(SEARCH(BR40,$AJ$4:$BP$4))))</f>
        <v/>
      </c>
      <c r="BV40" s="154"/>
      <c r="BW40" s="154"/>
      <c r="BX40" s="154"/>
      <c r="BY40" s="154" t="str" cm="1">
        <f t="array" ref="BY40">IF(BU40="","",IF(AND(MID(BU40,1,1)=MID(BU40:BX40,1,1)),"TRUE","FALSE"))</f>
        <v/>
      </c>
      <c r="CE40" t="str">
        <v/>
      </c>
    </row>
    <row r="41" spans="1:83" ht="15" customHeight="1">
      <c r="A41" s="18"/>
      <c r="B41" s="128">
        <v>25</v>
      </c>
      <c r="C41" s="129" t="s">
        <v>280</v>
      </c>
      <c r="D41" s="130" t="s">
        <v>60</v>
      </c>
      <c r="E41" s="71">
        <v>1.33</v>
      </c>
      <c r="F41" s="129" t="s">
        <v>28</v>
      </c>
      <c r="G41" s="129">
        <v>12.561999999999999</v>
      </c>
      <c r="H41" s="129">
        <v>0.02</v>
      </c>
      <c r="I41" s="129">
        <v>-0.02</v>
      </c>
      <c r="J41" s="129" t="s">
        <v>12</v>
      </c>
      <c r="K41" s="132" t="s">
        <v>339</v>
      </c>
      <c r="L41" s="133">
        <f t="shared" si="15"/>
        <v>12.581999999999999</v>
      </c>
      <c r="M41" s="139">
        <f t="shared" si="16"/>
        <v>12.542</v>
      </c>
      <c r="N41" s="29"/>
      <c r="O41" s="3" t="str">
        <f t="shared" si="22"/>
        <v/>
      </c>
      <c r="P41" s="3" t="str">
        <f t="shared" si="23"/>
        <v/>
      </c>
      <c r="Q41" s="3" t="str">
        <f t="shared" si="24"/>
        <v/>
      </c>
      <c r="R41" s="4" t="str">
        <f t="shared" si="25"/>
        <v/>
      </c>
      <c r="S41" s="5" t="str">
        <f t="shared" si="26"/>
        <v/>
      </c>
      <c r="T41" s="76" t="str">
        <f t="shared" si="5"/>
        <v/>
      </c>
      <c r="U41" s="76" t="str">
        <f t="shared" si="17"/>
        <v/>
      </c>
      <c r="V41" s="5" t="str">
        <f t="shared" si="6"/>
        <v/>
      </c>
      <c r="W41" s="5" t="str">
        <f t="shared" si="7"/>
        <v/>
      </c>
      <c r="X41" s="5" t="str">
        <f t="shared" si="8"/>
        <v/>
      </c>
      <c r="Y41" s="143" t="str">
        <f t="shared" si="9"/>
        <v/>
      </c>
      <c r="Z41" s="32" t="str">
        <f t="shared" si="18"/>
        <v/>
      </c>
      <c r="AA41" s="32" t="str">
        <f t="shared" si="19"/>
        <v/>
      </c>
      <c r="AB41" s="32" t="str">
        <f t="shared" si="20"/>
        <v/>
      </c>
      <c r="AC41" s="32" t="str">
        <f t="shared" si="10"/>
        <v/>
      </c>
      <c r="AD41" s="134"/>
      <c r="AE41" s="135" t="str">
        <f t="shared" si="21"/>
        <v/>
      </c>
      <c r="AF41" s="136"/>
      <c r="AG41" s="137"/>
      <c r="AH41" s="137"/>
      <c r="AI41" s="138"/>
      <c r="AJ41" s="20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t="str">
        <v/>
      </c>
      <c r="BS41" t="str">
        <v/>
      </c>
      <c r="CE41" t="str">
        <v/>
      </c>
    </row>
    <row r="42" spans="1:83" ht="15" customHeight="1">
      <c r="A42" s="18"/>
      <c r="B42" s="128">
        <v>26</v>
      </c>
      <c r="C42" s="129" t="s">
        <v>255</v>
      </c>
      <c r="D42" s="130" t="s">
        <v>60</v>
      </c>
      <c r="E42" s="71">
        <v>1.33</v>
      </c>
      <c r="F42" s="129" t="s">
        <v>28</v>
      </c>
      <c r="G42" s="129">
        <v>12.332000000000001</v>
      </c>
      <c r="H42" s="129">
        <v>0.02</v>
      </c>
      <c r="I42" s="129">
        <v>-0.02</v>
      </c>
      <c r="J42" s="129" t="s">
        <v>12</v>
      </c>
      <c r="K42" s="132" t="s">
        <v>339</v>
      </c>
      <c r="L42" s="133">
        <f t="shared" si="15"/>
        <v>12.352</v>
      </c>
      <c r="M42" s="139">
        <f t="shared" si="16"/>
        <v>12.312000000000001</v>
      </c>
      <c r="N42" s="29"/>
      <c r="O42" s="3" t="str">
        <f t="shared" si="22"/>
        <v/>
      </c>
      <c r="P42" s="3" t="str">
        <f t="shared" si="23"/>
        <v/>
      </c>
      <c r="Q42" s="3" t="str">
        <f t="shared" si="24"/>
        <v/>
      </c>
      <c r="R42" s="4" t="str">
        <f t="shared" si="25"/>
        <v/>
      </c>
      <c r="S42" s="5" t="str">
        <f t="shared" si="26"/>
        <v/>
      </c>
      <c r="T42" s="76" t="str">
        <f t="shared" si="5"/>
        <v/>
      </c>
      <c r="U42" s="76" t="str">
        <f t="shared" si="17"/>
        <v/>
      </c>
      <c r="V42" s="5" t="str">
        <f t="shared" si="6"/>
        <v/>
      </c>
      <c r="W42" s="5" t="str">
        <f t="shared" si="7"/>
        <v/>
      </c>
      <c r="X42" s="5" t="str">
        <f t="shared" si="8"/>
        <v/>
      </c>
      <c r="Y42" s="143" t="str">
        <f t="shared" si="9"/>
        <v/>
      </c>
      <c r="Z42" s="32" t="str">
        <f t="shared" si="18"/>
        <v/>
      </c>
      <c r="AA42" s="32" t="str">
        <f t="shared" si="19"/>
        <v/>
      </c>
      <c r="AB42" s="32" t="str">
        <f t="shared" si="20"/>
        <v/>
      </c>
      <c r="AC42" s="32" t="str">
        <f t="shared" si="10"/>
        <v/>
      </c>
      <c r="AD42" s="134"/>
      <c r="AE42" s="135" t="str">
        <f t="shared" si="21"/>
        <v/>
      </c>
      <c r="AF42" s="136"/>
      <c r="AG42" s="137"/>
      <c r="AH42" s="137"/>
      <c r="AI42" s="138"/>
      <c r="AJ42" s="20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CE42" t="str">
        <v/>
      </c>
    </row>
    <row r="43" spans="1:83" ht="15" customHeight="1">
      <c r="A43" s="18"/>
      <c r="B43" s="128" t="s">
        <v>362</v>
      </c>
      <c r="C43" s="129" t="s">
        <v>256</v>
      </c>
      <c r="D43" s="130" t="s">
        <v>60</v>
      </c>
      <c r="E43" s="71">
        <v>1.33</v>
      </c>
      <c r="F43" s="129" t="s">
        <v>28</v>
      </c>
      <c r="G43" s="129">
        <v>0.35499999999999998</v>
      </c>
      <c r="H43" s="129">
        <v>2.5000000000000001E-2</v>
      </c>
      <c r="I43" s="129">
        <v>-2.5000000000000001E-2</v>
      </c>
      <c r="J43" s="129" t="s">
        <v>12</v>
      </c>
      <c r="K43" s="132" t="s">
        <v>339</v>
      </c>
      <c r="L43" s="133">
        <f t="shared" si="15"/>
        <v>0.38</v>
      </c>
      <c r="M43" s="139">
        <f t="shared" si="16"/>
        <v>0.32999999999999996</v>
      </c>
      <c r="N43" s="28"/>
      <c r="O43" s="3" t="str">
        <f t="shared" si="22"/>
        <v/>
      </c>
      <c r="P43" s="3" t="str">
        <f t="shared" si="23"/>
        <v/>
      </c>
      <c r="Q43" s="3" t="str">
        <f t="shared" si="24"/>
        <v/>
      </c>
      <c r="R43" s="4" t="str">
        <f t="shared" si="25"/>
        <v/>
      </c>
      <c r="S43" s="5" t="str">
        <f t="shared" si="26"/>
        <v/>
      </c>
      <c r="T43" s="76" t="str">
        <f t="shared" si="5"/>
        <v/>
      </c>
      <c r="U43" s="76" t="str">
        <f t="shared" si="17"/>
        <v/>
      </c>
      <c r="V43" s="5" t="str">
        <f t="shared" si="6"/>
        <v/>
      </c>
      <c r="W43" s="5" t="str">
        <f t="shared" si="7"/>
        <v/>
      </c>
      <c r="X43" s="5" t="str">
        <f t="shared" si="8"/>
        <v/>
      </c>
      <c r="Y43" s="70" t="str">
        <f t="shared" si="9"/>
        <v/>
      </c>
      <c r="Z43" s="32" t="str">
        <f t="shared" si="18"/>
        <v/>
      </c>
      <c r="AA43" s="32" t="str">
        <f t="shared" si="19"/>
        <v/>
      </c>
      <c r="AB43" s="32" t="str">
        <f t="shared" si="20"/>
        <v/>
      </c>
      <c r="AC43" s="32" t="str">
        <f t="shared" si="10"/>
        <v/>
      </c>
      <c r="AD43" s="134"/>
      <c r="AE43" s="135" t="str">
        <f t="shared" si="21"/>
        <v/>
      </c>
      <c r="AF43" s="136"/>
      <c r="AG43" s="137"/>
      <c r="AH43" s="137"/>
      <c r="AI43" s="138"/>
      <c r="AJ43" s="23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CE43" t="str">
        <v/>
      </c>
    </row>
    <row r="44" spans="1:83" ht="15" customHeight="1">
      <c r="A44" s="18"/>
      <c r="B44" s="128" t="s">
        <v>363</v>
      </c>
      <c r="C44" s="129" t="s">
        <v>256</v>
      </c>
      <c r="D44" s="130" t="s">
        <v>60</v>
      </c>
      <c r="E44" s="71">
        <v>1.33</v>
      </c>
      <c r="F44" s="129" t="s">
        <v>28</v>
      </c>
      <c r="G44" s="129">
        <v>0.35499999999999998</v>
      </c>
      <c r="H44" s="129">
        <v>2.5000000000000001E-2</v>
      </c>
      <c r="I44" s="129">
        <v>-2.5000000000000001E-2</v>
      </c>
      <c r="J44" s="129" t="s">
        <v>12</v>
      </c>
      <c r="K44" s="132" t="s">
        <v>339</v>
      </c>
      <c r="L44" s="133">
        <f t="shared" si="15"/>
        <v>0.38</v>
      </c>
      <c r="M44" s="139">
        <f t="shared" si="16"/>
        <v>0.32999999999999996</v>
      </c>
      <c r="N44" s="28"/>
      <c r="O44" s="3" t="str">
        <f t="shared" si="22"/>
        <v/>
      </c>
      <c r="P44" s="3" t="str">
        <f t="shared" si="23"/>
        <v/>
      </c>
      <c r="Q44" s="3" t="str">
        <f t="shared" si="24"/>
        <v/>
      </c>
      <c r="R44" s="4" t="str">
        <f t="shared" si="25"/>
        <v/>
      </c>
      <c r="S44" s="5" t="str">
        <f t="shared" si="26"/>
        <v/>
      </c>
      <c r="T44" s="76" t="str">
        <f t="shared" si="5"/>
        <v/>
      </c>
      <c r="U44" s="76" t="str">
        <f t="shared" si="17"/>
        <v/>
      </c>
      <c r="V44" s="5" t="str">
        <f t="shared" si="6"/>
        <v/>
      </c>
      <c r="W44" s="5" t="str">
        <f t="shared" si="7"/>
        <v/>
      </c>
      <c r="X44" s="5" t="str">
        <f t="shared" si="8"/>
        <v/>
      </c>
      <c r="Y44" s="70" t="str">
        <f t="shared" si="9"/>
        <v/>
      </c>
      <c r="Z44" s="32" t="str">
        <f t="shared" si="18"/>
        <v/>
      </c>
      <c r="AA44" s="32" t="str">
        <f t="shared" si="19"/>
        <v/>
      </c>
      <c r="AB44" s="32" t="str">
        <f t="shared" si="20"/>
        <v/>
      </c>
      <c r="AC44" s="32" t="str">
        <f t="shared" si="10"/>
        <v/>
      </c>
      <c r="AD44" s="134"/>
      <c r="AE44" s="135" t="str">
        <f t="shared" si="21"/>
        <v/>
      </c>
      <c r="AF44" s="136"/>
      <c r="AG44" s="137"/>
      <c r="AH44" s="137"/>
      <c r="AI44" s="138"/>
      <c r="AJ44" s="23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CE44" t="str">
        <v/>
      </c>
    </row>
    <row r="45" spans="1:83" ht="15" customHeight="1">
      <c r="A45" s="18"/>
      <c r="B45" s="128" t="s">
        <v>364</v>
      </c>
      <c r="C45" s="129" t="s">
        <v>256</v>
      </c>
      <c r="D45" s="130" t="s">
        <v>60</v>
      </c>
      <c r="E45" s="71">
        <v>1.33</v>
      </c>
      <c r="F45" s="129" t="s">
        <v>28</v>
      </c>
      <c r="G45" s="129">
        <v>0.35499999999999998</v>
      </c>
      <c r="H45" s="129">
        <v>2.5000000000000001E-2</v>
      </c>
      <c r="I45" s="129">
        <v>-2.5000000000000001E-2</v>
      </c>
      <c r="J45" s="129" t="s">
        <v>12</v>
      </c>
      <c r="K45" s="132" t="s">
        <v>339</v>
      </c>
      <c r="L45" s="133">
        <f t="shared" si="15"/>
        <v>0.38</v>
      </c>
      <c r="M45" s="139">
        <f t="shared" si="16"/>
        <v>0.32999999999999996</v>
      </c>
      <c r="N45" s="29"/>
      <c r="O45" s="3" t="str">
        <f t="shared" si="22"/>
        <v/>
      </c>
      <c r="P45" s="3" t="str">
        <f t="shared" si="23"/>
        <v/>
      </c>
      <c r="Q45" s="3" t="str">
        <f t="shared" si="24"/>
        <v/>
      </c>
      <c r="R45" s="4" t="str">
        <f t="shared" si="25"/>
        <v/>
      </c>
      <c r="S45" s="5" t="str">
        <f t="shared" si="26"/>
        <v/>
      </c>
      <c r="T45" s="76" t="str">
        <f t="shared" si="5"/>
        <v/>
      </c>
      <c r="U45" s="76" t="str">
        <f t="shared" si="17"/>
        <v/>
      </c>
      <c r="V45" s="5" t="str">
        <f t="shared" si="6"/>
        <v/>
      </c>
      <c r="W45" s="5" t="str">
        <f t="shared" si="7"/>
        <v/>
      </c>
      <c r="X45" s="5" t="str">
        <f t="shared" si="8"/>
        <v/>
      </c>
      <c r="Y45" s="70" t="str">
        <f t="shared" si="9"/>
        <v/>
      </c>
      <c r="Z45" s="32" t="str">
        <f t="shared" si="18"/>
        <v/>
      </c>
      <c r="AA45" s="32" t="str">
        <f t="shared" si="19"/>
        <v/>
      </c>
      <c r="AB45" s="32" t="str">
        <f t="shared" si="20"/>
        <v/>
      </c>
      <c r="AC45" s="32" t="str">
        <f t="shared" si="10"/>
        <v/>
      </c>
      <c r="AD45" s="134"/>
      <c r="AE45" s="135" t="str">
        <f t="shared" si="21"/>
        <v/>
      </c>
      <c r="AF45" s="136"/>
      <c r="AG45" s="137"/>
      <c r="AH45" s="137"/>
      <c r="AI45" s="138"/>
      <c r="AJ45" s="20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CE45" t="str">
        <v/>
      </c>
    </row>
    <row r="46" spans="1:83" ht="15" customHeight="1">
      <c r="A46" s="18"/>
      <c r="B46" s="128" t="s">
        <v>365</v>
      </c>
      <c r="C46" s="129" t="s">
        <v>256</v>
      </c>
      <c r="D46" s="130" t="s">
        <v>60</v>
      </c>
      <c r="E46" s="71">
        <v>1.33</v>
      </c>
      <c r="F46" s="129" t="s">
        <v>28</v>
      </c>
      <c r="G46" s="129">
        <v>0.35499999999999998</v>
      </c>
      <c r="H46" s="129">
        <v>2.5000000000000001E-2</v>
      </c>
      <c r="I46" s="129">
        <v>-2.5000000000000001E-2</v>
      </c>
      <c r="J46" s="129" t="s">
        <v>12</v>
      </c>
      <c r="K46" s="132" t="s">
        <v>339</v>
      </c>
      <c r="L46" s="133">
        <f t="shared" si="15"/>
        <v>0.38</v>
      </c>
      <c r="M46" s="139">
        <f t="shared" si="16"/>
        <v>0.32999999999999996</v>
      </c>
      <c r="N46" s="29"/>
      <c r="O46" s="3" t="str">
        <f t="shared" si="22"/>
        <v/>
      </c>
      <c r="P46" s="3" t="str">
        <f t="shared" si="23"/>
        <v/>
      </c>
      <c r="Q46" s="3" t="str">
        <f t="shared" si="24"/>
        <v/>
      </c>
      <c r="R46" s="4" t="str">
        <f t="shared" si="25"/>
        <v/>
      </c>
      <c r="S46" s="5" t="str">
        <f t="shared" si="26"/>
        <v/>
      </c>
      <c r="T46" s="76" t="str">
        <f t="shared" si="5"/>
        <v/>
      </c>
      <c r="U46" s="76" t="str">
        <f t="shared" si="17"/>
        <v/>
      </c>
      <c r="V46" s="5" t="str">
        <f t="shared" si="6"/>
        <v/>
      </c>
      <c r="W46" s="5" t="str">
        <f t="shared" si="7"/>
        <v/>
      </c>
      <c r="X46" s="5" t="str">
        <f t="shared" si="8"/>
        <v/>
      </c>
      <c r="Y46" s="70" t="str">
        <f t="shared" si="9"/>
        <v/>
      </c>
      <c r="Z46" s="32" t="str">
        <f t="shared" si="18"/>
        <v/>
      </c>
      <c r="AA46" s="32" t="str">
        <f t="shared" si="19"/>
        <v/>
      </c>
      <c r="AB46" s="32" t="str">
        <f t="shared" si="20"/>
        <v/>
      </c>
      <c r="AC46" s="32" t="str">
        <f t="shared" si="10"/>
        <v/>
      </c>
      <c r="AD46" s="134"/>
      <c r="AE46" s="135" t="str">
        <f t="shared" si="21"/>
        <v/>
      </c>
      <c r="AF46" s="136"/>
      <c r="AG46" s="137"/>
      <c r="AH46" s="137"/>
      <c r="AI46" s="138"/>
      <c r="AJ46" s="20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CE46" t="str">
        <v/>
      </c>
    </row>
    <row r="47" spans="1:83" ht="15" customHeight="1">
      <c r="A47" s="18"/>
      <c r="B47" s="128">
        <v>28</v>
      </c>
      <c r="C47" s="129" t="s">
        <v>257</v>
      </c>
      <c r="D47" s="130" t="s">
        <v>60</v>
      </c>
      <c r="E47" s="71">
        <v>1.33</v>
      </c>
      <c r="F47" s="129" t="s">
        <v>28</v>
      </c>
      <c r="G47" s="129">
        <v>0.96299999999999997</v>
      </c>
      <c r="H47" s="129">
        <v>0.02</v>
      </c>
      <c r="I47" s="129">
        <v>-0.02</v>
      </c>
      <c r="J47" s="129" t="s">
        <v>12</v>
      </c>
      <c r="K47" s="132" t="s">
        <v>339</v>
      </c>
      <c r="L47" s="133">
        <f t="shared" si="15"/>
        <v>0.98299999999999998</v>
      </c>
      <c r="M47" s="139">
        <f t="shared" si="16"/>
        <v>0.94299999999999995</v>
      </c>
      <c r="N47" s="28"/>
      <c r="O47" s="3" t="str">
        <f t="shared" si="22"/>
        <v/>
      </c>
      <c r="P47" s="3" t="str">
        <f t="shared" si="23"/>
        <v/>
      </c>
      <c r="Q47" s="3" t="str">
        <f t="shared" si="24"/>
        <v/>
      </c>
      <c r="R47" s="4" t="str">
        <f t="shared" si="25"/>
        <v/>
      </c>
      <c r="S47" s="5" t="str">
        <f t="shared" si="26"/>
        <v/>
      </c>
      <c r="T47" s="76" t="str">
        <f t="shared" si="5"/>
        <v/>
      </c>
      <c r="U47" s="76" t="str">
        <f t="shared" si="17"/>
        <v/>
      </c>
      <c r="V47" s="5" t="str">
        <f t="shared" si="6"/>
        <v/>
      </c>
      <c r="W47" s="5" t="str">
        <f t="shared" si="7"/>
        <v/>
      </c>
      <c r="X47" s="5" t="str">
        <f t="shared" si="8"/>
        <v/>
      </c>
      <c r="Y47" s="70" t="str">
        <f t="shared" si="9"/>
        <v/>
      </c>
      <c r="Z47" s="32" t="str">
        <f t="shared" si="18"/>
        <v/>
      </c>
      <c r="AA47" s="32" t="str">
        <f t="shared" si="19"/>
        <v/>
      </c>
      <c r="AB47" s="32" t="str">
        <f t="shared" si="20"/>
        <v/>
      </c>
      <c r="AC47" s="32" t="str">
        <f t="shared" si="10"/>
        <v/>
      </c>
      <c r="AD47" s="134"/>
      <c r="AE47" s="135" t="str">
        <f t="shared" si="21"/>
        <v/>
      </c>
      <c r="AF47" s="136"/>
      <c r="AG47" s="137"/>
      <c r="AH47" s="137"/>
      <c r="AI47" s="138"/>
      <c r="AJ47" s="23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CE47" t="str">
        <v/>
      </c>
    </row>
    <row r="48" spans="1:83" ht="15" customHeight="1">
      <c r="A48" s="18"/>
      <c r="B48" s="128">
        <v>29</v>
      </c>
      <c r="C48" s="129" t="s">
        <v>258</v>
      </c>
      <c r="D48" s="130" t="s">
        <v>60</v>
      </c>
      <c r="E48" s="71">
        <v>1.33</v>
      </c>
      <c r="F48" s="129" t="s">
        <v>28</v>
      </c>
      <c r="G48" s="129">
        <v>1.58</v>
      </c>
      <c r="H48" s="129">
        <v>0.02</v>
      </c>
      <c r="I48" s="129">
        <v>-0.02</v>
      </c>
      <c r="J48" s="129" t="s">
        <v>12</v>
      </c>
      <c r="K48" s="132" t="s">
        <v>339</v>
      </c>
      <c r="L48" s="133">
        <f t="shared" si="15"/>
        <v>1.6</v>
      </c>
      <c r="M48" s="139">
        <f t="shared" si="16"/>
        <v>1.56</v>
      </c>
      <c r="N48" s="28"/>
      <c r="O48" s="3" t="str">
        <f t="shared" si="22"/>
        <v/>
      </c>
      <c r="P48" s="3" t="str">
        <f t="shared" si="23"/>
        <v/>
      </c>
      <c r="Q48" s="3" t="str">
        <f t="shared" si="24"/>
        <v/>
      </c>
      <c r="R48" s="4" t="str">
        <f t="shared" si="25"/>
        <v/>
      </c>
      <c r="S48" s="5" t="str">
        <f t="shared" si="26"/>
        <v/>
      </c>
      <c r="T48" s="76" t="str">
        <f t="shared" si="5"/>
        <v/>
      </c>
      <c r="U48" s="76" t="str">
        <f t="shared" si="17"/>
        <v/>
      </c>
      <c r="V48" s="5" t="str">
        <f t="shared" si="6"/>
        <v/>
      </c>
      <c r="W48" s="5" t="str">
        <f t="shared" si="7"/>
        <v/>
      </c>
      <c r="X48" s="5" t="str">
        <f t="shared" si="8"/>
        <v/>
      </c>
      <c r="Y48" s="70" t="str">
        <f t="shared" si="9"/>
        <v/>
      </c>
      <c r="Z48" s="32" t="str">
        <f t="shared" si="18"/>
        <v/>
      </c>
      <c r="AA48" s="32" t="str">
        <f t="shared" si="19"/>
        <v/>
      </c>
      <c r="AB48" s="32" t="str">
        <f t="shared" si="20"/>
        <v/>
      </c>
      <c r="AC48" s="32" t="str">
        <f t="shared" si="10"/>
        <v/>
      </c>
      <c r="AD48" s="134"/>
      <c r="AE48" s="135" t="str">
        <f t="shared" si="21"/>
        <v/>
      </c>
      <c r="AF48" s="136"/>
      <c r="AG48" s="137"/>
      <c r="AH48" s="137"/>
      <c r="AI48" s="138"/>
      <c r="AJ48" s="23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CE48" t="str">
        <v/>
      </c>
    </row>
    <row r="49" spans="1:83" ht="15" customHeight="1">
      <c r="A49" s="18"/>
      <c r="B49" s="128" t="s">
        <v>366</v>
      </c>
      <c r="C49" s="129"/>
      <c r="D49" s="130" t="s">
        <v>60</v>
      </c>
      <c r="E49" s="71"/>
      <c r="F49" s="129" t="s">
        <v>28</v>
      </c>
      <c r="G49" s="129">
        <v>1.85</v>
      </c>
      <c r="H49" s="129">
        <v>0.02</v>
      </c>
      <c r="I49" s="129">
        <v>-0.02</v>
      </c>
      <c r="J49" s="129" t="s">
        <v>12</v>
      </c>
      <c r="K49" s="132" t="s">
        <v>339</v>
      </c>
      <c r="L49" s="133">
        <f t="shared" si="15"/>
        <v>1.87</v>
      </c>
      <c r="M49" s="139">
        <f t="shared" si="16"/>
        <v>1.83</v>
      </c>
      <c r="N49" s="28"/>
      <c r="O49" s="3" t="str">
        <f t="shared" si="22"/>
        <v/>
      </c>
      <c r="P49" s="3" t="str">
        <f t="shared" si="23"/>
        <v/>
      </c>
      <c r="Q49" s="3" t="str">
        <f t="shared" si="24"/>
        <v/>
      </c>
      <c r="R49" s="4" t="str">
        <f t="shared" si="25"/>
        <v/>
      </c>
      <c r="S49" s="5" t="str">
        <f t="shared" si="26"/>
        <v/>
      </c>
      <c r="T49" s="76" t="str">
        <f t="shared" si="5"/>
        <v/>
      </c>
      <c r="U49" s="76" t="str">
        <f t="shared" si="17"/>
        <v/>
      </c>
      <c r="V49" s="5" t="str">
        <f t="shared" si="6"/>
        <v/>
      </c>
      <c r="W49" s="5" t="str">
        <f t="shared" si="7"/>
        <v/>
      </c>
      <c r="X49" s="5" t="str">
        <f t="shared" si="8"/>
        <v/>
      </c>
      <c r="Y49" s="70" t="str">
        <f t="shared" si="9"/>
        <v/>
      </c>
      <c r="Z49" s="32" t="str">
        <f t="shared" si="18"/>
        <v/>
      </c>
      <c r="AA49" s="32" t="str">
        <f t="shared" si="19"/>
        <v/>
      </c>
      <c r="AB49" s="32" t="str">
        <f t="shared" si="20"/>
        <v/>
      </c>
      <c r="AC49" s="32" t="str">
        <f t="shared" si="10"/>
        <v/>
      </c>
      <c r="AD49" s="134"/>
      <c r="AE49" s="135" t="str">
        <f t="shared" si="21"/>
        <v/>
      </c>
      <c r="AF49" s="136"/>
      <c r="AG49" s="137"/>
      <c r="AH49" s="137"/>
      <c r="AI49" s="138"/>
      <c r="AJ49" s="23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CE49" t="str">
        <v/>
      </c>
    </row>
    <row r="50" spans="1:83" ht="15" customHeight="1">
      <c r="A50" s="18"/>
      <c r="B50" s="128" t="s">
        <v>367</v>
      </c>
      <c r="C50" s="129"/>
      <c r="D50" s="130" t="s">
        <v>60</v>
      </c>
      <c r="E50" s="71"/>
      <c r="F50" s="129" t="s">
        <v>28</v>
      </c>
      <c r="G50" s="129">
        <v>1.85</v>
      </c>
      <c r="H50" s="129">
        <v>0.02</v>
      </c>
      <c r="I50" s="129">
        <v>-0.02</v>
      </c>
      <c r="J50" s="129" t="s">
        <v>12</v>
      </c>
      <c r="K50" s="132" t="s">
        <v>339</v>
      </c>
      <c r="L50" s="133">
        <f t="shared" si="15"/>
        <v>1.87</v>
      </c>
      <c r="M50" s="139">
        <f t="shared" si="16"/>
        <v>1.83</v>
      </c>
      <c r="N50" s="29"/>
      <c r="O50" s="3" t="str">
        <f t="shared" si="22"/>
        <v/>
      </c>
      <c r="P50" s="3" t="str">
        <f t="shared" si="23"/>
        <v/>
      </c>
      <c r="Q50" s="3" t="str">
        <f t="shared" si="24"/>
        <v/>
      </c>
      <c r="R50" s="4" t="str">
        <f t="shared" si="25"/>
        <v/>
      </c>
      <c r="S50" s="5" t="str">
        <f t="shared" si="26"/>
        <v/>
      </c>
      <c r="T50" s="76" t="str">
        <f t="shared" si="5"/>
        <v/>
      </c>
      <c r="U50" s="76" t="str">
        <f t="shared" si="17"/>
        <v/>
      </c>
      <c r="V50" s="5" t="str">
        <f t="shared" si="6"/>
        <v/>
      </c>
      <c r="W50" s="5" t="str">
        <f t="shared" si="7"/>
        <v/>
      </c>
      <c r="X50" s="5" t="str">
        <f t="shared" si="8"/>
        <v/>
      </c>
      <c r="Y50" s="70" t="str">
        <f t="shared" si="9"/>
        <v/>
      </c>
      <c r="Z50" s="32" t="str">
        <f t="shared" si="18"/>
        <v/>
      </c>
      <c r="AA50" s="32" t="str">
        <f t="shared" si="19"/>
        <v/>
      </c>
      <c r="AB50" s="32" t="str">
        <f t="shared" si="20"/>
        <v/>
      </c>
      <c r="AC50" s="32" t="str">
        <f t="shared" si="10"/>
        <v/>
      </c>
      <c r="AD50" s="134"/>
      <c r="AE50" s="135" t="str">
        <f t="shared" si="21"/>
        <v/>
      </c>
      <c r="AF50" s="136"/>
      <c r="AG50" s="137"/>
      <c r="AH50" s="137"/>
      <c r="AI50" s="138"/>
      <c r="AJ50" s="20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CE50" t="str">
        <v/>
      </c>
    </row>
    <row r="51" spans="1:83" ht="15" customHeight="1">
      <c r="A51" s="18"/>
      <c r="B51" s="128" t="s">
        <v>368</v>
      </c>
      <c r="C51" s="129" t="s">
        <v>266</v>
      </c>
      <c r="D51" s="130" t="s">
        <v>60</v>
      </c>
      <c r="E51" s="71">
        <v>1.33</v>
      </c>
      <c r="F51" s="129" t="s">
        <v>28</v>
      </c>
      <c r="G51" s="129">
        <v>6.9009999999999998</v>
      </c>
      <c r="H51" s="129">
        <v>1.4999999999999999E-2</v>
      </c>
      <c r="I51" s="129">
        <v>-1.4999999999999999E-2</v>
      </c>
      <c r="J51" s="129" t="s">
        <v>12</v>
      </c>
      <c r="K51" s="132" t="s">
        <v>339</v>
      </c>
      <c r="L51" s="133">
        <f t="shared" si="15"/>
        <v>6.9159999999999995</v>
      </c>
      <c r="M51" s="139">
        <f t="shared" si="16"/>
        <v>6.8860000000000001</v>
      </c>
      <c r="N51" s="29"/>
      <c r="O51" s="3" t="str">
        <f t="shared" si="22"/>
        <v/>
      </c>
      <c r="P51" s="3" t="str">
        <f t="shared" si="23"/>
        <v/>
      </c>
      <c r="Q51" s="3" t="str">
        <f t="shared" si="24"/>
        <v/>
      </c>
      <c r="R51" s="4" t="str">
        <f t="shared" si="25"/>
        <v/>
      </c>
      <c r="S51" s="5" t="str">
        <f t="shared" si="26"/>
        <v/>
      </c>
      <c r="T51" s="76" t="str">
        <f t="shared" si="5"/>
        <v/>
      </c>
      <c r="U51" s="76" t="str">
        <f t="shared" si="17"/>
        <v/>
      </c>
      <c r="V51" s="5" t="str">
        <f t="shared" si="6"/>
        <v/>
      </c>
      <c r="W51" s="5" t="str">
        <f t="shared" si="7"/>
        <v/>
      </c>
      <c r="X51" s="5" t="str">
        <f t="shared" si="8"/>
        <v/>
      </c>
      <c r="Y51" s="70" t="str">
        <f t="shared" si="9"/>
        <v/>
      </c>
      <c r="Z51" s="32" t="str">
        <f t="shared" si="18"/>
        <v/>
      </c>
      <c r="AA51" s="32" t="str">
        <f t="shared" si="19"/>
        <v/>
      </c>
      <c r="AB51" s="32" t="str">
        <f t="shared" si="20"/>
        <v/>
      </c>
      <c r="AC51" s="32" t="str">
        <f t="shared" si="10"/>
        <v/>
      </c>
      <c r="AD51" s="134"/>
      <c r="AE51" s="135" t="str">
        <f t="shared" si="21"/>
        <v/>
      </c>
      <c r="AF51" s="136"/>
      <c r="AG51" s="137"/>
      <c r="AH51" s="137"/>
      <c r="AI51" s="138"/>
      <c r="AJ51" s="20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CE51" t="str">
        <v/>
      </c>
    </row>
    <row r="52" spans="1:83" ht="15" customHeight="1">
      <c r="A52" s="18"/>
      <c r="B52" s="128" t="s">
        <v>369</v>
      </c>
      <c r="C52" s="129" t="s">
        <v>266</v>
      </c>
      <c r="D52" s="130" t="s">
        <v>60</v>
      </c>
      <c r="E52" s="71">
        <v>1.33</v>
      </c>
      <c r="F52" s="129" t="s">
        <v>28</v>
      </c>
      <c r="G52" s="129">
        <v>6.9009999999999998</v>
      </c>
      <c r="H52" s="129">
        <v>1.4999999999999999E-2</v>
      </c>
      <c r="I52" s="129">
        <v>-1.4999999999999999E-2</v>
      </c>
      <c r="J52" s="129" t="s">
        <v>12</v>
      </c>
      <c r="K52" s="132" t="s">
        <v>339</v>
      </c>
      <c r="L52" s="133">
        <f t="shared" si="15"/>
        <v>6.9159999999999995</v>
      </c>
      <c r="M52" s="139">
        <f t="shared" si="16"/>
        <v>6.8860000000000001</v>
      </c>
      <c r="N52" s="29"/>
      <c r="O52" s="3" t="str">
        <f t="shared" si="22"/>
        <v/>
      </c>
      <c r="P52" s="3" t="str">
        <f t="shared" si="23"/>
        <v/>
      </c>
      <c r="Q52" s="3" t="str">
        <f t="shared" si="24"/>
        <v/>
      </c>
      <c r="R52" s="4" t="str">
        <f t="shared" si="25"/>
        <v/>
      </c>
      <c r="S52" s="5" t="str">
        <f t="shared" si="26"/>
        <v/>
      </c>
      <c r="T52" s="76" t="str">
        <f t="shared" si="5"/>
        <v/>
      </c>
      <c r="U52" s="76" t="str">
        <f t="shared" si="17"/>
        <v/>
      </c>
      <c r="V52" s="5" t="str">
        <f t="shared" si="6"/>
        <v/>
      </c>
      <c r="W52" s="5" t="str">
        <f t="shared" si="7"/>
        <v/>
      </c>
      <c r="X52" s="5" t="str">
        <f t="shared" si="8"/>
        <v/>
      </c>
      <c r="Y52" s="70" t="str">
        <f t="shared" si="9"/>
        <v/>
      </c>
      <c r="Z52" s="32" t="str">
        <f t="shared" si="18"/>
        <v/>
      </c>
      <c r="AA52" s="32" t="str">
        <f t="shared" si="19"/>
        <v/>
      </c>
      <c r="AB52" s="32" t="str">
        <f t="shared" si="20"/>
        <v/>
      </c>
      <c r="AC52" s="32" t="str">
        <f t="shared" si="10"/>
        <v/>
      </c>
      <c r="AD52" s="134"/>
      <c r="AE52" s="135" t="str">
        <f t="shared" si="21"/>
        <v/>
      </c>
      <c r="AF52" s="136"/>
      <c r="AG52" s="137"/>
      <c r="AH52" s="137"/>
      <c r="AI52" s="138"/>
      <c r="AJ52" s="20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CE52" t="str">
        <v/>
      </c>
    </row>
    <row r="53" spans="1:83" ht="15" customHeight="1">
      <c r="A53" s="18"/>
      <c r="B53" s="128" t="s">
        <v>370</v>
      </c>
      <c r="C53" s="129" t="s">
        <v>266</v>
      </c>
      <c r="D53" s="130" t="s">
        <v>60</v>
      </c>
      <c r="E53" s="71">
        <v>1.33</v>
      </c>
      <c r="F53" s="129" t="s">
        <v>28</v>
      </c>
      <c r="G53" s="129">
        <v>6.9009999999999998</v>
      </c>
      <c r="H53" s="129">
        <v>1.4999999999999999E-2</v>
      </c>
      <c r="I53" s="129">
        <v>-1.4999999999999999E-2</v>
      </c>
      <c r="J53" s="129" t="s">
        <v>12</v>
      </c>
      <c r="K53" s="132" t="s">
        <v>339</v>
      </c>
      <c r="L53" s="133">
        <f t="shared" si="15"/>
        <v>6.9159999999999995</v>
      </c>
      <c r="M53" s="139">
        <f t="shared" si="16"/>
        <v>6.8860000000000001</v>
      </c>
      <c r="N53" s="29"/>
      <c r="O53" s="3" t="str">
        <f t="shared" si="22"/>
        <v/>
      </c>
      <c r="P53" s="3" t="str">
        <f t="shared" si="23"/>
        <v/>
      </c>
      <c r="Q53" s="3" t="str">
        <f t="shared" si="24"/>
        <v/>
      </c>
      <c r="R53" s="4" t="str">
        <f t="shared" si="25"/>
        <v/>
      </c>
      <c r="S53" s="5" t="str">
        <f t="shared" si="26"/>
        <v/>
      </c>
      <c r="T53" s="76" t="str">
        <f t="shared" si="5"/>
        <v/>
      </c>
      <c r="U53" s="76" t="str">
        <f t="shared" si="17"/>
        <v/>
      </c>
      <c r="V53" s="5" t="str">
        <f t="shared" si="6"/>
        <v/>
      </c>
      <c r="W53" s="5" t="str">
        <f t="shared" si="7"/>
        <v/>
      </c>
      <c r="X53" s="5" t="str">
        <f t="shared" si="8"/>
        <v/>
      </c>
      <c r="Y53" s="70" t="str">
        <f t="shared" si="9"/>
        <v/>
      </c>
      <c r="Z53" s="32" t="str">
        <f t="shared" si="18"/>
        <v/>
      </c>
      <c r="AA53" s="32" t="str">
        <f t="shared" si="19"/>
        <v/>
      </c>
      <c r="AB53" s="32" t="str">
        <f t="shared" si="20"/>
        <v/>
      </c>
      <c r="AC53" s="32" t="str">
        <f t="shared" si="10"/>
        <v/>
      </c>
      <c r="AD53" s="134"/>
      <c r="AE53" s="135" t="str">
        <f t="shared" si="21"/>
        <v/>
      </c>
      <c r="AF53" s="136"/>
      <c r="AG53" s="137"/>
      <c r="AH53" s="137"/>
      <c r="AI53" s="138"/>
      <c r="AJ53" s="20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CE53" t="str">
        <v/>
      </c>
    </row>
    <row r="54" spans="1:83" ht="15" customHeight="1">
      <c r="A54" s="18"/>
      <c r="B54" s="128" t="s">
        <v>371</v>
      </c>
      <c r="C54" s="129"/>
      <c r="D54" s="130" t="s">
        <v>60</v>
      </c>
      <c r="E54" s="71"/>
      <c r="F54" s="129" t="s">
        <v>28</v>
      </c>
      <c r="G54" s="129">
        <v>2.9729999999999999</v>
      </c>
      <c r="H54" s="129">
        <v>0.02</v>
      </c>
      <c r="I54" s="129">
        <v>-0.02</v>
      </c>
      <c r="J54" s="129" t="s">
        <v>12</v>
      </c>
      <c r="K54" s="132" t="s">
        <v>339</v>
      </c>
      <c r="L54" s="133">
        <f t="shared" si="15"/>
        <v>2.9929999999999999</v>
      </c>
      <c r="M54" s="139">
        <f t="shared" si="16"/>
        <v>2.9529999999999998</v>
      </c>
      <c r="N54" s="29"/>
      <c r="O54" s="3" t="str">
        <f t="shared" si="22"/>
        <v/>
      </c>
      <c r="P54" s="3" t="str">
        <f t="shared" si="23"/>
        <v/>
      </c>
      <c r="Q54" s="3" t="str">
        <f t="shared" si="24"/>
        <v/>
      </c>
      <c r="R54" s="4" t="str">
        <f t="shared" si="25"/>
        <v/>
      </c>
      <c r="S54" s="5" t="str">
        <f t="shared" si="26"/>
        <v/>
      </c>
      <c r="T54" s="76" t="str">
        <f t="shared" si="5"/>
        <v/>
      </c>
      <c r="U54" s="76" t="str">
        <f t="shared" si="17"/>
        <v/>
      </c>
      <c r="V54" s="5" t="str">
        <f t="shared" si="6"/>
        <v/>
      </c>
      <c r="W54" s="5" t="str">
        <f t="shared" si="7"/>
        <v/>
      </c>
      <c r="X54" s="5" t="str">
        <f t="shared" si="8"/>
        <v/>
      </c>
      <c r="Y54" s="70" t="str">
        <f t="shared" si="9"/>
        <v/>
      </c>
      <c r="Z54" s="32" t="str">
        <f t="shared" si="18"/>
        <v/>
      </c>
      <c r="AA54" s="32" t="str">
        <f t="shared" si="19"/>
        <v/>
      </c>
      <c r="AB54" s="32" t="str">
        <f t="shared" si="20"/>
        <v/>
      </c>
      <c r="AC54" s="32" t="str">
        <f t="shared" si="10"/>
        <v/>
      </c>
      <c r="AD54" s="134"/>
      <c r="AE54" s="135" t="str">
        <f t="shared" si="21"/>
        <v/>
      </c>
      <c r="AF54" s="136"/>
      <c r="AG54" s="137"/>
      <c r="AH54" s="137"/>
      <c r="AI54" s="138"/>
      <c r="AJ54" s="20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CE54" t="str">
        <v/>
      </c>
    </row>
    <row r="55" spans="1:83" ht="15" customHeight="1">
      <c r="A55" s="18"/>
      <c r="B55" s="128" t="s">
        <v>372</v>
      </c>
      <c r="C55" s="129"/>
      <c r="D55" s="130" t="s">
        <v>60</v>
      </c>
      <c r="E55" s="71"/>
      <c r="F55" s="129" t="s">
        <v>28</v>
      </c>
      <c r="G55" s="129">
        <v>2.9729999999999999</v>
      </c>
      <c r="H55" s="129">
        <v>0.02</v>
      </c>
      <c r="I55" s="129">
        <v>-0.02</v>
      </c>
      <c r="J55" s="129" t="s">
        <v>12</v>
      </c>
      <c r="K55" s="132" t="s">
        <v>339</v>
      </c>
      <c r="L55" s="133">
        <f t="shared" si="15"/>
        <v>2.9929999999999999</v>
      </c>
      <c r="M55" s="139">
        <f t="shared" si="16"/>
        <v>2.9529999999999998</v>
      </c>
      <c r="N55" s="29"/>
      <c r="O55" s="3" t="str">
        <f t="shared" si="22"/>
        <v/>
      </c>
      <c r="P55" s="3" t="str">
        <f t="shared" si="23"/>
        <v/>
      </c>
      <c r="Q55" s="3" t="str">
        <f t="shared" si="24"/>
        <v/>
      </c>
      <c r="R55" s="4" t="str">
        <f t="shared" si="25"/>
        <v/>
      </c>
      <c r="S55" s="5" t="str">
        <f t="shared" si="26"/>
        <v/>
      </c>
      <c r="T55" s="76" t="str">
        <f t="shared" si="5"/>
        <v/>
      </c>
      <c r="U55" s="76" t="str">
        <f t="shared" si="17"/>
        <v/>
      </c>
      <c r="V55" s="5" t="str">
        <f t="shared" si="6"/>
        <v/>
      </c>
      <c r="W55" s="5" t="str">
        <f t="shared" si="7"/>
        <v/>
      </c>
      <c r="X55" s="5" t="str">
        <f t="shared" si="8"/>
        <v/>
      </c>
      <c r="Y55" s="70" t="str">
        <f t="shared" si="9"/>
        <v/>
      </c>
      <c r="Z55" s="32" t="str">
        <f t="shared" si="18"/>
        <v/>
      </c>
      <c r="AA55" s="32" t="str">
        <f t="shared" si="19"/>
        <v/>
      </c>
      <c r="AB55" s="32" t="str">
        <f t="shared" si="20"/>
        <v/>
      </c>
      <c r="AC55" s="32" t="str">
        <f t="shared" si="10"/>
        <v/>
      </c>
      <c r="AD55" s="134"/>
      <c r="AE55" s="135" t="str">
        <f t="shared" si="21"/>
        <v/>
      </c>
      <c r="AF55" s="136"/>
      <c r="AG55" s="137"/>
      <c r="AH55" s="137"/>
      <c r="AI55" s="138"/>
      <c r="AJ55" s="20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CE55" t="str">
        <v/>
      </c>
    </row>
    <row r="56" spans="1:83" ht="15" customHeight="1">
      <c r="A56" s="18"/>
      <c r="B56" s="128" t="s">
        <v>373</v>
      </c>
      <c r="C56" s="129"/>
      <c r="D56" s="130" t="s">
        <v>60</v>
      </c>
      <c r="E56" s="71"/>
      <c r="F56" s="129" t="s">
        <v>28</v>
      </c>
      <c r="G56" s="129">
        <v>2.9729999999999999</v>
      </c>
      <c r="H56" s="129">
        <v>0.02</v>
      </c>
      <c r="I56" s="129">
        <v>-0.02</v>
      </c>
      <c r="J56" s="129" t="s">
        <v>12</v>
      </c>
      <c r="K56" s="132" t="s">
        <v>339</v>
      </c>
      <c r="L56" s="133">
        <f t="shared" si="15"/>
        <v>2.9929999999999999</v>
      </c>
      <c r="M56" s="139">
        <f t="shared" si="16"/>
        <v>2.9529999999999998</v>
      </c>
      <c r="N56" s="29"/>
      <c r="O56" s="3" t="str">
        <f t="shared" si="22"/>
        <v/>
      </c>
      <c r="P56" s="3" t="str">
        <f t="shared" si="23"/>
        <v/>
      </c>
      <c r="Q56" s="3" t="str">
        <f t="shared" si="24"/>
        <v/>
      </c>
      <c r="R56" s="4" t="str">
        <f t="shared" si="25"/>
        <v/>
      </c>
      <c r="S56" s="5" t="str">
        <f t="shared" si="26"/>
        <v/>
      </c>
      <c r="T56" s="76" t="str">
        <f t="shared" si="5"/>
        <v/>
      </c>
      <c r="U56" s="76" t="str">
        <f t="shared" si="17"/>
        <v/>
      </c>
      <c r="V56" s="5" t="str">
        <f t="shared" si="6"/>
        <v/>
      </c>
      <c r="W56" s="5" t="str">
        <f t="shared" si="7"/>
        <v/>
      </c>
      <c r="X56" s="5" t="str">
        <f t="shared" si="8"/>
        <v/>
      </c>
      <c r="Y56" s="70" t="str">
        <f t="shared" si="9"/>
        <v/>
      </c>
      <c r="Z56" s="32" t="str">
        <f t="shared" si="18"/>
        <v/>
      </c>
      <c r="AA56" s="32" t="str">
        <f t="shared" si="19"/>
        <v/>
      </c>
      <c r="AB56" s="32" t="str">
        <f t="shared" si="20"/>
        <v/>
      </c>
      <c r="AC56" s="32" t="str">
        <f t="shared" si="10"/>
        <v/>
      </c>
      <c r="AD56" s="134"/>
      <c r="AE56" s="135" t="str">
        <f t="shared" si="21"/>
        <v/>
      </c>
      <c r="AF56" s="136"/>
      <c r="AG56" s="137"/>
      <c r="AH56" s="137"/>
      <c r="AI56" s="138"/>
      <c r="AJ56" s="20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CE56" t="str">
        <v/>
      </c>
    </row>
    <row r="57" spans="1:83" ht="15" customHeight="1">
      <c r="A57" s="18"/>
      <c r="B57" s="128">
        <v>33</v>
      </c>
      <c r="C57" s="129"/>
      <c r="D57" s="130" t="s">
        <v>60</v>
      </c>
      <c r="E57" s="71"/>
      <c r="F57" s="129" t="s">
        <v>28</v>
      </c>
      <c r="G57" s="129">
        <v>4.532</v>
      </c>
      <c r="H57" s="129">
        <v>0.03</v>
      </c>
      <c r="I57" s="129">
        <v>-0.03</v>
      </c>
      <c r="J57" s="129" t="s">
        <v>12</v>
      </c>
      <c r="K57" s="132" t="s">
        <v>339</v>
      </c>
      <c r="L57" s="133">
        <f t="shared" si="15"/>
        <v>4.5620000000000003</v>
      </c>
      <c r="M57" s="139">
        <f t="shared" si="16"/>
        <v>4.5019999999999998</v>
      </c>
      <c r="N57" s="29"/>
      <c r="O57" s="3" t="str">
        <f t="shared" si="22"/>
        <v/>
      </c>
      <c r="P57" s="3" t="str">
        <f t="shared" si="23"/>
        <v/>
      </c>
      <c r="Q57" s="3" t="str">
        <f t="shared" si="24"/>
        <v/>
      </c>
      <c r="R57" s="4" t="str">
        <f t="shared" si="25"/>
        <v/>
      </c>
      <c r="S57" s="5" t="str">
        <f t="shared" si="26"/>
        <v/>
      </c>
      <c r="T57" s="76" t="str">
        <f t="shared" si="5"/>
        <v/>
      </c>
      <c r="U57" s="76" t="str">
        <f t="shared" si="17"/>
        <v/>
      </c>
      <c r="V57" s="5" t="str">
        <f t="shared" si="6"/>
        <v/>
      </c>
      <c r="W57" s="5" t="str">
        <f t="shared" si="7"/>
        <v/>
      </c>
      <c r="X57" s="5" t="str">
        <f t="shared" si="8"/>
        <v/>
      </c>
      <c r="Y57" s="70" t="str">
        <f t="shared" si="9"/>
        <v/>
      </c>
      <c r="Z57" s="32" t="str">
        <f t="shared" si="18"/>
        <v/>
      </c>
      <c r="AA57" s="32" t="str">
        <f t="shared" si="19"/>
        <v/>
      </c>
      <c r="AB57" s="32" t="str">
        <f t="shared" si="20"/>
        <v/>
      </c>
      <c r="AC57" s="32" t="str">
        <f t="shared" si="10"/>
        <v/>
      </c>
      <c r="AD57" s="134"/>
      <c r="AE57" s="135" t="str">
        <f t="shared" si="21"/>
        <v/>
      </c>
      <c r="AF57" s="136"/>
      <c r="AG57" s="137"/>
      <c r="AH57" s="137"/>
      <c r="AI57" s="138"/>
      <c r="AJ57" s="20"/>
      <c r="AK57" s="2"/>
      <c r="AL57" s="2"/>
      <c r="AM57" s="2"/>
      <c r="AN57" s="15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CE57" t="str">
        <v/>
      </c>
    </row>
    <row r="58" spans="1:83" ht="15" customHeight="1">
      <c r="A58" s="18"/>
      <c r="B58" s="128" t="s">
        <v>374</v>
      </c>
      <c r="C58" s="129" t="s">
        <v>285</v>
      </c>
      <c r="D58" s="130" t="s">
        <v>60</v>
      </c>
      <c r="E58" s="71">
        <v>1.33</v>
      </c>
      <c r="F58" s="129" t="s">
        <v>28</v>
      </c>
      <c r="G58" s="129">
        <v>7.8010000000000002</v>
      </c>
      <c r="H58" s="129">
        <v>0.03</v>
      </c>
      <c r="I58" s="129">
        <v>-0.03</v>
      </c>
      <c r="J58" s="129" t="s">
        <v>12</v>
      </c>
      <c r="K58" s="132" t="s">
        <v>339</v>
      </c>
      <c r="L58" s="133">
        <f t="shared" si="15"/>
        <v>7.8310000000000004</v>
      </c>
      <c r="M58" s="139">
        <f t="shared" si="16"/>
        <v>7.7709999999999999</v>
      </c>
      <c r="N58" s="29"/>
      <c r="O58" s="3" t="str">
        <f t="shared" si="22"/>
        <v/>
      </c>
      <c r="P58" s="3" t="str">
        <f t="shared" si="23"/>
        <v/>
      </c>
      <c r="Q58" s="3" t="str">
        <f t="shared" si="24"/>
        <v/>
      </c>
      <c r="R58" s="4" t="str">
        <f t="shared" si="25"/>
        <v/>
      </c>
      <c r="S58" s="5" t="str">
        <f t="shared" si="26"/>
        <v/>
      </c>
      <c r="T58" s="76" t="str">
        <f t="shared" si="5"/>
        <v/>
      </c>
      <c r="U58" s="76" t="str">
        <f t="shared" si="17"/>
        <v/>
      </c>
      <c r="V58" s="5" t="str">
        <f t="shared" si="6"/>
        <v/>
      </c>
      <c r="W58" s="5" t="str">
        <f t="shared" si="7"/>
        <v/>
      </c>
      <c r="X58" s="5" t="str">
        <f t="shared" si="8"/>
        <v/>
      </c>
      <c r="Y58" s="70" t="str">
        <f t="shared" si="9"/>
        <v/>
      </c>
      <c r="Z58" s="32" t="str">
        <f t="shared" si="18"/>
        <v/>
      </c>
      <c r="AA58" s="32" t="str">
        <f t="shared" si="19"/>
        <v/>
      </c>
      <c r="AB58" s="32" t="str">
        <f t="shared" si="20"/>
        <v/>
      </c>
      <c r="AC58" s="32" t="str">
        <f t="shared" si="10"/>
        <v/>
      </c>
      <c r="AD58" s="134"/>
      <c r="AE58" s="135" t="str">
        <f t="shared" si="21"/>
        <v/>
      </c>
      <c r="AF58" s="136"/>
      <c r="AG58" s="137"/>
      <c r="AH58" s="137"/>
      <c r="AI58" s="138"/>
      <c r="AJ58" s="20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CE58" t="str">
        <v/>
      </c>
    </row>
    <row r="59" spans="1:83" ht="15" customHeight="1">
      <c r="A59" s="18"/>
      <c r="B59" s="128" t="s">
        <v>375</v>
      </c>
      <c r="C59" s="129" t="s">
        <v>285</v>
      </c>
      <c r="D59" s="130" t="s">
        <v>60</v>
      </c>
      <c r="E59" s="71">
        <v>1.33</v>
      </c>
      <c r="F59" s="129" t="s">
        <v>28</v>
      </c>
      <c r="G59" s="129">
        <v>7.8010000000000002</v>
      </c>
      <c r="H59" s="129">
        <v>0.03</v>
      </c>
      <c r="I59" s="129">
        <v>-0.03</v>
      </c>
      <c r="J59" s="129" t="s">
        <v>12</v>
      </c>
      <c r="K59" s="132" t="s">
        <v>339</v>
      </c>
      <c r="L59" s="133">
        <f t="shared" si="15"/>
        <v>7.8310000000000004</v>
      </c>
      <c r="M59" s="139">
        <f t="shared" si="16"/>
        <v>7.7709999999999999</v>
      </c>
      <c r="N59" s="29"/>
      <c r="O59" s="3" t="str">
        <f t="shared" si="22"/>
        <v/>
      </c>
      <c r="P59" s="3" t="str">
        <f t="shared" si="23"/>
        <v/>
      </c>
      <c r="Q59" s="3" t="str">
        <f t="shared" si="24"/>
        <v/>
      </c>
      <c r="R59" s="4" t="str">
        <f t="shared" si="25"/>
        <v/>
      </c>
      <c r="S59" s="5" t="str">
        <f t="shared" si="26"/>
        <v/>
      </c>
      <c r="T59" s="76" t="str">
        <f t="shared" si="5"/>
        <v/>
      </c>
      <c r="U59" s="76" t="str">
        <f t="shared" si="17"/>
        <v/>
      </c>
      <c r="V59" s="5" t="str">
        <f t="shared" si="6"/>
        <v/>
      </c>
      <c r="W59" s="5" t="str">
        <f t="shared" si="7"/>
        <v/>
      </c>
      <c r="X59" s="5" t="str">
        <f t="shared" si="8"/>
        <v/>
      </c>
      <c r="Y59" s="143" t="str">
        <f t="shared" si="9"/>
        <v/>
      </c>
      <c r="Z59" s="32" t="str">
        <f t="shared" si="18"/>
        <v/>
      </c>
      <c r="AA59" s="32" t="str">
        <f t="shared" si="19"/>
        <v/>
      </c>
      <c r="AB59" s="32" t="str">
        <f t="shared" si="20"/>
        <v/>
      </c>
      <c r="AC59" s="32" t="str">
        <f t="shared" si="10"/>
        <v/>
      </c>
      <c r="AD59" s="134"/>
      <c r="AE59" s="135" t="str">
        <f t="shared" si="21"/>
        <v/>
      </c>
      <c r="AF59" s="136"/>
      <c r="AG59" s="137"/>
      <c r="AH59" s="137"/>
      <c r="AI59" s="138"/>
      <c r="AJ59" s="20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CE59" t="str">
        <v/>
      </c>
    </row>
    <row r="60" spans="1:83" ht="15" customHeight="1">
      <c r="A60" s="18"/>
      <c r="B60" s="128" t="s">
        <v>376</v>
      </c>
      <c r="C60" s="129" t="s">
        <v>285</v>
      </c>
      <c r="D60" s="130" t="s">
        <v>60</v>
      </c>
      <c r="E60" s="71">
        <v>1.33</v>
      </c>
      <c r="F60" s="129" t="s">
        <v>28</v>
      </c>
      <c r="G60" s="129">
        <v>7.8010000000000002</v>
      </c>
      <c r="H60" s="129">
        <v>0.03</v>
      </c>
      <c r="I60" s="129">
        <v>-0.03</v>
      </c>
      <c r="J60" s="129" t="s">
        <v>12</v>
      </c>
      <c r="K60" s="132" t="s">
        <v>339</v>
      </c>
      <c r="L60" s="133">
        <f t="shared" si="15"/>
        <v>7.8310000000000004</v>
      </c>
      <c r="M60" s="139">
        <f t="shared" si="16"/>
        <v>7.7709999999999999</v>
      </c>
      <c r="N60" s="29"/>
      <c r="O60" s="3" t="str">
        <f t="shared" si="22"/>
        <v/>
      </c>
      <c r="P60" s="3" t="str">
        <f t="shared" si="23"/>
        <v/>
      </c>
      <c r="Q60" s="3" t="str">
        <f t="shared" si="24"/>
        <v/>
      </c>
      <c r="R60" s="4" t="str">
        <f t="shared" si="25"/>
        <v/>
      </c>
      <c r="S60" s="5" t="str">
        <f t="shared" si="26"/>
        <v/>
      </c>
      <c r="T60" s="76" t="str">
        <f t="shared" si="5"/>
        <v/>
      </c>
      <c r="U60" s="76" t="str">
        <f t="shared" si="17"/>
        <v/>
      </c>
      <c r="V60" s="5" t="str">
        <f t="shared" si="6"/>
        <v/>
      </c>
      <c r="W60" s="5" t="str">
        <f t="shared" si="7"/>
        <v/>
      </c>
      <c r="X60" s="5" t="str">
        <f t="shared" si="8"/>
        <v/>
      </c>
      <c r="Y60" s="143" t="str">
        <f t="shared" si="9"/>
        <v/>
      </c>
      <c r="Z60" s="32" t="str">
        <f t="shared" si="18"/>
        <v/>
      </c>
      <c r="AA60" s="32" t="str">
        <f t="shared" si="19"/>
        <v/>
      </c>
      <c r="AB60" s="32" t="str">
        <f t="shared" si="20"/>
        <v/>
      </c>
      <c r="AC60" s="32" t="str">
        <f t="shared" si="10"/>
        <v/>
      </c>
      <c r="AD60" s="134"/>
      <c r="AE60" s="135" t="str">
        <f t="shared" si="21"/>
        <v/>
      </c>
      <c r="AF60" s="136"/>
      <c r="AG60" s="137"/>
      <c r="AH60" s="137"/>
      <c r="AI60" s="138"/>
      <c r="AJ60" s="20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CE60" t="str">
        <v/>
      </c>
    </row>
    <row r="61" spans="1:83" ht="15" customHeight="1">
      <c r="A61" s="18"/>
      <c r="B61" s="128" t="s">
        <v>377</v>
      </c>
      <c r="C61" s="129" t="s">
        <v>264</v>
      </c>
      <c r="D61" s="130" t="s">
        <v>60</v>
      </c>
      <c r="E61" s="71">
        <v>1.33</v>
      </c>
      <c r="F61" s="129" t="s">
        <v>28</v>
      </c>
      <c r="G61" s="129">
        <v>10.154999999999999</v>
      </c>
      <c r="H61" s="129">
        <v>0.03</v>
      </c>
      <c r="I61" s="129">
        <v>-0.03</v>
      </c>
      <c r="J61" s="129" t="s">
        <v>12</v>
      </c>
      <c r="K61" s="132" t="s">
        <v>339</v>
      </c>
      <c r="L61" s="133">
        <f t="shared" si="15"/>
        <v>10.184999999999999</v>
      </c>
      <c r="M61" s="139">
        <f t="shared" si="16"/>
        <v>10.125</v>
      </c>
      <c r="N61" s="29"/>
      <c r="O61" s="3" t="str">
        <f t="shared" si="22"/>
        <v/>
      </c>
      <c r="P61" s="3" t="str">
        <f t="shared" si="23"/>
        <v/>
      </c>
      <c r="Q61" s="3" t="str">
        <f t="shared" si="24"/>
        <v/>
      </c>
      <c r="R61" s="4" t="str">
        <f t="shared" si="25"/>
        <v/>
      </c>
      <c r="S61" s="5" t="str">
        <f t="shared" si="26"/>
        <v/>
      </c>
      <c r="T61" s="76" t="str">
        <f t="shared" si="5"/>
        <v/>
      </c>
      <c r="U61" s="76" t="str">
        <f t="shared" si="17"/>
        <v/>
      </c>
      <c r="V61" s="5" t="str">
        <f t="shared" si="6"/>
        <v/>
      </c>
      <c r="W61" s="5" t="str">
        <f t="shared" si="7"/>
        <v/>
      </c>
      <c r="X61" s="5" t="str">
        <f t="shared" si="8"/>
        <v/>
      </c>
      <c r="Y61" s="143" t="str">
        <f t="shared" si="9"/>
        <v/>
      </c>
      <c r="Z61" s="32" t="str">
        <f t="shared" si="18"/>
        <v/>
      </c>
      <c r="AA61" s="32" t="str">
        <f t="shared" si="19"/>
        <v/>
      </c>
      <c r="AB61" s="32" t="str">
        <f t="shared" si="20"/>
        <v/>
      </c>
      <c r="AC61" s="32" t="str">
        <f t="shared" si="10"/>
        <v/>
      </c>
      <c r="AD61" s="134"/>
      <c r="AE61" s="135" t="str">
        <f t="shared" si="21"/>
        <v/>
      </c>
      <c r="AF61" s="136"/>
      <c r="AG61" s="137"/>
      <c r="AH61" s="137"/>
      <c r="AI61" s="138"/>
      <c r="AJ61" s="20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CE61" t="str">
        <v/>
      </c>
    </row>
    <row r="62" spans="1:83" ht="15" customHeight="1">
      <c r="A62" s="18"/>
      <c r="B62" s="128" t="s">
        <v>378</v>
      </c>
      <c r="C62" s="129" t="s">
        <v>264</v>
      </c>
      <c r="D62" s="130" t="s">
        <v>60</v>
      </c>
      <c r="E62" s="71">
        <v>1.33</v>
      </c>
      <c r="F62" s="129" t="s">
        <v>28</v>
      </c>
      <c r="G62" s="129">
        <v>10.154999999999999</v>
      </c>
      <c r="H62" s="129">
        <v>0.03</v>
      </c>
      <c r="I62" s="129">
        <v>-0.03</v>
      </c>
      <c r="J62" s="129" t="s">
        <v>12</v>
      </c>
      <c r="K62" s="132" t="s">
        <v>339</v>
      </c>
      <c r="L62" s="133">
        <f t="shared" si="15"/>
        <v>10.184999999999999</v>
      </c>
      <c r="M62" s="139">
        <f t="shared" si="16"/>
        <v>10.125</v>
      </c>
      <c r="N62" s="29"/>
      <c r="O62" s="3" t="str">
        <f t="shared" si="22"/>
        <v/>
      </c>
      <c r="P62" s="3" t="str">
        <f t="shared" si="23"/>
        <v/>
      </c>
      <c r="Q62" s="3" t="str">
        <f t="shared" si="24"/>
        <v/>
      </c>
      <c r="R62" s="4" t="str">
        <f t="shared" si="25"/>
        <v/>
      </c>
      <c r="S62" s="5" t="str">
        <f t="shared" si="26"/>
        <v/>
      </c>
      <c r="T62" s="76" t="str">
        <f t="shared" si="5"/>
        <v/>
      </c>
      <c r="U62" s="76" t="str">
        <f t="shared" si="17"/>
        <v/>
      </c>
      <c r="V62" s="5" t="str">
        <f t="shared" si="6"/>
        <v/>
      </c>
      <c r="W62" s="5" t="str">
        <f t="shared" si="7"/>
        <v/>
      </c>
      <c r="X62" s="5" t="str">
        <f t="shared" si="8"/>
        <v/>
      </c>
      <c r="Y62" s="143" t="str">
        <f t="shared" si="9"/>
        <v/>
      </c>
      <c r="Z62" s="32" t="str">
        <f t="shared" si="18"/>
        <v/>
      </c>
      <c r="AA62" s="32" t="str">
        <f t="shared" si="19"/>
        <v/>
      </c>
      <c r="AB62" s="32" t="str">
        <f t="shared" si="20"/>
        <v/>
      </c>
      <c r="AC62" s="32" t="str">
        <f t="shared" si="10"/>
        <v/>
      </c>
      <c r="AD62" s="134"/>
      <c r="AE62" s="135" t="str">
        <f t="shared" si="21"/>
        <v/>
      </c>
      <c r="AF62" s="136"/>
      <c r="AG62" s="137"/>
      <c r="AH62" s="137"/>
      <c r="AI62" s="138"/>
      <c r="AJ62" s="20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CE62" t="str">
        <v/>
      </c>
    </row>
    <row r="63" spans="1:83" ht="15" customHeight="1">
      <c r="A63" s="18"/>
      <c r="B63" s="128">
        <v>36</v>
      </c>
      <c r="C63" s="129"/>
      <c r="D63" s="130" t="s">
        <v>60</v>
      </c>
      <c r="E63" s="71"/>
      <c r="F63" s="129" t="s">
        <v>28</v>
      </c>
      <c r="G63" s="129">
        <v>8.1950000000000003</v>
      </c>
      <c r="H63" s="129">
        <v>0.03</v>
      </c>
      <c r="I63" s="129">
        <v>-0.03</v>
      </c>
      <c r="J63" s="129" t="s">
        <v>12</v>
      </c>
      <c r="K63" s="132" t="s">
        <v>339</v>
      </c>
      <c r="L63" s="133">
        <f t="shared" si="15"/>
        <v>8.2249999999999996</v>
      </c>
      <c r="M63" s="139">
        <f t="shared" si="16"/>
        <v>8.1650000000000009</v>
      </c>
      <c r="N63" s="29"/>
      <c r="O63" s="3" t="str">
        <f t="shared" si="22"/>
        <v/>
      </c>
      <c r="P63" s="3" t="str">
        <f t="shared" si="23"/>
        <v/>
      </c>
      <c r="Q63" s="3" t="str">
        <f t="shared" si="24"/>
        <v/>
      </c>
      <c r="R63" s="4" t="str">
        <f t="shared" si="25"/>
        <v/>
      </c>
      <c r="S63" s="5" t="str">
        <f t="shared" si="26"/>
        <v/>
      </c>
      <c r="T63" s="76" t="str">
        <f t="shared" si="5"/>
        <v/>
      </c>
      <c r="U63" s="76" t="str">
        <f t="shared" si="17"/>
        <v/>
      </c>
      <c r="V63" s="5" t="str">
        <f t="shared" si="6"/>
        <v/>
      </c>
      <c r="W63" s="5" t="str">
        <f t="shared" si="7"/>
        <v/>
      </c>
      <c r="X63" s="5" t="str">
        <f t="shared" si="8"/>
        <v/>
      </c>
      <c r="Y63" s="143" t="str">
        <f t="shared" si="9"/>
        <v/>
      </c>
      <c r="Z63" s="32" t="str">
        <f t="shared" si="18"/>
        <v/>
      </c>
      <c r="AA63" s="32" t="str">
        <f t="shared" si="19"/>
        <v/>
      </c>
      <c r="AB63" s="32" t="str">
        <f t="shared" si="20"/>
        <v/>
      </c>
      <c r="AC63" s="32" t="str">
        <f t="shared" si="10"/>
        <v/>
      </c>
      <c r="AD63" s="134"/>
      <c r="AE63" s="135" t="str">
        <f t="shared" si="21"/>
        <v/>
      </c>
      <c r="AF63" s="136"/>
      <c r="AG63" s="137"/>
      <c r="AH63" s="137"/>
      <c r="AI63" s="138"/>
      <c r="AJ63" s="20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CE63" t="str">
        <v/>
      </c>
    </row>
    <row r="64" spans="1:83" ht="15" customHeight="1">
      <c r="A64" s="18"/>
      <c r="B64" s="146" t="s">
        <v>261</v>
      </c>
      <c r="C64" s="129" t="s">
        <v>286</v>
      </c>
      <c r="D64" s="130" t="s">
        <v>60</v>
      </c>
      <c r="E64" s="71">
        <v>1.33</v>
      </c>
      <c r="F64" s="129" t="s">
        <v>28</v>
      </c>
      <c r="G64" s="129">
        <v>0.626</v>
      </c>
      <c r="H64" s="129">
        <v>0.02</v>
      </c>
      <c r="I64" s="129">
        <v>-0.02</v>
      </c>
      <c r="J64" s="129" t="s">
        <v>12</v>
      </c>
      <c r="K64" s="132" t="s">
        <v>339</v>
      </c>
      <c r="L64" s="133">
        <f t="shared" si="15"/>
        <v>0.64600000000000002</v>
      </c>
      <c r="M64" s="139">
        <f t="shared" si="16"/>
        <v>0.60599999999999998</v>
      </c>
      <c r="N64" s="29"/>
      <c r="O64" s="3" t="str">
        <f t="shared" si="22"/>
        <v/>
      </c>
      <c r="P64" s="3" t="str">
        <f t="shared" si="23"/>
        <v/>
      </c>
      <c r="Q64" s="3" t="str">
        <f t="shared" si="24"/>
        <v/>
      </c>
      <c r="R64" s="4" t="str">
        <f t="shared" si="25"/>
        <v/>
      </c>
      <c r="S64" s="5" t="str">
        <f t="shared" si="26"/>
        <v/>
      </c>
      <c r="T64" s="76" t="str">
        <f t="shared" si="5"/>
        <v/>
      </c>
      <c r="U64" s="76" t="str">
        <f t="shared" si="17"/>
        <v/>
      </c>
      <c r="V64" s="5" t="str">
        <f t="shared" si="6"/>
        <v/>
      </c>
      <c r="W64" s="5" t="str">
        <f t="shared" si="7"/>
        <v/>
      </c>
      <c r="X64" s="5" t="str">
        <f t="shared" si="8"/>
        <v/>
      </c>
      <c r="Y64" s="143" t="str">
        <f t="shared" si="9"/>
        <v/>
      </c>
      <c r="Z64" s="32" t="str">
        <f t="shared" si="18"/>
        <v/>
      </c>
      <c r="AA64" s="32" t="str">
        <f t="shared" si="19"/>
        <v/>
      </c>
      <c r="AB64" s="32" t="str">
        <f t="shared" si="20"/>
        <v/>
      </c>
      <c r="AC64" s="32" t="str">
        <f t="shared" si="10"/>
        <v/>
      </c>
      <c r="AD64" s="134"/>
      <c r="AE64" s="135" t="str">
        <f t="shared" si="21"/>
        <v/>
      </c>
      <c r="AF64" s="136"/>
      <c r="AG64" s="137"/>
      <c r="AH64" s="137"/>
      <c r="AI64" s="138"/>
      <c r="AJ64" s="20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CE64" t="str">
        <v/>
      </c>
    </row>
    <row r="65" spans="1:83" ht="15" customHeight="1">
      <c r="A65" s="18"/>
      <c r="B65" s="146" t="s">
        <v>120</v>
      </c>
      <c r="C65" s="129" t="s">
        <v>286</v>
      </c>
      <c r="D65" s="130" t="s">
        <v>60</v>
      </c>
      <c r="E65" s="71">
        <v>1.33</v>
      </c>
      <c r="F65" s="129" t="s">
        <v>28</v>
      </c>
      <c r="G65" s="129">
        <v>0.626</v>
      </c>
      <c r="H65" s="129">
        <v>0.02</v>
      </c>
      <c r="I65" s="129">
        <v>-0.02</v>
      </c>
      <c r="J65" s="129" t="s">
        <v>12</v>
      </c>
      <c r="K65" s="132" t="s">
        <v>339</v>
      </c>
      <c r="L65" s="133">
        <f t="shared" si="15"/>
        <v>0.64600000000000002</v>
      </c>
      <c r="M65" s="139">
        <f t="shared" si="16"/>
        <v>0.60599999999999998</v>
      </c>
      <c r="N65" s="29"/>
      <c r="O65" s="3" t="str">
        <f t="shared" si="22"/>
        <v/>
      </c>
      <c r="P65" s="3" t="str">
        <f t="shared" si="23"/>
        <v/>
      </c>
      <c r="Q65" s="3" t="str">
        <f t="shared" si="24"/>
        <v/>
      </c>
      <c r="R65" s="4" t="str">
        <f t="shared" si="25"/>
        <v/>
      </c>
      <c r="S65" s="5" t="str">
        <f t="shared" si="26"/>
        <v/>
      </c>
      <c r="T65" s="76" t="str">
        <f t="shared" si="5"/>
        <v/>
      </c>
      <c r="U65" s="76" t="str">
        <f t="shared" si="17"/>
        <v/>
      </c>
      <c r="V65" s="5" t="str">
        <f t="shared" si="6"/>
        <v/>
      </c>
      <c r="W65" s="5" t="str">
        <f t="shared" si="7"/>
        <v/>
      </c>
      <c r="X65" s="5" t="str">
        <f t="shared" si="8"/>
        <v/>
      </c>
      <c r="Y65" s="143" t="str">
        <f t="shared" si="9"/>
        <v/>
      </c>
      <c r="Z65" s="32" t="str">
        <f t="shared" si="18"/>
        <v/>
      </c>
      <c r="AA65" s="32" t="str">
        <f t="shared" si="19"/>
        <v/>
      </c>
      <c r="AB65" s="32" t="str">
        <f t="shared" si="20"/>
        <v/>
      </c>
      <c r="AC65" s="32" t="str">
        <f t="shared" si="10"/>
        <v/>
      </c>
      <c r="AD65" s="134"/>
      <c r="AE65" s="135" t="str">
        <f t="shared" si="21"/>
        <v/>
      </c>
      <c r="AF65" s="136"/>
      <c r="AG65" s="137"/>
      <c r="AH65" s="137"/>
      <c r="AI65" s="138"/>
      <c r="AJ65" s="20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CE65" t="str">
        <v/>
      </c>
    </row>
    <row r="66" spans="1:83" ht="15" customHeight="1">
      <c r="A66" s="18"/>
      <c r="B66" s="128" t="s">
        <v>379</v>
      </c>
      <c r="C66" s="129" t="s">
        <v>287</v>
      </c>
      <c r="D66" s="130" t="s">
        <v>60</v>
      </c>
      <c r="E66" s="71">
        <v>1.33</v>
      </c>
      <c r="F66" s="129" t="s">
        <v>28</v>
      </c>
      <c r="G66" s="129">
        <v>1.9530000000000001</v>
      </c>
      <c r="H66" s="129">
        <v>0.03</v>
      </c>
      <c r="I66" s="129">
        <v>-0.03</v>
      </c>
      <c r="J66" s="129" t="s">
        <v>12</v>
      </c>
      <c r="K66" s="132" t="s">
        <v>339</v>
      </c>
      <c r="L66" s="133">
        <f t="shared" si="15"/>
        <v>1.9830000000000001</v>
      </c>
      <c r="M66" s="139">
        <f t="shared" si="16"/>
        <v>1.923</v>
      </c>
      <c r="N66" s="29"/>
      <c r="O66" s="3" t="str">
        <f t="shared" si="22"/>
        <v/>
      </c>
      <c r="P66" s="3" t="str">
        <f t="shared" si="23"/>
        <v/>
      </c>
      <c r="Q66" s="3" t="str">
        <f t="shared" si="24"/>
        <v/>
      </c>
      <c r="R66" s="4" t="str">
        <f t="shared" si="25"/>
        <v/>
      </c>
      <c r="S66" s="5" t="str">
        <f t="shared" si="26"/>
        <v/>
      </c>
      <c r="T66" s="76" t="str">
        <f t="shared" si="5"/>
        <v/>
      </c>
      <c r="U66" s="76" t="str">
        <f t="shared" si="17"/>
        <v/>
      </c>
      <c r="V66" s="5" t="str">
        <f t="shared" si="6"/>
        <v/>
      </c>
      <c r="W66" s="5" t="str">
        <f t="shared" si="7"/>
        <v/>
      </c>
      <c r="X66" s="5" t="str">
        <f t="shared" si="8"/>
        <v/>
      </c>
      <c r="Y66" s="143" t="str">
        <f t="shared" si="9"/>
        <v/>
      </c>
      <c r="Z66" s="32" t="str">
        <f t="shared" si="18"/>
        <v/>
      </c>
      <c r="AA66" s="32" t="str">
        <f t="shared" si="19"/>
        <v/>
      </c>
      <c r="AB66" s="32" t="str">
        <f t="shared" si="20"/>
        <v/>
      </c>
      <c r="AC66" s="32" t="str">
        <f t="shared" si="10"/>
        <v/>
      </c>
      <c r="AD66" s="134"/>
      <c r="AE66" s="135" t="str">
        <f t="shared" si="21"/>
        <v/>
      </c>
      <c r="AF66" s="136"/>
      <c r="AG66" s="137"/>
      <c r="AH66" s="137"/>
      <c r="AI66" s="138"/>
      <c r="AJ66" s="20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CE66" t="str">
        <v/>
      </c>
    </row>
    <row r="67" spans="1:83" ht="15" customHeight="1">
      <c r="A67" s="18"/>
      <c r="B67" s="128" t="s">
        <v>380</v>
      </c>
      <c r="C67" s="129" t="s">
        <v>287</v>
      </c>
      <c r="D67" s="130" t="s">
        <v>60</v>
      </c>
      <c r="E67" s="71">
        <v>1.33</v>
      </c>
      <c r="F67" s="129" t="s">
        <v>28</v>
      </c>
      <c r="G67" s="129">
        <v>1.9530000000000001</v>
      </c>
      <c r="H67" s="129">
        <v>0.03</v>
      </c>
      <c r="I67" s="129">
        <v>-0.03</v>
      </c>
      <c r="J67" s="129" t="s">
        <v>12</v>
      </c>
      <c r="K67" s="132" t="s">
        <v>339</v>
      </c>
      <c r="L67" s="133">
        <f t="shared" si="15"/>
        <v>1.9830000000000001</v>
      </c>
      <c r="M67" s="139">
        <f t="shared" si="16"/>
        <v>1.923</v>
      </c>
      <c r="N67" s="29"/>
      <c r="O67" s="3" t="str">
        <f t="shared" si="22"/>
        <v/>
      </c>
      <c r="P67" s="3" t="str">
        <f t="shared" si="23"/>
        <v/>
      </c>
      <c r="Q67" s="3" t="str">
        <f t="shared" si="24"/>
        <v/>
      </c>
      <c r="R67" s="4" t="str">
        <f t="shared" si="25"/>
        <v/>
      </c>
      <c r="S67" s="5" t="str">
        <f t="shared" si="26"/>
        <v/>
      </c>
      <c r="T67" s="76" t="str">
        <f t="shared" ref="T67:T107" si="27">IF(OR($AK67="",ISNUMBER($AK67)=FALSE),"",IF(AND($F67="Tolerance",$G67&lt;&gt;""),($Q67-$G67)/(($L67-$M67)/2),IF(AND($F67="GD&amp;T",$H67&lt;&gt;""),$Q67/$H67,"")))</f>
        <v/>
      </c>
      <c r="U67" s="76" t="str">
        <f t="shared" si="17"/>
        <v/>
      </c>
      <c r="V67" s="5" t="str">
        <f t="shared" ref="V67:V107" si="28">IF(OR($AK67="",ISNUMBER($AK67)=FALSE),"",IF(H67="","",(L67-Q67)/(3*R67)))</f>
        <v/>
      </c>
      <c r="W67" s="5" t="str">
        <f t="shared" ref="W67:W107" si="29">IF(OR($AK67="",ISNUMBER($AK67)=FALSE),"",IF(I67="","",(Q67-M67)/(3*R67)))</f>
        <v/>
      </c>
      <c r="X67" s="5" t="str">
        <f t="shared" ref="X67:X107" si="30">IF(OR($AK67="",ISNUMBER($AK67)=FALSE),"",IF(AND(G67=0,I67=0),((H67)-(Q67))/(3*R67),MIN(V67:W67)))</f>
        <v/>
      </c>
      <c r="Y67" s="143" t="str">
        <f t="shared" ref="Y67:Y107" si="31">IF(OR($AK67="",ISNUMBER($AK67)=FALSE),"",IF(AND(G67=0,I67=0),NORMSDIST(3*X67),NORMSDIST(3*X67)+NORMSDIST(6*S67-3*X67)-1))</f>
        <v/>
      </c>
      <c r="Z67" s="32" t="str">
        <f t="shared" si="18"/>
        <v/>
      </c>
      <c r="AA67" s="32" t="str">
        <f t="shared" si="19"/>
        <v/>
      </c>
      <c r="AB67" s="32" t="str">
        <f t="shared" si="20"/>
        <v/>
      </c>
      <c r="AC67" s="32" t="str">
        <f t="shared" ref="AC67:AC108" si="32">IF(OR($S67&gt;$AC$9,$R67=""),"",$AC$9*6*$R67)</f>
        <v/>
      </c>
      <c r="AD67" s="134"/>
      <c r="AE67" s="135" t="str">
        <f t="shared" si="21"/>
        <v/>
      </c>
      <c r="AF67" s="136"/>
      <c r="AG67" s="137"/>
      <c r="AH67" s="137"/>
      <c r="AI67" s="138"/>
      <c r="AJ67" s="20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CE67" t="str">
        <v/>
      </c>
    </row>
    <row r="68" spans="1:83" ht="15" customHeight="1">
      <c r="A68" s="18"/>
      <c r="B68" s="147">
        <v>39</v>
      </c>
      <c r="C68" s="129"/>
      <c r="D68" s="130" t="s">
        <v>60</v>
      </c>
      <c r="E68" s="71"/>
      <c r="F68" s="129" t="s">
        <v>28</v>
      </c>
      <c r="G68" s="129">
        <v>2.9260000000000002</v>
      </c>
      <c r="H68" s="129">
        <v>0.03</v>
      </c>
      <c r="I68" s="129">
        <v>-0.03</v>
      </c>
      <c r="J68" s="129" t="s">
        <v>12</v>
      </c>
      <c r="K68" s="132" t="s">
        <v>339</v>
      </c>
      <c r="L68" s="133">
        <f t="shared" ref="L68:L97" si="33">IF(AND(G68="",H68=""),"",IF(G68="",H68,G68+H68))</f>
        <v>2.956</v>
      </c>
      <c r="M68" s="139">
        <f t="shared" ref="M68:M97" si="34">IF(AND(G68="",I68=""),"",IF(G68="",I68,G68+I68))</f>
        <v>2.8960000000000004</v>
      </c>
      <c r="N68" s="29"/>
      <c r="O68" s="3" t="str">
        <f t="shared" si="22"/>
        <v/>
      </c>
      <c r="P68" s="3" t="str">
        <f t="shared" si="23"/>
        <v/>
      </c>
      <c r="Q68" s="3" t="str">
        <f t="shared" si="24"/>
        <v/>
      </c>
      <c r="R68" s="4" t="str">
        <f t="shared" si="25"/>
        <v/>
      </c>
      <c r="S68" s="5" t="str">
        <f t="shared" si="26"/>
        <v/>
      </c>
      <c r="T68" s="76" t="str">
        <f t="shared" si="27"/>
        <v/>
      </c>
      <c r="U68" s="76" t="str">
        <f t="shared" ref="U68:U108" si="35">IF($T68="","",IF(ABS($T68)&lt;=0.125, "Level A",IF(AND(ABS($T68)&gt;0.125,ABS($T68)&lt;=0.25), "Level B",IF(AND(ABS($T68)&gt;0.25,ABS($T68)&lt;=0.5), "Level C", IF(ABS($T68)&gt;0.5, "Level D")))))</f>
        <v/>
      </c>
      <c r="V68" s="5" t="str">
        <f t="shared" si="28"/>
        <v/>
      </c>
      <c r="W68" s="5" t="str">
        <f t="shared" si="29"/>
        <v/>
      </c>
      <c r="X68" s="5" t="str">
        <f t="shared" si="30"/>
        <v/>
      </c>
      <c r="Y68" s="143" t="str">
        <f t="shared" si="31"/>
        <v/>
      </c>
      <c r="Z68" s="32" t="str">
        <f t="shared" ref="Z68:Z97" si="36">IF($Q68="","",IF(F68="Tolerance",IF(($E68*3*R68+Q68)-G68&lt;H68,"",($E68*3*R68+Q68)-G68),IF(OR(F68="GD&amp;T",F68="MAX"),IF(($E68*3*R68+Q68)&lt;H68,"",($E68*3*R68+Q68)),"")))</f>
        <v/>
      </c>
      <c r="AA68" s="32" t="str">
        <f t="shared" ref="AA68:AA97" si="37">IF(Q68="","",IF(F68="Tolerance",IF(-(($E68*3*R68)-Q68)-G68&gt;I68,"",-(($E68*3*R68)-Q68)-G68),IF(F68="MIN",IF(-(($E68*3*R68)-Q68)&gt;I68,"",-(($E68*3*R68)-Q68)),"")))</f>
        <v/>
      </c>
      <c r="AB68" s="32" t="str">
        <f t="shared" ref="AB68:AB97" si="38">IF(OR(G68="",Q68=""),"",(L68+M68)/2-Q68)</f>
        <v/>
      </c>
      <c r="AC68" s="32" t="str">
        <f t="shared" si="32"/>
        <v/>
      </c>
      <c r="AD68" s="134"/>
      <c r="AE68" s="135" t="str">
        <f t="shared" ref="AE68:AE108" si="39">IF(AD68="","",IF(AD68&gt;=0.966,"Normal","Not Normal"))</f>
        <v/>
      </c>
      <c r="AF68" s="136"/>
      <c r="AG68" s="137"/>
      <c r="AH68" s="137"/>
      <c r="AI68" s="138"/>
      <c r="AJ68" s="20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CE68" t="str">
        <v/>
      </c>
    </row>
    <row r="69" spans="1:83" ht="15" customHeight="1">
      <c r="A69" s="18"/>
      <c r="B69" s="128">
        <v>41</v>
      </c>
      <c r="C69" s="129"/>
      <c r="D69" s="130" t="s">
        <v>60</v>
      </c>
      <c r="E69" s="71"/>
      <c r="F69" s="129" t="s">
        <v>28</v>
      </c>
      <c r="G69" s="129">
        <v>2.8730000000000002</v>
      </c>
      <c r="H69" s="129">
        <v>0.03</v>
      </c>
      <c r="I69" s="129">
        <v>-0.03</v>
      </c>
      <c r="J69" s="129" t="s">
        <v>12</v>
      </c>
      <c r="K69" s="132" t="s">
        <v>339</v>
      </c>
      <c r="L69" s="133">
        <f t="shared" si="33"/>
        <v>2.903</v>
      </c>
      <c r="M69" s="139">
        <f t="shared" si="34"/>
        <v>2.8430000000000004</v>
      </c>
      <c r="N69" s="29"/>
      <c r="O69" s="3" t="str">
        <f t="shared" si="22"/>
        <v/>
      </c>
      <c r="P69" s="3" t="str">
        <f t="shared" si="23"/>
        <v/>
      </c>
      <c r="Q69" s="3" t="str">
        <f t="shared" si="24"/>
        <v/>
      </c>
      <c r="R69" s="4" t="str">
        <f t="shared" si="25"/>
        <v/>
      </c>
      <c r="S69" s="5" t="str">
        <f t="shared" si="26"/>
        <v/>
      </c>
      <c r="T69" s="76" t="str">
        <f t="shared" si="27"/>
        <v/>
      </c>
      <c r="U69" s="76" t="str">
        <f t="shared" si="35"/>
        <v/>
      </c>
      <c r="V69" s="5" t="str">
        <f t="shared" si="28"/>
        <v/>
      </c>
      <c r="W69" s="5" t="str">
        <f t="shared" si="29"/>
        <v/>
      </c>
      <c r="X69" s="5" t="str">
        <f t="shared" si="30"/>
        <v/>
      </c>
      <c r="Y69" s="143" t="str">
        <f t="shared" si="31"/>
        <v/>
      </c>
      <c r="Z69" s="32" t="str">
        <f t="shared" si="36"/>
        <v/>
      </c>
      <c r="AA69" s="32" t="str">
        <f t="shared" si="37"/>
        <v/>
      </c>
      <c r="AB69" s="32" t="str">
        <f t="shared" si="38"/>
        <v/>
      </c>
      <c r="AC69" s="32" t="str">
        <f t="shared" si="32"/>
        <v/>
      </c>
      <c r="AD69" s="134"/>
      <c r="AE69" s="135" t="str">
        <f t="shared" si="39"/>
        <v/>
      </c>
      <c r="AF69" s="136"/>
      <c r="AG69" s="137"/>
      <c r="AH69" s="137"/>
      <c r="AI69" s="138"/>
      <c r="AJ69" s="20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CE69" t="str">
        <v/>
      </c>
    </row>
    <row r="70" spans="1:83" ht="15" customHeight="1">
      <c r="A70" s="18"/>
      <c r="B70" s="147">
        <v>42</v>
      </c>
      <c r="C70" s="129"/>
      <c r="D70" s="130" t="s">
        <v>60</v>
      </c>
      <c r="E70" s="71"/>
      <c r="F70" s="129" t="s">
        <v>28</v>
      </c>
      <c r="G70" s="129">
        <v>0.97799999999999998</v>
      </c>
      <c r="H70" s="129">
        <v>0.03</v>
      </c>
      <c r="I70" s="129">
        <v>-0.03</v>
      </c>
      <c r="J70" s="129" t="s">
        <v>12</v>
      </c>
      <c r="K70" s="132" t="s">
        <v>339</v>
      </c>
      <c r="L70" s="133">
        <f t="shared" si="33"/>
        <v>1.008</v>
      </c>
      <c r="M70" s="139">
        <f t="shared" si="34"/>
        <v>0.94799999999999995</v>
      </c>
      <c r="N70" s="29"/>
      <c r="O70" s="3" t="str">
        <f t="shared" si="22"/>
        <v/>
      </c>
      <c r="P70" s="3" t="str">
        <f t="shared" si="23"/>
        <v/>
      </c>
      <c r="Q70" s="3" t="str">
        <f t="shared" si="24"/>
        <v/>
      </c>
      <c r="R70" s="4" t="str">
        <f t="shared" si="25"/>
        <v/>
      </c>
      <c r="S70" s="5" t="str">
        <f t="shared" si="26"/>
        <v/>
      </c>
      <c r="T70" s="76" t="str">
        <f t="shared" si="27"/>
        <v/>
      </c>
      <c r="U70" s="76" t="str">
        <f t="shared" si="35"/>
        <v/>
      </c>
      <c r="V70" s="5" t="str">
        <f t="shared" si="28"/>
        <v/>
      </c>
      <c r="W70" s="5" t="str">
        <f t="shared" si="29"/>
        <v/>
      </c>
      <c r="X70" s="5" t="str">
        <f t="shared" si="30"/>
        <v/>
      </c>
      <c r="Y70" s="143" t="str">
        <f t="shared" si="31"/>
        <v/>
      </c>
      <c r="Z70" s="32" t="str">
        <f t="shared" si="36"/>
        <v/>
      </c>
      <c r="AA70" s="32" t="str">
        <f t="shared" si="37"/>
        <v/>
      </c>
      <c r="AB70" s="32" t="str">
        <f t="shared" si="38"/>
        <v/>
      </c>
      <c r="AC70" s="32" t="str">
        <f t="shared" si="32"/>
        <v/>
      </c>
      <c r="AD70" s="134"/>
      <c r="AE70" s="135" t="str">
        <f t="shared" si="39"/>
        <v/>
      </c>
      <c r="AF70" s="136"/>
      <c r="AG70" s="137"/>
      <c r="AH70" s="137"/>
      <c r="AI70" s="138"/>
      <c r="AJ70" s="20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CE70" t="str">
        <v/>
      </c>
    </row>
    <row r="71" spans="1:83" ht="15" customHeight="1">
      <c r="A71" s="18"/>
      <c r="B71" s="147">
        <v>43</v>
      </c>
      <c r="C71" s="129"/>
      <c r="D71" s="130" t="s">
        <v>60</v>
      </c>
      <c r="E71" s="71"/>
      <c r="F71" s="129" t="s">
        <v>28</v>
      </c>
      <c r="G71" s="129">
        <v>0.98499999999999999</v>
      </c>
      <c r="H71" s="129">
        <v>0.03</v>
      </c>
      <c r="I71" s="129">
        <v>-0.03</v>
      </c>
      <c r="J71" s="129" t="s">
        <v>12</v>
      </c>
      <c r="K71" s="132" t="s">
        <v>339</v>
      </c>
      <c r="L71" s="133">
        <f t="shared" si="33"/>
        <v>1.0149999999999999</v>
      </c>
      <c r="M71" s="139">
        <f t="shared" si="34"/>
        <v>0.95499999999999996</v>
      </c>
      <c r="N71" s="29"/>
      <c r="O71" s="3" t="str">
        <f t="shared" si="22"/>
        <v/>
      </c>
      <c r="P71" s="3" t="str">
        <f t="shared" si="23"/>
        <v/>
      </c>
      <c r="Q71" s="3" t="str">
        <f t="shared" si="24"/>
        <v/>
      </c>
      <c r="R71" s="4" t="str">
        <f t="shared" si="25"/>
        <v/>
      </c>
      <c r="S71" s="5" t="str">
        <f t="shared" si="26"/>
        <v/>
      </c>
      <c r="T71" s="76" t="str">
        <f t="shared" si="27"/>
        <v/>
      </c>
      <c r="U71" s="76" t="str">
        <f t="shared" si="35"/>
        <v/>
      </c>
      <c r="V71" s="5" t="str">
        <f t="shared" si="28"/>
        <v/>
      </c>
      <c r="W71" s="5" t="str">
        <f t="shared" si="29"/>
        <v/>
      </c>
      <c r="X71" s="5" t="str">
        <f t="shared" si="30"/>
        <v/>
      </c>
      <c r="Y71" s="143" t="str">
        <f t="shared" si="31"/>
        <v/>
      </c>
      <c r="Z71" s="32" t="str">
        <f t="shared" si="36"/>
        <v/>
      </c>
      <c r="AA71" s="32" t="str">
        <f t="shared" si="37"/>
        <v/>
      </c>
      <c r="AB71" s="32" t="str">
        <f t="shared" si="38"/>
        <v/>
      </c>
      <c r="AC71" s="32" t="str">
        <f t="shared" si="32"/>
        <v/>
      </c>
      <c r="AD71" s="134"/>
      <c r="AE71" s="135" t="str">
        <f t="shared" si="39"/>
        <v/>
      </c>
      <c r="AF71" s="136"/>
      <c r="AG71" s="137"/>
      <c r="AH71" s="137"/>
      <c r="AI71" s="138"/>
      <c r="AJ71" s="20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CE71" t="str">
        <v/>
      </c>
    </row>
    <row r="72" spans="1:83" ht="15" customHeight="1">
      <c r="A72" s="18"/>
      <c r="B72" s="147">
        <v>44</v>
      </c>
      <c r="C72" s="129"/>
      <c r="D72" s="130" t="s">
        <v>60</v>
      </c>
      <c r="E72" s="71"/>
      <c r="F72" s="129" t="s">
        <v>28</v>
      </c>
      <c r="G72" s="129">
        <v>4.5339999999999998</v>
      </c>
      <c r="H72" s="129">
        <v>0.03</v>
      </c>
      <c r="I72" s="129">
        <v>-0.03</v>
      </c>
      <c r="J72" s="129" t="s">
        <v>12</v>
      </c>
      <c r="K72" s="132" t="s">
        <v>339</v>
      </c>
      <c r="L72" s="133">
        <f t="shared" si="33"/>
        <v>4.5640000000000001</v>
      </c>
      <c r="M72" s="139">
        <f t="shared" si="34"/>
        <v>4.5039999999999996</v>
      </c>
      <c r="N72" s="29"/>
      <c r="O72" s="3" t="str">
        <f t="shared" si="22"/>
        <v/>
      </c>
      <c r="P72" s="3" t="str">
        <f t="shared" si="23"/>
        <v/>
      </c>
      <c r="Q72" s="3" t="str">
        <f t="shared" si="24"/>
        <v/>
      </c>
      <c r="R72" s="4" t="str">
        <f t="shared" si="25"/>
        <v/>
      </c>
      <c r="S72" s="5" t="str">
        <f t="shared" si="26"/>
        <v/>
      </c>
      <c r="T72" s="76" t="str">
        <f t="shared" si="27"/>
        <v/>
      </c>
      <c r="U72" s="76" t="str">
        <f t="shared" si="35"/>
        <v/>
      </c>
      <c r="V72" s="5" t="str">
        <f t="shared" si="28"/>
        <v/>
      </c>
      <c r="W72" s="5" t="str">
        <f t="shared" si="29"/>
        <v/>
      </c>
      <c r="X72" s="5" t="str">
        <f t="shared" si="30"/>
        <v/>
      </c>
      <c r="Y72" s="143" t="str">
        <f t="shared" si="31"/>
        <v/>
      </c>
      <c r="Z72" s="32" t="str">
        <f t="shared" si="36"/>
        <v/>
      </c>
      <c r="AA72" s="32" t="str">
        <f t="shared" si="37"/>
        <v/>
      </c>
      <c r="AB72" s="32" t="str">
        <f t="shared" si="38"/>
        <v/>
      </c>
      <c r="AC72" s="32" t="str">
        <f t="shared" si="32"/>
        <v/>
      </c>
      <c r="AD72" s="134"/>
      <c r="AE72" s="135" t="str">
        <f t="shared" si="39"/>
        <v/>
      </c>
      <c r="AF72" s="136"/>
      <c r="AG72" s="137"/>
      <c r="AH72" s="137"/>
      <c r="AI72" s="138"/>
      <c r="AJ72" s="20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CE72" t="str">
        <v/>
      </c>
    </row>
    <row r="73" spans="1:83" ht="15" customHeight="1">
      <c r="A73" s="18"/>
      <c r="B73" s="147">
        <v>45</v>
      </c>
      <c r="C73" s="129"/>
      <c r="D73" s="130" t="s">
        <v>60</v>
      </c>
      <c r="E73" s="71"/>
      <c r="F73" s="129" t="s">
        <v>28</v>
      </c>
      <c r="G73" s="129">
        <v>6.9379999999999997</v>
      </c>
      <c r="H73" s="129">
        <v>0.03</v>
      </c>
      <c r="I73" s="129">
        <v>-0.03</v>
      </c>
      <c r="J73" s="129" t="s">
        <v>12</v>
      </c>
      <c r="K73" s="132" t="s">
        <v>339</v>
      </c>
      <c r="L73" s="133">
        <f t="shared" si="33"/>
        <v>6.968</v>
      </c>
      <c r="M73" s="139">
        <f t="shared" si="34"/>
        <v>6.9079999999999995</v>
      </c>
      <c r="N73" s="29"/>
      <c r="O73" s="3" t="str">
        <f t="shared" si="22"/>
        <v/>
      </c>
      <c r="P73" s="3" t="str">
        <f t="shared" si="23"/>
        <v/>
      </c>
      <c r="Q73" s="3" t="str">
        <f t="shared" si="24"/>
        <v/>
      </c>
      <c r="R73" s="4" t="str">
        <f t="shared" si="25"/>
        <v/>
      </c>
      <c r="S73" s="5" t="str">
        <f t="shared" si="26"/>
        <v/>
      </c>
      <c r="T73" s="76" t="str">
        <f t="shared" si="27"/>
        <v/>
      </c>
      <c r="U73" s="76" t="str">
        <f t="shared" si="35"/>
        <v/>
      </c>
      <c r="V73" s="5" t="str">
        <f t="shared" si="28"/>
        <v/>
      </c>
      <c r="W73" s="5" t="str">
        <f t="shared" si="29"/>
        <v/>
      </c>
      <c r="X73" s="5" t="str">
        <f t="shared" si="30"/>
        <v/>
      </c>
      <c r="Y73" s="143" t="str">
        <f t="shared" si="31"/>
        <v/>
      </c>
      <c r="Z73" s="32" t="str">
        <f t="shared" si="36"/>
        <v/>
      </c>
      <c r="AA73" s="32" t="str">
        <f t="shared" si="37"/>
        <v/>
      </c>
      <c r="AB73" s="32" t="str">
        <f t="shared" si="38"/>
        <v/>
      </c>
      <c r="AC73" s="32" t="str">
        <f t="shared" si="32"/>
        <v/>
      </c>
      <c r="AD73" s="134"/>
      <c r="AE73" s="135" t="str">
        <f t="shared" si="39"/>
        <v/>
      </c>
      <c r="AF73" s="136"/>
      <c r="AG73" s="137"/>
      <c r="AH73" s="137"/>
      <c r="AI73" s="138"/>
      <c r="AJ73" s="20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CE73" t="str">
        <v/>
      </c>
    </row>
    <row r="74" spans="1:83" ht="15" customHeight="1">
      <c r="A74" s="18"/>
      <c r="B74" s="128">
        <v>46</v>
      </c>
      <c r="C74" s="129"/>
      <c r="D74" s="130" t="s">
        <v>60</v>
      </c>
      <c r="E74" s="71"/>
      <c r="F74" s="129" t="s">
        <v>28</v>
      </c>
      <c r="G74" s="129">
        <v>0.61099999999999999</v>
      </c>
      <c r="H74" s="129">
        <v>0.03</v>
      </c>
      <c r="I74" s="129">
        <v>-0.03</v>
      </c>
      <c r="J74" s="129" t="s">
        <v>12</v>
      </c>
      <c r="K74" s="132" t="s">
        <v>339</v>
      </c>
      <c r="L74" s="133">
        <f t="shared" si="33"/>
        <v>0.64100000000000001</v>
      </c>
      <c r="M74" s="139">
        <f t="shared" si="34"/>
        <v>0.58099999999999996</v>
      </c>
      <c r="N74" s="29"/>
      <c r="O74" s="3" t="str">
        <f t="shared" si="22"/>
        <v/>
      </c>
      <c r="P74" s="3" t="str">
        <f t="shared" si="23"/>
        <v/>
      </c>
      <c r="Q74" s="3" t="str">
        <f t="shared" si="24"/>
        <v/>
      </c>
      <c r="R74" s="4" t="str">
        <f t="shared" si="25"/>
        <v/>
      </c>
      <c r="S74" s="5" t="str">
        <f t="shared" si="26"/>
        <v/>
      </c>
      <c r="T74" s="76" t="str">
        <f t="shared" si="27"/>
        <v/>
      </c>
      <c r="U74" s="76" t="str">
        <f t="shared" si="35"/>
        <v/>
      </c>
      <c r="V74" s="5" t="str">
        <f t="shared" si="28"/>
        <v/>
      </c>
      <c r="W74" s="5" t="str">
        <f t="shared" si="29"/>
        <v/>
      </c>
      <c r="X74" s="5" t="str">
        <f t="shared" si="30"/>
        <v/>
      </c>
      <c r="Y74" s="143" t="str">
        <f t="shared" si="31"/>
        <v/>
      </c>
      <c r="Z74" s="32" t="str">
        <f t="shared" si="36"/>
        <v/>
      </c>
      <c r="AA74" s="32" t="str">
        <f t="shared" si="37"/>
        <v/>
      </c>
      <c r="AB74" s="32" t="str">
        <f t="shared" si="38"/>
        <v/>
      </c>
      <c r="AC74" s="32" t="str">
        <f t="shared" si="32"/>
        <v/>
      </c>
      <c r="AD74" s="134"/>
      <c r="AE74" s="135" t="str">
        <f t="shared" si="39"/>
        <v/>
      </c>
      <c r="AF74" s="136"/>
      <c r="AG74" s="137"/>
      <c r="AH74" s="137"/>
      <c r="AI74" s="138"/>
      <c r="AJ74" s="20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CE74" t="str">
        <v/>
      </c>
    </row>
    <row r="75" spans="1:83" ht="15" customHeight="1">
      <c r="A75" s="18"/>
      <c r="B75" s="147" t="s">
        <v>381</v>
      </c>
      <c r="C75" s="129" t="s">
        <v>263</v>
      </c>
      <c r="D75" s="130" t="s">
        <v>60</v>
      </c>
      <c r="E75" s="71">
        <v>1.33</v>
      </c>
      <c r="F75" s="129" t="s">
        <v>28</v>
      </c>
      <c r="G75" s="129">
        <v>2.2429999999999999</v>
      </c>
      <c r="H75" s="129">
        <v>0.03</v>
      </c>
      <c r="I75" s="129">
        <v>-0.03</v>
      </c>
      <c r="J75" s="129" t="s">
        <v>12</v>
      </c>
      <c r="K75" s="132" t="s">
        <v>339</v>
      </c>
      <c r="L75" s="133">
        <f t="shared" si="33"/>
        <v>2.2729999999999997</v>
      </c>
      <c r="M75" s="139">
        <f t="shared" si="34"/>
        <v>2.2130000000000001</v>
      </c>
      <c r="N75" s="28"/>
      <c r="O75" s="3" t="str">
        <f t="shared" ref="O75:O120" si="40">IF(OR($AK75="",ISNUMBER($AK75)=FALSE),"",MAX(AK75:BP75))</f>
        <v/>
      </c>
      <c r="P75" s="3" t="str">
        <f t="shared" ref="P75:P120" si="41">IF(OR($AK75="",ISNUMBER($AK75)=FALSE),"",MIN(AK75:BP75))</f>
        <v/>
      </c>
      <c r="Q75" s="3" t="str">
        <f t="shared" ref="Q75:Q120" si="42">IF(OR($AK75="",ISNUMBER($AK75)=FALSE),"",AVERAGE(AK75:BP75))</f>
        <v/>
      </c>
      <c r="R75" s="4" t="str">
        <f t="shared" ref="R75:R120" si="43">IF(OR($AK75="",ISNUMBER($AK75)=FALSE),"",STDEV(AK75:BP75))</f>
        <v/>
      </c>
      <c r="S75" s="5" t="str">
        <f t="shared" ref="S75:S120" si="44">IF(OR($AK75="",ISNUMBER($AK75)=FALSE),"",IF(AND(G75="",I75=""),V75,IF(AND(G75="",H75=""),W75,(H75+ABS(I75))/(6*R75))))</f>
        <v/>
      </c>
      <c r="T75" s="76" t="str">
        <f t="shared" si="27"/>
        <v/>
      </c>
      <c r="U75" s="76" t="str">
        <f t="shared" si="35"/>
        <v/>
      </c>
      <c r="V75" s="5" t="str">
        <f t="shared" si="28"/>
        <v/>
      </c>
      <c r="W75" s="5" t="str">
        <f t="shared" si="29"/>
        <v/>
      </c>
      <c r="X75" s="5" t="str">
        <f t="shared" si="30"/>
        <v/>
      </c>
      <c r="Y75" s="70" t="str">
        <f t="shared" si="31"/>
        <v/>
      </c>
      <c r="Z75" s="32" t="str">
        <f t="shared" si="36"/>
        <v/>
      </c>
      <c r="AA75" s="32" t="str">
        <f t="shared" si="37"/>
        <v/>
      </c>
      <c r="AB75" s="32" t="str">
        <f t="shared" si="38"/>
        <v/>
      </c>
      <c r="AC75" s="32" t="str">
        <f t="shared" si="32"/>
        <v/>
      </c>
      <c r="AD75" s="134"/>
      <c r="AE75" s="135" t="str">
        <f t="shared" si="39"/>
        <v/>
      </c>
      <c r="AF75" s="136"/>
      <c r="AG75" s="137"/>
      <c r="AH75" s="137"/>
      <c r="AI75" s="138"/>
      <c r="AJ75" s="23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CE75" t="str">
        <v/>
      </c>
    </row>
    <row r="76" spans="1:83" ht="15" customHeight="1">
      <c r="A76" s="18"/>
      <c r="B76" s="147" t="s">
        <v>382</v>
      </c>
      <c r="C76" s="129" t="s">
        <v>263</v>
      </c>
      <c r="D76" s="130" t="s">
        <v>60</v>
      </c>
      <c r="E76" s="71">
        <v>1.33</v>
      </c>
      <c r="F76" s="129" t="s">
        <v>28</v>
      </c>
      <c r="G76" s="129">
        <v>2.2429999999999999</v>
      </c>
      <c r="H76" s="129">
        <v>0.03</v>
      </c>
      <c r="I76" s="129">
        <v>-0.03</v>
      </c>
      <c r="J76" s="129" t="s">
        <v>12</v>
      </c>
      <c r="K76" s="132" t="s">
        <v>339</v>
      </c>
      <c r="L76" s="133">
        <f t="shared" si="33"/>
        <v>2.2729999999999997</v>
      </c>
      <c r="M76" s="139">
        <f t="shared" si="34"/>
        <v>2.2130000000000001</v>
      </c>
      <c r="N76" s="28"/>
      <c r="O76" s="3" t="str">
        <f t="shared" si="40"/>
        <v/>
      </c>
      <c r="P76" s="3" t="str">
        <f t="shared" si="41"/>
        <v/>
      </c>
      <c r="Q76" s="3" t="str">
        <f t="shared" si="42"/>
        <v/>
      </c>
      <c r="R76" s="4" t="str">
        <f t="shared" si="43"/>
        <v/>
      </c>
      <c r="S76" s="5" t="str">
        <f t="shared" si="44"/>
        <v/>
      </c>
      <c r="T76" s="76" t="str">
        <f t="shared" si="27"/>
        <v/>
      </c>
      <c r="U76" s="76" t="str">
        <f t="shared" si="35"/>
        <v/>
      </c>
      <c r="V76" s="5" t="str">
        <f t="shared" si="28"/>
        <v/>
      </c>
      <c r="W76" s="5" t="str">
        <f t="shared" si="29"/>
        <v/>
      </c>
      <c r="X76" s="5" t="str">
        <f t="shared" si="30"/>
        <v/>
      </c>
      <c r="Y76" s="70" t="str">
        <f t="shared" si="31"/>
        <v/>
      </c>
      <c r="Z76" s="32" t="str">
        <f t="shared" si="36"/>
        <v/>
      </c>
      <c r="AA76" s="32" t="str">
        <f t="shared" si="37"/>
        <v/>
      </c>
      <c r="AB76" s="32" t="str">
        <f t="shared" si="38"/>
        <v/>
      </c>
      <c r="AC76" s="32" t="str">
        <f t="shared" si="32"/>
        <v/>
      </c>
      <c r="AD76" s="134"/>
      <c r="AE76" s="135" t="str">
        <f t="shared" si="39"/>
        <v/>
      </c>
      <c r="AF76" s="136"/>
      <c r="AG76" s="137"/>
      <c r="AH76" s="137"/>
      <c r="AI76" s="138"/>
      <c r="AJ76" s="23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CE76" t="str">
        <v/>
      </c>
    </row>
    <row r="77" spans="1:83" ht="15" customHeight="1">
      <c r="A77" s="18"/>
      <c r="B77" s="148" t="s">
        <v>383</v>
      </c>
      <c r="C77" s="129" t="s">
        <v>263</v>
      </c>
      <c r="D77" s="130" t="s">
        <v>60</v>
      </c>
      <c r="E77" s="71">
        <v>1.33</v>
      </c>
      <c r="F77" s="129" t="s">
        <v>28</v>
      </c>
      <c r="G77" s="129">
        <v>2.2429999999999999</v>
      </c>
      <c r="H77" s="129">
        <v>0.03</v>
      </c>
      <c r="I77" s="129">
        <v>-0.03</v>
      </c>
      <c r="J77" s="129" t="s">
        <v>12</v>
      </c>
      <c r="K77" s="132" t="s">
        <v>339</v>
      </c>
      <c r="L77" s="133">
        <f t="shared" si="33"/>
        <v>2.2729999999999997</v>
      </c>
      <c r="M77" s="139">
        <f t="shared" si="34"/>
        <v>2.2130000000000001</v>
      </c>
      <c r="N77" s="29"/>
      <c r="O77" s="3" t="str">
        <f t="shared" si="40"/>
        <v/>
      </c>
      <c r="P77" s="3" t="str">
        <f t="shared" si="41"/>
        <v/>
      </c>
      <c r="Q77" s="3" t="str">
        <f t="shared" si="42"/>
        <v/>
      </c>
      <c r="R77" s="4" t="str">
        <f t="shared" si="43"/>
        <v/>
      </c>
      <c r="S77" s="5" t="str">
        <f t="shared" si="44"/>
        <v/>
      </c>
      <c r="T77" s="76" t="str">
        <f t="shared" si="27"/>
        <v/>
      </c>
      <c r="U77" s="76" t="str">
        <f t="shared" si="35"/>
        <v/>
      </c>
      <c r="V77" s="5" t="str">
        <f t="shared" si="28"/>
        <v/>
      </c>
      <c r="W77" s="5" t="str">
        <f t="shared" si="29"/>
        <v/>
      </c>
      <c r="X77" s="5" t="str">
        <f t="shared" si="30"/>
        <v/>
      </c>
      <c r="Y77" s="70" t="str">
        <f t="shared" si="31"/>
        <v/>
      </c>
      <c r="Z77" s="32" t="str">
        <f t="shared" si="36"/>
        <v/>
      </c>
      <c r="AA77" s="32" t="str">
        <f t="shared" si="37"/>
        <v/>
      </c>
      <c r="AB77" s="32" t="str">
        <f t="shared" si="38"/>
        <v/>
      </c>
      <c r="AC77" s="32" t="str">
        <f t="shared" si="32"/>
        <v/>
      </c>
      <c r="AD77" s="134"/>
      <c r="AE77" s="135" t="str">
        <f t="shared" si="39"/>
        <v/>
      </c>
      <c r="AF77" s="136"/>
      <c r="AG77" s="137"/>
      <c r="AH77" s="137"/>
      <c r="AI77" s="13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CE77" t="str">
        <v/>
      </c>
    </row>
    <row r="78" spans="1:83" ht="15" customHeight="1">
      <c r="A78" s="18"/>
      <c r="B78" s="148" t="s">
        <v>384</v>
      </c>
      <c r="C78" s="129"/>
      <c r="D78" s="130" t="s">
        <v>57</v>
      </c>
      <c r="E78" s="71"/>
      <c r="F78" s="129" t="s">
        <v>27</v>
      </c>
      <c r="G78" s="129"/>
      <c r="H78" s="129">
        <v>0.02</v>
      </c>
      <c r="I78" s="129" t="s">
        <v>459</v>
      </c>
      <c r="J78" s="129" t="s">
        <v>12</v>
      </c>
      <c r="K78" s="132" t="s">
        <v>339</v>
      </c>
      <c r="L78" s="133">
        <f t="shared" si="33"/>
        <v>0.02</v>
      </c>
      <c r="M78" s="139" t="str">
        <f t="shared" si="34"/>
        <v/>
      </c>
      <c r="N78" s="29"/>
      <c r="O78" s="3" t="str">
        <f t="shared" si="40"/>
        <v/>
      </c>
      <c r="P78" s="3" t="str">
        <f t="shared" si="41"/>
        <v/>
      </c>
      <c r="Q78" s="3" t="str">
        <f t="shared" si="42"/>
        <v/>
      </c>
      <c r="R78" s="4" t="str">
        <f t="shared" si="43"/>
        <v/>
      </c>
      <c r="S78" s="5" t="str">
        <f t="shared" si="44"/>
        <v/>
      </c>
      <c r="T78" s="76" t="str">
        <f t="shared" si="27"/>
        <v/>
      </c>
      <c r="U78" s="76" t="str">
        <f t="shared" si="35"/>
        <v/>
      </c>
      <c r="V78" s="5" t="str">
        <f t="shared" si="28"/>
        <v/>
      </c>
      <c r="W78" s="5" t="str">
        <f t="shared" si="29"/>
        <v/>
      </c>
      <c r="X78" s="5" t="str">
        <f t="shared" si="30"/>
        <v/>
      </c>
      <c r="Y78" s="70" t="str">
        <f t="shared" si="31"/>
        <v/>
      </c>
      <c r="Z78" s="32" t="str">
        <f t="shared" si="36"/>
        <v/>
      </c>
      <c r="AA78" s="32" t="str">
        <f t="shared" si="37"/>
        <v/>
      </c>
      <c r="AB78" s="32" t="str">
        <f t="shared" si="38"/>
        <v/>
      </c>
      <c r="AC78" s="32" t="str">
        <f t="shared" si="32"/>
        <v/>
      </c>
      <c r="AD78" s="134"/>
      <c r="AE78" s="135" t="str">
        <f t="shared" si="39"/>
        <v/>
      </c>
      <c r="AF78" s="136"/>
      <c r="AG78" s="137"/>
      <c r="AH78" s="137"/>
      <c r="AI78" s="13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CE78" t="str">
        <v/>
      </c>
    </row>
    <row r="79" spans="1:83" ht="15" customHeight="1">
      <c r="A79" s="18"/>
      <c r="B79" s="128" t="s">
        <v>385</v>
      </c>
      <c r="C79" s="129"/>
      <c r="D79" s="130" t="s">
        <v>60</v>
      </c>
      <c r="E79" s="71"/>
      <c r="F79" s="129" t="s">
        <v>28</v>
      </c>
      <c r="G79" s="129">
        <v>3.7559999999999998</v>
      </c>
      <c r="H79" s="129">
        <v>0.02</v>
      </c>
      <c r="I79" s="129">
        <v>-0.02</v>
      </c>
      <c r="J79" s="129" t="s">
        <v>12</v>
      </c>
      <c r="K79" s="132" t="s">
        <v>339</v>
      </c>
      <c r="L79" s="133">
        <f t="shared" si="33"/>
        <v>3.7759999999999998</v>
      </c>
      <c r="M79" s="139">
        <f t="shared" si="34"/>
        <v>3.7359999999999998</v>
      </c>
      <c r="N79" s="29"/>
      <c r="O79" s="3" t="str">
        <f t="shared" si="40"/>
        <v/>
      </c>
      <c r="P79" s="3" t="str">
        <f t="shared" si="41"/>
        <v/>
      </c>
      <c r="Q79" s="3" t="str">
        <f t="shared" si="42"/>
        <v/>
      </c>
      <c r="R79" s="4" t="str">
        <f t="shared" si="43"/>
        <v/>
      </c>
      <c r="S79" s="5" t="str">
        <f t="shared" si="44"/>
        <v/>
      </c>
      <c r="T79" s="76" t="str">
        <f t="shared" si="27"/>
        <v/>
      </c>
      <c r="U79" s="76" t="str">
        <f t="shared" si="35"/>
        <v/>
      </c>
      <c r="V79" s="5" t="str">
        <f t="shared" si="28"/>
        <v/>
      </c>
      <c r="W79" s="5" t="str">
        <f t="shared" si="29"/>
        <v/>
      </c>
      <c r="X79" s="5" t="str">
        <f t="shared" si="30"/>
        <v/>
      </c>
      <c r="Y79" s="70" t="str">
        <f t="shared" si="31"/>
        <v/>
      </c>
      <c r="Z79" s="32" t="str">
        <f t="shared" si="36"/>
        <v/>
      </c>
      <c r="AA79" s="32" t="str">
        <f t="shared" si="37"/>
        <v/>
      </c>
      <c r="AB79" s="32" t="str">
        <f t="shared" si="38"/>
        <v/>
      </c>
      <c r="AC79" s="32" t="str">
        <f t="shared" si="32"/>
        <v/>
      </c>
      <c r="AD79" s="134"/>
      <c r="AE79" s="135" t="str">
        <f t="shared" si="39"/>
        <v/>
      </c>
      <c r="AF79" s="136"/>
      <c r="AG79" s="137"/>
      <c r="AH79" s="137"/>
      <c r="AI79" s="13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CE79" t="str">
        <v/>
      </c>
    </row>
    <row r="80" spans="1:83" ht="15" customHeight="1">
      <c r="A80" s="18"/>
      <c r="B80" s="128" t="s">
        <v>386</v>
      </c>
      <c r="C80" s="129"/>
      <c r="D80" s="130" t="s">
        <v>60</v>
      </c>
      <c r="E80" s="71"/>
      <c r="F80" s="129" t="s">
        <v>28</v>
      </c>
      <c r="G80" s="129">
        <v>3.7559999999999998</v>
      </c>
      <c r="H80" s="129">
        <v>0.02</v>
      </c>
      <c r="I80" s="129">
        <v>-0.02</v>
      </c>
      <c r="J80" s="129" t="s">
        <v>12</v>
      </c>
      <c r="K80" s="132" t="s">
        <v>339</v>
      </c>
      <c r="L80" s="133">
        <f t="shared" si="33"/>
        <v>3.7759999999999998</v>
      </c>
      <c r="M80" s="139">
        <f t="shared" si="34"/>
        <v>3.7359999999999998</v>
      </c>
      <c r="N80" s="29"/>
      <c r="O80" s="3" t="str">
        <f t="shared" si="40"/>
        <v/>
      </c>
      <c r="P80" s="3" t="str">
        <f t="shared" si="41"/>
        <v/>
      </c>
      <c r="Q80" s="3" t="str">
        <f t="shared" si="42"/>
        <v/>
      </c>
      <c r="R80" s="4" t="str">
        <f t="shared" si="43"/>
        <v/>
      </c>
      <c r="S80" s="5" t="str">
        <f t="shared" si="44"/>
        <v/>
      </c>
      <c r="T80" s="76" t="str">
        <f t="shared" si="27"/>
        <v/>
      </c>
      <c r="U80" s="76" t="str">
        <f t="shared" si="35"/>
        <v/>
      </c>
      <c r="V80" s="5" t="str">
        <f t="shared" si="28"/>
        <v/>
      </c>
      <c r="W80" s="5" t="str">
        <f t="shared" si="29"/>
        <v/>
      </c>
      <c r="X80" s="5" t="str">
        <f t="shared" si="30"/>
        <v/>
      </c>
      <c r="Y80" s="70" t="str">
        <f t="shared" si="31"/>
        <v/>
      </c>
      <c r="Z80" s="32" t="str">
        <f t="shared" si="36"/>
        <v/>
      </c>
      <c r="AA80" s="32" t="str">
        <f t="shared" si="37"/>
        <v/>
      </c>
      <c r="AB80" s="32" t="str">
        <f t="shared" si="38"/>
        <v/>
      </c>
      <c r="AC80" s="32" t="str">
        <f t="shared" si="32"/>
        <v/>
      </c>
      <c r="AD80" s="134"/>
      <c r="AE80" s="135" t="str">
        <f t="shared" si="39"/>
        <v/>
      </c>
      <c r="AF80" s="136"/>
      <c r="AG80" s="137"/>
      <c r="AH80" s="137"/>
      <c r="AI80" s="13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CE80" t="str">
        <v/>
      </c>
    </row>
    <row r="81" spans="1:83" ht="15" customHeight="1">
      <c r="A81" s="18"/>
      <c r="B81" s="128" t="s">
        <v>387</v>
      </c>
      <c r="C81" s="129"/>
      <c r="D81" s="130" t="s">
        <v>60</v>
      </c>
      <c r="E81" s="71"/>
      <c r="F81" s="129" t="s">
        <v>28</v>
      </c>
      <c r="G81" s="129">
        <v>3.7559999999999998</v>
      </c>
      <c r="H81" s="129">
        <v>0.02</v>
      </c>
      <c r="I81" s="129">
        <v>-0.02</v>
      </c>
      <c r="J81" s="129" t="s">
        <v>12</v>
      </c>
      <c r="K81" s="132" t="s">
        <v>339</v>
      </c>
      <c r="L81" s="133">
        <f t="shared" si="33"/>
        <v>3.7759999999999998</v>
      </c>
      <c r="M81" s="139">
        <f t="shared" si="34"/>
        <v>3.7359999999999998</v>
      </c>
      <c r="N81" s="29"/>
      <c r="O81" s="3" t="str">
        <f t="shared" si="40"/>
        <v/>
      </c>
      <c r="P81" s="3" t="str">
        <f t="shared" si="41"/>
        <v/>
      </c>
      <c r="Q81" s="3" t="str">
        <f t="shared" si="42"/>
        <v/>
      </c>
      <c r="R81" s="4" t="str">
        <f t="shared" si="43"/>
        <v/>
      </c>
      <c r="S81" s="5" t="str">
        <f t="shared" si="44"/>
        <v/>
      </c>
      <c r="T81" s="76" t="str">
        <f t="shared" si="27"/>
        <v/>
      </c>
      <c r="U81" s="76" t="str">
        <f t="shared" si="35"/>
        <v/>
      </c>
      <c r="V81" s="5" t="str">
        <f t="shared" si="28"/>
        <v/>
      </c>
      <c r="W81" s="5" t="str">
        <f t="shared" si="29"/>
        <v/>
      </c>
      <c r="X81" s="5" t="str">
        <f t="shared" si="30"/>
        <v/>
      </c>
      <c r="Y81" s="70" t="str">
        <f t="shared" si="31"/>
        <v/>
      </c>
      <c r="Z81" s="32" t="str">
        <f t="shared" si="36"/>
        <v/>
      </c>
      <c r="AA81" s="32" t="str">
        <f t="shared" si="37"/>
        <v/>
      </c>
      <c r="AB81" s="32" t="str">
        <f t="shared" si="38"/>
        <v/>
      </c>
      <c r="AC81" s="32" t="str">
        <f t="shared" si="32"/>
        <v/>
      </c>
      <c r="AD81" s="134"/>
      <c r="AE81" s="135" t="str">
        <f t="shared" si="39"/>
        <v/>
      </c>
      <c r="AF81" s="136"/>
      <c r="AG81" s="137"/>
      <c r="AH81" s="137"/>
      <c r="AI81" s="138"/>
      <c r="AJ81" s="20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CE81" t="str">
        <v/>
      </c>
    </row>
    <row r="82" spans="1:83" ht="15" customHeight="1">
      <c r="A82" s="18"/>
      <c r="B82" s="148" t="s">
        <v>388</v>
      </c>
      <c r="C82" s="129"/>
      <c r="D82" s="130" t="s">
        <v>60</v>
      </c>
      <c r="E82" s="71"/>
      <c r="F82" s="129" t="s">
        <v>28</v>
      </c>
      <c r="G82" s="129">
        <v>0.91</v>
      </c>
      <c r="H82" s="129">
        <v>0.02</v>
      </c>
      <c r="I82" s="129">
        <v>-0.02</v>
      </c>
      <c r="J82" s="129" t="s">
        <v>12</v>
      </c>
      <c r="K82" s="132" t="s">
        <v>339</v>
      </c>
      <c r="L82" s="133">
        <f t="shared" si="33"/>
        <v>0.93</v>
      </c>
      <c r="M82" s="139">
        <f t="shared" si="34"/>
        <v>0.89</v>
      </c>
      <c r="N82" s="29"/>
      <c r="O82" s="3" t="str">
        <f t="shared" si="40"/>
        <v/>
      </c>
      <c r="P82" s="3" t="str">
        <f t="shared" si="41"/>
        <v/>
      </c>
      <c r="Q82" s="3" t="str">
        <f t="shared" si="42"/>
        <v/>
      </c>
      <c r="R82" s="4" t="str">
        <f t="shared" si="43"/>
        <v/>
      </c>
      <c r="S82" s="5" t="str">
        <f t="shared" si="44"/>
        <v/>
      </c>
      <c r="T82" s="76" t="str">
        <f t="shared" si="27"/>
        <v/>
      </c>
      <c r="U82" s="76" t="str">
        <f t="shared" si="35"/>
        <v/>
      </c>
      <c r="V82" s="5" t="str">
        <f t="shared" si="28"/>
        <v/>
      </c>
      <c r="W82" s="5" t="str">
        <f t="shared" si="29"/>
        <v/>
      </c>
      <c r="X82" s="5" t="str">
        <f t="shared" si="30"/>
        <v/>
      </c>
      <c r="Y82" s="70" t="str">
        <f t="shared" si="31"/>
        <v/>
      </c>
      <c r="Z82" s="32" t="str">
        <f t="shared" si="36"/>
        <v/>
      </c>
      <c r="AA82" s="32" t="str">
        <f t="shared" si="37"/>
        <v/>
      </c>
      <c r="AB82" s="32" t="str">
        <f t="shared" si="38"/>
        <v/>
      </c>
      <c r="AC82" s="32" t="str">
        <f t="shared" si="32"/>
        <v/>
      </c>
      <c r="AD82" s="134"/>
      <c r="AE82" s="135" t="str">
        <f t="shared" si="39"/>
        <v/>
      </c>
      <c r="AF82" s="136"/>
      <c r="AG82" s="137"/>
      <c r="AH82" s="137"/>
      <c r="AI82" s="138"/>
      <c r="AJ82" s="20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CE82" t="str">
        <v/>
      </c>
    </row>
    <row r="83" spans="1:83" ht="15" customHeight="1">
      <c r="A83" s="18"/>
      <c r="B83" s="148" t="s">
        <v>389</v>
      </c>
      <c r="C83" s="129"/>
      <c r="D83" s="130" t="s">
        <v>60</v>
      </c>
      <c r="E83" s="71"/>
      <c r="F83" s="129" t="s">
        <v>28</v>
      </c>
      <c r="G83" s="129">
        <v>0.91</v>
      </c>
      <c r="H83" s="129">
        <v>0.02</v>
      </c>
      <c r="I83" s="129">
        <v>-0.02</v>
      </c>
      <c r="J83" s="129" t="s">
        <v>12</v>
      </c>
      <c r="K83" s="132" t="s">
        <v>339</v>
      </c>
      <c r="L83" s="133">
        <f t="shared" si="33"/>
        <v>0.93</v>
      </c>
      <c r="M83" s="139">
        <f t="shared" si="34"/>
        <v>0.89</v>
      </c>
      <c r="N83" s="29"/>
      <c r="O83" s="3" t="str">
        <f t="shared" si="40"/>
        <v/>
      </c>
      <c r="P83" s="3" t="str">
        <f t="shared" si="41"/>
        <v/>
      </c>
      <c r="Q83" s="3" t="str">
        <f t="shared" si="42"/>
        <v/>
      </c>
      <c r="R83" s="4" t="str">
        <f t="shared" si="43"/>
        <v/>
      </c>
      <c r="S83" s="5" t="str">
        <f t="shared" si="44"/>
        <v/>
      </c>
      <c r="T83" s="76" t="str">
        <f t="shared" si="27"/>
        <v/>
      </c>
      <c r="U83" s="76" t="str">
        <f t="shared" si="35"/>
        <v/>
      </c>
      <c r="V83" s="5" t="str">
        <f t="shared" si="28"/>
        <v/>
      </c>
      <c r="W83" s="5" t="str">
        <f t="shared" si="29"/>
        <v/>
      </c>
      <c r="X83" s="5" t="str">
        <f t="shared" si="30"/>
        <v/>
      </c>
      <c r="Y83" s="70" t="str">
        <f t="shared" si="31"/>
        <v/>
      </c>
      <c r="Z83" s="32" t="str">
        <f t="shared" si="36"/>
        <v/>
      </c>
      <c r="AA83" s="32" t="str">
        <f t="shared" si="37"/>
        <v/>
      </c>
      <c r="AB83" s="32" t="str">
        <f t="shared" si="38"/>
        <v/>
      </c>
      <c r="AC83" s="32" t="str">
        <f t="shared" si="32"/>
        <v/>
      </c>
      <c r="AD83" s="134"/>
      <c r="AE83" s="135" t="str">
        <f t="shared" si="39"/>
        <v/>
      </c>
      <c r="AF83" s="136"/>
      <c r="AG83" s="137"/>
      <c r="AH83" s="137"/>
      <c r="AI83" s="138"/>
      <c r="AJ83" s="20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CE83" t="str">
        <v/>
      </c>
    </row>
    <row r="84" spans="1:83" ht="15" customHeight="1">
      <c r="A84" s="18"/>
      <c r="B84" s="148" t="s">
        <v>390</v>
      </c>
      <c r="C84" s="129"/>
      <c r="D84" s="130" t="s">
        <v>60</v>
      </c>
      <c r="E84" s="71"/>
      <c r="F84" s="129" t="s">
        <v>28</v>
      </c>
      <c r="G84" s="129">
        <v>0.91</v>
      </c>
      <c r="H84" s="129">
        <v>0.02</v>
      </c>
      <c r="I84" s="129">
        <v>-0.02</v>
      </c>
      <c r="J84" s="129" t="s">
        <v>12</v>
      </c>
      <c r="K84" s="132" t="s">
        <v>339</v>
      </c>
      <c r="L84" s="133">
        <f t="shared" si="33"/>
        <v>0.93</v>
      </c>
      <c r="M84" s="139">
        <f t="shared" si="34"/>
        <v>0.89</v>
      </c>
      <c r="N84" s="29"/>
      <c r="O84" s="3" t="str">
        <f t="shared" si="40"/>
        <v/>
      </c>
      <c r="P84" s="3" t="str">
        <f t="shared" si="41"/>
        <v/>
      </c>
      <c r="Q84" s="3" t="str">
        <f t="shared" si="42"/>
        <v/>
      </c>
      <c r="R84" s="4" t="str">
        <f t="shared" si="43"/>
        <v/>
      </c>
      <c r="S84" s="5" t="str">
        <f t="shared" si="44"/>
        <v/>
      </c>
      <c r="T84" s="76" t="str">
        <f t="shared" si="27"/>
        <v/>
      </c>
      <c r="U84" s="76" t="str">
        <f t="shared" si="35"/>
        <v/>
      </c>
      <c r="V84" s="5" t="str">
        <f t="shared" si="28"/>
        <v/>
      </c>
      <c r="W84" s="5" t="str">
        <f t="shared" si="29"/>
        <v/>
      </c>
      <c r="X84" s="5" t="str">
        <f t="shared" si="30"/>
        <v/>
      </c>
      <c r="Y84" s="70" t="str">
        <f t="shared" si="31"/>
        <v/>
      </c>
      <c r="Z84" s="32" t="str">
        <f t="shared" si="36"/>
        <v/>
      </c>
      <c r="AA84" s="32" t="str">
        <f t="shared" si="37"/>
        <v/>
      </c>
      <c r="AB84" s="32" t="str">
        <f t="shared" si="38"/>
        <v/>
      </c>
      <c r="AC84" s="32" t="str">
        <f t="shared" si="32"/>
        <v/>
      </c>
      <c r="AD84" s="134"/>
      <c r="AE84" s="135" t="str">
        <f t="shared" si="39"/>
        <v/>
      </c>
      <c r="AF84" s="136"/>
      <c r="AG84" s="137"/>
      <c r="AH84" s="137"/>
      <c r="AI84" s="138"/>
      <c r="AJ84" s="20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CE84" t="str">
        <v/>
      </c>
    </row>
    <row r="85" spans="1:83" ht="15" customHeight="1">
      <c r="A85" s="18"/>
      <c r="B85" s="146" t="s">
        <v>294</v>
      </c>
      <c r="C85" s="129" t="s">
        <v>293</v>
      </c>
      <c r="D85" s="130" t="s">
        <v>60</v>
      </c>
      <c r="E85" s="71">
        <v>1.33</v>
      </c>
      <c r="F85" s="129" t="s">
        <v>28</v>
      </c>
      <c r="G85" s="129">
        <v>6.9059999999999997</v>
      </c>
      <c r="H85" s="129">
        <v>2.5000000000000001E-2</v>
      </c>
      <c r="I85" s="129">
        <v>-1.4999999999999999E-2</v>
      </c>
      <c r="J85" s="129" t="s">
        <v>12</v>
      </c>
      <c r="K85" s="132" t="s">
        <v>339</v>
      </c>
      <c r="L85" s="133">
        <f t="shared" si="33"/>
        <v>6.931</v>
      </c>
      <c r="M85" s="139">
        <f t="shared" si="34"/>
        <v>6.891</v>
      </c>
      <c r="N85" s="29"/>
      <c r="O85" s="3" t="str">
        <f t="shared" si="40"/>
        <v/>
      </c>
      <c r="P85" s="3" t="str">
        <f t="shared" si="41"/>
        <v/>
      </c>
      <c r="Q85" s="3" t="str">
        <f t="shared" si="42"/>
        <v/>
      </c>
      <c r="R85" s="4" t="str">
        <f t="shared" si="43"/>
        <v/>
      </c>
      <c r="S85" s="5" t="str">
        <f t="shared" si="44"/>
        <v/>
      </c>
      <c r="T85" s="76" t="str">
        <f t="shared" si="27"/>
        <v/>
      </c>
      <c r="U85" s="76" t="str">
        <f t="shared" si="35"/>
        <v/>
      </c>
      <c r="V85" s="5" t="str">
        <f t="shared" si="28"/>
        <v/>
      </c>
      <c r="W85" s="5" t="str">
        <f t="shared" si="29"/>
        <v/>
      </c>
      <c r="X85" s="5" t="str">
        <f t="shared" si="30"/>
        <v/>
      </c>
      <c r="Y85" s="70" t="str">
        <f t="shared" si="31"/>
        <v/>
      </c>
      <c r="Z85" s="32" t="str">
        <f t="shared" si="36"/>
        <v/>
      </c>
      <c r="AA85" s="32" t="str">
        <f t="shared" si="37"/>
        <v/>
      </c>
      <c r="AB85" s="32" t="str">
        <f t="shared" si="38"/>
        <v/>
      </c>
      <c r="AC85" s="32" t="str">
        <f t="shared" si="32"/>
        <v/>
      </c>
      <c r="AD85" s="134"/>
      <c r="AE85" s="135" t="str">
        <f t="shared" si="39"/>
        <v/>
      </c>
      <c r="AF85" s="136"/>
      <c r="AG85" s="137"/>
      <c r="AH85" s="137"/>
      <c r="AI85" s="138"/>
      <c r="AJ85" s="20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CE85" t="str">
        <v/>
      </c>
    </row>
    <row r="86" spans="1:83" ht="15" customHeight="1">
      <c r="A86" s="18"/>
      <c r="B86" s="146" t="s">
        <v>181</v>
      </c>
      <c r="C86" s="129" t="s">
        <v>293</v>
      </c>
      <c r="D86" s="130" t="s">
        <v>60</v>
      </c>
      <c r="E86" s="71">
        <v>1.33</v>
      </c>
      <c r="F86" s="129" t="s">
        <v>28</v>
      </c>
      <c r="G86" s="129">
        <v>6.9059999999999997</v>
      </c>
      <c r="H86" s="129">
        <v>2.5000000000000001E-2</v>
      </c>
      <c r="I86" s="129">
        <v>-1.4999999999999999E-2</v>
      </c>
      <c r="J86" s="129" t="s">
        <v>12</v>
      </c>
      <c r="K86" s="132" t="s">
        <v>339</v>
      </c>
      <c r="L86" s="133">
        <f t="shared" si="33"/>
        <v>6.931</v>
      </c>
      <c r="M86" s="139">
        <f t="shared" si="34"/>
        <v>6.891</v>
      </c>
      <c r="N86" s="29"/>
      <c r="O86" s="3" t="str">
        <f t="shared" si="40"/>
        <v/>
      </c>
      <c r="P86" s="3" t="str">
        <f t="shared" si="41"/>
        <v/>
      </c>
      <c r="Q86" s="3" t="str">
        <f t="shared" si="42"/>
        <v/>
      </c>
      <c r="R86" s="4" t="str">
        <f t="shared" si="43"/>
        <v/>
      </c>
      <c r="S86" s="5" t="str">
        <f t="shared" si="44"/>
        <v/>
      </c>
      <c r="T86" s="76" t="str">
        <f t="shared" si="27"/>
        <v/>
      </c>
      <c r="U86" s="76" t="str">
        <f t="shared" si="35"/>
        <v/>
      </c>
      <c r="V86" s="5" t="str">
        <f>IF(OR($AK86="",ISNUMBER($AK86)=FALSE),"",IF(H86="","",(L86-Q86)/(3*R86)))</f>
        <v/>
      </c>
      <c r="W86" s="5" t="str">
        <f>IF(OR($AK86="",ISNUMBER($AK86)=FALSE),"",IF(I86="","",(Q86-M86)/(3*R86)))</f>
        <v/>
      </c>
      <c r="X86" s="5" t="str">
        <f>IF(OR($AK86="",ISNUMBER($AK86)=FALSE),"",IF(AND(G86=0,I86=0),((H86)-(Q86))/(3*R86),MIN(V86:W86)))</f>
        <v/>
      </c>
      <c r="Y86" s="70" t="str">
        <f t="shared" si="31"/>
        <v/>
      </c>
      <c r="Z86" s="32" t="str">
        <f t="shared" si="36"/>
        <v/>
      </c>
      <c r="AA86" s="32" t="str">
        <f t="shared" si="37"/>
        <v/>
      </c>
      <c r="AB86" s="32" t="str">
        <f t="shared" si="38"/>
        <v/>
      </c>
      <c r="AC86" s="32" t="str">
        <f t="shared" si="32"/>
        <v/>
      </c>
      <c r="AD86" s="134"/>
      <c r="AE86" s="135" t="str">
        <f t="shared" si="39"/>
        <v/>
      </c>
      <c r="AF86" s="136"/>
      <c r="AG86" s="137"/>
      <c r="AH86" s="137"/>
      <c r="AI86" s="138"/>
      <c r="AJ86" s="20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CE86" t="str">
        <v/>
      </c>
    </row>
    <row r="87" spans="1:83" ht="15" customHeight="1">
      <c r="A87" s="18"/>
      <c r="B87" s="146" t="s">
        <v>295</v>
      </c>
      <c r="C87" s="129" t="s">
        <v>293</v>
      </c>
      <c r="D87" s="130" t="s">
        <v>60</v>
      </c>
      <c r="E87" s="71">
        <v>1.33</v>
      </c>
      <c r="F87" s="129" t="s">
        <v>28</v>
      </c>
      <c r="G87" s="129">
        <v>6.9059999999999997</v>
      </c>
      <c r="H87" s="129">
        <v>2.5000000000000001E-2</v>
      </c>
      <c r="I87" s="129">
        <v>-1.4999999999999999E-2</v>
      </c>
      <c r="J87" s="129" t="s">
        <v>12</v>
      </c>
      <c r="K87" s="132" t="s">
        <v>339</v>
      </c>
      <c r="L87" s="133">
        <f t="shared" si="33"/>
        <v>6.931</v>
      </c>
      <c r="M87" s="139">
        <f t="shared" si="34"/>
        <v>6.891</v>
      </c>
      <c r="N87" s="29"/>
      <c r="O87" s="3" t="str">
        <f t="shared" si="40"/>
        <v/>
      </c>
      <c r="P87" s="3" t="str">
        <f t="shared" si="41"/>
        <v/>
      </c>
      <c r="Q87" s="3" t="str">
        <f t="shared" si="42"/>
        <v/>
      </c>
      <c r="R87" s="4" t="str">
        <f t="shared" si="43"/>
        <v/>
      </c>
      <c r="S87" s="5" t="str">
        <f t="shared" si="44"/>
        <v/>
      </c>
      <c r="T87" s="76" t="str">
        <f t="shared" si="27"/>
        <v/>
      </c>
      <c r="U87" s="76" t="str">
        <f t="shared" si="35"/>
        <v/>
      </c>
      <c r="V87" s="5" t="str">
        <f t="shared" si="28"/>
        <v/>
      </c>
      <c r="W87" s="5" t="str">
        <f t="shared" si="29"/>
        <v/>
      </c>
      <c r="X87" s="5" t="str">
        <f t="shared" si="30"/>
        <v/>
      </c>
      <c r="Y87" s="143" t="str">
        <f t="shared" si="31"/>
        <v/>
      </c>
      <c r="Z87" s="32" t="str">
        <f t="shared" si="36"/>
        <v/>
      </c>
      <c r="AA87" s="32" t="str">
        <f t="shared" si="37"/>
        <v/>
      </c>
      <c r="AB87" s="32" t="str">
        <f t="shared" si="38"/>
        <v/>
      </c>
      <c r="AC87" s="32" t="str">
        <f t="shared" si="32"/>
        <v/>
      </c>
      <c r="AD87" s="134"/>
      <c r="AE87" s="135" t="str">
        <f t="shared" si="39"/>
        <v/>
      </c>
      <c r="AF87" s="136"/>
      <c r="AG87" s="137"/>
      <c r="AH87" s="137"/>
      <c r="AI87" s="13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CE87" t="str">
        <v/>
      </c>
    </row>
    <row r="88" spans="1:83" ht="15" customHeight="1">
      <c r="A88" s="18"/>
      <c r="B88" s="146" t="s">
        <v>296</v>
      </c>
      <c r="C88" s="129"/>
      <c r="D88" s="130" t="s">
        <v>60</v>
      </c>
      <c r="E88" s="71"/>
      <c r="F88" s="129" t="s">
        <v>28</v>
      </c>
      <c r="G88" s="129">
        <v>1.85</v>
      </c>
      <c r="H88" s="129">
        <v>0.02</v>
      </c>
      <c r="I88" s="129">
        <v>-0.02</v>
      </c>
      <c r="J88" s="129" t="s">
        <v>12</v>
      </c>
      <c r="K88" s="132" t="s">
        <v>339</v>
      </c>
      <c r="L88" s="133">
        <f t="shared" si="33"/>
        <v>1.87</v>
      </c>
      <c r="M88" s="139">
        <f t="shared" si="34"/>
        <v>1.83</v>
      </c>
      <c r="N88" s="29"/>
      <c r="O88" s="3" t="str">
        <f t="shared" si="40"/>
        <v/>
      </c>
      <c r="P88" s="3" t="str">
        <f t="shared" si="41"/>
        <v/>
      </c>
      <c r="Q88" s="3" t="str">
        <f t="shared" si="42"/>
        <v/>
      </c>
      <c r="R88" s="4" t="str">
        <f t="shared" si="43"/>
        <v/>
      </c>
      <c r="S88" s="5" t="str">
        <f t="shared" si="44"/>
        <v/>
      </c>
      <c r="T88" s="76" t="str">
        <f t="shared" si="27"/>
        <v/>
      </c>
      <c r="U88" s="76" t="str">
        <f t="shared" si="35"/>
        <v/>
      </c>
      <c r="V88" s="5" t="str">
        <f t="shared" si="28"/>
        <v/>
      </c>
      <c r="W88" s="5" t="str">
        <f t="shared" si="29"/>
        <v/>
      </c>
      <c r="X88" s="5" t="str">
        <f t="shared" si="30"/>
        <v/>
      </c>
      <c r="Y88" s="143" t="str">
        <f t="shared" si="31"/>
        <v/>
      </c>
      <c r="Z88" s="32" t="str">
        <f t="shared" si="36"/>
        <v/>
      </c>
      <c r="AA88" s="32" t="str">
        <f t="shared" si="37"/>
        <v/>
      </c>
      <c r="AB88" s="32" t="str">
        <f t="shared" si="38"/>
        <v/>
      </c>
      <c r="AC88" s="32" t="str">
        <f t="shared" si="32"/>
        <v/>
      </c>
      <c r="AD88" s="134"/>
      <c r="AE88" s="135" t="str">
        <f t="shared" si="39"/>
        <v/>
      </c>
      <c r="AF88" s="136"/>
      <c r="AG88" s="137"/>
      <c r="AH88" s="137"/>
      <c r="AI88" s="13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CE88" t="str">
        <v/>
      </c>
    </row>
    <row r="89" spans="1:83" ht="15" customHeight="1">
      <c r="A89" s="18"/>
      <c r="B89" s="146" t="s">
        <v>183</v>
      </c>
      <c r="C89" s="129"/>
      <c r="D89" s="130" t="s">
        <v>60</v>
      </c>
      <c r="E89" s="71"/>
      <c r="F89" s="129" t="s">
        <v>28</v>
      </c>
      <c r="G89" s="129">
        <v>1.85</v>
      </c>
      <c r="H89" s="129">
        <v>0.02</v>
      </c>
      <c r="I89" s="129">
        <v>-0.02</v>
      </c>
      <c r="J89" s="129" t="s">
        <v>12</v>
      </c>
      <c r="K89" s="132" t="s">
        <v>339</v>
      </c>
      <c r="L89" s="133">
        <f t="shared" si="33"/>
        <v>1.87</v>
      </c>
      <c r="M89" s="139">
        <f t="shared" si="34"/>
        <v>1.83</v>
      </c>
      <c r="N89" s="29"/>
      <c r="O89" s="3" t="str">
        <f t="shared" si="40"/>
        <v/>
      </c>
      <c r="P89" s="3" t="str">
        <f t="shared" si="41"/>
        <v/>
      </c>
      <c r="Q89" s="3" t="str">
        <f t="shared" si="42"/>
        <v/>
      </c>
      <c r="R89" s="4" t="str">
        <f t="shared" si="43"/>
        <v/>
      </c>
      <c r="S89" s="5" t="str">
        <f t="shared" si="44"/>
        <v/>
      </c>
      <c r="T89" s="76" t="str">
        <f t="shared" si="27"/>
        <v/>
      </c>
      <c r="U89" s="76" t="str">
        <f t="shared" si="35"/>
        <v/>
      </c>
      <c r="V89" s="5" t="str">
        <f t="shared" si="28"/>
        <v/>
      </c>
      <c r="W89" s="5" t="str">
        <f t="shared" si="29"/>
        <v/>
      </c>
      <c r="X89" s="5" t="str">
        <f t="shared" si="30"/>
        <v/>
      </c>
      <c r="Y89" s="143" t="str">
        <f t="shared" si="31"/>
        <v/>
      </c>
      <c r="Z89" s="32" t="str">
        <f t="shared" si="36"/>
        <v/>
      </c>
      <c r="AA89" s="32" t="str">
        <f t="shared" si="37"/>
        <v/>
      </c>
      <c r="AB89" s="32" t="str">
        <f t="shared" si="38"/>
        <v/>
      </c>
      <c r="AC89" s="32" t="str">
        <f t="shared" si="32"/>
        <v/>
      </c>
      <c r="AD89" s="134"/>
      <c r="AE89" s="135" t="str">
        <f t="shared" si="39"/>
        <v/>
      </c>
      <c r="AF89" s="136"/>
      <c r="AG89" s="137"/>
      <c r="AH89" s="137"/>
      <c r="AI89" s="13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CE89" t="str">
        <v/>
      </c>
    </row>
    <row r="90" spans="1:83" ht="15" customHeight="1">
      <c r="A90" s="18"/>
      <c r="B90" s="128">
        <v>56</v>
      </c>
      <c r="C90" s="129" t="s">
        <v>259</v>
      </c>
      <c r="D90" s="130" t="s">
        <v>60</v>
      </c>
      <c r="E90" s="71">
        <v>1.33</v>
      </c>
      <c r="F90" s="129" t="s">
        <v>28</v>
      </c>
      <c r="G90" s="129">
        <v>0.47</v>
      </c>
      <c r="H90" s="129">
        <v>0.01</v>
      </c>
      <c r="I90" s="129">
        <v>-0.03</v>
      </c>
      <c r="J90" s="129" t="s">
        <v>12</v>
      </c>
      <c r="K90" s="132" t="s">
        <v>339</v>
      </c>
      <c r="L90" s="133">
        <f t="shared" si="33"/>
        <v>0.48</v>
      </c>
      <c r="M90" s="139">
        <f t="shared" si="34"/>
        <v>0.43999999999999995</v>
      </c>
      <c r="N90" s="29"/>
      <c r="O90" s="3" t="str">
        <f t="shared" si="40"/>
        <v/>
      </c>
      <c r="P90" s="3" t="str">
        <f t="shared" si="41"/>
        <v/>
      </c>
      <c r="Q90" s="3" t="str">
        <f t="shared" si="42"/>
        <v/>
      </c>
      <c r="R90" s="4" t="str">
        <f t="shared" si="43"/>
        <v/>
      </c>
      <c r="S90" s="5" t="str">
        <f t="shared" si="44"/>
        <v/>
      </c>
      <c r="T90" s="76" t="str">
        <f t="shared" si="27"/>
        <v/>
      </c>
      <c r="U90" s="76" t="str">
        <f t="shared" si="35"/>
        <v/>
      </c>
      <c r="V90" s="5" t="str">
        <f t="shared" si="28"/>
        <v/>
      </c>
      <c r="W90" s="5" t="str">
        <f t="shared" si="29"/>
        <v/>
      </c>
      <c r="X90" s="5" t="str">
        <f t="shared" si="30"/>
        <v/>
      </c>
      <c r="Y90" s="143" t="str">
        <f t="shared" si="31"/>
        <v/>
      </c>
      <c r="Z90" s="32" t="str">
        <f t="shared" si="36"/>
        <v/>
      </c>
      <c r="AA90" s="32" t="str">
        <f t="shared" si="37"/>
        <v/>
      </c>
      <c r="AB90" s="32" t="str">
        <f t="shared" si="38"/>
        <v/>
      </c>
      <c r="AC90" s="32" t="str">
        <f t="shared" si="32"/>
        <v/>
      </c>
      <c r="AD90" s="134"/>
      <c r="AE90" s="135" t="str">
        <f t="shared" si="39"/>
        <v/>
      </c>
      <c r="AF90" s="136"/>
      <c r="AG90" s="137"/>
      <c r="AH90" s="137"/>
      <c r="AI90" s="138"/>
      <c r="AJ90" s="20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CE90" t="str">
        <v/>
      </c>
    </row>
    <row r="91" spans="1:83" ht="15" customHeight="1">
      <c r="A91" s="18"/>
      <c r="B91" s="128">
        <v>57</v>
      </c>
      <c r="C91" s="129" t="s">
        <v>297</v>
      </c>
      <c r="D91" s="130" t="s">
        <v>60</v>
      </c>
      <c r="E91" s="71">
        <v>1.33</v>
      </c>
      <c r="F91" s="129" t="s">
        <v>28</v>
      </c>
      <c r="G91" s="129">
        <v>0.25</v>
      </c>
      <c r="H91" s="129">
        <v>0.01</v>
      </c>
      <c r="I91" s="129">
        <v>-0.03</v>
      </c>
      <c r="J91" s="129" t="s">
        <v>12</v>
      </c>
      <c r="K91" s="132" t="s">
        <v>339</v>
      </c>
      <c r="L91" s="133">
        <f t="shared" si="33"/>
        <v>0.26</v>
      </c>
      <c r="M91" s="139">
        <f t="shared" si="34"/>
        <v>0.22</v>
      </c>
      <c r="N91" s="29"/>
      <c r="O91" s="3" t="str">
        <f t="shared" si="40"/>
        <v/>
      </c>
      <c r="P91" s="3" t="str">
        <f t="shared" si="41"/>
        <v/>
      </c>
      <c r="Q91" s="3" t="str">
        <f t="shared" si="42"/>
        <v/>
      </c>
      <c r="R91" s="4" t="str">
        <f t="shared" si="43"/>
        <v/>
      </c>
      <c r="S91" s="5" t="str">
        <f t="shared" si="44"/>
        <v/>
      </c>
      <c r="T91" s="76" t="str">
        <f t="shared" si="27"/>
        <v/>
      </c>
      <c r="U91" s="76" t="str">
        <f t="shared" si="35"/>
        <v/>
      </c>
      <c r="V91" s="5" t="str">
        <f t="shared" si="28"/>
        <v/>
      </c>
      <c r="W91" s="5" t="str">
        <f t="shared" si="29"/>
        <v/>
      </c>
      <c r="X91" s="5" t="str">
        <f t="shared" si="30"/>
        <v/>
      </c>
      <c r="Y91" s="143" t="str">
        <f t="shared" si="31"/>
        <v/>
      </c>
      <c r="Z91" s="32" t="str">
        <f t="shared" si="36"/>
        <v/>
      </c>
      <c r="AA91" s="32" t="str">
        <f t="shared" si="37"/>
        <v/>
      </c>
      <c r="AB91" s="32" t="str">
        <f t="shared" si="38"/>
        <v/>
      </c>
      <c r="AC91" s="32" t="str">
        <f t="shared" si="32"/>
        <v/>
      </c>
      <c r="AD91" s="134"/>
      <c r="AE91" s="135" t="str">
        <f t="shared" si="39"/>
        <v/>
      </c>
      <c r="AF91" s="136"/>
      <c r="AG91" s="137"/>
      <c r="AH91" s="137"/>
      <c r="AI91" s="138"/>
      <c r="AJ91" s="20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CE91" t="str">
        <v/>
      </c>
    </row>
    <row r="92" spans="1:83" ht="15" customHeight="1">
      <c r="A92" s="18"/>
      <c r="B92" s="128" t="s">
        <v>391</v>
      </c>
      <c r="C92" s="129" t="s">
        <v>298</v>
      </c>
      <c r="D92" s="130" t="s">
        <v>60</v>
      </c>
      <c r="E92" s="71">
        <v>1.33</v>
      </c>
      <c r="F92" s="129" t="s">
        <v>28</v>
      </c>
      <c r="G92" s="129">
        <v>0.41099999999999998</v>
      </c>
      <c r="H92" s="129">
        <v>0.01</v>
      </c>
      <c r="I92" s="129">
        <v>-0.03</v>
      </c>
      <c r="J92" s="129" t="s">
        <v>12</v>
      </c>
      <c r="K92" s="132" t="s">
        <v>339</v>
      </c>
      <c r="L92" s="133">
        <f t="shared" si="33"/>
        <v>0.42099999999999999</v>
      </c>
      <c r="M92" s="139">
        <f t="shared" si="34"/>
        <v>0.38100000000000001</v>
      </c>
      <c r="N92" s="29"/>
      <c r="O92" s="3" t="str">
        <f t="shared" si="40"/>
        <v/>
      </c>
      <c r="P92" s="3" t="str">
        <f t="shared" si="41"/>
        <v/>
      </c>
      <c r="Q92" s="3" t="str">
        <f t="shared" si="42"/>
        <v/>
      </c>
      <c r="R92" s="4" t="str">
        <f t="shared" si="43"/>
        <v/>
      </c>
      <c r="S92" s="5" t="str">
        <f t="shared" si="44"/>
        <v/>
      </c>
      <c r="T92" s="76" t="str">
        <f t="shared" si="27"/>
        <v/>
      </c>
      <c r="U92" s="76" t="str">
        <f t="shared" si="35"/>
        <v/>
      </c>
      <c r="V92" s="5" t="str">
        <f t="shared" si="28"/>
        <v/>
      </c>
      <c r="W92" s="5" t="str">
        <f t="shared" si="29"/>
        <v/>
      </c>
      <c r="X92" s="5" t="str">
        <f t="shared" si="30"/>
        <v/>
      </c>
      <c r="Y92" s="143" t="str">
        <f t="shared" si="31"/>
        <v/>
      </c>
      <c r="Z92" s="32" t="str">
        <f t="shared" si="36"/>
        <v/>
      </c>
      <c r="AA92" s="32" t="str">
        <f t="shared" si="37"/>
        <v/>
      </c>
      <c r="AB92" s="32" t="str">
        <f t="shared" si="38"/>
        <v/>
      </c>
      <c r="AC92" s="32" t="str">
        <f t="shared" si="32"/>
        <v/>
      </c>
      <c r="AD92" s="134"/>
      <c r="AE92" s="135" t="str">
        <f t="shared" si="39"/>
        <v/>
      </c>
      <c r="AF92" s="136"/>
      <c r="AG92" s="137"/>
      <c r="AH92" s="137"/>
      <c r="AI92" s="138"/>
      <c r="AJ92" s="20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CE92" t="str">
        <v/>
      </c>
    </row>
    <row r="93" spans="1:83" ht="15" customHeight="1">
      <c r="A93" s="18"/>
      <c r="B93" s="128" t="s">
        <v>392</v>
      </c>
      <c r="C93" s="129" t="s">
        <v>298</v>
      </c>
      <c r="D93" s="130" t="s">
        <v>60</v>
      </c>
      <c r="E93" s="71">
        <v>1.33</v>
      </c>
      <c r="F93" s="129" t="s">
        <v>28</v>
      </c>
      <c r="G93" s="129">
        <v>0.41099999999999998</v>
      </c>
      <c r="H93" s="129">
        <v>0.01</v>
      </c>
      <c r="I93" s="129">
        <v>-0.03</v>
      </c>
      <c r="J93" s="129" t="s">
        <v>12</v>
      </c>
      <c r="K93" s="132" t="s">
        <v>339</v>
      </c>
      <c r="L93" s="133">
        <f t="shared" si="33"/>
        <v>0.42099999999999999</v>
      </c>
      <c r="M93" s="139">
        <f t="shared" si="34"/>
        <v>0.38100000000000001</v>
      </c>
      <c r="N93" s="29"/>
      <c r="O93" s="3" t="str">
        <f t="shared" si="40"/>
        <v/>
      </c>
      <c r="P93" s="3" t="str">
        <f t="shared" si="41"/>
        <v/>
      </c>
      <c r="Q93" s="3" t="str">
        <f t="shared" si="42"/>
        <v/>
      </c>
      <c r="R93" s="4" t="str">
        <f t="shared" si="43"/>
        <v/>
      </c>
      <c r="S93" s="5" t="str">
        <f t="shared" si="44"/>
        <v/>
      </c>
      <c r="T93" s="76" t="str">
        <f t="shared" si="27"/>
        <v/>
      </c>
      <c r="U93" s="76" t="str">
        <f t="shared" si="35"/>
        <v/>
      </c>
      <c r="V93" s="5" t="str">
        <f t="shared" si="28"/>
        <v/>
      </c>
      <c r="W93" s="5" t="str">
        <f t="shared" si="29"/>
        <v/>
      </c>
      <c r="X93" s="5" t="str">
        <f t="shared" si="30"/>
        <v/>
      </c>
      <c r="Y93" s="143" t="str">
        <f t="shared" si="31"/>
        <v/>
      </c>
      <c r="Z93" s="32" t="str">
        <f t="shared" si="36"/>
        <v/>
      </c>
      <c r="AA93" s="32" t="str">
        <f t="shared" si="37"/>
        <v/>
      </c>
      <c r="AB93" s="32" t="str">
        <f t="shared" si="38"/>
        <v/>
      </c>
      <c r="AC93" s="32" t="str">
        <f t="shared" si="32"/>
        <v/>
      </c>
      <c r="AD93" s="134"/>
      <c r="AE93" s="135" t="str">
        <f t="shared" si="39"/>
        <v/>
      </c>
      <c r="AF93" s="136"/>
      <c r="AG93" s="137"/>
      <c r="AH93" s="137"/>
      <c r="AI93" s="138"/>
      <c r="AJ93" s="20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CE93" t="str">
        <v/>
      </c>
    </row>
    <row r="94" spans="1:83" ht="15" customHeight="1">
      <c r="A94" s="18"/>
      <c r="B94" s="128" t="s">
        <v>393</v>
      </c>
      <c r="C94" s="129" t="s">
        <v>260</v>
      </c>
      <c r="D94" s="130" t="s">
        <v>60</v>
      </c>
      <c r="E94" s="71">
        <v>1.33</v>
      </c>
      <c r="F94" s="129" t="s">
        <v>28</v>
      </c>
      <c r="G94" s="129">
        <v>0.17</v>
      </c>
      <c r="H94" s="129">
        <v>0.02</v>
      </c>
      <c r="I94" s="129">
        <v>-0.02</v>
      </c>
      <c r="J94" s="129" t="s">
        <v>12</v>
      </c>
      <c r="K94" s="132" t="s">
        <v>339</v>
      </c>
      <c r="L94" s="133">
        <f t="shared" si="33"/>
        <v>0.19</v>
      </c>
      <c r="M94" s="139">
        <f t="shared" si="34"/>
        <v>0.15000000000000002</v>
      </c>
      <c r="N94" s="29"/>
      <c r="O94" s="3" t="str">
        <f t="shared" si="40"/>
        <v/>
      </c>
      <c r="P94" s="3" t="str">
        <f t="shared" si="41"/>
        <v/>
      </c>
      <c r="Q94" s="3" t="str">
        <f t="shared" si="42"/>
        <v/>
      </c>
      <c r="R94" s="4" t="str">
        <f t="shared" si="43"/>
        <v/>
      </c>
      <c r="S94" s="5" t="str">
        <f t="shared" si="44"/>
        <v/>
      </c>
      <c r="T94" s="76" t="str">
        <f t="shared" si="27"/>
        <v/>
      </c>
      <c r="U94" s="76" t="str">
        <f t="shared" si="35"/>
        <v/>
      </c>
      <c r="V94" s="5" t="str">
        <f t="shared" si="28"/>
        <v/>
      </c>
      <c r="W94" s="5" t="str">
        <f t="shared" si="29"/>
        <v/>
      </c>
      <c r="X94" s="5" t="str">
        <f t="shared" si="30"/>
        <v/>
      </c>
      <c r="Y94" s="143" t="str">
        <f t="shared" si="31"/>
        <v/>
      </c>
      <c r="Z94" s="32" t="str">
        <f t="shared" si="36"/>
        <v/>
      </c>
      <c r="AA94" s="32" t="str">
        <f t="shared" si="37"/>
        <v/>
      </c>
      <c r="AB94" s="32" t="str">
        <f t="shared" si="38"/>
        <v/>
      </c>
      <c r="AC94" s="32" t="str">
        <f t="shared" si="32"/>
        <v/>
      </c>
      <c r="AD94" s="134"/>
      <c r="AE94" s="135" t="str">
        <f t="shared" si="39"/>
        <v/>
      </c>
      <c r="AF94" s="136"/>
      <c r="AG94" s="137"/>
      <c r="AH94" s="137"/>
      <c r="AI94" s="13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CE94" t="str">
        <v/>
      </c>
    </row>
    <row r="95" spans="1:83" ht="15" customHeight="1">
      <c r="A95" s="18"/>
      <c r="B95" s="128" t="s">
        <v>394</v>
      </c>
      <c r="C95" s="129" t="s">
        <v>260</v>
      </c>
      <c r="D95" s="130" t="s">
        <v>60</v>
      </c>
      <c r="E95" s="71">
        <v>1.33</v>
      </c>
      <c r="F95" s="129" t="s">
        <v>28</v>
      </c>
      <c r="G95" s="129">
        <v>0.17</v>
      </c>
      <c r="H95" s="129">
        <v>0.02</v>
      </c>
      <c r="I95" s="129">
        <v>-0.02</v>
      </c>
      <c r="J95" s="129" t="s">
        <v>12</v>
      </c>
      <c r="K95" s="132" t="s">
        <v>339</v>
      </c>
      <c r="L95" s="133">
        <f t="shared" si="33"/>
        <v>0.19</v>
      </c>
      <c r="M95" s="139">
        <f t="shared" si="34"/>
        <v>0.15000000000000002</v>
      </c>
      <c r="N95" s="29"/>
      <c r="O95" s="3" t="str">
        <f t="shared" si="40"/>
        <v/>
      </c>
      <c r="P95" s="3" t="str">
        <f t="shared" si="41"/>
        <v/>
      </c>
      <c r="Q95" s="3" t="str">
        <f t="shared" si="42"/>
        <v/>
      </c>
      <c r="R95" s="4" t="str">
        <f t="shared" si="43"/>
        <v/>
      </c>
      <c r="S95" s="5" t="str">
        <f t="shared" si="44"/>
        <v/>
      </c>
      <c r="T95" s="76" t="str">
        <f t="shared" si="27"/>
        <v/>
      </c>
      <c r="U95" s="76" t="str">
        <f t="shared" si="35"/>
        <v/>
      </c>
      <c r="V95" s="5" t="str">
        <f t="shared" si="28"/>
        <v/>
      </c>
      <c r="W95" s="5" t="str">
        <f t="shared" si="29"/>
        <v/>
      </c>
      <c r="X95" s="5" t="str">
        <f t="shared" si="30"/>
        <v/>
      </c>
      <c r="Y95" s="143" t="str">
        <f t="shared" si="31"/>
        <v/>
      </c>
      <c r="Z95" s="32" t="str">
        <f t="shared" si="36"/>
        <v/>
      </c>
      <c r="AA95" s="32" t="str">
        <f t="shared" si="37"/>
        <v/>
      </c>
      <c r="AB95" s="32" t="str">
        <f t="shared" si="38"/>
        <v/>
      </c>
      <c r="AC95" s="32" t="str">
        <f t="shared" si="32"/>
        <v/>
      </c>
      <c r="AD95" s="134"/>
      <c r="AE95" s="135" t="str">
        <f t="shared" si="39"/>
        <v/>
      </c>
      <c r="AF95" s="136"/>
      <c r="AG95" s="137"/>
      <c r="AH95" s="137"/>
      <c r="AI95" s="13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CE95" t="str">
        <v/>
      </c>
    </row>
    <row r="96" spans="1:83" ht="15" customHeight="1">
      <c r="A96" s="18"/>
      <c r="B96" s="128" t="s">
        <v>395</v>
      </c>
      <c r="C96" s="129"/>
      <c r="D96" s="130" t="s">
        <v>60</v>
      </c>
      <c r="E96" s="71"/>
      <c r="F96" s="129" t="s">
        <v>28</v>
      </c>
      <c r="G96" s="129">
        <v>0.45500000000000002</v>
      </c>
      <c r="H96" s="129">
        <v>0.02</v>
      </c>
      <c r="I96" s="129">
        <v>-0.02</v>
      </c>
      <c r="J96" s="129" t="s">
        <v>12</v>
      </c>
      <c r="K96" s="132" t="s">
        <v>339</v>
      </c>
      <c r="L96" s="133">
        <f t="shared" si="33"/>
        <v>0.47500000000000003</v>
      </c>
      <c r="M96" s="139">
        <f t="shared" si="34"/>
        <v>0.435</v>
      </c>
      <c r="N96" s="29"/>
      <c r="O96" s="3" t="str">
        <f t="shared" si="40"/>
        <v/>
      </c>
      <c r="P96" s="3" t="str">
        <f t="shared" si="41"/>
        <v/>
      </c>
      <c r="Q96" s="3" t="str">
        <f t="shared" si="42"/>
        <v/>
      </c>
      <c r="R96" s="4" t="str">
        <f t="shared" si="43"/>
        <v/>
      </c>
      <c r="S96" s="5" t="str">
        <f t="shared" si="44"/>
        <v/>
      </c>
      <c r="T96" s="76" t="str">
        <f t="shared" si="27"/>
        <v/>
      </c>
      <c r="U96" s="76" t="str">
        <f t="shared" si="35"/>
        <v/>
      </c>
      <c r="V96" s="5" t="str">
        <f t="shared" si="28"/>
        <v/>
      </c>
      <c r="W96" s="5" t="str">
        <f t="shared" si="29"/>
        <v/>
      </c>
      <c r="X96" s="5" t="str">
        <f t="shared" si="30"/>
        <v/>
      </c>
      <c r="Y96" s="143" t="str">
        <f t="shared" si="31"/>
        <v/>
      </c>
      <c r="Z96" s="32" t="str">
        <f t="shared" si="36"/>
        <v/>
      </c>
      <c r="AA96" s="32" t="str">
        <f t="shared" si="37"/>
        <v/>
      </c>
      <c r="AB96" s="32" t="str">
        <f t="shared" si="38"/>
        <v/>
      </c>
      <c r="AC96" s="32" t="str">
        <f t="shared" si="32"/>
        <v/>
      </c>
      <c r="AD96" s="134"/>
      <c r="AE96" s="135" t="str">
        <f t="shared" si="39"/>
        <v/>
      </c>
      <c r="AF96" s="136"/>
      <c r="AG96" s="137"/>
      <c r="AH96" s="137"/>
      <c r="AI96" s="13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CE96" t="str">
        <v/>
      </c>
    </row>
    <row r="97" spans="1:83" ht="15" customHeight="1">
      <c r="A97" s="18"/>
      <c r="B97" s="128" t="s">
        <v>396</v>
      </c>
      <c r="C97" s="129"/>
      <c r="D97" s="130" t="s">
        <v>60</v>
      </c>
      <c r="E97" s="71"/>
      <c r="F97" s="129" t="s">
        <v>28</v>
      </c>
      <c r="G97" s="129">
        <v>0.45500000000000002</v>
      </c>
      <c r="H97" s="129">
        <v>0.02</v>
      </c>
      <c r="I97" s="129">
        <v>-0.02</v>
      </c>
      <c r="J97" s="129" t="s">
        <v>12</v>
      </c>
      <c r="K97" s="132" t="s">
        <v>339</v>
      </c>
      <c r="L97" s="133">
        <f t="shared" si="33"/>
        <v>0.47500000000000003</v>
      </c>
      <c r="M97" s="139">
        <f t="shared" si="34"/>
        <v>0.435</v>
      </c>
      <c r="N97" s="29"/>
      <c r="O97" s="3" t="str">
        <f t="shared" si="40"/>
        <v/>
      </c>
      <c r="P97" s="3" t="str">
        <f t="shared" si="41"/>
        <v/>
      </c>
      <c r="Q97" s="3" t="str">
        <f t="shared" si="42"/>
        <v/>
      </c>
      <c r="R97" s="4" t="str">
        <f t="shared" si="43"/>
        <v/>
      </c>
      <c r="S97" s="5" t="str">
        <f t="shared" si="44"/>
        <v/>
      </c>
      <c r="T97" s="76" t="str">
        <f t="shared" si="27"/>
        <v/>
      </c>
      <c r="U97" s="76" t="str">
        <f t="shared" si="35"/>
        <v/>
      </c>
      <c r="V97" s="5" t="str">
        <f t="shared" si="28"/>
        <v/>
      </c>
      <c r="W97" s="5" t="str">
        <f t="shared" si="29"/>
        <v/>
      </c>
      <c r="X97" s="5" t="str">
        <f t="shared" si="30"/>
        <v/>
      </c>
      <c r="Y97" s="143" t="str">
        <f t="shared" si="31"/>
        <v/>
      </c>
      <c r="Z97" s="32" t="str">
        <f t="shared" si="36"/>
        <v/>
      </c>
      <c r="AA97" s="32" t="str">
        <f t="shared" si="37"/>
        <v/>
      </c>
      <c r="AB97" s="32" t="str">
        <f t="shared" si="38"/>
        <v/>
      </c>
      <c r="AC97" s="32" t="str">
        <f t="shared" si="32"/>
        <v/>
      </c>
      <c r="AD97" s="134"/>
      <c r="AE97" s="135" t="str">
        <f t="shared" si="39"/>
        <v/>
      </c>
      <c r="AF97" s="136"/>
      <c r="AG97" s="137"/>
      <c r="AH97" s="137"/>
      <c r="AI97" s="13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CE97" t="str">
        <v/>
      </c>
    </row>
    <row r="98" spans="1:83" ht="15" customHeight="1">
      <c r="A98" s="18"/>
      <c r="B98" s="128">
        <v>61</v>
      </c>
      <c r="C98" s="129"/>
      <c r="D98" s="130" t="s">
        <v>60</v>
      </c>
      <c r="E98" s="71"/>
      <c r="F98" s="129" t="s">
        <v>28</v>
      </c>
      <c r="G98" s="129">
        <v>7.9009999999999998</v>
      </c>
      <c r="H98" s="129">
        <v>0.02</v>
      </c>
      <c r="I98" s="129">
        <v>-0.02</v>
      </c>
      <c r="J98" s="129" t="s">
        <v>12</v>
      </c>
      <c r="K98" s="132" t="s">
        <v>339</v>
      </c>
      <c r="L98" s="133">
        <f>IF(AND(G98="",H98=""),"",IF(G98="",H98,G98+H98))</f>
        <v>7.9209999999999994</v>
      </c>
      <c r="M98" s="139">
        <f>IF(AND(G98="",I98=""),"",IF(G98="",I98,G98+I98))</f>
        <v>7.8810000000000002</v>
      </c>
      <c r="N98" s="28"/>
      <c r="O98" s="3" t="str">
        <f t="shared" si="40"/>
        <v/>
      </c>
      <c r="P98" s="3" t="str">
        <f t="shared" si="41"/>
        <v/>
      </c>
      <c r="Q98" s="3" t="str">
        <f t="shared" si="42"/>
        <v/>
      </c>
      <c r="R98" s="4" t="str">
        <f t="shared" si="43"/>
        <v/>
      </c>
      <c r="S98" s="5" t="str">
        <f t="shared" si="44"/>
        <v/>
      </c>
      <c r="T98" s="76" t="str">
        <f t="shared" si="27"/>
        <v/>
      </c>
      <c r="U98" s="76" t="str">
        <f t="shared" si="35"/>
        <v/>
      </c>
      <c r="V98" s="5" t="str">
        <f t="shared" si="28"/>
        <v/>
      </c>
      <c r="W98" s="5" t="str">
        <f t="shared" si="29"/>
        <v/>
      </c>
      <c r="X98" s="5" t="str">
        <f t="shared" si="30"/>
        <v/>
      </c>
      <c r="Y98" s="70" t="str">
        <f t="shared" si="31"/>
        <v/>
      </c>
      <c r="Z98" s="32" t="str">
        <f t="shared" ref="Z98:Z133" si="45">IF($Q98="","",IF(F98="Tolerance",IF(($E98*3*R98+Q98)-G98&lt;H98,"",($E98*3*R98+Q98)-G98),IF(OR(F98="GD&amp;T",F98="MAX"),IF(($E98*3*R98+Q98)&lt;H98,"",($E98*3*R98+Q98)),"")))</f>
        <v/>
      </c>
      <c r="AA98" s="32" t="str">
        <f t="shared" ref="AA98:AA133" si="46">IF(Q98="","",IF(F98="Tolerance",IF(-(($E98*3*R98)-Q98)-G98&gt;I98,"",-(($E98*3*R98)-Q98)-G98),IF(F98="MIN",IF(-(($E98*3*R98)-Q98)&gt;I98,"",-(($E98*3*R98)-Q98)),"")))</f>
        <v/>
      </c>
      <c r="AB98" s="32" t="str">
        <f>IF(OR(G98="",Q98=""),"",(L98+M98)/2-Q98)</f>
        <v/>
      </c>
      <c r="AC98" s="32" t="str">
        <f t="shared" si="32"/>
        <v/>
      </c>
      <c r="AD98" s="134"/>
      <c r="AE98" s="135" t="str">
        <f t="shared" si="39"/>
        <v/>
      </c>
      <c r="AF98" s="136"/>
      <c r="AG98" s="137"/>
      <c r="AH98" s="137"/>
      <c r="AI98" s="138"/>
      <c r="AJ98" s="23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CE98" t="str">
        <v/>
      </c>
    </row>
    <row r="99" spans="1:83" ht="15" customHeight="1">
      <c r="A99" s="18"/>
      <c r="B99" s="149" t="s">
        <v>397</v>
      </c>
      <c r="C99" s="129"/>
      <c r="D99" s="130" t="s">
        <v>60</v>
      </c>
      <c r="E99" s="71"/>
      <c r="F99" s="129" t="s">
        <v>28</v>
      </c>
      <c r="G99" s="129">
        <v>11.72</v>
      </c>
      <c r="H99" s="129">
        <v>0.02</v>
      </c>
      <c r="I99" s="129">
        <v>-0.02</v>
      </c>
      <c r="J99" s="129" t="s">
        <v>12</v>
      </c>
      <c r="K99" s="132" t="s">
        <v>339</v>
      </c>
      <c r="L99" s="133">
        <f>IF(AND(G99="",H99=""),"",IF(G99="",H99,G99+H99))</f>
        <v>11.74</v>
      </c>
      <c r="M99" s="139">
        <f>IF(AND(G99="",I99=""),"",IF(G99="",I99,G99+I99))</f>
        <v>11.700000000000001</v>
      </c>
      <c r="N99" s="28"/>
      <c r="O99" s="3" t="str">
        <f t="shared" si="40"/>
        <v/>
      </c>
      <c r="P99" s="3" t="str">
        <f t="shared" si="41"/>
        <v/>
      </c>
      <c r="Q99" s="3" t="str">
        <f t="shared" si="42"/>
        <v/>
      </c>
      <c r="R99" s="4" t="str">
        <f t="shared" si="43"/>
        <v/>
      </c>
      <c r="S99" s="5" t="str">
        <f t="shared" si="44"/>
        <v/>
      </c>
      <c r="T99" s="76" t="str">
        <f t="shared" si="27"/>
        <v/>
      </c>
      <c r="U99" s="76" t="str">
        <f t="shared" si="35"/>
        <v/>
      </c>
      <c r="V99" s="5" t="str">
        <f t="shared" si="28"/>
        <v/>
      </c>
      <c r="W99" s="5" t="str">
        <f t="shared" si="29"/>
        <v/>
      </c>
      <c r="X99" s="5" t="str">
        <f t="shared" si="30"/>
        <v/>
      </c>
      <c r="Y99" s="70" t="str">
        <f t="shared" si="31"/>
        <v/>
      </c>
      <c r="Z99" s="32" t="str">
        <f t="shared" si="45"/>
        <v/>
      </c>
      <c r="AA99" s="32" t="str">
        <f t="shared" si="46"/>
        <v/>
      </c>
      <c r="AB99" s="32" t="str">
        <f>IF(OR(G99="",Q99=""),"",(L99+M99)/2-Q99)</f>
        <v/>
      </c>
      <c r="AC99" s="32" t="str">
        <f t="shared" si="32"/>
        <v/>
      </c>
      <c r="AD99" s="134"/>
      <c r="AE99" s="135" t="str">
        <f t="shared" si="39"/>
        <v/>
      </c>
      <c r="AF99" s="136"/>
      <c r="AG99" s="137"/>
      <c r="AH99" s="137"/>
      <c r="AI99" s="138"/>
      <c r="AJ99" s="23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CE99" t="str">
        <v/>
      </c>
    </row>
    <row r="100" spans="1:83" ht="15" customHeight="1">
      <c r="A100" s="18"/>
      <c r="B100" s="149" t="s">
        <v>398</v>
      </c>
      <c r="C100" s="129"/>
      <c r="D100" s="130" t="s">
        <v>60</v>
      </c>
      <c r="E100" s="71"/>
      <c r="F100" s="129" t="s">
        <v>28</v>
      </c>
      <c r="G100" s="129">
        <v>11.72</v>
      </c>
      <c r="H100" s="129">
        <v>0.02</v>
      </c>
      <c r="I100" s="129">
        <v>-0.02</v>
      </c>
      <c r="J100" s="129" t="s">
        <v>12</v>
      </c>
      <c r="K100" s="132" t="s">
        <v>339</v>
      </c>
      <c r="L100" s="133">
        <f t="shared" ref="L100:L133" si="47">IF(AND(G100="",H100=""),"",IF(G100="",H100,G100+H100))</f>
        <v>11.74</v>
      </c>
      <c r="M100" s="139">
        <f t="shared" ref="M100:M133" si="48">IF(AND(G100="",I100=""),"",IF(G100="",I100,G100+I100))</f>
        <v>11.700000000000001</v>
      </c>
      <c r="N100" s="28"/>
      <c r="O100" s="3" t="str">
        <f t="shared" si="40"/>
        <v/>
      </c>
      <c r="P100" s="3" t="str">
        <f t="shared" si="41"/>
        <v/>
      </c>
      <c r="Q100" s="3" t="str">
        <f t="shared" si="42"/>
        <v/>
      </c>
      <c r="R100" s="4" t="str">
        <f t="shared" si="43"/>
        <v/>
      </c>
      <c r="S100" s="5" t="str">
        <f t="shared" si="44"/>
        <v/>
      </c>
      <c r="T100" s="76" t="str">
        <f t="shared" si="27"/>
        <v/>
      </c>
      <c r="U100" s="76" t="str">
        <f t="shared" si="35"/>
        <v/>
      </c>
      <c r="V100" s="5" t="str">
        <f t="shared" si="28"/>
        <v/>
      </c>
      <c r="W100" s="5" t="str">
        <f t="shared" si="29"/>
        <v/>
      </c>
      <c r="X100" s="5" t="str">
        <f t="shared" si="30"/>
        <v/>
      </c>
      <c r="Y100" s="70" t="str">
        <f t="shared" si="31"/>
        <v/>
      </c>
      <c r="Z100" s="32" t="str">
        <f t="shared" si="45"/>
        <v/>
      </c>
      <c r="AA100" s="32" t="str">
        <f t="shared" si="46"/>
        <v/>
      </c>
      <c r="AB100" s="32" t="str">
        <f t="shared" ref="AB100:AB133" si="49">IF(OR(G100="",Q100=""),"",(L100+M100)/2-Q100)</f>
        <v/>
      </c>
      <c r="AC100" s="32" t="str">
        <f t="shared" si="32"/>
        <v/>
      </c>
      <c r="AD100" s="134"/>
      <c r="AE100" s="135" t="str">
        <f t="shared" si="39"/>
        <v/>
      </c>
      <c r="AF100" s="136"/>
      <c r="AG100" s="137"/>
      <c r="AH100" s="137"/>
      <c r="AI100" s="138"/>
      <c r="AJ100" s="23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CE100" t="str">
        <v/>
      </c>
    </row>
    <row r="101" spans="1:83" ht="15" customHeight="1">
      <c r="A101" s="18"/>
      <c r="B101" s="149" t="s">
        <v>399</v>
      </c>
      <c r="C101" s="129"/>
      <c r="D101" s="130" t="s">
        <v>60</v>
      </c>
      <c r="E101" s="71"/>
      <c r="F101" s="129" t="s">
        <v>28</v>
      </c>
      <c r="G101" s="129">
        <v>0.434</v>
      </c>
      <c r="H101" s="129">
        <v>0.02</v>
      </c>
      <c r="I101" s="129">
        <v>-0.02</v>
      </c>
      <c r="J101" s="129" t="s">
        <v>12</v>
      </c>
      <c r="K101" s="132" t="s">
        <v>339</v>
      </c>
      <c r="L101" s="133">
        <f t="shared" si="47"/>
        <v>0.45400000000000001</v>
      </c>
      <c r="M101" s="139">
        <f t="shared" si="48"/>
        <v>0.41399999999999998</v>
      </c>
      <c r="N101" s="28"/>
      <c r="O101" s="3" t="str">
        <f t="shared" si="40"/>
        <v/>
      </c>
      <c r="P101" s="3" t="str">
        <f t="shared" si="41"/>
        <v/>
      </c>
      <c r="Q101" s="3" t="str">
        <f t="shared" si="42"/>
        <v/>
      </c>
      <c r="R101" s="4" t="str">
        <f t="shared" si="43"/>
        <v/>
      </c>
      <c r="S101" s="5" t="str">
        <f t="shared" si="44"/>
        <v/>
      </c>
      <c r="T101" s="76" t="str">
        <f t="shared" si="27"/>
        <v/>
      </c>
      <c r="U101" s="76" t="str">
        <f t="shared" si="35"/>
        <v/>
      </c>
      <c r="V101" s="5" t="str">
        <f t="shared" si="28"/>
        <v/>
      </c>
      <c r="W101" s="5" t="str">
        <f t="shared" si="29"/>
        <v/>
      </c>
      <c r="X101" s="5" t="str">
        <f t="shared" si="30"/>
        <v/>
      </c>
      <c r="Y101" s="70" t="str">
        <f t="shared" si="31"/>
        <v/>
      </c>
      <c r="Z101" s="32" t="str">
        <f t="shared" si="45"/>
        <v/>
      </c>
      <c r="AA101" s="32" t="str">
        <f t="shared" si="46"/>
        <v/>
      </c>
      <c r="AB101" s="32" t="str">
        <f t="shared" si="49"/>
        <v/>
      </c>
      <c r="AC101" s="32" t="str">
        <f t="shared" si="32"/>
        <v/>
      </c>
      <c r="AD101" s="134"/>
      <c r="AE101" s="135" t="str">
        <f t="shared" si="39"/>
        <v/>
      </c>
      <c r="AF101" s="136"/>
      <c r="AG101" s="137"/>
      <c r="AH101" s="137"/>
      <c r="AI101" s="138"/>
      <c r="AJ101" s="23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CE101" t="str">
        <v/>
      </c>
    </row>
    <row r="102" spans="1:83" ht="15" customHeight="1">
      <c r="A102" s="18"/>
      <c r="B102" s="148" t="s">
        <v>400</v>
      </c>
      <c r="C102" s="129"/>
      <c r="D102" s="130" t="s">
        <v>60</v>
      </c>
      <c r="E102" s="71"/>
      <c r="F102" s="129" t="s">
        <v>28</v>
      </c>
      <c r="G102" s="129">
        <v>0.434</v>
      </c>
      <c r="H102" s="129">
        <v>0.02</v>
      </c>
      <c r="I102" s="129">
        <v>-0.02</v>
      </c>
      <c r="J102" s="129" t="s">
        <v>12</v>
      </c>
      <c r="K102" s="132" t="s">
        <v>339</v>
      </c>
      <c r="L102" s="133">
        <f t="shared" si="47"/>
        <v>0.45400000000000001</v>
      </c>
      <c r="M102" s="139">
        <f t="shared" si="48"/>
        <v>0.41399999999999998</v>
      </c>
      <c r="N102" s="28"/>
      <c r="O102" s="3" t="str">
        <f t="shared" si="40"/>
        <v/>
      </c>
      <c r="P102" s="3" t="str">
        <f t="shared" si="41"/>
        <v/>
      </c>
      <c r="Q102" s="3" t="str">
        <f t="shared" si="42"/>
        <v/>
      </c>
      <c r="R102" s="4" t="str">
        <f t="shared" si="43"/>
        <v/>
      </c>
      <c r="S102" s="5" t="str">
        <f t="shared" si="44"/>
        <v/>
      </c>
      <c r="T102" s="76" t="str">
        <f t="shared" si="27"/>
        <v/>
      </c>
      <c r="U102" s="76" t="str">
        <f t="shared" si="35"/>
        <v/>
      </c>
      <c r="V102" s="5" t="str">
        <f t="shared" si="28"/>
        <v/>
      </c>
      <c r="W102" s="5" t="str">
        <f t="shared" si="29"/>
        <v/>
      </c>
      <c r="X102" s="5" t="str">
        <f t="shared" si="30"/>
        <v/>
      </c>
      <c r="Y102" s="70" t="str">
        <f t="shared" si="31"/>
        <v/>
      </c>
      <c r="Z102" s="32" t="str">
        <f t="shared" si="45"/>
        <v/>
      </c>
      <c r="AA102" s="32" t="str">
        <f t="shared" si="46"/>
        <v/>
      </c>
      <c r="AB102" s="32" t="str">
        <f t="shared" si="49"/>
        <v/>
      </c>
      <c r="AC102" s="32" t="str">
        <f t="shared" si="32"/>
        <v/>
      </c>
      <c r="AD102" s="134"/>
      <c r="AE102" s="135" t="str">
        <f t="shared" si="39"/>
        <v/>
      </c>
      <c r="AF102" s="136"/>
      <c r="AG102" s="137"/>
      <c r="AH102" s="137"/>
      <c r="AI102" s="138"/>
      <c r="AJ102" s="23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CE102" t="str">
        <v/>
      </c>
    </row>
    <row r="103" spans="1:83" ht="15" customHeight="1">
      <c r="A103" s="18"/>
      <c r="B103" s="146" t="s">
        <v>401</v>
      </c>
      <c r="C103" s="129"/>
      <c r="D103" s="130" t="s">
        <v>60</v>
      </c>
      <c r="E103" s="71"/>
      <c r="F103" s="129" t="s">
        <v>28</v>
      </c>
      <c r="G103" s="129">
        <v>3.073</v>
      </c>
      <c r="H103" s="129">
        <v>0.02</v>
      </c>
      <c r="I103" s="129">
        <v>-0.02</v>
      </c>
      <c r="J103" s="129" t="s">
        <v>12</v>
      </c>
      <c r="K103" s="132" t="s">
        <v>339</v>
      </c>
      <c r="L103" s="133">
        <f t="shared" si="47"/>
        <v>3.093</v>
      </c>
      <c r="M103" s="139">
        <f t="shared" si="48"/>
        <v>3.0529999999999999</v>
      </c>
      <c r="N103" s="28"/>
      <c r="O103" s="3" t="str">
        <f t="shared" si="40"/>
        <v/>
      </c>
      <c r="P103" s="3" t="str">
        <f t="shared" si="41"/>
        <v/>
      </c>
      <c r="Q103" s="3" t="str">
        <f t="shared" si="42"/>
        <v/>
      </c>
      <c r="R103" s="4" t="str">
        <f t="shared" si="43"/>
        <v/>
      </c>
      <c r="S103" s="5" t="str">
        <f t="shared" si="44"/>
        <v/>
      </c>
      <c r="T103" s="76" t="str">
        <f t="shared" si="27"/>
        <v/>
      </c>
      <c r="U103" s="76" t="str">
        <f t="shared" si="35"/>
        <v/>
      </c>
      <c r="V103" s="5" t="str">
        <f t="shared" si="28"/>
        <v/>
      </c>
      <c r="W103" s="5" t="str">
        <f t="shared" si="29"/>
        <v/>
      </c>
      <c r="X103" s="5" t="str">
        <f t="shared" si="30"/>
        <v/>
      </c>
      <c r="Y103" s="70" t="str">
        <f t="shared" si="31"/>
        <v/>
      </c>
      <c r="Z103" s="32" t="str">
        <f t="shared" si="45"/>
        <v/>
      </c>
      <c r="AA103" s="32" t="str">
        <f t="shared" si="46"/>
        <v/>
      </c>
      <c r="AB103" s="32" t="str">
        <f t="shared" si="49"/>
        <v/>
      </c>
      <c r="AC103" s="32" t="str">
        <f t="shared" si="32"/>
        <v/>
      </c>
      <c r="AD103" s="134"/>
      <c r="AE103" s="135" t="str">
        <f t="shared" si="39"/>
        <v/>
      </c>
      <c r="AF103" s="136"/>
      <c r="AG103" s="137"/>
      <c r="AH103" s="137"/>
      <c r="AI103" s="138"/>
      <c r="AJ103" s="23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CE103" t="str">
        <v/>
      </c>
    </row>
    <row r="104" spans="1:83" ht="15" customHeight="1">
      <c r="A104" s="18"/>
      <c r="B104" s="128" t="s">
        <v>402</v>
      </c>
      <c r="C104" s="129" t="s">
        <v>304</v>
      </c>
      <c r="D104" s="130" t="s">
        <v>60</v>
      </c>
      <c r="E104" s="71">
        <v>1.33</v>
      </c>
      <c r="F104" s="129" t="s">
        <v>28</v>
      </c>
      <c r="G104" s="129">
        <v>1.4610000000000001</v>
      </c>
      <c r="H104" s="129">
        <v>0.02</v>
      </c>
      <c r="I104" s="129">
        <v>-0.02</v>
      </c>
      <c r="J104" s="129" t="s">
        <v>12</v>
      </c>
      <c r="K104" s="132" t="s">
        <v>339</v>
      </c>
      <c r="L104" s="133">
        <f t="shared" si="47"/>
        <v>1.4810000000000001</v>
      </c>
      <c r="M104" s="139">
        <f t="shared" si="48"/>
        <v>1.4410000000000001</v>
      </c>
      <c r="N104" s="28"/>
      <c r="O104" s="3" t="str">
        <f t="shared" si="40"/>
        <v/>
      </c>
      <c r="P104" s="3" t="str">
        <f t="shared" si="41"/>
        <v/>
      </c>
      <c r="Q104" s="3" t="str">
        <f t="shared" si="42"/>
        <v/>
      </c>
      <c r="R104" s="4" t="str">
        <f t="shared" si="43"/>
        <v/>
      </c>
      <c r="S104" s="5" t="str">
        <f t="shared" si="44"/>
        <v/>
      </c>
      <c r="T104" s="76" t="str">
        <f t="shared" si="27"/>
        <v/>
      </c>
      <c r="U104" s="76" t="str">
        <f t="shared" si="35"/>
        <v/>
      </c>
      <c r="V104" s="5" t="str">
        <f t="shared" si="28"/>
        <v/>
      </c>
      <c r="W104" s="5" t="str">
        <f t="shared" si="29"/>
        <v/>
      </c>
      <c r="X104" s="5" t="str">
        <f t="shared" si="30"/>
        <v/>
      </c>
      <c r="Y104" s="70" t="str">
        <f t="shared" si="31"/>
        <v/>
      </c>
      <c r="Z104" s="32" t="str">
        <f t="shared" si="45"/>
        <v/>
      </c>
      <c r="AA104" s="32" t="str">
        <f t="shared" si="46"/>
        <v/>
      </c>
      <c r="AB104" s="32" t="str">
        <f t="shared" si="49"/>
        <v/>
      </c>
      <c r="AC104" s="32" t="str">
        <f t="shared" si="32"/>
        <v/>
      </c>
      <c r="AD104" s="134"/>
      <c r="AE104" s="135" t="str">
        <f t="shared" si="39"/>
        <v/>
      </c>
      <c r="AF104" s="136"/>
      <c r="AG104" s="137"/>
      <c r="AH104" s="137"/>
      <c r="AI104" s="138"/>
      <c r="AJ104" s="23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CE104" t="str">
        <v/>
      </c>
    </row>
    <row r="105" spans="1:83" ht="15" customHeight="1">
      <c r="A105" s="18"/>
      <c r="B105" s="128" t="s">
        <v>403</v>
      </c>
      <c r="C105" s="129" t="s">
        <v>304</v>
      </c>
      <c r="D105" s="130" t="s">
        <v>60</v>
      </c>
      <c r="E105" s="71">
        <v>1.33</v>
      </c>
      <c r="F105" s="129" t="s">
        <v>28</v>
      </c>
      <c r="G105" s="129">
        <v>1.4610000000000001</v>
      </c>
      <c r="H105" s="129">
        <v>0.02</v>
      </c>
      <c r="I105" s="129">
        <v>-0.02</v>
      </c>
      <c r="J105" s="129" t="s">
        <v>12</v>
      </c>
      <c r="K105" s="132" t="s">
        <v>339</v>
      </c>
      <c r="L105" s="133">
        <f t="shared" si="47"/>
        <v>1.4810000000000001</v>
      </c>
      <c r="M105" s="139">
        <f t="shared" si="48"/>
        <v>1.4410000000000001</v>
      </c>
      <c r="N105" s="28"/>
      <c r="O105" s="3" t="str">
        <f t="shared" si="40"/>
        <v/>
      </c>
      <c r="P105" s="3" t="str">
        <f t="shared" si="41"/>
        <v/>
      </c>
      <c r="Q105" s="3" t="str">
        <f t="shared" si="42"/>
        <v/>
      </c>
      <c r="R105" s="4" t="str">
        <f t="shared" si="43"/>
        <v/>
      </c>
      <c r="S105" s="5" t="str">
        <f t="shared" si="44"/>
        <v/>
      </c>
      <c r="T105" s="76" t="str">
        <f t="shared" si="27"/>
        <v/>
      </c>
      <c r="U105" s="76" t="str">
        <f t="shared" si="35"/>
        <v/>
      </c>
      <c r="V105" s="5" t="str">
        <f t="shared" si="28"/>
        <v/>
      </c>
      <c r="W105" s="5" t="str">
        <f t="shared" si="29"/>
        <v/>
      </c>
      <c r="X105" s="5" t="str">
        <f t="shared" si="30"/>
        <v/>
      </c>
      <c r="Y105" s="70" t="str">
        <f t="shared" si="31"/>
        <v/>
      </c>
      <c r="Z105" s="32" t="str">
        <f t="shared" si="45"/>
        <v/>
      </c>
      <c r="AA105" s="32" t="str">
        <f t="shared" si="46"/>
        <v/>
      </c>
      <c r="AB105" s="32" t="str">
        <f t="shared" si="49"/>
        <v/>
      </c>
      <c r="AC105" s="32" t="str">
        <f t="shared" si="32"/>
        <v/>
      </c>
      <c r="AD105" s="134"/>
      <c r="AE105" s="135" t="str">
        <f t="shared" si="39"/>
        <v/>
      </c>
      <c r="AF105" s="136"/>
      <c r="AG105" s="137"/>
      <c r="AH105" s="137"/>
      <c r="AI105" s="138"/>
      <c r="AJ105" s="23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CE105" t="str">
        <v/>
      </c>
    </row>
    <row r="106" spans="1:83" ht="15" customHeight="1">
      <c r="A106" s="18"/>
      <c r="B106" s="128" t="s">
        <v>404</v>
      </c>
      <c r="C106" s="129"/>
      <c r="D106" s="130" t="s">
        <v>60</v>
      </c>
      <c r="E106" s="71"/>
      <c r="F106" s="129" t="s">
        <v>28</v>
      </c>
      <c r="G106" s="129">
        <v>0.42899999999999999</v>
      </c>
      <c r="H106" s="129">
        <v>0.02</v>
      </c>
      <c r="I106" s="129">
        <v>-0.02</v>
      </c>
      <c r="J106" s="129" t="s">
        <v>12</v>
      </c>
      <c r="K106" s="132" t="s">
        <v>339</v>
      </c>
      <c r="L106" s="133">
        <f t="shared" si="47"/>
        <v>0.44900000000000001</v>
      </c>
      <c r="M106" s="139">
        <f t="shared" si="48"/>
        <v>0.40899999999999997</v>
      </c>
      <c r="N106" s="28"/>
      <c r="O106" s="3" t="str">
        <f t="shared" si="40"/>
        <v/>
      </c>
      <c r="P106" s="3" t="str">
        <f t="shared" si="41"/>
        <v/>
      </c>
      <c r="Q106" s="3" t="str">
        <f t="shared" si="42"/>
        <v/>
      </c>
      <c r="R106" s="4" t="str">
        <f t="shared" si="43"/>
        <v/>
      </c>
      <c r="S106" s="5" t="str">
        <f t="shared" si="44"/>
        <v/>
      </c>
      <c r="T106" s="76" t="str">
        <f t="shared" si="27"/>
        <v/>
      </c>
      <c r="U106" s="76" t="str">
        <f t="shared" si="35"/>
        <v/>
      </c>
      <c r="V106" s="5" t="str">
        <f t="shared" si="28"/>
        <v/>
      </c>
      <c r="W106" s="5" t="str">
        <f t="shared" si="29"/>
        <v/>
      </c>
      <c r="X106" s="5" t="str">
        <f t="shared" si="30"/>
        <v/>
      </c>
      <c r="Y106" s="70" t="str">
        <f t="shared" si="31"/>
        <v/>
      </c>
      <c r="Z106" s="32" t="str">
        <f t="shared" si="45"/>
        <v/>
      </c>
      <c r="AA106" s="32" t="str">
        <f t="shared" si="46"/>
        <v/>
      </c>
      <c r="AB106" s="32" t="str">
        <f t="shared" si="49"/>
        <v/>
      </c>
      <c r="AC106" s="32" t="str">
        <f t="shared" si="32"/>
        <v/>
      </c>
      <c r="AD106" s="134"/>
      <c r="AE106" s="135" t="str">
        <f t="shared" si="39"/>
        <v/>
      </c>
      <c r="AF106" s="136"/>
      <c r="AG106" s="137"/>
      <c r="AH106" s="137"/>
      <c r="AI106" s="138"/>
      <c r="AJ106" s="23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CE106" t="str">
        <v/>
      </c>
    </row>
    <row r="107" spans="1:83" ht="15" customHeight="1">
      <c r="A107" s="18"/>
      <c r="B107" s="128" t="s">
        <v>405</v>
      </c>
      <c r="C107" s="129"/>
      <c r="D107" s="130" t="s">
        <v>60</v>
      </c>
      <c r="E107" s="71"/>
      <c r="F107" s="129" t="s">
        <v>28</v>
      </c>
      <c r="G107" s="129">
        <v>0.42899999999999999</v>
      </c>
      <c r="H107" s="129">
        <v>0.02</v>
      </c>
      <c r="I107" s="129">
        <v>-0.02</v>
      </c>
      <c r="J107" s="129" t="s">
        <v>12</v>
      </c>
      <c r="K107" s="132" t="s">
        <v>339</v>
      </c>
      <c r="L107" s="133">
        <f t="shared" si="47"/>
        <v>0.44900000000000001</v>
      </c>
      <c r="M107" s="139">
        <f t="shared" si="48"/>
        <v>0.40899999999999997</v>
      </c>
      <c r="N107" s="28"/>
      <c r="O107" s="3" t="str">
        <f t="shared" si="40"/>
        <v/>
      </c>
      <c r="P107" s="3" t="str">
        <f t="shared" si="41"/>
        <v/>
      </c>
      <c r="Q107" s="3" t="str">
        <f t="shared" si="42"/>
        <v/>
      </c>
      <c r="R107" s="4" t="str">
        <f t="shared" si="43"/>
        <v/>
      </c>
      <c r="S107" s="5" t="str">
        <f t="shared" si="44"/>
        <v/>
      </c>
      <c r="T107" s="76" t="str">
        <f t="shared" si="27"/>
        <v/>
      </c>
      <c r="U107" s="76" t="str">
        <f t="shared" si="35"/>
        <v/>
      </c>
      <c r="V107" s="5" t="str">
        <f t="shared" si="28"/>
        <v/>
      </c>
      <c r="W107" s="5" t="str">
        <f t="shared" si="29"/>
        <v/>
      </c>
      <c r="X107" s="5" t="str">
        <f t="shared" si="30"/>
        <v/>
      </c>
      <c r="Y107" s="70" t="str">
        <f t="shared" si="31"/>
        <v/>
      </c>
      <c r="Z107" s="32" t="str">
        <f t="shared" si="45"/>
        <v/>
      </c>
      <c r="AA107" s="32" t="str">
        <f t="shared" si="46"/>
        <v/>
      </c>
      <c r="AB107" s="32" t="str">
        <f t="shared" si="49"/>
        <v/>
      </c>
      <c r="AC107" s="32" t="str">
        <f t="shared" si="32"/>
        <v/>
      </c>
      <c r="AD107" s="134"/>
      <c r="AE107" s="135" t="str">
        <f t="shared" si="39"/>
        <v/>
      </c>
      <c r="AF107" s="136"/>
      <c r="AG107" s="137"/>
      <c r="AH107" s="137"/>
      <c r="AI107" s="138"/>
      <c r="AJ107" s="23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CE107" t="str">
        <v/>
      </c>
    </row>
    <row r="108" spans="1:83" ht="15" customHeight="1">
      <c r="A108" s="18"/>
      <c r="B108" s="128" t="s">
        <v>406</v>
      </c>
      <c r="C108" s="129" t="s">
        <v>307</v>
      </c>
      <c r="D108" s="130" t="s">
        <v>60</v>
      </c>
      <c r="E108" s="71">
        <v>1.33</v>
      </c>
      <c r="F108" s="129" t="s">
        <v>28</v>
      </c>
      <c r="G108" s="129">
        <v>0.39200000000000002</v>
      </c>
      <c r="H108" s="129">
        <v>0.03</v>
      </c>
      <c r="I108" s="129">
        <v>-0.03</v>
      </c>
      <c r="J108" s="150" t="s">
        <v>12</v>
      </c>
      <c r="K108" s="132" t="s">
        <v>339</v>
      </c>
      <c r="L108" s="133">
        <f t="shared" si="47"/>
        <v>0.42200000000000004</v>
      </c>
      <c r="M108" s="139">
        <f t="shared" si="48"/>
        <v>0.36199999999999999</v>
      </c>
      <c r="N108" s="28"/>
      <c r="O108" s="3" t="str">
        <f t="shared" si="40"/>
        <v/>
      </c>
      <c r="P108" s="3" t="str">
        <f t="shared" si="41"/>
        <v/>
      </c>
      <c r="Q108" s="3" t="str">
        <f t="shared" si="42"/>
        <v/>
      </c>
      <c r="R108" s="4" t="str">
        <f t="shared" si="43"/>
        <v/>
      </c>
      <c r="S108" s="5" t="str">
        <f t="shared" si="44"/>
        <v/>
      </c>
      <c r="T108" s="76" t="str">
        <f t="shared" ref="T108:T141" si="50">IF(OR($AK108="",ISNUMBER($AK108)=FALSE),"",IF(AND($F108="Tolerance",$G108&lt;&gt;""),($Q108-$G108)/(($L108-$M108)/2),IF(AND($F108="GD&amp;T",$H108&lt;&gt;""),$Q108/$H108,"")))</f>
        <v/>
      </c>
      <c r="U108" s="76" t="str">
        <f t="shared" si="35"/>
        <v/>
      </c>
      <c r="V108" s="5" t="str">
        <f t="shared" ref="V108:V141" si="51">IF(OR($AK108="",ISNUMBER($AK108)=FALSE),"",IF(H108="","",(L108-Q108)/(3*R108)))</f>
        <v/>
      </c>
      <c r="W108" s="5" t="str">
        <f t="shared" ref="W108:W141" si="52">IF(OR($AK108="",ISNUMBER($AK108)=FALSE),"",IF(I108="","",(Q108-M108)/(3*R108)))</f>
        <v/>
      </c>
      <c r="X108" s="5" t="str">
        <f t="shared" ref="X108:X141" si="53">IF(OR($AK108="",ISNUMBER($AK108)=FALSE),"",IF(AND(G108=0,I108=0),((H108)-(Q108))/(3*R108),MIN(V108:W108)))</f>
        <v/>
      </c>
      <c r="Y108" s="70" t="str">
        <f t="shared" ref="Y108:Y141" si="54">IF(OR($AK108="",ISNUMBER($AK108)=FALSE),"",IF(AND(G108=0,I108=0),NORMSDIST(3*X108),NORMSDIST(3*X108)+NORMSDIST(6*S108-3*X108)-1))</f>
        <v/>
      </c>
      <c r="Z108" s="32" t="str">
        <f t="shared" si="45"/>
        <v/>
      </c>
      <c r="AA108" s="32" t="str">
        <f t="shared" si="46"/>
        <v/>
      </c>
      <c r="AB108" s="32" t="str">
        <f t="shared" si="49"/>
        <v/>
      </c>
      <c r="AC108" s="32" t="str">
        <f t="shared" si="32"/>
        <v/>
      </c>
      <c r="AD108" s="134"/>
      <c r="AE108" s="135" t="str">
        <f t="shared" si="39"/>
        <v/>
      </c>
      <c r="AF108" s="136"/>
      <c r="AG108" s="137"/>
      <c r="AH108" s="137"/>
      <c r="AI108" s="138"/>
      <c r="AJ108" s="23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CE108" t="str">
        <v/>
      </c>
    </row>
    <row r="109" spans="1:83" ht="15" customHeight="1">
      <c r="A109" s="18"/>
      <c r="B109" s="128" t="s">
        <v>407</v>
      </c>
      <c r="C109" s="129" t="s">
        <v>307</v>
      </c>
      <c r="D109" s="130" t="s">
        <v>60</v>
      </c>
      <c r="E109" s="71">
        <v>1.33</v>
      </c>
      <c r="F109" s="129" t="s">
        <v>28</v>
      </c>
      <c r="G109" s="129">
        <v>0.39200000000000002</v>
      </c>
      <c r="H109" s="129">
        <v>0.03</v>
      </c>
      <c r="I109" s="129">
        <v>-0.03</v>
      </c>
      <c r="J109" s="150" t="s">
        <v>12</v>
      </c>
      <c r="K109" s="132" t="s">
        <v>339</v>
      </c>
      <c r="L109" s="133">
        <f t="shared" si="47"/>
        <v>0.42200000000000004</v>
      </c>
      <c r="M109" s="139">
        <f t="shared" si="48"/>
        <v>0.36199999999999999</v>
      </c>
      <c r="N109" s="28"/>
      <c r="O109" s="3" t="str">
        <f t="shared" si="40"/>
        <v/>
      </c>
      <c r="P109" s="3" t="str">
        <f t="shared" si="41"/>
        <v/>
      </c>
      <c r="Q109" s="3" t="str">
        <f t="shared" si="42"/>
        <v/>
      </c>
      <c r="R109" s="4" t="str">
        <f t="shared" si="43"/>
        <v/>
      </c>
      <c r="S109" s="5" t="str">
        <f t="shared" si="44"/>
        <v/>
      </c>
      <c r="T109" s="76" t="str">
        <f t="shared" si="50"/>
        <v/>
      </c>
      <c r="U109" s="76" t="str">
        <f t="shared" ref="U109:U142" si="55">IF($T109="","",IF(ABS($T109)&lt;=0.125, "Level A",IF(AND(ABS($T109)&gt;0.125,ABS($T109)&lt;=0.25), "Level B",IF(AND(ABS($T109)&gt;0.25,ABS($T109)&lt;=0.5), "Level C", IF(ABS($T109)&gt;0.5, "Level D")))))</f>
        <v/>
      </c>
      <c r="V109" s="5" t="str">
        <f t="shared" si="51"/>
        <v/>
      </c>
      <c r="W109" s="5" t="str">
        <f t="shared" si="52"/>
        <v/>
      </c>
      <c r="X109" s="5" t="str">
        <f t="shared" si="53"/>
        <v/>
      </c>
      <c r="Y109" s="70" t="str">
        <f t="shared" si="54"/>
        <v/>
      </c>
      <c r="Z109" s="32" t="str">
        <f t="shared" si="45"/>
        <v/>
      </c>
      <c r="AA109" s="32" t="str">
        <f t="shared" si="46"/>
        <v/>
      </c>
      <c r="AB109" s="32" t="str">
        <f t="shared" si="49"/>
        <v/>
      </c>
      <c r="AC109" s="32" t="str">
        <f t="shared" ref="AC109:AC142" si="56">IF(OR($S109&gt;$AC$9,$R109=""),"",$AC$9*6*$R109)</f>
        <v/>
      </c>
      <c r="AD109" s="134"/>
      <c r="AE109" s="135" t="str">
        <f t="shared" ref="AE109:AE142" si="57">IF(AD109="","",IF(AD109&gt;=0.966,"Normal","Not Normal"))</f>
        <v/>
      </c>
      <c r="AF109" s="136"/>
      <c r="AG109" s="137"/>
      <c r="AH109" s="137"/>
      <c r="AI109" s="138"/>
      <c r="AJ109" s="23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CE109" t="str">
        <v/>
      </c>
    </row>
    <row r="110" spans="1:83" ht="15" customHeight="1">
      <c r="A110" s="18"/>
      <c r="B110" s="128" t="s">
        <v>408</v>
      </c>
      <c r="C110" s="129" t="s">
        <v>307</v>
      </c>
      <c r="D110" s="130" t="s">
        <v>60</v>
      </c>
      <c r="E110" s="71">
        <v>1.33</v>
      </c>
      <c r="F110" s="129" t="s">
        <v>28</v>
      </c>
      <c r="G110" s="129">
        <v>0.39200000000000002</v>
      </c>
      <c r="H110" s="129">
        <v>0.03</v>
      </c>
      <c r="I110" s="129">
        <v>-0.03</v>
      </c>
      <c r="J110" s="150" t="s">
        <v>12</v>
      </c>
      <c r="K110" s="132" t="s">
        <v>339</v>
      </c>
      <c r="L110" s="133">
        <f t="shared" si="47"/>
        <v>0.42200000000000004</v>
      </c>
      <c r="M110" s="139">
        <f t="shared" si="48"/>
        <v>0.36199999999999999</v>
      </c>
      <c r="N110" s="28"/>
      <c r="O110" s="3" t="str">
        <f t="shared" si="40"/>
        <v/>
      </c>
      <c r="P110" s="3" t="str">
        <f t="shared" si="41"/>
        <v/>
      </c>
      <c r="Q110" s="3" t="str">
        <f t="shared" si="42"/>
        <v/>
      </c>
      <c r="R110" s="4" t="str">
        <f t="shared" si="43"/>
        <v/>
      </c>
      <c r="S110" s="5" t="str">
        <f t="shared" si="44"/>
        <v/>
      </c>
      <c r="T110" s="76" t="str">
        <f t="shared" si="50"/>
        <v/>
      </c>
      <c r="U110" s="76" t="str">
        <f t="shared" si="55"/>
        <v/>
      </c>
      <c r="V110" s="5" t="str">
        <f t="shared" si="51"/>
        <v/>
      </c>
      <c r="W110" s="5" t="str">
        <f t="shared" si="52"/>
        <v/>
      </c>
      <c r="X110" s="5" t="str">
        <f t="shared" si="53"/>
        <v/>
      </c>
      <c r="Y110" s="70" t="str">
        <f t="shared" si="54"/>
        <v/>
      </c>
      <c r="Z110" s="32" t="str">
        <f t="shared" si="45"/>
        <v/>
      </c>
      <c r="AA110" s="32" t="str">
        <f t="shared" si="46"/>
        <v/>
      </c>
      <c r="AB110" s="32" t="str">
        <f t="shared" si="49"/>
        <v/>
      </c>
      <c r="AC110" s="32" t="str">
        <f t="shared" si="56"/>
        <v/>
      </c>
      <c r="AD110" s="134"/>
      <c r="AE110" s="135" t="str">
        <f t="shared" si="57"/>
        <v/>
      </c>
      <c r="AF110" s="136"/>
      <c r="AG110" s="137"/>
      <c r="AH110" s="137"/>
      <c r="AI110" s="138"/>
      <c r="AJ110" s="23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CE110" t="str">
        <v/>
      </c>
    </row>
    <row r="111" spans="1:83" ht="15" customHeight="1">
      <c r="A111" s="18"/>
      <c r="B111" s="128" t="s">
        <v>409</v>
      </c>
      <c r="C111" s="129" t="s">
        <v>307</v>
      </c>
      <c r="D111" s="130" t="s">
        <v>60</v>
      </c>
      <c r="E111" s="71">
        <v>1.33</v>
      </c>
      <c r="F111" s="129" t="s">
        <v>28</v>
      </c>
      <c r="G111" s="129">
        <v>0.39200000000000002</v>
      </c>
      <c r="H111" s="129">
        <v>0.03</v>
      </c>
      <c r="I111" s="129">
        <v>-0.03</v>
      </c>
      <c r="J111" s="150" t="s">
        <v>12</v>
      </c>
      <c r="K111" s="132" t="s">
        <v>339</v>
      </c>
      <c r="L111" s="133">
        <f t="shared" si="47"/>
        <v>0.42200000000000004</v>
      </c>
      <c r="M111" s="139">
        <f t="shared" si="48"/>
        <v>0.36199999999999999</v>
      </c>
      <c r="N111" s="28"/>
      <c r="O111" s="3" t="str">
        <f t="shared" si="40"/>
        <v/>
      </c>
      <c r="P111" s="3" t="str">
        <f t="shared" si="41"/>
        <v/>
      </c>
      <c r="Q111" s="3" t="str">
        <f t="shared" si="42"/>
        <v/>
      </c>
      <c r="R111" s="4" t="str">
        <f t="shared" si="43"/>
        <v/>
      </c>
      <c r="S111" s="5" t="str">
        <f t="shared" si="44"/>
        <v/>
      </c>
      <c r="T111" s="76" t="str">
        <f t="shared" si="50"/>
        <v/>
      </c>
      <c r="U111" s="76" t="str">
        <f t="shared" si="55"/>
        <v/>
      </c>
      <c r="V111" s="5" t="str">
        <f t="shared" si="51"/>
        <v/>
      </c>
      <c r="W111" s="5" t="str">
        <f t="shared" si="52"/>
        <v/>
      </c>
      <c r="X111" s="5" t="str">
        <f t="shared" si="53"/>
        <v/>
      </c>
      <c r="Y111" s="70" t="str">
        <f t="shared" si="54"/>
        <v/>
      </c>
      <c r="Z111" s="32" t="str">
        <f t="shared" si="45"/>
        <v/>
      </c>
      <c r="AA111" s="32" t="str">
        <f t="shared" si="46"/>
        <v/>
      </c>
      <c r="AB111" s="32" t="str">
        <f t="shared" si="49"/>
        <v/>
      </c>
      <c r="AC111" s="32" t="str">
        <f t="shared" si="56"/>
        <v/>
      </c>
      <c r="AD111" s="134"/>
      <c r="AE111" s="135" t="str">
        <f t="shared" si="57"/>
        <v/>
      </c>
      <c r="AF111" s="136"/>
      <c r="AG111" s="137"/>
      <c r="AH111" s="137"/>
      <c r="AI111" s="138"/>
      <c r="AJ111" s="23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CE111" t="str">
        <v/>
      </c>
    </row>
    <row r="112" spans="1:83" ht="15" customHeight="1">
      <c r="A112" s="18"/>
      <c r="B112" s="128" t="s">
        <v>410</v>
      </c>
      <c r="C112" s="129" t="s">
        <v>307</v>
      </c>
      <c r="D112" s="130" t="s">
        <v>60</v>
      </c>
      <c r="E112" s="71">
        <v>1.33</v>
      </c>
      <c r="F112" s="129" t="s">
        <v>28</v>
      </c>
      <c r="G112" s="129">
        <v>0.39200000000000002</v>
      </c>
      <c r="H112" s="129">
        <v>0.03</v>
      </c>
      <c r="I112" s="129">
        <v>-0.03</v>
      </c>
      <c r="J112" s="150" t="s">
        <v>12</v>
      </c>
      <c r="K112" s="132" t="s">
        <v>339</v>
      </c>
      <c r="L112" s="133">
        <f t="shared" si="47"/>
        <v>0.42200000000000004</v>
      </c>
      <c r="M112" s="139">
        <f t="shared" si="48"/>
        <v>0.36199999999999999</v>
      </c>
      <c r="N112" s="28"/>
      <c r="O112" s="3" t="str">
        <f t="shared" si="40"/>
        <v/>
      </c>
      <c r="P112" s="3" t="str">
        <f t="shared" si="41"/>
        <v/>
      </c>
      <c r="Q112" s="3" t="str">
        <f t="shared" si="42"/>
        <v/>
      </c>
      <c r="R112" s="4" t="str">
        <f t="shared" si="43"/>
        <v/>
      </c>
      <c r="S112" s="5" t="str">
        <f t="shared" si="44"/>
        <v/>
      </c>
      <c r="T112" s="76" t="str">
        <f t="shared" si="50"/>
        <v/>
      </c>
      <c r="U112" s="76" t="str">
        <f t="shared" si="55"/>
        <v/>
      </c>
      <c r="V112" s="5" t="str">
        <f t="shared" si="51"/>
        <v/>
      </c>
      <c r="W112" s="5" t="str">
        <f t="shared" si="52"/>
        <v/>
      </c>
      <c r="X112" s="5" t="str">
        <f t="shared" si="53"/>
        <v/>
      </c>
      <c r="Y112" s="70" t="str">
        <f t="shared" si="54"/>
        <v/>
      </c>
      <c r="Z112" s="32" t="str">
        <f t="shared" si="45"/>
        <v/>
      </c>
      <c r="AA112" s="32" t="str">
        <f t="shared" si="46"/>
        <v/>
      </c>
      <c r="AB112" s="32" t="str">
        <f t="shared" si="49"/>
        <v/>
      </c>
      <c r="AC112" s="32" t="str">
        <f t="shared" si="56"/>
        <v/>
      </c>
      <c r="AD112" s="134"/>
      <c r="AE112" s="135" t="str">
        <f t="shared" si="57"/>
        <v/>
      </c>
      <c r="AF112" s="136"/>
      <c r="AG112" s="137"/>
      <c r="AH112" s="137"/>
      <c r="AI112" s="138"/>
      <c r="AJ112" s="23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CE112" t="str">
        <v/>
      </c>
    </row>
    <row r="113" spans="1:83" ht="15" customHeight="1">
      <c r="A113" s="18"/>
      <c r="B113" s="128" t="s">
        <v>411</v>
      </c>
      <c r="C113" s="129" t="s">
        <v>307</v>
      </c>
      <c r="D113" s="130" t="s">
        <v>60</v>
      </c>
      <c r="E113" s="71">
        <v>1.33</v>
      </c>
      <c r="F113" s="129" t="s">
        <v>28</v>
      </c>
      <c r="G113" s="129">
        <v>0.39200000000000002</v>
      </c>
      <c r="H113" s="129">
        <v>0.03</v>
      </c>
      <c r="I113" s="129">
        <v>-0.03</v>
      </c>
      <c r="J113" s="150" t="s">
        <v>12</v>
      </c>
      <c r="K113" s="132" t="s">
        <v>339</v>
      </c>
      <c r="L113" s="133">
        <f t="shared" si="47"/>
        <v>0.42200000000000004</v>
      </c>
      <c r="M113" s="139">
        <f t="shared" si="48"/>
        <v>0.36199999999999999</v>
      </c>
      <c r="N113" s="28"/>
      <c r="O113" s="3" t="str">
        <f t="shared" si="40"/>
        <v/>
      </c>
      <c r="P113" s="3" t="str">
        <f t="shared" si="41"/>
        <v/>
      </c>
      <c r="Q113" s="3" t="str">
        <f t="shared" si="42"/>
        <v/>
      </c>
      <c r="R113" s="4" t="str">
        <f t="shared" si="43"/>
        <v/>
      </c>
      <c r="S113" s="5" t="str">
        <f t="shared" si="44"/>
        <v/>
      </c>
      <c r="T113" s="76" t="str">
        <f t="shared" si="50"/>
        <v/>
      </c>
      <c r="U113" s="76" t="str">
        <f t="shared" si="55"/>
        <v/>
      </c>
      <c r="V113" s="5" t="str">
        <f t="shared" si="51"/>
        <v/>
      </c>
      <c r="W113" s="5" t="str">
        <f t="shared" si="52"/>
        <v/>
      </c>
      <c r="X113" s="5" t="str">
        <f t="shared" si="53"/>
        <v/>
      </c>
      <c r="Y113" s="70" t="str">
        <f t="shared" si="54"/>
        <v/>
      </c>
      <c r="Z113" s="32" t="str">
        <f t="shared" si="45"/>
        <v/>
      </c>
      <c r="AA113" s="32" t="str">
        <f t="shared" si="46"/>
        <v/>
      </c>
      <c r="AB113" s="32" t="str">
        <f t="shared" si="49"/>
        <v/>
      </c>
      <c r="AC113" s="32" t="str">
        <f t="shared" si="56"/>
        <v/>
      </c>
      <c r="AD113" s="134"/>
      <c r="AE113" s="135" t="str">
        <f t="shared" si="57"/>
        <v/>
      </c>
      <c r="AF113" s="136"/>
      <c r="AG113" s="137"/>
      <c r="AH113" s="137"/>
      <c r="AI113" s="138"/>
      <c r="AJ113" s="23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CE113" t="str">
        <v/>
      </c>
    </row>
    <row r="114" spans="1:83" ht="15" customHeight="1">
      <c r="A114" s="18"/>
      <c r="B114" s="128" t="s">
        <v>412</v>
      </c>
      <c r="C114" s="129" t="s">
        <v>307</v>
      </c>
      <c r="D114" s="130" t="s">
        <v>60</v>
      </c>
      <c r="E114" s="71">
        <v>1.33</v>
      </c>
      <c r="F114" s="129" t="s">
        <v>28</v>
      </c>
      <c r="G114" s="129">
        <v>0.39200000000000002</v>
      </c>
      <c r="H114" s="129">
        <v>0.03</v>
      </c>
      <c r="I114" s="129">
        <v>-0.03</v>
      </c>
      <c r="J114" s="150" t="s">
        <v>12</v>
      </c>
      <c r="K114" s="132" t="s">
        <v>339</v>
      </c>
      <c r="L114" s="133">
        <f t="shared" si="47"/>
        <v>0.42200000000000004</v>
      </c>
      <c r="M114" s="139">
        <f t="shared" si="48"/>
        <v>0.36199999999999999</v>
      </c>
      <c r="N114" s="28"/>
      <c r="O114" s="3" t="str">
        <f t="shared" si="40"/>
        <v/>
      </c>
      <c r="P114" s="3" t="str">
        <f t="shared" si="41"/>
        <v/>
      </c>
      <c r="Q114" s="3" t="str">
        <f t="shared" si="42"/>
        <v/>
      </c>
      <c r="R114" s="4" t="str">
        <f t="shared" si="43"/>
        <v/>
      </c>
      <c r="S114" s="5" t="str">
        <f t="shared" si="44"/>
        <v/>
      </c>
      <c r="T114" s="76" t="str">
        <f t="shared" si="50"/>
        <v/>
      </c>
      <c r="U114" s="76" t="str">
        <f t="shared" si="55"/>
        <v/>
      </c>
      <c r="V114" s="5" t="str">
        <f t="shared" si="51"/>
        <v/>
      </c>
      <c r="W114" s="5" t="str">
        <f t="shared" si="52"/>
        <v/>
      </c>
      <c r="X114" s="5" t="str">
        <f t="shared" si="53"/>
        <v/>
      </c>
      <c r="Y114" s="70" t="str">
        <f t="shared" si="54"/>
        <v/>
      </c>
      <c r="Z114" s="32" t="str">
        <f t="shared" si="45"/>
        <v/>
      </c>
      <c r="AA114" s="32" t="str">
        <f t="shared" si="46"/>
        <v/>
      </c>
      <c r="AB114" s="32" t="str">
        <f t="shared" si="49"/>
        <v/>
      </c>
      <c r="AC114" s="32" t="str">
        <f t="shared" si="56"/>
        <v/>
      </c>
      <c r="AD114" s="134"/>
      <c r="AE114" s="135" t="str">
        <f t="shared" si="57"/>
        <v/>
      </c>
      <c r="AF114" s="136"/>
      <c r="AG114" s="137"/>
      <c r="AH114" s="137"/>
      <c r="AI114" s="138"/>
      <c r="AJ114" s="23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CE114" t="str">
        <v/>
      </c>
    </row>
    <row r="115" spans="1:83" ht="15" customHeight="1">
      <c r="A115" s="18"/>
      <c r="B115" s="128" t="s">
        <v>413</v>
      </c>
      <c r="C115" s="129" t="s">
        <v>307</v>
      </c>
      <c r="D115" s="130" t="s">
        <v>60</v>
      </c>
      <c r="E115" s="71">
        <v>1.33</v>
      </c>
      <c r="F115" s="129" t="s">
        <v>28</v>
      </c>
      <c r="G115" s="129">
        <v>0.39200000000000002</v>
      </c>
      <c r="H115" s="129">
        <v>0.03</v>
      </c>
      <c r="I115" s="129">
        <v>-0.03</v>
      </c>
      <c r="J115" s="150" t="s">
        <v>12</v>
      </c>
      <c r="K115" s="132" t="s">
        <v>339</v>
      </c>
      <c r="L115" s="133">
        <f t="shared" si="47"/>
        <v>0.42200000000000004</v>
      </c>
      <c r="M115" s="139">
        <f t="shared" si="48"/>
        <v>0.36199999999999999</v>
      </c>
      <c r="N115" s="28"/>
      <c r="O115" s="3" t="str">
        <f t="shared" si="40"/>
        <v/>
      </c>
      <c r="P115" s="3" t="str">
        <f t="shared" si="41"/>
        <v/>
      </c>
      <c r="Q115" s="3" t="str">
        <f t="shared" si="42"/>
        <v/>
      </c>
      <c r="R115" s="4" t="str">
        <f t="shared" si="43"/>
        <v/>
      </c>
      <c r="S115" s="5" t="str">
        <f t="shared" si="44"/>
        <v/>
      </c>
      <c r="T115" s="76" t="str">
        <f t="shared" si="50"/>
        <v/>
      </c>
      <c r="U115" s="76" t="str">
        <f t="shared" si="55"/>
        <v/>
      </c>
      <c r="V115" s="5" t="str">
        <f t="shared" si="51"/>
        <v/>
      </c>
      <c r="W115" s="5" t="str">
        <f t="shared" si="52"/>
        <v/>
      </c>
      <c r="X115" s="5" t="str">
        <f t="shared" si="53"/>
        <v/>
      </c>
      <c r="Y115" s="70" t="str">
        <f t="shared" si="54"/>
        <v/>
      </c>
      <c r="Z115" s="32" t="str">
        <f t="shared" si="45"/>
        <v/>
      </c>
      <c r="AA115" s="32" t="str">
        <f t="shared" si="46"/>
        <v/>
      </c>
      <c r="AB115" s="32" t="str">
        <f t="shared" si="49"/>
        <v/>
      </c>
      <c r="AC115" s="32" t="str">
        <f t="shared" si="56"/>
        <v/>
      </c>
      <c r="AD115" s="134"/>
      <c r="AE115" s="135" t="str">
        <f t="shared" si="57"/>
        <v/>
      </c>
      <c r="AF115" s="136"/>
      <c r="AG115" s="137"/>
      <c r="AH115" s="137"/>
      <c r="AI115" s="138"/>
      <c r="AJ115" s="23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CE115" t="str">
        <v/>
      </c>
    </row>
    <row r="116" spans="1:83" ht="15" customHeight="1">
      <c r="A116" s="18"/>
      <c r="B116" s="128" t="s">
        <v>414</v>
      </c>
      <c r="C116" s="129" t="s">
        <v>307</v>
      </c>
      <c r="D116" s="130" t="s">
        <v>60</v>
      </c>
      <c r="E116" s="71">
        <v>1.33</v>
      </c>
      <c r="F116" s="129" t="s">
        <v>28</v>
      </c>
      <c r="G116" s="129">
        <v>0.39200000000000002</v>
      </c>
      <c r="H116" s="129">
        <v>0.03</v>
      </c>
      <c r="I116" s="129">
        <v>-0.03</v>
      </c>
      <c r="J116" s="150" t="s">
        <v>12</v>
      </c>
      <c r="K116" s="132" t="s">
        <v>339</v>
      </c>
      <c r="L116" s="133">
        <f t="shared" si="47"/>
        <v>0.42200000000000004</v>
      </c>
      <c r="M116" s="139">
        <f t="shared" si="48"/>
        <v>0.36199999999999999</v>
      </c>
      <c r="N116" s="28"/>
      <c r="O116" s="3" t="str">
        <f t="shared" si="40"/>
        <v/>
      </c>
      <c r="P116" s="3" t="str">
        <f t="shared" si="41"/>
        <v/>
      </c>
      <c r="Q116" s="3" t="str">
        <f t="shared" si="42"/>
        <v/>
      </c>
      <c r="R116" s="4" t="str">
        <f t="shared" si="43"/>
        <v/>
      </c>
      <c r="S116" s="5" t="str">
        <f t="shared" si="44"/>
        <v/>
      </c>
      <c r="T116" s="76" t="str">
        <f t="shared" si="50"/>
        <v/>
      </c>
      <c r="U116" s="76" t="str">
        <f t="shared" si="55"/>
        <v/>
      </c>
      <c r="V116" s="5" t="str">
        <f t="shared" si="51"/>
        <v/>
      </c>
      <c r="W116" s="5" t="str">
        <f t="shared" si="52"/>
        <v/>
      </c>
      <c r="X116" s="5" t="str">
        <f t="shared" si="53"/>
        <v/>
      </c>
      <c r="Y116" s="70" t="str">
        <f t="shared" si="54"/>
        <v/>
      </c>
      <c r="Z116" s="32" t="str">
        <f t="shared" si="45"/>
        <v/>
      </c>
      <c r="AA116" s="32" t="str">
        <f t="shared" si="46"/>
        <v/>
      </c>
      <c r="AB116" s="32" t="str">
        <f t="shared" si="49"/>
        <v/>
      </c>
      <c r="AC116" s="32" t="str">
        <f t="shared" si="56"/>
        <v/>
      </c>
      <c r="AD116" s="134"/>
      <c r="AE116" s="135" t="str">
        <f t="shared" si="57"/>
        <v/>
      </c>
      <c r="AF116" s="136"/>
      <c r="AG116" s="137"/>
      <c r="AH116" s="137"/>
      <c r="AI116" s="138"/>
      <c r="AJ116" s="23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CE116" t="str">
        <v/>
      </c>
    </row>
    <row r="117" spans="1:83" ht="15" customHeight="1">
      <c r="A117" s="18"/>
      <c r="B117" s="128" t="s">
        <v>415</v>
      </c>
      <c r="C117" s="129" t="s">
        <v>307</v>
      </c>
      <c r="D117" s="130" t="s">
        <v>60</v>
      </c>
      <c r="E117" s="71">
        <v>1.33</v>
      </c>
      <c r="F117" s="129" t="s">
        <v>28</v>
      </c>
      <c r="G117" s="129">
        <v>0.39200000000000002</v>
      </c>
      <c r="H117" s="129">
        <v>0.03</v>
      </c>
      <c r="I117" s="129">
        <v>-0.03</v>
      </c>
      <c r="J117" s="150" t="s">
        <v>12</v>
      </c>
      <c r="K117" s="132" t="s">
        <v>339</v>
      </c>
      <c r="L117" s="133">
        <f t="shared" si="47"/>
        <v>0.42200000000000004</v>
      </c>
      <c r="M117" s="139">
        <f t="shared" si="48"/>
        <v>0.36199999999999999</v>
      </c>
      <c r="N117" s="28"/>
      <c r="O117" s="3" t="str">
        <f t="shared" si="40"/>
        <v/>
      </c>
      <c r="P117" s="3" t="str">
        <f t="shared" si="41"/>
        <v/>
      </c>
      <c r="Q117" s="3" t="str">
        <f t="shared" si="42"/>
        <v/>
      </c>
      <c r="R117" s="4" t="str">
        <f t="shared" si="43"/>
        <v/>
      </c>
      <c r="S117" s="5" t="str">
        <f t="shared" si="44"/>
        <v/>
      </c>
      <c r="T117" s="76" t="str">
        <f t="shared" si="50"/>
        <v/>
      </c>
      <c r="U117" s="76" t="str">
        <f t="shared" si="55"/>
        <v/>
      </c>
      <c r="V117" s="5" t="str">
        <f t="shared" si="51"/>
        <v/>
      </c>
      <c r="W117" s="5" t="str">
        <f t="shared" si="52"/>
        <v/>
      </c>
      <c r="X117" s="5" t="str">
        <f t="shared" si="53"/>
        <v/>
      </c>
      <c r="Y117" s="70" t="str">
        <f t="shared" si="54"/>
        <v/>
      </c>
      <c r="Z117" s="32" t="str">
        <f t="shared" si="45"/>
        <v/>
      </c>
      <c r="AA117" s="32" t="str">
        <f t="shared" si="46"/>
        <v/>
      </c>
      <c r="AB117" s="32" t="str">
        <f t="shared" si="49"/>
        <v/>
      </c>
      <c r="AC117" s="32" t="str">
        <f t="shared" si="56"/>
        <v/>
      </c>
      <c r="AD117" s="134"/>
      <c r="AE117" s="135" t="str">
        <f t="shared" si="57"/>
        <v/>
      </c>
      <c r="AF117" s="136"/>
      <c r="AG117" s="137"/>
      <c r="AH117" s="137"/>
      <c r="AI117" s="138"/>
      <c r="AJ117" s="23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CE117" t="str">
        <v/>
      </c>
    </row>
    <row r="118" spans="1:83" ht="15" customHeight="1">
      <c r="A118" s="18"/>
      <c r="B118" s="128" t="s">
        <v>416</v>
      </c>
      <c r="C118" s="129" t="s">
        <v>307</v>
      </c>
      <c r="D118" s="130" t="s">
        <v>60</v>
      </c>
      <c r="E118" s="71">
        <v>1.33</v>
      </c>
      <c r="F118" s="129" t="s">
        <v>28</v>
      </c>
      <c r="G118" s="131">
        <v>0.39200000000000002</v>
      </c>
      <c r="H118" s="129">
        <v>0.03</v>
      </c>
      <c r="I118" s="131">
        <v>-0.03</v>
      </c>
      <c r="J118" s="150" t="s">
        <v>12</v>
      </c>
      <c r="K118" s="132" t="s">
        <v>339</v>
      </c>
      <c r="L118" s="133">
        <f t="shared" si="47"/>
        <v>0.42200000000000004</v>
      </c>
      <c r="M118" s="139">
        <f t="shared" si="48"/>
        <v>0.36199999999999999</v>
      </c>
      <c r="N118" s="28"/>
      <c r="O118" s="3" t="str">
        <f t="shared" si="40"/>
        <v/>
      </c>
      <c r="P118" s="3" t="str">
        <f t="shared" si="41"/>
        <v/>
      </c>
      <c r="Q118" s="3" t="str">
        <f t="shared" si="42"/>
        <v/>
      </c>
      <c r="R118" s="4" t="str">
        <f t="shared" si="43"/>
        <v/>
      </c>
      <c r="S118" s="5" t="str">
        <f t="shared" si="44"/>
        <v/>
      </c>
      <c r="T118" s="76" t="str">
        <f t="shared" si="50"/>
        <v/>
      </c>
      <c r="U118" s="76" t="str">
        <f t="shared" si="55"/>
        <v/>
      </c>
      <c r="V118" s="5" t="str">
        <f t="shared" si="51"/>
        <v/>
      </c>
      <c r="W118" s="5" t="str">
        <f t="shared" si="52"/>
        <v/>
      </c>
      <c r="X118" s="5" t="str">
        <f t="shared" si="53"/>
        <v/>
      </c>
      <c r="Y118" s="70" t="str">
        <f t="shared" si="54"/>
        <v/>
      </c>
      <c r="Z118" s="32" t="str">
        <f t="shared" si="45"/>
        <v/>
      </c>
      <c r="AA118" s="32" t="str">
        <f t="shared" si="46"/>
        <v/>
      </c>
      <c r="AB118" s="32" t="str">
        <f t="shared" si="49"/>
        <v/>
      </c>
      <c r="AC118" s="32" t="str">
        <f t="shared" si="56"/>
        <v/>
      </c>
      <c r="AD118" s="134"/>
      <c r="AE118" s="135" t="str">
        <f t="shared" si="57"/>
        <v/>
      </c>
      <c r="AF118" s="136"/>
      <c r="AG118" s="137"/>
      <c r="AH118" s="137"/>
      <c r="AI118" s="138"/>
      <c r="AJ118" s="23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CE118" t="str">
        <v/>
      </c>
    </row>
    <row r="119" spans="1:83" ht="15" customHeight="1">
      <c r="A119" s="18"/>
      <c r="B119" s="128" t="s">
        <v>417</v>
      </c>
      <c r="C119" s="129" t="s">
        <v>307</v>
      </c>
      <c r="D119" s="130" t="s">
        <v>60</v>
      </c>
      <c r="E119" s="71">
        <v>1.33</v>
      </c>
      <c r="F119" s="129" t="s">
        <v>28</v>
      </c>
      <c r="G119" s="129">
        <v>0.39200000000000002</v>
      </c>
      <c r="H119" s="129">
        <v>0.03</v>
      </c>
      <c r="I119" s="129">
        <v>-0.03</v>
      </c>
      <c r="J119" s="150" t="s">
        <v>12</v>
      </c>
      <c r="K119" s="132" t="s">
        <v>339</v>
      </c>
      <c r="L119" s="133">
        <f t="shared" si="47"/>
        <v>0.42200000000000004</v>
      </c>
      <c r="M119" s="139">
        <f t="shared" si="48"/>
        <v>0.36199999999999999</v>
      </c>
      <c r="N119" s="28"/>
      <c r="O119" s="3" t="str">
        <f t="shared" si="40"/>
        <v/>
      </c>
      <c r="P119" s="3" t="str">
        <f t="shared" si="41"/>
        <v/>
      </c>
      <c r="Q119" s="3" t="str">
        <f t="shared" si="42"/>
        <v/>
      </c>
      <c r="R119" s="4" t="str">
        <f t="shared" si="43"/>
        <v/>
      </c>
      <c r="S119" s="5" t="str">
        <f t="shared" si="44"/>
        <v/>
      </c>
      <c r="T119" s="76" t="str">
        <f t="shared" si="50"/>
        <v/>
      </c>
      <c r="U119" s="76" t="str">
        <f t="shared" si="55"/>
        <v/>
      </c>
      <c r="V119" s="5" t="str">
        <f t="shared" si="51"/>
        <v/>
      </c>
      <c r="W119" s="5" t="str">
        <f t="shared" si="52"/>
        <v/>
      </c>
      <c r="X119" s="5" t="str">
        <f t="shared" si="53"/>
        <v/>
      </c>
      <c r="Y119" s="70" t="str">
        <f t="shared" si="54"/>
        <v/>
      </c>
      <c r="Z119" s="32" t="str">
        <f t="shared" si="45"/>
        <v/>
      </c>
      <c r="AA119" s="32" t="str">
        <f t="shared" si="46"/>
        <v/>
      </c>
      <c r="AB119" s="32" t="str">
        <f t="shared" si="49"/>
        <v/>
      </c>
      <c r="AC119" s="32" t="str">
        <f t="shared" si="56"/>
        <v/>
      </c>
      <c r="AD119" s="134"/>
      <c r="AE119" s="135" t="str">
        <f t="shared" si="57"/>
        <v/>
      </c>
      <c r="AF119" s="136"/>
      <c r="AG119" s="137"/>
      <c r="AH119" s="137"/>
      <c r="AI119" s="138"/>
      <c r="AJ119" s="23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CE119" t="str">
        <v/>
      </c>
    </row>
    <row r="120" spans="1:83" ht="15" customHeight="1">
      <c r="A120" s="18"/>
      <c r="B120" s="128" t="s">
        <v>418</v>
      </c>
      <c r="C120" s="129" t="s">
        <v>307</v>
      </c>
      <c r="D120" s="130" t="s">
        <v>60</v>
      </c>
      <c r="E120" s="71">
        <v>1.33</v>
      </c>
      <c r="F120" s="129" t="s">
        <v>28</v>
      </c>
      <c r="G120" s="129">
        <v>0.39200000000000002</v>
      </c>
      <c r="H120" s="129">
        <v>0.03</v>
      </c>
      <c r="I120" s="129">
        <v>-0.03</v>
      </c>
      <c r="J120" s="150" t="s">
        <v>12</v>
      </c>
      <c r="K120" s="132" t="s">
        <v>339</v>
      </c>
      <c r="L120" s="133">
        <f t="shared" si="47"/>
        <v>0.42200000000000004</v>
      </c>
      <c r="M120" s="139">
        <f t="shared" si="48"/>
        <v>0.36199999999999999</v>
      </c>
      <c r="N120" s="28"/>
      <c r="O120" s="3" t="str">
        <f t="shared" si="40"/>
        <v/>
      </c>
      <c r="P120" s="3" t="str">
        <f t="shared" si="41"/>
        <v/>
      </c>
      <c r="Q120" s="3" t="str">
        <f t="shared" si="42"/>
        <v/>
      </c>
      <c r="R120" s="4" t="str">
        <f t="shared" si="43"/>
        <v/>
      </c>
      <c r="S120" s="5" t="str">
        <f t="shared" si="44"/>
        <v/>
      </c>
      <c r="T120" s="76" t="str">
        <f t="shared" si="50"/>
        <v/>
      </c>
      <c r="U120" s="76" t="str">
        <f t="shared" si="55"/>
        <v/>
      </c>
      <c r="V120" s="5" t="str">
        <f t="shared" si="51"/>
        <v/>
      </c>
      <c r="W120" s="5" t="str">
        <f t="shared" si="52"/>
        <v/>
      </c>
      <c r="X120" s="5" t="str">
        <f t="shared" si="53"/>
        <v/>
      </c>
      <c r="Y120" s="70" t="str">
        <f t="shared" si="54"/>
        <v/>
      </c>
      <c r="Z120" s="32" t="str">
        <f t="shared" si="45"/>
        <v/>
      </c>
      <c r="AA120" s="32" t="str">
        <f t="shared" si="46"/>
        <v/>
      </c>
      <c r="AB120" s="32" t="str">
        <f t="shared" si="49"/>
        <v/>
      </c>
      <c r="AC120" s="32" t="str">
        <f t="shared" si="56"/>
        <v/>
      </c>
      <c r="AD120" s="134"/>
      <c r="AE120" s="135" t="str">
        <f t="shared" si="57"/>
        <v/>
      </c>
      <c r="AF120" s="136"/>
      <c r="AG120" s="137"/>
      <c r="AH120" s="137"/>
      <c r="AI120" s="138"/>
      <c r="AJ120" s="23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CE120" t="str">
        <v/>
      </c>
    </row>
    <row r="121" spans="1:83" ht="15" customHeight="1">
      <c r="A121" s="18"/>
      <c r="B121" s="146" t="s">
        <v>419</v>
      </c>
      <c r="C121" s="129"/>
      <c r="D121" s="130" t="s">
        <v>420</v>
      </c>
      <c r="E121" s="71"/>
      <c r="F121" s="129" t="s">
        <v>28</v>
      </c>
      <c r="G121" s="129">
        <v>5.157</v>
      </c>
      <c r="H121" s="129">
        <v>0.3</v>
      </c>
      <c r="I121" s="129">
        <v>-0.3</v>
      </c>
      <c r="J121" s="150" t="s">
        <v>12</v>
      </c>
      <c r="K121" s="132" t="s">
        <v>339</v>
      </c>
      <c r="L121" s="133">
        <f t="shared" si="47"/>
        <v>5.4569999999999999</v>
      </c>
      <c r="M121" s="139">
        <f t="shared" si="48"/>
        <v>4.8570000000000002</v>
      </c>
      <c r="N121" s="28"/>
      <c r="O121" s="3" t="str">
        <f t="shared" ref="O121:O149" si="58">IF(OR($AK121="",ISNUMBER($AK121)=FALSE),"",MAX(AK121:BP121))</f>
        <v/>
      </c>
      <c r="P121" s="3" t="str">
        <f t="shared" ref="P121:P149" si="59">IF(OR($AK121="",ISNUMBER($AK121)=FALSE),"",MIN(AK121:BP121))</f>
        <v/>
      </c>
      <c r="Q121" s="3" t="str">
        <f t="shared" ref="Q121:Q149" si="60">IF(OR($AK121="",ISNUMBER($AK121)=FALSE),"",AVERAGE(AK121:BP121))</f>
        <v/>
      </c>
      <c r="R121" s="4" t="str">
        <f t="shared" ref="R121:R149" si="61">IF(OR($AK121="",ISNUMBER($AK121)=FALSE),"",STDEV(AK121:BP121))</f>
        <v/>
      </c>
      <c r="S121" s="5" t="str">
        <f t="shared" ref="S121:S149" si="62">IF(OR($AK121="",ISNUMBER($AK121)=FALSE),"",IF(AND(G121="",I121=""),V121,IF(AND(G121="",H121=""),W121,(H121+ABS(I121))/(6*R121))))</f>
        <v/>
      </c>
      <c r="T121" s="76" t="str">
        <f t="shared" si="50"/>
        <v/>
      </c>
      <c r="U121" s="76" t="str">
        <f t="shared" si="55"/>
        <v/>
      </c>
      <c r="V121" s="5" t="str">
        <f t="shared" si="51"/>
        <v/>
      </c>
      <c r="W121" s="5" t="str">
        <f t="shared" si="52"/>
        <v/>
      </c>
      <c r="X121" s="5" t="str">
        <f t="shared" si="53"/>
        <v/>
      </c>
      <c r="Y121" s="70" t="str">
        <f t="shared" si="54"/>
        <v/>
      </c>
      <c r="Z121" s="32" t="str">
        <f t="shared" si="45"/>
        <v/>
      </c>
      <c r="AA121" s="32" t="str">
        <f t="shared" si="46"/>
        <v/>
      </c>
      <c r="AB121" s="32" t="str">
        <f t="shared" si="49"/>
        <v/>
      </c>
      <c r="AC121" s="32" t="str">
        <f t="shared" si="56"/>
        <v/>
      </c>
      <c r="AD121" s="134"/>
      <c r="AE121" s="135" t="str">
        <f t="shared" si="57"/>
        <v/>
      </c>
      <c r="AF121" s="136"/>
      <c r="AG121" s="137"/>
      <c r="AH121" s="137"/>
      <c r="AI121" s="138"/>
      <c r="AJ121" s="23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CE121" t="str">
        <v/>
      </c>
    </row>
    <row r="122" spans="1:83" ht="15" customHeight="1">
      <c r="A122" s="18"/>
      <c r="B122" s="146" t="s">
        <v>421</v>
      </c>
      <c r="C122" s="129"/>
      <c r="D122" s="130" t="s">
        <v>60</v>
      </c>
      <c r="E122" s="71"/>
      <c r="F122" s="129" t="s">
        <v>28</v>
      </c>
      <c r="G122" s="129">
        <v>14.095000000000001</v>
      </c>
      <c r="H122" s="129">
        <v>0.17499999999999999</v>
      </c>
      <c r="I122" s="129">
        <v>-0.17499999999999999</v>
      </c>
      <c r="J122" s="150" t="s">
        <v>12</v>
      </c>
      <c r="K122" s="132" t="s">
        <v>339</v>
      </c>
      <c r="L122" s="133">
        <f t="shared" si="47"/>
        <v>14.270000000000001</v>
      </c>
      <c r="M122" s="139">
        <f t="shared" si="48"/>
        <v>13.92</v>
      </c>
      <c r="N122" s="28"/>
      <c r="O122" s="3" t="str">
        <f t="shared" si="58"/>
        <v/>
      </c>
      <c r="P122" s="3" t="str">
        <f t="shared" si="59"/>
        <v/>
      </c>
      <c r="Q122" s="3" t="str">
        <f t="shared" si="60"/>
        <v/>
      </c>
      <c r="R122" s="4" t="str">
        <f t="shared" si="61"/>
        <v/>
      </c>
      <c r="S122" s="5" t="str">
        <f t="shared" si="62"/>
        <v/>
      </c>
      <c r="T122" s="76" t="str">
        <f t="shared" si="50"/>
        <v/>
      </c>
      <c r="U122" s="76" t="str">
        <f t="shared" si="55"/>
        <v/>
      </c>
      <c r="V122" s="5" t="str">
        <f t="shared" si="51"/>
        <v/>
      </c>
      <c r="W122" s="5" t="str">
        <f t="shared" si="52"/>
        <v/>
      </c>
      <c r="X122" s="5" t="str">
        <f t="shared" si="53"/>
        <v/>
      </c>
      <c r="Y122" s="70" t="str">
        <f t="shared" si="54"/>
        <v/>
      </c>
      <c r="Z122" s="32" t="str">
        <f t="shared" si="45"/>
        <v/>
      </c>
      <c r="AA122" s="32" t="str">
        <f t="shared" si="46"/>
        <v/>
      </c>
      <c r="AB122" s="32" t="str">
        <f t="shared" si="49"/>
        <v/>
      </c>
      <c r="AC122" s="32" t="str">
        <f t="shared" si="56"/>
        <v/>
      </c>
      <c r="AD122" s="134"/>
      <c r="AE122" s="135" t="str">
        <f t="shared" si="57"/>
        <v/>
      </c>
      <c r="AF122" s="136"/>
      <c r="AG122" s="137"/>
      <c r="AH122" s="137"/>
      <c r="AI122" s="138"/>
      <c r="AJ122" s="23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CE122" t="str">
        <v/>
      </c>
    </row>
    <row r="123" spans="1:83" ht="15" customHeight="1">
      <c r="A123" s="18"/>
      <c r="B123" s="148" t="s">
        <v>422</v>
      </c>
      <c r="C123" s="129" t="s">
        <v>262</v>
      </c>
      <c r="D123" s="130" t="s">
        <v>60</v>
      </c>
      <c r="E123" s="71">
        <v>1.33</v>
      </c>
      <c r="F123" s="129" t="s">
        <v>28</v>
      </c>
      <c r="G123" s="129">
        <v>0.79</v>
      </c>
      <c r="H123" s="129">
        <v>0.02</v>
      </c>
      <c r="I123" s="129">
        <v>-0.02</v>
      </c>
      <c r="J123" s="150" t="s">
        <v>12</v>
      </c>
      <c r="K123" s="132" t="s">
        <v>339</v>
      </c>
      <c r="L123" s="133">
        <f t="shared" si="47"/>
        <v>0.81</v>
      </c>
      <c r="M123" s="139">
        <f t="shared" si="48"/>
        <v>0.77</v>
      </c>
      <c r="N123" s="28"/>
      <c r="O123" s="3" t="str">
        <f t="shared" si="58"/>
        <v/>
      </c>
      <c r="P123" s="3" t="str">
        <f t="shared" si="59"/>
        <v/>
      </c>
      <c r="Q123" s="3" t="str">
        <f t="shared" si="60"/>
        <v/>
      </c>
      <c r="R123" s="4" t="str">
        <f t="shared" si="61"/>
        <v/>
      </c>
      <c r="S123" s="5" t="str">
        <f t="shared" si="62"/>
        <v/>
      </c>
      <c r="T123" s="76" t="str">
        <f t="shared" si="50"/>
        <v/>
      </c>
      <c r="U123" s="76" t="str">
        <f t="shared" si="55"/>
        <v/>
      </c>
      <c r="V123" s="5" t="str">
        <f t="shared" si="51"/>
        <v/>
      </c>
      <c r="W123" s="5" t="str">
        <f t="shared" si="52"/>
        <v/>
      </c>
      <c r="X123" s="5" t="str">
        <f t="shared" si="53"/>
        <v/>
      </c>
      <c r="Y123" s="70" t="str">
        <f t="shared" si="54"/>
        <v/>
      </c>
      <c r="Z123" s="32" t="str">
        <f t="shared" si="45"/>
        <v/>
      </c>
      <c r="AA123" s="32" t="str">
        <f t="shared" si="46"/>
        <v/>
      </c>
      <c r="AB123" s="32" t="str">
        <f t="shared" si="49"/>
        <v/>
      </c>
      <c r="AC123" s="32" t="str">
        <f t="shared" si="56"/>
        <v/>
      </c>
      <c r="AD123" s="134"/>
      <c r="AE123" s="135" t="str">
        <f t="shared" si="57"/>
        <v/>
      </c>
      <c r="AF123" s="136"/>
      <c r="AG123" s="137"/>
      <c r="AH123" s="137"/>
      <c r="AI123" s="138"/>
      <c r="AJ123" s="23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CE123" t="str">
        <v/>
      </c>
    </row>
    <row r="124" spans="1:83" ht="15" customHeight="1">
      <c r="A124" s="18"/>
      <c r="B124" s="148" t="s">
        <v>423</v>
      </c>
      <c r="C124" s="129" t="s">
        <v>262</v>
      </c>
      <c r="D124" s="130" t="s">
        <v>60</v>
      </c>
      <c r="E124" s="71">
        <v>1.33</v>
      </c>
      <c r="F124" s="129" t="s">
        <v>28</v>
      </c>
      <c r="G124" s="129">
        <v>0.79</v>
      </c>
      <c r="H124" s="129">
        <v>0.02</v>
      </c>
      <c r="I124" s="129">
        <v>-0.02</v>
      </c>
      <c r="J124" s="150" t="s">
        <v>12</v>
      </c>
      <c r="K124" s="132" t="s">
        <v>339</v>
      </c>
      <c r="L124" s="133">
        <f t="shared" si="47"/>
        <v>0.81</v>
      </c>
      <c r="M124" s="139">
        <f t="shared" si="48"/>
        <v>0.77</v>
      </c>
      <c r="N124" s="28"/>
      <c r="O124" s="3" t="str">
        <f t="shared" si="58"/>
        <v/>
      </c>
      <c r="P124" s="3" t="str">
        <f t="shared" si="59"/>
        <v/>
      </c>
      <c r="Q124" s="3" t="str">
        <f t="shared" si="60"/>
        <v/>
      </c>
      <c r="R124" s="4" t="str">
        <f t="shared" si="61"/>
        <v/>
      </c>
      <c r="S124" s="5" t="str">
        <f t="shared" si="62"/>
        <v/>
      </c>
      <c r="T124" s="76" t="str">
        <f t="shared" si="50"/>
        <v/>
      </c>
      <c r="U124" s="76" t="str">
        <f t="shared" si="55"/>
        <v/>
      </c>
      <c r="V124" s="5" t="str">
        <f t="shared" si="51"/>
        <v/>
      </c>
      <c r="W124" s="5" t="str">
        <f t="shared" si="52"/>
        <v/>
      </c>
      <c r="X124" s="5" t="str">
        <f t="shared" si="53"/>
        <v/>
      </c>
      <c r="Y124" s="70" t="str">
        <f t="shared" si="54"/>
        <v/>
      </c>
      <c r="Z124" s="32" t="str">
        <f t="shared" si="45"/>
        <v/>
      </c>
      <c r="AA124" s="32" t="str">
        <f t="shared" si="46"/>
        <v/>
      </c>
      <c r="AB124" s="32" t="str">
        <f t="shared" si="49"/>
        <v/>
      </c>
      <c r="AC124" s="32" t="str">
        <f t="shared" si="56"/>
        <v/>
      </c>
      <c r="AD124" s="134"/>
      <c r="AE124" s="135" t="str">
        <f t="shared" si="57"/>
        <v/>
      </c>
      <c r="AF124" s="136"/>
      <c r="AG124" s="137"/>
      <c r="AH124" s="137"/>
      <c r="AI124" s="138"/>
      <c r="AJ124" s="23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CE124" t="str">
        <v/>
      </c>
    </row>
    <row r="125" spans="1:83" ht="15" customHeight="1">
      <c r="A125" s="18"/>
      <c r="B125" s="148" t="s">
        <v>424</v>
      </c>
      <c r="C125" s="129" t="s">
        <v>262</v>
      </c>
      <c r="D125" s="130" t="s">
        <v>60</v>
      </c>
      <c r="E125" s="71">
        <v>1.33</v>
      </c>
      <c r="F125" s="129" t="s">
        <v>28</v>
      </c>
      <c r="G125" s="129">
        <v>0.79</v>
      </c>
      <c r="H125" s="129">
        <v>0.02</v>
      </c>
      <c r="I125" s="129">
        <v>-0.02</v>
      </c>
      <c r="J125" s="150" t="s">
        <v>12</v>
      </c>
      <c r="K125" s="132" t="s">
        <v>339</v>
      </c>
      <c r="L125" s="133">
        <f t="shared" si="47"/>
        <v>0.81</v>
      </c>
      <c r="M125" s="139">
        <f t="shared" si="48"/>
        <v>0.77</v>
      </c>
      <c r="N125" s="28"/>
      <c r="O125" s="3" t="str">
        <f t="shared" si="58"/>
        <v/>
      </c>
      <c r="P125" s="3" t="str">
        <f t="shared" si="59"/>
        <v/>
      </c>
      <c r="Q125" s="3" t="str">
        <f t="shared" si="60"/>
        <v/>
      </c>
      <c r="R125" s="4" t="str">
        <f t="shared" si="61"/>
        <v/>
      </c>
      <c r="S125" s="5" t="str">
        <f t="shared" si="62"/>
        <v/>
      </c>
      <c r="T125" s="76" t="str">
        <f t="shared" si="50"/>
        <v/>
      </c>
      <c r="U125" s="76" t="str">
        <f t="shared" si="55"/>
        <v/>
      </c>
      <c r="V125" s="5" t="str">
        <f t="shared" si="51"/>
        <v/>
      </c>
      <c r="W125" s="5" t="str">
        <f t="shared" si="52"/>
        <v/>
      </c>
      <c r="X125" s="5" t="str">
        <f t="shared" si="53"/>
        <v/>
      </c>
      <c r="Y125" s="70" t="str">
        <f t="shared" si="54"/>
        <v/>
      </c>
      <c r="Z125" s="32" t="str">
        <f t="shared" si="45"/>
        <v/>
      </c>
      <c r="AA125" s="32" t="str">
        <f t="shared" si="46"/>
        <v/>
      </c>
      <c r="AB125" s="32" t="str">
        <f t="shared" si="49"/>
        <v/>
      </c>
      <c r="AC125" s="32" t="str">
        <f t="shared" si="56"/>
        <v/>
      </c>
      <c r="AD125" s="134"/>
      <c r="AE125" s="135" t="str">
        <f t="shared" si="57"/>
        <v/>
      </c>
      <c r="AF125" s="136"/>
      <c r="AG125" s="137"/>
      <c r="AH125" s="137"/>
      <c r="AI125" s="138"/>
      <c r="AJ125" s="23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CE125" t="str">
        <v/>
      </c>
    </row>
    <row r="126" spans="1:83" ht="15" customHeight="1">
      <c r="A126" s="18"/>
      <c r="B126" s="148" t="s">
        <v>425</v>
      </c>
      <c r="C126" s="129" t="s">
        <v>265</v>
      </c>
      <c r="D126" s="130" t="s">
        <v>60</v>
      </c>
      <c r="E126" s="71">
        <v>1.33</v>
      </c>
      <c r="F126" s="129" t="s">
        <v>28</v>
      </c>
      <c r="G126" s="129">
        <v>0.79</v>
      </c>
      <c r="H126" s="129">
        <v>0.02</v>
      </c>
      <c r="I126" s="129">
        <v>-0.02</v>
      </c>
      <c r="J126" s="150" t="s">
        <v>12</v>
      </c>
      <c r="K126" s="132" t="s">
        <v>339</v>
      </c>
      <c r="L126" s="133">
        <f t="shared" si="47"/>
        <v>0.81</v>
      </c>
      <c r="M126" s="139">
        <f t="shared" si="48"/>
        <v>0.77</v>
      </c>
      <c r="N126" s="28"/>
      <c r="O126" s="3" t="str">
        <f t="shared" si="58"/>
        <v/>
      </c>
      <c r="P126" s="3" t="str">
        <f t="shared" si="59"/>
        <v/>
      </c>
      <c r="Q126" s="3" t="str">
        <f t="shared" si="60"/>
        <v/>
      </c>
      <c r="R126" s="4" t="str">
        <f t="shared" si="61"/>
        <v/>
      </c>
      <c r="S126" s="5" t="str">
        <f t="shared" si="62"/>
        <v/>
      </c>
      <c r="T126" s="76" t="str">
        <f t="shared" si="50"/>
        <v/>
      </c>
      <c r="U126" s="76" t="str">
        <f t="shared" si="55"/>
        <v/>
      </c>
      <c r="V126" s="5" t="str">
        <f t="shared" si="51"/>
        <v/>
      </c>
      <c r="W126" s="5" t="str">
        <f t="shared" si="52"/>
        <v/>
      </c>
      <c r="X126" s="5" t="str">
        <f t="shared" si="53"/>
        <v/>
      </c>
      <c r="Y126" s="70" t="str">
        <f t="shared" si="54"/>
        <v/>
      </c>
      <c r="Z126" s="32" t="str">
        <f t="shared" si="45"/>
        <v/>
      </c>
      <c r="AA126" s="32" t="str">
        <f t="shared" si="46"/>
        <v/>
      </c>
      <c r="AB126" s="32" t="str">
        <f t="shared" si="49"/>
        <v/>
      </c>
      <c r="AC126" s="32" t="str">
        <f t="shared" si="56"/>
        <v/>
      </c>
      <c r="AD126" s="134"/>
      <c r="AE126" s="135" t="str">
        <f t="shared" si="57"/>
        <v/>
      </c>
      <c r="AF126" s="136"/>
      <c r="AG126" s="137"/>
      <c r="AH126" s="137"/>
      <c r="AI126" s="138"/>
      <c r="AJ126" s="23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CE126" t="str">
        <v/>
      </c>
    </row>
    <row r="127" spans="1:83" ht="15" customHeight="1">
      <c r="A127" s="18"/>
      <c r="B127" s="148" t="s">
        <v>426</v>
      </c>
      <c r="C127" s="129" t="s">
        <v>265</v>
      </c>
      <c r="D127" s="130" t="s">
        <v>60</v>
      </c>
      <c r="E127" s="71">
        <v>1.33</v>
      </c>
      <c r="F127" s="129" t="s">
        <v>28</v>
      </c>
      <c r="G127" s="129">
        <v>0.79</v>
      </c>
      <c r="H127" s="129">
        <v>0.02</v>
      </c>
      <c r="I127" s="129">
        <v>-0.02</v>
      </c>
      <c r="J127" s="150" t="s">
        <v>12</v>
      </c>
      <c r="K127" s="132" t="s">
        <v>339</v>
      </c>
      <c r="L127" s="133">
        <f t="shared" si="47"/>
        <v>0.81</v>
      </c>
      <c r="M127" s="139">
        <f t="shared" si="48"/>
        <v>0.77</v>
      </c>
      <c r="N127" s="28"/>
      <c r="O127" s="3" t="str">
        <f t="shared" si="58"/>
        <v/>
      </c>
      <c r="P127" s="3" t="str">
        <f t="shared" si="59"/>
        <v/>
      </c>
      <c r="Q127" s="3" t="str">
        <f t="shared" si="60"/>
        <v/>
      </c>
      <c r="R127" s="4" t="str">
        <f t="shared" si="61"/>
        <v/>
      </c>
      <c r="S127" s="5" t="str">
        <f t="shared" si="62"/>
        <v/>
      </c>
      <c r="T127" s="76" t="str">
        <f t="shared" si="50"/>
        <v/>
      </c>
      <c r="U127" s="76" t="str">
        <f t="shared" si="55"/>
        <v/>
      </c>
      <c r="V127" s="5" t="str">
        <f t="shared" si="51"/>
        <v/>
      </c>
      <c r="W127" s="5" t="str">
        <f t="shared" si="52"/>
        <v/>
      </c>
      <c r="X127" s="5" t="str">
        <f t="shared" si="53"/>
        <v/>
      </c>
      <c r="Y127" s="70" t="str">
        <f t="shared" si="54"/>
        <v/>
      </c>
      <c r="Z127" s="32" t="str">
        <f t="shared" si="45"/>
        <v/>
      </c>
      <c r="AA127" s="32" t="str">
        <f t="shared" si="46"/>
        <v/>
      </c>
      <c r="AB127" s="32" t="str">
        <f t="shared" si="49"/>
        <v/>
      </c>
      <c r="AC127" s="32" t="str">
        <f t="shared" si="56"/>
        <v/>
      </c>
      <c r="AD127" s="134"/>
      <c r="AE127" s="135" t="str">
        <f t="shared" si="57"/>
        <v/>
      </c>
      <c r="AF127" s="136"/>
      <c r="AG127" s="137"/>
      <c r="AH127" s="137"/>
      <c r="AI127" s="138"/>
      <c r="AJ127" s="23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CE127" t="str">
        <v/>
      </c>
    </row>
    <row r="128" spans="1:83" ht="15" customHeight="1">
      <c r="A128" s="18"/>
      <c r="B128" s="148" t="s">
        <v>427</v>
      </c>
      <c r="C128" s="129" t="s">
        <v>265</v>
      </c>
      <c r="D128" s="130" t="s">
        <v>60</v>
      </c>
      <c r="E128" s="71">
        <v>1.33</v>
      </c>
      <c r="F128" s="129" t="s">
        <v>28</v>
      </c>
      <c r="G128" s="129">
        <v>0.79</v>
      </c>
      <c r="H128" s="129">
        <v>0.02</v>
      </c>
      <c r="I128" s="129">
        <v>-0.02</v>
      </c>
      <c r="J128" s="150" t="s">
        <v>12</v>
      </c>
      <c r="K128" s="132" t="s">
        <v>339</v>
      </c>
      <c r="L128" s="133">
        <f t="shared" si="47"/>
        <v>0.81</v>
      </c>
      <c r="M128" s="139">
        <f t="shared" si="48"/>
        <v>0.77</v>
      </c>
      <c r="N128" s="28"/>
      <c r="O128" s="3" t="str">
        <f t="shared" si="58"/>
        <v/>
      </c>
      <c r="P128" s="3" t="str">
        <f t="shared" si="59"/>
        <v/>
      </c>
      <c r="Q128" s="3" t="str">
        <f t="shared" si="60"/>
        <v/>
      </c>
      <c r="R128" s="4" t="str">
        <f t="shared" si="61"/>
        <v/>
      </c>
      <c r="S128" s="5" t="str">
        <f t="shared" si="62"/>
        <v/>
      </c>
      <c r="T128" s="76" t="str">
        <f t="shared" si="50"/>
        <v/>
      </c>
      <c r="U128" s="76" t="str">
        <f t="shared" si="55"/>
        <v/>
      </c>
      <c r="V128" s="5" t="str">
        <f t="shared" si="51"/>
        <v/>
      </c>
      <c r="W128" s="5" t="str">
        <f t="shared" si="52"/>
        <v/>
      </c>
      <c r="X128" s="5" t="str">
        <f t="shared" si="53"/>
        <v/>
      </c>
      <c r="Y128" s="70" t="str">
        <f t="shared" si="54"/>
        <v/>
      </c>
      <c r="Z128" s="32" t="str">
        <f t="shared" si="45"/>
        <v/>
      </c>
      <c r="AA128" s="32" t="str">
        <f t="shared" si="46"/>
        <v/>
      </c>
      <c r="AB128" s="32" t="str">
        <f t="shared" si="49"/>
        <v/>
      </c>
      <c r="AC128" s="32" t="str">
        <f t="shared" si="56"/>
        <v/>
      </c>
      <c r="AD128" s="134"/>
      <c r="AE128" s="135" t="str">
        <f t="shared" si="57"/>
        <v/>
      </c>
      <c r="AF128" s="136"/>
      <c r="AG128" s="137"/>
      <c r="AH128" s="137"/>
      <c r="AI128" s="138"/>
      <c r="AJ128" s="23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CE128" t="str">
        <v/>
      </c>
    </row>
    <row r="129" spans="1:83" ht="15" customHeight="1">
      <c r="A129" s="18"/>
      <c r="B129" s="146" t="s">
        <v>428</v>
      </c>
      <c r="C129" s="129"/>
      <c r="D129" s="130" t="s">
        <v>207</v>
      </c>
      <c r="E129" s="71"/>
      <c r="F129" s="129" t="s">
        <v>28</v>
      </c>
      <c r="G129" s="129">
        <v>0</v>
      </c>
      <c r="H129" s="129">
        <v>3</v>
      </c>
      <c r="I129" s="129">
        <v>-3</v>
      </c>
      <c r="J129" s="150" t="s">
        <v>12</v>
      </c>
      <c r="K129" s="132" t="s">
        <v>339</v>
      </c>
      <c r="L129" s="133">
        <f t="shared" si="47"/>
        <v>3</v>
      </c>
      <c r="M129" s="139">
        <f t="shared" si="48"/>
        <v>-3</v>
      </c>
      <c r="N129" s="28"/>
      <c r="O129" s="3" t="str">
        <f t="shared" si="58"/>
        <v/>
      </c>
      <c r="P129" s="3" t="str">
        <f t="shared" si="59"/>
        <v/>
      </c>
      <c r="Q129" s="3" t="str">
        <f t="shared" si="60"/>
        <v/>
      </c>
      <c r="R129" s="4" t="str">
        <f t="shared" si="61"/>
        <v/>
      </c>
      <c r="S129" s="5" t="str">
        <f t="shared" si="62"/>
        <v/>
      </c>
      <c r="T129" s="76" t="str">
        <f t="shared" si="50"/>
        <v/>
      </c>
      <c r="U129" s="76" t="str">
        <f t="shared" si="55"/>
        <v/>
      </c>
      <c r="V129" s="5" t="str">
        <f t="shared" si="51"/>
        <v/>
      </c>
      <c r="W129" s="5" t="str">
        <f t="shared" si="52"/>
        <v/>
      </c>
      <c r="X129" s="5" t="str">
        <f t="shared" si="53"/>
        <v/>
      </c>
      <c r="Y129" s="70" t="str">
        <f t="shared" si="54"/>
        <v/>
      </c>
      <c r="Z129" s="32" t="str">
        <f t="shared" si="45"/>
        <v/>
      </c>
      <c r="AA129" s="32" t="str">
        <f t="shared" si="46"/>
        <v/>
      </c>
      <c r="AB129" s="32" t="str">
        <f t="shared" si="49"/>
        <v/>
      </c>
      <c r="AC129" s="32" t="str">
        <f t="shared" si="56"/>
        <v/>
      </c>
      <c r="AD129" s="134"/>
      <c r="AE129" s="135" t="str">
        <f t="shared" si="57"/>
        <v/>
      </c>
      <c r="AF129" s="136"/>
      <c r="AG129" s="137"/>
      <c r="AH129" s="137"/>
      <c r="AI129" s="138"/>
      <c r="AJ129" s="23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CE129" t="str">
        <v/>
      </c>
    </row>
    <row r="130" spans="1:83" ht="15" customHeight="1">
      <c r="A130" s="18"/>
      <c r="B130" s="146" t="s">
        <v>267</v>
      </c>
      <c r="C130" s="129"/>
      <c r="D130" s="130" t="s">
        <v>60</v>
      </c>
      <c r="E130" s="71"/>
      <c r="F130" s="129" t="s">
        <v>28</v>
      </c>
      <c r="G130" s="129">
        <v>12.99</v>
      </c>
      <c r="H130" s="129">
        <v>0.03</v>
      </c>
      <c r="I130" s="129">
        <v>-0.03</v>
      </c>
      <c r="J130" s="150" t="s">
        <v>12</v>
      </c>
      <c r="K130" s="132" t="s">
        <v>339</v>
      </c>
      <c r="L130" s="133">
        <f t="shared" si="47"/>
        <v>13.02</v>
      </c>
      <c r="M130" s="139">
        <f t="shared" si="48"/>
        <v>12.96</v>
      </c>
      <c r="N130" s="28"/>
      <c r="O130" s="3" t="str">
        <f t="shared" si="58"/>
        <v/>
      </c>
      <c r="P130" s="3" t="str">
        <f t="shared" si="59"/>
        <v/>
      </c>
      <c r="Q130" s="3" t="str">
        <f t="shared" si="60"/>
        <v/>
      </c>
      <c r="R130" s="4" t="str">
        <f t="shared" si="61"/>
        <v/>
      </c>
      <c r="S130" s="5" t="str">
        <f t="shared" si="62"/>
        <v/>
      </c>
      <c r="T130" s="76" t="str">
        <f t="shared" si="50"/>
        <v/>
      </c>
      <c r="U130" s="76" t="str">
        <f t="shared" si="55"/>
        <v/>
      </c>
      <c r="V130" s="5" t="str">
        <f t="shared" si="51"/>
        <v/>
      </c>
      <c r="W130" s="5" t="str">
        <f t="shared" si="52"/>
        <v/>
      </c>
      <c r="X130" s="5" t="str">
        <f t="shared" si="53"/>
        <v/>
      </c>
      <c r="Y130" s="70" t="str">
        <f t="shared" si="54"/>
        <v/>
      </c>
      <c r="Z130" s="32" t="str">
        <f t="shared" si="45"/>
        <v/>
      </c>
      <c r="AA130" s="32" t="str">
        <f t="shared" si="46"/>
        <v/>
      </c>
      <c r="AB130" s="32" t="str">
        <f t="shared" si="49"/>
        <v/>
      </c>
      <c r="AC130" s="32" t="str">
        <f t="shared" si="56"/>
        <v/>
      </c>
      <c r="AD130" s="134"/>
      <c r="AE130" s="135" t="str">
        <f t="shared" si="57"/>
        <v/>
      </c>
      <c r="AF130" s="136"/>
      <c r="AG130" s="137"/>
      <c r="AH130" s="137"/>
      <c r="AI130" s="138"/>
      <c r="AJ130" s="23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83" ht="15" customHeight="1">
      <c r="A131" s="18"/>
      <c r="B131" s="146" t="s">
        <v>88</v>
      </c>
      <c r="C131" s="129"/>
      <c r="D131" s="130" t="s">
        <v>60</v>
      </c>
      <c r="E131" s="71"/>
      <c r="F131" s="129" t="s">
        <v>28</v>
      </c>
      <c r="G131" s="129">
        <v>12.750999999999999</v>
      </c>
      <c r="H131" s="129">
        <v>0.03</v>
      </c>
      <c r="I131" s="129">
        <v>-0.03</v>
      </c>
      <c r="J131" s="150" t="s">
        <v>12</v>
      </c>
      <c r="K131" s="132" t="s">
        <v>339</v>
      </c>
      <c r="L131" s="133">
        <f t="shared" si="47"/>
        <v>12.780999999999999</v>
      </c>
      <c r="M131" s="139">
        <f t="shared" si="48"/>
        <v>12.721</v>
      </c>
      <c r="N131" s="28"/>
      <c r="O131" s="3" t="str">
        <f t="shared" si="58"/>
        <v/>
      </c>
      <c r="P131" s="3" t="str">
        <f t="shared" si="59"/>
        <v/>
      </c>
      <c r="Q131" s="3" t="str">
        <f t="shared" si="60"/>
        <v/>
      </c>
      <c r="R131" s="4" t="str">
        <f t="shared" si="61"/>
        <v/>
      </c>
      <c r="S131" s="5" t="str">
        <f t="shared" si="62"/>
        <v/>
      </c>
      <c r="T131" s="76" t="str">
        <f t="shared" si="50"/>
        <v/>
      </c>
      <c r="U131" s="76" t="str">
        <f t="shared" si="55"/>
        <v/>
      </c>
      <c r="V131" s="5" t="str">
        <f t="shared" si="51"/>
        <v/>
      </c>
      <c r="W131" s="5" t="str">
        <f t="shared" si="52"/>
        <v/>
      </c>
      <c r="X131" s="5" t="str">
        <f t="shared" si="53"/>
        <v/>
      </c>
      <c r="Y131" s="70" t="str">
        <f t="shared" si="54"/>
        <v/>
      </c>
      <c r="Z131" s="32" t="str">
        <f t="shared" si="45"/>
        <v/>
      </c>
      <c r="AA131" s="32" t="str">
        <f t="shared" si="46"/>
        <v/>
      </c>
      <c r="AB131" s="32" t="str">
        <f t="shared" si="49"/>
        <v/>
      </c>
      <c r="AC131" s="32" t="str">
        <f t="shared" si="56"/>
        <v/>
      </c>
      <c r="AD131" s="134"/>
      <c r="AE131" s="135" t="str">
        <f t="shared" si="57"/>
        <v/>
      </c>
      <c r="AF131" s="136"/>
      <c r="AG131" s="137"/>
      <c r="AH131" s="137"/>
      <c r="AI131" s="138"/>
      <c r="AJ131" s="23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83" ht="15" customHeight="1">
      <c r="A132" s="18"/>
      <c r="B132" s="146" t="s">
        <v>89</v>
      </c>
      <c r="C132" s="129"/>
      <c r="D132" s="130" t="s">
        <v>60</v>
      </c>
      <c r="E132" s="71"/>
      <c r="F132" s="129" t="s">
        <v>28</v>
      </c>
      <c r="G132" s="129">
        <v>1.706</v>
      </c>
      <c r="H132" s="129">
        <v>0.03</v>
      </c>
      <c r="I132" s="129">
        <v>-0.03</v>
      </c>
      <c r="J132" s="150" t="s">
        <v>12</v>
      </c>
      <c r="K132" s="132" t="s">
        <v>339</v>
      </c>
      <c r="L132" s="133">
        <f t="shared" si="47"/>
        <v>1.736</v>
      </c>
      <c r="M132" s="139">
        <f t="shared" si="48"/>
        <v>1.6759999999999999</v>
      </c>
      <c r="N132" s="28"/>
      <c r="O132" s="3" t="str">
        <f t="shared" si="58"/>
        <v/>
      </c>
      <c r="P132" s="3" t="str">
        <f t="shared" si="59"/>
        <v/>
      </c>
      <c r="Q132" s="3" t="str">
        <f t="shared" si="60"/>
        <v/>
      </c>
      <c r="R132" s="4" t="str">
        <f t="shared" si="61"/>
        <v/>
      </c>
      <c r="S132" s="5" t="str">
        <f t="shared" si="62"/>
        <v/>
      </c>
      <c r="T132" s="76" t="str">
        <f t="shared" si="50"/>
        <v/>
      </c>
      <c r="U132" s="76" t="str">
        <f t="shared" si="55"/>
        <v/>
      </c>
      <c r="V132" s="5" t="str">
        <f t="shared" si="51"/>
        <v/>
      </c>
      <c r="W132" s="5" t="str">
        <f t="shared" si="52"/>
        <v/>
      </c>
      <c r="X132" s="5" t="str">
        <f t="shared" si="53"/>
        <v/>
      </c>
      <c r="Y132" s="70" t="str">
        <f t="shared" si="54"/>
        <v/>
      </c>
      <c r="Z132" s="32" t="str">
        <f t="shared" si="45"/>
        <v/>
      </c>
      <c r="AA132" s="32" t="str">
        <f t="shared" si="46"/>
        <v/>
      </c>
      <c r="AB132" s="32" t="str">
        <f t="shared" si="49"/>
        <v/>
      </c>
      <c r="AC132" s="32" t="str">
        <f t="shared" si="56"/>
        <v/>
      </c>
      <c r="AD132" s="134"/>
      <c r="AE132" s="135" t="str">
        <f t="shared" si="57"/>
        <v/>
      </c>
      <c r="AF132" s="136"/>
      <c r="AG132" s="137"/>
      <c r="AH132" s="137"/>
      <c r="AI132" s="138"/>
      <c r="AJ132" s="23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83" ht="15" customHeight="1">
      <c r="A133" s="18"/>
      <c r="B133" s="146" t="s">
        <v>95</v>
      </c>
      <c r="C133" s="129"/>
      <c r="D133" s="130" t="s">
        <v>58</v>
      </c>
      <c r="E133" s="71"/>
      <c r="F133" s="129" t="s">
        <v>27</v>
      </c>
      <c r="G133" s="129"/>
      <c r="H133" s="129">
        <v>0.03</v>
      </c>
      <c r="I133" s="129" t="s">
        <v>459</v>
      </c>
      <c r="J133" s="150" t="s">
        <v>12</v>
      </c>
      <c r="K133" s="132" t="s">
        <v>339</v>
      </c>
      <c r="L133" s="133">
        <f t="shared" si="47"/>
        <v>0.03</v>
      </c>
      <c r="M133" s="139" t="str">
        <f t="shared" si="48"/>
        <v/>
      </c>
      <c r="N133" s="28"/>
      <c r="O133" s="3" t="str">
        <f t="shared" si="58"/>
        <v/>
      </c>
      <c r="P133" s="3" t="str">
        <f t="shared" si="59"/>
        <v/>
      </c>
      <c r="Q133" s="3" t="str">
        <f t="shared" si="60"/>
        <v/>
      </c>
      <c r="R133" s="4" t="str">
        <f t="shared" si="61"/>
        <v/>
      </c>
      <c r="S133" s="5" t="str">
        <f t="shared" si="62"/>
        <v/>
      </c>
      <c r="T133" s="76" t="str">
        <f t="shared" si="50"/>
        <v/>
      </c>
      <c r="U133" s="76" t="str">
        <f t="shared" si="55"/>
        <v/>
      </c>
      <c r="V133" s="5" t="str">
        <f t="shared" si="51"/>
        <v/>
      </c>
      <c r="W133" s="5" t="str">
        <f t="shared" si="52"/>
        <v/>
      </c>
      <c r="X133" s="5" t="str">
        <f t="shared" si="53"/>
        <v/>
      </c>
      <c r="Y133" s="70" t="str">
        <f t="shared" si="54"/>
        <v/>
      </c>
      <c r="Z133" s="32" t="str">
        <f t="shared" si="45"/>
        <v/>
      </c>
      <c r="AA133" s="32" t="str">
        <f t="shared" si="46"/>
        <v/>
      </c>
      <c r="AB133" s="32" t="str">
        <f t="shared" si="49"/>
        <v/>
      </c>
      <c r="AC133" s="32" t="str">
        <f t="shared" si="56"/>
        <v/>
      </c>
      <c r="AD133" s="134"/>
      <c r="AE133" s="135" t="str">
        <f t="shared" si="57"/>
        <v/>
      </c>
      <c r="AF133" s="136"/>
      <c r="AG133" s="137"/>
      <c r="AH133" s="137"/>
      <c r="AI133" s="138"/>
      <c r="AJ133" s="23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83" ht="15" customHeight="1">
      <c r="A134" s="18"/>
      <c r="B134" s="146" t="s">
        <v>96</v>
      </c>
      <c r="C134" s="129"/>
      <c r="D134" s="130" t="s">
        <v>58</v>
      </c>
      <c r="E134" s="71"/>
      <c r="F134" s="129" t="s">
        <v>27</v>
      </c>
      <c r="G134" s="129"/>
      <c r="H134" s="129">
        <v>0.03</v>
      </c>
      <c r="I134" s="129" t="s">
        <v>459</v>
      </c>
      <c r="J134" s="150" t="s">
        <v>12</v>
      </c>
      <c r="K134" s="132" t="s">
        <v>339</v>
      </c>
      <c r="L134" s="133">
        <f t="shared" ref="L134:L157" si="63">IF(AND(G134="",H134=""),"",IF(G134="",H134,G134+H134))</f>
        <v>0.03</v>
      </c>
      <c r="M134" s="139" t="str">
        <f t="shared" ref="M134:M157" si="64">IF(AND(G134="",I134=""),"",IF(G134="",I134,G134+I134))</f>
        <v/>
      </c>
      <c r="N134" s="28"/>
      <c r="O134" s="3" t="str">
        <f t="shared" si="58"/>
        <v/>
      </c>
      <c r="P134" s="3" t="str">
        <f t="shared" si="59"/>
        <v/>
      </c>
      <c r="Q134" s="3" t="str">
        <f t="shared" si="60"/>
        <v/>
      </c>
      <c r="R134" s="4" t="str">
        <f t="shared" si="61"/>
        <v/>
      </c>
      <c r="S134" s="5" t="str">
        <f t="shared" si="62"/>
        <v/>
      </c>
      <c r="T134" s="76" t="str">
        <f t="shared" si="50"/>
        <v/>
      </c>
      <c r="U134" s="76" t="str">
        <f t="shared" si="55"/>
        <v/>
      </c>
      <c r="V134" s="5" t="str">
        <f t="shared" si="51"/>
        <v/>
      </c>
      <c r="W134" s="5" t="str">
        <f t="shared" si="52"/>
        <v/>
      </c>
      <c r="X134" s="5" t="str">
        <f t="shared" si="53"/>
        <v/>
      </c>
      <c r="Y134" s="70" t="str">
        <f t="shared" si="54"/>
        <v/>
      </c>
      <c r="Z134" s="32" t="str">
        <f t="shared" ref="Z134:Z157" si="65">IF($Q134="","",IF(F134="Tolerance",IF(($E134*3*R134+Q134)-G134&lt;H134,"",($E134*3*R134+Q134)-G134),IF(OR(F134="GD&amp;T",F134="MAX"),IF(($E134*3*R134+Q134)&lt;H134,"",($E134*3*R134+Q134)),"")))</f>
        <v/>
      </c>
      <c r="AA134" s="32" t="str">
        <f t="shared" ref="AA134:AA157" si="66">IF(Q134="","",IF(F134="Tolerance",IF(-(($E134*3*R134)-Q134)-G134&gt;I134,"",-(($E134*3*R134)-Q134)-G134),IF(F134="MIN",IF(-(($E134*3*R134)-Q134)&gt;I134,"",-(($E134*3*R134)-Q134)),"")))</f>
        <v/>
      </c>
      <c r="AB134" s="32" t="str">
        <f t="shared" ref="AB134:AB157" si="67">IF(OR(G134="",Q134=""),"",(L134+M134)/2-Q134)</f>
        <v/>
      </c>
      <c r="AC134" s="32" t="str">
        <f t="shared" si="56"/>
        <v/>
      </c>
      <c r="AD134" s="134"/>
      <c r="AE134" s="135" t="str">
        <f t="shared" si="57"/>
        <v/>
      </c>
      <c r="AF134" s="136"/>
      <c r="AG134" s="137"/>
      <c r="AH134" s="137"/>
      <c r="AI134" s="138"/>
      <c r="AJ134" s="23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83" ht="15" customHeight="1">
      <c r="A135" s="18"/>
      <c r="B135" s="148" t="s">
        <v>429</v>
      </c>
      <c r="C135" s="129"/>
      <c r="D135" s="130" t="s">
        <v>60</v>
      </c>
      <c r="E135" s="71"/>
      <c r="F135" s="129" t="s">
        <v>28</v>
      </c>
      <c r="G135" s="129">
        <v>0</v>
      </c>
      <c r="H135" s="129">
        <v>0.03</v>
      </c>
      <c r="I135" s="129">
        <v>-0.03</v>
      </c>
      <c r="J135" s="150" t="s">
        <v>12</v>
      </c>
      <c r="K135" s="132" t="s">
        <v>339</v>
      </c>
      <c r="L135" s="133">
        <f t="shared" si="63"/>
        <v>0.03</v>
      </c>
      <c r="M135" s="139">
        <f t="shared" si="64"/>
        <v>-0.03</v>
      </c>
      <c r="N135" s="28"/>
      <c r="O135" s="3" t="str">
        <f t="shared" si="58"/>
        <v/>
      </c>
      <c r="P135" s="3" t="str">
        <f t="shared" si="59"/>
        <v/>
      </c>
      <c r="Q135" s="3" t="str">
        <f t="shared" si="60"/>
        <v/>
      </c>
      <c r="R135" s="4" t="str">
        <f t="shared" si="61"/>
        <v/>
      </c>
      <c r="S135" s="5" t="str">
        <f t="shared" si="62"/>
        <v/>
      </c>
      <c r="T135" s="76" t="str">
        <f t="shared" si="50"/>
        <v/>
      </c>
      <c r="U135" s="76" t="str">
        <f t="shared" si="55"/>
        <v/>
      </c>
      <c r="V135" s="5" t="str">
        <f t="shared" si="51"/>
        <v/>
      </c>
      <c r="W135" s="5" t="str">
        <f t="shared" si="52"/>
        <v/>
      </c>
      <c r="X135" s="5" t="str">
        <f t="shared" si="53"/>
        <v/>
      </c>
      <c r="Y135" s="70" t="str">
        <f t="shared" si="54"/>
        <v/>
      </c>
      <c r="Z135" s="32" t="str">
        <f t="shared" si="65"/>
        <v/>
      </c>
      <c r="AA135" s="32" t="str">
        <f t="shared" si="66"/>
        <v/>
      </c>
      <c r="AB135" s="32" t="str">
        <f t="shared" si="67"/>
        <v/>
      </c>
      <c r="AC135" s="32" t="str">
        <f t="shared" si="56"/>
        <v/>
      </c>
      <c r="AD135" s="134"/>
      <c r="AE135" s="135" t="str">
        <f t="shared" si="57"/>
        <v/>
      </c>
      <c r="AF135" s="136"/>
      <c r="AG135" s="137"/>
      <c r="AH135" s="137"/>
      <c r="AI135" s="138"/>
      <c r="AJ135" s="23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83" ht="15" customHeight="1">
      <c r="A136" s="18"/>
      <c r="B136" s="128" t="s">
        <v>430</v>
      </c>
      <c r="C136" s="129"/>
      <c r="D136" s="130" t="s">
        <v>60</v>
      </c>
      <c r="E136" s="71"/>
      <c r="F136" s="129" t="s">
        <v>28</v>
      </c>
      <c r="G136" s="129">
        <v>0</v>
      </c>
      <c r="H136" s="129">
        <v>0.03</v>
      </c>
      <c r="I136" s="129">
        <v>-0.03</v>
      </c>
      <c r="J136" s="150" t="s">
        <v>12</v>
      </c>
      <c r="K136" s="132" t="s">
        <v>339</v>
      </c>
      <c r="L136" s="133">
        <f t="shared" si="63"/>
        <v>0.03</v>
      </c>
      <c r="M136" s="139">
        <f t="shared" si="64"/>
        <v>-0.03</v>
      </c>
      <c r="N136" s="28"/>
      <c r="O136" s="3" t="str">
        <f t="shared" si="58"/>
        <v/>
      </c>
      <c r="P136" s="3" t="str">
        <f t="shared" si="59"/>
        <v/>
      </c>
      <c r="Q136" s="3" t="str">
        <f t="shared" si="60"/>
        <v/>
      </c>
      <c r="R136" s="4" t="str">
        <f t="shared" si="61"/>
        <v/>
      </c>
      <c r="S136" s="5" t="str">
        <f t="shared" si="62"/>
        <v/>
      </c>
      <c r="T136" s="76" t="str">
        <f t="shared" si="50"/>
        <v/>
      </c>
      <c r="U136" s="76" t="str">
        <f t="shared" si="55"/>
        <v/>
      </c>
      <c r="V136" s="5" t="str">
        <f t="shared" si="51"/>
        <v/>
      </c>
      <c r="W136" s="5" t="str">
        <f t="shared" si="52"/>
        <v/>
      </c>
      <c r="X136" s="5" t="str">
        <f t="shared" si="53"/>
        <v/>
      </c>
      <c r="Y136" s="70" t="str">
        <f t="shared" si="54"/>
        <v/>
      </c>
      <c r="Z136" s="32" t="str">
        <f t="shared" si="65"/>
        <v/>
      </c>
      <c r="AA136" s="32" t="str">
        <f t="shared" si="66"/>
        <v/>
      </c>
      <c r="AB136" s="32" t="str">
        <f t="shared" si="67"/>
        <v/>
      </c>
      <c r="AC136" s="32" t="str">
        <f t="shared" si="56"/>
        <v/>
      </c>
      <c r="AD136" s="134"/>
      <c r="AE136" s="135" t="str">
        <f t="shared" si="57"/>
        <v/>
      </c>
      <c r="AF136" s="136"/>
      <c r="AG136" s="137"/>
      <c r="AH136" s="137"/>
      <c r="AI136" s="138"/>
      <c r="AJ136" s="23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83" ht="15" customHeight="1">
      <c r="A137" s="18"/>
      <c r="B137" s="128" t="s">
        <v>431</v>
      </c>
      <c r="C137" s="129"/>
      <c r="D137" s="130" t="s">
        <v>60</v>
      </c>
      <c r="E137" s="71"/>
      <c r="F137" s="129" t="s">
        <v>28</v>
      </c>
      <c r="G137" s="129">
        <v>0</v>
      </c>
      <c r="H137" s="129">
        <v>0.03</v>
      </c>
      <c r="I137" s="129">
        <v>-0.03</v>
      </c>
      <c r="J137" s="150" t="s">
        <v>12</v>
      </c>
      <c r="K137" s="132" t="s">
        <v>339</v>
      </c>
      <c r="L137" s="133">
        <f t="shared" si="63"/>
        <v>0.03</v>
      </c>
      <c r="M137" s="139">
        <f t="shared" si="64"/>
        <v>-0.03</v>
      </c>
      <c r="N137" s="28"/>
      <c r="O137" s="3" t="str">
        <f t="shared" si="58"/>
        <v/>
      </c>
      <c r="P137" s="3" t="str">
        <f t="shared" si="59"/>
        <v/>
      </c>
      <c r="Q137" s="3" t="str">
        <f t="shared" si="60"/>
        <v/>
      </c>
      <c r="R137" s="4" t="str">
        <f t="shared" si="61"/>
        <v/>
      </c>
      <c r="S137" s="5" t="str">
        <f t="shared" si="62"/>
        <v/>
      </c>
      <c r="T137" s="76" t="str">
        <f t="shared" si="50"/>
        <v/>
      </c>
      <c r="U137" s="76" t="str">
        <f t="shared" si="55"/>
        <v/>
      </c>
      <c r="V137" s="5" t="str">
        <f t="shared" si="51"/>
        <v/>
      </c>
      <c r="W137" s="5" t="str">
        <f t="shared" si="52"/>
        <v/>
      </c>
      <c r="X137" s="5" t="str">
        <f t="shared" si="53"/>
        <v/>
      </c>
      <c r="Y137" s="70" t="str">
        <f t="shared" si="54"/>
        <v/>
      </c>
      <c r="Z137" s="32" t="str">
        <f t="shared" si="65"/>
        <v/>
      </c>
      <c r="AA137" s="32" t="str">
        <f t="shared" si="66"/>
        <v/>
      </c>
      <c r="AB137" s="32" t="str">
        <f t="shared" si="67"/>
        <v/>
      </c>
      <c r="AC137" s="32" t="str">
        <f t="shared" si="56"/>
        <v/>
      </c>
      <c r="AD137" s="134"/>
      <c r="AE137" s="135" t="str">
        <f t="shared" si="57"/>
        <v/>
      </c>
      <c r="AF137" s="136"/>
      <c r="AG137" s="137"/>
      <c r="AH137" s="137"/>
      <c r="AI137" s="138"/>
      <c r="AJ137" s="23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83" ht="15" customHeight="1">
      <c r="A138" s="18"/>
      <c r="B138" s="128" t="s">
        <v>432</v>
      </c>
      <c r="C138" s="129"/>
      <c r="D138" s="130" t="s">
        <v>60</v>
      </c>
      <c r="E138" s="71"/>
      <c r="F138" s="129" t="s">
        <v>28</v>
      </c>
      <c r="G138" s="129">
        <v>0</v>
      </c>
      <c r="H138" s="129">
        <v>0.03</v>
      </c>
      <c r="I138" s="129">
        <v>-0.03</v>
      </c>
      <c r="J138" s="150" t="s">
        <v>12</v>
      </c>
      <c r="K138" s="132" t="s">
        <v>339</v>
      </c>
      <c r="L138" s="133">
        <f t="shared" si="63"/>
        <v>0.03</v>
      </c>
      <c r="M138" s="139">
        <f t="shared" si="64"/>
        <v>-0.03</v>
      </c>
      <c r="N138" s="28"/>
      <c r="O138" s="3" t="str">
        <f t="shared" si="58"/>
        <v/>
      </c>
      <c r="P138" s="3" t="str">
        <f t="shared" si="59"/>
        <v/>
      </c>
      <c r="Q138" s="3" t="str">
        <f t="shared" si="60"/>
        <v/>
      </c>
      <c r="R138" s="4" t="str">
        <f t="shared" si="61"/>
        <v/>
      </c>
      <c r="S138" s="5" t="str">
        <f t="shared" si="62"/>
        <v/>
      </c>
      <c r="T138" s="76" t="str">
        <f t="shared" si="50"/>
        <v/>
      </c>
      <c r="U138" s="76" t="str">
        <f t="shared" si="55"/>
        <v/>
      </c>
      <c r="V138" s="5" t="str">
        <f t="shared" si="51"/>
        <v/>
      </c>
      <c r="W138" s="5" t="str">
        <f t="shared" si="52"/>
        <v/>
      </c>
      <c r="X138" s="5" t="str">
        <f t="shared" si="53"/>
        <v/>
      </c>
      <c r="Y138" s="70" t="str">
        <f t="shared" si="54"/>
        <v/>
      </c>
      <c r="Z138" s="32" t="str">
        <f t="shared" si="65"/>
        <v/>
      </c>
      <c r="AA138" s="32" t="str">
        <f t="shared" si="66"/>
        <v/>
      </c>
      <c r="AB138" s="32" t="str">
        <f t="shared" si="67"/>
        <v/>
      </c>
      <c r="AC138" s="32" t="str">
        <f t="shared" si="56"/>
        <v/>
      </c>
      <c r="AD138" s="134"/>
      <c r="AE138" s="135" t="str">
        <f t="shared" si="57"/>
        <v/>
      </c>
      <c r="AF138" s="136"/>
      <c r="AG138" s="137"/>
      <c r="AH138" s="137"/>
      <c r="AI138" s="138"/>
      <c r="AJ138" s="23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83" ht="15" customHeight="1">
      <c r="A139" s="18"/>
      <c r="B139" s="128" t="s">
        <v>433</v>
      </c>
      <c r="C139" s="129"/>
      <c r="D139" s="130" t="s">
        <v>60</v>
      </c>
      <c r="E139" s="71"/>
      <c r="F139" s="129" t="s">
        <v>28</v>
      </c>
      <c r="G139" s="129">
        <v>0</v>
      </c>
      <c r="H139" s="129">
        <v>0.03</v>
      </c>
      <c r="I139" s="129">
        <v>-0.03</v>
      </c>
      <c r="J139" s="150" t="s">
        <v>12</v>
      </c>
      <c r="K139" s="132" t="s">
        <v>339</v>
      </c>
      <c r="L139" s="133">
        <f t="shared" si="63"/>
        <v>0.03</v>
      </c>
      <c r="M139" s="139">
        <f t="shared" si="64"/>
        <v>-0.03</v>
      </c>
      <c r="N139" s="28"/>
      <c r="O139" s="3" t="str">
        <f t="shared" si="58"/>
        <v/>
      </c>
      <c r="P139" s="3" t="str">
        <f t="shared" si="59"/>
        <v/>
      </c>
      <c r="Q139" s="3" t="str">
        <f t="shared" si="60"/>
        <v/>
      </c>
      <c r="R139" s="4" t="str">
        <f t="shared" si="61"/>
        <v/>
      </c>
      <c r="S139" s="5" t="str">
        <f t="shared" si="62"/>
        <v/>
      </c>
      <c r="T139" s="76" t="str">
        <f t="shared" si="50"/>
        <v/>
      </c>
      <c r="U139" s="76" t="str">
        <f t="shared" si="55"/>
        <v/>
      </c>
      <c r="V139" s="5" t="str">
        <f t="shared" si="51"/>
        <v/>
      </c>
      <c r="W139" s="5" t="str">
        <f t="shared" si="52"/>
        <v/>
      </c>
      <c r="X139" s="5" t="str">
        <f t="shared" si="53"/>
        <v/>
      </c>
      <c r="Y139" s="70" t="str">
        <f t="shared" si="54"/>
        <v/>
      </c>
      <c r="Z139" s="32" t="str">
        <f t="shared" si="65"/>
        <v/>
      </c>
      <c r="AA139" s="32" t="str">
        <f t="shared" si="66"/>
        <v/>
      </c>
      <c r="AB139" s="32" t="str">
        <f t="shared" si="67"/>
        <v/>
      </c>
      <c r="AC139" s="32" t="str">
        <f t="shared" si="56"/>
        <v/>
      </c>
      <c r="AD139" s="134"/>
      <c r="AE139" s="135" t="str">
        <f t="shared" si="57"/>
        <v/>
      </c>
      <c r="AF139" s="136"/>
      <c r="AG139" s="137"/>
      <c r="AH139" s="137"/>
      <c r="AI139" s="138"/>
      <c r="AJ139" s="23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83" ht="15" customHeight="1">
      <c r="A140" s="18"/>
      <c r="B140" s="128" t="s">
        <v>434</v>
      </c>
      <c r="C140" s="129"/>
      <c r="D140" s="130" t="s">
        <v>60</v>
      </c>
      <c r="E140" s="71"/>
      <c r="F140" s="129" t="s">
        <v>28</v>
      </c>
      <c r="G140" s="129">
        <v>0</v>
      </c>
      <c r="H140" s="129">
        <v>0.03</v>
      </c>
      <c r="I140" s="129">
        <v>-0.03</v>
      </c>
      <c r="J140" s="150" t="s">
        <v>12</v>
      </c>
      <c r="K140" s="132" t="s">
        <v>339</v>
      </c>
      <c r="L140" s="133">
        <f t="shared" si="63"/>
        <v>0.03</v>
      </c>
      <c r="M140" s="139">
        <f t="shared" si="64"/>
        <v>-0.03</v>
      </c>
      <c r="N140" s="28"/>
      <c r="O140" s="3" t="str">
        <f t="shared" si="58"/>
        <v/>
      </c>
      <c r="P140" s="3" t="str">
        <f t="shared" si="59"/>
        <v/>
      </c>
      <c r="Q140" s="3" t="str">
        <f t="shared" si="60"/>
        <v/>
      </c>
      <c r="R140" s="4" t="str">
        <f t="shared" si="61"/>
        <v/>
      </c>
      <c r="S140" s="5" t="str">
        <f t="shared" si="62"/>
        <v/>
      </c>
      <c r="T140" s="76" t="str">
        <f t="shared" si="50"/>
        <v/>
      </c>
      <c r="U140" s="76" t="str">
        <f t="shared" si="55"/>
        <v/>
      </c>
      <c r="V140" s="5" t="str">
        <f t="shared" si="51"/>
        <v/>
      </c>
      <c r="W140" s="5" t="str">
        <f t="shared" si="52"/>
        <v/>
      </c>
      <c r="X140" s="5" t="str">
        <f t="shared" si="53"/>
        <v/>
      </c>
      <c r="Y140" s="70" t="str">
        <f t="shared" si="54"/>
        <v/>
      </c>
      <c r="Z140" s="32" t="str">
        <f t="shared" si="65"/>
        <v/>
      </c>
      <c r="AA140" s="32" t="str">
        <f t="shared" si="66"/>
        <v/>
      </c>
      <c r="AB140" s="32" t="str">
        <f t="shared" si="67"/>
        <v/>
      </c>
      <c r="AC140" s="32" t="str">
        <f t="shared" si="56"/>
        <v/>
      </c>
      <c r="AD140" s="134"/>
      <c r="AE140" s="135" t="str">
        <f t="shared" si="57"/>
        <v/>
      </c>
      <c r="AF140" s="136"/>
      <c r="AG140" s="137"/>
      <c r="AH140" s="137"/>
      <c r="AI140" s="138"/>
      <c r="AJ140" s="23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83" ht="15" customHeight="1">
      <c r="A141" s="18"/>
      <c r="B141" s="128" t="s">
        <v>435</v>
      </c>
      <c r="C141" s="129"/>
      <c r="D141" s="130" t="s">
        <v>60</v>
      </c>
      <c r="E141" s="71"/>
      <c r="F141" s="129" t="s">
        <v>28</v>
      </c>
      <c r="G141" s="129">
        <v>0</v>
      </c>
      <c r="H141" s="129">
        <v>0.03</v>
      </c>
      <c r="I141" s="129">
        <v>-0.03</v>
      </c>
      <c r="J141" s="150" t="s">
        <v>12</v>
      </c>
      <c r="K141" s="132" t="s">
        <v>339</v>
      </c>
      <c r="L141" s="133">
        <f t="shared" si="63"/>
        <v>0.03</v>
      </c>
      <c r="M141" s="139">
        <f t="shared" si="64"/>
        <v>-0.03</v>
      </c>
      <c r="N141" s="28"/>
      <c r="O141" s="3" t="str">
        <f t="shared" si="58"/>
        <v/>
      </c>
      <c r="P141" s="3" t="str">
        <f t="shared" si="59"/>
        <v/>
      </c>
      <c r="Q141" s="3" t="str">
        <f t="shared" si="60"/>
        <v/>
      </c>
      <c r="R141" s="4" t="str">
        <f t="shared" si="61"/>
        <v/>
      </c>
      <c r="S141" s="5" t="str">
        <f t="shared" si="62"/>
        <v/>
      </c>
      <c r="T141" s="76" t="str">
        <f t="shared" si="50"/>
        <v/>
      </c>
      <c r="U141" s="76" t="str">
        <f t="shared" si="55"/>
        <v/>
      </c>
      <c r="V141" s="5" t="str">
        <f t="shared" si="51"/>
        <v/>
      </c>
      <c r="W141" s="5" t="str">
        <f t="shared" si="52"/>
        <v/>
      </c>
      <c r="X141" s="5" t="str">
        <f t="shared" si="53"/>
        <v/>
      </c>
      <c r="Y141" s="70" t="str">
        <f t="shared" si="54"/>
        <v/>
      </c>
      <c r="Z141" s="32" t="str">
        <f t="shared" si="65"/>
        <v/>
      </c>
      <c r="AA141" s="32" t="str">
        <f t="shared" si="66"/>
        <v/>
      </c>
      <c r="AB141" s="32" t="str">
        <f t="shared" si="67"/>
        <v/>
      </c>
      <c r="AC141" s="32" t="str">
        <f t="shared" si="56"/>
        <v/>
      </c>
      <c r="AD141" s="134"/>
      <c r="AE141" s="135" t="str">
        <f t="shared" si="57"/>
        <v/>
      </c>
      <c r="AF141" s="136"/>
      <c r="AG141" s="137"/>
      <c r="AH141" s="137"/>
      <c r="AI141" s="138"/>
      <c r="AJ141" s="23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83" ht="15" customHeight="1">
      <c r="A142" s="18"/>
      <c r="B142" s="128" t="s">
        <v>436</v>
      </c>
      <c r="C142" s="129"/>
      <c r="D142" s="130" t="s">
        <v>60</v>
      </c>
      <c r="E142" s="71"/>
      <c r="F142" s="129" t="s">
        <v>28</v>
      </c>
      <c r="G142" s="129">
        <v>0</v>
      </c>
      <c r="H142" s="129">
        <v>0.03</v>
      </c>
      <c r="I142" s="129">
        <v>-0.03</v>
      </c>
      <c r="J142" s="150" t="s">
        <v>12</v>
      </c>
      <c r="K142" s="132" t="s">
        <v>339</v>
      </c>
      <c r="L142" s="133">
        <f t="shared" si="63"/>
        <v>0.03</v>
      </c>
      <c r="M142" s="139">
        <f t="shared" si="64"/>
        <v>-0.03</v>
      </c>
      <c r="N142" s="28"/>
      <c r="O142" s="3" t="str">
        <f t="shared" si="58"/>
        <v/>
      </c>
      <c r="P142" s="3" t="str">
        <f t="shared" si="59"/>
        <v/>
      </c>
      <c r="Q142" s="3" t="str">
        <f t="shared" si="60"/>
        <v/>
      </c>
      <c r="R142" s="4" t="str">
        <f t="shared" si="61"/>
        <v/>
      </c>
      <c r="S142" s="5" t="str">
        <f t="shared" si="62"/>
        <v/>
      </c>
      <c r="T142" s="76" t="str">
        <f t="shared" ref="T142:T157" si="68">IF(OR($AK142="",ISNUMBER($AK142)=FALSE),"",IF(AND($F142="Tolerance",$G142&lt;&gt;""),($Q142-$G142)/(($L142-$M142)/2),IF(AND($F142="GD&amp;T",$H142&lt;&gt;""),$Q142/$H142,"")))</f>
        <v/>
      </c>
      <c r="U142" s="76" t="str">
        <f t="shared" si="55"/>
        <v/>
      </c>
      <c r="V142" s="5" t="str">
        <f t="shared" ref="V142:V157" si="69">IF(OR($AK142="",ISNUMBER($AK142)=FALSE),"",IF(H142="","",(L142-Q142)/(3*R142)))</f>
        <v/>
      </c>
      <c r="W142" s="5" t="str">
        <f t="shared" ref="W142:W157" si="70">IF(OR($AK142="",ISNUMBER($AK142)=FALSE),"",IF(I142="","",(Q142-M142)/(3*R142)))</f>
        <v/>
      </c>
      <c r="X142" s="5" t="str">
        <f t="shared" ref="X142:X157" si="71">IF(OR($AK142="",ISNUMBER($AK142)=FALSE),"",IF(AND(G142=0,I142=0),((H142)-(Q142))/(3*R142),MIN(V142:W142)))</f>
        <v/>
      </c>
      <c r="Y142" s="70" t="str">
        <f t="shared" ref="Y142:Y157" si="72">IF(OR($AK142="",ISNUMBER($AK142)=FALSE),"",IF(AND(G142=0,I142=0),NORMSDIST(3*X142),NORMSDIST(3*X142)+NORMSDIST(6*S142-3*X142)-1))</f>
        <v/>
      </c>
      <c r="Z142" s="32" t="str">
        <f t="shared" si="65"/>
        <v/>
      </c>
      <c r="AA142" s="32" t="str">
        <f t="shared" si="66"/>
        <v/>
      </c>
      <c r="AB142" s="32" t="str">
        <f t="shared" si="67"/>
        <v/>
      </c>
      <c r="AC142" s="32" t="str">
        <f t="shared" si="56"/>
        <v/>
      </c>
      <c r="AD142" s="134"/>
      <c r="AE142" s="135" t="str">
        <f t="shared" si="57"/>
        <v/>
      </c>
      <c r="AF142" s="136"/>
      <c r="AG142" s="137"/>
      <c r="AH142" s="137"/>
      <c r="AI142" s="138"/>
      <c r="AJ142" s="23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83" ht="15" customHeight="1">
      <c r="A143" s="18"/>
      <c r="B143" s="128" t="s">
        <v>437</v>
      </c>
      <c r="C143" s="129"/>
      <c r="D143" s="130" t="s">
        <v>60</v>
      </c>
      <c r="E143" s="71"/>
      <c r="F143" s="129" t="s">
        <v>28</v>
      </c>
      <c r="G143" s="129">
        <v>0</v>
      </c>
      <c r="H143" s="129">
        <v>0.03</v>
      </c>
      <c r="I143" s="129">
        <v>-0.03</v>
      </c>
      <c r="J143" s="150" t="s">
        <v>12</v>
      </c>
      <c r="K143" s="132" t="s">
        <v>339</v>
      </c>
      <c r="L143" s="133">
        <f t="shared" si="63"/>
        <v>0.03</v>
      </c>
      <c r="M143" s="139">
        <f t="shared" si="64"/>
        <v>-0.03</v>
      </c>
      <c r="N143" s="28"/>
      <c r="O143" s="3" t="str">
        <f t="shared" si="58"/>
        <v/>
      </c>
      <c r="P143" s="3" t="str">
        <f t="shared" si="59"/>
        <v/>
      </c>
      <c r="Q143" s="3" t="str">
        <f t="shared" si="60"/>
        <v/>
      </c>
      <c r="R143" s="4" t="str">
        <f t="shared" si="61"/>
        <v/>
      </c>
      <c r="S143" s="5" t="str">
        <f t="shared" si="62"/>
        <v/>
      </c>
      <c r="T143" s="76" t="str">
        <f t="shared" si="68"/>
        <v/>
      </c>
      <c r="U143" s="76" t="str">
        <f t="shared" ref="U143:U157" si="73">IF($T143="","",IF(ABS($T143)&lt;=0.125, "Level A",IF(AND(ABS($T143)&gt;0.125,ABS($T143)&lt;=0.25), "Level B",IF(AND(ABS($T143)&gt;0.25,ABS($T143)&lt;=0.5), "Level C", IF(ABS($T143)&gt;0.5, "Level D")))))</f>
        <v/>
      </c>
      <c r="V143" s="5" t="str">
        <f t="shared" si="69"/>
        <v/>
      </c>
      <c r="W143" s="5" t="str">
        <f t="shared" si="70"/>
        <v/>
      </c>
      <c r="X143" s="5" t="str">
        <f t="shared" si="71"/>
        <v/>
      </c>
      <c r="Y143" s="70" t="str">
        <f t="shared" si="72"/>
        <v/>
      </c>
      <c r="Z143" s="32" t="str">
        <f t="shared" si="65"/>
        <v/>
      </c>
      <c r="AA143" s="32" t="str">
        <f t="shared" si="66"/>
        <v/>
      </c>
      <c r="AB143" s="32" t="str">
        <f t="shared" si="67"/>
        <v/>
      </c>
      <c r="AC143" s="32" t="str">
        <f t="shared" ref="AC143:AC157" si="74">IF(OR($S143&gt;$AC$9,$R143=""),"",$AC$9*6*$R143)</f>
        <v/>
      </c>
      <c r="AD143" s="134"/>
      <c r="AE143" s="135" t="str">
        <f t="shared" ref="AE143:AE157" si="75">IF(AD143="","",IF(AD143&gt;=0.966,"Normal","Not Normal"))</f>
        <v/>
      </c>
      <c r="AF143" s="136"/>
      <c r="AG143" s="137"/>
      <c r="AH143" s="137"/>
      <c r="AI143" s="138"/>
      <c r="AJ143" s="23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83" ht="15" customHeight="1">
      <c r="A144" s="18"/>
      <c r="B144" s="128" t="s">
        <v>438</v>
      </c>
      <c r="C144" s="129"/>
      <c r="D144" s="130" t="s">
        <v>60</v>
      </c>
      <c r="E144" s="71"/>
      <c r="F144" s="129" t="s">
        <v>28</v>
      </c>
      <c r="G144" s="129">
        <v>0</v>
      </c>
      <c r="H144" s="129">
        <v>0.03</v>
      </c>
      <c r="I144" s="129">
        <v>-0.03</v>
      </c>
      <c r="J144" s="150" t="s">
        <v>12</v>
      </c>
      <c r="K144" s="132" t="s">
        <v>339</v>
      </c>
      <c r="L144" s="133">
        <f t="shared" si="63"/>
        <v>0.03</v>
      </c>
      <c r="M144" s="139">
        <f t="shared" si="64"/>
        <v>-0.03</v>
      </c>
      <c r="N144" s="28"/>
      <c r="O144" s="3" t="str">
        <f t="shared" si="58"/>
        <v/>
      </c>
      <c r="P144" s="3" t="str">
        <f t="shared" si="59"/>
        <v/>
      </c>
      <c r="Q144" s="3" t="str">
        <f t="shared" si="60"/>
        <v/>
      </c>
      <c r="R144" s="4" t="str">
        <f t="shared" si="61"/>
        <v/>
      </c>
      <c r="S144" s="5" t="str">
        <f t="shared" si="62"/>
        <v/>
      </c>
      <c r="T144" s="76" t="str">
        <f t="shared" si="68"/>
        <v/>
      </c>
      <c r="U144" s="76" t="str">
        <f t="shared" si="73"/>
        <v/>
      </c>
      <c r="V144" s="5" t="str">
        <f t="shared" si="69"/>
        <v/>
      </c>
      <c r="W144" s="5" t="str">
        <f t="shared" si="70"/>
        <v/>
      </c>
      <c r="X144" s="5" t="str">
        <f t="shared" si="71"/>
        <v/>
      </c>
      <c r="Y144" s="70" t="str">
        <f t="shared" si="72"/>
        <v/>
      </c>
      <c r="Z144" s="32" t="str">
        <f t="shared" si="65"/>
        <v/>
      </c>
      <c r="AA144" s="32" t="str">
        <f t="shared" si="66"/>
        <v/>
      </c>
      <c r="AB144" s="32" t="str">
        <f t="shared" si="67"/>
        <v/>
      </c>
      <c r="AC144" s="32" t="str">
        <f t="shared" si="74"/>
        <v/>
      </c>
      <c r="AD144" s="134"/>
      <c r="AE144" s="135" t="str">
        <f t="shared" si="75"/>
        <v/>
      </c>
      <c r="AF144" s="136"/>
      <c r="AG144" s="137"/>
      <c r="AH144" s="137"/>
      <c r="AI144" s="138"/>
      <c r="AJ144" s="23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ht="15" customHeight="1">
      <c r="A145" s="18"/>
      <c r="B145" s="128" t="s">
        <v>439</v>
      </c>
      <c r="C145" s="129"/>
      <c r="D145" s="130" t="s">
        <v>60</v>
      </c>
      <c r="E145" s="71"/>
      <c r="F145" s="129" t="s">
        <v>28</v>
      </c>
      <c r="G145" s="131">
        <v>0</v>
      </c>
      <c r="H145" s="129">
        <v>0.03</v>
      </c>
      <c r="I145" s="131">
        <v>-0.03</v>
      </c>
      <c r="J145" s="150" t="s">
        <v>12</v>
      </c>
      <c r="K145" s="132" t="s">
        <v>339</v>
      </c>
      <c r="L145" s="133">
        <f t="shared" si="63"/>
        <v>0.03</v>
      </c>
      <c r="M145" s="139">
        <f t="shared" si="64"/>
        <v>-0.03</v>
      </c>
      <c r="N145" s="28"/>
      <c r="O145" s="3" t="str">
        <f t="shared" si="58"/>
        <v/>
      </c>
      <c r="P145" s="3" t="str">
        <f t="shared" si="59"/>
        <v/>
      </c>
      <c r="Q145" s="3" t="str">
        <f t="shared" si="60"/>
        <v/>
      </c>
      <c r="R145" s="4" t="str">
        <f t="shared" si="61"/>
        <v/>
      </c>
      <c r="S145" s="5" t="str">
        <f t="shared" si="62"/>
        <v/>
      </c>
      <c r="T145" s="76" t="str">
        <f t="shared" si="68"/>
        <v/>
      </c>
      <c r="U145" s="76" t="str">
        <f t="shared" si="73"/>
        <v/>
      </c>
      <c r="V145" s="5" t="str">
        <f t="shared" si="69"/>
        <v/>
      </c>
      <c r="W145" s="5" t="str">
        <f t="shared" si="70"/>
        <v/>
      </c>
      <c r="X145" s="5" t="str">
        <f t="shared" si="71"/>
        <v/>
      </c>
      <c r="Y145" s="70" t="str">
        <f t="shared" si="72"/>
        <v/>
      </c>
      <c r="Z145" s="32" t="str">
        <f t="shared" si="65"/>
        <v/>
      </c>
      <c r="AA145" s="32" t="str">
        <f t="shared" si="66"/>
        <v/>
      </c>
      <c r="AB145" s="32" t="str">
        <f t="shared" si="67"/>
        <v/>
      </c>
      <c r="AC145" s="32" t="str">
        <f t="shared" si="74"/>
        <v/>
      </c>
      <c r="AD145" s="134"/>
      <c r="AE145" s="135" t="str">
        <f t="shared" si="75"/>
        <v/>
      </c>
      <c r="AF145" s="136"/>
      <c r="AG145" s="137"/>
      <c r="AH145" s="137"/>
      <c r="AI145" s="138"/>
      <c r="AJ145" s="23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ht="15" customHeight="1">
      <c r="A146" s="18"/>
      <c r="B146" s="128" t="s">
        <v>440</v>
      </c>
      <c r="C146" s="129"/>
      <c r="D146" s="130" t="s">
        <v>60</v>
      </c>
      <c r="E146" s="71"/>
      <c r="F146" s="129" t="s">
        <v>28</v>
      </c>
      <c r="G146" s="129">
        <v>0</v>
      </c>
      <c r="H146" s="129">
        <v>0.03</v>
      </c>
      <c r="I146" s="129">
        <v>-0.03</v>
      </c>
      <c r="J146" s="150" t="s">
        <v>12</v>
      </c>
      <c r="K146" s="132" t="s">
        <v>339</v>
      </c>
      <c r="L146" s="133">
        <f t="shared" si="63"/>
        <v>0.03</v>
      </c>
      <c r="M146" s="139">
        <f t="shared" si="64"/>
        <v>-0.03</v>
      </c>
      <c r="N146" s="28"/>
      <c r="O146" s="3" t="str">
        <f t="shared" si="58"/>
        <v/>
      </c>
      <c r="P146" s="3" t="str">
        <f t="shared" si="59"/>
        <v/>
      </c>
      <c r="Q146" s="3" t="str">
        <f t="shared" si="60"/>
        <v/>
      </c>
      <c r="R146" s="4" t="str">
        <f t="shared" si="61"/>
        <v/>
      </c>
      <c r="S146" s="5" t="str">
        <f t="shared" si="62"/>
        <v/>
      </c>
      <c r="T146" s="76" t="str">
        <f t="shared" si="68"/>
        <v/>
      </c>
      <c r="U146" s="76" t="str">
        <f t="shared" si="73"/>
        <v/>
      </c>
      <c r="V146" s="5" t="str">
        <f t="shared" si="69"/>
        <v/>
      </c>
      <c r="W146" s="5" t="str">
        <f t="shared" si="70"/>
        <v/>
      </c>
      <c r="X146" s="5" t="str">
        <f t="shared" si="71"/>
        <v/>
      </c>
      <c r="Y146" s="70" t="str">
        <f t="shared" si="72"/>
        <v/>
      </c>
      <c r="Z146" s="32" t="str">
        <f t="shared" si="65"/>
        <v/>
      </c>
      <c r="AA146" s="32" t="str">
        <f t="shared" si="66"/>
        <v/>
      </c>
      <c r="AB146" s="32" t="str">
        <f t="shared" si="67"/>
        <v/>
      </c>
      <c r="AC146" s="32" t="str">
        <f t="shared" si="74"/>
        <v/>
      </c>
      <c r="AD146" s="134"/>
      <c r="AE146" s="135" t="str">
        <f t="shared" si="75"/>
        <v/>
      </c>
      <c r="AF146" s="136"/>
      <c r="AG146" s="137"/>
      <c r="AH146" s="137"/>
      <c r="AI146" s="138"/>
      <c r="AJ146" s="23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ht="15" customHeight="1">
      <c r="A147" s="18"/>
      <c r="B147" s="128" t="s">
        <v>441</v>
      </c>
      <c r="C147" s="129" t="s">
        <v>312</v>
      </c>
      <c r="D147" s="130" t="s">
        <v>60</v>
      </c>
      <c r="E147" s="71">
        <v>1.33</v>
      </c>
      <c r="F147" s="129" t="s">
        <v>28</v>
      </c>
      <c r="G147" s="129">
        <v>3.6999999999999998E-2</v>
      </c>
      <c r="H147" s="129">
        <v>3.5000000000000003E-2</v>
      </c>
      <c r="I147" s="129">
        <v>-3.5000000000000003E-2</v>
      </c>
      <c r="J147" s="150" t="s">
        <v>12</v>
      </c>
      <c r="K147" s="132" t="s">
        <v>339</v>
      </c>
      <c r="L147" s="133">
        <f t="shared" si="63"/>
        <v>7.2000000000000008E-2</v>
      </c>
      <c r="M147" s="139">
        <f t="shared" si="64"/>
        <v>1.9999999999999948E-3</v>
      </c>
      <c r="N147" s="28"/>
      <c r="O147" s="3" t="str">
        <f t="shared" si="58"/>
        <v/>
      </c>
      <c r="P147" s="3" t="str">
        <f t="shared" si="59"/>
        <v/>
      </c>
      <c r="Q147" s="3" t="str">
        <f t="shared" si="60"/>
        <v/>
      </c>
      <c r="R147" s="4" t="str">
        <f t="shared" si="61"/>
        <v/>
      </c>
      <c r="S147" s="5" t="str">
        <f t="shared" si="62"/>
        <v/>
      </c>
      <c r="T147" s="76" t="str">
        <f t="shared" si="68"/>
        <v/>
      </c>
      <c r="U147" s="76" t="str">
        <f t="shared" si="73"/>
        <v/>
      </c>
      <c r="V147" s="5" t="str">
        <f t="shared" si="69"/>
        <v/>
      </c>
      <c r="W147" s="5" t="str">
        <f t="shared" si="70"/>
        <v/>
      </c>
      <c r="X147" s="5" t="str">
        <f t="shared" si="71"/>
        <v/>
      </c>
      <c r="Y147" s="70" t="str">
        <f t="shared" si="72"/>
        <v/>
      </c>
      <c r="Z147" s="32" t="str">
        <f t="shared" si="65"/>
        <v/>
      </c>
      <c r="AA147" s="32" t="str">
        <f t="shared" si="66"/>
        <v/>
      </c>
      <c r="AB147" s="32" t="str">
        <f t="shared" si="67"/>
        <v/>
      </c>
      <c r="AC147" s="32" t="str">
        <f t="shared" si="74"/>
        <v/>
      </c>
      <c r="AD147" s="134"/>
      <c r="AE147" s="135" t="str">
        <f t="shared" si="75"/>
        <v/>
      </c>
      <c r="AF147" s="136"/>
      <c r="AG147" s="137"/>
      <c r="AH147" s="137"/>
      <c r="AI147" s="138"/>
      <c r="AJ147" s="23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ht="15" customHeight="1">
      <c r="A148" s="18"/>
      <c r="B148" s="128" t="s">
        <v>442</v>
      </c>
      <c r="C148" s="129" t="s">
        <v>312</v>
      </c>
      <c r="D148" s="130" t="s">
        <v>60</v>
      </c>
      <c r="E148" s="71">
        <v>1.33</v>
      </c>
      <c r="F148" s="129" t="s">
        <v>28</v>
      </c>
      <c r="G148" s="129">
        <v>3.6999999999999998E-2</v>
      </c>
      <c r="H148" s="129">
        <v>3.5000000000000003E-2</v>
      </c>
      <c r="I148" s="129">
        <v>-3.5000000000000003E-2</v>
      </c>
      <c r="J148" s="150" t="s">
        <v>12</v>
      </c>
      <c r="K148" s="132" t="s">
        <v>339</v>
      </c>
      <c r="L148" s="133">
        <f t="shared" si="63"/>
        <v>7.2000000000000008E-2</v>
      </c>
      <c r="M148" s="139">
        <f t="shared" si="64"/>
        <v>1.9999999999999948E-3</v>
      </c>
      <c r="N148" s="28"/>
      <c r="O148" s="3" t="str">
        <f t="shared" si="58"/>
        <v/>
      </c>
      <c r="P148" s="3" t="str">
        <f t="shared" si="59"/>
        <v/>
      </c>
      <c r="Q148" s="3" t="str">
        <f t="shared" si="60"/>
        <v/>
      </c>
      <c r="R148" s="4" t="str">
        <f t="shared" si="61"/>
        <v/>
      </c>
      <c r="S148" s="5" t="str">
        <f t="shared" si="62"/>
        <v/>
      </c>
      <c r="T148" s="76" t="str">
        <f t="shared" si="68"/>
        <v/>
      </c>
      <c r="U148" s="76" t="str">
        <f t="shared" si="73"/>
        <v/>
      </c>
      <c r="V148" s="5" t="str">
        <f t="shared" si="69"/>
        <v/>
      </c>
      <c r="W148" s="5" t="str">
        <f t="shared" si="70"/>
        <v/>
      </c>
      <c r="X148" s="5" t="str">
        <f t="shared" si="71"/>
        <v/>
      </c>
      <c r="Y148" s="70" t="str">
        <f t="shared" si="72"/>
        <v/>
      </c>
      <c r="Z148" s="32" t="str">
        <f t="shared" si="65"/>
        <v/>
      </c>
      <c r="AA148" s="32" t="str">
        <f t="shared" si="66"/>
        <v/>
      </c>
      <c r="AB148" s="32" t="str">
        <f t="shared" si="67"/>
        <v/>
      </c>
      <c r="AC148" s="32" t="str">
        <f t="shared" si="74"/>
        <v/>
      </c>
      <c r="AD148" s="134"/>
      <c r="AE148" s="135" t="str">
        <f t="shared" si="75"/>
        <v/>
      </c>
      <c r="AF148" s="136"/>
      <c r="AG148" s="137"/>
      <c r="AH148" s="137"/>
      <c r="AI148" s="138"/>
      <c r="AJ148" s="23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ht="15" customHeight="1">
      <c r="A149" s="18"/>
      <c r="B149" s="146" t="s">
        <v>443</v>
      </c>
      <c r="C149" s="129" t="s">
        <v>314</v>
      </c>
      <c r="D149" s="130" t="s">
        <v>58</v>
      </c>
      <c r="E149" s="71">
        <v>1.33</v>
      </c>
      <c r="F149" s="129" t="s">
        <v>27</v>
      </c>
      <c r="G149" s="129"/>
      <c r="H149" s="129">
        <v>3.5000000000000003E-2</v>
      </c>
      <c r="I149" s="129" t="s">
        <v>459</v>
      </c>
      <c r="J149" s="150" t="s">
        <v>12</v>
      </c>
      <c r="K149" s="132" t="s">
        <v>339</v>
      </c>
      <c r="L149" s="133">
        <f t="shared" si="63"/>
        <v>3.5000000000000003E-2</v>
      </c>
      <c r="M149" s="139" t="str">
        <f t="shared" si="64"/>
        <v/>
      </c>
      <c r="N149" s="28"/>
      <c r="O149" s="3" t="str">
        <f t="shared" si="58"/>
        <v/>
      </c>
      <c r="P149" s="3" t="str">
        <f t="shared" si="59"/>
        <v/>
      </c>
      <c r="Q149" s="3" t="str">
        <f t="shared" si="60"/>
        <v/>
      </c>
      <c r="R149" s="4" t="str">
        <f t="shared" si="61"/>
        <v/>
      </c>
      <c r="S149" s="5" t="str">
        <f t="shared" si="62"/>
        <v/>
      </c>
      <c r="T149" s="76" t="str">
        <f t="shared" si="68"/>
        <v/>
      </c>
      <c r="U149" s="76" t="str">
        <f t="shared" si="73"/>
        <v/>
      </c>
      <c r="V149" s="5" t="str">
        <f t="shared" si="69"/>
        <v/>
      </c>
      <c r="W149" s="5" t="str">
        <f t="shared" si="70"/>
        <v/>
      </c>
      <c r="X149" s="5" t="str">
        <f t="shared" si="71"/>
        <v/>
      </c>
      <c r="Y149" s="70" t="str">
        <f t="shared" si="72"/>
        <v/>
      </c>
      <c r="Z149" s="32" t="str">
        <f t="shared" si="65"/>
        <v/>
      </c>
      <c r="AA149" s="32" t="str">
        <f t="shared" si="66"/>
        <v/>
      </c>
      <c r="AB149" s="32" t="str">
        <f t="shared" si="67"/>
        <v/>
      </c>
      <c r="AC149" s="32" t="str">
        <f t="shared" si="74"/>
        <v/>
      </c>
      <c r="AD149" s="134"/>
      <c r="AE149" s="135" t="str">
        <f t="shared" si="75"/>
        <v/>
      </c>
      <c r="AF149" s="136"/>
      <c r="AG149" s="137"/>
      <c r="AH149" s="137"/>
      <c r="AI149" s="138"/>
      <c r="AJ149" s="23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ht="15" customHeight="1">
      <c r="A150" s="18"/>
      <c r="B150" s="128">
        <v>92</v>
      </c>
      <c r="C150" s="129" t="s">
        <v>315</v>
      </c>
      <c r="D150" s="130" t="s">
        <v>58</v>
      </c>
      <c r="E150" s="71">
        <v>1.33</v>
      </c>
      <c r="F150" s="129" t="s">
        <v>27</v>
      </c>
      <c r="G150" s="129"/>
      <c r="H150" s="129">
        <v>5.0999999999999997E-2</v>
      </c>
      <c r="I150" s="129" t="s">
        <v>459</v>
      </c>
      <c r="J150" s="150" t="s">
        <v>12</v>
      </c>
      <c r="K150" s="132" t="s">
        <v>339</v>
      </c>
      <c r="L150" s="133">
        <f t="shared" si="63"/>
        <v>5.0999999999999997E-2</v>
      </c>
      <c r="M150" s="139" t="str">
        <f t="shared" si="64"/>
        <v/>
      </c>
      <c r="N150" s="28"/>
      <c r="O150" s="3" t="str">
        <f t="shared" ref="O150:O157" si="76">IF(OR($AK150="",ISNUMBER($AK150)=FALSE),"",MAX(AK150:BP150))</f>
        <v/>
      </c>
      <c r="P150" s="3" t="str">
        <f t="shared" ref="P150:P157" si="77">IF(OR($AK150="",ISNUMBER($AK150)=FALSE),"",MIN(AK150:BP150))</f>
        <v/>
      </c>
      <c r="Q150" s="3" t="str">
        <f t="shared" ref="Q150:Q157" si="78">IF(OR($AK150="",ISNUMBER($AK150)=FALSE),"",AVERAGE(AK150:BP150))</f>
        <v/>
      </c>
      <c r="R150" s="4" t="str">
        <f t="shared" ref="R150:R157" si="79">IF(OR($AK150="",ISNUMBER($AK150)=FALSE),"",STDEV(AK150:BP150))</f>
        <v/>
      </c>
      <c r="S150" s="5" t="str">
        <f t="shared" ref="S150:S157" si="80">IF(OR($AK150="",ISNUMBER($AK150)=FALSE),"",IF(AND(G150="",I150=""),V150,IF(AND(G150="",H150=""),W150,(H150+ABS(I150))/(6*R150))))</f>
        <v/>
      </c>
      <c r="T150" s="76" t="str">
        <f t="shared" si="68"/>
        <v/>
      </c>
      <c r="U150" s="76" t="str">
        <f t="shared" si="73"/>
        <v/>
      </c>
      <c r="V150" s="5" t="str">
        <f t="shared" si="69"/>
        <v/>
      </c>
      <c r="W150" s="5" t="str">
        <f t="shared" si="70"/>
        <v/>
      </c>
      <c r="X150" s="5" t="str">
        <f t="shared" si="71"/>
        <v/>
      </c>
      <c r="Y150" s="70" t="str">
        <f t="shared" si="72"/>
        <v/>
      </c>
      <c r="Z150" s="32" t="str">
        <f t="shared" si="65"/>
        <v/>
      </c>
      <c r="AA150" s="32" t="str">
        <f t="shared" si="66"/>
        <v/>
      </c>
      <c r="AB150" s="32" t="str">
        <f t="shared" si="67"/>
        <v/>
      </c>
      <c r="AC150" s="32" t="str">
        <f t="shared" si="74"/>
        <v/>
      </c>
      <c r="AD150" s="134"/>
      <c r="AE150" s="135" t="str">
        <f t="shared" si="75"/>
        <v/>
      </c>
      <c r="AF150" s="136"/>
      <c r="AG150" s="137"/>
      <c r="AH150" s="137"/>
      <c r="AI150" s="138"/>
      <c r="AJ150" s="23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ht="15" customHeight="1">
      <c r="A151" s="18"/>
      <c r="B151" s="128" t="s">
        <v>444</v>
      </c>
      <c r="C151" s="129" t="s">
        <v>316</v>
      </c>
      <c r="D151" s="130" t="s">
        <v>60</v>
      </c>
      <c r="E151" s="71">
        <v>1.33</v>
      </c>
      <c r="F151" s="129" t="s">
        <v>28</v>
      </c>
      <c r="G151" s="129">
        <v>0.8</v>
      </c>
      <c r="H151" s="129">
        <v>0.02</v>
      </c>
      <c r="I151" s="129">
        <v>-0.02</v>
      </c>
      <c r="J151" s="150" t="s">
        <v>12</v>
      </c>
      <c r="K151" s="132" t="s">
        <v>339</v>
      </c>
      <c r="L151" s="133">
        <f t="shared" si="63"/>
        <v>0.82000000000000006</v>
      </c>
      <c r="M151" s="139">
        <f t="shared" si="64"/>
        <v>0.78</v>
      </c>
      <c r="N151" s="28"/>
      <c r="O151" s="3" t="str">
        <f t="shared" si="76"/>
        <v/>
      </c>
      <c r="P151" s="3" t="str">
        <f t="shared" si="77"/>
        <v/>
      </c>
      <c r="Q151" s="3" t="str">
        <f t="shared" si="78"/>
        <v/>
      </c>
      <c r="R151" s="4" t="str">
        <f t="shared" si="79"/>
        <v/>
      </c>
      <c r="S151" s="5" t="str">
        <f t="shared" si="80"/>
        <v/>
      </c>
      <c r="T151" s="76" t="str">
        <f t="shared" si="68"/>
        <v/>
      </c>
      <c r="U151" s="76" t="str">
        <f t="shared" si="73"/>
        <v/>
      </c>
      <c r="V151" s="5" t="str">
        <f t="shared" si="69"/>
        <v/>
      </c>
      <c r="W151" s="5" t="str">
        <f t="shared" si="70"/>
        <v/>
      </c>
      <c r="X151" s="5" t="str">
        <f t="shared" si="71"/>
        <v/>
      </c>
      <c r="Y151" s="70" t="str">
        <f t="shared" si="72"/>
        <v/>
      </c>
      <c r="Z151" s="32" t="str">
        <f t="shared" si="65"/>
        <v/>
      </c>
      <c r="AA151" s="32" t="str">
        <f t="shared" si="66"/>
        <v/>
      </c>
      <c r="AB151" s="32" t="str">
        <f t="shared" si="67"/>
        <v/>
      </c>
      <c r="AC151" s="32" t="str">
        <f t="shared" si="74"/>
        <v/>
      </c>
      <c r="AD151" s="134"/>
      <c r="AE151" s="135" t="str">
        <f t="shared" si="75"/>
        <v/>
      </c>
      <c r="AF151" s="136"/>
      <c r="AG151" s="137"/>
      <c r="AH151" s="137"/>
      <c r="AI151" s="138"/>
      <c r="AJ151" s="23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ht="15" customHeight="1">
      <c r="A152" s="18"/>
      <c r="B152" s="128" t="s">
        <v>445</v>
      </c>
      <c r="C152" s="129" t="s">
        <v>316</v>
      </c>
      <c r="D152" s="130" t="s">
        <v>60</v>
      </c>
      <c r="E152" s="71">
        <v>1.33</v>
      </c>
      <c r="F152" s="129" t="s">
        <v>28</v>
      </c>
      <c r="G152" s="129">
        <v>0.8</v>
      </c>
      <c r="H152" s="129">
        <v>0.02</v>
      </c>
      <c r="I152" s="129">
        <v>-0.02</v>
      </c>
      <c r="J152" s="150" t="s">
        <v>12</v>
      </c>
      <c r="K152" s="132" t="s">
        <v>339</v>
      </c>
      <c r="L152" s="133">
        <f t="shared" si="63"/>
        <v>0.82000000000000006</v>
      </c>
      <c r="M152" s="139">
        <f t="shared" si="64"/>
        <v>0.78</v>
      </c>
      <c r="N152" s="28"/>
      <c r="O152" s="3" t="str">
        <f t="shared" si="76"/>
        <v/>
      </c>
      <c r="P152" s="3" t="str">
        <f t="shared" si="77"/>
        <v/>
      </c>
      <c r="Q152" s="3" t="str">
        <f t="shared" si="78"/>
        <v/>
      </c>
      <c r="R152" s="4" t="str">
        <f t="shared" si="79"/>
        <v/>
      </c>
      <c r="S152" s="5" t="str">
        <f t="shared" si="80"/>
        <v/>
      </c>
      <c r="T152" s="76" t="str">
        <f t="shared" si="68"/>
        <v/>
      </c>
      <c r="U152" s="76" t="str">
        <f t="shared" si="73"/>
        <v/>
      </c>
      <c r="V152" s="5" t="str">
        <f t="shared" si="69"/>
        <v/>
      </c>
      <c r="W152" s="5" t="str">
        <f t="shared" si="70"/>
        <v/>
      </c>
      <c r="X152" s="5" t="str">
        <f t="shared" si="71"/>
        <v/>
      </c>
      <c r="Y152" s="70" t="str">
        <f t="shared" si="72"/>
        <v/>
      </c>
      <c r="Z152" s="32" t="str">
        <f t="shared" si="65"/>
        <v/>
      </c>
      <c r="AA152" s="32" t="str">
        <f t="shared" si="66"/>
        <v/>
      </c>
      <c r="AB152" s="32" t="str">
        <f t="shared" si="67"/>
        <v/>
      </c>
      <c r="AC152" s="32" t="str">
        <f t="shared" si="74"/>
        <v/>
      </c>
      <c r="AD152" s="134"/>
      <c r="AE152" s="135" t="str">
        <f t="shared" si="75"/>
        <v/>
      </c>
      <c r="AF152" s="136"/>
      <c r="AG152" s="137"/>
      <c r="AH152" s="137"/>
      <c r="AI152" s="138"/>
      <c r="AJ152" s="23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ht="15" customHeight="1">
      <c r="A153" s="18"/>
      <c r="B153" s="146" t="s">
        <v>446</v>
      </c>
      <c r="C153" s="129" t="s">
        <v>318</v>
      </c>
      <c r="D153" s="130" t="s">
        <v>60</v>
      </c>
      <c r="E153" s="71">
        <v>1.33</v>
      </c>
      <c r="F153" s="129" t="s">
        <v>28</v>
      </c>
      <c r="G153" s="129">
        <v>11.807</v>
      </c>
      <c r="H153" s="129">
        <v>0.02</v>
      </c>
      <c r="I153" s="129">
        <v>-0.02</v>
      </c>
      <c r="J153" s="150" t="s">
        <v>12</v>
      </c>
      <c r="K153" s="132" t="s">
        <v>339</v>
      </c>
      <c r="L153" s="133">
        <f t="shared" si="63"/>
        <v>11.827</v>
      </c>
      <c r="M153" s="139">
        <f t="shared" si="64"/>
        <v>11.787000000000001</v>
      </c>
      <c r="N153" s="28"/>
      <c r="O153" s="3" t="str">
        <f t="shared" si="76"/>
        <v/>
      </c>
      <c r="P153" s="3" t="str">
        <f t="shared" si="77"/>
        <v/>
      </c>
      <c r="Q153" s="3" t="str">
        <f t="shared" si="78"/>
        <v/>
      </c>
      <c r="R153" s="4" t="str">
        <f t="shared" si="79"/>
        <v/>
      </c>
      <c r="S153" s="5" t="str">
        <f t="shared" si="80"/>
        <v/>
      </c>
      <c r="T153" s="76" t="str">
        <f t="shared" si="68"/>
        <v/>
      </c>
      <c r="U153" s="76" t="str">
        <f t="shared" si="73"/>
        <v/>
      </c>
      <c r="V153" s="5" t="str">
        <f t="shared" si="69"/>
        <v/>
      </c>
      <c r="W153" s="5" t="str">
        <f t="shared" si="70"/>
        <v/>
      </c>
      <c r="X153" s="5" t="str">
        <f t="shared" si="71"/>
        <v/>
      </c>
      <c r="Y153" s="70" t="str">
        <f t="shared" si="72"/>
        <v/>
      </c>
      <c r="Z153" s="32" t="str">
        <f t="shared" si="65"/>
        <v/>
      </c>
      <c r="AA153" s="32" t="str">
        <f t="shared" si="66"/>
        <v/>
      </c>
      <c r="AB153" s="32" t="str">
        <f t="shared" si="67"/>
        <v/>
      </c>
      <c r="AC153" s="32" t="str">
        <f t="shared" si="74"/>
        <v/>
      </c>
      <c r="AD153" s="134"/>
      <c r="AE153" s="135" t="str">
        <f t="shared" si="75"/>
        <v/>
      </c>
      <c r="AF153" s="136"/>
      <c r="AG153" s="137"/>
      <c r="AH153" s="137"/>
      <c r="AI153" s="138"/>
      <c r="AJ153" s="23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ht="15" customHeight="1">
      <c r="A154" s="18"/>
      <c r="B154" s="146" t="s">
        <v>319</v>
      </c>
      <c r="C154" s="129"/>
      <c r="D154" s="151" t="s">
        <v>447</v>
      </c>
      <c r="E154" s="71"/>
      <c r="F154" s="129" t="s">
        <v>27</v>
      </c>
      <c r="G154" s="129"/>
      <c r="H154" s="129">
        <v>0.03</v>
      </c>
      <c r="I154" s="129" t="s">
        <v>459</v>
      </c>
      <c r="J154" s="150" t="s">
        <v>12</v>
      </c>
      <c r="K154" s="132" t="s">
        <v>339</v>
      </c>
      <c r="L154" s="133">
        <f t="shared" si="63"/>
        <v>0.03</v>
      </c>
      <c r="M154" s="139" t="str">
        <f t="shared" si="64"/>
        <v/>
      </c>
      <c r="N154" s="28"/>
      <c r="O154" s="3" t="str">
        <f t="shared" si="76"/>
        <v/>
      </c>
      <c r="P154" s="3" t="str">
        <f t="shared" si="77"/>
        <v/>
      </c>
      <c r="Q154" s="3" t="str">
        <f t="shared" si="78"/>
        <v/>
      </c>
      <c r="R154" s="4" t="str">
        <f t="shared" si="79"/>
        <v/>
      </c>
      <c r="S154" s="5" t="str">
        <f t="shared" si="80"/>
        <v/>
      </c>
      <c r="T154" s="76" t="str">
        <f t="shared" si="68"/>
        <v/>
      </c>
      <c r="U154" s="76" t="str">
        <f t="shared" si="73"/>
        <v/>
      </c>
      <c r="V154" s="5" t="str">
        <f t="shared" si="69"/>
        <v/>
      </c>
      <c r="W154" s="5" t="str">
        <f t="shared" si="70"/>
        <v/>
      </c>
      <c r="X154" s="5" t="str">
        <f t="shared" si="71"/>
        <v/>
      </c>
      <c r="Y154" s="70" t="str">
        <f t="shared" si="72"/>
        <v/>
      </c>
      <c r="Z154" s="32" t="str">
        <f t="shared" si="65"/>
        <v/>
      </c>
      <c r="AA154" s="32" t="str">
        <f t="shared" si="66"/>
        <v/>
      </c>
      <c r="AB154" s="32" t="str">
        <f t="shared" si="67"/>
        <v/>
      </c>
      <c r="AC154" s="32" t="str">
        <f t="shared" si="74"/>
        <v/>
      </c>
      <c r="AD154" s="134"/>
      <c r="AE154" s="135" t="str">
        <f t="shared" si="75"/>
        <v/>
      </c>
      <c r="AF154" s="136"/>
      <c r="AG154" s="137"/>
      <c r="AH154" s="137"/>
      <c r="AI154" s="138"/>
      <c r="AJ154" s="23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ht="15" customHeight="1">
      <c r="A155" s="18"/>
      <c r="B155" s="128">
        <v>97</v>
      </c>
      <c r="C155" s="129"/>
      <c r="D155" s="151" t="s">
        <v>447</v>
      </c>
      <c r="E155" s="71"/>
      <c r="F155" s="129" t="s">
        <v>27</v>
      </c>
      <c r="G155" s="129"/>
      <c r="H155" s="129">
        <v>0.03</v>
      </c>
      <c r="I155" s="129" t="s">
        <v>459</v>
      </c>
      <c r="J155" s="150" t="s">
        <v>12</v>
      </c>
      <c r="K155" s="132" t="s">
        <v>339</v>
      </c>
      <c r="L155" s="133">
        <f t="shared" si="63"/>
        <v>0.03</v>
      </c>
      <c r="M155" s="139" t="str">
        <f t="shared" si="64"/>
        <v/>
      </c>
      <c r="N155" s="28"/>
      <c r="O155" s="3" t="str">
        <f t="shared" si="76"/>
        <v/>
      </c>
      <c r="P155" s="3" t="str">
        <f t="shared" si="77"/>
        <v/>
      </c>
      <c r="Q155" s="3" t="str">
        <f t="shared" si="78"/>
        <v/>
      </c>
      <c r="R155" s="4" t="str">
        <f t="shared" si="79"/>
        <v/>
      </c>
      <c r="S155" s="5" t="str">
        <f t="shared" si="80"/>
        <v/>
      </c>
      <c r="T155" s="76" t="str">
        <f t="shared" si="68"/>
        <v/>
      </c>
      <c r="U155" s="76" t="str">
        <f t="shared" si="73"/>
        <v/>
      </c>
      <c r="V155" s="5" t="str">
        <f t="shared" si="69"/>
        <v/>
      </c>
      <c r="W155" s="5" t="str">
        <f t="shared" si="70"/>
        <v/>
      </c>
      <c r="X155" s="5" t="str">
        <f t="shared" si="71"/>
        <v/>
      </c>
      <c r="Y155" s="70" t="str">
        <f t="shared" si="72"/>
        <v/>
      </c>
      <c r="Z155" s="32" t="str">
        <f t="shared" si="65"/>
        <v/>
      </c>
      <c r="AA155" s="32" t="str">
        <f t="shared" si="66"/>
        <v/>
      </c>
      <c r="AB155" s="32" t="str">
        <f t="shared" si="67"/>
        <v/>
      </c>
      <c r="AC155" s="32" t="str">
        <f t="shared" si="74"/>
        <v/>
      </c>
      <c r="AD155" s="134"/>
      <c r="AE155" s="135" t="str">
        <f t="shared" si="75"/>
        <v/>
      </c>
      <c r="AF155" s="136"/>
      <c r="AG155" s="137"/>
      <c r="AH155" s="137"/>
      <c r="AI155" s="138"/>
      <c r="AJ155" s="23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ht="15" customHeight="1">
      <c r="A156" s="18"/>
      <c r="B156" s="128">
        <v>99</v>
      </c>
      <c r="C156" s="129" t="s">
        <v>448</v>
      </c>
      <c r="D156" s="151" t="s">
        <v>447</v>
      </c>
      <c r="E156" s="71">
        <v>1.33</v>
      </c>
      <c r="F156" s="129" t="s">
        <v>27</v>
      </c>
      <c r="G156" s="129"/>
      <c r="H156" s="129">
        <v>0.03</v>
      </c>
      <c r="I156" s="129" t="s">
        <v>459</v>
      </c>
      <c r="J156" s="150" t="s">
        <v>12</v>
      </c>
      <c r="K156" s="132" t="s">
        <v>339</v>
      </c>
      <c r="L156" s="133">
        <f t="shared" si="63"/>
        <v>0.03</v>
      </c>
      <c r="M156" s="139" t="str">
        <f t="shared" si="64"/>
        <v/>
      </c>
      <c r="N156" s="28"/>
      <c r="O156" s="3" t="str">
        <f t="shared" si="76"/>
        <v/>
      </c>
      <c r="P156" s="3" t="str">
        <f t="shared" si="77"/>
        <v/>
      </c>
      <c r="Q156" s="3" t="str">
        <f t="shared" si="78"/>
        <v/>
      </c>
      <c r="R156" s="4" t="str">
        <f t="shared" si="79"/>
        <v/>
      </c>
      <c r="S156" s="5" t="str">
        <f t="shared" si="80"/>
        <v/>
      </c>
      <c r="T156" s="76" t="str">
        <f t="shared" si="68"/>
        <v/>
      </c>
      <c r="U156" s="76" t="str">
        <f t="shared" si="73"/>
        <v/>
      </c>
      <c r="V156" s="5" t="str">
        <f t="shared" si="69"/>
        <v/>
      </c>
      <c r="W156" s="5" t="str">
        <f t="shared" si="70"/>
        <v/>
      </c>
      <c r="X156" s="5" t="str">
        <f t="shared" si="71"/>
        <v/>
      </c>
      <c r="Y156" s="70" t="str">
        <f t="shared" si="72"/>
        <v/>
      </c>
      <c r="Z156" s="32" t="str">
        <f t="shared" si="65"/>
        <v/>
      </c>
      <c r="AA156" s="32" t="str">
        <f t="shared" si="66"/>
        <v/>
      </c>
      <c r="AB156" s="32" t="str">
        <f t="shared" si="67"/>
        <v/>
      </c>
      <c r="AC156" s="32" t="str">
        <f t="shared" si="74"/>
        <v/>
      </c>
      <c r="AD156" s="134"/>
      <c r="AE156" s="135" t="str">
        <f t="shared" si="75"/>
        <v/>
      </c>
      <c r="AF156" s="136"/>
      <c r="AG156" s="137"/>
      <c r="AH156" s="137"/>
      <c r="AI156" s="138"/>
      <c r="AJ156" s="23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ht="15" customHeight="1">
      <c r="A157" s="18"/>
      <c r="B157" s="128">
        <v>100</v>
      </c>
      <c r="C157" s="129" t="s">
        <v>449</v>
      </c>
      <c r="D157" s="151" t="s">
        <v>447</v>
      </c>
      <c r="E157" s="71">
        <v>1.33</v>
      </c>
      <c r="F157" s="129" t="s">
        <v>27</v>
      </c>
      <c r="G157" s="129"/>
      <c r="H157" s="129">
        <v>0.03</v>
      </c>
      <c r="I157" s="129" t="s">
        <v>459</v>
      </c>
      <c r="J157" s="150" t="s">
        <v>12</v>
      </c>
      <c r="K157" s="132" t="s">
        <v>339</v>
      </c>
      <c r="L157" s="133">
        <f t="shared" si="63"/>
        <v>0.03</v>
      </c>
      <c r="M157" s="139" t="str">
        <f t="shared" si="64"/>
        <v/>
      </c>
      <c r="N157" s="28"/>
      <c r="O157" s="3" t="str">
        <f t="shared" si="76"/>
        <v/>
      </c>
      <c r="P157" s="3" t="str">
        <f t="shared" si="77"/>
        <v/>
      </c>
      <c r="Q157" s="3" t="str">
        <f t="shared" si="78"/>
        <v/>
      </c>
      <c r="R157" s="4" t="str">
        <f t="shared" si="79"/>
        <v/>
      </c>
      <c r="S157" s="5" t="str">
        <f t="shared" si="80"/>
        <v/>
      </c>
      <c r="T157" s="76" t="str">
        <f t="shared" si="68"/>
        <v/>
      </c>
      <c r="U157" s="76" t="str">
        <f t="shared" si="73"/>
        <v/>
      </c>
      <c r="V157" s="5" t="str">
        <f t="shared" si="69"/>
        <v/>
      </c>
      <c r="W157" s="5" t="str">
        <f t="shared" si="70"/>
        <v/>
      </c>
      <c r="X157" s="5" t="str">
        <f t="shared" si="71"/>
        <v/>
      </c>
      <c r="Y157" s="70" t="str">
        <f t="shared" si="72"/>
        <v/>
      </c>
      <c r="Z157" s="32" t="str">
        <f t="shared" si="65"/>
        <v/>
      </c>
      <c r="AA157" s="32" t="str">
        <f t="shared" si="66"/>
        <v/>
      </c>
      <c r="AB157" s="32" t="str">
        <f t="shared" si="67"/>
        <v/>
      </c>
      <c r="AC157" s="32" t="str">
        <f t="shared" si="74"/>
        <v/>
      </c>
      <c r="AD157" s="134"/>
      <c r="AE157" s="135" t="str">
        <f t="shared" si="75"/>
        <v/>
      </c>
      <c r="AF157" s="136"/>
      <c r="AG157" s="137"/>
      <c r="AH157" s="137"/>
      <c r="AI157" s="138"/>
      <c r="AJ157" s="23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</sheetData>
  <mergeCells count="24">
    <mergeCell ref="B8:M8"/>
    <mergeCell ref="O8:AE8"/>
    <mergeCell ref="AG8:AI8"/>
    <mergeCell ref="AK8:BP8"/>
    <mergeCell ref="B9:B10"/>
    <mergeCell ref="C9:C10"/>
    <mergeCell ref="Z9:AA9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A1:AE1"/>
    <mergeCell ref="V2:W2"/>
    <mergeCell ref="B4:C4"/>
    <mergeCell ref="F4:G4"/>
    <mergeCell ref="H4:M4"/>
    <mergeCell ref="O4:Q4"/>
    <mergeCell ref="R4:W4"/>
  </mergeCells>
  <phoneticPr fontId="48" type="noConversion"/>
  <conditionalFormatting sqref="G11 G37 G118 G145">
    <cfRule type="expression" dxfId="444" priority="60">
      <formula>AND(OR($F11="GD&amp;T",$F11="MAX",$F11="MIN"),$G11="")</formula>
    </cfRule>
  </conditionalFormatting>
  <conditionalFormatting sqref="G11 I11 AK11:BP157">
    <cfRule type="containsBlanks" dxfId="443" priority="61">
      <formula>LEN(TRIM(G11))=0</formula>
    </cfRule>
  </conditionalFormatting>
  <conditionalFormatting sqref="G16 I16 G37 I37 G118 I118 G145 I145">
    <cfRule type="containsBlanks" dxfId="442" priority="56">
      <formula>LEN(TRIM(G16))=0</formula>
    </cfRule>
  </conditionalFormatting>
  <conditionalFormatting sqref="G16">
    <cfRule type="expression" dxfId="441" priority="54">
      <formula>AND($F16&lt;&gt;"Tolerance",$G16&lt;&gt;"")</formula>
    </cfRule>
    <cfRule type="expression" dxfId="440" priority="55">
      <formula>AND(OR($F16="GD&amp;T",$F16="MAX",$F16="MIN"),$G16="")</formula>
    </cfRule>
  </conditionalFormatting>
  <conditionalFormatting sqref="G37 G118 G145 G11">
    <cfRule type="expression" dxfId="439" priority="59">
      <formula>AND($F11&lt;&gt;"Tolerance",$G11&lt;&gt;"")</formula>
    </cfRule>
  </conditionalFormatting>
  <conditionalFormatting sqref="G136 G138">
    <cfRule type="expression" dxfId="438" priority="46">
      <formula>AND($F136&lt;&gt;"Tolerance",$G136&lt;&gt;"")</formula>
    </cfRule>
    <cfRule type="expression" dxfId="437" priority="47">
      <formula>AND(OR($F136="GD&amp;T",$F136="MAX",$F136="MIN"),$G136="")</formula>
    </cfRule>
    <cfRule type="containsBlanks" dxfId="436" priority="48">
      <formula>LEN(TRIM(G136))=0</formula>
    </cfRule>
  </conditionalFormatting>
  <conditionalFormatting sqref="I11 I37 I118 I145">
    <cfRule type="expression" dxfId="435" priority="58">
      <formula>AND(OR($F11="GD&amp;T",$F11="MAX"),$I11="")</formula>
    </cfRule>
  </conditionalFormatting>
  <conditionalFormatting sqref="I16">
    <cfRule type="expression" dxfId="434" priority="52">
      <formula>AND(OR($F16="GD&amp;T",$F16="MAX"),$I16&lt;&gt;"")</formula>
    </cfRule>
    <cfRule type="expression" dxfId="433" priority="53">
      <formula>AND(OR($F16="GD&amp;T",$F16="MAX"),$I16="")</formula>
    </cfRule>
  </conditionalFormatting>
  <conditionalFormatting sqref="I37 I118 I145 I11">
    <cfRule type="expression" dxfId="432" priority="57">
      <formula>AND(OR($F11="GD&amp;T",$F11="MAX"),$I11&lt;&gt;"")</formula>
    </cfRule>
  </conditionalFormatting>
  <conditionalFormatting sqref="I104 I110">
    <cfRule type="expression" dxfId="431" priority="43">
      <formula>AND(OR($F104="GD&amp;T",$F104="MAX"),$I104&lt;&gt;"")</formula>
    </cfRule>
    <cfRule type="expression" dxfId="430" priority="44">
      <formula>AND(OR($F104="GD&amp;T",$F104="MAX"),$I104="")</formula>
    </cfRule>
    <cfRule type="containsBlanks" dxfId="429" priority="45">
      <formula>LEN(TRIM(I104))=0</formula>
    </cfRule>
  </conditionalFormatting>
  <conditionalFormatting sqref="O11:Q157 AK11:BP157">
    <cfRule type="expression" dxfId="428" priority="24">
      <formula>AND($M11&lt;&gt;"",$AK11&lt;&gt;"",O11&lt;$M11)</formula>
    </cfRule>
    <cfRule type="expression" dxfId="427" priority="25">
      <formula>AND($L11&lt;&gt;"",$AK11&lt;&gt;"",O11&gt;$L11)</formula>
    </cfRule>
    <cfRule type="notContainsBlanks" dxfId="426" priority="26">
      <formula>LEN(TRIM(O11))&gt;0</formula>
    </cfRule>
  </conditionalFormatting>
  <conditionalFormatting sqref="R11:R157">
    <cfRule type="expression" dxfId="425" priority="18">
      <formula>AND($R11&lt;&gt;"",$S11&lt;1.67)</formula>
    </cfRule>
    <cfRule type="notContainsBlanks" dxfId="424" priority="19">
      <formula>LEN(TRIM(R11))&gt;0</formula>
    </cfRule>
  </conditionalFormatting>
  <conditionalFormatting sqref="S11:S157 V11:X157">
    <cfRule type="cellIs" dxfId="423" priority="22" operator="lessThan">
      <formula>$E11</formula>
    </cfRule>
    <cfRule type="notContainsBlanks" dxfId="422" priority="23">
      <formula>LEN(TRIM(S11))&gt;0</formula>
    </cfRule>
  </conditionalFormatting>
  <conditionalFormatting sqref="V11:X68 S11:S157 V69:Y157">
    <cfRule type="expression" dxfId="421" priority="20">
      <formula>$K11="Yes"</formula>
    </cfRule>
  </conditionalFormatting>
  <conditionalFormatting sqref="V11:X78 S11:S157 V79:Y89 Y90:Y97 V90:X157 Y14">
    <cfRule type="expression" dxfId="420" priority="21">
      <formula>AND($AD11&lt;0.966,$AD11&lt;&gt;"")</formula>
    </cfRule>
  </conditionalFormatting>
  <conditionalFormatting sqref="Y11:Y157">
    <cfRule type="containsBlanks" dxfId="419" priority="317">
      <formula>LEN(TRIM(Y11))=0</formula>
    </cfRule>
    <cfRule type="cellIs" dxfId="418" priority="318" operator="between">
      <formula>0.9</formula>
      <formula>0.998</formula>
    </cfRule>
    <cfRule type="cellIs" dxfId="417" priority="320" operator="greaterThanOrEqual">
      <formula>0.998</formula>
    </cfRule>
    <cfRule type="notContainsBlanks" dxfId="416" priority="324">
      <formula>LEN(TRIM(Y11))&gt;0</formula>
    </cfRule>
  </conditionalFormatting>
  <conditionalFormatting sqref="Y14 AB14:AC14">
    <cfRule type="containsBlanks" dxfId="415" priority="304">
      <formula>LEN(TRIM(Y14))=0</formula>
    </cfRule>
    <cfRule type="cellIs" dxfId="414" priority="315" operator="between">
      <formula>0.9</formula>
      <formula>0.998</formula>
    </cfRule>
    <cfRule type="cellIs" dxfId="413" priority="316" operator="greaterThanOrEqual">
      <formula>0.998</formula>
    </cfRule>
  </conditionalFormatting>
  <conditionalFormatting sqref="Y45:Y68">
    <cfRule type="expression" dxfId="412" priority="64">
      <formula>$K45="Yes"</formula>
    </cfRule>
  </conditionalFormatting>
  <conditionalFormatting sqref="Y49:Y74">
    <cfRule type="expression" dxfId="411" priority="301">
      <formula>AND($AD49&lt;0.966,$AD49&lt;&gt;"")</formula>
    </cfRule>
  </conditionalFormatting>
  <conditionalFormatting sqref="Y43:AC157">
    <cfRule type="containsBlanks" dxfId="410" priority="79">
      <formula>LEN(TRIM(Y43))=0</formula>
    </cfRule>
    <cfRule type="cellIs" dxfId="409" priority="299" operator="between">
      <formula>0.9</formula>
      <formula>0.998</formula>
    </cfRule>
    <cfRule type="cellIs" dxfId="408" priority="300" operator="greaterThanOrEqual">
      <formula>0.998</formula>
    </cfRule>
  </conditionalFormatting>
  <conditionalFormatting sqref="AD11:AE157">
    <cfRule type="expression" dxfId="407" priority="288">
      <formula>AND($AD11&lt;0.966,$AD11&lt;&gt;"")</formula>
    </cfRule>
  </conditionalFormatting>
  <conditionalFormatting sqref="AK15:BP16">
    <cfRule type="expression" dxfId="406" priority="122">
      <formula>AND($L15&lt;&gt;"",$AK15&lt;&gt;"",AK15&gt;$L15)</formula>
    </cfRule>
  </conditionalFormatting>
  <conditionalFormatting sqref="AK18:BP18">
    <cfRule type="expression" dxfId="405" priority="198">
      <formula>AND($M18&lt;&gt;"",AK18&lt;$M18)</formula>
    </cfRule>
    <cfRule type="expression" dxfId="404" priority="202">
      <formula>AND($L18&lt;&gt;"",AK18&gt;$L18)</formula>
    </cfRule>
  </conditionalFormatting>
  <conditionalFormatting sqref="AK19:BP21">
    <cfRule type="expression" dxfId="403" priority="120">
      <formula>AND($L19&lt;&gt;"",$AK19&lt;&gt;"",AK19&gt;$L19)</formula>
    </cfRule>
  </conditionalFormatting>
  <conditionalFormatting sqref="AK23:BP23">
    <cfRule type="expression" dxfId="402" priority="196">
      <formula>AND($M23&lt;&gt;"",AK23&lt;$M23)</formula>
    </cfRule>
    <cfRule type="expression" dxfId="401" priority="197">
      <formula>AND($L23&lt;&gt;"",AK23&gt;$L23)</formula>
    </cfRule>
  </conditionalFormatting>
  <conditionalFormatting sqref="AK24:BP26">
    <cfRule type="expression" dxfId="400" priority="119">
      <formula>AND($L24&lt;&gt;"",$AK24&lt;&gt;"",AK24&gt;$L24)</formula>
    </cfRule>
  </conditionalFormatting>
  <conditionalFormatting sqref="AK28:BP28">
    <cfRule type="expression" dxfId="399" priority="188">
      <formula>AND($M28&lt;&gt;"",AK28&lt;$M28)</formula>
    </cfRule>
    <cfRule type="expression" dxfId="398" priority="189">
      <formula>AND($L28&lt;&gt;"",AK28&gt;$L28)</formula>
    </cfRule>
  </conditionalFormatting>
  <conditionalFormatting sqref="AK29:BP31">
    <cfRule type="expression" dxfId="397" priority="114">
      <formula>AND($L29&lt;&gt;"",$AK29&lt;&gt;"",AK29&gt;$L29)</formula>
    </cfRule>
  </conditionalFormatting>
  <conditionalFormatting sqref="AK33:BP33">
    <cfRule type="expression" dxfId="396" priority="183">
      <formula>AND($M33&lt;&gt;"",AK33&lt;$M33)</formula>
    </cfRule>
    <cfRule type="expression" dxfId="395" priority="187">
      <formula>AND($L33&lt;&gt;"",AK33&gt;$L33)</formula>
    </cfRule>
  </conditionalFormatting>
  <conditionalFormatting sqref="AK34:BP36">
    <cfRule type="expression" dxfId="394" priority="113">
      <formula>AND($L34&lt;&gt;"",$AK34&lt;&gt;"",AK34&gt;$L34)</formula>
    </cfRule>
  </conditionalFormatting>
  <conditionalFormatting sqref="AK38:BP38">
    <cfRule type="expression" dxfId="393" priority="181">
      <formula>AND($M38&lt;&gt;"",AK38&lt;$M38)</formula>
    </cfRule>
    <cfRule type="expression" dxfId="392" priority="182">
      <formula>AND($L38&lt;&gt;"",AK38&gt;$L38)</formula>
    </cfRule>
  </conditionalFormatting>
  <conditionalFormatting sqref="AK39:BP41">
    <cfRule type="expression" dxfId="391" priority="108">
      <formula>AND($L39&lt;&gt;"",$AK39&lt;&gt;"",AK39&gt;$L39)</formula>
    </cfRule>
  </conditionalFormatting>
  <conditionalFormatting sqref="AK43:BP43">
    <cfRule type="expression" dxfId="390" priority="164">
      <formula>AND($M43&lt;&gt;"",AK43&lt;$M43)</formula>
    </cfRule>
    <cfRule type="expression" dxfId="389" priority="165">
      <formula>AND($L43&lt;&gt;"",AK43&gt;$L43)</formula>
    </cfRule>
  </conditionalFormatting>
  <conditionalFormatting sqref="AK44:BP46">
    <cfRule type="expression" dxfId="388" priority="107">
      <formula>AND($L44&lt;&gt;"",$AK44&lt;&gt;"",AK44&gt;$L44)</formula>
    </cfRule>
  </conditionalFormatting>
  <conditionalFormatting sqref="AK48:BP48">
    <cfRule type="expression" dxfId="387" priority="159">
      <formula>AND($M48&lt;&gt;"",AK48&lt;$M48)</formula>
    </cfRule>
    <cfRule type="expression" dxfId="386" priority="163">
      <formula>AND($L48&lt;&gt;"",AK48&gt;$L48)</formula>
    </cfRule>
  </conditionalFormatting>
  <conditionalFormatting sqref="AK49:BP51">
    <cfRule type="expression" dxfId="385" priority="106">
      <formula>AND($L49&lt;&gt;"",$AK49&lt;&gt;"",AK49&gt;$L49)</formula>
    </cfRule>
  </conditionalFormatting>
  <conditionalFormatting sqref="AK53:BP53">
    <cfRule type="expression" dxfId="384" priority="157">
      <formula>AND($M53&lt;&gt;"",AK53&lt;$M53)</formula>
    </cfRule>
    <cfRule type="expression" dxfId="383" priority="158">
      <formula>AND($L53&lt;&gt;"",AK53&gt;$L53)</formula>
    </cfRule>
  </conditionalFormatting>
  <conditionalFormatting sqref="AK54:BP56">
    <cfRule type="expression" dxfId="382" priority="105">
      <formula>AND($L54&lt;&gt;"",$AK54&lt;&gt;"",AK54&gt;$L54)</formula>
    </cfRule>
  </conditionalFormatting>
  <conditionalFormatting sqref="AK58:BP58">
    <cfRule type="expression" dxfId="381" priority="152">
      <formula>AND($M58&lt;&gt;"",AK58&lt;$M58)</formula>
    </cfRule>
    <cfRule type="expression" dxfId="380" priority="153">
      <formula>AND($L58&lt;&gt;"",AK58&gt;$L58)</formula>
    </cfRule>
  </conditionalFormatting>
  <conditionalFormatting sqref="AK59:BP61">
    <cfRule type="expression" dxfId="379" priority="104">
      <formula>AND($L59&lt;&gt;"",$AK59&lt;&gt;"",AK59&gt;$L59)</formula>
    </cfRule>
  </conditionalFormatting>
  <conditionalFormatting sqref="AK63:BP63">
    <cfRule type="expression" dxfId="378" priority="149">
      <formula>AND($M63&lt;&gt;"",AK63&lt;$M63)</formula>
    </cfRule>
    <cfRule type="expression" dxfId="377" priority="150">
      <formula>AND($L63&lt;&gt;"",AK63&gt;$L63)</formula>
    </cfRule>
  </conditionalFormatting>
  <conditionalFormatting sqref="AK64:BP66">
    <cfRule type="expression" dxfId="376" priority="103">
      <formula>AND($L64&lt;&gt;"",$AK64&lt;&gt;"",AK64&gt;$L64)</formula>
    </cfRule>
  </conditionalFormatting>
  <conditionalFormatting sqref="AK68:BP69">
    <cfRule type="expression" dxfId="375" priority="143">
      <formula>AND($M68&lt;&gt;"",AK68&lt;$M68)</formula>
    </cfRule>
    <cfRule type="expression" dxfId="374" priority="144">
      <formula>AND($L68&lt;&gt;"",AK68&gt;$L68)</formula>
    </cfRule>
  </conditionalFormatting>
  <conditionalFormatting sqref="AK70:BP72">
    <cfRule type="expression" dxfId="373" priority="102">
      <formula>AND($L70&lt;&gt;"",$AK70&lt;&gt;"",AK70&gt;$L70)</formula>
    </cfRule>
  </conditionalFormatting>
  <conditionalFormatting sqref="AK74:BP74">
    <cfRule type="expression" dxfId="372" priority="140">
      <formula>AND($M74&lt;&gt;"",AK74&lt;$M74)</formula>
    </cfRule>
    <cfRule type="expression" dxfId="371" priority="141">
      <formula>AND($L74&lt;&gt;"",AK74&gt;$L74)</formula>
    </cfRule>
  </conditionalFormatting>
  <conditionalFormatting sqref="AK76:BP76">
    <cfRule type="expression" dxfId="370" priority="137">
      <formula>AND($M76&lt;&gt;"",AK76&lt;$M76)</formula>
    </cfRule>
    <cfRule type="expression" dxfId="369" priority="138">
      <formula>AND($L76&lt;&gt;"",AK76&gt;$L76)</formula>
    </cfRule>
  </conditionalFormatting>
  <conditionalFormatting sqref="AK77:BP80">
    <cfRule type="expression" dxfId="368" priority="99">
      <formula>AND($L77&lt;&gt;"",$AK77&lt;&gt;"",AK77&gt;$L77)</formula>
    </cfRule>
  </conditionalFormatting>
  <conditionalFormatting sqref="AK79:BP80">
    <cfRule type="expression" dxfId="367" priority="98">
      <formula>AND($M79&lt;&gt;"",$AK79&lt;&gt;"",AK79&lt;$M79)</formula>
    </cfRule>
  </conditionalFormatting>
  <conditionalFormatting sqref="AK82:BP82">
    <cfRule type="expression" dxfId="366" priority="134">
      <formula>AND($M82&lt;&gt;"",AK82&lt;$M82)</formula>
    </cfRule>
    <cfRule type="expression" dxfId="365" priority="135">
      <formula>AND($L82&lt;&gt;"",AK82&gt;$L82)</formula>
    </cfRule>
  </conditionalFormatting>
  <conditionalFormatting sqref="AK83:BP85">
    <cfRule type="expression" dxfId="364" priority="90">
      <formula>AND($M83&lt;&gt;"",$AK83&lt;&gt;"",AK83&lt;$M83)</formula>
    </cfRule>
    <cfRule type="expression" dxfId="363" priority="97">
      <formula>AND($L83&lt;&gt;"",$AK83&lt;&gt;"",AK83&gt;$L83)</formula>
    </cfRule>
  </conditionalFormatting>
  <conditionalFormatting sqref="AK87:BP87">
    <cfRule type="expression" dxfId="362" priority="131">
      <formula>AND($M87&lt;&gt;"",AK87&lt;$M87)</formula>
    </cfRule>
    <cfRule type="expression" dxfId="361" priority="132">
      <formula>AND($L87&lt;&gt;"",AK87&gt;$L87)</formula>
    </cfRule>
  </conditionalFormatting>
  <conditionalFormatting sqref="AK88:BP89">
    <cfRule type="expression" dxfId="360" priority="88">
      <formula>AND($M88&lt;&gt;"",$AK88&lt;&gt;"",AK88&lt;$M88)</formula>
    </cfRule>
    <cfRule type="expression" dxfId="359" priority="89">
      <formula>AND($L88&lt;&gt;"",$AK88&lt;&gt;"",AK88&gt;$L88)</formula>
    </cfRule>
  </conditionalFormatting>
  <conditionalFormatting sqref="AK90:BP90">
    <cfRule type="expression" dxfId="358" priority="128">
      <formula>AND($M90&lt;&gt;"",AK90&lt;$M90)</formula>
    </cfRule>
    <cfRule type="expression" dxfId="357" priority="129">
      <formula>AND($L90&lt;&gt;"",AK90&gt;$L90)</formula>
    </cfRule>
  </conditionalFormatting>
  <conditionalFormatting sqref="AK91:BP93">
    <cfRule type="expression" dxfId="356" priority="86">
      <formula>AND($M91&lt;&gt;"",$AK91&lt;&gt;"",AK91&lt;$M91)</formula>
    </cfRule>
    <cfRule type="expression" dxfId="355" priority="87">
      <formula>AND($L91&lt;&gt;"",$AK91&lt;&gt;"",AK91&gt;$L91)</formula>
    </cfRule>
  </conditionalFormatting>
  <conditionalFormatting sqref="AK95:BP95">
    <cfRule type="expression" dxfId="354" priority="125">
      <formula>AND($M95&lt;&gt;"",AK95&lt;$M95)</formula>
    </cfRule>
    <cfRule type="expression" dxfId="353" priority="126">
      <formula>AND($L95&lt;&gt;"",AK95&gt;$L95)</formula>
    </cfRule>
  </conditionalFormatting>
  <conditionalFormatting sqref="AK96:BP98">
    <cfRule type="expression" dxfId="352" priority="84">
      <formula>AND($M96&lt;&gt;"",$AK96&lt;&gt;"",AK96&lt;$M96)</formula>
    </cfRule>
    <cfRule type="expression" dxfId="351" priority="85">
      <formula>AND($L96&lt;&gt;"",$AK96&lt;&gt;"",AK96&gt;$L96)</formula>
    </cfRule>
  </conditionalFormatting>
  <conditionalFormatting sqref="AL5">
    <cfRule type="expression" dxfId="350" priority="17">
      <formula>BY11="TRUE"</formula>
    </cfRule>
  </conditionalFormatting>
  <conditionalFormatting sqref="AM5">
    <cfRule type="expression" dxfId="349" priority="16">
      <formula>BY12="TRUE"</formula>
    </cfRule>
  </conditionalFormatting>
  <conditionalFormatting sqref="AN5">
    <cfRule type="expression" dxfId="348" priority="15">
      <formula>BY13="TRUE"</formula>
    </cfRule>
  </conditionalFormatting>
  <conditionalFormatting sqref="AO5">
    <cfRule type="expression" dxfId="347" priority="14">
      <formula>BY14="TRUE"</formula>
    </cfRule>
  </conditionalFormatting>
  <conditionalFormatting sqref="AP5">
    <cfRule type="expression" dxfId="346" priority="13">
      <formula>BY15="TRUE"</formula>
    </cfRule>
  </conditionalFormatting>
  <conditionalFormatting sqref="AQ5">
    <cfRule type="expression" dxfId="345" priority="12">
      <formula>BY16="TRUE"</formula>
    </cfRule>
  </conditionalFormatting>
  <conditionalFormatting sqref="AR5">
    <cfRule type="expression" dxfId="344" priority="11">
      <formula>BY17="TRUE"</formula>
    </cfRule>
  </conditionalFormatting>
  <conditionalFormatting sqref="AS5">
    <cfRule type="expression" dxfId="343" priority="10">
      <formula>BY18="TRUE"</formula>
    </cfRule>
  </conditionalFormatting>
  <conditionalFormatting sqref="AT5">
    <cfRule type="expression" dxfId="342" priority="9">
      <formula>BY19="TRUE"</formula>
    </cfRule>
  </conditionalFormatting>
  <conditionalFormatting sqref="AU5">
    <cfRule type="expression" dxfId="341" priority="8">
      <formula>BY20="TRUE"</formula>
    </cfRule>
  </conditionalFormatting>
  <conditionalFormatting sqref="AV5">
    <cfRule type="expression" dxfId="340" priority="7">
      <formula>BY21="TRUE"</formula>
    </cfRule>
  </conditionalFormatting>
  <conditionalFormatting sqref="AW5">
    <cfRule type="expression" dxfId="339" priority="6">
      <formula>BY22="TRUE"</formula>
    </cfRule>
  </conditionalFormatting>
  <conditionalFormatting sqref="AX5">
    <cfRule type="expression" dxfId="338" priority="5">
      <formula>BY23="TRUE"</formula>
    </cfRule>
  </conditionalFormatting>
  <conditionalFormatting sqref="AY5">
    <cfRule type="expression" dxfId="337" priority="4">
      <formula>BY24="TRUE"</formula>
    </cfRule>
  </conditionalFormatting>
  <conditionalFormatting sqref="AZ5">
    <cfRule type="expression" dxfId="336" priority="3">
      <formula>BY25="TRUE"</formula>
    </cfRule>
  </conditionalFormatting>
  <conditionalFormatting sqref="BA5">
    <cfRule type="expression" dxfId="335" priority="2">
      <formula>BY26="TRUE"</formula>
    </cfRule>
  </conditionalFormatting>
  <conditionalFormatting sqref="AK5">
    <cfRule type="expression" dxfId="334" priority="1">
      <formula>BY10="TRUE"</formula>
    </cfRule>
  </conditionalFormatting>
  <dataValidations count="3">
    <dataValidation type="list" allowBlank="1" showInputMessage="1" showErrorMessage="1" sqref="K11:K157" xr:uid="{5D50A40E-1B08-4742-A58F-152B275DBA16}">
      <formula1>gauging</formula1>
    </dataValidation>
    <dataValidation type="list" allowBlank="1" showInputMessage="1" showErrorMessage="1" sqref="F11:F157" xr:uid="{D79E92E5-96A5-4A26-8273-6808F1DBE1B6}">
      <formula1>dim_type</formula1>
    </dataValidation>
    <dataValidation type="list" allowBlank="1" showInputMessage="1" showErrorMessage="1" sqref="J11:J157" xr:uid="{7136510F-6F74-449D-9683-5E6FA66A40CD}">
      <formula1>insp_meth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EDB242"/>
  <sheetViews>
    <sheetView showGridLines="0" zoomScale="55" zoomScaleNormal="55" zoomScalePageLayoutView="125" workbookViewId="0">
      <pane xSplit="14" ySplit="10" topLeftCell="O11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6 1040:2031 2052:3057 3118:3454" s="1" customFormat="1" ht="21.95" customHeight="1">
      <c r="A1" s="172" t="s">
        <v>200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5"/>
      <c r="AG1" s="35"/>
      <c r="AH1" s="35"/>
      <c r="AI1" s="35"/>
      <c r="AJ1" s="11"/>
    </row>
    <row r="2" spans="1:1016 1040:2031 2052:3057 3118:3454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16 1040:2031 2052:3057 3118:345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6 1040:2031 2052:3057 3118:3454" s="1" customFormat="1" ht="18.75" customHeight="1">
      <c r="B4" s="174" t="s">
        <v>14</v>
      </c>
      <c r="C4" s="175"/>
      <c r="D4" s="12" t="s">
        <v>239</v>
      </c>
      <c r="E4" s="33"/>
      <c r="F4" s="176" t="s">
        <v>15</v>
      </c>
      <c r="G4" s="177"/>
      <c r="H4" s="211" t="s">
        <v>94</v>
      </c>
      <c r="I4" s="209"/>
      <c r="J4" s="209"/>
      <c r="K4" s="209"/>
      <c r="L4" s="209"/>
      <c r="M4" s="210"/>
      <c r="N4" s="34"/>
      <c r="O4" s="174" t="s">
        <v>53</v>
      </c>
      <c r="P4" s="181"/>
      <c r="Q4" s="175"/>
      <c r="R4" s="182" t="s">
        <v>327</v>
      </c>
      <c r="S4" s="183"/>
      <c r="T4" s="183"/>
      <c r="U4" s="183"/>
      <c r="V4" s="183"/>
      <c r="W4" s="18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6 1040:2031 2052:3057 3118:3454" s="1" customFormat="1" ht="18.75" customHeight="1">
      <c r="B5" s="174" t="s">
        <v>16</v>
      </c>
      <c r="C5" s="175"/>
      <c r="D5" s="12" t="s">
        <v>229</v>
      </c>
      <c r="E5" s="33"/>
      <c r="F5" s="176" t="s">
        <v>17</v>
      </c>
      <c r="G5" s="177"/>
      <c r="H5" s="208" t="s">
        <v>206</v>
      </c>
      <c r="I5" s="209"/>
      <c r="J5" s="209"/>
      <c r="K5" s="209"/>
      <c r="L5" s="209"/>
      <c r="M5" s="210"/>
      <c r="N5" s="34"/>
      <c r="O5" s="174" t="s">
        <v>36</v>
      </c>
      <c r="P5" s="181"/>
      <c r="Q5" s="175"/>
      <c r="R5" s="185"/>
      <c r="S5" s="183"/>
      <c r="T5" s="183"/>
      <c r="U5" s="183"/>
      <c r="V5" s="183"/>
      <c r="W5" s="18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6 1040:2031 2052:3057 3118:3454" s="1" customFormat="1" ht="18.75" customHeight="1">
      <c r="B6" s="174" t="s">
        <v>18</v>
      </c>
      <c r="C6" s="175"/>
      <c r="D6" s="79" t="s">
        <v>238</v>
      </c>
      <c r="E6" s="33"/>
      <c r="F6" s="176" t="s">
        <v>29</v>
      </c>
      <c r="G6" s="177"/>
      <c r="H6" s="208" t="s">
        <v>326</v>
      </c>
      <c r="I6" s="209"/>
      <c r="J6" s="209"/>
      <c r="K6" s="209"/>
      <c r="L6" s="209"/>
      <c r="M6" s="210"/>
      <c r="N6" s="34"/>
      <c r="O6" s="174" t="s">
        <v>35</v>
      </c>
      <c r="P6" s="181"/>
      <c r="Q6" s="175"/>
      <c r="R6" s="185" t="s">
        <v>237</v>
      </c>
      <c r="S6" s="183"/>
      <c r="T6" s="183"/>
      <c r="U6" s="183"/>
      <c r="V6" s="183"/>
      <c r="W6" s="18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6 1040:2031 2052:3057 3118:345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6 1040:2031 2052:3057 3118:3454" s="17" customFormat="1" ht="15" customHeight="1">
      <c r="A8" s="26"/>
      <c r="B8" s="188" t="s">
        <v>19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6"/>
      <c r="O8" s="188" t="s">
        <v>25</v>
      </c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0"/>
      <c r="AG8" s="191" t="s">
        <v>46</v>
      </c>
      <c r="AH8" s="191"/>
      <c r="AI8" s="191"/>
      <c r="AJ8" s="26"/>
      <c r="AK8" s="202" t="s">
        <v>233</v>
      </c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R8" s="206"/>
      <c r="BS8" s="206"/>
      <c r="BT8" s="206"/>
      <c r="BU8" s="206"/>
      <c r="BV8" s="206"/>
      <c r="BW8" s="206"/>
      <c r="BX8" s="199" t="s">
        <v>323</v>
      </c>
    </row>
    <row r="9" spans="1:1016 1040:2031 2052:3057 3118:3454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97" t="s">
        <v>50</v>
      </c>
      <c r="AA9" s="198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204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R9" s="207"/>
      <c r="BS9" s="207"/>
      <c r="BT9" s="207"/>
      <c r="BU9" s="207"/>
      <c r="BV9" s="207"/>
      <c r="BW9" s="207"/>
      <c r="BX9" s="200"/>
    </row>
    <row r="10" spans="1:1016 1040:2031 2052:3057 3118:3454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1"/>
    </row>
    <row r="11" spans="1:1016 1040:2031 2052:3057 3118:3454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>IF(AND(G11="",H11=""),"",IF(G11="",H11,G11+H11))</f>
        <v>#VALUE!</v>
      </c>
      <c r="M11" s="25" t="e">
        <f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0">IF(OR($AK11="",ISNUMBER($AK11)=FALSE),"",IF(AND($F11="Tolerance",$G11&lt;&gt;""),($Q11-$G11)/(($L11-$M11)/2),IF(AND($F11="GD&amp;T",$H11&lt;&gt;""),$Q11/$H11,"")))</f>
        <v>#REF!</v>
      </c>
      <c r="U11" s="76" t="e">
        <f t="shared" ref="U11:U193" si="1"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0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83" si="2">IF(OR($S11&gt;$AC$9,$R11=""),"",$AC$9*6*$R11)</f>
        <v>#REF!</v>
      </c>
      <c r="AD11" s="30"/>
      <c r="AE11" s="21" t="str">
        <f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M11" s="78"/>
      <c r="JN11" s="78"/>
      <c r="AFX11" s="78"/>
      <c r="BFH11" s="78"/>
      <c r="BJX11" s="78"/>
      <c r="BPA11" s="78"/>
      <c r="BPV11" s="78"/>
      <c r="BRV11" s="78"/>
      <c r="BSB11" s="78"/>
      <c r="BUM11" s="78"/>
      <c r="BWA11" s="78"/>
      <c r="BWI11" s="78"/>
      <c r="BZC11" s="78"/>
      <c r="BZX11" s="78"/>
      <c r="DHR11" s="78"/>
      <c r="DIV11" s="78"/>
      <c r="DOX11" s="78"/>
      <c r="EBV11" s="78"/>
    </row>
    <row r="12" spans="1:1016 1040:2031 2052:3057 3118:3454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>IF(AND(G12="",H12=""),"",IF(G12="",H12,G12+H12))</f>
        <v>#VALUE!</v>
      </c>
      <c r="M12" s="25" t="e">
        <f>IF(AND(G12="",I12=""),"",IF(G12="",I12,G12+I12))</f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3">IF(OR($AK12="",ISNUMBER($AK12)=FALSE),"",IF(AND(G12=0,I12=""),V12,IF(AND(G12="",H12=""),W12,(H12+ABS(I12))/(6*R12))))</f>
        <v>#REF!</v>
      </c>
      <c r="T12" s="76" t="e">
        <f t="shared" si="0"/>
        <v>#REF!</v>
      </c>
      <c r="U12" s="76" t="e">
        <f t="shared" si="1"/>
        <v>#REF!</v>
      </c>
      <c r="V12" s="5" t="e">
        <f t="shared" ref="V12:V84" si="4">IF(OR($AK12="",ISNUMBER($AK12)=FALSE),"",IF(H12="","",(L12-Q12)/(3*R12)))</f>
        <v>#REF!</v>
      </c>
      <c r="W12" s="5" t="e">
        <f t="shared" ref="W12:W84" si="5">IF(OR($AK12="",ISNUMBER($AK12)=FALSE),"",IF(I12="","",(Q12-M12)/(3*R12)))</f>
        <v>#REF!</v>
      </c>
      <c r="X12" s="5" t="e">
        <f t="shared" ref="X12:X84" si="6">IF(OR($AK12="",ISNUMBER($AK12)=FALSE),"",IF(AND(G12=0,I12=0),((H12)-(Q12))/(3*R12),MIN(V12:W12)))</f>
        <v>#REF!</v>
      </c>
      <c r="Y12" s="70" t="e">
        <f t="shared" ref="Y12:Y84" si="7">IF(OR($AK12="",ISNUMBER($AK12)=FALSE),"",IF(AND(G12=0,I12=0),NORMSDIST(3*X12),NORMSDIST(3*X12)+NORMSDIST(6*S12-3*X12)-1))</f>
        <v>#REF!</v>
      </c>
      <c r="Z12" s="32" t="e">
        <f>IF($Q12="","",IF(F12="Tolerance",IF(($E12*3*R12+Q12)-G12&lt;H12,"",($E12*3*R12+Q12)-G12),IF(OR(F12="GD&amp;T",F12="MAX"),IF(($E12*3*R12+Q12)&lt;H12,"",($E12*3*R12+Q12)),"")))</f>
        <v>#REF!</v>
      </c>
      <c r="AA12" s="32" t="e">
        <f>IF(Q12="","",IF(F12="Tolerance",IF(-(($E12*3*R12)-Q12)-G12&gt;I12,"",-(($E12*3*R12)-Q12)-G12),IF(F12="MIN",IF(-(($E12*3*R12)-Q12)&gt;I12,"",-(($E12*3*R12)-Q12)),"")))</f>
        <v>#REF!</v>
      </c>
      <c r="AB12" s="32" t="e">
        <f>IF(OR(G12="",Q12=""),"",(L12+M12)/2-Q12)</f>
        <v>#REF!</v>
      </c>
      <c r="AC12" s="32" t="e">
        <f t="shared" si="2"/>
        <v>#REF!</v>
      </c>
      <c r="AD12" s="30"/>
      <c r="AE12" s="21" t="str">
        <f>IF(AD12="","",IF(AD12&gt;=0.966,"Normal","Not Normal"))</f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8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9">IF(OR($AK12="",ISNUMBER($AK12)=FALSE),"",MAX(AK12:BP12))</f>
        <v>#REF!</v>
      </c>
      <c r="BV12" s="3" t="e">
        <f t="shared" ref="BV12:BV90" si="10">IF(OR($AK12="",ISNUMBER($AK12)=FALSE),"",MIN(AK12:BP12))</f>
        <v>#REF!</v>
      </c>
      <c r="BW12" s="3" t="e">
        <f t="shared" ref="BW12:BW90" si="11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R12" s="78"/>
      <c r="KV12" s="78"/>
      <c r="QK12" s="78"/>
      <c r="TJ12" s="78"/>
      <c r="ABC12" s="78"/>
      <c r="ABQ12" s="78"/>
      <c r="ALZ12" s="78"/>
      <c r="AMZ12" s="78"/>
      <c r="AQI12" s="78"/>
      <c r="ARN12" s="78"/>
      <c r="AVC12" s="78"/>
      <c r="BAI12" s="78"/>
      <c r="BAS12" s="78"/>
      <c r="BGU12" s="78"/>
      <c r="BJI12" s="78"/>
      <c r="BOT12" s="78"/>
      <c r="BSM12" s="78"/>
      <c r="BTB12" s="78"/>
      <c r="BVQ12" s="78"/>
      <c r="BVV12" s="78"/>
      <c r="BWF12" s="78"/>
      <c r="BXV12" s="78"/>
      <c r="CCV12" s="78"/>
      <c r="CES12" s="78"/>
      <c r="CFK12" s="78"/>
      <c r="CFL12" s="78"/>
      <c r="CKH12" s="78"/>
      <c r="CMI12" s="78"/>
      <c r="COF12" s="78"/>
      <c r="CPV12" s="78"/>
      <c r="CQY12" s="78"/>
      <c r="CRT12" s="78"/>
      <c r="CTM12" s="78"/>
      <c r="CZJ12" s="78"/>
      <c r="DDC12" s="78"/>
      <c r="DEN12" s="78"/>
      <c r="DHX12" s="78"/>
      <c r="DIG12" s="78"/>
      <c r="DMO12" s="78"/>
      <c r="DSO12" s="78"/>
      <c r="DSP12" s="78"/>
      <c r="DVF12" s="78"/>
      <c r="EBP12" s="78"/>
    </row>
    <row r="13" spans="1:1016 1040:2031 2052:3057 3118:3454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>IF(AND(G13="",H13=""),"",IF(G13="",H13,G13+H13))</f>
        <v>#VALUE!</v>
      </c>
      <c r="M13" s="25" t="e">
        <f>IF(AND(G13="",I13=""),"",IF(G13="",I13,G13+I13))</f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3"/>
        <v>#REF!</v>
      </c>
      <c r="T13" s="76" t="e">
        <f t="shared" si="0"/>
        <v>#REF!</v>
      </c>
      <c r="U13" s="76" t="e">
        <f t="shared" si="1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>IF($Q13="","",IF(F13="Tolerance",IF(($E13*3*R13+Q13)-G13&lt;H13,"",($E13*3*R13+Q13)-G13),IF(OR(F13="GD&amp;T",F13="MAX"),IF(($E13*3*R13+Q13)&lt;H13,"",($E13*3*R13+Q13)),"")))</f>
        <v>#REF!</v>
      </c>
      <c r="AA13" s="32" t="e">
        <f>IF(Q13="","",IF(F13="Tolerance",IF(-(($E13*3*R13)-Q13)-G13&gt;I13,"",-(($E13*3*R13)-Q13)-G13),IF(F13="MIN",IF(-(($E13*3*R13)-Q13)&gt;I13,"",-(($E13*3*R13)-Q13)),"")))</f>
        <v>#REF!</v>
      </c>
      <c r="AB13" s="32" t="e">
        <f>IF(OR(G13="",Q13=""),"",(L13+M13)/2-Q13)</f>
        <v>#REF!</v>
      </c>
      <c r="AC13" s="32" t="e">
        <f t="shared" si="2"/>
        <v>#REF!</v>
      </c>
      <c r="AD13" s="30"/>
      <c r="AE13" s="21" t="str">
        <f>IF(AD13="","",IF(AD13&gt;=0.966,"Normal","Not Normal"))</f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8"/>
        <v>3-3</v>
      </c>
      <c r="BS13" s="112">
        <f>OOC!G13</f>
        <v>0.51</v>
      </c>
      <c r="BT13" s="112">
        <f>OOC!H13</f>
        <v>0.49</v>
      </c>
      <c r="BU13" s="3" t="e">
        <f t="shared" si="9"/>
        <v>#REF!</v>
      </c>
      <c r="BV13" s="3" t="e">
        <f t="shared" si="10"/>
        <v>#REF!</v>
      </c>
      <c r="BW13" s="3" t="e">
        <f t="shared" si="11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I13" s="78"/>
      <c r="DO13" s="78"/>
      <c r="ER13" s="78"/>
      <c r="EY13" s="78"/>
      <c r="FJ13" s="78"/>
      <c r="FV13" s="78"/>
      <c r="UG13" s="78"/>
      <c r="XL13" s="78"/>
      <c r="YM13" s="78"/>
      <c r="ABC13" s="78"/>
      <c r="AKU13" s="78"/>
      <c r="BJI13" s="78"/>
      <c r="BKI13" s="78"/>
      <c r="BMW13" s="78"/>
      <c r="BOV13" s="78"/>
      <c r="BOY13" s="78"/>
      <c r="BPF13" s="78"/>
      <c r="BTB13" s="78"/>
      <c r="BVV13" s="78"/>
      <c r="BYC13" s="78"/>
      <c r="CFL13" s="78"/>
      <c r="CKL13" s="78"/>
      <c r="COB13" s="78"/>
      <c r="COF13" s="78"/>
      <c r="CPS13" s="78"/>
      <c r="CQC13" s="78"/>
      <c r="CQN13" s="78"/>
      <c r="CXP13" s="78"/>
      <c r="CZJ13" s="78"/>
      <c r="DDC13" s="78"/>
      <c r="DGG13" s="78"/>
      <c r="DGT13" s="78"/>
      <c r="DGU13" s="78"/>
      <c r="DHR13" s="78"/>
      <c r="DII13" s="78"/>
      <c r="DSP13" s="78"/>
      <c r="DTZ13" s="78"/>
    </row>
    <row r="14" spans="1:1016 1040:2031 2052:3057 3118:3454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>IF(AND(G14="",H14=""),"",IF(G14="",H14,G14+H14))</f>
        <v/>
      </c>
      <c r="M14" s="25" t="str">
        <f>IF(AND(G14="",I14=""),"",IF(G14="",I14,G14+I14))</f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3"/>
        <v>#REF!</v>
      </c>
      <c r="T14" s="76" t="e">
        <f t="shared" si="0"/>
        <v>#REF!</v>
      </c>
      <c r="U14" s="76" t="e">
        <f t="shared" si="1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>IF($Q14="","",IF(F14="Tolerance",IF(($E14*3*R14+Q14)-G14&lt;H14,"",($E14*3*R14+Q14)-G14),IF(OR(F14="GD&amp;T",F14="MAX"),IF(($E14*3*R14+Q14)&lt;H14,"",($E14*3*R14+Q14)),"")))</f>
        <v>#REF!</v>
      </c>
      <c r="AA14" s="32" t="e">
        <f>IF(Q14="","",IF(F14="Tolerance",IF(-(($E14*3*R14)-Q14)-G14&gt;I14,"",-(($E14*3*R14)-Q14)-G14),IF(F14="MIN",IF(-(($E14*3*R14)-Q14)&gt;I14,"",-(($E14*3*R14)-Q14)),"")))</f>
        <v>#REF!</v>
      </c>
      <c r="AB14" s="32" t="e">
        <f>IF(OR(G14="",Q14=""),"",(L14+M14)/2-Q14)</f>
        <v>#REF!</v>
      </c>
      <c r="AC14" s="32" t="e">
        <f t="shared" si="2"/>
        <v>#REF!</v>
      </c>
      <c r="AD14" s="30"/>
      <c r="AE14" s="21" t="str">
        <f>IF(AD14="","",IF(AD14&gt;=0.966,"Normal","Not Normal"))</f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8"/>
        <v>4</v>
      </c>
      <c r="BS14" s="112">
        <f>OOC!G14</f>
        <v>0.02</v>
      </c>
      <c r="BT14" s="112" t="str">
        <f>OOC!H14</f>
        <v/>
      </c>
      <c r="BU14" s="3" t="e">
        <f t="shared" si="9"/>
        <v>#REF!</v>
      </c>
      <c r="BV14" s="3" t="e">
        <f t="shared" si="10"/>
        <v>#REF!</v>
      </c>
      <c r="BW14" s="3" t="e">
        <f t="shared" si="11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H14" s="78"/>
      <c r="FL14" s="78"/>
      <c r="GT14" s="78"/>
      <c r="JN14" s="78"/>
      <c r="NH14" s="78"/>
      <c r="PK14" s="78"/>
      <c r="SM14" s="78"/>
      <c r="AKM14" s="78"/>
      <c r="AOJ14" s="78"/>
      <c r="AXH14" s="78"/>
      <c r="BLV14" s="78"/>
      <c r="BON14" s="78"/>
      <c r="BPX14" s="78"/>
      <c r="BSM14" s="78"/>
      <c r="BUM14" s="78"/>
      <c r="CCR14" s="78"/>
      <c r="CHE14" s="78"/>
      <c r="CJT14" s="78"/>
      <c r="COK14" s="78"/>
      <c r="CZN14" s="78"/>
      <c r="DSW14" s="78"/>
    </row>
    <row r="15" spans="1:1016 1040:2031 2052:3057 3118:3454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>IF(AND(G15="",H15=""),"",IF(G15="",H15,G15+H15))</f>
        <v/>
      </c>
      <c r="M15" s="25" t="str">
        <f>IF(AND(G15="",I15=""),"",IF(G15="",I15,G15+I15))</f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3"/>
        <v>#REF!</v>
      </c>
      <c r="T15" s="76" t="e">
        <f t="shared" si="0"/>
        <v>#REF!</v>
      </c>
      <c r="U15" s="76" t="e">
        <f t="shared" si="1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>IF($Q15="","",IF(F15="Tolerance",IF(($E15*3*R15+Q15)-G15&lt;H15,"",($E15*3*R15+Q15)-G15),IF(OR(F15="GD&amp;T",F15="MAX"),IF(($E15*3*R15+Q15)&lt;H15,"",($E15*3*R15+Q15)),"")))</f>
        <v>#REF!</v>
      </c>
      <c r="AA15" s="32" t="e">
        <f>IF(Q15="","",IF(F15="Tolerance",IF(-(($E15*3*R15)-Q15)-G15&gt;I15,"",-(($E15*3*R15)-Q15)-G15),IF(F15="MIN",IF(-(($E15*3*R15)-Q15)&gt;I15,"",-(($E15*3*R15)-Q15)),"")))</f>
        <v>#REF!</v>
      </c>
      <c r="AB15" s="32" t="e">
        <f>IF(OR(G15="",Q15=""),"",(L15+M15)/2-Q15)</f>
        <v>#REF!</v>
      </c>
      <c r="AC15" s="32" t="e">
        <f t="shared" si="2"/>
        <v>#REF!</v>
      </c>
      <c r="AD15" s="30"/>
      <c r="AE15" s="21" t="str">
        <f>IF(AD15="","",IF(AD15&gt;=0.966,"Normal","Not Normal"))</f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8"/>
        <v>5</v>
      </c>
      <c r="BS15" s="112">
        <f>OOC!G15</f>
        <v>2.5000000000000001E-2</v>
      </c>
      <c r="BT15" s="112" t="str">
        <f>OOC!H15</f>
        <v/>
      </c>
      <c r="BU15" s="3" t="e">
        <f t="shared" si="9"/>
        <v>#REF!</v>
      </c>
      <c r="BV15" s="3" t="e">
        <f t="shared" si="10"/>
        <v>#REF!</v>
      </c>
      <c r="BW15" s="3" t="e">
        <f t="shared" si="11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S15" s="78"/>
      <c r="FU15" s="78"/>
      <c r="HI15" s="78"/>
      <c r="NC15" s="78"/>
      <c r="NP15" s="78"/>
      <c r="QF15" s="78"/>
      <c r="WW15" s="78"/>
      <c r="XW15" s="78"/>
      <c r="AAG15" s="78"/>
      <c r="ABQ15" s="78"/>
      <c r="ACE15" s="78"/>
      <c r="ADL15" s="78"/>
      <c r="AHO15" s="78"/>
      <c r="AJE15" s="78"/>
      <c r="ALB15" s="78"/>
      <c r="AMB15" s="78"/>
      <c r="ANQ15" s="78"/>
      <c r="AOO15" s="78"/>
      <c r="AOS15" s="78"/>
      <c r="API15" s="78"/>
      <c r="APP15" s="78"/>
      <c r="APQ15" s="78"/>
      <c r="AQS15" s="78"/>
      <c r="ATD15" s="78"/>
      <c r="AZC15" s="78"/>
      <c r="BBE15" s="78"/>
      <c r="BCE15" s="78"/>
      <c r="BDW15" s="78"/>
      <c r="BER15" s="78"/>
      <c r="BQY15" s="78"/>
      <c r="BSX15" s="78"/>
      <c r="CEN15" s="78"/>
      <c r="CFK15" s="78"/>
      <c r="CKX15" s="78"/>
      <c r="CWI15" s="78"/>
      <c r="DLW15" s="78"/>
      <c r="DSE15" s="78"/>
      <c r="DSP15" s="78"/>
      <c r="DTO15" s="78"/>
      <c r="DUR15" s="78"/>
    </row>
    <row r="16" spans="1:1016 1040:2031 2052:3057 3118:3454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S16" s="78"/>
      <c r="FU16" s="78"/>
      <c r="HI16" s="78"/>
      <c r="NC16" s="78"/>
      <c r="NP16" s="78"/>
      <c r="QF16" s="78"/>
      <c r="WW16" s="78"/>
      <c r="XW16" s="78"/>
      <c r="AAG16" s="78"/>
      <c r="ABQ16" s="78"/>
      <c r="ACE16" s="78"/>
      <c r="ADL16" s="78"/>
      <c r="AHO16" s="78"/>
      <c r="AJE16" s="78"/>
      <c r="ALB16" s="78"/>
      <c r="AMB16" s="78"/>
      <c r="ANQ16" s="78"/>
      <c r="AOO16" s="78"/>
      <c r="AOS16" s="78"/>
      <c r="API16" s="78"/>
      <c r="APP16" s="78"/>
      <c r="APQ16" s="78"/>
      <c r="AQS16" s="78"/>
      <c r="ATD16" s="78"/>
      <c r="AZC16" s="78"/>
      <c r="BBE16" s="78"/>
      <c r="BCE16" s="78"/>
      <c r="BDW16" s="78"/>
      <c r="BER16" s="78"/>
      <c r="BQY16" s="78"/>
      <c r="BSX16" s="78"/>
      <c r="CEN16" s="78"/>
      <c r="CFK16" s="78"/>
      <c r="CKX16" s="78"/>
      <c r="CWI16" s="78"/>
      <c r="DLW16" s="78"/>
      <c r="DSE16" s="78"/>
      <c r="DSP16" s="78"/>
      <c r="DTO16" s="78"/>
      <c r="DUR16" s="78"/>
    </row>
    <row r="17" spans="1:1018 1036:2005 2049:3039 3088:3485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S17" s="78"/>
      <c r="FU17" s="78"/>
      <c r="HI17" s="78"/>
      <c r="NC17" s="78"/>
      <c r="NP17" s="78"/>
      <c r="QF17" s="78"/>
      <c r="WW17" s="78"/>
      <c r="XW17" s="78"/>
      <c r="AAG17" s="78"/>
      <c r="ABQ17" s="78"/>
      <c r="ACE17" s="78"/>
      <c r="ADL17" s="78"/>
      <c r="AHO17" s="78"/>
      <c r="AJE17" s="78"/>
      <c r="ALB17" s="78"/>
      <c r="AMB17" s="78"/>
      <c r="ANQ17" s="78"/>
      <c r="AOO17" s="78"/>
      <c r="AOS17" s="78"/>
      <c r="API17" s="78"/>
      <c r="APP17" s="78"/>
      <c r="APQ17" s="78"/>
      <c r="AQS17" s="78"/>
      <c r="ATD17" s="78"/>
      <c r="AZC17" s="78"/>
      <c r="BBE17" s="78"/>
      <c r="BCE17" s="78"/>
      <c r="BDW17" s="78"/>
      <c r="BER17" s="78"/>
      <c r="BQY17" s="78"/>
      <c r="BSX17" s="78"/>
      <c r="CEN17" s="78"/>
      <c r="CFK17" s="78"/>
      <c r="CKX17" s="78"/>
      <c r="CWI17" s="78"/>
      <c r="DLW17" s="78"/>
      <c r="DSE17" s="78"/>
      <c r="DSP17" s="78"/>
      <c r="DTO17" s="78"/>
      <c r="DUR17" s="78"/>
    </row>
    <row r="18" spans="1:1018 1036:2005 2049:3039 3088:3485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S18" s="78"/>
      <c r="FU18" s="78"/>
      <c r="HI18" s="78"/>
      <c r="NC18" s="78"/>
      <c r="NP18" s="78"/>
      <c r="QF18" s="78"/>
      <c r="WW18" s="78"/>
      <c r="XW18" s="78"/>
      <c r="AAG18" s="78"/>
      <c r="ABQ18" s="78"/>
      <c r="ACE18" s="78"/>
      <c r="ADL18" s="78"/>
      <c r="AHO18" s="78"/>
      <c r="AJE18" s="78"/>
      <c r="ALB18" s="78"/>
      <c r="AMB18" s="78"/>
      <c r="ANQ18" s="78"/>
      <c r="AOO18" s="78"/>
      <c r="AOS18" s="78"/>
      <c r="API18" s="78"/>
      <c r="APP18" s="78"/>
      <c r="APQ18" s="78"/>
      <c r="AQS18" s="78"/>
      <c r="ATD18" s="78"/>
      <c r="AZC18" s="78"/>
      <c r="BBE18" s="78"/>
      <c r="BCE18" s="78"/>
      <c r="BDW18" s="78"/>
      <c r="BER18" s="78"/>
      <c r="BQY18" s="78"/>
      <c r="BSX18" s="78"/>
      <c r="CEN18" s="78"/>
      <c r="CFK18" s="78"/>
      <c r="CKX18" s="78"/>
      <c r="CWI18" s="78"/>
      <c r="DLW18" s="78"/>
      <c r="DSE18" s="78"/>
      <c r="DSP18" s="78"/>
      <c r="DTO18" s="78"/>
      <c r="DUR18" s="78"/>
    </row>
    <row r="19" spans="1:1018 1036:2005 2049:3039 3088:3485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S19" s="78"/>
      <c r="FU19" s="78"/>
      <c r="HI19" s="78"/>
      <c r="NC19" s="78"/>
      <c r="NP19" s="78"/>
      <c r="QF19" s="78"/>
      <c r="WW19" s="78"/>
      <c r="XW19" s="78"/>
      <c r="AAG19" s="78"/>
      <c r="ABQ19" s="78"/>
      <c r="ACE19" s="78"/>
      <c r="ADL19" s="78"/>
      <c r="AHO19" s="78"/>
      <c r="AJE19" s="78"/>
      <c r="ALB19" s="78"/>
      <c r="AMB19" s="78"/>
      <c r="ANQ19" s="78"/>
      <c r="AOO19" s="78"/>
      <c r="AOS19" s="78"/>
      <c r="API19" s="78"/>
      <c r="APP19" s="78"/>
      <c r="APQ19" s="78"/>
      <c r="AQS19" s="78"/>
      <c r="ATD19" s="78"/>
      <c r="AZC19" s="78"/>
      <c r="BBE19" s="78"/>
      <c r="BCE19" s="78"/>
      <c r="BDW19" s="78"/>
      <c r="BER19" s="78"/>
      <c r="BQY19" s="78"/>
      <c r="BSX19" s="78"/>
      <c r="CEN19" s="78"/>
      <c r="CFK19" s="78"/>
      <c r="CKX19" s="78"/>
      <c r="CWI19" s="78"/>
      <c r="DLW19" s="78"/>
      <c r="DSE19" s="78"/>
      <c r="DSP19" s="78"/>
      <c r="DTO19" s="78"/>
      <c r="DUR19" s="78"/>
    </row>
    <row r="20" spans="1:1018 1036:2005 2049:3039 3088:3485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>IF(AND(G20="",H20=""),"",IF(G20="",H20,G20+H20))</f>
        <v/>
      </c>
      <c r="M20" s="25" t="str">
        <f>IF(AND(G20="",I20=""),"",IF(G20="",I20,G20+I20))</f>
        <v/>
      </c>
      <c r="N20" s="28"/>
      <c r="O20" s="3" t="e">
        <f t="shared" ref="O20:O92" si="12">IF(OR($AK20="",ISNUMBER($AK20)=FALSE),"",MAX(AK20:BP20))</f>
        <v>#REF!</v>
      </c>
      <c r="P20" s="3" t="e">
        <f t="shared" ref="P20:P92" si="13">IF(OR($AK20="",ISNUMBER($AK20)=FALSE),"",MIN(AK20:BP20))</f>
        <v>#REF!</v>
      </c>
      <c r="Q20" s="3" t="e">
        <f t="shared" ref="Q20:Q92" si="14">IF(OR($AK20="",ISNUMBER($AK20)=FALSE),"",AVERAGE(AK20:BP20))</f>
        <v>#REF!</v>
      </c>
      <c r="R20" s="4" t="e">
        <f t="shared" ref="R20:R92" si="15">IF(OR($AK20="",ISNUMBER($AK20)=FALSE),"",STDEV(AK20:BP20))</f>
        <v>#REF!</v>
      </c>
      <c r="S20" s="5" t="e">
        <f t="shared" si="3"/>
        <v>#REF!</v>
      </c>
      <c r="T20" s="76" t="e">
        <f t="shared" si="0"/>
        <v>#REF!</v>
      </c>
      <c r="U20" s="76" t="e">
        <f t="shared" si="1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>IF($Q20="","",IF(F20="Tolerance",IF(($E20*3*R20+Q20)-G20&lt;H20,"",($E20*3*R20+Q20)-G20),IF(OR(F20="GD&amp;T",F20="MAX"),IF(($E20*3*R20+Q20)&lt;H20,"",($E20*3*R20+Q20)),"")))</f>
        <v>#REF!</v>
      </c>
      <c r="AA20" s="32" t="e">
        <f>IF(Q20="","",IF(F20="Tolerance",IF(-(($E20*3*R20)-Q20)-G20&gt;I20,"",-(($E20*3*R20)-Q20)-G20),IF(F20="MIN",IF(-(($E20*3*R20)-Q20)&gt;I20,"",-(($E20*3*R20)-Q20)),"")))</f>
        <v>#REF!</v>
      </c>
      <c r="AB20" s="32" t="e">
        <f>IF(OR(G20="",Q20=""),"",(L20+M20)/2-Q20)</f>
        <v>#REF!</v>
      </c>
      <c r="AC20" s="32" t="e">
        <f t="shared" si="2"/>
        <v>#REF!</v>
      </c>
      <c r="AD20" s="30"/>
      <c r="AE20" s="21" t="str">
        <f>IF(AD20="","",IF(AD20&gt;=0.966,"Normal","Not Normal"))</f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8"/>
        <v>6</v>
      </c>
      <c r="BS20" s="112">
        <f>OOC!G20</f>
        <v>0.02</v>
      </c>
      <c r="BT20" s="112" t="str">
        <f>OOC!H20</f>
        <v/>
      </c>
      <c r="BU20" s="3" t="e">
        <f t="shared" si="9"/>
        <v>#REF!</v>
      </c>
      <c r="BV20" s="3" t="e">
        <f t="shared" si="10"/>
        <v>#REF!</v>
      </c>
      <c r="BW20" s="3" t="e">
        <f t="shared" si="11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BY20" s="78"/>
      <c r="IR20" s="78"/>
      <c r="JJ20" s="78"/>
      <c r="AHP20" s="78"/>
      <c r="AOS20" s="78"/>
      <c r="APH20" s="78"/>
      <c r="APO20" s="78"/>
      <c r="ARC20" s="78"/>
      <c r="ASQ20" s="78"/>
      <c r="ATX20" s="78"/>
      <c r="AWL20" s="78"/>
      <c r="AYC20" s="78"/>
      <c r="BCN20" s="78"/>
      <c r="CBW20" s="78"/>
      <c r="CCB20" s="78"/>
      <c r="CHD20" s="78"/>
      <c r="CJX20" s="78"/>
      <c r="CLB20" s="78"/>
      <c r="DAU20" s="78"/>
      <c r="DBU20" s="78"/>
      <c r="DFD20" s="78"/>
      <c r="DQD20" s="78"/>
      <c r="DQS20" s="78"/>
      <c r="DVT20" s="78"/>
      <c r="EDA20" s="78"/>
    </row>
    <row r="21" spans="1:1018 1036:2005 2049:3039 3088:3485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BY21" s="78"/>
      <c r="IR21" s="78"/>
      <c r="JJ21" s="78"/>
      <c r="AHP21" s="78"/>
      <c r="AOS21" s="78"/>
      <c r="APH21" s="78"/>
      <c r="APO21" s="78"/>
      <c r="ARC21" s="78"/>
      <c r="ASQ21" s="78"/>
      <c r="ATX21" s="78"/>
      <c r="AWL21" s="78"/>
      <c r="AYC21" s="78"/>
      <c r="BCN21" s="78"/>
      <c r="CBW21" s="78"/>
      <c r="CCB21" s="78"/>
      <c r="CHD21" s="78"/>
      <c r="CJX21" s="78"/>
      <c r="CLB21" s="78"/>
      <c r="DAU21" s="78"/>
      <c r="DBU21" s="78"/>
      <c r="DFD21" s="78"/>
      <c r="DQD21" s="78"/>
      <c r="DQS21" s="78"/>
      <c r="DVT21" s="78"/>
      <c r="EDA21" s="78"/>
    </row>
    <row r="22" spans="1:1018 1036:2005 2049:3039 3088:3485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BY22" s="78"/>
      <c r="IR22" s="78"/>
      <c r="JJ22" s="78"/>
      <c r="AHP22" s="78"/>
      <c r="AOS22" s="78"/>
      <c r="APH22" s="78"/>
      <c r="APO22" s="78"/>
      <c r="ARC22" s="78"/>
      <c r="ASQ22" s="78"/>
      <c r="ATX22" s="78"/>
      <c r="AWL22" s="78"/>
      <c r="AYC22" s="78"/>
      <c r="BCN22" s="78"/>
      <c r="CBW22" s="78"/>
      <c r="CCB22" s="78"/>
      <c r="CHD22" s="78"/>
      <c r="CJX22" s="78"/>
      <c r="CLB22" s="78"/>
      <c r="DAU22" s="78"/>
      <c r="DBU22" s="78"/>
      <c r="DFD22" s="78"/>
      <c r="DQD22" s="78"/>
      <c r="DQS22" s="78"/>
      <c r="DVT22" s="78"/>
      <c r="EDA22" s="78"/>
    </row>
    <row r="23" spans="1:1018 1036:2005 2049:3039 3088:3485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BY23" s="78"/>
      <c r="IR23" s="78"/>
      <c r="JJ23" s="78"/>
      <c r="AHP23" s="78"/>
      <c r="AOS23" s="78"/>
      <c r="APH23" s="78"/>
      <c r="APO23" s="78"/>
      <c r="ARC23" s="78"/>
      <c r="ASQ23" s="78"/>
      <c r="ATX23" s="78"/>
      <c r="AWL23" s="78"/>
      <c r="AYC23" s="78"/>
      <c r="BCN23" s="78"/>
      <c r="CBW23" s="78"/>
      <c r="CCB23" s="78"/>
      <c r="CHD23" s="78"/>
      <c r="CJX23" s="78"/>
      <c r="CLB23" s="78"/>
      <c r="DAU23" s="78"/>
      <c r="DBU23" s="78"/>
      <c r="DFD23" s="78"/>
      <c r="DQD23" s="78"/>
      <c r="DQS23" s="78"/>
      <c r="DVT23" s="78"/>
      <c r="EDA23" s="78"/>
    </row>
    <row r="24" spans="1:1018 1036:2005 2049:3039 3088:3485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BY24" s="78"/>
      <c r="IR24" s="78"/>
      <c r="JJ24" s="78"/>
      <c r="AHP24" s="78"/>
      <c r="AOS24" s="78"/>
      <c r="APH24" s="78"/>
      <c r="APO24" s="78"/>
      <c r="ARC24" s="78"/>
      <c r="ASQ24" s="78"/>
      <c r="ATX24" s="78"/>
      <c r="AWL24" s="78"/>
      <c r="AYC24" s="78"/>
      <c r="BCN24" s="78"/>
      <c r="CBW24" s="78"/>
      <c r="CCB24" s="78"/>
      <c r="CHD24" s="78"/>
      <c r="CJX24" s="78"/>
      <c r="CLB24" s="78"/>
      <c r="DAU24" s="78"/>
      <c r="DBU24" s="78"/>
      <c r="DFD24" s="78"/>
      <c r="DQD24" s="78"/>
      <c r="DQS24" s="78"/>
      <c r="DVT24" s="78"/>
      <c r="EDA24" s="78"/>
    </row>
    <row r="25" spans="1:1018 1036:2005 2049:3039 3088:3485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ref="L25:L70" si="16">IF(AND(G25="",H25=""),"",IF(G25="",H25,G25+H25))</f>
        <v>#VALUE!</v>
      </c>
      <c r="M25" s="25" t="e">
        <f t="shared" ref="M25:M70" si="17">IF(AND(G25="",I25=""),"",IF(G25="",I25,G25+I25))</f>
        <v>#VALUE!</v>
      </c>
      <c r="N25" s="29"/>
      <c r="O25" s="3" t="e">
        <f t="shared" si="12"/>
        <v>#REF!</v>
      </c>
      <c r="P25" s="3" t="e">
        <f t="shared" si="13"/>
        <v>#REF!</v>
      </c>
      <c r="Q25" s="3" t="e">
        <f t="shared" si="14"/>
        <v>#REF!</v>
      </c>
      <c r="R25" s="4" t="e">
        <f t="shared" si="15"/>
        <v>#REF!</v>
      </c>
      <c r="S25" s="5" t="e">
        <f t="shared" si="3"/>
        <v>#REF!</v>
      </c>
      <c r="T25" s="76" t="e">
        <f t="shared" si="0"/>
        <v>#REF!</v>
      </c>
      <c r="U25" s="76" t="e">
        <f t="shared" si="1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ref="Z25:Z70" si="18">IF($Q25="","",IF(F25="Tolerance",IF(($E25*3*R25+Q25)-G25&lt;H25,"",($E25*3*R25+Q25)-G25),IF(OR(F25="GD&amp;T",F25="MAX"),IF(($E25*3*R25+Q25)&lt;H25,"",($E25*3*R25+Q25)),"")))</f>
        <v>#REF!</v>
      </c>
      <c r="AA25" s="32" t="e">
        <f t="shared" ref="AA25:AA70" si="19">IF(Q25="","",IF(F25="Tolerance",IF(-(($E25*3*R25)-Q25)-G25&gt;I25,"",-(($E25*3*R25)-Q25)-G25),IF(F25="MIN",IF(-(($E25*3*R25)-Q25)&gt;I25,"",-(($E25*3*R25)-Q25)),"")))</f>
        <v>#REF!</v>
      </c>
      <c r="AB25" s="32" t="e">
        <f t="shared" ref="AB25:AB70" si="20">IF(OR(G25="",Q25=""),"",(L25+M25)/2-Q25)</f>
        <v>#REF!</v>
      </c>
      <c r="AC25" s="32" t="e">
        <f t="shared" si="2"/>
        <v>#REF!</v>
      </c>
      <c r="AD25" s="30"/>
      <c r="AE25" s="21" t="str">
        <f t="shared" ref="AE25:AE70" si="21">IF(AD25="","",IF(AD25&gt;=0.966,"Normal","Not Normal"))</f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8"/>
        <v>7</v>
      </c>
      <c r="BS25" s="112">
        <f>OOC!G25</f>
        <v>12.632</v>
      </c>
      <c r="BT25" s="112">
        <f>OOC!H25</f>
        <v>12.592000000000001</v>
      </c>
      <c r="BU25" s="3" t="e">
        <f t="shared" si="9"/>
        <v>#REF!</v>
      </c>
      <c r="BV25" s="3" t="e">
        <f t="shared" si="10"/>
        <v>#REF!</v>
      </c>
      <c r="BW25" s="3" t="e">
        <f t="shared" si="11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E25" s="78"/>
      <c r="GT25" s="78"/>
      <c r="JW25" s="78"/>
      <c r="KV25" s="78"/>
      <c r="PJ25" s="78"/>
      <c r="VT25" s="78"/>
      <c r="XH25" s="78"/>
      <c r="YM25" s="78"/>
      <c r="AIQ25" s="78"/>
      <c r="AKM25" s="78"/>
      <c r="AKX25" s="78"/>
      <c r="AMD25" s="78"/>
      <c r="AMV25" s="78"/>
      <c r="AQI25" s="78"/>
      <c r="ART25" s="78"/>
      <c r="AVY25" s="78"/>
      <c r="AYP25" s="78"/>
      <c r="BCA25" s="78"/>
      <c r="BDR25" s="78"/>
      <c r="BFG25" s="78"/>
      <c r="BOH25" s="78"/>
      <c r="BRL25" s="78"/>
      <c r="BSG25" s="78"/>
      <c r="BSV25" s="78"/>
      <c r="BXP25" s="78"/>
      <c r="BYC25" s="78"/>
      <c r="CGI25" s="78"/>
      <c r="CGL25" s="78"/>
      <c r="CLO25" s="78"/>
      <c r="CMZ25" s="78"/>
      <c r="CYC25" s="78"/>
      <c r="CYK25" s="78"/>
      <c r="DEB25" s="78"/>
      <c r="DHQ25" s="78"/>
      <c r="DHT25" s="78"/>
      <c r="DIJ25" s="78"/>
      <c r="DJJ25" s="78"/>
      <c r="DNT25" s="78"/>
      <c r="DPH25" s="78"/>
      <c r="DPL25" s="78"/>
      <c r="DQO25" s="78"/>
      <c r="DZW25" s="78"/>
      <c r="ECK25" s="78"/>
    </row>
    <row r="26" spans="1:1018 1036:2005 2049:3039 3088:3485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16"/>
        <v>#VALUE!</v>
      </c>
      <c r="M26" s="25" t="e">
        <f t="shared" si="17"/>
        <v>#VALUE!</v>
      </c>
      <c r="N26" s="28"/>
      <c r="O26" s="3" t="e">
        <f t="shared" si="12"/>
        <v>#REF!</v>
      </c>
      <c r="P26" s="3" t="e">
        <f t="shared" si="13"/>
        <v>#REF!</v>
      </c>
      <c r="Q26" s="3" t="e">
        <f t="shared" si="14"/>
        <v>#REF!</v>
      </c>
      <c r="R26" s="4" t="e">
        <f t="shared" si="15"/>
        <v>#REF!</v>
      </c>
      <c r="S26" s="5" t="e">
        <f t="shared" si="3"/>
        <v>#REF!</v>
      </c>
      <c r="T26" s="76" t="e">
        <f t="shared" si="0"/>
        <v>#REF!</v>
      </c>
      <c r="U26" s="76" t="e">
        <f t="shared" si="1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18"/>
        <v>#REF!</v>
      </c>
      <c r="AA26" s="32" t="e">
        <f t="shared" si="19"/>
        <v>#REF!</v>
      </c>
      <c r="AB26" s="32" t="e">
        <f t="shared" si="20"/>
        <v>#REF!</v>
      </c>
      <c r="AC26" s="32" t="e">
        <f t="shared" si="2"/>
        <v>#REF!</v>
      </c>
      <c r="AD26" s="30"/>
      <c r="AE26" s="21" t="str">
        <f t="shared" si="21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8"/>
        <v>8-1</v>
      </c>
      <c r="BS26" s="112">
        <f>OOC!G26</f>
        <v>0.06</v>
      </c>
      <c r="BT26" s="112">
        <f>OOC!H26</f>
        <v>0.02</v>
      </c>
      <c r="BU26" s="3" t="e">
        <f t="shared" si="9"/>
        <v>#REF!</v>
      </c>
      <c r="BV26" s="3" t="e">
        <f t="shared" si="10"/>
        <v>#REF!</v>
      </c>
      <c r="BW26" s="3" t="e">
        <f t="shared" si="11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E26" s="78"/>
      <c r="GT26" s="78"/>
      <c r="JW26" s="78"/>
      <c r="KV26" s="78"/>
      <c r="PJ26" s="78"/>
      <c r="VT26" s="78"/>
      <c r="XH26" s="78"/>
      <c r="YM26" s="78"/>
      <c r="AIQ26" s="78"/>
      <c r="AKX26" s="78"/>
      <c r="AMD26" s="78"/>
      <c r="AMV26" s="78"/>
      <c r="APV26" s="78"/>
      <c r="AQI26" s="78"/>
      <c r="AQX26" s="78"/>
      <c r="ART26" s="78"/>
      <c r="AVY26" s="78"/>
      <c r="BCA26" s="78"/>
      <c r="BDR26" s="78"/>
      <c r="BFG26" s="78"/>
      <c r="BJN26" s="78"/>
      <c r="BOH26" s="78"/>
      <c r="BRL26" s="78"/>
      <c r="BSG26" s="78"/>
      <c r="BSV26" s="78"/>
      <c r="BXP26" s="78"/>
      <c r="BYC26" s="78"/>
      <c r="CGI26" s="78"/>
      <c r="CGL26" s="78"/>
      <c r="CLO26" s="78"/>
      <c r="CMZ26" s="78"/>
      <c r="CVU26" s="78"/>
      <c r="CYK26" s="78"/>
      <c r="DHQ26" s="78"/>
      <c r="DHT26" s="78"/>
      <c r="DIJ26" s="78"/>
      <c r="DJJ26" s="78"/>
      <c r="DOH26" s="78"/>
      <c r="DPH26" s="78"/>
      <c r="DPL26" s="78"/>
      <c r="DQO26" s="78"/>
      <c r="DZC26" s="78"/>
      <c r="DZW26" s="78"/>
      <c r="EBO26" s="78"/>
      <c r="ECK26" s="78"/>
    </row>
    <row r="27" spans="1:1018 1036:2005 2049:3039 3088:3485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16"/>
        <v>#VALUE!</v>
      </c>
      <c r="M27" s="25" t="e">
        <f t="shared" si="17"/>
        <v>#VALUE!</v>
      </c>
      <c r="N27" s="28"/>
      <c r="O27" s="3" t="e">
        <f t="shared" si="12"/>
        <v>#REF!</v>
      </c>
      <c r="P27" s="3" t="e">
        <f t="shared" si="13"/>
        <v>#REF!</v>
      </c>
      <c r="Q27" s="3" t="e">
        <f t="shared" si="14"/>
        <v>#REF!</v>
      </c>
      <c r="R27" s="4" t="e">
        <f t="shared" si="15"/>
        <v>#REF!</v>
      </c>
      <c r="S27" s="5" t="e">
        <f t="shared" si="3"/>
        <v>#REF!</v>
      </c>
      <c r="T27" s="76" t="e">
        <f t="shared" si="0"/>
        <v>#REF!</v>
      </c>
      <c r="U27" s="76" t="e">
        <f t="shared" si="1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18"/>
        <v>#REF!</v>
      </c>
      <c r="AA27" s="32" t="e">
        <f t="shared" si="19"/>
        <v>#REF!</v>
      </c>
      <c r="AB27" s="32" t="e">
        <f t="shared" si="20"/>
        <v>#REF!</v>
      </c>
      <c r="AC27" s="32" t="e">
        <f t="shared" si="2"/>
        <v>#REF!</v>
      </c>
      <c r="AD27" s="30"/>
      <c r="AE27" s="21" t="str">
        <f t="shared" si="21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8"/>
        <v>8-2</v>
      </c>
      <c r="BS27" s="112">
        <f>OOC!G27</f>
        <v>0.06</v>
      </c>
      <c r="BT27" s="112">
        <f>OOC!H27</f>
        <v>0.02</v>
      </c>
      <c r="BU27" s="3" t="e">
        <f t="shared" si="9"/>
        <v>#REF!</v>
      </c>
      <c r="BV27" s="3" t="e">
        <f t="shared" si="10"/>
        <v>#REF!</v>
      </c>
      <c r="BW27" s="3" t="e">
        <f t="shared" si="11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E27" s="78"/>
      <c r="GT27" s="78"/>
      <c r="KV27" s="78"/>
      <c r="PJ27" s="78"/>
      <c r="VT27" s="78"/>
      <c r="XH27" s="78"/>
      <c r="YM27" s="78"/>
      <c r="AIQ27" s="78"/>
      <c r="AKX27" s="78"/>
      <c r="AMD27" s="78"/>
      <c r="AMV27" s="78"/>
      <c r="APV27" s="78"/>
      <c r="ART27" s="78"/>
      <c r="AVY27" s="78"/>
      <c r="BCA27" s="78"/>
      <c r="BDR27" s="78"/>
      <c r="BFG27" s="78"/>
      <c r="BKK27" s="78"/>
      <c r="BOH27" s="78"/>
      <c r="BRL27" s="78"/>
      <c r="BSG27" s="78"/>
      <c r="BSV27" s="78"/>
      <c r="BXP27" s="78"/>
      <c r="BYC27" s="78"/>
      <c r="CGI27" s="78"/>
      <c r="CGL27" s="78"/>
      <c r="CTM27" s="78"/>
      <c r="DHQ27" s="78"/>
      <c r="DHT27" s="78"/>
      <c r="DIJ27" s="78"/>
      <c r="DJJ27" s="78"/>
      <c r="DPH27" s="78"/>
      <c r="DPL27" s="78"/>
      <c r="DQO27" s="78"/>
      <c r="DZC27" s="78"/>
      <c r="DZW27" s="78"/>
      <c r="ECK27" s="78"/>
    </row>
    <row r="28" spans="1:1018 1036:2005 2049:3039 3088:3485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16"/>
        <v>#VALUE!</v>
      </c>
      <c r="M28" s="25" t="e">
        <f t="shared" si="17"/>
        <v>#VALUE!</v>
      </c>
      <c r="N28" s="29"/>
      <c r="O28" s="3" t="e">
        <f t="shared" si="12"/>
        <v>#REF!</v>
      </c>
      <c r="P28" s="3" t="e">
        <f t="shared" si="13"/>
        <v>#REF!</v>
      </c>
      <c r="Q28" s="3" t="e">
        <f t="shared" si="14"/>
        <v>#REF!</v>
      </c>
      <c r="R28" s="4" t="e">
        <f t="shared" si="15"/>
        <v>#REF!</v>
      </c>
      <c r="S28" s="5" t="e">
        <f t="shared" si="3"/>
        <v>#REF!</v>
      </c>
      <c r="T28" s="76" t="e">
        <f t="shared" si="0"/>
        <v>#REF!</v>
      </c>
      <c r="U28" s="76" t="e">
        <f t="shared" si="1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18"/>
        <v>#REF!</v>
      </c>
      <c r="AA28" s="32" t="e">
        <f t="shared" si="19"/>
        <v>#REF!</v>
      </c>
      <c r="AB28" s="32" t="e">
        <f t="shared" si="20"/>
        <v>#REF!</v>
      </c>
      <c r="AC28" s="32" t="e">
        <f t="shared" si="2"/>
        <v>#REF!</v>
      </c>
      <c r="AD28" s="30"/>
      <c r="AE28" s="21" t="str">
        <f t="shared" si="21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8"/>
        <v>9</v>
      </c>
      <c r="BS28" s="112">
        <f>OOC!G28</f>
        <v>12.401999999999999</v>
      </c>
      <c r="BT28" s="112">
        <f>OOC!H28</f>
        <v>12.362</v>
      </c>
      <c r="BU28" s="3" t="e">
        <f t="shared" si="9"/>
        <v>#REF!</v>
      </c>
      <c r="BV28" s="3" t="e">
        <f t="shared" si="10"/>
        <v>#REF!</v>
      </c>
      <c r="BW28" s="3" t="e">
        <f t="shared" si="11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T28" s="78"/>
      <c r="KV28" s="78"/>
      <c r="XH28" s="78"/>
      <c r="YM28" s="78"/>
      <c r="AIQ28" s="78"/>
      <c r="AKM28" s="78"/>
      <c r="AKX28" s="78"/>
      <c r="AMD28" s="78"/>
      <c r="AMV28" s="78"/>
      <c r="APV28" s="78"/>
      <c r="AQI28" s="78"/>
      <c r="ART28" s="78"/>
      <c r="AVY28" s="78"/>
      <c r="AYP28" s="78"/>
      <c r="BCA28" s="78"/>
      <c r="BDR28" s="78"/>
      <c r="BFG28" s="78"/>
      <c r="BJN28" s="78"/>
      <c r="BOH28" s="78"/>
      <c r="BRL28" s="78"/>
      <c r="BSG28" s="78"/>
      <c r="BXP28" s="78"/>
      <c r="BYC28" s="78"/>
      <c r="CGI28" s="78"/>
      <c r="DHQ28" s="78"/>
      <c r="DHT28" s="78"/>
      <c r="DIJ28" s="78"/>
      <c r="DJJ28" s="78"/>
      <c r="DPH28" s="78"/>
      <c r="DPL28" s="78"/>
      <c r="DQO28" s="78"/>
      <c r="DSE28" s="78"/>
      <c r="DZC28" s="78"/>
      <c r="DZW28" s="78"/>
    </row>
    <row r="29" spans="1:1018 1036:2005 2049:3039 3088:3485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16"/>
        <v>#VALUE!</v>
      </c>
      <c r="M29" s="25" t="e">
        <f t="shared" si="17"/>
        <v>#VALUE!</v>
      </c>
      <c r="N29" s="29"/>
      <c r="O29" s="3" t="e">
        <f t="shared" si="12"/>
        <v>#REF!</v>
      </c>
      <c r="P29" s="3" t="e">
        <f t="shared" si="13"/>
        <v>#REF!</v>
      </c>
      <c r="Q29" s="3" t="e">
        <f t="shared" si="14"/>
        <v>#REF!</v>
      </c>
      <c r="R29" s="4" t="e">
        <f t="shared" si="15"/>
        <v>#REF!</v>
      </c>
      <c r="S29" s="5" t="e">
        <f t="shared" si="3"/>
        <v>#REF!</v>
      </c>
      <c r="T29" s="76" t="e">
        <f t="shared" si="0"/>
        <v>#REF!</v>
      </c>
      <c r="U29" s="76" t="e">
        <f t="shared" si="1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18"/>
        <v>#REF!</v>
      </c>
      <c r="AA29" s="32" t="e">
        <f t="shared" si="19"/>
        <v>#REF!</v>
      </c>
      <c r="AB29" s="32" t="e">
        <f t="shared" si="20"/>
        <v>#REF!</v>
      </c>
      <c r="AC29" s="32" t="e">
        <f t="shared" si="2"/>
        <v>#REF!</v>
      </c>
      <c r="AD29" s="30"/>
      <c r="AE29" s="21" t="str">
        <f t="shared" si="21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8"/>
        <v>10</v>
      </c>
      <c r="BS29" s="112">
        <f>OOC!G29</f>
        <v>14.746</v>
      </c>
      <c r="BT29" s="112">
        <f>OOC!H29</f>
        <v>14.706000000000001</v>
      </c>
      <c r="BU29" s="3" t="e">
        <f t="shared" si="9"/>
        <v>#REF!</v>
      </c>
      <c r="BV29" s="3" t="e">
        <f t="shared" si="10"/>
        <v>#REF!</v>
      </c>
      <c r="BW29" s="3" t="e">
        <f t="shared" si="11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T29" s="78"/>
      <c r="KV29" s="78"/>
      <c r="PJ29" s="78"/>
      <c r="PT29" s="78"/>
      <c r="XH29" s="78"/>
      <c r="YM29" s="78"/>
      <c r="AIQ29" s="78"/>
      <c r="AKX29" s="78"/>
      <c r="AMD29" s="78"/>
      <c r="AMV29" s="78"/>
      <c r="APV29" s="78"/>
      <c r="AQI29" s="78"/>
      <c r="ART29" s="78"/>
      <c r="AVY29" s="78"/>
      <c r="AYP29" s="78"/>
      <c r="BCA29" s="78"/>
      <c r="BDR29" s="78"/>
      <c r="BFG29" s="78"/>
      <c r="BOH29" s="78"/>
      <c r="BRL29" s="78"/>
      <c r="BSG29" s="78"/>
      <c r="BSV29" s="78"/>
      <c r="BXP29" s="78"/>
      <c r="BYC29" s="78"/>
      <c r="CGI29" s="78"/>
      <c r="DHQ29" s="78"/>
      <c r="DHT29" s="78"/>
      <c r="DIJ29" s="78"/>
      <c r="DJJ29" s="78"/>
      <c r="DPH29" s="78"/>
      <c r="DPL29" s="78"/>
      <c r="DZC29" s="78"/>
      <c r="DZW29" s="78"/>
    </row>
    <row r="30" spans="1:1018 1036:2005 2049:3039 3088:3485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16"/>
        <v>#VALUE!</v>
      </c>
      <c r="M30" s="25" t="e">
        <f t="shared" si="17"/>
        <v>#VALUE!</v>
      </c>
      <c r="N30" s="28"/>
      <c r="O30" s="3" t="e">
        <f t="shared" si="12"/>
        <v>#REF!</v>
      </c>
      <c r="P30" s="3" t="e">
        <f t="shared" si="13"/>
        <v>#REF!</v>
      </c>
      <c r="Q30" s="3" t="e">
        <f t="shared" si="14"/>
        <v>#REF!</v>
      </c>
      <c r="R30" s="4" t="e">
        <f t="shared" si="15"/>
        <v>#REF!</v>
      </c>
      <c r="S30" s="5" t="e">
        <f t="shared" si="3"/>
        <v>#REF!</v>
      </c>
      <c r="T30" s="76" t="e">
        <f t="shared" si="0"/>
        <v>#REF!</v>
      </c>
      <c r="U30" s="76" t="e">
        <f t="shared" si="1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18"/>
        <v>#REF!</v>
      </c>
      <c r="AA30" s="32" t="e">
        <f t="shared" si="19"/>
        <v>#REF!</v>
      </c>
      <c r="AB30" s="32" t="e">
        <f t="shared" si="20"/>
        <v>#REF!</v>
      </c>
      <c r="AC30" s="32" t="e">
        <f t="shared" si="2"/>
        <v>#REF!</v>
      </c>
      <c r="AD30" s="30"/>
      <c r="AE30" s="21" t="str">
        <f t="shared" si="21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8"/>
        <v>11</v>
      </c>
      <c r="BS30" s="112">
        <f>OOC!G30</f>
        <v>14.526</v>
      </c>
      <c r="BT30" s="112">
        <f>OOC!H30</f>
        <v>14.486000000000001</v>
      </c>
      <c r="BU30" s="3" t="e">
        <f t="shared" si="9"/>
        <v>#REF!</v>
      </c>
      <c r="BV30" s="3" t="e">
        <f t="shared" si="10"/>
        <v>#REF!</v>
      </c>
      <c r="BW30" s="3" t="e">
        <f t="shared" si="11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A30" s="78"/>
      <c r="GT30" s="78"/>
      <c r="IF30" s="78"/>
      <c r="JW30" s="78"/>
      <c r="QB30" s="78"/>
      <c r="VT30" s="78"/>
      <c r="WX30" s="78"/>
      <c r="XA30" s="78"/>
      <c r="ZT30" s="78"/>
      <c r="AIQ30" s="78"/>
      <c r="AKM30" s="78"/>
      <c r="ATV30" s="78"/>
      <c r="BCA30" s="78"/>
      <c r="BFG30" s="78"/>
      <c r="BUL30" s="78"/>
      <c r="BXO30" s="78"/>
      <c r="BZU30" s="78"/>
      <c r="CGL30" s="78"/>
      <c r="CGY30" s="78"/>
      <c r="CHR30" s="78"/>
      <c r="CKN30" s="78"/>
      <c r="CLO30" s="78"/>
      <c r="CLY30" s="78"/>
      <c r="CNI30" s="78"/>
      <c r="CQZ30" s="78"/>
      <c r="DEB30" s="78"/>
      <c r="DHQ30" s="78"/>
      <c r="DHT30" s="78"/>
      <c r="DIJ30" s="78"/>
      <c r="DPA30" s="78"/>
      <c r="DZW30" s="78"/>
    </row>
    <row r="31" spans="1:1018 1036:2005 2049:3039 3088:3485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16"/>
        <v>#VALUE!</v>
      </c>
      <c r="M31" s="25" t="e">
        <f t="shared" si="17"/>
        <v>#VALUE!</v>
      </c>
      <c r="N31" s="28"/>
      <c r="O31" s="3" t="e">
        <f t="shared" si="12"/>
        <v>#REF!</v>
      </c>
      <c r="P31" s="3" t="e">
        <f t="shared" si="13"/>
        <v>#REF!</v>
      </c>
      <c r="Q31" s="3" t="e">
        <f t="shared" si="14"/>
        <v>#REF!</v>
      </c>
      <c r="R31" s="4" t="e">
        <f t="shared" si="15"/>
        <v>#REF!</v>
      </c>
      <c r="S31" s="5" t="e">
        <f t="shared" si="3"/>
        <v>#REF!</v>
      </c>
      <c r="T31" s="76" t="e">
        <f t="shared" si="0"/>
        <v>#REF!</v>
      </c>
      <c r="U31" s="76" t="e">
        <f t="shared" si="1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18"/>
        <v>#REF!</v>
      </c>
      <c r="AA31" s="32" t="e">
        <f t="shared" si="19"/>
        <v>#REF!</v>
      </c>
      <c r="AB31" s="32" t="e">
        <f t="shared" si="20"/>
        <v>#REF!</v>
      </c>
      <c r="AC31" s="32" t="e">
        <f t="shared" si="2"/>
        <v>#REF!</v>
      </c>
      <c r="AD31" s="30"/>
      <c r="AE31" s="21" t="str">
        <f t="shared" si="21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8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9"/>
        <v>#REF!</v>
      </c>
      <c r="BV31" s="3" t="e">
        <f t="shared" si="10"/>
        <v>#REF!</v>
      </c>
      <c r="BW31" s="3" t="e">
        <f t="shared" si="11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CA31" s="78"/>
      <c r="GC31" s="78"/>
      <c r="GT31" s="78"/>
      <c r="IF31" s="78"/>
      <c r="JW31" s="78"/>
      <c r="QB31" s="78"/>
      <c r="VM31" s="78"/>
      <c r="VT31" s="78"/>
      <c r="WX31" s="78"/>
      <c r="XA31" s="78"/>
      <c r="ZT31" s="78"/>
      <c r="AIQ31" s="78"/>
      <c r="AKM31" s="78"/>
      <c r="ATV31" s="78"/>
      <c r="AZH31" s="78"/>
      <c r="BCA31" s="78"/>
      <c r="BFG31" s="78"/>
      <c r="BQO31" s="78"/>
      <c r="BSG31" s="78"/>
      <c r="BUL31" s="78"/>
      <c r="BXO31" s="78"/>
      <c r="BZU31" s="78"/>
      <c r="CGL31" s="78"/>
      <c r="CGY31" s="78"/>
      <c r="CHR31" s="78"/>
      <c r="CKO31" s="78"/>
      <c r="CLO31" s="78"/>
      <c r="CLY31" s="78"/>
      <c r="CNI31" s="78"/>
      <c r="CQZ31" s="78"/>
      <c r="CYK31" s="78"/>
      <c r="DAY31" s="78"/>
      <c r="DEB31" s="78"/>
      <c r="DEL31" s="78"/>
      <c r="DHQ31" s="78"/>
      <c r="DHT31" s="78"/>
      <c r="DHW31" s="78"/>
      <c r="DID31" s="78"/>
      <c r="DIJ31" s="78"/>
      <c r="DJP31" s="78"/>
      <c r="DOB31" s="78"/>
      <c r="DPA31" s="78"/>
      <c r="DZW31" s="78"/>
    </row>
    <row r="32" spans="1:1018 1036:2005 2049:3039 3088:3485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16"/>
        <v>#VALUE!</v>
      </c>
      <c r="M32" s="25" t="e">
        <f t="shared" si="17"/>
        <v>#VALUE!</v>
      </c>
      <c r="N32" s="28"/>
      <c r="O32" s="3" t="e">
        <f t="shared" si="12"/>
        <v>#REF!</v>
      </c>
      <c r="P32" s="3" t="e">
        <f t="shared" si="13"/>
        <v>#REF!</v>
      </c>
      <c r="Q32" s="3" t="e">
        <f t="shared" si="14"/>
        <v>#REF!</v>
      </c>
      <c r="R32" s="4" t="e">
        <f t="shared" si="15"/>
        <v>#REF!</v>
      </c>
      <c r="S32" s="5" t="e">
        <f t="shared" si="3"/>
        <v>#REF!</v>
      </c>
      <c r="T32" s="76" t="e">
        <f t="shared" si="0"/>
        <v>#REF!</v>
      </c>
      <c r="U32" s="76" t="e">
        <f t="shared" si="1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18"/>
        <v>#REF!</v>
      </c>
      <c r="AA32" s="32" t="e">
        <f t="shared" si="19"/>
        <v>#REF!</v>
      </c>
      <c r="AB32" s="32" t="e">
        <f t="shared" si="20"/>
        <v>#REF!</v>
      </c>
      <c r="AC32" s="32" t="e">
        <f t="shared" si="2"/>
        <v>#REF!</v>
      </c>
      <c r="AD32" s="30"/>
      <c r="AE32" s="21" t="str">
        <f t="shared" si="21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8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9"/>
        <v>#REF!</v>
      </c>
      <c r="BV32" s="3" t="e">
        <f t="shared" si="10"/>
        <v>#REF!</v>
      </c>
      <c r="BW32" s="3" t="e">
        <f t="shared" si="11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CA32" s="78"/>
      <c r="IE32" s="78"/>
      <c r="IF32" s="78"/>
      <c r="JW32" s="78"/>
      <c r="OU32" s="78"/>
      <c r="VT32" s="78"/>
      <c r="WX32" s="78"/>
      <c r="ZT32" s="78"/>
      <c r="AAQ32" s="78"/>
      <c r="AIQ32" s="78"/>
      <c r="AKM32" s="78"/>
      <c r="AKX32" s="78"/>
      <c r="ATV32" s="78"/>
      <c r="BCA32" s="78"/>
      <c r="BFG32" s="78"/>
      <c r="BSG32" s="78"/>
      <c r="BUL32" s="78"/>
      <c r="BZU32" s="78"/>
      <c r="CGL32" s="78"/>
      <c r="CHR32" s="78"/>
      <c r="CKO32" s="78"/>
      <c r="CLO32" s="78"/>
      <c r="CNI32" s="78"/>
      <c r="CQZ32" s="78"/>
      <c r="CYK32" s="78"/>
      <c r="DAY32" s="78"/>
      <c r="DEB32" s="78"/>
      <c r="DHQ32" s="78"/>
      <c r="DHR32" s="78"/>
      <c r="DHT32" s="78"/>
      <c r="DHW32" s="78"/>
      <c r="DID32" s="78"/>
      <c r="DIJ32" s="78"/>
      <c r="DLW32" s="78"/>
      <c r="DOB32" s="78"/>
      <c r="DPA32" s="78"/>
      <c r="DZW32" s="78"/>
    </row>
    <row r="33" spans="1:1014 1071:2038 2049:3033 3073:3486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16"/>
        <v>#VALUE!</v>
      </c>
      <c r="M33" s="25" t="e">
        <f t="shared" si="17"/>
        <v>#VALUE!</v>
      </c>
      <c r="N33" s="29"/>
      <c r="O33" s="3" t="e">
        <f t="shared" si="12"/>
        <v>#REF!</v>
      </c>
      <c r="P33" s="3" t="e">
        <f t="shared" si="13"/>
        <v>#REF!</v>
      </c>
      <c r="Q33" s="3" t="e">
        <f t="shared" si="14"/>
        <v>#REF!</v>
      </c>
      <c r="R33" s="4" t="e">
        <f t="shared" si="15"/>
        <v>#REF!</v>
      </c>
      <c r="S33" s="5" t="e">
        <f t="shared" si="3"/>
        <v>#REF!</v>
      </c>
      <c r="T33" s="76" t="e">
        <f t="shared" si="0"/>
        <v>#REF!</v>
      </c>
      <c r="U33" s="76" t="e">
        <f t="shared" si="1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18"/>
        <v>#REF!</v>
      </c>
      <c r="AA33" s="32" t="e">
        <f t="shared" si="19"/>
        <v>#REF!</v>
      </c>
      <c r="AB33" s="32" t="e">
        <f t="shared" si="20"/>
        <v>#REF!</v>
      </c>
      <c r="AC33" s="32" t="e">
        <f t="shared" si="2"/>
        <v>#REF!</v>
      </c>
      <c r="AD33" s="30"/>
      <c r="AE33" s="21" t="str">
        <f t="shared" si="21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8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9"/>
        <v>#REF!</v>
      </c>
      <c r="BV33" s="3" t="e">
        <f t="shared" si="10"/>
        <v>#REF!</v>
      </c>
      <c r="BW33" s="3" t="e">
        <f t="shared" si="11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CA33" s="78"/>
      <c r="GT33" s="78"/>
      <c r="IF33" s="78"/>
      <c r="JW33" s="78"/>
      <c r="QB33" s="78"/>
      <c r="VT33" s="78"/>
      <c r="XA33" s="78"/>
      <c r="ZT33" s="78"/>
      <c r="AAQ33" s="78"/>
      <c r="AIQ33" s="78"/>
      <c r="AKM33" s="78"/>
      <c r="AKX33" s="78"/>
      <c r="BCA33" s="78"/>
      <c r="BFG33" s="78"/>
      <c r="BRL33" s="78"/>
      <c r="BSG33" s="78"/>
      <c r="BUL33" s="78"/>
      <c r="BXO33" s="78"/>
      <c r="BZU33" s="78"/>
      <c r="CGL33" s="78"/>
      <c r="CGX33" s="78"/>
      <c r="CHR33" s="78"/>
      <c r="CLO33" s="78"/>
      <c r="CNI33" s="78"/>
      <c r="CQZ33" s="78"/>
      <c r="CYK33" s="78"/>
      <c r="DAY33" s="78"/>
      <c r="DEB33" s="78"/>
      <c r="DHQ33" s="78"/>
      <c r="DHT33" s="78"/>
      <c r="DIJ33" s="78"/>
      <c r="DOB33" s="78"/>
      <c r="DPA33" s="78"/>
      <c r="DZW33" s="78"/>
    </row>
    <row r="34" spans="1:1014 1071:2038 2049:3033 3073:3486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16"/>
        <v>#VALUE!</v>
      </c>
      <c r="M34" s="25" t="e">
        <f t="shared" si="17"/>
        <v>#VALUE!</v>
      </c>
      <c r="N34" s="29"/>
      <c r="O34" s="3" t="e">
        <f t="shared" si="12"/>
        <v>#REF!</v>
      </c>
      <c r="P34" s="3" t="e">
        <f t="shared" si="13"/>
        <v>#REF!</v>
      </c>
      <c r="Q34" s="3" t="e">
        <f t="shared" si="14"/>
        <v>#REF!</v>
      </c>
      <c r="R34" s="4" t="e">
        <f t="shared" si="15"/>
        <v>#REF!</v>
      </c>
      <c r="S34" s="5" t="e">
        <f t="shared" si="3"/>
        <v>#REF!</v>
      </c>
      <c r="T34" s="76" t="e">
        <f t="shared" si="0"/>
        <v>#REF!</v>
      </c>
      <c r="U34" s="76" t="e">
        <f t="shared" si="1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18"/>
        <v>#REF!</v>
      </c>
      <c r="AA34" s="32" t="e">
        <f t="shared" si="19"/>
        <v>#REF!</v>
      </c>
      <c r="AB34" s="32" t="e">
        <f t="shared" si="20"/>
        <v>#REF!</v>
      </c>
      <c r="AC34" s="32" t="e">
        <f t="shared" si="2"/>
        <v>#REF!</v>
      </c>
      <c r="AD34" s="30"/>
      <c r="AE34" s="21" t="str">
        <f t="shared" si="21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8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9"/>
        <v>#REF!</v>
      </c>
      <c r="BV34" s="3" t="e">
        <f t="shared" si="10"/>
        <v>#REF!</v>
      </c>
      <c r="BW34" s="3" t="e">
        <f t="shared" si="11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CA34" s="78"/>
      <c r="GT34" s="78"/>
      <c r="IF34" s="78"/>
      <c r="JW34" s="78"/>
      <c r="QB34" s="78"/>
      <c r="VT34" s="78"/>
      <c r="XA34" s="78"/>
      <c r="ZT34" s="78"/>
      <c r="AAQ34" s="78"/>
      <c r="AIQ34" s="78"/>
      <c r="AKM34" s="78"/>
      <c r="AKX34" s="78"/>
      <c r="BCA34" s="78"/>
      <c r="BFG34" s="78"/>
      <c r="BRL34" s="78"/>
      <c r="BSG34" s="78"/>
      <c r="BUL34" s="78"/>
      <c r="BXO34" s="78"/>
      <c r="BZU34" s="78"/>
      <c r="CGL34" s="78"/>
      <c r="CGX34" s="78"/>
      <c r="CHR34" s="78"/>
      <c r="CLO34" s="78"/>
      <c r="CNI34" s="78"/>
      <c r="CQZ34" s="78"/>
      <c r="CYK34" s="78"/>
      <c r="DAY34" s="78"/>
      <c r="DEB34" s="78"/>
      <c r="DHQ34" s="78"/>
      <c r="DHT34" s="78"/>
      <c r="DIJ34" s="78"/>
      <c r="DOB34" s="78"/>
      <c r="DPA34" s="78"/>
      <c r="DZW34" s="78"/>
    </row>
    <row r="35" spans="1:1014 1071:2038 2049:3033 3073:3486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16"/>
        <v>#VALUE!</v>
      </c>
      <c r="M35" s="25" t="e">
        <f t="shared" si="17"/>
        <v>#VALUE!</v>
      </c>
      <c r="N35" s="29"/>
      <c r="O35" s="3" t="e">
        <f t="shared" si="12"/>
        <v>#REF!</v>
      </c>
      <c r="P35" s="3" t="e">
        <f t="shared" si="13"/>
        <v>#REF!</v>
      </c>
      <c r="Q35" s="3" t="e">
        <f t="shared" si="14"/>
        <v>#REF!</v>
      </c>
      <c r="R35" s="4" t="e">
        <f t="shared" si="15"/>
        <v>#REF!</v>
      </c>
      <c r="S35" s="5" t="e">
        <f t="shared" si="3"/>
        <v>#REF!</v>
      </c>
      <c r="T35" s="76" t="e">
        <f t="shared" si="0"/>
        <v>#REF!</v>
      </c>
      <c r="U35" s="76" t="e">
        <f t="shared" si="1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18"/>
        <v>#REF!</v>
      </c>
      <c r="AA35" s="32" t="e">
        <f t="shared" si="19"/>
        <v>#REF!</v>
      </c>
      <c r="AB35" s="32" t="e">
        <f t="shared" si="20"/>
        <v>#REF!</v>
      </c>
      <c r="AC35" s="32" t="e">
        <f t="shared" si="2"/>
        <v>#REF!</v>
      </c>
      <c r="AD35" s="30"/>
      <c r="AE35" s="21" t="str">
        <f t="shared" si="21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8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9"/>
        <v>#REF!</v>
      </c>
      <c r="BV35" s="3" t="e">
        <f t="shared" si="10"/>
        <v>#REF!</v>
      </c>
      <c r="BW35" s="3" t="e">
        <f t="shared" si="11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A35" s="78"/>
      <c r="GT35" s="78"/>
      <c r="IF35" s="78"/>
      <c r="JW35" s="78"/>
      <c r="QB35" s="78"/>
      <c r="VT35" s="78"/>
      <c r="XA35" s="78"/>
      <c r="ZT35" s="78"/>
      <c r="AAQ35" s="78"/>
      <c r="AIQ35" s="78"/>
      <c r="AKM35" s="78"/>
      <c r="AKX35" s="78"/>
      <c r="BCA35" s="78"/>
      <c r="BFG35" s="78"/>
      <c r="BRL35" s="78"/>
      <c r="BSG35" s="78"/>
      <c r="BUL35" s="78"/>
      <c r="BXO35" s="78"/>
      <c r="BZU35" s="78"/>
      <c r="CGL35" s="78"/>
      <c r="CGX35" s="78"/>
      <c r="CHR35" s="78"/>
      <c r="CLO35" s="78"/>
      <c r="CNI35" s="78"/>
      <c r="CQZ35" s="78"/>
      <c r="CYK35" s="78"/>
      <c r="DAY35" s="78"/>
      <c r="DEB35" s="78"/>
      <c r="DHQ35" s="78"/>
      <c r="DHT35" s="78"/>
      <c r="DIJ35" s="78"/>
      <c r="DOB35" s="78"/>
      <c r="DPA35" s="78"/>
      <c r="DZW35" s="78"/>
    </row>
    <row r="36" spans="1:1014 1071:2038 2049:3033 3073:3486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16"/>
        <v>#VALUE!</v>
      </c>
      <c r="M36" s="25" t="e">
        <f t="shared" si="17"/>
        <v>#VALUE!</v>
      </c>
      <c r="N36" s="29"/>
      <c r="O36" s="3" t="e">
        <f t="shared" si="12"/>
        <v>#REF!</v>
      </c>
      <c r="P36" s="3" t="e">
        <f t="shared" si="13"/>
        <v>#REF!</v>
      </c>
      <c r="Q36" s="3" t="e">
        <f t="shared" si="14"/>
        <v>#REF!</v>
      </c>
      <c r="R36" s="4" t="e">
        <f t="shared" si="15"/>
        <v>#REF!</v>
      </c>
      <c r="S36" s="5" t="e">
        <f t="shared" si="3"/>
        <v>#REF!</v>
      </c>
      <c r="T36" s="76" t="e">
        <f t="shared" si="0"/>
        <v>#REF!</v>
      </c>
      <c r="U36" s="76" t="e">
        <f t="shared" si="1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18"/>
        <v>#REF!</v>
      </c>
      <c r="AA36" s="32" t="e">
        <f t="shared" si="19"/>
        <v>#REF!</v>
      </c>
      <c r="AB36" s="32" t="e">
        <f t="shared" si="20"/>
        <v>#REF!</v>
      </c>
      <c r="AC36" s="32" t="e">
        <f t="shared" si="2"/>
        <v>#REF!</v>
      </c>
      <c r="AD36" s="30"/>
      <c r="AE36" s="21" t="str">
        <f t="shared" si="21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8"/>
        <v>14-1</v>
      </c>
      <c r="BS36" s="112">
        <f>OOC!G36</f>
        <v>12.815</v>
      </c>
      <c r="BT36" s="112">
        <f>OOC!H36</f>
        <v>12.775</v>
      </c>
      <c r="BU36" s="3" t="e">
        <f t="shared" si="9"/>
        <v>#REF!</v>
      </c>
      <c r="BV36" s="3" t="e">
        <f t="shared" si="10"/>
        <v>#REF!</v>
      </c>
      <c r="BW36" s="3" t="e">
        <f t="shared" si="11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CA36" s="78"/>
      <c r="GT36" s="78"/>
      <c r="IF36" s="78"/>
      <c r="JW36" s="78"/>
      <c r="VT36" s="78"/>
      <c r="XA36" s="78"/>
      <c r="ZT36" s="78"/>
      <c r="AAQ36" s="78"/>
      <c r="AIJ36" s="78"/>
      <c r="AIQ36" s="78"/>
      <c r="AKM36" s="78"/>
      <c r="AKX36" s="78"/>
      <c r="APA36" s="78"/>
      <c r="BCA36" s="78"/>
      <c r="BFG36" s="78"/>
      <c r="BSG36" s="78"/>
      <c r="BUL36" s="78"/>
      <c r="BYC36" s="78"/>
      <c r="BZU36" s="78"/>
      <c r="CGL36" s="78"/>
      <c r="CLO36" s="78"/>
      <c r="CNI36" s="78"/>
      <c r="CQZ36" s="78"/>
      <c r="CYK36" s="78"/>
      <c r="DEB36" s="78"/>
      <c r="DHQ36" s="78"/>
      <c r="DHT36" s="78"/>
      <c r="DIJ36" s="78"/>
      <c r="DOB36" s="78"/>
      <c r="DPA36" s="78"/>
      <c r="DQR36" s="78"/>
      <c r="DZW36" s="78"/>
    </row>
    <row r="37" spans="1:1014 1071:2038 2049:3033 3073:3486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16"/>
        <v>#VALUE!</v>
      </c>
      <c r="M37" s="25" t="e">
        <f t="shared" si="17"/>
        <v>#VALUE!</v>
      </c>
      <c r="N37" s="29"/>
      <c r="O37" s="3" t="e">
        <f t="shared" si="12"/>
        <v>#REF!</v>
      </c>
      <c r="P37" s="3" t="e">
        <f t="shared" si="13"/>
        <v>#REF!</v>
      </c>
      <c r="Q37" s="3" t="e">
        <f t="shared" si="14"/>
        <v>#REF!</v>
      </c>
      <c r="R37" s="4" t="e">
        <f t="shared" si="15"/>
        <v>#REF!</v>
      </c>
      <c r="S37" s="5" t="e">
        <f t="shared" si="3"/>
        <v>#REF!</v>
      </c>
      <c r="T37" s="76" t="e">
        <f t="shared" si="0"/>
        <v>#REF!</v>
      </c>
      <c r="U37" s="76" t="e">
        <f t="shared" si="1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18"/>
        <v>#REF!</v>
      </c>
      <c r="AA37" s="32" t="e">
        <f t="shared" si="19"/>
        <v>#REF!</v>
      </c>
      <c r="AB37" s="32" t="e">
        <f t="shared" si="20"/>
        <v>#REF!</v>
      </c>
      <c r="AC37" s="32" t="e">
        <f t="shared" si="2"/>
        <v>#REF!</v>
      </c>
      <c r="AD37" s="30"/>
      <c r="AE37" s="21" t="str">
        <f t="shared" si="21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8"/>
        <v>14-2</v>
      </c>
      <c r="BS37" s="112">
        <f>OOC!G37</f>
        <v>12.815</v>
      </c>
      <c r="BT37" s="112">
        <f>OOC!H37</f>
        <v>12.775</v>
      </c>
      <c r="BU37" s="3" t="e">
        <f t="shared" si="9"/>
        <v>#REF!</v>
      </c>
      <c r="BV37" s="3" t="e">
        <f t="shared" si="10"/>
        <v>#REF!</v>
      </c>
      <c r="BW37" s="3" t="e">
        <f t="shared" si="11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A37" s="78"/>
      <c r="GT37" s="78"/>
      <c r="IF37" s="78"/>
      <c r="JW37" s="78"/>
      <c r="VT37" s="78"/>
      <c r="XA37" s="78"/>
      <c r="ZT37" s="78"/>
      <c r="AAQ37" s="78"/>
      <c r="AIJ37" s="78"/>
      <c r="AIQ37" s="78"/>
      <c r="AKM37" s="78"/>
      <c r="AKX37" s="78"/>
      <c r="APA37" s="78"/>
      <c r="BCA37" s="78"/>
      <c r="BFG37" s="78"/>
      <c r="BSG37" s="78"/>
      <c r="BUL37" s="78"/>
      <c r="BYC37" s="78"/>
      <c r="BZU37" s="78"/>
      <c r="CGL37" s="78"/>
      <c r="CLO37" s="78"/>
      <c r="CNI37" s="78"/>
      <c r="CQZ37" s="78"/>
      <c r="CYK37" s="78"/>
      <c r="DEB37" s="78"/>
      <c r="DHQ37" s="78"/>
      <c r="DHT37" s="78"/>
      <c r="DIJ37" s="78"/>
      <c r="DOB37" s="78"/>
      <c r="DPA37" s="78"/>
      <c r="DQR37" s="78"/>
      <c r="DZW37" s="78"/>
    </row>
    <row r="38" spans="1:1014 1071:2038 2049:3033 3073:3486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16"/>
        <v>#VALUE!</v>
      </c>
      <c r="M38" s="25" t="e">
        <f t="shared" si="17"/>
        <v>#VALUE!</v>
      </c>
      <c r="N38" s="29"/>
      <c r="O38" s="3" t="e">
        <f t="shared" si="12"/>
        <v>#REF!</v>
      </c>
      <c r="P38" s="3" t="e">
        <f t="shared" si="13"/>
        <v>#REF!</v>
      </c>
      <c r="Q38" s="3" t="e">
        <f t="shared" si="14"/>
        <v>#REF!</v>
      </c>
      <c r="R38" s="4" t="e">
        <f t="shared" si="15"/>
        <v>#REF!</v>
      </c>
      <c r="S38" s="5" t="e">
        <f t="shared" si="3"/>
        <v>#REF!</v>
      </c>
      <c r="T38" s="76" t="e">
        <f t="shared" si="0"/>
        <v>#REF!</v>
      </c>
      <c r="U38" s="76" t="e">
        <f t="shared" si="1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18"/>
        <v>#REF!</v>
      </c>
      <c r="AA38" s="32" t="e">
        <f t="shared" si="19"/>
        <v>#REF!</v>
      </c>
      <c r="AB38" s="32" t="e">
        <f t="shared" si="20"/>
        <v>#REF!</v>
      </c>
      <c r="AC38" s="32" t="e">
        <f t="shared" si="2"/>
        <v>#REF!</v>
      </c>
      <c r="AD38" s="30"/>
      <c r="AE38" s="21" t="str">
        <f t="shared" si="21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8"/>
        <v>14-3</v>
      </c>
      <c r="BS38" s="112">
        <f>OOC!G38</f>
        <v>12.815</v>
      </c>
      <c r="BT38" s="112">
        <f>OOC!H38</f>
        <v>12.775</v>
      </c>
      <c r="BU38" s="3" t="e">
        <f t="shared" si="9"/>
        <v>#REF!</v>
      </c>
      <c r="BV38" s="3" t="e">
        <f t="shared" si="10"/>
        <v>#REF!</v>
      </c>
      <c r="BW38" s="3" t="e">
        <f t="shared" si="11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CA38" s="78"/>
      <c r="GT38" s="78"/>
      <c r="IF38" s="78"/>
      <c r="JW38" s="78"/>
      <c r="VT38" s="78"/>
      <c r="XA38" s="78"/>
      <c r="ZT38" s="78"/>
      <c r="AAQ38" s="78"/>
      <c r="AIJ38" s="78"/>
      <c r="AIQ38" s="78"/>
      <c r="AKM38" s="78"/>
      <c r="AKX38" s="78"/>
      <c r="APA38" s="78"/>
      <c r="BCA38" s="78"/>
      <c r="BFG38" s="78"/>
      <c r="BSG38" s="78"/>
      <c r="BUL38" s="78"/>
      <c r="BYC38" s="78"/>
      <c r="BZU38" s="78"/>
      <c r="CGL38" s="78"/>
      <c r="CLO38" s="78"/>
      <c r="CNI38" s="78"/>
      <c r="CQZ38" s="78"/>
      <c r="CYK38" s="78"/>
      <c r="DEB38" s="78"/>
      <c r="DHQ38" s="78"/>
      <c r="DHT38" s="78"/>
      <c r="DIJ38" s="78"/>
      <c r="DOB38" s="78"/>
      <c r="DPA38" s="78"/>
      <c r="DQR38" s="78"/>
      <c r="DZW38" s="78"/>
    </row>
    <row r="39" spans="1:1014 1071:2038 2049:3033 3073:3486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16"/>
        <v>#VALUE!</v>
      </c>
      <c r="M39" s="25" t="e">
        <f t="shared" si="17"/>
        <v>#VALUE!</v>
      </c>
      <c r="N39" s="29"/>
      <c r="O39" s="3" t="e">
        <f t="shared" si="12"/>
        <v>#REF!</v>
      </c>
      <c r="P39" s="3" t="e">
        <f t="shared" si="13"/>
        <v>#REF!</v>
      </c>
      <c r="Q39" s="3" t="e">
        <f t="shared" si="14"/>
        <v>#REF!</v>
      </c>
      <c r="R39" s="4" t="e">
        <f t="shared" si="15"/>
        <v>#REF!</v>
      </c>
      <c r="S39" s="5" t="e">
        <f t="shared" si="3"/>
        <v>#REF!</v>
      </c>
      <c r="T39" s="76" t="e">
        <f t="shared" si="0"/>
        <v>#REF!</v>
      </c>
      <c r="U39" s="76" t="e">
        <f t="shared" si="1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18"/>
        <v>#REF!</v>
      </c>
      <c r="AA39" s="32" t="e">
        <f t="shared" si="19"/>
        <v>#REF!</v>
      </c>
      <c r="AB39" s="32" t="e">
        <f t="shared" si="20"/>
        <v>#REF!</v>
      </c>
      <c r="AC39" s="32" t="e">
        <f t="shared" si="2"/>
        <v>#REF!</v>
      </c>
      <c r="AD39" s="30"/>
      <c r="AE39" s="21" t="str">
        <f t="shared" si="21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8"/>
        <v>16_1</v>
      </c>
      <c r="BS39" s="112">
        <f>OOC!G39</f>
        <v>0.125</v>
      </c>
      <c r="BT39" s="112">
        <f>OOC!H39</f>
        <v>8.4999999999999992E-2</v>
      </c>
      <c r="BU39" s="3" t="e">
        <f t="shared" si="9"/>
        <v>#REF!</v>
      </c>
      <c r="BV39" s="3" t="e">
        <f t="shared" si="10"/>
        <v>#REF!</v>
      </c>
      <c r="BW39" s="3" t="e">
        <f t="shared" si="11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S39" s="78"/>
      <c r="TG39" s="78"/>
      <c r="UA39" s="78"/>
      <c r="XA39" s="78"/>
      <c r="XH39" s="78"/>
      <c r="XQ39" s="78"/>
      <c r="XZ39" s="78"/>
      <c r="AAQ39" s="78"/>
      <c r="ABE39" s="78"/>
      <c r="ACG39" s="78"/>
      <c r="ADB39" s="78"/>
      <c r="ADH39" s="78"/>
      <c r="AGF39" s="78"/>
      <c r="AGP39" s="78"/>
      <c r="AHB39" s="78"/>
      <c r="AKX39" s="78"/>
      <c r="AUA39" s="78"/>
      <c r="AUO39" s="78"/>
      <c r="BCV39" s="78"/>
      <c r="BIB39" s="78"/>
      <c r="BLC39" s="78"/>
      <c r="BPN39" s="78"/>
      <c r="BYB39" s="78"/>
      <c r="BYE39" s="78"/>
      <c r="BZH39" s="78"/>
      <c r="CDN39" s="78"/>
      <c r="CDY39" s="78"/>
      <c r="DAE39" s="78"/>
      <c r="DCQ39" s="78"/>
      <c r="DID39" s="78"/>
      <c r="DLQ39" s="78"/>
      <c r="DUP39" s="78"/>
    </row>
    <row r="40" spans="1:1014 1071:2038 2049:3033 3073:3486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16"/>
        <v>#VALUE!</v>
      </c>
      <c r="M40" s="25" t="e">
        <f t="shared" si="17"/>
        <v>#VALUE!</v>
      </c>
      <c r="N40" s="29"/>
      <c r="O40" s="3" t="e">
        <f t="shared" si="12"/>
        <v>#REF!</v>
      </c>
      <c r="P40" s="3" t="e">
        <f t="shared" si="13"/>
        <v>#REF!</v>
      </c>
      <c r="Q40" s="3" t="e">
        <f t="shared" si="14"/>
        <v>#REF!</v>
      </c>
      <c r="R40" s="4" t="e">
        <f t="shared" si="15"/>
        <v>#REF!</v>
      </c>
      <c r="S40" s="5" t="e">
        <f t="shared" si="3"/>
        <v>#REF!</v>
      </c>
      <c r="T40" s="76" t="e">
        <f t="shared" si="0"/>
        <v>#REF!</v>
      </c>
      <c r="U40" s="76" t="e">
        <f t="shared" si="1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18"/>
        <v>#REF!</v>
      </c>
      <c r="AA40" s="32" t="e">
        <f t="shared" si="19"/>
        <v>#REF!</v>
      </c>
      <c r="AB40" s="32" t="e">
        <f t="shared" si="20"/>
        <v>#REF!</v>
      </c>
      <c r="AC40" s="32" t="e">
        <f t="shared" si="2"/>
        <v>#REF!</v>
      </c>
      <c r="AD40" s="30"/>
      <c r="AE40" s="21" t="str">
        <f t="shared" si="21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8"/>
        <v>16_2</v>
      </c>
      <c r="BS40" s="112">
        <f>OOC!G40</f>
        <v>0.125</v>
      </c>
      <c r="BT40" s="112">
        <f>OOC!H40</f>
        <v>8.4999999999999992E-2</v>
      </c>
      <c r="BU40" s="3" t="e">
        <f t="shared" si="9"/>
        <v>#REF!</v>
      </c>
      <c r="BV40" s="3" t="e">
        <f t="shared" si="10"/>
        <v>#REF!</v>
      </c>
      <c r="BW40" s="3" t="e">
        <f t="shared" si="11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S40" s="78"/>
      <c r="TG40" s="78"/>
      <c r="UA40" s="78"/>
      <c r="XA40" s="78"/>
      <c r="XH40" s="78"/>
      <c r="XQ40" s="78"/>
      <c r="XZ40" s="78"/>
      <c r="AAQ40" s="78"/>
      <c r="ABE40" s="78"/>
      <c r="ACG40" s="78"/>
      <c r="ADB40" s="78"/>
      <c r="ADH40" s="78"/>
      <c r="AGF40" s="78"/>
      <c r="AGP40" s="78"/>
      <c r="AHB40" s="78"/>
      <c r="AKX40" s="78"/>
      <c r="AUA40" s="78"/>
      <c r="AUO40" s="78"/>
      <c r="BCV40" s="78"/>
      <c r="BIB40" s="78"/>
      <c r="BLC40" s="78"/>
      <c r="BPN40" s="78"/>
      <c r="BYB40" s="78"/>
      <c r="BYE40" s="78"/>
      <c r="BZH40" s="78"/>
      <c r="CDN40" s="78"/>
      <c r="CDY40" s="78"/>
      <c r="DAE40" s="78"/>
      <c r="DCQ40" s="78"/>
      <c r="DID40" s="78"/>
      <c r="DLQ40" s="78"/>
      <c r="DUP40" s="78"/>
    </row>
    <row r="41" spans="1:1014 1071:2038 2049:3033 3073:3486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16"/>
        <v>#VALUE!</v>
      </c>
      <c r="M41" s="25" t="e">
        <f t="shared" si="17"/>
        <v>#VALUE!</v>
      </c>
      <c r="N41" s="29"/>
      <c r="O41" s="3" t="e">
        <f t="shared" si="12"/>
        <v>#REF!</v>
      </c>
      <c r="P41" s="3" t="e">
        <f t="shared" si="13"/>
        <v>#REF!</v>
      </c>
      <c r="Q41" s="3" t="e">
        <f t="shared" si="14"/>
        <v>#REF!</v>
      </c>
      <c r="R41" s="4" t="e">
        <f t="shared" si="15"/>
        <v>#REF!</v>
      </c>
      <c r="S41" s="5" t="e">
        <f t="shared" si="3"/>
        <v>#REF!</v>
      </c>
      <c r="T41" s="76" t="e">
        <f t="shared" si="0"/>
        <v>#REF!</v>
      </c>
      <c r="U41" s="76" t="e">
        <f t="shared" si="1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18"/>
        <v>#REF!</v>
      </c>
      <c r="AA41" s="32" t="e">
        <f t="shared" si="19"/>
        <v>#REF!</v>
      </c>
      <c r="AB41" s="32" t="e">
        <f t="shared" si="20"/>
        <v>#REF!</v>
      </c>
      <c r="AC41" s="32" t="e">
        <f t="shared" si="2"/>
        <v>#REF!</v>
      </c>
      <c r="AD41" s="30"/>
      <c r="AE41" s="21" t="str">
        <f t="shared" si="21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8"/>
        <v>18-1</v>
      </c>
      <c r="BS41" s="112">
        <f>OOC!G41</f>
        <v>0.93</v>
      </c>
      <c r="BT41" s="112">
        <f>OOC!H41</f>
        <v>0.89</v>
      </c>
      <c r="BU41" s="3" t="e">
        <f t="shared" si="9"/>
        <v>#REF!</v>
      </c>
      <c r="BV41" s="3" t="e">
        <f t="shared" si="10"/>
        <v>#REF!</v>
      </c>
      <c r="BW41" s="3" t="e">
        <f t="shared" si="11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H41" s="78"/>
      <c r="PG41" s="78"/>
      <c r="VO41" s="78"/>
      <c r="VY41" s="78"/>
      <c r="WF41" s="78"/>
      <c r="YU41" s="78"/>
      <c r="AAI41" s="78"/>
      <c r="AHA41" s="78"/>
      <c r="ALZ41" s="78"/>
      <c r="AOE41" s="78"/>
      <c r="AUX41" s="78"/>
      <c r="BGJ41" s="78"/>
      <c r="BLN41" s="78"/>
      <c r="BND41" s="78"/>
      <c r="BNV41" s="78"/>
      <c r="BTD41" s="78"/>
      <c r="BZJ41" s="78"/>
      <c r="CDQ41" s="78"/>
      <c r="COD41" s="78"/>
      <c r="CRD41" s="78"/>
      <c r="CWS41" s="78"/>
      <c r="CYJ41" s="78"/>
      <c r="CYO41" s="78"/>
      <c r="CZQ41" s="78"/>
      <c r="DIG41" s="78"/>
      <c r="DKM41" s="78"/>
      <c r="DNE41" s="78"/>
      <c r="DOD41" s="78"/>
      <c r="DOI41" s="78"/>
      <c r="DSH41" s="78"/>
      <c r="EDB41" s="78"/>
    </row>
    <row r="42" spans="1:1014 1071:2038 2049:3033 3073:3486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16"/>
        <v>#VALUE!</v>
      </c>
      <c r="M42" s="25" t="e">
        <f t="shared" si="17"/>
        <v>#VALUE!</v>
      </c>
      <c r="N42" s="29"/>
      <c r="O42" s="3" t="e">
        <f t="shared" si="12"/>
        <v>#REF!</v>
      </c>
      <c r="P42" s="3" t="e">
        <f t="shared" si="13"/>
        <v>#REF!</v>
      </c>
      <c r="Q42" s="3" t="e">
        <f t="shared" si="14"/>
        <v>#REF!</v>
      </c>
      <c r="R42" s="4" t="e">
        <f t="shared" si="15"/>
        <v>#REF!</v>
      </c>
      <c r="S42" s="5" t="e">
        <f t="shared" si="3"/>
        <v>#REF!</v>
      </c>
      <c r="T42" s="76" t="e">
        <f t="shared" si="0"/>
        <v>#REF!</v>
      </c>
      <c r="U42" s="76" t="e">
        <f t="shared" si="1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18"/>
        <v>#REF!</v>
      </c>
      <c r="AA42" s="32" t="e">
        <f t="shared" si="19"/>
        <v>#REF!</v>
      </c>
      <c r="AB42" s="32" t="e">
        <f t="shared" si="20"/>
        <v>#REF!</v>
      </c>
      <c r="AC42" s="32" t="e">
        <f t="shared" si="2"/>
        <v>#REF!</v>
      </c>
      <c r="AD42" s="30"/>
      <c r="AE42" s="21" t="str">
        <f t="shared" si="21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8"/>
        <v>18-2</v>
      </c>
      <c r="BS42" s="112">
        <f>OOC!G42</f>
        <v>0.93</v>
      </c>
      <c r="BT42" s="112">
        <f>OOC!H42</f>
        <v>0.89</v>
      </c>
      <c r="BU42" s="3" t="e">
        <f t="shared" si="9"/>
        <v>#REF!</v>
      </c>
      <c r="BV42" s="3" t="e">
        <f t="shared" si="10"/>
        <v>#REF!</v>
      </c>
      <c r="BW42" s="3" t="e">
        <f t="shared" si="11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4 1071:2038 2049:3033 3073:3486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16"/>
        <v>#VALUE!</v>
      </c>
      <c r="M43" s="25" t="e">
        <f t="shared" si="17"/>
        <v>#VALUE!</v>
      </c>
      <c r="N43" s="29"/>
      <c r="O43" s="3" t="e">
        <f t="shared" si="12"/>
        <v>#REF!</v>
      </c>
      <c r="P43" s="3" t="e">
        <f t="shared" si="13"/>
        <v>#REF!</v>
      </c>
      <c r="Q43" s="3" t="e">
        <f t="shared" si="14"/>
        <v>#REF!</v>
      </c>
      <c r="R43" s="4" t="e">
        <f t="shared" si="15"/>
        <v>#REF!</v>
      </c>
      <c r="S43" s="5" t="e">
        <f t="shared" si="3"/>
        <v>#REF!</v>
      </c>
      <c r="T43" s="76" t="e">
        <f t="shared" si="0"/>
        <v>#REF!</v>
      </c>
      <c r="U43" s="76" t="e">
        <f t="shared" si="1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18"/>
        <v>#REF!</v>
      </c>
      <c r="AA43" s="32" t="e">
        <f t="shared" si="19"/>
        <v>#REF!</v>
      </c>
      <c r="AB43" s="32" t="e">
        <f t="shared" si="20"/>
        <v>#REF!</v>
      </c>
      <c r="AC43" s="32" t="e">
        <f t="shared" si="2"/>
        <v>#REF!</v>
      </c>
      <c r="AD43" s="30"/>
      <c r="AE43" s="21" t="str">
        <f t="shared" si="21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8"/>
        <v>18-3</v>
      </c>
      <c r="BS43" s="112">
        <f>OOC!G43</f>
        <v>0.93</v>
      </c>
      <c r="BT43" s="112">
        <f>OOC!H43</f>
        <v>0.89</v>
      </c>
      <c r="BU43" s="3" t="e">
        <f t="shared" si="9"/>
        <v>#REF!</v>
      </c>
      <c r="BV43" s="3" t="e">
        <f t="shared" si="10"/>
        <v>#REF!</v>
      </c>
      <c r="BW43" s="3" t="e">
        <f t="shared" si="11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4 1071:2038 2049:3033 3073:3486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16"/>
        <v>#VALUE!</v>
      </c>
      <c r="M44" s="25" t="e">
        <f t="shared" si="17"/>
        <v>#VALUE!</v>
      </c>
      <c r="N44" s="29"/>
      <c r="O44" s="3" t="e">
        <f t="shared" si="12"/>
        <v>#REF!</v>
      </c>
      <c r="P44" s="3" t="e">
        <f t="shared" si="13"/>
        <v>#REF!</v>
      </c>
      <c r="Q44" s="3" t="e">
        <f t="shared" si="14"/>
        <v>#REF!</v>
      </c>
      <c r="R44" s="4" t="e">
        <f t="shared" si="15"/>
        <v>#REF!</v>
      </c>
      <c r="S44" s="5" t="e">
        <f t="shared" si="3"/>
        <v>#REF!</v>
      </c>
      <c r="T44" s="76" t="e">
        <f t="shared" si="0"/>
        <v>#REF!</v>
      </c>
      <c r="U44" s="76" t="e">
        <f t="shared" si="1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18"/>
        <v>#REF!</v>
      </c>
      <c r="AA44" s="32" t="e">
        <f t="shared" si="19"/>
        <v>#REF!</v>
      </c>
      <c r="AB44" s="32" t="e">
        <f t="shared" si="20"/>
        <v>#REF!</v>
      </c>
      <c r="AC44" s="32" t="e">
        <f t="shared" si="2"/>
        <v>#REF!</v>
      </c>
      <c r="AD44" s="30"/>
      <c r="AE44" s="21" t="str">
        <f t="shared" si="21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8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9"/>
        <v>#REF!</v>
      </c>
      <c r="BV44" s="3" t="e">
        <f t="shared" si="10"/>
        <v>#REF!</v>
      </c>
      <c r="BW44" s="3" t="e">
        <f t="shared" si="11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4 1071:2038 2049:3033 3073:3486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16"/>
        <v>#VALUE!</v>
      </c>
      <c r="M45" s="25" t="e">
        <f t="shared" si="17"/>
        <v>#VALUE!</v>
      </c>
      <c r="N45" s="29"/>
      <c r="O45" s="3" t="e">
        <f t="shared" si="12"/>
        <v>#REF!</v>
      </c>
      <c r="P45" s="3" t="e">
        <f t="shared" si="13"/>
        <v>#REF!</v>
      </c>
      <c r="Q45" s="3" t="e">
        <f t="shared" si="14"/>
        <v>#REF!</v>
      </c>
      <c r="R45" s="4" t="e">
        <f t="shared" si="15"/>
        <v>#REF!</v>
      </c>
      <c r="S45" s="5" t="e">
        <f t="shared" si="3"/>
        <v>#REF!</v>
      </c>
      <c r="T45" s="76" t="e">
        <f t="shared" si="0"/>
        <v>#REF!</v>
      </c>
      <c r="U45" s="76" t="e">
        <f t="shared" si="1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18"/>
        <v>#REF!</v>
      </c>
      <c r="AA45" s="32" t="e">
        <f t="shared" si="19"/>
        <v>#REF!</v>
      </c>
      <c r="AB45" s="32" t="e">
        <f t="shared" si="20"/>
        <v>#REF!</v>
      </c>
      <c r="AC45" s="32" t="e">
        <f t="shared" si="2"/>
        <v>#REF!</v>
      </c>
      <c r="AD45" s="30"/>
      <c r="AE45" s="21" t="str">
        <f t="shared" si="21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8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9"/>
        <v>#REF!</v>
      </c>
      <c r="BV45" s="3" t="e">
        <f t="shared" si="10"/>
        <v>#REF!</v>
      </c>
      <c r="BW45" s="3" t="e">
        <f t="shared" si="11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4 1071:2038 2049:3033 3073:3486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16"/>
        <v>#VALUE!</v>
      </c>
      <c r="M46" s="25" t="e">
        <f t="shared" si="17"/>
        <v>#VALUE!</v>
      </c>
      <c r="N46" s="29"/>
      <c r="O46" s="3" t="e">
        <f t="shared" si="12"/>
        <v>#REF!</v>
      </c>
      <c r="P46" s="3" t="e">
        <f t="shared" si="13"/>
        <v>#REF!</v>
      </c>
      <c r="Q46" s="3" t="e">
        <f t="shared" si="14"/>
        <v>#REF!</v>
      </c>
      <c r="R46" s="4" t="e">
        <f t="shared" si="15"/>
        <v>#REF!</v>
      </c>
      <c r="S46" s="5" t="e">
        <f t="shared" si="3"/>
        <v>#REF!</v>
      </c>
      <c r="T46" s="76" t="e">
        <f t="shared" si="0"/>
        <v>#REF!</v>
      </c>
      <c r="U46" s="76" t="e">
        <f t="shared" si="1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18"/>
        <v>#REF!</v>
      </c>
      <c r="AA46" s="32" t="e">
        <f t="shared" si="19"/>
        <v>#REF!</v>
      </c>
      <c r="AB46" s="32" t="e">
        <f t="shared" si="20"/>
        <v>#REF!</v>
      </c>
      <c r="AC46" s="32" t="e">
        <f t="shared" si="2"/>
        <v>#REF!</v>
      </c>
      <c r="AD46" s="30"/>
      <c r="AE46" s="21" t="str">
        <f t="shared" si="21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8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9"/>
        <v>#REF!</v>
      </c>
      <c r="BV46" s="3" t="e">
        <f t="shared" si="10"/>
        <v>#REF!</v>
      </c>
      <c r="BW46" s="3" t="e">
        <f t="shared" si="11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4 1071:2038 2049:3033 3073:3486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16"/>
        <v>#VALUE!</v>
      </c>
      <c r="M47" s="25" t="e">
        <f t="shared" si="17"/>
        <v>#VALUE!</v>
      </c>
      <c r="N47" s="29"/>
      <c r="O47" s="3" t="e">
        <f t="shared" si="12"/>
        <v>#REF!</v>
      </c>
      <c r="P47" s="3" t="e">
        <f t="shared" si="13"/>
        <v>#REF!</v>
      </c>
      <c r="Q47" s="3" t="e">
        <f t="shared" si="14"/>
        <v>#REF!</v>
      </c>
      <c r="R47" s="4" t="e">
        <f t="shared" si="15"/>
        <v>#REF!</v>
      </c>
      <c r="S47" s="5" t="e">
        <f t="shared" si="3"/>
        <v>#REF!</v>
      </c>
      <c r="T47" s="76" t="e">
        <f t="shared" si="0"/>
        <v>#REF!</v>
      </c>
      <c r="U47" s="76" t="e">
        <f t="shared" si="1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18"/>
        <v>#REF!</v>
      </c>
      <c r="AA47" s="32" t="e">
        <f t="shared" si="19"/>
        <v>#REF!</v>
      </c>
      <c r="AB47" s="32" t="e">
        <f t="shared" si="20"/>
        <v>#REF!</v>
      </c>
      <c r="AC47" s="32" t="e">
        <f t="shared" si="2"/>
        <v>#REF!</v>
      </c>
      <c r="AD47" s="30"/>
      <c r="AE47" s="21" t="str">
        <f t="shared" si="21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8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9"/>
        <v>#REF!</v>
      </c>
      <c r="BV47" s="3" t="e">
        <f t="shared" si="10"/>
        <v>#REF!</v>
      </c>
      <c r="BW47" s="3" t="e">
        <f t="shared" si="11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4 1071:2038 2049:3033 3073:3486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16"/>
        <v>#VALUE!</v>
      </c>
      <c r="M48" s="25" t="e">
        <f t="shared" si="17"/>
        <v>#VALUE!</v>
      </c>
      <c r="N48" s="29"/>
      <c r="O48" s="3" t="e">
        <f t="shared" si="12"/>
        <v>#REF!</v>
      </c>
      <c r="P48" s="3" t="e">
        <f t="shared" si="13"/>
        <v>#REF!</v>
      </c>
      <c r="Q48" s="3" t="e">
        <f t="shared" si="14"/>
        <v>#REF!</v>
      </c>
      <c r="R48" s="4" t="e">
        <f t="shared" si="15"/>
        <v>#REF!</v>
      </c>
      <c r="S48" s="5" t="e">
        <f t="shared" si="3"/>
        <v>#REF!</v>
      </c>
      <c r="T48" s="76" t="e">
        <f t="shared" si="0"/>
        <v>#REF!</v>
      </c>
      <c r="U48" s="76" t="e">
        <f t="shared" si="1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18"/>
        <v>#REF!</v>
      </c>
      <c r="AA48" s="32" t="e">
        <f t="shared" si="19"/>
        <v>#REF!</v>
      </c>
      <c r="AB48" s="32" t="e">
        <f t="shared" si="20"/>
        <v>#REF!</v>
      </c>
      <c r="AC48" s="32" t="e">
        <f t="shared" si="2"/>
        <v>#REF!</v>
      </c>
      <c r="AD48" s="30"/>
      <c r="AE48" s="21" t="str">
        <f t="shared" si="21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8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9"/>
        <v>#REF!</v>
      </c>
      <c r="BV48" s="3" t="e">
        <f t="shared" si="10"/>
        <v>#REF!</v>
      </c>
      <c r="BW48" s="3" t="e">
        <f t="shared" si="11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16"/>
        <v>#VALUE!</v>
      </c>
      <c r="M49" s="25" t="e">
        <f t="shared" si="17"/>
        <v>#VALUE!</v>
      </c>
      <c r="N49" s="29"/>
      <c r="O49" s="3" t="e">
        <f t="shared" si="12"/>
        <v>#REF!</v>
      </c>
      <c r="P49" s="3" t="e">
        <f t="shared" si="13"/>
        <v>#REF!</v>
      </c>
      <c r="Q49" s="3" t="e">
        <f t="shared" si="14"/>
        <v>#REF!</v>
      </c>
      <c r="R49" s="4" t="e">
        <f t="shared" si="15"/>
        <v>#REF!</v>
      </c>
      <c r="S49" s="5" t="e">
        <f t="shared" si="3"/>
        <v>#REF!</v>
      </c>
      <c r="T49" s="76" t="e">
        <f t="shared" si="0"/>
        <v>#REF!</v>
      </c>
      <c r="U49" s="76" t="e">
        <f t="shared" si="1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18"/>
        <v>#REF!</v>
      </c>
      <c r="AA49" s="32" t="e">
        <f t="shared" si="19"/>
        <v>#REF!</v>
      </c>
      <c r="AB49" s="32" t="e">
        <f t="shared" si="20"/>
        <v>#REF!</v>
      </c>
      <c r="AC49" s="32" t="e">
        <f t="shared" si="2"/>
        <v>#REF!</v>
      </c>
      <c r="AD49" s="30"/>
      <c r="AE49" s="21" t="str">
        <f t="shared" si="21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8"/>
        <v>25</v>
      </c>
      <c r="BS49" s="112">
        <f>OOC!G49</f>
        <v>12.581999999999999</v>
      </c>
      <c r="BT49" s="112">
        <f>OOC!H49</f>
        <v>12.542</v>
      </c>
      <c r="BU49" s="3" t="e">
        <f t="shared" si="9"/>
        <v>#REF!</v>
      </c>
      <c r="BV49" s="3" t="e">
        <f t="shared" si="10"/>
        <v>#REF!</v>
      </c>
      <c r="BW49" s="3" t="e">
        <f t="shared" si="11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16"/>
        <v>#VALUE!</v>
      </c>
      <c r="M50" s="25" t="e">
        <f t="shared" si="17"/>
        <v>#VALUE!</v>
      </c>
      <c r="N50" s="29"/>
      <c r="O50" s="3" t="e">
        <f t="shared" si="12"/>
        <v>#REF!</v>
      </c>
      <c r="P50" s="3" t="e">
        <f t="shared" si="13"/>
        <v>#REF!</v>
      </c>
      <c r="Q50" s="3" t="e">
        <f t="shared" si="14"/>
        <v>#REF!</v>
      </c>
      <c r="R50" s="4" t="e">
        <f t="shared" si="15"/>
        <v>#REF!</v>
      </c>
      <c r="S50" s="5" t="e">
        <f t="shared" si="3"/>
        <v>#REF!</v>
      </c>
      <c r="T50" s="76" t="e">
        <f t="shared" si="0"/>
        <v>#REF!</v>
      </c>
      <c r="U50" s="76" t="e">
        <f t="shared" si="1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18"/>
        <v>#REF!</v>
      </c>
      <c r="AA50" s="32" t="e">
        <f t="shared" si="19"/>
        <v>#REF!</v>
      </c>
      <c r="AB50" s="32" t="e">
        <f t="shared" si="20"/>
        <v>#REF!</v>
      </c>
      <c r="AC50" s="32" t="e">
        <f t="shared" si="2"/>
        <v>#REF!</v>
      </c>
      <c r="AD50" s="30"/>
      <c r="AE50" s="21" t="str">
        <f t="shared" si="21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8"/>
        <v>26</v>
      </c>
      <c r="BS50" s="112">
        <f>OOC!G50</f>
        <v>12.352</v>
      </c>
      <c r="BT50" s="112">
        <f>OOC!H50</f>
        <v>12.312000000000001</v>
      </c>
      <c r="BU50" s="3" t="e">
        <f t="shared" si="9"/>
        <v>#REF!</v>
      </c>
      <c r="BV50" s="3" t="e">
        <f t="shared" si="10"/>
        <v>#REF!</v>
      </c>
      <c r="BW50" s="3" t="e">
        <f t="shared" si="11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16"/>
        <v>#VALUE!</v>
      </c>
      <c r="M51" s="25" t="e">
        <f t="shared" si="17"/>
        <v>#VALUE!</v>
      </c>
      <c r="N51" s="29"/>
      <c r="O51" s="3" t="e">
        <f t="shared" si="12"/>
        <v>#REF!</v>
      </c>
      <c r="P51" s="3" t="e">
        <f t="shared" si="13"/>
        <v>#REF!</v>
      </c>
      <c r="Q51" s="3" t="e">
        <f t="shared" si="14"/>
        <v>#REF!</v>
      </c>
      <c r="R51" s="4" t="e">
        <f t="shared" si="15"/>
        <v>#REF!</v>
      </c>
      <c r="S51" s="5" t="e">
        <f t="shared" si="3"/>
        <v>#REF!</v>
      </c>
      <c r="T51" s="76" t="e">
        <f t="shared" si="0"/>
        <v>#REF!</v>
      </c>
      <c r="U51" s="76" t="e">
        <f t="shared" si="1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18"/>
        <v>#REF!</v>
      </c>
      <c r="AA51" s="32" t="e">
        <f t="shared" si="19"/>
        <v>#REF!</v>
      </c>
      <c r="AB51" s="32" t="e">
        <f t="shared" si="20"/>
        <v>#REF!</v>
      </c>
      <c r="AC51" s="32" t="e">
        <f t="shared" si="2"/>
        <v>#REF!</v>
      </c>
      <c r="AD51" s="30"/>
      <c r="AE51" s="21" t="str">
        <f t="shared" si="21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8"/>
        <v>27-1</v>
      </c>
      <c r="BS51" s="112">
        <f>OOC!G51</f>
        <v>0.38</v>
      </c>
      <c r="BT51" s="112">
        <f>OOC!H51</f>
        <v>0.32999999999999996</v>
      </c>
      <c r="BU51" s="3" t="e">
        <f t="shared" si="9"/>
        <v>#REF!</v>
      </c>
      <c r="BV51" s="3" t="e">
        <f t="shared" si="10"/>
        <v>#REF!</v>
      </c>
      <c r="BW51" s="3" t="e">
        <f t="shared" si="11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16"/>
        <v>#VALUE!</v>
      </c>
      <c r="M52" s="25" t="e">
        <f t="shared" si="17"/>
        <v>#VALUE!</v>
      </c>
      <c r="N52" s="29"/>
      <c r="O52" s="3" t="e">
        <f t="shared" si="12"/>
        <v>#REF!</v>
      </c>
      <c r="P52" s="3" t="e">
        <f t="shared" si="13"/>
        <v>#REF!</v>
      </c>
      <c r="Q52" s="3" t="e">
        <f t="shared" si="14"/>
        <v>#REF!</v>
      </c>
      <c r="R52" s="4" t="e">
        <f t="shared" si="15"/>
        <v>#REF!</v>
      </c>
      <c r="S52" s="5" t="e">
        <f t="shared" si="3"/>
        <v>#REF!</v>
      </c>
      <c r="T52" s="76" t="e">
        <f t="shared" si="0"/>
        <v>#REF!</v>
      </c>
      <c r="U52" s="76" t="e">
        <f t="shared" si="1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18"/>
        <v>#REF!</v>
      </c>
      <c r="AA52" s="32" t="e">
        <f t="shared" si="19"/>
        <v>#REF!</v>
      </c>
      <c r="AB52" s="32" t="e">
        <f t="shared" si="20"/>
        <v>#REF!</v>
      </c>
      <c r="AC52" s="32" t="e">
        <f t="shared" si="2"/>
        <v>#REF!</v>
      </c>
      <c r="AD52" s="30"/>
      <c r="AE52" s="21" t="str">
        <f t="shared" si="21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8"/>
        <v>27-2</v>
      </c>
      <c r="BS52" s="112">
        <f>OOC!G52</f>
        <v>0.38</v>
      </c>
      <c r="BT52" s="112">
        <f>OOC!H52</f>
        <v>0.32999999999999996</v>
      </c>
      <c r="BU52" s="3" t="e">
        <f t="shared" si="9"/>
        <v>#REF!</v>
      </c>
      <c r="BV52" s="3" t="e">
        <f t="shared" si="10"/>
        <v>#REF!</v>
      </c>
      <c r="BW52" s="3" t="e">
        <f t="shared" si="11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16"/>
        <v>#VALUE!</v>
      </c>
      <c r="M53" s="25" t="e">
        <f t="shared" si="17"/>
        <v>#VALUE!</v>
      </c>
      <c r="N53" s="29"/>
      <c r="O53" s="3" t="e">
        <f t="shared" si="12"/>
        <v>#REF!</v>
      </c>
      <c r="P53" s="3" t="e">
        <f t="shared" si="13"/>
        <v>#REF!</v>
      </c>
      <c r="Q53" s="3" t="e">
        <f t="shared" si="14"/>
        <v>#REF!</v>
      </c>
      <c r="R53" s="4" t="e">
        <f t="shared" si="15"/>
        <v>#REF!</v>
      </c>
      <c r="S53" s="5" t="e">
        <f t="shared" si="3"/>
        <v>#REF!</v>
      </c>
      <c r="T53" s="76" t="e">
        <f t="shared" si="0"/>
        <v>#REF!</v>
      </c>
      <c r="U53" s="76" t="e">
        <f t="shared" si="1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18"/>
        <v>#REF!</v>
      </c>
      <c r="AA53" s="32" t="e">
        <f t="shared" si="19"/>
        <v>#REF!</v>
      </c>
      <c r="AB53" s="32" t="e">
        <f t="shared" si="20"/>
        <v>#REF!</v>
      </c>
      <c r="AC53" s="32" t="e">
        <f t="shared" si="2"/>
        <v>#REF!</v>
      </c>
      <c r="AD53" s="30"/>
      <c r="AE53" s="21" t="str">
        <f t="shared" si="21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8"/>
        <v>27-3</v>
      </c>
      <c r="BS53" s="112">
        <f>OOC!G53</f>
        <v>0.38</v>
      </c>
      <c r="BT53" s="112">
        <f>OOC!H53</f>
        <v>0.32999999999999996</v>
      </c>
      <c r="BU53" s="3" t="e">
        <f t="shared" si="9"/>
        <v>#REF!</v>
      </c>
      <c r="BV53" s="3" t="e">
        <f t="shared" si="10"/>
        <v>#REF!</v>
      </c>
      <c r="BW53" s="3" t="e">
        <f t="shared" si="11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16"/>
        <v>#VALUE!</v>
      </c>
      <c r="M54" s="25" t="e">
        <f t="shared" si="17"/>
        <v>#VALUE!</v>
      </c>
      <c r="N54" s="29"/>
      <c r="O54" s="3" t="e">
        <f t="shared" si="12"/>
        <v>#REF!</v>
      </c>
      <c r="P54" s="3" t="e">
        <f t="shared" si="13"/>
        <v>#REF!</v>
      </c>
      <c r="Q54" s="3" t="e">
        <f t="shared" si="14"/>
        <v>#REF!</v>
      </c>
      <c r="R54" s="4" t="e">
        <f t="shared" si="15"/>
        <v>#REF!</v>
      </c>
      <c r="S54" s="5" t="e">
        <f t="shared" si="3"/>
        <v>#REF!</v>
      </c>
      <c r="T54" s="76" t="e">
        <f t="shared" si="0"/>
        <v>#REF!</v>
      </c>
      <c r="U54" s="76" t="e">
        <f t="shared" si="1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18"/>
        <v>#REF!</v>
      </c>
      <c r="AA54" s="32" t="e">
        <f t="shared" si="19"/>
        <v>#REF!</v>
      </c>
      <c r="AB54" s="32" t="e">
        <f t="shared" si="20"/>
        <v>#REF!</v>
      </c>
      <c r="AC54" s="32" t="e">
        <f t="shared" si="2"/>
        <v>#REF!</v>
      </c>
      <c r="AD54" s="30"/>
      <c r="AE54" s="21" t="str">
        <f t="shared" si="21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8"/>
        <v>27-4</v>
      </c>
      <c r="BS54" s="112">
        <f>OOC!G54</f>
        <v>0.38</v>
      </c>
      <c r="BT54" s="112">
        <f>OOC!H54</f>
        <v>0.32999999999999996</v>
      </c>
      <c r="BU54" s="3" t="e">
        <f t="shared" si="9"/>
        <v>#REF!</v>
      </c>
      <c r="BV54" s="3" t="e">
        <f t="shared" si="10"/>
        <v>#REF!</v>
      </c>
      <c r="BW54" s="3" t="e">
        <f t="shared" si="11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16"/>
        <v>#VALUE!</v>
      </c>
      <c r="M55" s="25" t="e">
        <f t="shared" si="17"/>
        <v>#VALUE!</v>
      </c>
      <c r="N55" s="29"/>
      <c r="O55" s="3" t="e">
        <f t="shared" si="12"/>
        <v>#REF!</v>
      </c>
      <c r="P55" s="3" t="e">
        <f t="shared" si="13"/>
        <v>#REF!</v>
      </c>
      <c r="Q55" s="3" t="e">
        <f t="shared" si="14"/>
        <v>#REF!</v>
      </c>
      <c r="R55" s="4" t="e">
        <f t="shared" si="15"/>
        <v>#REF!</v>
      </c>
      <c r="S55" s="5" t="e">
        <f t="shared" si="3"/>
        <v>#REF!</v>
      </c>
      <c r="T55" s="76" t="e">
        <f t="shared" si="0"/>
        <v>#REF!</v>
      </c>
      <c r="U55" s="76" t="e">
        <f t="shared" si="1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18"/>
        <v>#REF!</v>
      </c>
      <c r="AA55" s="32" t="e">
        <f t="shared" si="19"/>
        <v>#REF!</v>
      </c>
      <c r="AB55" s="32" t="e">
        <f t="shared" si="20"/>
        <v>#REF!</v>
      </c>
      <c r="AC55" s="32" t="e">
        <f t="shared" si="2"/>
        <v>#REF!</v>
      </c>
      <c r="AD55" s="30"/>
      <c r="AE55" s="21" t="str">
        <f t="shared" si="21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8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9"/>
        <v>#REF!</v>
      </c>
      <c r="BV55" s="3" t="e">
        <f t="shared" si="10"/>
        <v>#REF!</v>
      </c>
      <c r="BW55" s="3" t="e">
        <f t="shared" si="11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16"/>
        <v>#VALUE!</v>
      </c>
      <c r="M56" s="25" t="e">
        <f t="shared" si="17"/>
        <v>#VALUE!</v>
      </c>
      <c r="N56" s="29"/>
      <c r="O56" s="3" t="e">
        <f t="shared" si="12"/>
        <v>#REF!</v>
      </c>
      <c r="P56" s="3" t="e">
        <f t="shared" si="13"/>
        <v>#REF!</v>
      </c>
      <c r="Q56" s="3" t="e">
        <f t="shared" si="14"/>
        <v>#REF!</v>
      </c>
      <c r="R56" s="4" t="e">
        <f t="shared" si="15"/>
        <v>#REF!</v>
      </c>
      <c r="S56" s="5" t="e">
        <f t="shared" si="3"/>
        <v>#REF!</v>
      </c>
      <c r="T56" s="76" t="e">
        <f t="shared" si="0"/>
        <v>#REF!</v>
      </c>
      <c r="U56" s="76" t="e">
        <f t="shared" si="1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18"/>
        <v>#REF!</v>
      </c>
      <c r="AA56" s="32" t="e">
        <f t="shared" si="19"/>
        <v>#REF!</v>
      </c>
      <c r="AB56" s="32" t="e">
        <f t="shared" si="20"/>
        <v>#REF!</v>
      </c>
      <c r="AC56" s="32" t="e">
        <f t="shared" si="2"/>
        <v>#REF!</v>
      </c>
      <c r="AD56" s="30"/>
      <c r="AE56" s="21" t="str">
        <f t="shared" si="21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8"/>
        <v>29</v>
      </c>
      <c r="BS56" s="112">
        <f>OOC!G56</f>
        <v>1.6</v>
      </c>
      <c r="BT56" s="112">
        <f>OOC!H56</f>
        <v>1.56</v>
      </c>
      <c r="BU56" s="3" t="e">
        <f t="shared" si="9"/>
        <v>#REF!</v>
      </c>
      <c r="BV56" s="3" t="e">
        <f t="shared" si="10"/>
        <v>#REF!</v>
      </c>
      <c r="BW56" s="3" t="e">
        <f t="shared" si="11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16"/>
        <v>#VALUE!</v>
      </c>
      <c r="M57" s="25" t="e">
        <f t="shared" si="17"/>
        <v>#VALUE!</v>
      </c>
      <c r="N57" s="29"/>
      <c r="O57" s="3" t="e">
        <f t="shared" si="12"/>
        <v>#REF!</v>
      </c>
      <c r="P57" s="3" t="e">
        <f t="shared" si="13"/>
        <v>#REF!</v>
      </c>
      <c r="Q57" s="3" t="e">
        <f t="shared" si="14"/>
        <v>#REF!</v>
      </c>
      <c r="R57" s="4" t="e">
        <f t="shared" si="15"/>
        <v>#REF!</v>
      </c>
      <c r="S57" s="5" t="e">
        <f t="shared" si="3"/>
        <v>#REF!</v>
      </c>
      <c r="T57" s="76" t="e">
        <f t="shared" si="0"/>
        <v>#REF!</v>
      </c>
      <c r="U57" s="76" t="e">
        <f t="shared" si="1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18"/>
        <v>#REF!</v>
      </c>
      <c r="AA57" s="32" t="e">
        <f t="shared" si="19"/>
        <v>#REF!</v>
      </c>
      <c r="AB57" s="32" t="e">
        <f t="shared" si="20"/>
        <v>#REF!</v>
      </c>
      <c r="AC57" s="32" t="e">
        <f t="shared" si="2"/>
        <v>#REF!</v>
      </c>
      <c r="AD57" s="30"/>
      <c r="AE57" s="21" t="str">
        <f t="shared" si="21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8"/>
        <v>30-1</v>
      </c>
      <c r="BS57" s="112">
        <f>OOC!G57</f>
        <v>1.87</v>
      </c>
      <c r="BT57" s="112">
        <f>OOC!H57</f>
        <v>1.83</v>
      </c>
      <c r="BU57" s="3" t="e">
        <f t="shared" si="9"/>
        <v>#REF!</v>
      </c>
      <c r="BV57" s="3" t="e">
        <f t="shared" si="10"/>
        <v>#REF!</v>
      </c>
      <c r="BW57" s="3" t="e">
        <f t="shared" si="11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16"/>
        <v>#VALUE!</v>
      </c>
      <c r="M58" s="25" t="e">
        <f t="shared" si="17"/>
        <v>#VALUE!</v>
      </c>
      <c r="N58" s="29"/>
      <c r="O58" s="3" t="e">
        <f t="shared" si="12"/>
        <v>#REF!</v>
      </c>
      <c r="P58" s="3" t="e">
        <f t="shared" si="13"/>
        <v>#REF!</v>
      </c>
      <c r="Q58" s="3" t="e">
        <f t="shared" si="14"/>
        <v>#REF!</v>
      </c>
      <c r="R58" s="4" t="e">
        <f t="shared" si="15"/>
        <v>#REF!</v>
      </c>
      <c r="S58" s="5" t="e">
        <f t="shared" si="3"/>
        <v>#REF!</v>
      </c>
      <c r="T58" s="76" t="e">
        <f t="shared" si="0"/>
        <v>#REF!</v>
      </c>
      <c r="U58" s="76" t="e">
        <f t="shared" si="1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18"/>
        <v>#REF!</v>
      </c>
      <c r="AA58" s="32" t="e">
        <f t="shared" si="19"/>
        <v>#REF!</v>
      </c>
      <c r="AB58" s="32" t="e">
        <f t="shared" si="20"/>
        <v>#REF!</v>
      </c>
      <c r="AC58" s="32" t="e">
        <f t="shared" si="2"/>
        <v>#REF!</v>
      </c>
      <c r="AD58" s="30"/>
      <c r="AE58" s="21" t="str">
        <f t="shared" si="21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8"/>
        <v>30-2</v>
      </c>
      <c r="BS58" s="112">
        <f>OOC!G58</f>
        <v>1.87</v>
      </c>
      <c r="BT58" s="112">
        <f>OOC!H58</f>
        <v>1.83</v>
      </c>
      <c r="BU58" s="3" t="e">
        <f t="shared" si="9"/>
        <v>#REF!</v>
      </c>
      <c r="BV58" s="3" t="e">
        <f t="shared" si="10"/>
        <v>#REF!</v>
      </c>
      <c r="BW58" s="3" t="e">
        <f t="shared" si="11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16"/>
        <v>#VALUE!</v>
      </c>
      <c r="M59" s="25" t="e">
        <f t="shared" si="17"/>
        <v>#VALUE!</v>
      </c>
      <c r="N59" s="29"/>
      <c r="O59" s="3" t="e">
        <f t="shared" si="12"/>
        <v>#REF!</v>
      </c>
      <c r="P59" s="3" t="e">
        <f t="shared" si="13"/>
        <v>#REF!</v>
      </c>
      <c r="Q59" s="3" t="e">
        <f t="shared" si="14"/>
        <v>#REF!</v>
      </c>
      <c r="R59" s="4" t="e">
        <f t="shared" si="15"/>
        <v>#REF!</v>
      </c>
      <c r="S59" s="5" t="e">
        <f t="shared" si="3"/>
        <v>#REF!</v>
      </c>
      <c r="T59" s="76" t="e">
        <f t="shared" si="0"/>
        <v>#REF!</v>
      </c>
      <c r="U59" s="76" t="e">
        <f t="shared" si="1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18"/>
        <v>#REF!</v>
      </c>
      <c r="AA59" s="32" t="e">
        <f t="shared" si="19"/>
        <v>#REF!</v>
      </c>
      <c r="AB59" s="32" t="e">
        <f t="shared" si="20"/>
        <v>#REF!</v>
      </c>
      <c r="AC59" s="32" t="e">
        <f t="shared" si="2"/>
        <v>#REF!</v>
      </c>
      <c r="AD59" s="30"/>
      <c r="AE59" s="21" t="str">
        <f t="shared" si="21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8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9"/>
        <v>#REF!</v>
      </c>
      <c r="BV59" s="3" t="e">
        <f t="shared" si="10"/>
        <v>#REF!</v>
      </c>
      <c r="BW59" s="3" t="e">
        <f t="shared" si="11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16"/>
        <v>#VALUE!</v>
      </c>
      <c r="M60" s="25" t="e">
        <f t="shared" si="17"/>
        <v>#VALUE!</v>
      </c>
      <c r="N60" s="29"/>
      <c r="O60" s="3" t="e">
        <f t="shared" si="12"/>
        <v>#REF!</v>
      </c>
      <c r="P60" s="3" t="e">
        <f t="shared" si="13"/>
        <v>#REF!</v>
      </c>
      <c r="Q60" s="3" t="e">
        <f t="shared" si="14"/>
        <v>#REF!</v>
      </c>
      <c r="R60" s="4" t="e">
        <f t="shared" si="15"/>
        <v>#REF!</v>
      </c>
      <c r="S60" s="5" t="e">
        <f t="shared" si="3"/>
        <v>#REF!</v>
      </c>
      <c r="T60" s="76" t="e">
        <f t="shared" si="0"/>
        <v>#REF!</v>
      </c>
      <c r="U60" s="76" t="e">
        <f t="shared" si="1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18"/>
        <v>#REF!</v>
      </c>
      <c r="AA60" s="32" t="e">
        <f t="shared" si="19"/>
        <v>#REF!</v>
      </c>
      <c r="AB60" s="32" t="e">
        <f t="shared" si="20"/>
        <v>#REF!</v>
      </c>
      <c r="AC60" s="32" t="e">
        <f t="shared" si="2"/>
        <v>#REF!</v>
      </c>
      <c r="AD60" s="30"/>
      <c r="AE60" s="21" t="str">
        <f t="shared" si="21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8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9"/>
        <v>#REF!</v>
      </c>
      <c r="BV60" s="3" t="e">
        <f t="shared" si="10"/>
        <v>#REF!</v>
      </c>
      <c r="BW60" s="3" t="e">
        <f t="shared" si="11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16"/>
        <v>#VALUE!</v>
      </c>
      <c r="M61" s="25" t="e">
        <f t="shared" si="17"/>
        <v>#VALUE!</v>
      </c>
      <c r="N61" s="29"/>
      <c r="O61" s="3" t="e">
        <f t="shared" si="12"/>
        <v>#REF!</v>
      </c>
      <c r="P61" s="3" t="e">
        <f t="shared" si="13"/>
        <v>#REF!</v>
      </c>
      <c r="Q61" s="3" t="e">
        <f t="shared" si="14"/>
        <v>#REF!</v>
      </c>
      <c r="R61" s="4" t="e">
        <f t="shared" si="15"/>
        <v>#REF!</v>
      </c>
      <c r="S61" s="5" t="e">
        <f t="shared" si="3"/>
        <v>#REF!</v>
      </c>
      <c r="T61" s="76" t="e">
        <f t="shared" si="0"/>
        <v>#REF!</v>
      </c>
      <c r="U61" s="76" t="e">
        <f t="shared" si="1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18"/>
        <v>#REF!</v>
      </c>
      <c r="AA61" s="32" t="e">
        <f t="shared" si="19"/>
        <v>#REF!</v>
      </c>
      <c r="AB61" s="32" t="e">
        <f t="shared" si="20"/>
        <v>#REF!</v>
      </c>
      <c r="AC61" s="32" t="e">
        <f t="shared" si="2"/>
        <v>#REF!</v>
      </c>
      <c r="AD61" s="30"/>
      <c r="AE61" s="21" t="str">
        <f t="shared" si="21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8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9"/>
        <v>#REF!</v>
      </c>
      <c r="BV61" s="3" t="e">
        <f t="shared" si="10"/>
        <v>#REF!</v>
      </c>
      <c r="BW61" s="3" t="e">
        <f t="shared" si="11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16"/>
        <v>#VALUE!</v>
      </c>
      <c r="M62" s="25" t="e">
        <f t="shared" si="17"/>
        <v>#VALUE!</v>
      </c>
      <c r="N62" s="29"/>
      <c r="O62" s="3" t="e">
        <f t="shared" si="12"/>
        <v>#REF!</v>
      </c>
      <c r="P62" s="3" t="e">
        <f t="shared" si="13"/>
        <v>#REF!</v>
      </c>
      <c r="Q62" s="3" t="e">
        <f t="shared" si="14"/>
        <v>#REF!</v>
      </c>
      <c r="R62" s="4" t="e">
        <f t="shared" si="15"/>
        <v>#REF!</v>
      </c>
      <c r="S62" s="5" t="e">
        <f t="shared" si="3"/>
        <v>#REF!</v>
      </c>
      <c r="T62" s="76" t="e">
        <f t="shared" si="0"/>
        <v>#REF!</v>
      </c>
      <c r="U62" s="76" t="e">
        <f t="shared" si="1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18"/>
        <v>#REF!</v>
      </c>
      <c r="AA62" s="32" t="e">
        <f t="shared" si="19"/>
        <v>#REF!</v>
      </c>
      <c r="AB62" s="32" t="e">
        <f t="shared" si="20"/>
        <v>#REF!</v>
      </c>
      <c r="AC62" s="32" t="e">
        <f t="shared" si="2"/>
        <v>#REF!</v>
      </c>
      <c r="AD62" s="30"/>
      <c r="AE62" s="21" t="str">
        <f t="shared" si="21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8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9"/>
        <v>#REF!</v>
      </c>
      <c r="BV62" s="3" t="e">
        <f t="shared" si="10"/>
        <v>#REF!</v>
      </c>
      <c r="BW62" s="3" t="e">
        <f t="shared" si="11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16"/>
        <v>#VALUE!</v>
      </c>
      <c r="M63" s="25" t="e">
        <f t="shared" si="17"/>
        <v>#VALUE!</v>
      </c>
      <c r="N63" s="29"/>
      <c r="O63" s="3" t="e">
        <f t="shared" si="12"/>
        <v>#REF!</v>
      </c>
      <c r="P63" s="3" t="e">
        <f t="shared" si="13"/>
        <v>#REF!</v>
      </c>
      <c r="Q63" s="3" t="e">
        <f t="shared" si="14"/>
        <v>#REF!</v>
      </c>
      <c r="R63" s="4" t="e">
        <f t="shared" si="15"/>
        <v>#REF!</v>
      </c>
      <c r="S63" s="5" t="e">
        <f t="shared" si="3"/>
        <v>#REF!</v>
      </c>
      <c r="T63" s="76" t="e">
        <f t="shared" si="0"/>
        <v>#REF!</v>
      </c>
      <c r="U63" s="76" t="e">
        <f t="shared" si="1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18"/>
        <v>#REF!</v>
      </c>
      <c r="AA63" s="32" t="e">
        <f t="shared" si="19"/>
        <v>#REF!</v>
      </c>
      <c r="AB63" s="32" t="e">
        <f t="shared" si="20"/>
        <v>#REF!</v>
      </c>
      <c r="AC63" s="32" t="e">
        <f t="shared" si="2"/>
        <v>#REF!</v>
      </c>
      <c r="AD63" s="30"/>
      <c r="AE63" s="21" t="str">
        <f t="shared" si="21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8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9"/>
        <v>#REF!</v>
      </c>
      <c r="BV63" s="3" t="e">
        <f t="shared" si="10"/>
        <v>#REF!</v>
      </c>
      <c r="BW63" s="3" t="e">
        <f t="shared" si="11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16"/>
        <v>#VALUE!</v>
      </c>
      <c r="M64" s="25" t="e">
        <f t="shared" si="17"/>
        <v>#VALUE!</v>
      </c>
      <c r="N64" s="29"/>
      <c r="O64" s="3" t="e">
        <f t="shared" si="12"/>
        <v>#REF!</v>
      </c>
      <c r="P64" s="3" t="e">
        <f t="shared" si="13"/>
        <v>#REF!</v>
      </c>
      <c r="Q64" s="3" t="e">
        <f t="shared" si="14"/>
        <v>#REF!</v>
      </c>
      <c r="R64" s="4" t="e">
        <f t="shared" si="15"/>
        <v>#REF!</v>
      </c>
      <c r="S64" s="5" t="e">
        <f t="shared" si="3"/>
        <v>#REF!</v>
      </c>
      <c r="T64" s="76" t="e">
        <f t="shared" si="0"/>
        <v>#REF!</v>
      </c>
      <c r="U64" s="76" t="e">
        <f t="shared" si="1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18"/>
        <v>#REF!</v>
      </c>
      <c r="AA64" s="32" t="e">
        <f t="shared" si="19"/>
        <v>#REF!</v>
      </c>
      <c r="AB64" s="32" t="e">
        <f t="shared" si="20"/>
        <v>#REF!</v>
      </c>
      <c r="AC64" s="32" t="e">
        <f t="shared" si="2"/>
        <v>#REF!</v>
      </c>
      <c r="AD64" s="30"/>
      <c r="AE64" s="21" t="str">
        <f t="shared" si="21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8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9"/>
        <v>#REF!</v>
      </c>
      <c r="BV64" s="3" t="e">
        <f t="shared" si="10"/>
        <v>#REF!</v>
      </c>
      <c r="BW64" s="3" t="e">
        <f t="shared" si="11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16"/>
        <v>#VALUE!</v>
      </c>
      <c r="M65" s="25" t="e">
        <f t="shared" si="17"/>
        <v>#VALUE!</v>
      </c>
      <c r="N65" s="29"/>
      <c r="O65" s="3" t="e">
        <f t="shared" si="12"/>
        <v>#REF!</v>
      </c>
      <c r="P65" s="3" t="e">
        <f t="shared" si="13"/>
        <v>#REF!</v>
      </c>
      <c r="Q65" s="3" t="e">
        <f t="shared" si="14"/>
        <v>#REF!</v>
      </c>
      <c r="R65" s="4" t="e">
        <f t="shared" si="15"/>
        <v>#REF!</v>
      </c>
      <c r="S65" s="5" t="e">
        <f t="shared" si="3"/>
        <v>#REF!</v>
      </c>
      <c r="T65" s="76" t="e">
        <f t="shared" si="0"/>
        <v>#REF!</v>
      </c>
      <c r="U65" s="76" t="e">
        <f t="shared" si="1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18"/>
        <v>#REF!</v>
      </c>
      <c r="AA65" s="32" t="e">
        <f t="shared" si="19"/>
        <v>#REF!</v>
      </c>
      <c r="AB65" s="32" t="e">
        <f t="shared" si="20"/>
        <v>#REF!</v>
      </c>
      <c r="AC65" s="32" t="e">
        <f t="shared" si="2"/>
        <v>#REF!</v>
      </c>
      <c r="AD65" s="30"/>
      <c r="AE65" s="21" t="str">
        <f t="shared" si="21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8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9"/>
        <v>#REF!</v>
      </c>
      <c r="BV65" s="3" t="e">
        <f t="shared" si="10"/>
        <v>#REF!</v>
      </c>
      <c r="BW65" s="3" t="e">
        <f t="shared" si="11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16"/>
        <v>#VALUE!</v>
      </c>
      <c r="M66" s="25" t="e">
        <f t="shared" si="17"/>
        <v>#VALUE!</v>
      </c>
      <c r="N66" s="29"/>
      <c r="O66" s="3" t="e">
        <f t="shared" si="12"/>
        <v>#REF!</v>
      </c>
      <c r="P66" s="3" t="e">
        <f t="shared" si="13"/>
        <v>#REF!</v>
      </c>
      <c r="Q66" s="3" t="e">
        <f t="shared" si="14"/>
        <v>#REF!</v>
      </c>
      <c r="R66" s="4" t="e">
        <f t="shared" si="15"/>
        <v>#REF!</v>
      </c>
      <c r="S66" s="5" t="e">
        <f t="shared" si="3"/>
        <v>#REF!</v>
      </c>
      <c r="T66" s="76" t="e">
        <f t="shared" si="0"/>
        <v>#REF!</v>
      </c>
      <c r="U66" s="76" t="e">
        <f t="shared" si="1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18"/>
        <v>#REF!</v>
      </c>
      <c r="AA66" s="32" t="e">
        <f t="shared" si="19"/>
        <v>#REF!</v>
      </c>
      <c r="AB66" s="32" t="e">
        <f t="shared" si="20"/>
        <v>#REF!</v>
      </c>
      <c r="AC66" s="32" t="e">
        <f t="shared" si="2"/>
        <v>#REF!</v>
      </c>
      <c r="AD66" s="30"/>
      <c r="AE66" s="21" t="str">
        <f t="shared" si="21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8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9"/>
        <v>#REF!</v>
      </c>
      <c r="BV66" s="3" t="e">
        <f t="shared" si="10"/>
        <v>#REF!</v>
      </c>
      <c r="BW66" s="3" t="e">
        <f t="shared" si="11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16"/>
        <v>#VALUE!</v>
      </c>
      <c r="M67" s="25" t="e">
        <f t="shared" si="17"/>
        <v>#VALUE!</v>
      </c>
      <c r="N67" s="29"/>
      <c r="O67" s="3" t="e">
        <f t="shared" si="12"/>
        <v>#REF!</v>
      </c>
      <c r="P67" s="3" t="e">
        <f t="shared" si="13"/>
        <v>#REF!</v>
      </c>
      <c r="Q67" s="3" t="e">
        <f t="shared" si="14"/>
        <v>#REF!</v>
      </c>
      <c r="R67" s="4" t="e">
        <f t="shared" si="15"/>
        <v>#REF!</v>
      </c>
      <c r="S67" s="5" t="e">
        <f t="shared" si="3"/>
        <v>#REF!</v>
      </c>
      <c r="T67" s="76" t="e">
        <f t="shared" si="0"/>
        <v>#REF!</v>
      </c>
      <c r="U67" s="76" t="e">
        <f t="shared" si="1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18"/>
        <v>#REF!</v>
      </c>
      <c r="AA67" s="32" t="e">
        <f t="shared" si="19"/>
        <v>#REF!</v>
      </c>
      <c r="AB67" s="32" t="e">
        <f t="shared" si="20"/>
        <v>#REF!</v>
      </c>
      <c r="AC67" s="32" t="e">
        <f t="shared" si="2"/>
        <v>#REF!</v>
      </c>
      <c r="AD67" s="30"/>
      <c r="AE67" s="21" t="str">
        <f t="shared" si="21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8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9"/>
        <v>#REF!</v>
      </c>
      <c r="BV67" s="3" t="e">
        <f t="shared" si="10"/>
        <v>#REF!</v>
      </c>
      <c r="BW67" s="3" t="e">
        <f t="shared" si="11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16"/>
        <v>#VALUE!</v>
      </c>
      <c r="M68" s="25" t="e">
        <f t="shared" si="17"/>
        <v>#VALUE!</v>
      </c>
      <c r="N68" s="29"/>
      <c r="O68" s="3" t="e">
        <f t="shared" si="12"/>
        <v>#REF!</v>
      </c>
      <c r="P68" s="3" t="e">
        <f t="shared" si="13"/>
        <v>#REF!</v>
      </c>
      <c r="Q68" s="3" t="e">
        <f t="shared" si="14"/>
        <v>#REF!</v>
      </c>
      <c r="R68" s="4" t="e">
        <f t="shared" si="15"/>
        <v>#REF!</v>
      </c>
      <c r="S68" s="5" t="e">
        <f t="shared" si="3"/>
        <v>#REF!</v>
      </c>
      <c r="T68" s="76" t="e">
        <f t="shared" si="0"/>
        <v>#REF!</v>
      </c>
      <c r="U68" s="76" t="e">
        <f t="shared" si="1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18"/>
        <v>#REF!</v>
      </c>
      <c r="AA68" s="32" t="e">
        <f t="shared" si="19"/>
        <v>#REF!</v>
      </c>
      <c r="AB68" s="32" t="e">
        <f t="shared" si="20"/>
        <v>#REF!</v>
      </c>
      <c r="AC68" s="32" t="e">
        <f t="shared" si="2"/>
        <v>#REF!</v>
      </c>
      <c r="AD68" s="30"/>
      <c r="AE68" s="21" t="str">
        <f t="shared" si="21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8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9"/>
        <v>#REF!</v>
      </c>
      <c r="BV68" s="3" t="e">
        <f t="shared" si="10"/>
        <v>#REF!</v>
      </c>
      <c r="BW68" s="3" t="e">
        <f t="shared" si="11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16"/>
        <v>#VALUE!</v>
      </c>
      <c r="M69" s="25" t="e">
        <f t="shared" si="17"/>
        <v>#VALUE!</v>
      </c>
      <c r="N69" s="29"/>
      <c r="O69" s="3" t="e">
        <f t="shared" si="12"/>
        <v>#REF!</v>
      </c>
      <c r="P69" s="3" t="e">
        <f t="shared" si="13"/>
        <v>#REF!</v>
      </c>
      <c r="Q69" s="3" t="e">
        <f t="shared" si="14"/>
        <v>#REF!</v>
      </c>
      <c r="R69" s="4" t="e">
        <f t="shared" si="15"/>
        <v>#REF!</v>
      </c>
      <c r="S69" s="5" t="e">
        <f t="shared" si="3"/>
        <v>#REF!</v>
      </c>
      <c r="T69" s="76" t="e">
        <f t="shared" si="0"/>
        <v>#REF!</v>
      </c>
      <c r="U69" s="76" t="e">
        <f t="shared" si="1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18"/>
        <v>#REF!</v>
      </c>
      <c r="AA69" s="32" t="e">
        <f t="shared" si="19"/>
        <v>#REF!</v>
      </c>
      <c r="AB69" s="32" t="e">
        <f t="shared" si="20"/>
        <v>#REF!</v>
      </c>
      <c r="AC69" s="32" t="e">
        <f t="shared" si="2"/>
        <v>#REF!</v>
      </c>
      <c r="AD69" s="30"/>
      <c r="AE69" s="21" t="str">
        <f t="shared" si="21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8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9"/>
        <v>#REF!</v>
      </c>
      <c r="BV69" s="3" t="e">
        <f t="shared" si="10"/>
        <v>#REF!</v>
      </c>
      <c r="BW69" s="3" t="e">
        <f t="shared" si="11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16"/>
        <v>#VALUE!</v>
      </c>
      <c r="M70" s="25" t="e">
        <f t="shared" si="17"/>
        <v>#VALUE!</v>
      </c>
      <c r="N70" s="29"/>
      <c r="O70" s="3" t="e">
        <f t="shared" si="12"/>
        <v>#REF!</v>
      </c>
      <c r="P70" s="3" t="e">
        <f t="shared" si="13"/>
        <v>#REF!</v>
      </c>
      <c r="Q70" s="3" t="e">
        <f t="shared" si="14"/>
        <v>#REF!</v>
      </c>
      <c r="R70" s="4" t="e">
        <f t="shared" si="15"/>
        <v>#REF!</v>
      </c>
      <c r="S70" s="5" t="e">
        <f t="shared" si="3"/>
        <v>#REF!</v>
      </c>
      <c r="T70" s="76" t="e">
        <f t="shared" si="0"/>
        <v>#REF!</v>
      </c>
      <c r="U70" s="76" t="e">
        <f t="shared" si="1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18"/>
        <v>#REF!</v>
      </c>
      <c r="AA70" s="32" t="e">
        <f t="shared" si="19"/>
        <v>#REF!</v>
      </c>
      <c r="AB70" s="32" t="e">
        <f t="shared" si="20"/>
        <v>#REF!</v>
      </c>
      <c r="AC70" s="32" t="e">
        <f t="shared" si="2"/>
        <v>#REF!</v>
      </c>
      <c r="AD70" s="30"/>
      <c r="AE70" s="21" t="str">
        <f t="shared" si="21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8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9"/>
        <v>#REF!</v>
      </c>
      <c r="BV70" s="3" t="e">
        <f t="shared" si="10"/>
        <v>#REF!</v>
      </c>
      <c r="BW70" s="3" t="e">
        <f t="shared" si="11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ref="L71:L76" si="22">IF(AND(G71="",H71=""),"",IF(G71="",H71,G71+H71))</f>
        <v>#VALUE!</v>
      </c>
      <c r="M71" s="25" t="e">
        <f t="shared" ref="M71:M76" si="23">IF(AND(G71="",I71=""),"",IF(G71="",I71,G71+I71))</f>
        <v>#VALUE!</v>
      </c>
      <c r="N71" s="29"/>
      <c r="O71" s="3" t="e">
        <f t="shared" si="12"/>
        <v>#REF!</v>
      </c>
      <c r="P71" s="3" t="e">
        <f t="shared" si="13"/>
        <v>#REF!</v>
      </c>
      <c r="Q71" s="3" t="e">
        <f t="shared" si="14"/>
        <v>#REF!</v>
      </c>
      <c r="R71" s="4" t="e">
        <f t="shared" si="15"/>
        <v>#REF!</v>
      </c>
      <c r="S71" s="5" t="e">
        <f t="shared" si="3"/>
        <v>#REF!</v>
      </c>
      <c r="T71" s="76" t="e">
        <f t="shared" si="0"/>
        <v>#REF!</v>
      </c>
      <c r="U71" s="76" t="e">
        <f t="shared" si="1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ref="Z71:Z76" si="24">IF($Q71="","",IF(F71="Tolerance",IF(($E71*3*R71+Q71)-G71&lt;H71,"",($E71*3*R71+Q71)-G71),IF(OR(F71="GD&amp;T",F71="MAX"),IF(($E71*3*R71+Q71)&lt;H71,"",($E71*3*R71+Q71)),"")))</f>
        <v>#REF!</v>
      </c>
      <c r="AA71" s="32" t="e">
        <f t="shared" ref="AA71:AA76" si="25">IF(Q71="","",IF(F71="Tolerance",IF(-(($E71*3*R71)-Q71)-G71&gt;I71,"",-(($E71*3*R71)-Q71)-G71),IF(F71="MIN",IF(-(($E71*3*R71)-Q71)&gt;I71,"",-(($E71*3*R71)-Q71)),"")))</f>
        <v>#REF!</v>
      </c>
      <c r="AB71" s="32" t="e">
        <f t="shared" ref="AB71:AB76" si="26">IF(OR(G71="",Q71=""),"",(L71+M71)/2-Q71)</f>
        <v>#REF!</v>
      </c>
      <c r="AC71" s="32" t="e">
        <f t="shared" si="2"/>
        <v>#REF!</v>
      </c>
      <c r="AD71" s="30"/>
      <c r="AE71" s="21" t="str">
        <f t="shared" ref="AE71:AE76" si="27">IF(AD71="","",IF(AD71&gt;=0.966,"Normal","Not Normal"))</f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8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9"/>
        <v>#REF!</v>
      </c>
      <c r="BV71" s="3" t="e">
        <f t="shared" si="10"/>
        <v>#REF!</v>
      </c>
      <c r="BW71" s="3" t="e">
        <f t="shared" si="11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22"/>
        <v>#VALUE!</v>
      </c>
      <c r="M72" s="25" t="e">
        <f t="shared" si="23"/>
        <v>#VALUE!</v>
      </c>
      <c r="N72" s="29"/>
      <c r="O72" s="3" t="e">
        <f t="shared" si="12"/>
        <v>#REF!</v>
      </c>
      <c r="P72" s="3" t="e">
        <f t="shared" si="13"/>
        <v>#REF!</v>
      </c>
      <c r="Q72" s="3" t="e">
        <f t="shared" si="14"/>
        <v>#REF!</v>
      </c>
      <c r="R72" s="4" t="e">
        <f t="shared" si="15"/>
        <v>#REF!</v>
      </c>
      <c r="S72" s="5" t="e">
        <f t="shared" si="3"/>
        <v>#REF!</v>
      </c>
      <c r="T72" s="76" t="e">
        <f t="shared" si="0"/>
        <v>#REF!</v>
      </c>
      <c r="U72" s="76" t="e">
        <f t="shared" si="1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24"/>
        <v>#REF!</v>
      </c>
      <c r="AA72" s="32" t="e">
        <f t="shared" si="25"/>
        <v>#REF!</v>
      </c>
      <c r="AB72" s="32" t="e">
        <f t="shared" si="26"/>
        <v>#REF!</v>
      </c>
      <c r="AC72" s="32" t="e">
        <f t="shared" si="2"/>
        <v>#REF!</v>
      </c>
      <c r="AD72" s="30"/>
      <c r="AE72" s="21" t="str">
        <f t="shared" si="27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8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9"/>
        <v>#REF!</v>
      </c>
      <c r="BV72" s="3" t="e">
        <f t="shared" si="10"/>
        <v>#REF!</v>
      </c>
      <c r="BW72" s="3" t="e">
        <f t="shared" si="11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>IF(AND(G73="",H73=""),"",IF(G73="",H73,G73+H73))</f>
        <v>#VALUE!</v>
      </c>
      <c r="M73" s="25" t="e">
        <f>IF(AND(G73="",I73=""),"",IF(G73="",I73,G73+I73))</f>
        <v>#VALUE!</v>
      </c>
      <c r="N73" s="29"/>
      <c r="O73" s="3" t="e">
        <f t="shared" si="12"/>
        <v>#REF!</v>
      </c>
      <c r="P73" s="3" t="e">
        <f t="shared" si="13"/>
        <v>#REF!</v>
      </c>
      <c r="Q73" s="3" t="e">
        <f t="shared" si="14"/>
        <v>#REF!</v>
      </c>
      <c r="R73" s="4" t="e">
        <f t="shared" si="15"/>
        <v>#REF!</v>
      </c>
      <c r="S73" s="5" t="e">
        <f t="shared" si="3"/>
        <v>#REF!</v>
      </c>
      <c r="T73" s="76" t="e">
        <f t="shared" si="0"/>
        <v>#REF!</v>
      </c>
      <c r="U73" s="76" t="e">
        <f t="shared" si="1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>IF($Q73="","",IF(F73="Tolerance",IF(($E73*3*R73+Q73)-G73&lt;H73,"",($E73*3*R73+Q73)-G73),IF(OR(F73="GD&amp;T",F73="MAX"),IF(($E73*3*R73+Q73)&lt;H73,"",($E73*3*R73+Q73)),"")))</f>
        <v>#REF!</v>
      </c>
      <c r="AA73" s="32" t="e">
        <f>IF(Q73="","",IF(F73="Tolerance",IF(-(($E73*3*R73)-Q73)-G73&gt;I73,"",-(($E73*3*R73)-Q73)-G73),IF(F73="MIN",IF(-(($E73*3*R73)-Q73)&gt;I73,"",-(($E73*3*R73)-Q73)),"")))</f>
        <v>#REF!</v>
      </c>
      <c r="AB73" s="32" t="e">
        <f>IF(OR(G73="",Q73=""),"",(L73+M73)/2-Q73)</f>
        <v>#REF!</v>
      </c>
      <c r="AC73" s="32" t="e">
        <f t="shared" si="2"/>
        <v>#REF!</v>
      </c>
      <c r="AD73" s="30"/>
      <c r="AE73" s="21" t="str">
        <f>IF(AD73="","",IF(AD73&gt;=0.966,"Normal","Not Normal"))</f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8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9"/>
        <v>#REF!</v>
      </c>
      <c r="BV73" s="3" t="e">
        <f t="shared" si="10"/>
        <v>#REF!</v>
      </c>
      <c r="BW73" s="3" t="e">
        <f t="shared" si="11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22"/>
        <v>#VALUE!</v>
      </c>
      <c r="M74" s="25" t="e">
        <f t="shared" si="23"/>
        <v>#VALUE!</v>
      </c>
      <c r="N74" s="29"/>
      <c r="O74" s="3" t="e">
        <f t="shared" si="12"/>
        <v>#REF!</v>
      </c>
      <c r="P74" s="3" t="e">
        <f t="shared" si="13"/>
        <v>#REF!</v>
      </c>
      <c r="Q74" s="3" t="e">
        <f t="shared" si="14"/>
        <v>#REF!</v>
      </c>
      <c r="R74" s="4" t="e">
        <f t="shared" si="15"/>
        <v>#REF!</v>
      </c>
      <c r="S74" s="5" t="e">
        <f t="shared" si="3"/>
        <v>#REF!</v>
      </c>
      <c r="T74" s="76" t="e">
        <f t="shared" si="0"/>
        <v>#REF!</v>
      </c>
      <c r="U74" s="76" t="e">
        <f t="shared" si="1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24"/>
        <v>#REF!</v>
      </c>
      <c r="AA74" s="32" t="e">
        <f t="shared" si="25"/>
        <v>#REF!</v>
      </c>
      <c r="AB74" s="32" t="e">
        <f t="shared" si="26"/>
        <v>#REF!</v>
      </c>
      <c r="AC74" s="32" t="e">
        <f t="shared" si="2"/>
        <v>#REF!</v>
      </c>
      <c r="AD74" s="30"/>
      <c r="AE74" s="21" t="str">
        <f t="shared" si="27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8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9"/>
        <v>#REF!</v>
      </c>
      <c r="BV74" s="3" t="e">
        <f t="shared" si="10"/>
        <v>#REF!</v>
      </c>
      <c r="BW74" s="3" t="e">
        <f t="shared" si="11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22"/>
        <v>#VALUE!</v>
      </c>
      <c r="M75" s="25" t="e">
        <f t="shared" si="23"/>
        <v>#VALUE!</v>
      </c>
      <c r="N75" s="29"/>
      <c r="O75" s="3" t="e">
        <f t="shared" si="12"/>
        <v>#REF!</v>
      </c>
      <c r="P75" s="3" t="e">
        <f t="shared" si="13"/>
        <v>#REF!</v>
      </c>
      <c r="Q75" s="3" t="e">
        <f t="shared" si="14"/>
        <v>#REF!</v>
      </c>
      <c r="R75" s="4" t="e">
        <f t="shared" si="15"/>
        <v>#REF!</v>
      </c>
      <c r="S75" s="5" t="e">
        <f t="shared" si="3"/>
        <v>#REF!</v>
      </c>
      <c r="T75" s="76" t="e">
        <f t="shared" si="0"/>
        <v>#REF!</v>
      </c>
      <c r="U75" s="76" t="e">
        <f t="shared" si="1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24"/>
        <v>#REF!</v>
      </c>
      <c r="AA75" s="32" t="e">
        <f t="shared" si="25"/>
        <v>#REF!</v>
      </c>
      <c r="AB75" s="32" t="e">
        <f t="shared" si="26"/>
        <v>#REF!</v>
      </c>
      <c r="AC75" s="32" t="e">
        <f t="shared" si="2"/>
        <v>#REF!</v>
      </c>
      <c r="AD75" s="30"/>
      <c r="AE75" s="21" t="str">
        <f t="shared" si="27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8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9"/>
        <v>#REF!</v>
      </c>
      <c r="BV75" s="3" t="e">
        <f t="shared" si="10"/>
        <v>#REF!</v>
      </c>
      <c r="BW75" s="3" t="e">
        <f t="shared" si="11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22"/>
        <v>#VALUE!</v>
      </c>
      <c r="M76" s="25" t="e">
        <f t="shared" si="23"/>
        <v>#VALUE!</v>
      </c>
      <c r="N76" s="29"/>
      <c r="O76" s="3" t="e">
        <f t="shared" si="12"/>
        <v>#REF!</v>
      </c>
      <c r="P76" s="3" t="e">
        <f t="shared" si="13"/>
        <v>#REF!</v>
      </c>
      <c r="Q76" s="3" t="e">
        <f t="shared" si="14"/>
        <v>#REF!</v>
      </c>
      <c r="R76" s="4" t="e">
        <f t="shared" si="15"/>
        <v>#REF!</v>
      </c>
      <c r="S76" s="5" t="e">
        <f t="shared" si="3"/>
        <v>#REF!</v>
      </c>
      <c r="T76" s="76" t="e">
        <f t="shared" si="0"/>
        <v>#REF!</v>
      </c>
      <c r="U76" s="76" t="e">
        <f t="shared" si="1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24"/>
        <v>#REF!</v>
      </c>
      <c r="AA76" s="32" t="e">
        <f t="shared" si="25"/>
        <v>#REF!</v>
      </c>
      <c r="AB76" s="32" t="e">
        <f t="shared" si="26"/>
        <v>#REF!</v>
      </c>
      <c r="AC76" s="32" t="e">
        <f t="shared" si="2"/>
        <v>#REF!</v>
      </c>
      <c r="AD76" s="30"/>
      <c r="AE76" s="21" t="str">
        <f t="shared" si="27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8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9"/>
        <v>#REF!</v>
      </c>
      <c r="BV76" s="3" t="e">
        <f t="shared" si="10"/>
        <v>#REF!</v>
      </c>
      <c r="BW76" s="3" t="e">
        <f t="shared" si="11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>IF(AND(G81="",H81=""),"",IF(G81="",H81,G81+H81))</f>
        <v>#VALUE!</v>
      </c>
      <c r="M81" s="25" t="e">
        <f>IF(AND(G81="",I81=""),"",IF(G81="",I81,G81+I81))</f>
        <v>#VALUE!</v>
      </c>
      <c r="N81" s="29"/>
      <c r="O81" s="3" t="e">
        <f t="shared" si="12"/>
        <v>#REF!</v>
      </c>
      <c r="P81" s="3" t="e">
        <f t="shared" si="13"/>
        <v>#REF!</v>
      </c>
      <c r="Q81" s="3" t="e">
        <f t="shared" si="14"/>
        <v>#REF!</v>
      </c>
      <c r="R81" s="4" t="e">
        <f t="shared" si="15"/>
        <v>#REF!</v>
      </c>
      <c r="S81" s="5" t="e">
        <f t="shared" si="3"/>
        <v>#REF!</v>
      </c>
      <c r="T81" s="76" t="e">
        <f t="shared" si="0"/>
        <v>#REF!</v>
      </c>
      <c r="U81" s="76" t="e">
        <f t="shared" si="1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>IF($Q81="","",IF(F81="Tolerance",IF(($E81*3*R81+Q81)-G81&lt;H81,"",($E81*3*R81+Q81)-G81),IF(OR(F81="GD&amp;T",F81="MAX"),IF(($E81*3*R81+Q81)&lt;H81,"",($E81*3*R81+Q81)),"")))</f>
        <v>#REF!</v>
      </c>
      <c r="AA81" s="32" t="e">
        <f>IF(Q81="","",IF(F81="Tolerance",IF(-(($E81*3*R81)-Q81)-G81&gt;I81,"",-(($E81*3*R81)-Q81)-G81),IF(F81="MIN",IF(-(($E81*3*R81)-Q81)&gt;I81,"",-(($E81*3*R81)-Q81)),"")))</f>
        <v>#REF!</v>
      </c>
      <c r="AB81" s="32" t="e">
        <f>IF(OR(G81="",Q81=""),"",(L81+M81)/2-Q81)</f>
        <v>#REF!</v>
      </c>
      <c r="AC81" s="32" t="e">
        <f t="shared" si="2"/>
        <v>#REF!</v>
      </c>
      <c r="AD81" s="30"/>
      <c r="AE81" s="21" t="str">
        <f>IF(AD81="","",IF(AD81&gt;=0.966,"Normal","Not Normal"))</f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8"/>
        <v>41</v>
      </c>
      <c r="BS81" s="112">
        <f>OOC!G81</f>
        <v>2.903</v>
      </c>
      <c r="BT81" s="112">
        <f>OOC!H81</f>
        <v>2.8430000000000004</v>
      </c>
      <c r="BU81" s="3" t="e">
        <f t="shared" si="9"/>
        <v>#REF!</v>
      </c>
      <c r="BV81" s="3" t="e">
        <f t="shared" si="10"/>
        <v>#REF!</v>
      </c>
      <c r="BW81" s="3" t="e">
        <f t="shared" si="11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>IF(AND(G82="",H82=""),"",IF(G82="",H82,G82+H82))</f>
        <v>#VALUE!</v>
      </c>
      <c r="M82" s="25" t="e">
        <f>IF(AND(G82="",I82=""),"",IF(G82="",I82,G82+I82))</f>
        <v>#VALUE!</v>
      </c>
      <c r="N82" s="29"/>
      <c r="O82" s="3" t="e">
        <f t="shared" si="12"/>
        <v>#REF!</v>
      </c>
      <c r="P82" s="3" t="e">
        <f t="shared" si="13"/>
        <v>#REF!</v>
      </c>
      <c r="Q82" s="3" t="e">
        <f t="shared" si="14"/>
        <v>#REF!</v>
      </c>
      <c r="R82" s="4" t="e">
        <f t="shared" si="15"/>
        <v>#REF!</v>
      </c>
      <c r="S82" s="5" t="e">
        <f t="shared" si="3"/>
        <v>#REF!</v>
      </c>
      <c r="T82" s="76" t="e">
        <f t="shared" si="0"/>
        <v>#REF!</v>
      </c>
      <c r="U82" s="76" t="e">
        <f t="shared" si="1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>IF($Q82="","",IF(F82="Tolerance",IF(($E82*3*R82+Q82)-G82&lt;H82,"",($E82*3*R82+Q82)-G82),IF(OR(F82="GD&amp;T",F82="MAX"),IF(($E82*3*R82+Q82)&lt;H82,"",($E82*3*R82+Q82)),"")))</f>
        <v>#REF!</v>
      </c>
      <c r="AA82" s="32" t="e">
        <f>IF(Q82="","",IF(F82="Tolerance",IF(-(($E82*3*R82)-Q82)-G82&gt;I82,"",-(($E82*3*R82)-Q82)-G82),IF(F82="MIN",IF(-(($E82*3*R82)-Q82)&gt;I82,"",-(($E82*3*R82)-Q82)),"")))</f>
        <v>#REF!</v>
      </c>
      <c r="AB82" s="32" t="e">
        <f>IF(OR(G82="",Q82=""),"",(L82+M82)/2-Q82)</f>
        <v>#REF!</v>
      </c>
      <c r="AC82" s="32" t="e">
        <f t="shared" si="2"/>
        <v>#REF!</v>
      </c>
      <c r="AD82" s="30"/>
      <c r="AE82" s="21" t="str">
        <f>IF(AD82="","",IF(AD82&gt;=0.966,"Normal","Not Normal"))</f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8"/>
        <v>42</v>
      </c>
      <c r="BS82" s="112">
        <f>OOC!G82</f>
        <v>1.008</v>
      </c>
      <c r="BT82" s="112">
        <f>OOC!H82</f>
        <v>0.94799999999999995</v>
      </c>
      <c r="BU82" s="3" t="e">
        <f t="shared" si="9"/>
        <v>#REF!</v>
      </c>
      <c r="BV82" s="3" t="e">
        <f t="shared" si="10"/>
        <v>#REF!</v>
      </c>
      <c r="BW82" s="3" t="e">
        <f t="shared" si="11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ref="L83:L91" si="28">IF(AND(G83="",H83=""),"",IF(G83="",H83,G83+H83))</f>
        <v>#VALUE!</v>
      </c>
      <c r="M83" s="25" t="e">
        <f t="shared" ref="M83:M91" si="29">IF(AND(G83="",I83=""),"",IF(G83="",I83,G83+I83))</f>
        <v>#VALUE!</v>
      </c>
      <c r="N83" s="29"/>
      <c r="O83" s="3" t="e">
        <f t="shared" si="12"/>
        <v>#REF!</v>
      </c>
      <c r="P83" s="3" t="e">
        <f t="shared" si="13"/>
        <v>#REF!</v>
      </c>
      <c r="Q83" s="3" t="e">
        <f t="shared" si="14"/>
        <v>#REF!</v>
      </c>
      <c r="R83" s="4" t="e">
        <f t="shared" si="15"/>
        <v>#REF!</v>
      </c>
      <c r="S83" s="5" t="e">
        <f t="shared" si="3"/>
        <v>#REF!</v>
      </c>
      <c r="T83" s="76" t="e">
        <f t="shared" si="0"/>
        <v>#REF!</v>
      </c>
      <c r="U83" s="76" t="e">
        <f t="shared" si="1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ref="Z83:Z91" si="30">IF($Q83="","",IF(F83="Tolerance",IF(($E83*3*R83+Q83)-G83&lt;H83,"",($E83*3*R83+Q83)-G83),IF(OR(F83="GD&amp;T",F83="MAX"),IF(($E83*3*R83+Q83)&lt;H83,"",($E83*3*R83+Q83)),"")))</f>
        <v>#REF!</v>
      </c>
      <c r="AA83" s="32" t="e">
        <f t="shared" ref="AA83:AA91" si="31">IF(Q83="","",IF(F83="Tolerance",IF(-(($E83*3*R83)-Q83)-G83&gt;I83,"",-(($E83*3*R83)-Q83)-G83),IF(F83="MIN",IF(-(($E83*3*R83)-Q83)&gt;I83,"",-(($E83*3*R83)-Q83)),"")))</f>
        <v>#REF!</v>
      </c>
      <c r="AB83" s="32" t="e">
        <f t="shared" ref="AB83:AB91" si="32">IF(OR(G83="",Q83=""),"",(L83+M83)/2-Q83)</f>
        <v>#REF!</v>
      </c>
      <c r="AC83" s="32" t="e">
        <f t="shared" si="2"/>
        <v>#REF!</v>
      </c>
      <c r="AD83" s="30"/>
      <c r="AE83" s="21" t="str">
        <f t="shared" ref="AE83:AE91" si="33">IF(AD83="","",IF(AD83&gt;=0.966,"Normal","Not Normal"))</f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8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9"/>
        <v>#REF!</v>
      </c>
      <c r="BV83" s="3" t="e">
        <f t="shared" si="10"/>
        <v>#REF!</v>
      </c>
      <c r="BW83" s="3" t="e">
        <f t="shared" si="11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28"/>
        <v>#VALUE!</v>
      </c>
      <c r="M84" s="25" t="e">
        <f t="shared" si="29"/>
        <v>#VALUE!</v>
      </c>
      <c r="N84" s="29"/>
      <c r="O84" s="3" t="e">
        <f t="shared" si="12"/>
        <v>#REF!</v>
      </c>
      <c r="P84" s="3" t="e">
        <f t="shared" si="13"/>
        <v>#REF!</v>
      </c>
      <c r="Q84" s="3" t="e">
        <f t="shared" si="14"/>
        <v>#REF!</v>
      </c>
      <c r="R84" s="4" t="e">
        <f t="shared" si="15"/>
        <v>#REF!</v>
      </c>
      <c r="S84" s="5" t="e">
        <f t="shared" si="3"/>
        <v>#REF!</v>
      </c>
      <c r="T84" s="76" t="e">
        <f t="shared" si="0"/>
        <v>#REF!</v>
      </c>
      <c r="U84" s="76" t="e">
        <f t="shared" si="1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30"/>
        <v>#REF!</v>
      </c>
      <c r="AA84" s="32" t="e">
        <f t="shared" si="31"/>
        <v>#REF!</v>
      </c>
      <c r="AB84" s="32" t="e">
        <f t="shared" si="32"/>
        <v>#REF!</v>
      </c>
      <c r="AC84" s="32" t="e">
        <f t="shared" si="2"/>
        <v>#REF!</v>
      </c>
      <c r="AD84" s="30"/>
      <c r="AE84" s="21" t="str">
        <f t="shared" si="33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8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9"/>
        <v>#REF!</v>
      </c>
      <c r="BV84" s="3" t="e">
        <f t="shared" si="10"/>
        <v>#REF!</v>
      </c>
      <c r="BW84" s="3" t="e">
        <f t="shared" si="11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28"/>
        <v>#VALUE!</v>
      </c>
      <c r="M85" s="25" t="e">
        <f t="shared" si="29"/>
        <v>#VALUE!</v>
      </c>
      <c r="N85" s="29"/>
      <c r="O85" s="3" t="e">
        <f t="shared" si="12"/>
        <v>#REF!</v>
      </c>
      <c r="P85" s="3" t="e">
        <f t="shared" si="13"/>
        <v>#REF!</v>
      </c>
      <c r="Q85" s="3" t="e">
        <f t="shared" si="14"/>
        <v>#REF!</v>
      </c>
      <c r="R85" s="4" t="e">
        <f t="shared" si="15"/>
        <v>#REF!</v>
      </c>
      <c r="S85" s="5" t="e">
        <f t="shared" si="3"/>
        <v>#REF!</v>
      </c>
      <c r="T85" s="76" t="e">
        <f t="shared" si="0"/>
        <v>#REF!</v>
      </c>
      <c r="U85" s="76" t="e">
        <f t="shared" si="1"/>
        <v>#REF!</v>
      </c>
      <c r="V85" s="5" t="e">
        <f t="shared" ref="V85:V194" si="34">IF(OR($AK85="",ISNUMBER($AK85)=FALSE),"",IF(H85="","",(L85-Q85)/(3*R85)))</f>
        <v>#REF!</v>
      </c>
      <c r="W85" s="5" t="e">
        <f t="shared" ref="W85:W194" si="35">IF(OR($AK85="",ISNUMBER($AK85)=FALSE),"",IF(I85="","",(Q85-M85)/(3*R85)))</f>
        <v>#REF!</v>
      </c>
      <c r="X85" s="5" t="e">
        <f t="shared" ref="X85:X194" si="36">IF(OR($AK85="",ISNUMBER($AK85)=FALSE),"",IF(AND(G85=0,I85=0),((H85)-(Q85))/(3*R85),MIN(V85:W85)))</f>
        <v>#REF!</v>
      </c>
      <c r="Y85" s="70" t="e">
        <f t="shared" ref="Y85:Y194" si="37">IF(OR($AK85="",ISNUMBER($AK85)=FALSE),"",IF(AND(G85=0,I85=0),NORMSDIST(3*X85),NORMSDIST(3*X85)+NORMSDIST(6*S85-3*X85)-1))</f>
        <v>#REF!</v>
      </c>
      <c r="Z85" s="32" t="e">
        <f t="shared" si="30"/>
        <v>#REF!</v>
      </c>
      <c r="AA85" s="32" t="e">
        <f t="shared" si="31"/>
        <v>#REF!</v>
      </c>
      <c r="AB85" s="32" t="e">
        <f t="shared" si="32"/>
        <v>#REF!</v>
      </c>
      <c r="AC85" s="32" t="e">
        <f t="shared" si="2"/>
        <v>#REF!</v>
      </c>
      <c r="AD85" s="30"/>
      <c r="AE85" s="21" t="str">
        <f t="shared" si="33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8"/>
        <v>45</v>
      </c>
      <c r="BS85" s="112">
        <f>OOC!G85</f>
        <v>6.968</v>
      </c>
      <c r="BT85" s="112">
        <f>OOC!H85</f>
        <v>6.9079999999999995</v>
      </c>
      <c r="BU85" s="3" t="e">
        <f t="shared" si="9"/>
        <v>#REF!</v>
      </c>
      <c r="BV85" s="3" t="e">
        <f t="shared" si="10"/>
        <v>#REF!</v>
      </c>
      <c r="BW85" s="3" t="e">
        <f t="shared" si="11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28"/>
        <v>#VALUE!</v>
      </c>
      <c r="M86" s="25" t="e">
        <f t="shared" si="29"/>
        <v>#VALUE!</v>
      </c>
      <c r="N86" s="29"/>
      <c r="O86" s="3" t="e">
        <f t="shared" si="12"/>
        <v>#REF!</v>
      </c>
      <c r="P86" s="3" t="e">
        <f t="shared" si="13"/>
        <v>#REF!</v>
      </c>
      <c r="Q86" s="3" t="e">
        <f t="shared" si="14"/>
        <v>#REF!</v>
      </c>
      <c r="R86" s="4" t="e">
        <f t="shared" si="15"/>
        <v>#REF!</v>
      </c>
      <c r="S86" s="5" t="e">
        <f t="shared" si="3"/>
        <v>#REF!</v>
      </c>
      <c r="T86" s="76" t="e">
        <f t="shared" si="0"/>
        <v>#REF!</v>
      </c>
      <c r="U86" s="76" t="e">
        <f t="shared" si="1"/>
        <v>#REF!</v>
      </c>
      <c r="V86" s="5" t="e">
        <f t="shared" si="34"/>
        <v>#REF!</v>
      </c>
      <c r="W86" s="5" t="e">
        <f t="shared" si="35"/>
        <v>#REF!</v>
      </c>
      <c r="X86" s="5" t="e">
        <f t="shared" si="36"/>
        <v>#REF!</v>
      </c>
      <c r="Y86" s="70" t="e">
        <f t="shared" si="37"/>
        <v>#REF!</v>
      </c>
      <c r="Z86" s="32" t="e">
        <f t="shared" si="30"/>
        <v>#REF!</v>
      </c>
      <c r="AA86" s="32" t="e">
        <f t="shared" si="31"/>
        <v>#REF!</v>
      </c>
      <c r="AB86" s="32" t="e">
        <f t="shared" si="32"/>
        <v>#REF!</v>
      </c>
      <c r="AC86" s="32" t="e">
        <f t="shared" si="2"/>
        <v>#REF!</v>
      </c>
      <c r="AD86" s="30"/>
      <c r="AE86" s="21" t="str">
        <f t="shared" si="33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8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9"/>
        <v>#REF!</v>
      </c>
      <c r="BV86" s="3" t="e">
        <f t="shared" si="10"/>
        <v>#REF!</v>
      </c>
      <c r="BW86" s="3" t="e">
        <f t="shared" si="11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28"/>
        <v>#VALUE!</v>
      </c>
      <c r="M90" s="25" t="e">
        <f t="shared" si="29"/>
        <v>#VALUE!</v>
      </c>
      <c r="N90" s="29"/>
      <c r="O90" s="3" t="e">
        <f t="shared" si="12"/>
        <v>#REF!</v>
      </c>
      <c r="P90" s="3" t="e">
        <f t="shared" si="13"/>
        <v>#REF!</v>
      </c>
      <c r="Q90" s="3" t="e">
        <f t="shared" si="14"/>
        <v>#REF!</v>
      </c>
      <c r="R90" s="4" t="e">
        <f t="shared" si="15"/>
        <v>#REF!</v>
      </c>
      <c r="S90" s="5" t="e">
        <f t="shared" si="3"/>
        <v>#REF!</v>
      </c>
      <c r="T90" s="76" t="e">
        <f t="shared" ref="T90:T196" si="38">IF(OR($AK90="",ISNUMBER($AK90)=FALSE),"",IF(AND($F90="Tolerance",$G90&lt;&gt;""),($Q90-$G90)/(($L90-$M90)/2),IF(AND($F90="GD&amp;T",$H90&lt;&gt;""),$Q90/$H90,"")))</f>
        <v>#REF!</v>
      </c>
      <c r="U90" s="76" t="e">
        <f t="shared" si="1"/>
        <v>#REF!</v>
      </c>
      <c r="V90" s="5" t="e">
        <f t="shared" si="34"/>
        <v>#REF!</v>
      </c>
      <c r="W90" s="5" t="e">
        <f t="shared" si="35"/>
        <v>#REF!</v>
      </c>
      <c r="X90" s="5" t="e">
        <f t="shared" si="36"/>
        <v>#REF!</v>
      </c>
      <c r="Y90" s="70" t="e">
        <f t="shared" si="37"/>
        <v>#REF!</v>
      </c>
      <c r="Z90" s="32" t="e">
        <f t="shared" si="30"/>
        <v>#REF!</v>
      </c>
      <c r="AA90" s="32" t="e">
        <f t="shared" si="31"/>
        <v>#REF!</v>
      </c>
      <c r="AB90" s="32" t="e">
        <f t="shared" si="32"/>
        <v>#REF!</v>
      </c>
      <c r="AC90" s="32" t="e">
        <f t="shared" si="2"/>
        <v>#REF!</v>
      </c>
      <c r="AD90" s="30"/>
      <c r="AE90" s="21" t="str">
        <f t="shared" si="33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8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9"/>
        <v>#REF!</v>
      </c>
      <c r="BV90" s="3" t="e">
        <f t="shared" si="10"/>
        <v>#REF!</v>
      </c>
      <c r="BW90" s="3" t="e">
        <f t="shared" si="11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28"/>
        <v>#VALUE!</v>
      </c>
      <c r="M91" s="25" t="e">
        <f t="shared" si="29"/>
        <v>#VALUE!</v>
      </c>
      <c r="N91" s="29"/>
      <c r="O91" s="3" t="e">
        <f t="shared" si="12"/>
        <v>#REF!</v>
      </c>
      <c r="P91" s="3" t="e">
        <f t="shared" si="13"/>
        <v>#REF!</v>
      </c>
      <c r="Q91" s="3" t="e">
        <f t="shared" si="14"/>
        <v>#REF!</v>
      </c>
      <c r="R91" s="4" t="e">
        <f t="shared" si="15"/>
        <v>#REF!</v>
      </c>
      <c r="S91" s="5" t="e">
        <f t="shared" ref="S91:S198" si="39">IF(OR($AK91="",ISNUMBER($AK91)=FALSE),"",IF(AND(G91=0,I91=""),V91,IF(AND(G91="",H91=""),W91,(H91+ABS(I91))/(6*R91))))</f>
        <v>#REF!</v>
      </c>
      <c r="T91" s="76" t="e">
        <f t="shared" si="38"/>
        <v>#REF!</v>
      </c>
      <c r="U91" s="76" t="e">
        <f t="shared" si="1"/>
        <v>#REF!</v>
      </c>
      <c r="V91" s="5" t="e">
        <f t="shared" si="34"/>
        <v>#REF!</v>
      </c>
      <c r="W91" s="5" t="e">
        <f t="shared" si="35"/>
        <v>#REF!</v>
      </c>
      <c r="X91" s="5" t="e">
        <f t="shared" si="36"/>
        <v>#REF!</v>
      </c>
      <c r="Y91" s="70" t="e">
        <f t="shared" si="37"/>
        <v>#REF!</v>
      </c>
      <c r="Z91" s="32" t="e">
        <f t="shared" si="30"/>
        <v>#REF!</v>
      </c>
      <c r="AA91" s="32" t="e">
        <f t="shared" si="31"/>
        <v>#REF!</v>
      </c>
      <c r="AB91" s="32" t="e">
        <f t="shared" si="32"/>
        <v>#REF!</v>
      </c>
      <c r="AC91" s="32" t="e">
        <f t="shared" si="2"/>
        <v>#REF!</v>
      </c>
      <c r="AD91" s="30"/>
      <c r="AE91" s="21" t="str">
        <f t="shared" si="33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40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41">IF(OR($AK91="",ISNUMBER($AK91)=FALSE),"",MAX(AK91:BP91))</f>
        <v>#REF!</v>
      </c>
      <c r="BV91" s="3" t="e">
        <f t="shared" ref="BV91:BV198" si="42">IF(OR($AK91="",ISNUMBER($AK91)=FALSE),"",MIN(AK91:BP91))</f>
        <v>#REF!</v>
      </c>
      <c r="BW91" s="3" t="e">
        <f t="shared" ref="BW91:BW198" si="43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>IF(AND(G92="",H92=""),"",IF(G92="",H92,G92+H92))</f>
        <v>#VALUE!</v>
      </c>
      <c r="M92" s="25" t="e">
        <f>IF(AND(G92="",I92=""),"",IF(G92="",I92,G92+I92))</f>
        <v>#VALUE!</v>
      </c>
      <c r="N92" s="29"/>
      <c r="O92" s="3" t="e">
        <f t="shared" si="12"/>
        <v>#REF!</v>
      </c>
      <c r="P92" s="3" t="e">
        <f t="shared" si="13"/>
        <v>#REF!</v>
      </c>
      <c r="Q92" s="3" t="e">
        <f t="shared" si="14"/>
        <v>#REF!</v>
      </c>
      <c r="R92" s="4" t="e">
        <f t="shared" si="15"/>
        <v>#REF!</v>
      </c>
      <c r="S92" s="5" t="e">
        <f t="shared" si="39"/>
        <v>#REF!</v>
      </c>
      <c r="T92" s="76" t="e">
        <f t="shared" si="38"/>
        <v>#REF!</v>
      </c>
      <c r="U92" s="76" t="e">
        <f t="shared" si="1"/>
        <v>#REF!</v>
      </c>
      <c r="V92" s="5" t="e">
        <f t="shared" si="34"/>
        <v>#REF!</v>
      </c>
      <c r="W92" s="5" t="e">
        <f t="shared" si="35"/>
        <v>#REF!</v>
      </c>
      <c r="X92" s="5" t="e">
        <f t="shared" si="36"/>
        <v>#REF!</v>
      </c>
      <c r="Y92" s="70" t="e">
        <f t="shared" si="37"/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2"/>
        <v>#REF!</v>
      </c>
      <c r="AD92" s="30"/>
      <c r="AE92" s="21" t="str">
        <f>IF(AD92="","",IF(AD92&gt;=0.966,"Normal","Not Normal"))</f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40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41"/>
        <v>#REF!</v>
      </c>
      <c r="BV92" s="3" t="e">
        <f t="shared" si="42"/>
        <v>#REF!</v>
      </c>
      <c r="BW92" s="3" t="e">
        <f t="shared" si="43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>IF(AND(G93="",H93=""),"",IF(G93="",H93,G93+H93))</f>
        <v/>
      </c>
      <c r="M93" s="25" t="str">
        <f>IF(AND(G93="",I93=""),"",IF(G93="",I93,G93+I93))</f>
        <v/>
      </c>
      <c r="N93" s="29"/>
      <c r="O93" s="3" t="e">
        <f t="shared" ref="O93:O200" si="44">IF(OR($AK93="",ISNUMBER($AK93)=FALSE),"",MAX(AK93:BP93))</f>
        <v>#REF!</v>
      </c>
      <c r="P93" s="3" t="e">
        <f t="shared" ref="P93:P200" si="45">IF(OR($AK93="",ISNUMBER($AK93)=FALSE),"",MIN(AK93:BP93))</f>
        <v>#REF!</v>
      </c>
      <c r="Q93" s="3" t="e">
        <f t="shared" ref="Q93:Q200" si="46">IF(OR($AK93="",ISNUMBER($AK93)=FALSE),"",AVERAGE(AK93:BP93))</f>
        <v>#REF!</v>
      </c>
      <c r="R93" s="4" t="e">
        <f t="shared" ref="R93:R200" si="47">IF(OR($AK93="",ISNUMBER($AK93)=FALSE),"",STDEV(AK93:BP93))</f>
        <v>#REF!</v>
      </c>
      <c r="S93" s="5" t="e">
        <f t="shared" si="39"/>
        <v>#REF!</v>
      </c>
      <c r="T93" s="76" t="e">
        <f t="shared" si="38"/>
        <v>#REF!</v>
      </c>
      <c r="U93" s="76" t="e">
        <f t="shared" si="1"/>
        <v>#REF!</v>
      </c>
      <c r="V93" s="5" t="e">
        <f t="shared" si="34"/>
        <v>#REF!</v>
      </c>
      <c r="W93" s="5" t="e">
        <f t="shared" si="35"/>
        <v>#REF!</v>
      </c>
      <c r="X93" s="5" t="e">
        <f t="shared" si="36"/>
        <v>#REF!</v>
      </c>
      <c r="Y93" s="70" t="e">
        <f t="shared" si="37"/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2"/>
        <v>#REF!</v>
      </c>
      <c r="AD93" s="30"/>
      <c r="AE93" s="21" t="str">
        <f>IF(AD93="","",IF(AD93&gt;=0.966,"Normal","Not Normal"))</f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40"/>
        <v>49</v>
      </c>
      <c r="BS93" s="112">
        <f>OOC!G93</f>
        <v>0.02</v>
      </c>
      <c r="BT93" s="112" t="str">
        <f>OOC!H93</f>
        <v/>
      </c>
      <c r="BU93" s="3" t="e">
        <f t="shared" si="41"/>
        <v>#REF!</v>
      </c>
      <c r="BV93" s="3" t="e">
        <f t="shared" si="42"/>
        <v>#REF!</v>
      </c>
      <c r="BW93" s="3" t="e">
        <f t="shared" si="43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ref="L98:L108" si="48">IF(AND(G98="",H98=""),"",IF(G98="",H98,G98+H98))</f>
        <v>#VALUE!</v>
      </c>
      <c r="M98" s="25" t="e">
        <f t="shared" ref="M98:M108" si="49">IF(AND(G98="",I98=""),"",IF(G98="",I98,G98+I98))</f>
        <v>#VALUE!</v>
      </c>
      <c r="N98" s="29"/>
      <c r="O98" s="3" t="e">
        <f t="shared" si="44"/>
        <v>#REF!</v>
      </c>
      <c r="P98" s="3" t="e">
        <f t="shared" si="45"/>
        <v>#REF!</v>
      </c>
      <c r="Q98" s="3" t="e">
        <f t="shared" si="46"/>
        <v>#REF!</v>
      </c>
      <c r="R98" s="4" t="e">
        <f t="shared" si="47"/>
        <v>#REF!</v>
      </c>
      <c r="S98" s="5" t="e">
        <f t="shared" si="39"/>
        <v>#REF!</v>
      </c>
      <c r="T98" s="76" t="e">
        <f t="shared" si="38"/>
        <v>#REF!</v>
      </c>
      <c r="U98" s="76" t="e">
        <f t="shared" si="1"/>
        <v>#REF!</v>
      </c>
      <c r="V98" s="5" t="e">
        <f t="shared" si="34"/>
        <v>#REF!</v>
      </c>
      <c r="W98" s="5" t="e">
        <f t="shared" si="35"/>
        <v>#REF!</v>
      </c>
      <c r="X98" s="5" t="e">
        <f t="shared" si="36"/>
        <v>#REF!</v>
      </c>
      <c r="Y98" s="70" t="e">
        <f t="shared" si="37"/>
        <v>#REF!</v>
      </c>
      <c r="Z98" s="32" t="e">
        <f t="shared" ref="Z98:Z108" si="50">IF($Q98="","",IF(F98="Tolerance",IF(($E98*3*R98+Q98)-G98&lt;H98,"",($E98*3*R98+Q98)-G98),IF(OR(F98="GD&amp;T",F98="MAX"),IF(($E98*3*R98+Q98)&lt;H98,"",($E98*3*R98+Q98)),"")))</f>
        <v>#REF!</v>
      </c>
      <c r="AA98" s="32" t="e">
        <f t="shared" ref="AA98:AA108" si="51">IF(Q98="","",IF(F98="Tolerance",IF(-(($E98*3*R98)-Q98)-G98&gt;I98,"",-(($E98*3*R98)-Q98)-G98),IF(F98="MIN",IF(-(($E98*3*R98)-Q98)&gt;I98,"",-(($E98*3*R98)-Q98)),"")))</f>
        <v>#REF!</v>
      </c>
      <c r="AB98" s="32" t="e">
        <f t="shared" ref="AB98:AB108" si="52">IF(OR(G98="",Q98=""),"",(L98+M98)/2-Q98)</f>
        <v>#REF!</v>
      </c>
      <c r="AC98" s="32" t="e">
        <f t="shared" si="2"/>
        <v>#REF!</v>
      </c>
      <c r="AD98" s="30"/>
      <c r="AE98" s="21" t="str">
        <f t="shared" ref="AE98:AE108" si="53">IF(AD98="","",IF(AD98&gt;=0.966,"Normal","Not Normal"))</f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40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41"/>
        <v>#REF!</v>
      </c>
      <c r="BV98" s="3" t="e">
        <f t="shared" si="42"/>
        <v>#REF!</v>
      </c>
      <c r="BW98" s="3" t="e">
        <f t="shared" si="43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48"/>
        <v>#VALUE!</v>
      </c>
      <c r="M99" s="25" t="e">
        <f t="shared" si="49"/>
        <v>#VALUE!</v>
      </c>
      <c r="N99" s="29"/>
      <c r="O99" s="3" t="e">
        <f t="shared" si="44"/>
        <v>#REF!</v>
      </c>
      <c r="P99" s="3" t="e">
        <f t="shared" si="45"/>
        <v>#REF!</v>
      </c>
      <c r="Q99" s="3" t="e">
        <f t="shared" si="46"/>
        <v>#REF!</v>
      </c>
      <c r="R99" s="4" t="e">
        <f t="shared" si="47"/>
        <v>#REF!</v>
      </c>
      <c r="S99" s="5" t="e">
        <f t="shared" si="39"/>
        <v>#REF!</v>
      </c>
      <c r="T99" s="76" t="e">
        <f t="shared" si="38"/>
        <v>#REF!</v>
      </c>
      <c r="U99" s="76" t="e">
        <f t="shared" si="1"/>
        <v>#REF!</v>
      </c>
      <c r="V99" s="5" t="e">
        <f t="shared" si="34"/>
        <v>#REF!</v>
      </c>
      <c r="W99" s="5" t="e">
        <f t="shared" si="35"/>
        <v>#REF!</v>
      </c>
      <c r="X99" s="5" t="e">
        <f t="shared" si="36"/>
        <v>#REF!</v>
      </c>
      <c r="Y99" s="70" t="e">
        <f t="shared" si="37"/>
        <v>#REF!</v>
      </c>
      <c r="Z99" s="32" t="e">
        <f t="shared" si="50"/>
        <v>#REF!</v>
      </c>
      <c r="AA99" s="32" t="e">
        <f t="shared" si="51"/>
        <v>#REF!</v>
      </c>
      <c r="AB99" s="32" t="e">
        <f t="shared" si="52"/>
        <v>#REF!</v>
      </c>
      <c r="AC99" s="32" t="e">
        <f t="shared" si="2"/>
        <v>#REF!</v>
      </c>
      <c r="AD99" s="30"/>
      <c r="AE99" s="21" t="str">
        <f t="shared" si="53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40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41"/>
        <v>#REF!</v>
      </c>
      <c r="BV99" s="3" t="e">
        <f t="shared" si="42"/>
        <v>#REF!</v>
      </c>
      <c r="BW99" s="3" t="e">
        <f t="shared" si="43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48"/>
        <v>#VALUE!</v>
      </c>
      <c r="M100" s="25" t="e">
        <f t="shared" si="49"/>
        <v>#VALUE!</v>
      </c>
      <c r="N100" s="29"/>
      <c r="O100" s="3" t="e">
        <f t="shared" si="44"/>
        <v>#REF!</v>
      </c>
      <c r="P100" s="3" t="e">
        <f t="shared" si="45"/>
        <v>#REF!</v>
      </c>
      <c r="Q100" s="3" t="e">
        <f t="shared" si="46"/>
        <v>#REF!</v>
      </c>
      <c r="R100" s="4" t="e">
        <f t="shared" si="47"/>
        <v>#REF!</v>
      </c>
      <c r="S100" s="5" t="e">
        <f t="shared" si="39"/>
        <v>#REF!</v>
      </c>
      <c r="T100" s="76" t="e">
        <f t="shared" si="38"/>
        <v>#REF!</v>
      </c>
      <c r="U100" s="76" t="e">
        <f t="shared" si="1"/>
        <v>#REF!</v>
      </c>
      <c r="V100" s="5" t="e">
        <f t="shared" si="34"/>
        <v>#REF!</v>
      </c>
      <c r="W100" s="5" t="e">
        <f t="shared" si="35"/>
        <v>#REF!</v>
      </c>
      <c r="X100" s="5" t="e">
        <f t="shared" si="36"/>
        <v>#REF!</v>
      </c>
      <c r="Y100" s="70" t="e">
        <f t="shared" si="37"/>
        <v>#REF!</v>
      </c>
      <c r="Z100" s="32" t="e">
        <f t="shared" si="50"/>
        <v>#REF!</v>
      </c>
      <c r="AA100" s="32" t="e">
        <f t="shared" si="51"/>
        <v>#REF!</v>
      </c>
      <c r="AB100" s="32" t="e">
        <f t="shared" si="52"/>
        <v>#REF!</v>
      </c>
      <c r="AC100" s="32" t="e">
        <f t="shared" si="2"/>
        <v>#REF!</v>
      </c>
      <c r="AD100" s="30"/>
      <c r="AE100" s="21" t="str">
        <f t="shared" si="53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40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41"/>
        <v>#REF!</v>
      </c>
      <c r="BV100" s="3" t="e">
        <f t="shared" si="42"/>
        <v>#REF!</v>
      </c>
      <c r="BW100" s="3" t="e">
        <f t="shared" si="43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48"/>
        <v>#VALUE!</v>
      </c>
      <c r="M101" s="25" t="e">
        <f t="shared" si="49"/>
        <v>#VALUE!</v>
      </c>
      <c r="N101" s="29"/>
      <c r="O101" s="3" t="e">
        <f t="shared" si="44"/>
        <v>#REF!</v>
      </c>
      <c r="P101" s="3" t="e">
        <f t="shared" si="45"/>
        <v>#REF!</v>
      </c>
      <c r="Q101" s="3" t="e">
        <f t="shared" si="46"/>
        <v>#REF!</v>
      </c>
      <c r="R101" s="4" t="e">
        <f t="shared" si="47"/>
        <v>#REF!</v>
      </c>
      <c r="S101" s="5" t="e">
        <f t="shared" si="39"/>
        <v>#REF!</v>
      </c>
      <c r="T101" s="76" t="e">
        <f t="shared" si="38"/>
        <v>#REF!</v>
      </c>
      <c r="U101" s="76" t="e">
        <f t="shared" si="1"/>
        <v>#REF!</v>
      </c>
      <c r="V101" s="5" t="e">
        <f t="shared" si="34"/>
        <v>#REF!</v>
      </c>
      <c r="W101" s="5" t="e">
        <f t="shared" si="35"/>
        <v>#REF!</v>
      </c>
      <c r="X101" s="5" t="e">
        <f t="shared" si="36"/>
        <v>#REF!</v>
      </c>
      <c r="Y101" s="70" t="e">
        <f t="shared" si="37"/>
        <v>#REF!</v>
      </c>
      <c r="Z101" s="32" t="e">
        <f t="shared" si="50"/>
        <v>#REF!</v>
      </c>
      <c r="AA101" s="32" t="e">
        <f t="shared" si="51"/>
        <v>#REF!</v>
      </c>
      <c r="AB101" s="32" t="e">
        <f t="shared" si="52"/>
        <v>#REF!</v>
      </c>
      <c r="AC101" s="32" t="e">
        <f t="shared" si="2"/>
        <v>#REF!</v>
      </c>
      <c r="AD101" s="30"/>
      <c r="AE101" s="21" t="str">
        <f t="shared" si="53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40"/>
        <v>51-1</v>
      </c>
      <c r="BS101" s="112">
        <f>OOC!G101</f>
        <v>0.93</v>
      </c>
      <c r="BT101" s="112">
        <f>OOC!H101</f>
        <v>0.89</v>
      </c>
      <c r="BU101" s="3" t="e">
        <f t="shared" si="41"/>
        <v>#REF!</v>
      </c>
      <c r="BV101" s="3" t="e">
        <f t="shared" si="42"/>
        <v>#REF!</v>
      </c>
      <c r="BW101" s="3" t="e">
        <f t="shared" si="43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48"/>
        <v>#VALUE!</v>
      </c>
      <c r="M102" s="25" t="e">
        <f t="shared" si="49"/>
        <v>#VALUE!</v>
      </c>
      <c r="N102" s="29"/>
      <c r="O102" s="3" t="e">
        <f t="shared" si="44"/>
        <v>#REF!</v>
      </c>
      <c r="P102" s="3" t="e">
        <f t="shared" si="45"/>
        <v>#REF!</v>
      </c>
      <c r="Q102" s="3" t="e">
        <f t="shared" si="46"/>
        <v>#REF!</v>
      </c>
      <c r="R102" s="4" t="e">
        <f t="shared" si="47"/>
        <v>#REF!</v>
      </c>
      <c r="S102" s="5" t="e">
        <f t="shared" si="39"/>
        <v>#REF!</v>
      </c>
      <c r="T102" s="76" t="e">
        <f t="shared" si="38"/>
        <v>#REF!</v>
      </c>
      <c r="U102" s="76" t="e">
        <f t="shared" si="1"/>
        <v>#REF!</v>
      </c>
      <c r="V102" s="5" t="e">
        <f t="shared" si="34"/>
        <v>#REF!</v>
      </c>
      <c r="W102" s="5" t="e">
        <f t="shared" si="35"/>
        <v>#REF!</v>
      </c>
      <c r="X102" s="5" t="e">
        <f t="shared" si="36"/>
        <v>#REF!</v>
      </c>
      <c r="Y102" s="70" t="e">
        <f t="shared" si="37"/>
        <v>#REF!</v>
      </c>
      <c r="Z102" s="32" t="e">
        <f t="shared" si="50"/>
        <v>#REF!</v>
      </c>
      <c r="AA102" s="32" t="e">
        <f t="shared" si="51"/>
        <v>#REF!</v>
      </c>
      <c r="AB102" s="32" t="e">
        <f t="shared" si="52"/>
        <v>#REF!</v>
      </c>
      <c r="AC102" s="32" t="e">
        <f t="shared" si="2"/>
        <v>#REF!</v>
      </c>
      <c r="AD102" s="30"/>
      <c r="AE102" s="21" t="str">
        <f t="shared" si="53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40"/>
        <v>51-2</v>
      </c>
      <c r="BS102" s="112">
        <f>OOC!G102</f>
        <v>0.93</v>
      </c>
      <c r="BT102" s="112">
        <f>OOC!H102</f>
        <v>0.89</v>
      </c>
      <c r="BU102" s="3" t="e">
        <f t="shared" si="41"/>
        <v>#REF!</v>
      </c>
      <c r="BV102" s="3" t="e">
        <f t="shared" si="42"/>
        <v>#REF!</v>
      </c>
      <c r="BW102" s="3" t="e">
        <f t="shared" si="43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48"/>
        <v>#VALUE!</v>
      </c>
      <c r="M103" s="25" t="e">
        <f t="shared" si="49"/>
        <v>#VALUE!</v>
      </c>
      <c r="N103" s="29"/>
      <c r="O103" s="3" t="e">
        <f t="shared" si="44"/>
        <v>#REF!</v>
      </c>
      <c r="P103" s="3" t="e">
        <f t="shared" si="45"/>
        <v>#REF!</v>
      </c>
      <c r="Q103" s="3" t="e">
        <f t="shared" si="46"/>
        <v>#REF!</v>
      </c>
      <c r="R103" s="4" t="e">
        <f t="shared" si="47"/>
        <v>#REF!</v>
      </c>
      <c r="S103" s="5" t="e">
        <f t="shared" si="39"/>
        <v>#REF!</v>
      </c>
      <c r="T103" s="76" t="e">
        <f t="shared" si="38"/>
        <v>#REF!</v>
      </c>
      <c r="U103" s="76" t="e">
        <f t="shared" si="1"/>
        <v>#REF!</v>
      </c>
      <c r="V103" s="5" t="e">
        <f>IF(OR($AK103="",ISNUMBER($AK103)=FALSE),"",IF(H103="","",(L103-Q103)/(3*R103)))</f>
        <v>#REF!</v>
      </c>
      <c r="W103" s="5" t="e">
        <f>IF(OR($AK103="",ISNUMBER($AK103)=FALSE),"",IF(I103="","",(Q103-M103)/(3*R103)))</f>
        <v>#REF!</v>
      </c>
      <c r="X103" s="5" t="e">
        <f>IF(OR($AK103="",ISNUMBER($AK103)=FALSE),"",IF(AND(G103=0,I103=0),((H103)-(Q103))/(3*R103),MIN(V103:W103)))</f>
        <v>#REF!</v>
      </c>
      <c r="Y103" s="70" t="e">
        <f>IF(OR($AK103="",ISNUMBER($AK103)=FALSE),"",IF(AND(G103=0,I103=0),NORMSDIST(3*X103),NORMSDIST(3*X103)+NORMSDIST(6*S103-3*X103)-1))</f>
        <v>#REF!</v>
      </c>
      <c r="Z103" s="32" t="e">
        <f t="shared" si="50"/>
        <v>#REF!</v>
      </c>
      <c r="AA103" s="32" t="e">
        <f t="shared" si="51"/>
        <v>#REF!</v>
      </c>
      <c r="AB103" s="32" t="e">
        <f t="shared" si="52"/>
        <v>#REF!</v>
      </c>
      <c r="AC103" s="32" t="e">
        <f t="shared" si="2"/>
        <v>#REF!</v>
      </c>
      <c r="AD103" s="30"/>
      <c r="AE103" s="21" t="str">
        <f t="shared" si="53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40"/>
        <v>51-3</v>
      </c>
      <c r="BS103" s="112">
        <f>OOC!G103</f>
        <v>0.93</v>
      </c>
      <c r="BT103" s="112">
        <f>OOC!H103</f>
        <v>0.89</v>
      </c>
      <c r="BU103" s="3" t="e">
        <f t="shared" si="41"/>
        <v>#REF!</v>
      </c>
      <c r="BV103" s="3" t="e">
        <f t="shared" si="42"/>
        <v>#REF!</v>
      </c>
      <c r="BW103" s="3" t="e">
        <f t="shared" si="43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48"/>
        <v>#VALUE!</v>
      </c>
      <c r="M104" s="25" t="e">
        <f t="shared" si="49"/>
        <v>#VALUE!</v>
      </c>
      <c r="N104" s="29"/>
      <c r="O104" s="3" t="e">
        <f t="shared" si="44"/>
        <v>#REF!</v>
      </c>
      <c r="P104" s="3" t="e">
        <f t="shared" si="45"/>
        <v>#REF!</v>
      </c>
      <c r="Q104" s="3" t="e">
        <f t="shared" si="46"/>
        <v>#REF!</v>
      </c>
      <c r="R104" s="4" t="e">
        <f t="shared" si="47"/>
        <v>#REF!</v>
      </c>
      <c r="S104" s="5" t="e">
        <f t="shared" si="39"/>
        <v>#REF!</v>
      </c>
      <c r="T104" s="76" t="e">
        <f t="shared" si="38"/>
        <v>#REF!</v>
      </c>
      <c r="U104" s="76" t="e">
        <f t="shared" si="1"/>
        <v>#REF!</v>
      </c>
      <c r="V104" s="5" t="e">
        <f t="shared" si="34"/>
        <v>#REF!</v>
      </c>
      <c r="W104" s="5" t="e">
        <f t="shared" si="35"/>
        <v>#REF!</v>
      </c>
      <c r="X104" s="5" t="e">
        <f t="shared" si="36"/>
        <v>#REF!</v>
      </c>
      <c r="Y104" s="70" t="e">
        <f t="shared" si="37"/>
        <v>#REF!</v>
      </c>
      <c r="Z104" s="32" t="e">
        <f t="shared" si="50"/>
        <v>#REF!</v>
      </c>
      <c r="AA104" s="32" t="e">
        <f t="shared" si="51"/>
        <v>#REF!</v>
      </c>
      <c r="AB104" s="32" t="e">
        <f t="shared" si="52"/>
        <v>#REF!</v>
      </c>
      <c r="AC104" s="32" t="e">
        <f t="shared" si="2"/>
        <v>#REF!</v>
      </c>
      <c r="AD104" s="30"/>
      <c r="AE104" s="21" t="str">
        <f t="shared" si="53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40"/>
        <v>52-1</v>
      </c>
      <c r="BS104" s="112">
        <f>OOC!G104</f>
        <v>6.931</v>
      </c>
      <c r="BT104" s="112">
        <f>OOC!H104</f>
        <v>6.891</v>
      </c>
      <c r="BU104" s="3" t="e">
        <f t="shared" si="41"/>
        <v>#REF!</v>
      </c>
      <c r="BV104" s="3" t="e">
        <f t="shared" si="42"/>
        <v>#REF!</v>
      </c>
      <c r="BW104" s="3" t="e">
        <f t="shared" si="43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48"/>
        <v>#VALUE!</v>
      </c>
      <c r="M105" s="25" t="e">
        <f t="shared" si="49"/>
        <v>#VALUE!</v>
      </c>
      <c r="N105" s="29"/>
      <c r="O105" s="3" t="e">
        <f t="shared" si="44"/>
        <v>#REF!</v>
      </c>
      <c r="P105" s="3" t="e">
        <f t="shared" si="45"/>
        <v>#REF!</v>
      </c>
      <c r="Q105" s="3" t="e">
        <f t="shared" si="46"/>
        <v>#REF!</v>
      </c>
      <c r="R105" s="4" t="e">
        <f t="shared" si="47"/>
        <v>#REF!</v>
      </c>
      <c r="S105" s="5" t="e">
        <f t="shared" si="39"/>
        <v>#REF!</v>
      </c>
      <c r="T105" s="76" t="e">
        <f t="shared" si="38"/>
        <v>#REF!</v>
      </c>
      <c r="U105" s="76" t="e">
        <f t="shared" si="1"/>
        <v>#REF!</v>
      </c>
      <c r="V105" s="5" t="e">
        <f t="shared" si="34"/>
        <v>#REF!</v>
      </c>
      <c r="W105" s="5" t="e">
        <f t="shared" si="35"/>
        <v>#REF!</v>
      </c>
      <c r="X105" s="5" t="e">
        <f t="shared" si="36"/>
        <v>#REF!</v>
      </c>
      <c r="Y105" s="70" t="e">
        <f t="shared" si="37"/>
        <v>#REF!</v>
      </c>
      <c r="Z105" s="32" t="e">
        <f t="shared" si="50"/>
        <v>#REF!</v>
      </c>
      <c r="AA105" s="32" t="e">
        <f t="shared" si="51"/>
        <v>#REF!</v>
      </c>
      <c r="AB105" s="32" t="e">
        <f t="shared" si="52"/>
        <v>#REF!</v>
      </c>
      <c r="AC105" s="32" t="e">
        <f t="shared" si="2"/>
        <v>#REF!</v>
      </c>
      <c r="AD105" s="30"/>
      <c r="AE105" s="21" t="str">
        <f t="shared" si="53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40"/>
        <v>52-2</v>
      </c>
      <c r="BS105" s="112">
        <f>OOC!G105</f>
        <v>6.931</v>
      </c>
      <c r="BT105" s="112">
        <f>OOC!H105</f>
        <v>6.891</v>
      </c>
      <c r="BU105" s="3" t="e">
        <f t="shared" si="41"/>
        <v>#REF!</v>
      </c>
      <c r="BV105" s="3" t="e">
        <f t="shared" si="42"/>
        <v>#REF!</v>
      </c>
      <c r="BW105" s="3" t="e">
        <f t="shared" si="43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48"/>
        <v>#VALUE!</v>
      </c>
      <c r="M106" s="25" t="e">
        <f t="shared" si="49"/>
        <v>#VALUE!</v>
      </c>
      <c r="N106" s="29"/>
      <c r="O106" s="3" t="e">
        <f t="shared" si="44"/>
        <v>#REF!</v>
      </c>
      <c r="P106" s="3" t="e">
        <f t="shared" si="45"/>
        <v>#REF!</v>
      </c>
      <c r="Q106" s="3" t="e">
        <f t="shared" si="46"/>
        <v>#REF!</v>
      </c>
      <c r="R106" s="4" t="e">
        <f t="shared" si="47"/>
        <v>#REF!</v>
      </c>
      <c r="S106" s="5" t="e">
        <f t="shared" si="39"/>
        <v>#REF!</v>
      </c>
      <c r="T106" s="76" t="e">
        <f t="shared" si="38"/>
        <v>#REF!</v>
      </c>
      <c r="U106" s="76" t="e">
        <f t="shared" si="1"/>
        <v>#REF!</v>
      </c>
      <c r="V106" s="5" t="e">
        <f t="shared" si="34"/>
        <v>#REF!</v>
      </c>
      <c r="W106" s="5" t="e">
        <f t="shared" si="35"/>
        <v>#REF!</v>
      </c>
      <c r="X106" s="5" t="e">
        <f t="shared" si="36"/>
        <v>#REF!</v>
      </c>
      <c r="Y106" s="70" t="e">
        <f t="shared" si="37"/>
        <v>#REF!</v>
      </c>
      <c r="Z106" s="32" t="e">
        <f t="shared" si="50"/>
        <v>#REF!</v>
      </c>
      <c r="AA106" s="32" t="e">
        <f t="shared" si="51"/>
        <v>#REF!</v>
      </c>
      <c r="AB106" s="32" t="e">
        <f t="shared" si="52"/>
        <v>#REF!</v>
      </c>
      <c r="AC106" s="32" t="e">
        <f t="shared" si="2"/>
        <v>#REF!</v>
      </c>
      <c r="AD106" s="30"/>
      <c r="AE106" s="21" t="str">
        <f t="shared" si="53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40"/>
        <v>52-3</v>
      </c>
      <c r="BS106" s="112">
        <f>OOC!G106</f>
        <v>6.931</v>
      </c>
      <c r="BT106" s="112">
        <f>OOC!H106</f>
        <v>6.891</v>
      </c>
      <c r="BU106" s="3" t="e">
        <f t="shared" si="41"/>
        <v>#REF!</v>
      </c>
      <c r="BV106" s="3" t="e">
        <f t="shared" si="42"/>
        <v>#REF!</v>
      </c>
      <c r="BW106" s="3" t="e">
        <f t="shared" si="43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48"/>
        <v>#VALUE!</v>
      </c>
      <c r="M107" s="25" t="e">
        <f t="shared" si="49"/>
        <v>#VALUE!</v>
      </c>
      <c r="N107" s="29"/>
      <c r="O107" s="3" t="e">
        <f t="shared" si="44"/>
        <v>#REF!</v>
      </c>
      <c r="P107" s="3" t="e">
        <f t="shared" si="45"/>
        <v>#REF!</v>
      </c>
      <c r="Q107" s="3" t="e">
        <f t="shared" si="46"/>
        <v>#REF!</v>
      </c>
      <c r="R107" s="4" t="e">
        <f t="shared" si="47"/>
        <v>#REF!</v>
      </c>
      <c r="S107" s="5" t="e">
        <f t="shared" si="39"/>
        <v>#REF!</v>
      </c>
      <c r="T107" s="76" t="e">
        <f t="shared" si="38"/>
        <v>#REF!</v>
      </c>
      <c r="U107" s="76" t="e">
        <f t="shared" si="1"/>
        <v>#REF!</v>
      </c>
      <c r="V107" s="5" t="e">
        <f t="shared" si="34"/>
        <v>#REF!</v>
      </c>
      <c r="W107" s="5" t="e">
        <f t="shared" si="35"/>
        <v>#REF!</v>
      </c>
      <c r="X107" s="5" t="e">
        <f t="shared" si="36"/>
        <v>#REF!</v>
      </c>
      <c r="Y107" s="70" t="e">
        <f t="shared" si="37"/>
        <v>#REF!</v>
      </c>
      <c r="Z107" s="32" t="e">
        <f t="shared" si="50"/>
        <v>#REF!</v>
      </c>
      <c r="AA107" s="32" t="e">
        <f t="shared" si="51"/>
        <v>#REF!</v>
      </c>
      <c r="AB107" s="32" t="e">
        <f t="shared" si="52"/>
        <v>#REF!</v>
      </c>
      <c r="AC107" s="32" t="e">
        <f t="shared" si="2"/>
        <v>#REF!</v>
      </c>
      <c r="AD107" s="30"/>
      <c r="AE107" s="21" t="str">
        <f t="shared" si="53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40"/>
        <v>53-1</v>
      </c>
      <c r="BS107" s="112">
        <f>OOC!G107</f>
        <v>1.87</v>
      </c>
      <c r="BT107" s="112">
        <f>OOC!H107</f>
        <v>1.83</v>
      </c>
      <c r="BU107" s="3" t="e">
        <f t="shared" si="41"/>
        <v>#REF!</v>
      </c>
      <c r="BV107" s="3" t="e">
        <f t="shared" si="42"/>
        <v>#REF!</v>
      </c>
      <c r="BW107" s="3" t="e">
        <f t="shared" si="43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48"/>
        <v>#VALUE!</v>
      </c>
      <c r="M108" s="25" t="e">
        <f t="shared" si="49"/>
        <v>#VALUE!</v>
      </c>
      <c r="N108" s="29"/>
      <c r="O108" s="3" t="e">
        <f t="shared" si="44"/>
        <v>#REF!</v>
      </c>
      <c r="P108" s="3" t="e">
        <f t="shared" si="45"/>
        <v>#REF!</v>
      </c>
      <c r="Q108" s="3" t="e">
        <f t="shared" si="46"/>
        <v>#REF!</v>
      </c>
      <c r="R108" s="4" t="e">
        <f t="shared" si="47"/>
        <v>#REF!</v>
      </c>
      <c r="S108" s="5" t="e">
        <f t="shared" si="39"/>
        <v>#REF!</v>
      </c>
      <c r="T108" s="76" t="e">
        <f t="shared" si="38"/>
        <v>#REF!</v>
      </c>
      <c r="U108" s="76" t="e">
        <f t="shared" si="1"/>
        <v>#REF!</v>
      </c>
      <c r="V108" s="5" t="e">
        <f t="shared" si="34"/>
        <v>#REF!</v>
      </c>
      <c r="W108" s="5" t="e">
        <f t="shared" si="35"/>
        <v>#REF!</v>
      </c>
      <c r="X108" s="5" t="e">
        <f t="shared" si="36"/>
        <v>#REF!</v>
      </c>
      <c r="Y108" s="70" t="e">
        <f t="shared" si="37"/>
        <v>#REF!</v>
      </c>
      <c r="Z108" s="32" t="e">
        <f t="shared" si="50"/>
        <v>#REF!</v>
      </c>
      <c r="AA108" s="32" t="e">
        <f t="shared" si="51"/>
        <v>#REF!</v>
      </c>
      <c r="AB108" s="32" t="e">
        <f t="shared" si="52"/>
        <v>#REF!</v>
      </c>
      <c r="AC108" s="32" t="e">
        <f t="shared" si="2"/>
        <v>#REF!</v>
      </c>
      <c r="AD108" s="30"/>
      <c r="AE108" s="21" t="str">
        <f t="shared" si="53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40"/>
        <v>53-2</v>
      </c>
      <c r="BS108" s="112">
        <f>OOC!G108</f>
        <v>1.87</v>
      </c>
      <c r="BT108" s="112">
        <f>OOC!H108</f>
        <v>1.83</v>
      </c>
      <c r="BU108" s="3" t="e">
        <f t="shared" si="41"/>
        <v>#REF!</v>
      </c>
      <c r="BV108" s="3" t="e">
        <f t="shared" si="42"/>
        <v>#REF!</v>
      </c>
      <c r="BW108" s="3" t="e">
        <f t="shared" si="43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ref="L121:L151" si="54">IF(AND(G121="",H121=""),"",IF(G121="",H121,G121+H121))</f>
        <v>#VALUE!</v>
      </c>
      <c r="M121" s="25" t="e">
        <f t="shared" ref="M121:M151" si="55">IF(AND(G121="",I121=""),"",IF(G121="",I121,G121+I121))</f>
        <v>#VALUE!</v>
      </c>
      <c r="N121" s="29"/>
      <c r="O121" s="3" t="e">
        <f t="shared" si="44"/>
        <v>#REF!</v>
      </c>
      <c r="P121" s="3" t="e">
        <f t="shared" si="45"/>
        <v>#REF!</v>
      </c>
      <c r="Q121" s="3" t="e">
        <f t="shared" si="46"/>
        <v>#REF!</v>
      </c>
      <c r="R121" s="4" t="e">
        <f t="shared" si="47"/>
        <v>#REF!</v>
      </c>
      <c r="S121" s="5" t="e">
        <f t="shared" si="39"/>
        <v>#REF!</v>
      </c>
      <c r="T121" s="76" t="e">
        <f t="shared" si="38"/>
        <v>#REF!</v>
      </c>
      <c r="U121" s="76" t="e">
        <f t="shared" si="1"/>
        <v>#REF!</v>
      </c>
      <c r="V121" s="5" t="e">
        <f t="shared" si="34"/>
        <v>#REF!</v>
      </c>
      <c r="W121" s="5" t="e">
        <f t="shared" si="35"/>
        <v>#REF!</v>
      </c>
      <c r="X121" s="5" t="e">
        <f t="shared" si="36"/>
        <v>#REF!</v>
      </c>
      <c r="Y121" s="70" t="e">
        <f t="shared" si="37"/>
        <v>#REF!</v>
      </c>
      <c r="Z121" s="32" t="e">
        <f t="shared" ref="Z121:Z151" si="56">IF($Q121="","",IF(F121="Tolerance",IF(($E121*3*R121+Q121)-G121&lt;H121,"",($E121*3*R121+Q121)-G121),IF(OR(F121="GD&amp;T",F121="MAX"),IF(($E121*3*R121+Q121)&lt;H121,"",($E121*3*R121+Q121)),"")))</f>
        <v>#REF!</v>
      </c>
      <c r="AA121" s="32" t="e">
        <f t="shared" ref="AA121:AA151" si="57">IF(Q121="","",IF(F121="Tolerance",IF(-(($E121*3*R121)-Q121)-G121&gt;I121,"",-(($E121*3*R121)-Q121)-G121),IF(F121="MIN",IF(-(($E121*3*R121)-Q121)&gt;I121,"",-(($E121*3*R121)-Q121)),"")))</f>
        <v>#REF!</v>
      </c>
      <c r="AB121" s="32" t="e">
        <f t="shared" ref="AB121:AB151" si="58">IF(OR(G121="",Q121=""),"",(L121+M121)/2-Q121)</f>
        <v>#REF!</v>
      </c>
      <c r="AC121" s="32" t="e">
        <f t="shared" si="2"/>
        <v>#REF!</v>
      </c>
      <c r="AD121" s="30"/>
      <c r="AE121" s="21" t="str">
        <f t="shared" ref="AE121:AE151" si="59">IF(AD121="","",IF(AD121&gt;=0.966,"Normal","Not Normal"))</f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40"/>
        <v>56</v>
      </c>
      <c r="BS121" s="112">
        <f>OOC!G121</f>
        <v>0.48</v>
      </c>
      <c r="BT121" s="112">
        <f>OOC!H121</f>
        <v>0.43999999999999995</v>
      </c>
      <c r="BU121" s="3" t="e">
        <f t="shared" si="41"/>
        <v>#REF!</v>
      </c>
      <c r="BV121" s="3" t="e">
        <f t="shared" si="42"/>
        <v>#REF!</v>
      </c>
      <c r="BW121" s="3" t="e">
        <f t="shared" si="43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54"/>
        <v>#VALUE!</v>
      </c>
      <c r="M122" s="25" t="e">
        <f t="shared" si="55"/>
        <v>#VALUE!</v>
      </c>
      <c r="N122" s="29"/>
      <c r="O122" s="3" t="e">
        <f t="shared" si="44"/>
        <v>#REF!</v>
      </c>
      <c r="P122" s="3" t="e">
        <f t="shared" si="45"/>
        <v>#REF!</v>
      </c>
      <c r="Q122" s="3" t="e">
        <f t="shared" si="46"/>
        <v>#REF!</v>
      </c>
      <c r="R122" s="4" t="e">
        <f t="shared" si="47"/>
        <v>#REF!</v>
      </c>
      <c r="S122" s="5" t="e">
        <f t="shared" si="39"/>
        <v>#REF!</v>
      </c>
      <c r="T122" s="76" t="e">
        <f t="shared" si="38"/>
        <v>#REF!</v>
      </c>
      <c r="U122" s="76" t="e">
        <f t="shared" si="1"/>
        <v>#REF!</v>
      </c>
      <c r="V122" s="5" t="e">
        <f t="shared" si="34"/>
        <v>#REF!</v>
      </c>
      <c r="W122" s="5" t="e">
        <f t="shared" si="35"/>
        <v>#REF!</v>
      </c>
      <c r="X122" s="5" t="e">
        <f t="shared" si="36"/>
        <v>#REF!</v>
      </c>
      <c r="Y122" s="70" t="e">
        <f t="shared" si="37"/>
        <v>#REF!</v>
      </c>
      <c r="Z122" s="32" t="e">
        <f t="shared" si="56"/>
        <v>#REF!</v>
      </c>
      <c r="AA122" s="32" t="e">
        <f t="shared" si="57"/>
        <v>#REF!</v>
      </c>
      <c r="AB122" s="32" t="e">
        <f t="shared" si="58"/>
        <v>#REF!</v>
      </c>
      <c r="AC122" s="32" t="e">
        <f t="shared" si="2"/>
        <v>#REF!</v>
      </c>
      <c r="AD122" s="30"/>
      <c r="AE122" s="21" t="str">
        <f t="shared" si="59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40"/>
        <v>57</v>
      </c>
      <c r="BS122" s="112">
        <f>OOC!G122</f>
        <v>0.26</v>
      </c>
      <c r="BT122" s="112">
        <f>OOC!H122</f>
        <v>0.22</v>
      </c>
      <c r="BU122" s="3" t="e">
        <f t="shared" si="41"/>
        <v>#REF!</v>
      </c>
      <c r="BV122" s="3" t="e">
        <f t="shared" si="42"/>
        <v>#REF!</v>
      </c>
      <c r="BW122" s="3" t="e">
        <f t="shared" si="43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54"/>
        <v>#VALUE!</v>
      </c>
      <c r="M123" s="25" t="e">
        <f t="shared" si="55"/>
        <v>#VALUE!</v>
      </c>
      <c r="N123" s="29"/>
      <c r="O123" s="3" t="e">
        <f t="shared" si="44"/>
        <v>#REF!</v>
      </c>
      <c r="P123" s="3" t="e">
        <f t="shared" si="45"/>
        <v>#REF!</v>
      </c>
      <c r="Q123" s="3" t="e">
        <f t="shared" si="46"/>
        <v>#REF!</v>
      </c>
      <c r="R123" s="4" t="e">
        <f t="shared" si="47"/>
        <v>#REF!</v>
      </c>
      <c r="S123" s="5" t="e">
        <f t="shared" si="39"/>
        <v>#REF!</v>
      </c>
      <c r="T123" s="76" t="e">
        <f t="shared" si="38"/>
        <v>#REF!</v>
      </c>
      <c r="U123" s="76" t="e">
        <f t="shared" si="1"/>
        <v>#REF!</v>
      </c>
      <c r="V123" s="5" t="e">
        <f t="shared" si="34"/>
        <v>#REF!</v>
      </c>
      <c r="W123" s="5" t="e">
        <f t="shared" si="35"/>
        <v>#REF!</v>
      </c>
      <c r="X123" s="5" t="e">
        <f t="shared" si="36"/>
        <v>#REF!</v>
      </c>
      <c r="Y123" s="70" t="e">
        <f t="shared" si="37"/>
        <v>#REF!</v>
      </c>
      <c r="Z123" s="32" t="e">
        <f t="shared" si="56"/>
        <v>#REF!</v>
      </c>
      <c r="AA123" s="32" t="e">
        <f t="shared" si="57"/>
        <v>#REF!</v>
      </c>
      <c r="AB123" s="32" t="e">
        <f t="shared" si="58"/>
        <v>#REF!</v>
      </c>
      <c r="AC123" s="32" t="e">
        <f t="shared" si="2"/>
        <v>#REF!</v>
      </c>
      <c r="AD123" s="30"/>
      <c r="AE123" s="21" t="str">
        <f t="shared" si="59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40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41"/>
        <v>#REF!</v>
      </c>
      <c r="BV123" s="3" t="e">
        <f t="shared" si="42"/>
        <v>#REF!</v>
      </c>
      <c r="BW123" s="3" t="e">
        <f t="shared" si="43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54"/>
        <v>#VALUE!</v>
      </c>
      <c r="M124" s="25" t="e">
        <f t="shared" si="55"/>
        <v>#VALUE!</v>
      </c>
      <c r="N124" s="29"/>
      <c r="O124" s="3" t="e">
        <f t="shared" si="44"/>
        <v>#REF!</v>
      </c>
      <c r="P124" s="3" t="e">
        <f t="shared" si="45"/>
        <v>#REF!</v>
      </c>
      <c r="Q124" s="3" t="e">
        <f t="shared" si="46"/>
        <v>#REF!</v>
      </c>
      <c r="R124" s="4" t="e">
        <f t="shared" si="47"/>
        <v>#REF!</v>
      </c>
      <c r="S124" s="5" t="e">
        <f t="shared" si="39"/>
        <v>#REF!</v>
      </c>
      <c r="T124" s="76" t="e">
        <f t="shared" si="38"/>
        <v>#REF!</v>
      </c>
      <c r="U124" s="76" t="e">
        <f t="shared" si="1"/>
        <v>#REF!</v>
      </c>
      <c r="V124" s="5" t="e">
        <f t="shared" si="34"/>
        <v>#REF!</v>
      </c>
      <c r="W124" s="5" t="e">
        <f t="shared" si="35"/>
        <v>#REF!</v>
      </c>
      <c r="X124" s="5" t="e">
        <f t="shared" si="36"/>
        <v>#REF!</v>
      </c>
      <c r="Y124" s="70" t="e">
        <f t="shared" si="37"/>
        <v>#REF!</v>
      </c>
      <c r="Z124" s="32" t="e">
        <f t="shared" si="56"/>
        <v>#REF!</v>
      </c>
      <c r="AA124" s="32" t="e">
        <f t="shared" si="57"/>
        <v>#REF!</v>
      </c>
      <c r="AB124" s="32" t="e">
        <f t="shared" si="58"/>
        <v>#REF!</v>
      </c>
      <c r="AC124" s="32" t="e">
        <f t="shared" si="2"/>
        <v>#REF!</v>
      </c>
      <c r="AD124" s="30"/>
      <c r="AE124" s="21" t="str">
        <f t="shared" si="59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40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41"/>
        <v>#REF!</v>
      </c>
      <c r="BV124" s="3" t="e">
        <f t="shared" si="42"/>
        <v>#REF!</v>
      </c>
      <c r="BW124" s="3" t="e">
        <f t="shared" si="43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54"/>
        <v>#VALUE!</v>
      </c>
      <c r="M125" s="25" t="e">
        <f t="shared" si="55"/>
        <v>#VALUE!</v>
      </c>
      <c r="N125" s="29"/>
      <c r="O125" s="3" t="e">
        <f t="shared" si="44"/>
        <v>#REF!</v>
      </c>
      <c r="P125" s="3" t="e">
        <f t="shared" si="45"/>
        <v>#REF!</v>
      </c>
      <c r="Q125" s="3" t="e">
        <f t="shared" si="46"/>
        <v>#REF!</v>
      </c>
      <c r="R125" s="4" t="e">
        <f t="shared" si="47"/>
        <v>#REF!</v>
      </c>
      <c r="S125" s="5" t="e">
        <f t="shared" si="39"/>
        <v>#REF!</v>
      </c>
      <c r="T125" s="76" t="e">
        <f t="shared" si="38"/>
        <v>#REF!</v>
      </c>
      <c r="U125" s="76" t="e">
        <f t="shared" si="1"/>
        <v>#REF!</v>
      </c>
      <c r="V125" s="5" t="e">
        <f t="shared" si="34"/>
        <v>#REF!</v>
      </c>
      <c r="W125" s="5" t="e">
        <f t="shared" si="35"/>
        <v>#REF!</v>
      </c>
      <c r="X125" s="5" t="e">
        <f t="shared" si="36"/>
        <v>#REF!</v>
      </c>
      <c r="Y125" s="70" t="e">
        <f t="shared" si="37"/>
        <v>#REF!</v>
      </c>
      <c r="Z125" s="32" t="e">
        <f t="shared" si="56"/>
        <v>#REF!</v>
      </c>
      <c r="AA125" s="32" t="e">
        <f t="shared" si="57"/>
        <v>#REF!</v>
      </c>
      <c r="AB125" s="32" t="e">
        <f t="shared" si="58"/>
        <v>#REF!</v>
      </c>
      <c r="AC125" s="32" t="e">
        <f t="shared" si="2"/>
        <v>#REF!</v>
      </c>
      <c r="AD125" s="30"/>
      <c r="AE125" s="21" t="str">
        <f t="shared" si="59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40"/>
        <v>59-1</v>
      </c>
      <c r="BS125" s="112">
        <f>OOC!G125</f>
        <v>0.19</v>
      </c>
      <c r="BT125" s="112">
        <f>OOC!H125</f>
        <v>0.15000000000000002</v>
      </c>
      <c r="BU125" s="3" t="e">
        <f t="shared" si="41"/>
        <v>#REF!</v>
      </c>
      <c r="BV125" s="3" t="e">
        <f t="shared" si="42"/>
        <v>#REF!</v>
      </c>
      <c r="BW125" s="3" t="e">
        <f t="shared" si="43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54"/>
        <v>#VALUE!</v>
      </c>
      <c r="M126" s="25" t="e">
        <f t="shared" si="55"/>
        <v>#VALUE!</v>
      </c>
      <c r="N126" s="29"/>
      <c r="O126" s="3" t="e">
        <f t="shared" si="44"/>
        <v>#REF!</v>
      </c>
      <c r="P126" s="3" t="e">
        <f t="shared" si="45"/>
        <v>#REF!</v>
      </c>
      <c r="Q126" s="3" t="e">
        <f t="shared" si="46"/>
        <v>#REF!</v>
      </c>
      <c r="R126" s="4" t="e">
        <f t="shared" si="47"/>
        <v>#REF!</v>
      </c>
      <c r="S126" s="5" t="e">
        <f t="shared" si="39"/>
        <v>#REF!</v>
      </c>
      <c r="T126" s="76" t="e">
        <f t="shared" si="38"/>
        <v>#REF!</v>
      </c>
      <c r="U126" s="76" t="e">
        <f t="shared" si="1"/>
        <v>#REF!</v>
      </c>
      <c r="V126" s="5" t="e">
        <f t="shared" si="34"/>
        <v>#REF!</v>
      </c>
      <c r="W126" s="5" t="e">
        <f t="shared" si="35"/>
        <v>#REF!</v>
      </c>
      <c r="X126" s="5" t="e">
        <f t="shared" si="36"/>
        <v>#REF!</v>
      </c>
      <c r="Y126" s="70" t="e">
        <f t="shared" si="37"/>
        <v>#REF!</v>
      </c>
      <c r="Z126" s="32" t="e">
        <f t="shared" si="56"/>
        <v>#REF!</v>
      </c>
      <c r="AA126" s="32" t="e">
        <f t="shared" si="57"/>
        <v>#REF!</v>
      </c>
      <c r="AB126" s="32" t="e">
        <f t="shared" si="58"/>
        <v>#REF!</v>
      </c>
      <c r="AC126" s="32" t="e">
        <f t="shared" si="2"/>
        <v>#REF!</v>
      </c>
      <c r="AD126" s="30"/>
      <c r="AE126" s="21" t="str">
        <f t="shared" si="59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40"/>
        <v>59-2</v>
      </c>
      <c r="BS126" s="112">
        <f>OOC!G126</f>
        <v>0.19</v>
      </c>
      <c r="BT126" s="112">
        <f>OOC!H126</f>
        <v>0.15000000000000002</v>
      </c>
      <c r="BU126" s="3" t="e">
        <f t="shared" si="41"/>
        <v>#REF!</v>
      </c>
      <c r="BV126" s="3" t="e">
        <f t="shared" si="42"/>
        <v>#REF!</v>
      </c>
      <c r="BW126" s="3" t="e">
        <f t="shared" si="43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54"/>
        <v>#VALUE!</v>
      </c>
      <c r="M127" s="25" t="e">
        <f t="shared" si="55"/>
        <v>#VALUE!</v>
      </c>
      <c r="N127" s="29"/>
      <c r="O127" s="3" t="e">
        <f t="shared" si="44"/>
        <v>#REF!</v>
      </c>
      <c r="P127" s="3" t="e">
        <f t="shared" si="45"/>
        <v>#REF!</v>
      </c>
      <c r="Q127" s="3" t="e">
        <f t="shared" si="46"/>
        <v>#REF!</v>
      </c>
      <c r="R127" s="4" t="e">
        <f t="shared" si="47"/>
        <v>#REF!</v>
      </c>
      <c r="S127" s="5" t="e">
        <f t="shared" si="39"/>
        <v>#REF!</v>
      </c>
      <c r="T127" s="76" t="e">
        <f t="shared" si="38"/>
        <v>#REF!</v>
      </c>
      <c r="U127" s="76" t="e">
        <f t="shared" si="1"/>
        <v>#REF!</v>
      </c>
      <c r="V127" s="5" t="e">
        <f t="shared" si="34"/>
        <v>#REF!</v>
      </c>
      <c r="W127" s="5" t="e">
        <f t="shared" si="35"/>
        <v>#REF!</v>
      </c>
      <c r="X127" s="5" t="e">
        <f t="shared" si="36"/>
        <v>#REF!</v>
      </c>
      <c r="Y127" s="70" t="e">
        <f t="shared" si="37"/>
        <v>#REF!</v>
      </c>
      <c r="Z127" s="32" t="e">
        <f t="shared" si="56"/>
        <v>#REF!</v>
      </c>
      <c r="AA127" s="32" t="e">
        <f t="shared" si="57"/>
        <v>#REF!</v>
      </c>
      <c r="AB127" s="32" t="e">
        <f t="shared" si="58"/>
        <v>#REF!</v>
      </c>
      <c r="AC127" s="32" t="e">
        <f t="shared" si="2"/>
        <v>#REF!</v>
      </c>
      <c r="AD127" s="30"/>
      <c r="AE127" s="21" t="str">
        <f t="shared" si="59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40"/>
        <v>60-1</v>
      </c>
      <c r="BS127" s="112">
        <f>OOC!G127</f>
        <v>0.47500000000000003</v>
      </c>
      <c r="BT127" s="112">
        <f>OOC!H127</f>
        <v>0.435</v>
      </c>
      <c r="BU127" s="3" t="e">
        <f t="shared" si="41"/>
        <v>#REF!</v>
      </c>
      <c r="BV127" s="3" t="e">
        <f t="shared" si="42"/>
        <v>#REF!</v>
      </c>
      <c r="BW127" s="3" t="e">
        <f t="shared" si="43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54"/>
        <v>#VALUE!</v>
      </c>
      <c r="M128" s="25" t="e">
        <f t="shared" si="55"/>
        <v>#VALUE!</v>
      </c>
      <c r="N128" s="29"/>
      <c r="O128" s="3" t="e">
        <f t="shared" si="44"/>
        <v>#REF!</v>
      </c>
      <c r="P128" s="3" t="e">
        <f t="shared" si="45"/>
        <v>#REF!</v>
      </c>
      <c r="Q128" s="3" t="e">
        <f t="shared" si="46"/>
        <v>#REF!</v>
      </c>
      <c r="R128" s="4" t="e">
        <f t="shared" si="47"/>
        <v>#REF!</v>
      </c>
      <c r="S128" s="5" t="e">
        <f t="shared" si="39"/>
        <v>#REF!</v>
      </c>
      <c r="T128" s="76" t="e">
        <f t="shared" si="38"/>
        <v>#REF!</v>
      </c>
      <c r="U128" s="76" t="e">
        <f t="shared" si="1"/>
        <v>#REF!</v>
      </c>
      <c r="V128" s="5" t="e">
        <f t="shared" si="34"/>
        <v>#REF!</v>
      </c>
      <c r="W128" s="5" t="e">
        <f t="shared" si="35"/>
        <v>#REF!</v>
      </c>
      <c r="X128" s="5" t="e">
        <f t="shared" si="36"/>
        <v>#REF!</v>
      </c>
      <c r="Y128" s="70" t="e">
        <f t="shared" si="37"/>
        <v>#REF!</v>
      </c>
      <c r="Z128" s="32" t="e">
        <f t="shared" si="56"/>
        <v>#REF!</v>
      </c>
      <c r="AA128" s="32" t="e">
        <f t="shared" si="57"/>
        <v>#REF!</v>
      </c>
      <c r="AB128" s="32" t="e">
        <f t="shared" si="58"/>
        <v>#REF!</v>
      </c>
      <c r="AC128" s="32" t="e">
        <f t="shared" si="2"/>
        <v>#REF!</v>
      </c>
      <c r="AD128" s="30"/>
      <c r="AE128" s="21" t="str">
        <f t="shared" si="59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40"/>
        <v>60-2</v>
      </c>
      <c r="BS128" s="112">
        <f>OOC!G128</f>
        <v>0.47500000000000003</v>
      </c>
      <c r="BT128" s="112">
        <f>OOC!H128</f>
        <v>0.435</v>
      </c>
      <c r="BU128" s="3" t="e">
        <f t="shared" si="41"/>
        <v>#REF!</v>
      </c>
      <c r="BV128" s="3" t="e">
        <f t="shared" si="42"/>
        <v>#REF!</v>
      </c>
      <c r="BW128" s="3" t="e">
        <f t="shared" si="43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54"/>
        <v>#VALUE!</v>
      </c>
      <c r="M129" s="25" t="e">
        <f t="shared" si="55"/>
        <v>#VALUE!</v>
      </c>
      <c r="N129" s="29"/>
      <c r="O129" s="3" t="e">
        <f t="shared" si="44"/>
        <v>#REF!</v>
      </c>
      <c r="P129" s="3" t="e">
        <f t="shared" si="45"/>
        <v>#REF!</v>
      </c>
      <c r="Q129" s="3" t="e">
        <f t="shared" si="46"/>
        <v>#REF!</v>
      </c>
      <c r="R129" s="4" t="e">
        <f t="shared" si="47"/>
        <v>#REF!</v>
      </c>
      <c r="S129" s="5" t="e">
        <f t="shared" si="39"/>
        <v>#REF!</v>
      </c>
      <c r="T129" s="76" t="e">
        <f t="shared" si="38"/>
        <v>#REF!</v>
      </c>
      <c r="U129" s="76" t="e">
        <f t="shared" si="1"/>
        <v>#REF!</v>
      </c>
      <c r="V129" s="5" t="e">
        <f t="shared" si="34"/>
        <v>#REF!</v>
      </c>
      <c r="W129" s="5" t="e">
        <f t="shared" si="35"/>
        <v>#REF!</v>
      </c>
      <c r="X129" s="5" t="e">
        <f t="shared" si="36"/>
        <v>#REF!</v>
      </c>
      <c r="Y129" s="70" t="e">
        <f t="shared" si="37"/>
        <v>#REF!</v>
      </c>
      <c r="Z129" s="32" t="e">
        <f t="shared" si="56"/>
        <v>#REF!</v>
      </c>
      <c r="AA129" s="32" t="e">
        <f t="shared" si="57"/>
        <v>#REF!</v>
      </c>
      <c r="AB129" s="32" t="e">
        <f t="shared" si="58"/>
        <v>#REF!</v>
      </c>
      <c r="AC129" s="32" t="e">
        <f t="shared" si="2"/>
        <v>#REF!</v>
      </c>
      <c r="AD129" s="30"/>
      <c r="AE129" s="21" t="str">
        <f t="shared" si="59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40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41"/>
        <v>#REF!</v>
      </c>
      <c r="BV129" s="3" t="e">
        <f t="shared" si="42"/>
        <v>#REF!</v>
      </c>
      <c r="BW129" s="3" t="e">
        <f t="shared" si="43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54"/>
        <v>#VALUE!</v>
      </c>
      <c r="M130" s="25" t="e">
        <f t="shared" si="55"/>
        <v>#VALUE!</v>
      </c>
      <c r="N130" s="29"/>
      <c r="O130" s="3" t="e">
        <f t="shared" si="44"/>
        <v>#REF!</v>
      </c>
      <c r="P130" s="3" t="e">
        <f t="shared" si="45"/>
        <v>#REF!</v>
      </c>
      <c r="Q130" s="3" t="e">
        <f t="shared" si="46"/>
        <v>#REF!</v>
      </c>
      <c r="R130" s="4" t="e">
        <f t="shared" si="47"/>
        <v>#REF!</v>
      </c>
      <c r="S130" s="5" t="e">
        <f t="shared" si="39"/>
        <v>#REF!</v>
      </c>
      <c r="T130" s="76" t="e">
        <f t="shared" si="38"/>
        <v>#REF!</v>
      </c>
      <c r="U130" s="76" t="e">
        <f t="shared" si="1"/>
        <v>#REF!</v>
      </c>
      <c r="V130" s="5" t="e">
        <f t="shared" si="34"/>
        <v>#REF!</v>
      </c>
      <c r="W130" s="5" t="e">
        <f t="shared" si="35"/>
        <v>#REF!</v>
      </c>
      <c r="X130" s="5" t="e">
        <f t="shared" si="36"/>
        <v>#REF!</v>
      </c>
      <c r="Y130" s="70" t="e">
        <f t="shared" si="37"/>
        <v>#REF!</v>
      </c>
      <c r="Z130" s="32" t="e">
        <f t="shared" si="56"/>
        <v>#REF!</v>
      </c>
      <c r="AA130" s="32" t="e">
        <f t="shared" si="57"/>
        <v>#REF!</v>
      </c>
      <c r="AB130" s="32" t="e">
        <f t="shared" si="58"/>
        <v>#REF!</v>
      </c>
      <c r="AC130" s="32" t="e">
        <f t="shared" si="2"/>
        <v>#REF!</v>
      </c>
      <c r="AD130" s="30"/>
      <c r="AE130" s="21" t="str">
        <f t="shared" si="59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40"/>
        <v>62-1</v>
      </c>
      <c r="BS130" s="112">
        <f>OOC!G130</f>
        <v>11.74</v>
      </c>
      <c r="BT130" s="112">
        <f>OOC!H130</f>
        <v>11.700000000000001</v>
      </c>
      <c r="BU130" s="3" t="e">
        <f t="shared" si="41"/>
        <v>#REF!</v>
      </c>
      <c r="BV130" s="3" t="e">
        <f t="shared" si="42"/>
        <v>#REF!</v>
      </c>
      <c r="BW130" s="3" t="e">
        <f t="shared" si="43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54"/>
        <v>#VALUE!</v>
      </c>
      <c r="M131" s="25" t="e">
        <f t="shared" si="55"/>
        <v>#VALUE!</v>
      </c>
      <c r="N131" s="29"/>
      <c r="O131" s="3" t="e">
        <f t="shared" si="44"/>
        <v>#REF!</v>
      </c>
      <c r="P131" s="3" t="e">
        <f t="shared" si="45"/>
        <v>#REF!</v>
      </c>
      <c r="Q131" s="3" t="e">
        <f t="shared" si="46"/>
        <v>#REF!</v>
      </c>
      <c r="R131" s="4" t="e">
        <f t="shared" si="47"/>
        <v>#REF!</v>
      </c>
      <c r="S131" s="5" t="e">
        <f t="shared" si="39"/>
        <v>#REF!</v>
      </c>
      <c r="T131" s="76" t="e">
        <f t="shared" si="38"/>
        <v>#REF!</v>
      </c>
      <c r="U131" s="76" t="e">
        <f t="shared" si="1"/>
        <v>#REF!</v>
      </c>
      <c r="V131" s="5" t="e">
        <f t="shared" si="34"/>
        <v>#REF!</v>
      </c>
      <c r="W131" s="5" t="e">
        <f t="shared" si="35"/>
        <v>#REF!</v>
      </c>
      <c r="X131" s="5" t="e">
        <f t="shared" si="36"/>
        <v>#REF!</v>
      </c>
      <c r="Y131" s="70" t="e">
        <f t="shared" si="37"/>
        <v>#REF!</v>
      </c>
      <c r="Z131" s="32" t="e">
        <f t="shared" si="56"/>
        <v>#REF!</v>
      </c>
      <c r="AA131" s="32" t="e">
        <f t="shared" si="57"/>
        <v>#REF!</v>
      </c>
      <c r="AB131" s="32" t="e">
        <f t="shared" si="58"/>
        <v>#REF!</v>
      </c>
      <c r="AC131" s="32" t="e">
        <f t="shared" si="2"/>
        <v>#REF!</v>
      </c>
      <c r="AD131" s="30"/>
      <c r="AE131" s="21" t="str">
        <f t="shared" si="59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40"/>
        <v>62-2</v>
      </c>
      <c r="BS131" s="112">
        <f>OOC!G131</f>
        <v>11.74</v>
      </c>
      <c r="BT131" s="112">
        <f>OOC!H131</f>
        <v>11.700000000000001</v>
      </c>
      <c r="BU131" s="3" t="e">
        <f t="shared" si="41"/>
        <v>#REF!</v>
      </c>
      <c r="BV131" s="3" t="e">
        <f t="shared" si="42"/>
        <v>#REF!</v>
      </c>
      <c r="BW131" s="3" t="e">
        <f t="shared" si="43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54"/>
        <v>#VALUE!</v>
      </c>
      <c r="M132" s="25" t="e">
        <f t="shared" si="55"/>
        <v>#VALUE!</v>
      </c>
      <c r="N132" s="29"/>
      <c r="O132" s="3" t="e">
        <f t="shared" si="44"/>
        <v>#REF!</v>
      </c>
      <c r="P132" s="3" t="e">
        <f t="shared" si="45"/>
        <v>#REF!</v>
      </c>
      <c r="Q132" s="3" t="e">
        <f t="shared" si="46"/>
        <v>#REF!</v>
      </c>
      <c r="R132" s="4" t="e">
        <f t="shared" si="47"/>
        <v>#REF!</v>
      </c>
      <c r="S132" s="5" t="e">
        <f t="shared" si="39"/>
        <v>#REF!</v>
      </c>
      <c r="T132" s="76" t="e">
        <f t="shared" si="38"/>
        <v>#REF!</v>
      </c>
      <c r="U132" s="76" t="e">
        <f t="shared" si="1"/>
        <v>#REF!</v>
      </c>
      <c r="V132" s="5" t="e">
        <f t="shared" si="34"/>
        <v>#REF!</v>
      </c>
      <c r="W132" s="5" t="e">
        <f t="shared" si="35"/>
        <v>#REF!</v>
      </c>
      <c r="X132" s="5" t="e">
        <f t="shared" si="36"/>
        <v>#REF!</v>
      </c>
      <c r="Y132" s="70" t="e">
        <f t="shared" si="37"/>
        <v>#REF!</v>
      </c>
      <c r="Z132" s="32" t="e">
        <f t="shared" si="56"/>
        <v>#REF!</v>
      </c>
      <c r="AA132" s="32" t="e">
        <f t="shared" si="57"/>
        <v>#REF!</v>
      </c>
      <c r="AB132" s="32" t="e">
        <f t="shared" si="58"/>
        <v>#REF!</v>
      </c>
      <c r="AC132" s="32" t="e">
        <f t="shared" si="2"/>
        <v>#REF!</v>
      </c>
      <c r="AD132" s="30"/>
      <c r="AE132" s="21" t="str">
        <f t="shared" si="59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40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41"/>
        <v>#REF!</v>
      </c>
      <c r="BV132" s="3" t="e">
        <f t="shared" si="42"/>
        <v>#REF!</v>
      </c>
      <c r="BW132" s="3" t="e">
        <f t="shared" si="43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54"/>
        <v>#VALUE!</v>
      </c>
      <c r="M133" s="25" t="e">
        <f t="shared" si="55"/>
        <v>#VALUE!</v>
      </c>
      <c r="N133" s="29"/>
      <c r="O133" s="3" t="e">
        <f t="shared" si="44"/>
        <v>#REF!</v>
      </c>
      <c r="P133" s="3" t="e">
        <f t="shared" si="45"/>
        <v>#REF!</v>
      </c>
      <c r="Q133" s="3" t="e">
        <f t="shared" si="46"/>
        <v>#REF!</v>
      </c>
      <c r="R133" s="4" t="e">
        <f t="shared" si="47"/>
        <v>#REF!</v>
      </c>
      <c r="S133" s="5" t="e">
        <f t="shared" si="39"/>
        <v>#REF!</v>
      </c>
      <c r="T133" s="76" t="e">
        <f t="shared" si="38"/>
        <v>#REF!</v>
      </c>
      <c r="U133" s="76" t="e">
        <f t="shared" si="1"/>
        <v>#REF!</v>
      </c>
      <c r="V133" s="5" t="e">
        <f t="shared" si="34"/>
        <v>#REF!</v>
      </c>
      <c r="W133" s="5" t="e">
        <f t="shared" si="35"/>
        <v>#REF!</v>
      </c>
      <c r="X133" s="5" t="e">
        <f t="shared" si="36"/>
        <v>#REF!</v>
      </c>
      <c r="Y133" s="70" t="e">
        <f t="shared" si="37"/>
        <v>#REF!</v>
      </c>
      <c r="Z133" s="32" t="e">
        <f t="shared" si="56"/>
        <v>#REF!</v>
      </c>
      <c r="AA133" s="32" t="e">
        <f t="shared" si="57"/>
        <v>#REF!</v>
      </c>
      <c r="AB133" s="32" t="e">
        <f t="shared" si="58"/>
        <v>#REF!</v>
      </c>
      <c r="AC133" s="32" t="e">
        <f t="shared" si="2"/>
        <v>#REF!</v>
      </c>
      <c r="AD133" s="30"/>
      <c r="AE133" s="21" t="str">
        <f t="shared" si="59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40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41"/>
        <v>#REF!</v>
      </c>
      <c r="BV133" s="3" t="e">
        <f t="shared" si="42"/>
        <v>#REF!</v>
      </c>
      <c r="BW133" s="3" t="e">
        <f t="shared" si="43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54"/>
        <v>#VALUE!</v>
      </c>
      <c r="M134" s="25" t="e">
        <f t="shared" si="55"/>
        <v>#VALUE!</v>
      </c>
      <c r="N134" s="29"/>
      <c r="O134" s="3" t="e">
        <f t="shared" si="44"/>
        <v>#REF!</v>
      </c>
      <c r="P134" s="3" t="e">
        <f t="shared" si="45"/>
        <v>#REF!</v>
      </c>
      <c r="Q134" s="3" t="e">
        <f t="shared" si="46"/>
        <v>#REF!</v>
      </c>
      <c r="R134" s="4" t="e">
        <f t="shared" si="47"/>
        <v>#REF!</v>
      </c>
      <c r="S134" s="5" t="e">
        <f t="shared" si="39"/>
        <v>#REF!</v>
      </c>
      <c r="T134" s="76" t="e">
        <f t="shared" si="38"/>
        <v>#REF!</v>
      </c>
      <c r="U134" s="76" t="e">
        <f t="shared" si="1"/>
        <v>#REF!</v>
      </c>
      <c r="V134" s="5" t="e">
        <f t="shared" si="34"/>
        <v>#REF!</v>
      </c>
      <c r="W134" s="5" t="e">
        <f t="shared" si="35"/>
        <v>#REF!</v>
      </c>
      <c r="X134" s="5" t="e">
        <f t="shared" si="36"/>
        <v>#REF!</v>
      </c>
      <c r="Y134" s="70" t="e">
        <f t="shared" si="37"/>
        <v>#REF!</v>
      </c>
      <c r="Z134" s="32" t="e">
        <f t="shared" si="56"/>
        <v>#REF!</v>
      </c>
      <c r="AA134" s="32" t="e">
        <f t="shared" si="57"/>
        <v>#REF!</v>
      </c>
      <c r="AB134" s="32" t="e">
        <f t="shared" si="58"/>
        <v>#REF!</v>
      </c>
      <c r="AC134" s="32" t="e">
        <f t="shared" si="2"/>
        <v>#REF!</v>
      </c>
      <c r="AD134" s="30"/>
      <c r="AE134" s="21" t="str">
        <f t="shared" si="59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40"/>
        <v>64</v>
      </c>
      <c r="BS134" s="112">
        <f>OOC!G134</f>
        <v>3.093</v>
      </c>
      <c r="BT134" s="112">
        <f>OOC!H134</f>
        <v>3.0529999999999999</v>
      </c>
      <c r="BU134" s="3" t="e">
        <f t="shared" si="41"/>
        <v>#REF!</v>
      </c>
      <c r="BV134" s="3" t="e">
        <f t="shared" si="42"/>
        <v>#REF!</v>
      </c>
      <c r="BW134" s="3" t="e">
        <f t="shared" si="43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54"/>
        <v>#VALUE!</v>
      </c>
      <c r="M135" s="25" t="e">
        <f t="shared" si="55"/>
        <v>#VALUE!</v>
      </c>
      <c r="N135" s="28"/>
      <c r="O135" s="3" t="e">
        <f t="shared" si="44"/>
        <v>#REF!</v>
      </c>
      <c r="P135" s="3" t="e">
        <f t="shared" si="45"/>
        <v>#REF!</v>
      </c>
      <c r="Q135" s="3" t="e">
        <f t="shared" si="46"/>
        <v>#REF!</v>
      </c>
      <c r="R135" s="4" t="e">
        <f t="shared" si="47"/>
        <v>#REF!</v>
      </c>
      <c r="S135" s="5" t="e">
        <f t="shared" si="39"/>
        <v>#REF!</v>
      </c>
      <c r="T135" s="76" t="e">
        <f t="shared" si="38"/>
        <v>#REF!</v>
      </c>
      <c r="U135" s="76" t="e">
        <f t="shared" si="1"/>
        <v>#REF!</v>
      </c>
      <c r="V135" s="5" t="e">
        <f t="shared" si="34"/>
        <v>#REF!</v>
      </c>
      <c r="W135" s="5" t="e">
        <f t="shared" si="35"/>
        <v>#REF!</v>
      </c>
      <c r="X135" s="5" t="e">
        <f t="shared" si="36"/>
        <v>#REF!</v>
      </c>
      <c r="Y135" s="70" t="e">
        <f t="shared" si="37"/>
        <v>#REF!</v>
      </c>
      <c r="Z135" s="32" t="e">
        <f t="shared" si="56"/>
        <v>#REF!</v>
      </c>
      <c r="AA135" s="32" t="e">
        <f t="shared" si="57"/>
        <v>#REF!</v>
      </c>
      <c r="AB135" s="32" t="e">
        <f t="shared" si="58"/>
        <v>#REF!</v>
      </c>
      <c r="AC135" s="32" t="e">
        <f t="shared" si="2"/>
        <v>#REF!</v>
      </c>
      <c r="AD135" s="30"/>
      <c r="AE135" s="21" t="str">
        <f t="shared" si="59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40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41"/>
        <v>#REF!</v>
      </c>
      <c r="BV135" s="3" t="e">
        <f t="shared" si="42"/>
        <v>#REF!</v>
      </c>
      <c r="BW135" s="3" t="e">
        <f t="shared" si="43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54"/>
        <v>#VALUE!</v>
      </c>
      <c r="M136" s="25" t="e">
        <f t="shared" si="55"/>
        <v>#VALUE!</v>
      </c>
      <c r="N136" s="28"/>
      <c r="O136" s="3" t="e">
        <f t="shared" si="44"/>
        <v>#REF!</v>
      </c>
      <c r="P136" s="3" t="e">
        <f t="shared" si="45"/>
        <v>#REF!</v>
      </c>
      <c r="Q136" s="3" t="e">
        <f t="shared" si="46"/>
        <v>#REF!</v>
      </c>
      <c r="R136" s="4" t="e">
        <f t="shared" si="47"/>
        <v>#REF!</v>
      </c>
      <c r="S136" s="5" t="e">
        <f t="shared" si="39"/>
        <v>#REF!</v>
      </c>
      <c r="T136" s="76" t="e">
        <f t="shared" si="38"/>
        <v>#REF!</v>
      </c>
      <c r="U136" s="76" t="e">
        <f t="shared" si="1"/>
        <v>#REF!</v>
      </c>
      <c r="V136" s="5" t="e">
        <f t="shared" si="34"/>
        <v>#REF!</v>
      </c>
      <c r="W136" s="5" t="e">
        <f t="shared" si="35"/>
        <v>#REF!</v>
      </c>
      <c r="X136" s="5" t="e">
        <f t="shared" si="36"/>
        <v>#REF!</v>
      </c>
      <c r="Y136" s="70" t="e">
        <f t="shared" si="37"/>
        <v>#REF!</v>
      </c>
      <c r="Z136" s="32" t="e">
        <f t="shared" si="56"/>
        <v>#REF!</v>
      </c>
      <c r="AA136" s="32" t="e">
        <f t="shared" si="57"/>
        <v>#REF!</v>
      </c>
      <c r="AB136" s="32" t="e">
        <f t="shared" si="58"/>
        <v>#REF!</v>
      </c>
      <c r="AC136" s="32" t="e">
        <f t="shared" si="2"/>
        <v>#REF!</v>
      </c>
      <c r="AD136" s="30"/>
      <c r="AE136" s="21" t="str">
        <f t="shared" si="59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40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41"/>
        <v>#REF!</v>
      </c>
      <c r="BV136" s="3" t="e">
        <f t="shared" si="42"/>
        <v>#REF!</v>
      </c>
      <c r="BW136" s="3" t="e">
        <f t="shared" si="43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54"/>
        <v>#VALUE!</v>
      </c>
      <c r="M137" s="25" t="e">
        <f t="shared" si="55"/>
        <v>#VALUE!</v>
      </c>
      <c r="N137" s="29"/>
      <c r="O137" s="3" t="e">
        <f t="shared" si="44"/>
        <v>#REF!</v>
      </c>
      <c r="P137" s="3" t="e">
        <f t="shared" si="45"/>
        <v>#REF!</v>
      </c>
      <c r="Q137" s="3" t="e">
        <f t="shared" si="46"/>
        <v>#REF!</v>
      </c>
      <c r="R137" s="4" t="e">
        <f t="shared" si="47"/>
        <v>#REF!</v>
      </c>
      <c r="S137" s="5" t="e">
        <f t="shared" si="39"/>
        <v>#REF!</v>
      </c>
      <c r="T137" s="76" t="e">
        <f t="shared" si="38"/>
        <v>#REF!</v>
      </c>
      <c r="U137" s="76" t="e">
        <f t="shared" si="1"/>
        <v>#REF!</v>
      </c>
      <c r="V137" s="5" t="e">
        <f t="shared" si="34"/>
        <v>#REF!</v>
      </c>
      <c r="W137" s="5" t="e">
        <f t="shared" si="35"/>
        <v>#REF!</v>
      </c>
      <c r="X137" s="5" t="e">
        <f t="shared" si="36"/>
        <v>#REF!</v>
      </c>
      <c r="Y137" s="70" t="e">
        <f t="shared" si="37"/>
        <v>#REF!</v>
      </c>
      <c r="Z137" s="32" t="e">
        <f t="shared" si="56"/>
        <v>#REF!</v>
      </c>
      <c r="AA137" s="32" t="e">
        <f t="shared" si="57"/>
        <v>#REF!</v>
      </c>
      <c r="AB137" s="32" t="e">
        <f t="shared" si="58"/>
        <v>#REF!</v>
      </c>
      <c r="AC137" s="32" t="e">
        <f t="shared" si="2"/>
        <v>#REF!</v>
      </c>
      <c r="AD137" s="30"/>
      <c r="AE137" s="21" t="str">
        <f t="shared" si="59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40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41"/>
        <v>#REF!</v>
      </c>
      <c r="BV137" s="3" t="e">
        <f t="shared" si="42"/>
        <v>#REF!</v>
      </c>
      <c r="BW137" s="3" t="e">
        <f t="shared" si="43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54"/>
        <v>#VALUE!</v>
      </c>
      <c r="M138" s="25" t="e">
        <f t="shared" si="55"/>
        <v>#VALUE!</v>
      </c>
      <c r="N138" s="29"/>
      <c r="O138" s="3" t="e">
        <f t="shared" si="44"/>
        <v>#REF!</v>
      </c>
      <c r="P138" s="3" t="e">
        <f t="shared" si="45"/>
        <v>#REF!</v>
      </c>
      <c r="Q138" s="3" t="e">
        <f t="shared" si="46"/>
        <v>#REF!</v>
      </c>
      <c r="R138" s="4" t="e">
        <f t="shared" si="47"/>
        <v>#REF!</v>
      </c>
      <c r="S138" s="5" t="e">
        <f t="shared" si="39"/>
        <v>#REF!</v>
      </c>
      <c r="T138" s="76" t="e">
        <f t="shared" si="38"/>
        <v>#REF!</v>
      </c>
      <c r="U138" s="76" t="e">
        <f t="shared" si="1"/>
        <v>#REF!</v>
      </c>
      <c r="V138" s="5" t="e">
        <f t="shared" si="34"/>
        <v>#REF!</v>
      </c>
      <c r="W138" s="5" t="e">
        <f t="shared" si="35"/>
        <v>#REF!</v>
      </c>
      <c r="X138" s="5" t="e">
        <f t="shared" si="36"/>
        <v>#REF!</v>
      </c>
      <c r="Y138" s="70" t="e">
        <f t="shared" si="37"/>
        <v>#REF!</v>
      </c>
      <c r="Z138" s="32" t="e">
        <f t="shared" si="56"/>
        <v>#REF!</v>
      </c>
      <c r="AA138" s="32" t="e">
        <f t="shared" si="57"/>
        <v>#REF!</v>
      </c>
      <c r="AB138" s="32" t="e">
        <f t="shared" si="58"/>
        <v>#REF!</v>
      </c>
      <c r="AC138" s="32" t="e">
        <f t="shared" si="2"/>
        <v>#REF!</v>
      </c>
      <c r="AD138" s="30"/>
      <c r="AE138" s="21" t="str">
        <f t="shared" si="59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40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41"/>
        <v>#REF!</v>
      </c>
      <c r="BV138" s="3" t="e">
        <f t="shared" si="42"/>
        <v>#REF!</v>
      </c>
      <c r="BW138" s="3" t="e">
        <f t="shared" si="43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54"/>
        <v>#VALUE!</v>
      </c>
      <c r="M139" s="25" t="e">
        <f t="shared" si="55"/>
        <v>#VALUE!</v>
      </c>
      <c r="N139" s="29"/>
      <c r="O139" s="3" t="e">
        <f t="shared" si="44"/>
        <v>#REF!</v>
      </c>
      <c r="P139" s="3" t="e">
        <f t="shared" si="45"/>
        <v>#REF!</v>
      </c>
      <c r="Q139" s="3" t="e">
        <f t="shared" si="46"/>
        <v>#REF!</v>
      </c>
      <c r="R139" s="4" t="e">
        <f t="shared" si="47"/>
        <v>#REF!</v>
      </c>
      <c r="S139" s="5" t="e">
        <f t="shared" si="39"/>
        <v>#REF!</v>
      </c>
      <c r="T139" s="76" t="e">
        <f t="shared" si="38"/>
        <v>#REF!</v>
      </c>
      <c r="U139" s="76" t="e">
        <f t="shared" si="1"/>
        <v>#REF!</v>
      </c>
      <c r="V139" s="5" t="e">
        <f t="shared" si="34"/>
        <v>#REF!</v>
      </c>
      <c r="W139" s="5" t="e">
        <f t="shared" si="35"/>
        <v>#REF!</v>
      </c>
      <c r="X139" s="5" t="e">
        <f t="shared" si="36"/>
        <v>#REF!</v>
      </c>
      <c r="Y139" s="70" t="e">
        <f t="shared" si="37"/>
        <v>#REF!</v>
      </c>
      <c r="Z139" s="32" t="e">
        <f t="shared" si="56"/>
        <v>#REF!</v>
      </c>
      <c r="AA139" s="32" t="e">
        <f t="shared" si="57"/>
        <v>#REF!</v>
      </c>
      <c r="AB139" s="32" t="e">
        <f t="shared" si="58"/>
        <v>#REF!</v>
      </c>
      <c r="AC139" s="32" t="e">
        <f t="shared" si="2"/>
        <v>#REF!</v>
      </c>
      <c r="AD139" s="30"/>
      <c r="AE139" s="21" t="str">
        <f t="shared" si="59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40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41"/>
        <v>#REF!</v>
      </c>
      <c r="BV139" s="3" t="e">
        <f t="shared" si="42"/>
        <v>#REF!</v>
      </c>
      <c r="BW139" s="3" t="e">
        <f t="shared" si="43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54"/>
        <v>#VALUE!</v>
      </c>
      <c r="M140" s="25" t="e">
        <f t="shared" si="55"/>
        <v>#VALUE!</v>
      </c>
      <c r="N140" s="29"/>
      <c r="O140" s="3" t="e">
        <f t="shared" si="44"/>
        <v>#REF!</v>
      </c>
      <c r="P140" s="3" t="e">
        <f t="shared" si="45"/>
        <v>#REF!</v>
      </c>
      <c r="Q140" s="3" t="e">
        <f t="shared" si="46"/>
        <v>#REF!</v>
      </c>
      <c r="R140" s="4" t="e">
        <f t="shared" si="47"/>
        <v>#REF!</v>
      </c>
      <c r="S140" s="5" t="e">
        <f t="shared" si="39"/>
        <v>#REF!</v>
      </c>
      <c r="T140" s="76" t="e">
        <f t="shared" si="38"/>
        <v>#REF!</v>
      </c>
      <c r="U140" s="76" t="e">
        <f t="shared" si="1"/>
        <v>#REF!</v>
      </c>
      <c r="V140" s="5" t="e">
        <f t="shared" si="34"/>
        <v>#REF!</v>
      </c>
      <c r="W140" s="5" t="e">
        <f t="shared" si="35"/>
        <v>#REF!</v>
      </c>
      <c r="X140" s="5" t="e">
        <f t="shared" si="36"/>
        <v>#REF!</v>
      </c>
      <c r="Y140" s="70" t="e">
        <f t="shared" si="37"/>
        <v>#REF!</v>
      </c>
      <c r="Z140" s="32" t="e">
        <f t="shared" si="56"/>
        <v>#REF!</v>
      </c>
      <c r="AA140" s="32" t="e">
        <f t="shared" si="57"/>
        <v>#REF!</v>
      </c>
      <c r="AB140" s="32" t="e">
        <f t="shared" si="58"/>
        <v>#REF!</v>
      </c>
      <c r="AC140" s="32" t="e">
        <f t="shared" si="2"/>
        <v>#REF!</v>
      </c>
      <c r="AD140" s="30"/>
      <c r="AE140" s="21" t="str">
        <f t="shared" si="59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40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41"/>
        <v>#REF!</v>
      </c>
      <c r="BV140" s="3" t="e">
        <f t="shared" si="42"/>
        <v>#REF!</v>
      </c>
      <c r="BW140" s="3" t="e">
        <f t="shared" si="43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54"/>
        <v>#VALUE!</v>
      </c>
      <c r="M141" s="25" t="e">
        <f t="shared" si="55"/>
        <v>#VALUE!</v>
      </c>
      <c r="N141" s="29"/>
      <c r="O141" s="3" t="e">
        <f t="shared" si="44"/>
        <v>#REF!</v>
      </c>
      <c r="P141" s="3" t="e">
        <f t="shared" si="45"/>
        <v>#REF!</v>
      </c>
      <c r="Q141" s="3" t="e">
        <f t="shared" si="46"/>
        <v>#REF!</v>
      </c>
      <c r="R141" s="4" t="e">
        <f t="shared" si="47"/>
        <v>#REF!</v>
      </c>
      <c r="S141" s="5" t="e">
        <f t="shared" si="39"/>
        <v>#REF!</v>
      </c>
      <c r="T141" s="76" t="e">
        <f t="shared" si="38"/>
        <v>#REF!</v>
      </c>
      <c r="U141" s="76" t="e">
        <f t="shared" si="1"/>
        <v>#REF!</v>
      </c>
      <c r="V141" s="5" t="e">
        <f t="shared" si="34"/>
        <v>#REF!</v>
      </c>
      <c r="W141" s="5" t="e">
        <f t="shared" si="35"/>
        <v>#REF!</v>
      </c>
      <c r="X141" s="5" t="e">
        <f t="shared" si="36"/>
        <v>#REF!</v>
      </c>
      <c r="Y141" s="70" t="e">
        <f t="shared" si="37"/>
        <v>#REF!</v>
      </c>
      <c r="Z141" s="32" t="e">
        <f t="shared" si="56"/>
        <v>#REF!</v>
      </c>
      <c r="AA141" s="32" t="e">
        <f t="shared" si="57"/>
        <v>#REF!</v>
      </c>
      <c r="AB141" s="32" t="e">
        <f t="shared" si="58"/>
        <v>#REF!</v>
      </c>
      <c r="AC141" s="32" t="e">
        <f t="shared" si="2"/>
        <v>#REF!</v>
      </c>
      <c r="AD141" s="30"/>
      <c r="AE141" s="21" t="str">
        <f t="shared" si="59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40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41"/>
        <v>#REF!</v>
      </c>
      <c r="BV141" s="3" t="e">
        <f t="shared" si="42"/>
        <v>#REF!</v>
      </c>
      <c r="BW141" s="3" t="e">
        <f t="shared" si="43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54"/>
        <v>#VALUE!</v>
      </c>
      <c r="M142" s="25" t="e">
        <f t="shared" si="55"/>
        <v>#VALUE!</v>
      </c>
      <c r="N142" s="29"/>
      <c r="O142" s="3" t="e">
        <f t="shared" si="44"/>
        <v>#REF!</v>
      </c>
      <c r="P142" s="3" t="e">
        <f t="shared" si="45"/>
        <v>#REF!</v>
      </c>
      <c r="Q142" s="3" t="e">
        <f t="shared" si="46"/>
        <v>#REF!</v>
      </c>
      <c r="R142" s="4" t="e">
        <f t="shared" si="47"/>
        <v>#REF!</v>
      </c>
      <c r="S142" s="5" t="e">
        <f t="shared" si="39"/>
        <v>#REF!</v>
      </c>
      <c r="T142" s="76" t="e">
        <f t="shared" si="38"/>
        <v>#REF!</v>
      </c>
      <c r="U142" s="76" t="e">
        <f t="shared" si="1"/>
        <v>#REF!</v>
      </c>
      <c r="V142" s="5" t="e">
        <f t="shared" si="34"/>
        <v>#REF!</v>
      </c>
      <c r="W142" s="5" t="e">
        <f t="shared" si="35"/>
        <v>#REF!</v>
      </c>
      <c r="X142" s="5" t="e">
        <f t="shared" si="36"/>
        <v>#REF!</v>
      </c>
      <c r="Y142" s="70" t="e">
        <f t="shared" si="37"/>
        <v>#REF!</v>
      </c>
      <c r="Z142" s="32" t="e">
        <f t="shared" si="56"/>
        <v>#REF!</v>
      </c>
      <c r="AA142" s="32" t="e">
        <f t="shared" si="57"/>
        <v>#REF!</v>
      </c>
      <c r="AB142" s="32" t="e">
        <f t="shared" si="58"/>
        <v>#REF!</v>
      </c>
      <c r="AC142" s="32" t="e">
        <f t="shared" si="2"/>
        <v>#REF!</v>
      </c>
      <c r="AD142" s="30"/>
      <c r="AE142" s="21" t="str">
        <f t="shared" si="59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40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41"/>
        <v>#REF!</v>
      </c>
      <c r="BV142" s="3" t="e">
        <f t="shared" si="42"/>
        <v>#REF!</v>
      </c>
      <c r="BW142" s="3" t="e">
        <f t="shared" si="43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54"/>
        <v>#VALUE!</v>
      </c>
      <c r="M143" s="25" t="e">
        <f t="shared" si="55"/>
        <v>#VALUE!</v>
      </c>
      <c r="N143" s="29"/>
      <c r="O143" s="3" t="e">
        <f t="shared" si="44"/>
        <v>#REF!</v>
      </c>
      <c r="P143" s="3" t="e">
        <f t="shared" si="45"/>
        <v>#REF!</v>
      </c>
      <c r="Q143" s="3" t="e">
        <f t="shared" si="46"/>
        <v>#REF!</v>
      </c>
      <c r="R143" s="4" t="e">
        <f t="shared" si="47"/>
        <v>#REF!</v>
      </c>
      <c r="S143" s="5" t="e">
        <f t="shared" si="39"/>
        <v>#REF!</v>
      </c>
      <c r="T143" s="76" t="e">
        <f t="shared" si="38"/>
        <v>#REF!</v>
      </c>
      <c r="U143" s="76" t="e">
        <f t="shared" si="1"/>
        <v>#REF!</v>
      </c>
      <c r="V143" s="5" t="e">
        <f t="shared" si="34"/>
        <v>#REF!</v>
      </c>
      <c r="W143" s="5" t="e">
        <f t="shared" si="35"/>
        <v>#REF!</v>
      </c>
      <c r="X143" s="5" t="e">
        <f t="shared" si="36"/>
        <v>#REF!</v>
      </c>
      <c r="Y143" s="70" t="e">
        <f t="shared" si="37"/>
        <v>#REF!</v>
      </c>
      <c r="Z143" s="32" t="e">
        <f t="shared" si="56"/>
        <v>#REF!</v>
      </c>
      <c r="AA143" s="32" t="e">
        <f t="shared" si="57"/>
        <v>#REF!</v>
      </c>
      <c r="AB143" s="32" t="e">
        <f t="shared" si="58"/>
        <v>#REF!</v>
      </c>
      <c r="AC143" s="32" t="e">
        <f t="shared" si="2"/>
        <v>#REF!</v>
      </c>
      <c r="AD143" s="30"/>
      <c r="AE143" s="21" t="str">
        <f t="shared" si="59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40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41"/>
        <v>#REF!</v>
      </c>
      <c r="BV143" s="3" t="e">
        <f t="shared" si="42"/>
        <v>#REF!</v>
      </c>
      <c r="BW143" s="3" t="e">
        <f t="shared" si="43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54"/>
        <v>#VALUE!</v>
      </c>
      <c r="M144" s="25" t="e">
        <f t="shared" si="55"/>
        <v>#VALUE!</v>
      </c>
      <c r="N144" s="29"/>
      <c r="O144" s="3" t="e">
        <f t="shared" si="44"/>
        <v>#REF!</v>
      </c>
      <c r="P144" s="3" t="e">
        <f t="shared" si="45"/>
        <v>#REF!</v>
      </c>
      <c r="Q144" s="3" t="e">
        <f t="shared" si="46"/>
        <v>#REF!</v>
      </c>
      <c r="R144" s="4" t="e">
        <f t="shared" si="47"/>
        <v>#REF!</v>
      </c>
      <c r="S144" s="5" t="e">
        <f t="shared" si="39"/>
        <v>#REF!</v>
      </c>
      <c r="T144" s="76" t="e">
        <f t="shared" si="38"/>
        <v>#REF!</v>
      </c>
      <c r="U144" s="76" t="e">
        <f t="shared" si="1"/>
        <v>#REF!</v>
      </c>
      <c r="V144" s="5" t="e">
        <f t="shared" si="34"/>
        <v>#REF!</v>
      </c>
      <c r="W144" s="5" t="e">
        <f t="shared" si="35"/>
        <v>#REF!</v>
      </c>
      <c r="X144" s="5" t="e">
        <f t="shared" si="36"/>
        <v>#REF!</v>
      </c>
      <c r="Y144" s="70" t="e">
        <f t="shared" si="37"/>
        <v>#REF!</v>
      </c>
      <c r="Z144" s="32" t="e">
        <f t="shared" si="56"/>
        <v>#REF!</v>
      </c>
      <c r="AA144" s="32" t="e">
        <f t="shared" si="57"/>
        <v>#REF!</v>
      </c>
      <c r="AB144" s="32" t="e">
        <f t="shared" si="58"/>
        <v>#REF!</v>
      </c>
      <c r="AC144" s="32" t="e">
        <f t="shared" si="2"/>
        <v>#REF!</v>
      </c>
      <c r="AD144" s="30"/>
      <c r="AE144" s="21" t="str">
        <f t="shared" si="59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40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41"/>
        <v>#REF!</v>
      </c>
      <c r="BV144" s="3" t="e">
        <f t="shared" si="42"/>
        <v>#REF!</v>
      </c>
      <c r="BW144" s="3" t="e">
        <f t="shared" si="43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54"/>
        <v>#VALUE!</v>
      </c>
      <c r="M145" s="25" t="e">
        <f t="shared" si="55"/>
        <v>#VALUE!</v>
      </c>
      <c r="N145" s="29"/>
      <c r="O145" s="3" t="e">
        <f t="shared" si="44"/>
        <v>#REF!</v>
      </c>
      <c r="P145" s="3" t="e">
        <f t="shared" si="45"/>
        <v>#REF!</v>
      </c>
      <c r="Q145" s="3" t="e">
        <f t="shared" si="46"/>
        <v>#REF!</v>
      </c>
      <c r="R145" s="4" t="e">
        <f t="shared" si="47"/>
        <v>#REF!</v>
      </c>
      <c r="S145" s="5" t="e">
        <f t="shared" si="39"/>
        <v>#REF!</v>
      </c>
      <c r="T145" s="76" t="e">
        <f t="shared" si="38"/>
        <v>#REF!</v>
      </c>
      <c r="U145" s="76" t="e">
        <f t="shared" si="1"/>
        <v>#REF!</v>
      </c>
      <c r="V145" s="5" t="e">
        <f t="shared" si="34"/>
        <v>#REF!</v>
      </c>
      <c r="W145" s="5" t="e">
        <f t="shared" si="35"/>
        <v>#REF!</v>
      </c>
      <c r="X145" s="5" t="e">
        <f t="shared" si="36"/>
        <v>#REF!</v>
      </c>
      <c r="Y145" s="70" t="e">
        <f t="shared" si="37"/>
        <v>#REF!</v>
      </c>
      <c r="Z145" s="32" t="e">
        <f t="shared" si="56"/>
        <v>#REF!</v>
      </c>
      <c r="AA145" s="32" t="e">
        <f t="shared" si="57"/>
        <v>#REF!</v>
      </c>
      <c r="AB145" s="32" t="e">
        <f t="shared" si="58"/>
        <v>#REF!</v>
      </c>
      <c r="AC145" s="32" t="e">
        <f t="shared" si="2"/>
        <v>#REF!</v>
      </c>
      <c r="AD145" s="30"/>
      <c r="AE145" s="21" t="str">
        <f t="shared" si="59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40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41"/>
        <v>#REF!</v>
      </c>
      <c r="BV145" s="3" t="e">
        <f t="shared" si="42"/>
        <v>#REF!</v>
      </c>
      <c r="BW145" s="3" t="e">
        <f t="shared" si="43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54"/>
        <v>#VALUE!</v>
      </c>
      <c r="M146" s="25" t="e">
        <f t="shared" si="55"/>
        <v>#VALUE!</v>
      </c>
      <c r="N146" s="29"/>
      <c r="O146" s="3" t="e">
        <f t="shared" si="44"/>
        <v>#REF!</v>
      </c>
      <c r="P146" s="3" t="e">
        <f t="shared" si="45"/>
        <v>#REF!</v>
      </c>
      <c r="Q146" s="3" t="e">
        <f t="shared" si="46"/>
        <v>#REF!</v>
      </c>
      <c r="R146" s="4" t="e">
        <f t="shared" si="47"/>
        <v>#REF!</v>
      </c>
      <c r="S146" s="5" t="e">
        <f t="shared" si="39"/>
        <v>#REF!</v>
      </c>
      <c r="T146" s="76" t="e">
        <f t="shared" si="38"/>
        <v>#REF!</v>
      </c>
      <c r="U146" s="76" t="e">
        <f t="shared" si="1"/>
        <v>#REF!</v>
      </c>
      <c r="V146" s="5" t="e">
        <f t="shared" si="34"/>
        <v>#REF!</v>
      </c>
      <c r="W146" s="5" t="e">
        <f t="shared" si="35"/>
        <v>#REF!</v>
      </c>
      <c r="X146" s="5" t="e">
        <f t="shared" si="36"/>
        <v>#REF!</v>
      </c>
      <c r="Y146" s="70" t="e">
        <f t="shared" si="37"/>
        <v>#REF!</v>
      </c>
      <c r="Z146" s="32" t="e">
        <f t="shared" si="56"/>
        <v>#REF!</v>
      </c>
      <c r="AA146" s="32" t="e">
        <f t="shared" si="57"/>
        <v>#REF!</v>
      </c>
      <c r="AB146" s="32" t="e">
        <f t="shared" si="58"/>
        <v>#REF!</v>
      </c>
      <c r="AC146" s="32" t="e">
        <f t="shared" si="2"/>
        <v>#REF!</v>
      </c>
      <c r="AD146" s="30"/>
      <c r="AE146" s="21" t="str">
        <f t="shared" si="59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40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41"/>
        <v>#REF!</v>
      </c>
      <c r="BV146" s="3" t="e">
        <f t="shared" si="42"/>
        <v>#REF!</v>
      </c>
      <c r="BW146" s="3" t="e">
        <f t="shared" si="43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54"/>
        <v>#VALUE!</v>
      </c>
      <c r="M147" s="25" t="e">
        <f t="shared" si="55"/>
        <v>#VALUE!</v>
      </c>
      <c r="N147" s="29"/>
      <c r="O147" s="3" t="e">
        <f t="shared" si="44"/>
        <v>#REF!</v>
      </c>
      <c r="P147" s="3" t="e">
        <f t="shared" si="45"/>
        <v>#REF!</v>
      </c>
      <c r="Q147" s="3" t="e">
        <f t="shared" si="46"/>
        <v>#REF!</v>
      </c>
      <c r="R147" s="4" t="e">
        <f t="shared" si="47"/>
        <v>#REF!</v>
      </c>
      <c r="S147" s="5" t="e">
        <f t="shared" si="39"/>
        <v>#REF!</v>
      </c>
      <c r="T147" s="76" t="e">
        <f t="shared" si="38"/>
        <v>#REF!</v>
      </c>
      <c r="U147" s="76" t="e">
        <f t="shared" si="1"/>
        <v>#REF!</v>
      </c>
      <c r="V147" s="5" t="e">
        <f t="shared" si="34"/>
        <v>#REF!</v>
      </c>
      <c r="W147" s="5" t="e">
        <f t="shared" si="35"/>
        <v>#REF!</v>
      </c>
      <c r="X147" s="5" t="e">
        <f t="shared" si="36"/>
        <v>#REF!</v>
      </c>
      <c r="Y147" s="70" t="e">
        <f t="shared" si="37"/>
        <v>#REF!</v>
      </c>
      <c r="Z147" s="32" t="e">
        <f t="shared" si="56"/>
        <v>#REF!</v>
      </c>
      <c r="AA147" s="32" t="e">
        <f t="shared" si="57"/>
        <v>#REF!</v>
      </c>
      <c r="AB147" s="32" t="e">
        <f t="shared" si="58"/>
        <v>#REF!</v>
      </c>
      <c r="AC147" s="32" t="e">
        <f t="shared" si="2"/>
        <v>#REF!</v>
      </c>
      <c r="AD147" s="30"/>
      <c r="AE147" s="21" t="str">
        <f t="shared" si="59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40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41"/>
        <v>#REF!</v>
      </c>
      <c r="BV147" s="3" t="e">
        <f t="shared" si="42"/>
        <v>#REF!</v>
      </c>
      <c r="BW147" s="3" t="e">
        <f t="shared" si="43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54"/>
        <v>#VALUE!</v>
      </c>
      <c r="M148" s="25" t="e">
        <f t="shared" si="55"/>
        <v>#VALUE!</v>
      </c>
      <c r="N148" s="29"/>
      <c r="O148" s="3" t="e">
        <f t="shared" si="44"/>
        <v>#REF!</v>
      </c>
      <c r="P148" s="3" t="e">
        <f t="shared" si="45"/>
        <v>#REF!</v>
      </c>
      <c r="Q148" s="3" t="e">
        <f t="shared" si="46"/>
        <v>#REF!</v>
      </c>
      <c r="R148" s="4" t="e">
        <f t="shared" si="47"/>
        <v>#REF!</v>
      </c>
      <c r="S148" s="5" t="e">
        <f t="shared" si="39"/>
        <v>#REF!</v>
      </c>
      <c r="T148" s="76" t="e">
        <f t="shared" si="38"/>
        <v>#REF!</v>
      </c>
      <c r="U148" s="76" t="e">
        <f t="shared" si="1"/>
        <v>#REF!</v>
      </c>
      <c r="V148" s="5" t="e">
        <f t="shared" si="34"/>
        <v>#REF!</v>
      </c>
      <c r="W148" s="5" t="e">
        <f t="shared" si="35"/>
        <v>#REF!</v>
      </c>
      <c r="X148" s="5" t="e">
        <f t="shared" si="36"/>
        <v>#REF!</v>
      </c>
      <c r="Y148" s="70" t="e">
        <f t="shared" si="37"/>
        <v>#REF!</v>
      </c>
      <c r="Z148" s="32" t="e">
        <f t="shared" si="56"/>
        <v>#REF!</v>
      </c>
      <c r="AA148" s="32" t="e">
        <f t="shared" si="57"/>
        <v>#REF!</v>
      </c>
      <c r="AB148" s="32" t="e">
        <f t="shared" si="58"/>
        <v>#REF!</v>
      </c>
      <c r="AC148" s="32" t="e">
        <f t="shared" si="2"/>
        <v>#REF!</v>
      </c>
      <c r="AD148" s="30"/>
      <c r="AE148" s="21" t="str">
        <f t="shared" si="59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40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41"/>
        <v>#REF!</v>
      </c>
      <c r="BV148" s="3" t="e">
        <f t="shared" si="42"/>
        <v>#REF!</v>
      </c>
      <c r="BW148" s="3" t="e">
        <f t="shared" si="43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54"/>
        <v>#VALUE!</v>
      </c>
      <c r="M149" s="25" t="e">
        <f t="shared" si="55"/>
        <v>#VALUE!</v>
      </c>
      <c r="N149" s="29"/>
      <c r="O149" s="3" t="e">
        <f t="shared" si="44"/>
        <v>#REF!</v>
      </c>
      <c r="P149" s="3" t="e">
        <f t="shared" si="45"/>
        <v>#REF!</v>
      </c>
      <c r="Q149" s="3" t="e">
        <f t="shared" si="46"/>
        <v>#REF!</v>
      </c>
      <c r="R149" s="4" t="e">
        <f t="shared" si="47"/>
        <v>#REF!</v>
      </c>
      <c r="S149" s="5" t="e">
        <f t="shared" si="39"/>
        <v>#REF!</v>
      </c>
      <c r="T149" s="76" t="e">
        <f t="shared" si="38"/>
        <v>#REF!</v>
      </c>
      <c r="U149" s="76" t="e">
        <f t="shared" si="1"/>
        <v>#REF!</v>
      </c>
      <c r="V149" s="5" t="e">
        <f t="shared" si="34"/>
        <v>#REF!</v>
      </c>
      <c r="W149" s="5" t="e">
        <f t="shared" si="35"/>
        <v>#REF!</v>
      </c>
      <c r="X149" s="5" t="e">
        <f t="shared" si="36"/>
        <v>#REF!</v>
      </c>
      <c r="Y149" s="70" t="e">
        <f t="shared" si="37"/>
        <v>#REF!</v>
      </c>
      <c r="Z149" s="32" t="e">
        <f t="shared" si="56"/>
        <v>#REF!</v>
      </c>
      <c r="AA149" s="32" t="e">
        <f t="shared" si="57"/>
        <v>#REF!</v>
      </c>
      <c r="AB149" s="32" t="e">
        <f t="shared" si="58"/>
        <v>#REF!</v>
      </c>
      <c r="AC149" s="32" t="e">
        <f t="shared" si="2"/>
        <v>#REF!</v>
      </c>
      <c r="AD149" s="30"/>
      <c r="AE149" s="21" t="str">
        <f t="shared" si="59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40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41"/>
        <v>#REF!</v>
      </c>
      <c r="BV149" s="3" t="e">
        <f t="shared" si="42"/>
        <v>#REF!</v>
      </c>
      <c r="BW149" s="3" t="e">
        <f t="shared" si="43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54"/>
        <v>#VALUE!</v>
      </c>
      <c r="M150" s="25" t="e">
        <f t="shared" si="55"/>
        <v>#VALUE!</v>
      </c>
      <c r="N150" s="29"/>
      <c r="O150" s="3" t="e">
        <f t="shared" si="44"/>
        <v>#REF!</v>
      </c>
      <c r="P150" s="3" t="e">
        <f t="shared" si="45"/>
        <v>#REF!</v>
      </c>
      <c r="Q150" s="3" t="e">
        <f t="shared" si="46"/>
        <v>#REF!</v>
      </c>
      <c r="R150" s="4" t="e">
        <f t="shared" si="47"/>
        <v>#REF!</v>
      </c>
      <c r="S150" s="5" t="e">
        <f t="shared" si="39"/>
        <v>#REF!</v>
      </c>
      <c r="T150" s="76" t="e">
        <f t="shared" si="38"/>
        <v>#REF!</v>
      </c>
      <c r="U150" s="76" t="e">
        <f t="shared" si="1"/>
        <v>#REF!</v>
      </c>
      <c r="V150" s="5" t="e">
        <f t="shared" si="34"/>
        <v>#REF!</v>
      </c>
      <c r="W150" s="5" t="e">
        <f t="shared" si="35"/>
        <v>#REF!</v>
      </c>
      <c r="X150" s="5" t="e">
        <f t="shared" si="36"/>
        <v>#REF!</v>
      </c>
      <c r="Y150" s="70" t="e">
        <f t="shared" si="37"/>
        <v>#REF!</v>
      </c>
      <c r="Z150" s="32" t="e">
        <f t="shared" si="56"/>
        <v>#REF!</v>
      </c>
      <c r="AA150" s="32" t="e">
        <f t="shared" si="57"/>
        <v>#REF!</v>
      </c>
      <c r="AB150" s="32" t="e">
        <f t="shared" si="58"/>
        <v>#REF!</v>
      </c>
      <c r="AC150" s="32" t="e">
        <f t="shared" si="2"/>
        <v>#REF!</v>
      </c>
      <c r="AD150" s="30"/>
      <c r="AE150" s="21" t="str">
        <f t="shared" si="59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40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41"/>
        <v>#REF!</v>
      </c>
      <c r="BV150" s="3" t="e">
        <f t="shared" si="42"/>
        <v>#REF!</v>
      </c>
      <c r="BW150" s="3" t="e">
        <f t="shared" si="43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54"/>
        <v>#VALUE!</v>
      </c>
      <c r="M151" s="25" t="e">
        <f t="shared" si="55"/>
        <v>#VALUE!</v>
      </c>
      <c r="N151" s="29"/>
      <c r="O151" s="3" t="e">
        <f t="shared" si="44"/>
        <v>#REF!</v>
      </c>
      <c r="P151" s="3" t="e">
        <f t="shared" si="45"/>
        <v>#REF!</v>
      </c>
      <c r="Q151" s="3" t="e">
        <f t="shared" si="46"/>
        <v>#REF!</v>
      </c>
      <c r="R151" s="4" t="e">
        <f t="shared" si="47"/>
        <v>#REF!</v>
      </c>
      <c r="S151" s="5" t="e">
        <f t="shared" si="39"/>
        <v>#REF!</v>
      </c>
      <c r="T151" s="76" t="e">
        <f t="shared" si="38"/>
        <v>#REF!</v>
      </c>
      <c r="U151" s="76" t="e">
        <f t="shared" si="1"/>
        <v>#REF!</v>
      </c>
      <c r="V151" s="5" t="e">
        <f t="shared" si="34"/>
        <v>#REF!</v>
      </c>
      <c r="W151" s="5" t="e">
        <f t="shared" si="35"/>
        <v>#REF!</v>
      </c>
      <c r="X151" s="5" t="e">
        <f t="shared" si="36"/>
        <v>#REF!</v>
      </c>
      <c r="Y151" s="70" t="e">
        <f t="shared" si="37"/>
        <v>#REF!</v>
      </c>
      <c r="Z151" s="32" t="e">
        <f t="shared" si="56"/>
        <v>#REF!</v>
      </c>
      <c r="AA151" s="32" t="e">
        <f t="shared" si="57"/>
        <v>#REF!</v>
      </c>
      <c r="AB151" s="32" t="e">
        <f t="shared" si="58"/>
        <v>#REF!</v>
      </c>
      <c r="AC151" s="32" t="e">
        <f t="shared" si="2"/>
        <v>#REF!</v>
      </c>
      <c r="AD151" s="30"/>
      <c r="AE151" s="21" t="str">
        <f t="shared" si="59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40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41"/>
        <v>#REF!</v>
      </c>
      <c r="BV151" s="3" t="e">
        <f t="shared" si="42"/>
        <v>#REF!</v>
      </c>
      <c r="BW151" s="3" t="e">
        <f t="shared" si="43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ref="L176:L184" si="60">IF(AND(G176="",H176=""),"",IF(G176="",H176,G176+H176))</f>
        <v>#VALUE!</v>
      </c>
      <c r="M176" s="25" t="e">
        <f t="shared" ref="M176:M184" si="61">IF(AND(G176="",I176=""),"",IF(G176="",I176,G176+I176))</f>
        <v>#VALUE!</v>
      </c>
      <c r="N176" s="28"/>
      <c r="O176" s="3" t="e">
        <f t="shared" si="44"/>
        <v>#REF!</v>
      </c>
      <c r="P176" s="3" t="e">
        <f t="shared" si="45"/>
        <v>#REF!</v>
      </c>
      <c r="Q176" s="3" t="e">
        <f t="shared" si="46"/>
        <v>#REF!</v>
      </c>
      <c r="R176" s="4" t="e">
        <f t="shared" si="47"/>
        <v>#REF!</v>
      </c>
      <c r="S176" s="5" t="e">
        <f t="shared" si="39"/>
        <v>#REF!</v>
      </c>
      <c r="T176" s="76" t="e">
        <f t="shared" si="38"/>
        <v>#REF!</v>
      </c>
      <c r="U176" s="76" t="e">
        <f t="shared" si="1"/>
        <v>#REF!</v>
      </c>
      <c r="V176" s="5" t="e">
        <f>IF(OR($AK176="",ISNUMBER($AK176)=FALSE),"",IF(H176="","",(L176-Q176)/(3*R176)))</f>
        <v>#REF!</v>
      </c>
      <c r="W176" s="5" t="e">
        <f>IF(OR($AK176="",ISNUMBER($AK176)=FALSE),"",IF(I176="","",(Q176-M176)/(3*R176)))</f>
        <v>#REF!</v>
      </c>
      <c r="X176" s="5" t="e">
        <f>IF(OR($AK176="",ISNUMBER($AK176)=FALSE),"",IF(AND(G176=0,I176=0),((H176)-(Q176))/(3*R176),MIN(V176:W176)))</f>
        <v>#REF!</v>
      </c>
      <c r="Y176" s="70" t="e">
        <f>IF(OR($AK176="",ISNUMBER($AK176)=FALSE),"",IF(AND(G176=0,I176=0),NORMSDIST(3*X176),NORMSDIST(3*X176)+NORMSDIST(6*S176-3*X176)-1))</f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40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41"/>
        <v>#REF!</v>
      </c>
      <c r="BV176" s="3" t="e">
        <f t="shared" si="42"/>
        <v>#REF!</v>
      </c>
      <c r="BW176" s="3" t="e">
        <f t="shared" si="43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60"/>
        <v>#VALUE!</v>
      </c>
      <c r="M177" s="25" t="e">
        <f t="shared" si="61"/>
        <v>#VALUE!</v>
      </c>
      <c r="N177" s="28"/>
      <c r="O177" s="3" t="e">
        <f t="shared" si="44"/>
        <v>#REF!</v>
      </c>
      <c r="P177" s="3" t="e">
        <f t="shared" si="45"/>
        <v>#REF!</v>
      </c>
      <c r="Q177" s="3" t="e">
        <f t="shared" si="46"/>
        <v>#REF!</v>
      </c>
      <c r="R177" s="4" t="e">
        <f t="shared" si="47"/>
        <v>#REF!</v>
      </c>
      <c r="S177" s="5" t="e">
        <f t="shared" si="39"/>
        <v>#REF!</v>
      </c>
      <c r="T177" s="76" t="e">
        <f t="shared" si="38"/>
        <v>#REF!</v>
      </c>
      <c r="U177" s="76" t="e">
        <f t="shared" si="1"/>
        <v>#REF!</v>
      </c>
      <c r="V177" s="5" t="e">
        <f>IF(OR($AK177="",ISNUMBER($AK177)=FALSE),"",IF(H177="","",(L177-Q177)/(3*R177)))</f>
        <v>#REF!</v>
      </c>
      <c r="W177" s="5" t="e">
        <f>IF(OR($AK177="",ISNUMBER($AK177)=FALSE),"",IF(I177="","",(Q177-M177)/(3*R177)))</f>
        <v>#REF!</v>
      </c>
      <c r="X177" s="5" t="e">
        <f>IF(OR($AK177="",ISNUMBER($AK177)=FALSE),"",IF(AND(G177=0,I177=0),((H177)-(Q177))/(3*R177),MIN(V177:W177)))</f>
        <v>#REF!</v>
      </c>
      <c r="Y177" s="70" t="e">
        <f>IF(OR($AK177="",ISNUMBER($AK177)=FALSE),"",IF(AND(G177=0,I177=0),NORMSDIST(3*X177),NORMSDIST(3*X177)+NORMSDIST(6*S177-3*X177)-1))</f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40"/>
        <v>71</v>
      </c>
      <c r="BS177" s="112">
        <f>OOC!G177</f>
        <v>14.270000000000001</v>
      </c>
      <c r="BT177" s="112">
        <f>OOC!H177</f>
        <v>13.92</v>
      </c>
      <c r="BU177" s="3" t="e">
        <f t="shared" si="41"/>
        <v>#REF!</v>
      </c>
      <c r="BV177" s="3" t="e">
        <f t="shared" si="42"/>
        <v>#REF!</v>
      </c>
      <c r="BW177" s="3" t="e">
        <f t="shared" si="43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60"/>
        <v>#VALUE!</v>
      </c>
      <c r="M178" s="25" t="e">
        <f t="shared" si="61"/>
        <v>#VALUE!</v>
      </c>
      <c r="N178" s="29"/>
      <c r="O178" s="3" t="e">
        <f t="shared" si="44"/>
        <v>#REF!</v>
      </c>
      <c r="P178" s="3" t="e">
        <f t="shared" si="45"/>
        <v>#REF!</v>
      </c>
      <c r="Q178" s="3" t="e">
        <f t="shared" si="46"/>
        <v>#REF!</v>
      </c>
      <c r="R178" s="4" t="e">
        <f t="shared" si="47"/>
        <v>#REF!</v>
      </c>
      <c r="S178" s="5" t="e">
        <f t="shared" si="39"/>
        <v>#REF!</v>
      </c>
      <c r="T178" s="76" t="e">
        <f t="shared" si="38"/>
        <v>#REF!</v>
      </c>
      <c r="U178" s="76" t="e">
        <f t="shared" si="1"/>
        <v>#REF!</v>
      </c>
      <c r="V178" s="5" t="e">
        <f t="shared" si="34"/>
        <v>#REF!</v>
      </c>
      <c r="W178" s="5" t="e">
        <f t="shared" si="35"/>
        <v>#REF!</v>
      </c>
      <c r="X178" s="5" t="e">
        <f t="shared" si="36"/>
        <v>#REF!</v>
      </c>
      <c r="Y178" s="70" t="e">
        <f t="shared" si="37"/>
        <v>#REF!</v>
      </c>
      <c r="Z178" s="32" t="e">
        <f t="shared" ref="Z178:Z183" si="62">IF($Q178="","",IF(F178="Tolerance",IF(($E178*3*R178+Q178)-G178&lt;H178,"",($E178*3*R178+Q178)-G178),IF(OR(F178="GD&amp;T",F178="MAX"),IF(($E178*3*R178+Q178)&lt;H178,"",($E178*3*R178+Q178)),"")))</f>
        <v>#REF!</v>
      </c>
      <c r="AA178" s="32" t="e">
        <f t="shared" ref="AA178:AA183" si="63">IF(Q178="","",IF(F178="Tolerance",IF(-(($E178*3*R178)-Q178)-G178&gt;I178,"",-(($E178*3*R178)-Q178)-G178),IF(F178="MIN",IF(-(($E178*3*R178)-Q178)&gt;I178,"",-(($E178*3*R178)-Q178)),"")))</f>
        <v>#REF!</v>
      </c>
      <c r="AB178" s="32" t="e">
        <f t="shared" ref="AB178:AB183" si="64">IF(OR(G178="",Q178=""),"",(L178+M178)/2-Q178)</f>
        <v>#REF!</v>
      </c>
      <c r="AC178" s="32" t="e">
        <f t="shared" si="2"/>
        <v>#REF!</v>
      </c>
      <c r="AD178" s="30"/>
      <c r="AE178" s="21" t="str">
        <f t="shared" ref="AE178:AE183" si="65">IF(AD178="","",IF(AD178&gt;=0.966,"Normal","Not Normal"))</f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40"/>
        <v>72-1</v>
      </c>
      <c r="BS178" s="112">
        <f>OOC!G178</f>
        <v>0.81</v>
      </c>
      <c r="BT178" s="112">
        <f>OOC!H178</f>
        <v>0.77</v>
      </c>
      <c r="BU178" s="3" t="e">
        <f t="shared" si="41"/>
        <v>#REF!</v>
      </c>
      <c r="BV178" s="3" t="e">
        <f t="shared" si="42"/>
        <v>#REF!</v>
      </c>
      <c r="BW178" s="3" t="e">
        <f t="shared" si="43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60"/>
        <v>#VALUE!</v>
      </c>
      <c r="M179" s="25" t="e">
        <f t="shared" si="61"/>
        <v>#VALUE!</v>
      </c>
      <c r="N179" s="29"/>
      <c r="O179" s="3" t="e">
        <f t="shared" si="44"/>
        <v>#REF!</v>
      </c>
      <c r="P179" s="3" t="e">
        <f t="shared" si="45"/>
        <v>#REF!</v>
      </c>
      <c r="Q179" s="3" t="e">
        <f t="shared" si="46"/>
        <v>#REF!</v>
      </c>
      <c r="R179" s="4" t="e">
        <f t="shared" si="47"/>
        <v>#REF!</v>
      </c>
      <c r="S179" s="5" t="e">
        <f t="shared" si="39"/>
        <v>#REF!</v>
      </c>
      <c r="T179" s="76" t="e">
        <f t="shared" si="38"/>
        <v>#REF!</v>
      </c>
      <c r="U179" s="76" t="e">
        <f t="shared" si="1"/>
        <v>#REF!</v>
      </c>
      <c r="V179" s="5" t="e">
        <f t="shared" si="34"/>
        <v>#REF!</v>
      </c>
      <c r="W179" s="5" t="e">
        <f t="shared" si="35"/>
        <v>#REF!</v>
      </c>
      <c r="X179" s="5" t="e">
        <f t="shared" si="36"/>
        <v>#REF!</v>
      </c>
      <c r="Y179" s="70" t="e">
        <f t="shared" si="37"/>
        <v>#REF!</v>
      </c>
      <c r="Z179" s="32" t="e">
        <f t="shared" si="62"/>
        <v>#REF!</v>
      </c>
      <c r="AA179" s="32" t="e">
        <f t="shared" si="63"/>
        <v>#REF!</v>
      </c>
      <c r="AB179" s="32" t="e">
        <f t="shared" si="64"/>
        <v>#REF!</v>
      </c>
      <c r="AC179" s="32" t="e">
        <f t="shared" si="2"/>
        <v>#REF!</v>
      </c>
      <c r="AD179" s="30"/>
      <c r="AE179" s="21" t="str">
        <f t="shared" si="65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40"/>
        <v>72-2</v>
      </c>
      <c r="BS179" s="112">
        <f>OOC!G179</f>
        <v>0.81</v>
      </c>
      <c r="BT179" s="112">
        <f>OOC!H179</f>
        <v>0.77</v>
      </c>
      <c r="BU179" s="3" t="e">
        <f t="shared" si="41"/>
        <v>#REF!</v>
      </c>
      <c r="BV179" s="3" t="e">
        <f t="shared" si="42"/>
        <v>#REF!</v>
      </c>
      <c r="BW179" s="3" t="e">
        <f t="shared" si="43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60"/>
        <v>#VALUE!</v>
      </c>
      <c r="M180" s="25" t="e">
        <f t="shared" si="61"/>
        <v>#VALUE!</v>
      </c>
      <c r="N180" s="29"/>
      <c r="O180" s="3" t="e">
        <f t="shared" si="44"/>
        <v>#REF!</v>
      </c>
      <c r="P180" s="3" t="e">
        <f t="shared" si="45"/>
        <v>#REF!</v>
      </c>
      <c r="Q180" s="3" t="e">
        <f t="shared" si="46"/>
        <v>#REF!</v>
      </c>
      <c r="R180" s="4" t="e">
        <f t="shared" si="47"/>
        <v>#REF!</v>
      </c>
      <c r="S180" s="5" t="e">
        <f t="shared" si="39"/>
        <v>#REF!</v>
      </c>
      <c r="T180" s="76" t="e">
        <f t="shared" si="38"/>
        <v>#REF!</v>
      </c>
      <c r="U180" s="76" t="e">
        <f t="shared" si="1"/>
        <v>#REF!</v>
      </c>
      <c r="V180" s="5" t="e">
        <f t="shared" si="34"/>
        <v>#REF!</v>
      </c>
      <c r="W180" s="5" t="e">
        <f t="shared" si="35"/>
        <v>#REF!</v>
      </c>
      <c r="X180" s="5" t="e">
        <f t="shared" si="36"/>
        <v>#REF!</v>
      </c>
      <c r="Y180" s="70" t="e">
        <f t="shared" si="37"/>
        <v>#REF!</v>
      </c>
      <c r="Z180" s="32" t="e">
        <f t="shared" si="62"/>
        <v>#REF!</v>
      </c>
      <c r="AA180" s="32" t="e">
        <f t="shared" si="63"/>
        <v>#REF!</v>
      </c>
      <c r="AB180" s="32" t="e">
        <f t="shared" si="64"/>
        <v>#REF!</v>
      </c>
      <c r="AC180" s="32" t="e">
        <f t="shared" si="2"/>
        <v>#REF!</v>
      </c>
      <c r="AD180" s="30"/>
      <c r="AE180" s="21" t="str">
        <f t="shared" si="65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40"/>
        <v>72-3</v>
      </c>
      <c r="BS180" s="112">
        <f>OOC!G180</f>
        <v>0.81</v>
      </c>
      <c r="BT180" s="112">
        <f>OOC!H180</f>
        <v>0.77</v>
      </c>
      <c r="BU180" s="3" t="e">
        <f t="shared" si="41"/>
        <v>#REF!</v>
      </c>
      <c r="BV180" s="3" t="e">
        <f t="shared" si="42"/>
        <v>#REF!</v>
      </c>
      <c r="BW180" s="3" t="e">
        <f t="shared" si="43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60"/>
        <v>#VALUE!</v>
      </c>
      <c r="M181" s="25" t="e">
        <f t="shared" si="61"/>
        <v>#VALUE!</v>
      </c>
      <c r="N181" s="29"/>
      <c r="O181" s="3" t="e">
        <f t="shared" si="44"/>
        <v>#REF!</v>
      </c>
      <c r="P181" s="3" t="e">
        <f t="shared" si="45"/>
        <v>#REF!</v>
      </c>
      <c r="Q181" s="3" t="e">
        <f t="shared" si="46"/>
        <v>#REF!</v>
      </c>
      <c r="R181" s="4" t="e">
        <f t="shared" si="47"/>
        <v>#REF!</v>
      </c>
      <c r="S181" s="5" t="e">
        <f t="shared" si="39"/>
        <v>#REF!</v>
      </c>
      <c r="T181" s="76" t="e">
        <f t="shared" si="38"/>
        <v>#REF!</v>
      </c>
      <c r="U181" s="76" t="e">
        <f t="shared" si="1"/>
        <v>#REF!</v>
      </c>
      <c r="V181" s="5" t="e">
        <f t="shared" si="34"/>
        <v>#REF!</v>
      </c>
      <c r="W181" s="5" t="e">
        <f t="shared" si="35"/>
        <v>#REF!</v>
      </c>
      <c r="X181" s="5" t="e">
        <f t="shared" si="36"/>
        <v>#REF!</v>
      </c>
      <c r="Y181" s="70" t="e">
        <f t="shared" si="37"/>
        <v>#REF!</v>
      </c>
      <c r="Z181" s="32" t="e">
        <f t="shared" si="62"/>
        <v>#REF!</v>
      </c>
      <c r="AA181" s="32" t="e">
        <f t="shared" si="63"/>
        <v>#REF!</v>
      </c>
      <c r="AB181" s="32" t="e">
        <f t="shared" si="64"/>
        <v>#REF!</v>
      </c>
      <c r="AC181" s="32" t="e">
        <f t="shared" si="2"/>
        <v>#REF!</v>
      </c>
      <c r="AD181" s="30"/>
      <c r="AE181" s="21" t="str">
        <f t="shared" si="65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40"/>
        <v>73-1</v>
      </c>
      <c r="BS181" s="112">
        <f>OOC!G181</f>
        <v>0.81</v>
      </c>
      <c r="BT181" s="112">
        <f>OOC!H181</f>
        <v>0.77</v>
      </c>
      <c r="BU181" s="3" t="e">
        <f t="shared" si="41"/>
        <v>#REF!</v>
      </c>
      <c r="BV181" s="3" t="e">
        <f t="shared" si="42"/>
        <v>#REF!</v>
      </c>
      <c r="BW181" s="3" t="e">
        <f t="shared" si="43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60"/>
        <v>#VALUE!</v>
      </c>
      <c r="M182" s="25" t="e">
        <f t="shared" si="61"/>
        <v>#VALUE!</v>
      </c>
      <c r="N182" s="29"/>
      <c r="O182" s="3" t="e">
        <f t="shared" si="44"/>
        <v>#REF!</v>
      </c>
      <c r="P182" s="3" t="e">
        <f t="shared" si="45"/>
        <v>#REF!</v>
      </c>
      <c r="Q182" s="3" t="e">
        <f t="shared" si="46"/>
        <v>#REF!</v>
      </c>
      <c r="R182" s="4" t="e">
        <f t="shared" si="47"/>
        <v>#REF!</v>
      </c>
      <c r="S182" s="5" t="e">
        <f t="shared" si="39"/>
        <v>#REF!</v>
      </c>
      <c r="T182" s="76" t="e">
        <f t="shared" si="38"/>
        <v>#REF!</v>
      </c>
      <c r="U182" s="76" t="e">
        <f t="shared" si="1"/>
        <v>#REF!</v>
      </c>
      <c r="V182" s="5" t="e">
        <f t="shared" si="34"/>
        <v>#REF!</v>
      </c>
      <c r="W182" s="5" t="e">
        <f t="shared" si="35"/>
        <v>#REF!</v>
      </c>
      <c r="X182" s="5" t="e">
        <f t="shared" si="36"/>
        <v>#REF!</v>
      </c>
      <c r="Y182" s="70" t="e">
        <f t="shared" si="37"/>
        <v>#REF!</v>
      </c>
      <c r="Z182" s="32" t="e">
        <f t="shared" si="62"/>
        <v>#REF!</v>
      </c>
      <c r="AA182" s="32" t="e">
        <f t="shared" si="63"/>
        <v>#REF!</v>
      </c>
      <c r="AB182" s="32" t="e">
        <f t="shared" si="64"/>
        <v>#REF!</v>
      </c>
      <c r="AC182" s="32" t="e">
        <f t="shared" si="2"/>
        <v>#REF!</v>
      </c>
      <c r="AD182" s="30"/>
      <c r="AE182" s="21" t="str">
        <f t="shared" si="65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40"/>
        <v>73-2</v>
      </c>
      <c r="BS182" s="112">
        <f>OOC!G182</f>
        <v>0.81</v>
      </c>
      <c r="BT182" s="112">
        <f>OOC!H182</f>
        <v>0.77</v>
      </c>
      <c r="BU182" s="3" t="e">
        <f t="shared" si="41"/>
        <v>#REF!</v>
      </c>
      <c r="BV182" s="3" t="e">
        <f t="shared" si="42"/>
        <v>#REF!</v>
      </c>
      <c r="BW182" s="3" t="e">
        <f t="shared" si="43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60"/>
        <v>#VALUE!</v>
      </c>
      <c r="M183" s="25" t="e">
        <f t="shared" si="61"/>
        <v>#VALUE!</v>
      </c>
      <c r="N183" s="29"/>
      <c r="O183" s="3" t="e">
        <f t="shared" si="44"/>
        <v>#REF!</v>
      </c>
      <c r="P183" s="3" t="e">
        <f t="shared" si="45"/>
        <v>#REF!</v>
      </c>
      <c r="Q183" s="3" t="e">
        <f t="shared" si="46"/>
        <v>#REF!</v>
      </c>
      <c r="R183" s="4" t="e">
        <f t="shared" si="47"/>
        <v>#REF!</v>
      </c>
      <c r="S183" s="5" t="e">
        <f t="shared" si="39"/>
        <v>#REF!</v>
      </c>
      <c r="T183" s="76" t="e">
        <f t="shared" si="38"/>
        <v>#REF!</v>
      </c>
      <c r="U183" s="76" t="e">
        <f t="shared" si="1"/>
        <v>#REF!</v>
      </c>
      <c r="V183" s="5" t="e">
        <f t="shared" si="34"/>
        <v>#REF!</v>
      </c>
      <c r="W183" s="5" t="e">
        <f t="shared" si="35"/>
        <v>#REF!</v>
      </c>
      <c r="X183" s="5" t="e">
        <f t="shared" si="36"/>
        <v>#REF!</v>
      </c>
      <c r="Y183" s="70" t="e">
        <f t="shared" si="37"/>
        <v>#REF!</v>
      </c>
      <c r="Z183" s="32" t="e">
        <f t="shared" si="62"/>
        <v>#REF!</v>
      </c>
      <c r="AA183" s="32" t="e">
        <f t="shared" si="63"/>
        <v>#REF!</v>
      </c>
      <c r="AB183" s="32" t="e">
        <f t="shared" si="64"/>
        <v>#REF!</v>
      </c>
      <c r="AC183" s="32" t="e">
        <f t="shared" si="2"/>
        <v>#REF!</v>
      </c>
      <c r="AD183" s="30"/>
      <c r="AE183" s="21" t="str">
        <f t="shared" si="65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40"/>
        <v>73-3</v>
      </c>
      <c r="BS183" s="112">
        <f>OOC!G183</f>
        <v>0.81</v>
      </c>
      <c r="BT183" s="112">
        <f>OOC!H183</f>
        <v>0.77</v>
      </c>
      <c r="BU183" s="3" t="e">
        <f t="shared" si="41"/>
        <v>#REF!</v>
      </c>
      <c r="BV183" s="3" t="e">
        <f t="shared" si="42"/>
        <v>#REF!</v>
      </c>
      <c r="BW183" s="3" t="e">
        <f t="shared" si="43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 t="shared" si="60"/>
        <v>#VALUE!</v>
      </c>
      <c r="M184" s="25" t="e">
        <f t="shared" si="61"/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>IF(AND(G191="",H191=""),"",IF(G191="",H191,G191+H191))</f>
        <v>#VALUE!</v>
      </c>
      <c r="M191" s="25" t="e">
        <f>IF(AND(G191="",I191=""),"",IF(G191="",I191,G191+I191))</f>
        <v>#VALUE!</v>
      </c>
      <c r="N191" s="29"/>
      <c r="O191" s="3" t="e">
        <f t="shared" si="44"/>
        <v>#REF!</v>
      </c>
      <c r="P191" s="3" t="e">
        <f t="shared" si="45"/>
        <v>#REF!</v>
      </c>
      <c r="Q191" s="3" t="e">
        <f t="shared" si="46"/>
        <v>#REF!</v>
      </c>
      <c r="R191" s="4" t="e">
        <f t="shared" si="47"/>
        <v>#REF!</v>
      </c>
      <c r="S191" s="5" t="e">
        <f t="shared" si="39"/>
        <v>#REF!</v>
      </c>
      <c r="T191" s="76" t="e">
        <f t="shared" si="38"/>
        <v>#REF!</v>
      </c>
      <c r="U191" s="76" t="e">
        <f t="shared" si="1"/>
        <v>#REF!</v>
      </c>
      <c r="V191" s="5" t="e">
        <f t="shared" si="34"/>
        <v>#REF!</v>
      </c>
      <c r="W191" s="5" t="e">
        <f t="shared" si="35"/>
        <v>#REF!</v>
      </c>
      <c r="X191" s="5" t="e">
        <f t="shared" si="36"/>
        <v>#REF!</v>
      </c>
      <c r="Y191" s="70" t="e">
        <f t="shared" si="37"/>
        <v>#REF!</v>
      </c>
      <c r="Z191" s="32" t="e">
        <f t="shared" ref="Z191:Z207" si="66">IF($Q191="","",IF(F191="Tolerance",IF(($E191*3*R191+Q191)-G191&lt;H191,"",($E191*3*R191+Q191)-G191),IF(OR(F191="GD&amp;T",F191="MAX"),IF(($E191*3*R191+Q191)&lt;H191,"",($E191*3*R191+Q191)),"")))</f>
        <v>#REF!</v>
      </c>
      <c r="AA191" s="32" t="e">
        <f t="shared" ref="AA191:AA207" si="67">IF(Q191="","",IF(F191="Tolerance",IF(-(($E191*3*R191)-Q191)-G191&gt;I191,"",-(($E191*3*R191)-Q191)-G191),IF(F191="MIN",IF(-(($E191*3*R191)-Q191)&gt;I191,"",-(($E191*3*R191)-Q191)),"")))</f>
        <v>#REF!</v>
      </c>
      <c r="AB191" s="32" t="e">
        <f t="shared" ref="AB191:AB207" si="68">IF(OR(G191="",Q191=""),"",(L191+M191)/2-Q191)</f>
        <v>#REF!</v>
      </c>
      <c r="AC191" s="32" t="e">
        <f t="shared" ref="AC191:AC242" si="69">IF(OR($S191&gt;$AC$9,$R191=""),"",$AC$9*6*$R191)</f>
        <v>#REF!</v>
      </c>
      <c r="AD191" s="30"/>
      <c r="AE191" s="21" t="str">
        <f>IF(AD191="","",IF(AD191&gt;=0.966,"Normal","Not Normal"))</f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40"/>
        <v>80</v>
      </c>
      <c r="BS191" s="112">
        <f>OOC!G191</f>
        <v>13.02</v>
      </c>
      <c r="BT191" s="112">
        <f>OOC!H191</f>
        <v>12.96</v>
      </c>
      <c r="BU191" s="3" t="e">
        <f t="shared" si="41"/>
        <v>#REF!</v>
      </c>
      <c r="BV191" s="3" t="e">
        <f t="shared" si="42"/>
        <v>#REF!</v>
      </c>
      <c r="BW191" s="3" t="e">
        <f t="shared" si="43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>IF(AND(G192="",H192=""),"",IF(G192="",H192,G192+H192))</f>
        <v>#VALUE!</v>
      </c>
      <c r="M192" s="25" t="e">
        <f>IF(AND(G192="",I192=""),"",IF(G192="",I192,G192+I192))</f>
        <v>#VALUE!</v>
      </c>
      <c r="N192" s="29"/>
      <c r="O192" s="3" t="e">
        <f t="shared" si="44"/>
        <v>#REF!</v>
      </c>
      <c r="P192" s="3" t="e">
        <f t="shared" si="45"/>
        <v>#REF!</v>
      </c>
      <c r="Q192" s="3" t="e">
        <f t="shared" si="46"/>
        <v>#REF!</v>
      </c>
      <c r="R192" s="4" t="e">
        <f t="shared" si="47"/>
        <v>#REF!</v>
      </c>
      <c r="S192" s="5" t="e">
        <f t="shared" si="39"/>
        <v>#REF!</v>
      </c>
      <c r="T192" s="76" t="e">
        <f t="shared" si="38"/>
        <v>#REF!</v>
      </c>
      <c r="U192" s="76" t="e">
        <f t="shared" si="1"/>
        <v>#REF!</v>
      </c>
      <c r="V192" s="5" t="e">
        <f t="shared" si="34"/>
        <v>#REF!</v>
      </c>
      <c r="W192" s="5" t="e">
        <f t="shared" si="35"/>
        <v>#REF!</v>
      </c>
      <c r="X192" s="5" t="e">
        <f t="shared" si="36"/>
        <v>#REF!</v>
      </c>
      <c r="Y192" s="70" t="e">
        <f t="shared" si="37"/>
        <v>#REF!</v>
      </c>
      <c r="Z192" s="32" t="e">
        <f t="shared" si="66"/>
        <v>#REF!</v>
      </c>
      <c r="AA192" s="32" t="e">
        <f t="shared" si="67"/>
        <v>#REF!</v>
      </c>
      <c r="AB192" s="32" t="e">
        <f t="shared" si="68"/>
        <v>#REF!</v>
      </c>
      <c r="AC192" s="32" t="e">
        <f t="shared" si="69"/>
        <v>#REF!</v>
      </c>
      <c r="AD192" s="30"/>
      <c r="AE192" s="21" t="str">
        <f>IF(AD192="","",IF(AD192&gt;=0.966,"Normal","Not Normal"))</f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40"/>
        <v>81</v>
      </c>
      <c r="BS192" s="112">
        <f>OOC!G192</f>
        <v>12.780999999999999</v>
      </c>
      <c r="BT192" s="112">
        <f>OOC!H192</f>
        <v>12.721</v>
      </c>
      <c r="BU192" s="3" t="e">
        <f t="shared" si="41"/>
        <v>#REF!</v>
      </c>
      <c r="BV192" s="3" t="e">
        <f t="shared" si="42"/>
        <v>#REF!</v>
      </c>
      <c r="BW192" s="3" t="e">
        <f t="shared" si="43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>IF(AND(G193="",H193=""),"",IF(G193="",H193,G193+H193))</f>
        <v>#VALUE!</v>
      </c>
      <c r="M193" s="25" t="e">
        <f>IF(AND(G193="",I193=""),"",IF(G193="",I193,G193+I193))</f>
        <v>#VALUE!</v>
      </c>
      <c r="N193" s="29"/>
      <c r="O193" s="3" t="e">
        <f t="shared" si="44"/>
        <v>#REF!</v>
      </c>
      <c r="P193" s="3" t="e">
        <f t="shared" si="45"/>
        <v>#REF!</v>
      </c>
      <c r="Q193" s="3" t="e">
        <f t="shared" si="46"/>
        <v>#REF!</v>
      </c>
      <c r="R193" s="4" t="e">
        <f t="shared" si="47"/>
        <v>#REF!</v>
      </c>
      <c r="S193" s="5" t="e">
        <f t="shared" si="39"/>
        <v>#REF!</v>
      </c>
      <c r="T193" s="76" t="e">
        <f t="shared" si="38"/>
        <v>#REF!</v>
      </c>
      <c r="U193" s="76" t="e">
        <f t="shared" si="1"/>
        <v>#REF!</v>
      </c>
      <c r="V193" s="5" t="e">
        <f t="shared" si="34"/>
        <v>#REF!</v>
      </c>
      <c r="W193" s="5" t="e">
        <f t="shared" si="35"/>
        <v>#REF!</v>
      </c>
      <c r="X193" s="5" t="e">
        <f t="shared" si="36"/>
        <v>#REF!</v>
      </c>
      <c r="Y193" s="70" t="e">
        <f t="shared" si="37"/>
        <v>#REF!</v>
      </c>
      <c r="Z193" s="32" t="e">
        <f t="shared" si="66"/>
        <v>#REF!</v>
      </c>
      <c r="AA193" s="32" t="e">
        <f t="shared" si="67"/>
        <v>#REF!</v>
      </c>
      <c r="AB193" s="32" t="e">
        <f t="shared" si="68"/>
        <v>#REF!</v>
      </c>
      <c r="AC193" s="32" t="e">
        <f t="shared" si="69"/>
        <v>#REF!</v>
      </c>
      <c r="AD193" s="30"/>
      <c r="AE193" s="21" t="str">
        <f>IF(AD193="","",IF(AD193&gt;=0.966,"Normal","Not Normal"))</f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40"/>
        <v>82</v>
      </c>
      <c r="BS193" s="112">
        <f>OOC!G193</f>
        <v>1.736</v>
      </c>
      <c r="BT193" s="112">
        <f>OOC!H193</f>
        <v>1.6759999999999999</v>
      </c>
      <c r="BU193" s="3" t="e">
        <f t="shared" si="41"/>
        <v>#REF!</v>
      </c>
      <c r="BV193" s="3" t="e">
        <f t="shared" si="42"/>
        <v>#REF!</v>
      </c>
      <c r="BW193" s="3" t="e">
        <f t="shared" si="43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02" si="70">IF(AND(G194="",H194=""),"",IF(G194="",H194,G194+H194))</f>
        <v/>
      </c>
      <c r="M194" s="25" t="str">
        <f t="shared" ref="M194:M202" si="71">IF(AND(G194="",I194=""),"",IF(G194="",I194,G194+I194))</f>
        <v/>
      </c>
      <c r="N194" s="29"/>
      <c r="O194" s="3" t="e">
        <f t="shared" si="44"/>
        <v>#REF!</v>
      </c>
      <c r="P194" s="3" t="e">
        <f t="shared" si="45"/>
        <v>#REF!</v>
      </c>
      <c r="Q194" s="3" t="e">
        <f t="shared" si="46"/>
        <v>#REF!</v>
      </c>
      <c r="R194" s="4" t="e">
        <f t="shared" si="47"/>
        <v>#REF!</v>
      </c>
      <c r="S194" s="5" t="e">
        <f t="shared" si="39"/>
        <v>#REF!</v>
      </c>
      <c r="T194" s="76" t="e">
        <f t="shared" si="38"/>
        <v>#REF!</v>
      </c>
      <c r="U194" s="76" t="e">
        <f t="shared" ref="U194:U242" si="7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34"/>
        <v>#REF!</v>
      </c>
      <c r="W194" s="5" t="e">
        <f t="shared" si="35"/>
        <v>#REF!</v>
      </c>
      <c r="X194" s="5" t="e">
        <f t="shared" si="36"/>
        <v>#REF!</v>
      </c>
      <c r="Y194" s="70" t="e">
        <f t="shared" si="37"/>
        <v>#REF!</v>
      </c>
      <c r="Z194" s="32" t="e">
        <f t="shared" si="66"/>
        <v>#REF!</v>
      </c>
      <c r="AA194" s="32" t="e">
        <f t="shared" si="67"/>
        <v>#REF!</v>
      </c>
      <c r="AB194" s="32" t="e">
        <f t="shared" si="68"/>
        <v>#REF!</v>
      </c>
      <c r="AC194" s="32" t="e">
        <f t="shared" si="69"/>
        <v>#REF!</v>
      </c>
      <c r="AD194" s="30"/>
      <c r="AE194" s="21" t="str">
        <f t="shared" ref="AE194:AE202" si="7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40"/>
        <v>83</v>
      </c>
      <c r="BS194" s="112">
        <f>OOC!G194</f>
        <v>0.03</v>
      </c>
      <c r="BT194" s="112" t="str">
        <f>OOC!H194</f>
        <v/>
      </c>
      <c r="BU194" s="3" t="e">
        <f t="shared" si="41"/>
        <v>#REF!</v>
      </c>
      <c r="BV194" s="3" t="e">
        <f t="shared" si="42"/>
        <v>#REF!</v>
      </c>
      <c r="BW194" s="3" t="e">
        <f t="shared" si="43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70"/>
        <v/>
      </c>
      <c r="M195" s="25" t="str">
        <f t="shared" si="71"/>
        <v/>
      </c>
      <c r="N195" s="29"/>
      <c r="O195" s="3" t="e">
        <f t="shared" si="44"/>
        <v>#REF!</v>
      </c>
      <c r="P195" s="3" t="e">
        <f t="shared" si="45"/>
        <v>#REF!</v>
      </c>
      <c r="Q195" s="3" t="e">
        <f t="shared" si="46"/>
        <v>#REF!</v>
      </c>
      <c r="R195" s="4" t="e">
        <f t="shared" si="47"/>
        <v>#REF!</v>
      </c>
      <c r="S195" s="5" t="e">
        <f t="shared" si="39"/>
        <v>#REF!</v>
      </c>
      <c r="T195" s="76" t="e">
        <f t="shared" si="38"/>
        <v>#REF!</v>
      </c>
      <c r="U195" s="76" t="e">
        <f t="shared" si="72"/>
        <v>#REF!</v>
      </c>
      <c r="V195" s="5" t="e">
        <f t="shared" ref="V195:V210" si="74">IF(OR($AK195="",ISNUMBER($AK195)=FALSE),"",IF(H195="","",(L195-Q195)/(3*R195)))</f>
        <v>#REF!</v>
      </c>
      <c r="W195" s="5" t="e">
        <f t="shared" ref="W195:W210" si="75">IF(OR($AK195="",ISNUMBER($AK195)=FALSE),"",IF(I195="","",(Q195-M195)/(3*R195)))</f>
        <v>#REF!</v>
      </c>
      <c r="X195" s="5" t="e">
        <f t="shared" ref="X195:X210" si="76">IF(OR($AK195="",ISNUMBER($AK195)=FALSE),"",IF(AND(G195=0,I195=0),((H195)-(Q195))/(3*R195),MIN(V195:W195)))</f>
        <v>#REF!</v>
      </c>
      <c r="Y195" s="70" t="e">
        <f t="shared" ref="Y195:Y210" si="77">IF(OR($AK195="",ISNUMBER($AK195)=FALSE),"",IF(AND(G195=0,I195=0),NORMSDIST(3*X195),NORMSDIST(3*X195)+NORMSDIST(6*S195-3*X195)-1))</f>
        <v>#REF!</v>
      </c>
      <c r="Z195" s="32" t="e">
        <f t="shared" si="66"/>
        <v>#REF!</v>
      </c>
      <c r="AA195" s="32" t="e">
        <f t="shared" si="67"/>
        <v>#REF!</v>
      </c>
      <c r="AB195" s="32" t="e">
        <f t="shared" si="68"/>
        <v>#REF!</v>
      </c>
      <c r="AC195" s="32" t="e">
        <f t="shared" si="69"/>
        <v>#REF!</v>
      </c>
      <c r="AD195" s="30"/>
      <c r="AE195" s="21" t="str">
        <f t="shared" si="7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40"/>
        <v>84</v>
      </c>
      <c r="BS195" s="112">
        <f>OOC!G195</f>
        <v>0.03</v>
      </c>
      <c r="BT195" s="112" t="str">
        <f>OOC!H195</f>
        <v/>
      </c>
      <c r="BU195" s="3" t="e">
        <f t="shared" si="41"/>
        <v>#REF!</v>
      </c>
      <c r="BV195" s="3" t="e">
        <f t="shared" si="42"/>
        <v>#REF!</v>
      </c>
      <c r="BW195" s="3" t="e">
        <f t="shared" si="43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70"/>
        <v>#VALUE!</v>
      </c>
      <c r="M196" s="25" t="e">
        <f t="shared" si="71"/>
        <v>#VALUE!</v>
      </c>
      <c r="N196" s="29"/>
      <c r="O196" s="3" t="e">
        <f t="shared" si="44"/>
        <v>#REF!</v>
      </c>
      <c r="P196" s="3" t="e">
        <f t="shared" si="45"/>
        <v>#REF!</v>
      </c>
      <c r="Q196" s="3" t="e">
        <f t="shared" si="46"/>
        <v>#REF!</v>
      </c>
      <c r="R196" s="4" t="e">
        <f t="shared" si="47"/>
        <v>#REF!</v>
      </c>
      <c r="S196" s="5" t="e">
        <f t="shared" si="39"/>
        <v>#REF!</v>
      </c>
      <c r="T196" s="76" t="e">
        <f t="shared" si="38"/>
        <v>#REF!</v>
      </c>
      <c r="U196" s="76" t="e">
        <f t="shared" si="72"/>
        <v>#REF!</v>
      </c>
      <c r="V196" s="5" t="e">
        <f t="shared" si="74"/>
        <v>#REF!</v>
      </c>
      <c r="W196" s="5" t="e">
        <f t="shared" si="75"/>
        <v>#REF!</v>
      </c>
      <c r="X196" s="5" t="e">
        <f t="shared" si="76"/>
        <v>#REF!</v>
      </c>
      <c r="Y196" s="70" t="e">
        <f t="shared" si="77"/>
        <v>#REF!</v>
      </c>
      <c r="Z196" s="32" t="e">
        <f t="shared" si="66"/>
        <v>#REF!</v>
      </c>
      <c r="AA196" s="32" t="e">
        <f t="shared" si="67"/>
        <v>#REF!</v>
      </c>
      <c r="AB196" s="32" t="e">
        <f t="shared" si="68"/>
        <v>#REF!</v>
      </c>
      <c r="AC196" s="32" t="e">
        <f t="shared" si="69"/>
        <v>#REF!</v>
      </c>
      <c r="AD196" s="30"/>
      <c r="AE196" s="21" t="str">
        <f t="shared" si="7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40"/>
        <v>85-1</v>
      </c>
      <c r="BS196" s="112">
        <f>OOC!G196</f>
        <v>0.03</v>
      </c>
      <c r="BT196" s="112">
        <f>OOC!H196</f>
        <v>-0.03</v>
      </c>
      <c r="BU196" s="3" t="e">
        <f t="shared" si="41"/>
        <v>#REF!</v>
      </c>
      <c r="BV196" s="3" t="e">
        <f t="shared" si="42"/>
        <v>#REF!</v>
      </c>
      <c r="BW196" s="3" t="e">
        <f t="shared" si="43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>IF(AND(G197="",H197=""),"",IF(G197="",H197,G197+H197))</f>
        <v>#VALUE!</v>
      </c>
      <c r="M197" s="25" t="e">
        <f>IF(AND(G197="",I197=""),"",IF(G197="",I197,G197+I197))</f>
        <v>#VALUE!</v>
      </c>
      <c r="N197" s="29"/>
      <c r="O197" s="3" t="e">
        <f t="shared" si="44"/>
        <v>#REF!</v>
      </c>
      <c r="P197" s="3" t="e">
        <f t="shared" si="45"/>
        <v>#REF!</v>
      </c>
      <c r="Q197" s="3" t="e">
        <f t="shared" si="46"/>
        <v>#REF!</v>
      </c>
      <c r="R197" s="4" t="e">
        <f t="shared" si="47"/>
        <v>#REF!</v>
      </c>
      <c r="S197" s="5" t="e">
        <f t="shared" si="39"/>
        <v>#REF!</v>
      </c>
      <c r="T197" s="76" t="e">
        <f t="shared" ref="T197:T213" si="78">IF(OR($AK197="",ISNUMBER($AK197)=FALSE),"",IF(AND($F197="Tolerance",$G197&lt;&gt;""),($Q197-$G197)/(($L197-$M197)/2),IF(AND($F197="GD&amp;T",$H197&lt;&gt;""),$Q197/$H197,"")))</f>
        <v>#REF!</v>
      </c>
      <c r="U197" s="76" t="e">
        <f t="shared" si="72"/>
        <v>#REF!</v>
      </c>
      <c r="V197" s="5" t="e">
        <f t="shared" si="74"/>
        <v>#REF!</v>
      </c>
      <c r="W197" s="5" t="e">
        <f t="shared" si="75"/>
        <v>#REF!</v>
      </c>
      <c r="X197" s="5" t="e">
        <f t="shared" si="76"/>
        <v>#REF!</v>
      </c>
      <c r="Y197" s="70" t="e">
        <f t="shared" si="77"/>
        <v>#REF!</v>
      </c>
      <c r="Z197" s="32" t="e">
        <f t="shared" si="66"/>
        <v>#REF!</v>
      </c>
      <c r="AA197" s="32" t="e">
        <f t="shared" si="67"/>
        <v>#REF!</v>
      </c>
      <c r="AB197" s="32" t="e">
        <f t="shared" si="68"/>
        <v>#REF!</v>
      </c>
      <c r="AC197" s="32" t="e">
        <f t="shared" si="69"/>
        <v>#REF!</v>
      </c>
      <c r="AD197" s="30"/>
      <c r="AE197" s="21" t="str">
        <f>IF(AD197="","",IF(AD197&gt;=0.966,"Normal","Not Normal"))</f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40"/>
        <v>85-2</v>
      </c>
      <c r="BS197" s="112">
        <f>OOC!G197</f>
        <v>0.03</v>
      </c>
      <c r="BT197" s="112">
        <f>OOC!H197</f>
        <v>-0.03</v>
      </c>
      <c r="BU197" s="3" t="e">
        <f t="shared" si="41"/>
        <v>#REF!</v>
      </c>
      <c r="BV197" s="3" t="e">
        <f t="shared" si="42"/>
        <v>#REF!</v>
      </c>
      <c r="BW197" s="3" t="e">
        <f t="shared" si="43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>IF(AND(G198="",H198=""),"",IF(G198="",H198,G198+H198))</f>
        <v>#VALUE!</v>
      </c>
      <c r="M198" s="25" t="e">
        <f>IF(AND(G198="",I198=""),"",IF(G198="",I198,G198+I198))</f>
        <v>#VALUE!</v>
      </c>
      <c r="N198" s="29"/>
      <c r="O198" s="3" t="e">
        <f t="shared" si="44"/>
        <v>#REF!</v>
      </c>
      <c r="P198" s="3" t="e">
        <f t="shared" si="45"/>
        <v>#REF!</v>
      </c>
      <c r="Q198" s="3" t="e">
        <f t="shared" si="46"/>
        <v>#REF!</v>
      </c>
      <c r="R198" s="4" t="e">
        <f t="shared" si="47"/>
        <v>#REF!</v>
      </c>
      <c r="S198" s="5" t="e">
        <f t="shared" si="39"/>
        <v>#REF!</v>
      </c>
      <c r="T198" s="76" t="e">
        <f t="shared" si="78"/>
        <v>#REF!</v>
      </c>
      <c r="U198" s="76" t="e">
        <f t="shared" si="72"/>
        <v>#REF!</v>
      </c>
      <c r="V198" s="5" t="e">
        <f t="shared" si="74"/>
        <v>#REF!</v>
      </c>
      <c r="W198" s="5" t="e">
        <f t="shared" si="75"/>
        <v>#REF!</v>
      </c>
      <c r="X198" s="5" t="e">
        <f t="shared" si="76"/>
        <v>#REF!</v>
      </c>
      <c r="Y198" s="70" t="e">
        <f t="shared" si="77"/>
        <v>#REF!</v>
      </c>
      <c r="Z198" s="32" t="e">
        <f t="shared" si="66"/>
        <v>#REF!</v>
      </c>
      <c r="AA198" s="32" t="e">
        <f t="shared" si="67"/>
        <v>#REF!</v>
      </c>
      <c r="AB198" s="32" t="e">
        <f t="shared" si="68"/>
        <v>#REF!</v>
      </c>
      <c r="AC198" s="32" t="e">
        <f t="shared" si="69"/>
        <v>#REF!</v>
      </c>
      <c r="AD198" s="30"/>
      <c r="AE198" s="21" t="str">
        <f>IF(AD198="","",IF(AD198&gt;=0.966,"Normal","Not Normal"))</f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40"/>
        <v>85-3</v>
      </c>
      <c r="BS198" s="112">
        <f>OOC!G198</f>
        <v>0.03</v>
      </c>
      <c r="BT198" s="112">
        <f>OOC!H198</f>
        <v>-0.03</v>
      </c>
      <c r="BU198" s="3" t="e">
        <f t="shared" si="41"/>
        <v>#REF!</v>
      </c>
      <c r="BV198" s="3" t="e">
        <f t="shared" si="42"/>
        <v>#REF!</v>
      </c>
      <c r="BW198" s="3" t="e">
        <f t="shared" si="43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>IF(AND(G199="",H199=""),"",IF(G199="",H199,G199+H199))</f>
        <v>#VALUE!</v>
      </c>
      <c r="M199" s="25" t="e">
        <f>IF(AND(G199="",I199=""),"",IF(G199="",I199,G199+I199))</f>
        <v>#VALUE!</v>
      </c>
      <c r="N199" s="29"/>
      <c r="O199" s="3" t="e">
        <f t="shared" si="44"/>
        <v>#REF!</v>
      </c>
      <c r="P199" s="3" t="e">
        <f t="shared" si="45"/>
        <v>#REF!</v>
      </c>
      <c r="Q199" s="3" t="e">
        <f t="shared" si="46"/>
        <v>#REF!</v>
      </c>
      <c r="R199" s="4" t="e">
        <f t="shared" si="47"/>
        <v>#REF!</v>
      </c>
      <c r="S199" s="5" t="e">
        <f t="shared" ref="S199:S242" si="79">IF(OR($AK199="",ISNUMBER($AK199)=FALSE),"",IF(AND(G199=0,I199=""),V199,IF(AND(G199="",H199=""),W199,(H199+ABS(I199))/(6*R199))))</f>
        <v>#REF!</v>
      </c>
      <c r="T199" s="76" t="e">
        <f t="shared" si="78"/>
        <v>#REF!</v>
      </c>
      <c r="U199" s="76" t="e">
        <f t="shared" si="72"/>
        <v>#REF!</v>
      </c>
      <c r="V199" s="5" t="e">
        <f t="shared" si="74"/>
        <v>#REF!</v>
      </c>
      <c r="W199" s="5" t="e">
        <f t="shared" si="75"/>
        <v>#REF!</v>
      </c>
      <c r="X199" s="5" t="e">
        <f t="shared" si="76"/>
        <v>#REF!</v>
      </c>
      <c r="Y199" s="70" t="e">
        <f t="shared" si="77"/>
        <v>#REF!</v>
      </c>
      <c r="Z199" s="32" t="e">
        <f t="shared" si="66"/>
        <v>#REF!</v>
      </c>
      <c r="AA199" s="32" t="e">
        <f t="shared" si="67"/>
        <v>#REF!</v>
      </c>
      <c r="AB199" s="32" t="e">
        <f t="shared" si="68"/>
        <v>#REF!</v>
      </c>
      <c r="AC199" s="32" t="e">
        <f t="shared" si="69"/>
        <v>#REF!</v>
      </c>
      <c r="AD199" s="30"/>
      <c r="AE199" s="21" t="str">
        <f>IF(AD199="","",IF(AD199&gt;=0.966,"Normal","Not Normal"))</f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8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81">IF(OR($AK199="",ISNUMBER($AK199)=FALSE),"",MAX(AK199:BP199))</f>
        <v>#REF!</v>
      </c>
      <c r="BV199" s="3" t="e">
        <f t="shared" ref="BV199:BV242" si="82">IF(OR($AK199="",ISNUMBER($AK199)=FALSE),"",MIN(AK199:BP199))</f>
        <v>#REF!</v>
      </c>
      <c r="BW199" s="3" t="e">
        <f t="shared" ref="BW199:BW242" si="8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>IF(AND(G200="",H200=""),"",IF(G200="",H200,G200+H200))</f>
        <v>#VALUE!</v>
      </c>
      <c r="M200" s="25" t="e">
        <f>IF(AND(G200="",I200=""),"",IF(G200="",I200,G200+I200))</f>
        <v>#VALUE!</v>
      </c>
      <c r="N200" s="29"/>
      <c r="O200" s="3" t="e">
        <f t="shared" si="44"/>
        <v>#REF!</v>
      </c>
      <c r="P200" s="3" t="e">
        <f t="shared" si="45"/>
        <v>#REF!</v>
      </c>
      <c r="Q200" s="3" t="e">
        <f t="shared" si="46"/>
        <v>#REF!</v>
      </c>
      <c r="R200" s="4" t="e">
        <f t="shared" si="47"/>
        <v>#REF!</v>
      </c>
      <c r="S200" s="5" t="e">
        <f t="shared" si="79"/>
        <v>#REF!</v>
      </c>
      <c r="T200" s="76" t="e">
        <f t="shared" si="78"/>
        <v>#REF!</v>
      </c>
      <c r="U200" s="76" t="e">
        <f t="shared" si="72"/>
        <v>#REF!</v>
      </c>
      <c r="V200" s="5" t="e">
        <f t="shared" si="74"/>
        <v>#REF!</v>
      </c>
      <c r="W200" s="5" t="e">
        <f t="shared" si="75"/>
        <v>#REF!</v>
      </c>
      <c r="X200" s="5" t="e">
        <f t="shared" si="76"/>
        <v>#REF!</v>
      </c>
      <c r="Y200" s="70" t="e">
        <f t="shared" si="77"/>
        <v>#REF!</v>
      </c>
      <c r="Z200" s="32" t="e">
        <f t="shared" si="66"/>
        <v>#REF!</v>
      </c>
      <c r="AA200" s="32" t="e">
        <f t="shared" si="67"/>
        <v>#REF!</v>
      </c>
      <c r="AB200" s="32" t="e">
        <f t="shared" si="68"/>
        <v>#REF!</v>
      </c>
      <c r="AC200" s="32" t="e">
        <f t="shared" si="69"/>
        <v>#REF!</v>
      </c>
      <c r="AD200" s="30"/>
      <c r="AE200" s="21" t="str">
        <f>IF(AD200="","",IF(AD200&gt;=0.966,"Normal","Not Normal"))</f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80"/>
        <v>85-5</v>
      </c>
      <c r="BS200" s="112">
        <f>OOC!G200</f>
        <v>0.03</v>
      </c>
      <c r="BT200" s="112">
        <f>OOC!H200</f>
        <v>-0.03</v>
      </c>
      <c r="BU200" s="3" t="e">
        <f t="shared" si="81"/>
        <v>#REF!</v>
      </c>
      <c r="BV200" s="3" t="e">
        <f t="shared" si="82"/>
        <v>#REF!</v>
      </c>
      <c r="BW200" s="3" t="e">
        <f t="shared" si="8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>IF(AND(G201="",H201=""),"",IF(G201="",H201,G201+H201))</f>
        <v>#VALUE!</v>
      </c>
      <c r="M201" s="25" t="e">
        <f>IF(AND(G201="",I201=""),"",IF(G201="",I201,G201+I201))</f>
        <v>#VALUE!</v>
      </c>
      <c r="N201" s="29"/>
      <c r="O201" s="3" t="e">
        <f t="shared" ref="O201:O207" si="84">IF(OR($AK201="",ISNUMBER($AK201)=FALSE),"",MAX(AK201:BP201))</f>
        <v>#REF!</v>
      </c>
      <c r="P201" s="3" t="e">
        <f t="shared" ref="P201:P207" si="85">IF(OR($AK201="",ISNUMBER($AK201)=FALSE),"",MIN(AK201:BP201))</f>
        <v>#REF!</v>
      </c>
      <c r="Q201" s="3" t="e">
        <f t="shared" ref="Q201:Q207" si="86">IF(OR($AK201="",ISNUMBER($AK201)=FALSE),"",AVERAGE(AK201:BP201))</f>
        <v>#REF!</v>
      </c>
      <c r="R201" s="4" t="e">
        <f t="shared" ref="R201:R207" si="87">IF(OR($AK201="",ISNUMBER($AK201)=FALSE),"",STDEV(AK201:BP201))</f>
        <v>#REF!</v>
      </c>
      <c r="S201" s="5" t="e">
        <f t="shared" si="79"/>
        <v>#REF!</v>
      </c>
      <c r="T201" s="76" t="e">
        <f t="shared" si="78"/>
        <v>#REF!</v>
      </c>
      <c r="U201" s="76" t="e">
        <f t="shared" si="72"/>
        <v>#REF!</v>
      </c>
      <c r="V201" s="5" t="e">
        <f t="shared" si="74"/>
        <v>#REF!</v>
      </c>
      <c r="W201" s="5" t="e">
        <f t="shared" si="75"/>
        <v>#REF!</v>
      </c>
      <c r="X201" s="5" t="e">
        <f t="shared" si="76"/>
        <v>#REF!</v>
      </c>
      <c r="Y201" s="70" t="e">
        <f t="shared" si="77"/>
        <v>#REF!</v>
      </c>
      <c r="Z201" s="32" t="e">
        <f t="shared" si="66"/>
        <v>#REF!</v>
      </c>
      <c r="AA201" s="32" t="e">
        <f t="shared" si="67"/>
        <v>#REF!</v>
      </c>
      <c r="AB201" s="32" t="e">
        <f t="shared" si="68"/>
        <v>#REF!</v>
      </c>
      <c r="AC201" s="32" t="e">
        <f t="shared" si="69"/>
        <v>#REF!</v>
      </c>
      <c r="AD201" s="30"/>
      <c r="AE201" s="21" t="str">
        <f>IF(AD201="","",IF(AD201&gt;=0.966,"Normal","Not Normal"))</f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80"/>
        <v>85-6</v>
      </c>
      <c r="BS201" s="112">
        <f>OOC!G201</f>
        <v>0.03</v>
      </c>
      <c r="BT201" s="112">
        <f>OOC!H201</f>
        <v>-0.03</v>
      </c>
      <c r="BU201" s="3" t="e">
        <f t="shared" si="81"/>
        <v>#REF!</v>
      </c>
      <c r="BV201" s="3" t="e">
        <f t="shared" si="82"/>
        <v>#REF!</v>
      </c>
      <c r="BW201" s="3" t="e">
        <f t="shared" si="8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70"/>
        <v>#VALUE!</v>
      </c>
      <c r="M202" s="25" t="e">
        <f t="shared" si="71"/>
        <v>#VALUE!</v>
      </c>
      <c r="N202" s="29"/>
      <c r="O202" s="3" t="e">
        <f t="shared" si="84"/>
        <v>#REF!</v>
      </c>
      <c r="P202" s="3" t="e">
        <f t="shared" si="85"/>
        <v>#REF!</v>
      </c>
      <c r="Q202" s="3" t="e">
        <f t="shared" si="86"/>
        <v>#REF!</v>
      </c>
      <c r="R202" s="4" t="e">
        <f t="shared" si="87"/>
        <v>#REF!</v>
      </c>
      <c r="S202" s="5" t="e">
        <f t="shared" si="79"/>
        <v>#REF!</v>
      </c>
      <c r="T202" s="76" t="e">
        <f t="shared" si="78"/>
        <v>#REF!</v>
      </c>
      <c r="U202" s="76" t="e">
        <f t="shared" si="72"/>
        <v>#REF!</v>
      </c>
      <c r="V202" s="5" t="e">
        <f t="shared" si="74"/>
        <v>#REF!</v>
      </c>
      <c r="W202" s="5" t="e">
        <f t="shared" si="75"/>
        <v>#REF!</v>
      </c>
      <c r="X202" s="5" t="e">
        <f t="shared" si="76"/>
        <v>#REF!</v>
      </c>
      <c r="Y202" s="70" t="e">
        <f t="shared" si="77"/>
        <v>#REF!</v>
      </c>
      <c r="Z202" s="32" t="e">
        <f t="shared" si="66"/>
        <v>#REF!</v>
      </c>
      <c r="AA202" s="32" t="e">
        <f t="shared" si="67"/>
        <v>#REF!</v>
      </c>
      <c r="AB202" s="32" t="e">
        <f t="shared" si="68"/>
        <v>#REF!</v>
      </c>
      <c r="AC202" s="32" t="e">
        <f t="shared" si="69"/>
        <v>#REF!</v>
      </c>
      <c r="AD202" s="30"/>
      <c r="AE202" s="21" t="str">
        <f t="shared" si="7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80"/>
        <v>86-1</v>
      </c>
      <c r="BS202" s="112">
        <f>OOC!G202</f>
        <v>0.03</v>
      </c>
      <c r="BT202" s="112">
        <f>OOC!H202</f>
        <v>-0.03</v>
      </c>
      <c r="BU202" s="3" t="e">
        <f t="shared" si="81"/>
        <v>#REF!</v>
      </c>
      <c r="BV202" s="3" t="e">
        <f t="shared" si="82"/>
        <v>#REF!</v>
      </c>
      <c r="BW202" s="3" t="e">
        <f t="shared" si="8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>IF(AND(G203="",H203=""),"",IF(G203="",H203,G203+H203))</f>
        <v>#VALUE!</v>
      </c>
      <c r="M203" s="25" t="e">
        <f>IF(AND(G203="",I203=""),"",IF(G203="",I203,G203+I203))</f>
        <v>#VALUE!</v>
      </c>
      <c r="N203" s="29"/>
      <c r="O203" s="3" t="e">
        <f t="shared" si="84"/>
        <v>#REF!</v>
      </c>
      <c r="P203" s="3" t="e">
        <f t="shared" si="85"/>
        <v>#REF!</v>
      </c>
      <c r="Q203" s="3" t="e">
        <f t="shared" si="86"/>
        <v>#REF!</v>
      </c>
      <c r="R203" s="4" t="e">
        <f t="shared" si="87"/>
        <v>#REF!</v>
      </c>
      <c r="S203" s="5" t="e">
        <f t="shared" si="79"/>
        <v>#REF!</v>
      </c>
      <c r="T203" s="76" t="e">
        <f t="shared" si="78"/>
        <v>#REF!</v>
      </c>
      <c r="U203" s="76" t="e">
        <f t="shared" si="72"/>
        <v>#REF!</v>
      </c>
      <c r="V203" s="5" t="e">
        <f t="shared" si="74"/>
        <v>#REF!</v>
      </c>
      <c r="W203" s="5" t="e">
        <f t="shared" si="75"/>
        <v>#REF!</v>
      </c>
      <c r="X203" s="5" t="e">
        <f t="shared" si="76"/>
        <v>#REF!</v>
      </c>
      <c r="Y203" s="70" t="e">
        <f t="shared" si="77"/>
        <v>#REF!</v>
      </c>
      <c r="Z203" s="32" t="e">
        <f t="shared" si="66"/>
        <v>#REF!</v>
      </c>
      <c r="AA203" s="32" t="e">
        <f t="shared" si="67"/>
        <v>#REF!</v>
      </c>
      <c r="AB203" s="32" t="e">
        <f t="shared" si="68"/>
        <v>#REF!</v>
      </c>
      <c r="AC203" s="32" t="e">
        <f t="shared" si="69"/>
        <v>#REF!</v>
      </c>
      <c r="AD203" s="30"/>
      <c r="AE203" s="21" t="str">
        <f>IF(AD203="","",IF(AD203&gt;=0.966,"Normal","Not Normal"))</f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80"/>
        <v>86-2</v>
      </c>
      <c r="BS203" s="112">
        <f>OOC!G203</f>
        <v>0.03</v>
      </c>
      <c r="BT203" s="112">
        <f>OOC!H203</f>
        <v>-0.03</v>
      </c>
      <c r="BU203" s="3" t="e">
        <f t="shared" si="81"/>
        <v>#REF!</v>
      </c>
      <c r="BV203" s="3" t="e">
        <f t="shared" si="82"/>
        <v>#REF!</v>
      </c>
      <c r="BW203" s="3" t="e">
        <f t="shared" si="8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>IF(AND(G204="",H204=""),"",IF(G204="",H204,G204+H204))</f>
        <v>#VALUE!</v>
      </c>
      <c r="M204" s="25" t="e">
        <f>IF(AND(G204="",I204=""),"",IF(G204="",I204,G204+I204))</f>
        <v>#VALUE!</v>
      </c>
      <c r="N204" s="29"/>
      <c r="O204" s="3" t="e">
        <f t="shared" si="84"/>
        <v>#REF!</v>
      </c>
      <c r="P204" s="3" t="e">
        <f t="shared" si="85"/>
        <v>#REF!</v>
      </c>
      <c r="Q204" s="3" t="e">
        <f t="shared" si="86"/>
        <v>#REF!</v>
      </c>
      <c r="R204" s="4" t="e">
        <f t="shared" si="87"/>
        <v>#REF!</v>
      </c>
      <c r="S204" s="5" t="e">
        <f t="shared" si="79"/>
        <v>#REF!</v>
      </c>
      <c r="T204" s="76" t="e">
        <f t="shared" si="78"/>
        <v>#REF!</v>
      </c>
      <c r="U204" s="76" t="e">
        <f t="shared" si="72"/>
        <v>#REF!</v>
      </c>
      <c r="V204" s="5" t="e">
        <f t="shared" si="74"/>
        <v>#REF!</v>
      </c>
      <c r="W204" s="5" t="e">
        <f t="shared" si="75"/>
        <v>#REF!</v>
      </c>
      <c r="X204" s="5" t="e">
        <f t="shared" si="76"/>
        <v>#REF!</v>
      </c>
      <c r="Y204" s="70" t="e">
        <f t="shared" si="77"/>
        <v>#REF!</v>
      </c>
      <c r="Z204" s="32" t="e">
        <f t="shared" si="66"/>
        <v>#REF!</v>
      </c>
      <c r="AA204" s="32" t="e">
        <f t="shared" si="67"/>
        <v>#REF!</v>
      </c>
      <c r="AB204" s="32" t="e">
        <f t="shared" si="68"/>
        <v>#REF!</v>
      </c>
      <c r="AC204" s="32" t="e">
        <f t="shared" si="69"/>
        <v>#REF!</v>
      </c>
      <c r="AD204" s="30"/>
      <c r="AE204" s="21" t="str">
        <f>IF(AD204="","",IF(AD204&gt;=0.966,"Normal","Not Normal"))</f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80"/>
        <v>86-3</v>
      </c>
      <c r="BS204" s="112">
        <f>OOC!G204</f>
        <v>0.03</v>
      </c>
      <c r="BT204" s="112">
        <f>OOC!H204</f>
        <v>-0.03</v>
      </c>
      <c r="BU204" s="3" t="e">
        <f t="shared" si="81"/>
        <v>#REF!</v>
      </c>
      <c r="BV204" s="3" t="e">
        <f t="shared" si="82"/>
        <v>#REF!</v>
      </c>
      <c r="BW204" s="3" t="e">
        <f t="shared" si="8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>IF(AND(G205="",H205=""),"",IF(G205="",H205,G205+H205))</f>
        <v>#VALUE!</v>
      </c>
      <c r="M205" s="25" t="e">
        <f>IF(AND(G205="",I205=""),"",IF(G205="",I205,G205+I205))</f>
        <v>#VALUE!</v>
      </c>
      <c r="N205" s="29"/>
      <c r="O205" s="3" t="e">
        <f t="shared" si="84"/>
        <v>#REF!</v>
      </c>
      <c r="P205" s="3" t="e">
        <f t="shared" si="85"/>
        <v>#REF!</v>
      </c>
      <c r="Q205" s="3" t="e">
        <f t="shared" si="86"/>
        <v>#REF!</v>
      </c>
      <c r="R205" s="4" t="e">
        <f t="shared" si="87"/>
        <v>#REF!</v>
      </c>
      <c r="S205" s="5" t="e">
        <f t="shared" si="79"/>
        <v>#REF!</v>
      </c>
      <c r="T205" s="76" t="e">
        <f t="shared" si="78"/>
        <v>#REF!</v>
      </c>
      <c r="U205" s="76" t="e">
        <f t="shared" si="72"/>
        <v>#REF!</v>
      </c>
      <c r="V205" s="5" t="e">
        <f t="shared" si="74"/>
        <v>#REF!</v>
      </c>
      <c r="W205" s="5" t="e">
        <f t="shared" si="75"/>
        <v>#REF!</v>
      </c>
      <c r="X205" s="5" t="e">
        <f t="shared" si="76"/>
        <v>#REF!</v>
      </c>
      <c r="Y205" s="70" t="e">
        <f t="shared" si="77"/>
        <v>#REF!</v>
      </c>
      <c r="Z205" s="32" t="e">
        <f t="shared" si="66"/>
        <v>#REF!</v>
      </c>
      <c r="AA205" s="32" t="e">
        <f t="shared" si="67"/>
        <v>#REF!</v>
      </c>
      <c r="AB205" s="32" t="e">
        <f t="shared" si="68"/>
        <v>#REF!</v>
      </c>
      <c r="AC205" s="32" t="e">
        <f t="shared" si="69"/>
        <v>#REF!</v>
      </c>
      <c r="AD205" s="30"/>
      <c r="AE205" s="21" t="str">
        <f>IF(AD205="","",IF(AD205&gt;=0.966,"Normal","Not Normal"))</f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80"/>
        <v>86-4</v>
      </c>
      <c r="BS205" s="112">
        <f>OOC!G205</f>
        <v>0.03</v>
      </c>
      <c r="BT205" s="112">
        <f>OOC!H205</f>
        <v>-0.03</v>
      </c>
      <c r="BU205" s="3" t="e">
        <f t="shared" si="81"/>
        <v>#REF!</v>
      </c>
      <c r="BV205" s="3" t="e">
        <f t="shared" si="82"/>
        <v>#REF!</v>
      </c>
      <c r="BW205" s="3" t="e">
        <f t="shared" si="8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>IF(AND(G206="",H206=""),"",IF(G206="",H206,G206+H206))</f>
        <v>#VALUE!</v>
      </c>
      <c r="M206" s="25" t="e">
        <f>IF(AND(G206="",I206=""),"",IF(G206="",I206,G206+I206))</f>
        <v>#VALUE!</v>
      </c>
      <c r="N206" s="29"/>
      <c r="O206" s="3" t="e">
        <f t="shared" si="84"/>
        <v>#REF!</v>
      </c>
      <c r="P206" s="3" t="e">
        <f t="shared" si="85"/>
        <v>#REF!</v>
      </c>
      <c r="Q206" s="3" t="e">
        <f t="shared" si="86"/>
        <v>#REF!</v>
      </c>
      <c r="R206" s="4" t="e">
        <f t="shared" si="87"/>
        <v>#REF!</v>
      </c>
      <c r="S206" s="5" t="e">
        <f t="shared" si="79"/>
        <v>#REF!</v>
      </c>
      <c r="T206" s="76" t="e">
        <f t="shared" si="78"/>
        <v>#REF!</v>
      </c>
      <c r="U206" s="76" t="e">
        <f t="shared" si="72"/>
        <v>#REF!</v>
      </c>
      <c r="V206" s="5" t="e">
        <f t="shared" si="74"/>
        <v>#REF!</v>
      </c>
      <c r="W206" s="5" t="e">
        <f t="shared" si="75"/>
        <v>#REF!</v>
      </c>
      <c r="X206" s="5" t="e">
        <f t="shared" si="76"/>
        <v>#REF!</v>
      </c>
      <c r="Y206" s="70" t="e">
        <f t="shared" si="77"/>
        <v>#REF!</v>
      </c>
      <c r="Z206" s="32" t="e">
        <f t="shared" si="66"/>
        <v>#REF!</v>
      </c>
      <c r="AA206" s="32" t="e">
        <f t="shared" si="67"/>
        <v>#REF!</v>
      </c>
      <c r="AB206" s="32" t="e">
        <f t="shared" si="68"/>
        <v>#REF!</v>
      </c>
      <c r="AC206" s="32" t="e">
        <f t="shared" si="69"/>
        <v>#REF!</v>
      </c>
      <c r="AD206" s="30"/>
      <c r="AE206" s="21" t="str">
        <f>IF(AD206="","",IF(AD206&gt;=0.966,"Normal","Not Normal"))</f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80"/>
        <v>86-5</v>
      </c>
      <c r="BS206" s="112">
        <f>OOC!G206</f>
        <v>0.03</v>
      </c>
      <c r="BT206" s="112">
        <f>OOC!H206</f>
        <v>-0.03</v>
      </c>
      <c r="BU206" s="3" t="e">
        <f t="shared" si="81"/>
        <v>#REF!</v>
      </c>
      <c r="BV206" s="3" t="e">
        <f t="shared" si="82"/>
        <v>#REF!</v>
      </c>
      <c r="BW206" s="3" t="e">
        <f t="shared" si="8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>IF(AND(G207="",H207=""),"",IF(G207="",H207,G207+H207))</f>
        <v>#VALUE!</v>
      </c>
      <c r="M207" s="25" t="e">
        <f>IF(AND(G207="",I207=""),"",IF(G207="",I207,G207+I207))</f>
        <v>#VALUE!</v>
      </c>
      <c r="N207" s="29"/>
      <c r="O207" s="3" t="e">
        <f t="shared" si="84"/>
        <v>#REF!</v>
      </c>
      <c r="P207" s="3" t="e">
        <f t="shared" si="85"/>
        <v>#REF!</v>
      </c>
      <c r="Q207" s="3" t="e">
        <f t="shared" si="86"/>
        <v>#REF!</v>
      </c>
      <c r="R207" s="4" t="e">
        <f t="shared" si="87"/>
        <v>#REF!</v>
      </c>
      <c r="S207" s="5" t="e">
        <f t="shared" si="79"/>
        <v>#REF!</v>
      </c>
      <c r="T207" s="76" t="e">
        <f t="shared" si="78"/>
        <v>#REF!</v>
      </c>
      <c r="U207" s="76" t="e">
        <f t="shared" si="72"/>
        <v>#REF!</v>
      </c>
      <c r="V207" s="5" t="e">
        <f>IF(OR($AK207="",ISNUMBER($AK207)=FALSE),"",IF(H207="","",(L207-Q207)/(3*R207)))</f>
        <v>#REF!</v>
      </c>
      <c r="W207" s="5" t="e">
        <f>IF(OR($AK207="",ISNUMBER($AK207)=FALSE),"",IF(I207="","",(Q207-M207)/(3*R207)))</f>
        <v>#REF!</v>
      </c>
      <c r="X207" s="5" t="e">
        <f>IF(OR($AK207="",ISNUMBER($AK207)=FALSE),"",IF(AND(G207=0,I207=0),((H207)-(Q207))/(3*R207),MIN(V207:W207)))</f>
        <v>#REF!</v>
      </c>
      <c r="Y207" s="70" t="e">
        <f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69"/>
        <v>#REF!</v>
      </c>
      <c r="AD207" s="30"/>
      <c r="AE207" s="21" t="str">
        <f>IF(AD207="","",IF(AD207&gt;=0.966,"Normal","Not Normal"))</f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80"/>
        <v>86-6</v>
      </c>
      <c r="BS207" s="112">
        <f>OOC!G207</f>
        <v>0.03</v>
      </c>
      <c r="BT207" s="112">
        <f>OOC!H207</f>
        <v>-0.03</v>
      </c>
      <c r="BU207" s="3" t="e">
        <f t="shared" si="81"/>
        <v>#REF!</v>
      </c>
      <c r="BV207" s="3" t="e">
        <f t="shared" si="82"/>
        <v>#REF!</v>
      </c>
      <c r="BW207" s="3" t="e">
        <f t="shared" si="8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6 1057:1870 2172:3039 3203:3268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6 1057:1870 2172:3039 3203:3268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>IF(AND(G210="",H210=""),"",IF(G210="",H210,G210+H210))</f>
        <v>#VALUE!</v>
      </c>
      <c r="M210" s="25" t="e">
        <f>IF(AND(G210="",I210=""),"",IF(G210="",I210,G210+I210))</f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79"/>
        <v>#REF!</v>
      </c>
      <c r="T210" s="76" t="e">
        <f t="shared" si="78"/>
        <v>#REF!</v>
      </c>
      <c r="U210" s="76" t="e">
        <f t="shared" si="72"/>
        <v>#REF!</v>
      </c>
      <c r="V210" s="5" t="e">
        <f t="shared" si="74"/>
        <v>#REF!</v>
      </c>
      <c r="W210" s="5" t="e">
        <f t="shared" si="75"/>
        <v>#REF!</v>
      </c>
      <c r="X210" s="5" t="e">
        <f t="shared" si="76"/>
        <v>#REF!</v>
      </c>
      <c r="Y210" s="70" t="e">
        <f t="shared" si="77"/>
        <v>#REF!</v>
      </c>
      <c r="Z210" s="32" t="e">
        <f>IF($Q210="","",IF(F210="Tolerance",IF(($E210*3*R210+Q210)-G210&lt;H210,"",($E210*3*R210+Q210)-G210),IF(OR(F210="GD&amp;T",F210="MAX"),IF(($E210*3*R210+Q210)&lt;H210,"",($E210*3*R210+Q210)),"")))</f>
        <v>#REF!</v>
      </c>
      <c r="AA210" s="32" t="e">
        <f>IF(Q210="","",IF(F210="Tolerance",IF(-(($E210*3*R210)-Q210)-G210&gt;I210,"",-(($E210*3*R210)-Q210)-G210),IF(F210="MIN",IF(-(($E210*3*R210)-Q210)&gt;I210,"",-(($E210*3*R210)-Q210)),"")))</f>
        <v>#REF!</v>
      </c>
      <c r="AB210" s="32" t="e">
        <f>IF(OR(G210="",Q210=""),"",(L210+M210)/2-Q210)</f>
        <v>#REF!</v>
      </c>
      <c r="AC210" s="32" t="e">
        <f t="shared" si="69"/>
        <v>#REF!</v>
      </c>
      <c r="AD210" s="30"/>
      <c r="AE210" s="21" t="str">
        <f>IF(AD210="","",IF(AD210&gt;=0.966,"Normal","Not Normal"))</f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8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81"/>
        <v>#REF!</v>
      </c>
      <c r="BV210" s="3" t="e">
        <f t="shared" si="82"/>
        <v>#REF!</v>
      </c>
      <c r="BW210" s="3" t="e">
        <f t="shared" si="8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6 1057:1870 2172:3039 3203:3268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>IF(AND(G211="",H211=""),"",IF(G211="",H211,G211+H211))</f>
        <v>#VALUE!</v>
      </c>
      <c r="M211" s="25" t="e">
        <f>IF(AND(G211="",I211=""),"",IF(G211="",I211,G211+I211))</f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79"/>
        <v>#REF!</v>
      </c>
      <c r="T211" s="76" t="e">
        <f t="shared" si="78"/>
        <v>#REF!</v>
      </c>
      <c r="U211" s="76" t="e">
        <f t="shared" si="72"/>
        <v>#REF!</v>
      </c>
      <c r="V211" s="5" t="e">
        <f>IF(OR($AK211="",ISNUMBER($AK211)=FALSE),"",IF(H211="","",(L211-Q211)/(3*R211)))</f>
        <v>#REF!</v>
      </c>
      <c r="W211" s="5" t="e">
        <f>IF(OR($AK211="",ISNUMBER($AK211)=FALSE),"",IF(I211="","",(Q211-M211)/(3*R211)))</f>
        <v>#REF!</v>
      </c>
      <c r="X211" s="5" t="e">
        <f>IF(OR($AK211="",ISNUMBER($AK211)=FALSE),"",IF(AND(G211=0,I211=0),((H211)-(Q211))/(3*R211),MIN(V211:W211)))</f>
        <v>#REF!</v>
      </c>
      <c r="Y211" s="70" t="e">
        <f>IF(OR($AK211="",ISNUMBER($AK211)=FALSE),"",IF(AND(G211=0,I211=0),NORMSDIST(3*X211),NORMSDIST(3*X211)+NORMSDIST(6*S211-3*X211)-1))</f>
        <v>#REF!</v>
      </c>
      <c r="Z211" s="32" t="e">
        <f>IF($Q211="","",IF(F211="Tolerance",IF(($E211*3*R211+Q211)-G211&lt;H211,"",($E211*3*R211+Q211)-G211),IF(OR(F211="GD&amp;T",F211="MAX"),IF(($E211*3*R211+Q211)&lt;H211,"",($E211*3*R211+Q211)),"")))</f>
        <v>#REF!</v>
      </c>
      <c r="AA211" s="32" t="e">
        <f>IF(Q211="","",IF(F211="Tolerance",IF(-(($E211*3*R211)-Q211)-G211&gt;I211,"",-(($E211*3*R211)-Q211)-G211),IF(F211="MIN",IF(-(($E211*3*R211)-Q211)&gt;I211,"",-(($E211*3*R211)-Q211)),"")))</f>
        <v>#REF!</v>
      </c>
      <c r="AB211" s="32" t="e">
        <f>IF(OR(G211="",Q211=""),"",(L211+M211)/2-Q211)</f>
        <v>#REF!</v>
      </c>
      <c r="AC211" s="32" t="e">
        <f t="shared" si="69"/>
        <v>#REF!</v>
      </c>
      <c r="AD211" s="30"/>
      <c r="AE211" s="21" t="str">
        <f>IF(AD211="","",IF(AD211&gt;=0.966,"Normal","Not Normal"))</f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8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81"/>
        <v>#REF!</v>
      </c>
      <c r="BV211" s="3" t="e">
        <f t="shared" si="82"/>
        <v>#REF!</v>
      </c>
      <c r="BW211" s="3" t="e">
        <f t="shared" si="8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6 1057:1870 2172:3039 3203:3268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>IF(AND(G212="",H212=""),"",IF(G212="",H212,G212+H212))</f>
        <v>7.2000000000000008E-2</v>
      </c>
      <c r="M212" s="25">
        <f>IF(AND(G212="",I212=""),"",IF(G212="",I212,G212+I212))</f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79"/>
        <v>#REF!</v>
      </c>
      <c r="T212" s="76" t="e">
        <f t="shared" si="78"/>
        <v>#REF!</v>
      </c>
      <c r="U212" s="76" t="e">
        <f t="shared" si="72"/>
        <v>#REF!</v>
      </c>
      <c r="V212" s="5" t="e">
        <f>IF(OR($AK212="",ISNUMBER($AK212)=FALSE),"",IF(H212="","",(L212-Q212)/(3*R212)))</f>
        <v>#REF!</v>
      </c>
      <c r="W212" s="5" t="e">
        <f>IF(OR($AK212="",ISNUMBER($AK212)=FALSE),"",IF(I212="","",(Q212-M212)/(3*R212)))</f>
        <v>#REF!</v>
      </c>
      <c r="X212" s="5" t="e">
        <f>IF(OR($AK212="",ISNUMBER($AK212)=FALSE),"",IF(AND(G212=0,I212=0),((H212)-(Q212))/(3*R212),MIN(V212:W212)))</f>
        <v>#REF!</v>
      </c>
      <c r="Y212" s="70" t="e">
        <f>IF(OR($AK212="",ISNUMBER($AK212)=FALSE),"",IF(AND(G212=0,I212=0),NORMSDIST(3*X212),NORMSDIST(3*X212)+NORMSDIST(6*S212-3*X212)-1))</f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8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81"/>
        <v>#REF!</v>
      </c>
      <c r="BV212" s="3" t="e">
        <f t="shared" si="82"/>
        <v>#REF!</v>
      </c>
      <c r="BW212" s="3" t="e">
        <f t="shared" si="83"/>
        <v>#REF!</v>
      </c>
      <c r="BX212" s="109"/>
    </row>
    <row r="213" spans="1:1016 1057:1870 2172:3039 3203:3268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>IF(AND(G213="",H213=""),"",IF(G213="",H213,G213+H213))</f>
        <v>7.2000000000000008E-2</v>
      </c>
      <c r="M213" s="25">
        <f>IF(AND(G213="",I213=""),"",IF(G213="",I213,G213+I213))</f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79"/>
        <v>#REF!</v>
      </c>
      <c r="T213" s="76" t="e">
        <f t="shared" si="78"/>
        <v>#REF!</v>
      </c>
      <c r="U213" s="76" t="e">
        <f t="shared" si="72"/>
        <v>#REF!</v>
      </c>
      <c r="V213" s="5" t="e">
        <f>IF(OR($AK213="",ISNUMBER($AK213)=FALSE),"",IF(H213="","",(L213-Q213)/(3*R213)))</f>
        <v>#REF!</v>
      </c>
      <c r="W213" s="5" t="e">
        <f>IF(OR($AK213="",ISNUMBER($AK213)=FALSE),"",IF(I213="","",(Q213-M213)/(3*R213)))</f>
        <v>#REF!</v>
      </c>
      <c r="X213" s="5" t="e">
        <f>IF(OR($AK213="",ISNUMBER($AK213)=FALSE),"",IF(AND(G213=0,I213=0),((H213)-(Q213))/(3*R213),MIN(V213:W213)))</f>
        <v>#REF!</v>
      </c>
      <c r="Y213" s="70" t="e">
        <f>IF(OR($AK213="",ISNUMBER($AK213)=FALSE),"",IF(AND(G213=0,I213=0),NORMSDIST(3*X213),NORMSDIST(3*X213)+NORMSDIST(6*S213-3*X213)-1))</f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8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81"/>
        <v>#REF!</v>
      </c>
      <c r="BV213" s="3" t="e">
        <f t="shared" si="82"/>
        <v>#REF!</v>
      </c>
      <c r="BW213" s="3" t="e">
        <f t="shared" si="83"/>
        <v>#REF!</v>
      </c>
      <c r="BX213" s="109"/>
    </row>
    <row r="214" spans="1:1016 1057:1870 2172:3039 3203:3268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>IF(AND(G214="",H214=""),"",IF(G214="",H214,G214+H214))</f>
        <v/>
      </c>
      <c r="M214" s="25" t="str">
        <f>IF(AND(G214="",I214=""),"",IF(G214="",I214,G214+I214))</f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7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7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>IF($Q214="","",IF(F214="Tolerance",IF(($E214*3*R214+Q214)-G214&lt;H214,"",($E214*3*R214+Q214)-G214),IF(OR(F214="GD&amp;T",F214="MAX"),IF(($E214*3*R214+Q214)&lt;H214,"",($E214*3*R214+Q214)),"")))</f>
        <v>#REF!</v>
      </c>
      <c r="AA214" s="32" t="e">
        <f>IF(Q214="","",IF(F214="Tolerance",IF(-(($E214*3*R214)-Q214)-G214&gt;I214,"",-(($E214*3*R214)-Q214)-G214),IF(F214="MIN",IF(-(($E214*3*R214)-Q214)&gt;I214,"",-(($E214*3*R214)-Q214)),"")))</f>
        <v>#REF!</v>
      </c>
      <c r="AB214" s="32" t="e">
        <f>IF(OR(G214="",Q214=""),"",(L214+M214)/2-Q214)</f>
        <v>#REF!</v>
      </c>
      <c r="AC214" s="32" t="e">
        <f t="shared" si="69"/>
        <v>#REF!</v>
      </c>
      <c r="AD214" s="30"/>
      <c r="AE214" s="21" t="str">
        <f>IF(AD214="","",IF(AD214&gt;=0.966,"Normal","Not Normal"))</f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80"/>
        <v>91</v>
      </c>
      <c r="BS214" s="112">
        <f>OOC!G214</f>
        <v>3.5000000000000003E-2</v>
      </c>
      <c r="BT214" s="112" t="str">
        <f>OOC!H214</f>
        <v/>
      </c>
      <c r="BU214" s="3" t="e">
        <f t="shared" si="81"/>
        <v>#REF!</v>
      </c>
      <c r="BV214" s="3" t="e">
        <f t="shared" si="82"/>
        <v>#REF!</v>
      </c>
      <c r="BW214" s="3" t="e">
        <f t="shared" si="8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S214" s="78"/>
      <c r="FU214" s="78"/>
      <c r="HI214" s="78"/>
      <c r="NC214" s="78"/>
      <c r="NP214" s="78"/>
      <c r="QF214" s="78"/>
      <c r="WW214" s="78"/>
      <c r="XW214" s="78"/>
      <c r="AAG214" s="78"/>
      <c r="ABQ214" s="78"/>
      <c r="ACE214" s="78"/>
      <c r="ADL214" s="78"/>
      <c r="AHO214" s="78"/>
      <c r="AJE214" s="78"/>
      <c r="ALB214" s="78"/>
      <c r="AMB214" s="78"/>
      <c r="ANQ214" s="78"/>
      <c r="AOO214" s="78"/>
      <c r="AOS214" s="78"/>
      <c r="API214" s="78"/>
      <c r="APP214" s="78"/>
      <c r="APQ214" s="78"/>
      <c r="AQS214" s="78"/>
      <c r="ATD214" s="78"/>
      <c r="AZC214" s="78"/>
      <c r="BBE214" s="78"/>
      <c r="BCE214" s="78"/>
      <c r="BDW214" s="78"/>
      <c r="BER214" s="78"/>
      <c r="BQY214" s="78"/>
      <c r="BSX214" s="78"/>
      <c r="CEN214" s="78"/>
      <c r="CFK214" s="78"/>
      <c r="CKX214" s="78"/>
      <c r="CWI214" s="78"/>
      <c r="DLW214" s="78"/>
      <c r="DSE214" s="78"/>
      <c r="DSP214" s="78"/>
      <c r="DTO214" s="78"/>
      <c r="DUR214" s="78"/>
    </row>
    <row r="215" spans="1:1016 1057:1870 2172:3039 3203:3268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S215" s="78"/>
      <c r="FU215" s="78"/>
      <c r="HI215" s="78"/>
      <c r="NC215" s="78"/>
      <c r="NP215" s="78"/>
      <c r="QF215" s="78"/>
      <c r="WW215" s="78"/>
      <c r="XW215" s="78"/>
      <c r="AAG215" s="78"/>
      <c r="ABQ215" s="78"/>
      <c r="ACE215" s="78"/>
      <c r="ADL215" s="78"/>
      <c r="AHO215" s="78"/>
      <c r="AJE215" s="78"/>
      <c r="ALB215" s="78"/>
      <c r="AMB215" s="78"/>
      <c r="ANQ215" s="78"/>
      <c r="AOO215" s="78"/>
      <c r="AOS215" s="78"/>
      <c r="API215" s="78"/>
      <c r="APP215" s="78"/>
      <c r="APQ215" s="78"/>
      <c r="AQS215" s="78"/>
      <c r="ATD215" s="78"/>
      <c r="AZC215" s="78"/>
      <c r="BBE215" s="78"/>
      <c r="BCE215" s="78"/>
      <c r="BDW215" s="78"/>
      <c r="BER215" s="78"/>
      <c r="BQY215" s="78"/>
      <c r="BSX215" s="78"/>
      <c r="CEN215" s="78"/>
      <c r="CFK215" s="78"/>
      <c r="CKX215" s="78"/>
      <c r="CWI215" s="78"/>
      <c r="DLW215" s="78"/>
      <c r="DSE215" s="78"/>
      <c r="DSP215" s="78"/>
      <c r="DTO215" s="78"/>
      <c r="DUR215" s="78"/>
    </row>
    <row r="216" spans="1:1016 1057:1870 2172:3039 3203:3268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S216" s="78"/>
      <c r="FU216" s="78"/>
      <c r="HI216" s="78"/>
      <c r="NC216" s="78"/>
      <c r="NP216" s="78"/>
      <c r="QF216" s="78"/>
      <c r="WW216" s="78"/>
      <c r="XW216" s="78"/>
      <c r="AAG216" s="78"/>
      <c r="ABQ216" s="78"/>
      <c r="ACE216" s="78"/>
      <c r="ADL216" s="78"/>
      <c r="AHO216" s="78"/>
      <c r="AJE216" s="78"/>
      <c r="ALB216" s="78"/>
      <c r="AMB216" s="78"/>
      <c r="ANQ216" s="78"/>
      <c r="AOO216" s="78"/>
      <c r="AOS216" s="78"/>
      <c r="API216" s="78"/>
      <c r="APP216" s="78"/>
      <c r="APQ216" s="78"/>
      <c r="AQS216" s="78"/>
      <c r="ATD216" s="78"/>
      <c r="AZC216" s="78"/>
      <c r="BBE216" s="78"/>
      <c r="BCE216" s="78"/>
      <c r="BDW216" s="78"/>
      <c r="BER216" s="78"/>
      <c r="BQY216" s="78"/>
      <c r="BSX216" s="78"/>
      <c r="CEN216" s="78"/>
      <c r="CFK216" s="78"/>
      <c r="CKX216" s="78"/>
      <c r="CWI216" s="78"/>
      <c r="DLW216" s="78"/>
      <c r="DSE216" s="78"/>
      <c r="DSP216" s="78"/>
      <c r="DTO216" s="78"/>
      <c r="DUR216" s="78"/>
    </row>
    <row r="217" spans="1:1016 1057:1870 2172:3039 3203:3268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S217" s="78"/>
      <c r="FU217" s="78"/>
      <c r="HI217" s="78"/>
      <c r="NC217" s="78"/>
      <c r="NP217" s="78"/>
      <c r="QF217" s="78"/>
      <c r="WW217" s="78"/>
      <c r="XW217" s="78"/>
      <c r="AAG217" s="78"/>
      <c r="ABQ217" s="78"/>
      <c r="ACE217" s="78"/>
      <c r="ADL217" s="78"/>
      <c r="AHO217" s="78"/>
      <c r="AJE217" s="78"/>
      <c r="ALB217" s="78"/>
      <c r="AMB217" s="78"/>
      <c r="ANQ217" s="78"/>
      <c r="AOO217" s="78"/>
      <c r="AOS217" s="78"/>
      <c r="API217" s="78"/>
      <c r="APP217" s="78"/>
      <c r="APQ217" s="78"/>
      <c r="AQS217" s="78"/>
      <c r="ATD217" s="78"/>
      <c r="AZC217" s="78"/>
      <c r="BBE217" s="78"/>
      <c r="BCE217" s="78"/>
      <c r="BDW217" s="78"/>
      <c r="BER217" s="78"/>
      <c r="BQY217" s="78"/>
      <c r="BSX217" s="78"/>
      <c r="CEN217" s="78"/>
      <c r="CFK217" s="78"/>
      <c r="CKX217" s="78"/>
      <c r="CWI217" s="78"/>
      <c r="DLW217" s="78"/>
      <c r="DSE217" s="78"/>
      <c r="DSP217" s="78"/>
      <c r="DTO217" s="78"/>
      <c r="DUR217" s="78"/>
    </row>
    <row r="218" spans="1:1016 1057:1870 2172:3039 3203:3268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S218" s="78"/>
      <c r="FU218" s="78"/>
      <c r="HI218" s="78"/>
      <c r="NC218" s="78"/>
      <c r="NP218" s="78"/>
      <c r="QF218" s="78"/>
      <c r="WW218" s="78"/>
      <c r="XW218" s="78"/>
      <c r="AAG218" s="78"/>
      <c r="ABQ218" s="78"/>
      <c r="ACE218" s="78"/>
      <c r="ADL218" s="78"/>
      <c r="AHO218" s="78"/>
      <c r="AJE218" s="78"/>
      <c r="ALB218" s="78"/>
      <c r="AMB218" s="78"/>
      <c r="ANQ218" s="78"/>
      <c r="AOO218" s="78"/>
      <c r="AOS218" s="78"/>
      <c r="API218" s="78"/>
      <c r="APP218" s="78"/>
      <c r="APQ218" s="78"/>
      <c r="AQS218" s="78"/>
      <c r="ATD218" s="78"/>
      <c r="AZC218" s="78"/>
      <c r="BBE218" s="78"/>
      <c r="BCE218" s="78"/>
      <c r="BDW218" s="78"/>
      <c r="BER218" s="78"/>
      <c r="BQY218" s="78"/>
      <c r="BSX218" s="78"/>
      <c r="CEN218" s="78"/>
      <c r="CFK218" s="78"/>
      <c r="CKX218" s="78"/>
      <c r="CWI218" s="78"/>
      <c r="DLW218" s="78"/>
      <c r="DSE218" s="78"/>
      <c r="DSP218" s="78"/>
      <c r="DTO218" s="78"/>
      <c r="DUR218" s="78"/>
    </row>
    <row r="219" spans="1:1016 1057:1870 2172:3039 3203:3268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>IF(AND(G219="",H219=""),"",IF(G219="",H219,G219+H219))</f>
        <v/>
      </c>
      <c r="M219" s="25" t="str">
        <f>IF(AND(G219="",I219=""),"",IF(G219="",I219,G219+I219))</f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7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7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>IF($Q219="","",IF(F219="Tolerance",IF(($E219*3*R219+Q219)-G219&lt;H219,"",($E219*3*R219+Q219)-G219),IF(OR(F219="GD&amp;T",F219="MAX"),IF(($E219*3*R219+Q219)&lt;H219,"",($E219*3*R219+Q219)),"")))</f>
        <v>#REF!</v>
      </c>
      <c r="AA219" s="32" t="e">
        <f>IF(Q219="","",IF(F219="Tolerance",IF(-(($E219*3*R219)-Q219)-G219&gt;I219,"",-(($E219*3*R219)-Q219)-G219),IF(F219="MIN",IF(-(($E219*3*R219)-Q219)&gt;I219,"",-(($E219*3*R219)-Q219)),"")))</f>
        <v>#REF!</v>
      </c>
      <c r="AB219" s="32" t="e">
        <f>IF(OR(G219="",Q219=""),"",(L219+M219)/2-Q219)</f>
        <v>#REF!</v>
      </c>
      <c r="AC219" s="32" t="e">
        <f t="shared" si="69"/>
        <v>#REF!</v>
      </c>
      <c r="AD219" s="30"/>
      <c r="AE219" s="21" t="str">
        <f>IF(AD219="","",IF(AD219&gt;=0.966,"Normal","Not Normal"))</f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80"/>
        <v>92</v>
      </c>
      <c r="BS219" s="112">
        <f>OOC!G219</f>
        <v>5.0999999999999997E-2</v>
      </c>
      <c r="BT219" s="112" t="str">
        <f>OOC!H219</f>
        <v/>
      </c>
      <c r="BU219" s="3" t="e">
        <f t="shared" si="81"/>
        <v>#REF!</v>
      </c>
      <c r="BV219" s="3" t="e">
        <f t="shared" si="82"/>
        <v>#REF!</v>
      </c>
      <c r="BW219" s="3" t="e">
        <f t="shared" si="8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S219" s="78"/>
      <c r="FU219" s="78"/>
      <c r="HI219" s="78"/>
      <c r="NC219" s="78"/>
      <c r="NP219" s="78"/>
      <c r="QF219" s="78"/>
      <c r="WW219" s="78"/>
      <c r="XW219" s="78"/>
      <c r="AAG219" s="78"/>
      <c r="ABQ219" s="78"/>
      <c r="ACE219" s="78"/>
      <c r="ADL219" s="78"/>
      <c r="AHO219" s="78"/>
      <c r="AJE219" s="78"/>
      <c r="ALB219" s="78"/>
      <c r="AMB219" s="78"/>
      <c r="ANQ219" s="78"/>
      <c r="AOO219" s="78"/>
      <c r="AOS219" s="78"/>
      <c r="API219" s="78"/>
      <c r="APP219" s="78"/>
      <c r="APQ219" s="78"/>
      <c r="AQS219" s="78"/>
      <c r="ATD219" s="78"/>
      <c r="AZC219" s="78"/>
      <c r="BBE219" s="78"/>
      <c r="BCE219" s="78"/>
      <c r="BDW219" s="78"/>
      <c r="BER219" s="78"/>
      <c r="BQY219" s="78"/>
      <c r="BSX219" s="78"/>
      <c r="CEN219" s="78"/>
      <c r="CFK219" s="78"/>
      <c r="CKX219" s="78"/>
      <c r="CWI219" s="78"/>
      <c r="DLW219" s="78"/>
      <c r="DSE219" s="78"/>
      <c r="DSP219" s="78"/>
      <c r="DTO219" s="78"/>
      <c r="DUR219" s="78"/>
    </row>
    <row r="220" spans="1:1016 1057:1870 2172:3039 3203:3268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S220" s="78"/>
      <c r="FU220" s="78"/>
      <c r="HI220" s="78"/>
      <c r="NC220" s="78"/>
      <c r="NP220" s="78"/>
      <c r="QF220" s="78"/>
      <c r="WW220" s="78"/>
      <c r="XW220" s="78"/>
      <c r="AAG220" s="78"/>
      <c r="ABQ220" s="78"/>
      <c r="ACE220" s="78"/>
      <c r="ADL220" s="78"/>
      <c r="AHO220" s="78"/>
      <c r="AJE220" s="78"/>
      <c r="ALB220" s="78"/>
      <c r="AMB220" s="78"/>
      <c r="ANQ220" s="78"/>
      <c r="AOO220" s="78"/>
      <c r="AOS220" s="78"/>
      <c r="API220" s="78"/>
      <c r="APP220" s="78"/>
      <c r="APQ220" s="78"/>
      <c r="AQS220" s="78"/>
      <c r="ATD220" s="78"/>
      <c r="AZC220" s="78"/>
      <c r="BBE220" s="78"/>
      <c r="BCE220" s="78"/>
      <c r="BDW220" s="78"/>
      <c r="BER220" s="78"/>
      <c r="BQY220" s="78"/>
      <c r="BSX220" s="78"/>
      <c r="CEN220" s="78"/>
      <c r="CFK220" s="78"/>
      <c r="CKX220" s="78"/>
      <c r="CWI220" s="78"/>
      <c r="DLW220" s="78"/>
      <c r="DSE220" s="78"/>
      <c r="DSP220" s="78"/>
      <c r="DTO220" s="78"/>
      <c r="DUR220" s="78"/>
    </row>
    <row r="221" spans="1:1016 1057:1870 2172:3039 3203:3268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S221" s="78"/>
      <c r="FU221" s="78"/>
      <c r="HI221" s="78"/>
      <c r="NC221" s="78"/>
      <c r="NP221" s="78"/>
      <c r="QF221" s="78"/>
      <c r="WW221" s="78"/>
      <c r="XW221" s="78"/>
      <c r="AAG221" s="78"/>
      <c r="ABQ221" s="78"/>
      <c r="ACE221" s="78"/>
      <c r="ADL221" s="78"/>
      <c r="AHO221" s="78"/>
      <c r="AJE221" s="78"/>
      <c r="ALB221" s="78"/>
      <c r="AMB221" s="78"/>
      <c r="ANQ221" s="78"/>
      <c r="AOO221" s="78"/>
      <c r="AOS221" s="78"/>
      <c r="API221" s="78"/>
      <c r="APP221" s="78"/>
      <c r="APQ221" s="78"/>
      <c r="AQS221" s="78"/>
      <c r="ATD221" s="78"/>
      <c r="AZC221" s="78"/>
      <c r="BBE221" s="78"/>
      <c r="BCE221" s="78"/>
      <c r="BDW221" s="78"/>
      <c r="BER221" s="78"/>
      <c r="BQY221" s="78"/>
      <c r="BSX221" s="78"/>
      <c r="CEN221" s="78"/>
      <c r="CFK221" s="78"/>
      <c r="CKX221" s="78"/>
      <c r="CWI221" s="78"/>
      <c r="DLW221" s="78"/>
      <c r="DSE221" s="78"/>
      <c r="DSP221" s="78"/>
      <c r="DTO221" s="78"/>
      <c r="DUR221" s="78"/>
    </row>
    <row r="222" spans="1:1016 1057:1870 2172:3039 3203:3268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S222" s="78"/>
      <c r="FU222" s="78"/>
      <c r="HI222" s="78"/>
      <c r="NC222" s="78"/>
      <c r="NP222" s="78"/>
      <c r="QF222" s="78"/>
      <c r="WW222" s="78"/>
      <c r="XW222" s="78"/>
      <c r="AAG222" s="78"/>
      <c r="ABQ222" s="78"/>
      <c r="ACE222" s="78"/>
      <c r="ADL222" s="78"/>
      <c r="AHO222" s="78"/>
      <c r="AJE222" s="78"/>
      <c r="ALB222" s="78"/>
      <c r="AMB222" s="78"/>
      <c r="ANQ222" s="78"/>
      <c r="AOO222" s="78"/>
      <c r="AOS222" s="78"/>
      <c r="API222" s="78"/>
      <c r="APP222" s="78"/>
      <c r="APQ222" s="78"/>
      <c r="AQS222" s="78"/>
      <c r="ATD222" s="78"/>
      <c r="AZC222" s="78"/>
      <c r="BBE222" s="78"/>
      <c r="BCE222" s="78"/>
      <c r="BDW222" s="78"/>
      <c r="BER222" s="78"/>
      <c r="BQY222" s="78"/>
      <c r="BSX222" s="78"/>
      <c r="CEN222" s="78"/>
      <c r="CFK222" s="78"/>
      <c r="CKX222" s="78"/>
      <c r="CWI222" s="78"/>
      <c r="DLW222" s="78"/>
      <c r="DSE222" s="78"/>
      <c r="DSP222" s="78"/>
      <c r="DTO222" s="78"/>
      <c r="DUR222" s="78"/>
    </row>
    <row r="223" spans="1:1016 1057:1870 2172:3039 3203:3268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S223" s="78"/>
      <c r="FU223" s="78"/>
      <c r="HI223" s="78"/>
      <c r="NC223" s="78"/>
      <c r="NP223" s="78"/>
      <c r="QF223" s="78"/>
      <c r="WW223" s="78"/>
      <c r="XW223" s="78"/>
      <c r="AAG223" s="78"/>
      <c r="ABQ223" s="78"/>
      <c r="ACE223" s="78"/>
      <c r="ADL223" s="78"/>
      <c r="AHO223" s="78"/>
      <c r="AJE223" s="78"/>
      <c r="ALB223" s="78"/>
      <c r="AMB223" s="78"/>
      <c r="ANQ223" s="78"/>
      <c r="AOO223" s="78"/>
      <c r="AOS223" s="78"/>
      <c r="API223" s="78"/>
      <c r="APP223" s="78"/>
      <c r="APQ223" s="78"/>
      <c r="AQS223" s="78"/>
      <c r="ATD223" s="78"/>
      <c r="AZC223" s="78"/>
      <c r="BBE223" s="78"/>
      <c r="BCE223" s="78"/>
      <c r="BDW223" s="78"/>
      <c r="BER223" s="78"/>
      <c r="BQY223" s="78"/>
      <c r="BSX223" s="78"/>
      <c r="CEN223" s="78"/>
      <c r="CFK223" s="78"/>
      <c r="CKX223" s="78"/>
      <c r="CWI223" s="78"/>
      <c r="DLW223" s="78"/>
      <c r="DSE223" s="78"/>
      <c r="DSP223" s="78"/>
      <c r="DTO223" s="78"/>
      <c r="DUR223" s="78"/>
    </row>
    <row r="224" spans="1:1016 1057:1870 2172:3039 3203:3268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S224" s="78"/>
      <c r="FU224" s="78"/>
      <c r="HI224" s="78"/>
      <c r="NC224" s="78"/>
      <c r="NP224" s="78"/>
      <c r="QF224" s="78"/>
      <c r="WW224" s="78"/>
      <c r="XW224" s="78"/>
      <c r="AAG224" s="78"/>
      <c r="ABQ224" s="78"/>
      <c r="ACE224" s="78"/>
      <c r="ADL224" s="78"/>
      <c r="AHO224" s="78"/>
      <c r="AJE224" s="78"/>
      <c r="ALB224" s="78"/>
      <c r="AMB224" s="78"/>
      <c r="ANQ224" s="78"/>
      <c r="AOO224" s="78"/>
      <c r="AOS224" s="78"/>
      <c r="API224" s="78"/>
      <c r="APP224" s="78"/>
      <c r="APQ224" s="78"/>
      <c r="AQS224" s="78"/>
      <c r="ATD224" s="78"/>
      <c r="AZC224" s="78"/>
      <c r="BBE224" s="78"/>
      <c r="BCE224" s="78"/>
      <c r="BDW224" s="78"/>
      <c r="BER224" s="78"/>
      <c r="BQY224" s="78"/>
      <c r="BSX224" s="78"/>
      <c r="CEN224" s="78"/>
      <c r="CFK224" s="78"/>
      <c r="CKX224" s="78"/>
      <c r="CWI224" s="78"/>
      <c r="DLW224" s="78"/>
      <c r="DSE224" s="78"/>
      <c r="DSP224" s="78"/>
      <c r="DTO224" s="78"/>
      <c r="DUR224" s="78"/>
    </row>
    <row r="225" spans="1:1016 1057:1870 2172:3039 3203:3268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S225" s="78"/>
      <c r="FU225" s="78"/>
      <c r="HI225" s="78"/>
      <c r="NC225" s="78"/>
      <c r="NP225" s="78"/>
      <c r="QF225" s="78"/>
      <c r="WW225" s="78"/>
      <c r="XW225" s="78"/>
      <c r="AAG225" s="78"/>
      <c r="ABQ225" s="78"/>
      <c r="ACE225" s="78"/>
      <c r="ADL225" s="78"/>
      <c r="AHO225" s="78"/>
      <c r="AJE225" s="78"/>
      <c r="ALB225" s="78"/>
      <c r="AMB225" s="78"/>
      <c r="ANQ225" s="78"/>
      <c r="AOO225" s="78"/>
      <c r="AOS225" s="78"/>
      <c r="API225" s="78"/>
      <c r="APP225" s="78"/>
      <c r="APQ225" s="78"/>
      <c r="AQS225" s="78"/>
      <c r="ATD225" s="78"/>
      <c r="AZC225" s="78"/>
      <c r="BBE225" s="78"/>
      <c r="BCE225" s="78"/>
      <c r="BDW225" s="78"/>
      <c r="BER225" s="78"/>
      <c r="BQY225" s="78"/>
      <c r="BSX225" s="78"/>
      <c r="CEN225" s="78"/>
      <c r="CFK225" s="78"/>
      <c r="CKX225" s="78"/>
      <c r="CWI225" s="78"/>
      <c r="DLW225" s="78"/>
      <c r="DSE225" s="78"/>
      <c r="DSP225" s="78"/>
      <c r="DTO225" s="78"/>
      <c r="DUR225" s="78"/>
    </row>
    <row r="226" spans="1:1016 1057:1870 2172:3039 3203:3268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S226" s="78"/>
      <c r="FU226" s="78"/>
      <c r="HI226" s="78"/>
      <c r="NC226" s="78"/>
      <c r="NP226" s="78"/>
      <c r="QF226" s="78"/>
      <c r="WW226" s="78"/>
      <c r="XW226" s="78"/>
      <c r="AAG226" s="78"/>
      <c r="ABQ226" s="78"/>
      <c r="ACE226" s="78"/>
      <c r="ADL226" s="78"/>
      <c r="AHO226" s="78"/>
      <c r="AJE226" s="78"/>
      <c r="ALB226" s="78"/>
      <c r="AMB226" s="78"/>
      <c r="ANQ226" s="78"/>
      <c r="AOO226" s="78"/>
      <c r="AOS226" s="78"/>
      <c r="API226" s="78"/>
      <c r="APP226" s="78"/>
      <c r="APQ226" s="78"/>
      <c r="AQS226" s="78"/>
      <c r="ATD226" s="78"/>
      <c r="AZC226" s="78"/>
      <c r="BBE226" s="78"/>
      <c r="BCE226" s="78"/>
      <c r="BDW226" s="78"/>
      <c r="BER226" s="78"/>
      <c r="BQY226" s="78"/>
      <c r="BSX226" s="78"/>
      <c r="CEN226" s="78"/>
      <c r="CFK226" s="78"/>
      <c r="CKX226" s="78"/>
      <c r="CWI226" s="78"/>
      <c r="DLW226" s="78"/>
      <c r="DSE226" s="78"/>
      <c r="DSP226" s="78"/>
      <c r="DTO226" s="78"/>
      <c r="DUR226" s="78"/>
    </row>
    <row r="227" spans="1:1016 1057:1870 2172:3039 3203:3268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S227" s="78"/>
      <c r="FU227" s="78"/>
      <c r="HI227" s="78"/>
      <c r="NC227" s="78"/>
      <c r="NP227" s="78"/>
      <c r="QF227" s="78"/>
      <c r="WW227" s="78"/>
      <c r="XW227" s="78"/>
      <c r="AAG227" s="78"/>
      <c r="ABQ227" s="78"/>
      <c r="ACE227" s="78"/>
      <c r="ADL227" s="78"/>
      <c r="AHO227" s="78"/>
      <c r="AJE227" s="78"/>
      <c r="ALB227" s="78"/>
      <c r="AMB227" s="78"/>
      <c r="ANQ227" s="78"/>
      <c r="AOO227" s="78"/>
      <c r="AOS227" s="78"/>
      <c r="API227" s="78"/>
      <c r="APP227" s="78"/>
      <c r="APQ227" s="78"/>
      <c r="AQS227" s="78"/>
      <c r="ATD227" s="78"/>
      <c r="AZC227" s="78"/>
      <c r="BBE227" s="78"/>
      <c r="BCE227" s="78"/>
      <c r="BDW227" s="78"/>
      <c r="BER227" s="78"/>
      <c r="BQY227" s="78"/>
      <c r="BSX227" s="78"/>
      <c r="CEN227" s="78"/>
      <c r="CFK227" s="78"/>
      <c r="CKX227" s="78"/>
      <c r="CWI227" s="78"/>
      <c r="DLW227" s="78"/>
      <c r="DSE227" s="78"/>
      <c r="DSP227" s="78"/>
      <c r="DTO227" s="78"/>
      <c r="DUR227" s="78"/>
    </row>
    <row r="228" spans="1:1016 1057:1870 2172:3039 3203:3268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S228" s="78"/>
      <c r="FU228" s="78"/>
      <c r="HI228" s="78"/>
      <c r="NC228" s="78"/>
      <c r="NP228" s="78"/>
      <c r="QF228" s="78"/>
      <c r="WW228" s="78"/>
      <c r="XW228" s="78"/>
      <c r="AAG228" s="78"/>
      <c r="ABQ228" s="78"/>
      <c r="ACE228" s="78"/>
      <c r="ADL228" s="78"/>
      <c r="AHO228" s="78"/>
      <c r="AJE228" s="78"/>
      <c r="ALB228" s="78"/>
      <c r="AMB228" s="78"/>
      <c r="ANQ228" s="78"/>
      <c r="AOO228" s="78"/>
      <c r="AOS228" s="78"/>
      <c r="API228" s="78"/>
      <c r="APP228" s="78"/>
      <c r="APQ228" s="78"/>
      <c r="AQS228" s="78"/>
      <c r="ATD228" s="78"/>
      <c r="AZC228" s="78"/>
      <c r="BBE228" s="78"/>
      <c r="BCE228" s="78"/>
      <c r="BDW228" s="78"/>
      <c r="BER228" s="78"/>
      <c r="BQY228" s="78"/>
      <c r="BSX228" s="78"/>
      <c r="CEN228" s="78"/>
      <c r="CFK228" s="78"/>
      <c r="CKX228" s="78"/>
      <c r="CWI228" s="78"/>
      <c r="DLW228" s="78"/>
      <c r="DSE228" s="78"/>
      <c r="DSP228" s="78"/>
      <c r="DTO228" s="78"/>
      <c r="DUR228" s="78"/>
    </row>
    <row r="229" spans="1:1016 1057:1870 2172:3039 3203:3268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S229" s="78"/>
      <c r="FU229" s="78"/>
      <c r="HI229" s="78"/>
      <c r="NC229" s="78"/>
      <c r="NP229" s="78"/>
      <c r="QF229" s="78"/>
      <c r="WW229" s="78"/>
      <c r="XW229" s="78"/>
      <c r="AAG229" s="78"/>
      <c r="ABQ229" s="78"/>
      <c r="ACE229" s="78"/>
      <c r="ADL229" s="78"/>
      <c r="AHO229" s="78"/>
      <c r="AJE229" s="78"/>
      <c r="ALB229" s="78"/>
      <c r="AMB229" s="78"/>
      <c r="ANQ229" s="78"/>
      <c r="AOO229" s="78"/>
      <c r="AOS229" s="78"/>
      <c r="API229" s="78"/>
      <c r="APP229" s="78"/>
      <c r="APQ229" s="78"/>
      <c r="AQS229" s="78"/>
      <c r="ATD229" s="78"/>
      <c r="AZC229" s="78"/>
      <c r="BBE229" s="78"/>
      <c r="BCE229" s="78"/>
      <c r="BDW229" s="78"/>
      <c r="BER229" s="78"/>
      <c r="BQY229" s="78"/>
      <c r="BSX229" s="78"/>
      <c r="CEN229" s="78"/>
      <c r="CFK229" s="78"/>
      <c r="CKX229" s="78"/>
      <c r="CWI229" s="78"/>
      <c r="DLW229" s="78"/>
      <c r="DSE229" s="78"/>
      <c r="DSP229" s="78"/>
      <c r="DTO229" s="78"/>
      <c r="DUR229" s="78"/>
    </row>
    <row r="230" spans="1:1016 1057:1870 2172:3039 3203:3268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S230" s="78"/>
      <c r="FU230" s="78"/>
      <c r="HI230" s="78"/>
      <c r="NC230" s="78"/>
      <c r="NP230" s="78"/>
      <c r="QF230" s="78"/>
      <c r="WW230" s="78"/>
      <c r="XW230" s="78"/>
      <c r="AAG230" s="78"/>
      <c r="ABQ230" s="78"/>
      <c r="ACE230" s="78"/>
      <c r="ADL230" s="78"/>
      <c r="AHO230" s="78"/>
      <c r="AJE230" s="78"/>
      <c r="ALB230" s="78"/>
      <c r="AMB230" s="78"/>
      <c r="ANQ230" s="78"/>
      <c r="AOO230" s="78"/>
      <c r="AOS230" s="78"/>
      <c r="API230" s="78"/>
      <c r="APP230" s="78"/>
      <c r="APQ230" s="78"/>
      <c r="AQS230" s="78"/>
      <c r="ATD230" s="78"/>
      <c r="AZC230" s="78"/>
      <c r="BBE230" s="78"/>
      <c r="BCE230" s="78"/>
      <c r="BDW230" s="78"/>
      <c r="BER230" s="78"/>
      <c r="BQY230" s="78"/>
      <c r="BSX230" s="78"/>
      <c r="CEN230" s="78"/>
      <c r="CFK230" s="78"/>
      <c r="CKX230" s="78"/>
      <c r="CWI230" s="78"/>
      <c r="DLW230" s="78"/>
      <c r="DSE230" s="78"/>
      <c r="DSP230" s="78"/>
      <c r="DTO230" s="78"/>
      <c r="DUR230" s="78"/>
    </row>
    <row r="231" spans="1:1016 1057:1870 2172:3039 3203:3268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S231" s="78"/>
      <c r="FU231" s="78"/>
      <c r="HI231" s="78"/>
      <c r="NC231" s="78"/>
      <c r="NP231" s="78"/>
      <c r="QF231" s="78"/>
      <c r="WW231" s="78"/>
      <c r="XW231" s="78"/>
      <c r="AAG231" s="78"/>
      <c r="ABQ231" s="78"/>
      <c r="ACE231" s="78"/>
      <c r="ADL231" s="78"/>
      <c r="AHO231" s="78"/>
      <c r="AJE231" s="78"/>
      <c r="ALB231" s="78"/>
      <c r="AMB231" s="78"/>
      <c r="ANQ231" s="78"/>
      <c r="AOO231" s="78"/>
      <c r="AOS231" s="78"/>
      <c r="API231" s="78"/>
      <c r="APP231" s="78"/>
      <c r="APQ231" s="78"/>
      <c r="AQS231" s="78"/>
      <c r="ATD231" s="78"/>
      <c r="AZC231" s="78"/>
      <c r="BBE231" s="78"/>
      <c r="BCE231" s="78"/>
      <c r="BDW231" s="78"/>
      <c r="BER231" s="78"/>
      <c r="BQY231" s="78"/>
      <c r="BSX231" s="78"/>
      <c r="CEN231" s="78"/>
      <c r="CFK231" s="78"/>
      <c r="CKX231" s="78"/>
      <c r="CWI231" s="78"/>
      <c r="DLW231" s="78"/>
      <c r="DSE231" s="78"/>
      <c r="DSP231" s="78"/>
      <c r="DTO231" s="78"/>
      <c r="DUR231" s="78"/>
    </row>
    <row r="232" spans="1:1016 1057:1870 2172:3039 3203:3268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>IF(AND(G232="",H232=""),"",IF(G232="",H232,G232+H232))</f>
        <v>#VALUE!</v>
      </c>
      <c r="M232" s="25" t="e">
        <f>IF(AND(G232="",I232=""),"",IF(G232="",I232,G232+I232))</f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7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7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>IF($Q232="","",IF(F232="Tolerance",IF(($E232*3*R232+Q232)-G232&lt;H232,"",($E232*3*R232+Q232)-G232),IF(OR(F232="GD&amp;T",F232="MAX"),IF(($E232*3*R232+Q232)&lt;H232,"",($E232*3*R232+Q232)),"")))</f>
        <v>#REF!</v>
      </c>
      <c r="AA232" s="32" t="e">
        <f>IF(Q232="","",IF(F232="Tolerance",IF(-(($E232*3*R232)-Q232)-G232&gt;I232,"",-(($E232*3*R232)-Q232)-G232),IF(F232="MIN",IF(-(($E232*3*R232)-Q232)&gt;I232,"",-(($E232*3*R232)-Q232)),"")))</f>
        <v>#REF!</v>
      </c>
      <c r="AB232" s="32" t="e">
        <f>IF(OR(G232="",Q232=""),"",(L232+M232)/2-Q232)</f>
        <v>#REF!</v>
      </c>
      <c r="AC232" s="32" t="e">
        <f t="shared" si="69"/>
        <v>#REF!</v>
      </c>
      <c r="AD232" s="30"/>
      <c r="AE232" s="21" t="str">
        <f>IF(AD232="","",IF(AD232&gt;=0.966,"Normal","Not Normal"))</f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80"/>
        <v>94-1</v>
      </c>
      <c r="BS232" s="112">
        <f>OOC!G232</f>
        <v>0.82000000000000006</v>
      </c>
      <c r="BT232" s="112">
        <f>OOC!H232</f>
        <v>0.78</v>
      </c>
      <c r="BU232" s="3" t="e">
        <f t="shared" si="81"/>
        <v>#REF!</v>
      </c>
      <c r="BV232" s="3" t="e">
        <f t="shared" si="82"/>
        <v>#REF!</v>
      </c>
      <c r="BW232" s="3" t="e">
        <f t="shared" si="8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S232" s="78"/>
      <c r="FU232" s="78"/>
      <c r="HI232" s="78"/>
      <c r="NC232" s="78"/>
      <c r="NP232" s="78"/>
      <c r="QF232" s="78"/>
      <c r="WW232" s="78"/>
      <c r="XW232" s="78"/>
      <c r="AAG232" s="78"/>
      <c r="ABQ232" s="78"/>
      <c r="ACE232" s="78"/>
      <c r="ADL232" s="78"/>
      <c r="AHO232" s="78"/>
      <c r="AJE232" s="78"/>
      <c r="ALB232" s="78"/>
      <c r="AMB232" s="78"/>
      <c r="ANQ232" s="78"/>
      <c r="AOO232" s="78"/>
      <c r="AOS232" s="78"/>
      <c r="API232" s="78"/>
      <c r="APP232" s="78"/>
      <c r="APQ232" s="78"/>
      <c r="AQS232" s="78"/>
      <c r="ATD232" s="78"/>
      <c r="AZC232" s="78"/>
      <c r="BBE232" s="78"/>
      <c r="BCE232" s="78"/>
      <c r="BDW232" s="78"/>
      <c r="BER232" s="78"/>
      <c r="BQY232" s="78"/>
      <c r="BSX232" s="78"/>
      <c r="CEN232" s="78"/>
      <c r="CFK232" s="78"/>
      <c r="CKX232" s="78"/>
      <c r="CWI232" s="78"/>
      <c r="DLW232" s="78"/>
      <c r="DSE232" s="78"/>
      <c r="DSP232" s="78"/>
      <c r="DTO232" s="78"/>
      <c r="DUR232" s="78"/>
    </row>
    <row r="233" spans="1:1016 1057:1870 2172:3039 3203:3268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>IF(AND(G233="",H233=""),"",IF(G233="",H233,G233+H233))</f>
        <v>#VALUE!</v>
      </c>
      <c r="M233" s="25" t="e">
        <f>IF(AND(G233="",I233=""),"",IF(G233="",I233,G233+I233))</f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7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7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>IF($Q233="","",IF(F233="Tolerance",IF(($E233*3*R233+Q233)-G233&lt;H233,"",($E233*3*R233+Q233)-G233),IF(OR(F233="GD&amp;T",F233="MAX"),IF(($E233*3*R233+Q233)&lt;H233,"",($E233*3*R233+Q233)),"")))</f>
        <v>#REF!</v>
      </c>
      <c r="AA233" s="32" t="e">
        <f>IF(Q233="","",IF(F233="Tolerance",IF(-(($E233*3*R233)-Q233)-G233&gt;I233,"",-(($E233*3*R233)-Q233)-G233),IF(F233="MIN",IF(-(($E233*3*R233)-Q233)&gt;I233,"",-(($E233*3*R233)-Q233)),"")))</f>
        <v>#REF!</v>
      </c>
      <c r="AB233" s="32" t="e">
        <f>IF(OR(G233="",Q233=""),"",(L233+M233)/2-Q233)</f>
        <v>#REF!</v>
      </c>
      <c r="AC233" s="32" t="e">
        <f t="shared" si="69"/>
        <v>#REF!</v>
      </c>
      <c r="AD233" s="30"/>
      <c r="AE233" s="21" t="str">
        <f>IF(AD233="","",IF(AD233&gt;=0.966,"Normal","Not Normal"))</f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80"/>
        <v>94-2</v>
      </c>
      <c r="BS233" s="112">
        <f>OOC!G233</f>
        <v>0.82000000000000006</v>
      </c>
      <c r="BT233" s="112">
        <f>OOC!H233</f>
        <v>0.78</v>
      </c>
      <c r="BU233" s="3" t="e">
        <f t="shared" si="81"/>
        <v>#REF!</v>
      </c>
      <c r="BV233" s="3" t="e">
        <f t="shared" si="82"/>
        <v>#REF!</v>
      </c>
      <c r="BW233" s="3" t="e">
        <f t="shared" si="8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S233" s="78"/>
      <c r="FU233" s="78"/>
      <c r="HI233" s="78"/>
      <c r="NC233" s="78"/>
      <c r="NP233" s="78"/>
      <c r="QF233" s="78"/>
      <c r="WW233" s="78"/>
      <c r="XW233" s="78"/>
      <c r="AAG233" s="78"/>
      <c r="ABQ233" s="78"/>
      <c r="ACE233" s="78"/>
      <c r="ADL233" s="78"/>
      <c r="AHO233" s="78"/>
      <c r="AJE233" s="78"/>
      <c r="ALB233" s="78"/>
      <c r="AMB233" s="78"/>
      <c r="ANQ233" s="78"/>
      <c r="AOO233" s="78"/>
      <c r="AOS233" s="78"/>
      <c r="API233" s="78"/>
      <c r="APP233" s="78"/>
      <c r="APQ233" s="78"/>
      <c r="AQS233" s="78"/>
      <c r="ATD233" s="78"/>
      <c r="AZC233" s="78"/>
      <c r="BBE233" s="78"/>
      <c r="BCE233" s="78"/>
      <c r="BDW233" s="78"/>
      <c r="BER233" s="78"/>
      <c r="BQY233" s="78"/>
      <c r="BSX233" s="78"/>
      <c r="CEN233" s="78"/>
      <c r="CFK233" s="78"/>
      <c r="CKX233" s="78"/>
      <c r="CWI233" s="78"/>
      <c r="DLW233" s="78"/>
      <c r="DSE233" s="78"/>
      <c r="DSP233" s="78"/>
      <c r="DTO233" s="78"/>
      <c r="DUR233" s="78"/>
    </row>
    <row r="234" spans="1:1016 1057:1870 2172:3039 3203:3268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>IF(AND(G234="",H234=""),"",IF(G234="",H234,G234+H234))</f>
        <v>#VALUE!</v>
      </c>
      <c r="M234" s="25" t="e">
        <f>IF(AND(G234="",I234=""),"",IF(G234="",I234,G234+I234))</f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7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7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>IF($Q234="","",IF(F234="Tolerance",IF(($E234*3*R234+Q234)-G234&lt;H234,"",($E234*3*R234+Q234)-G234),IF(OR(F234="GD&amp;T",F234="MAX"),IF(($E234*3*R234+Q234)&lt;H234,"",($E234*3*R234+Q234)),"")))</f>
        <v>#REF!</v>
      </c>
      <c r="AA234" s="32" t="e">
        <f>IF(Q234="","",IF(F234="Tolerance",IF(-(($E234*3*R234)-Q234)-G234&gt;I234,"",-(($E234*3*R234)-Q234)-G234),IF(F234="MIN",IF(-(($E234*3*R234)-Q234)&gt;I234,"",-(($E234*3*R234)-Q234)),"")))</f>
        <v>#REF!</v>
      </c>
      <c r="AB234" s="32" t="e">
        <f>IF(OR(G234="",Q234=""),"",(L234+M234)/2-Q234)</f>
        <v>#REF!</v>
      </c>
      <c r="AC234" s="32" t="e">
        <f t="shared" si="69"/>
        <v>#REF!</v>
      </c>
      <c r="AD234" s="30"/>
      <c r="AE234" s="21" t="str">
        <f>IF(AD234="","",IF(AD234&gt;=0.966,"Normal","Not Normal"))</f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80"/>
        <v>95</v>
      </c>
      <c r="BS234" s="112">
        <f>OOC!G234</f>
        <v>11.827</v>
      </c>
      <c r="BT234" s="112">
        <f>OOC!H234</f>
        <v>11.787000000000001</v>
      </c>
      <c r="BU234" s="3" t="e">
        <f t="shared" si="81"/>
        <v>#REF!</v>
      </c>
      <c r="BV234" s="3" t="e">
        <f t="shared" si="82"/>
        <v>#REF!</v>
      </c>
      <c r="BW234" s="3" t="e">
        <f t="shared" si="8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S234" s="78"/>
      <c r="FU234" s="78"/>
      <c r="HI234" s="78"/>
      <c r="NC234" s="78"/>
      <c r="NP234" s="78"/>
      <c r="QF234" s="78"/>
      <c r="WW234" s="78"/>
      <c r="XW234" s="78"/>
      <c r="AAG234" s="78"/>
      <c r="ABQ234" s="78"/>
      <c r="ACE234" s="78"/>
      <c r="ADL234" s="78"/>
      <c r="AHO234" s="78"/>
      <c r="AJE234" s="78"/>
      <c r="ALB234" s="78"/>
      <c r="AMB234" s="78"/>
      <c r="ANQ234" s="78"/>
      <c r="AOO234" s="78"/>
      <c r="AOS234" s="78"/>
      <c r="API234" s="78"/>
      <c r="APP234" s="78"/>
      <c r="APQ234" s="78"/>
      <c r="AQS234" s="78"/>
      <c r="ATD234" s="78"/>
      <c r="AZC234" s="78"/>
      <c r="BBE234" s="78"/>
      <c r="BCE234" s="78"/>
      <c r="BDW234" s="78"/>
      <c r="BER234" s="78"/>
      <c r="BQY234" s="78"/>
      <c r="BSX234" s="78"/>
      <c r="CEN234" s="78"/>
      <c r="CFK234" s="78"/>
      <c r="CKX234" s="78"/>
      <c r="CWI234" s="78"/>
      <c r="DLW234" s="78"/>
      <c r="DSE234" s="78"/>
      <c r="DSP234" s="78"/>
      <c r="DTO234" s="78"/>
      <c r="DUR234" s="78"/>
    </row>
    <row r="235" spans="1:1016 1057:1870 2172:3039 3203:3268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>IF(AND(G235="",H235=""),"",IF(G235="",H235,G235+H235))</f>
        <v/>
      </c>
      <c r="M235" s="25" t="str">
        <f>IF(AND(G235="",I235=""),"",IF(G235="",I235,G235+I235))</f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7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7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>IF($Q235="","",IF(F235="Tolerance",IF(($E235*3*R235+Q235)-G235&lt;H235,"",($E235*3*R235+Q235)-G235),IF(OR(F235="GD&amp;T",F235="MAX"),IF(($E235*3*R235+Q235)&lt;H235,"",($E235*3*R235+Q235)),"")))</f>
        <v>#REF!</v>
      </c>
      <c r="AA235" s="32" t="e">
        <f>IF(Q235="","",IF(F235="Tolerance",IF(-(($E235*3*R235)-Q235)-G235&gt;I235,"",-(($E235*3*R235)-Q235)-G235),IF(F235="MIN",IF(-(($E235*3*R235)-Q235)&gt;I235,"",-(($E235*3*R235)-Q235)),"")))</f>
        <v>#REF!</v>
      </c>
      <c r="AB235" s="32" t="e">
        <f>IF(OR(G235="",Q235=""),"",(L235+M235)/2-Q235)</f>
        <v>#REF!</v>
      </c>
      <c r="AC235" s="32" t="e">
        <f t="shared" si="69"/>
        <v>#REF!</v>
      </c>
      <c r="AD235" s="30"/>
      <c r="AE235" s="21" t="str">
        <f>IF(AD235="","",IF(AD235&gt;=0.966,"Normal","Not Normal"))</f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80"/>
        <v>96</v>
      </c>
      <c r="BS235" s="112">
        <f>OOC!G235</f>
        <v>0.03</v>
      </c>
      <c r="BT235" s="112" t="str">
        <f>OOC!H235</f>
        <v/>
      </c>
      <c r="BU235" s="3" t="e">
        <f t="shared" si="81"/>
        <v>#REF!</v>
      </c>
      <c r="BV235" s="3" t="e">
        <f t="shared" si="82"/>
        <v>#REF!</v>
      </c>
      <c r="BW235" s="3" t="e">
        <f t="shared" si="8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S235" s="78"/>
      <c r="FU235" s="78"/>
      <c r="HI235" s="78"/>
      <c r="NC235" s="78"/>
      <c r="NP235" s="78"/>
      <c r="QF235" s="78"/>
      <c r="WW235" s="78"/>
      <c r="XW235" s="78"/>
      <c r="AAG235" s="78"/>
      <c r="ABQ235" s="78"/>
      <c r="ACE235" s="78"/>
      <c r="ADL235" s="78"/>
      <c r="AHO235" s="78"/>
      <c r="AJE235" s="78"/>
      <c r="ALB235" s="78"/>
      <c r="AMB235" s="78"/>
      <c r="ANQ235" s="78"/>
      <c r="AOO235" s="78"/>
      <c r="AOS235" s="78"/>
      <c r="API235" s="78"/>
      <c r="APP235" s="78"/>
      <c r="APQ235" s="78"/>
      <c r="AQS235" s="78"/>
      <c r="ATD235" s="78"/>
      <c r="AZC235" s="78"/>
      <c r="BBE235" s="78"/>
      <c r="BCE235" s="78"/>
      <c r="BDW235" s="78"/>
      <c r="BER235" s="78"/>
      <c r="BQY235" s="78"/>
      <c r="BSX235" s="78"/>
      <c r="CEN235" s="78"/>
      <c r="CFK235" s="78"/>
      <c r="CKX235" s="78"/>
      <c r="CWI235" s="78"/>
      <c r="DLW235" s="78"/>
      <c r="DSE235" s="78"/>
      <c r="DSP235" s="78"/>
      <c r="DTO235" s="78"/>
      <c r="DUR235" s="78"/>
    </row>
    <row r="236" spans="1:1016 1057:1870 2172:3039 3203:3268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ref="L236:L242" si="88">IF(AND(G236="",H236=""),"",IF(G236="",H236,G236+H236))</f>
        <v/>
      </c>
      <c r="M236" s="25" t="str">
        <f t="shared" ref="M236:M242" si="89">IF(AND(G236="",I236=""),"",IF(G236="",I236,G236+I236))</f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7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72"/>
        <v>#REF!</v>
      </c>
      <c r="V236" s="5" t="e">
        <f t="shared" ref="V236:V242" si="90">IF(OR($AK236="",ISNUMBER($AK236)=FALSE),"",IF(H236="","",(L236-Q236)/(3*R236)))</f>
        <v>#REF!</v>
      </c>
      <c r="W236" s="5" t="e">
        <f t="shared" ref="W236:W242" si="91">IF(OR($AK236="",ISNUMBER($AK236)=FALSE),"",IF(I236="","",(Q236-M236)/(3*R236)))</f>
        <v>#REF!</v>
      </c>
      <c r="X236" s="5" t="e">
        <f t="shared" ref="X236:X242" si="92">IF(OR($AK236="",ISNUMBER($AK236)=FALSE),"",IF(AND(G236=0,I236=0),((H236)-(Q236))/(3*R236),MIN(V236:W236)))</f>
        <v>#REF!</v>
      </c>
      <c r="Y236" s="70" t="e">
        <f t="shared" ref="Y236:Y242" si="93">IF(OR($AK236="",ISNUMBER($AK236)=FALSE),"",IF(AND(G236=0,I236=0),NORMSDIST(3*X236),NORMSDIST(3*X236)+NORMSDIST(6*S236-3*X236)-1))</f>
        <v>#REF!</v>
      </c>
      <c r="Z236" s="32" t="e">
        <f t="shared" ref="Z236:Z242" si="94">IF($Q236="","",IF(F236="Tolerance",IF(($E236*3*R236+Q236)-G236&lt;H236,"",($E236*3*R236+Q236)-G236),IF(OR(F236="GD&amp;T",F236="MAX"),IF(($E236*3*R236+Q236)&lt;H236,"",($E236*3*R236+Q236)),"")))</f>
        <v>#REF!</v>
      </c>
      <c r="AA236" s="32" t="e">
        <f t="shared" ref="AA236:AA242" si="95">IF(Q236="","",IF(F236="Tolerance",IF(-(($E236*3*R236)-Q236)-G236&gt;I236,"",-(($E236*3*R236)-Q236)-G236),IF(F236="MIN",IF(-(($E236*3*R236)-Q236)&gt;I236,"",-(($E236*3*R236)-Q236)),"")))</f>
        <v>#REF!</v>
      </c>
      <c r="AB236" s="32" t="e">
        <f t="shared" ref="AB236:AB242" si="96">IF(OR(G236="",Q236=""),"",(L236+M236)/2-Q236)</f>
        <v>#REF!</v>
      </c>
      <c r="AC236" s="32" t="e">
        <f t="shared" si="69"/>
        <v>#REF!</v>
      </c>
      <c r="AD236" s="30"/>
      <c r="AE236" s="21" t="str">
        <f t="shared" ref="AE236:AE242" si="97">IF(AD236="","",IF(AD236&gt;=0.966,"Normal","Not Normal"))</f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80"/>
        <v>97</v>
      </c>
      <c r="BS236" s="112">
        <f>OOC!G236</f>
        <v>0.03</v>
      </c>
      <c r="BT236" s="112" t="str">
        <f>OOC!H236</f>
        <v/>
      </c>
      <c r="BU236" s="3" t="e">
        <f t="shared" si="81"/>
        <v>#REF!</v>
      </c>
      <c r="BV236" s="3" t="e">
        <f t="shared" si="82"/>
        <v>#REF!</v>
      </c>
      <c r="BW236" s="3" t="e">
        <f t="shared" si="8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S236" s="78"/>
      <c r="FU236" s="78"/>
      <c r="HI236" s="78"/>
      <c r="NC236" s="78"/>
      <c r="NP236" s="78"/>
      <c r="QF236" s="78"/>
      <c r="WW236" s="78"/>
      <c r="XW236" s="78"/>
      <c r="AAG236" s="78"/>
      <c r="ABQ236" s="78"/>
      <c r="ACE236" s="78"/>
      <c r="ADL236" s="78"/>
      <c r="AHO236" s="78"/>
      <c r="AJE236" s="78"/>
      <c r="ALB236" s="78"/>
      <c r="AMB236" s="78"/>
      <c r="ANQ236" s="78"/>
      <c r="AOO236" s="78"/>
      <c r="AOS236" s="78"/>
      <c r="API236" s="78"/>
      <c r="APP236" s="78"/>
      <c r="APQ236" s="78"/>
      <c r="AQS236" s="78"/>
      <c r="ATD236" s="78"/>
      <c r="AZC236" s="78"/>
      <c r="BBE236" s="78"/>
      <c r="BCE236" s="78"/>
      <c r="BDW236" s="78"/>
      <c r="BER236" s="78"/>
      <c r="BQY236" s="78"/>
      <c r="BSX236" s="78"/>
      <c r="CEN236" s="78"/>
      <c r="CFK236" s="78"/>
      <c r="CKX236" s="78"/>
      <c r="CWI236" s="78"/>
      <c r="DLW236" s="78"/>
      <c r="DSE236" s="78"/>
      <c r="DSP236" s="78"/>
      <c r="DTO236" s="78"/>
      <c r="DUR236" s="78"/>
    </row>
    <row r="237" spans="1:1016 1057:1870 2172:3039 3203:3268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S237" s="78"/>
      <c r="FU237" s="78"/>
      <c r="HI237" s="78"/>
      <c r="NC237" s="78"/>
      <c r="NP237" s="78"/>
      <c r="QF237" s="78"/>
      <c r="WW237" s="78"/>
      <c r="XW237" s="78"/>
      <c r="AAG237" s="78"/>
      <c r="ABQ237" s="78"/>
      <c r="ACE237" s="78"/>
      <c r="ADL237" s="78"/>
      <c r="AHO237" s="78"/>
      <c r="AJE237" s="78"/>
      <c r="ALB237" s="78"/>
      <c r="AMB237" s="78"/>
      <c r="ANQ237" s="78"/>
      <c r="AOO237" s="78"/>
      <c r="AOS237" s="78"/>
      <c r="API237" s="78"/>
      <c r="APP237" s="78"/>
      <c r="APQ237" s="78"/>
      <c r="AQS237" s="78"/>
      <c r="ATD237" s="78"/>
      <c r="AZC237" s="78"/>
      <c r="BBE237" s="78"/>
      <c r="BCE237" s="78"/>
      <c r="BDW237" s="78"/>
      <c r="BER237" s="78"/>
      <c r="BQY237" s="78"/>
      <c r="BSX237" s="78"/>
      <c r="CEN237" s="78"/>
      <c r="CFK237" s="78"/>
      <c r="CKX237" s="78"/>
      <c r="CWI237" s="78"/>
      <c r="DLW237" s="78"/>
      <c r="DSE237" s="78"/>
      <c r="DSP237" s="78"/>
      <c r="DTO237" s="78"/>
      <c r="DUR237" s="78"/>
    </row>
    <row r="238" spans="1:1016 1057:1870 2172:3039 3203:3268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S238" s="78"/>
      <c r="FU238" s="78"/>
      <c r="HI238" s="78"/>
      <c r="NC238" s="78"/>
      <c r="NP238" s="78"/>
      <c r="QF238" s="78"/>
      <c r="WW238" s="78"/>
      <c r="XW238" s="78"/>
      <c r="AAG238" s="78"/>
      <c r="ABQ238" s="78"/>
      <c r="ACE238" s="78"/>
      <c r="ADL238" s="78"/>
      <c r="AHO238" s="78"/>
      <c r="AJE238" s="78"/>
      <c r="ALB238" s="78"/>
      <c r="AMB238" s="78"/>
      <c r="ANQ238" s="78"/>
      <c r="AOO238" s="78"/>
      <c r="AOS238" s="78"/>
      <c r="API238" s="78"/>
      <c r="APP238" s="78"/>
      <c r="APQ238" s="78"/>
      <c r="AQS238" s="78"/>
      <c r="ATD238" s="78"/>
      <c r="AZC238" s="78"/>
      <c r="BBE238" s="78"/>
      <c r="BCE238" s="78"/>
      <c r="BDW238" s="78"/>
      <c r="BER238" s="78"/>
      <c r="BQY238" s="78"/>
      <c r="BSX238" s="78"/>
      <c r="CEN238" s="78"/>
      <c r="CFK238" s="78"/>
      <c r="CKX238" s="78"/>
      <c r="CWI238" s="78"/>
      <c r="DLW238" s="78"/>
      <c r="DSE238" s="78"/>
      <c r="DSP238" s="78"/>
      <c r="DTO238" s="78"/>
      <c r="DUR238" s="78"/>
    </row>
    <row r="239" spans="1:1016 1057:1870 2172:3039 3203:3268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S239" s="78"/>
      <c r="FU239" s="78"/>
      <c r="HI239" s="78"/>
      <c r="NC239" s="78"/>
      <c r="NP239" s="78"/>
      <c r="QF239" s="78"/>
      <c r="WW239" s="78"/>
      <c r="XW239" s="78"/>
      <c r="AAG239" s="78"/>
      <c r="ABQ239" s="78"/>
      <c r="ACE239" s="78"/>
      <c r="ADL239" s="78"/>
      <c r="AHO239" s="78"/>
      <c r="AJE239" s="78"/>
      <c r="ALB239" s="78"/>
      <c r="AMB239" s="78"/>
      <c r="ANQ239" s="78"/>
      <c r="AOO239" s="78"/>
      <c r="AOS239" s="78"/>
      <c r="API239" s="78"/>
      <c r="APP239" s="78"/>
      <c r="APQ239" s="78"/>
      <c r="AQS239" s="78"/>
      <c r="ATD239" s="78"/>
      <c r="AZC239" s="78"/>
      <c r="BBE239" s="78"/>
      <c r="BCE239" s="78"/>
      <c r="BDW239" s="78"/>
      <c r="BER239" s="78"/>
      <c r="BQY239" s="78"/>
      <c r="BSX239" s="78"/>
      <c r="CEN239" s="78"/>
      <c r="CFK239" s="78"/>
      <c r="CKX239" s="78"/>
      <c r="CWI239" s="78"/>
      <c r="DLW239" s="78"/>
      <c r="DSE239" s="78"/>
      <c r="DSP239" s="78"/>
      <c r="DTO239" s="78"/>
      <c r="DUR239" s="78"/>
    </row>
    <row r="240" spans="1:1016 1057:1870 2172:3039 3203:3268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S240" s="78"/>
      <c r="FU240" s="78"/>
      <c r="HI240" s="78"/>
      <c r="NC240" s="78"/>
      <c r="NP240" s="78"/>
      <c r="QF240" s="78"/>
      <c r="WW240" s="78"/>
      <c r="XW240" s="78"/>
      <c r="AAG240" s="78"/>
      <c r="ABQ240" s="78"/>
      <c r="ACE240" s="78"/>
      <c r="ADL240" s="78"/>
      <c r="AHO240" s="78"/>
      <c r="AJE240" s="78"/>
      <c r="ALB240" s="78"/>
      <c r="AMB240" s="78"/>
      <c r="ANQ240" s="78"/>
      <c r="AOO240" s="78"/>
      <c r="AOS240" s="78"/>
      <c r="API240" s="78"/>
      <c r="APP240" s="78"/>
      <c r="APQ240" s="78"/>
      <c r="AQS240" s="78"/>
      <c r="ATD240" s="78"/>
      <c r="AZC240" s="78"/>
      <c r="BBE240" s="78"/>
      <c r="BCE240" s="78"/>
      <c r="BDW240" s="78"/>
      <c r="BER240" s="78"/>
      <c r="BQY240" s="78"/>
      <c r="BSX240" s="78"/>
      <c r="CEN240" s="78"/>
      <c r="CFK240" s="78"/>
      <c r="CKX240" s="78"/>
      <c r="CWI240" s="78"/>
      <c r="DLW240" s="78"/>
      <c r="DSE240" s="78"/>
      <c r="DSP240" s="78"/>
      <c r="DTO240" s="78"/>
      <c r="DUR240" s="78"/>
    </row>
    <row r="241" spans="1:1016 1057:1870 2172:3039 3203:3268" ht="15" customHeight="1">
      <c r="A241" s="18">
        <v>7</v>
      </c>
      <c r="B241" s="84" t="s">
        <v>328</v>
      </c>
      <c r="C241" s="91" t="s">
        <v>231</v>
      </c>
      <c r="D241" s="80"/>
      <c r="E241" s="86">
        <v>1.33</v>
      </c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88"/>
        <v/>
      </c>
      <c r="M241" s="25" t="str">
        <f t="shared" si="89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7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72"/>
        <v>#REF!</v>
      </c>
      <c r="V241" s="5" t="e">
        <f t="shared" si="90"/>
        <v>#REF!</v>
      </c>
      <c r="W241" s="5" t="e">
        <f t="shared" si="91"/>
        <v>#REF!</v>
      </c>
      <c r="X241" s="5" t="e">
        <f t="shared" si="92"/>
        <v>#REF!</v>
      </c>
      <c r="Y241" s="70" t="e">
        <f t="shared" si="93"/>
        <v>#REF!</v>
      </c>
      <c r="Z241" s="32" t="e">
        <f t="shared" si="94"/>
        <v>#REF!</v>
      </c>
      <c r="AA241" s="32" t="e">
        <f t="shared" si="95"/>
        <v>#REF!</v>
      </c>
      <c r="AB241" s="32" t="e">
        <f t="shared" si="96"/>
        <v>#REF!</v>
      </c>
      <c r="AC241" s="32" t="e">
        <f t="shared" si="69"/>
        <v>#REF!</v>
      </c>
      <c r="AD241" s="30"/>
      <c r="AE241" s="21" t="str">
        <f t="shared" si="97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80"/>
        <v>99</v>
      </c>
      <c r="BS241" s="112">
        <f>OOC!G241</f>
        <v>0.03</v>
      </c>
      <c r="BT241" s="112" t="str">
        <f>OOC!H241</f>
        <v/>
      </c>
      <c r="BU241" s="3" t="e">
        <f t="shared" si="81"/>
        <v>#REF!</v>
      </c>
      <c r="BV241" s="3" t="e">
        <f t="shared" si="82"/>
        <v>#REF!</v>
      </c>
      <c r="BW241" s="3" t="e">
        <f t="shared" si="8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S241" s="78"/>
      <c r="FU241" s="78"/>
      <c r="HI241" s="78"/>
      <c r="NC241" s="78"/>
      <c r="NP241" s="78"/>
      <c r="QF241" s="78"/>
      <c r="WW241" s="78"/>
      <c r="XW241" s="78"/>
      <c r="AAG241" s="78"/>
      <c r="ABQ241" s="78"/>
      <c r="ACE241" s="78"/>
      <c r="ADL241" s="78"/>
      <c r="AHO241" s="78"/>
      <c r="AJE241" s="78"/>
      <c r="ALB241" s="78"/>
      <c r="AMB241" s="78"/>
      <c r="ANQ241" s="78"/>
      <c r="AOO241" s="78"/>
      <c r="AOS241" s="78"/>
      <c r="API241" s="78"/>
      <c r="APP241" s="78"/>
      <c r="APQ241" s="78"/>
      <c r="AQS241" s="78"/>
      <c r="ATD241" s="78"/>
      <c r="AZC241" s="78"/>
      <c r="BBE241" s="78"/>
      <c r="BCE241" s="78"/>
      <c r="BDW241" s="78"/>
      <c r="BER241" s="78"/>
      <c r="BQY241" s="78"/>
      <c r="BSX241" s="78"/>
      <c r="CEN241" s="78"/>
      <c r="CFK241" s="78"/>
      <c r="CKX241" s="78"/>
      <c r="CWI241" s="78"/>
      <c r="DLW241" s="78"/>
      <c r="DSE241" s="78"/>
      <c r="DSP241" s="78"/>
      <c r="DTO241" s="78"/>
      <c r="DUR241" s="78"/>
    </row>
    <row r="242" spans="1:1016 1057:1870 2172:3039 3203:3268" ht="15" customHeight="1">
      <c r="A242" s="18">
        <v>7</v>
      </c>
      <c r="B242" s="84" t="s">
        <v>329</v>
      </c>
      <c r="C242" s="91" t="s">
        <v>232</v>
      </c>
      <c r="D242" s="80"/>
      <c r="E242" s="86">
        <v>1.33</v>
      </c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88"/>
        <v/>
      </c>
      <c r="M242" s="25" t="str">
        <f t="shared" si="89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7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72"/>
        <v>#REF!</v>
      </c>
      <c r="V242" s="5" t="e">
        <f t="shared" si="90"/>
        <v>#REF!</v>
      </c>
      <c r="W242" s="5" t="e">
        <f t="shared" si="91"/>
        <v>#REF!</v>
      </c>
      <c r="X242" s="5" t="e">
        <f t="shared" si="92"/>
        <v>#REF!</v>
      </c>
      <c r="Y242" s="70" t="e">
        <f t="shared" si="93"/>
        <v>#REF!</v>
      </c>
      <c r="Z242" s="32" t="e">
        <f t="shared" si="94"/>
        <v>#REF!</v>
      </c>
      <c r="AA242" s="32" t="e">
        <f t="shared" si="95"/>
        <v>#REF!</v>
      </c>
      <c r="AB242" s="32" t="e">
        <f t="shared" si="96"/>
        <v>#REF!</v>
      </c>
      <c r="AC242" s="32" t="e">
        <f t="shared" si="69"/>
        <v>#REF!</v>
      </c>
      <c r="AD242" s="30"/>
      <c r="AE242" s="21" t="str">
        <f t="shared" si="97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80"/>
        <v>100</v>
      </c>
      <c r="BS242" s="112">
        <f>OOC!G242</f>
        <v>0.03</v>
      </c>
      <c r="BT242" s="112" t="str">
        <f>OOC!H242</f>
        <v/>
      </c>
      <c r="BU242" s="3" t="e">
        <f t="shared" si="81"/>
        <v>#REF!</v>
      </c>
      <c r="BV242" s="3" t="e">
        <f t="shared" si="82"/>
        <v>#REF!</v>
      </c>
      <c r="BW242" s="3" t="e">
        <f t="shared" si="8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S242" s="78"/>
      <c r="FU242" s="78"/>
      <c r="HI242" s="78"/>
      <c r="NC242" s="78"/>
      <c r="NP242" s="78"/>
      <c r="QF242" s="78"/>
      <c r="WW242" s="78"/>
      <c r="XW242" s="78"/>
      <c r="AAG242" s="78"/>
      <c r="ABQ242" s="78"/>
      <c r="ACE242" s="78"/>
      <c r="ADL242" s="78"/>
      <c r="AHO242" s="78"/>
      <c r="AJE242" s="78"/>
      <c r="ALB242" s="78"/>
      <c r="AMB242" s="78"/>
      <c r="ANQ242" s="78"/>
      <c r="AOO242" s="78"/>
      <c r="AOS242" s="78"/>
      <c r="API242" s="78"/>
      <c r="APP242" s="78"/>
      <c r="APQ242" s="78"/>
      <c r="AQS242" s="78"/>
      <c r="ATD242" s="78"/>
      <c r="AZC242" s="78"/>
      <c r="BBE242" s="78"/>
      <c r="BCE242" s="78"/>
      <c r="BDW242" s="78"/>
      <c r="BER242" s="78"/>
      <c r="BQY242" s="78"/>
      <c r="BSX242" s="78"/>
      <c r="CEN242" s="78"/>
      <c r="CFK242" s="78"/>
      <c r="CKX242" s="78"/>
      <c r="CWI242" s="78"/>
      <c r="DLW242" s="78"/>
      <c r="DSE242" s="78"/>
      <c r="DSP242" s="78"/>
      <c r="DTO242" s="78"/>
      <c r="DUR242" s="78"/>
    </row>
  </sheetData>
  <sheetProtection formatCells="0"/>
  <mergeCells count="29">
    <mergeCell ref="B5:C5"/>
    <mergeCell ref="F5:G5"/>
    <mergeCell ref="H5:M5"/>
    <mergeCell ref="A1:AE1"/>
    <mergeCell ref="V2:W2"/>
    <mergeCell ref="B4:C4"/>
    <mergeCell ref="F4:G4"/>
    <mergeCell ref="H4:M4"/>
    <mergeCell ref="O4:Q4"/>
    <mergeCell ref="R4:W4"/>
    <mergeCell ref="B8:M8"/>
    <mergeCell ref="O8:AE8"/>
    <mergeCell ref="AG8:AI8"/>
    <mergeCell ref="B6:C6"/>
    <mergeCell ref="F6:G6"/>
    <mergeCell ref="H6:M6"/>
    <mergeCell ref="O6:Q6"/>
    <mergeCell ref="R6:W6"/>
    <mergeCell ref="BX8:BX10"/>
    <mergeCell ref="Z9:AA9"/>
    <mergeCell ref="AK8:BP9"/>
    <mergeCell ref="O5:Q5"/>
    <mergeCell ref="R5:W5"/>
    <mergeCell ref="BR8:BR9"/>
    <mergeCell ref="BS8:BS9"/>
    <mergeCell ref="BT8:BT9"/>
    <mergeCell ref="BU8:BU9"/>
    <mergeCell ref="BV8:BV9"/>
    <mergeCell ref="BW8:BW9"/>
  </mergeCells>
  <phoneticPr fontId="48" type="noConversion"/>
  <conditionalFormatting sqref="G11:G209 G214:G240">
    <cfRule type="expression" dxfId="333" priority="218">
      <formula>AND($F11&lt;&gt;"Tolerance",$G11&lt;&gt;"")</formula>
    </cfRule>
  </conditionalFormatting>
  <conditionalFormatting sqref="G11:G240">
    <cfRule type="expression" dxfId="332" priority="222">
      <formula>AND(OR($F11="GD&amp;T",$F11="MAX",$F11="MIN"),$G11="")</formula>
    </cfRule>
  </conditionalFormatting>
  <conditionalFormatting sqref="G11:G242">
    <cfRule type="expression" dxfId="331" priority="26">
      <formula>AND($F11&lt;&gt;"Tolerance",$G11&lt;&gt;"")</formula>
    </cfRule>
  </conditionalFormatting>
  <conditionalFormatting sqref="G64 G191:G240">
    <cfRule type="containsBlanks" dxfId="330" priority="178">
      <formula>LEN(TRIM(G64))=0</formula>
    </cfRule>
  </conditionalFormatting>
  <conditionalFormatting sqref="G64">
    <cfRule type="expression" dxfId="329" priority="174">
      <formula>AND(OR($F64="GD&amp;T",$F64="MAX",$F64="MIN"),$G64="")</formula>
    </cfRule>
  </conditionalFormatting>
  <conditionalFormatting sqref="G210:G213">
    <cfRule type="containsBlanks" dxfId="328" priority="891">
      <formula>LEN(TRIM(G210))=0</formula>
    </cfRule>
    <cfRule type="expression" dxfId="327" priority="940">
      <formula>AND($F210&lt;&gt;"Tolerance",$G210&lt;&gt;"")</formula>
    </cfRule>
    <cfRule type="expression" dxfId="326" priority="941">
      <formula>AND(OR($F210="GD&amp;T",$F210="MAX",$F210="MIN"),$G210="")</formula>
    </cfRule>
  </conditionalFormatting>
  <conditionalFormatting sqref="G214:G240 G47:G48">
    <cfRule type="expression" dxfId="325" priority="216">
      <formula>AND(OR($F47="GD&amp;T",$F47="MAX",$F47="MIN"),$G47="")</formula>
    </cfRule>
  </conditionalFormatting>
  <conditionalFormatting sqref="G241:G242">
    <cfRule type="containsBlanks" dxfId="324" priority="21">
      <formula>LEN(TRIM(G241))=0</formula>
    </cfRule>
    <cfRule type="expression" dxfId="323" priority="36">
      <formula>AND(OR($F241="GD&amp;T",$F241="MAX",$F241="MIN"),$G241="")</formula>
    </cfRule>
    <cfRule type="expression" dxfId="322" priority="37">
      <formula>AND($F241&lt;&gt;"Tolerance",$G241&lt;&gt;"")</formula>
    </cfRule>
    <cfRule type="expression" dxfId="321" priority="38">
      <formula>AND(OR($F241="GD&amp;T",$F241="MAX",$F241="MIN"),$G241="")</formula>
    </cfRule>
  </conditionalFormatting>
  <conditionalFormatting sqref="G11:I190 AK11:BP211 H191:I242">
    <cfRule type="containsBlanks" dxfId="320" priority="217">
      <formula>LEN(TRIM(G11))=0</formula>
    </cfRule>
  </conditionalFormatting>
  <conditionalFormatting sqref="H11:H242">
    <cfRule type="expression" dxfId="319" priority="24">
      <formula>AND($F11="MIN",$H11&lt;&gt;"")</formula>
    </cfRule>
    <cfRule type="expression" dxfId="318" priority="25">
      <formula>AND($F11="MIN",$H11="")</formula>
    </cfRule>
  </conditionalFormatting>
  <conditionalFormatting sqref="I11:I242">
    <cfRule type="expression" dxfId="317" priority="22">
      <formula>AND(OR($F11="GD&amp;T",$F11="MAX"),$I11&lt;&gt;"")</formula>
    </cfRule>
    <cfRule type="expression" dxfId="316" priority="23">
      <formula>AND(OR($F11="GD&amp;T",$F11="MAX"),$I11="")</formula>
    </cfRule>
  </conditionalFormatting>
  <conditionalFormatting sqref="O11:Q242">
    <cfRule type="expression" dxfId="315" priority="62">
      <formula>AND($M11&lt;&gt;"",$AK11&lt;&gt;"",O11&lt;$M11)</formula>
    </cfRule>
    <cfRule type="expression" dxfId="314" priority="63">
      <formula>AND($L11&lt;&gt;"",$AK11&lt;&gt;"",O11&gt;$L11)</formula>
    </cfRule>
  </conditionalFormatting>
  <conditionalFormatting sqref="O11:R242">
    <cfRule type="notContainsBlanks" dxfId="313" priority="129">
      <formula>LEN(TRIM(O11))&gt;0</formula>
    </cfRule>
  </conditionalFormatting>
  <conditionalFormatting sqref="R11:R242">
    <cfRule type="expression" dxfId="312" priority="125">
      <formula>AND($R11&lt;&gt;"",$S11&lt;1.67)</formula>
    </cfRule>
  </conditionalFormatting>
  <conditionalFormatting sqref="V11:X211 S11:S242">
    <cfRule type="expression" dxfId="311" priority="126">
      <formula>$K11="Yes"</formula>
    </cfRule>
    <cfRule type="expression" dxfId="310" priority="138">
      <formula>AND($AD11&lt;0.966,$AD11&lt;&gt;"")</formula>
    </cfRule>
    <cfRule type="cellIs" dxfId="309" priority="142" operator="lessThan">
      <formula>$E11</formula>
    </cfRule>
    <cfRule type="notContainsBlanks" dxfId="308" priority="144">
      <formula>LEN(TRIM(S11))&gt;0</formula>
    </cfRule>
  </conditionalFormatting>
  <conditionalFormatting sqref="V214:X242">
    <cfRule type="expression" dxfId="307" priority="28">
      <formula>$K214="Yes"</formula>
    </cfRule>
    <cfRule type="expression" dxfId="306" priority="29">
      <formula>AND($AD214&lt;0.966,$AD214&lt;&gt;"")</formula>
    </cfRule>
    <cfRule type="cellIs" dxfId="305" priority="33" operator="lessThan">
      <formula>$E214</formula>
    </cfRule>
    <cfRule type="notContainsBlanks" dxfId="304" priority="35">
      <formula>LEN(TRIM(V214))&gt;0</formula>
    </cfRule>
  </conditionalFormatting>
  <conditionalFormatting sqref="Y11:Y211">
    <cfRule type="containsBlanks" dxfId="303" priority="139">
      <formula>LEN(TRIM(Y11))=0</formula>
    </cfRule>
    <cfRule type="cellIs" dxfId="302" priority="140" operator="between">
      <formula>0.9</formula>
      <formula>0.998</formula>
    </cfRule>
    <cfRule type="cellIs" dxfId="301" priority="141" operator="greaterThanOrEqual">
      <formula>0.998</formula>
    </cfRule>
    <cfRule type="notContainsBlanks" dxfId="300" priority="143">
      <formula>LEN(TRIM(Y11))&gt;0</formula>
    </cfRule>
  </conditionalFormatting>
  <conditionalFormatting sqref="Y214:Y242">
    <cfRule type="containsBlanks" dxfId="299" priority="30">
      <formula>LEN(TRIM(Y214))=0</formula>
    </cfRule>
    <cfRule type="cellIs" dxfId="298" priority="31" operator="between">
      <formula>0.9</formula>
      <formula>0.998</formula>
    </cfRule>
    <cfRule type="cellIs" dxfId="297" priority="32" operator="greaterThanOrEqual">
      <formula>0.998</formula>
    </cfRule>
    <cfRule type="notContainsBlanks" dxfId="296" priority="34">
      <formula>LEN(TRIM(Y214))&gt;0</formula>
    </cfRule>
  </conditionalFormatting>
  <conditionalFormatting sqref="Z139:AC211">
    <cfRule type="containsBlanks" dxfId="295" priority="79">
      <formula>LEN(TRIM(Z139))=0</formula>
    </cfRule>
    <cfRule type="cellIs" dxfId="294" priority="80" operator="between">
      <formula>0.9</formula>
      <formula>0.998</formula>
    </cfRule>
    <cfRule type="cellIs" dxfId="293" priority="81" operator="greaterThanOrEqual">
      <formula>0.998</formula>
    </cfRule>
  </conditionalFormatting>
  <conditionalFormatting sqref="AB32:AC32 Z135:AC136">
    <cfRule type="containsBlanks" dxfId="292" priority="998">
      <formula>LEN(TRIM(Z32))=0</formula>
    </cfRule>
    <cfRule type="cellIs" dxfId="291" priority="999" operator="between">
      <formula>0.9</formula>
      <formula>0.998</formula>
    </cfRule>
    <cfRule type="cellIs" dxfId="290" priority="1000" operator="greaterThanOrEqual">
      <formula>0.998</formula>
    </cfRule>
  </conditionalFormatting>
  <conditionalFormatting sqref="AD11:AE211">
    <cfRule type="expression" dxfId="289" priority="64">
      <formula>AND($AD11&lt;0.966,$AD11&lt;&gt;"")</formula>
    </cfRule>
  </conditionalFormatting>
  <conditionalFormatting sqref="AD214:AE242">
    <cfRule type="expression" dxfId="288" priority="19">
      <formula>AND($AD214&lt;0.966,$AD214&lt;&gt;"")</formula>
    </cfRule>
  </conditionalFormatting>
  <conditionalFormatting sqref="AK11:BP100 BU11:BW211">
    <cfRule type="expression" dxfId="287" priority="40">
      <formula>AND($M11&lt;&gt;"",$AK11&lt;&gt;"",AK11&lt;$M11)</formula>
    </cfRule>
    <cfRule type="expression" dxfId="286" priority="41">
      <formula>AND($L11&lt;&gt;"",$AK11&lt;&gt;"",AK11&gt;$L11)</formula>
    </cfRule>
    <cfRule type="notContainsBlanks" dxfId="285" priority="42">
      <formula>LEN(TRIM(AK11))&gt;0</formula>
    </cfRule>
  </conditionalFormatting>
  <conditionalFormatting sqref="AK101:BP209 AK210:AM211">
    <cfRule type="expression" dxfId="284" priority="91">
      <formula>AND($L101&lt;&gt;"",$AK101&lt;&gt;"",AK101&gt;$L101)</formula>
    </cfRule>
    <cfRule type="notContainsBlanks" dxfId="283" priority="92">
      <formula>LEN(TRIM(AK101))&gt;0</formula>
    </cfRule>
  </conditionalFormatting>
  <conditionalFormatting sqref="AK101:BP211">
    <cfRule type="expression" dxfId="282" priority="90">
      <formula>AND($M101&lt;&gt;"",$AK101&lt;&gt;"",AK101&lt;$M101)</formula>
    </cfRule>
  </conditionalFormatting>
  <conditionalFormatting sqref="AK197:BP209">
    <cfRule type="expression" dxfId="281" priority="158">
      <formula>AND($M197&lt;&gt;"",AK197&lt;$M197)</formula>
    </cfRule>
    <cfRule type="expression" dxfId="280" priority="159">
      <formula>AND($L197&lt;&gt;"",AK197&gt;$L197)</formula>
    </cfRule>
    <cfRule type="notContainsBlanks" dxfId="279" priority="160">
      <formula>LEN(TRIM(AK197))&gt;0</formula>
    </cfRule>
  </conditionalFormatting>
  <conditionalFormatting sqref="AK210:BP211">
    <cfRule type="expression" dxfId="278" priority="85">
      <formula>AND($M210&lt;&gt;"",AK210&lt;$M210)</formula>
    </cfRule>
    <cfRule type="expression" dxfId="277" priority="86">
      <formula>AND($L210&lt;&gt;"",AK210&gt;$L210)</formula>
    </cfRule>
    <cfRule type="notContainsBlanks" dxfId="276" priority="87">
      <formula>LEN(TRIM(AK210))&gt;0</formula>
    </cfRule>
    <cfRule type="expression" dxfId="275" priority="88">
      <formula>AND($L210&lt;&gt;"",$AK210&lt;&gt;"",AK210&gt;$L210)</formula>
    </cfRule>
    <cfRule type="notContainsBlanks" dxfId="274" priority="89">
      <formula>LEN(TRIM(AK210))&gt;0</formula>
    </cfRule>
  </conditionalFormatting>
  <conditionalFormatting sqref="AK214:BP242">
    <cfRule type="expression" dxfId="273" priority="10">
      <formula>AND($M214&lt;&gt;"",$AK214&lt;&gt;"",AK214&lt;$M214)</formula>
    </cfRule>
    <cfRule type="expression" dxfId="272" priority="11">
      <formula>AND($L214&lt;&gt;"",$AK214&lt;&gt;"",AK214&gt;$L214)</formula>
    </cfRule>
    <cfRule type="notContainsBlanks" dxfId="271" priority="12">
      <formula>LEN(TRIM(AK214))&gt;0</formula>
    </cfRule>
    <cfRule type="containsBlanks" dxfId="270" priority="13">
      <formula>LEN(TRIM(AK214))=0</formula>
    </cfRule>
  </conditionalFormatting>
  <conditionalFormatting sqref="BU214:BW242">
    <cfRule type="expression" dxfId="269" priority="4">
      <formula>AND($M214&lt;&gt;"",$AK214&lt;&gt;"",BU214&lt;$M214)</formula>
    </cfRule>
    <cfRule type="expression" dxfId="268" priority="5">
      <formula>AND($L214&lt;&gt;"",$AK214&lt;&gt;"",BU214&gt;$L214)</formula>
    </cfRule>
    <cfRule type="notContainsBlanks" dxfId="267" priority="6">
      <formula>LEN(TRIM(BU214))&gt;0</formula>
    </cfRule>
  </conditionalFormatting>
  <conditionalFormatting sqref="BX11:BX242">
    <cfRule type="endsWith" dxfId="266" priority="1" operator="endsWith" text="OK">
      <formula>RIGHT(BX11,LEN("OK"))="OK"</formula>
    </cfRule>
    <cfRule type="endsWith" dxfId="265" priority="2" operator="endsWith" text="OOS">
      <formula>RIGHT(BX11,LEN("OOS"))="OOS"</formula>
    </cfRule>
    <cfRule type="endsWith" dxfId="264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K11:K242" xr:uid="{00000000-0002-0000-0000-000000000000}">
      <formula1>gauging</formula1>
    </dataValidation>
    <dataValidation type="list" allowBlank="1" showInputMessage="1" showErrorMessage="1" sqref="F11:F242" xr:uid="{00000000-0002-0000-0000-000001000000}">
      <formula1>dim_type</formula1>
    </dataValidation>
    <dataValidation type="list" allowBlank="1" showInputMessage="1" showErrorMessage="1" sqref="J11:J242" xr:uid="{00000000-0002-0000-0000-000002000000}">
      <formula1>insp_meth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C1:C3"/>
  <sheetViews>
    <sheetView zoomScale="150" workbookViewId="0">
      <selection activeCell="E21" sqref="E21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3" ht="20.25" customHeight="1">
      <c r="C1" s="6"/>
    </row>
    <row r="2" spans="3:3" ht="20.25" customHeight="1">
      <c r="C2" s="6"/>
    </row>
    <row r="3" spans="3:3" ht="20.25" customHeight="1">
      <c r="C3" s="6"/>
    </row>
  </sheetData>
  <phoneticPr fontId="22" type="noConversion"/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3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showClear">
                <anchor moveWithCells="1" sizeWithCells="1">
                  <from>
                    <xdr:col>5</xdr:col>
                    <xdr:colOff>161925</xdr:colOff>
                    <xdr:row>0</xdr:row>
                    <xdr:rowOff>0</xdr:rowOff>
                  </from>
                  <to>
                    <xdr:col>7</xdr:col>
                    <xdr:colOff>647700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18"/>
  <sheetViews>
    <sheetView topLeftCell="B1" workbookViewId="0">
      <selection activeCell="E21" sqref="E21"/>
    </sheetView>
  </sheetViews>
  <sheetFormatPr defaultColWidth="10.6640625" defaultRowHeight="17.25"/>
  <cols>
    <col min="1" max="1" width="10.6640625" style="61"/>
    <col min="2" max="2" width="11.21875" style="61" bestFit="1" customWidth="1"/>
    <col min="3" max="3" width="11.6640625" style="61" customWidth="1"/>
    <col min="4" max="4" width="92.109375" style="62" customWidth="1"/>
  </cols>
  <sheetData>
    <row r="1" spans="1:4" ht="26.25">
      <c r="A1" s="212" t="s">
        <v>34</v>
      </c>
      <c r="B1" s="212"/>
      <c r="C1" s="212"/>
      <c r="D1" s="212"/>
    </row>
    <row r="3" spans="1:4">
      <c r="A3" s="59" t="s">
        <v>30</v>
      </c>
      <c r="B3" s="59" t="s">
        <v>31</v>
      </c>
      <c r="C3" s="59" t="s">
        <v>32</v>
      </c>
      <c r="D3" s="60" t="s">
        <v>33</v>
      </c>
    </row>
    <row r="4" spans="1:4">
      <c r="A4" s="61">
        <v>1</v>
      </c>
      <c r="B4" s="77">
        <v>45229</v>
      </c>
      <c r="C4" s="61" t="s">
        <v>110</v>
      </c>
      <c r="D4" s="62" t="s">
        <v>111</v>
      </c>
    </row>
    <row r="5" spans="1:4">
      <c r="B5" s="77"/>
      <c r="D5" s="63"/>
    </row>
    <row r="6" spans="1:4">
      <c r="B6" s="77"/>
      <c r="D6" s="63"/>
    </row>
    <row r="7" spans="1:4">
      <c r="B7" s="77"/>
      <c r="D7" s="63"/>
    </row>
    <row r="8" spans="1:4">
      <c r="B8" s="77"/>
      <c r="D8" s="63"/>
    </row>
    <row r="9" spans="1:4">
      <c r="B9" s="77"/>
    </row>
    <row r="10" spans="1:4">
      <c r="B10" s="77"/>
      <c r="D10" s="63"/>
    </row>
    <row r="11" spans="1:4">
      <c r="B11" s="77"/>
      <c r="D11" s="63"/>
    </row>
    <row r="12" spans="1:4">
      <c r="B12" s="77"/>
      <c r="D12" s="63"/>
    </row>
    <row r="13" spans="1:4">
      <c r="B13" s="77"/>
      <c r="D13" s="63"/>
    </row>
    <row r="14" spans="1:4">
      <c r="B14" s="77"/>
      <c r="D14" s="63"/>
    </row>
    <row r="15" spans="1:4">
      <c r="B15" s="77"/>
      <c r="D15" s="63"/>
    </row>
    <row r="16" spans="1:4">
      <c r="B16" s="77"/>
      <c r="D16" s="63"/>
    </row>
    <row r="17" spans="2:4">
      <c r="B17" s="77"/>
      <c r="D17" s="63"/>
    </row>
    <row r="18" spans="2:4">
      <c r="B18" s="77"/>
      <c r="D18" s="63"/>
    </row>
  </sheetData>
  <mergeCells count="1">
    <mergeCell ref="A1:D1"/>
  </mergeCells>
  <phoneticPr fontId="47" type="noConversion"/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3BD9-FC08-4D40-A610-6CA6BF111192}">
  <sheetPr codeName="Sheet3"/>
  <dimension ref="A1:EDA242"/>
  <sheetViews>
    <sheetView showGridLines="0" zoomScale="55" zoomScaleNormal="55" zoomScalePageLayoutView="125" workbookViewId="0">
      <pane xSplit="14" ySplit="10" topLeftCell="BN104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72" t="s">
        <v>200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74" t="s">
        <v>14</v>
      </c>
      <c r="C4" s="175"/>
      <c r="D4" s="12" t="s">
        <v>239</v>
      </c>
      <c r="E4" s="33"/>
      <c r="F4" s="176" t="s">
        <v>15</v>
      </c>
      <c r="G4" s="177"/>
      <c r="H4" s="211" t="s">
        <v>94</v>
      </c>
      <c r="I4" s="209"/>
      <c r="J4" s="209"/>
      <c r="K4" s="209"/>
      <c r="L4" s="209"/>
      <c r="M4" s="210"/>
      <c r="N4" s="34"/>
      <c r="O4" s="174" t="s">
        <v>53</v>
      </c>
      <c r="P4" s="181"/>
      <c r="Q4" s="175"/>
      <c r="R4" s="182" t="s">
        <v>327</v>
      </c>
      <c r="S4" s="183"/>
      <c r="T4" s="183"/>
      <c r="U4" s="183"/>
      <c r="V4" s="183"/>
      <c r="W4" s="18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74" t="s">
        <v>16</v>
      </c>
      <c r="C5" s="175"/>
      <c r="D5" s="12" t="s">
        <v>229</v>
      </c>
      <c r="E5" s="33"/>
      <c r="F5" s="176" t="s">
        <v>17</v>
      </c>
      <c r="G5" s="177"/>
      <c r="H5" s="208" t="s">
        <v>206</v>
      </c>
      <c r="I5" s="209"/>
      <c r="J5" s="209"/>
      <c r="K5" s="209"/>
      <c r="L5" s="209"/>
      <c r="M5" s="210"/>
      <c r="N5" s="34"/>
      <c r="O5" s="174" t="s">
        <v>36</v>
      </c>
      <c r="P5" s="181"/>
      <c r="Q5" s="175"/>
      <c r="R5" s="185"/>
      <c r="S5" s="183"/>
      <c r="T5" s="183"/>
      <c r="U5" s="183"/>
      <c r="V5" s="183"/>
      <c r="W5" s="18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74" t="s">
        <v>18</v>
      </c>
      <c r="C6" s="175"/>
      <c r="D6" s="79" t="s">
        <v>238</v>
      </c>
      <c r="E6" s="33"/>
      <c r="F6" s="176" t="s">
        <v>29</v>
      </c>
      <c r="G6" s="177"/>
      <c r="H6" s="208" t="s">
        <v>326</v>
      </c>
      <c r="I6" s="209"/>
      <c r="J6" s="209"/>
      <c r="K6" s="209"/>
      <c r="L6" s="209"/>
      <c r="M6" s="210"/>
      <c r="N6" s="34"/>
      <c r="O6" s="174" t="s">
        <v>35</v>
      </c>
      <c r="P6" s="181"/>
      <c r="Q6" s="175"/>
      <c r="R6" s="185" t="s">
        <v>237</v>
      </c>
      <c r="S6" s="183"/>
      <c r="T6" s="183"/>
      <c r="U6" s="183"/>
      <c r="V6" s="183"/>
      <c r="W6" s="18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88" t="s">
        <v>19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6"/>
      <c r="O8" s="188" t="s">
        <v>25</v>
      </c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0"/>
      <c r="AG8" s="191" t="s">
        <v>46</v>
      </c>
      <c r="AH8" s="191"/>
      <c r="AI8" s="191"/>
      <c r="AJ8" s="26"/>
      <c r="AK8" s="202" t="s">
        <v>234</v>
      </c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R8" s="206"/>
      <c r="BS8" s="206"/>
      <c r="BT8" s="206"/>
      <c r="BU8" s="206"/>
      <c r="BV8" s="206"/>
      <c r="BW8" s="206"/>
      <c r="BX8" s="199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97" t="s">
        <v>50</v>
      </c>
      <c r="AA9" s="198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204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R9" s="207"/>
      <c r="BS9" s="207"/>
      <c r="BT9" s="207"/>
      <c r="BU9" s="207"/>
      <c r="BV9" s="207"/>
      <c r="BW9" s="207"/>
      <c r="BX9" s="200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1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263" priority="85">
      <formula>AND($F11&lt;&gt;"Tolerance",$G11&lt;&gt;"")</formula>
    </cfRule>
  </conditionalFormatting>
  <conditionalFormatting sqref="G11:G240">
    <cfRule type="expression" dxfId="262" priority="86">
      <formula>AND(OR($F11="GD&amp;T",$F11="MAX",$F11="MIN"),$G11="")</formula>
    </cfRule>
  </conditionalFormatting>
  <conditionalFormatting sqref="G11:G242">
    <cfRule type="expression" dxfId="261" priority="26">
      <formula>AND($F11&lt;&gt;"Tolerance",$G11&lt;&gt;"")</formula>
    </cfRule>
  </conditionalFormatting>
  <conditionalFormatting sqref="G64 G191:G240">
    <cfRule type="containsBlanks" dxfId="260" priority="82">
      <formula>LEN(TRIM(G64))=0</formula>
    </cfRule>
  </conditionalFormatting>
  <conditionalFormatting sqref="G64">
    <cfRule type="expression" dxfId="259" priority="80">
      <formula>AND(OR($F64="GD&amp;T",$F64="MAX",$F64="MIN"),$G64="")</formula>
    </cfRule>
  </conditionalFormatting>
  <conditionalFormatting sqref="G210:G213">
    <cfRule type="containsBlanks" dxfId="258" priority="88">
      <formula>LEN(TRIM(G210))=0</formula>
    </cfRule>
    <cfRule type="expression" dxfId="257" priority="89">
      <formula>AND($F210&lt;&gt;"Tolerance",$G210&lt;&gt;"")</formula>
    </cfRule>
    <cfRule type="expression" dxfId="256" priority="90">
      <formula>AND(OR($F210="GD&amp;T",$F210="MAX",$F210="MIN"),$G210="")</formula>
    </cfRule>
  </conditionalFormatting>
  <conditionalFormatting sqref="G214:G240 G47:G48">
    <cfRule type="expression" dxfId="255" priority="83">
      <formula>AND(OR($F47="GD&amp;T",$F47="MAX",$F47="MIN"),$G47="")</formula>
    </cfRule>
  </conditionalFormatting>
  <conditionalFormatting sqref="G241:G242">
    <cfRule type="containsBlanks" dxfId="254" priority="21">
      <formula>LEN(TRIM(G241))=0</formula>
    </cfRule>
    <cfRule type="expression" dxfId="253" priority="36">
      <formula>AND(OR($F241="GD&amp;T",$F241="MAX",$F241="MIN"),$G241="")</formula>
    </cfRule>
    <cfRule type="expression" dxfId="252" priority="37">
      <formula>AND($F241&lt;&gt;"Tolerance",$G241&lt;&gt;"")</formula>
    </cfRule>
    <cfRule type="expression" dxfId="251" priority="38">
      <formula>AND(OR($F241="GD&amp;T",$F241="MAX",$F241="MIN"),$G241="")</formula>
    </cfRule>
  </conditionalFormatting>
  <conditionalFormatting sqref="G11:I190 AK11:BP211 H191:I242">
    <cfRule type="containsBlanks" dxfId="250" priority="84">
      <formula>LEN(TRIM(G11))=0</formula>
    </cfRule>
  </conditionalFormatting>
  <conditionalFormatting sqref="H11:H242">
    <cfRule type="expression" dxfId="249" priority="24">
      <formula>AND($F11="MIN",$H11&lt;&gt;"")</formula>
    </cfRule>
    <cfRule type="expression" dxfId="248" priority="25">
      <formula>AND($F11="MIN",$H11="")</formula>
    </cfRule>
  </conditionalFormatting>
  <conditionalFormatting sqref="I11:I242">
    <cfRule type="expression" dxfId="247" priority="22">
      <formula>AND(OR($F11="GD&amp;T",$F11="MAX"),$I11&lt;&gt;"")</formula>
    </cfRule>
    <cfRule type="expression" dxfId="246" priority="23">
      <formula>AND(OR($F11="GD&amp;T",$F11="MAX"),$I11="")</formula>
    </cfRule>
  </conditionalFormatting>
  <conditionalFormatting sqref="O11:Q242">
    <cfRule type="expression" dxfId="245" priority="48">
      <formula>AND($M11&lt;&gt;"",$AK11&lt;&gt;"",O11&lt;$M11)</formula>
    </cfRule>
    <cfRule type="expression" dxfId="244" priority="49">
      <formula>AND($L11&lt;&gt;"",$AK11&lt;&gt;"",O11&gt;$L11)</formula>
    </cfRule>
  </conditionalFormatting>
  <conditionalFormatting sqref="O11:R242">
    <cfRule type="notContainsBlanks" dxfId="243" priority="69">
      <formula>LEN(TRIM(O11))&gt;0</formula>
    </cfRule>
  </conditionalFormatting>
  <conditionalFormatting sqref="R11:R242">
    <cfRule type="expression" dxfId="242" priority="67">
      <formula>AND($R11&lt;&gt;"",$S11&lt;1.67)</formula>
    </cfRule>
  </conditionalFormatting>
  <conditionalFormatting sqref="V11:X211 S11:S242">
    <cfRule type="expression" dxfId="241" priority="68">
      <formula>$K11="Yes"</formula>
    </cfRule>
    <cfRule type="expression" dxfId="240" priority="70">
      <formula>AND($AD11&lt;0.966,$AD11&lt;&gt;"")</formula>
    </cfRule>
    <cfRule type="cellIs" dxfId="239" priority="74" operator="lessThan">
      <formula>$E11</formula>
    </cfRule>
    <cfRule type="notContainsBlanks" dxfId="238" priority="76">
      <formula>LEN(TRIM(S11))&gt;0</formula>
    </cfRule>
  </conditionalFormatting>
  <conditionalFormatting sqref="V214:X242">
    <cfRule type="expression" dxfId="237" priority="28">
      <formula>$K214="Yes"</formula>
    </cfRule>
    <cfRule type="expression" dxfId="236" priority="29">
      <formula>AND($AD214&lt;0.966,$AD214&lt;&gt;"")</formula>
    </cfRule>
    <cfRule type="cellIs" dxfId="235" priority="33" operator="lessThan">
      <formula>$E214</formula>
    </cfRule>
    <cfRule type="notContainsBlanks" dxfId="234" priority="35">
      <formula>LEN(TRIM(V214))&gt;0</formula>
    </cfRule>
  </conditionalFormatting>
  <conditionalFormatting sqref="Y11:Y211">
    <cfRule type="containsBlanks" dxfId="233" priority="71">
      <formula>LEN(TRIM(Y11))=0</formula>
    </cfRule>
    <cfRule type="cellIs" dxfId="232" priority="72" operator="between">
      <formula>0.9</formula>
      <formula>0.998</formula>
    </cfRule>
    <cfRule type="cellIs" dxfId="231" priority="73" operator="greaterThanOrEqual">
      <formula>0.998</formula>
    </cfRule>
    <cfRule type="notContainsBlanks" dxfId="230" priority="75">
      <formula>LEN(TRIM(Y11))&gt;0</formula>
    </cfRule>
  </conditionalFormatting>
  <conditionalFormatting sqref="Y214:Y242">
    <cfRule type="containsBlanks" dxfId="229" priority="30">
      <formula>LEN(TRIM(Y214))=0</formula>
    </cfRule>
    <cfRule type="cellIs" dxfId="228" priority="31" operator="between">
      <formula>0.9</formula>
      <formula>0.998</formula>
    </cfRule>
    <cfRule type="cellIs" dxfId="227" priority="32" operator="greaterThanOrEqual">
      <formula>0.998</formula>
    </cfRule>
    <cfRule type="notContainsBlanks" dxfId="226" priority="34">
      <formula>LEN(TRIM(Y214))&gt;0</formula>
    </cfRule>
  </conditionalFormatting>
  <conditionalFormatting sqref="Z139:AC211">
    <cfRule type="containsBlanks" dxfId="225" priority="51">
      <formula>LEN(TRIM(Z139))=0</formula>
    </cfRule>
    <cfRule type="cellIs" dxfId="224" priority="52" operator="between">
      <formula>0.9</formula>
      <formula>0.998</formula>
    </cfRule>
    <cfRule type="cellIs" dxfId="223" priority="53" operator="greaterThanOrEqual">
      <formula>0.998</formula>
    </cfRule>
  </conditionalFormatting>
  <conditionalFormatting sqref="AB32:AC32 Z135:AC136">
    <cfRule type="containsBlanks" dxfId="222" priority="91">
      <formula>LEN(TRIM(Z32))=0</formula>
    </cfRule>
    <cfRule type="cellIs" dxfId="221" priority="92" operator="between">
      <formula>0.9</formula>
      <formula>0.998</formula>
    </cfRule>
    <cfRule type="cellIs" dxfId="220" priority="93" operator="greaterThanOrEqual">
      <formula>0.998</formula>
    </cfRule>
  </conditionalFormatting>
  <conditionalFormatting sqref="AD11:AE211">
    <cfRule type="expression" dxfId="219" priority="50">
      <formula>AND($AD11&lt;0.966,$AD11&lt;&gt;"")</formula>
    </cfRule>
  </conditionalFormatting>
  <conditionalFormatting sqref="AD214:AE242">
    <cfRule type="expression" dxfId="218" priority="19">
      <formula>AND($AD214&lt;0.966,$AD214&lt;&gt;"")</formula>
    </cfRule>
  </conditionalFormatting>
  <conditionalFormatting sqref="AK11:BP100 BU11:BW211">
    <cfRule type="expression" dxfId="217" priority="39">
      <formula>AND($M11&lt;&gt;"",$AK11&lt;&gt;"",AK11&lt;$M11)</formula>
    </cfRule>
    <cfRule type="expression" dxfId="216" priority="40">
      <formula>AND($L11&lt;&gt;"",$AK11&lt;&gt;"",AK11&gt;$L11)</formula>
    </cfRule>
    <cfRule type="notContainsBlanks" dxfId="215" priority="41">
      <formula>LEN(TRIM(AK11))&gt;0</formula>
    </cfRule>
  </conditionalFormatting>
  <conditionalFormatting sqref="AK101:BP190 AL191:BP209 AK191:AK211 AL210:AM211">
    <cfRule type="expression" dxfId="214" priority="60">
      <formula>AND($L101&lt;&gt;"",$AK101&lt;&gt;"",AK101&gt;$L101)</formula>
    </cfRule>
    <cfRule type="notContainsBlanks" dxfId="213" priority="61">
      <formula>LEN(TRIM(AK101))&gt;0</formula>
    </cfRule>
  </conditionalFormatting>
  <conditionalFormatting sqref="AK101:BP211">
    <cfRule type="expression" dxfId="212" priority="59">
      <formula>AND($M101&lt;&gt;"",$AK101&lt;&gt;"",AK101&lt;$M101)</formula>
    </cfRule>
  </conditionalFormatting>
  <conditionalFormatting sqref="AK197:BP209">
    <cfRule type="expression" dxfId="211" priority="77">
      <formula>AND($M197&lt;&gt;"",AK197&lt;$M197)</formula>
    </cfRule>
    <cfRule type="expression" dxfId="210" priority="78">
      <formula>AND($L197&lt;&gt;"",AK197&gt;$L197)</formula>
    </cfRule>
    <cfRule type="notContainsBlanks" dxfId="209" priority="79">
      <formula>LEN(TRIM(AK197))&gt;0</formula>
    </cfRule>
  </conditionalFormatting>
  <conditionalFormatting sqref="AK210:BP211">
    <cfRule type="expression" dxfId="208" priority="54">
      <formula>AND($M210&lt;&gt;"",AK210&lt;$M210)</formula>
    </cfRule>
    <cfRule type="expression" dxfId="207" priority="55">
      <formula>AND($L210&lt;&gt;"",AK210&gt;$L210)</formula>
    </cfRule>
    <cfRule type="notContainsBlanks" dxfId="206" priority="56">
      <formula>LEN(TRIM(AK210))&gt;0</formula>
    </cfRule>
    <cfRule type="expression" dxfId="205" priority="57">
      <formula>AND($L210&lt;&gt;"",$AK210&lt;&gt;"",AK210&gt;$L210)</formula>
    </cfRule>
    <cfRule type="notContainsBlanks" dxfId="204" priority="58">
      <formula>LEN(TRIM(AK210))&gt;0</formula>
    </cfRule>
  </conditionalFormatting>
  <conditionalFormatting sqref="AK214:BP242">
    <cfRule type="expression" dxfId="203" priority="10">
      <formula>AND($M214&lt;&gt;"",$AK214&lt;&gt;"",AK214&lt;$M214)</formula>
    </cfRule>
    <cfRule type="expression" dxfId="202" priority="11">
      <formula>AND($L214&lt;&gt;"",$AK214&lt;&gt;"",AK214&gt;$L214)</formula>
    </cfRule>
    <cfRule type="notContainsBlanks" dxfId="201" priority="12">
      <formula>LEN(TRIM(AK214))&gt;0</formula>
    </cfRule>
    <cfRule type="containsBlanks" dxfId="200" priority="13">
      <formula>LEN(TRIM(AK214))=0</formula>
    </cfRule>
  </conditionalFormatting>
  <conditionalFormatting sqref="BU214:BW242">
    <cfRule type="expression" dxfId="199" priority="4">
      <formula>AND($M214&lt;&gt;"",$AK214&lt;&gt;"",BU214&lt;$M214)</formula>
    </cfRule>
    <cfRule type="expression" dxfId="198" priority="5">
      <formula>AND($L214&lt;&gt;"",$AK214&lt;&gt;"",BU214&gt;$L214)</formula>
    </cfRule>
    <cfRule type="notContainsBlanks" dxfId="197" priority="6">
      <formula>LEN(TRIM(BU214))&gt;0</formula>
    </cfRule>
  </conditionalFormatting>
  <conditionalFormatting sqref="BX11:BX242">
    <cfRule type="endsWith" dxfId="196" priority="1" operator="endsWith" text="OK">
      <formula>RIGHT(BX11,LEN("OK"))="OK"</formula>
    </cfRule>
    <cfRule type="endsWith" dxfId="195" priority="2" operator="endsWith" text="OOS">
      <formula>RIGHT(BX11,LEN("OOS"))="OOS"</formula>
    </cfRule>
    <cfRule type="endsWith" dxfId="194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J11:J242" xr:uid="{0EAC49C7-5B1E-4BB9-8751-81A204A5D3FD}">
      <formula1>insp_meth</formula1>
    </dataValidation>
    <dataValidation type="list" allowBlank="1" showInputMessage="1" showErrorMessage="1" sqref="F11:F242" xr:uid="{2FE92FD3-09A3-4FAC-B8F8-65BF61CCE4A0}">
      <formula1>dim_type</formula1>
    </dataValidation>
    <dataValidation type="list" allowBlank="1" showInputMessage="1" showErrorMessage="1" sqref="K11:K242" xr:uid="{B0F4FCB8-20B9-4B39-88A7-20D2E0748161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875F-12C3-4A68-8E36-5DC855F592C9}">
  <sheetPr codeName="Sheet5"/>
  <dimension ref="A1:EDA242"/>
  <sheetViews>
    <sheetView showGridLines="0" zoomScale="55" zoomScaleNormal="55" zoomScalePageLayoutView="125" workbookViewId="0">
      <pane xSplit="14" ySplit="10" topLeftCell="BN11" activePane="bottomRight" state="frozen"/>
      <selection activeCell="AQ85" sqref="AQ85"/>
      <selection pane="topRight" activeCell="AQ85" sqref="AQ85"/>
      <selection pane="bottomLeft" activeCell="AQ85" sqref="AQ85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72" t="s">
        <v>200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74" t="s">
        <v>14</v>
      </c>
      <c r="C4" s="175"/>
      <c r="D4" s="12" t="s">
        <v>239</v>
      </c>
      <c r="E4" s="33"/>
      <c r="F4" s="176" t="s">
        <v>15</v>
      </c>
      <c r="G4" s="177"/>
      <c r="H4" s="211" t="s">
        <v>94</v>
      </c>
      <c r="I4" s="209"/>
      <c r="J4" s="209"/>
      <c r="K4" s="209"/>
      <c r="L4" s="209"/>
      <c r="M4" s="210"/>
      <c r="N4" s="34"/>
      <c r="O4" s="174" t="s">
        <v>53</v>
      </c>
      <c r="P4" s="181"/>
      <c r="Q4" s="175"/>
      <c r="R4" s="182" t="s">
        <v>327</v>
      </c>
      <c r="S4" s="183"/>
      <c r="T4" s="183"/>
      <c r="U4" s="183"/>
      <c r="V4" s="183"/>
      <c r="W4" s="18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74" t="s">
        <v>16</v>
      </c>
      <c r="C5" s="175"/>
      <c r="D5" s="12" t="s">
        <v>229</v>
      </c>
      <c r="E5" s="33"/>
      <c r="F5" s="176" t="s">
        <v>17</v>
      </c>
      <c r="G5" s="177"/>
      <c r="H5" s="208" t="s">
        <v>206</v>
      </c>
      <c r="I5" s="209"/>
      <c r="J5" s="209"/>
      <c r="K5" s="209"/>
      <c r="L5" s="209"/>
      <c r="M5" s="210"/>
      <c r="N5" s="34"/>
      <c r="O5" s="174" t="s">
        <v>36</v>
      </c>
      <c r="P5" s="181"/>
      <c r="Q5" s="175"/>
      <c r="R5" s="185"/>
      <c r="S5" s="183"/>
      <c r="T5" s="183"/>
      <c r="U5" s="183"/>
      <c r="V5" s="183"/>
      <c r="W5" s="18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74" t="s">
        <v>18</v>
      </c>
      <c r="C6" s="175"/>
      <c r="D6" s="79" t="s">
        <v>238</v>
      </c>
      <c r="E6" s="33"/>
      <c r="F6" s="176" t="s">
        <v>29</v>
      </c>
      <c r="G6" s="177"/>
      <c r="H6" s="208" t="s">
        <v>326</v>
      </c>
      <c r="I6" s="209"/>
      <c r="J6" s="209"/>
      <c r="K6" s="209"/>
      <c r="L6" s="209"/>
      <c r="M6" s="210"/>
      <c r="N6" s="34"/>
      <c r="O6" s="174" t="s">
        <v>35</v>
      </c>
      <c r="P6" s="181"/>
      <c r="Q6" s="175"/>
      <c r="R6" s="185" t="s">
        <v>237</v>
      </c>
      <c r="S6" s="183"/>
      <c r="T6" s="183"/>
      <c r="U6" s="183"/>
      <c r="V6" s="183"/>
      <c r="W6" s="18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88" t="s">
        <v>19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6"/>
      <c r="O8" s="188" t="s">
        <v>25</v>
      </c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0"/>
      <c r="AG8" s="191" t="s">
        <v>46</v>
      </c>
      <c r="AH8" s="191"/>
      <c r="AI8" s="191"/>
      <c r="AJ8" s="26"/>
      <c r="AK8" s="202" t="s">
        <v>235</v>
      </c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R8" s="206"/>
      <c r="BS8" s="206"/>
      <c r="BT8" s="206"/>
      <c r="BU8" s="206"/>
      <c r="BV8" s="206"/>
      <c r="BW8" s="206"/>
      <c r="BX8" s="199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97" t="s">
        <v>50</v>
      </c>
      <c r="AA9" s="198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204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R9" s="207"/>
      <c r="BS9" s="207"/>
      <c r="BT9" s="207"/>
      <c r="BU9" s="207"/>
      <c r="BV9" s="207"/>
      <c r="BW9" s="207"/>
      <c r="BX9" s="200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1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193" priority="85">
      <formula>AND($F11&lt;&gt;"Tolerance",$G11&lt;&gt;"")</formula>
    </cfRule>
  </conditionalFormatting>
  <conditionalFormatting sqref="G11:G240">
    <cfRule type="expression" dxfId="192" priority="86">
      <formula>AND(OR($F11="GD&amp;T",$F11="MAX",$F11="MIN"),$G11="")</formula>
    </cfRule>
  </conditionalFormatting>
  <conditionalFormatting sqref="G11:G242">
    <cfRule type="expression" dxfId="191" priority="26">
      <formula>AND($F11&lt;&gt;"Tolerance",$G11&lt;&gt;"")</formula>
    </cfRule>
  </conditionalFormatting>
  <conditionalFormatting sqref="G64 G191:G240">
    <cfRule type="containsBlanks" dxfId="190" priority="82">
      <formula>LEN(TRIM(G64))=0</formula>
    </cfRule>
  </conditionalFormatting>
  <conditionalFormatting sqref="G64">
    <cfRule type="expression" dxfId="189" priority="80">
      <formula>AND(OR($F64="GD&amp;T",$F64="MAX",$F64="MIN"),$G64="")</formula>
    </cfRule>
  </conditionalFormatting>
  <conditionalFormatting sqref="G210:G213">
    <cfRule type="containsBlanks" dxfId="188" priority="88">
      <formula>LEN(TRIM(G210))=0</formula>
    </cfRule>
    <cfRule type="expression" dxfId="187" priority="89">
      <formula>AND($F210&lt;&gt;"Tolerance",$G210&lt;&gt;"")</formula>
    </cfRule>
    <cfRule type="expression" dxfId="186" priority="90">
      <formula>AND(OR($F210="GD&amp;T",$F210="MAX",$F210="MIN"),$G210="")</formula>
    </cfRule>
  </conditionalFormatting>
  <conditionalFormatting sqref="G214:G240 G47:G48">
    <cfRule type="expression" dxfId="185" priority="83">
      <formula>AND(OR($F47="GD&amp;T",$F47="MAX",$F47="MIN"),$G47="")</formula>
    </cfRule>
  </conditionalFormatting>
  <conditionalFormatting sqref="G241:G242">
    <cfRule type="containsBlanks" dxfId="184" priority="21">
      <formula>LEN(TRIM(G241))=0</formula>
    </cfRule>
    <cfRule type="expression" dxfId="183" priority="36">
      <formula>AND(OR($F241="GD&amp;T",$F241="MAX",$F241="MIN"),$G241="")</formula>
    </cfRule>
    <cfRule type="expression" dxfId="182" priority="37">
      <formula>AND($F241&lt;&gt;"Tolerance",$G241&lt;&gt;"")</formula>
    </cfRule>
    <cfRule type="expression" dxfId="181" priority="38">
      <formula>AND(OR($F241="GD&amp;T",$F241="MAX",$F241="MIN"),$G241="")</formula>
    </cfRule>
  </conditionalFormatting>
  <conditionalFormatting sqref="G11:I190 AK11:BP211 H191:I242">
    <cfRule type="containsBlanks" dxfId="180" priority="84">
      <formula>LEN(TRIM(G11))=0</formula>
    </cfRule>
  </conditionalFormatting>
  <conditionalFormatting sqref="H11:H242">
    <cfRule type="expression" dxfId="179" priority="24">
      <formula>AND($F11="MIN",$H11&lt;&gt;"")</formula>
    </cfRule>
    <cfRule type="expression" dxfId="178" priority="25">
      <formula>AND($F11="MIN",$H11="")</formula>
    </cfRule>
  </conditionalFormatting>
  <conditionalFormatting sqref="I11:I242">
    <cfRule type="expression" dxfId="177" priority="22">
      <formula>AND(OR($F11="GD&amp;T",$F11="MAX"),$I11&lt;&gt;"")</formula>
    </cfRule>
    <cfRule type="expression" dxfId="176" priority="23">
      <formula>AND(OR($F11="GD&amp;T",$F11="MAX"),$I11="")</formula>
    </cfRule>
  </conditionalFormatting>
  <conditionalFormatting sqref="O11:Q242">
    <cfRule type="expression" dxfId="175" priority="48">
      <formula>AND($M11&lt;&gt;"",$AK11&lt;&gt;"",O11&lt;$M11)</formula>
    </cfRule>
    <cfRule type="expression" dxfId="174" priority="49">
      <formula>AND($L11&lt;&gt;"",$AK11&lt;&gt;"",O11&gt;$L11)</formula>
    </cfRule>
  </conditionalFormatting>
  <conditionalFormatting sqref="O11:R242">
    <cfRule type="notContainsBlanks" dxfId="173" priority="69">
      <formula>LEN(TRIM(O11))&gt;0</formula>
    </cfRule>
  </conditionalFormatting>
  <conditionalFormatting sqref="R11:R242">
    <cfRule type="expression" dxfId="172" priority="67">
      <formula>AND($R11&lt;&gt;"",$S11&lt;1.67)</formula>
    </cfRule>
  </conditionalFormatting>
  <conditionalFormatting sqref="V11:X211 S11:S242">
    <cfRule type="expression" dxfId="171" priority="68">
      <formula>$K11="Yes"</formula>
    </cfRule>
    <cfRule type="expression" dxfId="170" priority="70">
      <formula>AND($AD11&lt;0.966,$AD11&lt;&gt;"")</formula>
    </cfRule>
    <cfRule type="cellIs" dxfId="169" priority="74" operator="lessThan">
      <formula>$E11</formula>
    </cfRule>
    <cfRule type="notContainsBlanks" dxfId="168" priority="76">
      <formula>LEN(TRIM(S11))&gt;0</formula>
    </cfRule>
  </conditionalFormatting>
  <conditionalFormatting sqref="V214:X242">
    <cfRule type="expression" dxfId="167" priority="28">
      <formula>$K214="Yes"</formula>
    </cfRule>
    <cfRule type="expression" dxfId="166" priority="29">
      <formula>AND($AD214&lt;0.966,$AD214&lt;&gt;"")</formula>
    </cfRule>
    <cfRule type="cellIs" dxfId="165" priority="33" operator="lessThan">
      <formula>$E214</formula>
    </cfRule>
    <cfRule type="notContainsBlanks" dxfId="164" priority="35">
      <formula>LEN(TRIM(V214))&gt;0</formula>
    </cfRule>
  </conditionalFormatting>
  <conditionalFormatting sqref="Y11:Y211">
    <cfRule type="containsBlanks" dxfId="163" priority="71">
      <formula>LEN(TRIM(Y11))=0</formula>
    </cfRule>
    <cfRule type="cellIs" dxfId="162" priority="72" operator="between">
      <formula>0.9</formula>
      <formula>0.998</formula>
    </cfRule>
    <cfRule type="cellIs" dxfId="161" priority="73" operator="greaterThanOrEqual">
      <formula>0.998</formula>
    </cfRule>
    <cfRule type="notContainsBlanks" dxfId="160" priority="75">
      <formula>LEN(TRIM(Y11))&gt;0</formula>
    </cfRule>
  </conditionalFormatting>
  <conditionalFormatting sqref="Y214:Y242">
    <cfRule type="containsBlanks" dxfId="159" priority="30">
      <formula>LEN(TRIM(Y214))=0</formula>
    </cfRule>
    <cfRule type="cellIs" dxfId="158" priority="31" operator="between">
      <formula>0.9</formula>
      <formula>0.998</formula>
    </cfRule>
    <cfRule type="cellIs" dxfId="157" priority="32" operator="greaterThanOrEqual">
      <formula>0.998</formula>
    </cfRule>
    <cfRule type="notContainsBlanks" dxfId="156" priority="34">
      <formula>LEN(TRIM(Y214))&gt;0</formula>
    </cfRule>
  </conditionalFormatting>
  <conditionalFormatting sqref="Z139:AC211">
    <cfRule type="containsBlanks" dxfId="155" priority="51">
      <formula>LEN(TRIM(Z139))=0</formula>
    </cfRule>
    <cfRule type="cellIs" dxfId="154" priority="52" operator="between">
      <formula>0.9</formula>
      <formula>0.998</formula>
    </cfRule>
    <cfRule type="cellIs" dxfId="153" priority="53" operator="greaterThanOrEqual">
      <formula>0.998</formula>
    </cfRule>
  </conditionalFormatting>
  <conditionalFormatting sqref="AB32:AC32 Z135:AC136">
    <cfRule type="containsBlanks" dxfId="152" priority="91">
      <formula>LEN(TRIM(Z32))=0</formula>
    </cfRule>
    <cfRule type="cellIs" dxfId="151" priority="92" operator="between">
      <formula>0.9</formula>
      <formula>0.998</formula>
    </cfRule>
    <cfRule type="cellIs" dxfId="150" priority="93" operator="greaterThanOrEqual">
      <formula>0.998</formula>
    </cfRule>
  </conditionalFormatting>
  <conditionalFormatting sqref="AD11:AE211">
    <cfRule type="expression" dxfId="149" priority="50">
      <formula>AND($AD11&lt;0.966,$AD11&lt;&gt;"")</formula>
    </cfRule>
  </conditionalFormatting>
  <conditionalFormatting sqref="AD214:AE242">
    <cfRule type="expression" dxfId="148" priority="19">
      <formula>AND($AD214&lt;0.966,$AD214&lt;&gt;"")</formula>
    </cfRule>
  </conditionalFormatting>
  <conditionalFormatting sqref="AK11:BP100 BU11:BW211">
    <cfRule type="expression" dxfId="147" priority="39">
      <formula>AND($M11&lt;&gt;"",$AK11&lt;&gt;"",AK11&lt;$M11)</formula>
    </cfRule>
    <cfRule type="expression" dxfId="146" priority="40">
      <formula>AND($L11&lt;&gt;"",$AK11&lt;&gt;"",AK11&gt;$L11)</formula>
    </cfRule>
    <cfRule type="notContainsBlanks" dxfId="145" priority="41">
      <formula>LEN(TRIM(AK11))&gt;0</formula>
    </cfRule>
  </conditionalFormatting>
  <conditionalFormatting sqref="AK101:BP190 AL191:BP209 AK191:AK211 AL210:AM211">
    <cfRule type="expression" dxfId="144" priority="60">
      <formula>AND($L101&lt;&gt;"",$AK101&lt;&gt;"",AK101&gt;$L101)</formula>
    </cfRule>
    <cfRule type="notContainsBlanks" dxfId="143" priority="61">
      <formula>LEN(TRIM(AK101))&gt;0</formula>
    </cfRule>
  </conditionalFormatting>
  <conditionalFormatting sqref="AK101:BP211">
    <cfRule type="expression" dxfId="142" priority="59">
      <formula>AND($M101&lt;&gt;"",$AK101&lt;&gt;"",AK101&lt;$M101)</formula>
    </cfRule>
  </conditionalFormatting>
  <conditionalFormatting sqref="AK197:BP209">
    <cfRule type="expression" dxfId="141" priority="77">
      <formula>AND($M197&lt;&gt;"",AK197&lt;$M197)</formula>
    </cfRule>
    <cfRule type="expression" dxfId="140" priority="78">
      <formula>AND($L197&lt;&gt;"",AK197&gt;$L197)</formula>
    </cfRule>
    <cfRule type="notContainsBlanks" dxfId="139" priority="79">
      <formula>LEN(TRIM(AK197))&gt;0</formula>
    </cfRule>
  </conditionalFormatting>
  <conditionalFormatting sqref="AK210:BP211">
    <cfRule type="expression" dxfId="138" priority="54">
      <formula>AND($M210&lt;&gt;"",AK210&lt;$M210)</formula>
    </cfRule>
    <cfRule type="expression" dxfId="137" priority="55">
      <formula>AND($L210&lt;&gt;"",AK210&gt;$L210)</formula>
    </cfRule>
    <cfRule type="notContainsBlanks" dxfId="136" priority="56">
      <formula>LEN(TRIM(AK210))&gt;0</formula>
    </cfRule>
    <cfRule type="expression" dxfId="135" priority="57">
      <formula>AND($L210&lt;&gt;"",$AK210&lt;&gt;"",AK210&gt;$L210)</formula>
    </cfRule>
    <cfRule type="notContainsBlanks" dxfId="134" priority="58">
      <formula>LEN(TRIM(AK210))&gt;0</formula>
    </cfRule>
  </conditionalFormatting>
  <conditionalFormatting sqref="AK214:BP242">
    <cfRule type="expression" dxfId="133" priority="10">
      <formula>AND($M214&lt;&gt;"",$AK214&lt;&gt;"",AK214&lt;$M214)</formula>
    </cfRule>
    <cfRule type="expression" dxfId="132" priority="11">
      <formula>AND($L214&lt;&gt;"",$AK214&lt;&gt;"",AK214&gt;$L214)</formula>
    </cfRule>
    <cfRule type="notContainsBlanks" dxfId="131" priority="12">
      <formula>LEN(TRIM(AK214))&gt;0</formula>
    </cfRule>
    <cfRule type="containsBlanks" dxfId="130" priority="13">
      <formula>LEN(TRIM(AK214))=0</formula>
    </cfRule>
  </conditionalFormatting>
  <conditionalFormatting sqref="BU214:BW242">
    <cfRule type="expression" dxfId="129" priority="4">
      <formula>AND($M214&lt;&gt;"",$AK214&lt;&gt;"",BU214&lt;$M214)</formula>
    </cfRule>
    <cfRule type="expression" dxfId="128" priority="5">
      <formula>AND($L214&lt;&gt;"",$AK214&lt;&gt;"",BU214&gt;$L214)</formula>
    </cfRule>
    <cfRule type="notContainsBlanks" dxfId="127" priority="6">
      <formula>LEN(TRIM(BU214))&gt;0</formula>
    </cfRule>
  </conditionalFormatting>
  <conditionalFormatting sqref="BX11:BX242">
    <cfRule type="endsWith" dxfId="126" priority="1" operator="endsWith" text="OK">
      <formula>RIGHT(BX11,LEN("OK"))="OK"</formula>
    </cfRule>
    <cfRule type="endsWith" dxfId="125" priority="2" operator="endsWith" text="OOS">
      <formula>RIGHT(BX11,LEN("OOS"))="OOS"</formula>
    </cfRule>
    <cfRule type="endsWith" dxfId="124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J11:J242" xr:uid="{E049BCAE-E94D-4AEA-AF0A-07D0C5F5A8EF}">
      <formula1>insp_meth</formula1>
    </dataValidation>
    <dataValidation type="list" allowBlank="1" showInputMessage="1" showErrorMessage="1" sqref="F11:F242" xr:uid="{3AF7E9A5-1684-497D-B485-7A6B7F5B61A3}">
      <formula1>dim_type</formula1>
    </dataValidation>
    <dataValidation type="list" allowBlank="1" showInputMessage="1" showErrorMessage="1" sqref="K11:K242" xr:uid="{9571C4CF-B4A1-458F-A398-04F9C82C5982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325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454E-2A74-4A36-948C-FCCF4BDF7E1A}">
  <sheetPr codeName="Sheet6"/>
  <dimension ref="A1:EDA242"/>
  <sheetViews>
    <sheetView showGridLines="0" zoomScale="55" zoomScaleNormal="55" zoomScalePageLayoutView="125" workbookViewId="0">
      <pane xSplit="14" ySplit="10" topLeftCell="O11" activePane="bottomRight" state="frozen"/>
      <selection activeCell="G242" sqref="G11:I242"/>
      <selection pane="topRight" activeCell="G242" sqref="G11:I242"/>
      <selection pane="bottomLeft" activeCell="G242" sqref="G11:I242"/>
      <selection pane="bottomRight" activeCell="AQ85" sqref="AQ85"/>
    </sheetView>
  </sheetViews>
  <sheetFormatPr defaultColWidth="8.6640625" defaultRowHeight="17.25"/>
  <cols>
    <col min="1" max="1" width="0.6640625" customWidth="1"/>
    <col min="2" max="3" width="7.6640625" customWidth="1"/>
    <col min="4" max="4" width="26.664062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7.6640625" hidden="1" customWidth="1"/>
    <col min="15" max="25" width="7.6640625" customWidth="1"/>
    <col min="26" max="36" width="7.6640625" hidden="1" customWidth="1"/>
    <col min="37" max="68" width="7.6640625" customWidth="1"/>
  </cols>
  <sheetData>
    <row r="1" spans="1:1015 1039:2030 2051:3056 3117:3453" s="1" customFormat="1" ht="21.95" customHeight="1">
      <c r="A1" s="172" t="s">
        <v>200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5"/>
      <c r="AG1" s="35"/>
      <c r="AH1" s="35"/>
      <c r="AI1" s="35"/>
      <c r="AJ1" s="11"/>
    </row>
    <row r="2" spans="1:1015 1039:2030 2051:3056 3117:3453" s="1" customFormat="1" ht="14.1" customHeight="1">
      <c r="B2" s="9" t="s">
        <v>56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15 1039:2030 2051:3056 3117:345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15 1039:2030 2051:3056 3117:3453" s="1" customFormat="1" ht="18.75" customHeight="1">
      <c r="B4" s="174" t="s">
        <v>14</v>
      </c>
      <c r="C4" s="175"/>
      <c r="D4" s="12" t="s">
        <v>239</v>
      </c>
      <c r="E4" s="33"/>
      <c r="F4" s="176" t="s">
        <v>15</v>
      </c>
      <c r="G4" s="177"/>
      <c r="H4" s="211" t="s">
        <v>94</v>
      </c>
      <c r="I4" s="209"/>
      <c r="J4" s="209"/>
      <c r="K4" s="209"/>
      <c r="L4" s="209"/>
      <c r="M4" s="210"/>
      <c r="N4" s="34"/>
      <c r="O4" s="174" t="s">
        <v>53</v>
      </c>
      <c r="P4" s="181"/>
      <c r="Q4" s="175"/>
      <c r="R4" s="182" t="s">
        <v>327</v>
      </c>
      <c r="S4" s="183"/>
      <c r="T4" s="183"/>
      <c r="U4" s="183"/>
      <c r="V4" s="183"/>
      <c r="W4" s="18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15 1039:2030 2051:3056 3117:3453" s="1" customFormat="1" ht="18.75" customHeight="1">
      <c r="B5" s="174" t="s">
        <v>16</v>
      </c>
      <c r="C5" s="175"/>
      <c r="D5" s="12" t="s">
        <v>229</v>
      </c>
      <c r="E5" s="33"/>
      <c r="F5" s="176" t="s">
        <v>17</v>
      </c>
      <c r="G5" s="177"/>
      <c r="H5" s="208" t="s">
        <v>206</v>
      </c>
      <c r="I5" s="209"/>
      <c r="J5" s="209"/>
      <c r="K5" s="209"/>
      <c r="L5" s="209"/>
      <c r="M5" s="210"/>
      <c r="N5" s="34"/>
      <c r="O5" s="174" t="s">
        <v>36</v>
      </c>
      <c r="P5" s="181"/>
      <c r="Q5" s="175"/>
      <c r="R5" s="185"/>
      <c r="S5" s="183"/>
      <c r="T5" s="183"/>
      <c r="U5" s="183"/>
      <c r="V5" s="183"/>
      <c r="W5" s="18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15 1039:2030 2051:3056 3117:3453" s="1" customFormat="1" ht="18.75" customHeight="1">
      <c r="B6" s="174" t="s">
        <v>18</v>
      </c>
      <c r="C6" s="175"/>
      <c r="D6" s="79" t="s">
        <v>238</v>
      </c>
      <c r="E6" s="33"/>
      <c r="F6" s="176" t="s">
        <v>29</v>
      </c>
      <c r="G6" s="177"/>
      <c r="H6" s="208" t="s">
        <v>326</v>
      </c>
      <c r="I6" s="209"/>
      <c r="J6" s="209"/>
      <c r="K6" s="209"/>
      <c r="L6" s="209"/>
      <c r="M6" s="210"/>
      <c r="N6" s="34"/>
      <c r="O6" s="174" t="s">
        <v>35</v>
      </c>
      <c r="P6" s="181"/>
      <c r="Q6" s="175"/>
      <c r="R6" s="185" t="s">
        <v>237</v>
      </c>
      <c r="S6" s="183"/>
      <c r="T6" s="183"/>
      <c r="U6" s="183"/>
      <c r="V6" s="183"/>
      <c r="W6" s="18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15 1039:2030 2051:3056 3117:345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15 1039:2030 2051:3056 3117:3453" s="17" customFormat="1" ht="15" customHeight="1">
      <c r="A8" s="26"/>
      <c r="B8" s="188" t="s">
        <v>19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  <c r="N8" s="26"/>
      <c r="O8" s="188" t="s">
        <v>25</v>
      </c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0"/>
      <c r="AG8" s="191" t="s">
        <v>46</v>
      </c>
      <c r="AH8" s="191"/>
      <c r="AI8" s="191"/>
      <c r="AJ8" s="26"/>
      <c r="AK8" s="202" t="s">
        <v>236</v>
      </c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R8" s="206"/>
      <c r="BS8" s="206"/>
      <c r="BT8" s="206"/>
      <c r="BU8" s="206"/>
      <c r="BV8" s="206"/>
      <c r="BW8" s="206"/>
      <c r="BX8" s="199" t="s">
        <v>323</v>
      </c>
    </row>
    <row r="9" spans="1:1015 1039:2030 2051:3056 3117:3453" s="17" customFormat="1" ht="24.95" customHeight="1">
      <c r="A9" s="31"/>
      <c r="B9" s="47"/>
      <c r="C9" s="47"/>
      <c r="D9" s="47"/>
      <c r="E9" s="47"/>
      <c r="F9" s="47"/>
      <c r="G9" s="48"/>
      <c r="H9" s="52" t="s">
        <v>40</v>
      </c>
      <c r="I9" s="52" t="s">
        <v>41</v>
      </c>
      <c r="J9" s="46"/>
      <c r="K9" s="46"/>
      <c r="L9" s="64"/>
      <c r="M9" s="64"/>
      <c r="N9" s="31"/>
      <c r="O9" s="37"/>
      <c r="P9" s="37"/>
      <c r="Q9" s="38"/>
      <c r="R9" s="37"/>
      <c r="S9" s="36"/>
      <c r="T9" s="36"/>
      <c r="U9" s="36"/>
      <c r="V9" s="36"/>
      <c r="W9" s="36"/>
      <c r="X9" s="36"/>
      <c r="Y9" s="36"/>
      <c r="Z9" s="197" t="s">
        <v>50</v>
      </c>
      <c r="AA9" s="198"/>
      <c r="AB9" s="45" t="s">
        <v>43</v>
      </c>
      <c r="AC9" s="69">
        <v>1.5</v>
      </c>
      <c r="AD9" s="44"/>
      <c r="AE9" s="44"/>
      <c r="AF9" s="67"/>
      <c r="AG9" s="65"/>
      <c r="AH9" s="65"/>
      <c r="AI9" s="66"/>
      <c r="AJ9" s="56"/>
      <c r="AK9" s="204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R9" s="207"/>
      <c r="BS9" s="207"/>
      <c r="BT9" s="207"/>
      <c r="BU9" s="207"/>
      <c r="BV9" s="207"/>
      <c r="BW9" s="207"/>
      <c r="BX9" s="200"/>
    </row>
    <row r="10" spans="1:1015 1039:2030 2051:3056 3117:3453" s="24" customFormat="1" ht="24" customHeight="1">
      <c r="A10" s="27"/>
      <c r="B10" s="49" t="s">
        <v>1</v>
      </c>
      <c r="C10" s="49" t="s">
        <v>22</v>
      </c>
      <c r="D10" s="49" t="s">
        <v>2</v>
      </c>
      <c r="E10" s="49" t="s">
        <v>49</v>
      </c>
      <c r="F10" s="49" t="s">
        <v>26</v>
      </c>
      <c r="G10" s="50" t="s">
        <v>21</v>
      </c>
      <c r="H10" s="68" t="s">
        <v>47</v>
      </c>
      <c r="I10" s="68" t="s">
        <v>48</v>
      </c>
      <c r="J10" s="51" t="s">
        <v>20</v>
      </c>
      <c r="K10" s="51" t="s">
        <v>51</v>
      </c>
      <c r="L10" s="53" t="s">
        <v>3</v>
      </c>
      <c r="M10" s="53" t="s">
        <v>4</v>
      </c>
      <c r="N10" s="27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54</v>
      </c>
      <c r="U10" s="43" t="s">
        <v>55</v>
      </c>
      <c r="V10" s="43" t="s">
        <v>9</v>
      </c>
      <c r="W10" s="43" t="s">
        <v>10</v>
      </c>
      <c r="X10" s="43" t="s">
        <v>11</v>
      </c>
      <c r="Y10" s="43" t="s">
        <v>37</v>
      </c>
      <c r="Z10" s="72" t="s">
        <v>38</v>
      </c>
      <c r="AA10" s="72" t="s">
        <v>39</v>
      </c>
      <c r="AB10" s="54" t="s">
        <v>42</v>
      </c>
      <c r="AC10" s="55" t="s">
        <v>44</v>
      </c>
      <c r="AD10" s="39" t="s">
        <v>23</v>
      </c>
      <c r="AE10" s="39" t="s">
        <v>24</v>
      </c>
      <c r="AF10" s="39" t="s">
        <v>45</v>
      </c>
      <c r="AG10" s="65"/>
      <c r="AH10" s="65"/>
      <c r="AI10" s="66"/>
      <c r="AJ10" s="83">
        <v>0.35416666666666669</v>
      </c>
      <c r="AK10" s="40">
        <v>1</v>
      </c>
      <c r="AL10" s="40">
        <v>2</v>
      </c>
      <c r="AM10" s="40">
        <v>3</v>
      </c>
      <c r="AN10" s="40">
        <v>4</v>
      </c>
      <c r="AO10" s="40">
        <v>5</v>
      </c>
      <c r="AP10" s="40">
        <v>6</v>
      </c>
      <c r="AQ10" s="40">
        <v>7</v>
      </c>
      <c r="AR10" s="40">
        <v>8</v>
      </c>
      <c r="AS10" s="40">
        <v>9</v>
      </c>
      <c r="AT10" s="40">
        <v>10</v>
      </c>
      <c r="AU10" s="40">
        <v>11</v>
      </c>
      <c r="AV10" s="40">
        <v>12</v>
      </c>
      <c r="AW10" s="40">
        <v>13</v>
      </c>
      <c r="AX10" s="40">
        <v>14</v>
      </c>
      <c r="AY10" s="40">
        <v>15</v>
      </c>
      <c r="AZ10" s="40">
        <v>16</v>
      </c>
      <c r="BA10" s="40">
        <v>17</v>
      </c>
      <c r="BB10" s="40">
        <v>18</v>
      </c>
      <c r="BC10" s="40">
        <v>19</v>
      </c>
      <c r="BD10" s="40">
        <v>20</v>
      </c>
      <c r="BE10" s="40">
        <v>21</v>
      </c>
      <c r="BF10" s="40">
        <v>22</v>
      </c>
      <c r="BG10" s="40">
        <v>23</v>
      </c>
      <c r="BH10" s="40">
        <v>24</v>
      </c>
      <c r="BI10" s="40">
        <v>25</v>
      </c>
      <c r="BJ10" s="40">
        <v>26</v>
      </c>
      <c r="BK10" s="40">
        <v>27</v>
      </c>
      <c r="BL10" s="40">
        <v>28</v>
      </c>
      <c r="BM10" s="40">
        <v>29</v>
      </c>
      <c r="BN10" s="40">
        <v>30</v>
      </c>
      <c r="BO10" s="40">
        <v>31</v>
      </c>
      <c r="BP10" s="40">
        <v>32</v>
      </c>
      <c r="BR10" s="111" t="s">
        <v>325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1"/>
    </row>
    <row r="11" spans="1:1015 1039:2030 2051:3056 3117:3453" ht="15" customHeight="1">
      <c r="A11" s="18">
        <v>3</v>
      </c>
      <c r="B11" s="84" t="s">
        <v>142</v>
      </c>
      <c r="C11" s="85" t="s">
        <v>59</v>
      </c>
      <c r="D11" s="80" t="s">
        <v>60</v>
      </c>
      <c r="E11" s="86">
        <v>1.5</v>
      </c>
      <c r="F11" s="13" t="s">
        <v>28</v>
      </c>
      <c r="G11" s="14">
        <v>0.5</v>
      </c>
      <c r="H11" s="82" t="str">
        <f>IF(OOC!S11=0,"",OOC!S11)</f>
        <v/>
      </c>
      <c r="I11" s="82" t="str">
        <f>IF(OOC!T11=0,"",OOC!T11)</f>
        <v/>
      </c>
      <c r="J11" s="16" t="s">
        <v>12</v>
      </c>
      <c r="K11" s="73" t="s">
        <v>52</v>
      </c>
      <c r="L11" s="19" t="e">
        <f t="shared" ref="L11:L193" si="0">IF(AND(G11="",H11=""),"",IF(G11="",H11,G11+H11))</f>
        <v>#VALUE!</v>
      </c>
      <c r="M11" s="25" t="e">
        <f t="shared" ref="M11:M193" si="1">IF(AND(G11="",I11=""),"",IF(G11="",I11,G11+I11))</f>
        <v>#VALUE!</v>
      </c>
      <c r="N11" s="28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6" t="e">
        <f t="shared" ref="T11:T86" si="2">IF(OR($AK11="",ISNUMBER($AK11)=FALSE),"",IF(AND($F11="Tolerance",$G11&lt;&gt;""),($Q11-$G11)/(($L11-$M11)/2),IF(AND($F11="GD&amp;T",$H11&lt;&gt;""),$Q11/$H11,"")))</f>
        <v>#REF!</v>
      </c>
      <c r="U11" s="76" t="e">
        <f t="shared" ref="U11:U193" si="3"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84" si="4">IF(OR($AK11="",ISNUMBER($AK11)=FALSE),"",IF(H11="","",(L11-Q11)/(3*R11)))</f>
        <v>#REF!</v>
      </c>
      <c r="W11" s="5" t="e">
        <f t="shared" ref="W11:W84" si="5">IF(OR($AK11="",ISNUMBER($AK11)=FALSE),"",IF(I11="","",(Q11-M11)/(3*R11)))</f>
        <v>#REF!</v>
      </c>
      <c r="X11" s="5" t="e">
        <f t="shared" ref="X11:X84" si="6">IF(OR($AK11="",ISNUMBER($AK11)=FALSE),"",IF(AND(G11=0,I11=0),((H11)-(Q11))/(3*R11),MIN(V11:W11)))</f>
        <v>#REF!</v>
      </c>
      <c r="Y11" s="70" t="e">
        <f t="shared" ref="Y11:Y84" si="7">IF(OR($AK11="",ISNUMBER($AK11)=FALSE),"",IF(AND(G11=0,I11=0),NORMSDIST(3*X11),NORMSDIST(3*X11)+NORMSDIST(6*S11-3*X11)-1))</f>
        <v>#REF!</v>
      </c>
      <c r="Z11" s="32" t="e">
        <f t="shared" ref="Z11:Z181" si="8">IF($Q11="","",IF(F11="Tolerance",IF(($E11*3*R11+Q11)-G11&lt;H11,"",($E11*3*R11+Q11)-G11),IF(OR(F11="GD&amp;T",F11="MAX"),IF(($E11*3*R11+Q11)&lt;H11,"",($E11*3*R11+Q11)),"")))</f>
        <v>#REF!</v>
      </c>
      <c r="AA11" s="32" t="e">
        <f t="shared" ref="AA11:AA181" si="9">IF(Q11="","",IF(F11="Tolerance",IF(-(($E11*3*R11)-Q11)-G11&gt;I11,"",-(($E11*3*R11)-Q11)-G11),IF(F11="MIN",IF(-(($E11*3*R11)-Q11)&gt;I11,"",-(($E11*3*R11)-Q11)),"")))</f>
        <v>#REF!</v>
      </c>
      <c r="AB11" s="32" t="e">
        <f t="shared" ref="AB11:AB181" si="10">IF(OR(G11="",Q11=""),"",(L11+M11)/2-Q11)</f>
        <v>#REF!</v>
      </c>
      <c r="AC11" s="32" t="e">
        <f t="shared" ref="AC11:AC183" si="11">IF(OR($S11&gt;$AC$9,$R11=""),"",$AC$9*6*$R11)</f>
        <v>#REF!</v>
      </c>
      <c r="AD11" s="30"/>
      <c r="AE11" s="21" t="str">
        <f t="shared" ref="AE11:AE193" si="12">IF(AD11="","",IF(AD11&gt;=0.966,"Normal","Not Normal"))</f>
        <v/>
      </c>
      <c r="AF11" s="74"/>
      <c r="AG11" s="57"/>
      <c r="AH11" s="57"/>
      <c r="AI11" s="58"/>
      <c r="AJ11" s="23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0" t="str">
        <f>IF(ISNUMBER(SEARCH("(DC)", B11)), C11 &amp; B11, C11)</f>
        <v>3-1</v>
      </c>
      <c r="BS11" s="112">
        <f>OOC!G11</f>
        <v>0.51</v>
      </c>
      <c r="BT11" s="112">
        <f>OOC!H11</f>
        <v>0.49</v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09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FL11" s="78"/>
      <c r="JM11" s="78"/>
      <c r="AFW11" s="78"/>
      <c r="BFG11" s="78"/>
      <c r="BJW11" s="78"/>
      <c r="BOZ11" s="78"/>
      <c r="BPU11" s="78"/>
      <c r="BRU11" s="78"/>
      <c r="BSA11" s="78"/>
      <c r="BUL11" s="78"/>
      <c r="BVZ11" s="78"/>
      <c r="BWH11" s="78"/>
      <c r="BZB11" s="78"/>
      <c r="BZW11" s="78"/>
      <c r="DHQ11" s="78"/>
      <c r="DIU11" s="78"/>
      <c r="DOW11" s="78"/>
      <c r="EBU11" s="78"/>
    </row>
    <row r="12" spans="1:1015 1039:2030 2051:3056 3117:3453" ht="15" customHeight="1">
      <c r="A12" s="18">
        <v>4</v>
      </c>
      <c r="B12" s="84" t="s">
        <v>142</v>
      </c>
      <c r="C12" s="85" t="s">
        <v>61</v>
      </c>
      <c r="D12" s="80" t="s">
        <v>60</v>
      </c>
      <c r="E12" s="86">
        <v>1.5</v>
      </c>
      <c r="F12" s="13" t="s">
        <v>28</v>
      </c>
      <c r="G12" s="14">
        <v>0.5</v>
      </c>
      <c r="H12" s="82" t="str">
        <f>IF(OOC!S12=0,"",OOC!S12)</f>
        <v/>
      </c>
      <c r="I12" s="82" t="str">
        <f>IF(OOC!T12=0,"",OOC!T12)</f>
        <v/>
      </c>
      <c r="J12" s="16" t="s">
        <v>12</v>
      </c>
      <c r="K12" s="73" t="s">
        <v>52</v>
      </c>
      <c r="L12" s="19" t="e">
        <f t="shared" si="0"/>
        <v>#VALUE!</v>
      </c>
      <c r="M12" s="25" t="e">
        <f t="shared" si="1"/>
        <v>#VALUE!</v>
      </c>
      <c r="N12" s="28"/>
      <c r="O12" s="3" t="e">
        <f>IF(OR($AK12="",ISNUMBER($AK12)=FALSE),"",MAX(AK12:BP12))</f>
        <v>#REF!</v>
      </c>
      <c r="P12" s="3" t="e">
        <f>IF(OR($AK12="",ISNUMBER($AK12)=FALSE),"",MIN(AK12:BP12))</f>
        <v>#REF!</v>
      </c>
      <c r="Q12" s="3" t="e">
        <f>IF(OR($AK12="",ISNUMBER($AK12)=FALSE),"",AVERAGE(AK12:BP12))</f>
        <v>#REF!</v>
      </c>
      <c r="R12" s="4" t="e">
        <f>IF(OR($AK12="",ISNUMBER($AK12)=FALSE),"",STDEV(AK12:BP12))</f>
        <v>#REF!</v>
      </c>
      <c r="S12" s="5" t="e">
        <f t="shared" ref="S12:S90" si="13">IF(OR($AK12="",ISNUMBER($AK12)=FALSE),"",IF(AND(G12=0,I12=""),V12,IF(AND(G12="",H12=""),W12,(H12+ABS(I12))/(6*R12))))</f>
        <v>#REF!</v>
      </c>
      <c r="T12" s="76" t="e">
        <f t="shared" si="2"/>
        <v>#REF!</v>
      </c>
      <c r="U12" s="76" t="e">
        <f t="shared" si="3"/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0" t="e">
        <f t="shared" si="7"/>
        <v>#REF!</v>
      </c>
      <c r="Z12" s="32" t="e">
        <f t="shared" si="8"/>
        <v>#REF!</v>
      </c>
      <c r="AA12" s="32" t="e">
        <f t="shared" si="9"/>
        <v>#REF!</v>
      </c>
      <c r="AB12" s="32" t="e">
        <f t="shared" si="10"/>
        <v>#REF!</v>
      </c>
      <c r="AC12" s="32" t="e">
        <f t="shared" si="11"/>
        <v>#REF!</v>
      </c>
      <c r="AD12" s="30"/>
      <c r="AE12" s="21" t="str">
        <f t="shared" si="12"/>
        <v/>
      </c>
      <c r="AF12" s="74"/>
      <c r="AG12" s="57"/>
      <c r="AH12" s="57"/>
      <c r="AI12" s="58"/>
      <c r="AJ12" s="23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0" t="str">
        <f t="shared" ref="BR12:BR90" si="14">IF(ISNUMBER(SEARCH("(DC)", B12)), C12 &amp; B12, C12)</f>
        <v>3-2</v>
      </c>
      <c r="BS12" s="112">
        <f>OOC!G12</f>
        <v>0.51</v>
      </c>
      <c r="BT12" s="112">
        <f>OOC!H12</f>
        <v>0.49</v>
      </c>
      <c r="BU12" s="3" t="e">
        <f t="shared" ref="BU12:BU90" si="15">IF(OR($AK12="",ISNUMBER($AK12)=FALSE),"",MAX(AK12:BP12))</f>
        <v>#REF!</v>
      </c>
      <c r="BV12" s="3" t="e">
        <f t="shared" ref="BV12:BV90" si="16">IF(OR($AK12="",ISNUMBER($AK12)=FALSE),"",MIN(AK12:BP12))</f>
        <v>#REF!</v>
      </c>
      <c r="BW12" s="3" t="e">
        <f t="shared" ref="BW12:BW90" si="17">IF(OR($AK12="",ISNUMBER($AK12)=FALSE),"",AVERAGE(AK12:BP12))</f>
        <v>#REF!</v>
      </c>
      <c r="BX12" s="109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Q12" s="78"/>
      <c r="KU12" s="78"/>
      <c r="QJ12" s="78"/>
      <c r="TI12" s="78"/>
      <c r="ABB12" s="78"/>
      <c r="ABP12" s="78"/>
      <c r="ALY12" s="78"/>
      <c r="AMY12" s="78"/>
      <c r="AQH12" s="78"/>
      <c r="ARM12" s="78"/>
      <c r="AVB12" s="78"/>
      <c r="BAH12" s="78"/>
      <c r="BAR12" s="78"/>
      <c r="BGT12" s="78"/>
      <c r="BJH12" s="78"/>
      <c r="BOS12" s="78"/>
      <c r="BSL12" s="78"/>
      <c r="BTA12" s="78"/>
      <c r="BVP12" s="78"/>
      <c r="BVU12" s="78"/>
      <c r="BWE12" s="78"/>
      <c r="BXU12" s="78"/>
      <c r="CCU12" s="78"/>
      <c r="CER12" s="78"/>
      <c r="CFJ12" s="78"/>
      <c r="CFK12" s="78"/>
      <c r="CKG12" s="78"/>
      <c r="CMH12" s="78"/>
      <c r="COE12" s="78"/>
      <c r="CPU12" s="78"/>
      <c r="CQX12" s="78"/>
      <c r="CRS12" s="78"/>
      <c r="CTL12" s="78"/>
      <c r="CZI12" s="78"/>
      <c r="DDB12" s="78"/>
      <c r="DEM12" s="78"/>
      <c r="DHW12" s="78"/>
      <c r="DIF12" s="78"/>
      <c r="DMN12" s="78"/>
      <c r="DSN12" s="78"/>
      <c r="DSO12" s="78"/>
      <c r="DVE12" s="78"/>
      <c r="EBO12" s="78"/>
    </row>
    <row r="13" spans="1:1015 1039:2030 2051:3056 3117:3453" ht="15" customHeight="1">
      <c r="A13" s="18">
        <v>5</v>
      </c>
      <c r="B13" s="84" t="s">
        <v>142</v>
      </c>
      <c r="C13" s="85" t="s">
        <v>62</v>
      </c>
      <c r="D13" s="80" t="s">
        <v>60</v>
      </c>
      <c r="E13" s="86">
        <v>1.5</v>
      </c>
      <c r="F13" s="13" t="s">
        <v>28</v>
      </c>
      <c r="G13" s="14">
        <v>0.5</v>
      </c>
      <c r="H13" s="82" t="str">
        <f>IF(OOC!S13=0,"",OOC!S13)</f>
        <v/>
      </c>
      <c r="I13" s="82" t="str">
        <f>IF(OOC!T13=0,"",OOC!T13)</f>
        <v/>
      </c>
      <c r="J13" s="16" t="s">
        <v>12</v>
      </c>
      <c r="K13" s="73" t="s">
        <v>52</v>
      </c>
      <c r="L13" s="19" t="e">
        <f t="shared" si="0"/>
        <v>#VALUE!</v>
      </c>
      <c r="M13" s="25" t="e">
        <f t="shared" si="1"/>
        <v>#VALUE!</v>
      </c>
      <c r="N13" s="28"/>
      <c r="O13" s="3" t="e">
        <f>IF(OR($AK13="",ISNUMBER($AK13)=FALSE),"",MAX(AK13:BP13))</f>
        <v>#REF!</v>
      </c>
      <c r="P13" s="3" t="e">
        <f>IF(OR($AK13="",ISNUMBER($AK13)=FALSE),"",MIN(AK13:BP13))</f>
        <v>#REF!</v>
      </c>
      <c r="Q13" s="3" t="e">
        <f>IF(OR($AK13="",ISNUMBER($AK13)=FALSE),"",AVERAGE(AK13:BP13))</f>
        <v>#REF!</v>
      </c>
      <c r="R13" s="4" t="e">
        <f>IF(OR($AK13="",ISNUMBER($AK13)=FALSE),"",STDEV(AK13:BP13))</f>
        <v>#REF!</v>
      </c>
      <c r="S13" s="5" t="e">
        <f t="shared" si="13"/>
        <v>#REF!</v>
      </c>
      <c r="T13" s="76" t="e">
        <f t="shared" si="2"/>
        <v>#REF!</v>
      </c>
      <c r="U13" s="76" t="e">
        <f t="shared" si="3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0" t="e">
        <f t="shared" si="7"/>
        <v>#REF!</v>
      </c>
      <c r="Z13" s="32" t="e">
        <f t="shared" si="8"/>
        <v>#REF!</v>
      </c>
      <c r="AA13" s="32" t="e">
        <f t="shared" si="9"/>
        <v>#REF!</v>
      </c>
      <c r="AB13" s="32" t="e">
        <f t="shared" si="10"/>
        <v>#REF!</v>
      </c>
      <c r="AC13" s="32" t="e">
        <f t="shared" si="11"/>
        <v>#REF!</v>
      </c>
      <c r="AD13" s="30"/>
      <c r="AE13" s="21" t="str">
        <f t="shared" si="12"/>
        <v/>
      </c>
      <c r="AF13" s="74"/>
      <c r="AG13" s="57"/>
      <c r="AH13" s="57"/>
      <c r="AI13" s="58"/>
      <c r="AJ13" s="23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0" t="str">
        <f t="shared" si="14"/>
        <v>3-3</v>
      </c>
      <c r="BS13" s="112">
        <f>OOC!G13</f>
        <v>0.51</v>
      </c>
      <c r="BT13" s="112">
        <f>OOC!H13</f>
        <v>0.49</v>
      </c>
      <c r="BU13" s="3" t="e">
        <f t="shared" si="15"/>
        <v>#REF!</v>
      </c>
      <c r="BV13" s="3" t="e">
        <f t="shared" si="16"/>
        <v>#REF!</v>
      </c>
      <c r="BW13" s="3" t="e">
        <f t="shared" si="17"/>
        <v>#REF!</v>
      </c>
      <c r="BX13" s="109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DH13" s="78"/>
      <c r="DN13" s="78"/>
      <c r="EQ13" s="78"/>
      <c r="EX13" s="78"/>
      <c r="FI13" s="78"/>
      <c r="FU13" s="78"/>
      <c r="UF13" s="78"/>
      <c r="XK13" s="78"/>
      <c r="YL13" s="78"/>
      <c r="ABB13" s="78"/>
      <c r="AKT13" s="78"/>
      <c r="BJH13" s="78"/>
      <c r="BKH13" s="78"/>
      <c r="BMV13" s="78"/>
      <c r="BOU13" s="78"/>
      <c r="BOX13" s="78"/>
      <c r="BPE13" s="78"/>
      <c r="BTA13" s="78"/>
      <c r="BVU13" s="78"/>
      <c r="BYB13" s="78"/>
      <c r="CFK13" s="78"/>
      <c r="CKK13" s="78"/>
      <c r="COA13" s="78"/>
      <c r="COE13" s="78"/>
      <c r="CPR13" s="78"/>
      <c r="CQB13" s="78"/>
      <c r="CQM13" s="78"/>
      <c r="CXO13" s="78"/>
      <c r="CZI13" s="78"/>
      <c r="DDB13" s="78"/>
      <c r="DGF13" s="78"/>
      <c r="DGS13" s="78"/>
      <c r="DGT13" s="78"/>
      <c r="DHQ13" s="78"/>
      <c r="DIH13" s="78"/>
      <c r="DSO13" s="78"/>
      <c r="DTY13" s="78"/>
    </row>
    <row r="14" spans="1:1015 1039:2030 2051:3056 3117:3453" ht="15" customHeight="1">
      <c r="A14" s="18">
        <v>6</v>
      </c>
      <c r="B14" s="87" t="s">
        <v>145</v>
      </c>
      <c r="C14" s="80">
        <v>4</v>
      </c>
      <c r="D14" s="80" t="s">
        <v>58</v>
      </c>
      <c r="E14" s="86">
        <v>1.5</v>
      </c>
      <c r="F14" s="13" t="s">
        <v>27</v>
      </c>
      <c r="G14" s="14"/>
      <c r="H14" s="82" t="str">
        <f>IF(OOC!S14=0,"",OOC!S14)</f>
        <v/>
      </c>
      <c r="I14" s="82" t="str">
        <f>IF(OOC!T14=0,"",OOC!T14)</f>
        <v/>
      </c>
      <c r="J14" s="16" t="s">
        <v>12</v>
      </c>
      <c r="K14" s="73" t="s">
        <v>52</v>
      </c>
      <c r="L14" s="19" t="str">
        <f t="shared" si="0"/>
        <v/>
      </c>
      <c r="M14" s="25" t="str">
        <f t="shared" si="1"/>
        <v/>
      </c>
      <c r="N14" s="28"/>
      <c r="O14" s="3" t="e">
        <f>IF(OR($AK14="",ISNUMBER($AK14)=FALSE),"",MAX(AK14:BP14))</f>
        <v>#REF!</v>
      </c>
      <c r="P14" s="3" t="e">
        <f>IF(OR($AK14="",ISNUMBER($AK14)=FALSE),"",MIN(AK14:BP14))</f>
        <v>#REF!</v>
      </c>
      <c r="Q14" s="3" t="e">
        <f>IF(OR($AK14="",ISNUMBER($AK14)=FALSE),"",AVERAGE(AK14:BP14))</f>
        <v>#REF!</v>
      </c>
      <c r="R14" s="4" t="e">
        <f>IF(OR($AK14="",ISNUMBER($AK14)=FALSE),"",STDEV(AK14:BP14))</f>
        <v>#REF!</v>
      </c>
      <c r="S14" s="5" t="e">
        <f t="shared" si="13"/>
        <v>#REF!</v>
      </c>
      <c r="T14" s="76" t="e">
        <f t="shared" si="2"/>
        <v>#REF!</v>
      </c>
      <c r="U14" s="76" t="e">
        <f t="shared" si="3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0" t="e">
        <f t="shared" si="7"/>
        <v>#REF!</v>
      </c>
      <c r="Z14" s="32" t="e">
        <f t="shared" si="8"/>
        <v>#REF!</v>
      </c>
      <c r="AA14" s="32" t="e">
        <f t="shared" si="9"/>
        <v>#REF!</v>
      </c>
      <c r="AB14" s="32" t="e">
        <f t="shared" si="10"/>
        <v>#REF!</v>
      </c>
      <c r="AC14" s="32" t="e">
        <f t="shared" si="11"/>
        <v>#REF!</v>
      </c>
      <c r="AD14" s="30"/>
      <c r="AE14" s="21" t="str">
        <f t="shared" si="12"/>
        <v/>
      </c>
      <c r="AF14" s="74"/>
      <c r="AG14" s="57"/>
      <c r="AH14" s="57"/>
      <c r="AI14" s="58"/>
      <c r="AJ14" s="23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0">
        <f t="shared" si="14"/>
        <v>4</v>
      </c>
      <c r="BS14" s="112">
        <f>OOC!G14</f>
        <v>0.02</v>
      </c>
      <c r="BT14" s="112" t="str">
        <f>OOC!H14</f>
        <v/>
      </c>
      <c r="BU14" s="3" t="e">
        <f t="shared" si="15"/>
        <v>#REF!</v>
      </c>
      <c r="BV14" s="3" t="e">
        <f t="shared" si="16"/>
        <v>#REF!</v>
      </c>
      <c r="BW14" s="3" t="e">
        <f t="shared" si="17"/>
        <v>#REF!</v>
      </c>
      <c r="BX14" s="109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G14" s="78"/>
      <c r="FK14" s="78"/>
      <c r="GS14" s="78"/>
      <c r="JM14" s="78"/>
      <c r="NG14" s="78"/>
      <c r="PJ14" s="78"/>
      <c r="SL14" s="78"/>
      <c r="AKL14" s="78"/>
      <c r="AOI14" s="78"/>
      <c r="AXG14" s="78"/>
      <c r="BLU14" s="78"/>
      <c r="BOM14" s="78"/>
      <c r="BPW14" s="78"/>
      <c r="BSL14" s="78"/>
      <c r="BUL14" s="78"/>
      <c r="CCQ14" s="78"/>
      <c r="CHD14" s="78"/>
      <c r="CJS14" s="78"/>
      <c r="COJ14" s="78"/>
      <c r="CZM14" s="78"/>
      <c r="DSV14" s="78"/>
    </row>
    <row r="15" spans="1:1015 1039:2030 2051:3056 3117:3453" ht="15" customHeight="1">
      <c r="A15" s="18">
        <v>7</v>
      </c>
      <c r="B15" s="84" t="s">
        <v>143</v>
      </c>
      <c r="C15" s="85">
        <v>5</v>
      </c>
      <c r="D15" s="80" t="s">
        <v>58</v>
      </c>
      <c r="E15" s="86">
        <v>1.5</v>
      </c>
      <c r="F15" s="13" t="s">
        <v>27</v>
      </c>
      <c r="G15" s="14"/>
      <c r="H15" s="82" t="str">
        <f>IF(OOC!S15=0,"",OOC!S15)</f>
        <v/>
      </c>
      <c r="I15" s="82" t="str">
        <f>IF(OOC!T15=0,"",OOC!T15)</f>
        <v/>
      </c>
      <c r="J15" s="16" t="s">
        <v>12</v>
      </c>
      <c r="K15" s="73" t="s">
        <v>52</v>
      </c>
      <c r="L15" s="19" t="str">
        <f t="shared" si="0"/>
        <v/>
      </c>
      <c r="M15" s="25" t="str">
        <f t="shared" si="1"/>
        <v/>
      </c>
      <c r="N15" s="28"/>
      <c r="O15" s="3" t="e">
        <f>IF(OR($AK15="",ISNUMBER($AK15)=FALSE),"",MAX(AK15:BP15))</f>
        <v>#REF!</v>
      </c>
      <c r="P15" s="3" t="e">
        <f>IF(OR($AK15="",ISNUMBER($AK15)=FALSE),"",MIN(AK15:BP15))</f>
        <v>#REF!</v>
      </c>
      <c r="Q15" s="3" t="e">
        <f>IF(OR($AK15="",ISNUMBER($AK15)=FALSE),"",AVERAGE(AK15:BP15))</f>
        <v>#REF!</v>
      </c>
      <c r="R15" s="4" t="e">
        <f>IF(OR($AK15="",ISNUMBER($AK15)=FALSE),"",STDEV(AK15:BP15))</f>
        <v>#REF!</v>
      </c>
      <c r="S15" s="5" t="e">
        <f t="shared" si="13"/>
        <v>#REF!</v>
      </c>
      <c r="T15" s="76" t="e">
        <f t="shared" si="2"/>
        <v>#REF!</v>
      </c>
      <c r="U15" s="76" t="e">
        <f t="shared" si="3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0" t="e">
        <f t="shared" si="7"/>
        <v>#REF!</v>
      </c>
      <c r="Z15" s="32" t="e">
        <f t="shared" si="8"/>
        <v>#REF!</v>
      </c>
      <c r="AA15" s="32" t="e">
        <f t="shared" si="9"/>
        <v>#REF!</v>
      </c>
      <c r="AB15" s="32" t="e">
        <f t="shared" si="10"/>
        <v>#REF!</v>
      </c>
      <c r="AC15" s="32" t="e">
        <f t="shared" si="11"/>
        <v>#REF!</v>
      </c>
      <c r="AD15" s="30"/>
      <c r="AE15" s="21" t="str">
        <f t="shared" si="12"/>
        <v/>
      </c>
      <c r="AF15" s="74"/>
      <c r="AG15" s="57"/>
      <c r="AH15" s="57"/>
      <c r="AI15" s="58"/>
      <c r="AJ15" s="23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0">
        <f t="shared" si="14"/>
        <v>5</v>
      </c>
      <c r="BS15" s="112">
        <f>OOC!G15</f>
        <v>2.5000000000000001E-2</v>
      </c>
      <c r="BT15" s="112" t="str">
        <f>OOC!H15</f>
        <v/>
      </c>
      <c r="BU15" s="3" t="e">
        <f t="shared" si="15"/>
        <v>#REF!</v>
      </c>
      <c r="BV15" s="3" t="e">
        <f t="shared" si="16"/>
        <v>#REF!</v>
      </c>
      <c r="BW15" s="3" t="e">
        <f t="shared" si="17"/>
        <v>#REF!</v>
      </c>
      <c r="BX15" s="109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R15" s="78"/>
      <c r="FT15" s="78"/>
      <c r="HH15" s="78"/>
      <c r="NB15" s="78"/>
      <c r="NO15" s="78"/>
      <c r="QE15" s="78"/>
      <c r="WV15" s="78"/>
      <c r="XV15" s="78"/>
      <c r="AAF15" s="78"/>
      <c r="ABP15" s="78"/>
      <c r="ACD15" s="78"/>
      <c r="ADK15" s="78"/>
      <c r="AHN15" s="78"/>
      <c r="AJD15" s="78"/>
      <c r="ALA15" s="78"/>
      <c r="AMA15" s="78"/>
      <c r="ANP15" s="78"/>
      <c r="AON15" s="78"/>
      <c r="AOR15" s="78"/>
      <c r="APH15" s="78"/>
      <c r="APO15" s="78"/>
      <c r="APP15" s="78"/>
      <c r="AQR15" s="78"/>
      <c r="ATC15" s="78"/>
      <c r="AZB15" s="78"/>
      <c r="BBD15" s="78"/>
      <c r="BCD15" s="78"/>
      <c r="BDV15" s="78"/>
      <c r="BEQ15" s="78"/>
      <c r="BQX15" s="78"/>
      <c r="BSW15" s="78"/>
      <c r="CEM15" s="78"/>
      <c r="CFJ15" s="78"/>
      <c r="CKW15" s="78"/>
      <c r="CWH15" s="78"/>
      <c r="DLV15" s="78"/>
      <c r="DSD15" s="78"/>
      <c r="DSO15" s="78"/>
      <c r="DTN15" s="78"/>
      <c r="DUQ15" s="78"/>
    </row>
    <row r="16" spans="1:1015 1039:2030 2051:3056 3117:3453" ht="15" customHeight="1">
      <c r="A16" s="18"/>
      <c r="B16" s="84"/>
      <c r="C16" s="85"/>
      <c r="D16" s="80"/>
      <c r="E16" s="86"/>
      <c r="F16" s="13"/>
      <c r="G16" s="14"/>
      <c r="H16" s="82"/>
      <c r="I16" s="82"/>
      <c r="J16" s="16"/>
      <c r="K16" s="73"/>
      <c r="L16" s="19"/>
      <c r="M16" s="25"/>
      <c r="N16" s="28"/>
      <c r="O16" s="3"/>
      <c r="P16" s="3"/>
      <c r="Q16" s="3"/>
      <c r="R16" s="4"/>
      <c r="S16" s="5"/>
      <c r="T16" s="76"/>
      <c r="U16" s="76"/>
      <c r="V16" s="5"/>
      <c r="W16" s="5"/>
      <c r="X16" s="5"/>
      <c r="Y16" s="70"/>
      <c r="Z16" s="32"/>
      <c r="AA16" s="32"/>
      <c r="AB16" s="32"/>
      <c r="AC16" s="32"/>
      <c r="AD16" s="30"/>
      <c r="AE16" s="21"/>
      <c r="AF16" s="74"/>
      <c r="AG16" s="57"/>
      <c r="AH16" s="57"/>
      <c r="AI16" s="58"/>
      <c r="AJ16" s="23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0"/>
      <c r="BS16" s="112"/>
      <c r="BT16" s="112"/>
      <c r="BU16" s="3"/>
      <c r="BV16" s="3"/>
      <c r="BW16" s="3"/>
      <c r="BX16" s="109"/>
      <c r="CR16" s="78"/>
      <c r="FT16" s="78"/>
      <c r="HH16" s="78"/>
      <c r="NB16" s="78"/>
      <c r="NO16" s="78"/>
      <c r="QE16" s="78"/>
      <c r="WV16" s="78"/>
      <c r="XV16" s="78"/>
      <c r="AAF16" s="78"/>
      <c r="ABP16" s="78"/>
      <c r="ACD16" s="78"/>
      <c r="ADK16" s="78"/>
      <c r="AHN16" s="78"/>
      <c r="AJD16" s="78"/>
      <c r="ALA16" s="78"/>
      <c r="AMA16" s="78"/>
      <c r="ANP16" s="78"/>
      <c r="AON16" s="78"/>
      <c r="AOR16" s="78"/>
      <c r="APH16" s="78"/>
      <c r="APO16" s="78"/>
      <c r="APP16" s="78"/>
      <c r="AQR16" s="78"/>
      <c r="ATC16" s="78"/>
      <c r="AZB16" s="78"/>
      <c r="BBD16" s="78"/>
      <c r="BCD16" s="78"/>
      <c r="BDV16" s="78"/>
      <c r="BEQ16" s="78"/>
      <c r="BQX16" s="78"/>
      <c r="BSW16" s="78"/>
      <c r="CEM16" s="78"/>
      <c r="CFJ16" s="78"/>
      <c r="CKW16" s="78"/>
      <c r="CWH16" s="78"/>
      <c r="DLV16" s="78"/>
      <c r="DSD16" s="78"/>
      <c r="DSO16" s="78"/>
      <c r="DTN16" s="78"/>
      <c r="DUQ16" s="78"/>
    </row>
    <row r="17" spans="1:1017 1035:2048 2102:3038 3087:3484" ht="15" customHeight="1">
      <c r="A17" s="18"/>
      <c r="B17" s="84"/>
      <c r="C17" s="85"/>
      <c r="D17" s="80"/>
      <c r="E17" s="86"/>
      <c r="F17" s="13"/>
      <c r="G17" s="14"/>
      <c r="H17" s="82"/>
      <c r="I17" s="82"/>
      <c r="J17" s="16"/>
      <c r="K17" s="73"/>
      <c r="L17" s="19"/>
      <c r="M17" s="25"/>
      <c r="N17" s="28"/>
      <c r="O17" s="3"/>
      <c r="P17" s="3"/>
      <c r="Q17" s="3"/>
      <c r="R17" s="4"/>
      <c r="S17" s="5"/>
      <c r="T17" s="76"/>
      <c r="U17" s="76"/>
      <c r="V17" s="5"/>
      <c r="W17" s="5"/>
      <c r="X17" s="5"/>
      <c r="Y17" s="70"/>
      <c r="Z17" s="32"/>
      <c r="AA17" s="32"/>
      <c r="AB17" s="32"/>
      <c r="AC17" s="32"/>
      <c r="AD17" s="30"/>
      <c r="AE17" s="21"/>
      <c r="AF17" s="74"/>
      <c r="AG17" s="57"/>
      <c r="AH17" s="57"/>
      <c r="AI17" s="58"/>
      <c r="AJ17" s="23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0"/>
      <c r="BS17" s="112"/>
      <c r="BT17" s="112"/>
      <c r="BU17" s="3"/>
      <c r="BV17" s="3"/>
      <c r="BW17" s="3"/>
      <c r="BX17" s="109"/>
      <c r="CR17" s="78"/>
      <c r="FT17" s="78"/>
      <c r="HH17" s="78"/>
      <c r="NB17" s="78"/>
      <c r="NO17" s="78"/>
      <c r="QE17" s="78"/>
      <c r="WV17" s="78"/>
      <c r="XV17" s="78"/>
      <c r="AAF17" s="78"/>
      <c r="ABP17" s="78"/>
      <c r="ACD17" s="78"/>
      <c r="ADK17" s="78"/>
      <c r="AHN17" s="78"/>
      <c r="AJD17" s="78"/>
      <c r="ALA17" s="78"/>
      <c r="AMA17" s="78"/>
      <c r="ANP17" s="78"/>
      <c r="AON17" s="78"/>
      <c r="AOR17" s="78"/>
      <c r="APH17" s="78"/>
      <c r="APO17" s="78"/>
      <c r="APP17" s="78"/>
      <c r="AQR17" s="78"/>
      <c r="ATC17" s="78"/>
      <c r="AZB17" s="78"/>
      <c r="BBD17" s="78"/>
      <c r="BCD17" s="78"/>
      <c r="BDV17" s="78"/>
      <c r="BEQ17" s="78"/>
      <c r="BQX17" s="78"/>
      <c r="BSW17" s="78"/>
      <c r="CEM17" s="78"/>
      <c r="CFJ17" s="78"/>
      <c r="CKW17" s="78"/>
      <c r="CWH17" s="78"/>
      <c r="DLV17" s="78"/>
      <c r="DSD17" s="78"/>
      <c r="DSO17" s="78"/>
      <c r="DTN17" s="78"/>
      <c r="DUQ17" s="78"/>
    </row>
    <row r="18" spans="1:1017 1035:2048 2102:3038 3087:3484" ht="15" customHeight="1">
      <c r="A18" s="18"/>
      <c r="B18" s="84"/>
      <c r="C18" s="85"/>
      <c r="D18" s="80"/>
      <c r="E18" s="86"/>
      <c r="F18" s="13"/>
      <c r="G18" s="14"/>
      <c r="H18" s="82"/>
      <c r="I18" s="82"/>
      <c r="J18" s="16"/>
      <c r="K18" s="73"/>
      <c r="L18" s="19"/>
      <c r="M18" s="25"/>
      <c r="N18" s="28"/>
      <c r="O18" s="3"/>
      <c r="P18" s="3"/>
      <c r="Q18" s="3"/>
      <c r="R18" s="4"/>
      <c r="S18" s="5"/>
      <c r="T18" s="76"/>
      <c r="U18" s="76"/>
      <c r="V18" s="5"/>
      <c r="W18" s="5"/>
      <c r="X18" s="5"/>
      <c r="Y18" s="70"/>
      <c r="Z18" s="32"/>
      <c r="AA18" s="32"/>
      <c r="AB18" s="32"/>
      <c r="AC18" s="32"/>
      <c r="AD18" s="30"/>
      <c r="AE18" s="21"/>
      <c r="AF18" s="74"/>
      <c r="AG18" s="57"/>
      <c r="AH18" s="57"/>
      <c r="AI18" s="58"/>
      <c r="AJ18" s="23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0"/>
      <c r="BS18" s="112"/>
      <c r="BT18" s="112"/>
      <c r="BU18" s="3"/>
      <c r="BV18" s="3"/>
      <c r="BW18" s="3"/>
      <c r="BX18" s="109"/>
      <c r="CR18" s="78"/>
      <c r="FT18" s="78"/>
      <c r="HH18" s="78"/>
      <c r="NB18" s="78"/>
      <c r="NO18" s="78"/>
      <c r="QE18" s="78"/>
      <c r="WV18" s="78"/>
      <c r="XV18" s="78"/>
      <c r="AAF18" s="78"/>
      <c r="ABP18" s="78"/>
      <c r="ACD18" s="78"/>
      <c r="ADK18" s="78"/>
      <c r="AHN18" s="78"/>
      <c r="AJD18" s="78"/>
      <c r="ALA18" s="78"/>
      <c r="AMA18" s="78"/>
      <c r="ANP18" s="78"/>
      <c r="AON18" s="78"/>
      <c r="AOR18" s="78"/>
      <c r="APH18" s="78"/>
      <c r="APO18" s="78"/>
      <c r="APP18" s="78"/>
      <c r="AQR18" s="78"/>
      <c r="ATC18" s="78"/>
      <c r="AZB18" s="78"/>
      <c r="BBD18" s="78"/>
      <c r="BCD18" s="78"/>
      <c r="BDV18" s="78"/>
      <c r="BEQ18" s="78"/>
      <c r="BQX18" s="78"/>
      <c r="BSW18" s="78"/>
      <c r="CEM18" s="78"/>
      <c r="CFJ18" s="78"/>
      <c r="CKW18" s="78"/>
      <c r="CWH18" s="78"/>
      <c r="DLV18" s="78"/>
      <c r="DSD18" s="78"/>
      <c r="DSO18" s="78"/>
      <c r="DTN18" s="78"/>
      <c r="DUQ18" s="78"/>
    </row>
    <row r="19" spans="1:1017 1035:2048 2102:3038 3087:3484" ht="15" customHeight="1">
      <c r="A19" s="18"/>
      <c r="B19" s="84"/>
      <c r="C19" s="85"/>
      <c r="D19" s="80"/>
      <c r="E19" s="86"/>
      <c r="F19" s="13"/>
      <c r="G19" s="14"/>
      <c r="H19" s="82"/>
      <c r="I19" s="82"/>
      <c r="J19" s="16"/>
      <c r="K19" s="73"/>
      <c r="L19" s="19"/>
      <c r="M19" s="25"/>
      <c r="N19" s="28"/>
      <c r="O19" s="3"/>
      <c r="P19" s="3"/>
      <c r="Q19" s="3"/>
      <c r="R19" s="4"/>
      <c r="S19" s="5"/>
      <c r="T19" s="76"/>
      <c r="U19" s="76"/>
      <c r="V19" s="5"/>
      <c r="W19" s="5"/>
      <c r="X19" s="5"/>
      <c r="Y19" s="70"/>
      <c r="Z19" s="32"/>
      <c r="AA19" s="32"/>
      <c r="AB19" s="32"/>
      <c r="AC19" s="32"/>
      <c r="AD19" s="30"/>
      <c r="AE19" s="21"/>
      <c r="AF19" s="74"/>
      <c r="AG19" s="57"/>
      <c r="AH19" s="57"/>
      <c r="AI19" s="58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0"/>
      <c r="BS19" s="112"/>
      <c r="BT19" s="112"/>
      <c r="BU19" s="3"/>
      <c r="BV19" s="3"/>
      <c r="BW19" s="3"/>
      <c r="BX19" s="109"/>
      <c r="CR19" s="78"/>
      <c r="FT19" s="78"/>
      <c r="HH19" s="78"/>
      <c r="NB19" s="78"/>
      <c r="NO19" s="78"/>
      <c r="QE19" s="78"/>
      <c r="WV19" s="78"/>
      <c r="XV19" s="78"/>
      <c r="AAF19" s="78"/>
      <c r="ABP19" s="78"/>
      <c r="ACD19" s="78"/>
      <c r="ADK19" s="78"/>
      <c r="AHN19" s="78"/>
      <c r="AJD19" s="78"/>
      <c r="ALA19" s="78"/>
      <c r="AMA19" s="78"/>
      <c r="ANP19" s="78"/>
      <c r="AON19" s="78"/>
      <c r="AOR19" s="78"/>
      <c r="APH19" s="78"/>
      <c r="APO19" s="78"/>
      <c r="APP19" s="78"/>
      <c r="AQR19" s="78"/>
      <c r="ATC19" s="78"/>
      <c r="AZB19" s="78"/>
      <c r="BBD19" s="78"/>
      <c r="BCD19" s="78"/>
      <c r="BDV19" s="78"/>
      <c r="BEQ19" s="78"/>
      <c r="BQX19" s="78"/>
      <c r="BSW19" s="78"/>
      <c r="CEM19" s="78"/>
      <c r="CFJ19" s="78"/>
      <c r="CKW19" s="78"/>
      <c r="CWH19" s="78"/>
      <c r="DLV19" s="78"/>
      <c r="DSD19" s="78"/>
      <c r="DSO19" s="78"/>
      <c r="DTN19" s="78"/>
      <c r="DUQ19" s="78"/>
    </row>
    <row r="20" spans="1:1017 1035:2048 2102:3038 3087:3484" ht="15" customHeight="1">
      <c r="A20" s="18">
        <v>8</v>
      </c>
      <c r="B20" s="84" t="s">
        <v>144</v>
      </c>
      <c r="C20" s="85">
        <v>6</v>
      </c>
      <c r="D20" s="80" t="s">
        <v>57</v>
      </c>
      <c r="E20" s="86">
        <v>1.5</v>
      </c>
      <c r="F20" s="13" t="s">
        <v>27</v>
      </c>
      <c r="G20" s="14"/>
      <c r="H20" s="82" t="str">
        <f>IF(OOC!S20=0,"",OOC!S20)</f>
        <v/>
      </c>
      <c r="I20" s="82" t="str">
        <f>IF(OOC!T20=0,"",OOC!T20)</f>
        <v/>
      </c>
      <c r="J20" s="16" t="s">
        <v>12</v>
      </c>
      <c r="K20" s="73" t="s">
        <v>52</v>
      </c>
      <c r="L20" s="19" t="str">
        <f t="shared" si="0"/>
        <v/>
      </c>
      <c r="M20" s="25" t="str">
        <f t="shared" si="1"/>
        <v/>
      </c>
      <c r="N20" s="28"/>
      <c r="O20" s="3" t="e">
        <f t="shared" ref="O20:O92" si="18">IF(OR($AK20="",ISNUMBER($AK20)=FALSE),"",MAX(AK20:BP20))</f>
        <v>#REF!</v>
      </c>
      <c r="P20" s="3" t="e">
        <f t="shared" ref="P20:P92" si="19">IF(OR($AK20="",ISNUMBER($AK20)=FALSE),"",MIN(AK20:BP20))</f>
        <v>#REF!</v>
      </c>
      <c r="Q20" s="3" t="e">
        <f t="shared" ref="Q20:Q92" si="20">IF(OR($AK20="",ISNUMBER($AK20)=FALSE),"",AVERAGE(AK20:BP20))</f>
        <v>#REF!</v>
      </c>
      <c r="R20" s="4" t="e">
        <f t="shared" ref="R20:R92" si="21">IF(OR($AK20="",ISNUMBER($AK20)=FALSE),"",STDEV(AK20:BP20))</f>
        <v>#REF!</v>
      </c>
      <c r="S20" s="5" t="e">
        <f t="shared" si="13"/>
        <v>#REF!</v>
      </c>
      <c r="T20" s="76" t="e">
        <f t="shared" si="2"/>
        <v>#REF!</v>
      </c>
      <c r="U20" s="76" t="e">
        <f t="shared" si="3"/>
        <v>#REF!</v>
      </c>
      <c r="V20" s="5" t="e">
        <f t="shared" si="4"/>
        <v>#REF!</v>
      </c>
      <c r="W20" s="5" t="e">
        <f t="shared" si="5"/>
        <v>#REF!</v>
      </c>
      <c r="X20" s="5" t="e">
        <f t="shared" si="6"/>
        <v>#REF!</v>
      </c>
      <c r="Y20" s="70" t="e">
        <f t="shared" si="7"/>
        <v>#REF!</v>
      </c>
      <c r="Z20" s="32" t="e">
        <f t="shared" si="8"/>
        <v>#REF!</v>
      </c>
      <c r="AA20" s="32" t="e">
        <f t="shared" si="9"/>
        <v>#REF!</v>
      </c>
      <c r="AB20" s="32" t="e">
        <f t="shared" si="10"/>
        <v>#REF!</v>
      </c>
      <c r="AC20" s="32" t="e">
        <f t="shared" si="11"/>
        <v>#REF!</v>
      </c>
      <c r="AD20" s="30"/>
      <c r="AE20" s="21" t="str">
        <f t="shared" si="12"/>
        <v/>
      </c>
      <c r="AF20" s="74"/>
      <c r="AG20" s="57"/>
      <c r="AH20" s="57"/>
      <c r="AI20" s="58"/>
      <c r="AJ20" s="23"/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  <c r="AQ20" s="2" t="e">
        <f>#REF!</f>
        <v>#REF!</v>
      </c>
      <c r="AR20" s="2" t="e">
        <f>#REF!</f>
        <v>#REF!</v>
      </c>
      <c r="AS20" s="2" t="e">
        <f>#REF!</f>
        <v>#REF!</v>
      </c>
      <c r="AT20" s="2" t="e">
        <f>#REF!</f>
        <v>#REF!</v>
      </c>
      <c r="AU20" s="2" t="e">
        <f>#REF!</f>
        <v>#REF!</v>
      </c>
      <c r="AV20" s="2" t="e">
        <f>#REF!</f>
        <v>#REF!</v>
      </c>
      <c r="AW20" s="2" t="e">
        <f>#REF!</f>
        <v>#REF!</v>
      </c>
      <c r="AX20" s="2" t="e">
        <f>#REF!</f>
        <v>#REF!</v>
      </c>
      <c r="AY20" s="2" t="e">
        <f>#REF!</f>
        <v>#REF!</v>
      </c>
      <c r="AZ20" s="2" t="e">
        <f>#REF!</f>
        <v>#REF!</v>
      </c>
      <c r="BA20" s="2" t="e">
        <f>#REF!</f>
        <v>#REF!</v>
      </c>
      <c r="BB20" s="2" t="e">
        <f>#REF!</f>
        <v>#REF!</v>
      </c>
      <c r="BC20" s="2" t="e">
        <f>#REF!</f>
        <v>#REF!</v>
      </c>
      <c r="BD20" s="2" t="e">
        <f>#REF!</f>
        <v>#REF!</v>
      </c>
      <c r="BE20" s="2" t="e">
        <f>#REF!</f>
        <v>#REF!</v>
      </c>
      <c r="BF20" s="2" t="e">
        <f>#REF!</f>
        <v>#REF!</v>
      </c>
      <c r="BG20" s="2" t="e">
        <f>#REF!</f>
        <v>#REF!</v>
      </c>
      <c r="BH20" s="2" t="e">
        <f>#REF!</f>
        <v>#REF!</v>
      </c>
      <c r="BI20" s="2" t="e">
        <f>#REF!</f>
        <v>#REF!</v>
      </c>
      <c r="BJ20" s="2" t="e">
        <f>#REF!</f>
        <v>#REF!</v>
      </c>
      <c r="BK20" s="2" t="e">
        <f>#REF!</f>
        <v>#REF!</v>
      </c>
      <c r="BL20" s="2" t="e">
        <f>#REF!</f>
        <v>#REF!</v>
      </c>
      <c r="BM20" s="2" t="e">
        <f>#REF!</f>
        <v>#REF!</v>
      </c>
      <c r="BN20" s="2" t="e">
        <f>#REF!</f>
        <v>#REF!</v>
      </c>
      <c r="BO20" s="2" t="e">
        <f>#REF!</f>
        <v>#REF!</v>
      </c>
      <c r="BP20" s="2" t="e">
        <f>#REF!</f>
        <v>#REF!</v>
      </c>
      <c r="BR20" s="110">
        <f t="shared" si="14"/>
        <v>6</v>
      </c>
      <c r="BS20" s="112">
        <f>OOC!G20</f>
        <v>0.02</v>
      </c>
      <c r="BT20" s="112" t="str">
        <f>OOC!H20</f>
        <v/>
      </c>
      <c r="BU20" s="3" t="e">
        <f t="shared" si="15"/>
        <v>#REF!</v>
      </c>
      <c r="BV20" s="3" t="e">
        <f t="shared" si="16"/>
        <v>#REF!</v>
      </c>
      <c r="BW20" s="3" t="e">
        <f t="shared" si="17"/>
        <v>#REF!</v>
      </c>
      <c r="BX20" s="109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  <c r="IQ20" s="78"/>
      <c r="JI20" s="78"/>
      <c r="AHO20" s="78"/>
      <c r="AOR20" s="78"/>
      <c r="APG20" s="78"/>
      <c r="APN20" s="78"/>
      <c r="ARB20" s="78"/>
      <c r="ASP20" s="78"/>
      <c r="ATW20" s="78"/>
      <c r="AWK20" s="78"/>
      <c r="AYB20" s="78"/>
      <c r="BCM20" s="78"/>
      <c r="CBV20" s="78"/>
      <c r="CCA20" s="78"/>
      <c r="CHC20" s="78"/>
      <c r="CJW20" s="78"/>
      <c r="CLA20" s="78"/>
      <c r="DAT20" s="78"/>
      <c r="DBT20" s="78"/>
      <c r="DFC20" s="78"/>
      <c r="DQC20" s="78"/>
      <c r="DQR20" s="78"/>
      <c r="DVS20" s="78"/>
      <c r="ECZ20" s="78"/>
    </row>
    <row r="21" spans="1:1017 1035:2048 2102:3038 3087:3484" ht="15" customHeight="1">
      <c r="A21" s="18"/>
      <c r="B21" s="84"/>
      <c r="C21" s="85"/>
      <c r="D21" s="80"/>
      <c r="E21" s="86"/>
      <c r="F21" s="13"/>
      <c r="G21" s="14"/>
      <c r="H21" s="82"/>
      <c r="I21" s="82"/>
      <c r="J21" s="16"/>
      <c r="K21" s="73"/>
      <c r="L21" s="19"/>
      <c r="M21" s="25"/>
      <c r="N21" s="28"/>
      <c r="O21" s="3"/>
      <c r="P21" s="3"/>
      <c r="Q21" s="3"/>
      <c r="R21" s="4"/>
      <c r="S21" s="5"/>
      <c r="T21" s="76"/>
      <c r="U21" s="76"/>
      <c r="V21" s="5"/>
      <c r="W21" s="5"/>
      <c r="X21" s="5"/>
      <c r="Y21" s="70"/>
      <c r="Z21" s="32"/>
      <c r="AA21" s="32"/>
      <c r="AB21" s="32"/>
      <c r="AC21" s="32"/>
      <c r="AD21" s="30"/>
      <c r="AE21" s="21"/>
      <c r="AF21" s="74"/>
      <c r="AG21" s="57"/>
      <c r="AH21" s="57"/>
      <c r="AI21" s="58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0"/>
      <c r="BS21" s="112"/>
      <c r="BT21" s="112"/>
      <c r="BU21" s="3"/>
      <c r="BV21" s="3"/>
      <c r="BW21" s="3"/>
      <c r="BX21" s="109"/>
      <c r="IQ21" s="78"/>
      <c r="JI21" s="78"/>
      <c r="AHO21" s="78"/>
      <c r="AOR21" s="78"/>
      <c r="APG21" s="78"/>
      <c r="APN21" s="78"/>
      <c r="ARB21" s="78"/>
      <c r="ASP21" s="78"/>
      <c r="ATW21" s="78"/>
      <c r="AWK21" s="78"/>
      <c r="AYB21" s="78"/>
      <c r="BCM21" s="78"/>
      <c r="CBV21" s="78"/>
      <c r="CCA21" s="78"/>
      <c r="CHC21" s="78"/>
      <c r="CJW21" s="78"/>
      <c r="CLA21" s="78"/>
      <c r="DAT21" s="78"/>
      <c r="DBT21" s="78"/>
      <c r="DFC21" s="78"/>
      <c r="DQC21" s="78"/>
      <c r="DQR21" s="78"/>
      <c r="DVS21" s="78"/>
      <c r="ECZ21" s="78"/>
    </row>
    <row r="22" spans="1:1017 1035:2048 2102:3038 3087:3484" ht="15" customHeight="1">
      <c r="A22" s="18"/>
      <c r="B22" s="84"/>
      <c r="C22" s="85"/>
      <c r="D22" s="80"/>
      <c r="E22" s="86"/>
      <c r="F22" s="13"/>
      <c r="G22" s="14"/>
      <c r="H22" s="82"/>
      <c r="I22" s="82"/>
      <c r="J22" s="16"/>
      <c r="K22" s="73"/>
      <c r="L22" s="19"/>
      <c r="M22" s="25"/>
      <c r="N22" s="28"/>
      <c r="O22" s="3"/>
      <c r="P22" s="3"/>
      <c r="Q22" s="3"/>
      <c r="R22" s="4"/>
      <c r="S22" s="5"/>
      <c r="T22" s="76"/>
      <c r="U22" s="76"/>
      <c r="V22" s="5"/>
      <c r="W22" s="5"/>
      <c r="X22" s="5"/>
      <c r="Y22" s="70"/>
      <c r="Z22" s="32"/>
      <c r="AA22" s="32"/>
      <c r="AB22" s="32"/>
      <c r="AC22" s="32"/>
      <c r="AD22" s="30"/>
      <c r="AE22" s="21"/>
      <c r="AF22" s="74"/>
      <c r="AG22" s="57"/>
      <c r="AH22" s="57"/>
      <c r="AI22" s="58"/>
      <c r="AJ22" s="23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0"/>
      <c r="BS22" s="112"/>
      <c r="BT22" s="112"/>
      <c r="BU22" s="3"/>
      <c r="BV22" s="3"/>
      <c r="BW22" s="3"/>
      <c r="BX22" s="109"/>
      <c r="IQ22" s="78"/>
      <c r="JI22" s="78"/>
      <c r="AHO22" s="78"/>
      <c r="AOR22" s="78"/>
      <c r="APG22" s="78"/>
      <c r="APN22" s="78"/>
      <c r="ARB22" s="78"/>
      <c r="ASP22" s="78"/>
      <c r="ATW22" s="78"/>
      <c r="AWK22" s="78"/>
      <c r="AYB22" s="78"/>
      <c r="BCM22" s="78"/>
      <c r="CBV22" s="78"/>
      <c r="CCA22" s="78"/>
      <c r="CHC22" s="78"/>
      <c r="CJW22" s="78"/>
      <c r="CLA22" s="78"/>
      <c r="DAT22" s="78"/>
      <c r="DBT22" s="78"/>
      <c r="DFC22" s="78"/>
      <c r="DQC22" s="78"/>
      <c r="DQR22" s="78"/>
      <c r="DVS22" s="78"/>
      <c r="ECZ22" s="78"/>
    </row>
    <row r="23" spans="1:1017 1035:2048 2102:3038 3087:3484" ht="15" customHeight="1">
      <c r="A23" s="18"/>
      <c r="B23" s="84"/>
      <c r="C23" s="85"/>
      <c r="D23" s="80"/>
      <c r="E23" s="86"/>
      <c r="F23" s="13"/>
      <c r="G23" s="14"/>
      <c r="H23" s="82"/>
      <c r="I23" s="82"/>
      <c r="J23" s="16"/>
      <c r="K23" s="73"/>
      <c r="L23" s="19"/>
      <c r="M23" s="25"/>
      <c r="N23" s="28"/>
      <c r="O23" s="3"/>
      <c r="P23" s="3"/>
      <c r="Q23" s="3"/>
      <c r="R23" s="4"/>
      <c r="S23" s="5"/>
      <c r="T23" s="76"/>
      <c r="U23" s="76"/>
      <c r="V23" s="5"/>
      <c r="W23" s="5"/>
      <c r="X23" s="5"/>
      <c r="Y23" s="70"/>
      <c r="Z23" s="32"/>
      <c r="AA23" s="32"/>
      <c r="AB23" s="32"/>
      <c r="AC23" s="32"/>
      <c r="AD23" s="30"/>
      <c r="AE23" s="21"/>
      <c r="AF23" s="74"/>
      <c r="AG23" s="57"/>
      <c r="AH23" s="57"/>
      <c r="AI23" s="58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0"/>
      <c r="BS23" s="112"/>
      <c r="BT23" s="112"/>
      <c r="BU23" s="3"/>
      <c r="BV23" s="3"/>
      <c r="BW23" s="3"/>
      <c r="BX23" s="109"/>
      <c r="IQ23" s="78"/>
      <c r="JI23" s="78"/>
      <c r="AHO23" s="78"/>
      <c r="AOR23" s="78"/>
      <c r="APG23" s="78"/>
      <c r="APN23" s="78"/>
      <c r="ARB23" s="78"/>
      <c r="ASP23" s="78"/>
      <c r="ATW23" s="78"/>
      <c r="AWK23" s="78"/>
      <c r="AYB23" s="78"/>
      <c r="BCM23" s="78"/>
      <c r="CBV23" s="78"/>
      <c r="CCA23" s="78"/>
      <c r="CHC23" s="78"/>
      <c r="CJW23" s="78"/>
      <c r="CLA23" s="78"/>
      <c r="DAT23" s="78"/>
      <c r="DBT23" s="78"/>
      <c r="DFC23" s="78"/>
      <c r="DQC23" s="78"/>
      <c r="DQR23" s="78"/>
      <c r="DVS23" s="78"/>
      <c r="ECZ23" s="78"/>
    </row>
    <row r="24" spans="1:1017 1035:2048 2102:3038 3087:3484" ht="15" customHeight="1">
      <c r="A24" s="18"/>
      <c r="B24" s="84"/>
      <c r="C24" s="85"/>
      <c r="D24" s="80"/>
      <c r="E24" s="86"/>
      <c r="F24" s="13"/>
      <c r="G24" s="14"/>
      <c r="H24" s="82"/>
      <c r="I24" s="82"/>
      <c r="J24" s="16"/>
      <c r="K24" s="73"/>
      <c r="L24" s="19"/>
      <c r="M24" s="25"/>
      <c r="N24" s="28"/>
      <c r="O24" s="3"/>
      <c r="P24" s="3"/>
      <c r="Q24" s="3"/>
      <c r="R24" s="4"/>
      <c r="S24" s="5"/>
      <c r="T24" s="76"/>
      <c r="U24" s="76"/>
      <c r="V24" s="5"/>
      <c r="W24" s="5"/>
      <c r="X24" s="5"/>
      <c r="Y24" s="70"/>
      <c r="Z24" s="32"/>
      <c r="AA24" s="32"/>
      <c r="AB24" s="32"/>
      <c r="AC24" s="32"/>
      <c r="AD24" s="30"/>
      <c r="AE24" s="21"/>
      <c r="AF24" s="74"/>
      <c r="AG24" s="57"/>
      <c r="AH24" s="57"/>
      <c r="AI24" s="58"/>
      <c r="AJ24" s="23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0"/>
      <c r="BS24" s="112"/>
      <c r="BT24" s="112"/>
      <c r="BU24" s="3"/>
      <c r="BV24" s="3"/>
      <c r="BW24" s="3"/>
      <c r="BX24" s="109"/>
      <c r="IQ24" s="78"/>
      <c r="JI24" s="78"/>
      <c r="AHO24" s="78"/>
      <c r="AOR24" s="78"/>
      <c r="APG24" s="78"/>
      <c r="APN24" s="78"/>
      <c r="ARB24" s="78"/>
      <c r="ASP24" s="78"/>
      <c r="ATW24" s="78"/>
      <c r="AWK24" s="78"/>
      <c r="AYB24" s="78"/>
      <c r="BCM24" s="78"/>
      <c r="CBV24" s="78"/>
      <c r="CCA24" s="78"/>
      <c r="CHC24" s="78"/>
      <c r="CJW24" s="78"/>
      <c r="CLA24" s="78"/>
      <c r="DAT24" s="78"/>
      <c r="DBT24" s="78"/>
      <c r="DFC24" s="78"/>
      <c r="DQC24" s="78"/>
      <c r="DQR24" s="78"/>
      <c r="DVS24" s="78"/>
      <c r="ECZ24" s="78"/>
    </row>
    <row r="25" spans="1:1017 1035:2048 2102:3038 3087:3484" ht="15" customHeight="1">
      <c r="A25" s="18">
        <v>9</v>
      </c>
      <c r="B25" s="84" t="s">
        <v>146</v>
      </c>
      <c r="C25" s="85">
        <v>7</v>
      </c>
      <c r="D25" s="80" t="s">
        <v>60</v>
      </c>
      <c r="E25" s="86">
        <v>1.5</v>
      </c>
      <c r="F25" s="13" t="s">
        <v>28</v>
      </c>
      <c r="G25" s="14">
        <v>12.612</v>
      </c>
      <c r="H25" s="82" t="str">
        <f>IF(OOC!S25=0,"",OOC!S25)</f>
        <v/>
      </c>
      <c r="I25" s="82" t="str">
        <f>IF(OOC!T25=0,"",OOC!T25)</f>
        <v/>
      </c>
      <c r="J25" s="16" t="s">
        <v>12</v>
      </c>
      <c r="K25" s="73" t="s">
        <v>52</v>
      </c>
      <c r="L25" s="19" t="e">
        <f t="shared" si="0"/>
        <v>#VALUE!</v>
      </c>
      <c r="M25" s="25" t="e">
        <f t="shared" si="1"/>
        <v>#VALUE!</v>
      </c>
      <c r="N25" s="29"/>
      <c r="O25" s="3" t="e">
        <f t="shared" si="18"/>
        <v>#REF!</v>
      </c>
      <c r="P25" s="3" t="e">
        <f t="shared" si="19"/>
        <v>#REF!</v>
      </c>
      <c r="Q25" s="3" t="e">
        <f t="shared" si="20"/>
        <v>#REF!</v>
      </c>
      <c r="R25" s="4" t="e">
        <f t="shared" si="21"/>
        <v>#REF!</v>
      </c>
      <c r="S25" s="5" t="e">
        <f t="shared" si="13"/>
        <v>#REF!</v>
      </c>
      <c r="T25" s="76" t="e">
        <f t="shared" si="2"/>
        <v>#REF!</v>
      </c>
      <c r="U25" s="76" t="e">
        <f t="shared" si="3"/>
        <v>#REF!</v>
      </c>
      <c r="V25" s="5" t="e">
        <f t="shared" si="4"/>
        <v>#REF!</v>
      </c>
      <c r="W25" s="5" t="e">
        <f t="shared" si="5"/>
        <v>#REF!</v>
      </c>
      <c r="X25" s="5" t="e">
        <f t="shared" si="6"/>
        <v>#REF!</v>
      </c>
      <c r="Y25" s="70" t="e">
        <f t="shared" si="7"/>
        <v>#REF!</v>
      </c>
      <c r="Z25" s="32" t="e">
        <f t="shared" si="8"/>
        <v>#REF!</v>
      </c>
      <c r="AA25" s="32" t="e">
        <f t="shared" si="9"/>
        <v>#REF!</v>
      </c>
      <c r="AB25" s="32" t="e">
        <f t="shared" si="10"/>
        <v>#REF!</v>
      </c>
      <c r="AC25" s="32" t="e">
        <f t="shared" si="11"/>
        <v>#REF!</v>
      </c>
      <c r="AD25" s="30"/>
      <c r="AE25" s="21" t="str">
        <f t="shared" si="12"/>
        <v/>
      </c>
      <c r="AF25" s="74"/>
      <c r="AG25" s="57"/>
      <c r="AH25" s="57"/>
      <c r="AI25" s="58"/>
      <c r="AJ25" s="20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0">
        <f t="shared" si="14"/>
        <v>7</v>
      </c>
      <c r="BS25" s="112">
        <f>OOC!G25</f>
        <v>12.632</v>
      </c>
      <c r="BT25" s="112">
        <f>OOC!H25</f>
        <v>12.592000000000001</v>
      </c>
      <c r="BU25" s="3" t="e">
        <f t="shared" si="15"/>
        <v>#REF!</v>
      </c>
      <c r="BV25" s="3" t="e">
        <f t="shared" si="16"/>
        <v>#REF!</v>
      </c>
      <c r="BW25" s="3" t="e">
        <f t="shared" si="17"/>
        <v>#REF!</v>
      </c>
      <c r="BX25" s="109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ED25" s="78"/>
      <c r="GS25" s="78"/>
      <c r="JV25" s="78"/>
      <c r="KU25" s="78"/>
      <c r="PI25" s="78"/>
      <c r="VS25" s="78"/>
      <c r="XG25" s="78"/>
      <c r="YL25" s="78"/>
      <c r="AIP25" s="78"/>
      <c r="AKL25" s="78"/>
      <c r="AKW25" s="78"/>
      <c r="AMC25" s="78"/>
      <c r="AMU25" s="78"/>
      <c r="AQH25" s="78"/>
      <c r="ARS25" s="78"/>
      <c r="AVX25" s="78"/>
      <c r="AYO25" s="78"/>
      <c r="BBZ25" s="78"/>
      <c r="BDQ25" s="78"/>
      <c r="BFF25" s="78"/>
      <c r="BOG25" s="78"/>
      <c r="BRK25" s="78"/>
      <c r="BSF25" s="78"/>
      <c r="BSU25" s="78"/>
      <c r="BXO25" s="78"/>
      <c r="BYB25" s="78"/>
      <c r="CGH25" s="78"/>
      <c r="CGK25" s="78"/>
      <c r="CLN25" s="78"/>
      <c r="CMY25" s="78"/>
      <c r="CYB25" s="78"/>
      <c r="CYJ25" s="78"/>
      <c r="DEA25" s="78"/>
      <c r="DHP25" s="78"/>
      <c r="DHS25" s="78"/>
      <c r="DII25" s="78"/>
      <c r="DJI25" s="78"/>
      <c r="DNS25" s="78"/>
      <c r="DPG25" s="78"/>
      <c r="DPK25" s="78"/>
      <c r="DQN25" s="78"/>
      <c r="DZV25" s="78"/>
      <c r="ECJ25" s="78"/>
    </row>
    <row r="26" spans="1:1017 1035:2048 2102:3038 3087:3484" ht="15" customHeight="1">
      <c r="A26" s="18">
        <v>10</v>
      </c>
      <c r="B26" s="84" t="s">
        <v>147</v>
      </c>
      <c r="C26" s="85" t="s">
        <v>63</v>
      </c>
      <c r="D26" s="80" t="s">
        <v>60</v>
      </c>
      <c r="E26" s="86">
        <v>1.5</v>
      </c>
      <c r="F26" s="13" t="s">
        <v>28</v>
      </c>
      <c r="G26" s="14">
        <v>0.04</v>
      </c>
      <c r="H26" s="82" t="str">
        <f>IF(OOC!S26=0,"",OOC!S26)</f>
        <v/>
      </c>
      <c r="I26" s="82" t="str">
        <f>IF(OOC!T26=0,"",OOC!T26)</f>
        <v/>
      </c>
      <c r="J26" s="16" t="s">
        <v>12</v>
      </c>
      <c r="K26" s="73" t="s">
        <v>52</v>
      </c>
      <c r="L26" s="19" t="e">
        <f t="shared" si="0"/>
        <v>#VALUE!</v>
      </c>
      <c r="M26" s="25" t="e">
        <f t="shared" si="1"/>
        <v>#VALUE!</v>
      </c>
      <c r="N26" s="28"/>
      <c r="O26" s="3" t="e">
        <f t="shared" si="18"/>
        <v>#REF!</v>
      </c>
      <c r="P26" s="3" t="e">
        <f t="shared" si="19"/>
        <v>#REF!</v>
      </c>
      <c r="Q26" s="3" t="e">
        <f t="shared" si="20"/>
        <v>#REF!</v>
      </c>
      <c r="R26" s="4" t="e">
        <f t="shared" si="21"/>
        <v>#REF!</v>
      </c>
      <c r="S26" s="5" t="e">
        <f t="shared" si="13"/>
        <v>#REF!</v>
      </c>
      <c r="T26" s="76" t="e">
        <f t="shared" si="2"/>
        <v>#REF!</v>
      </c>
      <c r="U26" s="76" t="e">
        <f t="shared" si="3"/>
        <v>#REF!</v>
      </c>
      <c r="V26" s="5" t="e">
        <f t="shared" si="4"/>
        <v>#REF!</v>
      </c>
      <c r="W26" s="5" t="e">
        <f t="shared" si="5"/>
        <v>#REF!</v>
      </c>
      <c r="X26" s="5" t="e">
        <f t="shared" si="6"/>
        <v>#REF!</v>
      </c>
      <c r="Y26" s="70" t="e">
        <f t="shared" si="7"/>
        <v>#REF!</v>
      </c>
      <c r="Z26" s="32" t="e">
        <f t="shared" si="8"/>
        <v>#REF!</v>
      </c>
      <c r="AA26" s="32" t="e">
        <f t="shared" si="9"/>
        <v>#REF!</v>
      </c>
      <c r="AB26" s="32" t="e">
        <f t="shared" si="10"/>
        <v>#REF!</v>
      </c>
      <c r="AC26" s="32" t="e">
        <f t="shared" si="11"/>
        <v>#REF!</v>
      </c>
      <c r="AD26" s="30"/>
      <c r="AE26" s="21" t="str">
        <f t="shared" si="12"/>
        <v/>
      </c>
      <c r="AF26" s="74"/>
      <c r="AG26" s="57"/>
      <c r="AH26" s="57"/>
      <c r="AI26" s="58"/>
      <c r="AJ26" s="23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0" t="str">
        <f t="shared" si="14"/>
        <v>8-1</v>
      </c>
      <c r="BS26" s="112">
        <f>OOC!G26</f>
        <v>0.06</v>
      </c>
      <c r="BT26" s="112">
        <f>OOC!H26</f>
        <v>0.02</v>
      </c>
      <c r="BU26" s="3" t="e">
        <f t="shared" si="15"/>
        <v>#REF!</v>
      </c>
      <c r="BV26" s="3" t="e">
        <f t="shared" si="16"/>
        <v>#REF!</v>
      </c>
      <c r="BW26" s="3" t="e">
        <f t="shared" si="17"/>
        <v>#REF!</v>
      </c>
      <c r="BX26" s="109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ED26" s="78"/>
      <c r="GS26" s="78"/>
      <c r="JV26" s="78"/>
      <c r="KU26" s="78"/>
      <c r="PI26" s="78"/>
      <c r="VS26" s="78"/>
      <c r="XG26" s="78"/>
      <c r="YL26" s="78"/>
      <c r="AIP26" s="78"/>
      <c r="AKW26" s="78"/>
      <c r="AMC26" s="78"/>
      <c r="AMU26" s="78"/>
      <c r="APU26" s="78"/>
      <c r="AQH26" s="78"/>
      <c r="AQW26" s="78"/>
      <c r="ARS26" s="78"/>
      <c r="AVX26" s="78"/>
      <c r="BBZ26" s="78"/>
      <c r="BDQ26" s="78"/>
      <c r="BFF26" s="78"/>
      <c r="BJM26" s="78"/>
      <c r="BOG26" s="78"/>
      <c r="BRK26" s="78"/>
      <c r="BSF26" s="78"/>
      <c r="BSU26" s="78"/>
      <c r="BXO26" s="78"/>
      <c r="BYB26" s="78"/>
      <c r="CGH26" s="78"/>
      <c r="CGK26" s="78"/>
      <c r="CLN26" s="78"/>
      <c r="CMY26" s="78"/>
      <c r="CVT26" s="78"/>
      <c r="CYJ26" s="78"/>
      <c r="DHP26" s="78"/>
      <c r="DHS26" s="78"/>
      <c r="DII26" s="78"/>
      <c r="DJI26" s="78"/>
      <c r="DOG26" s="78"/>
      <c r="DPG26" s="78"/>
      <c r="DPK26" s="78"/>
      <c r="DQN26" s="78"/>
      <c r="DZB26" s="78"/>
      <c r="DZV26" s="78"/>
      <c r="EBN26" s="78"/>
      <c r="ECJ26" s="78"/>
    </row>
    <row r="27" spans="1:1017 1035:2048 2102:3038 3087:3484" ht="15" customHeight="1">
      <c r="A27" s="18">
        <v>11</v>
      </c>
      <c r="B27" s="84" t="s">
        <v>147</v>
      </c>
      <c r="C27" s="88" t="s">
        <v>64</v>
      </c>
      <c r="D27" s="80" t="s">
        <v>60</v>
      </c>
      <c r="E27" s="86">
        <v>1.5</v>
      </c>
      <c r="F27" s="13" t="s">
        <v>28</v>
      </c>
      <c r="G27" s="14">
        <v>0.04</v>
      </c>
      <c r="H27" s="82" t="str">
        <f>IF(OOC!S27=0,"",OOC!S27)</f>
        <v/>
      </c>
      <c r="I27" s="82" t="str">
        <f>IF(OOC!T27=0,"",OOC!T27)</f>
        <v/>
      </c>
      <c r="J27" s="16" t="s">
        <v>12</v>
      </c>
      <c r="K27" s="73" t="s">
        <v>52</v>
      </c>
      <c r="L27" s="19" t="e">
        <f t="shared" si="0"/>
        <v>#VALUE!</v>
      </c>
      <c r="M27" s="25" t="e">
        <f t="shared" si="1"/>
        <v>#VALUE!</v>
      </c>
      <c r="N27" s="28"/>
      <c r="O27" s="3" t="e">
        <f t="shared" si="18"/>
        <v>#REF!</v>
      </c>
      <c r="P27" s="3" t="e">
        <f t="shared" si="19"/>
        <v>#REF!</v>
      </c>
      <c r="Q27" s="3" t="e">
        <f t="shared" si="20"/>
        <v>#REF!</v>
      </c>
      <c r="R27" s="4" t="e">
        <f t="shared" si="21"/>
        <v>#REF!</v>
      </c>
      <c r="S27" s="5" t="e">
        <f t="shared" si="13"/>
        <v>#REF!</v>
      </c>
      <c r="T27" s="76" t="e">
        <f t="shared" si="2"/>
        <v>#REF!</v>
      </c>
      <c r="U27" s="76" t="e">
        <f t="shared" si="3"/>
        <v>#REF!</v>
      </c>
      <c r="V27" s="5" t="e">
        <f t="shared" si="4"/>
        <v>#REF!</v>
      </c>
      <c r="W27" s="5" t="e">
        <f t="shared" si="5"/>
        <v>#REF!</v>
      </c>
      <c r="X27" s="5" t="e">
        <f t="shared" si="6"/>
        <v>#REF!</v>
      </c>
      <c r="Y27" s="70" t="e">
        <f t="shared" si="7"/>
        <v>#REF!</v>
      </c>
      <c r="Z27" s="32" t="e">
        <f t="shared" si="8"/>
        <v>#REF!</v>
      </c>
      <c r="AA27" s="32" t="e">
        <f t="shared" si="9"/>
        <v>#REF!</v>
      </c>
      <c r="AB27" s="32" t="e">
        <f t="shared" si="10"/>
        <v>#REF!</v>
      </c>
      <c r="AC27" s="32" t="e">
        <f t="shared" si="11"/>
        <v>#REF!</v>
      </c>
      <c r="AD27" s="30"/>
      <c r="AE27" s="21" t="str">
        <f t="shared" si="12"/>
        <v/>
      </c>
      <c r="AF27" s="74"/>
      <c r="AG27" s="57"/>
      <c r="AH27" s="57"/>
      <c r="AI27" s="58"/>
      <c r="AJ27" s="23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0" t="str">
        <f t="shared" si="14"/>
        <v>8-2</v>
      </c>
      <c r="BS27" s="112">
        <f>OOC!G27</f>
        <v>0.06</v>
      </c>
      <c r="BT27" s="112">
        <f>OOC!H27</f>
        <v>0.02</v>
      </c>
      <c r="BU27" s="3" t="e">
        <f t="shared" si="15"/>
        <v>#REF!</v>
      </c>
      <c r="BV27" s="3" t="e">
        <f t="shared" si="16"/>
        <v>#REF!</v>
      </c>
      <c r="BW27" s="3" t="e">
        <f t="shared" si="17"/>
        <v>#REF!</v>
      </c>
      <c r="BX27" s="109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ED27" s="78"/>
      <c r="GS27" s="78"/>
      <c r="KU27" s="78"/>
      <c r="PI27" s="78"/>
      <c r="VS27" s="78"/>
      <c r="XG27" s="78"/>
      <c r="YL27" s="78"/>
      <c r="AIP27" s="78"/>
      <c r="AKW27" s="78"/>
      <c r="AMC27" s="78"/>
      <c r="AMU27" s="78"/>
      <c r="APU27" s="78"/>
      <c r="ARS27" s="78"/>
      <c r="AVX27" s="78"/>
      <c r="BBZ27" s="78"/>
      <c r="BDQ27" s="78"/>
      <c r="BFF27" s="78"/>
      <c r="BKJ27" s="78"/>
      <c r="BOG27" s="78"/>
      <c r="BRK27" s="78"/>
      <c r="BSF27" s="78"/>
      <c r="BSU27" s="78"/>
      <c r="BXO27" s="78"/>
      <c r="BYB27" s="78"/>
      <c r="CGH27" s="78"/>
      <c r="CGK27" s="78"/>
      <c r="CTL27" s="78"/>
      <c r="DHP27" s="78"/>
      <c r="DHS27" s="78"/>
      <c r="DII27" s="78"/>
      <c r="DJI27" s="78"/>
      <c r="DPG27" s="78"/>
      <c r="DPK27" s="78"/>
      <c r="DQN27" s="78"/>
      <c r="DZB27" s="78"/>
      <c r="DZV27" s="78"/>
      <c r="ECJ27" s="78"/>
    </row>
    <row r="28" spans="1:1017 1035:2048 2102:3038 3087:3484" ht="15" customHeight="1">
      <c r="A28" s="18">
        <v>12</v>
      </c>
      <c r="B28" s="84" t="s">
        <v>149</v>
      </c>
      <c r="C28" s="88">
        <v>9</v>
      </c>
      <c r="D28" s="22" t="s">
        <v>60</v>
      </c>
      <c r="E28" s="86">
        <v>1.5</v>
      </c>
      <c r="F28" s="13" t="s">
        <v>28</v>
      </c>
      <c r="G28" s="14">
        <v>12.382</v>
      </c>
      <c r="H28" s="82" t="str">
        <f>IF(OOC!S28=0,"",OOC!S28)</f>
        <v/>
      </c>
      <c r="I28" s="82" t="str">
        <f>IF(OOC!T28=0,"",OOC!T28)</f>
        <v/>
      </c>
      <c r="J28" s="16" t="s">
        <v>12</v>
      </c>
      <c r="K28" s="73" t="s">
        <v>52</v>
      </c>
      <c r="L28" s="19" t="e">
        <f t="shared" si="0"/>
        <v>#VALUE!</v>
      </c>
      <c r="M28" s="25" t="e">
        <f t="shared" si="1"/>
        <v>#VALUE!</v>
      </c>
      <c r="N28" s="29"/>
      <c r="O28" s="3" t="e">
        <f t="shared" si="18"/>
        <v>#REF!</v>
      </c>
      <c r="P28" s="3" t="e">
        <f t="shared" si="19"/>
        <v>#REF!</v>
      </c>
      <c r="Q28" s="3" t="e">
        <f t="shared" si="20"/>
        <v>#REF!</v>
      </c>
      <c r="R28" s="4" t="e">
        <f t="shared" si="21"/>
        <v>#REF!</v>
      </c>
      <c r="S28" s="5" t="e">
        <f t="shared" si="13"/>
        <v>#REF!</v>
      </c>
      <c r="T28" s="76" t="e">
        <f t="shared" si="2"/>
        <v>#REF!</v>
      </c>
      <c r="U28" s="76" t="e">
        <f t="shared" si="3"/>
        <v>#REF!</v>
      </c>
      <c r="V28" s="5" t="e">
        <f t="shared" si="4"/>
        <v>#REF!</v>
      </c>
      <c r="W28" s="5" t="e">
        <f t="shared" si="5"/>
        <v>#REF!</v>
      </c>
      <c r="X28" s="5" t="e">
        <f t="shared" si="6"/>
        <v>#REF!</v>
      </c>
      <c r="Y28" s="70" t="e">
        <f t="shared" si="7"/>
        <v>#REF!</v>
      </c>
      <c r="Z28" s="32" t="e">
        <f t="shared" si="8"/>
        <v>#REF!</v>
      </c>
      <c r="AA28" s="32" t="e">
        <f t="shared" si="9"/>
        <v>#REF!</v>
      </c>
      <c r="AB28" s="32" t="e">
        <f t="shared" si="10"/>
        <v>#REF!</v>
      </c>
      <c r="AC28" s="32" t="e">
        <f t="shared" si="11"/>
        <v>#REF!</v>
      </c>
      <c r="AD28" s="30"/>
      <c r="AE28" s="21" t="str">
        <f t="shared" si="12"/>
        <v/>
      </c>
      <c r="AF28" s="74"/>
      <c r="AG28" s="57"/>
      <c r="AH28" s="57"/>
      <c r="AI28" s="58"/>
      <c r="AJ28" s="20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0">
        <f t="shared" si="14"/>
        <v>9</v>
      </c>
      <c r="BS28" s="112">
        <f>OOC!G28</f>
        <v>12.401999999999999</v>
      </c>
      <c r="BT28" s="112">
        <f>OOC!H28</f>
        <v>12.362</v>
      </c>
      <c r="BU28" s="3" t="e">
        <f t="shared" si="15"/>
        <v>#REF!</v>
      </c>
      <c r="BV28" s="3" t="e">
        <f t="shared" si="16"/>
        <v>#REF!</v>
      </c>
      <c r="BW28" s="3" t="e">
        <f t="shared" si="17"/>
        <v>#REF!</v>
      </c>
      <c r="BX28" s="109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GS28" s="78"/>
      <c r="KU28" s="78"/>
      <c r="XG28" s="78"/>
      <c r="YL28" s="78"/>
      <c r="AIP28" s="78"/>
      <c r="AKL28" s="78"/>
      <c r="AKW28" s="78"/>
      <c r="AMC28" s="78"/>
      <c r="AMU28" s="78"/>
      <c r="APU28" s="78"/>
      <c r="AQH28" s="78"/>
      <c r="ARS28" s="78"/>
      <c r="AVX28" s="78"/>
      <c r="AYO28" s="78"/>
      <c r="BBZ28" s="78"/>
      <c r="BDQ28" s="78"/>
      <c r="BFF28" s="78"/>
      <c r="BJM28" s="78"/>
      <c r="BOG28" s="78"/>
      <c r="BRK28" s="78"/>
      <c r="BSF28" s="78"/>
      <c r="BXO28" s="78"/>
      <c r="BYB28" s="78"/>
      <c r="CGH28" s="78"/>
      <c r="DHP28" s="78"/>
      <c r="DHS28" s="78"/>
      <c r="DII28" s="78"/>
      <c r="DJI28" s="78"/>
      <c r="DPG28" s="78"/>
      <c r="DPK28" s="78"/>
      <c r="DQN28" s="78"/>
      <c r="DSD28" s="78"/>
      <c r="DZB28" s="78"/>
      <c r="DZV28" s="78"/>
    </row>
    <row r="29" spans="1:1017 1035:2048 2102:3038 3087:3484" ht="15" customHeight="1">
      <c r="A29" s="18">
        <v>13</v>
      </c>
      <c r="B29" s="84" t="s">
        <v>148</v>
      </c>
      <c r="C29" s="88">
        <v>10</v>
      </c>
      <c r="D29" s="22" t="s">
        <v>60</v>
      </c>
      <c r="E29" s="86">
        <v>1.5</v>
      </c>
      <c r="F29" s="13" t="s">
        <v>28</v>
      </c>
      <c r="G29" s="14">
        <v>14.726000000000001</v>
      </c>
      <c r="H29" s="82" t="str">
        <f>IF(OOC!S29=0,"",OOC!S29)</f>
        <v/>
      </c>
      <c r="I29" s="82" t="str">
        <f>IF(OOC!T29=0,"",OOC!T29)</f>
        <v/>
      </c>
      <c r="J29" s="16" t="s">
        <v>12</v>
      </c>
      <c r="K29" s="73" t="s">
        <v>52</v>
      </c>
      <c r="L29" s="19" t="e">
        <f t="shared" si="0"/>
        <v>#VALUE!</v>
      </c>
      <c r="M29" s="25" t="e">
        <f t="shared" si="1"/>
        <v>#VALUE!</v>
      </c>
      <c r="N29" s="29"/>
      <c r="O29" s="3" t="e">
        <f t="shared" si="18"/>
        <v>#REF!</v>
      </c>
      <c r="P29" s="3" t="e">
        <f t="shared" si="19"/>
        <v>#REF!</v>
      </c>
      <c r="Q29" s="3" t="e">
        <f t="shared" si="20"/>
        <v>#REF!</v>
      </c>
      <c r="R29" s="4" t="e">
        <f t="shared" si="21"/>
        <v>#REF!</v>
      </c>
      <c r="S29" s="5" t="e">
        <f t="shared" si="13"/>
        <v>#REF!</v>
      </c>
      <c r="T29" s="76" t="e">
        <f t="shared" si="2"/>
        <v>#REF!</v>
      </c>
      <c r="U29" s="76" t="e">
        <f t="shared" si="3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0" t="e">
        <f t="shared" si="7"/>
        <v>#REF!</v>
      </c>
      <c r="Z29" s="32" t="e">
        <f t="shared" si="8"/>
        <v>#REF!</v>
      </c>
      <c r="AA29" s="32" t="e">
        <f t="shared" si="9"/>
        <v>#REF!</v>
      </c>
      <c r="AB29" s="32" t="e">
        <f t="shared" si="10"/>
        <v>#REF!</v>
      </c>
      <c r="AC29" s="32" t="e">
        <f t="shared" si="11"/>
        <v>#REF!</v>
      </c>
      <c r="AD29" s="30"/>
      <c r="AE29" s="21" t="str">
        <f t="shared" si="12"/>
        <v/>
      </c>
      <c r="AF29" s="74"/>
      <c r="AG29" s="57"/>
      <c r="AH29" s="57"/>
      <c r="AI29" s="58"/>
      <c r="AJ29" s="20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0">
        <f t="shared" si="14"/>
        <v>10</v>
      </c>
      <c r="BS29" s="112">
        <f>OOC!G29</f>
        <v>14.746</v>
      </c>
      <c r="BT29" s="112">
        <f>OOC!H29</f>
        <v>14.706000000000001</v>
      </c>
      <c r="BU29" s="3" t="e">
        <f t="shared" si="15"/>
        <v>#REF!</v>
      </c>
      <c r="BV29" s="3" t="e">
        <f t="shared" si="16"/>
        <v>#REF!</v>
      </c>
      <c r="BW29" s="3" t="e">
        <f t="shared" si="17"/>
        <v>#REF!</v>
      </c>
      <c r="BX29" s="109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GS29" s="78"/>
      <c r="KU29" s="78"/>
      <c r="PI29" s="78"/>
      <c r="PS29" s="78"/>
      <c r="XG29" s="78"/>
      <c r="YL29" s="78"/>
      <c r="AIP29" s="78"/>
      <c r="AKW29" s="78"/>
      <c r="AMC29" s="78"/>
      <c r="AMU29" s="78"/>
      <c r="APU29" s="78"/>
      <c r="AQH29" s="78"/>
      <c r="ARS29" s="78"/>
      <c r="AVX29" s="78"/>
      <c r="AYO29" s="78"/>
      <c r="BBZ29" s="78"/>
      <c r="BDQ29" s="78"/>
      <c r="BFF29" s="78"/>
      <c r="BOG29" s="78"/>
      <c r="BRK29" s="78"/>
      <c r="BSF29" s="78"/>
      <c r="BSU29" s="78"/>
      <c r="BXO29" s="78"/>
      <c r="BYB29" s="78"/>
      <c r="CGH29" s="78"/>
      <c r="DHP29" s="78"/>
      <c r="DHS29" s="78"/>
      <c r="DII29" s="78"/>
      <c r="DJI29" s="78"/>
      <c r="DPG29" s="78"/>
      <c r="DPK29" s="78"/>
      <c r="DZB29" s="78"/>
      <c r="DZV29" s="78"/>
    </row>
    <row r="30" spans="1:1017 1035:2048 2102:3038 3087:3484" ht="15" customHeight="1">
      <c r="A30" s="18">
        <v>14</v>
      </c>
      <c r="B30" s="84" t="s">
        <v>150</v>
      </c>
      <c r="C30" s="88">
        <v>11</v>
      </c>
      <c r="D30" s="22" t="s">
        <v>60</v>
      </c>
      <c r="E30" s="86">
        <v>1.5</v>
      </c>
      <c r="F30" s="13" t="s">
        <v>28</v>
      </c>
      <c r="G30" s="14">
        <v>14.506</v>
      </c>
      <c r="H30" s="82" t="str">
        <f>IF(OOC!S30=0,"",OOC!S30)</f>
        <v/>
      </c>
      <c r="I30" s="82" t="str">
        <f>IF(OOC!T30=0,"",OOC!T30)</f>
        <v/>
      </c>
      <c r="J30" s="16" t="s">
        <v>12</v>
      </c>
      <c r="K30" s="73" t="s">
        <v>52</v>
      </c>
      <c r="L30" s="19" t="e">
        <f t="shared" si="0"/>
        <v>#VALUE!</v>
      </c>
      <c r="M30" s="25" t="e">
        <f t="shared" si="1"/>
        <v>#VALUE!</v>
      </c>
      <c r="N30" s="28"/>
      <c r="O30" s="3" t="e">
        <f t="shared" si="18"/>
        <v>#REF!</v>
      </c>
      <c r="P30" s="3" t="e">
        <f t="shared" si="19"/>
        <v>#REF!</v>
      </c>
      <c r="Q30" s="3" t="e">
        <f t="shared" si="20"/>
        <v>#REF!</v>
      </c>
      <c r="R30" s="4" t="e">
        <f t="shared" si="21"/>
        <v>#REF!</v>
      </c>
      <c r="S30" s="5" t="e">
        <f t="shared" si="13"/>
        <v>#REF!</v>
      </c>
      <c r="T30" s="76" t="e">
        <f t="shared" si="2"/>
        <v>#REF!</v>
      </c>
      <c r="U30" s="76" t="e">
        <f t="shared" si="3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0" t="e">
        <f t="shared" si="7"/>
        <v>#REF!</v>
      </c>
      <c r="Z30" s="32" t="e">
        <f t="shared" si="8"/>
        <v>#REF!</v>
      </c>
      <c r="AA30" s="32" t="e">
        <f t="shared" si="9"/>
        <v>#REF!</v>
      </c>
      <c r="AB30" s="32" t="e">
        <f t="shared" si="10"/>
        <v>#REF!</v>
      </c>
      <c r="AC30" s="32" t="e">
        <f t="shared" si="11"/>
        <v>#REF!</v>
      </c>
      <c r="AD30" s="30"/>
      <c r="AE30" s="21" t="str">
        <f t="shared" si="12"/>
        <v/>
      </c>
      <c r="AF30" s="74"/>
      <c r="AG30" s="57"/>
      <c r="AH30" s="57"/>
      <c r="AI30" s="58"/>
      <c r="AJ30" s="23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0">
        <f t="shared" si="14"/>
        <v>11</v>
      </c>
      <c r="BS30" s="112">
        <f>OOC!G30</f>
        <v>14.526</v>
      </c>
      <c r="BT30" s="112">
        <f>OOC!H30</f>
        <v>14.486000000000001</v>
      </c>
      <c r="BU30" s="3" t="e">
        <f t="shared" si="15"/>
        <v>#REF!</v>
      </c>
      <c r="BV30" s="3" t="e">
        <f t="shared" si="16"/>
        <v>#REF!</v>
      </c>
      <c r="BW30" s="3" t="e">
        <f t="shared" si="17"/>
        <v>#REF!</v>
      </c>
      <c r="BX30" s="109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BZ30" s="78"/>
      <c r="GS30" s="78"/>
      <c r="IE30" s="78"/>
      <c r="JV30" s="78"/>
      <c r="QA30" s="78"/>
      <c r="VS30" s="78"/>
      <c r="WW30" s="78"/>
      <c r="WZ30" s="78"/>
      <c r="ZS30" s="78"/>
      <c r="AIP30" s="78"/>
      <c r="AKL30" s="78"/>
      <c r="ATU30" s="78"/>
      <c r="BBZ30" s="78"/>
      <c r="BFF30" s="78"/>
      <c r="BUK30" s="78"/>
      <c r="BXN30" s="78"/>
      <c r="BZT30" s="78"/>
      <c r="CGK30" s="78"/>
      <c r="CGX30" s="78"/>
      <c r="CHQ30" s="78"/>
      <c r="CKM30" s="78"/>
      <c r="CLN30" s="78"/>
      <c r="CLX30" s="78"/>
      <c r="CNH30" s="78"/>
      <c r="CQY30" s="78"/>
      <c r="DEA30" s="78"/>
      <c r="DHP30" s="78"/>
      <c r="DHS30" s="78"/>
      <c r="DII30" s="78"/>
      <c r="DOZ30" s="78"/>
      <c r="DZV30" s="78"/>
    </row>
    <row r="31" spans="1:1017 1035:2048 2102:3038 3087:3484" ht="15" customHeight="1">
      <c r="A31" s="18">
        <v>15</v>
      </c>
      <c r="B31" s="84" t="s">
        <v>151</v>
      </c>
      <c r="C31" s="88" t="s">
        <v>65</v>
      </c>
      <c r="D31" s="80" t="s">
        <v>60</v>
      </c>
      <c r="E31" s="86">
        <v>1.5</v>
      </c>
      <c r="F31" s="13" t="s">
        <v>28</v>
      </c>
      <c r="G31" s="14">
        <v>0.05</v>
      </c>
      <c r="H31" s="82" t="str">
        <f>IF(OOC!S31=0,"",OOC!S31)</f>
        <v/>
      </c>
      <c r="I31" s="82" t="str">
        <f>IF(OOC!T31=0,"",OOC!T31)</f>
        <v/>
      </c>
      <c r="J31" s="16" t="s">
        <v>12</v>
      </c>
      <c r="K31" s="73" t="s">
        <v>52</v>
      </c>
      <c r="L31" s="19" t="e">
        <f t="shared" si="0"/>
        <v>#VALUE!</v>
      </c>
      <c r="M31" s="25" t="e">
        <f t="shared" si="1"/>
        <v>#VALUE!</v>
      </c>
      <c r="N31" s="28"/>
      <c r="O31" s="3" t="e">
        <f t="shared" si="18"/>
        <v>#REF!</v>
      </c>
      <c r="P31" s="3" t="e">
        <f t="shared" si="19"/>
        <v>#REF!</v>
      </c>
      <c r="Q31" s="3" t="e">
        <f t="shared" si="20"/>
        <v>#REF!</v>
      </c>
      <c r="R31" s="4" t="e">
        <f t="shared" si="21"/>
        <v>#REF!</v>
      </c>
      <c r="S31" s="5" t="e">
        <f t="shared" si="13"/>
        <v>#REF!</v>
      </c>
      <c r="T31" s="76" t="e">
        <f t="shared" si="2"/>
        <v>#REF!</v>
      </c>
      <c r="U31" s="76" t="e">
        <f t="shared" si="3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0" t="e">
        <f t="shared" si="7"/>
        <v>#REF!</v>
      </c>
      <c r="Z31" s="32" t="e">
        <f t="shared" si="8"/>
        <v>#REF!</v>
      </c>
      <c r="AA31" s="32" t="e">
        <f t="shared" si="9"/>
        <v>#REF!</v>
      </c>
      <c r="AB31" s="32" t="e">
        <f t="shared" si="10"/>
        <v>#REF!</v>
      </c>
      <c r="AC31" s="32" t="e">
        <f t="shared" si="11"/>
        <v>#REF!</v>
      </c>
      <c r="AD31" s="30"/>
      <c r="AE31" s="21" t="str">
        <f t="shared" si="12"/>
        <v/>
      </c>
      <c r="AF31" s="74"/>
      <c r="AG31" s="57"/>
      <c r="AH31" s="57"/>
      <c r="AI31" s="58"/>
      <c r="AJ31" s="23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0" t="str">
        <f t="shared" si="14"/>
        <v>12-1</v>
      </c>
      <c r="BS31" s="112">
        <f>OOC!G31</f>
        <v>7.0000000000000007E-2</v>
      </c>
      <c r="BT31" s="112">
        <f>OOC!H31</f>
        <v>3.0000000000000002E-2</v>
      </c>
      <c r="BU31" s="3" t="e">
        <f t="shared" si="15"/>
        <v>#REF!</v>
      </c>
      <c r="BV31" s="3" t="e">
        <f t="shared" si="16"/>
        <v>#REF!</v>
      </c>
      <c r="BW31" s="3" t="e">
        <f t="shared" si="17"/>
        <v>#REF!</v>
      </c>
      <c r="BX31" s="109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BZ31" s="78"/>
      <c r="GB31" s="78"/>
      <c r="GS31" s="78"/>
      <c r="IE31" s="78"/>
      <c r="JV31" s="78"/>
      <c r="QA31" s="78"/>
      <c r="VL31" s="78"/>
      <c r="VS31" s="78"/>
      <c r="WW31" s="78"/>
      <c r="WZ31" s="78"/>
      <c r="ZS31" s="78"/>
      <c r="AIP31" s="78"/>
      <c r="AKL31" s="78"/>
      <c r="ATU31" s="78"/>
      <c r="AZG31" s="78"/>
      <c r="BBZ31" s="78"/>
      <c r="BFF31" s="78"/>
      <c r="BQN31" s="78"/>
      <c r="BSF31" s="78"/>
      <c r="BUK31" s="78"/>
      <c r="BXN31" s="78"/>
      <c r="BZT31" s="78"/>
      <c r="CGK31" s="78"/>
      <c r="CGX31" s="78"/>
      <c r="CHQ31" s="78"/>
      <c r="CKN31" s="78"/>
      <c r="CLN31" s="78"/>
      <c r="CLX31" s="78"/>
      <c r="CNH31" s="78"/>
      <c r="CQY31" s="78"/>
      <c r="CYJ31" s="78"/>
      <c r="DAX31" s="78"/>
      <c r="DEA31" s="78"/>
      <c r="DEK31" s="78"/>
      <c r="DHP31" s="78"/>
      <c r="DHS31" s="78"/>
      <c r="DHV31" s="78"/>
      <c r="DIC31" s="78"/>
      <c r="DII31" s="78"/>
      <c r="DJO31" s="78"/>
      <c r="DOA31" s="78"/>
      <c r="DOZ31" s="78"/>
      <c r="DZV31" s="78"/>
    </row>
    <row r="32" spans="1:1017 1035:2048 2102:3038 3087:3484" ht="15" customHeight="1">
      <c r="A32" s="18">
        <v>15</v>
      </c>
      <c r="B32" s="84" t="s">
        <v>151</v>
      </c>
      <c r="C32" s="88" t="s">
        <v>66</v>
      </c>
      <c r="D32" s="22" t="s">
        <v>60</v>
      </c>
      <c r="E32" s="86">
        <v>1.5</v>
      </c>
      <c r="F32" s="13" t="s">
        <v>28</v>
      </c>
      <c r="G32" s="14">
        <v>0.05</v>
      </c>
      <c r="H32" s="82" t="str">
        <f>IF(OOC!S32=0,"",OOC!S32)</f>
        <v/>
      </c>
      <c r="I32" s="82" t="str">
        <f>IF(OOC!T32=0,"",OOC!T32)</f>
        <v/>
      </c>
      <c r="J32" s="16" t="s">
        <v>12</v>
      </c>
      <c r="K32" s="73" t="s">
        <v>52</v>
      </c>
      <c r="L32" s="19" t="e">
        <f t="shared" si="0"/>
        <v>#VALUE!</v>
      </c>
      <c r="M32" s="25" t="e">
        <f t="shared" si="1"/>
        <v>#VALUE!</v>
      </c>
      <c r="N32" s="28"/>
      <c r="O32" s="3" t="e">
        <f t="shared" si="18"/>
        <v>#REF!</v>
      </c>
      <c r="P32" s="3" t="e">
        <f t="shared" si="19"/>
        <v>#REF!</v>
      </c>
      <c r="Q32" s="3" t="e">
        <f t="shared" si="20"/>
        <v>#REF!</v>
      </c>
      <c r="R32" s="4" t="e">
        <f t="shared" si="21"/>
        <v>#REF!</v>
      </c>
      <c r="S32" s="5" t="e">
        <f t="shared" si="13"/>
        <v>#REF!</v>
      </c>
      <c r="T32" s="76" t="e">
        <f t="shared" si="2"/>
        <v>#REF!</v>
      </c>
      <c r="U32" s="76" t="e">
        <f t="shared" si="3"/>
        <v>#REF!</v>
      </c>
      <c r="V32" s="5" t="e">
        <f t="shared" si="4"/>
        <v>#REF!</v>
      </c>
      <c r="W32" s="5" t="e">
        <f t="shared" si="5"/>
        <v>#REF!</v>
      </c>
      <c r="X32" s="5" t="e">
        <f t="shared" si="6"/>
        <v>#REF!</v>
      </c>
      <c r="Y32" s="70" t="e">
        <f t="shared" si="7"/>
        <v>#REF!</v>
      </c>
      <c r="Z32" s="32" t="e">
        <f t="shared" si="8"/>
        <v>#REF!</v>
      </c>
      <c r="AA32" s="32" t="e">
        <f t="shared" si="9"/>
        <v>#REF!</v>
      </c>
      <c r="AB32" s="32" t="e">
        <f t="shared" si="10"/>
        <v>#REF!</v>
      </c>
      <c r="AC32" s="32" t="e">
        <f t="shared" si="11"/>
        <v>#REF!</v>
      </c>
      <c r="AD32" s="30"/>
      <c r="AE32" s="21" t="str">
        <f t="shared" si="12"/>
        <v/>
      </c>
      <c r="AF32" s="74"/>
      <c r="AG32" s="57"/>
      <c r="AH32" s="57"/>
      <c r="AI32" s="58"/>
      <c r="AJ32" s="23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0" t="str">
        <f t="shared" si="14"/>
        <v>12-2</v>
      </c>
      <c r="BS32" s="112">
        <f>OOC!G32</f>
        <v>7.0000000000000007E-2</v>
      </c>
      <c r="BT32" s="112">
        <f>OOC!H32</f>
        <v>3.0000000000000002E-2</v>
      </c>
      <c r="BU32" s="3" t="e">
        <f t="shared" si="15"/>
        <v>#REF!</v>
      </c>
      <c r="BV32" s="3" t="e">
        <f t="shared" si="16"/>
        <v>#REF!</v>
      </c>
      <c r="BW32" s="3" t="e">
        <f t="shared" si="17"/>
        <v>#REF!</v>
      </c>
      <c r="BX32" s="109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BZ32" s="78"/>
      <c r="ID32" s="78"/>
      <c r="IE32" s="78"/>
      <c r="JV32" s="78"/>
      <c r="OT32" s="78"/>
      <c r="VS32" s="78"/>
      <c r="WW32" s="78"/>
      <c r="ZS32" s="78"/>
      <c r="AAP32" s="78"/>
      <c r="AIP32" s="78"/>
      <c r="AKL32" s="78"/>
      <c r="AKW32" s="78"/>
      <c r="ATU32" s="78"/>
      <c r="BBZ32" s="78"/>
      <c r="BFF32" s="78"/>
      <c r="BSF32" s="78"/>
      <c r="BUK32" s="78"/>
      <c r="BZT32" s="78"/>
      <c r="CGK32" s="78"/>
      <c r="CHQ32" s="78"/>
      <c r="CKN32" s="78"/>
      <c r="CLN32" s="78"/>
      <c r="CNH32" s="78"/>
      <c r="CQY32" s="78"/>
      <c r="CYJ32" s="78"/>
      <c r="DAX32" s="78"/>
      <c r="DEA32" s="78"/>
      <c r="DHP32" s="78"/>
      <c r="DHQ32" s="78"/>
      <c r="DHS32" s="78"/>
      <c r="DHV32" s="78"/>
      <c r="DIC32" s="78"/>
      <c r="DII32" s="78"/>
      <c r="DLV32" s="78"/>
      <c r="DOA32" s="78"/>
      <c r="DOZ32" s="78"/>
      <c r="DZV32" s="78"/>
    </row>
    <row r="33" spans="1:1013 1070:2048 2145:3072 3095:3485" ht="15" customHeight="1">
      <c r="A33" s="18">
        <v>17</v>
      </c>
      <c r="B33" s="84" t="s">
        <v>152</v>
      </c>
      <c r="C33" s="88" t="s">
        <v>113</v>
      </c>
      <c r="D33" s="22" t="s">
        <v>60</v>
      </c>
      <c r="E33" s="86">
        <v>1.5</v>
      </c>
      <c r="F33" s="13" t="s">
        <v>28</v>
      </c>
      <c r="G33" s="14">
        <v>9.9190000000000005</v>
      </c>
      <c r="H33" s="82" t="str">
        <f>IF(OOC!S33=0,"",OOC!S33)</f>
        <v/>
      </c>
      <c r="I33" s="82" t="str">
        <f>IF(OOC!T33=0,"",OOC!T33)</f>
        <v/>
      </c>
      <c r="J33" s="16" t="s">
        <v>12</v>
      </c>
      <c r="K33" s="73" t="s">
        <v>52</v>
      </c>
      <c r="L33" s="19" t="e">
        <f t="shared" si="0"/>
        <v>#VALUE!</v>
      </c>
      <c r="M33" s="25" t="e">
        <f t="shared" si="1"/>
        <v>#VALUE!</v>
      </c>
      <c r="N33" s="29"/>
      <c r="O33" s="3" t="e">
        <f t="shared" si="18"/>
        <v>#REF!</v>
      </c>
      <c r="P33" s="3" t="e">
        <f t="shared" si="19"/>
        <v>#REF!</v>
      </c>
      <c r="Q33" s="3" t="e">
        <f t="shared" si="20"/>
        <v>#REF!</v>
      </c>
      <c r="R33" s="4" t="e">
        <f t="shared" si="21"/>
        <v>#REF!</v>
      </c>
      <c r="S33" s="5" t="e">
        <f t="shared" si="13"/>
        <v>#REF!</v>
      </c>
      <c r="T33" s="76" t="e">
        <f t="shared" si="2"/>
        <v>#REF!</v>
      </c>
      <c r="U33" s="76" t="e">
        <f t="shared" si="3"/>
        <v>#REF!</v>
      </c>
      <c r="V33" s="5" t="e">
        <f t="shared" si="4"/>
        <v>#REF!</v>
      </c>
      <c r="W33" s="5" t="e">
        <f t="shared" si="5"/>
        <v>#REF!</v>
      </c>
      <c r="X33" s="5" t="e">
        <f t="shared" si="6"/>
        <v>#REF!</v>
      </c>
      <c r="Y33" s="70" t="e">
        <f t="shared" si="7"/>
        <v>#REF!</v>
      </c>
      <c r="Z33" s="32" t="e">
        <f t="shared" si="8"/>
        <v>#REF!</v>
      </c>
      <c r="AA33" s="32" t="e">
        <f t="shared" si="9"/>
        <v>#REF!</v>
      </c>
      <c r="AB33" s="32" t="e">
        <f t="shared" si="10"/>
        <v>#REF!</v>
      </c>
      <c r="AC33" s="32" t="e">
        <f t="shared" si="11"/>
        <v>#REF!</v>
      </c>
      <c r="AD33" s="30"/>
      <c r="AE33" s="21" t="str">
        <f t="shared" si="12"/>
        <v/>
      </c>
      <c r="AF33" s="74"/>
      <c r="AG33" s="57"/>
      <c r="AH33" s="57"/>
      <c r="AI33" s="58"/>
      <c r="AJ33" s="20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0" t="str">
        <f t="shared" si="14"/>
        <v>13-1</v>
      </c>
      <c r="BS33" s="112">
        <f>OOC!G33</f>
        <v>9.9390000000000001</v>
      </c>
      <c r="BT33" s="112">
        <f>OOC!H33</f>
        <v>9.8990000000000009</v>
      </c>
      <c r="BU33" s="3" t="e">
        <f t="shared" si="15"/>
        <v>#REF!</v>
      </c>
      <c r="BV33" s="3" t="e">
        <f t="shared" si="16"/>
        <v>#REF!</v>
      </c>
      <c r="BW33" s="3" t="e">
        <f t="shared" si="17"/>
        <v>#REF!</v>
      </c>
      <c r="BX33" s="109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BZ33" s="78"/>
      <c r="GS33" s="78"/>
      <c r="IE33" s="78"/>
      <c r="JV33" s="78"/>
      <c r="QA33" s="78"/>
      <c r="VS33" s="78"/>
      <c r="WZ33" s="78"/>
      <c r="ZS33" s="78"/>
      <c r="AAP33" s="78"/>
      <c r="AIP33" s="78"/>
      <c r="AKL33" s="78"/>
      <c r="AKW33" s="78"/>
      <c r="BBZ33" s="78"/>
      <c r="BFF33" s="78"/>
      <c r="BRK33" s="78"/>
      <c r="BSF33" s="78"/>
      <c r="BUK33" s="78"/>
      <c r="BXN33" s="78"/>
      <c r="BZT33" s="78"/>
      <c r="CGK33" s="78"/>
      <c r="CGW33" s="78"/>
      <c r="CHQ33" s="78"/>
      <c r="CLN33" s="78"/>
      <c r="CNH33" s="78"/>
      <c r="CQY33" s="78"/>
      <c r="CYJ33" s="78"/>
      <c r="DAX33" s="78"/>
      <c r="DEA33" s="78"/>
      <c r="DHP33" s="78"/>
      <c r="DHS33" s="78"/>
      <c r="DII33" s="78"/>
      <c r="DOA33" s="78"/>
      <c r="DOZ33" s="78"/>
      <c r="DZV33" s="78"/>
    </row>
    <row r="34" spans="1:1013 1070:2048 2145:3072 3095:3485" ht="15" customHeight="1">
      <c r="A34" s="18">
        <v>17</v>
      </c>
      <c r="B34" s="84" t="s">
        <v>152</v>
      </c>
      <c r="C34" s="88" t="s">
        <v>114</v>
      </c>
      <c r="D34" s="22" t="s">
        <v>60</v>
      </c>
      <c r="E34" s="86">
        <v>1.5</v>
      </c>
      <c r="F34" s="13" t="s">
        <v>28</v>
      </c>
      <c r="G34" s="14">
        <v>9.9190000000000005</v>
      </c>
      <c r="H34" s="82" t="str">
        <f>IF(OOC!S34=0,"",OOC!S34)</f>
        <v/>
      </c>
      <c r="I34" s="82" t="str">
        <f>IF(OOC!T34=0,"",OOC!T34)</f>
        <v/>
      </c>
      <c r="J34" s="16" t="s">
        <v>12</v>
      </c>
      <c r="K34" s="73" t="s">
        <v>52</v>
      </c>
      <c r="L34" s="19" t="e">
        <f t="shared" si="0"/>
        <v>#VALUE!</v>
      </c>
      <c r="M34" s="25" t="e">
        <f t="shared" si="1"/>
        <v>#VALUE!</v>
      </c>
      <c r="N34" s="29"/>
      <c r="O34" s="3" t="e">
        <f t="shared" si="18"/>
        <v>#REF!</v>
      </c>
      <c r="P34" s="3" t="e">
        <f t="shared" si="19"/>
        <v>#REF!</v>
      </c>
      <c r="Q34" s="3" t="e">
        <f t="shared" si="20"/>
        <v>#REF!</v>
      </c>
      <c r="R34" s="4" t="e">
        <f t="shared" si="21"/>
        <v>#REF!</v>
      </c>
      <c r="S34" s="5" t="e">
        <f t="shared" si="13"/>
        <v>#REF!</v>
      </c>
      <c r="T34" s="76" t="e">
        <f t="shared" si="2"/>
        <v>#REF!</v>
      </c>
      <c r="U34" s="76" t="e">
        <f t="shared" si="3"/>
        <v>#REF!</v>
      </c>
      <c r="V34" s="5" t="e">
        <f t="shared" si="4"/>
        <v>#REF!</v>
      </c>
      <c r="W34" s="5" t="e">
        <f t="shared" si="5"/>
        <v>#REF!</v>
      </c>
      <c r="X34" s="5" t="e">
        <f t="shared" si="6"/>
        <v>#REF!</v>
      </c>
      <c r="Y34" s="70" t="e">
        <f t="shared" si="7"/>
        <v>#REF!</v>
      </c>
      <c r="Z34" s="32" t="e">
        <f t="shared" si="8"/>
        <v>#REF!</v>
      </c>
      <c r="AA34" s="32" t="e">
        <f t="shared" si="9"/>
        <v>#REF!</v>
      </c>
      <c r="AB34" s="32" t="e">
        <f t="shared" si="10"/>
        <v>#REF!</v>
      </c>
      <c r="AC34" s="32" t="e">
        <f t="shared" si="11"/>
        <v>#REF!</v>
      </c>
      <c r="AD34" s="30"/>
      <c r="AE34" s="21" t="str">
        <f t="shared" si="12"/>
        <v/>
      </c>
      <c r="AF34" s="74"/>
      <c r="AG34" s="57"/>
      <c r="AH34" s="57"/>
      <c r="AI34" s="58"/>
      <c r="AJ34" s="20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0" t="str">
        <f t="shared" si="14"/>
        <v>13-2</v>
      </c>
      <c r="BS34" s="112">
        <f>OOC!G34</f>
        <v>9.9390000000000001</v>
      </c>
      <c r="BT34" s="112">
        <f>OOC!H34</f>
        <v>9.8990000000000009</v>
      </c>
      <c r="BU34" s="3" t="e">
        <f t="shared" si="15"/>
        <v>#REF!</v>
      </c>
      <c r="BV34" s="3" t="e">
        <f t="shared" si="16"/>
        <v>#REF!</v>
      </c>
      <c r="BW34" s="3" t="e">
        <f t="shared" si="17"/>
        <v>#REF!</v>
      </c>
      <c r="BX34" s="109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BZ34" s="78"/>
      <c r="GS34" s="78"/>
      <c r="IE34" s="78"/>
      <c r="JV34" s="78"/>
      <c r="QA34" s="78"/>
      <c r="VS34" s="78"/>
      <c r="WZ34" s="78"/>
      <c r="ZS34" s="78"/>
      <c r="AAP34" s="78"/>
      <c r="AIP34" s="78"/>
      <c r="AKL34" s="78"/>
      <c r="AKW34" s="78"/>
      <c r="BBZ34" s="78"/>
      <c r="BFF34" s="78"/>
      <c r="BRK34" s="78"/>
      <c r="BSF34" s="78"/>
      <c r="BUK34" s="78"/>
      <c r="BXN34" s="78"/>
      <c r="BZT34" s="78"/>
      <c r="CGK34" s="78"/>
      <c r="CGW34" s="78"/>
      <c r="CHQ34" s="78"/>
      <c r="CLN34" s="78"/>
      <c r="CNH34" s="78"/>
      <c r="CQY34" s="78"/>
      <c r="CYJ34" s="78"/>
      <c r="DAX34" s="78"/>
      <c r="DEA34" s="78"/>
      <c r="DHP34" s="78"/>
      <c r="DHS34" s="78"/>
      <c r="DII34" s="78"/>
      <c r="DOA34" s="78"/>
      <c r="DOZ34" s="78"/>
      <c r="DZV34" s="78"/>
    </row>
    <row r="35" spans="1:1013 1070:2048 2145:3072 3095:3485" ht="15" customHeight="1">
      <c r="A35" s="18">
        <v>17</v>
      </c>
      <c r="B35" s="84" t="s">
        <v>152</v>
      </c>
      <c r="C35" s="88" t="s">
        <v>115</v>
      </c>
      <c r="D35" s="22" t="s">
        <v>60</v>
      </c>
      <c r="E35" s="86">
        <v>1.5</v>
      </c>
      <c r="F35" s="13" t="s">
        <v>28</v>
      </c>
      <c r="G35" s="14">
        <v>9.9190000000000005</v>
      </c>
      <c r="H35" s="82" t="str">
        <f>IF(OOC!S35=0,"",OOC!S35)</f>
        <v/>
      </c>
      <c r="I35" s="82" t="str">
        <f>IF(OOC!T35=0,"",OOC!T35)</f>
        <v/>
      </c>
      <c r="J35" s="16" t="s">
        <v>12</v>
      </c>
      <c r="K35" s="73" t="s">
        <v>52</v>
      </c>
      <c r="L35" s="19" t="e">
        <f t="shared" si="0"/>
        <v>#VALUE!</v>
      </c>
      <c r="M35" s="25" t="e">
        <f t="shared" si="1"/>
        <v>#VALUE!</v>
      </c>
      <c r="N35" s="29"/>
      <c r="O35" s="3" t="e">
        <f t="shared" si="18"/>
        <v>#REF!</v>
      </c>
      <c r="P35" s="3" t="e">
        <f t="shared" si="19"/>
        <v>#REF!</v>
      </c>
      <c r="Q35" s="3" t="e">
        <f t="shared" si="20"/>
        <v>#REF!</v>
      </c>
      <c r="R35" s="4" t="e">
        <f t="shared" si="21"/>
        <v>#REF!</v>
      </c>
      <c r="S35" s="5" t="e">
        <f t="shared" si="13"/>
        <v>#REF!</v>
      </c>
      <c r="T35" s="76" t="e">
        <f t="shared" si="2"/>
        <v>#REF!</v>
      </c>
      <c r="U35" s="76" t="e">
        <f t="shared" si="3"/>
        <v>#REF!</v>
      </c>
      <c r="V35" s="5" t="e">
        <f t="shared" si="4"/>
        <v>#REF!</v>
      </c>
      <c r="W35" s="5" t="e">
        <f t="shared" si="5"/>
        <v>#REF!</v>
      </c>
      <c r="X35" s="5" t="e">
        <f t="shared" si="6"/>
        <v>#REF!</v>
      </c>
      <c r="Y35" s="70" t="e">
        <f t="shared" si="7"/>
        <v>#REF!</v>
      </c>
      <c r="Z35" s="32" t="e">
        <f t="shared" si="8"/>
        <v>#REF!</v>
      </c>
      <c r="AA35" s="32" t="e">
        <f t="shared" si="9"/>
        <v>#REF!</v>
      </c>
      <c r="AB35" s="32" t="e">
        <f t="shared" si="10"/>
        <v>#REF!</v>
      </c>
      <c r="AC35" s="32" t="e">
        <f t="shared" si="11"/>
        <v>#REF!</v>
      </c>
      <c r="AD35" s="30"/>
      <c r="AE35" s="21" t="str">
        <f t="shared" si="12"/>
        <v/>
      </c>
      <c r="AF35" s="74"/>
      <c r="AG35" s="57"/>
      <c r="AH35" s="57"/>
      <c r="AI35" s="58"/>
      <c r="AJ35" s="20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0" t="str">
        <f t="shared" si="14"/>
        <v>13-3</v>
      </c>
      <c r="BS35" s="112">
        <f>OOC!G35</f>
        <v>9.9390000000000001</v>
      </c>
      <c r="BT35" s="112">
        <f>OOC!H35</f>
        <v>9.8990000000000009</v>
      </c>
      <c r="BU35" s="3" t="e">
        <f t="shared" si="15"/>
        <v>#REF!</v>
      </c>
      <c r="BV35" s="3" t="e">
        <f t="shared" si="16"/>
        <v>#REF!</v>
      </c>
      <c r="BW35" s="3" t="e">
        <f t="shared" si="17"/>
        <v>#REF!</v>
      </c>
      <c r="BX35" s="109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Z35" s="78"/>
      <c r="GS35" s="78"/>
      <c r="IE35" s="78"/>
      <c r="JV35" s="78"/>
      <c r="QA35" s="78"/>
      <c r="VS35" s="78"/>
      <c r="WZ35" s="78"/>
      <c r="ZS35" s="78"/>
      <c r="AAP35" s="78"/>
      <c r="AIP35" s="78"/>
      <c r="AKL35" s="78"/>
      <c r="AKW35" s="78"/>
      <c r="BBZ35" s="78"/>
      <c r="BFF35" s="78"/>
      <c r="BRK35" s="78"/>
      <c r="BSF35" s="78"/>
      <c r="BUK35" s="78"/>
      <c r="BXN35" s="78"/>
      <c r="BZT35" s="78"/>
      <c r="CGK35" s="78"/>
      <c r="CGW35" s="78"/>
      <c r="CHQ35" s="78"/>
      <c r="CLN35" s="78"/>
      <c r="CNH35" s="78"/>
      <c r="CQY35" s="78"/>
      <c r="CYJ35" s="78"/>
      <c r="DAX35" s="78"/>
      <c r="DEA35" s="78"/>
      <c r="DHP35" s="78"/>
      <c r="DHS35" s="78"/>
      <c r="DII35" s="78"/>
      <c r="DOA35" s="78"/>
      <c r="DOZ35" s="78"/>
      <c r="DZV35" s="78"/>
    </row>
    <row r="36" spans="1:1013 1070:2048 2145:3072 3095:3485" ht="15" customHeight="1">
      <c r="A36" s="18">
        <v>18</v>
      </c>
      <c r="B36" s="84" t="s">
        <v>153</v>
      </c>
      <c r="C36" s="88" t="s">
        <v>116</v>
      </c>
      <c r="D36" s="80" t="s">
        <v>60</v>
      </c>
      <c r="E36" s="86">
        <v>1.5</v>
      </c>
      <c r="F36" s="13" t="s">
        <v>28</v>
      </c>
      <c r="G36" s="14">
        <v>12.795</v>
      </c>
      <c r="H36" s="82" t="str">
        <f>IF(OOC!S36=0,"",OOC!S36)</f>
        <v/>
      </c>
      <c r="I36" s="82" t="str">
        <f>IF(OOC!T36=0,"",OOC!T36)</f>
        <v/>
      </c>
      <c r="J36" s="16" t="s">
        <v>12</v>
      </c>
      <c r="K36" s="73" t="s">
        <v>52</v>
      </c>
      <c r="L36" s="19" t="e">
        <f t="shared" si="0"/>
        <v>#VALUE!</v>
      </c>
      <c r="M36" s="25" t="e">
        <f t="shared" si="1"/>
        <v>#VALUE!</v>
      </c>
      <c r="N36" s="29"/>
      <c r="O36" s="3" t="e">
        <f t="shared" si="18"/>
        <v>#REF!</v>
      </c>
      <c r="P36" s="3" t="e">
        <f t="shared" si="19"/>
        <v>#REF!</v>
      </c>
      <c r="Q36" s="3" t="e">
        <f t="shared" si="20"/>
        <v>#REF!</v>
      </c>
      <c r="R36" s="4" t="e">
        <f t="shared" si="21"/>
        <v>#REF!</v>
      </c>
      <c r="S36" s="5" t="e">
        <f t="shared" si="13"/>
        <v>#REF!</v>
      </c>
      <c r="T36" s="76" t="e">
        <f t="shared" si="2"/>
        <v>#REF!</v>
      </c>
      <c r="U36" s="76" t="e">
        <f t="shared" si="3"/>
        <v>#REF!</v>
      </c>
      <c r="V36" s="5" t="e">
        <f t="shared" si="4"/>
        <v>#REF!</v>
      </c>
      <c r="W36" s="5" t="e">
        <f t="shared" si="5"/>
        <v>#REF!</v>
      </c>
      <c r="X36" s="5" t="e">
        <f t="shared" si="6"/>
        <v>#REF!</v>
      </c>
      <c r="Y36" s="70" t="e">
        <f t="shared" si="7"/>
        <v>#REF!</v>
      </c>
      <c r="Z36" s="32" t="e">
        <f t="shared" si="8"/>
        <v>#REF!</v>
      </c>
      <c r="AA36" s="32" t="e">
        <f t="shared" si="9"/>
        <v>#REF!</v>
      </c>
      <c r="AB36" s="32" t="e">
        <f t="shared" si="10"/>
        <v>#REF!</v>
      </c>
      <c r="AC36" s="32" t="e">
        <f t="shared" si="11"/>
        <v>#REF!</v>
      </c>
      <c r="AD36" s="30"/>
      <c r="AE36" s="21" t="str">
        <f t="shared" si="12"/>
        <v/>
      </c>
      <c r="AF36" s="74"/>
      <c r="AG36" s="57"/>
      <c r="AH36" s="57"/>
      <c r="AI36" s="58"/>
      <c r="AJ36" s="20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0" t="str">
        <f t="shared" si="14"/>
        <v>14-1</v>
      </c>
      <c r="BS36" s="112">
        <f>OOC!G36</f>
        <v>12.815</v>
      </c>
      <c r="BT36" s="112">
        <f>OOC!H36</f>
        <v>12.775</v>
      </c>
      <c r="BU36" s="3" t="e">
        <f t="shared" si="15"/>
        <v>#REF!</v>
      </c>
      <c r="BV36" s="3" t="e">
        <f t="shared" si="16"/>
        <v>#REF!</v>
      </c>
      <c r="BW36" s="3" t="e">
        <f t="shared" si="17"/>
        <v>#REF!</v>
      </c>
      <c r="BX36" s="109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BZ36" s="78"/>
      <c r="GS36" s="78"/>
      <c r="IE36" s="78"/>
      <c r="JV36" s="78"/>
      <c r="VS36" s="78"/>
      <c r="WZ36" s="78"/>
      <c r="ZS36" s="78"/>
      <c r="AAP36" s="78"/>
      <c r="AII36" s="78"/>
      <c r="AIP36" s="78"/>
      <c r="AKL36" s="78"/>
      <c r="AKW36" s="78"/>
      <c r="AOZ36" s="78"/>
      <c r="BBZ36" s="78"/>
      <c r="BFF36" s="78"/>
      <c r="BSF36" s="78"/>
      <c r="BUK36" s="78"/>
      <c r="BYB36" s="78"/>
      <c r="BZT36" s="78"/>
      <c r="CGK36" s="78"/>
      <c r="CLN36" s="78"/>
      <c r="CNH36" s="78"/>
      <c r="CQY36" s="78"/>
      <c r="CYJ36" s="78"/>
      <c r="DEA36" s="78"/>
      <c r="DHP36" s="78"/>
      <c r="DHS36" s="78"/>
      <c r="DII36" s="78"/>
      <c r="DOA36" s="78"/>
      <c r="DOZ36" s="78"/>
      <c r="DQQ36" s="78"/>
      <c r="DZV36" s="78"/>
    </row>
    <row r="37" spans="1:1013 1070:2048 2145:3072 3095:3485" ht="15" customHeight="1">
      <c r="A37" s="18">
        <v>18</v>
      </c>
      <c r="B37" s="84" t="s">
        <v>153</v>
      </c>
      <c r="C37" s="88" t="s">
        <v>117</v>
      </c>
      <c r="D37" s="80" t="s">
        <v>60</v>
      </c>
      <c r="E37" s="86">
        <v>1.5</v>
      </c>
      <c r="F37" s="13" t="s">
        <v>28</v>
      </c>
      <c r="G37" s="14">
        <v>12.795</v>
      </c>
      <c r="H37" s="82" t="str">
        <f>IF(OOC!S37=0,"",OOC!S37)</f>
        <v/>
      </c>
      <c r="I37" s="82" t="str">
        <f>IF(OOC!T37=0,"",OOC!T37)</f>
        <v/>
      </c>
      <c r="J37" s="16" t="s">
        <v>12</v>
      </c>
      <c r="K37" s="73" t="s">
        <v>52</v>
      </c>
      <c r="L37" s="19" t="e">
        <f t="shared" si="0"/>
        <v>#VALUE!</v>
      </c>
      <c r="M37" s="25" t="e">
        <f t="shared" si="1"/>
        <v>#VALUE!</v>
      </c>
      <c r="N37" s="29"/>
      <c r="O37" s="3" t="e">
        <f t="shared" si="18"/>
        <v>#REF!</v>
      </c>
      <c r="P37" s="3" t="e">
        <f t="shared" si="19"/>
        <v>#REF!</v>
      </c>
      <c r="Q37" s="3" t="e">
        <f t="shared" si="20"/>
        <v>#REF!</v>
      </c>
      <c r="R37" s="4" t="e">
        <f t="shared" si="21"/>
        <v>#REF!</v>
      </c>
      <c r="S37" s="5" t="e">
        <f t="shared" si="13"/>
        <v>#REF!</v>
      </c>
      <c r="T37" s="76" t="e">
        <f t="shared" si="2"/>
        <v>#REF!</v>
      </c>
      <c r="U37" s="76" t="e">
        <f t="shared" si="3"/>
        <v>#REF!</v>
      </c>
      <c r="V37" s="5" t="e">
        <f t="shared" si="4"/>
        <v>#REF!</v>
      </c>
      <c r="W37" s="5" t="e">
        <f t="shared" si="5"/>
        <v>#REF!</v>
      </c>
      <c r="X37" s="5" t="e">
        <f t="shared" si="6"/>
        <v>#REF!</v>
      </c>
      <c r="Y37" s="70" t="e">
        <f t="shared" si="7"/>
        <v>#REF!</v>
      </c>
      <c r="Z37" s="32" t="e">
        <f t="shared" si="8"/>
        <v>#REF!</v>
      </c>
      <c r="AA37" s="32" t="e">
        <f t="shared" si="9"/>
        <v>#REF!</v>
      </c>
      <c r="AB37" s="32" t="e">
        <f t="shared" si="10"/>
        <v>#REF!</v>
      </c>
      <c r="AC37" s="32" t="e">
        <f t="shared" si="11"/>
        <v>#REF!</v>
      </c>
      <c r="AD37" s="30"/>
      <c r="AE37" s="21" t="str">
        <f t="shared" si="12"/>
        <v/>
      </c>
      <c r="AF37" s="74"/>
      <c r="AG37" s="57"/>
      <c r="AH37" s="57"/>
      <c r="AI37" s="58"/>
      <c r="AJ37" s="20"/>
      <c r="AK37" s="2" t="e">
        <f>#REF!</f>
        <v>#REF!</v>
      </c>
      <c r="AL37" s="2" t="e">
        <f>#REF!</f>
        <v>#REF!</v>
      </c>
      <c r="AM37" s="2" t="e">
        <f>#REF!</f>
        <v>#REF!</v>
      </c>
      <c r="AN37" s="2" t="e">
        <f>#REF!</f>
        <v>#REF!</v>
      </c>
      <c r="AO37" s="2" t="e">
        <f>#REF!</f>
        <v>#REF!</v>
      </c>
      <c r="AP37" s="2" t="e">
        <f>#REF!</f>
        <v>#REF!</v>
      </c>
      <c r="AQ37" s="2" t="e">
        <f>#REF!</f>
        <v>#REF!</v>
      </c>
      <c r="AR37" s="2" t="e">
        <f>#REF!</f>
        <v>#REF!</v>
      </c>
      <c r="AS37" s="2" t="e">
        <f>#REF!</f>
        <v>#REF!</v>
      </c>
      <c r="AT37" s="2" t="e">
        <f>#REF!</f>
        <v>#REF!</v>
      </c>
      <c r="AU37" s="2" t="e">
        <f>#REF!</f>
        <v>#REF!</v>
      </c>
      <c r="AV37" s="2" t="e">
        <f>#REF!</f>
        <v>#REF!</v>
      </c>
      <c r="AW37" s="2" t="e">
        <f>#REF!</f>
        <v>#REF!</v>
      </c>
      <c r="AX37" s="2" t="e">
        <f>#REF!</f>
        <v>#REF!</v>
      </c>
      <c r="AY37" s="2" t="e">
        <f>#REF!</f>
        <v>#REF!</v>
      </c>
      <c r="AZ37" s="2" t="e">
        <f>#REF!</f>
        <v>#REF!</v>
      </c>
      <c r="BA37" s="2" t="e">
        <f>#REF!</f>
        <v>#REF!</v>
      </c>
      <c r="BB37" s="2" t="e">
        <f>#REF!</f>
        <v>#REF!</v>
      </c>
      <c r="BC37" s="2" t="e">
        <f>#REF!</f>
        <v>#REF!</v>
      </c>
      <c r="BD37" s="2" t="e">
        <f>#REF!</f>
        <v>#REF!</v>
      </c>
      <c r="BE37" s="2" t="e">
        <f>#REF!</f>
        <v>#REF!</v>
      </c>
      <c r="BF37" s="2" t="e">
        <f>#REF!</f>
        <v>#REF!</v>
      </c>
      <c r="BG37" s="2" t="e">
        <f>#REF!</f>
        <v>#REF!</v>
      </c>
      <c r="BH37" s="2" t="e">
        <f>#REF!</f>
        <v>#REF!</v>
      </c>
      <c r="BI37" s="2" t="e">
        <f>#REF!</f>
        <v>#REF!</v>
      </c>
      <c r="BJ37" s="2" t="e">
        <f>#REF!</f>
        <v>#REF!</v>
      </c>
      <c r="BK37" s="2" t="e">
        <f>#REF!</f>
        <v>#REF!</v>
      </c>
      <c r="BL37" s="2" t="e">
        <f>#REF!</f>
        <v>#REF!</v>
      </c>
      <c r="BM37" s="2" t="e">
        <f>#REF!</f>
        <v>#REF!</v>
      </c>
      <c r="BN37" s="2" t="e">
        <f>#REF!</f>
        <v>#REF!</v>
      </c>
      <c r="BO37" s="2" t="e">
        <f>#REF!</f>
        <v>#REF!</v>
      </c>
      <c r="BP37" s="2" t="e">
        <f>#REF!</f>
        <v>#REF!</v>
      </c>
      <c r="BR37" s="110" t="str">
        <f t="shared" si="14"/>
        <v>14-2</v>
      </c>
      <c r="BS37" s="112">
        <f>OOC!G37</f>
        <v>12.815</v>
      </c>
      <c r="BT37" s="112">
        <f>OOC!H37</f>
        <v>12.775</v>
      </c>
      <c r="BU37" s="3" t="e">
        <f t="shared" si="15"/>
        <v>#REF!</v>
      </c>
      <c r="BV37" s="3" t="e">
        <f t="shared" si="16"/>
        <v>#REF!</v>
      </c>
      <c r="BW37" s="3" t="e">
        <f t="shared" si="17"/>
        <v>#REF!</v>
      </c>
      <c r="BX37" s="109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BZ37" s="78"/>
      <c r="GS37" s="78"/>
      <c r="IE37" s="78"/>
      <c r="JV37" s="78"/>
      <c r="VS37" s="78"/>
      <c r="WZ37" s="78"/>
      <c r="ZS37" s="78"/>
      <c r="AAP37" s="78"/>
      <c r="AII37" s="78"/>
      <c r="AIP37" s="78"/>
      <c r="AKL37" s="78"/>
      <c r="AKW37" s="78"/>
      <c r="AOZ37" s="78"/>
      <c r="BBZ37" s="78"/>
      <c r="BFF37" s="78"/>
      <c r="BSF37" s="78"/>
      <c r="BUK37" s="78"/>
      <c r="BYB37" s="78"/>
      <c r="BZT37" s="78"/>
      <c r="CGK37" s="78"/>
      <c r="CLN37" s="78"/>
      <c r="CNH37" s="78"/>
      <c r="CQY37" s="78"/>
      <c r="CYJ37" s="78"/>
      <c r="DEA37" s="78"/>
      <c r="DHP37" s="78"/>
      <c r="DHS37" s="78"/>
      <c r="DII37" s="78"/>
      <c r="DOA37" s="78"/>
      <c r="DOZ37" s="78"/>
      <c r="DQQ37" s="78"/>
      <c r="DZV37" s="78"/>
    </row>
    <row r="38" spans="1:1013 1070:2048 2145:3072 3095:3485" ht="15" customHeight="1">
      <c r="A38" s="18">
        <v>18</v>
      </c>
      <c r="B38" s="84" t="s">
        <v>153</v>
      </c>
      <c r="C38" s="88" t="s">
        <v>118</v>
      </c>
      <c r="D38" s="80" t="s">
        <v>60</v>
      </c>
      <c r="E38" s="86">
        <v>1.5</v>
      </c>
      <c r="F38" s="13" t="s">
        <v>28</v>
      </c>
      <c r="G38" s="14">
        <v>12.795</v>
      </c>
      <c r="H38" s="82" t="str">
        <f>IF(OOC!S38=0,"",OOC!S38)</f>
        <v/>
      </c>
      <c r="I38" s="82" t="str">
        <f>IF(OOC!T38=0,"",OOC!T38)</f>
        <v/>
      </c>
      <c r="J38" s="16" t="s">
        <v>12</v>
      </c>
      <c r="K38" s="73" t="s">
        <v>52</v>
      </c>
      <c r="L38" s="19" t="e">
        <f t="shared" si="0"/>
        <v>#VALUE!</v>
      </c>
      <c r="M38" s="25" t="e">
        <f t="shared" si="1"/>
        <v>#VALUE!</v>
      </c>
      <c r="N38" s="29"/>
      <c r="O38" s="3" t="e">
        <f t="shared" si="18"/>
        <v>#REF!</v>
      </c>
      <c r="P38" s="3" t="e">
        <f t="shared" si="19"/>
        <v>#REF!</v>
      </c>
      <c r="Q38" s="3" t="e">
        <f t="shared" si="20"/>
        <v>#REF!</v>
      </c>
      <c r="R38" s="4" t="e">
        <f t="shared" si="21"/>
        <v>#REF!</v>
      </c>
      <c r="S38" s="5" t="e">
        <f t="shared" si="13"/>
        <v>#REF!</v>
      </c>
      <c r="T38" s="76" t="e">
        <f t="shared" si="2"/>
        <v>#REF!</v>
      </c>
      <c r="U38" s="76" t="e">
        <f t="shared" si="3"/>
        <v>#REF!</v>
      </c>
      <c r="V38" s="5" t="e">
        <f t="shared" si="4"/>
        <v>#REF!</v>
      </c>
      <c r="W38" s="5" t="e">
        <f t="shared" si="5"/>
        <v>#REF!</v>
      </c>
      <c r="X38" s="5" t="e">
        <f t="shared" si="6"/>
        <v>#REF!</v>
      </c>
      <c r="Y38" s="70" t="e">
        <f t="shared" si="7"/>
        <v>#REF!</v>
      </c>
      <c r="Z38" s="32" t="e">
        <f t="shared" si="8"/>
        <v>#REF!</v>
      </c>
      <c r="AA38" s="32" t="e">
        <f t="shared" si="9"/>
        <v>#REF!</v>
      </c>
      <c r="AB38" s="32" t="e">
        <f t="shared" si="10"/>
        <v>#REF!</v>
      </c>
      <c r="AC38" s="32" t="e">
        <f t="shared" si="11"/>
        <v>#REF!</v>
      </c>
      <c r="AD38" s="30"/>
      <c r="AE38" s="21" t="str">
        <f t="shared" si="12"/>
        <v/>
      </c>
      <c r="AF38" s="74"/>
      <c r="AG38" s="57"/>
      <c r="AH38" s="57"/>
      <c r="AI38" s="58"/>
      <c r="AJ38" s="20"/>
      <c r="AK38" s="2" t="e">
        <f>#REF!</f>
        <v>#REF!</v>
      </c>
      <c r="AL38" s="2" t="e">
        <f>#REF!</f>
        <v>#REF!</v>
      </c>
      <c r="AM38" s="2" t="e">
        <f>#REF!</f>
        <v>#REF!</v>
      </c>
      <c r="AN38" s="2" t="e">
        <f>#REF!</f>
        <v>#REF!</v>
      </c>
      <c r="AO38" s="2" t="e">
        <f>#REF!</f>
        <v>#REF!</v>
      </c>
      <c r="AP38" s="2" t="e">
        <f>#REF!</f>
        <v>#REF!</v>
      </c>
      <c r="AQ38" s="2" t="e">
        <f>#REF!</f>
        <v>#REF!</v>
      </c>
      <c r="AR38" s="2" t="e">
        <f>#REF!</f>
        <v>#REF!</v>
      </c>
      <c r="AS38" s="2" t="e">
        <f>#REF!</f>
        <v>#REF!</v>
      </c>
      <c r="AT38" s="2" t="e">
        <f>#REF!</f>
        <v>#REF!</v>
      </c>
      <c r="AU38" s="2" t="e">
        <f>#REF!</f>
        <v>#REF!</v>
      </c>
      <c r="AV38" s="2" t="e">
        <f>#REF!</f>
        <v>#REF!</v>
      </c>
      <c r="AW38" s="2" t="e">
        <f>#REF!</f>
        <v>#REF!</v>
      </c>
      <c r="AX38" s="2" t="e">
        <f>#REF!</f>
        <v>#REF!</v>
      </c>
      <c r="AY38" s="2" t="e">
        <f>#REF!</f>
        <v>#REF!</v>
      </c>
      <c r="AZ38" s="2" t="e">
        <f>#REF!</f>
        <v>#REF!</v>
      </c>
      <c r="BA38" s="2" t="e">
        <f>#REF!</f>
        <v>#REF!</v>
      </c>
      <c r="BB38" s="2" t="e">
        <f>#REF!</f>
        <v>#REF!</v>
      </c>
      <c r="BC38" s="2" t="e">
        <f>#REF!</f>
        <v>#REF!</v>
      </c>
      <c r="BD38" s="2" t="e">
        <f>#REF!</f>
        <v>#REF!</v>
      </c>
      <c r="BE38" s="2" t="e">
        <f>#REF!</f>
        <v>#REF!</v>
      </c>
      <c r="BF38" s="2" t="e">
        <f>#REF!</f>
        <v>#REF!</v>
      </c>
      <c r="BG38" s="2" t="e">
        <f>#REF!</f>
        <v>#REF!</v>
      </c>
      <c r="BH38" s="2" t="e">
        <f>#REF!</f>
        <v>#REF!</v>
      </c>
      <c r="BI38" s="2" t="e">
        <f>#REF!</f>
        <v>#REF!</v>
      </c>
      <c r="BJ38" s="2" t="e">
        <f>#REF!</f>
        <v>#REF!</v>
      </c>
      <c r="BK38" s="2" t="e">
        <f>#REF!</f>
        <v>#REF!</v>
      </c>
      <c r="BL38" s="2" t="e">
        <f>#REF!</f>
        <v>#REF!</v>
      </c>
      <c r="BM38" s="2" t="e">
        <f>#REF!</f>
        <v>#REF!</v>
      </c>
      <c r="BN38" s="2" t="e">
        <f>#REF!</f>
        <v>#REF!</v>
      </c>
      <c r="BO38" s="2" t="e">
        <f>#REF!</f>
        <v>#REF!</v>
      </c>
      <c r="BP38" s="2" t="e">
        <f>#REF!</f>
        <v>#REF!</v>
      </c>
      <c r="BR38" s="110" t="str">
        <f t="shared" si="14"/>
        <v>14-3</v>
      </c>
      <c r="BS38" s="112">
        <f>OOC!G38</f>
        <v>12.815</v>
      </c>
      <c r="BT38" s="112">
        <f>OOC!H38</f>
        <v>12.775</v>
      </c>
      <c r="BU38" s="3" t="e">
        <f t="shared" si="15"/>
        <v>#REF!</v>
      </c>
      <c r="BV38" s="3" t="e">
        <f t="shared" si="16"/>
        <v>#REF!</v>
      </c>
      <c r="BW38" s="3" t="e">
        <f t="shared" si="17"/>
        <v>#REF!</v>
      </c>
      <c r="BX38" s="109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  <c r="BZ38" s="78"/>
      <c r="GS38" s="78"/>
      <c r="IE38" s="78"/>
      <c r="JV38" s="78"/>
      <c r="VS38" s="78"/>
      <c r="WZ38" s="78"/>
      <c r="ZS38" s="78"/>
      <c r="AAP38" s="78"/>
      <c r="AII38" s="78"/>
      <c r="AIP38" s="78"/>
      <c r="AKL38" s="78"/>
      <c r="AKW38" s="78"/>
      <c r="AOZ38" s="78"/>
      <c r="BBZ38" s="78"/>
      <c r="BFF38" s="78"/>
      <c r="BSF38" s="78"/>
      <c r="BUK38" s="78"/>
      <c r="BYB38" s="78"/>
      <c r="BZT38" s="78"/>
      <c r="CGK38" s="78"/>
      <c r="CLN38" s="78"/>
      <c r="CNH38" s="78"/>
      <c r="CQY38" s="78"/>
      <c r="CYJ38" s="78"/>
      <c r="DEA38" s="78"/>
      <c r="DHP38" s="78"/>
      <c r="DHS38" s="78"/>
      <c r="DII38" s="78"/>
      <c r="DOA38" s="78"/>
      <c r="DOZ38" s="78"/>
      <c r="DQQ38" s="78"/>
      <c r="DZV38" s="78"/>
    </row>
    <row r="39" spans="1:1013 1070:2048 2145:3072 3095:3485" ht="15" customHeight="1">
      <c r="A39" s="18">
        <v>20</v>
      </c>
      <c r="B39" s="84" t="s">
        <v>154</v>
      </c>
      <c r="C39" s="88" t="s">
        <v>84</v>
      </c>
      <c r="D39" s="80" t="s">
        <v>60</v>
      </c>
      <c r="E39" s="86">
        <v>1.33</v>
      </c>
      <c r="F39" s="13" t="s">
        <v>28</v>
      </c>
      <c r="G39" s="14">
        <v>0.105</v>
      </c>
      <c r="H39" s="82" t="str">
        <f>IF(OOC!S39=0,"",OOC!S39)</f>
        <v/>
      </c>
      <c r="I39" s="82" t="str">
        <f>IF(OOC!T39=0,"",OOC!T39)</f>
        <v/>
      </c>
      <c r="J39" s="16" t="s">
        <v>12</v>
      </c>
      <c r="K39" s="73" t="s">
        <v>52</v>
      </c>
      <c r="L39" s="19" t="e">
        <f t="shared" si="0"/>
        <v>#VALUE!</v>
      </c>
      <c r="M39" s="25" t="e">
        <f t="shared" si="1"/>
        <v>#VALUE!</v>
      </c>
      <c r="N39" s="29"/>
      <c r="O39" s="3" t="e">
        <f t="shared" si="18"/>
        <v>#REF!</v>
      </c>
      <c r="P39" s="3" t="e">
        <f t="shared" si="19"/>
        <v>#REF!</v>
      </c>
      <c r="Q39" s="3" t="e">
        <f t="shared" si="20"/>
        <v>#REF!</v>
      </c>
      <c r="R39" s="4" t="e">
        <f t="shared" si="21"/>
        <v>#REF!</v>
      </c>
      <c r="S39" s="5" t="e">
        <f t="shared" si="13"/>
        <v>#REF!</v>
      </c>
      <c r="T39" s="76" t="e">
        <f t="shared" si="2"/>
        <v>#REF!</v>
      </c>
      <c r="U39" s="76" t="e">
        <f t="shared" si="3"/>
        <v>#REF!</v>
      </c>
      <c r="V39" s="5" t="e">
        <f t="shared" si="4"/>
        <v>#REF!</v>
      </c>
      <c r="W39" s="5" t="e">
        <f t="shared" si="5"/>
        <v>#REF!</v>
      </c>
      <c r="X39" s="5" t="e">
        <f t="shared" si="6"/>
        <v>#REF!</v>
      </c>
      <c r="Y39" s="70" t="e">
        <f t="shared" si="7"/>
        <v>#REF!</v>
      </c>
      <c r="Z39" s="32" t="e">
        <f t="shared" si="8"/>
        <v>#REF!</v>
      </c>
      <c r="AA39" s="32" t="e">
        <f t="shared" si="9"/>
        <v>#REF!</v>
      </c>
      <c r="AB39" s="32" t="e">
        <f t="shared" si="10"/>
        <v>#REF!</v>
      </c>
      <c r="AC39" s="32" t="e">
        <f t="shared" si="11"/>
        <v>#REF!</v>
      </c>
      <c r="AD39" s="30"/>
      <c r="AE39" s="21" t="str">
        <f t="shared" si="12"/>
        <v/>
      </c>
      <c r="AF39" s="74"/>
      <c r="AG39" s="57"/>
      <c r="AH39" s="57"/>
      <c r="AI39" s="58"/>
      <c r="AJ39" s="20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0" t="str">
        <f t="shared" si="14"/>
        <v>16_1</v>
      </c>
      <c r="BS39" s="112">
        <f>OOC!G39</f>
        <v>0.125</v>
      </c>
      <c r="BT39" s="112">
        <f>OOC!H39</f>
        <v>8.4999999999999992E-2</v>
      </c>
      <c r="BU39" s="3" t="e">
        <f t="shared" si="15"/>
        <v>#REF!</v>
      </c>
      <c r="BV39" s="3" t="e">
        <f t="shared" si="16"/>
        <v>#REF!</v>
      </c>
      <c r="BW39" s="3" t="e">
        <f t="shared" si="17"/>
        <v>#REF!</v>
      </c>
      <c r="BX39" s="109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HR39" s="78"/>
      <c r="TF39" s="78"/>
      <c r="TZ39" s="78"/>
      <c r="WZ39" s="78"/>
      <c r="XG39" s="78"/>
      <c r="XP39" s="78"/>
      <c r="XY39" s="78"/>
      <c r="AAP39" s="78"/>
      <c r="ABD39" s="78"/>
      <c r="ACF39" s="78"/>
      <c r="ADA39" s="78"/>
      <c r="ADG39" s="78"/>
      <c r="AGE39" s="78"/>
      <c r="AGO39" s="78"/>
      <c r="AHA39" s="78"/>
      <c r="AKW39" s="78"/>
      <c r="ATZ39" s="78"/>
      <c r="AUN39" s="78"/>
      <c r="BCU39" s="78"/>
      <c r="BIA39" s="78"/>
      <c r="BLB39" s="78"/>
      <c r="BPM39" s="78"/>
      <c r="BYA39" s="78"/>
      <c r="BYD39" s="78"/>
      <c r="BZG39" s="78"/>
      <c r="CDM39" s="78"/>
      <c r="CDX39" s="78"/>
      <c r="DAD39" s="78"/>
      <c r="DCP39" s="78"/>
      <c r="DIC39" s="78"/>
      <c r="DLP39" s="78"/>
      <c r="DUO39" s="78"/>
    </row>
    <row r="40" spans="1:1013 1070:2048 2145:3072 3095:3485" ht="15" customHeight="1">
      <c r="A40" s="18">
        <v>20</v>
      </c>
      <c r="B40" s="84" t="s">
        <v>154</v>
      </c>
      <c r="C40" s="88" t="s">
        <v>85</v>
      </c>
      <c r="D40" s="80" t="s">
        <v>60</v>
      </c>
      <c r="E40" s="86">
        <v>1.33</v>
      </c>
      <c r="F40" s="13" t="s">
        <v>28</v>
      </c>
      <c r="G40" s="14">
        <v>0.105</v>
      </c>
      <c r="H40" s="82" t="str">
        <f>IF(OOC!S40=0,"",OOC!S40)</f>
        <v/>
      </c>
      <c r="I40" s="82" t="str">
        <f>IF(OOC!T40=0,"",OOC!T40)</f>
        <v/>
      </c>
      <c r="J40" s="16" t="s">
        <v>12</v>
      </c>
      <c r="K40" s="73" t="s">
        <v>52</v>
      </c>
      <c r="L40" s="19" t="e">
        <f t="shared" si="0"/>
        <v>#VALUE!</v>
      </c>
      <c r="M40" s="25" t="e">
        <f t="shared" si="1"/>
        <v>#VALUE!</v>
      </c>
      <c r="N40" s="29"/>
      <c r="O40" s="3" t="e">
        <f t="shared" si="18"/>
        <v>#REF!</v>
      </c>
      <c r="P40" s="3" t="e">
        <f t="shared" si="19"/>
        <v>#REF!</v>
      </c>
      <c r="Q40" s="3" t="e">
        <f t="shared" si="20"/>
        <v>#REF!</v>
      </c>
      <c r="R40" s="4" t="e">
        <f t="shared" si="21"/>
        <v>#REF!</v>
      </c>
      <c r="S40" s="5" t="e">
        <f t="shared" si="13"/>
        <v>#REF!</v>
      </c>
      <c r="T40" s="76" t="e">
        <f t="shared" si="2"/>
        <v>#REF!</v>
      </c>
      <c r="U40" s="76" t="e">
        <f t="shared" si="3"/>
        <v>#REF!</v>
      </c>
      <c r="V40" s="5" t="e">
        <f t="shared" si="4"/>
        <v>#REF!</v>
      </c>
      <c r="W40" s="5" t="e">
        <f t="shared" si="5"/>
        <v>#REF!</v>
      </c>
      <c r="X40" s="5" t="e">
        <f t="shared" si="6"/>
        <v>#REF!</v>
      </c>
      <c r="Y40" s="70" t="e">
        <f t="shared" si="7"/>
        <v>#REF!</v>
      </c>
      <c r="Z40" s="32" t="e">
        <f t="shared" si="8"/>
        <v>#REF!</v>
      </c>
      <c r="AA40" s="32" t="e">
        <f t="shared" si="9"/>
        <v>#REF!</v>
      </c>
      <c r="AB40" s="32" t="e">
        <f t="shared" si="10"/>
        <v>#REF!</v>
      </c>
      <c r="AC40" s="32" t="e">
        <f t="shared" si="11"/>
        <v>#REF!</v>
      </c>
      <c r="AD40" s="30"/>
      <c r="AE40" s="21" t="str">
        <f t="shared" si="12"/>
        <v/>
      </c>
      <c r="AF40" s="74"/>
      <c r="AG40" s="57"/>
      <c r="AH40" s="57"/>
      <c r="AI40" s="58"/>
      <c r="AJ40" s="20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0" t="str">
        <f t="shared" si="14"/>
        <v>16_2</v>
      </c>
      <c r="BS40" s="112">
        <f>OOC!G40</f>
        <v>0.125</v>
      </c>
      <c r="BT40" s="112">
        <f>OOC!H40</f>
        <v>8.4999999999999992E-2</v>
      </c>
      <c r="BU40" s="3" t="e">
        <f t="shared" si="15"/>
        <v>#REF!</v>
      </c>
      <c r="BV40" s="3" t="e">
        <f t="shared" si="16"/>
        <v>#REF!</v>
      </c>
      <c r="BW40" s="3" t="e">
        <f t="shared" si="17"/>
        <v>#REF!</v>
      </c>
      <c r="BX40" s="109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HR40" s="78"/>
      <c r="TF40" s="78"/>
      <c r="TZ40" s="78"/>
      <c r="WZ40" s="78"/>
      <c r="XG40" s="78"/>
      <c r="XP40" s="78"/>
      <c r="XY40" s="78"/>
      <c r="AAP40" s="78"/>
      <c r="ABD40" s="78"/>
      <c r="ACF40" s="78"/>
      <c r="ADA40" s="78"/>
      <c r="ADG40" s="78"/>
      <c r="AGE40" s="78"/>
      <c r="AGO40" s="78"/>
      <c r="AHA40" s="78"/>
      <c r="AKW40" s="78"/>
      <c r="ATZ40" s="78"/>
      <c r="AUN40" s="78"/>
      <c r="BCU40" s="78"/>
      <c r="BIA40" s="78"/>
      <c r="BLB40" s="78"/>
      <c r="BPM40" s="78"/>
      <c r="BYA40" s="78"/>
      <c r="BYD40" s="78"/>
      <c r="BZG40" s="78"/>
      <c r="CDM40" s="78"/>
      <c r="CDX40" s="78"/>
      <c r="DAD40" s="78"/>
      <c r="DCP40" s="78"/>
      <c r="DIC40" s="78"/>
      <c r="DLP40" s="78"/>
      <c r="DUO40" s="78"/>
    </row>
    <row r="41" spans="1:1013 1070:2048 2145:3072 3095:3485" ht="15" customHeight="1">
      <c r="A41" s="18">
        <v>22</v>
      </c>
      <c r="B41" s="84" t="s">
        <v>155</v>
      </c>
      <c r="C41" s="88" t="s">
        <v>67</v>
      </c>
      <c r="D41" s="80" t="s">
        <v>60</v>
      </c>
      <c r="E41" s="86">
        <v>1.33</v>
      </c>
      <c r="F41" s="13" t="s">
        <v>28</v>
      </c>
      <c r="G41" s="14">
        <v>0.91</v>
      </c>
      <c r="H41" s="82" t="str">
        <f>IF(OOC!S41=0,"",OOC!S41)</f>
        <v/>
      </c>
      <c r="I41" s="82" t="str">
        <f>IF(OOC!T41=0,"",OOC!T41)</f>
        <v/>
      </c>
      <c r="J41" s="16" t="s">
        <v>12</v>
      </c>
      <c r="K41" s="73" t="s">
        <v>52</v>
      </c>
      <c r="L41" s="19" t="e">
        <f t="shared" si="0"/>
        <v>#VALUE!</v>
      </c>
      <c r="M41" s="25" t="e">
        <f t="shared" si="1"/>
        <v>#VALUE!</v>
      </c>
      <c r="N41" s="29"/>
      <c r="O41" s="3" t="e">
        <f t="shared" si="18"/>
        <v>#REF!</v>
      </c>
      <c r="P41" s="3" t="e">
        <f t="shared" si="19"/>
        <v>#REF!</v>
      </c>
      <c r="Q41" s="3" t="e">
        <f t="shared" si="20"/>
        <v>#REF!</v>
      </c>
      <c r="R41" s="4" t="e">
        <f t="shared" si="21"/>
        <v>#REF!</v>
      </c>
      <c r="S41" s="5" t="e">
        <f t="shared" si="13"/>
        <v>#REF!</v>
      </c>
      <c r="T41" s="76" t="e">
        <f t="shared" si="2"/>
        <v>#REF!</v>
      </c>
      <c r="U41" s="76" t="e">
        <f t="shared" si="3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0" t="e">
        <f t="shared" si="7"/>
        <v>#REF!</v>
      </c>
      <c r="Z41" s="32" t="e">
        <f t="shared" si="8"/>
        <v>#REF!</v>
      </c>
      <c r="AA41" s="32" t="e">
        <f t="shared" si="9"/>
        <v>#REF!</v>
      </c>
      <c r="AB41" s="32" t="e">
        <f t="shared" si="10"/>
        <v>#REF!</v>
      </c>
      <c r="AC41" s="32" t="e">
        <f t="shared" si="11"/>
        <v>#REF!</v>
      </c>
      <c r="AD41" s="30"/>
      <c r="AE41" s="21" t="str">
        <f t="shared" si="12"/>
        <v/>
      </c>
      <c r="AF41" s="74"/>
      <c r="AG41" s="57"/>
      <c r="AH41" s="57"/>
      <c r="AI41" s="58"/>
      <c r="AJ41" s="20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0" t="str">
        <f t="shared" si="14"/>
        <v>18-1</v>
      </c>
      <c r="BS41" s="112">
        <f>OOC!G41</f>
        <v>0.93</v>
      </c>
      <c r="BT41" s="112">
        <f>OOC!H41</f>
        <v>0.89</v>
      </c>
      <c r="BU41" s="3" t="e">
        <f t="shared" si="15"/>
        <v>#REF!</v>
      </c>
      <c r="BV41" s="3" t="e">
        <f t="shared" si="16"/>
        <v>#REF!</v>
      </c>
      <c r="BW41" s="3" t="e">
        <f t="shared" si="17"/>
        <v>#REF!</v>
      </c>
      <c r="BX41" s="109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G41" s="78"/>
      <c r="PF41" s="78"/>
      <c r="VN41" s="78"/>
      <c r="VX41" s="78"/>
      <c r="WE41" s="78"/>
      <c r="YT41" s="78"/>
      <c r="AAH41" s="78"/>
      <c r="AGZ41" s="78"/>
      <c r="ALY41" s="78"/>
      <c r="AOD41" s="78"/>
      <c r="AUW41" s="78"/>
      <c r="BGI41" s="78"/>
      <c r="BLM41" s="78"/>
      <c r="BNC41" s="78"/>
      <c r="BNU41" s="78"/>
      <c r="BTC41" s="78"/>
      <c r="BZI41" s="78"/>
      <c r="CDP41" s="78"/>
      <c r="COC41" s="78"/>
      <c r="CRC41" s="78"/>
      <c r="CWR41" s="78"/>
      <c r="CYI41" s="78"/>
      <c r="CYN41" s="78"/>
      <c r="CZP41" s="78"/>
      <c r="DIF41" s="78"/>
      <c r="DKL41" s="78"/>
      <c r="DND41" s="78"/>
      <c r="DOC41" s="78"/>
      <c r="DOH41" s="78"/>
      <c r="DSG41" s="78"/>
      <c r="EDA41" s="78"/>
    </row>
    <row r="42" spans="1:1013 1070:2048 2145:3072 3095:3485" ht="15" customHeight="1">
      <c r="A42" s="18">
        <v>23</v>
      </c>
      <c r="B42" s="84" t="s">
        <v>155</v>
      </c>
      <c r="C42" s="88" t="s">
        <v>68</v>
      </c>
      <c r="D42" s="80" t="s">
        <v>60</v>
      </c>
      <c r="E42" s="86">
        <v>1.33</v>
      </c>
      <c r="F42" s="13" t="s">
        <v>28</v>
      </c>
      <c r="G42" s="14">
        <v>0.91</v>
      </c>
      <c r="H42" s="82" t="str">
        <f>IF(OOC!S42=0,"",OOC!S42)</f>
        <v/>
      </c>
      <c r="I42" s="82" t="str">
        <f>IF(OOC!T42=0,"",OOC!T42)</f>
        <v/>
      </c>
      <c r="J42" s="16" t="s">
        <v>12</v>
      </c>
      <c r="K42" s="73" t="s">
        <v>52</v>
      </c>
      <c r="L42" s="19" t="e">
        <f t="shared" si="0"/>
        <v>#VALUE!</v>
      </c>
      <c r="M42" s="25" t="e">
        <f t="shared" si="1"/>
        <v>#VALUE!</v>
      </c>
      <c r="N42" s="29"/>
      <c r="O42" s="3" t="e">
        <f t="shared" si="18"/>
        <v>#REF!</v>
      </c>
      <c r="P42" s="3" t="e">
        <f t="shared" si="19"/>
        <v>#REF!</v>
      </c>
      <c r="Q42" s="3" t="e">
        <f t="shared" si="20"/>
        <v>#REF!</v>
      </c>
      <c r="R42" s="4" t="e">
        <f t="shared" si="21"/>
        <v>#REF!</v>
      </c>
      <c r="S42" s="5" t="e">
        <f t="shared" si="13"/>
        <v>#REF!</v>
      </c>
      <c r="T42" s="76" t="e">
        <f t="shared" si="2"/>
        <v>#REF!</v>
      </c>
      <c r="U42" s="76" t="e">
        <f t="shared" si="3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0" t="e">
        <f t="shared" si="7"/>
        <v>#REF!</v>
      </c>
      <c r="Z42" s="32" t="e">
        <f t="shared" si="8"/>
        <v>#REF!</v>
      </c>
      <c r="AA42" s="32" t="e">
        <f t="shared" si="9"/>
        <v>#REF!</v>
      </c>
      <c r="AB42" s="32" t="e">
        <f t="shared" si="10"/>
        <v>#REF!</v>
      </c>
      <c r="AC42" s="32" t="e">
        <f t="shared" si="11"/>
        <v>#REF!</v>
      </c>
      <c r="AD42" s="30"/>
      <c r="AE42" s="21" t="str">
        <f t="shared" si="12"/>
        <v/>
      </c>
      <c r="AF42" s="74"/>
      <c r="AG42" s="57"/>
      <c r="AH42" s="57"/>
      <c r="AI42" s="58"/>
      <c r="AJ42" s="20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0" t="str">
        <f t="shared" si="14"/>
        <v>18-2</v>
      </c>
      <c r="BS42" s="112">
        <f>OOC!G42</f>
        <v>0.93</v>
      </c>
      <c r="BT42" s="112">
        <f>OOC!H42</f>
        <v>0.89</v>
      </c>
      <c r="BU42" s="3" t="e">
        <f t="shared" si="15"/>
        <v>#REF!</v>
      </c>
      <c r="BV42" s="3" t="e">
        <f t="shared" si="16"/>
        <v>#REF!</v>
      </c>
      <c r="BW42" s="3" t="e">
        <f t="shared" si="17"/>
        <v>#REF!</v>
      </c>
      <c r="BX42" s="109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</row>
    <row r="43" spans="1:1013 1070:2048 2145:3072 3095:3485" ht="15" customHeight="1">
      <c r="A43" s="18">
        <v>23</v>
      </c>
      <c r="B43" s="84" t="s">
        <v>155</v>
      </c>
      <c r="C43" s="88" t="s">
        <v>86</v>
      </c>
      <c r="D43" s="80" t="s">
        <v>60</v>
      </c>
      <c r="E43" s="86">
        <v>1.33</v>
      </c>
      <c r="F43" s="13" t="s">
        <v>28</v>
      </c>
      <c r="G43" s="14">
        <v>0.91</v>
      </c>
      <c r="H43" s="82" t="str">
        <f>IF(OOC!S43=0,"",OOC!S43)</f>
        <v/>
      </c>
      <c r="I43" s="82" t="str">
        <f>IF(OOC!T43=0,"",OOC!T43)</f>
        <v/>
      </c>
      <c r="J43" s="16" t="s">
        <v>12</v>
      </c>
      <c r="K43" s="73" t="s">
        <v>52</v>
      </c>
      <c r="L43" s="19" t="e">
        <f t="shared" si="0"/>
        <v>#VALUE!</v>
      </c>
      <c r="M43" s="25" t="e">
        <f t="shared" si="1"/>
        <v>#VALUE!</v>
      </c>
      <c r="N43" s="29"/>
      <c r="O43" s="3" t="e">
        <f t="shared" si="18"/>
        <v>#REF!</v>
      </c>
      <c r="P43" s="3" t="e">
        <f t="shared" si="19"/>
        <v>#REF!</v>
      </c>
      <c r="Q43" s="3" t="e">
        <f t="shared" si="20"/>
        <v>#REF!</v>
      </c>
      <c r="R43" s="4" t="e">
        <f t="shared" si="21"/>
        <v>#REF!</v>
      </c>
      <c r="S43" s="5" t="e">
        <f t="shared" si="13"/>
        <v>#REF!</v>
      </c>
      <c r="T43" s="76" t="e">
        <f t="shared" si="2"/>
        <v>#REF!</v>
      </c>
      <c r="U43" s="76" t="e">
        <f t="shared" si="3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0" t="e">
        <f t="shared" si="7"/>
        <v>#REF!</v>
      </c>
      <c r="Z43" s="32" t="e">
        <f t="shared" si="8"/>
        <v>#REF!</v>
      </c>
      <c r="AA43" s="32" t="e">
        <f t="shared" si="9"/>
        <v>#REF!</v>
      </c>
      <c r="AB43" s="32" t="e">
        <f t="shared" si="10"/>
        <v>#REF!</v>
      </c>
      <c r="AC43" s="32" t="e">
        <f t="shared" si="11"/>
        <v>#REF!</v>
      </c>
      <c r="AD43" s="30"/>
      <c r="AE43" s="21" t="str">
        <f t="shared" si="12"/>
        <v/>
      </c>
      <c r="AF43" s="74"/>
      <c r="AG43" s="57"/>
      <c r="AH43" s="57"/>
      <c r="AI43" s="58"/>
      <c r="AJ43" s="20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0" t="str">
        <f t="shared" si="14"/>
        <v>18-3</v>
      </c>
      <c r="BS43" s="112">
        <f>OOC!G43</f>
        <v>0.93</v>
      </c>
      <c r="BT43" s="112">
        <f>OOC!H43</f>
        <v>0.89</v>
      </c>
      <c r="BU43" s="3" t="e">
        <f t="shared" si="15"/>
        <v>#REF!</v>
      </c>
      <c r="BV43" s="3" t="e">
        <f t="shared" si="16"/>
        <v>#REF!</v>
      </c>
      <c r="BW43" s="3" t="e">
        <f t="shared" si="17"/>
        <v>#REF!</v>
      </c>
      <c r="BX43" s="109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</row>
    <row r="44" spans="1:1013 1070:2048 2145:3072 3095:3485" ht="15" customHeight="1">
      <c r="A44" s="18">
        <v>25</v>
      </c>
      <c r="B44" s="84" t="s">
        <v>204</v>
      </c>
      <c r="C44" s="88" t="s">
        <v>125</v>
      </c>
      <c r="D44" s="80" t="s">
        <v>60</v>
      </c>
      <c r="E44" s="86">
        <v>1.33</v>
      </c>
      <c r="F44" s="13" t="s">
        <v>28</v>
      </c>
      <c r="G44" s="14">
        <v>0.86</v>
      </c>
      <c r="H44" s="82" t="str">
        <f>IF(OOC!S44=0,"",OOC!S44)</f>
        <v/>
      </c>
      <c r="I44" s="82" t="str">
        <f>IF(OOC!T44=0,"",OOC!T44)</f>
        <v/>
      </c>
      <c r="J44" s="16" t="s">
        <v>12</v>
      </c>
      <c r="K44" s="73" t="s">
        <v>52</v>
      </c>
      <c r="L44" s="19" t="e">
        <f t="shared" si="0"/>
        <v>#VALUE!</v>
      </c>
      <c r="M44" s="25" t="e">
        <f t="shared" si="1"/>
        <v>#VALUE!</v>
      </c>
      <c r="N44" s="29"/>
      <c r="O44" s="3" t="e">
        <f t="shared" si="18"/>
        <v>#REF!</v>
      </c>
      <c r="P44" s="3" t="e">
        <f t="shared" si="19"/>
        <v>#REF!</v>
      </c>
      <c r="Q44" s="3" t="e">
        <f t="shared" si="20"/>
        <v>#REF!</v>
      </c>
      <c r="R44" s="4" t="e">
        <f t="shared" si="21"/>
        <v>#REF!</v>
      </c>
      <c r="S44" s="5" t="e">
        <f t="shared" si="13"/>
        <v>#REF!</v>
      </c>
      <c r="T44" s="76" t="e">
        <f t="shared" si="2"/>
        <v>#REF!</v>
      </c>
      <c r="U44" s="76" t="e">
        <f t="shared" si="3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0" t="e">
        <f t="shared" si="7"/>
        <v>#REF!</v>
      </c>
      <c r="Z44" s="32" t="e">
        <f t="shared" si="8"/>
        <v>#REF!</v>
      </c>
      <c r="AA44" s="32" t="e">
        <f t="shared" si="9"/>
        <v>#REF!</v>
      </c>
      <c r="AB44" s="32" t="e">
        <f t="shared" si="10"/>
        <v>#REF!</v>
      </c>
      <c r="AC44" s="32" t="e">
        <f t="shared" si="11"/>
        <v>#REF!</v>
      </c>
      <c r="AD44" s="30"/>
      <c r="AE44" s="21" t="str">
        <f t="shared" si="12"/>
        <v/>
      </c>
      <c r="AF44" s="74"/>
      <c r="AG44" s="57"/>
      <c r="AH44" s="57"/>
      <c r="AI44" s="58"/>
      <c r="AJ44" s="20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0" t="str">
        <f t="shared" si="14"/>
        <v>19-1</v>
      </c>
      <c r="BS44" s="112">
        <f>OOC!G44</f>
        <v>0.88500000000000001</v>
      </c>
      <c r="BT44" s="112">
        <f>OOC!H44</f>
        <v>0.83499999999999996</v>
      </c>
      <c r="BU44" s="3" t="e">
        <f t="shared" si="15"/>
        <v>#REF!</v>
      </c>
      <c r="BV44" s="3" t="e">
        <f t="shared" si="16"/>
        <v>#REF!</v>
      </c>
      <c r="BW44" s="3" t="e">
        <f t="shared" si="17"/>
        <v>#REF!</v>
      </c>
      <c r="BX44" s="109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</row>
    <row r="45" spans="1:1013 1070:2048 2145:3072 3095:3485" ht="15" customHeight="1">
      <c r="A45" s="18">
        <v>25</v>
      </c>
      <c r="B45" s="84" t="s">
        <v>204</v>
      </c>
      <c r="C45" s="88" t="s">
        <v>126</v>
      </c>
      <c r="D45" s="80" t="s">
        <v>60</v>
      </c>
      <c r="E45" s="86">
        <v>1.33</v>
      </c>
      <c r="F45" s="13" t="s">
        <v>28</v>
      </c>
      <c r="G45" s="14">
        <v>0.86</v>
      </c>
      <c r="H45" s="82" t="str">
        <f>IF(OOC!S45=0,"",OOC!S45)</f>
        <v/>
      </c>
      <c r="I45" s="82" t="str">
        <f>IF(OOC!T45=0,"",OOC!T45)</f>
        <v/>
      </c>
      <c r="J45" s="16" t="s">
        <v>12</v>
      </c>
      <c r="K45" s="73" t="s">
        <v>52</v>
      </c>
      <c r="L45" s="19" t="e">
        <f t="shared" si="0"/>
        <v>#VALUE!</v>
      </c>
      <c r="M45" s="25" t="e">
        <f t="shared" si="1"/>
        <v>#VALUE!</v>
      </c>
      <c r="N45" s="29"/>
      <c r="O45" s="3" t="e">
        <f t="shared" si="18"/>
        <v>#REF!</v>
      </c>
      <c r="P45" s="3" t="e">
        <f t="shared" si="19"/>
        <v>#REF!</v>
      </c>
      <c r="Q45" s="3" t="e">
        <f t="shared" si="20"/>
        <v>#REF!</v>
      </c>
      <c r="R45" s="4" t="e">
        <f t="shared" si="21"/>
        <v>#REF!</v>
      </c>
      <c r="S45" s="5" t="e">
        <f t="shared" si="13"/>
        <v>#REF!</v>
      </c>
      <c r="T45" s="76" t="e">
        <f t="shared" si="2"/>
        <v>#REF!</v>
      </c>
      <c r="U45" s="76" t="e">
        <f t="shared" si="3"/>
        <v>#REF!</v>
      </c>
      <c r="V45" s="5" t="e">
        <f t="shared" si="4"/>
        <v>#REF!</v>
      </c>
      <c r="W45" s="5" t="e">
        <f t="shared" si="5"/>
        <v>#REF!</v>
      </c>
      <c r="X45" s="5" t="e">
        <f t="shared" si="6"/>
        <v>#REF!</v>
      </c>
      <c r="Y45" s="70" t="e">
        <f t="shared" si="7"/>
        <v>#REF!</v>
      </c>
      <c r="Z45" s="32" t="e">
        <f t="shared" si="8"/>
        <v>#REF!</v>
      </c>
      <c r="AA45" s="32" t="e">
        <f t="shared" si="9"/>
        <v>#REF!</v>
      </c>
      <c r="AB45" s="32" t="e">
        <f t="shared" si="10"/>
        <v>#REF!</v>
      </c>
      <c r="AC45" s="32" t="e">
        <f t="shared" si="11"/>
        <v>#REF!</v>
      </c>
      <c r="AD45" s="30"/>
      <c r="AE45" s="21" t="str">
        <f t="shared" si="12"/>
        <v/>
      </c>
      <c r="AF45" s="74"/>
      <c r="AG45" s="57"/>
      <c r="AH45" s="57"/>
      <c r="AI45" s="58"/>
      <c r="AJ45" s="20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0" t="str">
        <f t="shared" si="14"/>
        <v>19-2</v>
      </c>
      <c r="BS45" s="112">
        <f>OOC!G45</f>
        <v>0.88500000000000001</v>
      </c>
      <c r="BT45" s="112">
        <f>OOC!H45</f>
        <v>0.83499999999999996</v>
      </c>
      <c r="BU45" s="3" t="e">
        <f t="shared" si="15"/>
        <v>#REF!</v>
      </c>
      <c r="BV45" s="3" t="e">
        <f t="shared" si="16"/>
        <v>#REF!</v>
      </c>
      <c r="BW45" s="3" t="e">
        <f t="shared" si="17"/>
        <v>#REF!</v>
      </c>
      <c r="BX45" s="109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</row>
    <row r="46" spans="1:1013 1070:2048 2145:3072 3095:3485" ht="15" customHeight="1">
      <c r="A46" s="18">
        <v>25</v>
      </c>
      <c r="B46" s="84" t="s">
        <v>204</v>
      </c>
      <c r="C46" s="88" t="s">
        <v>127</v>
      </c>
      <c r="D46" s="80" t="s">
        <v>60</v>
      </c>
      <c r="E46" s="86">
        <v>1.33</v>
      </c>
      <c r="F46" s="13" t="s">
        <v>28</v>
      </c>
      <c r="G46" s="14">
        <v>0.86</v>
      </c>
      <c r="H46" s="82" t="str">
        <f>IF(OOC!S46=0,"",OOC!S46)</f>
        <v/>
      </c>
      <c r="I46" s="82" t="str">
        <f>IF(OOC!T46=0,"",OOC!T46)</f>
        <v/>
      </c>
      <c r="J46" s="16" t="s">
        <v>12</v>
      </c>
      <c r="K46" s="73" t="s">
        <v>52</v>
      </c>
      <c r="L46" s="19" t="e">
        <f t="shared" si="0"/>
        <v>#VALUE!</v>
      </c>
      <c r="M46" s="25" t="e">
        <f t="shared" si="1"/>
        <v>#VALUE!</v>
      </c>
      <c r="N46" s="29"/>
      <c r="O46" s="3" t="e">
        <f t="shared" si="18"/>
        <v>#REF!</v>
      </c>
      <c r="P46" s="3" t="e">
        <f t="shared" si="19"/>
        <v>#REF!</v>
      </c>
      <c r="Q46" s="3" t="e">
        <f t="shared" si="20"/>
        <v>#REF!</v>
      </c>
      <c r="R46" s="4" t="e">
        <f t="shared" si="21"/>
        <v>#REF!</v>
      </c>
      <c r="S46" s="5" t="e">
        <f t="shared" si="13"/>
        <v>#REF!</v>
      </c>
      <c r="T46" s="76" t="e">
        <f t="shared" si="2"/>
        <v>#REF!</v>
      </c>
      <c r="U46" s="76" t="e">
        <f t="shared" si="3"/>
        <v>#REF!</v>
      </c>
      <c r="V46" s="5" t="e">
        <f t="shared" si="4"/>
        <v>#REF!</v>
      </c>
      <c r="W46" s="5" t="e">
        <f t="shared" si="5"/>
        <v>#REF!</v>
      </c>
      <c r="X46" s="5" t="e">
        <f t="shared" si="6"/>
        <v>#REF!</v>
      </c>
      <c r="Y46" s="70" t="e">
        <f t="shared" si="7"/>
        <v>#REF!</v>
      </c>
      <c r="Z46" s="32" t="e">
        <f t="shared" si="8"/>
        <v>#REF!</v>
      </c>
      <c r="AA46" s="32" t="e">
        <f t="shared" si="9"/>
        <v>#REF!</v>
      </c>
      <c r="AB46" s="32" t="e">
        <f t="shared" si="10"/>
        <v>#REF!</v>
      </c>
      <c r="AC46" s="32" t="e">
        <f t="shared" si="11"/>
        <v>#REF!</v>
      </c>
      <c r="AD46" s="30"/>
      <c r="AE46" s="21" t="str">
        <f t="shared" si="12"/>
        <v/>
      </c>
      <c r="AF46" s="74"/>
      <c r="AG46" s="57"/>
      <c r="AH46" s="57"/>
      <c r="AI46" s="58"/>
      <c r="AJ46" s="20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0" t="str">
        <f t="shared" si="14"/>
        <v>19-3</v>
      </c>
      <c r="BS46" s="112">
        <f>OOC!G46</f>
        <v>0.88500000000000001</v>
      </c>
      <c r="BT46" s="112">
        <f>OOC!H46</f>
        <v>0.83499999999999996</v>
      </c>
      <c r="BU46" s="3" t="e">
        <f t="shared" si="15"/>
        <v>#REF!</v>
      </c>
      <c r="BV46" s="3" t="e">
        <f t="shared" si="16"/>
        <v>#REF!</v>
      </c>
      <c r="BW46" s="3" t="e">
        <f t="shared" si="17"/>
        <v>#REF!</v>
      </c>
      <c r="BX46" s="109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1013 1070:2048 2145:3072 3095:3485" ht="15" customHeight="1">
      <c r="A47" s="18">
        <v>31</v>
      </c>
      <c r="B47" s="84" t="s">
        <v>156</v>
      </c>
      <c r="C47" s="88" t="s">
        <v>128</v>
      </c>
      <c r="D47" s="80" t="s">
        <v>60</v>
      </c>
      <c r="E47" s="86">
        <v>1.33</v>
      </c>
      <c r="F47" s="13" t="s">
        <v>28</v>
      </c>
      <c r="G47" s="14">
        <v>0.87</v>
      </c>
      <c r="H47" s="82" t="str">
        <f>IF(OOC!S47=0,"",OOC!S47)</f>
        <v/>
      </c>
      <c r="I47" s="82" t="str">
        <f>IF(OOC!T47=0,"",OOC!T47)</f>
        <v/>
      </c>
      <c r="J47" s="16" t="s">
        <v>12</v>
      </c>
      <c r="K47" s="73" t="s">
        <v>52</v>
      </c>
      <c r="L47" s="19" t="e">
        <f t="shared" si="0"/>
        <v>#VALUE!</v>
      </c>
      <c r="M47" s="25" t="e">
        <f t="shared" si="1"/>
        <v>#VALUE!</v>
      </c>
      <c r="N47" s="29"/>
      <c r="O47" s="3" t="e">
        <f t="shared" si="18"/>
        <v>#REF!</v>
      </c>
      <c r="P47" s="3" t="e">
        <f t="shared" si="19"/>
        <v>#REF!</v>
      </c>
      <c r="Q47" s="3" t="e">
        <f t="shared" si="20"/>
        <v>#REF!</v>
      </c>
      <c r="R47" s="4" t="e">
        <f t="shared" si="21"/>
        <v>#REF!</v>
      </c>
      <c r="S47" s="5" t="e">
        <f t="shared" si="13"/>
        <v>#REF!</v>
      </c>
      <c r="T47" s="76" t="e">
        <f t="shared" si="2"/>
        <v>#REF!</v>
      </c>
      <c r="U47" s="76" t="e">
        <f t="shared" si="3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0" t="e">
        <f t="shared" si="7"/>
        <v>#REF!</v>
      </c>
      <c r="Z47" s="32" t="e">
        <f t="shared" si="8"/>
        <v>#REF!</v>
      </c>
      <c r="AA47" s="32" t="e">
        <f t="shared" si="9"/>
        <v>#REF!</v>
      </c>
      <c r="AB47" s="32" t="e">
        <f t="shared" si="10"/>
        <v>#REF!</v>
      </c>
      <c r="AC47" s="32" t="e">
        <f t="shared" si="11"/>
        <v>#REF!</v>
      </c>
      <c r="AD47" s="30"/>
      <c r="AE47" s="21" t="str">
        <f t="shared" si="12"/>
        <v/>
      </c>
      <c r="AF47" s="74"/>
      <c r="AG47" s="57"/>
      <c r="AH47" s="57"/>
      <c r="AI47" s="58"/>
      <c r="AJ47" s="20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0" t="str">
        <f t="shared" si="14"/>
        <v>24-1</v>
      </c>
      <c r="BS47" s="112">
        <f>OOC!G47</f>
        <v>0.89500000000000002</v>
      </c>
      <c r="BT47" s="112">
        <f>OOC!H47</f>
        <v>0.84499999999999997</v>
      </c>
      <c r="BU47" s="3" t="e">
        <f t="shared" si="15"/>
        <v>#REF!</v>
      </c>
      <c r="BV47" s="3" t="e">
        <f t="shared" si="16"/>
        <v>#REF!</v>
      </c>
      <c r="BW47" s="3" t="e">
        <f t="shared" si="17"/>
        <v>#REF!</v>
      </c>
      <c r="BX47" s="109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1013 1070:2048 2145:3072 3095:3485" ht="15" customHeight="1">
      <c r="A48" s="18">
        <v>31</v>
      </c>
      <c r="B48" s="84" t="s">
        <v>156</v>
      </c>
      <c r="C48" s="88" t="s">
        <v>129</v>
      </c>
      <c r="D48" s="80" t="s">
        <v>60</v>
      </c>
      <c r="E48" s="86">
        <v>1.33</v>
      </c>
      <c r="F48" s="13" t="s">
        <v>28</v>
      </c>
      <c r="G48" s="14">
        <v>0.87</v>
      </c>
      <c r="H48" s="82" t="str">
        <f>IF(OOC!S48=0,"",OOC!S48)</f>
        <v/>
      </c>
      <c r="I48" s="82" t="str">
        <f>IF(OOC!T48=0,"",OOC!T48)</f>
        <v/>
      </c>
      <c r="J48" s="16" t="s">
        <v>12</v>
      </c>
      <c r="K48" s="73" t="s">
        <v>52</v>
      </c>
      <c r="L48" s="19" t="e">
        <f t="shared" si="0"/>
        <v>#VALUE!</v>
      </c>
      <c r="M48" s="25" t="e">
        <f t="shared" si="1"/>
        <v>#VALUE!</v>
      </c>
      <c r="N48" s="29"/>
      <c r="O48" s="3" t="e">
        <f t="shared" si="18"/>
        <v>#REF!</v>
      </c>
      <c r="P48" s="3" t="e">
        <f t="shared" si="19"/>
        <v>#REF!</v>
      </c>
      <c r="Q48" s="3" t="e">
        <f t="shared" si="20"/>
        <v>#REF!</v>
      </c>
      <c r="R48" s="4" t="e">
        <f t="shared" si="21"/>
        <v>#REF!</v>
      </c>
      <c r="S48" s="5" t="e">
        <f t="shared" si="13"/>
        <v>#REF!</v>
      </c>
      <c r="T48" s="76" t="e">
        <f t="shared" si="2"/>
        <v>#REF!</v>
      </c>
      <c r="U48" s="76" t="e">
        <f t="shared" si="3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0" t="e">
        <f t="shared" si="7"/>
        <v>#REF!</v>
      </c>
      <c r="Z48" s="32" t="e">
        <f t="shared" si="8"/>
        <v>#REF!</v>
      </c>
      <c r="AA48" s="32" t="e">
        <f t="shared" si="9"/>
        <v>#REF!</v>
      </c>
      <c r="AB48" s="32" t="e">
        <f t="shared" si="10"/>
        <v>#REF!</v>
      </c>
      <c r="AC48" s="32" t="e">
        <f t="shared" si="11"/>
        <v>#REF!</v>
      </c>
      <c r="AD48" s="30"/>
      <c r="AE48" s="21" t="str">
        <f t="shared" si="12"/>
        <v/>
      </c>
      <c r="AF48" s="74"/>
      <c r="AG48" s="57"/>
      <c r="AH48" s="57"/>
      <c r="AI48" s="58"/>
      <c r="AJ48" s="20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0" t="str">
        <f t="shared" si="14"/>
        <v>24-2</v>
      </c>
      <c r="BS48" s="112">
        <f>OOC!G48</f>
        <v>0.89500000000000002</v>
      </c>
      <c r="BT48" s="112">
        <f>OOC!H48</f>
        <v>0.84499999999999997</v>
      </c>
      <c r="BU48" s="3" t="e">
        <f t="shared" si="15"/>
        <v>#REF!</v>
      </c>
      <c r="BV48" s="3" t="e">
        <f t="shared" si="16"/>
        <v>#REF!</v>
      </c>
      <c r="BW48" s="3" t="e">
        <f t="shared" si="17"/>
        <v>#REF!</v>
      </c>
      <c r="BX48" s="109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8">
        <v>32</v>
      </c>
      <c r="B49" s="84" t="s">
        <v>157</v>
      </c>
      <c r="C49" s="88">
        <v>25</v>
      </c>
      <c r="D49" s="22" t="s">
        <v>60</v>
      </c>
      <c r="E49" s="86">
        <v>1.33</v>
      </c>
      <c r="F49" s="13" t="s">
        <v>28</v>
      </c>
      <c r="G49" s="14">
        <v>12.561999999999999</v>
      </c>
      <c r="H49" s="82" t="str">
        <f>IF(OOC!S49=0,"",OOC!S49)</f>
        <v/>
      </c>
      <c r="I49" s="82" t="str">
        <f>IF(OOC!T49=0,"",OOC!T49)</f>
        <v/>
      </c>
      <c r="J49" s="16" t="s">
        <v>12</v>
      </c>
      <c r="K49" s="73" t="s">
        <v>52</v>
      </c>
      <c r="L49" s="19" t="e">
        <f t="shared" si="0"/>
        <v>#VALUE!</v>
      </c>
      <c r="M49" s="25" t="e">
        <f t="shared" si="1"/>
        <v>#VALUE!</v>
      </c>
      <c r="N49" s="29"/>
      <c r="O49" s="3" t="e">
        <f t="shared" si="18"/>
        <v>#REF!</v>
      </c>
      <c r="P49" s="3" t="e">
        <f t="shared" si="19"/>
        <v>#REF!</v>
      </c>
      <c r="Q49" s="3" t="e">
        <f t="shared" si="20"/>
        <v>#REF!</v>
      </c>
      <c r="R49" s="4" t="e">
        <f t="shared" si="21"/>
        <v>#REF!</v>
      </c>
      <c r="S49" s="5" t="e">
        <f t="shared" si="13"/>
        <v>#REF!</v>
      </c>
      <c r="T49" s="76" t="e">
        <f t="shared" si="2"/>
        <v>#REF!</v>
      </c>
      <c r="U49" s="76" t="e">
        <f t="shared" si="3"/>
        <v>#REF!</v>
      </c>
      <c r="V49" s="5" t="e">
        <f t="shared" si="4"/>
        <v>#REF!</v>
      </c>
      <c r="W49" s="5" t="e">
        <f t="shared" si="5"/>
        <v>#REF!</v>
      </c>
      <c r="X49" s="5" t="e">
        <f t="shared" si="6"/>
        <v>#REF!</v>
      </c>
      <c r="Y49" s="70" t="e">
        <f t="shared" si="7"/>
        <v>#REF!</v>
      </c>
      <c r="Z49" s="32" t="e">
        <f t="shared" si="8"/>
        <v>#REF!</v>
      </c>
      <c r="AA49" s="32" t="e">
        <f t="shared" si="9"/>
        <v>#REF!</v>
      </c>
      <c r="AB49" s="32" t="e">
        <f t="shared" si="10"/>
        <v>#REF!</v>
      </c>
      <c r="AC49" s="32" t="e">
        <f t="shared" si="11"/>
        <v>#REF!</v>
      </c>
      <c r="AD49" s="30"/>
      <c r="AE49" s="21" t="str">
        <f t="shared" si="12"/>
        <v/>
      </c>
      <c r="AF49" s="74"/>
      <c r="AG49" s="57"/>
      <c r="AH49" s="57"/>
      <c r="AI49" s="58"/>
      <c r="AJ49" s="20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0">
        <f t="shared" si="14"/>
        <v>25</v>
      </c>
      <c r="BS49" s="112">
        <f>OOC!G49</f>
        <v>12.581999999999999</v>
      </c>
      <c r="BT49" s="112">
        <f>OOC!H49</f>
        <v>12.542</v>
      </c>
      <c r="BU49" s="3" t="e">
        <f t="shared" si="15"/>
        <v>#REF!</v>
      </c>
      <c r="BV49" s="3" t="e">
        <f t="shared" si="16"/>
        <v>#REF!</v>
      </c>
      <c r="BW49" s="3" t="e">
        <f t="shared" si="17"/>
        <v>#REF!</v>
      </c>
      <c r="BX49" s="109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8">
        <v>33</v>
      </c>
      <c r="B50" s="84" t="s">
        <v>158</v>
      </c>
      <c r="C50" s="88">
        <v>26</v>
      </c>
      <c r="D50" s="22" t="s">
        <v>60</v>
      </c>
      <c r="E50" s="86">
        <v>1.33</v>
      </c>
      <c r="F50" s="13" t="s">
        <v>28</v>
      </c>
      <c r="G50" s="14">
        <v>12.332000000000001</v>
      </c>
      <c r="H50" s="82" t="str">
        <f>IF(OOC!S50=0,"",OOC!S50)</f>
        <v/>
      </c>
      <c r="I50" s="82" t="str">
        <f>IF(OOC!T50=0,"",OOC!T50)</f>
        <v/>
      </c>
      <c r="J50" s="16" t="s">
        <v>12</v>
      </c>
      <c r="K50" s="73" t="s">
        <v>52</v>
      </c>
      <c r="L50" s="19" t="e">
        <f t="shared" si="0"/>
        <v>#VALUE!</v>
      </c>
      <c r="M50" s="25" t="e">
        <f t="shared" si="1"/>
        <v>#VALUE!</v>
      </c>
      <c r="N50" s="29"/>
      <c r="O50" s="3" t="e">
        <f t="shared" si="18"/>
        <v>#REF!</v>
      </c>
      <c r="P50" s="3" t="e">
        <f t="shared" si="19"/>
        <v>#REF!</v>
      </c>
      <c r="Q50" s="3" t="e">
        <f t="shared" si="20"/>
        <v>#REF!</v>
      </c>
      <c r="R50" s="4" t="e">
        <f t="shared" si="21"/>
        <v>#REF!</v>
      </c>
      <c r="S50" s="5" t="e">
        <f t="shared" si="13"/>
        <v>#REF!</v>
      </c>
      <c r="T50" s="76" t="e">
        <f t="shared" si="2"/>
        <v>#REF!</v>
      </c>
      <c r="U50" s="76" t="e">
        <f t="shared" si="3"/>
        <v>#REF!</v>
      </c>
      <c r="V50" s="5" t="e">
        <f t="shared" si="4"/>
        <v>#REF!</v>
      </c>
      <c r="W50" s="5" t="e">
        <f t="shared" si="5"/>
        <v>#REF!</v>
      </c>
      <c r="X50" s="5" t="e">
        <f t="shared" si="6"/>
        <v>#REF!</v>
      </c>
      <c r="Y50" s="70" t="e">
        <f t="shared" si="7"/>
        <v>#REF!</v>
      </c>
      <c r="Z50" s="32" t="e">
        <f t="shared" si="8"/>
        <v>#REF!</v>
      </c>
      <c r="AA50" s="32" t="e">
        <f t="shared" si="9"/>
        <v>#REF!</v>
      </c>
      <c r="AB50" s="32" t="e">
        <f t="shared" si="10"/>
        <v>#REF!</v>
      </c>
      <c r="AC50" s="32" t="e">
        <f t="shared" si="11"/>
        <v>#REF!</v>
      </c>
      <c r="AD50" s="30"/>
      <c r="AE50" s="21" t="str">
        <f t="shared" si="12"/>
        <v/>
      </c>
      <c r="AF50" s="74"/>
      <c r="AG50" s="57"/>
      <c r="AH50" s="57"/>
      <c r="AI50" s="58"/>
      <c r="AJ50" s="20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0">
        <f t="shared" si="14"/>
        <v>26</v>
      </c>
      <c r="BS50" s="112">
        <f>OOC!G50</f>
        <v>12.352</v>
      </c>
      <c r="BT50" s="112">
        <f>OOC!H50</f>
        <v>12.312000000000001</v>
      </c>
      <c r="BU50" s="3" t="e">
        <f t="shared" si="15"/>
        <v>#REF!</v>
      </c>
      <c r="BV50" s="3" t="e">
        <f t="shared" si="16"/>
        <v>#REF!</v>
      </c>
      <c r="BW50" s="3" t="e">
        <f t="shared" si="17"/>
        <v>#REF!</v>
      </c>
      <c r="BX50" s="109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8">
        <v>34</v>
      </c>
      <c r="B51" s="84" t="s">
        <v>159</v>
      </c>
      <c r="C51" s="88" t="s">
        <v>87</v>
      </c>
      <c r="D51" s="22" t="s">
        <v>60</v>
      </c>
      <c r="E51" s="86">
        <v>1.33</v>
      </c>
      <c r="F51" s="13" t="s">
        <v>28</v>
      </c>
      <c r="G51" s="14">
        <v>0.35499999999999998</v>
      </c>
      <c r="H51" s="82" t="str">
        <f>IF(OOC!S51=0,"",OOC!S51)</f>
        <v/>
      </c>
      <c r="I51" s="82" t="str">
        <f>IF(OOC!T51=0,"",OOC!T51)</f>
        <v/>
      </c>
      <c r="J51" s="16" t="s">
        <v>12</v>
      </c>
      <c r="K51" s="73" t="s">
        <v>52</v>
      </c>
      <c r="L51" s="19" t="e">
        <f t="shared" si="0"/>
        <v>#VALUE!</v>
      </c>
      <c r="M51" s="25" t="e">
        <f t="shared" si="1"/>
        <v>#VALUE!</v>
      </c>
      <c r="N51" s="29"/>
      <c r="O51" s="3" t="e">
        <f t="shared" si="18"/>
        <v>#REF!</v>
      </c>
      <c r="P51" s="3" t="e">
        <f t="shared" si="19"/>
        <v>#REF!</v>
      </c>
      <c r="Q51" s="3" t="e">
        <f t="shared" si="20"/>
        <v>#REF!</v>
      </c>
      <c r="R51" s="4" t="e">
        <f t="shared" si="21"/>
        <v>#REF!</v>
      </c>
      <c r="S51" s="5" t="e">
        <f t="shared" si="13"/>
        <v>#REF!</v>
      </c>
      <c r="T51" s="76" t="e">
        <f t="shared" si="2"/>
        <v>#REF!</v>
      </c>
      <c r="U51" s="76" t="e">
        <f t="shared" si="3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0" t="e">
        <f t="shared" si="7"/>
        <v>#REF!</v>
      </c>
      <c r="Z51" s="32" t="e">
        <f t="shared" si="8"/>
        <v>#REF!</v>
      </c>
      <c r="AA51" s="32" t="e">
        <f t="shared" si="9"/>
        <v>#REF!</v>
      </c>
      <c r="AB51" s="32" t="e">
        <f t="shared" si="10"/>
        <v>#REF!</v>
      </c>
      <c r="AC51" s="32" t="e">
        <f t="shared" si="11"/>
        <v>#REF!</v>
      </c>
      <c r="AD51" s="30"/>
      <c r="AE51" s="21" t="str">
        <f t="shared" si="12"/>
        <v/>
      </c>
      <c r="AF51" s="74"/>
      <c r="AG51" s="57"/>
      <c r="AH51" s="57"/>
      <c r="AI51" s="58"/>
      <c r="AJ51" s="20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0" t="str">
        <f t="shared" si="14"/>
        <v>27-1</v>
      </c>
      <c r="BS51" s="112">
        <f>OOC!G51</f>
        <v>0.38</v>
      </c>
      <c r="BT51" s="112">
        <f>OOC!H51</f>
        <v>0.32999999999999996</v>
      </c>
      <c r="BU51" s="3" t="e">
        <f t="shared" si="15"/>
        <v>#REF!</v>
      </c>
      <c r="BV51" s="3" t="e">
        <f t="shared" si="16"/>
        <v>#REF!</v>
      </c>
      <c r="BW51" s="3" t="e">
        <f t="shared" si="17"/>
        <v>#REF!</v>
      </c>
      <c r="BX51" s="109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</row>
    <row r="52" spans="1:76" ht="15" customHeight="1">
      <c r="A52" s="18">
        <v>34</v>
      </c>
      <c r="B52" s="84" t="s">
        <v>159</v>
      </c>
      <c r="C52" s="88" t="s">
        <v>81</v>
      </c>
      <c r="D52" s="22" t="s">
        <v>60</v>
      </c>
      <c r="E52" s="86">
        <v>1.33</v>
      </c>
      <c r="F52" s="13" t="s">
        <v>28</v>
      </c>
      <c r="G52" s="14">
        <v>0.35499999999999998</v>
      </c>
      <c r="H52" s="82" t="str">
        <f>IF(OOC!S52=0,"",OOC!S52)</f>
        <v/>
      </c>
      <c r="I52" s="82" t="str">
        <f>IF(OOC!T52=0,"",OOC!T52)</f>
        <v/>
      </c>
      <c r="J52" s="16" t="s">
        <v>12</v>
      </c>
      <c r="K52" s="73" t="s">
        <v>52</v>
      </c>
      <c r="L52" s="19" t="e">
        <f t="shared" si="0"/>
        <v>#VALUE!</v>
      </c>
      <c r="M52" s="25" t="e">
        <f t="shared" si="1"/>
        <v>#VALUE!</v>
      </c>
      <c r="N52" s="29"/>
      <c r="O52" s="3" t="e">
        <f t="shared" si="18"/>
        <v>#REF!</v>
      </c>
      <c r="P52" s="3" t="e">
        <f t="shared" si="19"/>
        <v>#REF!</v>
      </c>
      <c r="Q52" s="3" t="e">
        <f t="shared" si="20"/>
        <v>#REF!</v>
      </c>
      <c r="R52" s="4" t="e">
        <f t="shared" si="21"/>
        <v>#REF!</v>
      </c>
      <c r="S52" s="5" t="e">
        <f t="shared" si="13"/>
        <v>#REF!</v>
      </c>
      <c r="T52" s="76" t="e">
        <f t="shared" si="2"/>
        <v>#REF!</v>
      </c>
      <c r="U52" s="76" t="e">
        <f t="shared" si="3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0" t="e">
        <f t="shared" si="7"/>
        <v>#REF!</v>
      </c>
      <c r="Z52" s="32" t="e">
        <f t="shared" si="8"/>
        <v>#REF!</v>
      </c>
      <c r="AA52" s="32" t="e">
        <f t="shared" si="9"/>
        <v>#REF!</v>
      </c>
      <c r="AB52" s="32" t="e">
        <f t="shared" si="10"/>
        <v>#REF!</v>
      </c>
      <c r="AC52" s="32" t="e">
        <f t="shared" si="11"/>
        <v>#REF!</v>
      </c>
      <c r="AD52" s="30"/>
      <c r="AE52" s="21" t="str">
        <f t="shared" si="12"/>
        <v/>
      </c>
      <c r="AF52" s="74"/>
      <c r="AG52" s="57"/>
      <c r="AH52" s="57"/>
      <c r="AI52" s="58"/>
      <c r="AJ52" s="20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0" t="str">
        <f t="shared" si="14"/>
        <v>27-2</v>
      </c>
      <c r="BS52" s="112">
        <f>OOC!G52</f>
        <v>0.38</v>
      </c>
      <c r="BT52" s="112">
        <f>OOC!H52</f>
        <v>0.32999999999999996</v>
      </c>
      <c r="BU52" s="3" t="e">
        <f t="shared" si="15"/>
        <v>#REF!</v>
      </c>
      <c r="BV52" s="3" t="e">
        <f t="shared" si="16"/>
        <v>#REF!</v>
      </c>
      <c r="BW52" s="3" t="e">
        <f t="shared" si="17"/>
        <v>#REF!</v>
      </c>
      <c r="BX52" s="109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</row>
    <row r="53" spans="1:76" ht="15" customHeight="1">
      <c r="A53" s="18">
        <v>34</v>
      </c>
      <c r="B53" s="84" t="s">
        <v>159</v>
      </c>
      <c r="C53" s="88" t="s">
        <v>82</v>
      </c>
      <c r="D53" s="22" t="s">
        <v>60</v>
      </c>
      <c r="E53" s="86">
        <v>1.33</v>
      </c>
      <c r="F53" s="13" t="s">
        <v>28</v>
      </c>
      <c r="G53" s="14">
        <v>0.35499999999999998</v>
      </c>
      <c r="H53" s="82" t="str">
        <f>IF(OOC!S53=0,"",OOC!S53)</f>
        <v/>
      </c>
      <c r="I53" s="82" t="str">
        <f>IF(OOC!T53=0,"",OOC!T53)</f>
        <v/>
      </c>
      <c r="J53" s="16" t="s">
        <v>12</v>
      </c>
      <c r="K53" s="73" t="s">
        <v>52</v>
      </c>
      <c r="L53" s="19" t="e">
        <f t="shared" si="0"/>
        <v>#VALUE!</v>
      </c>
      <c r="M53" s="25" t="e">
        <f t="shared" si="1"/>
        <v>#VALUE!</v>
      </c>
      <c r="N53" s="29"/>
      <c r="O53" s="3" t="e">
        <f t="shared" si="18"/>
        <v>#REF!</v>
      </c>
      <c r="P53" s="3" t="e">
        <f t="shared" si="19"/>
        <v>#REF!</v>
      </c>
      <c r="Q53" s="3" t="e">
        <f t="shared" si="20"/>
        <v>#REF!</v>
      </c>
      <c r="R53" s="4" t="e">
        <f t="shared" si="21"/>
        <v>#REF!</v>
      </c>
      <c r="S53" s="5" t="e">
        <f t="shared" si="13"/>
        <v>#REF!</v>
      </c>
      <c r="T53" s="76" t="e">
        <f t="shared" si="2"/>
        <v>#REF!</v>
      </c>
      <c r="U53" s="76" t="e">
        <f t="shared" si="3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0" t="e">
        <f t="shared" si="7"/>
        <v>#REF!</v>
      </c>
      <c r="Z53" s="32" t="e">
        <f t="shared" si="8"/>
        <v>#REF!</v>
      </c>
      <c r="AA53" s="32" t="e">
        <f t="shared" si="9"/>
        <v>#REF!</v>
      </c>
      <c r="AB53" s="32" t="e">
        <f t="shared" si="10"/>
        <v>#REF!</v>
      </c>
      <c r="AC53" s="32" t="e">
        <f t="shared" si="11"/>
        <v>#REF!</v>
      </c>
      <c r="AD53" s="30"/>
      <c r="AE53" s="21" t="str">
        <f t="shared" si="12"/>
        <v/>
      </c>
      <c r="AF53" s="74"/>
      <c r="AG53" s="57"/>
      <c r="AH53" s="57"/>
      <c r="AI53" s="58"/>
      <c r="AJ53" s="20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0" t="str">
        <f t="shared" si="14"/>
        <v>27-3</v>
      </c>
      <c r="BS53" s="112">
        <f>OOC!G53</f>
        <v>0.38</v>
      </c>
      <c r="BT53" s="112">
        <f>OOC!H53</f>
        <v>0.32999999999999996</v>
      </c>
      <c r="BU53" s="3" t="e">
        <f t="shared" si="15"/>
        <v>#REF!</v>
      </c>
      <c r="BV53" s="3" t="e">
        <f t="shared" si="16"/>
        <v>#REF!</v>
      </c>
      <c r="BW53" s="3" t="e">
        <f t="shared" si="17"/>
        <v>#REF!</v>
      </c>
      <c r="BX53" s="109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76" ht="15" customHeight="1">
      <c r="A54" s="18">
        <v>34</v>
      </c>
      <c r="B54" s="84" t="s">
        <v>159</v>
      </c>
      <c r="C54" s="88" t="s">
        <v>83</v>
      </c>
      <c r="D54" s="22" t="s">
        <v>60</v>
      </c>
      <c r="E54" s="86">
        <v>1.33</v>
      </c>
      <c r="F54" s="13" t="s">
        <v>28</v>
      </c>
      <c r="G54" s="14">
        <v>0.35499999999999998</v>
      </c>
      <c r="H54" s="82" t="str">
        <f>IF(OOC!S54=0,"",OOC!S54)</f>
        <v/>
      </c>
      <c r="I54" s="82" t="str">
        <f>IF(OOC!T54=0,"",OOC!T54)</f>
        <v/>
      </c>
      <c r="J54" s="16" t="s">
        <v>12</v>
      </c>
      <c r="K54" s="73" t="s">
        <v>52</v>
      </c>
      <c r="L54" s="19" t="e">
        <f t="shared" si="0"/>
        <v>#VALUE!</v>
      </c>
      <c r="M54" s="25" t="e">
        <f t="shared" si="1"/>
        <v>#VALUE!</v>
      </c>
      <c r="N54" s="29"/>
      <c r="O54" s="3" t="e">
        <f t="shared" si="18"/>
        <v>#REF!</v>
      </c>
      <c r="P54" s="3" t="e">
        <f t="shared" si="19"/>
        <v>#REF!</v>
      </c>
      <c r="Q54" s="3" t="e">
        <f t="shared" si="20"/>
        <v>#REF!</v>
      </c>
      <c r="R54" s="4" t="e">
        <f t="shared" si="21"/>
        <v>#REF!</v>
      </c>
      <c r="S54" s="5" t="e">
        <f t="shared" si="13"/>
        <v>#REF!</v>
      </c>
      <c r="T54" s="76" t="e">
        <f t="shared" si="2"/>
        <v>#REF!</v>
      </c>
      <c r="U54" s="76" t="e">
        <f t="shared" si="3"/>
        <v>#REF!</v>
      </c>
      <c r="V54" s="5" t="e">
        <f t="shared" si="4"/>
        <v>#REF!</v>
      </c>
      <c r="W54" s="5" t="e">
        <f t="shared" si="5"/>
        <v>#REF!</v>
      </c>
      <c r="X54" s="5" t="e">
        <f t="shared" si="6"/>
        <v>#REF!</v>
      </c>
      <c r="Y54" s="70" t="e">
        <f t="shared" si="7"/>
        <v>#REF!</v>
      </c>
      <c r="Z54" s="32" t="e">
        <f t="shared" si="8"/>
        <v>#REF!</v>
      </c>
      <c r="AA54" s="32" t="e">
        <f t="shared" si="9"/>
        <v>#REF!</v>
      </c>
      <c r="AB54" s="32" t="e">
        <f t="shared" si="10"/>
        <v>#REF!</v>
      </c>
      <c r="AC54" s="32" t="e">
        <f t="shared" si="11"/>
        <v>#REF!</v>
      </c>
      <c r="AD54" s="30"/>
      <c r="AE54" s="21" t="str">
        <f t="shared" si="12"/>
        <v/>
      </c>
      <c r="AF54" s="74"/>
      <c r="AG54" s="57"/>
      <c r="AH54" s="57"/>
      <c r="AI54" s="58"/>
      <c r="AJ54" s="20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0" t="str">
        <f t="shared" si="14"/>
        <v>27-4</v>
      </c>
      <c r="BS54" s="112">
        <f>OOC!G54</f>
        <v>0.38</v>
      </c>
      <c r="BT54" s="112">
        <f>OOC!H54</f>
        <v>0.32999999999999996</v>
      </c>
      <c r="BU54" s="3" t="e">
        <f t="shared" si="15"/>
        <v>#REF!</v>
      </c>
      <c r="BV54" s="3" t="e">
        <f t="shared" si="16"/>
        <v>#REF!</v>
      </c>
      <c r="BW54" s="3" t="e">
        <f t="shared" si="17"/>
        <v>#REF!</v>
      </c>
      <c r="BX54" s="109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8">
        <v>38</v>
      </c>
      <c r="B55" s="84" t="s">
        <v>160</v>
      </c>
      <c r="C55" s="88">
        <v>28</v>
      </c>
      <c r="D55" s="22" t="s">
        <v>60</v>
      </c>
      <c r="E55" s="86">
        <v>1.33</v>
      </c>
      <c r="F55" s="13" t="s">
        <v>28</v>
      </c>
      <c r="G55" s="14">
        <v>0.96299999999999997</v>
      </c>
      <c r="H55" s="82" t="str">
        <f>IF(OOC!S55=0,"",OOC!S55)</f>
        <v/>
      </c>
      <c r="I55" s="82" t="str">
        <f>IF(OOC!T55=0,"",OOC!T55)</f>
        <v/>
      </c>
      <c r="J55" s="16" t="s">
        <v>12</v>
      </c>
      <c r="K55" s="73" t="s">
        <v>52</v>
      </c>
      <c r="L55" s="19" t="e">
        <f t="shared" si="0"/>
        <v>#VALUE!</v>
      </c>
      <c r="M55" s="25" t="e">
        <f t="shared" si="1"/>
        <v>#VALUE!</v>
      </c>
      <c r="N55" s="29"/>
      <c r="O55" s="3" t="e">
        <f t="shared" si="18"/>
        <v>#REF!</v>
      </c>
      <c r="P55" s="3" t="e">
        <f t="shared" si="19"/>
        <v>#REF!</v>
      </c>
      <c r="Q55" s="3" t="e">
        <f t="shared" si="20"/>
        <v>#REF!</v>
      </c>
      <c r="R55" s="4" t="e">
        <f t="shared" si="21"/>
        <v>#REF!</v>
      </c>
      <c r="S55" s="5" t="e">
        <f t="shared" si="13"/>
        <v>#REF!</v>
      </c>
      <c r="T55" s="76" t="e">
        <f t="shared" si="2"/>
        <v>#REF!</v>
      </c>
      <c r="U55" s="76" t="e">
        <f t="shared" si="3"/>
        <v>#REF!</v>
      </c>
      <c r="V55" s="5" t="e">
        <f t="shared" si="4"/>
        <v>#REF!</v>
      </c>
      <c r="W55" s="5" t="e">
        <f t="shared" si="5"/>
        <v>#REF!</v>
      </c>
      <c r="X55" s="5" t="e">
        <f t="shared" si="6"/>
        <v>#REF!</v>
      </c>
      <c r="Y55" s="70" t="e">
        <f t="shared" si="7"/>
        <v>#REF!</v>
      </c>
      <c r="Z55" s="32" t="e">
        <f t="shared" si="8"/>
        <v>#REF!</v>
      </c>
      <c r="AA55" s="32" t="e">
        <f t="shared" si="9"/>
        <v>#REF!</v>
      </c>
      <c r="AB55" s="32" t="e">
        <f t="shared" si="10"/>
        <v>#REF!</v>
      </c>
      <c r="AC55" s="32" t="e">
        <f t="shared" si="11"/>
        <v>#REF!</v>
      </c>
      <c r="AD55" s="30"/>
      <c r="AE55" s="21" t="str">
        <f t="shared" si="12"/>
        <v/>
      </c>
      <c r="AF55" s="74"/>
      <c r="AG55" s="57"/>
      <c r="AH55" s="57"/>
      <c r="AI55" s="58"/>
      <c r="AJ55" s="20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0">
        <f t="shared" si="14"/>
        <v>28</v>
      </c>
      <c r="BS55" s="112">
        <f>OOC!G55</f>
        <v>0.98299999999999998</v>
      </c>
      <c r="BT55" s="112">
        <f>OOC!H55</f>
        <v>0.94299999999999995</v>
      </c>
      <c r="BU55" s="3" t="e">
        <f t="shared" si="15"/>
        <v>#REF!</v>
      </c>
      <c r="BV55" s="3" t="e">
        <f t="shared" si="16"/>
        <v>#REF!</v>
      </c>
      <c r="BW55" s="3" t="e">
        <f t="shared" si="17"/>
        <v>#REF!</v>
      </c>
      <c r="BX55" s="109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8">
        <v>39</v>
      </c>
      <c r="B56" s="84" t="s">
        <v>161</v>
      </c>
      <c r="C56" s="88">
        <v>29</v>
      </c>
      <c r="D56" s="22" t="s">
        <v>60</v>
      </c>
      <c r="E56" s="86">
        <v>1.33</v>
      </c>
      <c r="F56" s="13" t="s">
        <v>28</v>
      </c>
      <c r="G56" s="14">
        <v>1.58</v>
      </c>
      <c r="H56" s="82" t="str">
        <f>IF(OOC!S56=0,"",OOC!S56)</f>
        <v/>
      </c>
      <c r="I56" s="82" t="str">
        <f>IF(OOC!T56=0,"",OOC!T56)</f>
        <v/>
      </c>
      <c r="J56" s="16" t="s">
        <v>12</v>
      </c>
      <c r="K56" s="73" t="s">
        <v>52</v>
      </c>
      <c r="L56" s="19" t="e">
        <f t="shared" si="0"/>
        <v>#VALUE!</v>
      </c>
      <c r="M56" s="25" t="e">
        <f t="shared" si="1"/>
        <v>#VALUE!</v>
      </c>
      <c r="N56" s="29"/>
      <c r="O56" s="3" t="e">
        <f t="shared" si="18"/>
        <v>#REF!</v>
      </c>
      <c r="P56" s="3" t="e">
        <f t="shared" si="19"/>
        <v>#REF!</v>
      </c>
      <c r="Q56" s="3" t="e">
        <f t="shared" si="20"/>
        <v>#REF!</v>
      </c>
      <c r="R56" s="4" t="e">
        <f t="shared" si="21"/>
        <v>#REF!</v>
      </c>
      <c r="S56" s="5" t="e">
        <f t="shared" si="13"/>
        <v>#REF!</v>
      </c>
      <c r="T56" s="76" t="e">
        <f t="shared" si="2"/>
        <v>#REF!</v>
      </c>
      <c r="U56" s="76" t="e">
        <f t="shared" si="3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0" t="e">
        <f t="shared" si="7"/>
        <v>#REF!</v>
      </c>
      <c r="Z56" s="32" t="e">
        <f t="shared" si="8"/>
        <v>#REF!</v>
      </c>
      <c r="AA56" s="32" t="e">
        <f t="shared" si="9"/>
        <v>#REF!</v>
      </c>
      <c r="AB56" s="32" t="e">
        <f t="shared" si="10"/>
        <v>#REF!</v>
      </c>
      <c r="AC56" s="32" t="e">
        <f t="shared" si="11"/>
        <v>#REF!</v>
      </c>
      <c r="AD56" s="30"/>
      <c r="AE56" s="21" t="str">
        <f t="shared" si="12"/>
        <v/>
      </c>
      <c r="AF56" s="74"/>
      <c r="AG56" s="57"/>
      <c r="AH56" s="57"/>
      <c r="AI56" s="58"/>
      <c r="AJ56" s="20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0">
        <f t="shared" si="14"/>
        <v>29</v>
      </c>
      <c r="BS56" s="112">
        <f>OOC!G56</f>
        <v>1.6</v>
      </c>
      <c r="BT56" s="112">
        <f>OOC!H56</f>
        <v>1.56</v>
      </c>
      <c r="BU56" s="3" t="e">
        <f t="shared" si="15"/>
        <v>#REF!</v>
      </c>
      <c r="BV56" s="3" t="e">
        <f t="shared" si="16"/>
        <v>#REF!</v>
      </c>
      <c r="BW56" s="3" t="e">
        <f t="shared" si="17"/>
        <v>#REF!</v>
      </c>
      <c r="BX56" s="109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8">
        <v>40</v>
      </c>
      <c r="B57" s="84"/>
      <c r="C57" s="88" t="s">
        <v>172</v>
      </c>
      <c r="D57" s="22" t="s">
        <v>60</v>
      </c>
      <c r="E57" s="86"/>
      <c r="F57" s="13" t="s">
        <v>28</v>
      </c>
      <c r="G57" s="14">
        <v>1.85</v>
      </c>
      <c r="H57" s="82" t="str">
        <f>IF(OOC!S57=0,"",OOC!S57)</f>
        <v/>
      </c>
      <c r="I57" s="82" t="str">
        <f>IF(OOC!T57=0,"",OOC!T57)</f>
        <v/>
      </c>
      <c r="J57" s="16" t="s">
        <v>12</v>
      </c>
      <c r="K57" s="73" t="s">
        <v>52</v>
      </c>
      <c r="L57" s="19" t="e">
        <f t="shared" si="0"/>
        <v>#VALUE!</v>
      </c>
      <c r="M57" s="25" t="e">
        <f t="shared" si="1"/>
        <v>#VALUE!</v>
      </c>
      <c r="N57" s="29"/>
      <c r="O57" s="3" t="e">
        <f t="shared" si="18"/>
        <v>#REF!</v>
      </c>
      <c r="P57" s="3" t="e">
        <f t="shared" si="19"/>
        <v>#REF!</v>
      </c>
      <c r="Q57" s="3" t="e">
        <f t="shared" si="20"/>
        <v>#REF!</v>
      </c>
      <c r="R57" s="4" t="e">
        <f t="shared" si="21"/>
        <v>#REF!</v>
      </c>
      <c r="S57" s="5" t="e">
        <f t="shared" si="13"/>
        <v>#REF!</v>
      </c>
      <c r="T57" s="76" t="e">
        <f t="shared" si="2"/>
        <v>#REF!</v>
      </c>
      <c r="U57" s="76" t="e">
        <f t="shared" si="3"/>
        <v>#REF!</v>
      </c>
      <c r="V57" s="5" t="e">
        <f t="shared" si="4"/>
        <v>#REF!</v>
      </c>
      <c r="W57" s="5" t="e">
        <f t="shared" si="5"/>
        <v>#REF!</v>
      </c>
      <c r="X57" s="5" t="e">
        <f t="shared" si="6"/>
        <v>#REF!</v>
      </c>
      <c r="Y57" s="70" t="e">
        <f t="shared" si="7"/>
        <v>#REF!</v>
      </c>
      <c r="Z57" s="32" t="e">
        <f t="shared" si="8"/>
        <v>#REF!</v>
      </c>
      <c r="AA57" s="32" t="e">
        <f t="shared" si="9"/>
        <v>#REF!</v>
      </c>
      <c r="AB57" s="32" t="e">
        <f t="shared" si="10"/>
        <v>#REF!</v>
      </c>
      <c r="AC57" s="32" t="e">
        <f t="shared" si="11"/>
        <v>#REF!</v>
      </c>
      <c r="AD57" s="30"/>
      <c r="AE57" s="21" t="str">
        <f t="shared" si="12"/>
        <v/>
      </c>
      <c r="AF57" s="74"/>
      <c r="AG57" s="57"/>
      <c r="AH57" s="57"/>
      <c r="AI57" s="58"/>
      <c r="AJ57" s="20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0" t="str">
        <f t="shared" si="14"/>
        <v>30-1</v>
      </c>
      <c r="BS57" s="112">
        <f>OOC!G57</f>
        <v>1.87</v>
      </c>
      <c r="BT57" s="112">
        <f>OOC!H57</f>
        <v>1.83</v>
      </c>
      <c r="BU57" s="3" t="e">
        <f t="shared" si="15"/>
        <v>#REF!</v>
      </c>
      <c r="BV57" s="3" t="e">
        <f t="shared" si="16"/>
        <v>#REF!</v>
      </c>
      <c r="BW57" s="3" t="e">
        <f t="shared" si="17"/>
        <v>#REF!</v>
      </c>
      <c r="BX57" s="109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</row>
    <row r="58" spans="1:76" ht="15" customHeight="1">
      <c r="A58" s="18">
        <v>40</v>
      </c>
      <c r="B58" s="84"/>
      <c r="C58" s="88" t="s">
        <v>173</v>
      </c>
      <c r="D58" s="22" t="s">
        <v>60</v>
      </c>
      <c r="E58" s="86"/>
      <c r="F58" s="13" t="s">
        <v>28</v>
      </c>
      <c r="G58" s="14">
        <v>1.85</v>
      </c>
      <c r="H58" s="82" t="str">
        <f>IF(OOC!S58=0,"",OOC!S58)</f>
        <v/>
      </c>
      <c r="I58" s="82" t="str">
        <f>IF(OOC!T58=0,"",OOC!T58)</f>
        <v/>
      </c>
      <c r="J58" s="16" t="s">
        <v>12</v>
      </c>
      <c r="K58" s="73" t="s">
        <v>52</v>
      </c>
      <c r="L58" s="19" t="e">
        <f t="shared" si="0"/>
        <v>#VALUE!</v>
      </c>
      <c r="M58" s="25" t="e">
        <f t="shared" si="1"/>
        <v>#VALUE!</v>
      </c>
      <c r="N58" s="29"/>
      <c r="O58" s="3" t="e">
        <f t="shared" si="18"/>
        <v>#REF!</v>
      </c>
      <c r="P58" s="3" t="e">
        <f t="shared" si="19"/>
        <v>#REF!</v>
      </c>
      <c r="Q58" s="3" t="e">
        <f t="shared" si="20"/>
        <v>#REF!</v>
      </c>
      <c r="R58" s="4" t="e">
        <f t="shared" si="21"/>
        <v>#REF!</v>
      </c>
      <c r="S58" s="5" t="e">
        <f t="shared" si="13"/>
        <v>#REF!</v>
      </c>
      <c r="T58" s="76" t="e">
        <f t="shared" si="2"/>
        <v>#REF!</v>
      </c>
      <c r="U58" s="76" t="e">
        <f t="shared" si="3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0" t="e">
        <f t="shared" si="7"/>
        <v>#REF!</v>
      </c>
      <c r="Z58" s="32" t="e">
        <f t="shared" si="8"/>
        <v>#REF!</v>
      </c>
      <c r="AA58" s="32" t="e">
        <f t="shared" si="9"/>
        <v>#REF!</v>
      </c>
      <c r="AB58" s="32" t="e">
        <f t="shared" si="10"/>
        <v>#REF!</v>
      </c>
      <c r="AC58" s="32" t="e">
        <f t="shared" si="11"/>
        <v>#REF!</v>
      </c>
      <c r="AD58" s="30"/>
      <c r="AE58" s="21" t="str">
        <f t="shared" si="12"/>
        <v/>
      </c>
      <c r="AF58" s="74"/>
      <c r="AG58" s="57"/>
      <c r="AH58" s="57"/>
      <c r="AI58" s="58"/>
      <c r="AJ58" s="20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0" t="str">
        <f t="shared" si="14"/>
        <v>30-2</v>
      </c>
      <c r="BS58" s="112">
        <f>OOC!G58</f>
        <v>1.87</v>
      </c>
      <c r="BT58" s="112">
        <f>OOC!H58</f>
        <v>1.83</v>
      </c>
      <c r="BU58" s="3" t="e">
        <f t="shared" si="15"/>
        <v>#REF!</v>
      </c>
      <c r="BV58" s="3" t="e">
        <f t="shared" si="16"/>
        <v>#REF!</v>
      </c>
      <c r="BW58" s="3" t="e">
        <f t="shared" si="17"/>
        <v>#REF!</v>
      </c>
      <c r="BX58" s="109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</row>
    <row r="59" spans="1:76" ht="15" customHeight="1">
      <c r="A59" s="18">
        <v>40</v>
      </c>
      <c r="B59" s="84" t="s">
        <v>162</v>
      </c>
      <c r="C59" s="88" t="s">
        <v>174</v>
      </c>
      <c r="D59" s="22" t="s">
        <v>60</v>
      </c>
      <c r="E59" s="86">
        <v>1.33</v>
      </c>
      <c r="F59" s="13" t="s">
        <v>28</v>
      </c>
      <c r="G59" s="14">
        <v>6.9009999999999998</v>
      </c>
      <c r="H59" s="82" t="str">
        <f>IF(OOC!S59=0,"",OOC!S59)</f>
        <v/>
      </c>
      <c r="I59" s="82" t="str">
        <f>IF(OOC!T59=0,"",OOC!T59)</f>
        <v/>
      </c>
      <c r="J59" s="16" t="s">
        <v>12</v>
      </c>
      <c r="K59" s="73" t="s">
        <v>52</v>
      </c>
      <c r="L59" s="19" t="e">
        <f t="shared" si="0"/>
        <v>#VALUE!</v>
      </c>
      <c r="M59" s="25" t="e">
        <f t="shared" si="1"/>
        <v>#VALUE!</v>
      </c>
      <c r="N59" s="29"/>
      <c r="O59" s="3" t="e">
        <f t="shared" si="18"/>
        <v>#REF!</v>
      </c>
      <c r="P59" s="3" t="e">
        <f t="shared" si="19"/>
        <v>#REF!</v>
      </c>
      <c r="Q59" s="3" t="e">
        <f t="shared" si="20"/>
        <v>#REF!</v>
      </c>
      <c r="R59" s="4" t="e">
        <f t="shared" si="21"/>
        <v>#REF!</v>
      </c>
      <c r="S59" s="5" t="e">
        <f t="shared" si="13"/>
        <v>#REF!</v>
      </c>
      <c r="T59" s="76" t="e">
        <f t="shared" si="2"/>
        <v>#REF!</v>
      </c>
      <c r="U59" s="76" t="e">
        <f t="shared" si="3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0" t="e">
        <f t="shared" si="7"/>
        <v>#REF!</v>
      </c>
      <c r="Z59" s="32" t="e">
        <f t="shared" si="8"/>
        <v>#REF!</v>
      </c>
      <c r="AA59" s="32" t="e">
        <f t="shared" si="9"/>
        <v>#REF!</v>
      </c>
      <c r="AB59" s="32" t="e">
        <f t="shared" si="10"/>
        <v>#REF!</v>
      </c>
      <c r="AC59" s="32" t="e">
        <f t="shared" si="11"/>
        <v>#REF!</v>
      </c>
      <c r="AD59" s="30"/>
      <c r="AE59" s="21" t="str">
        <f t="shared" si="12"/>
        <v/>
      </c>
      <c r="AF59" s="74"/>
      <c r="AG59" s="57"/>
      <c r="AH59" s="57"/>
      <c r="AI59" s="58"/>
      <c r="AJ59" s="20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0" t="str">
        <f t="shared" si="14"/>
        <v>31-1</v>
      </c>
      <c r="BS59" s="112">
        <f>OOC!G59</f>
        <v>6.9159999999999995</v>
      </c>
      <c r="BT59" s="112">
        <f>OOC!H59</f>
        <v>6.8860000000000001</v>
      </c>
      <c r="BU59" s="3" t="e">
        <f t="shared" si="15"/>
        <v>#REF!</v>
      </c>
      <c r="BV59" s="3" t="e">
        <f t="shared" si="16"/>
        <v>#REF!</v>
      </c>
      <c r="BW59" s="3" t="e">
        <f t="shared" si="17"/>
        <v>#REF!</v>
      </c>
      <c r="BX59" s="109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</row>
    <row r="60" spans="1:76" ht="15" customHeight="1">
      <c r="A60" s="18">
        <v>40</v>
      </c>
      <c r="B60" s="84" t="s">
        <v>162</v>
      </c>
      <c r="C60" s="88" t="s">
        <v>175</v>
      </c>
      <c r="D60" s="22" t="s">
        <v>60</v>
      </c>
      <c r="E60" s="86">
        <v>1.33</v>
      </c>
      <c r="F60" s="13" t="s">
        <v>28</v>
      </c>
      <c r="G60" s="14">
        <v>6.9009999999999998</v>
      </c>
      <c r="H60" s="82" t="str">
        <f>IF(OOC!S60=0,"",OOC!S60)</f>
        <v/>
      </c>
      <c r="I60" s="82" t="str">
        <f>IF(OOC!T60=0,"",OOC!T60)</f>
        <v/>
      </c>
      <c r="J60" s="16" t="s">
        <v>12</v>
      </c>
      <c r="K60" s="73" t="s">
        <v>52</v>
      </c>
      <c r="L60" s="19" t="e">
        <f t="shared" si="0"/>
        <v>#VALUE!</v>
      </c>
      <c r="M60" s="25" t="e">
        <f t="shared" si="1"/>
        <v>#VALUE!</v>
      </c>
      <c r="N60" s="29"/>
      <c r="O60" s="3" t="e">
        <f t="shared" si="18"/>
        <v>#REF!</v>
      </c>
      <c r="P60" s="3" t="e">
        <f t="shared" si="19"/>
        <v>#REF!</v>
      </c>
      <c r="Q60" s="3" t="e">
        <f t="shared" si="20"/>
        <v>#REF!</v>
      </c>
      <c r="R60" s="4" t="e">
        <f t="shared" si="21"/>
        <v>#REF!</v>
      </c>
      <c r="S60" s="5" t="e">
        <f t="shared" si="13"/>
        <v>#REF!</v>
      </c>
      <c r="T60" s="76" t="e">
        <f t="shared" si="2"/>
        <v>#REF!</v>
      </c>
      <c r="U60" s="76" t="e">
        <f t="shared" si="3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0" t="e">
        <f t="shared" si="7"/>
        <v>#REF!</v>
      </c>
      <c r="Z60" s="32" t="e">
        <f t="shared" si="8"/>
        <v>#REF!</v>
      </c>
      <c r="AA60" s="32" t="e">
        <f t="shared" si="9"/>
        <v>#REF!</v>
      </c>
      <c r="AB60" s="32" t="e">
        <f t="shared" si="10"/>
        <v>#REF!</v>
      </c>
      <c r="AC60" s="32" t="e">
        <f t="shared" si="11"/>
        <v>#REF!</v>
      </c>
      <c r="AD60" s="30"/>
      <c r="AE60" s="21" t="str">
        <f t="shared" si="12"/>
        <v/>
      </c>
      <c r="AF60" s="74"/>
      <c r="AG60" s="57"/>
      <c r="AH60" s="57"/>
      <c r="AI60" s="58"/>
      <c r="AJ60" s="20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0" t="str">
        <f t="shared" si="14"/>
        <v>31-2</v>
      </c>
      <c r="BS60" s="112">
        <f>OOC!G60</f>
        <v>6.9159999999999995</v>
      </c>
      <c r="BT60" s="112">
        <f>OOC!H60</f>
        <v>6.8860000000000001</v>
      </c>
      <c r="BU60" s="3" t="e">
        <f t="shared" si="15"/>
        <v>#REF!</v>
      </c>
      <c r="BV60" s="3" t="e">
        <f t="shared" si="16"/>
        <v>#REF!</v>
      </c>
      <c r="BW60" s="3" t="e">
        <f t="shared" si="17"/>
        <v>#REF!</v>
      </c>
      <c r="BX60" s="109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</row>
    <row r="61" spans="1:76" ht="15" customHeight="1">
      <c r="A61" s="18">
        <v>40</v>
      </c>
      <c r="B61" s="84" t="s">
        <v>162</v>
      </c>
      <c r="C61" s="88" t="s">
        <v>201</v>
      </c>
      <c r="D61" s="22" t="s">
        <v>60</v>
      </c>
      <c r="E61" s="86">
        <v>1.33</v>
      </c>
      <c r="F61" s="13" t="s">
        <v>28</v>
      </c>
      <c r="G61" s="14">
        <v>6.9009999999999998</v>
      </c>
      <c r="H61" s="82" t="str">
        <f>IF(OOC!S61=0,"",OOC!S61)</f>
        <v/>
      </c>
      <c r="I61" s="82" t="str">
        <f>IF(OOC!T61=0,"",OOC!T61)</f>
        <v/>
      </c>
      <c r="J61" s="16" t="s">
        <v>12</v>
      </c>
      <c r="K61" s="73" t="s">
        <v>52</v>
      </c>
      <c r="L61" s="19" t="e">
        <f t="shared" si="0"/>
        <v>#VALUE!</v>
      </c>
      <c r="M61" s="25" t="e">
        <f t="shared" si="1"/>
        <v>#VALUE!</v>
      </c>
      <c r="N61" s="29"/>
      <c r="O61" s="3" t="e">
        <f t="shared" si="18"/>
        <v>#REF!</v>
      </c>
      <c r="P61" s="3" t="e">
        <f t="shared" si="19"/>
        <v>#REF!</v>
      </c>
      <c r="Q61" s="3" t="e">
        <f t="shared" si="20"/>
        <v>#REF!</v>
      </c>
      <c r="R61" s="4" t="e">
        <f t="shared" si="21"/>
        <v>#REF!</v>
      </c>
      <c r="S61" s="5" t="e">
        <f t="shared" si="13"/>
        <v>#REF!</v>
      </c>
      <c r="T61" s="76" t="e">
        <f t="shared" si="2"/>
        <v>#REF!</v>
      </c>
      <c r="U61" s="76" t="e">
        <f t="shared" si="3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0" t="e">
        <f t="shared" si="7"/>
        <v>#REF!</v>
      </c>
      <c r="Z61" s="32" t="e">
        <f t="shared" si="8"/>
        <v>#REF!</v>
      </c>
      <c r="AA61" s="32" t="e">
        <f t="shared" si="9"/>
        <v>#REF!</v>
      </c>
      <c r="AB61" s="32" t="e">
        <f t="shared" si="10"/>
        <v>#REF!</v>
      </c>
      <c r="AC61" s="32" t="e">
        <f t="shared" si="11"/>
        <v>#REF!</v>
      </c>
      <c r="AD61" s="30"/>
      <c r="AE61" s="21" t="str">
        <f t="shared" si="12"/>
        <v/>
      </c>
      <c r="AF61" s="74"/>
      <c r="AG61" s="57"/>
      <c r="AH61" s="57"/>
      <c r="AI61" s="58"/>
      <c r="AJ61" s="20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0" t="str">
        <f t="shared" si="14"/>
        <v>31-3</v>
      </c>
      <c r="BS61" s="112">
        <f>OOC!G61</f>
        <v>6.9159999999999995</v>
      </c>
      <c r="BT61" s="112">
        <f>OOC!H61</f>
        <v>6.8860000000000001</v>
      </c>
      <c r="BU61" s="3" t="e">
        <f t="shared" si="15"/>
        <v>#REF!</v>
      </c>
      <c r="BV61" s="3" t="e">
        <f t="shared" si="16"/>
        <v>#REF!</v>
      </c>
      <c r="BW61" s="3" t="e">
        <f t="shared" si="17"/>
        <v>#REF!</v>
      </c>
      <c r="BX61" s="109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</row>
    <row r="62" spans="1:76" ht="15" customHeight="1">
      <c r="A62" s="18">
        <v>40</v>
      </c>
      <c r="B62" s="84"/>
      <c r="C62" s="88" t="s">
        <v>176</v>
      </c>
      <c r="D62" s="22" t="s">
        <v>60</v>
      </c>
      <c r="E62" s="86"/>
      <c r="F62" s="13" t="s">
        <v>28</v>
      </c>
      <c r="G62" s="14">
        <v>2.9729999999999999</v>
      </c>
      <c r="H62" s="82" t="str">
        <f>IF(OOC!S62=0,"",OOC!S62)</f>
        <v/>
      </c>
      <c r="I62" s="82" t="str">
        <f>IF(OOC!T62=0,"",OOC!T62)</f>
        <v/>
      </c>
      <c r="J62" s="16" t="s">
        <v>12</v>
      </c>
      <c r="K62" s="73" t="s">
        <v>52</v>
      </c>
      <c r="L62" s="19" t="e">
        <f t="shared" si="0"/>
        <v>#VALUE!</v>
      </c>
      <c r="M62" s="25" t="e">
        <f t="shared" si="1"/>
        <v>#VALUE!</v>
      </c>
      <c r="N62" s="29"/>
      <c r="O62" s="3" t="e">
        <f t="shared" si="18"/>
        <v>#REF!</v>
      </c>
      <c r="P62" s="3" t="e">
        <f t="shared" si="19"/>
        <v>#REF!</v>
      </c>
      <c r="Q62" s="3" t="e">
        <f t="shared" si="20"/>
        <v>#REF!</v>
      </c>
      <c r="R62" s="4" t="e">
        <f t="shared" si="21"/>
        <v>#REF!</v>
      </c>
      <c r="S62" s="5" t="e">
        <f t="shared" si="13"/>
        <v>#REF!</v>
      </c>
      <c r="T62" s="76" t="e">
        <f t="shared" si="2"/>
        <v>#REF!</v>
      </c>
      <c r="U62" s="76" t="e">
        <f t="shared" si="3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0" t="e">
        <f t="shared" si="7"/>
        <v>#REF!</v>
      </c>
      <c r="Z62" s="32" t="e">
        <f t="shared" si="8"/>
        <v>#REF!</v>
      </c>
      <c r="AA62" s="32" t="e">
        <f t="shared" si="9"/>
        <v>#REF!</v>
      </c>
      <c r="AB62" s="32" t="e">
        <f t="shared" si="10"/>
        <v>#REF!</v>
      </c>
      <c r="AC62" s="32" t="e">
        <f t="shared" si="11"/>
        <v>#REF!</v>
      </c>
      <c r="AD62" s="30"/>
      <c r="AE62" s="21" t="str">
        <f t="shared" si="12"/>
        <v/>
      </c>
      <c r="AF62" s="74"/>
      <c r="AG62" s="57"/>
      <c r="AH62" s="57"/>
      <c r="AI62" s="58"/>
      <c r="AJ62" s="20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0" t="str">
        <f t="shared" si="14"/>
        <v>32-1</v>
      </c>
      <c r="BS62" s="112">
        <f>OOC!G62</f>
        <v>2.9929999999999999</v>
      </c>
      <c r="BT62" s="112">
        <f>OOC!H62</f>
        <v>2.9529999999999998</v>
      </c>
      <c r="BU62" s="3" t="e">
        <f t="shared" si="15"/>
        <v>#REF!</v>
      </c>
      <c r="BV62" s="3" t="e">
        <f t="shared" si="16"/>
        <v>#REF!</v>
      </c>
      <c r="BW62" s="3" t="e">
        <f t="shared" si="17"/>
        <v>#REF!</v>
      </c>
      <c r="BX62" s="109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</row>
    <row r="63" spans="1:76" ht="15" customHeight="1">
      <c r="A63" s="18">
        <v>40</v>
      </c>
      <c r="B63" s="84"/>
      <c r="C63" s="88" t="s">
        <v>177</v>
      </c>
      <c r="D63" s="22" t="s">
        <v>60</v>
      </c>
      <c r="E63" s="86"/>
      <c r="F63" s="13" t="s">
        <v>28</v>
      </c>
      <c r="G63" s="14">
        <v>2.9729999999999999</v>
      </c>
      <c r="H63" s="82" t="str">
        <f>IF(OOC!S63=0,"",OOC!S63)</f>
        <v/>
      </c>
      <c r="I63" s="82" t="str">
        <f>IF(OOC!T63=0,"",OOC!T63)</f>
        <v/>
      </c>
      <c r="J63" s="16" t="s">
        <v>12</v>
      </c>
      <c r="K63" s="73" t="s">
        <v>52</v>
      </c>
      <c r="L63" s="19" t="e">
        <f t="shared" si="0"/>
        <v>#VALUE!</v>
      </c>
      <c r="M63" s="25" t="e">
        <f t="shared" si="1"/>
        <v>#VALUE!</v>
      </c>
      <c r="N63" s="29"/>
      <c r="O63" s="3" t="e">
        <f t="shared" si="18"/>
        <v>#REF!</v>
      </c>
      <c r="P63" s="3" t="e">
        <f t="shared" si="19"/>
        <v>#REF!</v>
      </c>
      <c r="Q63" s="3" t="e">
        <f t="shared" si="20"/>
        <v>#REF!</v>
      </c>
      <c r="R63" s="4" t="e">
        <f t="shared" si="21"/>
        <v>#REF!</v>
      </c>
      <c r="S63" s="5" t="e">
        <f t="shared" si="13"/>
        <v>#REF!</v>
      </c>
      <c r="T63" s="76" t="e">
        <f t="shared" si="2"/>
        <v>#REF!</v>
      </c>
      <c r="U63" s="76" t="e">
        <f t="shared" si="3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0" t="e">
        <f t="shared" si="7"/>
        <v>#REF!</v>
      </c>
      <c r="Z63" s="32" t="e">
        <f t="shared" si="8"/>
        <v>#REF!</v>
      </c>
      <c r="AA63" s="32" t="e">
        <f t="shared" si="9"/>
        <v>#REF!</v>
      </c>
      <c r="AB63" s="32" t="e">
        <f t="shared" si="10"/>
        <v>#REF!</v>
      </c>
      <c r="AC63" s="32" t="e">
        <f t="shared" si="11"/>
        <v>#REF!</v>
      </c>
      <c r="AD63" s="30"/>
      <c r="AE63" s="21" t="str">
        <f t="shared" si="12"/>
        <v/>
      </c>
      <c r="AF63" s="74"/>
      <c r="AG63" s="57"/>
      <c r="AH63" s="57"/>
      <c r="AI63" s="58"/>
      <c r="AJ63" s="20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0" t="str">
        <f t="shared" si="14"/>
        <v>32-2</v>
      </c>
      <c r="BS63" s="112">
        <f>OOC!G63</f>
        <v>2.9929999999999999</v>
      </c>
      <c r="BT63" s="112">
        <f>OOC!H63</f>
        <v>2.9529999999999998</v>
      </c>
      <c r="BU63" s="3" t="e">
        <f t="shared" si="15"/>
        <v>#REF!</v>
      </c>
      <c r="BV63" s="3" t="e">
        <f t="shared" si="16"/>
        <v>#REF!</v>
      </c>
      <c r="BW63" s="3" t="e">
        <f t="shared" si="17"/>
        <v>#REF!</v>
      </c>
      <c r="BX63" s="109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</row>
    <row r="64" spans="1:76" ht="15" customHeight="1">
      <c r="A64" s="18">
        <v>40</v>
      </c>
      <c r="B64" s="84"/>
      <c r="C64" s="88" t="s">
        <v>177</v>
      </c>
      <c r="D64" s="22" t="s">
        <v>60</v>
      </c>
      <c r="E64" s="86"/>
      <c r="F64" s="13" t="s">
        <v>28</v>
      </c>
      <c r="G64" s="14">
        <v>2.9729999999999999</v>
      </c>
      <c r="H64" s="82" t="str">
        <f>IF(OOC!S64=0,"",OOC!S64)</f>
        <v/>
      </c>
      <c r="I64" s="82" t="str">
        <f>IF(OOC!T64=0,"",OOC!T64)</f>
        <v/>
      </c>
      <c r="J64" s="16" t="s">
        <v>12</v>
      </c>
      <c r="K64" s="73" t="s">
        <v>52</v>
      </c>
      <c r="L64" s="19" t="e">
        <f t="shared" si="0"/>
        <v>#VALUE!</v>
      </c>
      <c r="M64" s="25" t="e">
        <f t="shared" si="1"/>
        <v>#VALUE!</v>
      </c>
      <c r="N64" s="29"/>
      <c r="O64" s="3" t="e">
        <f t="shared" si="18"/>
        <v>#REF!</v>
      </c>
      <c r="P64" s="3" t="e">
        <f t="shared" si="19"/>
        <v>#REF!</v>
      </c>
      <c r="Q64" s="3" t="e">
        <f t="shared" si="20"/>
        <v>#REF!</v>
      </c>
      <c r="R64" s="4" t="e">
        <f t="shared" si="21"/>
        <v>#REF!</v>
      </c>
      <c r="S64" s="5" t="e">
        <f t="shared" si="13"/>
        <v>#REF!</v>
      </c>
      <c r="T64" s="76" t="e">
        <f t="shared" si="2"/>
        <v>#REF!</v>
      </c>
      <c r="U64" s="76" t="e">
        <f t="shared" si="3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0" t="e">
        <f t="shared" si="7"/>
        <v>#REF!</v>
      </c>
      <c r="Z64" s="32" t="e">
        <f t="shared" si="8"/>
        <v>#REF!</v>
      </c>
      <c r="AA64" s="32" t="e">
        <f t="shared" si="9"/>
        <v>#REF!</v>
      </c>
      <c r="AB64" s="32" t="e">
        <f t="shared" si="10"/>
        <v>#REF!</v>
      </c>
      <c r="AC64" s="32" t="e">
        <f t="shared" si="11"/>
        <v>#REF!</v>
      </c>
      <c r="AD64" s="30"/>
      <c r="AE64" s="21" t="str">
        <f t="shared" si="12"/>
        <v/>
      </c>
      <c r="AF64" s="74"/>
      <c r="AG64" s="57"/>
      <c r="AH64" s="57"/>
      <c r="AI64" s="58"/>
      <c r="AJ64" s="20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0" t="str">
        <f t="shared" si="14"/>
        <v>32-2</v>
      </c>
      <c r="BS64" s="112">
        <f>OOC!G64</f>
        <v>2.9929999999999999</v>
      </c>
      <c r="BT64" s="112">
        <f>OOC!H64</f>
        <v>2.9529999999999998</v>
      </c>
      <c r="BU64" s="3" t="e">
        <f t="shared" si="15"/>
        <v>#REF!</v>
      </c>
      <c r="BV64" s="3" t="e">
        <f t="shared" si="16"/>
        <v>#REF!</v>
      </c>
      <c r="BW64" s="3" t="e">
        <f t="shared" si="17"/>
        <v>#REF!</v>
      </c>
      <c r="BX64" s="109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8">
        <v>40</v>
      </c>
      <c r="B65" s="84"/>
      <c r="C65" s="88">
        <v>33</v>
      </c>
      <c r="D65" s="22" t="s">
        <v>60</v>
      </c>
      <c r="E65" s="86"/>
      <c r="F65" s="13" t="s">
        <v>28</v>
      </c>
      <c r="G65" s="14">
        <v>4.532</v>
      </c>
      <c r="H65" s="82" t="str">
        <f>IF(OOC!S65=0,"",OOC!S65)</f>
        <v/>
      </c>
      <c r="I65" s="82" t="str">
        <f>IF(OOC!T65=0,"",OOC!T65)</f>
        <v/>
      </c>
      <c r="J65" s="16" t="s">
        <v>12</v>
      </c>
      <c r="K65" s="73" t="s">
        <v>52</v>
      </c>
      <c r="L65" s="19" t="e">
        <f t="shared" si="0"/>
        <v>#VALUE!</v>
      </c>
      <c r="M65" s="25" t="e">
        <f t="shared" si="1"/>
        <v>#VALUE!</v>
      </c>
      <c r="N65" s="29"/>
      <c r="O65" s="3" t="e">
        <f t="shared" si="18"/>
        <v>#REF!</v>
      </c>
      <c r="P65" s="3" t="e">
        <f t="shared" si="19"/>
        <v>#REF!</v>
      </c>
      <c r="Q65" s="3" t="e">
        <f t="shared" si="20"/>
        <v>#REF!</v>
      </c>
      <c r="R65" s="4" t="e">
        <f t="shared" si="21"/>
        <v>#REF!</v>
      </c>
      <c r="S65" s="5" t="e">
        <f t="shared" si="13"/>
        <v>#REF!</v>
      </c>
      <c r="T65" s="76" t="e">
        <f t="shared" si="2"/>
        <v>#REF!</v>
      </c>
      <c r="U65" s="76" t="e">
        <f t="shared" si="3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0" t="e">
        <f t="shared" si="7"/>
        <v>#REF!</v>
      </c>
      <c r="Z65" s="32" t="e">
        <f t="shared" si="8"/>
        <v>#REF!</v>
      </c>
      <c r="AA65" s="32" t="e">
        <f t="shared" si="9"/>
        <v>#REF!</v>
      </c>
      <c r="AB65" s="32" t="e">
        <f t="shared" si="10"/>
        <v>#REF!</v>
      </c>
      <c r="AC65" s="32" t="e">
        <f t="shared" si="11"/>
        <v>#REF!</v>
      </c>
      <c r="AD65" s="30"/>
      <c r="AE65" s="21" t="str">
        <f t="shared" si="12"/>
        <v/>
      </c>
      <c r="AF65" s="74"/>
      <c r="AG65" s="57"/>
      <c r="AH65" s="57"/>
      <c r="AI65" s="58"/>
      <c r="AJ65" s="20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0">
        <f t="shared" si="14"/>
        <v>33</v>
      </c>
      <c r="BS65" s="112">
        <f>OOC!G65</f>
        <v>4.5620000000000003</v>
      </c>
      <c r="BT65" s="112">
        <f>OOC!H65</f>
        <v>4.5019999999999998</v>
      </c>
      <c r="BU65" s="3" t="e">
        <f t="shared" si="15"/>
        <v>#REF!</v>
      </c>
      <c r="BV65" s="3" t="e">
        <f t="shared" si="16"/>
        <v>#REF!</v>
      </c>
      <c r="BW65" s="3" t="e">
        <f t="shared" si="17"/>
        <v>#REF!</v>
      </c>
      <c r="BX65" s="109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8">
        <v>40</v>
      </c>
      <c r="B66" s="84" t="s">
        <v>223</v>
      </c>
      <c r="C66" s="88" t="s">
        <v>71</v>
      </c>
      <c r="D66" s="22" t="s">
        <v>60</v>
      </c>
      <c r="E66" s="86">
        <v>1.33</v>
      </c>
      <c r="F66" s="13" t="s">
        <v>28</v>
      </c>
      <c r="G66" s="14">
        <v>7.8010000000000002</v>
      </c>
      <c r="H66" s="82" t="str">
        <f>IF(OOC!S66=0,"",OOC!S66)</f>
        <v/>
      </c>
      <c r="I66" s="82" t="str">
        <f>IF(OOC!T66=0,"",OOC!T66)</f>
        <v/>
      </c>
      <c r="J66" s="16" t="s">
        <v>12</v>
      </c>
      <c r="K66" s="73" t="s">
        <v>52</v>
      </c>
      <c r="L66" s="19" t="e">
        <f t="shared" si="0"/>
        <v>#VALUE!</v>
      </c>
      <c r="M66" s="25" t="e">
        <f t="shared" si="1"/>
        <v>#VALUE!</v>
      </c>
      <c r="N66" s="29"/>
      <c r="O66" s="3" t="e">
        <f t="shared" si="18"/>
        <v>#REF!</v>
      </c>
      <c r="P66" s="3" t="e">
        <f t="shared" si="19"/>
        <v>#REF!</v>
      </c>
      <c r="Q66" s="3" t="e">
        <f t="shared" si="20"/>
        <v>#REF!</v>
      </c>
      <c r="R66" s="4" t="e">
        <f t="shared" si="21"/>
        <v>#REF!</v>
      </c>
      <c r="S66" s="5" t="e">
        <f t="shared" si="13"/>
        <v>#REF!</v>
      </c>
      <c r="T66" s="76" t="e">
        <f t="shared" si="2"/>
        <v>#REF!</v>
      </c>
      <c r="U66" s="76" t="e">
        <f t="shared" si="3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0" t="e">
        <f t="shared" si="7"/>
        <v>#REF!</v>
      </c>
      <c r="Z66" s="32" t="e">
        <f t="shared" si="8"/>
        <v>#REF!</v>
      </c>
      <c r="AA66" s="32" t="e">
        <f t="shared" si="9"/>
        <v>#REF!</v>
      </c>
      <c r="AB66" s="32" t="e">
        <f t="shared" si="10"/>
        <v>#REF!</v>
      </c>
      <c r="AC66" s="32" t="e">
        <f t="shared" si="11"/>
        <v>#REF!</v>
      </c>
      <c r="AD66" s="30"/>
      <c r="AE66" s="21" t="str">
        <f t="shared" si="12"/>
        <v/>
      </c>
      <c r="AF66" s="74"/>
      <c r="AG66" s="57"/>
      <c r="AH66" s="57"/>
      <c r="AI66" s="58"/>
      <c r="AJ66" s="20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0" t="str">
        <f t="shared" si="14"/>
        <v xml:space="preserve"> 34-1</v>
      </c>
      <c r="BS66" s="112">
        <f>OOC!G66</f>
        <v>7.8310000000000004</v>
      </c>
      <c r="BT66" s="112">
        <f>OOC!H66</f>
        <v>7.7709999999999999</v>
      </c>
      <c r="BU66" s="3" t="e">
        <f t="shared" si="15"/>
        <v>#REF!</v>
      </c>
      <c r="BV66" s="3" t="e">
        <f t="shared" si="16"/>
        <v>#REF!</v>
      </c>
      <c r="BW66" s="3" t="e">
        <f t="shared" si="17"/>
        <v>#REF!</v>
      </c>
      <c r="BX66" s="109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8">
        <v>40</v>
      </c>
      <c r="B67" s="84" t="s">
        <v>223</v>
      </c>
      <c r="C67" s="88" t="s">
        <v>72</v>
      </c>
      <c r="D67" s="22" t="s">
        <v>60</v>
      </c>
      <c r="E67" s="86">
        <v>1.33</v>
      </c>
      <c r="F67" s="13" t="s">
        <v>28</v>
      </c>
      <c r="G67" s="14">
        <v>7.8010000000000002</v>
      </c>
      <c r="H67" s="82" t="str">
        <f>IF(OOC!S67=0,"",OOC!S67)</f>
        <v/>
      </c>
      <c r="I67" s="82" t="str">
        <f>IF(OOC!T67=0,"",OOC!T67)</f>
        <v/>
      </c>
      <c r="J67" s="16" t="s">
        <v>12</v>
      </c>
      <c r="K67" s="73" t="s">
        <v>52</v>
      </c>
      <c r="L67" s="19" t="e">
        <f t="shared" si="0"/>
        <v>#VALUE!</v>
      </c>
      <c r="M67" s="25" t="e">
        <f t="shared" si="1"/>
        <v>#VALUE!</v>
      </c>
      <c r="N67" s="29"/>
      <c r="O67" s="3" t="e">
        <f t="shared" si="18"/>
        <v>#REF!</v>
      </c>
      <c r="P67" s="3" t="e">
        <f t="shared" si="19"/>
        <v>#REF!</v>
      </c>
      <c r="Q67" s="3" t="e">
        <f t="shared" si="20"/>
        <v>#REF!</v>
      </c>
      <c r="R67" s="4" t="e">
        <f t="shared" si="21"/>
        <v>#REF!</v>
      </c>
      <c r="S67" s="5" t="e">
        <f t="shared" si="13"/>
        <v>#REF!</v>
      </c>
      <c r="T67" s="76" t="e">
        <f t="shared" si="2"/>
        <v>#REF!</v>
      </c>
      <c r="U67" s="76" t="e">
        <f t="shared" si="3"/>
        <v>#REF!</v>
      </c>
      <c r="V67" s="5" t="e">
        <f t="shared" si="4"/>
        <v>#REF!</v>
      </c>
      <c r="W67" s="5" t="e">
        <f t="shared" si="5"/>
        <v>#REF!</v>
      </c>
      <c r="X67" s="5" t="e">
        <f t="shared" si="6"/>
        <v>#REF!</v>
      </c>
      <c r="Y67" s="70" t="e">
        <f t="shared" si="7"/>
        <v>#REF!</v>
      </c>
      <c r="Z67" s="32" t="e">
        <f t="shared" si="8"/>
        <v>#REF!</v>
      </c>
      <c r="AA67" s="32" t="e">
        <f t="shared" si="9"/>
        <v>#REF!</v>
      </c>
      <c r="AB67" s="32" t="e">
        <f t="shared" si="10"/>
        <v>#REF!</v>
      </c>
      <c r="AC67" s="32" t="e">
        <f t="shared" si="11"/>
        <v>#REF!</v>
      </c>
      <c r="AD67" s="30"/>
      <c r="AE67" s="21" t="str">
        <f t="shared" si="12"/>
        <v/>
      </c>
      <c r="AF67" s="74"/>
      <c r="AG67" s="57"/>
      <c r="AH67" s="57"/>
      <c r="AI67" s="58"/>
      <c r="AJ67" s="20"/>
      <c r="AK67" s="2" t="e">
        <f>#REF!</f>
        <v>#REF!</v>
      </c>
      <c r="AL67" s="2" t="e">
        <f>#REF!</f>
        <v>#REF!</v>
      </c>
      <c r="AM67" s="2" t="e">
        <f>#REF!</f>
        <v>#REF!</v>
      </c>
      <c r="AN67" s="2" t="e">
        <f>#REF!</f>
        <v>#REF!</v>
      </c>
      <c r="AO67" s="2" t="e">
        <f>#REF!</f>
        <v>#REF!</v>
      </c>
      <c r="AP67" s="2" t="e">
        <f>#REF!</f>
        <v>#REF!</v>
      </c>
      <c r="AQ67" s="2" t="e">
        <f>#REF!</f>
        <v>#REF!</v>
      </c>
      <c r="AR67" s="2" t="e">
        <f>#REF!</f>
        <v>#REF!</v>
      </c>
      <c r="AS67" s="2" t="e">
        <f>#REF!</f>
        <v>#REF!</v>
      </c>
      <c r="AT67" s="2" t="e">
        <f>#REF!</f>
        <v>#REF!</v>
      </c>
      <c r="AU67" s="2" t="e">
        <f>#REF!</f>
        <v>#REF!</v>
      </c>
      <c r="AV67" s="2" t="e">
        <f>#REF!</f>
        <v>#REF!</v>
      </c>
      <c r="AW67" s="2" t="e">
        <f>#REF!</f>
        <v>#REF!</v>
      </c>
      <c r="AX67" s="2" t="e">
        <f>#REF!</f>
        <v>#REF!</v>
      </c>
      <c r="AY67" s="2" t="e">
        <f>#REF!</f>
        <v>#REF!</v>
      </c>
      <c r="AZ67" s="2" t="e">
        <f>#REF!</f>
        <v>#REF!</v>
      </c>
      <c r="BA67" s="2" t="e">
        <f>#REF!</f>
        <v>#REF!</v>
      </c>
      <c r="BB67" s="2" t="e">
        <f>#REF!</f>
        <v>#REF!</v>
      </c>
      <c r="BC67" s="2" t="e">
        <f>#REF!</f>
        <v>#REF!</v>
      </c>
      <c r="BD67" s="2" t="e">
        <f>#REF!</f>
        <v>#REF!</v>
      </c>
      <c r="BE67" s="2" t="e">
        <f>#REF!</f>
        <v>#REF!</v>
      </c>
      <c r="BF67" s="2" t="e">
        <f>#REF!</f>
        <v>#REF!</v>
      </c>
      <c r="BG67" s="2" t="e">
        <f>#REF!</f>
        <v>#REF!</v>
      </c>
      <c r="BH67" s="2" t="e">
        <f>#REF!</f>
        <v>#REF!</v>
      </c>
      <c r="BI67" s="2" t="e">
        <f>#REF!</f>
        <v>#REF!</v>
      </c>
      <c r="BJ67" s="2" t="e">
        <f>#REF!</f>
        <v>#REF!</v>
      </c>
      <c r="BK67" s="2" t="e">
        <f>#REF!</f>
        <v>#REF!</v>
      </c>
      <c r="BL67" s="2" t="e">
        <f>#REF!</f>
        <v>#REF!</v>
      </c>
      <c r="BM67" s="2" t="e">
        <f>#REF!</f>
        <v>#REF!</v>
      </c>
      <c r="BN67" s="2" t="e">
        <f>#REF!</f>
        <v>#REF!</v>
      </c>
      <c r="BO67" s="2" t="e">
        <f>#REF!</f>
        <v>#REF!</v>
      </c>
      <c r="BP67" s="2" t="e">
        <f>#REF!</f>
        <v>#REF!</v>
      </c>
      <c r="BR67" s="110" t="str">
        <f t="shared" si="14"/>
        <v xml:space="preserve"> 34-2</v>
      </c>
      <c r="BS67" s="112">
        <f>OOC!G67</f>
        <v>7.8310000000000004</v>
      </c>
      <c r="BT67" s="112">
        <f>OOC!H67</f>
        <v>7.7709999999999999</v>
      </c>
      <c r="BU67" s="3" t="e">
        <f t="shared" si="15"/>
        <v>#REF!</v>
      </c>
      <c r="BV67" s="3" t="e">
        <f t="shared" si="16"/>
        <v>#REF!</v>
      </c>
      <c r="BW67" s="3" t="e">
        <f t="shared" si="17"/>
        <v>#REF!</v>
      </c>
      <c r="BX67" s="109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</row>
    <row r="68" spans="1:76" ht="15" customHeight="1">
      <c r="A68" s="18">
        <v>40</v>
      </c>
      <c r="B68" s="84" t="s">
        <v>223</v>
      </c>
      <c r="C68" s="88" t="s">
        <v>73</v>
      </c>
      <c r="D68" s="22" t="s">
        <v>60</v>
      </c>
      <c r="E68" s="86">
        <v>1.33</v>
      </c>
      <c r="F68" s="13" t="s">
        <v>28</v>
      </c>
      <c r="G68" s="14">
        <v>7.8010000000000002</v>
      </c>
      <c r="H68" s="82" t="str">
        <f>IF(OOC!S68=0,"",OOC!S68)</f>
        <v/>
      </c>
      <c r="I68" s="82" t="str">
        <f>IF(OOC!T68=0,"",OOC!T68)</f>
        <v/>
      </c>
      <c r="J68" s="16" t="s">
        <v>12</v>
      </c>
      <c r="K68" s="73" t="s">
        <v>52</v>
      </c>
      <c r="L68" s="19" t="e">
        <f t="shared" si="0"/>
        <v>#VALUE!</v>
      </c>
      <c r="M68" s="25" t="e">
        <f t="shared" si="1"/>
        <v>#VALUE!</v>
      </c>
      <c r="N68" s="29"/>
      <c r="O68" s="3" t="e">
        <f t="shared" si="18"/>
        <v>#REF!</v>
      </c>
      <c r="P68" s="3" t="e">
        <f t="shared" si="19"/>
        <v>#REF!</v>
      </c>
      <c r="Q68" s="3" t="e">
        <f t="shared" si="20"/>
        <v>#REF!</v>
      </c>
      <c r="R68" s="4" t="e">
        <f t="shared" si="21"/>
        <v>#REF!</v>
      </c>
      <c r="S68" s="5" t="e">
        <f t="shared" si="13"/>
        <v>#REF!</v>
      </c>
      <c r="T68" s="76" t="e">
        <f t="shared" si="2"/>
        <v>#REF!</v>
      </c>
      <c r="U68" s="76" t="e">
        <f t="shared" si="3"/>
        <v>#REF!</v>
      </c>
      <c r="V68" s="5" t="e">
        <f t="shared" si="4"/>
        <v>#REF!</v>
      </c>
      <c r="W68" s="5" t="e">
        <f t="shared" si="5"/>
        <v>#REF!</v>
      </c>
      <c r="X68" s="5" t="e">
        <f t="shared" si="6"/>
        <v>#REF!</v>
      </c>
      <c r="Y68" s="70" t="e">
        <f t="shared" si="7"/>
        <v>#REF!</v>
      </c>
      <c r="Z68" s="32" t="e">
        <f t="shared" si="8"/>
        <v>#REF!</v>
      </c>
      <c r="AA68" s="32" t="e">
        <f t="shared" si="9"/>
        <v>#REF!</v>
      </c>
      <c r="AB68" s="32" t="e">
        <f t="shared" si="10"/>
        <v>#REF!</v>
      </c>
      <c r="AC68" s="32" t="e">
        <f t="shared" si="11"/>
        <v>#REF!</v>
      </c>
      <c r="AD68" s="30"/>
      <c r="AE68" s="21" t="str">
        <f t="shared" si="12"/>
        <v/>
      </c>
      <c r="AF68" s="74"/>
      <c r="AG68" s="57"/>
      <c r="AH68" s="57"/>
      <c r="AI68" s="58"/>
      <c r="AJ68" s="20"/>
      <c r="AK68" s="2" t="e">
        <f>#REF!</f>
        <v>#REF!</v>
      </c>
      <c r="AL68" s="2" t="e">
        <f>#REF!</f>
        <v>#REF!</v>
      </c>
      <c r="AM68" s="2" t="e">
        <f>#REF!</f>
        <v>#REF!</v>
      </c>
      <c r="AN68" s="2" t="e">
        <f>#REF!</f>
        <v>#REF!</v>
      </c>
      <c r="AO68" s="2" t="e">
        <f>#REF!</f>
        <v>#REF!</v>
      </c>
      <c r="AP68" s="2" t="e">
        <f>#REF!</f>
        <v>#REF!</v>
      </c>
      <c r="AQ68" s="2" t="e">
        <f>#REF!</f>
        <v>#REF!</v>
      </c>
      <c r="AR68" s="2" t="e">
        <f>#REF!</f>
        <v>#REF!</v>
      </c>
      <c r="AS68" s="2" t="e">
        <f>#REF!</f>
        <v>#REF!</v>
      </c>
      <c r="AT68" s="2" t="e">
        <f>#REF!</f>
        <v>#REF!</v>
      </c>
      <c r="AU68" s="2" t="e">
        <f>#REF!</f>
        <v>#REF!</v>
      </c>
      <c r="AV68" s="2" t="e">
        <f>#REF!</f>
        <v>#REF!</v>
      </c>
      <c r="AW68" s="2" t="e">
        <f>#REF!</f>
        <v>#REF!</v>
      </c>
      <c r="AX68" s="2" t="e">
        <f>#REF!</f>
        <v>#REF!</v>
      </c>
      <c r="AY68" s="2" t="e">
        <f>#REF!</f>
        <v>#REF!</v>
      </c>
      <c r="AZ68" s="2" t="e">
        <f>#REF!</f>
        <v>#REF!</v>
      </c>
      <c r="BA68" s="2" t="e">
        <f>#REF!</f>
        <v>#REF!</v>
      </c>
      <c r="BB68" s="2" t="e">
        <f>#REF!</f>
        <v>#REF!</v>
      </c>
      <c r="BC68" s="2" t="e">
        <f>#REF!</f>
        <v>#REF!</v>
      </c>
      <c r="BD68" s="2" t="e">
        <f>#REF!</f>
        <v>#REF!</v>
      </c>
      <c r="BE68" s="2" t="e">
        <f>#REF!</f>
        <v>#REF!</v>
      </c>
      <c r="BF68" s="2" t="e">
        <f>#REF!</f>
        <v>#REF!</v>
      </c>
      <c r="BG68" s="2" t="e">
        <f>#REF!</f>
        <v>#REF!</v>
      </c>
      <c r="BH68" s="2" t="e">
        <f>#REF!</f>
        <v>#REF!</v>
      </c>
      <c r="BI68" s="2" t="e">
        <f>#REF!</f>
        <v>#REF!</v>
      </c>
      <c r="BJ68" s="2" t="e">
        <f>#REF!</f>
        <v>#REF!</v>
      </c>
      <c r="BK68" s="2" t="e">
        <f>#REF!</f>
        <v>#REF!</v>
      </c>
      <c r="BL68" s="2" t="e">
        <f>#REF!</f>
        <v>#REF!</v>
      </c>
      <c r="BM68" s="2" t="e">
        <f>#REF!</f>
        <v>#REF!</v>
      </c>
      <c r="BN68" s="2" t="e">
        <f>#REF!</f>
        <v>#REF!</v>
      </c>
      <c r="BO68" s="2" t="e">
        <f>#REF!</f>
        <v>#REF!</v>
      </c>
      <c r="BP68" s="2" t="e">
        <f>#REF!</f>
        <v>#REF!</v>
      </c>
      <c r="BR68" s="110" t="str">
        <f t="shared" si="14"/>
        <v xml:space="preserve"> 34-3</v>
      </c>
      <c r="BS68" s="112">
        <f>OOC!G68</f>
        <v>7.8310000000000004</v>
      </c>
      <c r="BT68" s="112">
        <f>OOC!H68</f>
        <v>7.7709999999999999</v>
      </c>
      <c r="BU68" s="3" t="e">
        <f t="shared" si="15"/>
        <v>#REF!</v>
      </c>
      <c r="BV68" s="3" t="e">
        <f t="shared" si="16"/>
        <v>#REF!</v>
      </c>
      <c r="BW68" s="3" t="e">
        <f t="shared" si="17"/>
        <v>#REF!</v>
      </c>
      <c r="BX68" s="109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</row>
    <row r="69" spans="1:76" ht="15" customHeight="1">
      <c r="A69" s="18">
        <v>40</v>
      </c>
      <c r="B69" s="84" t="s">
        <v>224</v>
      </c>
      <c r="C69" s="88" t="s">
        <v>74</v>
      </c>
      <c r="D69" s="22" t="s">
        <v>60</v>
      </c>
      <c r="E69" s="86">
        <v>1.33</v>
      </c>
      <c r="F69" s="13" t="s">
        <v>28</v>
      </c>
      <c r="G69" s="14">
        <v>10.154999999999999</v>
      </c>
      <c r="H69" s="82" t="str">
        <f>IF(OOC!S69=0,"",OOC!S69)</f>
        <v/>
      </c>
      <c r="I69" s="82" t="str">
        <f>IF(OOC!T69=0,"",OOC!T69)</f>
        <v/>
      </c>
      <c r="J69" s="16" t="s">
        <v>12</v>
      </c>
      <c r="K69" s="73" t="s">
        <v>52</v>
      </c>
      <c r="L69" s="19" t="e">
        <f t="shared" si="0"/>
        <v>#VALUE!</v>
      </c>
      <c r="M69" s="25" t="e">
        <f t="shared" si="1"/>
        <v>#VALUE!</v>
      </c>
      <c r="N69" s="29"/>
      <c r="O69" s="3" t="e">
        <f t="shared" si="18"/>
        <v>#REF!</v>
      </c>
      <c r="P69" s="3" t="e">
        <f t="shared" si="19"/>
        <v>#REF!</v>
      </c>
      <c r="Q69" s="3" t="e">
        <f t="shared" si="20"/>
        <v>#REF!</v>
      </c>
      <c r="R69" s="4" t="e">
        <f t="shared" si="21"/>
        <v>#REF!</v>
      </c>
      <c r="S69" s="5" t="e">
        <f t="shared" si="13"/>
        <v>#REF!</v>
      </c>
      <c r="T69" s="76" t="e">
        <f t="shared" si="2"/>
        <v>#REF!</v>
      </c>
      <c r="U69" s="76" t="e">
        <f t="shared" si="3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0" t="e">
        <f t="shared" si="7"/>
        <v>#REF!</v>
      </c>
      <c r="Z69" s="32" t="e">
        <f t="shared" si="8"/>
        <v>#REF!</v>
      </c>
      <c r="AA69" s="32" t="e">
        <f t="shared" si="9"/>
        <v>#REF!</v>
      </c>
      <c r="AB69" s="32" t="e">
        <f t="shared" si="10"/>
        <v>#REF!</v>
      </c>
      <c r="AC69" s="32" t="e">
        <f t="shared" si="11"/>
        <v>#REF!</v>
      </c>
      <c r="AD69" s="30"/>
      <c r="AE69" s="21" t="str">
        <f t="shared" si="12"/>
        <v/>
      </c>
      <c r="AF69" s="74"/>
      <c r="AG69" s="57"/>
      <c r="AH69" s="57"/>
      <c r="AI69" s="58"/>
      <c r="AJ69" s="20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0" t="str">
        <f t="shared" si="14"/>
        <v xml:space="preserve"> 35-1</v>
      </c>
      <c r="BS69" s="112">
        <f>OOC!G69</f>
        <v>10.184999999999999</v>
      </c>
      <c r="BT69" s="112">
        <f>OOC!H69</f>
        <v>10.125</v>
      </c>
      <c r="BU69" s="3" t="e">
        <f t="shared" si="15"/>
        <v>#REF!</v>
      </c>
      <c r="BV69" s="3" t="e">
        <f t="shared" si="16"/>
        <v>#REF!</v>
      </c>
      <c r="BW69" s="3" t="e">
        <f t="shared" si="17"/>
        <v>#REF!</v>
      </c>
      <c r="BX69" s="109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8">
        <v>40</v>
      </c>
      <c r="B70" s="84" t="s">
        <v>224</v>
      </c>
      <c r="C70" s="88" t="s">
        <v>75</v>
      </c>
      <c r="D70" s="22" t="s">
        <v>60</v>
      </c>
      <c r="E70" s="86">
        <v>1.33</v>
      </c>
      <c r="F70" s="13" t="s">
        <v>28</v>
      </c>
      <c r="G70" s="14">
        <v>10.154999999999999</v>
      </c>
      <c r="H70" s="82" t="str">
        <f>IF(OOC!S70=0,"",OOC!S70)</f>
        <v/>
      </c>
      <c r="I70" s="82" t="str">
        <f>IF(OOC!T70=0,"",OOC!T70)</f>
        <v/>
      </c>
      <c r="J70" s="16" t="s">
        <v>12</v>
      </c>
      <c r="K70" s="73" t="s">
        <v>52</v>
      </c>
      <c r="L70" s="19" t="e">
        <f t="shared" si="0"/>
        <v>#VALUE!</v>
      </c>
      <c r="M70" s="25" t="e">
        <f t="shared" si="1"/>
        <v>#VALUE!</v>
      </c>
      <c r="N70" s="29"/>
      <c r="O70" s="3" t="e">
        <f t="shared" si="18"/>
        <v>#REF!</v>
      </c>
      <c r="P70" s="3" t="e">
        <f t="shared" si="19"/>
        <v>#REF!</v>
      </c>
      <c r="Q70" s="3" t="e">
        <f t="shared" si="20"/>
        <v>#REF!</v>
      </c>
      <c r="R70" s="4" t="e">
        <f t="shared" si="21"/>
        <v>#REF!</v>
      </c>
      <c r="S70" s="5" t="e">
        <f t="shared" si="13"/>
        <v>#REF!</v>
      </c>
      <c r="T70" s="76" t="e">
        <f t="shared" si="2"/>
        <v>#REF!</v>
      </c>
      <c r="U70" s="76" t="e">
        <f t="shared" si="3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0" t="e">
        <f t="shared" si="7"/>
        <v>#REF!</v>
      </c>
      <c r="Z70" s="32" t="e">
        <f t="shared" si="8"/>
        <v>#REF!</v>
      </c>
      <c r="AA70" s="32" t="e">
        <f t="shared" si="9"/>
        <v>#REF!</v>
      </c>
      <c r="AB70" s="32" t="e">
        <f t="shared" si="10"/>
        <v>#REF!</v>
      </c>
      <c r="AC70" s="32" t="e">
        <f t="shared" si="11"/>
        <v>#REF!</v>
      </c>
      <c r="AD70" s="30"/>
      <c r="AE70" s="21" t="str">
        <f t="shared" si="12"/>
        <v/>
      </c>
      <c r="AF70" s="74"/>
      <c r="AG70" s="57"/>
      <c r="AH70" s="57"/>
      <c r="AI70" s="58"/>
      <c r="AJ70" s="20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0" t="str">
        <f t="shared" si="14"/>
        <v xml:space="preserve"> 35-2</v>
      </c>
      <c r="BS70" s="112">
        <f>OOC!G70</f>
        <v>10.184999999999999</v>
      </c>
      <c r="BT70" s="112">
        <f>OOC!H70</f>
        <v>10.125</v>
      </c>
      <c r="BU70" s="3" t="e">
        <f t="shared" si="15"/>
        <v>#REF!</v>
      </c>
      <c r="BV70" s="3" t="e">
        <f t="shared" si="16"/>
        <v>#REF!</v>
      </c>
      <c r="BW70" s="3" t="e">
        <f t="shared" si="17"/>
        <v>#REF!</v>
      </c>
      <c r="BX70" s="109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8">
        <v>40</v>
      </c>
      <c r="B71" s="84"/>
      <c r="C71" s="88">
        <v>36</v>
      </c>
      <c r="D71" s="22" t="s">
        <v>60</v>
      </c>
      <c r="E71" s="86"/>
      <c r="F71" s="13" t="s">
        <v>28</v>
      </c>
      <c r="G71" s="14">
        <v>8.1950000000000003</v>
      </c>
      <c r="H71" s="82" t="str">
        <f>IF(OOC!S71=0,"",OOC!S71)</f>
        <v/>
      </c>
      <c r="I71" s="82" t="str">
        <f>IF(OOC!T71=0,"",OOC!T71)</f>
        <v/>
      </c>
      <c r="J71" s="16" t="s">
        <v>12</v>
      </c>
      <c r="K71" s="73" t="s">
        <v>52</v>
      </c>
      <c r="L71" s="19" t="e">
        <f t="shared" si="0"/>
        <v>#VALUE!</v>
      </c>
      <c r="M71" s="25" t="e">
        <f t="shared" si="1"/>
        <v>#VALUE!</v>
      </c>
      <c r="N71" s="29"/>
      <c r="O71" s="3" t="e">
        <f t="shared" si="18"/>
        <v>#REF!</v>
      </c>
      <c r="P71" s="3" t="e">
        <f t="shared" si="19"/>
        <v>#REF!</v>
      </c>
      <c r="Q71" s="3" t="e">
        <f t="shared" si="20"/>
        <v>#REF!</v>
      </c>
      <c r="R71" s="4" t="e">
        <f t="shared" si="21"/>
        <v>#REF!</v>
      </c>
      <c r="S71" s="5" t="e">
        <f t="shared" si="13"/>
        <v>#REF!</v>
      </c>
      <c r="T71" s="76" t="e">
        <f t="shared" si="2"/>
        <v>#REF!</v>
      </c>
      <c r="U71" s="76" t="e">
        <f t="shared" si="3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0" t="e">
        <f t="shared" si="7"/>
        <v>#REF!</v>
      </c>
      <c r="Z71" s="32" t="e">
        <f t="shared" si="8"/>
        <v>#REF!</v>
      </c>
      <c r="AA71" s="32" t="e">
        <f t="shared" si="9"/>
        <v>#REF!</v>
      </c>
      <c r="AB71" s="32" t="e">
        <f t="shared" si="10"/>
        <v>#REF!</v>
      </c>
      <c r="AC71" s="32" t="e">
        <f t="shared" si="11"/>
        <v>#REF!</v>
      </c>
      <c r="AD71" s="30"/>
      <c r="AE71" s="21" t="str">
        <f t="shared" si="12"/>
        <v/>
      </c>
      <c r="AF71" s="74"/>
      <c r="AG71" s="57"/>
      <c r="AH71" s="57"/>
      <c r="AI71" s="58"/>
      <c r="AJ71" s="20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0">
        <f t="shared" si="14"/>
        <v>36</v>
      </c>
      <c r="BS71" s="112">
        <f>OOC!G71</f>
        <v>8.2249999999999996</v>
      </c>
      <c r="BT71" s="112">
        <f>OOC!H71</f>
        <v>8.1650000000000009</v>
      </c>
      <c r="BU71" s="3" t="e">
        <f t="shared" si="15"/>
        <v>#REF!</v>
      </c>
      <c r="BV71" s="3" t="e">
        <f t="shared" si="16"/>
        <v>#REF!</v>
      </c>
      <c r="BW71" s="3" t="e">
        <f t="shared" si="17"/>
        <v>#REF!</v>
      </c>
      <c r="BX71" s="109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8">
        <v>40</v>
      </c>
      <c r="B72" s="84" t="s">
        <v>221</v>
      </c>
      <c r="C72" s="88" t="s">
        <v>119</v>
      </c>
      <c r="D72" s="22" t="s">
        <v>60</v>
      </c>
      <c r="E72" s="86">
        <v>1.33</v>
      </c>
      <c r="F72" s="13" t="s">
        <v>28</v>
      </c>
      <c r="G72" s="14">
        <v>0.626</v>
      </c>
      <c r="H72" s="82" t="str">
        <f>IF(OOC!S72=0,"",OOC!S72)</f>
        <v/>
      </c>
      <c r="I72" s="82" t="str">
        <f>IF(OOC!T72=0,"",OOC!T72)</f>
        <v/>
      </c>
      <c r="J72" s="16" t="s">
        <v>12</v>
      </c>
      <c r="K72" s="73" t="s">
        <v>52</v>
      </c>
      <c r="L72" s="19" t="e">
        <f t="shared" si="0"/>
        <v>#VALUE!</v>
      </c>
      <c r="M72" s="25" t="e">
        <f t="shared" si="1"/>
        <v>#VALUE!</v>
      </c>
      <c r="N72" s="29"/>
      <c r="O72" s="3" t="e">
        <f t="shared" si="18"/>
        <v>#REF!</v>
      </c>
      <c r="P72" s="3" t="e">
        <f t="shared" si="19"/>
        <v>#REF!</v>
      </c>
      <c r="Q72" s="3" t="e">
        <f t="shared" si="20"/>
        <v>#REF!</v>
      </c>
      <c r="R72" s="4" t="e">
        <f t="shared" si="21"/>
        <v>#REF!</v>
      </c>
      <c r="S72" s="5" t="e">
        <f t="shared" si="13"/>
        <v>#REF!</v>
      </c>
      <c r="T72" s="76" t="e">
        <f t="shared" si="2"/>
        <v>#REF!</v>
      </c>
      <c r="U72" s="76" t="e">
        <f t="shared" si="3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0" t="e">
        <f t="shared" si="7"/>
        <v>#REF!</v>
      </c>
      <c r="Z72" s="32" t="e">
        <f t="shared" si="8"/>
        <v>#REF!</v>
      </c>
      <c r="AA72" s="32" t="e">
        <f t="shared" si="9"/>
        <v>#REF!</v>
      </c>
      <c r="AB72" s="32" t="e">
        <f t="shared" si="10"/>
        <v>#REF!</v>
      </c>
      <c r="AC72" s="32" t="e">
        <f t="shared" si="11"/>
        <v>#REF!</v>
      </c>
      <c r="AD72" s="30"/>
      <c r="AE72" s="21" t="str">
        <f t="shared" si="12"/>
        <v/>
      </c>
      <c r="AF72" s="74"/>
      <c r="AG72" s="57"/>
      <c r="AH72" s="57"/>
      <c r="AI72" s="58"/>
      <c r="AJ72" s="20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0" t="str">
        <f t="shared" si="14"/>
        <v>37-1</v>
      </c>
      <c r="BS72" s="112">
        <f>OOC!G72</f>
        <v>0.64600000000000002</v>
      </c>
      <c r="BT72" s="112">
        <f>OOC!H72</f>
        <v>0.60599999999999998</v>
      </c>
      <c r="BU72" s="3" t="e">
        <f t="shared" si="15"/>
        <v>#REF!</v>
      </c>
      <c r="BV72" s="3" t="e">
        <f t="shared" si="16"/>
        <v>#REF!</v>
      </c>
      <c r="BW72" s="3" t="e">
        <f t="shared" si="17"/>
        <v>#REF!</v>
      </c>
      <c r="BX72" s="109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8">
        <v>40</v>
      </c>
      <c r="B73" s="84" t="s">
        <v>221</v>
      </c>
      <c r="C73" s="88" t="s">
        <v>120</v>
      </c>
      <c r="D73" s="22" t="s">
        <v>60</v>
      </c>
      <c r="E73" s="86">
        <v>1.33</v>
      </c>
      <c r="F73" s="13" t="s">
        <v>28</v>
      </c>
      <c r="G73" s="14">
        <v>0.626</v>
      </c>
      <c r="H73" s="82" t="str">
        <f>IF(OOC!S73=0,"",OOC!S73)</f>
        <v/>
      </c>
      <c r="I73" s="82" t="str">
        <f>IF(OOC!T73=0,"",OOC!T73)</f>
        <v/>
      </c>
      <c r="J73" s="16" t="s">
        <v>12</v>
      </c>
      <c r="K73" s="73" t="s">
        <v>52</v>
      </c>
      <c r="L73" s="19" t="e">
        <f t="shared" si="0"/>
        <v>#VALUE!</v>
      </c>
      <c r="M73" s="25" t="e">
        <f t="shared" si="1"/>
        <v>#VALUE!</v>
      </c>
      <c r="N73" s="29"/>
      <c r="O73" s="3" t="e">
        <f t="shared" si="18"/>
        <v>#REF!</v>
      </c>
      <c r="P73" s="3" t="e">
        <f t="shared" si="19"/>
        <v>#REF!</v>
      </c>
      <c r="Q73" s="3" t="e">
        <f t="shared" si="20"/>
        <v>#REF!</v>
      </c>
      <c r="R73" s="4" t="e">
        <f t="shared" si="21"/>
        <v>#REF!</v>
      </c>
      <c r="S73" s="5" t="e">
        <f t="shared" si="13"/>
        <v>#REF!</v>
      </c>
      <c r="T73" s="76" t="e">
        <f t="shared" si="2"/>
        <v>#REF!</v>
      </c>
      <c r="U73" s="76" t="e">
        <f t="shared" si="3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0" t="e">
        <f t="shared" si="7"/>
        <v>#REF!</v>
      </c>
      <c r="Z73" s="32" t="e">
        <f t="shared" si="8"/>
        <v>#REF!</v>
      </c>
      <c r="AA73" s="32" t="e">
        <f t="shared" si="9"/>
        <v>#REF!</v>
      </c>
      <c r="AB73" s="32" t="e">
        <f t="shared" si="10"/>
        <v>#REF!</v>
      </c>
      <c r="AC73" s="32" t="e">
        <f t="shared" si="11"/>
        <v>#REF!</v>
      </c>
      <c r="AD73" s="30"/>
      <c r="AE73" s="21" t="str">
        <f t="shared" si="12"/>
        <v/>
      </c>
      <c r="AF73" s="74"/>
      <c r="AG73" s="57"/>
      <c r="AH73" s="57"/>
      <c r="AI73" s="58"/>
      <c r="AJ73" s="20"/>
      <c r="AK73" s="2" t="e">
        <f>#REF!</f>
        <v>#REF!</v>
      </c>
      <c r="AL73" s="2" t="e">
        <f>#REF!</f>
        <v>#REF!</v>
      </c>
      <c r="AM73" s="2" t="e">
        <f>#REF!</f>
        <v>#REF!</v>
      </c>
      <c r="AN73" s="2" t="e">
        <f>#REF!</f>
        <v>#REF!</v>
      </c>
      <c r="AO73" s="2" t="e">
        <f>#REF!</f>
        <v>#REF!</v>
      </c>
      <c r="AP73" s="2" t="e">
        <f>#REF!</f>
        <v>#REF!</v>
      </c>
      <c r="AQ73" s="2" t="e">
        <f>#REF!</f>
        <v>#REF!</v>
      </c>
      <c r="AR73" s="2" t="e">
        <f>#REF!</f>
        <v>#REF!</v>
      </c>
      <c r="AS73" s="2" t="e">
        <f>#REF!</f>
        <v>#REF!</v>
      </c>
      <c r="AT73" s="2" t="e">
        <f>#REF!</f>
        <v>#REF!</v>
      </c>
      <c r="AU73" s="2" t="e">
        <f>#REF!</f>
        <v>#REF!</v>
      </c>
      <c r="AV73" s="2" t="e">
        <f>#REF!</f>
        <v>#REF!</v>
      </c>
      <c r="AW73" s="2" t="e">
        <f>#REF!</f>
        <v>#REF!</v>
      </c>
      <c r="AX73" s="2" t="e">
        <f>#REF!</f>
        <v>#REF!</v>
      </c>
      <c r="AY73" s="2" t="e">
        <f>#REF!</f>
        <v>#REF!</v>
      </c>
      <c r="AZ73" s="2" t="e">
        <f>#REF!</f>
        <v>#REF!</v>
      </c>
      <c r="BA73" s="2" t="e">
        <f>#REF!</f>
        <v>#REF!</v>
      </c>
      <c r="BB73" s="2" t="e">
        <f>#REF!</f>
        <v>#REF!</v>
      </c>
      <c r="BC73" s="2" t="e">
        <f>#REF!</f>
        <v>#REF!</v>
      </c>
      <c r="BD73" s="2" t="e">
        <f>#REF!</f>
        <v>#REF!</v>
      </c>
      <c r="BE73" s="2" t="e">
        <f>#REF!</f>
        <v>#REF!</v>
      </c>
      <c r="BF73" s="2" t="e">
        <f>#REF!</f>
        <v>#REF!</v>
      </c>
      <c r="BG73" s="2" t="e">
        <f>#REF!</f>
        <v>#REF!</v>
      </c>
      <c r="BH73" s="2" t="e">
        <f>#REF!</f>
        <v>#REF!</v>
      </c>
      <c r="BI73" s="2" t="e">
        <f>#REF!</f>
        <v>#REF!</v>
      </c>
      <c r="BJ73" s="2" t="e">
        <f>#REF!</f>
        <v>#REF!</v>
      </c>
      <c r="BK73" s="2" t="e">
        <f>#REF!</f>
        <v>#REF!</v>
      </c>
      <c r="BL73" s="2" t="e">
        <f>#REF!</f>
        <v>#REF!</v>
      </c>
      <c r="BM73" s="2" t="e">
        <f>#REF!</f>
        <v>#REF!</v>
      </c>
      <c r="BN73" s="2" t="e">
        <f>#REF!</f>
        <v>#REF!</v>
      </c>
      <c r="BO73" s="2" t="e">
        <f>#REF!</f>
        <v>#REF!</v>
      </c>
      <c r="BP73" s="2" t="e">
        <f>#REF!</f>
        <v>#REF!</v>
      </c>
      <c r="BR73" s="110" t="str">
        <f t="shared" si="14"/>
        <v>37-2</v>
      </c>
      <c r="BS73" s="112">
        <f>OOC!G73</f>
        <v>0.64600000000000002</v>
      </c>
      <c r="BT73" s="112">
        <f>OOC!H73</f>
        <v>0.60599999999999998</v>
      </c>
      <c r="BU73" s="3" t="e">
        <f t="shared" si="15"/>
        <v>#REF!</v>
      </c>
      <c r="BV73" s="3" t="e">
        <f t="shared" si="16"/>
        <v>#REF!</v>
      </c>
      <c r="BW73" s="3" t="e">
        <f t="shared" si="17"/>
        <v>#REF!</v>
      </c>
      <c r="BX73" s="109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8">
        <v>40</v>
      </c>
      <c r="B74" s="84" t="s">
        <v>222</v>
      </c>
      <c r="C74" s="88" t="s">
        <v>76</v>
      </c>
      <c r="D74" s="22" t="s">
        <v>60</v>
      </c>
      <c r="E74" s="86">
        <v>1.33</v>
      </c>
      <c r="F74" s="13" t="s">
        <v>28</v>
      </c>
      <c r="G74" s="14">
        <v>1.9530000000000001</v>
      </c>
      <c r="H74" s="82" t="str">
        <f>IF(OOC!S74=0,"",OOC!S74)</f>
        <v/>
      </c>
      <c r="I74" s="82" t="str">
        <f>IF(OOC!T74=0,"",OOC!T74)</f>
        <v/>
      </c>
      <c r="J74" s="16" t="s">
        <v>12</v>
      </c>
      <c r="K74" s="73" t="s">
        <v>52</v>
      </c>
      <c r="L74" s="19" t="e">
        <f t="shared" si="0"/>
        <v>#VALUE!</v>
      </c>
      <c r="M74" s="25" t="e">
        <f t="shared" si="1"/>
        <v>#VALUE!</v>
      </c>
      <c r="N74" s="29"/>
      <c r="O74" s="3" t="e">
        <f t="shared" si="18"/>
        <v>#REF!</v>
      </c>
      <c r="P74" s="3" t="e">
        <f t="shared" si="19"/>
        <v>#REF!</v>
      </c>
      <c r="Q74" s="3" t="e">
        <f t="shared" si="20"/>
        <v>#REF!</v>
      </c>
      <c r="R74" s="4" t="e">
        <f t="shared" si="21"/>
        <v>#REF!</v>
      </c>
      <c r="S74" s="5" t="e">
        <f t="shared" si="13"/>
        <v>#REF!</v>
      </c>
      <c r="T74" s="76" t="e">
        <f t="shared" si="2"/>
        <v>#REF!</v>
      </c>
      <c r="U74" s="76" t="e">
        <f t="shared" si="3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0" t="e">
        <f t="shared" si="7"/>
        <v>#REF!</v>
      </c>
      <c r="Z74" s="32" t="e">
        <f t="shared" si="8"/>
        <v>#REF!</v>
      </c>
      <c r="AA74" s="32" t="e">
        <f t="shared" si="9"/>
        <v>#REF!</v>
      </c>
      <c r="AB74" s="32" t="e">
        <f t="shared" si="10"/>
        <v>#REF!</v>
      </c>
      <c r="AC74" s="32" t="e">
        <f t="shared" si="11"/>
        <v>#REF!</v>
      </c>
      <c r="AD74" s="30"/>
      <c r="AE74" s="21" t="str">
        <f t="shared" si="12"/>
        <v/>
      </c>
      <c r="AF74" s="74"/>
      <c r="AG74" s="57"/>
      <c r="AH74" s="57"/>
      <c r="AI74" s="58"/>
      <c r="AJ74" s="20"/>
      <c r="AK74" s="2" t="e">
        <f>#REF!</f>
        <v>#REF!</v>
      </c>
      <c r="AL74" s="2" t="e">
        <f>#REF!</f>
        <v>#REF!</v>
      </c>
      <c r="AM74" s="2" t="e">
        <f>#REF!</f>
        <v>#REF!</v>
      </c>
      <c r="AN74" s="2" t="e">
        <f>#REF!</f>
        <v>#REF!</v>
      </c>
      <c r="AO74" s="2" t="e">
        <f>#REF!</f>
        <v>#REF!</v>
      </c>
      <c r="AP74" s="2" t="e">
        <f>#REF!</f>
        <v>#REF!</v>
      </c>
      <c r="AQ74" s="2" t="e">
        <f>#REF!</f>
        <v>#REF!</v>
      </c>
      <c r="AR74" s="2" t="e">
        <f>#REF!</f>
        <v>#REF!</v>
      </c>
      <c r="AS74" s="2" t="e">
        <f>#REF!</f>
        <v>#REF!</v>
      </c>
      <c r="AT74" s="2" t="e">
        <f>#REF!</f>
        <v>#REF!</v>
      </c>
      <c r="AU74" s="2" t="e">
        <f>#REF!</f>
        <v>#REF!</v>
      </c>
      <c r="AV74" s="2" t="e">
        <f>#REF!</f>
        <v>#REF!</v>
      </c>
      <c r="AW74" s="2" t="e">
        <f>#REF!</f>
        <v>#REF!</v>
      </c>
      <c r="AX74" s="2" t="e">
        <f>#REF!</f>
        <v>#REF!</v>
      </c>
      <c r="AY74" s="2" t="e">
        <f>#REF!</f>
        <v>#REF!</v>
      </c>
      <c r="AZ74" s="2" t="e">
        <f>#REF!</f>
        <v>#REF!</v>
      </c>
      <c r="BA74" s="2" t="e">
        <f>#REF!</f>
        <v>#REF!</v>
      </c>
      <c r="BB74" s="2" t="e">
        <f>#REF!</f>
        <v>#REF!</v>
      </c>
      <c r="BC74" s="2" t="e">
        <f>#REF!</f>
        <v>#REF!</v>
      </c>
      <c r="BD74" s="2" t="e">
        <f>#REF!</f>
        <v>#REF!</v>
      </c>
      <c r="BE74" s="2" t="e">
        <f>#REF!</f>
        <v>#REF!</v>
      </c>
      <c r="BF74" s="2" t="e">
        <f>#REF!</f>
        <v>#REF!</v>
      </c>
      <c r="BG74" s="2" t="e">
        <f>#REF!</f>
        <v>#REF!</v>
      </c>
      <c r="BH74" s="2" t="e">
        <f>#REF!</f>
        <v>#REF!</v>
      </c>
      <c r="BI74" s="2" t="e">
        <f>#REF!</f>
        <v>#REF!</v>
      </c>
      <c r="BJ74" s="2" t="e">
        <f>#REF!</f>
        <v>#REF!</v>
      </c>
      <c r="BK74" s="2" t="e">
        <f>#REF!</f>
        <v>#REF!</v>
      </c>
      <c r="BL74" s="2" t="e">
        <f>#REF!</f>
        <v>#REF!</v>
      </c>
      <c r="BM74" s="2" t="e">
        <f>#REF!</f>
        <v>#REF!</v>
      </c>
      <c r="BN74" s="2" t="e">
        <f>#REF!</f>
        <v>#REF!</v>
      </c>
      <c r="BO74" s="2" t="e">
        <f>#REF!</f>
        <v>#REF!</v>
      </c>
      <c r="BP74" s="2" t="e">
        <f>#REF!</f>
        <v>#REF!</v>
      </c>
      <c r="BR74" s="110" t="str">
        <f t="shared" si="14"/>
        <v xml:space="preserve"> 38-1</v>
      </c>
      <c r="BS74" s="112">
        <f>OOC!G74</f>
        <v>1.9830000000000001</v>
      </c>
      <c r="BT74" s="112">
        <f>OOC!H74</f>
        <v>1.923</v>
      </c>
      <c r="BU74" s="3" t="e">
        <f t="shared" si="15"/>
        <v>#REF!</v>
      </c>
      <c r="BV74" s="3" t="e">
        <f t="shared" si="16"/>
        <v>#REF!</v>
      </c>
      <c r="BW74" s="3" t="e">
        <f t="shared" si="17"/>
        <v>#REF!</v>
      </c>
      <c r="BX74" s="109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8">
        <v>40</v>
      </c>
      <c r="B75" s="84" t="s">
        <v>222</v>
      </c>
      <c r="C75" s="88" t="s">
        <v>77</v>
      </c>
      <c r="D75" s="22" t="s">
        <v>60</v>
      </c>
      <c r="E75" s="86">
        <v>1.33</v>
      </c>
      <c r="F75" s="13" t="s">
        <v>28</v>
      </c>
      <c r="G75" s="14">
        <v>1.9530000000000001</v>
      </c>
      <c r="H75" s="82" t="str">
        <f>IF(OOC!S75=0,"",OOC!S75)</f>
        <v/>
      </c>
      <c r="I75" s="82" t="str">
        <f>IF(OOC!T75=0,"",OOC!T75)</f>
        <v/>
      </c>
      <c r="J75" s="16" t="s">
        <v>12</v>
      </c>
      <c r="K75" s="73" t="s">
        <v>52</v>
      </c>
      <c r="L75" s="19" t="e">
        <f t="shared" si="0"/>
        <v>#VALUE!</v>
      </c>
      <c r="M75" s="25" t="e">
        <f t="shared" si="1"/>
        <v>#VALUE!</v>
      </c>
      <c r="N75" s="29"/>
      <c r="O75" s="3" t="e">
        <f t="shared" si="18"/>
        <v>#REF!</v>
      </c>
      <c r="P75" s="3" t="e">
        <f t="shared" si="19"/>
        <v>#REF!</v>
      </c>
      <c r="Q75" s="3" t="e">
        <f t="shared" si="20"/>
        <v>#REF!</v>
      </c>
      <c r="R75" s="4" t="e">
        <f t="shared" si="21"/>
        <v>#REF!</v>
      </c>
      <c r="S75" s="5" t="e">
        <f t="shared" si="13"/>
        <v>#REF!</v>
      </c>
      <c r="T75" s="76" t="e">
        <f t="shared" si="2"/>
        <v>#REF!</v>
      </c>
      <c r="U75" s="76" t="e">
        <f t="shared" si="3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0" t="e">
        <f t="shared" si="7"/>
        <v>#REF!</v>
      </c>
      <c r="Z75" s="32" t="e">
        <f t="shared" si="8"/>
        <v>#REF!</v>
      </c>
      <c r="AA75" s="32" t="e">
        <f t="shared" si="9"/>
        <v>#REF!</v>
      </c>
      <c r="AB75" s="32" t="e">
        <f t="shared" si="10"/>
        <v>#REF!</v>
      </c>
      <c r="AC75" s="32" t="e">
        <f t="shared" si="11"/>
        <v>#REF!</v>
      </c>
      <c r="AD75" s="30"/>
      <c r="AE75" s="21" t="str">
        <f t="shared" si="12"/>
        <v/>
      </c>
      <c r="AF75" s="74"/>
      <c r="AG75" s="57"/>
      <c r="AH75" s="57"/>
      <c r="AI75" s="58"/>
      <c r="AJ75" s="20"/>
      <c r="AK75" s="2" t="e">
        <f>#REF!</f>
        <v>#REF!</v>
      </c>
      <c r="AL75" s="2" t="e">
        <f>#REF!</f>
        <v>#REF!</v>
      </c>
      <c r="AM75" s="2" t="e">
        <f>#REF!</f>
        <v>#REF!</v>
      </c>
      <c r="AN75" s="2" t="e">
        <f>#REF!</f>
        <v>#REF!</v>
      </c>
      <c r="AO75" s="2" t="e">
        <f>#REF!</f>
        <v>#REF!</v>
      </c>
      <c r="AP75" s="2" t="e">
        <f>#REF!</f>
        <v>#REF!</v>
      </c>
      <c r="AQ75" s="2" t="e">
        <f>#REF!</f>
        <v>#REF!</v>
      </c>
      <c r="AR75" s="2" t="e">
        <f>#REF!</f>
        <v>#REF!</v>
      </c>
      <c r="AS75" s="2" t="e">
        <f>#REF!</f>
        <v>#REF!</v>
      </c>
      <c r="AT75" s="2" t="e">
        <f>#REF!</f>
        <v>#REF!</v>
      </c>
      <c r="AU75" s="2" t="e">
        <f>#REF!</f>
        <v>#REF!</v>
      </c>
      <c r="AV75" s="2" t="e">
        <f>#REF!</f>
        <v>#REF!</v>
      </c>
      <c r="AW75" s="2" t="e">
        <f>#REF!</f>
        <v>#REF!</v>
      </c>
      <c r="AX75" s="2" t="e">
        <f>#REF!</f>
        <v>#REF!</v>
      </c>
      <c r="AY75" s="2" t="e">
        <f>#REF!</f>
        <v>#REF!</v>
      </c>
      <c r="AZ75" s="2" t="e">
        <f>#REF!</f>
        <v>#REF!</v>
      </c>
      <c r="BA75" s="2" t="e">
        <f>#REF!</f>
        <v>#REF!</v>
      </c>
      <c r="BB75" s="2" t="e">
        <f>#REF!</f>
        <v>#REF!</v>
      </c>
      <c r="BC75" s="2" t="e">
        <f>#REF!</f>
        <v>#REF!</v>
      </c>
      <c r="BD75" s="2" t="e">
        <f>#REF!</f>
        <v>#REF!</v>
      </c>
      <c r="BE75" s="2" t="e">
        <f>#REF!</f>
        <v>#REF!</v>
      </c>
      <c r="BF75" s="2" t="e">
        <f>#REF!</f>
        <v>#REF!</v>
      </c>
      <c r="BG75" s="2" t="e">
        <f>#REF!</f>
        <v>#REF!</v>
      </c>
      <c r="BH75" s="2" t="e">
        <f>#REF!</f>
        <v>#REF!</v>
      </c>
      <c r="BI75" s="2" t="e">
        <f>#REF!</f>
        <v>#REF!</v>
      </c>
      <c r="BJ75" s="2" t="e">
        <f>#REF!</f>
        <v>#REF!</v>
      </c>
      <c r="BK75" s="2" t="e">
        <f>#REF!</f>
        <v>#REF!</v>
      </c>
      <c r="BL75" s="2" t="e">
        <f>#REF!</f>
        <v>#REF!</v>
      </c>
      <c r="BM75" s="2" t="e">
        <f>#REF!</f>
        <v>#REF!</v>
      </c>
      <c r="BN75" s="2" t="e">
        <f>#REF!</f>
        <v>#REF!</v>
      </c>
      <c r="BO75" s="2" t="e">
        <f>#REF!</f>
        <v>#REF!</v>
      </c>
      <c r="BP75" s="2" t="e">
        <f>#REF!</f>
        <v>#REF!</v>
      </c>
      <c r="BR75" s="110" t="str">
        <f t="shared" si="14"/>
        <v xml:space="preserve"> 38-2</v>
      </c>
      <c r="BS75" s="112">
        <f>OOC!G75</f>
        <v>1.9830000000000001</v>
      </c>
      <c r="BT75" s="112">
        <f>OOC!H75</f>
        <v>1.923</v>
      </c>
      <c r="BU75" s="3" t="e">
        <f t="shared" si="15"/>
        <v>#REF!</v>
      </c>
      <c r="BV75" s="3" t="e">
        <f t="shared" si="16"/>
        <v>#REF!</v>
      </c>
      <c r="BW75" s="3" t="e">
        <f t="shared" si="17"/>
        <v>#REF!</v>
      </c>
      <c r="BX75" s="109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8">
        <v>40</v>
      </c>
      <c r="B76" s="84"/>
      <c r="C76" s="88" t="s">
        <v>112</v>
      </c>
      <c r="D76" s="22" t="s">
        <v>60</v>
      </c>
      <c r="E76" s="86"/>
      <c r="F76" s="13" t="s">
        <v>28</v>
      </c>
      <c r="G76" s="14">
        <v>2.9260000000000002</v>
      </c>
      <c r="H76" s="82" t="str">
        <f>IF(OOC!S76=0,"",OOC!S76)</f>
        <v/>
      </c>
      <c r="I76" s="82" t="str">
        <f>IF(OOC!T76=0,"",OOC!T76)</f>
        <v/>
      </c>
      <c r="J76" s="16" t="s">
        <v>12</v>
      </c>
      <c r="K76" s="73" t="s">
        <v>52</v>
      </c>
      <c r="L76" s="19" t="e">
        <f t="shared" si="0"/>
        <v>#VALUE!</v>
      </c>
      <c r="M76" s="25" t="e">
        <f t="shared" si="1"/>
        <v>#VALUE!</v>
      </c>
      <c r="N76" s="29"/>
      <c r="O76" s="3" t="e">
        <f t="shared" si="18"/>
        <v>#REF!</v>
      </c>
      <c r="P76" s="3" t="e">
        <f t="shared" si="19"/>
        <v>#REF!</v>
      </c>
      <c r="Q76" s="3" t="e">
        <f t="shared" si="20"/>
        <v>#REF!</v>
      </c>
      <c r="R76" s="4" t="e">
        <f t="shared" si="21"/>
        <v>#REF!</v>
      </c>
      <c r="S76" s="5" t="e">
        <f t="shared" si="13"/>
        <v>#REF!</v>
      </c>
      <c r="T76" s="76" t="e">
        <f t="shared" si="2"/>
        <v>#REF!</v>
      </c>
      <c r="U76" s="76" t="e">
        <f t="shared" si="3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0" t="e">
        <f t="shared" si="7"/>
        <v>#REF!</v>
      </c>
      <c r="Z76" s="32" t="e">
        <f t="shared" si="8"/>
        <v>#REF!</v>
      </c>
      <c r="AA76" s="32" t="e">
        <f t="shared" si="9"/>
        <v>#REF!</v>
      </c>
      <c r="AB76" s="32" t="e">
        <f t="shared" si="10"/>
        <v>#REF!</v>
      </c>
      <c r="AC76" s="32" t="e">
        <f t="shared" si="11"/>
        <v>#REF!</v>
      </c>
      <c r="AD76" s="30"/>
      <c r="AE76" s="21" t="str">
        <f t="shared" si="12"/>
        <v/>
      </c>
      <c r="AF76" s="74"/>
      <c r="AG76" s="57"/>
      <c r="AH76" s="57"/>
      <c r="AI76" s="58"/>
      <c r="AJ76" s="20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0" t="str">
        <f t="shared" si="14"/>
        <v xml:space="preserve"> 39</v>
      </c>
      <c r="BS76" s="112">
        <f>OOC!G76</f>
        <v>2.956</v>
      </c>
      <c r="BT76" s="112">
        <f>OOC!H76</f>
        <v>2.8960000000000004</v>
      </c>
      <c r="BU76" s="3" t="e">
        <f t="shared" si="15"/>
        <v>#REF!</v>
      </c>
      <c r="BV76" s="3" t="e">
        <f t="shared" si="16"/>
        <v>#REF!</v>
      </c>
      <c r="BW76" s="3" t="e">
        <f t="shared" si="17"/>
        <v>#REF!</v>
      </c>
      <c r="BX76" s="109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8"/>
      <c r="B77" s="84"/>
      <c r="C77" s="88"/>
      <c r="D77" s="22"/>
      <c r="E77" s="86"/>
      <c r="F77" s="13"/>
      <c r="G77" s="14"/>
      <c r="H77" s="82"/>
      <c r="I77" s="82"/>
      <c r="J77" s="16"/>
      <c r="K77" s="73"/>
      <c r="L77" s="19"/>
      <c r="M77" s="25"/>
      <c r="N77" s="29"/>
      <c r="O77" s="3"/>
      <c r="P77" s="3"/>
      <c r="Q77" s="3"/>
      <c r="R77" s="4"/>
      <c r="S77" s="5"/>
      <c r="T77" s="76"/>
      <c r="U77" s="76"/>
      <c r="V77" s="5"/>
      <c r="W77" s="5"/>
      <c r="X77" s="5"/>
      <c r="Y77" s="70"/>
      <c r="Z77" s="32"/>
      <c r="AA77" s="32"/>
      <c r="AB77" s="32"/>
      <c r="AC77" s="32"/>
      <c r="AD77" s="30"/>
      <c r="AE77" s="21"/>
      <c r="AF77" s="74"/>
      <c r="AG77" s="57"/>
      <c r="AH77" s="57"/>
      <c r="AI77" s="58"/>
      <c r="AJ77" s="20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0"/>
      <c r="BS77" s="112"/>
      <c r="BT77" s="112"/>
      <c r="BU77" s="3"/>
      <c r="BV77" s="3"/>
      <c r="BW77" s="3"/>
      <c r="BX77" s="109"/>
    </row>
    <row r="78" spans="1:76" ht="15" customHeight="1">
      <c r="A78" s="18"/>
      <c r="B78" s="84"/>
      <c r="C78" s="88"/>
      <c r="D78" s="22"/>
      <c r="E78" s="86"/>
      <c r="F78" s="13"/>
      <c r="G78" s="14"/>
      <c r="H78" s="82"/>
      <c r="I78" s="82"/>
      <c r="J78" s="16"/>
      <c r="K78" s="73"/>
      <c r="L78" s="19"/>
      <c r="M78" s="25"/>
      <c r="N78" s="29"/>
      <c r="O78" s="3"/>
      <c r="P78" s="3"/>
      <c r="Q78" s="3"/>
      <c r="R78" s="4"/>
      <c r="S78" s="5"/>
      <c r="T78" s="76"/>
      <c r="U78" s="76"/>
      <c r="V78" s="5"/>
      <c r="W78" s="5"/>
      <c r="X78" s="5"/>
      <c r="Y78" s="70"/>
      <c r="Z78" s="32"/>
      <c r="AA78" s="32"/>
      <c r="AB78" s="32"/>
      <c r="AC78" s="32"/>
      <c r="AD78" s="30"/>
      <c r="AE78" s="21"/>
      <c r="AF78" s="74"/>
      <c r="AG78" s="57"/>
      <c r="AH78" s="57"/>
      <c r="AI78" s="58"/>
      <c r="AJ78" s="20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0"/>
      <c r="BS78" s="112"/>
      <c r="BT78" s="112"/>
      <c r="BU78" s="3"/>
      <c r="BV78" s="3"/>
      <c r="BW78" s="3"/>
      <c r="BX78" s="109"/>
    </row>
    <row r="79" spans="1:76" ht="15" customHeight="1">
      <c r="A79" s="18"/>
      <c r="B79" s="84"/>
      <c r="C79" s="88"/>
      <c r="D79" s="22"/>
      <c r="E79" s="86"/>
      <c r="F79" s="13"/>
      <c r="G79" s="14"/>
      <c r="H79" s="82"/>
      <c r="I79" s="82"/>
      <c r="J79" s="16"/>
      <c r="K79" s="73"/>
      <c r="L79" s="19"/>
      <c r="M79" s="25"/>
      <c r="N79" s="29"/>
      <c r="O79" s="3"/>
      <c r="P79" s="3"/>
      <c r="Q79" s="3"/>
      <c r="R79" s="4"/>
      <c r="S79" s="5"/>
      <c r="T79" s="76"/>
      <c r="U79" s="76"/>
      <c r="V79" s="5"/>
      <c r="W79" s="5"/>
      <c r="X79" s="5"/>
      <c r="Y79" s="70"/>
      <c r="Z79" s="32"/>
      <c r="AA79" s="32"/>
      <c r="AB79" s="32"/>
      <c r="AC79" s="32"/>
      <c r="AD79" s="30"/>
      <c r="AE79" s="21"/>
      <c r="AF79" s="74"/>
      <c r="AG79" s="57"/>
      <c r="AH79" s="57"/>
      <c r="AI79" s="58"/>
      <c r="AJ79" s="20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0"/>
      <c r="BS79" s="112"/>
      <c r="BT79" s="112"/>
      <c r="BU79" s="3"/>
      <c r="BV79" s="3"/>
      <c r="BW79" s="3"/>
      <c r="BX79" s="109"/>
    </row>
    <row r="80" spans="1:76" ht="15" customHeight="1">
      <c r="A80" s="18"/>
      <c r="B80" s="84"/>
      <c r="C80" s="88"/>
      <c r="D80" s="22"/>
      <c r="E80" s="86"/>
      <c r="F80" s="13"/>
      <c r="G80" s="14"/>
      <c r="H80" s="82"/>
      <c r="I80" s="82"/>
      <c r="J80" s="16"/>
      <c r="K80" s="73"/>
      <c r="L80" s="19"/>
      <c r="M80" s="25"/>
      <c r="N80" s="29"/>
      <c r="O80" s="3"/>
      <c r="P80" s="3"/>
      <c r="Q80" s="3"/>
      <c r="R80" s="4"/>
      <c r="S80" s="5"/>
      <c r="T80" s="76"/>
      <c r="U80" s="76"/>
      <c r="V80" s="5"/>
      <c r="W80" s="5"/>
      <c r="X80" s="5"/>
      <c r="Y80" s="70"/>
      <c r="Z80" s="32"/>
      <c r="AA80" s="32"/>
      <c r="AB80" s="32"/>
      <c r="AC80" s="32"/>
      <c r="AD80" s="30"/>
      <c r="AE80" s="21"/>
      <c r="AF80" s="74"/>
      <c r="AG80" s="57"/>
      <c r="AH80" s="57"/>
      <c r="AI80" s="58"/>
      <c r="AJ80" s="20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R80" s="110"/>
      <c r="BS80" s="112"/>
      <c r="BT80" s="112"/>
      <c r="BU80" s="3"/>
      <c r="BV80" s="3"/>
      <c r="BW80" s="3"/>
      <c r="BX80" s="109"/>
    </row>
    <row r="81" spans="1:76" ht="15" customHeight="1">
      <c r="A81" s="18">
        <v>40</v>
      </c>
      <c r="B81" s="84"/>
      <c r="C81" s="88">
        <v>41</v>
      </c>
      <c r="D81" s="22" t="s">
        <v>60</v>
      </c>
      <c r="E81" s="86"/>
      <c r="F81" s="13" t="s">
        <v>28</v>
      </c>
      <c r="G81" s="14">
        <v>2.8730000000000002</v>
      </c>
      <c r="H81" s="82" t="str">
        <f>IF(OOC!S81=0,"",OOC!S81)</f>
        <v/>
      </c>
      <c r="I81" s="82" t="str">
        <f>IF(OOC!T81=0,"",OOC!T81)</f>
        <v/>
      </c>
      <c r="J81" s="16" t="s">
        <v>12</v>
      </c>
      <c r="K81" s="73" t="s">
        <v>52</v>
      </c>
      <c r="L81" s="19" t="e">
        <f t="shared" si="0"/>
        <v>#VALUE!</v>
      </c>
      <c r="M81" s="25" t="e">
        <f t="shared" si="1"/>
        <v>#VALUE!</v>
      </c>
      <c r="N81" s="29"/>
      <c r="O81" s="3" t="e">
        <f t="shared" si="18"/>
        <v>#REF!</v>
      </c>
      <c r="P81" s="3" t="e">
        <f t="shared" si="19"/>
        <v>#REF!</v>
      </c>
      <c r="Q81" s="3" t="e">
        <f t="shared" si="20"/>
        <v>#REF!</v>
      </c>
      <c r="R81" s="4" t="e">
        <f t="shared" si="21"/>
        <v>#REF!</v>
      </c>
      <c r="S81" s="5" t="e">
        <f t="shared" si="13"/>
        <v>#REF!</v>
      </c>
      <c r="T81" s="76" t="e">
        <f t="shared" si="2"/>
        <v>#REF!</v>
      </c>
      <c r="U81" s="76" t="e">
        <f t="shared" si="3"/>
        <v>#REF!</v>
      </c>
      <c r="V81" s="5" t="e">
        <f t="shared" si="4"/>
        <v>#REF!</v>
      </c>
      <c r="W81" s="5" t="e">
        <f t="shared" si="5"/>
        <v>#REF!</v>
      </c>
      <c r="X81" s="5" t="e">
        <f t="shared" si="6"/>
        <v>#REF!</v>
      </c>
      <c r="Y81" s="70" t="e">
        <f t="shared" si="7"/>
        <v>#REF!</v>
      </c>
      <c r="Z81" s="32" t="e">
        <f t="shared" si="8"/>
        <v>#REF!</v>
      </c>
      <c r="AA81" s="32" t="e">
        <f t="shared" si="9"/>
        <v>#REF!</v>
      </c>
      <c r="AB81" s="32" t="e">
        <f t="shared" si="10"/>
        <v>#REF!</v>
      </c>
      <c r="AC81" s="32" t="e">
        <f t="shared" si="11"/>
        <v>#REF!</v>
      </c>
      <c r="AD81" s="30"/>
      <c r="AE81" s="21" t="str">
        <f t="shared" si="12"/>
        <v/>
      </c>
      <c r="AF81" s="74"/>
      <c r="AG81" s="57"/>
      <c r="AH81" s="57"/>
      <c r="AI81" s="58"/>
      <c r="AJ81" s="20"/>
      <c r="AK81" s="2" t="e">
        <f>#REF!</f>
        <v>#REF!</v>
      </c>
      <c r="AL81" s="2" t="e">
        <f>#REF!</f>
        <v>#REF!</v>
      </c>
      <c r="AM81" s="2" t="e">
        <f>#REF!</f>
        <v>#REF!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R81" s="110">
        <f t="shared" si="14"/>
        <v>41</v>
      </c>
      <c r="BS81" s="112">
        <f>OOC!G81</f>
        <v>2.903</v>
      </c>
      <c r="BT81" s="112">
        <f>OOC!H81</f>
        <v>2.8430000000000004</v>
      </c>
      <c r="BU81" s="3" t="e">
        <f t="shared" si="15"/>
        <v>#REF!</v>
      </c>
      <c r="BV81" s="3" t="e">
        <f t="shared" si="16"/>
        <v>#REF!</v>
      </c>
      <c r="BW81" s="3" t="e">
        <f t="shared" si="17"/>
        <v>#REF!</v>
      </c>
      <c r="BX81" s="109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8">
        <v>40</v>
      </c>
      <c r="B82" s="84"/>
      <c r="C82" s="88">
        <v>42</v>
      </c>
      <c r="D82" s="22" t="s">
        <v>60</v>
      </c>
      <c r="E82" s="86"/>
      <c r="F82" s="13" t="s">
        <v>28</v>
      </c>
      <c r="G82" s="14">
        <v>0.97799999999999998</v>
      </c>
      <c r="H82" s="82" t="str">
        <f>IF(OOC!S82=0,"",OOC!S82)</f>
        <v/>
      </c>
      <c r="I82" s="82" t="str">
        <f>IF(OOC!T82=0,"",OOC!T82)</f>
        <v/>
      </c>
      <c r="J82" s="16" t="s">
        <v>12</v>
      </c>
      <c r="K82" s="73" t="s">
        <v>52</v>
      </c>
      <c r="L82" s="19" t="e">
        <f t="shared" si="0"/>
        <v>#VALUE!</v>
      </c>
      <c r="M82" s="25" t="e">
        <f t="shared" si="1"/>
        <v>#VALUE!</v>
      </c>
      <c r="N82" s="29"/>
      <c r="O82" s="3" t="e">
        <f t="shared" si="18"/>
        <v>#REF!</v>
      </c>
      <c r="P82" s="3" t="e">
        <f t="shared" si="19"/>
        <v>#REF!</v>
      </c>
      <c r="Q82" s="3" t="e">
        <f t="shared" si="20"/>
        <v>#REF!</v>
      </c>
      <c r="R82" s="4" t="e">
        <f t="shared" si="21"/>
        <v>#REF!</v>
      </c>
      <c r="S82" s="5" t="e">
        <f t="shared" si="13"/>
        <v>#REF!</v>
      </c>
      <c r="T82" s="76" t="e">
        <f t="shared" si="2"/>
        <v>#REF!</v>
      </c>
      <c r="U82" s="76" t="e">
        <f t="shared" si="3"/>
        <v>#REF!</v>
      </c>
      <c r="V82" s="5" t="e">
        <f t="shared" si="4"/>
        <v>#REF!</v>
      </c>
      <c r="W82" s="5" t="e">
        <f t="shared" si="5"/>
        <v>#REF!</v>
      </c>
      <c r="X82" s="5" t="e">
        <f t="shared" si="6"/>
        <v>#REF!</v>
      </c>
      <c r="Y82" s="70" t="e">
        <f t="shared" si="7"/>
        <v>#REF!</v>
      </c>
      <c r="Z82" s="32" t="e">
        <f t="shared" si="8"/>
        <v>#REF!</v>
      </c>
      <c r="AA82" s="32" t="e">
        <f t="shared" si="9"/>
        <v>#REF!</v>
      </c>
      <c r="AB82" s="32" t="e">
        <f t="shared" si="10"/>
        <v>#REF!</v>
      </c>
      <c r="AC82" s="32" t="e">
        <f t="shared" si="11"/>
        <v>#REF!</v>
      </c>
      <c r="AD82" s="30"/>
      <c r="AE82" s="21" t="str">
        <f t="shared" si="12"/>
        <v/>
      </c>
      <c r="AF82" s="74"/>
      <c r="AG82" s="57"/>
      <c r="AH82" s="57"/>
      <c r="AI82" s="58"/>
      <c r="AJ82" s="20"/>
      <c r="AK82" s="2" t="e">
        <f>#REF!</f>
        <v>#REF!</v>
      </c>
      <c r="AL82" s="2" t="e">
        <f>#REF!</f>
        <v>#REF!</v>
      </c>
      <c r="AM82" s="2" t="e">
        <f>#REF!</f>
        <v>#REF!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R82" s="110">
        <f t="shared" si="14"/>
        <v>42</v>
      </c>
      <c r="BS82" s="112">
        <f>OOC!G82</f>
        <v>1.008</v>
      </c>
      <c r="BT82" s="112">
        <f>OOC!H82</f>
        <v>0.94799999999999995</v>
      </c>
      <c r="BU82" s="3" t="e">
        <f t="shared" si="15"/>
        <v>#REF!</v>
      </c>
      <c r="BV82" s="3" t="e">
        <f t="shared" si="16"/>
        <v>#REF!</v>
      </c>
      <c r="BW82" s="3" t="e">
        <f t="shared" si="17"/>
        <v>#REF!</v>
      </c>
      <c r="BX82" s="109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</row>
    <row r="83" spans="1:76" ht="15" customHeight="1">
      <c r="A83" s="18">
        <v>40</v>
      </c>
      <c r="B83" s="84"/>
      <c r="C83" s="88">
        <v>43</v>
      </c>
      <c r="D83" s="22" t="s">
        <v>60</v>
      </c>
      <c r="E83" s="86"/>
      <c r="F83" s="13" t="s">
        <v>28</v>
      </c>
      <c r="G83" s="14">
        <v>0.98499999999999999</v>
      </c>
      <c r="H83" s="82" t="str">
        <f>IF(OOC!S83=0,"",OOC!S83)</f>
        <v/>
      </c>
      <c r="I83" s="82" t="str">
        <f>IF(OOC!T83=0,"",OOC!T83)</f>
        <v/>
      </c>
      <c r="J83" s="16" t="s">
        <v>12</v>
      </c>
      <c r="K83" s="73" t="s">
        <v>52</v>
      </c>
      <c r="L83" s="19" t="e">
        <f t="shared" si="0"/>
        <v>#VALUE!</v>
      </c>
      <c r="M83" s="25" t="e">
        <f t="shared" si="1"/>
        <v>#VALUE!</v>
      </c>
      <c r="N83" s="29"/>
      <c r="O83" s="3" t="e">
        <f t="shared" si="18"/>
        <v>#REF!</v>
      </c>
      <c r="P83" s="3" t="e">
        <f t="shared" si="19"/>
        <v>#REF!</v>
      </c>
      <c r="Q83" s="3" t="e">
        <f t="shared" si="20"/>
        <v>#REF!</v>
      </c>
      <c r="R83" s="4" t="e">
        <f t="shared" si="21"/>
        <v>#REF!</v>
      </c>
      <c r="S83" s="5" t="e">
        <f t="shared" si="13"/>
        <v>#REF!</v>
      </c>
      <c r="T83" s="76" t="e">
        <f t="shared" si="2"/>
        <v>#REF!</v>
      </c>
      <c r="U83" s="76" t="e">
        <f t="shared" si="3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0" t="e">
        <f t="shared" si="7"/>
        <v>#REF!</v>
      </c>
      <c r="Z83" s="32" t="e">
        <f t="shared" si="8"/>
        <v>#REF!</v>
      </c>
      <c r="AA83" s="32" t="e">
        <f t="shared" si="9"/>
        <v>#REF!</v>
      </c>
      <c r="AB83" s="32" t="e">
        <f t="shared" si="10"/>
        <v>#REF!</v>
      </c>
      <c r="AC83" s="32" t="e">
        <f t="shared" si="11"/>
        <v>#REF!</v>
      </c>
      <c r="AD83" s="30"/>
      <c r="AE83" s="21" t="str">
        <f t="shared" si="12"/>
        <v/>
      </c>
      <c r="AF83" s="74"/>
      <c r="AG83" s="57"/>
      <c r="AH83" s="57"/>
      <c r="AI83" s="58"/>
      <c r="AJ83" s="20"/>
      <c r="AK83" s="2" t="e">
        <f>#REF!</f>
        <v>#REF!</v>
      </c>
      <c r="AL83" s="2" t="e">
        <f>#REF!</f>
        <v>#REF!</v>
      </c>
      <c r="AM83" s="2" t="e">
        <f>#REF!</f>
        <v>#REF!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R83" s="110">
        <f t="shared" si="14"/>
        <v>43</v>
      </c>
      <c r="BS83" s="112">
        <f>OOC!G83</f>
        <v>1.0149999999999999</v>
      </c>
      <c r="BT83" s="112">
        <f>OOC!H83</f>
        <v>0.95499999999999996</v>
      </c>
      <c r="BU83" s="3" t="e">
        <f t="shared" si="15"/>
        <v>#REF!</v>
      </c>
      <c r="BV83" s="3" t="e">
        <f t="shared" si="16"/>
        <v>#REF!</v>
      </c>
      <c r="BW83" s="3" t="e">
        <f t="shared" si="17"/>
        <v>#REF!</v>
      </c>
      <c r="BX83" s="109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</row>
    <row r="84" spans="1:76" ht="15" customHeight="1">
      <c r="A84" s="18">
        <v>40</v>
      </c>
      <c r="B84" s="84"/>
      <c r="C84" s="88">
        <v>44</v>
      </c>
      <c r="D84" s="22" t="s">
        <v>60</v>
      </c>
      <c r="E84" s="86"/>
      <c r="F84" s="13" t="s">
        <v>28</v>
      </c>
      <c r="G84" s="14">
        <v>4.5339999999999998</v>
      </c>
      <c r="H84" s="82" t="str">
        <f>IF(OOC!S84=0,"",OOC!S84)</f>
        <v/>
      </c>
      <c r="I84" s="82" t="str">
        <f>IF(OOC!T84=0,"",OOC!T84)</f>
        <v/>
      </c>
      <c r="J84" s="16" t="s">
        <v>12</v>
      </c>
      <c r="K84" s="73" t="s">
        <v>52</v>
      </c>
      <c r="L84" s="19" t="e">
        <f t="shared" si="0"/>
        <v>#VALUE!</v>
      </c>
      <c r="M84" s="25" t="e">
        <f t="shared" si="1"/>
        <v>#VALUE!</v>
      </c>
      <c r="N84" s="29"/>
      <c r="O84" s="3" t="e">
        <f t="shared" si="18"/>
        <v>#REF!</v>
      </c>
      <c r="P84" s="3" t="e">
        <f t="shared" si="19"/>
        <v>#REF!</v>
      </c>
      <c r="Q84" s="3" t="e">
        <f t="shared" si="20"/>
        <v>#REF!</v>
      </c>
      <c r="R84" s="4" t="e">
        <f t="shared" si="21"/>
        <v>#REF!</v>
      </c>
      <c r="S84" s="5" t="e">
        <f t="shared" si="13"/>
        <v>#REF!</v>
      </c>
      <c r="T84" s="76" t="e">
        <f t="shared" si="2"/>
        <v>#REF!</v>
      </c>
      <c r="U84" s="76" t="e">
        <f t="shared" si="3"/>
        <v>#REF!</v>
      </c>
      <c r="V84" s="5" t="e">
        <f t="shared" si="4"/>
        <v>#REF!</v>
      </c>
      <c r="W84" s="5" t="e">
        <f t="shared" si="5"/>
        <v>#REF!</v>
      </c>
      <c r="X84" s="5" t="e">
        <f t="shared" si="6"/>
        <v>#REF!</v>
      </c>
      <c r="Y84" s="70" t="e">
        <f t="shared" si="7"/>
        <v>#REF!</v>
      </c>
      <c r="Z84" s="32" t="e">
        <f t="shared" si="8"/>
        <v>#REF!</v>
      </c>
      <c r="AA84" s="32" t="e">
        <f t="shared" si="9"/>
        <v>#REF!</v>
      </c>
      <c r="AB84" s="32" t="e">
        <f t="shared" si="10"/>
        <v>#REF!</v>
      </c>
      <c r="AC84" s="32" t="e">
        <f t="shared" si="11"/>
        <v>#REF!</v>
      </c>
      <c r="AD84" s="30"/>
      <c r="AE84" s="21" t="str">
        <f t="shared" si="12"/>
        <v/>
      </c>
      <c r="AF84" s="74"/>
      <c r="AG84" s="57"/>
      <c r="AH84" s="57"/>
      <c r="AI84" s="58"/>
      <c r="AJ84" s="20"/>
      <c r="AK84" s="2" t="e">
        <f>#REF!</f>
        <v>#REF!</v>
      </c>
      <c r="AL84" s="2" t="e">
        <f>#REF!</f>
        <v>#REF!</v>
      </c>
      <c r="AM84" s="2" t="e">
        <f>#REF!</f>
        <v>#REF!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R84" s="110">
        <f t="shared" si="14"/>
        <v>44</v>
      </c>
      <c r="BS84" s="112">
        <f>OOC!G84</f>
        <v>4.5640000000000001</v>
      </c>
      <c r="BT84" s="112">
        <f>OOC!H84</f>
        <v>4.5039999999999996</v>
      </c>
      <c r="BU84" s="3" t="e">
        <f t="shared" si="15"/>
        <v>#REF!</v>
      </c>
      <c r="BV84" s="3" t="e">
        <f t="shared" si="16"/>
        <v>#REF!</v>
      </c>
      <c r="BW84" s="3" t="e">
        <f t="shared" si="17"/>
        <v>#REF!</v>
      </c>
      <c r="BX84" s="109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</row>
    <row r="85" spans="1:76" ht="15" customHeight="1">
      <c r="A85" s="18">
        <v>40</v>
      </c>
      <c r="B85" s="84"/>
      <c r="C85" s="88">
        <v>45</v>
      </c>
      <c r="D85" s="22" t="s">
        <v>60</v>
      </c>
      <c r="E85" s="86"/>
      <c r="F85" s="13" t="s">
        <v>28</v>
      </c>
      <c r="G85" s="14">
        <v>6.9379999999999997</v>
      </c>
      <c r="H85" s="82" t="str">
        <f>IF(OOC!S85=0,"",OOC!S85)</f>
        <v/>
      </c>
      <c r="I85" s="82" t="str">
        <f>IF(OOC!T85=0,"",OOC!T85)</f>
        <v/>
      </c>
      <c r="J85" s="16" t="s">
        <v>12</v>
      </c>
      <c r="K85" s="73" t="s">
        <v>52</v>
      </c>
      <c r="L85" s="19" t="e">
        <f t="shared" si="0"/>
        <v>#VALUE!</v>
      </c>
      <c r="M85" s="25" t="e">
        <f t="shared" si="1"/>
        <v>#VALUE!</v>
      </c>
      <c r="N85" s="29"/>
      <c r="O85" s="3" t="e">
        <f t="shared" si="18"/>
        <v>#REF!</v>
      </c>
      <c r="P85" s="3" t="e">
        <f t="shared" si="19"/>
        <v>#REF!</v>
      </c>
      <c r="Q85" s="3" t="e">
        <f t="shared" si="20"/>
        <v>#REF!</v>
      </c>
      <c r="R85" s="4" t="e">
        <f t="shared" si="21"/>
        <v>#REF!</v>
      </c>
      <c r="S85" s="5" t="e">
        <f t="shared" si="13"/>
        <v>#REF!</v>
      </c>
      <c r="T85" s="76" t="e">
        <f t="shared" si="2"/>
        <v>#REF!</v>
      </c>
      <c r="U85" s="76" t="e">
        <f t="shared" si="3"/>
        <v>#REF!</v>
      </c>
      <c r="V85" s="5" t="e">
        <f t="shared" ref="V85:V195" si="22">IF(OR($AK85="",ISNUMBER($AK85)=FALSE),"",IF(H85="","",(L85-Q85)/(3*R85)))</f>
        <v>#REF!</v>
      </c>
      <c r="W85" s="5" t="e">
        <f t="shared" ref="W85:W195" si="23">IF(OR($AK85="",ISNUMBER($AK85)=FALSE),"",IF(I85="","",(Q85-M85)/(3*R85)))</f>
        <v>#REF!</v>
      </c>
      <c r="X85" s="5" t="e">
        <f t="shared" ref="X85:X195" si="24">IF(OR($AK85="",ISNUMBER($AK85)=FALSE),"",IF(AND(G85=0,I85=0),((H85)-(Q85))/(3*R85),MIN(V85:W85)))</f>
        <v>#REF!</v>
      </c>
      <c r="Y85" s="70" t="e">
        <f t="shared" ref="Y85:Y195" si="25">IF(OR($AK85="",ISNUMBER($AK85)=FALSE),"",IF(AND(G85=0,I85=0),NORMSDIST(3*X85),NORMSDIST(3*X85)+NORMSDIST(6*S85-3*X85)-1))</f>
        <v>#REF!</v>
      </c>
      <c r="Z85" s="32" t="e">
        <f t="shared" si="8"/>
        <v>#REF!</v>
      </c>
      <c r="AA85" s="32" t="e">
        <f t="shared" si="9"/>
        <v>#REF!</v>
      </c>
      <c r="AB85" s="32" t="e">
        <f t="shared" si="10"/>
        <v>#REF!</v>
      </c>
      <c r="AC85" s="32" t="e">
        <f t="shared" si="11"/>
        <v>#REF!</v>
      </c>
      <c r="AD85" s="30"/>
      <c r="AE85" s="21" t="str">
        <f t="shared" si="12"/>
        <v/>
      </c>
      <c r="AF85" s="74"/>
      <c r="AG85" s="57"/>
      <c r="AH85" s="57"/>
      <c r="AI85" s="58"/>
      <c r="AJ85" s="20"/>
      <c r="AK85" s="2" t="e">
        <f>#REF!</f>
        <v>#REF!</v>
      </c>
      <c r="AL85" s="2" t="e">
        <f>#REF!</f>
        <v>#REF!</v>
      </c>
      <c r="AM85" s="2" t="e">
        <f>#REF!</f>
        <v>#REF!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R85" s="110">
        <f t="shared" si="14"/>
        <v>45</v>
      </c>
      <c r="BS85" s="112">
        <f>OOC!G85</f>
        <v>6.968</v>
      </c>
      <c r="BT85" s="112">
        <f>OOC!H85</f>
        <v>6.9079999999999995</v>
      </c>
      <c r="BU85" s="3" t="e">
        <f t="shared" si="15"/>
        <v>#REF!</v>
      </c>
      <c r="BV85" s="3" t="e">
        <f t="shared" si="16"/>
        <v>#REF!</v>
      </c>
      <c r="BW85" s="3" t="e">
        <f t="shared" si="17"/>
        <v>#REF!</v>
      </c>
      <c r="BX85" s="109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</row>
    <row r="86" spans="1:76" ht="15" customHeight="1">
      <c r="A86" s="18">
        <v>40</v>
      </c>
      <c r="B86" s="84"/>
      <c r="C86" s="88">
        <v>46</v>
      </c>
      <c r="D86" s="22" t="s">
        <v>60</v>
      </c>
      <c r="E86" s="86"/>
      <c r="F86" s="13" t="s">
        <v>28</v>
      </c>
      <c r="G86" s="14">
        <v>0.61099999999999999</v>
      </c>
      <c r="H86" s="82" t="str">
        <f>IF(OOC!S86=0,"",OOC!S86)</f>
        <v/>
      </c>
      <c r="I86" s="82" t="str">
        <f>IF(OOC!T86=0,"",OOC!T86)</f>
        <v/>
      </c>
      <c r="J86" s="16" t="s">
        <v>12</v>
      </c>
      <c r="K86" s="73" t="s">
        <v>52</v>
      </c>
      <c r="L86" s="19" t="e">
        <f t="shared" si="0"/>
        <v>#VALUE!</v>
      </c>
      <c r="M86" s="25" t="e">
        <f t="shared" si="1"/>
        <v>#VALUE!</v>
      </c>
      <c r="N86" s="29"/>
      <c r="O86" s="3" t="e">
        <f t="shared" si="18"/>
        <v>#REF!</v>
      </c>
      <c r="P86" s="3" t="e">
        <f t="shared" si="19"/>
        <v>#REF!</v>
      </c>
      <c r="Q86" s="3" t="e">
        <f t="shared" si="20"/>
        <v>#REF!</v>
      </c>
      <c r="R86" s="4" t="e">
        <f t="shared" si="21"/>
        <v>#REF!</v>
      </c>
      <c r="S86" s="5" t="e">
        <f t="shared" si="13"/>
        <v>#REF!</v>
      </c>
      <c r="T86" s="76" t="e">
        <f t="shared" si="2"/>
        <v>#REF!</v>
      </c>
      <c r="U86" s="76" t="e">
        <f t="shared" si="3"/>
        <v>#REF!</v>
      </c>
      <c r="V86" s="5" t="e">
        <f t="shared" si="22"/>
        <v>#REF!</v>
      </c>
      <c r="W86" s="5" t="e">
        <f t="shared" si="23"/>
        <v>#REF!</v>
      </c>
      <c r="X86" s="5" t="e">
        <f t="shared" si="24"/>
        <v>#REF!</v>
      </c>
      <c r="Y86" s="70" t="e">
        <f t="shared" si="25"/>
        <v>#REF!</v>
      </c>
      <c r="Z86" s="32" t="e">
        <f t="shared" si="8"/>
        <v>#REF!</v>
      </c>
      <c r="AA86" s="32" t="e">
        <f t="shared" si="9"/>
        <v>#REF!</v>
      </c>
      <c r="AB86" s="32" t="e">
        <f t="shared" si="10"/>
        <v>#REF!</v>
      </c>
      <c r="AC86" s="32" t="e">
        <f t="shared" si="11"/>
        <v>#REF!</v>
      </c>
      <c r="AD86" s="30"/>
      <c r="AE86" s="21" t="str">
        <f t="shared" si="12"/>
        <v/>
      </c>
      <c r="AF86" s="74"/>
      <c r="AG86" s="57"/>
      <c r="AH86" s="57"/>
      <c r="AI86" s="58"/>
      <c r="AJ86" s="20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0">
        <f t="shared" si="14"/>
        <v>46</v>
      </c>
      <c r="BS86" s="112">
        <f>OOC!G86</f>
        <v>0.64100000000000001</v>
      </c>
      <c r="BT86" s="112">
        <f>OOC!H86</f>
        <v>0.58099999999999996</v>
      </c>
      <c r="BU86" s="3" t="e">
        <f t="shared" si="15"/>
        <v>#REF!</v>
      </c>
      <c r="BV86" s="3" t="e">
        <f t="shared" si="16"/>
        <v>#REF!</v>
      </c>
      <c r="BW86" s="3" t="e">
        <f t="shared" si="17"/>
        <v>#REF!</v>
      </c>
      <c r="BX86" s="109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8"/>
      <c r="B87" s="84"/>
      <c r="C87" s="88"/>
      <c r="D87" s="22"/>
      <c r="E87" s="86"/>
      <c r="F87" s="13"/>
      <c r="G87" s="14"/>
      <c r="H87" s="82"/>
      <c r="I87" s="82"/>
      <c r="J87" s="16"/>
      <c r="K87" s="73"/>
      <c r="L87" s="19"/>
      <c r="M87" s="25"/>
      <c r="N87" s="29"/>
      <c r="O87" s="3"/>
      <c r="P87" s="3"/>
      <c r="Q87" s="3"/>
      <c r="R87" s="4"/>
      <c r="S87" s="5"/>
      <c r="T87" s="76"/>
      <c r="U87" s="76"/>
      <c r="V87" s="5"/>
      <c r="W87" s="5"/>
      <c r="X87" s="5"/>
      <c r="Y87" s="70"/>
      <c r="Z87" s="32"/>
      <c r="AA87" s="32"/>
      <c r="AB87" s="32"/>
      <c r="AC87" s="32"/>
      <c r="AD87" s="30"/>
      <c r="AE87" s="21"/>
      <c r="AF87" s="74"/>
      <c r="AG87" s="57"/>
      <c r="AH87" s="57"/>
      <c r="AI87" s="58"/>
      <c r="AJ87" s="20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0"/>
      <c r="BS87" s="112"/>
      <c r="BT87" s="112"/>
      <c r="BU87" s="3"/>
      <c r="BV87" s="3"/>
      <c r="BW87" s="3"/>
      <c r="BX87" s="109"/>
    </row>
    <row r="88" spans="1:76" ht="15" customHeight="1">
      <c r="A88" s="18"/>
      <c r="B88" s="84"/>
      <c r="C88" s="88"/>
      <c r="D88" s="22"/>
      <c r="E88" s="86"/>
      <c r="F88" s="13"/>
      <c r="G88" s="14"/>
      <c r="H88" s="82"/>
      <c r="I88" s="82"/>
      <c r="J88" s="16"/>
      <c r="K88" s="73"/>
      <c r="L88" s="19"/>
      <c r="M88" s="25"/>
      <c r="N88" s="29"/>
      <c r="O88" s="3"/>
      <c r="P88" s="3"/>
      <c r="Q88" s="3"/>
      <c r="R88" s="4"/>
      <c r="S88" s="5"/>
      <c r="T88" s="76"/>
      <c r="U88" s="76"/>
      <c r="V88" s="5"/>
      <c r="W88" s="5"/>
      <c r="X88" s="5"/>
      <c r="Y88" s="70"/>
      <c r="Z88" s="32"/>
      <c r="AA88" s="32"/>
      <c r="AB88" s="32"/>
      <c r="AC88" s="32"/>
      <c r="AD88" s="30"/>
      <c r="AE88" s="21"/>
      <c r="AF88" s="74"/>
      <c r="AG88" s="57"/>
      <c r="AH88" s="57"/>
      <c r="AI88" s="58"/>
      <c r="AJ88" s="20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0"/>
      <c r="BS88" s="112"/>
      <c r="BT88" s="112"/>
      <c r="BU88" s="3"/>
      <c r="BV88" s="3"/>
      <c r="BW88" s="3"/>
      <c r="BX88" s="109"/>
    </row>
    <row r="89" spans="1:76" ht="15" customHeight="1">
      <c r="A89" s="18"/>
      <c r="B89" s="84"/>
      <c r="C89" s="88"/>
      <c r="D89" s="22"/>
      <c r="E89" s="86"/>
      <c r="F89" s="13"/>
      <c r="G89" s="14"/>
      <c r="H89" s="82"/>
      <c r="I89" s="82"/>
      <c r="J89" s="16"/>
      <c r="K89" s="73"/>
      <c r="L89" s="19"/>
      <c r="M89" s="25"/>
      <c r="N89" s="29"/>
      <c r="O89" s="3"/>
      <c r="P89" s="3"/>
      <c r="Q89" s="3"/>
      <c r="R89" s="4"/>
      <c r="S89" s="5"/>
      <c r="T89" s="76"/>
      <c r="U89" s="76"/>
      <c r="V89" s="5"/>
      <c r="W89" s="5"/>
      <c r="X89" s="5"/>
      <c r="Y89" s="70"/>
      <c r="Z89" s="32"/>
      <c r="AA89" s="32"/>
      <c r="AB89" s="32"/>
      <c r="AC89" s="32"/>
      <c r="AD89" s="30"/>
      <c r="AE89" s="21"/>
      <c r="AF89" s="74"/>
      <c r="AG89" s="57"/>
      <c r="AH89" s="57"/>
      <c r="AI89" s="58"/>
      <c r="AJ89" s="20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0"/>
      <c r="BS89" s="112"/>
      <c r="BT89" s="112"/>
      <c r="BU89" s="3"/>
      <c r="BV89" s="3"/>
      <c r="BW89" s="3"/>
      <c r="BX89" s="109"/>
    </row>
    <row r="90" spans="1:76" ht="15" customHeight="1">
      <c r="A90" s="18">
        <v>40</v>
      </c>
      <c r="B90" s="84" t="s">
        <v>220</v>
      </c>
      <c r="C90" s="88" t="s">
        <v>78</v>
      </c>
      <c r="D90" s="22" t="s">
        <v>60</v>
      </c>
      <c r="E90" s="86">
        <v>1.33</v>
      </c>
      <c r="F90" s="13" t="s">
        <v>28</v>
      </c>
      <c r="G90" s="14">
        <v>2.2429999999999999</v>
      </c>
      <c r="H90" s="82" t="str">
        <f>IF(OOC!S90=0,"",OOC!S90)</f>
        <v/>
      </c>
      <c r="I90" s="82" t="str">
        <f>IF(OOC!T90=0,"",OOC!T90)</f>
        <v/>
      </c>
      <c r="J90" s="16" t="s">
        <v>12</v>
      </c>
      <c r="K90" s="73" t="s">
        <v>52</v>
      </c>
      <c r="L90" s="19" t="e">
        <f t="shared" si="0"/>
        <v>#VALUE!</v>
      </c>
      <c r="M90" s="25" t="e">
        <f t="shared" si="1"/>
        <v>#VALUE!</v>
      </c>
      <c r="N90" s="29"/>
      <c r="O90" s="3" t="e">
        <f t="shared" si="18"/>
        <v>#REF!</v>
      </c>
      <c r="P90" s="3" t="e">
        <f t="shared" si="19"/>
        <v>#REF!</v>
      </c>
      <c r="Q90" s="3" t="e">
        <f t="shared" si="20"/>
        <v>#REF!</v>
      </c>
      <c r="R90" s="4" t="e">
        <f t="shared" si="21"/>
        <v>#REF!</v>
      </c>
      <c r="S90" s="5" t="e">
        <f t="shared" si="13"/>
        <v>#REF!</v>
      </c>
      <c r="T90" s="76" t="e">
        <f t="shared" ref="T90:T197" si="26">IF(OR($AK90="",ISNUMBER($AK90)=FALSE),"",IF(AND($F90="Tolerance",$G90&lt;&gt;""),($Q90-$G90)/(($L90-$M90)/2),IF(AND($F90="GD&amp;T",$H90&lt;&gt;""),$Q90/$H90,"")))</f>
        <v>#REF!</v>
      </c>
      <c r="U90" s="76" t="e">
        <f t="shared" si="3"/>
        <v>#REF!</v>
      </c>
      <c r="V90" s="5" t="e">
        <f t="shared" si="22"/>
        <v>#REF!</v>
      </c>
      <c r="W90" s="5" t="e">
        <f t="shared" si="23"/>
        <v>#REF!</v>
      </c>
      <c r="X90" s="5" t="e">
        <f t="shared" si="24"/>
        <v>#REF!</v>
      </c>
      <c r="Y90" s="70" t="e">
        <f t="shared" si="25"/>
        <v>#REF!</v>
      </c>
      <c r="Z90" s="32" t="e">
        <f t="shared" si="8"/>
        <v>#REF!</v>
      </c>
      <c r="AA90" s="32" t="e">
        <f t="shared" si="9"/>
        <v>#REF!</v>
      </c>
      <c r="AB90" s="32" t="e">
        <f t="shared" si="10"/>
        <v>#REF!</v>
      </c>
      <c r="AC90" s="32" t="e">
        <f t="shared" si="11"/>
        <v>#REF!</v>
      </c>
      <c r="AD90" s="30"/>
      <c r="AE90" s="21" t="str">
        <f t="shared" si="12"/>
        <v/>
      </c>
      <c r="AF90" s="74"/>
      <c r="AG90" s="57"/>
      <c r="AH90" s="57"/>
      <c r="AI90" s="58"/>
      <c r="AJ90" s="20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0" t="str">
        <f t="shared" si="14"/>
        <v xml:space="preserve"> 48-1</v>
      </c>
      <c r="BS90" s="112">
        <f>OOC!G90</f>
        <v>2.2729999999999997</v>
      </c>
      <c r="BT90" s="112">
        <f>OOC!H90</f>
        <v>2.2130000000000001</v>
      </c>
      <c r="BU90" s="3" t="e">
        <f t="shared" si="15"/>
        <v>#REF!</v>
      </c>
      <c r="BV90" s="3" t="e">
        <f t="shared" si="16"/>
        <v>#REF!</v>
      </c>
      <c r="BW90" s="3" t="e">
        <f t="shared" si="17"/>
        <v>#REF!</v>
      </c>
      <c r="BX90" s="109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8">
        <v>40</v>
      </c>
      <c r="B91" s="84" t="s">
        <v>220</v>
      </c>
      <c r="C91" s="88" t="s">
        <v>79</v>
      </c>
      <c r="D91" s="22" t="s">
        <v>60</v>
      </c>
      <c r="E91" s="86">
        <v>1.33</v>
      </c>
      <c r="F91" s="13" t="s">
        <v>28</v>
      </c>
      <c r="G91" s="14">
        <v>2.2429999999999999</v>
      </c>
      <c r="H91" s="82" t="str">
        <f>IF(OOC!S91=0,"",OOC!S91)</f>
        <v/>
      </c>
      <c r="I91" s="82" t="str">
        <f>IF(OOC!T91=0,"",OOC!T91)</f>
        <v/>
      </c>
      <c r="J91" s="16" t="s">
        <v>12</v>
      </c>
      <c r="K91" s="73" t="s">
        <v>52</v>
      </c>
      <c r="L91" s="19" t="e">
        <f t="shared" si="0"/>
        <v>#VALUE!</v>
      </c>
      <c r="M91" s="25" t="e">
        <f t="shared" si="1"/>
        <v>#VALUE!</v>
      </c>
      <c r="N91" s="29"/>
      <c r="O91" s="3" t="e">
        <f t="shared" si="18"/>
        <v>#REF!</v>
      </c>
      <c r="P91" s="3" t="e">
        <f t="shared" si="19"/>
        <v>#REF!</v>
      </c>
      <c r="Q91" s="3" t="e">
        <f t="shared" si="20"/>
        <v>#REF!</v>
      </c>
      <c r="R91" s="4" t="e">
        <f t="shared" si="21"/>
        <v>#REF!</v>
      </c>
      <c r="S91" s="5" t="e">
        <f t="shared" ref="S91:S198" si="27">IF(OR($AK91="",ISNUMBER($AK91)=FALSE),"",IF(AND(G91=0,I91=""),V91,IF(AND(G91="",H91=""),W91,(H91+ABS(I91))/(6*R91))))</f>
        <v>#REF!</v>
      </c>
      <c r="T91" s="76" t="e">
        <f t="shared" si="26"/>
        <v>#REF!</v>
      </c>
      <c r="U91" s="76" t="e">
        <f t="shared" si="3"/>
        <v>#REF!</v>
      </c>
      <c r="V91" s="5" t="e">
        <f t="shared" si="22"/>
        <v>#REF!</v>
      </c>
      <c r="W91" s="5" t="e">
        <f t="shared" si="23"/>
        <v>#REF!</v>
      </c>
      <c r="X91" s="5" t="e">
        <f t="shared" si="24"/>
        <v>#REF!</v>
      </c>
      <c r="Y91" s="70" t="e">
        <f t="shared" si="25"/>
        <v>#REF!</v>
      </c>
      <c r="Z91" s="32" t="e">
        <f t="shared" si="8"/>
        <v>#REF!</v>
      </c>
      <c r="AA91" s="32" t="e">
        <f t="shared" si="9"/>
        <v>#REF!</v>
      </c>
      <c r="AB91" s="32" t="e">
        <f t="shared" si="10"/>
        <v>#REF!</v>
      </c>
      <c r="AC91" s="32" t="e">
        <f t="shared" si="11"/>
        <v>#REF!</v>
      </c>
      <c r="AD91" s="30"/>
      <c r="AE91" s="21" t="str">
        <f t="shared" si="12"/>
        <v/>
      </c>
      <c r="AF91" s="74"/>
      <c r="AG91" s="57"/>
      <c r="AH91" s="57"/>
      <c r="AI91" s="58"/>
      <c r="AJ91" s="20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0" t="str">
        <f t="shared" ref="BR91:BR198" si="28">IF(ISNUMBER(SEARCH("(DC)", B91)), C91 &amp; B91, C91)</f>
        <v xml:space="preserve"> 48-2</v>
      </c>
      <c r="BS91" s="112">
        <f>OOC!G91</f>
        <v>2.2729999999999997</v>
      </c>
      <c r="BT91" s="112">
        <f>OOC!H91</f>
        <v>2.2130000000000001</v>
      </c>
      <c r="BU91" s="3" t="e">
        <f t="shared" ref="BU91:BU198" si="29">IF(OR($AK91="",ISNUMBER($AK91)=FALSE),"",MAX(AK91:BP91))</f>
        <v>#REF!</v>
      </c>
      <c r="BV91" s="3" t="e">
        <f t="shared" ref="BV91:BV198" si="30">IF(OR($AK91="",ISNUMBER($AK91)=FALSE),"",MIN(AK91:BP91))</f>
        <v>#REF!</v>
      </c>
      <c r="BW91" s="3" t="e">
        <f t="shared" ref="BW91:BW198" si="31">IF(OR($AK91="",ISNUMBER($AK91)=FALSE),"",AVERAGE(AK91:BP91))</f>
        <v>#REF!</v>
      </c>
      <c r="BX91" s="109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#REF!</v>
      </c>
    </row>
    <row r="92" spans="1:76" ht="15" customHeight="1">
      <c r="A92" s="18">
        <v>40</v>
      </c>
      <c r="B92" s="84" t="s">
        <v>220</v>
      </c>
      <c r="C92" s="88" t="s">
        <v>80</v>
      </c>
      <c r="D92" s="22" t="s">
        <v>60</v>
      </c>
      <c r="E92" s="86">
        <v>1.33</v>
      </c>
      <c r="F92" s="13" t="s">
        <v>28</v>
      </c>
      <c r="G92" s="14">
        <v>2.2429999999999999</v>
      </c>
      <c r="H92" s="82" t="str">
        <f>IF(OOC!S92=0,"",OOC!S92)</f>
        <v/>
      </c>
      <c r="I92" s="82" t="str">
        <f>IF(OOC!T92=0,"",OOC!T92)</f>
        <v/>
      </c>
      <c r="J92" s="16" t="s">
        <v>12</v>
      </c>
      <c r="K92" s="73" t="s">
        <v>52</v>
      </c>
      <c r="L92" s="19" t="e">
        <f t="shared" si="0"/>
        <v>#VALUE!</v>
      </c>
      <c r="M92" s="25" t="e">
        <f t="shared" si="1"/>
        <v>#VALUE!</v>
      </c>
      <c r="N92" s="29"/>
      <c r="O92" s="3" t="e">
        <f t="shared" si="18"/>
        <v>#REF!</v>
      </c>
      <c r="P92" s="3" t="e">
        <f t="shared" si="19"/>
        <v>#REF!</v>
      </c>
      <c r="Q92" s="3" t="e">
        <f t="shared" si="20"/>
        <v>#REF!</v>
      </c>
      <c r="R92" s="4" t="e">
        <f t="shared" si="21"/>
        <v>#REF!</v>
      </c>
      <c r="S92" s="5" t="e">
        <f t="shared" si="27"/>
        <v>#REF!</v>
      </c>
      <c r="T92" s="76" t="e">
        <f t="shared" si="26"/>
        <v>#REF!</v>
      </c>
      <c r="U92" s="76" t="e">
        <f t="shared" si="3"/>
        <v>#REF!</v>
      </c>
      <c r="V92" s="5" t="e">
        <f t="shared" si="22"/>
        <v>#REF!</v>
      </c>
      <c r="W92" s="5" t="e">
        <f t="shared" si="23"/>
        <v>#REF!</v>
      </c>
      <c r="X92" s="5" t="e">
        <f t="shared" si="24"/>
        <v>#REF!</v>
      </c>
      <c r="Y92" s="70" t="e">
        <f t="shared" si="25"/>
        <v>#REF!</v>
      </c>
      <c r="Z92" s="32" t="e">
        <f t="shared" si="8"/>
        <v>#REF!</v>
      </c>
      <c r="AA92" s="32" t="e">
        <f t="shared" si="9"/>
        <v>#REF!</v>
      </c>
      <c r="AB92" s="32" t="e">
        <f t="shared" si="10"/>
        <v>#REF!</v>
      </c>
      <c r="AC92" s="32" t="e">
        <f t="shared" si="11"/>
        <v>#REF!</v>
      </c>
      <c r="AD92" s="30"/>
      <c r="AE92" s="21" t="str">
        <f t="shared" si="12"/>
        <v/>
      </c>
      <c r="AF92" s="74"/>
      <c r="AG92" s="57"/>
      <c r="AH92" s="57"/>
      <c r="AI92" s="58"/>
      <c r="AJ92" s="20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0" t="str">
        <f t="shared" si="28"/>
        <v xml:space="preserve"> 48-3</v>
      </c>
      <c r="BS92" s="112">
        <f>OOC!G92</f>
        <v>2.2729999999999997</v>
      </c>
      <c r="BT92" s="112">
        <f>OOC!H92</f>
        <v>2.2130000000000001</v>
      </c>
      <c r="BU92" s="3" t="e">
        <f t="shared" si="29"/>
        <v>#REF!</v>
      </c>
      <c r="BV92" s="3" t="e">
        <f t="shared" si="30"/>
        <v>#REF!</v>
      </c>
      <c r="BW92" s="3" t="e">
        <f t="shared" si="31"/>
        <v>#REF!</v>
      </c>
      <c r="BX92" s="109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#REF!</v>
      </c>
    </row>
    <row r="93" spans="1:76" ht="15" customHeight="1">
      <c r="A93" s="18">
        <v>40</v>
      </c>
      <c r="B93" s="84"/>
      <c r="C93" s="88">
        <v>49</v>
      </c>
      <c r="D93" s="80" t="s">
        <v>58</v>
      </c>
      <c r="E93" s="86"/>
      <c r="F93" s="13" t="s">
        <v>27</v>
      </c>
      <c r="G93" s="14"/>
      <c r="H93" s="82" t="str">
        <f>IF(OOC!S93=0,"",OOC!S93)</f>
        <v/>
      </c>
      <c r="I93" s="82" t="str">
        <f>IF(OOC!T93=0,"",OOC!T93)</f>
        <v/>
      </c>
      <c r="J93" s="16" t="s">
        <v>12</v>
      </c>
      <c r="K93" s="73" t="s">
        <v>52</v>
      </c>
      <c r="L93" s="19" t="str">
        <f t="shared" si="0"/>
        <v/>
      </c>
      <c r="M93" s="25" t="str">
        <f t="shared" si="1"/>
        <v/>
      </c>
      <c r="N93" s="29"/>
      <c r="O93" s="3" t="e">
        <f t="shared" ref="O93:O200" si="32">IF(OR($AK93="",ISNUMBER($AK93)=FALSE),"",MAX(AK93:BP93))</f>
        <v>#REF!</v>
      </c>
      <c r="P93" s="3" t="e">
        <f t="shared" ref="P93:P200" si="33">IF(OR($AK93="",ISNUMBER($AK93)=FALSE),"",MIN(AK93:BP93))</f>
        <v>#REF!</v>
      </c>
      <c r="Q93" s="3" t="e">
        <f t="shared" ref="Q93:Q200" si="34">IF(OR($AK93="",ISNUMBER($AK93)=FALSE),"",AVERAGE(AK93:BP93))</f>
        <v>#REF!</v>
      </c>
      <c r="R93" s="4" t="e">
        <f t="shared" ref="R93:R200" si="35">IF(OR($AK93="",ISNUMBER($AK93)=FALSE),"",STDEV(AK93:BP93))</f>
        <v>#REF!</v>
      </c>
      <c r="S93" s="5" t="e">
        <f t="shared" si="27"/>
        <v>#REF!</v>
      </c>
      <c r="T93" s="76" t="e">
        <f t="shared" si="26"/>
        <v>#REF!</v>
      </c>
      <c r="U93" s="76" t="e">
        <f t="shared" si="3"/>
        <v>#REF!</v>
      </c>
      <c r="V93" s="5" t="e">
        <f t="shared" si="22"/>
        <v>#REF!</v>
      </c>
      <c r="W93" s="5" t="e">
        <f t="shared" si="23"/>
        <v>#REF!</v>
      </c>
      <c r="X93" s="5" t="e">
        <f t="shared" si="24"/>
        <v>#REF!</v>
      </c>
      <c r="Y93" s="70" t="e">
        <f t="shared" si="25"/>
        <v>#REF!</v>
      </c>
      <c r="Z93" s="32" t="e">
        <f t="shared" si="8"/>
        <v>#REF!</v>
      </c>
      <c r="AA93" s="32" t="e">
        <f t="shared" si="9"/>
        <v>#REF!</v>
      </c>
      <c r="AB93" s="32" t="e">
        <f t="shared" si="10"/>
        <v>#REF!</v>
      </c>
      <c r="AC93" s="32" t="e">
        <f t="shared" si="11"/>
        <v>#REF!</v>
      </c>
      <c r="AD93" s="30"/>
      <c r="AE93" s="21" t="str">
        <f t="shared" si="12"/>
        <v/>
      </c>
      <c r="AF93" s="74"/>
      <c r="AG93" s="57"/>
      <c r="AH93" s="57"/>
      <c r="AI93" s="58"/>
      <c r="AJ93" s="20"/>
      <c r="AK93" s="2" t="e">
        <f>#REF!</f>
        <v>#REF!</v>
      </c>
      <c r="AL93" s="2" t="e">
        <f>#REF!</f>
        <v>#REF!</v>
      </c>
      <c r="AM93" s="2" t="e">
        <f>#REF!</f>
        <v>#REF!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0">
        <f t="shared" si="28"/>
        <v>49</v>
      </c>
      <c r="BS93" s="112">
        <f>OOC!G93</f>
        <v>0.02</v>
      </c>
      <c r="BT93" s="112" t="str">
        <f>OOC!H93</f>
        <v/>
      </c>
      <c r="BU93" s="3" t="e">
        <f t="shared" si="29"/>
        <v>#REF!</v>
      </c>
      <c r="BV93" s="3" t="e">
        <f t="shared" si="30"/>
        <v>#REF!</v>
      </c>
      <c r="BW93" s="3" t="e">
        <f t="shared" si="31"/>
        <v>#REF!</v>
      </c>
      <c r="BX93" s="109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#REF!</v>
      </c>
    </row>
    <row r="94" spans="1:76" ht="15" customHeight="1">
      <c r="A94" s="18"/>
      <c r="B94" s="84"/>
      <c r="C94" s="88"/>
      <c r="D94" s="80"/>
      <c r="E94" s="86"/>
      <c r="F94" s="13"/>
      <c r="G94" s="14"/>
      <c r="H94" s="82"/>
      <c r="I94" s="82"/>
      <c r="J94" s="16"/>
      <c r="K94" s="73"/>
      <c r="L94" s="19"/>
      <c r="M94" s="25"/>
      <c r="N94" s="29"/>
      <c r="O94" s="3"/>
      <c r="P94" s="3"/>
      <c r="Q94" s="3"/>
      <c r="R94" s="4"/>
      <c r="S94" s="5"/>
      <c r="T94" s="76"/>
      <c r="U94" s="76"/>
      <c r="V94" s="5"/>
      <c r="W94" s="5"/>
      <c r="X94" s="5"/>
      <c r="Y94" s="70"/>
      <c r="Z94" s="32"/>
      <c r="AA94" s="32"/>
      <c r="AB94" s="32"/>
      <c r="AC94" s="32"/>
      <c r="AD94" s="30"/>
      <c r="AE94" s="21"/>
      <c r="AF94" s="74"/>
      <c r="AG94" s="57"/>
      <c r="AH94" s="57"/>
      <c r="AI94" s="58"/>
      <c r="AJ94" s="20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0"/>
      <c r="BS94" s="112"/>
      <c r="BT94" s="112"/>
      <c r="BU94" s="3"/>
      <c r="BV94" s="3"/>
      <c r="BW94" s="3"/>
      <c r="BX94" s="109"/>
    </row>
    <row r="95" spans="1:76" ht="15" customHeight="1">
      <c r="A95" s="18"/>
      <c r="B95" s="84"/>
      <c r="C95" s="88"/>
      <c r="D95" s="80"/>
      <c r="E95" s="86"/>
      <c r="F95" s="13"/>
      <c r="G95" s="14"/>
      <c r="H95" s="82"/>
      <c r="I95" s="82"/>
      <c r="J95" s="16"/>
      <c r="K95" s="73"/>
      <c r="L95" s="19"/>
      <c r="M95" s="25"/>
      <c r="N95" s="29"/>
      <c r="O95" s="3"/>
      <c r="P95" s="3"/>
      <c r="Q95" s="3"/>
      <c r="R95" s="4"/>
      <c r="S95" s="5"/>
      <c r="T95" s="76"/>
      <c r="U95" s="76"/>
      <c r="V95" s="5"/>
      <c r="W95" s="5"/>
      <c r="X95" s="5"/>
      <c r="Y95" s="70"/>
      <c r="Z95" s="32"/>
      <c r="AA95" s="32"/>
      <c r="AB95" s="32"/>
      <c r="AC95" s="32"/>
      <c r="AD95" s="30"/>
      <c r="AE95" s="21"/>
      <c r="AF95" s="74"/>
      <c r="AG95" s="57"/>
      <c r="AH95" s="57"/>
      <c r="AI95" s="58"/>
      <c r="AJ95" s="20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0"/>
      <c r="BS95" s="112"/>
      <c r="BT95" s="112"/>
      <c r="BU95" s="3"/>
      <c r="BV95" s="3"/>
      <c r="BW95" s="3"/>
      <c r="BX95" s="109"/>
    </row>
    <row r="96" spans="1:76" ht="15" customHeight="1">
      <c r="A96" s="18"/>
      <c r="B96" s="84"/>
      <c r="C96" s="88"/>
      <c r="D96" s="80"/>
      <c r="E96" s="86"/>
      <c r="F96" s="13"/>
      <c r="G96" s="14"/>
      <c r="H96" s="82"/>
      <c r="I96" s="82"/>
      <c r="J96" s="16"/>
      <c r="K96" s="73"/>
      <c r="L96" s="19"/>
      <c r="M96" s="25"/>
      <c r="N96" s="29"/>
      <c r="O96" s="3"/>
      <c r="P96" s="3"/>
      <c r="Q96" s="3"/>
      <c r="R96" s="4"/>
      <c r="S96" s="5"/>
      <c r="T96" s="76"/>
      <c r="U96" s="76"/>
      <c r="V96" s="5"/>
      <c r="W96" s="5"/>
      <c r="X96" s="5"/>
      <c r="Y96" s="70"/>
      <c r="Z96" s="32"/>
      <c r="AA96" s="32"/>
      <c r="AB96" s="32"/>
      <c r="AC96" s="32"/>
      <c r="AD96" s="30"/>
      <c r="AE96" s="21"/>
      <c r="AF96" s="74"/>
      <c r="AG96" s="57"/>
      <c r="AH96" s="57"/>
      <c r="AI96" s="58"/>
      <c r="AJ96" s="20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0"/>
      <c r="BS96" s="112"/>
      <c r="BT96" s="112"/>
      <c r="BU96" s="3"/>
      <c r="BV96" s="3"/>
      <c r="BW96" s="3"/>
      <c r="BX96" s="109"/>
    </row>
    <row r="97" spans="1:76" ht="15" customHeight="1">
      <c r="A97" s="18"/>
      <c r="B97" s="84"/>
      <c r="C97" s="88"/>
      <c r="D97" s="80"/>
      <c r="E97" s="86"/>
      <c r="F97" s="13"/>
      <c r="G97" s="14"/>
      <c r="H97" s="82"/>
      <c r="I97" s="82"/>
      <c r="J97" s="16"/>
      <c r="K97" s="73"/>
      <c r="L97" s="19"/>
      <c r="M97" s="25"/>
      <c r="N97" s="29"/>
      <c r="O97" s="3"/>
      <c r="P97" s="3"/>
      <c r="Q97" s="3"/>
      <c r="R97" s="4"/>
      <c r="S97" s="5"/>
      <c r="T97" s="76"/>
      <c r="U97" s="76"/>
      <c r="V97" s="5"/>
      <c r="W97" s="5"/>
      <c r="X97" s="5"/>
      <c r="Y97" s="70"/>
      <c r="Z97" s="32"/>
      <c r="AA97" s="32"/>
      <c r="AB97" s="32"/>
      <c r="AC97" s="32"/>
      <c r="AD97" s="30"/>
      <c r="AE97" s="21"/>
      <c r="AF97" s="74"/>
      <c r="AG97" s="57"/>
      <c r="AH97" s="57"/>
      <c r="AI97" s="58"/>
      <c r="AJ97" s="20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0"/>
      <c r="BS97" s="112"/>
      <c r="BT97" s="112"/>
      <c r="BU97" s="3"/>
      <c r="BV97" s="3"/>
      <c r="BW97" s="3"/>
      <c r="BX97" s="109"/>
    </row>
    <row r="98" spans="1:76" ht="15" customHeight="1">
      <c r="A98" s="18">
        <v>40</v>
      </c>
      <c r="B98" s="84"/>
      <c r="C98" s="88" t="s">
        <v>178</v>
      </c>
      <c r="D98" s="22" t="s">
        <v>60</v>
      </c>
      <c r="E98" s="86"/>
      <c r="F98" s="13" t="s">
        <v>28</v>
      </c>
      <c r="G98" s="14">
        <v>3.7559999999999998</v>
      </c>
      <c r="H98" s="82" t="str">
        <f>IF(OOC!S98=0,"",OOC!S98)</f>
        <v/>
      </c>
      <c r="I98" s="82" t="str">
        <f>IF(OOC!T98=0,"",OOC!T98)</f>
        <v/>
      </c>
      <c r="J98" s="16" t="s">
        <v>12</v>
      </c>
      <c r="K98" s="73" t="s">
        <v>52</v>
      </c>
      <c r="L98" s="19" t="e">
        <f t="shared" si="0"/>
        <v>#VALUE!</v>
      </c>
      <c r="M98" s="25" t="e">
        <f t="shared" si="1"/>
        <v>#VALUE!</v>
      </c>
      <c r="N98" s="29"/>
      <c r="O98" s="3" t="e">
        <f t="shared" si="32"/>
        <v>#REF!</v>
      </c>
      <c r="P98" s="3" t="e">
        <f t="shared" si="33"/>
        <v>#REF!</v>
      </c>
      <c r="Q98" s="3" t="e">
        <f t="shared" si="34"/>
        <v>#REF!</v>
      </c>
      <c r="R98" s="4" t="e">
        <f t="shared" si="35"/>
        <v>#REF!</v>
      </c>
      <c r="S98" s="5" t="e">
        <f t="shared" si="27"/>
        <v>#REF!</v>
      </c>
      <c r="T98" s="76" t="e">
        <f t="shared" si="26"/>
        <v>#REF!</v>
      </c>
      <c r="U98" s="76" t="e">
        <f t="shared" si="3"/>
        <v>#REF!</v>
      </c>
      <c r="V98" s="5" t="e">
        <f t="shared" si="22"/>
        <v>#REF!</v>
      </c>
      <c r="W98" s="5" t="e">
        <f t="shared" si="23"/>
        <v>#REF!</v>
      </c>
      <c r="X98" s="5" t="e">
        <f t="shared" si="24"/>
        <v>#REF!</v>
      </c>
      <c r="Y98" s="70" t="e">
        <f t="shared" si="25"/>
        <v>#REF!</v>
      </c>
      <c r="Z98" s="32" t="e">
        <f t="shared" si="8"/>
        <v>#REF!</v>
      </c>
      <c r="AA98" s="32" t="e">
        <f t="shared" si="9"/>
        <v>#REF!</v>
      </c>
      <c r="AB98" s="32" t="e">
        <f t="shared" si="10"/>
        <v>#REF!</v>
      </c>
      <c r="AC98" s="32" t="e">
        <f t="shared" si="11"/>
        <v>#REF!</v>
      </c>
      <c r="AD98" s="30"/>
      <c r="AE98" s="21" t="str">
        <f t="shared" si="12"/>
        <v/>
      </c>
      <c r="AF98" s="74"/>
      <c r="AG98" s="57"/>
      <c r="AH98" s="57"/>
      <c r="AI98" s="58"/>
      <c r="AJ98" s="20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0" t="str">
        <f t="shared" si="28"/>
        <v>50-1</v>
      </c>
      <c r="BS98" s="112">
        <f>OOC!G98</f>
        <v>3.7759999999999998</v>
      </c>
      <c r="BT98" s="112">
        <f>OOC!H98</f>
        <v>3.7359999999999998</v>
      </c>
      <c r="BU98" s="3" t="e">
        <f t="shared" si="29"/>
        <v>#REF!</v>
      </c>
      <c r="BV98" s="3" t="e">
        <f t="shared" si="30"/>
        <v>#REF!</v>
      </c>
      <c r="BW98" s="3" t="e">
        <f t="shared" si="31"/>
        <v>#REF!</v>
      </c>
      <c r="BX98" s="109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 ht="15" customHeight="1">
      <c r="A99" s="18">
        <v>40</v>
      </c>
      <c r="B99" s="84"/>
      <c r="C99" s="88" t="s">
        <v>179</v>
      </c>
      <c r="D99" s="22" t="s">
        <v>60</v>
      </c>
      <c r="E99" s="86"/>
      <c r="F99" s="13" t="s">
        <v>28</v>
      </c>
      <c r="G99" s="14">
        <v>3.7559999999999998</v>
      </c>
      <c r="H99" s="82" t="str">
        <f>IF(OOC!S99=0,"",OOC!S99)</f>
        <v/>
      </c>
      <c r="I99" s="82" t="str">
        <f>IF(OOC!T99=0,"",OOC!T99)</f>
        <v/>
      </c>
      <c r="J99" s="16" t="s">
        <v>12</v>
      </c>
      <c r="K99" s="73" t="s">
        <v>52</v>
      </c>
      <c r="L99" s="19" t="e">
        <f t="shared" si="0"/>
        <v>#VALUE!</v>
      </c>
      <c r="M99" s="25" t="e">
        <f t="shared" si="1"/>
        <v>#VALUE!</v>
      </c>
      <c r="N99" s="29"/>
      <c r="O99" s="3" t="e">
        <f t="shared" si="32"/>
        <v>#REF!</v>
      </c>
      <c r="P99" s="3" t="e">
        <f t="shared" si="33"/>
        <v>#REF!</v>
      </c>
      <c r="Q99" s="3" t="e">
        <f t="shared" si="34"/>
        <v>#REF!</v>
      </c>
      <c r="R99" s="4" t="e">
        <f t="shared" si="35"/>
        <v>#REF!</v>
      </c>
      <c r="S99" s="5" t="e">
        <f t="shared" si="27"/>
        <v>#REF!</v>
      </c>
      <c r="T99" s="76" t="e">
        <f t="shared" si="26"/>
        <v>#REF!</v>
      </c>
      <c r="U99" s="76" t="e">
        <f t="shared" si="3"/>
        <v>#REF!</v>
      </c>
      <c r="V99" s="5" t="e">
        <f t="shared" si="22"/>
        <v>#REF!</v>
      </c>
      <c r="W99" s="5" t="e">
        <f t="shared" si="23"/>
        <v>#REF!</v>
      </c>
      <c r="X99" s="5" t="e">
        <f t="shared" si="24"/>
        <v>#REF!</v>
      </c>
      <c r="Y99" s="70" t="e">
        <f t="shared" si="25"/>
        <v>#REF!</v>
      </c>
      <c r="Z99" s="32" t="e">
        <f t="shared" si="8"/>
        <v>#REF!</v>
      </c>
      <c r="AA99" s="32" t="e">
        <f t="shared" si="9"/>
        <v>#REF!</v>
      </c>
      <c r="AB99" s="32" t="e">
        <f t="shared" si="10"/>
        <v>#REF!</v>
      </c>
      <c r="AC99" s="32" t="e">
        <f t="shared" si="11"/>
        <v>#REF!</v>
      </c>
      <c r="AD99" s="30"/>
      <c r="AE99" s="21" t="str">
        <f t="shared" si="12"/>
        <v/>
      </c>
      <c r="AF99" s="74"/>
      <c r="AG99" s="57"/>
      <c r="AH99" s="57"/>
      <c r="AI99" s="58"/>
      <c r="AJ99" s="20"/>
      <c r="AK99" s="2" t="e">
        <f>#REF!</f>
        <v>#REF!</v>
      </c>
      <c r="AL99" s="2" t="e">
        <f>#REF!</f>
        <v>#REF!</v>
      </c>
      <c r="AM99" s="2" t="e">
        <f>#REF!</f>
        <v>#REF!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R99" s="110" t="str">
        <f t="shared" si="28"/>
        <v>50-2</v>
      </c>
      <c r="BS99" s="112">
        <f>OOC!G99</f>
        <v>3.7759999999999998</v>
      </c>
      <c r="BT99" s="112">
        <f>OOC!H99</f>
        <v>3.7359999999999998</v>
      </c>
      <c r="BU99" s="3" t="e">
        <f t="shared" si="29"/>
        <v>#REF!</v>
      </c>
      <c r="BV99" s="3" t="e">
        <f t="shared" si="30"/>
        <v>#REF!</v>
      </c>
      <c r="BW99" s="3" t="e">
        <f t="shared" si="31"/>
        <v>#REF!</v>
      </c>
      <c r="BX99" s="109" t="e">
        <f>IF(AND(IF(OOC!G99="",0,OOC!G99) &gt;= IF(O99="",0,O99), IF(O99="",0,O99) &gt; IF(L99="",0,L99)), "OOC",
IF(AND(IF(M99="",0,M99) &gt; IF(P99="",0,P99), IF(P99="",0,P99) &gt;= IF(OOC!H99="",0,OOC!H99)), "OOC",
IF(IF(O99="",0,O99) &gt; IF(OOC!G99="",0,OOC!G99), "OOS",
IF(IF(OOC!H99="",0,OOC!H99) &gt; IF(P99="",0,P99), "OOS", "OK"))))</f>
        <v>#REF!</v>
      </c>
    </row>
    <row r="100" spans="1:76" ht="15" customHeight="1">
      <c r="A100" s="18">
        <v>40</v>
      </c>
      <c r="B100" s="84"/>
      <c r="C100" s="88" t="s">
        <v>202</v>
      </c>
      <c r="D100" s="22" t="s">
        <v>60</v>
      </c>
      <c r="E100" s="86"/>
      <c r="F100" s="13" t="s">
        <v>28</v>
      </c>
      <c r="G100" s="14">
        <v>3.7559999999999998</v>
      </c>
      <c r="H100" s="82" t="str">
        <f>IF(OOC!S100=0,"",OOC!S100)</f>
        <v/>
      </c>
      <c r="I100" s="82" t="str">
        <f>IF(OOC!T100=0,"",OOC!T100)</f>
        <v/>
      </c>
      <c r="J100" s="16" t="s">
        <v>12</v>
      </c>
      <c r="K100" s="73" t="s">
        <v>52</v>
      </c>
      <c r="L100" s="19" t="e">
        <f t="shared" si="0"/>
        <v>#VALUE!</v>
      </c>
      <c r="M100" s="25" t="e">
        <f t="shared" si="1"/>
        <v>#VALUE!</v>
      </c>
      <c r="N100" s="29"/>
      <c r="O100" s="3" t="e">
        <f t="shared" si="32"/>
        <v>#REF!</v>
      </c>
      <c r="P100" s="3" t="e">
        <f t="shared" si="33"/>
        <v>#REF!</v>
      </c>
      <c r="Q100" s="3" t="e">
        <f t="shared" si="34"/>
        <v>#REF!</v>
      </c>
      <c r="R100" s="4" t="e">
        <f t="shared" si="35"/>
        <v>#REF!</v>
      </c>
      <c r="S100" s="5" t="e">
        <f t="shared" si="27"/>
        <v>#REF!</v>
      </c>
      <c r="T100" s="76" t="e">
        <f t="shared" si="26"/>
        <v>#REF!</v>
      </c>
      <c r="U100" s="76" t="e">
        <f t="shared" si="3"/>
        <v>#REF!</v>
      </c>
      <c r="V100" s="5" t="e">
        <f t="shared" si="22"/>
        <v>#REF!</v>
      </c>
      <c r="W100" s="5" t="e">
        <f t="shared" si="23"/>
        <v>#REF!</v>
      </c>
      <c r="X100" s="5" t="e">
        <f t="shared" si="24"/>
        <v>#REF!</v>
      </c>
      <c r="Y100" s="70" t="e">
        <f t="shared" si="25"/>
        <v>#REF!</v>
      </c>
      <c r="Z100" s="32" t="e">
        <f t="shared" si="8"/>
        <v>#REF!</v>
      </c>
      <c r="AA100" s="32" t="e">
        <f t="shared" si="9"/>
        <v>#REF!</v>
      </c>
      <c r="AB100" s="32" t="e">
        <f t="shared" si="10"/>
        <v>#REF!</v>
      </c>
      <c r="AC100" s="32" t="e">
        <f t="shared" si="11"/>
        <v>#REF!</v>
      </c>
      <c r="AD100" s="30"/>
      <c r="AE100" s="21" t="str">
        <f t="shared" si="12"/>
        <v/>
      </c>
      <c r="AF100" s="74"/>
      <c r="AG100" s="57"/>
      <c r="AH100" s="57"/>
      <c r="AI100" s="58"/>
      <c r="AJ100" s="20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R100" s="110" t="str">
        <f t="shared" si="28"/>
        <v>50-3</v>
      </c>
      <c r="BS100" s="112">
        <f>OOC!G100</f>
        <v>3.7759999999999998</v>
      </c>
      <c r="BT100" s="112">
        <f>OOC!H100</f>
        <v>3.7359999999999998</v>
      </c>
      <c r="BU100" s="3" t="e">
        <f t="shared" si="29"/>
        <v>#REF!</v>
      </c>
      <c r="BV100" s="3" t="e">
        <f t="shared" si="30"/>
        <v>#REF!</v>
      </c>
      <c r="BW100" s="3" t="e">
        <f t="shared" si="31"/>
        <v>#REF!</v>
      </c>
      <c r="BX100" s="109" t="e">
        <f>IF(AND(IF(OOC!G100="",0,OOC!G100) &gt;= IF(O100="",0,O100), IF(O100="",0,O100) &gt; IF(L100="",0,L100)), "OOC",
IF(AND(IF(M100="",0,M100) &gt; IF(P100="",0,P100), IF(P100="",0,P100) &gt;= IF(OOC!H100="",0,OOC!H100)), "OOC",
IF(IF(O100="",0,O100) &gt; IF(OOC!G100="",0,OOC!G100), "OOS",
IF(IF(OOC!H100="",0,OOC!H100) &gt; IF(P100="",0,P100), "OOS", "OK"))))</f>
        <v>#REF!</v>
      </c>
    </row>
    <row r="101" spans="1:76" ht="15" customHeight="1">
      <c r="A101" s="18">
        <v>40</v>
      </c>
      <c r="B101" s="84"/>
      <c r="C101" s="88" t="s">
        <v>140</v>
      </c>
      <c r="D101" s="22" t="s">
        <v>60</v>
      </c>
      <c r="E101" s="86"/>
      <c r="F101" s="13" t="s">
        <v>28</v>
      </c>
      <c r="G101" s="14">
        <v>0.91</v>
      </c>
      <c r="H101" s="82" t="str">
        <f>IF(OOC!S101=0,"",OOC!S101)</f>
        <v/>
      </c>
      <c r="I101" s="82" t="str">
        <f>IF(OOC!T101=0,"",OOC!T101)</f>
        <v/>
      </c>
      <c r="J101" s="16" t="s">
        <v>12</v>
      </c>
      <c r="K101" s="73" t="s">
        <v>52</v>
      </c>
      <c r="L101" s="19" t="e">
        <f t="shared" si="0"/>
        <v>#VALUE!</v>
      </c>
      <c r="M101" s="25" t="e">
        <f t="shared" si="1"/>
        <v>#VALUE!</v>
      </c>
      <c r="N101" s="29"/>
      <c r="O101" s="3" t="e">
        <f t="shared" si="32"/>
        <v>#REF!</v>
      </c>
      <c r="P101" s="3" t="e">
        <f t="shared" si="33"/>
        <v>#REF!</v>
      </c>
      <c r="Q101" s="3" t="e">
        <f t="shared" si="34"/>
        <v>#REF!</v>
      </c>
      <c r="R101" s="4" t="e">
        <f t="shared" si="35"/>
        <v>#REF!</v>
      </c>
      <c r="S101" s="5" t="e">
        <f t="shared" si="27"/>
        <v>#REF!</v>
      </c>
      <c r="T101" s="76" t="e">
        <f t="shared" si="26"/>
        <v>#REF!</v>
      </c>
      <c r="U101" s="76" t="e">
        <f t="shared" si="3"/>
        <v>#REF!</v>
      </c>
      <c r="V101" s="5" t="e">
        <f t="shared" si="22"/>
        <v>#REF!</v>
      </c>
      <c r="W101" s="5" t="e">
        <f t="shared" si="23"/>
        <v>#REF!</v>
      </c>
      <c r="X101" s="5" t="e">
        <f t="shared" si="24"/>
        <v>#REF!</v>
      </c>
      <c r="Y101" s="70" t="e">
        <f t="shared" si="25"/>
        <v>#REF!</v>
      </c>
      <c r="Z101" s="32" t="e">
        <f t="shared" si="8"/>
        <v>#REF!</v>
      </c>
      <c r="AA101" s="32" t="e">
        <f t="shared" si="9"/>
        <v>#REF!</v>
      </c>
      <c r="AB101" s="32" t="e">
        <f t="shared" si="10"/>
        <v>#REF!</v>
      </c>
      <c r="AC101" s="32" t="e">
        <f t="shared" si="11"/>
        <v>#REF!</v>
      </c>
      <c r="AD101" s="30"/>
      <c r="AE101" s="21" t="str">
        <f t="shared" si="12"/>
        <v/>
      </c>
      <c r="AF101" s="74"/>
      <c r="AG101" s="57"/>
      <c r="AH101" s="57"/>
      <c r="AI101" s="58"/>
      <c r="AJ101" s="20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R101" s="110" t="str">
        <f t="shared" si="28"/>
        <v>51-1</v>
      </c>
      <c r="BS101" s="112">
        <f>OOC!G101</f>
        <v>0.93</v>
      </c>
      <c r="BT101" s="112">
        <f>OOC!H101</f>
        <v>0.89</v>
      </c>
      <c r="BU101" s="3" t="e">
        <f t="shared" si="29"/>
        <v>#REF!</v>
      </c>
      <c r="BV101" s="3" t="e">
        <f t="shared" si="30"/>
        <v>#REF!</v>
      </c>
      <c r="BW101" s="3" t="e">
        <f t="shared" si="31"/>
        <v>#REF!</v>
      </c>
      <c r="BX101" s="109" t="e">
        <f>IF(AND(IF(OOC!G101="",0,OOC!G101) &gt;= IF(O101="",0,O101), IF(O101="",0,O101) &gt; IF(L101="",0,L101)), "OOC",
IF(AND(IF(M101="",0,M101) &gt; IF(P101="",0,P101), IF(P101="",0,P101) &gt;= IF(OOC!H101="",0,OOC!H101)), "OOC",
IF(IF(O101="",0,O101) &gt; IF(OOC!G101="",0,OOC!G101), "OOS",
IF(IF(OOC!H101="",0,OOC!H101) &gt; IF(P101="",0,P101), "OOS", "OK"))))</f>
        <v>#REF!</v>
      </c>
    </row>
    <row r="102" spans="1:76" ht="15" customHeight="1">
      <c r="A102" s="18">
        <v>40</v>
      </c>
      <c r="B102" s="84"/>
      <c r="C102" s="88" t="s">
        <v>141</v>
      </c>
      <c r="D102" s="22" t="s">
        <v>60</v>
      </c>
      <c r="E102" s="86"/>
      <c r="F102" s="13" t="s">
        <v>28</v>
      </c>
      <c r="G102" s="14">
        <v>0.91</v>
      </c>
      <c r="H102" s="82" t="str">
        <f>IF(OOC!S102=0,"",OOC!S102)</f>
        <v/>
      </c>
      <c r="I102" s="82" t="str">
        <f>IF(OOC!T102=0,"",OOC!T102)</f>
        <v/>
      </c>
      <c r="J102" s="16" t="s">
        <v>12</v>
      </c>
      <c r="K102" s="73" t="s">
        <v>52</v>
      </c>
      <c r="L102" s="19" t="e">
        <f t="shared" si="0"/>
        <v>#VALUE!</v>
      </c>
      <c r="M102" s="25" t="e">
        <f t="shared" si="1"/>
        <v>#VALUE!</v>
      </c>
      <c r="N102" s="29"/>
      <c r="O102" s="3" t="e">
        <f t="shared" si="32"/>
        <v>#REF!</v>
      </c>
      <c r="P102" s="3" t="e">
        <f t="shared" si="33"/>
        <v>#REF!</v>
      </c>
      <c r="Q102" s="3" t="e">
        <f t="shared" si="34"/>
        <v>#REF!</v>
      </c>
      <c r="R102" s="4" t="e">
        <f t="shared" si="35"/>
        <v>#REF!</v>
      </c>
      <c r="S102" s="5" t="e">
        <f t="shared" si="27"/>
        <v>#REF!</v>
      </c>
      <c r="T102" s="76" t="e">
        <f t="shared" si="26"/>
        <v>#REF!</v>
      </c>
      <c r="U102" s="76" t="e">
        <f t="shared" si="3"/>
        <v>#REF!</v>
      </c>
      <c r="V102" s="5" t="e">
        <f t="shared" si="22"/>
        <v>#REF!</v>
      </c>
      <c r="W102" s="5" t="e">
        <f t="shared" si="23"/>
        <v>#REF!</v>
      </c>
      <c r="X102" s="5" t="e">
        <f t="shared" si="24"/>
        <v>#REF!</v>
      </c>
      <c r="Y102" s="70" t="e">
        <f t="shared" si="25"/>
        <v>#REF!</v>
      </c>
      <c r="Z102" s="32" t="e">
        <f t="shared" si="8"/>
        <v>#REF!</v>
      </c>
      <c r="AA102" s="32" t="e">
        <f t="shared" si="9"/>
        <v>#REF!</v>
      </c>
      <c r="AB102" s="32" t="e">
        <f t="shared" si="10"/>
        <v>#REF!</v>
      </c>
      <c r="AC102" s="32" t="e">
        <f t="shared" si="11"/>
        <v>#REF!</v>
      </c>
      <c r="AD102" s="30"/>
      <c r="AE102" s="21" t="str">
        <f t="shared" si="12"/>
        <v/>
      </c>
      <c r="AF102" s="74"/>
      <c r="AG102" s="57"/>
      <c r="AH102" s="57"/>
      <c r="AI102" s="58"/>
      <c r="AJ102" s="20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R102" s="110" t="str">
        <f t="shared" si="28"/>
        <v>51-2</v>
      </c>
      <c r="BS102" s="112">
        <f>OOC!G102</f>
        <v>0.93</v>
      </c>
      <c r="BT102" s="112">
        <f>OOC!H102</f>
        <v>0.89</v>
      </c>
      <c r="BU102" s="3" t="e">
        <f t="shared" si="29"/>
        <v>#REF!</v>
      </c>
      <c r="BV102" s="3" t="e">
        <f t="shared" si="30"/>
        <v>#REF!</v>
      </c>
      <c r="BW102" s="3" t="e">
        <f t="shared" si="31"/>
        <v>#REF!</v>
      </c>
      <c r="BX102" s="109" t="e">
        <f>IF(AND(IF(OOC!G102="",0,OOC!G102) &gt;= IF(O102="",0,O102), IF(O102="",0,O102) &gt; IF(L102="",0,L102)), "OOC",
IF(AND(IF(M102="",0,M102) &gt; IF(P102="",0,P102), IF(P102="",0,P102) &gt;= IF(OOC!H102="",0,OOC!H102)), "OOC",
IF(IF(O102="",0,O102) &gt; IF(OOC!G102="",0,OOC!G102), "OOS",
IF(IF(OOC!H102="",0,OOC!H102) &gt; IF(P102="",0,P102), "OOS", "OK"))))</f>
        <v>#REF!</v>
      </c>
    </row>
    <row r="103" spans="1:76" ht="15" customHeight="1">
      <c r="A103" s="18">
        <v>40</v>
      </c>
      <c r="B103" s="84"/>
      <c r="C103" s="88" t="s">
        <v>208</v>
      </c>
      <c r="D103" s="22" t="s">
        <v>60</v>
      </c>
      <c r="E103" s="86"/>
      <c r="F103" s="13" t="s">
        <v>28</v>
      </c>
      <c r="G103" s="14">
        <v>0.91</v>
      </c>
      <c r="H103" s="82" t="str">
        <f>IF(OOC!S103=0,"",OOC!S103)</f>
        <v/>
      </c>
      <c r="I103" s="82" t="str">
        <f>IF(OOC!T103=0,"",OOC!T103)</f>
        <v/>
      </c>
      <c r="J103" s="16" t="s">
        <v>12</v>
      </c>
      <c r="K103" s="73" t="s">
        <v>52</v>
      </c>
      <c r="L103" s="19" t="e">
        <f t="shared" si="0"/>
        <v>#VALUE!</v>
      </c>
      <c r="M103" s="25" t="e">
        <f t="shared" si="1"/>
        <v>#VALUE!</v>
      </c>
      <c r="N103" s="29"/>
      <c r="O103" s="3" t="e">
        <f t="shared" si="32"/>
        <v>#REF!</v>
      </c>
      <c r="P103" s="3" t="e">
        <f t="shared" si="33"/>
        <v>#REF!</v>
      </c>
      <c r="Q103" s="3" t="e">
        <f t="shared" si="34"/>
        <v>#REF!</v>
      </c>
      <c r="R103" s="4" t="e">
        <f t="shared" si="35"/>
        <v>#REF!</v>
      </c>
      <c r="S103" s="5" t="e">
        <f t="shared" si="27"/>
        <v>#REF!</v>
      </c>
      <c r="T103" s="76" t="e">
        <f t="shared" si="26"/>
        <v>#REF!</v>
      </c>
      <c r="U103" s="76" t="e">
        <f t="shared" si="3"/>
        <v>#REF!</v>
      </c>
      <c r="V103" s="5" t="e">
        <f t="shared" si="22"/>
        <v>#REF!</v>
      </c>
      <c r="W103" s="5" t="e">
        <f t="shared" si="23"/>
        <v>#REF!</v>
      </c>
      <c r="X103" s="5" t="e">
        <f t="shared" si="24"/>
        <v>#REF!</v>
      </c>
      <c r="Y103" s="70" t="e">
        <f t="shared" si="25"/>
        <v>#REF!</v>
      </c>
      <c r="Z103" s="32" t="e">
        <f t="shared" si="8"/>
        <v>#REF!</v>
      </c>
      <c r="AA103" s="32" t="e">
        <f t="shared" si="9"/>
        <v>#REF!</v>
      </c>
      <c r="AB103" s="32" t="e">
        <f t="shared" si="10"/>
        <v>#REF!</v>
      </c>
      <c r="AC103" s="32" t="e">
        <f t="shared" si="11"/>
        <v>#REF!</v>
      </c>
      <c r="AD103" s="30"/>
      <c r="AE103" s="21" t="str">
        <f t="shared" si="12"/>
        <v/>
      </c>
      <c r="AF103" s="74"/>
      <c r="AG103" s="57"/>
      <c r="AH103" s="57"/>
      <c r="AI103" s="58"/>
      <c r="AJ103" s="20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R103" s="110" t="str">
        <f t="shared" si="28"/>
        <v>51-3</v>
      </c>
      <c r="BS103" s="112">
        <f>OOC!G103</f>
        <v>0.93</v>
      </c>
      <c r="BT103" s="112">
        <f>OOC!H103</f>
        <v>0.89</v>
      </c>
      <c r="BU103" s="3" t="e">
        <f t="shared" si="29"/>
        <v>#REF!</v>
      </c>
      <c r="BV103" s="3" t="e">
        <f t="shared" si="30"/>
        <v>#REF!</v>
      </c>
      <c r="BW103" s="3" t="e">
        <f t="shared" si="31"/>
        <v>#REF!</v>
      </c>
      <c r="BX103" s="109" t="e">
        <f>IF(AND(IF(OOC!G103="",0,OOC!G103) &gt;= IF(O103="",0,O103), IF(O103="",0,O103) &gt; IF(L103="",0,L103)), "OOC",
IF(AND(IF(M103="",0,M103) &gt; IF(P103="",0,P103), IF(P103="",0,P103) &gt;= IF(OOC!H103="",0,OOC!H103)), "OOC",
IF(IF(O103="",0,O103) &gt; IF(OOC!G103="",0,OOC!G103), "OOS",
IF(IF(OOC!H103="",0,OOC!H103) &gt; IF(P103="",0,P103), "OOS", "OK"))))</f>
        <v>#REF!</v>
      </c>
    </row>
    <row r="104" spans="1:76" ht="15" customHeight="1">
      <c r="A104" s="18">
        <v>40</v>
      </c>
      <c r="B104" s="84" t="s">
        <v>163</v>
      </c>
      <c r="C104" s="88" t="s">
        <v>180</v>
      </c>
      <c r="D104" s="22" t="s">
        <v>60</v>
      </c>
      <c r="E104" s="86">
        <v>1.33</v>
      </c>
      <c r="F104" s="13" t="s">
        <v>28</v>
      </c>
      <c r="G104" s="14">
        <v>6.9059999999999997</v>
      </c>
      <c r="H104" s="82" t="str">
        <f>IF(OOC!S104=0,"",OOC!S104)</f>
        <v/>
      </c>
      <c r="I104" s="82" t="str">
        <f>IF(OOC!T104=0,"",OOC!T104)</f>
        <v/>
      </c>
      <c r="J104" s="16" t="s">
        <v>12</v>
      </c>
      <c r="K104" s="73" t="s">
        <v>52</v>
      </c>
      <c r="L104" s="19" t="e">
        <f t="shared" si="0"/>
        <v>#VALUE!</v>
      </c>
      <c r="M104" s="25" t="e">
        <f t="shared" si="1"/>
        <v>#VALUE!</v>
      </c>
      <c r="N104" s="29"/>
      <c r="O104" s="3" t="e">
        <f t="shared" si="32"/>
        <v>#REF!</v>
      </c>
      <c r="P104" s="3" t="e">
        <f t="shared" si="33"/>
        <v>#REF!</v>
      </c>
      <c r="Q104" s="3" t="e">
        <f t="shared" si="34"/>
        <v>#REF!</v>
      </c>
      <c r="R104" s="4" t="e">
        <f t="shared" si="35"/>
        <v>#REF!</v>
      </c>
      <c r="S104" s="5" t="e">
        <f t="shared" si="27"/>
        <v>#REF!</v>
      </c>
      <c r="T104" s="76" t="e">
        <f t="shared" si="26"/>
        <v>#REF!</v>
      </c>
      <c r="U104" s="76" t="e">
        <f t="shared" si="3"/>
        <v>#REF!</v>
      </c>
      <c r="V104" s="5" t="e">
        <f t="shared" si="22"/>
        <v>#REF!</v>
      </c>
      <c r="W104" s="5" t="e">
        <f t="shared" si="23"/>
        <v>#REF!</v>
      </c>
      <c r="X104" s="5" t="e">
        <f t="shared" si="24"/>
        <v>#REF!</v>
      </c>
      <c r="Y104" s="70" t="e">
        <f t="shared" si="25"/>
        <v>#REF!</v>
      </c>
      <c r="Z104" s="32" t="e">
        <f t="shared" si="8"/>
        <v>#REF!</v>
      </c>
      <c r="AA104" s="32" t="e">
        <f t="shared" si="9"/>
        <v>#REF!</v>
      </c>
      <c r="AB104" s="32" t="e">
        <f t="shared" si="10"/>
        <v>#REF!</v>
      </c>
      <c r="AC104" s="32" t="e">
        <f t="shared" si="11"/>
        <v>#REF!</v>
      </c>
      <c r="AD104" s="30"/>
      <c r="AE104" s="21" t="str">
        <f t="shared" si="12"/>
        <v/>
      </c>
      <c r="AF104" s="74"/>
      <c r="AG104" s="57"/>
      <c r="AH104" s="57"/>
      <c r="AI104" s="58"/>
      <c r="AJ104" s="20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0" t="str">
        <f t="shared" si="28"/>
        <v>52-1</v>
      </c>
      <c r="BS104" s="112">
        <f>OOC!G104</f>
        <v>6.931</v>
      </c>
      <c r="BT104" s="112">
        <f>OOC!H104</f>
        <v>6.891</v>
      </c>
      <c r="BU104" s="3" t="e">
        <f t="shared" si="29"/>
        <v>#REF!</v>
      </c>
      <c r="BV104" s="3" t="e">
        <f t="shared" si="30"/>
        <v>#REF!</v>
      </c>
      <c r="BW104" s="3" t="e">
        <f t="shared" si="31"/>
        <v>#REF!</v>
      </c>
      <c r="BX104" s="109" t="e">
        <f>IF(AND(IF(OOC!G104="",0,OOC!G104) &gt;= IF(O104="",0,O104), IF(O104="",0,O104) &gt; IF(L104="",0,L104)), "OOC",
IF(AND(IF(M104="",0,M104) &gt; IF(P104="",0,P104), IF(P104="",0,P104) &gt;= IF(OOC!H104="",0,OOC!H104)), "OOC",
IF(IF(O104="",0,O104) &gt; IF(OOC!G104="",0,OOC!G104), "OOS",
IF(IF(OOC!H104="",0,OOC!H104) &gt; IF(P104="",0,P104), "OOS", "OK"))))</f>
        <v>#REF!</v>
      </c>
    </row>
    <row r="105" spans="1:76" ht="15" customHeight="1">
      <c r="A105" s="18">
        <v>40</v>
      </c>
      <c r="B105" s="84" t="s">
        <v>163</v>
      </c>
      <c r="C105" s="88" t="s">
        <v>181</v>
      </c>
      <c r="D105" s="22" t="s">
        <v>60</v>
      </c>
      <c r="E105" s="86">
        <v>1.33</v>
      </c>
      <c r="F105" s="13" t="s">
        <v>28</v>
      </c>
      <c r="G105" s="14">
        <v>6.9059999999999997</v>
      </c>
      <c r="H105" s="82" t="str">
        <f>IF(OOC!S105=0,"",OOC!S105)</f>
        <v/>
      </c>
      <c r="I105" s="82" t="str">
        <f>IF(OOC!T105=0,"",OOC!T105)</f>
        <v/>
      </c>
      <c r="J105" s="16" t="s">
        <v>12</v>
      </c>
      <c r="K105" s="73" t="s">
        <v>52</v>
      </c>
      <c r="L105" s="19" t="e">
        <f t="shared" si="0"/>
        <v>#VALUE!</v>
      </c>
      <c r="M105" s="25" t="e">
        <f t="shared" si="1"/>
        <v>#VALUE!</v>
      </c>
      <c r="N105" s="29"/>
      <c r="O105" s="3" t="e">
        <f t="shared" si="32"/>
        <v>#REF!</v>
      </c>
      <c r="P105" s="3" t="e">
        <f t="shared" si="33"/>
        <v>#REF!</v>
      </c>
      <c r="Q105" s="3" t="e">
        <f t="shared" si="34"/>
        <v>#REF!</v>
      </c>
      <c r="R105" s="4" t="e">
        <f t="shared" si="35"/>
        <v>#REF!</v>
      </c>
      <c r="S105" s="5" t="e">
        <f t="shared" si="27"/>
        <v>#REF!</v>
      </c>
      <c r="T105" s="76" t="e">
        <f t="shared" si="26"/>
        <v>#REF!</v>
      </c>
      <c r="U105" s="76" t="e">
        <f t="shared" si="3"/>
        <v>#REF!</v>
      </c>
      <c r="V105" s="5" t="e">
        <f t="shared" si="22"/>
        <v>#REF!</v>
      </c>
      <c r="W105" s="5" t="e">
        <f t="shared" si="23"/>
        <v>#REF!</v>
      </c>
      <c r="X105" s="5" t="e">
        <f t="shared" si="24"/>
        <v>#REF!</v>
      </c>
      <c r="Y105" s="70" t="e">
        <f t="shared" si="25"/>
        <v>#REF!</v>
      </c>
      <c r="Z105" s="32" t="e">
        <f t="shared" si="8"/>
        <v>#REF!</v>
      </c>
      <c r="AA105" s="32" t="e">
        <f t="shared" si="9"/>
        <v>#REF!</v>
      </c>
      <c r="AB105" s="32" t="e">
        <f t="shared" si="10"/>
        <v>#REF!</v>
      </c>
      <c r="AC105" s="32" t="e">
        <f t="shared" si="11"/>
        <v>#REF!</v>
      </c>
      <c r="AD105" s="30"/>
      <c r="AE105" s="21" t="str">
        <f t="shared" si="12"/>
        <v/>
      </c>
      <c r="AF105" s="74"/>
      <c r="AG105" s="57"/>
      <c r="AH105" s="57"/>
      <c r="AI105" s="58"/>
      <c r="AJ105" s="20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0" t="str">
        <f t="shared" si="28"/>
        <v>52-2</v>
      </c>
      <c r="BS105" s="112">
        <f>OOC!G105</f>
        <v>6.931</v>
      </c>
      <c r="BT105" s="112">
        <f>OOC!H105</f>
        <v>6.891</v>
      </c>
      <c r="BU105" s="3" t="e">
        <f t="shared" si="29"/>
        <v>#REF!</v>
      </c>
      <c r="BV105" s="3" t="e">
        <f t="shared" si="30"/>
        <v>#REF!</v>
      </c>
      <c r="BW105" s="3" t="e">
        <f t="shared" si="31"/>
        <v>#REF!</v>
      </c>
      <c r="BX105" s="109" t="e">
        <f>IF(AND(IF(OOC!G105="",0,OOC!G105) &gt;= IF(O105="",0,O105), IF(O105="",0,O105) &gt; IF(L105="",0,L105)), "OOC",
IF(AND(IF(M105="",0,M105) &gt; IF(P105="",0,P105), IF(P105="",0,P105) &gt;= IF(OOC!H105="",0,OOC!H105)), "OOC",
IF(IF(O105="",0,O105) &gt; IF(OOC!G105="",0,OOC!G105), "OOS",
IF(IF(OOC!H105="",0,OOC!H105) &gt; IF(P105="",0,P105), "OOS", "OK"))))</f>
        <v>#REF!</v>
      </c>
    </row>
    <row r="106" spans="1:76" ht="15" customHeight="1">
      <c r="A106" s="18">
        <v>40</v>
      </c>
      <c r="B106" s="84" t="s">
        <v>163</v>
      </c>
      <c r="C106" s="88" t="s">
        <v>203</v>
      </c>
      <c r="D106" s="22" t="s">
        <v>60</v>
      </c>
      <c r="E106" s="86">
        <v>1.33</v>
      </c>
      <c r="F106" s="13" t="s">
        <v>28</v>
      </c>
      <c r="G106" s="14">
        <v>6.9059999999999997</v>
      </c>
      <c r="H106" s="82" t="str">
        <f>IF(OOC!S106=0,"",OOC!S106)</f>
        <v/>
      </c>
      <c r="I106" s="82" t="str">
        <f>IF(OOC!T106=0,"",OOC!T106)</f>
        <v/>
      </c>
      <c r="J106" s="16" t="s">
        <v>12</v>
      </c>
      <c r="K106" s="73" t="s">
        <v>52</v>
      </c>
      <c r="L106" s="19" t="e">
        <f t="shared" si="0"/>
        <v>#VALUE!</v>
      </c>
      <c r="M106" s="25" t="e">
        <f t="shared" si="1"/>
        <v>#VALUE!</v>
      </c>
      <c r="N106" s="29"/>
      <c r="O106" s="3" t="e">
        <f t="shared" si="32"/>
        <v>#REF!</v>
      </c>
      <c r="P106" s="3" t="e">
        <f t="shared" si="33"/>
        <v>#REF!</v>
      </c>
      <c r="Q106" s="3" t="e">
        <f t="shared" si="34"/>
        <v>#REF!</v>
      </c>
      <c r="R106" s="4" t="e">
        <f t="shared" si="35"/>
        <v>#REF!</v>
      </c>
      <c r="S106" s="5" t="e">
        <f t="shared" si="27"/>
        <v>#REF!</v>
      </c>
      <c r="T106" s="76" t="e">
        <f t="shared" si="26"/>
        <v>#REF!</v>
      </c>
      <c r="U106" s="76" t="e">
        <f t="shared" si="3"/>
        <v>#REF!</v>
      </c>
      <c r="V106" s="5" t="e">
        <f t="shared" si="22"/>
        <v>#REF!</v>
      </c>
      <c r="W106" s="5" t="e">
        <f t="shared" si="23"/>
        <v>#REF!</v>
      </c>
      <c r="X106" s="5" t="e">
        <f t="shared" si="24"/>
        <v>#REF!</v>
      </c>
      <c r="Y106" s="70" t="e">
        <f t="shared" si="25"/>
        <v>#REF!</v>
      </c>
      <c r="Z106" s="32" t="e">
        <f t="shared" si="8"/>
        <v>#REF!</v>
      </c>
      <c r="AA106" s="32" t="e">
        <f t="shared" si="9"/>
        <v>#REF!</v>
      </c>
      <c r="AB106" s="32" t="e">
        <f t="shared" si="10"/>
        <v>#REF!</v>
      </c>
      <c r="AC106" s="32" t="e">
        <f t="shared" si="11"/>
        <v>#REF!</v>
      </c>
      <c r="AD106" s="30"/>
      <c r="AE106" s="21" t="str">
        <f t="shared" si="12"/>
        <v/>
      </c>
      <c r="AF106" s="74"/>
      <c r="AG106" s="57"/>
      <c r="AH106" s="57"/>
      <c r="AI106" s="58"/>
      <c r="AJ106" s="20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0" t="str">
        <f t="shared" si="28"/>
        <v>52-3</v>
      </c>
      <c r="BS106" s="112">
        <f>OOC!G106</f>
        <v>6.931</v>
      </c>
      <c r="BT106" s="112">
        <f>OOC!H106</f>
        <v>6.891</v>
      </c>
      <c r="BU106" s="3" t="e">
        <f t="shared" si="29"/>
        <v>#REF!</v>
      </c>
      <c r="BV106" s="3" t="e">
        <f t="shared" si="30"/>
        <v>#REF!</v>
      </c>
      <c r="BW106" s="3" t="e">
        <f t="shared" si="31"/>
        <v>#REF!</v>
      </c>
      <c r="BX106" s="109" t="e">
        <f>IF(AND(IF(OOC!G106="",0,OOC!G106) &gt;= IF(O106="",0,O106), IF(O106="",0,O106) &gt; IF(L106="",0,L106)), "OOC",
IF(AND(IF(M106="",0,M106) &gt; IF(P106="",0,P106), IF(P106="",0,P106) &gt;= IF(OOC!H106="",0,OOC!H106)), "OOC",
IF(IF(O106="",0,O106) &gt; IF(OOC!G106="",0,OOC!G106), "OOS",
IF(IF(OOC!H106="",0,OOC!H106) &gt; IF(P106="",0,P106), "OOS", "OK"))))</f>
        <v>#REF!</v>
      </c>
    </row>
    <row r="107" spans="1:76" ht="15" customHeight="1">
      <c r="A107" s="18">
        <v>40</v>
      </c>
      <c r="B107" s="84"/>
      <c r="C107" s="88" t="s">
        <v>182</v>
      </c>
      <c r="D107" s="22" t="s">
        <v>60</v>
      </c>
      <c r="E107" s="86"/>
      <c r="F107" s="13" t="s">
        <v>28</v>
      </c>
      <c r="G107" s="14">
        <v>1.85</v>
      </c>
      <c r="H107" s="82" t="str">
        <f>IF(OOC!S107=0,"",OOC!S107)</f>
        <v/>
      </c>
      <c r="I107" s="82" t="str">
        <f>IF(OOC!T107=0,"",OOC!T107)</f>
        <v/>
      </c>
      <c r="J107" s="16" t="s">
        <v>12</v>
      </c>
      <c r="K107" s="73" t="s">
        <v>52</v>
      </c>
      <c r="L107" s="19" t="e">
        <f t="shared" si="0"/>
        <v>#VALUE!</v>
      </c>
      <c r="M107" s="25" t="e">
        <f t="shared" si="1"/>
        <v>#VALUE!</v>
      </c>
      <c r="N107" s="29"/>
      <c r="O107" s="3" t="e">
        <f t="shared" si="32"/>
        <v>#REF!</v>
      </c>
      <c r="P107" s="3" t="e">
        <f t="shared" si="33"/>
        <v>#REF!</v>
      </c>
      <c r="Q107" s="3" t="e">
        <f t="shared" si="34"/>
        <v>#REF!</v>
      </c>
      <c r="R107" s="4" t="e">
        <f t="shared" si="35"/>
        <v>#REF!</v>
      </c>
      <c r="S107" s="5" t="e">
        <f t="shared" si="27"/>
        <v>#REF!</v>
      </c>
      <c r="T107" s="76" t="e">
        <f t="shared" si="26"/>
        <v>#REF!</v>
      </c>
      <c r="U107" s="76" t="e">
        <f t="shared" si="3"/>
        <v>#REF!</v>
      </c>
      <c r="V107" s="5" t="e">
        <f t="shared" si="22"/>
        <v>#REF!</v>
      </c>
      <c r="W107" s="5" t="e">
        <f t="shared" si="23"/>
        <v>#REF!</v>
      </c>
      <c r="X107" s="5" t="e">
        <f t="shared" si="24"/>
        <v>#REF!</v>
      </c>
      <c r="Y107" s="70" t="e">
        <f t="shared" si="25"/>
        <v>#REF!</v>
      </c>
      <c r="Z107" s="32" t="e">
        <f t="shared" si="8"/>
        <v>#REF!</v>
      </c>
      <c r="AA107" s="32" t="e">
        <f t="shared" si="9"/>
        <v>#REF!</v>
      </c>
      <c r="AB107" s="32" t="e">
        <f t="shared" si="10"/>
        <v>#REF!</v>
      </c>
      <c r="AC107" s="32" t="e">
        <f t="shared" si="11"/>
        <v>#REF!</v>
      </c>
      <c r="AD107" s="30"/>
      <c r="AE107" s="21" t="str">
        <f t="shared" si="12"/>
        <v/>
      </c>
      <c r="AF107" s="74"/>
      <c r="AG107" s="57"/>
      <c r="AH107" s="57"/>
      <c r="AI107" s="58"/>
      <c r="AJ107" s="20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R107" s="110" t="str">
        <f t="shared" si="28"/>
        <v>53-1</v>
      </c>
      <c r="BS107" s="112">
        <f>OOC!G107</f>
        <v>1.87</v>
      </c>
      <c r="BT107" s="112">
        <f>OOC!H107</f>
        <v>1.83</v>
      </c>
      <c r="BU107" s="3" t="e">
        <f t="shared" si="29"/>
        <v>#REF!</v>
      </c>
      <c r="BV107" s="3" t="e">
        <f t="shared" si="30"/>
        <v>#REF!</v>
      </c>
      <c r="BW107" s="3" t="e">
        <f t="shared" si="31"/>
        <v>#REF!</v>
      </c>
      <c r="BX107" s="109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8">
        <v>40</v>
      </c>
      <c r="B108" s="84"/>
      <c r="C108" s="88" t="s">
        <v>183</v>
      </c>
      <c r="D108" s="22" t="s">
        <v>60</v>
      </c>
      <c r="E108" s="86"/>
      <c r="F108" s="13" t="s">
        <v>28</v>
      </c>
      <c r="G108" s="14">
        <v>1.85</v>
      </c>
      <c r="H108" s="82" t="str">
        <f>IF(OOC!S108=0,"",OOC!S108)</f>
        <v/>
      </c>
      <c r="I108" s="82" t="str">
        <f>IF(OOC!T108=0,"",OOC!T108)</f>
        <v/>
      </c>
      <c r="J108" s="16" t="s">
        <v>12</v>
      </c>
      <c r="K108" s="73" t="s">
        <v>52</v>
      </c>
      <c r="L108" s="19" t="e">
        <f t="shared" si="0"/>
        <v>#VALUE!</v>
      </c>
      <c r="M108" s="25" t="e">
        <f t="shared" si="1"/>
        <v>#VALUE!</v>
      </c>
      <c r="N108" s="29"/>
      <c r="O108" s="3" t="e">
        <f t="shared" si="32"/>
        <v>#REF!</v>
      </c>
      <c r="P108" s="3" t="e">
        <f t="shared" si="33"/>
        <v>#REF!</v>
      </c>
      <c r="Q108" s="3" t="e">
        <f t="shared" si="34"/>
        <v>#REF!</v>
      </c>
      <c r="R108" s="4" t="e">
        <f t="shared" si="35"/>
        <v>#REF!</v>
      </c>
      <c r="S108" s="5" t="e">
        <f t="shared" si="27"/>
        <v>#REF!</v>
      </c>
      <c r="T108" s="76" t="e">
        <f t="shared" si="26"/>
        <v>#REF!</v>
      </c>
      <c r="U108" s="76" t="e">
        <f t="shared" si="3"/>
        <v>#REF!</v>
      </c>
      <c r="V108" s="5" t="e">
        <f t="shared" si="22"/>
        <v>#REF!</v>
      </c>
      <c r="W108" s="5" t="e">
        <f t="shared" si="23"/>
        <v>#REF!</v>
      </c>
      <c r="X108" s="5" t="e">
        <f t="shared" si="24"/>
        <v>#REF!</v>
      </c>
      <c r="Y108" s="70" t="e">
        <f t="shared" si="25"/>
        <v>#REF!</v>
      </c>
      <c r="Z108" s="32" t="e">
        <f t="shared" si="8"/>
        <v>#REF!</v>
      </c>
      <c r="AA108" s="32" t="e">
        <f t="shared" si="9"/>
        <v>#REF!</v>
      </c>
      <c r="AB108" s="32" t="e">
        <f t="shared" si="10"/>
        <v>#REF!</v>
      </c>
      <c r="AC108" s="32" t="e">
        <f t="shared" si="11"/>
        <v>#REF!</v>
      </c>
      <c r="AD108" s="30"/>
      <c r="AE108" s="21" t="str">
        <f t="shared" si="12"/>
        <v/>
      </c>
      <c r="AF108" s="74"/>
      <c r="AG108" s="57"/>
      <c r="AH108" s="57"/>
      <c r="AI108" s="58"/>
      <c r="AJ108" s="20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R108" s="110" t="str">
        <f t="shared" si="28"/>
        <v>53-2</v>
      </c>
      <c r="BS108" s="112">
        <f>OOC!G108</f>
        <v>1.87</v>
      </c>
      <c r="BT108" s="112">
        <f>OOC!H108</f>
        <v>1.83</v>
      </c>
      <c r="BU108" s="3" t="e">
        <f t="shared" si="29"/>
        <v>#REF!</v>
      </c>
      <c r="BV108" s="3" t="e">
        <f t="shared" si="30"/>
        <v>#REF!</v>
      </c>
      <c r="BW108" s="3" t="e">
        <f t="shared" si="31"/>
        <v>#REF!</v>
      </c>
      <c r="BX108" s="109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8"/>
      <c r="B109" s="84"/>
      <c r="C109" s="88"/>
      <c r="D109" s="22"/>
      <c r="E109" s="86"/>
      <c r="F109" s="13"/>
      <c r="G109" s="14"/>
      <c r="H109" s="82"/>
      <c r="I109" s="82"/>
      <c r="J109" s="16"/>
      <c r="K109" s="73"/>
      <c r="L109" s="19"/>
      <c r="M109" s="25"/>
      <c r="N109" s="29"/>
      <c r="O109" s="3"/>
      <c r="P109" s="3"/>
      <c r="Q109" s="3"/>
      <c r="R109" s="4"/>
      <c r="S109" s="5"/>
      <c r="T109" s="76"/>
      <c r="U109" s="76"/>
      <c r="V109" s="5"/>
      <c r="W109" s="5"/>
      <c r="X109" s="5"/>
      <c r="Y109" s="70"/>
      <c r="Z109" s="32"/>
      <c r="AA109" s="32"/>
      <c r="AB109" s="32"/>
      <c r="AC109" s="32"/>
      <c r="AD109" s="30"/>
      <c r="AE109" s="21"/>
      <c r="AF109" s="74"/>
      <c r="AG109" s="57"/>
      <c r="AH109" s="57"/>
      <c r="AI109" s="58"/>
      <c r="AJ109" s="20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R109" s="110"/>
      <c r="BS109" s="112"/>
      <c r="BT109" s="112"/>
      <c r="BU109" s="3"/>
      <c r="BV109" s="3"/>
      <c r="BW109" s="3"/>
      <c r="BX109" s="109"/>
    </row>
    <row r="110" spans="1:76" ht="15" customHeight="1">
      <c r="A110" s="18"/>
      <c r="B110" s="84"/>
      <c r="C110" s="88"/>
      <c r="D110" s="22"/>
      <c r="E110" s="86"/>
      <c r="F110" s="13"/>
      <c r="G110" s="14"/>
      <c r="H110" s="82"/>
      <c r="I110" s="82"/>
      <c r="J110" s="16"/>
      <c r="K110" s="73"/>
      <c r="L110" s="19"/>
      <c r="M110" s="25"/>
      <c r="N110" s="29"/>
      <c r="O110" s="3"/>
      <c r="P110" s="3"/>
      <c r="Q110" s="3"/>
      <c r="R110" s="4"/>
      <c r="S110" s="5"/>
      <c r="T110" s="76"/>
      <c r="U110" s="76"/>
      <c r="V110" s="5"/>
      <c r="W110" s="5"/>
      <c r="X110" s="5"/>
      <c r="Y110" s="70"/>
      <c r="Z110" s="32"/>
      <c r="AA110" s="32"/>
      <c r="AB110" s="32"/>
      <c r="AC110" s="32"/>
      <c r="AD110" s="30"/>
      <c r="AE110" s="21"/>
      <c r="AF110" s="74"/>
      <c r="AG110" s="57"/>
      <c r="AH110" s="57"/>
      <c r="AI110" s="58"/>
      <c r="AJ110" s="20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R110" s="110"/>
      <c r="BS110" s="112"/>
      <c r="BT110" s="112"/>
      <c r="BU110" s="3"/>
      <c r="BV110" s="3"/>
      <c r="BW110" s="3"/>
      <c r="BX110" s="109"/>
    </row>
    <row r="111" spans="1:76" ht="15" customHeight="1">
      <c r="A111" s="18"/>
      <c r="B111" s="84"/>
      <c r="C111" s="88"/>
      <c r="D111" s="22"/>
      <c r="E111" s="86"/>
      <c r="F111" s="13"/>
      <c r="G111" s="14"/>
      <c r="H111" s="82"/>
      <c r="I111" s="82"/>
      <c r="J111" s="16"/>
      <c r="K111" s="73"/>
      <c r="L111" s="19"/>
      <c r="M111" s="25"/>
      <c r="N111" s="29"/>
      <c r="O111" s="3"/>
      <c r="P111" s="3"/>
      <c r="Q111" s="3"/>
      <c r="R111" s="4"/>
      <c r="S111" s="5"/>
      <c r="T111" s="76"/>
      <c r="U111" s="76"/>
      <c r="V111" s="5"/>
      <c r="W111" s="5"/>
      <c r="X111" s="5"/>
      <c r="Y111" s="70"/>
      <c r="Z111" s="32"/>
      <c r="AA111" s="32"/>
      <c r="AB111" s="32"/>
      <c r="AC111" s="32"/>
      <c r="AD111" s="30"/>
      <c r="AE111" s="21"/>
      <c r="AF111" s="74"/>
      <c r="AG111" s="57"/>
      <c r="AH111" s="57"/>
      <c r="AI111" s="58"/>
      <c r="AJ111" s="20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R111" s="110"/>
      <c r="BS111" s="112"/>
      <c r="BT111" s="112"/>
      <c r="BU111" s="3"/>
      <c r="BV111" s="3"/>
      <c r="BW111" s="3"/>
      <c r="BX111" s="109"/>
    </row>
    <row r="112" spans="1:76" ht="15" customHeight="1">
      <c r="A112" s="18"/>
      <c r="B112" s="84"/>
      <c r="C112" s="88"/>
      <c r="D112" s="22"/>
      <c r="E112" s="86"/>
      <c r="F112" s="13"/>
      <c r="G112" s="14"/>
      <c r="H112" s="82"/>
      <c r="I112" s="82"/>
      <c r="J112" s="16"/>
      <c r="K112" s="73"/>
      <c r="L112" s="19"/>
      <c r="M112" s="25"/>
      <c r="N112" s="29"/>
      <c r="O112" s="3"/>
      <c r="P112" s="3"/>
      <c r="Q112" s="3"/>
      <c r="R112" s="4"/>
      <c r="S112" s="5"/>
      <c r="T112" s="76"/>
      <c r="U112" s="76"/>
      <c r="V112" s="5"/>
      <c r="W112" s="5"/>
      <c r="X112" s="5"/>
      <c r="Y112" s="70"/>
      <c r="Z112" s="32"/>
      <c r="AA112" s="32"/>
      <c r="AB112" s="32"/>
      <c r="AC112" s="32"/>
      <c r="AD112" s="30"/>
      <c r="AE112" s="21"/>
      <c r="AF112" s="74"/>
      <c r="AG112" s="57"/>
      <c r="AH112" s="57"/>
      <c r="AI112" s="58"/>
      <c r="AJ112" s="20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R112" s="110"/>
      <c r="BS112" s="112"/>
      <c r="BT112" s="112"/>
      <c r="BU112" s="3"/>
      <c r="BV112" s="3"/>
      <c r="BW112" s="3"/>
      <c r="BX112" s="109"/>
    </row>
    <row r="113" spans="1:76" ht="15" customHeight="1">
      <c r="A113" s="18"/>
      <c r="B113" s="84"/>
      <c r="C113" s="88"/>
      <c r="D113" s="22"/>
      <c r="E113" s="86"/>
      <c r="F113" s="13"/>
      <c r="G113" s="14"/>
      <c r="H113" s="82"/>
      <c r="I113" s="82"/>
      <c r="J113" s="16"/>
      <c r="K113" s="73"/>
      <c r="L113" s="19"/>
      <c r="M113" s="25"/>
      <c r="N113" s="29"/>
      <c r="O113" s="3"/>
      <c r="P113" s="3"/>
      <c r="Q113" s="3"/>
      <c r="R113" s="4"/>
      <c r="S113" s="5"/>
      <c r="T113" s="76"/>
      <c r="U113" s="76"/>
      <c r="V113" s="5"/>
      <c r="W113" s="5"/>
      <c r="X113" s="5"/>
      <c r="Y113" s="70"/>
      <c r="Z113" s="32"/>
      <c r="AA113" s="32"/>
      <c r="AB113" s="32"/>
      <c r="AC113" s="32"/>
      <c r="AD113" s="30"/>
      <c r="AE113" s="21"/>
      <c r="AF113" s="74"/>
      <c r="AG113" s="57"/>
      <c r="AH113" s="57"/>
      <c r="AI113" s="58"/>
      <c r="AJ113" s="20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R113" s="110"/>
      <c r="BS113" s="112"/>
      <c r="BT113" s="112"/>
      <c r="BU113" s="3"/>
      <c r="BV113" s="3"/>
      <c r="BW113" s="3"/>
      <c r="BX113" s="109"/>
    </row>
    <row r="114" spans="1:76" ht="15" customHeight="1">
      <c r="A114" s="18"/>
      <c r="B114" s="84"/>
      <c r="C114" s="88"/>
      <c r="D114" s="22"/>
      <c r="E114" s="86"/>
      <c r="F114" s="13"/>
      <c r="G114" s="14"/>
      <c r="H114" s="82"/>
      <c r="I114" s="82"/>
      <c r="J114" s="16"/>
      <c r="K114" s="73"/>
      <c r="L114" s="19"/>
      <c r="M114" s="25"/>
      <c r="N114" s="29"/>
      <c r="O114" s="3"/>
      <c r="P114" s="3"/>
      <c r="Q114" s="3"/>
      <c r="R114" s="4"/>
      <c r="S114" s="5"/>
      <c r="T114" s="76"/>
      <c r="U114" s="76"/>
      <c r="V114" s="5"/>
      <c r="W114" s="5"/>
      <c r="X114" s="5"/>
      <c r="Y114" s="70"/>
      <c r="Z114" s="32"/>
      <c r="AA114" s="32"/>
      <c r="AB114" s="32"/>
      <c r="AC114" s="32"/>
      <c r="AD114" s="30"/>
      <c r="AE114" s="21"/>
      <c r="AF114" s="74"/>
      <c r="AG114" s="57"/>
      <c r="AH114" s="57"/>
      <c r="AI114" s="58"/>
      <c r="AJ114" s="20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0"/>
      <c r="BS114" s="112"/>
      <c r="BT114" s="112"/>
      <c r="BU114" s="3"/>
      <c r="BV114" s="3"/>
      <c r="BW114" s="3"/>
      <c r="BX114" s="109"/>
    </row>
    <row r="115" spans="1:76" ht="15" customHeight="1">
      <c r="A115" s="18"/>
      <c r="B115" s="84"/>
      <c r="C115" s="88"/>
      <c r="D115" s="22"/>
      <c r="E115" s="86"/>
      <c r="F115" s="13"/>
      <c r="G115" s="14"/>
      <c r="H115" s="82"/>
      <c r="I115" s="82"/>
      <c r="J115" s="16"/>
      <c r="K115" s="73"/>
      <c r="L115" s="19"/>
      <c r="M115" s="25"/>
      <c r="N115" s="29"/>
      <c r="O115" s="3"/>
      <c r="P115" s="3"/>
      <c r="Q115" s="3"/>
      <c r="R115" s="4"/>
      <c r="S115" s="5"/>
      <c r="T115" s="76"/>
      <c r="U115" s="76"/>
      <c r="V115" s="5"/>
      <c r="W115" s="5"/>
      <c r="X115" s="5"/>
      <c r="Y115" s="70"/>
      <c r="Z115" s="32"/>
      <c r="AA115" s="32"/>
      <c r="AB115" s="32"/>
      <c r="AC115" s="32"/>
      <c r="AD115" s="30"/>
      <c r="AE115" s="21"/>
      <c r="AF115" s="74"/>
      <c r="AG115" s="57"/>
      <c r="AH115" s="57"/>
      <c r="AI115" s="58"/>
      <c r="AJ115" s="20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R115" s="110"/>
      <c r="BS115" s="112"/>
      <c r="BT115" s="112"/>
      <c r="BU115" s="3"/>
      <c r="BV115" s="3"/>
      <c r="BW115" s="3"/>
      <c r="BX115" s="109"/>
    </row>
    <row r="116" spans="1:76" ht="15" customHeight="1">
      <c r="A116" s="18"/>
      <c r="B116" s="84"/>
      <c r="C116" s="88"/>
      <c r="D116" s="22"/>
      <c r="E116" s="86"/>
      <c r="F116" s="13"/>
      <c r="G116" s="14"/>
      <c r="H116" s="82"/>
      <c r="I116" s="82"/>
      <c r="J116" s="16"/>
      <c r="K116" s="73"/>
      <c r="L116" s="19"/>
      <c r="M116" s="25"/>
      <c r="N116" s="29"/>
      <c r="O116" s="3"/>
      <c r="P116" s="3"/>
      <c r="Q116" s="3"/>
      <c r="R116" s="4"/>
      <c r="S116" s="5"/>
      <c r="T116" s="76"/>
      <c r="U116" s="76"/>
      <c r="V116" s="5"/>
      <c r="W116" s="5"/>
      <c r="X116" s="5"/>
      <c r="Y116" s="70"/>
      <c r="Z116" s="32"/>
      <c r="AA116" s="32"/>
      <c r="AB116" s="32"/>
      <c r="AC116" s="32"/>
      <c r="AD116" s="30"/>
      <c r="AE116" s="21"/>
      <c r="AF116" s="74"/>
      <c r="AG116" s="57"/>
      <c r="AH116" s="57"/>
      <c r="AI116" s="58"/>
      <c r="AJ116" s="20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0"/>
      <c r="BS116" s="112"/>
      <c r="BT116" s="112"/>
      <c r="BU116" s="3"/>
      <c r="BV116" s="3"/>
      <c r="BW116" s="3"/>
      <c r="BX116" s="109"/>
    </row>
    <row r="117" spans="1:76" ht="15" customHeight="1">
      <c r="A117" s="18"/>
      <c r="B117" s="84"/>
      <c r="C117" s="88"/>
      <c r="D117" s="22"/>
      <c r="E117" s="86"/>
      <c r="F117" s="13"/>
      <c r="G117" s="14"/>
      <c r="H117" s="82"/>
      <c r="I117" s="82"/>
      <c r="J117" s="16"/>
      <c r="K117" s="73"/>
      <c r="L117" s="19"/>
      <c r="M117" s="25"/>
      <c r="N117" s="29"/>
      <c r="O117" s="3"/>
      <c r="P117" s="3"/>
      <c r="Q117" s="3"/>
      <c r="R117" s="4"/>
      <c r="S117" s="5"/>
      <c r="T117" s="76"/>
      <c r="U117" s="76"/>
      <c r="V117" s="5"/>
      <c r="W117" s="5"/>
      <c r="X117" s="5"/>
      <c r="Y117" s="70"/>
      <c r="Z117" s="32"/>
      <c r="AA117" s="32"/>
      <c r="AB117" s="32"/>
      <c r="AC117" s="32"/>
      <c r="AD117" s="30"/>
      <c r="AE117" s="21"/>
      <c r="AF117" s="74"/>
      <c r="AG117" s="57"/>
      <c r="AH117" s="57"/>
      <c r="AI117" s="58"/>
      <c r="AJ117" s="20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0"/>
      <c r="BS117" s="112"/>
      <c r="BT117" s="112"/>
      <c r="BU117" s="3"/>
      <c r="BV117" s="3"/>
      <c r="BW117" s="3"/>
      <c r="BX117" s="109"/>
    </row>
    <row r="118" spans="1:76" ht="15" customHeight="1">
      <c r="A118" s="18"/>
      <c r="B118" s="84"/>
      <c r="C118" s="88"/>
      <c r="D118" s="22"/>
      <c r="E118" s="86"/>
      <c r="F118" s="13"/>
      <c r="G118" s="14"/>
      <c r="H118" s="82"/>
      <c r="I118" s="82"/>
      <c r="J118" s="16"/>
      <c r="K118" s="73"/>
      <c r="L118" s="19"/>
      <c r="M118" s="25"/>
      <c r="N118" s="29"/>
      <c r="O118" s="3"/>
      <c r="P118" s="3"/>
      <c r="Q118" s="3"/>
      <c r="R118" s="4"/>
      <c r="S118" s="5"/>
      <c r="T118" s="76"/>
      <c r="U118" s="76"/>
      <c r="V118" s="5"/>
      <c r="W118" s="5"/>
      <c r="X118" s="5"/>
      <c r="Y118" s="70"/>
      <c r="Z118" s="32"/>
      <c r="AA118" s="32"/>
      <c r="AB118" s="32"/>
      <c r="AC118" s="32"/>
      <c r="AD118" s="30"/>
      <c r="AE118" s="21"/>
      <c r="AF118" s="74"/>
      <c r="AG118" s="57"/>
      <c r="AH118" s="57"/>
      <c r="AI118" s="58"/>
      <c r="AJ118" s="20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0"/>
      <c r="BS118" s="112"/>
      <c r="BT118" s="112"/>
      <c r="BU118" s="3"/>
      <c r="BV118" s="3"/>
      <c r="BW118" s="3"/>
      <c r="BX118" s="109"/>
    </row>
    <row r="119" spans="1:76" ht="15" customHeight="1">
      <c r="A119" s="18"/>
      <c r="B119" s="84"/>
      <c r="C119" s="88"/>
      <c r="D119" s="22"/>
      <c r="E119" s="86"/>
      <c r="F119" s="13"/>
      <c r="G119" s="14"/>
      <c r="H119" s="82"/>
      <c r="I119" s="82"/>
      <c r="J119" s="16"/>
      <c r="K119" s="73"/>
      <c r="L119" s="19"/>
      <c r="M119" s="25"/>
      <c r="N119" s="29"/>
      <c r="O119" s="3"/>
      <c r="P119" s="3"/>
      <c r="Q119" s="3"/>
      <c r="R119" s="4"/>
      <c r="S119" s="5"/>
      <c r="T119" s="76"/>
      <c r="U119" s="76"/>
      <c r="V119" s="5"/>
      <c r="W119" s="5"/>
      <c r="X119" s="5"/>
      <c r="Y119" s="70"/>
      <c r="Z119" s="32"/>
      <c r="AA119" s="32"/>
      <c r="AB119" s="32"/>
      <c r="AC119" s="32"/>
      <c r="AD119" s="30"/>
      <c r="AE119" s="21"/>
      <c r="AF119" s="74"/>
      <c r="AG119" s="57"/>
      <c r="AH119" s="57"/>
      <c r="AI119" s="58"/>
      <c r="AJ119" s="20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0"/>
      <c r="BS119" s="112"/>
      <c r="BT119" s="112"/>
      <c r="BU119" s="3"/>
      <c r="BV119" s="3"/>
      <c r="BW119" s="3"/>
      <c r="BX119" s="109"/>
    </row>
    <row r="120" spans="1:76" ht="15" customHeight="1">
      <c r="A120" s="18"/>
      <c r="B120" s="84"/>
      <c r="C120" s="88"/>
      <c r="D120" s="22"/>
      <c r="E120" s="86"/>
      <c r="F120" s="13"/>
      <c r="G120" s="14"/>
      <c r="H120" s="82"/>
      <c r="I120" s="82"/>
      <c r="J120" s="16"/>
      <c r="K120" s="73"/>
      <c r="L120" s="19"/>
      <c r="M120" s="25"/>
      <c r="N120" s="29"/>
      <c r="O120" s="3"/>
      <c r="P120" s="3"/>
      <c r="Q120" s="3"/>
      <c r="R120" s="4"/>
      <c r="S120" s="5"/>
      <c r="T120" s="76"/>
      <c r="U120" s="76"/>
      <c r="V120" s="5"/>
      <c r="W120" s="5"/>
      <c r="X120" s="5"/>
      <c r="Y120" s="70"/>
      <c r="Z120" s="32"/>
      <c r="AA120" s="32"/>
      <c r="AB120" s="32"/>
      <c r="AC120" s="32"/>
      <c r="AD120" s="30"/>
      <c r="AE120" s="21"/>
      <c r="AF120" s="74"/>
      <c r="AG120" s="57"/>
      <c r="AH120" s="57"/>
      <c r="AI120" s="58"/>
      <c r="AJ120" s="20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0"/>
      <c r="BS120" s="112"/>
      <c r="BT120" s="112"/>
      <c r="BU120" s="3"/>
      <c r="BV120" s="3"/>
      <c r="BW120" s="3"/>
      <c r="BX120" s="109"/>
    </row>
    <row r="121" spans="1:76" ht="15" customHeight="1">
      <c r="A121" s="18">
        <v>40</v>
      </c>
      <c r="B121" s="84" t="s">
        <v>164</v>
      </c>
      <c r="C121" s="88">
        <v>56</v>
      </c>
      <c r="D121" s="22" t="s">
        <v>60</v>
      </c>
      <c r="E121" s="86">
        <v>1.33</v>
      </c>
      <c r="F121" s="13" t="s">
        <v>28</v>
      </c>
      <c r="G121" s="14">
        <v>0.47</v>
      </c>
      <c r="H121" s="82" t="str">
        <f>IF(OOC!S121=0,"",OOC!S121)</f>
        <v/>
      </c>
      <c r="I121" s="82" t="str">
        <f>IF(OOC!T121=0,"",OOC!T121)</f>
        <v/>
      </c>
      <c r="J121" s="16" t="s">
        <v>12</v>
      </c>
      <c r="K121" s="73" t="s">
        <v>52</v>
      </c>
      <c r="L121" s="19" t="e">
        <f t="shared" si="0"/>
        <v>#VALUE!</v>
      </c>
      <c r="M121" s="25" t="e">
        <f t="shared" si="1"/>
        <v>#VALUE!</v>
      </c>
      <c r="N121" s="29"/>
      <c r="O121" s="3" t="e">
        <f t="shared" si="32"/>
        <v>#REF!</v>
      </c>
      <c r="P121" s="3" t="e">
        <f t="shared" si="33"/>
        <v>#REF!</v>
      </c>
      <c r="Q121" s="3" t="e">
        <f t="shared" si="34"/>
        <v>#REF!</v>
      </c>
      <c r="R121" s="4" t="e">
        <f t="shared" si="35"/>
        <v>#REF!</v>
      </c>
      <c r="S121" s="5" t="e">
        <f t="shared" si="27"/>
        <v>#REF!</v>
      </c>
      <c r="T121" s="76" t="e">
        <f t="shared" si="26"/>
        <v>#REF!</v>
      </c>
      <c r="U121" s="76" t="e">
        <f t="shared" si="3"/>
        <v>#REF!</v>
      </c>
      <c r="V121" s="5" t="e">
        <f t="shared" si="22"/>
        <v>#REF!</v>
      </c>
      <c r="W121" s="5" t="e">
        <f t="shared" si="23"/>
        <v>#REF!</v>
      </c>
      <c r="X121" s="5" t="e">
        <f t="shared" si="24"/>
        <v>#REF!</v>
      </c>
      <c r="Y121" s="70" t="e">
        <f t="shared" si="25"/>
        <v>#REF!</v>
      </c>
      <c r="Z121" s="32" t="e">
        <f t="shared" si="8"/>
        <v>#REF!</v>
      </c>
      <c r="AA121" s="32" t="e">
        <f t="shared" si="9"/>
        <v>#REF!</v>
      </c>
      <c r="AB121" s="32" t="e">
        <f t="shared" si="10"/>
        <v>#REF!</v>
      </c>
      <c r="AC121" s="32" t="e">
        <f t="shared" si="11"/>
        <v>#REF!</v>
      </c>
      <c r="AD121" s="30"/>
      <c r="AE121" s="21" t="str">
        <f t="shared" si="12"/>
        <v/>
      </c>
      <c r="AF121" s="74"/>
      <c r="AG121" s="57"/>
      <c r="AH121" s="57"/>
      <c r="AI121" s="58"/>
      <c r="AJ121" s="20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 t="e">
        <f>#REF!</f>
        <v>#REF!</v>
      </c>
      <c r="AO121" s="2" t="e">
        <f>#REF!</f>
        <v>#REF!</v>
      </c>
      <c r="AP121" s="2" t="e">
        <f>#REF!</f>
        <v>#REF!</v>
      </c>
      <c r="AQ121" s="2" t="e">
        <f>#REF!</f>
        <v>#REF!</v>
      </c>
      <c r="AR121" s="2" t="e">
        <f>#REF!</f>
        <v>#REF!</v>
      </c>
      <c r="AS121" s="2" t="e">
        <f>#REF!</f>
        <v>#REF!</v>
      </c>
      <c r="AT121" s="2" t="e">
        <f>#REF!</f>
        <v>#REF!</v>
      </c>
      <c r="AU121" s="2" t="e">
        <f>#REF!</f>
        <v>#REF!</v>
      </c>
      <c r="AV121" s="2" t="e">
        <f>#REF!</f>
        <v>#REF!</v>
      </c>
      <c r="AW121" s="2" t="e">
        <f>#REF!</f>
        <v>#REF!</v>
      </c>
      <c r="AX121" s="2" t="e">
        <f>#REF!</f>
        <v>#REF!</v>
      </c>
      <c r="AY121" s="2" t="e">
        <f>#REF!</f>
        <v>#REF!</v>
      </c>
      <c r="AZ121" s="2" t="e">
        <f>#REF!</f>
        <v>#REF!</v>
      </c>
      <c r="BA121" s="2" t="e">
        <f>#REF!</f>
        <v>#REF!</v>
      </c>
      <c r="BB121" s="2" t="e">
        <f>#REF!</f>
        <v>#REF!</v>
      </c>
      <c r="BC121" s="2" t="e">
        <f>#REF!</f>
        <v>#REF!</v>
      </c>
      <c r="BD121" s="2" t="e">
        <f>#REF!</f>
        <v>#REF!</v>
      </c>
      <c r="BE121" s="2" t="e">
        <f>#REF!</f>
        <v>#REF!</v>
      </c>
      <c r="BF121" s="2" t="e">
        <f>#REF!</f>
        <v>#REF!</v>
      </c>
      <c r="BG121" s="2" t="e">
        <f>#REF!</f>
        <v>#REF!</v>
      </c>
      <c r="BH121" s="2" t="e">
        <f>#REF!</f>
        <v>#REF!</v>
      </c>
      <c r="BI121" s="2" t="e">
        <f>#REF!</f>
        <v>#REF!</v>
      </c>
      <c r="BJ121" s="2" t="e">
        <f>#REF!</f>
        <v>#REF!</v>
      </c>
      <c r="BK121" s="2" t="e">
        <f>#REF!</f>
        <v>#REF!</v>
      </c>
      <c r="BL121" s="2" t="e">
        <f>#REF!</f>
        <v>#REF!</v>
      </c>
      <c r="BM121" s="2" t="e">
        <f>#REF!</f>
        <v>#REF!</v>
      </c>
      <c r="BN121" s="2" t="e">
        <f>#REF!</f>
        <v>#REF!</v>
      </c>
      <c r="BO121" s="2" t="e">
        <f>#REF!</f>
        <v>#REF!</v>
      </c>
      <c r="BP121" s="2" t="e">
        <f>#REF!</f>
        <v>#REF!</v>
      </c>
      <c r="BR121" s="110">
        <f t="shared" si="28"/>
        <v>56</v>
      </c>
      <c r="BS121" s="112">
        <f>OOC!G121</f>
        <v>0.48</v>
      </c>
      <c r="BT121" s="112">
        <f>OOC!H121</f>
        <v>0.43999999999999995</v>
      </c>
      <c r="BU121" s="3" t="e">
        <f t="shared" si="29"/>
        <v>#REF!</v>
      </c>
      <c r="BV121" s="3" t="e">
        <f t="shared" si="30"/>
        <v>#REF!</v>
      </c>
      <c r="BW121" s="3" t="e">
        <f t="shared" si="31"/>
        <v>#REF!</v>
      </c>
      <c r="BX121" s="109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8">
        <v>41</v>
      </c>
      <c r="B122" s="84" t="s">
        <v>165</v>
      </c>
      <c r="C122" s="88">
        <v>57</v>
      </c>
      <c r="D122" s="22" t="s">
        <v>60</v>
      </c>
      <c r="E122" s="86">
        <v>1.33</v>
      </c>
      <c r="F122" s="13" t="s">
        <v>28</v>
      </c>
      <c r="G122" s="14">
        <v>0.25</v>
      </c>
      <c r="H122" s="82" t="str">
        <f>IF(OOC!S122=0,"",OOC!S122)</f>
        <v/>
      </c>
      <c r="I122" s="82" t="str">
        <f>IF(OOC!T122=0,"",OOC!T122)</f>
        <v/>
      </c>
      <c r="J122" s="16" t="s">
        <v>12</v>
      </c>
      <c r="K122" s="73" t="s">
        <v>52</v>
      </c>
      <c r="L122" s="19" t="e">
        <f t="shared" si="0"/>
        <v>#VALUE!</v>
      </c>
      <c r="M122" s="25" t="e">
        <f t="shared" si="1"/>
        <v>#VALUE!</v>
      </c>
      <c r="N122" s="29"/>
      <c r="O122" s="3" t="e">
        <f t="shared" si="32"/>
        <v>#REF!</v>
      </c>
      <c r="P122" s="3" t="e">
        <f t="shared" si="33"/>
        <v>#REF!</v>
      </c>
      <c r="Q122" s="3" t="e">
        <f t="shared" si="34"/>
        <v>#REF!</v>
      </c>
      <c r="R122" s="4" t="e">
        <f t="shared" si="35"/>
        <v>#REF!</v>
      </c>
      <c r="S122" s="5" t="e">
        <f t="shared" si="27"/>
        <v>#REF!</v>
      </c>
      <c r="T122" s="76" t="e">
        <f t="shared" si="26"/>
        <v>#REF!</v>
      </c>
      <c r="U122" s="76" t="e">
        <f t="shared" si="3"/>
        <v>#REF!</v>
      </c>
      <c r="V122" s="5" t="e">
        <f t="shared" si="22"/>
        <v>#REF!</v>
      </c>
      <c r="W122" s="5" t="e">
        <f t="shared" si="23"/>
        <v>#REF!</v>
      </c>
      <c r="X122" s="5" t="e">
        <f t="shared" si="24"/>
        <v>#REF!</v>
      </c>
      <c r="Y122" s="70" t="e">
        <f t="shared" si="25"/>
        <v>#REF!</v>
      </c>
      <c r="Z122" s="32" t="e">
        <f t="shared" si="8"/>
        <v>#REF!</v>
      </c>
      <c r="AA122" s="32" t="e">
        <f t="shared" si="9"/>
        <v>#REF!</v>
      </c>
      <c r="AB122" s="32" t="e">
        <f t="shared" si="10"/>
        <v>#REF!</v>
      </c>
      <c r="AC122" s="32" t="e">
        <f t="shared" si="11"/>
        <v>#REF!</v>
      </c>
      <c r="AD122" s="30"/>
      <c r="AE122" s="21" t="str">
        <f t="shared" si="12"/>
        <v/>
      </c>
      <c r="AF122" s="74"/>
      <c r="AG122" s="57"/>
      <c r="AH122" s="57"/>
      <c r="AI122" s="58"/>
      <c r="AJ122" s="20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0">
        <f t="shared" si="28"/>
        <v>57</v>
      </c>
      <c r="BS122" s="112">
        <f>OOC!G122</f>
        <v>0.26</v>
      </c>
      <c r="BT122" s="112">
        <f>OOC!H122</f>
        <v>0.22</v>
      </c>
      <c r="BU122" s="3" t="e">
        <f t="shared" si="29"/>
        <v>#REF!</v>
      </c>
      <c r="BV122" s="3" t="e">
        <f t="shared" si="30"/>
        <v>#REF!</v>
      </c>
      <c r="BW122" s="3" t="e">
        <f t="shared" si="31"/>
        <v>#REF!</v>
      </c>
      <c r="BX122" s="109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8">
        <v>42</v>
      </c>
      <c r="B123" s="84" t="s">
        <v>166</v>
      </c>
      <c r="C123" s="88" t="s">
        <v>69</v>
      </c>
      <c r="D123" s="22" t="s">
        <v>60</v>
      </c>
      <c r="E123" s="86">
        <v>1.33</v>
      </c>
      <c r="F123" s="13" t="s">
        <v>28</v>
      </c>
      <c r="G123" s="14">
        <v>0.41099999999999998</v>
      </c>
      <c r="H123" s="82" t="str">
        <f>IF(OOC!S123=0,"",OOC!S123)</f>
        <v/>
      </c>
      <c r="I123" s="82" t="str">
        <f>IF(OOC!T123=0,"",OOC!T123)</f>
        <v/>
      </c>
      <c r="J123" s="16" t="s">
        <v>12</v>
      </c>
      <c r="K123" s="73" t="s">
        <v>52</v>
      </c>
      <c r="L123" s="19" t="e">
        <f t="shared" si="0"/>
        <v>#VALUE!</v>
      </c>
      <c r="M123" s="25" t="e">
        <f t="shared" si="1"/>
        <v>#VALUE!</v>
      </c>
      <c r="N123" s="29"/>
      <c r="O123" s="3" t="e">
        <f t="shared" si="32"/>
        <v>#REF!</v>
      </c>
      <c r="P123" s="3" t="e">
        <f t="shared" si="33"/>
        <v>#REF!</v>
      </c>
      <c r="Q123" s="3" t="e">
        <f t="shared" si="34"/>
        <v>#REF!</v>
      </c>
      <c r="R123" s="4" t="e">
        <f t="shared" si="35"/>
        <v>#REF!</v>
      </c>
      <c r="S123" s="5" t="e">
        <f t="shared" si="27"/>
        <v>#REF!</v>
      </c>
      <c r="T123" s="76" t="e">
        <f t="shared" si="26"/>
        <v>#REF!</v>
      </c>
      <c r="U123" s="76" t="e">
        <f t="shared" si="3"/>
        <v>#REF!</v>
      </c>
      <c r="V123" s="5" t="e">
        <f t="shared" si="22"/>
        <v>#REF!</v>
      </c>
      <c r="W123" s="5" t="e">
        <f t="shared" si="23"/>
        <v>#REF!</v>
      </c>
      <c r="X123" s="5" t="e">
        <f t="shared" si="24"/>
        <v>#REF!</v>
      </c>
      <c r="Y123" s="70" t="e">
        <f t="shared" si="25"/>
        <v>#REF!</v>
      </c>
      <c r="Z123" s="32" t="e">
        <f t="shared" si="8"/>
        <v>#REF!</v>
      </c>
      <c r="AA123" s="32" t="e">
        <f t="shared" si="9"/>
        <v>#REF!</v>
      </c>
      <c r="AB123" s="32" t="e">
        <f t="shared" si="10"/>
        <v>#REF!</v>
      </c>
      <c r="AC123" s="32" t="e">
        <f t="shared" si="11"/>
        <v>#REF!</v>
      </c>
      <c r="AD123" s="30"/>
      <c r="AE123" s="21" t="str">
        <f t="shared" si="12"/>
        <v/>
      </c>
      <c r="AF123" s="74"/>
      <c r="AG123" s="57"/>
      <c r="AH123" s="57"/>
      <c r="AI123" s="58"/>
      <c r="AJ123" s="20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0" t="str">
        <f t="shared" si="28"/>
        <v>58-1</v>
      </c>
      <c r="BS123" s="112">
        <f>OOC!G123</f>
        <v>0.42099999999999999</v>
      </c>
      <c r="BT123" s="112">
        <f>OOC!H123</f>
        <v>0.38100000000000001</v>
      </c>
      <c r="BU123" s="3" t="e">
        <f t="shared" si="29"/>
        <v>#REF!</v>
      </c>
      <c r="BV123" s="3" t="e">
        <f t="shared" si="30"/>
        <v>#REF!</v>
      </c>
      <c r="BW123" s="3" t="e">
        <f t="shared" si="31"/>
        <v>#REF!</v>
      </c>
      <c r="BX123" s="109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8">
        <v>43</v>
      </c>
      <c r="B124" s="84" t="s">
        <v>166</v>
      </c>
      <c r="C124" s="88" t="s">
        <v>70</v>
      </c>
      <c r="D124" s="22" t="s">
        <v>60</v>
      </c>
      <c r="E124" s="86">
        <v>1.33</v>
      </c>
      <c r="F124" s="13" t="s">
        <v>28</v>
      </c>
      <c r="G124" s="14">
        <v>0.41099999999999998</v>
      </c>
      <c r="H124" s="82" t="str">
        <f>IF(OOC!S124=0,"",OOC!S124)</f>
        <v/>
      </c>
      <c r="I124" s="82" t="str">
        <f>IF(OOC!T124=0,"",OOC!T124)</f>
        <v/>
      </c>
      <c r="J124" s="16" t="s">
        <v>12</v>
      </c>
      <c r="K124" s="73" t="s">
        <v>52</v>
      </c>
      <c r="L124" s="19" t="e">
        <f t="shared" si="0"/>
        <v>#VALUE!</v>
      </c>
      <c r="M124" s="25" t="e">
        <f t="shared" si="1"/>
        <v>#VALUE!</v>
      </c>
      <c r="N124" s="29"/>
      <c r="O124" s="3" t="e">
        <f t="shared" si="32"/>
        <v>#REF!</v>
      </c>
      <c r="P124" s="3" t="e">
        <f t="shared" si="33"/>
        <v>#REF!</v>
      </c>
      <c r="Q124" s="3" t="e">
        <f t="shared" si="34"/>
        <v>#REF!</v>
      </c>
      <c r="R124" s="4" t="e">
        <f t="shared" si="35"/>
        <v>#REF!</v>
      </c>
      <c r="S124" s="5" t="e">
        <f t="shared" si="27"/>
        <v>#REF!</v>
      </c>
      <c r="T124" s="76" t="e">
        <f t="shared" si="26"/>
        <v>#REF!</v>
      </c>
      <c r="U124" s="76" t="e">
        <f t="shared" si="3"/>
        <v>#REF!</v>
      </c>
      <c r="V124" s="5" t="e">
        <f t="shared" si="22"/>
        <v>#REF!</v>
      </c>
      <c r="W124" s="5" t="e">
        <f t="shared" si="23"/>
        <v>#REF!</v>
      </c>
      <c r="X124" s="5" t="e">
        <f t="shared" si="24"/>
        <v>#REF!</v>
      </c>
      <c r="Y124" s="70" t="e">
        <f t="shared" si="25"/>
        <v>#REF!</v>
      </c>
      <c r="Z124" s="32" t="e">
        <f t="shared" si="8"/>
        <v>#REF!</v>
      </c>
      <c r="AA124" s="32" t="e">
        <f t="shared" si="9"/>
        <v>#REF!</v>
      </c>
      <c r="AB124" s="32" t="e">
        <f t="shared" si="10"/>
        <v>#REF!</v>
      </c>
      <c r="AC124" s="32" t="e">
        <f t="shared" si="11"/>
        <v>#REF!</v>
      </c>
      <c r="AD124" s="30"/>
      <c r="AE124" s="21" t="str">
        <f t="shared" si="12"/>
        <v/>
      </c>
      <c r="AF124" s="74"/>
      <c r="AG124" s="57"/>
      <c r="AH124" s="57"/>
      <c r="AI124" s="58"/>
      <c r="AJ124" s="20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0" t="str">
        <f t="shared" si="28"/>
        <v>58-2</v>
      </c>
      <c r="BS124" s="112">
        <f>OOC!G124</f>
        <v>0.42099999999999999</v>
      </c>
      <c r="BT124" s="112">
        <f>OOC!H124</f>
        <v>0.38100000000000001</v>
      </c>
      <c r="BU124" s="3" t="e">
        <f t="shared" si="29"/>
        <v>#REF!</v>
      </c>
      <c r="BV124" s="3" t="e">
        <f t="shared" si="30"/>
        <v>#REF!</v>
      </c>
      <c r="BW124" s="3" t="e">
        <f t="shared" si="31"/>
        <v>#REF!</v>
      </c>
      <c r="BX124" s="109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8">
        <v>44</v>
      </c>
      <c r="B125" s="84" t="s">
        <v>167</v>
      </c>
      <c r="C125" s="88" t="s">
        <v>184</v>
      </c>
      <c r="D125" s="22" t="s">
        <v>60</v>
      </c>
      <c r="E125" s="86">
        <v>1.33</v>
      </c>
      <c r="F125" s="13" t="s">
        <v>28</v>
      </c>
      <c r="G125" s="14">
        <v>0.17</v>
      </c>
      <c r="H125" s="82" t="str">
        <f>IF(OOC!S125=0,"",OOC!S125)</f>
        <v/>
      </c>
      <c r="I125" s="82" t="str">
        <f>IF(OOC!T125=0,"",OOC!T125)</f>
        <v/>
      </c>
      <c r="J125" s="16" t="s">
        <v>12</v>
      </c>
      <c r="K125" s="73" t="s">
        <v>52</v>
      </c>
      <c r="L125" s="19" t="e">
        <f t="shared" si="0"/>
        <v>#VALUE!</v>
      </c>
      <c r="M125" s="25" t="e">
        <f t="shared" si="1"/>
        <v>#VALUE!</v>
      </c>
      <c r="N125" s="29"/>
      <c r="O125" s="3" t="e">
        <f t="shared" si="32"/>
        <v>#REF!</v>
      </c>
      <c r="P125" s="3" t="e">
        <f t="shared" si="33"/>
        <v>#REF!</v>
      </c>
      <c r="Q125" s="3" t="e">
        <f t="shared" si="34"/>
        <v>#REF!</v>
      </c>
      <c r="R125" s="4" t="e">
        <f t="shared" si="35"/>
        <v>#REF!</v>
      </c>
      <c r="S125" s="5" t="e">
        <f t="shared" si="27"/>
        <v>#REF!</v>
      </c>
      <c r="T125" s="76" t="e">
        <f t="shared" si="26"/>
        <v>#REF!</v>
      </c>
      <c r="U125" s="76" t="e">
        <f t="shared" si="3"/>
        <v>#REF!</v>
      </c>
      <c r="V125" s="5" t="e">
        <f t="shared" si="22"/>
        <v>#REF!</v>
      </c>
      <c r="W125" s="5" t="e">
        <f t="shared" si="23"/>
        <v>#REF!</v>
      </c>
      <c r="X125" s="5" t="e">
        <f t="shared" si="24"/>
        <v>#REF!</v>
      </c>
      <c r="Y125" s="70" t="e">
        <f t="shared" si="25"/>
        <v>#REF!</v>
      </c>
      <c r="Z125" s="32" t="e">
        <f t="shared" si="8"/>
        <v>#REF!</v>
      </c>
      <c r="AA125" s="32" t="e">
        <f t="shared" si="9"/>
        <v>#REF!</v>
      </c>
      <c r="AB125" s="32" t="e">
        <f t="shared" si="10"/>
        <v>#REF!</v>
      </c>
      <c r="AC125" s="32" t="e">
        <f t="shared" si="11"/>
        <v>#REF!</v>
      </c>
      <c r="AD125" s="30"/>
      <c r="AE125" s="21" t="str">
        <f t="shared" si="12"/>
        <v/>
      </c>
      <c r="AF125" s="74"/>
      <c r="AG125" s="57"/>
      <c r="AH125" s="57"/>
      <c r="AI125" s="58"/>
      <c r="AJ125" s="20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0" t="str">
        <f t="shared" si="28"/>
        <v>59-1</v>
      </c>
      <c r="BS125" s="112">
        <f>OOC!G125</f>
        <v>0.19</v>
      </c>
      <c r="BT125" s="112">
        <f>OOC!H125</f>
        <v>0.15000000000000002</v>
      </c>
      <c r="BU125" s="3" t="e">
        <f t="shared" si="29"/>
        <v>#REF!</v>
      </c>
      <c r="BV125" s="3" t="e">
        <f t="shared" si="30"/>
        <v>#REF!</v>
      </c>
      <c r="BW125" s="3" t="e">
        <f t="shared" si="31"/>
        <v>#REF!</v>
      </c>
      <c r="BX125" s="109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8">
        <v>44</v>
      </c>
      <c r="B126" s="84" t="s">
        <v>167</v>
      </c>
      <c r="C126" s="88" t="s">
        <v>185</v>
      </c>
      <c r="D126" s="22" t="s">
        <v>60</v>
      </c>
      <c r="E126" s="86">
        <v>1.33</v>
      </c>
      <c r="F126" s="13" t="s">
        <v>28</v>
      </c>
      <c r="G126" s="14">
        <v>0.17</v>
      </c>
      <c r="H126" s="82" t="str">
        <f>IF(OOC!S126=0,"",OOC!S126)</f>
        <v/>
      </c>
      <c r="I126" s="82" t="str">
        <f>IF(OOC!T126=0,"",OOC!T126)</f>
        <v/>
      </c>
      <c r="J126" s="16" t="s">
        <v>12</v>
      </c>
      <c r="K126" s="73" t="s">
        <v>52</v>
      </c>
      <c r="L126" s="19" t="e">
        <f t="shared" si="0"/>
        <v>#VALUE!</v>
      </c>
      <c r="M126" s="25" t="e">
        <f t="shared" si="1"/>
        <v>#VALUE!</v>
      </c>
      <c r="N126" s="29"/>
      <c r="O126" s="3" t="e">
        <f t="shared" si="32"/>
        <v>#REF!</v>
      </c>
      <c r="P126" s="3" t="e">
        <f t="shared" si="33"/>
        <v>#REF!</v>
      </c>
      <c r="Q126" s="3" t="e">
        <f t="shared" si="34"/>
        <v>#REF!</v>
      </c>
      <c r="R126" s="4" t="e">
        <f t="shared" si="35"/>
        <v>#REF!</v>
      </c>
      <c r="S126" s="5" t="e">
        <f t="shared" si="27"/>
        <v>#REF!</v>
      </c>
      <c r="T126" s="76" t="e">
        <f t="shared" si="26"/>
        <v>#REF!</v>
      </c>
      <c r="U126" s="76" t="e">
        <f t="shared" si="3"/>
        <v>#REF!</v>
      </c>
      <c r="V126" s="5" t="e">
        <f t="shared" si="22"/>
        <v>#REF!</v>
      </c>
      <c r="W126" s="5" t="e">
        <f t="shared" si="23"/>
        <v>#REF!</v>
      </c>
      <c r="X126" s="5" t="e">
        <f t="shared" si="24"/>
        <v>#REF!</v>
      </c>
      <c r="Y126" s="70" t="e">
        <f t="shared" si="25"/>
        <v>#REF!</v>
      </c>
      <c r="Z126" s="32" t="e">
        <f t="shared" si="8"/>
        <v>#REF!</v>
      </c>
      <c r="AA126" s="32" t="e">
        <f t="shared" si="9"/>
        <v>#REF!</v>
      </c>
      <c r="AB126" s="32" t="e">
        <f t="shared" si="10"/>
        <v>#REF!</v>
      </c>
      <c r="AC126" s="32" t="e">
        <f t="shared" si="11"/>
        <v>#REF!</v>
      </c>
      <c r="AD126" s="30"/>
      <c r="AE126" s="21" t="str">
        <f t="shared" si="12"/>
        <v/>
      </c>
      <c r="AF126" s="74"/>
      <c r="AG126" s="57"/>
      <c r="AH126" s="57"/>
      <c r="AI126" s="58"/>
      <c r="AJ126" s="20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0" t="str">
        <f t="shared" si="28"/>
        <v>59-2</v>
      </c>
      <c r="BS126" s="112">
        <f>OOC!G126</f>
        <v>0.19</v>
      </c>
      <c r="BT126" s="112">
        <f>OOC!H126</f>
        <v>0.15000000000000002</v>
      </c>
      <c r="BU126" s="3" t="e">
        <f t="shared" si="29"/>
        <v>#REF!</v>
      </c>
      <c r="BV126" s="3" t="e">
        <f t="shared" si="30"/>
        <v>#REF!</v>
      </c>
      <c r="BW126" s="3" t="e">
        <f t="shared" si="31"/>
        <v>#REF!</v>
      </c>
      <c r="BX126" s="109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 ht="15" customHeight="1">
      <c r="A127" s="18">
        <v>40</v>
      </c>
      <c r="B127" s="84"/>
      <c r="C127" s="88" t="s">
        <v>121</v>
      </c>
      <c r="D127" s="22" t="s">
        <v>60</v>
      </c>
      <c r="E127" s="86"/>
      <c r="F127" s="13" t="s">
        <v>28</v>
      </c>
      <c r="G127" s="14">
        <v>0.45500000000000002</v>
      </c>
      <c r="H127" s="82" t="str">
        <f>IF(OOC!S127=0,"",OOC!S127)</f>
        <v/>
      </c>
      <c r="I127" s="82" t="str">
        <f>IF(OOC!T127=0,"",OOC!T127)</f>
        <v/>
      </c>
      <c r="J127" s="16" t="s">
        <v>12</v>
      </c>
      <c r="K127" s="73" t="s">
        <v>52</v>
      </c>
      <c r="L127" s="19" t="e">
        <f t="shared" si="0"/>
        <v>#VALUE!</v>
      </c>
      <c r="M127" s="25" t="e">
        <f t="shared" si="1"/>
        <v>#VALUE!</v>
      </c>
      <c r="N127" s="29"/>
      <c r="O127" s="3" t="e">
        <f t="shared" si="32"/>
        <v>#REF!</v>
      </c>
      <c r="P127" s="3" t="e">
        <f t="shared" si="33"/>
        <v>#REF!</v>
      </c>
      <c r="Q127" s="3" t="e">
        <f t="shared" si="34"/>
        <v>#REF!</v>
      </c>
      <c r="R127" s="4" t="e">
        <f t="shared" si="35"/>
        <v>#REF!</v>
      </c>
      <c r="S127" s="5" t="e">
        <f t="shared" si="27"/>
        <v>#REF!</v>
      </c>
      <c r="T127" s="76" t="e">
        <f t="shared" si="26"/>
        <v>#REF!</v>
      </c>
      <c r="U127" s="76" t="e">
        <f t="shared" si="3"/>
        <v>#REF!</v>
      </c>
      <c r="V127" s="5" t="e">
        <f t="shared" si="22"/>
        <v>#REF!</v>
      </c>
      <c r="W127" s="5" t="e">
        <f t="shared" si="23"/>
        <v>#REF!</v>
      </c>
      <c r="X127" s="5" t="e">
        <f t="shared" si="24"/>
        <v>#REF!</v>
      </c>
      <c r="Y127" s="70" t="e">
        <f t="shared" si="25"/>
        <v>#REF!</v>
      </c>
      <c r="Z127" s="32" t="e">
        <f t="shared" si="8"/>
        <v>#REF!</v>
      </c>
      <c r="AA127" s="32" t="e">
        <f t="shared" si="9"/>
        <v>#REF!</v>
      </c>
      <c r="AB127" s="32" t="e">
        <f t="shared" si="10"/>
        <v>#REF!</v>
      </c>
      <c r="AC127" s="32" t="e">
        <f t="shared" si="11"/>
        <v>#REF!</v>
      </c>
      <c r="AD127" s="30"/>
      <c r="AE127" s="21" t="str">
        <f t="shared" si="12"/>
        <v/>
      </c>
      <c r="AF127" s="74"/>
      <c r="AG127" s="57"/>
      <c r="AH127" s="57"/>
      <c r="AI127" s="58"/>
      <c r="AJ127" s="20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R127" s="110" t="str">
        <f t="shared" si="28"/>
        <v>60-1</v>
      </c>
      <c r="BS127" s="112">
        <f>OOC!G127</f>
        <v>0.47500000000000003</v>
      </c>
      <c r="BT127" s="112">
        <f>OOC!H127</f>
        <v>0.435</v>
      </c>
      <c r="BU127" s="3" t="e">
        <f t="shared" si="29"/>
        <v>#REF!</v>
      </c>
      <c r="BV127" s="3" t="e">
        <f t="shared" si="30"/>
        <v>#REF!</v>
      </c>
      <c r="BW127" s="3" t="e">
        <f t="shared" si="31"/>
        <v>#REF!</v>
      </c>
      <c r="BX127" s="109" t="e">
        <f>IF(AND(IF(OOC!G127="",0,OOC!G127) &gt;= IF(O127="",0,O127), IF(O127="",0,O127) &gt; IF(L127="",0,L127)), "OOC",
IF(AND(IF(M127="",0,M127) &gt; IF(P127="",0,P127), IF(P127="",0,P127) &gt;= IF(OOC!H127="",0,OOC!H127)), "OOC",
IF(IF(O127="",0,O127) &gt; IF(OOC!G127="",0,OOC!G127), "OOS",
IF(IF(OOC!H127="",0,OOC!H127) &gt; IF(P127="",0,P127), "OOS", "OK"))))</f>
        <v>#REF!</v>
      </c>
    </row>
    <row r="128" spans="1:76" ht="15" customHeight="1">
      <c r="A128" s="18">
        <v>40</v>
      </c>
      <c r="B128" s="84"/>
      <c r="C128" s="88" t="s">
        <v>122</v>
      </c>
      <c r="D128" s="22" t="s">
        <v>60</v>
      </c>
      <c r="E128" s="86"/>
      <c r="F128" s="13" t="s">
        <v>28</v>
      </c>
      <c r="G128" s="14">
        <v>0.45500000000000002</v>
      </c>
      <c r="H128" s="82" t="str">
        <f>IF(OOC!S128=0,"",OOC!S128)</f>
        <v/>
      </c>
      <c r="I128" s="82" t="str">
        <f>IF(OOC!T128=0,"",OOC!T128)</f>
        <v/>
      </c>
      <c r="J128" s="16" t="s">
        <v>12</v>
      </c>
      <c r="K128" s="73" t="s">
        <v>52</v>
      </c>
      <c r="L128" s="19" t="e">
        <f t="shared" si="0"/>
        <v>#VALUE!</v>
      </c>
      <c r="M128" s="25" t="e">
        <f t="shared" si="1"/>
        <v>#VALUE!</v>
      </c>
      <c r="N128" s="29"/>
      <c r="O128" s="3" t="e">
        <f t="shared" si="32"/>
        <v>#REF!</v>
      </c>
      <c r="P128" s="3" t="e">
        <f t="shared" si="33"/>
        <v>#REF!</v>
      </c>
      <c r="Q128" s="3" t="e">
        <f t="shared" si="34"/>
        <v>#REF!</v>
      </c>
      <c r="R128" s="4" t="e">
        <f t="shared" si="35"/>
        <v>#REF!</v>
      </c>
      <c r="S128" s="5" t="e">
        <f t="shared" si="27"/>
        <v>#REF!</v>
      </c>
      <c r="T128" s="76" t="e">
        <f t="shared" si="26"/>
        <v>#REF!</v>
      </c>
      <c r="U128" s="76" t="e">
        <f t="shared" si="3"/>
        <v>#REF!</v>
      </c>
      <c r="V128" s="5" t="e">
        <f t="shared" si="22"/>
        <v>#REF!</v>
      </c>
      <c r="W128" s="5" t="e">
        <f t="shared" si="23"/>
        <v>#REF!</v>
      </c>
      <c r="X128" s="5" t="e">
        <f t="shared" si="24"/>
        <v>#REF!</v>
      </c>
      <c r="Y128" s="70" t="e">
        <f t="shared" si="25"/>
        <v>#REF!</v>
      </c>
      <c r="Z128" s="32" t="e">
        <f t="shared" si="8"/>
        <v>#REF!</v>
      </c>
      <c r="AA128" s="32" t="e">
        <f t="shared" si="9"/>
        <v>#REF!</v>
      </c>
      <c r="AB128" s="32" t="e">
        <f t="shared" si="10"/>
        <v>#REF!</v>
      </c>
      <c r="AC128" s="32" t="e">
        <f t="shared" si="11"/>
        <v>#REF!</v>
      </c>
      <c r="AD128" s="30"/>
      <c r="AE128" s="21" t="str">
        <f t="shared" si="12"/>
        <v/>
      </c>
      <c r="AF128" s="74"/>
      <c r="AG128" s="57"/>
      <c r="AH128" s="57"/>
      <c r="AI128" s="58"/>
      <c r="AJ128" s="20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R128" s="110" t="str">
        <f t="shared" si="28"/>
        <v>60-2</v>
      </c>
      <c r="BS128" s="112">
        <f>OOC!G128</f>
        <v>0.47500000000000003</v>
      </c>
      <c r="BT128" s="112">
        <f>OOC!H128</f>
        <v>0.435</v>
      </c>
      <c r="BU128" s="3" t="e">
        <f t="shared" si="29"/>
        <v>#REF!</v>
      </c>
      <c r="BV128" s="3" t="e">
        <f t="shared" si="30"/>
        <v>#REF!</v>
      </c>
      <c r="BW128" s="3" t="e">
        <f t="shared" si="31"/>
        <v>#REF!</v>
      </c>
      <c r="BX128" s="109" t="e">
        <f>IF(AND(IF(OOC!G128="",0,OOC!G128) &gt;= IF(O128="",0,O128), IF(O128="",0,O128) &gt; IF(L128="",0,L128)), "OOC",
IF(AND(IF(M128="",0,M128) &gt; IF(P128="",0,P128), IF(P128="",0,P128) &gt;= IF(OOC!H128="",0,OOC!H128)), "OOC",
IF(IF(O128="",0,O128) &gt; IF(OOC!G128="",0,OOC!G128), "OOS",
IF(IF(OOC!H128="",0,OOC!H128) &gt; IF(P128="",0,P128), "OOS", "OK"))))</f>
        <v>#REF!</v>
      </c>
    </row>
    <row r="129" spans="1:76" ht="15" customHeight="1">
      <c r="A129" s="18">
        <v>40</v>
      </c>
      <c r="B129" s="84"/>
      <c r="C129" s="88">
        <v>61</v>
      </c>
      <c r="D129" s="22" t="s">
        <v>60</v>
      </c>
      <c r="E129" s="86"/>
      <c r="F129" s="13" t="s">
        <v>28</v>
      </c>
      <c r="G129" s="14">
        <v>7.9009999999999998</v>
      </c>
      <c r="H129" s="82" t="str">
        <f>IF(OOC!S129=0,"",OOC!S129)</f>
        <v/>
      </c>
      <c r="I129" s="82" t="str">
        <f>IF(OOC!T129=0,"",OOC!T129)</f>
        <v/>
      </c>
      <c r="J129" s="16" t="s">
        <v>12</v>
      </c>
      <c r="K129" s="73" t="s">
        <v>52</v>
      </c>
      <c r="L129" s="19" t="e">
        <f t="shared" si="0"/>
        <v>#VALUE!</v>
      </c>
      <c r="M129" s="25" t="e">
        <f t="shared" si="1"/>
        <v>#VALUE!</v>
      </c>
      <c r="N129" s="29"/>
      <c r="O129" s="3" t="e">
        <f t="shared" si="32"/>
        <v>#REF!</v>
      </c>
      <c r="P129" s="3" t="e">
        <f t="shared" si="33"/>
        <v>#REF!</v>
      </c>
      <c r="Q129" s="3" t="e">
        <f t="shared" si="34"/>
        <v>#REF!</v>
      </c>
      <c r="R129" s="4" t="e">
        <f t="shared" si="35"/>
        <v>#REF!</v>
      </c>
      <c r="S129" s="5" t="e">
        <f t="shared" si="27"/>
        <v>#REF!</v>
      </c>
      <c r="T129" s="76" t="e">
        <f t="shared" si="26"/>
        <v>#REF!</v>
      </c>
      <c r="U129" s="76" t="e">
        <f t="shared" si="3"/>
        <v>#REF!</v>
      </c>
      <c r="V129" s="5" t="e">
        <f t="shared" si="22"/>
        <v>#REF!</v>
      </c>
      <c r="W129" s="5" t="e">
        <f t="shared" si="23"/>
        <v>#REF!</v>
      </c>
      <c r="X129" s="5" t="e">
        <f t="shared" si="24"/>
        <v>#REF!</v>
      </c>
      <c r="Y129" s="70" t="e">
        <f t="shared" si="25"/>
        <v>#REF!</v>
      </c>
      <c r="Z129" s="32" t="e">
        <f t="shared" si="8"/>
        <v>#REF!</v>
      </c>
      <c r="AA129" s="32" t="e">
        <f t="shared" si="9"/>
        <v>#REF!</v>
      </c>
      <c r="AB129" s="32" t="e">
        <f t="shared" si="10"/>
        <v>#REF!</v>
      </c>
      <c r="AC129" s="32" t="e">
        <f t="shared" si="11"/>
        <v>#REF!</v>
      </c>
      <c r="AD129" s="30"/>
      <c r="AE129" s="21" t="str">
        <f t="shared" si="12"/>
        <v/>
      </c>
      <c r="AF129" s="74"/>
      <c r="AG129" s="57"/>
      <c r="AH129" s="57"/>
      <c r="AI129" s="58"/>
      <c r="AJ129" s="20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R129" s="110">
        <f t="shared" si="28"/>
        <v>61</v>
      </c>
      <c r="BS129" s="112">
        <f>OOC!G129</f>
        <v>7.9209999999999994</v>
      </c>
      <c r="BT129" s="112">
        <f>OOC!H129</f>
        <v>7.8810000000000002</v>
      </c>
      <c r="BU129" s="3" t="e">
        <f t="shared" si="29"/>
        <v>#REF!</v>
      </c>
      <c r="BV129" s="3" t="e">
        <f t="shared" si="30"/>
        <v>#REF!</v>
      </c>
      <c r="BW129" s="3" t="e">
        <f t="shared" si="31"/>
        <v>#REF!</v>
      </c>
      <c r="BX129" s="109" t="e">
        <f>IF(AND(IF(OOC!G129="",0,OOC!G129) &gt;= IF(O129="",0,O129), IF(O129="",0,O129) &gt; IF(L129="",0,L129)), "OOC",
IF(AND(IF(M129="",0,M129) &gt; IF(P129="",0,P129), IF(P129="",0,P129) &gt;= IF(OOC!H129="",0,OOC!H129)), "OOC",
IF(IF(O129="",0,O129) &gt; IF(OOC!G129="",0,OOC!G129), "OOS",
IF(IF(OOC!H129="",0,OOC!H129) &gt; IF(P129="",0,P129), "OOS", "OK"))))</f>
        <v>#REF!</v>
      </c>
    </row>
    <row r="130" spans="1:76" ht="15" customHeight="1">
      <c r="A130" s="18">
        <v>40</v>
      </c>
      <c r="B130" s="84"/>
      <c r="C130" s="88" t="s">
        <v>130</v>
      </c>
      <c r="D130" s="22" t="s">
        <v>60</v>
      </c>
      <c r="E130" s="86"/>
      <c r="F130" s="13" t="s">
        <v>28</v>
      </c>
      <c r="G130" s="14">
        <v>11.72</v>
      </c>
      <c r="H130" s="82" t="str">
        <f>IF(OOC!S130=0,"",OOC!S130)</f>
        <v/>
      </c>
      <c r="I130" s="82" t="str">
        <f>IF(OOC!T130=0,"",OOC!T130)</f>
        <v/>
      </c>
      <c r="J130" s="16" t="s">
        <v>12</v>
      </c>
      <c r="K130" s="73" t="s">
        <v>52</v>
      </c>
      <c r="L130" s="19" t="e">
        <f t="shared" si="0"/>
        <v>#VALUE!</v>
      </c>
      <c r="M130" s="25" t="e">
        <f t="shared" si="1"/>
        <v>#VALUE!</v>
      </c>
      <c r="N130" s="29"/>
      <c r="O130" s="3" t="e">
        <f t="shared" si="32"/>
        <v>#REF!</v>
      </c>
      <c r="P130" s="3" t="e">
        <f t="shared" si="33"/>
        <v>#REF!</v>
      </c>
      <c r="Q130" s="3" t="e">
        <f t="shared" si="34"/>
        <v>#REF!</v>
      </c>
      <c r="R130" s="4" t="e">
        <f t="shared" si="35"/>
        <v>#REF!</v>
      </c>
      <c r="S130" s="5" t="e">
        <f t="shared" si="27"/>
        <v>#REF!</v>
      </c>
      <c r="T130" s="76" t="e">
        <f t="shared" si="26"/>
        <v>#REF!</v>
      </c>
      <c r="U130" s="76" t="e">
        <f t="shared" si="3"/>
        <v>#REF!</v>
      </c>
      <c r="V130" s="5" t="e">
        <f t="shared" si="22"/>
        <v>#REF!</v>
      </c>
      <c r="W130" s="5" t="e">
        <f t="shared" si="23"/>
        <v>#REF!</v>
      </c>
      <c r="X130" s="5" t="e">
        <f t="shared" si="24"/>
        <v>#REF!</v>
      </c>
      <c r="Y130" s="70" t="e">
        <f t="shared" si="25"/>
        <v>#REF!</v>
      </c>
      <c r="Z130" s="32" t="e">
        <f t="shared" si="8"/>
        <v>#REF!</v>
      </c>
      <c r="AA130" s="32" t="e">
        <f t="shared" si="9"/>
        <v>#REF!</v>
      </c>
      <c r="AB130" s="32" t="e">
        <f t="shared" si="10"/>
        <v>#REF!</v>
      </c>
      <c r="AC130" s="32" t="e">
        <f t="shared" si="11"/>
        <v>#REF!</v>
      </c>
      <c r="AD130" s="30"/>
      <c r="AE130" s="21" t="str">
        <f t="shared" si="12"/>
        <v/>
      </c>
      <c r="AF130" s="74"/>
      <c r="AG130" s="57"/>
      <c r="AH130" s="57"/>
      <c r="AI130" s="58"/>
      <c r="AJ130" s="20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0" t="str">
        <f t="shared" si="28"/>
        <v>62-1</v>
      </c>
      <c r="BS130" s="112">
        <f>OOC!G130</f>
        <v>11.74</v>
      </c>
      <c r="BT130" s="112">
        <f>OOC!H130</f>
        <v>11.700000000000001</v>
      </c>
      <c r="BU130" s="3" t="e">
        <f t="shared" si="29"/>
        <v>#REF!</v>
      </c>
      <c r="BV130" s="3" t="e">
        <f t="shared" si="30"/>
        <v>#REF!</v>
      </c>
      <c r="BW130" s="3" t="e">
        <f t="shared" si="31"/>
        <v>#REF!</v>
      </c>
      <c r="BX130" s="109" t="e">
        <f>IF(AND(IF(OOC!G130="",0,OOC!G130) &gt;= IF(O130="",0,O130), IF(O130="",0,O130) &gt; IF(L130="",0,L130)), "OOC",
IF(AND(IF(M130="",0,M130) &gt; IF(P130="",0,P130), IF(P130="",0,P130) &gt;= IF(OOC!H130="",0,OOC!H130)), "OOC",
IF(IF(O130="",0,O130) &gt; IF(OOC!G130="",0,OOC!G130), "OOS",
IF(IF(OOC!H130="",0,OOC!H130) &gt; IF(P130="",0,P130), "OOS", "OK"))))</f>
        <v>#REF!</v>
      </c>
    </row>
    <row r="131" spans="1:76" ht="15" customHeight="1">
      <c r="A131" s="18">
        <v>40</v>
      </c>
      <c r="B131" s="84"/>
      <c r="C131" s="88" t="s">
        <v>131</v>
      </c>
      <c r="D131" s="22" t="s">
        <v>60</v>
      </c>
      <c r="E131" s="86"/>
      <c r="F131" s="13" t="s">
        <v>28</v>
      </c>
      <c r="G131" s="14">
        <v>11.72</v>
      </c>
      <c r="H131" s="82" t="str">
        <f>IF(OOC!S131=0,"",OOC!S131)</f>
        <v/>
      </c>
      <c r="I131" s="82" t="str">
        <f>IF(OOC!T131=0,"",OOC!T131)</f>
        <v/>
      </c>
      <c r="J131" s="16" t="s">
        <v>12</v>
      </c>
      <c r="K131" s="73" t="s">
        <v>52</v>
      </c>
      <c r="L131" s="19" t="e">
        <f t="shared" si="0"/>
        <v>#VALUE!</v>
      </c>
      <c r="M131" s="25" t="e">
        <f t="shared" si="1"/>
        <v>#VALUE!</v>
      </c>
      <c r="N131" s="29"/>
      <c r="O131" s="3" t="e">
        <f t="shared" si="32"/>
        <v>#REF!</v>
      </c>
      <c r="P131" s="3" t="e">
        <f t="shared" si="33"/>
        <v>#REF!</v>
      </c>
      <c r="Q131" s="3" t="e">
        <f t="shared" si="34"/>
        <v>#REF!</v>
      </c>
      <c r="R131" s="4" t="e">
        <f t="shared" si="35"/>
        <v>#REF!</v>
      </c>
      <c r="S131" s="5" t="e">
        <f t="shared" si="27"/>
        <v>#REF!</v>
      </c>
      <c r="T131" s="76" t="e">
        <f t="shared" si="26"/>
        <v>#REF!</v>
      </c>
      <c r="U131" s="76" t="e">
        <f t="shared" si="3"/>
        <v>#REF!</v>
      </c>
      <c r="V131" s="5" t="e">
        <f t="shared" si="22"/>
        <v>#REF!</v>
      </c>
      <c r="W131" s="5" t="e">
        <f t="shared" si="23"/>
        <v>#REF!</v>
      </c>
      <c r="X131" s="5" t="e">
        <f t="shared" si="24"/>
        <v>#REF!</v>
      </c>
      <c r="Y131" s="70" t="e">
        <f t="shared" si="25"/>
        <v>#REF!</v>
      </c>
      <c r="Z131" s="32" t="e">
        <f t="shared" si="8"/>
        <v>#REF!</v>
      </c>
      <c r="AA131" s="32" t="e">
        <f t="shared" si="9"/>
        <v>#REF!</v>
      </c>
      <c r="AB131" s="32" t="e">
        <f t="shared" si="10"/>
        <v>#REF!</v>
      </c>
      <c r="AC131" s="32" t="e">
        <f t="shared" si="11"/>
        <v>#REF!</v>
      </c>
      <c r="AD131" s="30"/>
      <c r="AE131" s="21" t="str">
        <f t="shared" si="12"/>
        <v/>
      </c>
      <c r="AF131" s="74"/>
      <c r="AG131" s="57"/>
      <c r="AH131" s="57"/>
      <c r="AI131" s="58"/>
      <c r="AJ131" s="20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0" t="str">
        <f t="shared" si="28"/>
        <v>62-2</v>
      </c>
      <c r="BS131" s="112">
        <f>OOC!G131</f>
        <v>11.74</v>
      </c>
      <c r="BT131" s="112">
        <f>OOC!H131</f>
        <v>11.700000000000001</v>
      </c>
      <c r="BU131" s="3" t="e">
        <f t="shared" si="29"/>
        <v>#REF!</v>
      </c>
      <c r="BV131" s="3" t="e">
        <f t="shared" si="30"/>
        <v>#REF!</v>
      </c>
      <c r="BW131" s="3" t="e">
        <f t="shared" si="31"/>
        <v>#REF!</v>
      </c>
      <c r="BX131" s="109" t="e">
        <f>IF(AND(IF(OOC!G131="",0,OOC!G131) &gt;= IF(O131="",0,O131), IF(O131="",0,O131) &gt; IF(L131="",0,L131)), "OOC",
IF(AND(IF(M131="",0,M131) &gt; IF(P131="",0,P131), IF(P131="",0,P131) &gt;= IF(OOC!H131="",0,OOC!H131)), "OOC",
IF(IF(O131="",0,O131) &gt; IF(OOC!G131="",0,OOC!G131), "OOS",
IF(IF(OOC!H131="",0,OOC!H131) &gt; IF(P131="",0,P131), "OOS", "OK"))))</f>
        <v>#REF!</v>
      </c>
    </row>
    <row r="132" spans="1:76" ht="15" customHeight="1">
      <c r="A132" s="18">
        <v>40</v>
      </c>
      <c r="B132" s="84"/>
      <c r="C132" s="88" t="s">
        <v>132</v>
      </c>
      <c r="D132" s="22" t="s">
        <v>60</v>
      </c>
      <c r="E132" s="86"/>
      <c r="F132" s="13" t="s">
        <v>28</v>
      </c>
      <c r="G132" s="14">
        <v>0.434</v>
      </c>
      <c r="H132" s="82" t="str">
        <f>IF(OOC!S132=0,"",OOC!S132)</f>
        <v/>
      </c>
      <c r="I132" s="82" t="str">
        <f>IF(OOC!T132=0,"",OOC!T132)</f>
        <v/>
      </c>
      <c r="J132" s="16" t="s">
        <v>12</v>
      </c>
      <c r="K132" s="73" t="s">
        <v>52</v>
      </c>
      <c r="L132" s="19" t="e">
        <f t="shared" si="0"/>
        <v>#VALUE!</v>
      </c>
      <c r="M132" s="25" t="e">
        <f t="shared" si="1"/>
        <v>#VALUE!</v>
      </c>
      <c r="N132" s="29"/>
      <c r="O132" s="3" t="e">
        <f t="shared" si="32"/>
        <v>#REF!</v>
      </c>
      <c r="P132" s="3" t="e">
        <f t="shared" si="33"/>
        <v>#REF!</v>
      </c>
      <c r="Q132" s="3" t="e">
        <f t="shared" si="34"/>
        <v>#REF!</v>
      </c>
      <c r="R132" s="4" t="e">
        <f t="shared" si="35"/>
        <v>#REF!</v>
      </c>
      <c r="S132" s="5" t="e">
        <f t="shared" si="27"/>
        <v>#REF!</v>
      </c>
      <c r="T132" s="76" t="e">
        <f t="shared" si="26"/>
        <v>#REF!</v>
      </c>
      <c r="U132" s="76" t="e">
        <f t="shared" si="3"/>
        <v>#REF!</v>
      </c>
      <c r="V132" s="5" t="e">
        <f t="shared" si="22"/>
        <v>#REF!</v>
      </c>
      <c r="W132" s="5" t="e">
        <f t="shared" si="23"/>
        <v>#REF!</v>
      </c>
      <c r="X132" s="5" t="e">
        <f t="shared" si="24"/>
        <v>#REF!</v>
      </c>
      <c r="Y132" s="70" t="e">
        <f t="shared" si="25"/>
        <v>#REF!</v>
      </c>
      <c r="Z132" s="32" t="e">
        <f t="shared" si="8"/>
        <v>#REF!</v>
      </c>
      <c r="AA132" s="32" t="e">
        <f t="shared" si="9"/>
        <v>#REF!</v>
      </c>
      <c r="AB132" s="32" t="e">
        <f t="shared" si="10"/>
        <v>#REF!</v>
      </c>
      <c r="AC132" s="32" t="e">
        <f t="shared" si="11"/>
        <v>#REF!</v>
      </c>
      <c r="AD132" s="30"/>
      <c r="AE132" s="21" t="str">
        <f t="shared" si="12"/>
        <v/>
      </c>
      <c r="AF132" s="74"/>
      <c r="AG132" s="57"/>
      <c r="AH132" s="57"/>
      <c r="AI132" s="58"/>
      <c r="AJ132" s="20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0" t="str">
        <f t="shared" si="28"/>
        <v>63-1</v>
      </c>
      <c r="BS132" s="112">
        <f>OOC!G132</f>
        <v>0.45400000000000001</v>
      </c>
      <c r="BT132" s="112">
        <f>OOC!H132</f>
        <v>0.41399999999999998</v>
      </c>
      <c r="BU132" s="3" t="e">
        <f t="shared" si="29"/>
        <v>#REF!</v>
      </c>
      <c r="BV132" s="3" t="e">
        <f t="shared" si="30"/>
        <v>#REF!</v>
      </c>
      <c r="BW132" s="3" t="e">
        <f t="shared" si="31"/>
        <v>#REF!</v>
      </c>
      <c r="BX132" s="109" t="e">
        <f>IF(AND(IF(OOC!G132="",0,OOC!G132) &gt;= IF(O132="",0,O132), IF(O132="",0,O132) &gt; IF(L132="",0,L132)), "OOC",
IF(AND(IF(M132="",0,M132) &gt; IF(P132="",0,P132), IF(P132="",0,P132) &gt;= IF(OOC!H132="",0,OOC!H132)), "OOC",
IF(IF(O132="",0,O132) &gt; IF(OOC!G132="",0,OOC!G132), "OOS",
IF(IF(OOC!H132="",0,OOC!H132) &gt; IF(P132="",0,P132), "OOS", "OK"))))</f>
        <v>#REF!</v>
      </c>
    </row>
    <row r="133" spans="1:76" ht="15" customHeight="1">
      <c r="A133" s="18">
        <v>40</v>
      </c>
      <c r="B133" s="84"/>
      <c r="C133" s="88" t="s">
        <v>133</v>
      </c>
      <c r="D133" s="22" t="s">
        <v>60</v>
      </c>
      <c r="E133" s="86"/>
      <c r="F133" s="13" t="s">
        <v>28</v>
      </c>
      <c r="G133" s="14">
        <v>0.434</v>
      </c>
      <c r="H133" s="82" t="str">
        <f>IF(OOC!S133=0,"",OOC!S133)</f>
        <v/>
      </c>
      <c r="I133" s="82" t="str">
        <f>IF(OOC!T133=0,"",OOC!T133)</f>
        <v/>
      </c>
      <c r="J133" s="16" t="s">
        <v>12</v>
      </c>
      <c r="K133" s="73" t="s">
        <v>52</v>
      </c>
      <c r="L133" s="19" t="e">
        <f t="shared" si="0"/>
        <v>#VALUE!</v>
      </c>
      <c r="M133" s="25" t="e">
        <f t="shared" si="1"/>
        <v>#VALUE!</v>
      </c>
      <c r="N133" s="29"/>
      <c r="O133" s="3" t="e">
        <f t="shared" si="32"/>
        <v>#REF!</v>
      </c>
      <c r="P133" s="3" t="e">
        <f t="shared" si="33"/>
        <v>#REF!</v>
      </c>
      <c r="Q133" s="3" t="e">
        <f t="shared" si="34"/>
        <v>#REF!</v>
      </c>
      <c r="R133" s="4" t="e">
        <f t="shared" si="35"/>
        <v>#REF!</v>
      </c>
      <c r="S133" s="5" t="e">
        <f t="shared" si="27"/>
        <v>#REF!</v>
      </c>
      <c r="T133" s="76" t="e">
        <f t="shared" si="26"/>
        <v>#REF!</v>
      </c>
      <c r="U133" s="76" t="e">
        <f t="shared" si="3"/>
        <v>#REF!</v>
      </c>
      <c r="V133" s="5" t="e">
        <f t="shared" si="22"/>
        <v>#REF!</v>
      </c>
      <c r="W133" s="5" t="e">
        <f t="shared" si="23"/>
        <v>#REF!</v>
      </c>
      <c r="X133" s="5" t="e">
        <f t="shared" si="24"/>
        <v>#REF!</v>
      </c>
      <c r="Y133" s="70" t="e">
        <f t="shared" si="25"/>
        <v>#REF!</v>
      </c>
      <c r="Z133" s="32" t="e">
        <f t="shared" si="8"/>
        <v>#REF!</v>
      </c>
      <c r="AA133" s="32" t="e">
        <f t="shared" si="9"/>
        <v>#REF!</v>
      </c>
      <c r="AB133" s="32" t="e">
        <f t="shared" si="10"/>
        <v>#REF!</v>
      </c>
      <c r="AC133" s="32" t="e">
        <f t="shared" si="11"/>
        <v>#REF!</v>
      </c>
      <c r="AD133" s="30"/>
      <c r="AE133" s="21" t="str">
        <f t="shared" si="12"/>
        <v/>
      </c>
      <c r="AF133" s="74"/>
      <c r="AG133" s="57"/>
      <c r="AH133" s="57"/>
      <c r="AI133" s="58"/>
      <c r="AJ133" s="20"/>
      <c r="AK133" s="2" t="e">
        <f>#REF!</f>
        <v>#REF!</v>
      </c>
      <c r="AL133" s="2" t="e">
        <f>#REF!</f>
        <v>#REF!</v>
      </c>
      <c r="AM133" s="2" t="e">
        <f>#REF!</f>
        <v>#REF!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0" t="str">
        <f t="shared" si="28"/>
        <v>63-2</v>
      </c>
      <c r="BS133" s="112">
        <f>OOC!G133</f>
        <v>0.45400000000000001</v>
      </c>
      <c r="BT133" s="112">
        <f>OOC!H133</f>
        <v>0.41399999999999998</v>
      </c>
      <c r="BU133" s="3" t="e">
        <f t="shared" si="29"/>
        <v>#REF!</v>
      </c>
      <c r="BV133" s="3" t="e">
        <f t="shared" si="30"/>
        <v>#REF!</v>
      </c>
      <c r="BW133" s="3" t="e">
        <f t="shared" si="31"/>
        <v>#REF!</v>
      </c>
      <c r="BX133" s="109" t="e">
        <f>IF(AND(IF(OOC!G133="",0,OOC!G133) &gt;= IF(O133="",0,O133), IF(O133="",0,O133) &gt; IF(L133="",0,L133)), "OOC",
IF(AND(IF(M133="",0,M133) &gt; IF(P133="",0,P133), IF(P133="",0,P133) &gt;= IF(OOC!H133="",0,OOC!H133)), "OOC",
IF(IF(O133="",0,O133) &gt; IF(OOC!G133="",0,OOC!G133), "OOS",
IF(IF(OOC!H133="",0,OOC!H133) &gt; IF(P133="",0,P133), "OOS", "OK"))))</f>
        <v>#REF!</v>
      </c>
    </row>
    <row r="134" spans="1:76" ht="15" customHeight="1">
      <c r="A134" s="18">
        <v>40</v>
      </c>
      <c r="B134" s="84"/>
      <c r="C134" s="88">
        <v>64</v>
      </c>
      <c r="D134" s="22" t="s">
        <v>60</v>
      </c>
      <c r="E134" s="86"/>
      <c r="F134" s="13" t="s">
        <v>28</v>
      </c>
      <c r="G134" s="14">
        <v>3.073</v>
      </c>
      <c r="H134" s="82" t="str">
        <f>IF(OOC!S134=0,"",OOC!S134)</f>
        <v/>
      </c>
      <c r="I134" s="82" t="str">
        <f>IF(OOC!T134=0,"",OOC!T134)</f>
        <v/>
      </c>
      <c r="J134" s="16" t="s">
        <v>12</v>
      </c>
      <c r="K134" s="73" t="s">
        <v>52</v>
      </c>
      <c r="L134" s="19" t="e">
        <f t="shared" si="0"/>
        <v>#VALUE!</v>
      </c>
      <c r="M134" s="25" t="e">
        <f t="shared" si="1"/>
        <v>#VALUE!</v>
      </c>
      <c r="N134" s="29"/>
      <c r="O134" s="3" t="e">
        <f t="shared" si="32"/>
        <v>#REF!</v>
      </c>
      <c r="P134" s="3" t="e">
        <f t="shared" si="33"/>
        <v>#REF!</v>
      </c>
      <c r="Q134" s="3" t="e">
        <f t="shared" si="34"/>
        <v>#REF!</v>
      </c>
      <c r="R134" s="4" t="e">
        <f t="shared" si="35"/>
        <v>#REF!</v>
      </c>
      <c r="S134" s="5" t="e">
        <f t="shared" si="27"/>
        <v>#REF!</v>
      </c>
      <c r="T134" s="76" t="e">
        <f t="shared" si="26"/>
        <v>#REF!</v>
      </c>
      <c r="U134" s="76" t="e">
        <f t="shared" si="3"/>
        <v>#REF!</v>
      </c>
      <c r="V134" s="5" t="e">
        <f t="shared" si="22"/>
        <v>#REF!</v>
      </c>
      <c r="W134" s="5" t="e">
        <f t="shared" si="23"/>
        <v>#REF!</v>
      </c>
      <c r="X134" s="5" t="e">
        <f t="shared" si="24"/>
        <v>#REF!</v>
      </c>
      <c r="Y134" s="70" t="e">
        <f t="shared" si="25"/>
        <v>#REF!</v>
      </c>
      <c r="Z134" s="32" t="e">
        <f t="shared" si="8"/>
        <v>#REF!</v>
      </c>
      <c r="AA134" s="32" t="e">
        <f t="shared" si="9"/>
        <v>#REF!</v>
      </c>
      <c r="AB134" s="32" t="e">
        <f t="shared" si="10"/>
        <v>#REF!</v>
      </c>
      <c r="AC134" s="32" t="e">
        <f t="shared" si="11"/>
        <v>#REF!</v>
      </c>
      <c r="AD134" s="30"/>
      <c r="AE134" s="21" t="str">
        <f t="shared" si="12"/>
        <v/>
      </c>
      <c r="AF134" s="74"/>
      <c r="AG134" s="57"/>
      <c r="AH134" s="57"/>
      <c r="AI134" s="58"/>
      <c r="AJ134" s="20"/>
      <c r="AK134" s="2" t="e">
        <f>#REF!</f>
        <v>#REF!</v>
      </c>
      <c r="AL134" s="2" t="e">
        <f>#REF!</f>
        <v>#REF!</v>
      </c>
      <c r="AM134" s="2" t="e">
        <f>#REF!</f>
        <v>#REF!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0">
        <f t="shared" si="28"/>
        <v>64</v>
      </c>
      <c r="BS134" s="112">
        <f>OOC!G134</f>
        <v>3.093</v>
      </c>
      <c r="BT134" s="112">
        <f>OOC!H134</f>
        <v>3.0529999999999999</v>
      </c>
      <c r="BU134" s="3" t="e">
        <f t="shared" si="29"/>
        <v>#REF!</v>
      </c>
      <c r="BV134" s="3" t="e">
        <f t="shared" si="30"/>
        <v>#REF!</v>
      </c>
      <c r="BW134" s="3" t="e">
        <f t="shared" si="31"/>
        <v>#REF!</v>
      </c>
      <c r="BX134" s="109" t="e">
        <f>IF(AND(IF(OOC!G134="",0,OOC!G134) &gt;= IF(O134="",0,O134), IF(O134="",0,O134) &gt; IF(L134="",0,L134)), "OOC",
IF(AND(IF(M134="",0,M134) &gt; IF(P134="",0,P134), IF(P134="",0,P134) &gt;= IF(OOC!H134="",0,OOC!H134)), "OOC",
IF(IF(O134="",0,O134) &gt; IF(OOC!G134="",0,OOC!G134), "OOS",
IF(IF(OOC!H134="",0,OOC!H134) &gt; IF(P134="",0,P134), "OOS", "OK"))))</f>
        <v>#REF!</v>
      </c>
    </row>
    <row r="135" spans="1:76" ht="15" customHeight="1">
      <c r="A135" s="18">
        <v>2</v>
      </c>
      <c r="B135" s="84" t="s">
        <v>168</v>
      </c>
      <c r="C135" s="88" t="s">
        <v>123</v>
      </c>
      <c r="D135" s="22" t="s">
        <v>60</v>
      </c>
      <c r="E135" s="86">
        <v>1.33</v>
      </c>
      <c r="F135" s="13" t="s">
        <v>28</v>
      </c>
      <c r="G135" s="14">
        <v>1.4610000000000001</v>
      </c>
      <c r="H135" s="82" t="str">
        <f>IF(OOC!S135=0,"",OOC!S135)</f>
        <v/>
      </c>
      <c r="I135" s="82" t="str">
        <f>IF(OOC!T135=0,"",OOC!T135)</f>
        <v/>
      </c>
      <c r="J135" s="16" t="s">
        <v>12</v>
      </c>
      <c r="K135" s="73" t="s">
        <v>52</v>
      </c>
      <c r="L135" s="19" t="e">
        <f t="shared" si="0"/>
        <v>#VALUE!</v>
      </c>
      <c r="M135" s="25" t="e">
        <f t="shared" si="1"/>
        <v>#VALUE!</v>
      </c>
      <c r="N135" s="28"/>
      <c r="O135" s="3" t="e">
        <f t="shared" si="32"/>
        <v>#REF!</v>
      </c>
      <c r="P135" s="3" t="e">
        <f t="shared" si="33"/>
        <v>#REF!</v>
      </c>
      <c r="Q135" s="3" t="e">
        <f t="shared" si="34"/>
        <v>#REF!</v>
      </c>
      <c r="R135" s="4" t="e">
        <f t="shared" si="35"/>
        <v>#REF!</v>
      </c>
      <c r="S135" s="5" t="e">
        <f t="shared" si="27"/>
        <v>#REF!</v>
      </c>
      <c r="T135" s="76" t="e">
        <f t="shared" si="26"/>
        <v>#REF!</v>
      </c>
      <c r="U135" s="76" t="e">
        <f t="shared" si="3"/>
        <v>#REF!</v>
      </c>
      <c r="V135" s="5" t="e">
        <f t="shared" si="22"/>
        <v>#REF!</v>
      </c>
      <c r="W135" s="5" t="e">
        <f t="shared" si="23"/>
        <v>#REF!</v>
      </c>
      <c r="X135" s="5" t="e">
        <f t="shared" si="24"/>
        <v>#REF!</v>
      </c>
      <c r="Y135" s="70" t="e">
        <f t="shared" si="25"/>
        <v>#REF!</v>
      </c>
      <c r="Z135" s="32" t="e">
        <f t="shared" si="8"/>
        <v>#REF!</v>
      </c>
      <c r="AA135" s="32" t="e">
        <f t="shared" si="9"/>
        <v>#REF!</v>
      </c>
      <c r="AB135" s="32" t="e">
        <f t="shared" si="10"/>
        <v>#REF!</v>
      </c>
      <c r="AC135" s="32" t="e">
        <f t="shared" si="11"/>
        <v>#REF!</v>
      </c>
      <c r="AD135" s="30"/>
      <c r="AE135" s="21" t="str">
        <f t="shared" si="12"/>
        <v/>
      </c>
      <c r="AF135" s="74"/>
      <c r="AG135" s="57"/>
      <c r="AH135" s="57"/>
      <c r="AI135" s="58"/>
      <c r="AJ135" s="23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 t="e">
        <f>#REF!</f>
        <v>#REF!</v>
      </c>
      <c r="AO135" s="2" t="e">
        <f>#REF!</f>
        <v>#REF!</v>
      </c>
      <c r="AP135" s="2" t="e">
        <f>#REF!</f>
        <v>#REF!</v>
      </c>
      <c r="AQ135" s="2" t="e">
        <f>#REF!</f>
        <v>#REF!</v>
      </c>
      <c r="AR135" s="2" t="e">
        <f>#REF!</f>
        <v>#REF!</v>
      </c>
      <c r="AS135" s="2" t="e">
        <f>#REF!</f>
        <v>#REF!</v>
      </c>
      <c r="AT135" s="2" t="e">
        <f>#REF!</f>
        <v>#REF!</v>
      </c>
      <c r="AU135" s="2" t="e">
        <f>#REF!</f>
        <v>#REF!</v>
      </c>
      <c r="AV135" s="2" t="e">
        <f>#REF!</f>
        <v>#REF!</v>
      </c>
      <c r="AW135" s="2" t="e">
        <f>#REF!</f>
        <v>#REF!</v>
      </c>
      <c r="AX135" s="2" t="e">
        <f>#REF!</f>
        <v>#REF!</v>
      </c>
      <c r="AY135" s="2" t="e">
        <f>#REF!</f>
        <v>#REF!</v>
      </c>
      <c r="AZ135" s="2" t="e">
        <f>#REF!</f>
        <v>#REF!</v>
      </c>
      <c r="BA135" s="2" t="e">
        <f>#REF!</f>
        <v>#REF!</v>
      </c>
      <c r="BB135" s="2" t="e">
        <f>#REF!</f>
        <v>#REF!</v>
      </c>
      <c r="BC135" s="2" t="e">
        <f>#REF!</f>
        <v>#REF!</v>
      </c>
      <c r="BD135" s="2" t="e">
        <f>#REF!</f>
        <v>#REF!</v>
      </c>
      <c r="BE135" s="2" t="e">
        <f>#REF!</f>
        <v>#REF!</v>
      </c>
      <c r="BF135" s="2" t="e">
        <f>#REF!</f>
        <v>#REF!</v>
      </c>
      <c r="BG135" s="2" t="e">
        <f>#REF!</f>
        <v>#REF!</v>
      </c>
      <c r="BH135" s="2" t="e">
        <f>#REF!</f>
        <v>#REF!</v>
      </c>
      <c r="BI135" s="2" t="e">
        <f>#REF!</f>
        <v>#REF!</v>
      </c>
      <c r="BJ135" s="2" t="e">
        <f>#REF!</f>
        <v>#REF!</v>
      </c>
      <c r="BK135" s="2" t="e">
        <f>#REF!</f>
        <v>#REF!</v>
      </c>
      <c r="BL135" s="2" t="e">
        <f>#REF!</f>
        <v>#REF!</v>
      </c>
      <c r="BM135" s="2" t="e">
        <f>#REF!</f>
        <v>#REF!</v>
      </c>
      <c r="BN135" s="2" t="e">
        <f>#REF!</f>
        <v>#REF!</v>
      </c>
      <c r="BO135" s="2" t="e">
        <f>#REF!</f>
        <v>#REF!</v>
      </c>
      <c r="BP135" s="2" t="e">
        <f>#REF!</f>
        <v>#REF!</v>
      </c>
      <c r="BR135" s="110" t="str">
        <f t="shared" si="28"/>
        <v>65-1</v>
      </c>
      <c r="BS135" s="112">
        <f>OOC!G135</f>
        <v>1.4810000000000001</v>
      </c>
      <c r="BT135" s="112">
        <f>OOC!H135</f>
        <v>1.4410000000000001</v>
      </c>
      <c r="BU135" s="3" t="e">
        <f t="shared" si="29"/>
        <v>#REF!</v>
      </c>
      <c r="BV135" s="3" t="e">
        <f t="shared" si="30"/>
        <v>#REF!</v>
      </c>
      <c r="BW135" s="3" t="e">
        <f t="shared" si="31"/>
        <v>#REF!</v>
      </c>
      <c r="BX135" s="109" t="e">
        <f>IF(AND(IF(OOC!G135="",0,OOC!G135) &gt;= IF(O135="",0,O135), IF(O135="",0,O135) &gt; IF(L135="",0,L135)), "OOC",
IF(AND(IF(M135="",0,M135) &gt; IF(P135="",0,P135), IF(P135="",0,P135) &gt;= IF(OOC!H135="",0,OOC!H135)), "OOC",
IF(IF(O135="",0,O135) &gt; IF(OOC!G135="",0,OOC!G135), "OOS",
IF(IF(OOC!H135="",0,OOC!H135) &gt; IF(P135="",0,P135), "OOS", "OK"))))</f>
        <v>#REF!</v>
      </c>
    </row>
    <row r="136" spans="1:76" ht="15" customHeight="1">
      <c r="A136" s="18">
        <v>2</v>
      </c>
      <c r="B136" s="84" t="s">
        <v>168</v>
      </c>
      <c r="C136" s="88" t="s">
        <v>124</v>
      </c>
      <c r="D136" s="22" t="s">
        <v>60</v>
      </c>
      <c r="E136" s="86">
        <v>1.33</v>
      </c>
      <c r="F136" s="13" t="s">
        <v>28</v>
      </c>
      <c r="G136" s="14">
        <v>1.4610000000000001</v>
      </c>
      <c r="H136" s="82" t="str">
        <f>IF(OOC!S136=0,"",OOC!S136)</f>
        <v/>
      </c>
      <c r="I136" s="82" t="str">
        <f>IF(OOC!T136=0,"",OOC!T136)</f>
        <v/>
      </c>
      <c r="J136" s="16" t="s">
        <v>12</v>
      </c>
      <c r="K136" s="73" t="s">
        <v>52</v>
      </c>
      <c r="L136" s="19" t="e">
        <f t="shared" si="0"/>
        <v>#VALUE!</v>
      </c>
      <c r="M136" s="25" t="e">
        <f t="shared" si="1"/>
        <v>#VALUE!</v>
      </c>
      <c r="N136" s="28"/>
      <c r="O136" s="3" t="e">
        <f t="shared" si="32"/>
        <v>#REF!</v>
      </c>
      <c r="P136" s="3" t="e">
        <f t="shared" si="33"/>
        <v>#REF!</v>
      </c>
      <c r="Q136" s="3" t="e">
        <f t="shared" si="34"/>
        <v>#REF!</v>
      </c>
      <c r="R136" s="4" t="e">
        <f t="shared" si="35"/>
        <v>#REF!</v>
      </c>
      <c r="S136" s="5" t="e">
        <f t="shared" si="27"/>
        <v>#REF!</v>
      </c>
      <c r="T136" s="76" t="e">
        <f t="shared" si="26"/>
        <v>#REF!</v>
      </c>
      <c r="U136" s="76" t="e">
        <f t="shared" si="3"/>
        <v>#REF!</v>
      </c>
      <c r="V136" s="5" t="e">
        <f t="shared" si="22"/>
        <v>#REF!</v>
      </c>
      <c r="W136" s="5" t="e">
        <f t="shared" si="23"/>
        <v>#REF!</v>
      </c>
      <c r="X136" s="5" t="e">
        <f t="shared" si="24"/>
        <v>#REF!</v>
      </c>
      <c r="Y136" s="70" t="e">
        <f t="shared" si="25"/>
        <v>#REF!</v>
      </c>
      <c r="Z136" s="32" t="e">
        <f t="shared" si="8"/>
        <v>#REF!</v>
      </c>
      <c r="AA136" s="32" t="e">
        <f t="shared" si="9"/>
        <v>#REF!</v>
      </c>
      <c r="AB136" s="32" t="e">
        <f t="shared" si="10"/>
        <v>#REF!</v>
      </c>
      <c r="AC136" s="32" t="e">
        <f t="shared" si="11"/>
        <v>#REF!</v>
      </c>
      <c r="AD136" s="30"/>
      <c r="AE136" s="21" t="str">
        <f t="shared" si="12"/>
        <v/>
      </c>
      <c r="AF136" s="74"/>
      <c r="AG136" s="57"/>
      <c r="AH136" s="57"/>
      <c r="AI136" s="58"/>
      <c r="AJ136" s="23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 t="e">
        <f>#REF!</f>
        <v>#REF!</v>
      </c>
      <c r="AO136" s="2" t="e">
        <f>#REF!</f>
        <v>#REF!</v>
      </c>
      <c r="AP136" s="2" t="e">
        <f>#REF!</f>
        <v>#REF!</v>
      </c>
      <c r="AQ136" s="2" t="e">
        <f>#REF!</f>
        <v>#REF!</v>
      </c>
      <c r="AR136" s="2" t="e">
        <f>#REF!</f>
        <v>#REF!</v>
      </c>
      <c r="AS136" s="2" t="e">
        <f>#REF!</f>
        <v>#REF!</v>
      </c>
      <c r="AT136" s="2" t="e">
        <f>#REF!</f>
        <v>#REF!</v>
      </c>
      <c r="AU136" s="2" t="e">
        <f>#REF!</f>
        <v>#REF!</v>
      </c>
      <c r="AV136" s="2" t="e">
        <f>#REF!</f>
        <v>#REF!</v>
      </c>
      <c r="AW136" s="2" t="e">
        <f>#REF!</f>
        <v>#REF!</v>
      </c>
      <c r="AX136" s="2" t="e">
        <f>#REF!</f>
        <v>#REF!</v>
      </c>
      <c r="AY136" s="2" t="e">
        <f>#REF!</f>
        <v>#REF!</v>
      </c>
      <c r="AZ136" s="2" t="e">
        <f>#REF!</f>
        <v>#REF!</v>
      </c>
      <c r="BA136" s="2" t="e">
        <f>#REF!</f>
        <v>#REF!</v>
      </c>
      <c r="BB136" s="2" t="e">
        <f>#REF!</f>
        <v>#REF!</v>
      </c>
      <c r="BC136" s="2" t="e">
        <f>#REF!</f>
        <v>#REF!</v>
      </c>
      <c r="BD136" s="2" t="e">
        <f>#REF!</f>
        <v>#REF!</v>
      </c>
      <c r="BE136" s="2" t="e">
        <f>#REF!</f>
        <v>#REF!</v>
      </c>
      <c r="BF136" s="2" t="e">
        <f>#REF!</f>
        <v>#REF!</v>
      </c>
      <c r="BG136" s="2" t="e">
        <f>#REF!</f>
        <v>#REF!</v>
      </c>
      <c r="BH136" s="2" t="e">
        <f>#REF!</f>
        <v>#REF!</v>
      </c>
      <c r="BI136" s="2" t="e">
        <f>#REF!</f>
        <v>#REF!</v>
      </c>
      <c r="BJ136" s="2" t="e">
        <f>#REF!</f>
        <v>#REF!</v>
      </c>
      <c r="BK136" s="2" t="e">
        <f>#REF!</f>
        <v>#REF!</v>
      </c>
      <c r="BL136" s="2" t="e">
        <f>#REF!</f>
        <v>#REF!</v>
      </c>
      <c r="BM136" s="2" t="e">
        <f>#REF!</f>
        <v>#REF!</v>
      </c>
      <c r="BN136" s="2" t="e">
        <f>#REF!</f>
        <v>#REF!</v>
      </c>
      <c r="BO136" s="2" t="e">
        <f>#REF!</f>
        <v>#REF!</v>
      </c>
      <c r="BP136" s="2" t="e">
        <f>#REF!</f>
        <v>#REF!</v>
      </c>
      <c r="BR136" s="110" t="str">
        <f t="shared" si="28"/>
        <v>65-2</v>
      </c>
      <c r="BS136" s="112">
        <f>OOC!G136</f>
        <v>1.4810000000000001</v>
      </c>
      <c r="BT136" s="112">
        <f>OOC!H136</f>
        <v>1.4410000000000001</v>
      </c>
      <c r="BU136" s="3" t="e">
        <f t="shared" si="29"/>
        <v>#REF!</v>
      </c>
      <c r="BV136" s="3" t="e">
        <f t="shared" si="30"/>
        <v>#REF!</v>
      </c>
      <c r="BW136" s="3" t="e">
        <f t="shared" si="31"/>
        <v>#REF!</v>
      </c>
      <c r="BX136" s="109" t="e">
        <f>IF(AND(IF(OOC!G136="",0,OOC!G136) &gt;= IF(O136="",0,O136), IF(O136="",0,O136) &gt; IF(L136="",0,L136)), "OOC",
IF(AND(IF(M136="",0,M136) &gt; IF(P136="",0,P136), IF(P136="",0,P136) &gt;= IF(OOC!H136="",0,OOC!H136)), "OOC",
IF(IF(O136="",0,O136) &gt; IF(OOC!G136="",0,OOC!G136), "OOS",
IF(IF(OOC!H136="",0,OOC!H136) &gt; IF(P136="",0,P136), "OOS", "OK"))))</f>
        <v>#REF!</v>
      </c>
    </row>
    <row r="137" spans="1:76" ht="15" customHeight="1">
      <c r="A137" s="18">
        <v>40</v>
      </c>
      <c r="B137" s="84"/>
      <c r="C137" s="88" t="s">
        <v>186</v>
      </c>
      <c r="D137" s="22" t="s">
        <v>60</v>
      </c>
      <c r="E137" s="86"/>
      <c r="F137" s="13" t="s">
        <v>28</v>
      </c>
      <c r="G137" s="14">
        <v>0.42899999999999999</v>
      </c>
      <c r="H137" s="82" t="str">
        <f>IF(OOC!S137=0,"",OOC!S137)</f>
        <v/>
      </c>
      <c r="I137" s="82" t="str">
        <f>IF(OOC!T137=0,"",OOC!T137)</f>
        <v/>
      </c>
      <c r="J137" s="16" t="s">
        <v>12</v>
      </c>
      <c r="K137" s="73" t="s">
        <v>52</v>
      </c>
      <c r="L137" s="19" t="e">
        <f t="shared" si="0"/>
        <v>#VALUE!</v>
      </c>
      <c r="M137" s="25" t="e">
        <f t="shared" si="1"/>
        <v>#VALUE!</v>
      </c>
      <c r="N137" s="29"/>
      <c r="O137" s="3" t="e">
        <f t="shared" si="32"/>
        <v>#REF!</v>
      </c>
      <c r="P137" s="3" t="e">
        <f t="shared" si="33"/>
        <v>#REF!</v>
      </c>
      <c r="Q137" s="3" t="e">
        <f t="shared" si="34"/>
        <v>#REF!</v>
      </c>
      <c r="R137" s="4" t="e">
        <f t="shared" si="35"/>
        <v>#REF!</v>
      </c>
      <c r="S137" s="5" t="e">
        <f t="shared" si="27"/>
        <v>#REF!</v>
      </c>
      <c r="T137" s="76" t="e">
        <f t="shared" si="26"/>
        <v>#REF!</v>
      </c>
      <c r="U137" s="76" t="e">
        <f t="shared" si="3"/>
        <v>#REF!</v>
      </c>
      <c r="V137" s="5" t="e">
        <f t="shared" si="22"/>
        <v>#REF!</v>
      </c>
      <c r="W137" s="5" t="e">
        <f t="shared" si="23"/>
        <v>#REF!</v>
      </c>
      <c r="X137" s="5" t="e">
        <f t="shared" si="24"/>
        <v>#REF!</v>
      </c>
      <c r="Y137" s="70" t="e">
        <f t="shared" si="25"/>
        <v>#REF!</v>
      </c>
      <c r="Z137" s="32" t="e">
        <f t="shared" si="8"/>
        <v>#REF!</v>
      </c>
      <c r="AA137" s="32" t="e">
        <f t="shared" si="9"/>
        <v>#REF!</v>
      </c>
      <c r="AB137" s="32" t="e">
        <f t="shared" si="10"/>
        <v>#REF!</v>
      </c>
      <c r="AC137" s="32" t="e">
        <f t="shared" si="11"/>
        <v>#REF!</v>
      </c>
      <c r="AD137" s="30"/>
      <c r="AE137" s="21" t="str">
        <f t="shared" si="12"/>
        <v/>
      </c>
      <c r="AF137" s="74"/>
      <c r="AG137" s="57"/>
      <c r="AH137" s="57"/>
      <c r="AI137" s="58"/>
      <c r="AJ137" s="20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R137" s="110" t="str">
        <f t="shared" si="28"/>
        <v>66-1</v>
      </c>
      <c r="BS137" s="112">
        <f>OOC!G137</f>
        <v>0.44900000000000001</v>
      </c>
      <c r="BT137" s="112">
        <f>OOC!H137</f>
        <v>0.40899999999999997</v>
      </c>
      <c r="BU137" s="3" t="e">
        <f t="shared" si="29"/>
        <v>#REF!</v>
      </c>
      <c r="BV137" s="3" t="e">
        <f t="shared" si="30"/>
        <v>#REF!</v>
      </c>
      <c r="BW137" s="3" t="e">
        <f t="shared" si="31"/>
        <v>#REF!</v>
      </c>
      <c r="BX137" s="109" t="e">
        <f>IF(AND(IF(OOC!G137="",0,OOC!G137) &gt;= IF(O137="",0,O137), IF(O137="",0,O137) &gt; IF(L137="",0,L137)), "OOC",
IF(AND(IF(M137="",0,M137) &gt; IF(P137="",0,P137), IF(P137="",0,P137) &gt;= IF(OOC!H137="",0,OOC!H137)), "OOC",
IF(IF(O137="",0,O137) &gt; IF(OOC!G137="",0,OOC!G137), "OOS",
IF(IF(OOC!H137="",0,OOC!H137) &gt; IF(P137="",0,P137), "OOS", "OK"))))</f>
        <v>#REF!</v>
      </c>
    </row>
    <row r="138" spans="1:76" ht="15" customHeight="1">
      <c r="A138" s="18">
        <v>40</v>
      </c>
      <c r="B138" s="84"/>
      <c r="C138" s="88" t="s">
        <v>187</v>
      </c>
      <c r="D138" s="22" t="s">
        <v>60</v>
      </c>
      <c r="E138" s="86"/>
      <c r="F138" s="13" t="s">
        <v>28</v>
      </c>
      <c r="G138" s="14">
        <v>0.42899999999999999</v>
      </c>
      <c r="H138" s="82" t="str">
        <f>IF(OOC!S138=0,"",OOC!S138)</f>
        <v/>
      </c>
      <c r="I138" s="82" t="str">
        <f>IF(OOC!T138=0,"",OOC!T138)</f>
        <v/>
      </c>
      <c r="J138" s="16" t="s">
        <v>12</v>
      </c>
      <c r="K138" s="73" t="s">
        <v>52</v>
      </c>
      <c r="L138" s="19" t="e">
        <f t="shared" si="0"/>
        <v>#VALUE!</v>
      </c>
      <c r="M138" s="25" t="e">
        <f t="shared" si="1"/>
        <v>#VALUE!</v>
      </c>
      <c r="N138" s="29"/>
      <c r="O138" s="3" t="e">
        <f t="shared" si="32"/>
        <v>#REF!</v>
      </c>
      <c r="P138" s="3" t="e">
        <f t="shared" si="33"/>
        <v>#REF!</v>
      </c>
      <c r="Q138" s="3" t="e">
        <f t="shared" si="34"/>
        <v>#REF!</v>
      </c>
      <c r="R138" s="4" t="e">
        <f t="shared" si="35"/>
        <v>#REF!</v>
      </c>
      <c r="S138" s="5" t="e">
        <f t="shared" si="27"/>
        <v>#REF!</v>
      </c>
      <c r="T138" s="76" t="e">
        <f t="shared" si="26"/>
        <v>#REF!</v>
      </c>
      <c r="U138" s="76" t="e">
        <f t="shared" si="3"/>
        <v>#REF!</v>
      </c>
      <c r="V138" s="5" t="e">
        <f t="shared" si="22"/>
        <v>#REF!</v>
      </c>
      <c r="W138" s="5" t="e">
        <f t="shared" si="23"/>
        <v>#REF!</v>
      </c>
      <c r="X138" s="5" t="e">
        <f t="shared" si="24"/>
        <v>#REF!</v>
      </c>
      <c r="Y138" s="70" t="e">
        <f t="shared" si="25"/>
        <v>#REF!</v>
      </c>
      <c r="Z138" s="32" t="e">
        <f t="shared" si="8"/>
        <v>#REF!</v>
      </c>
      <c r="AA138" s="32" t="e">
        <f t="shared" si="9"/>
        <v>#REF!</v>
      </c>
      <c r="AB138" s="32" t="e">
        <f t="shared" si="10"/>
        <v>#REF!</v>
      </c>
      <c r="AC138" s="32" t="e">
        <f t="shared" si="11"/>
        <v>#REF!</v>
      </c>
      <c r="AD138" s="30"/>
      <c r="AE138" s="21" t="str">
        <f t="shared" si="12"/>
        <v/>
      </c>
      <c r="AF138" s="74"/>
      <c r="AG138" s="57"/>
      <c r="AH138" s="57"/>
      <c r="AI138" s="58"/>
      <c r="AJ138" s="20"/>
      <c r="AK138" s="2" t="e">
        <f>#REF!</f>
        <v>#REF!</v>
      </c>
      <c r="AL138" s="2" t="e">
        <f>#REF!</f>
        <v>#REF!</v>
      </c>
      <c r="AM138" s="2" t="e">
        <f>#REF!</f>
        <v>#REF!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0" t="str">
        <f t="shared" si="28"/>
        <v>66-2</v>
      </c>
      <c r="BS138" s="112">
        <f>OOC!G138</f>
        <v>0.44900000000000001</v>
      </c>
      <c r="BT138" s="112">
        <f>OOC!H138</f>
        <v>0.40899999999999997</v>
      </c>
      <c r="BU138" s="3" t="e">
        <f t="shared" si="29"/>
        <v>#REF!</v>
      </c>
      <c r="BV138" s="3" t="e">
        <f t="shared" si="30"/>
        <v>#REF!</v>
      </c>
      <c r="BW138" s="3" t="e">
        <f t="shared" si="31"/>
        <v>#REF!</v>
      </c>
      <c r="BX138" s="109" t="e">
        <f>IF(AND(IF(OOC!G138="",0,OOC!G138) &gt;= IF(O138="",0,O138), IF(O138="",0,O138) &gt; IF(L138="",0,L138)), "OOC",
IF(AND(IF(M138="",0,M138) &gt; IF(P138="",0,P138), IF(P138="",0,P138) &gt;= IF(OOC!H138="",0,OOC!H138)), "OOC",
IF(IF(O138="",0,O138) &gt; IF(OOC!G138="",0,OOC!G138), "OOS",
IF(IF(OOC!H138="",0,OOC!H138) &gt; IF(P138="",0,P138), "OOS", "OK"))))</f>
        <v>#REF!</v>
      </c>
    </row>
    <row r="139" spans="1:76" ht="15" customHeight="1">
      <c r="A139" s="18">
        <v>13</v>
      </c>
      <c r="B139" s="84" t="s">
        <v>169</v>
      </c>
      <c r="C139" s="88" t="s">
        <v>97</v>
      </c>
      <c r="D139" s="22" t="s">
        <v>90</v>
      </c>
      <c r="E139" s="86">
        <v>1.33</v>
      </c>
      <c r="F139" s="13" t="s">
        <v>28</v>
      </c>
      <c r="G139" s="14">
        <v>0.39200000000000002</v>
      </c>
      <c r="H139" s="82" t="str">
        <f>IF(OOC!S139=0,"",OOC!S139)</f>
        <v/>
      </c>
      <c r="I139" s="82" t="str">
        <f>IF(OOC!T139=0,"",OOC!T139)</f>
        <v/>
      </c>
      <c r="J139" s="16" t="s">
        <v>12</v>
      </c>
      <c r="K139" s="73" t="s">
        <v>52</v>
      </c>
      <c r="L139" s="19" t="e">
        <f t="shared" si="0"/>
        <v>#VALUE!</v>
      </c>
      <c r="M139" s="25" t="e">
        <f t="shared" si="1"/>
        <v>#VALUE!</v>
      </c>
      <c r="N139" s="29"/>
      <c r="O139" s="3" t="e">
        <f t="shared" si="32"/>
        <v>#REF!</v>
      </c>
      <c r="P139" s="3" t="e">
        <f t="shared" si="33"/>
        <v>#REF!</v>
      </c>
      <c r="Q139" s="3" t="e">
        <f t="shared" si="34"/>
        <v>#REF!</v>
      </c>
      <c r="R139" s="4" t="e">
        <f t="shared" si="35"/>
        <v>#REF!</v>
      </c>
      <c r="S139" s="5" t="e">
        <f t="shared" si="27"/>
        <v>#REF!</v>
      </c>
      <c r="T139" s="76" t="e">
        <f t="shared" si="26"/>
        <v>#REF!</v>
      </c>
      <c r="U139" s="76" t="e">
        <f t="shared" si="3"/>
        <v>#REF!</v>
      </c>
      <c r="V139" s="5" t="e">
        <f t="shared" si="22"/>
        <v>#REF!</v>
      </c>
      <c r="W139" s="5" t="e">
        <f t="shared" si="23"/>
        <v>#REF!</v>
      </c>
      <c r="X139" s="5" t="e">
        <f t="shared" si="24"/>
        <v>#REF!</v>
      </c>
      <c r="Y139" s="70" t="e">
        <f t="shared" si="25"/>
        <v>#REF!</v>
      </c>
      <c r="Z139" s="32" t="e">
        <f t="shared" si="8"/>
        <v>#REF!</v>
      </c>
      <c r="AA139" s="32" t="e">
        <f t="shared" si="9"/>
        <v>#REF!</v>
      </c>
      <c r="AB139" s="32" t="e">
        <f t="shared" si="10"/>
        <v>#REF!</v>
      </c>
      <c r="AC139" s="32" t="e">
        <f t="shared" si="11"/>
        <v>#REF!</v>
      </c>
      <c r="AD139" s="30"/>
      <c r="AE139" s="21" t="str">
        <f t="shared" si="12"/>
        <v/>
      </c>
      <c r="AF139" s="74"/>
      <c r="AG139" s="57"/>
      <c r="AH139" s="57"/>
      <c r="AI139" s="58"/>
      <c r="AJ139" s="20"/>
      <c r="AK139" s="2" t="e">
        <f>#REF!</f>
        <v>#REF!</v>
      </c>
      <c r="AL139" s="2" t="e">
        <f>#REF!</f>
        <v>#REF!</v>
      </c>
      <c r="AM139" s="2" t="e">
        <f>#REF!</f>
        <v>#REF!</v>
      </c>
      <c r="AN139" s="2" t="e">
        <f>#REF!</f>
        <v>#REF!</v>
      </c>
      <c r="AO139" s="2" t="e">
        <f>#REF!</f>
        <v>#REF!</v>
      </c>
      <c r="AP139" s="2" t="e">
        <f>#REF!</f>
        <v>#REF!</v>
      </c>
      <c r="AQ139" s="2" t="e">
        <f>#REF!</f>
        <v>#REF!</v>
      </c>
      <c r="AR139" s="2" t="e">
        <f>#REF!</f>
        <v>#REF!</v>
      </c>
      <c r="AS139" s="2" t="e">
        <f>#REF!</f>
        <v>#REF!</v>
      </c>
      <c r="AT139" s="2" t="e">
        <f>#REF!</f>
        <v>#REF!</v>
      </c>
      <c r="AU139" s="2" t="e">
        <f>#REF!</f>
        <v>#REF!</v>
      </c>
      <c r="AV139" s="2" t="e">
        <f>#REF!</f>
        <v>#REF!</v>
      </c>
      <c r="AW139" s="2" t="e">
        <f>#REF!</f>
        <v>#REF!</v>
      </c>
      <c r="AX139" s="2" t="e">
        <f>#REF!</f>
        <v>#REF!</v>
      </c>
      <c r="AY139" s="2" t="e">
        <f>#REF!</f>
        <v>#REF!</v>
      </c>
      <c r="AZ139" s="2" t="e">
        <f>#REF!</f>
        <v>#REF!</v>
      </c>
      <c r="BA139" s="2" t="e">
        <f>#REF!</f>
        <v>#REF!</v>
      </c>
      <c r="BB139" s="2" t="e">
        <f>#REF!</f>
        <v>#REF!</v>
      </c>
      <c r="BC139" s="2" t="e">
        <f>#REF!</f>
        <v>#REF!</v>
      </c>
      <c r="BD139" s="2" t="e">
        <f>#REF!</f>
        <v>#REF!</v>
      </c>
      <c r="BE139" s="2" t="e">
        <f>#REF!</f>
        <v>#REF!</v>
      </c>
      <c r="BF139" s="2" t="e">
        <f>#REF!</f>
        <v>#REF!</v>
      </c>
      <c r="BG139" s="2" t="e">
        <f>#REF!</f>
        <v>#REF!</v>
      </c>
      <c r="BH139" s="2" t="e">
        <f>#REF!</f>
        <v>#REF!</v>
      </c>
      <c r="BI139" s="2" t="e">
        <f>#REF!</f>
        <v>#REF!</v>
      </c>
      <c r="BJ139" s="2" t="e">
        <f>#REF!</f>
        <v>#REF!</v>
      </c>
      <c r="BK139" s="2" t="e">
        <f>#REF!</f>
        <v>#REF!</v>
      </c>
      <c r="BL139" s="2" t="e">
        <f>#REF!</f>
        <v>#REF!</v>
      </c>
      <c r="BM139" s="2" t="e">
        <f>#REF!</f>
        <v>#REF!</v>
      </c>
      <c r="BN139" s="2" t="e">
        <f>#REF!</f>
        <v>#REF!</v>
      </c>
      <c r="BO139" s="2" t="e">
        <f>#REF!</f>
        <v>#REF!</v>
      </c>
      <c r="BP139" s="2" t="e">
        <f>#REF!</f>
        <v>#REF!</v>
      </c>
      <c r="BR139" s="110" t="str">
        <f t="shared" si="28"/>
        <v>67_1</v>
      </c>
      <c r="BS139" s="112">
        <f>OOC!G139</f>
        <v>0.42200000000000004</v>
      </c>
      <c r="BT139" s="112">
        <f>OOC!H139</f>
        <v>0.36199999999999999</v>
      </c>
      <c r="BU139" s="3" t="e">
        <f t="shared" si="29"/>
        <v>#REF!</v>
      </c>
      <c r="BV139" s="3" t="e">
        <f t="shared" si="30"/>
        <v>#REF!</v>
      </c>
      <c r="BW139" s="3" t="e">
        <f t="shared" si="31"/>
        <v>#REF!</v>
      </c>
      <c r="BX139" s="109" t="e">
        <f>IF(AND(IF(OOC!G139="",0,OOC!G139) &gt;= IF(O139="",0,O139), IF(O139="",0,O139) &gt; IF(L139="",0,L139)), "OOC",
IF(AND(IF(M139="",0,M139) &gt; IF(P139="",0,P139), IF(P139="",0,P139) &gt;= IF(OOC!H139="",0,OOC!H139)), "OOC",
IF(IF(O139="",0,O139) &gt; IF(OOC!G139="",0,OOC!G139), "OOS",
IF(IF(OOC!H139="",0,OOC!H139) &gt; IF(P139="",0,P139), "OOS", "OK"))))</f>
        <v>#REF!</v>
      </c>
    </row>
    <row r="140" spans="1:76" ht="15" customHeight="1">
      <c r="A140" s="18">
        <v>13</v>
      </c>
      <c r="B140" s="84" t="s">
        <v>169</v>
      </c>
      <c r="C140" s="88" t="s">
        <v>98</v>
      </c>
      <c r="D140" s="22" t="s">
        <v>90</v>
      </c>
      <c r="E140" s="86">
        <v>1.33</v>
      </c>
      <c r="F140" s="13" t="s">
        <v>28</v>
      </c>
      <c r="G140" s="14">
        <v>0.39200000000000002</v>
      </c>
      <c r="H140" s="82" t="str">
        <f>IF(OOC!S140=0,"",OOC!S140)</f>
        <v/>
      </c>
      <c r="I140" s="82" t="str">
        <f>IF(OOC!T140=0,"",OOC!T140)</f>
        <v/>
      </c>
      <c r="J140" s="16" t="s">
        <v>12</v>
      </c>
      <c r="K140" s="73" t="s">
        <v>52</v>
      </c>
      <c r="L140" s="19" t="e">
        <f t="shared" si="0"/>
        <v>#VALUE!</v>
      </c>
      <c r="M140" s="25" t="e">
        <f t="shared" si="1"/>
        <v>#VALUE!</v>
      </c>
      <c r="N140" s="29"/>
      <c r="O140" s="3" t="e">
        <f t="shared" si="32"/>
        <v>#REF!</v>
      </c>
      <c r="P140" s="3" t="e">
        <f t="shared" si="33"/>
        <v>#REF!</v>
      </c>
      <c r="Q140" s="3" t="e">
        <f t="shared" si="34"/>
        <v>#REF!</v>
      </c>
      <c r="R140" s="4" t="e">
        <f t="shared" si="35"/>
        <v>#REF!</v>
      </c>
      <c r="S140" s="5" t="e">
        <f t="shared" si="27"/>
        <v>#REF!</v>
      </c>
      <c r="T140" s="76" t="e">
        <f t="shared" si="26"/>
        <v>#REF!</v>
      </c>
      <c r="U140" s="76" t="e">
        <f t="shared" si="3"/>
        <v>#REF!</v>
      </c>
      <c r="V140" s="5" t="e">
        <f t="shared" si="22"/>
        <v>#REF!</v>
      </c>
      <c r="W140" s="5" t="e">
        <f t="shared" si="23"/>
        <v>#REF!</v>
      </c>
      <c r="X140" s="5" t="e">
        <f t="shared" si="24"/>
        <v>#REF!</v>
      </c>
      <c r="Y140" s="70" t="e">
        <f t="shared" si="25"/>
        <v>#REF!</v>
      </c>
      <c r="Z140" s="32" t="e">
        <f t="shared" si="8"/>
        <v>#REF!</v>
      </c>
      <c r="AA140" s="32" t="e">
        <f t="shared" si="9"/>
        <v>#REF!</v>
      </c>
      <c r="AB140" s="32" t="e">
        <f t="shared" si="10"/>
        <v>#REF!</v>
      </c>
      <c r="AC140" s="32" t="e">
        <f t="shared" si="11"/>
        <v>#REF!</v>
      </c>
      <c r="AD140" s="30"/>
      <c r="AE140" s="21" t="str">
        <f t="shared" si="12"/>
        <v/>
      </c>
      <c r="AF140" s="74"/>
      <c r="AG140" s="57"/>
      <c r="AH140" s="57"/>
      <c r="AI140" s="58"/>
      <c r="AJ140" s="20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 t="e">
        <f>#REF!</f>
        <v>#REF!</v>
      </c>
      <c r="AO140" s="2" t="e">
        <f>#REF!</f>
        <v>#REF!</v>
      </c>
      <c r="AP140" s="2" t="e">
        <f>#REF!</f>
        <v>#REF!</v>
      </c>
      <c r="AQ140" s="2" t="e">
        <f>#REF!</f>
        <v>#REF!</v>
      </c>
      <c r="AR140" s="2" t="e">
        <f>#REF!</f>
        <v>#REF!</v>
      </c>
      <c r="AS140" s="2" t="e">
        <f>#REF!</f>
        <v>#REF!</v>
      </c>
      <c r="AT140" s="2" t="e">
        <f>#REF!</f>
        <v>#REF!</v>
      </c>
      <c r="AU140" s="2" t="e">
        <f>#REF!</f>
        <v>#REF!</v>
      </c>
      <c r="AV140" s="2" t="e">
        <f>#REF!</f>
        <v>#REF!</v>
      </c>
      <c r="AW140" s="2" t="e">
        <f>#REF!</f>
        <v>#REF!</v>
      </c>
      <c r="AX140" s="2" t="e">
        <f>#REF!</f>
        <v>#REF!</v>
      </c>
      <c r="AY140" s="2" t="e">
        <f>#REF!</f>
        <v>#REF!</v>
      </c>
      <c r="AZ140" s="2" t="e">
        <f>#REF!</f>
        <v>#REF!</v>
      </c>
      <c r="BA140" s="2" t="e">
        <f>#REF!</f>
        <v>#REF!</v>
      </c>
      <c r="BB140" s="2" t="e">
        <f>#REF!</f>
        <v>#REF!</v>
      </c>
      <c r="BC140" s="2" t="e">
        <f>#REF!</f>
        <v>#REF!</v>
      </c>
      <c r="BD140" s="2" t="e">
        <f>#REF!</f>
        <v>#REF!</v>
      </c>
      <c r="BE140" s="2" t="e">
        <f>#REF!</f>
        <v>#REF!</v>
      </c>
      <c r="BF140" s="2" t="e">
        <f>#REF!</f>
        <v>#REF!</v>
      </c>
      <c r="BG140" s="2" t="e">
        <f>#REF!</f>
        <v>#REF!</v>
      </c>
      <c r="BH140" s="2" t="e">
        <f>#REF!</f>
        <v>#REF!</v>
      </c>
      <c r="BI140" s="2" t="e">
        <f>#REF!</f>
        <v>#REF!</v>
      </c>
      <c r="BJ140" s="2" t="e">
        <f>#REF!</f>
        <v>#REF!</v>
      </c>
      <c r="BK140" s="2" t="e">
        <f>#REF!</f>
        <v>#REF!</v>
      </c>
      <c r="BL140" s="2" t="e">
        <f>#REF!</f>
        <v>#REF!</v>
      </c>
      <c r="BM140" s="2" t="e">
        <f>#REF!</f>
        <v>#REF!</v>
      </c>
      <c r="BN140" s="2" t="e">
        <f>#REF!</f>
        <v>#REF!</v>
      </c>
      <c r="BO140" s="2" t="e">
        <f>#REF!</f>
        <v>#REF!</v>
      </c>
      <c r="BP140" s="2" t="e">
        <f>#REF!</f>
        <v>#REF!</v>
      </c>
      <c r="BR140" s="110" t="str">
        <f t="shared" si="28"/>
        <v>67_2</v>
      </c>
      <c r="BS140" s="112">
        <f>OOC!G140</f>
        <v>0.42200000000000004</v>
      </c>
      <c r="BT140" s="112">
        <f>OOC!H140</f>
        <v>0.36199999999999999</v>
      </c>
      <c r="BU140" s="3" t="e">
        <f t="shared" si="29"/>
        <v>#REF!</v>
      </c>
      <c r="BV140" s="3" t="e">
        <f t="shared" si="30"/>
        <v>#REF!</v>
      </c>
      <c r="BW140" s="3" t="e">
        <f t="shared" si="31"/>
        <v>#REF!</v>
      </c>
      <c r="BX140" s="109" t="e">
        <f>IF(AND(IF(OOC!G140="",0,OOC!G140) &gt;= IF(O140="",0,O140), IF(O140="",0,O140) &gt; IF(L140="",0,L140)), "OOC",
IF(AND(IF(M140="",0,M140) &gt; IF(P140="",0,P140), IF(P140="",0,P140) &gt;= IF(OOC!H140="",0,OOC!H140)), "OOC",
IF(IF(O140="",0,O140) &gt; IF(OOC!G140="",0,OOC!G140), "OOS",
IF(IF(OOC!H140="",0,OOC!H140) &gt; IF(P140="",0,P140), "OOS", "OK"))))</f>
        <v>#REF!</v>
      </c>
    </row>
    <row r="141" spans="1:76" ht="15" customHeight="1">
      <c r="A141" s="18">
        <v>13</v>
      </c>
      <c r="B141" s="84" t="s">
        <v>169</v>
      </c>
      <c r="C141" s="88" t="s">
        <v>99</v>
      </c>
      <c r="D141" s="22" t="s">
        <v>90</v>
      </c>
      <c r="E141" s="86">
        <v>1.33</v>
      </c>
      <c r="F141" s="13" t="s">
        <v>28</v>
      </c>
      <c r="G141" s="14">
        <v>0.39200000000000002</v>
      </c>
      <c r="H141" s="82" t="str">
        <f>IF(OOC!S141=0,"",OOC!S141)</f>
        <v/>
      </c>
      <c r="I141" s="82" t="str">
        <f>IF(OOC!T141=0,"",OOC!T141)</f>
        <v/>
      </c>
      <c r="J141" s="16" t="s">
        <v>12</v>
      </c>
      <c r="K141" s="73" t="s">
        <v>52</v>
      </c>
      <c r="L141" s="19" t="e">
        <f t="shared" si="0"/>
        <v>#VALUE!</v>
      </c>
      <c r="M141" s="25" t="e">
        <f t="shared" si="1"/>
        <v>#VALUE!</v>
      </c>
      <c r="N141" s="29"/>
      <c r="O141" s="3" t="e">
        <f t="shared" si="32"/>
        <v>#REF!</v>
      </c>
      <c r="P141" s="3" t="e">
        <f t="shared" si="33"/>
        <v>#REF!</v>
      </c>
      <c r="Q141" s="3" t="e">
        <f t="shared" si="34"/>
        <v>#REF!</v>
      </c>
      <c r="R141" s="4" t="e">
        <f t="shared" si="35"/>
        <v>#REF!</v>
      </c>
      <c r="S141" s="5" t="e">
        <f t="shared" si="27"/>
        <v>#REF!</v>
      </c>
      <c r="T141" s="76" t="e">
        <f t="shared" si="26"/>
        <v>#REF!</v>
      </c>
      <c r="U141" s="76" t="e">
        <f t="shared" si="3"/>
        <v>#REF!</v>
      </c>
      <c r="V141" s="5" t="e">
        <f t="shared" si="22"/>
        <v>#REF!</v>
      </c>
      <c r="W141" s="5" t="e">
        <f t="shared" si="23"/>
        <v>#REF!</v>
      </c>
      <c r="X141" s="5" t="e">
        <f t="shared" si="24"/>
        <v>#REF!</v>
      </c>
      <c r="Y141" s="70" t="e">
        <f t="shared" si="25"/>
        <v>#REF!</v>
      </c>
      <c r="Z141" s="32" t="e">
        <f t="shared" si="8"/>
        <v>#REF!</v>
      </c>
      <c r="AA141" s="32" t="e">
        <f t="shared" si="9"/>
        <v>#REF!</v>
      </c>
      <c r="AB141" s="32" t="e">
        <f t="shared" si="10"/>
        <v>#REF!</v>
      </c>
      <c r="AC141" s="32" t="e">
        <f t="shared" si="11"/>
        <v>#REF!</v>
      </c>
      <c r="AD141" s="30"/>
      <c r="AE141" s="21" t="str">
        <f t="shared" si="12"/>
        <v/>
      </c>
      <c r="AF141" s="74"/>
      <c r="AG141" s="57"/>
      <c r="AH141" s="57"/>
      <c r="AI141" s="58"/>
      <c r="AJ141" s="20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0" t="str">
        <f t="shared" si="28"/>
        <v>67_3</v>
      </c>
      <c r="BS141" s="112">
        <f>OOC!G141</f>
        <v>0.42200000000000004</v>
      </c>
      <c r="BT141" s="112">
        <f>OOC!H141</f>
        <v>0.36199999999999999</v>
      </c>
      <c r="BU141" s="3" t="e">
        <f t="shared" si="29"/>
        <v>#REF!</v>
      </c>
      <c r="BV141" s="3" t="e">
        <f t="shared" si="30"/>
        <v>#REF!</v>
      </c>
      <c r="BW141" s="3" t="e">
        <f t="shared" si="31"/>
        <v>#REF!</v>
      </c>
      <c r="BX141" s="109" t="e">
        <f>IF(AND(IF(OOC!G141="",0,OOC!G141) &gt;= IF(O141="",0,O141), IF(O141="",0,O141) &gt; IF(L141="",0,L141)), "OOC",
IF(AND(IF(M141="",0,M141) &gt; IF(P141="",0,P141), IF(P141="",0,P141) &gt;= IF(OOC!H141="",0,OOC!H141)), "OOC",
IF(IF(O141="",0,O141) &gt; IF(OOC!G141="",0,OOC!G141), "OOS",
IF(IF(OOC!H141="",0,OOC!H141) &gt; IF(P141="",0,P141), "OOS", "OK"))))</f>
        <v>#REF!</v>
      </c>
    </row>
    <row r="142" spans="1:76" ht="15" customHeight="1">
      <c r="A142" s="18">
        <v>13</v>
      </c>
      <c r="B142" s="84" t="s">
        <v>169</v>
      </c>
      <c r="C142" s="88" t="s">
        <v>100</v>
      </c>
      <c r="D142" s="22" t="s">
        <v>90</v>
      </c>
      <c r="E142" s="86">
        <v>1.33</v>
      </c>
      <c r="F142" s="13" t="s">
        <v>28</v>
      </c>
      <c r="G142" s="14">
        <v>0.39200000000000002</v>
      </c>
      <c r="H142" s="82" t="str">
        <f>IF(OOC!S142=0,"",OOC!S142)</f>
        <v/>
      </c>
      <c r="I142" s="82" t="str">
        <f>IF(OOC!T142=0,"",OOC!T142)</f>
        <v/>
      </c>
      <c r="J142" s="16" t="s">
        <v>12</v>
      </c>
      <c r="K142" s="73" t="s">
        <v>52</v>
      </c>
      <c r="L142" s="19" t="e">
        <f t="shared" si="0"/>
        <v>#VALUE!</v>
      </c>
      <c r="M142" s="25" t="e">
        <f t="shared" si="1"/>
        <v>#VALUE!</v>
      </c>
      <c r="N142" s="29"/>
      <c r="O142" s="3" t="e">
        <f t="shared" si="32"/>
        <v>#REF!</v>
      </c>
      <c r="P142" s="3" t="e">
        <f t="shared" si="33"/>
        <v>#REF!</v>
      </c>
      <c r="Q142" s="3" t="e">
        <f t="shared" si="34"/>
        <v>#REF!</v>
      </c>
      <c r="R142" s="4" t="e">
        <f t="shared" si="35"/>
        <v>#REF!</v>
      </c>
      <c r="S142" s="5" t="e">
        <f t="shared" si="27"/>
        <v>#REF!</v>
      </c>
      <c r="T142" s="76" t="e">
        <f t="shared" si="26"/>
        <v>#REF!</v>
      </c>
      <c r="U142" s="76" t="e">
        <f t="shared" si="3"/>
        <v>#REF!</v>
      </c>
      <c r="V142" s="5" t="e">
        <f t="shared" si="22"/>
        <v>#REF!</v>
      </c>
      <c r="W142" s="5" t="e">
        <f t="shared" si="23"/>
        <v>#REF!</v>
      </c>
      <c r="X142" s="5" t="e">
        <f t="shared" si="24"/>
        <v>#REF!</v>
      </c>
      <c r="Y142" s="70" t="e">
        <f t="shared" si="25"/>
        <v>#REF!</v>
      </c>
      <c r="Z142" s="32" t="e">
        <f t="shared" si="8"/>
        <v>#REF!</v>
      </c>
      <c r="AA142" s="32" t="e">
        <f t="shared" si="9"/>
        <v>#REF!</v>
      </c>
      <c r="AB142" s="32" t="e">
        <f t="shared" si="10"/>
        <v>#REF!</v>
      </c>
      <c r="AC142" s="32" t="e">
        <f t="shared" si="11"/>
        <v>#REF!</v>
      </c>
      <c r="AD142" s="30"/>
      <c r="AE142" s="21" t="str">
        <f t="shared" si="12"/>
        <v/>
      </c>
      <c r="AF142" s="74"/>
      <c r="AG142" s="57"/>
      <c r="AH142" s="57"/>
      <c r="AI142" s="58"/>
      <c r="AJ142" s="20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0" t="str">
        <f t="shared" si="28"/>
        <v>67_4</v>
      </c>
      <c r="BS142" s="112">
        <f>OOC!G142</f>
        <v>0.42200000000000004</v>
      </c>
      <c r="BT142" s="112">
        <f>OOC!H142</f>
        <v>0.36199999999999999</v>
      </c>
      <c r="BU142" s="3" t="e">
        <f t="shared" si="29"/>
        <v>#REF!</v>
      </c>
      <c r="BV142" s="3" t="e">
        <f t="shared" si="30"/>
        <v>#REF!</v>
      </c>
      <c r="BW142" s="3" t="e">
        <f t="shared" si="31"/>
        <v>#REF!</v>
      </c>
      <c r="BX142" s="109" t="e">
        <f>IF(AND(IF(OOC!G142="",0,OOC!G142) &gt;= IF(O142="",0,O142), IF(O142="",0,O142) &gt; IF(L142="",0,L142)), "OOC",
IF(AND(IF(M142="",0,M142) &gt; IF(P142="",0,P142), IF(P142="",0,P142) &gt;= IF(OOC!H142="",0,OOC!H142)), "OOC",
IF(IF(O142="",0,O142) &gt; IF(OOC!G142="",0,OOC!G142), "OOS",
IF(IF(OOC!H142="",0,OOC!H142) &gt; IF(P142="",0,P142), "OOS", "OK"))))</f>
        <v>#REF!</v>
      </c>
    </row>
    <row r="143" spans="1:76" ht="15" customHeight="1">
      <c r="A143" s="18">
        <v>13</v>
      </c>
      <c r="B143" s="84" t="s">
        <v>169</v>
      </c>
      <c r="C143" s="88" t="s">
        <v>101</v>
      </c>
      <c r="D143" s="22" t="s">
        <v>90</v>
      </c>
      <c r="E143" s="86">
        <v>1.33</v>
      </c>
      <c r="F143" s="13" t="s">
        <v>28</v>
      </c>
      <c r="G143" s="14">
        <v>0.39200000000000002</v>
      </c>
      <c r="H143" s="82" t="str">
        <f>IF(OOC!S143=0,"",OOC!S143)</f>
        <v/>
      </c>
      <c r="I143" s="82" t="str">
        <f>IF(OOC!T143=0,"",OOC!T143)</f>
        <v/>
      </c>
      <c r="J143" s="16" t="s">
        <v>12</v>
      </c>
      <c r="K143" s="73" t="s">
        <v>52</v>
      </c>
      <c r="L143" s="19" t="e">
        <f t="shared" si="0"/>
        <v>#VALUE!</v>
      </c>
      <c r="M143" s="25" t="e">
        <f t="shared" si="1"/>
        <v>#VALUE!</v>
      </c>
      <c r="N143" s="29"/>
      <c r="O143" s="3" t="e">
        <f t="shared" si="32"/>
        <v>#REF!</v>
      </c>
      <c r="P143" s="3" t="e">
        <f t="shared" si="33"/>
        <v>#REF!</v>
      </c>
      <c r="Q143" s="3" t="e">
        <f t="shared" si="34"/>
        <v>#REF!</v>
      </c>
      <c r="R143" s="4" t="e">
        <f t="shared" si="35"/>
        <v>#REF!</v>
      </c>
      <c r="S143" s="5" t="e">
        <f t="shared" si="27"/>
        <v>#REF!</v>
      </c>
      <c r="T143" s="76" t="e">
        <f t="shared" si="26"/>
        <v>#REF!</v>
      </c>
      <c r="U143" s="76" t="e">
        <f t="shared" si="3"/>
        <v>#REF!</v>
      </c>
      <c r="V143" s="5" t="e">
        <f t="shared" si="22"/>
        <v>#REF!</v>
      </c>
      <c r="W143" s="5" t="e">
        <f t="shared" si="23"/>
        <v>#REF!</v>
      </c>
      <c r="X143" s="5" t="e">
        <f t="shared" si="24"/>
        <v>#REF!</v>
      </c>
      <c r="Y143" s="70" t="e">
        <f t="shared" si="25"/>
        <v>#REF!</v>
      </c>
      <c r="Z143" s="32" t="e">
        <f t="shared" si="8"/>
        <v>#REF!</v>
      </c>
      <c r="AA143" s="32" t="e">
        <f t="shared" si="9"/>
        <v>#REF!</v>
      </c>
      <c r="AB143" s="32" t="e">
        <f t="shared" si="10"/>
        <v>#REF!</v>
      </c>
      <c r="AC143" s="32" t="e">
        <f t="shared" si="11"/>
        <v>#REF!</v>
      </c>
      <c r="AD143" s="30"/>
      <c r="AE143" s="21" t="str">
        <f t="shared" si="12"/>
        <v/>
      </c>
      <c r="AF143" s="74"/>
      <c r="AG143" s="57"/>
      <c r="AH143" s="57"/>
      <c r="AI143" s="58"/>
      <c r="AJ143" s="20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 t="e">
        <f>#REF!</f>
        <v>#REF!</v>
      </c>
      <c r="AO143" s="2" t="e">
        <f>#REF!</f>
        <v>#REF!</v>
      </c>
      <c r="AP143" s="2" t="e">
        <f>#REF!</f>
        <v>#REF!</v>
      </c>
      <c r="AQ143" s="2" t="e">
        <f>#REF!</f>
        <v>#REF!</v>
      </c>
      <c r="AR143" s="2" t="e">
        <f>#REF!</f>
        <v>#REF!</v>
      </c>
      <c r="AS143" s="2" t="e">
        <f>#REF!</f>
        <v>#REF!</v>
      </c>
      <c r="AT143" s="2" t="e">
        <f>#REF!</f>
        <v>#REF!</v>
      </c>
      <c r="AU143" s="2" t="e">
        <f>#REF!</f>
        <v>#REF!</v>
      </c>
      <c r="AV143" s="2" t="e">
        <f>#REF!</f>
        <v>#REF!</v>
      </c>
      <c r="AW143" s="2" t="e">
        <f>#REF!</f>
        <v>#REF!</v>
      </c>
      <c r="AX143" s="2" t="e">
        <f>#REF!</f>
        <v>#REF!</v>
      </c>
      <c r="AY143" s="2" t="e">
        <f>#REF!</f>
        <v>#REF!</v>
      </c>
      <c r="AZ143" s="2" t="e">
        <f>#REF!</f>
        <v>#REF!</v>
      </c>
      <c r="BA143" s="2" t="e">
        <f>#REF!</f>
        <v>#REF!</v>
      </c>
      <c r="BB143" s="2" t="e">
        <f>#REF!</f>
        <v>#REF!</v>
      </c>
      <c r="BC143" s="2" t="e">
        <f>#REF!</f>
        <v>#REF!</v>
      </c>
      <c r="BD143" s="2" t="e">
        <f>#REF!</f>
        <v>#REF!</v>
      </c>
      <c r="BE143" s="2" t="e">
        <f>#REF!</f>
        <v>#REF!</v>
      </c>
      <c r="BF143" s="2" t="e">
        <f>#REF!</f>
        <v>#REF!</v>
      </c>
      <c r="BG143" s="2" t="e">
        <f>#REF!</f>
        <v>#REF!</v>
      </c>
      <c r="BH143" s="2" t="e">
        <f>#REF!</f>
        <v>#REF!</v>
      </c>
      <c r="BI143" s="2" t="e">
        <f>#REF!</f>
        <v>#REF!</v>
      </c>
      <c r="BJ143" s="2" t="e">
        <f>#REF!</f>
        <v>#REF!</v>
      </c>
      <c r="BK143" s="2" t="e">
        <f>#REF!</f>
        <v>#REF!</v>
      </c>
      <c r="BL143" s="2" t="e">
        <f>#REF!</f>
        <v>#REF!</v>
      </c>
      <c r="BM143" s="2" t="e">
        <f>#REF!</f>
        <v>#REF!</v>
      </c>
      <c r="BN143" s="2" t="e">
        <f>#REF!</f>
        <v>#REF!</v>
      </c>
      <c r="BO143" s="2" t="e">
        <f>#REF!</f>
        <v>#REF!</v>
      </c>
      <c r="BP143" s="2" t="e">
        <f>#REF!</f>
        <v>#REF!</v>
      </c>
      <c r="BR143" s="110" t="str">
        <f t="shared" si="28"/>
        <v>67_5</v>
      </c>
      <c r="BS143" s="112">
        <f>OOC!G143</f>
        <v>0.42200000000000004</v>
      </c>
      <c r="BT143" s="112">
        <f>OOC!H143</f>
        <v>0.36199999999999999</v>
      </c>
      <c r="BU143" s="3" t="e">
        <f t="shared" si="29"/>
        <v>#REF!</v>
      </c>
      <c r="BV143" s="3" t="e">
        <f t="shared" si="30"/>
        <v>#REF!</v>
      </c>
      <c r="BW143" s="3" t="e">
        <f t="shared" si="31"/>
        <v>#REF!</v>
      </c>
      <c r="BX143" s="109" t="e">
        <f>IF(AND(IF(OOC!G143="",0,OOC!G143) &gt;= IF(O143="",0,O143), IF(O143="",0,O143) &gt; IF(L143="",0,L143)), "OOC",
IF(AND(IF(M143="",0,M143) &gt; IF(P143="",0,P143), IF(P143="",0,P143) &gt;= IF(OOC!H143="",0,OOC!H143)), "OOC",
IF(IF(O143="",0,O143) &gt; IF(OOC!G143="",0,OOC!G143), "OOS",
IF(IF(OOC!H143="",0,OOC!H143) &gt; IF(P143="",0,P143), "OOS", "OK"))))</f>
        <v>#REF!</v>
      </c>
    </row>
    <row r="144" spans="1:76" ht="15" customHeight="1">
      <c r="A144" s="18">
        <v>13</v>
      </c>
      <c r="B144" s="84" t="s">
        <v>169</v>
      </c>
      <c r="C144" s="88" t="s">
        <v>102</v>
      </c>
      <c r="D144" s="22" t="s">
        <v>90</v>
      </c>
      <c r="E144" s="86">
        <v>1.33</v>
      </c>
      <c r="F144" s="13" t="s">
        <v>28</v>
      </c>
      <c r="G144" s="14">
        <v>0.39200000000000002</v>
      </c>
      <c r="H144" s="82" t="str">
        <f>IF(OOC!S144=0,"",OOC!S144)</f>
        <v/>
      </c>
      <c r="I144" s="82" t="str">
        <f>IF(OOC!T144=0,"",OOC!T144)</f>
        <v/>
      </c>
      <c r="J144" s="16" t="s">
        <v>12</v>
      </c>
      <c r="K144" s="73" t="s">
        <v>52</v>
      </c>
      <c r="L144" s="19" t="e">
        <f t="shared" si="0"/>
        <v>#VALUE!</v>
      </c>
      <c r="M144" s="25" t="e">
        <f t="shared" si="1"/>
        <v>#VALUE!</v>
      </c>
      <c r="N144" s="29"/>
      <c r="O144" s="3" t="e">
        <f t="shared" si="32"/>
        <v>#REF!</v>
      </c>
      <c r="P144" s="3" t="e">
        <f t="shared" si="33"/>
        <v>#REF!</v>
      </c>
      <c r="Q144" s="3" t="e">
        <f t="shared" si="34"/>
        <v>#REF!</v>
      </c>
      <c r="R144" s="4" t="e">
        <f t="shared" si="35"/>
        <v>#REF!</v>
      </c>
      <c r="S144" s="5" t="e">
        <f t="shared" si="27"/>
        <v>#REF!</v>
      </c>
      <c r="T144" s="76" t="e">
        <f t="shared" si="26"/>
        <v>#REF!</v>
      </c>
      <c r="U144" s="76" t="e">
        <f t="shared" si="3"/>
        <v>#REF!</v>
      </c>
      <c r="V144" s="5" t="e">
        <f t="shared" si="22"/>
        <v>#REF!</v>
      </c>
      <c r="W144" s="5" t="e">
        <f t="shared" si="23"/>
        <v>#REF!</v>
      </c>
      <c r="X144" s="5" t="e">
        <f t="shared" si="24"/>
        <v>#REF!</v>
      </c>
      <c r="Y144" s="70" t="e">
        <f t="shared" si="25"/>
        <v>#REF!</v>
      </c>
      <c r="Z144" s="32" t="e">
        <f t="shared" si="8"/>
        <v>#REF!</v>
      </c>
      <c r="AA144" s="32" t="e">
        <f t="shared" si="9"/>
        <v>#REF!</v>
      </c>
      <c r="AB144" s="32" t="e">
        <f t="shared" si="10"/>
        <v>#REF!</v>
      </c>
      <c r="AC144" s="32" t="e">
        <f t="shared" si="11"/>
        <v>#REF!</v>
      </c>
      <c r="AD144" s="30"/>
      <c r="AE144" s="21" t="str">
        <f t="shared" si="12"/>
        <v/>
      </c>
      <c r="AF144" s="74"/>
      <c r="AG144" s="57"/>
      <c r="AH144" s="57"/>
      <c r="AI144" s="58"/>
      <c r="AJ144" s="20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 t="e">
        <f>#REF!</f>
        <v>#REF!</v>
      </c>
      <c r="AO144" s="2" t="e">
        <f>#REF!</f>
        <v>#REF!</v>
      </c>
      <c r="AP144" s="2" t="e">
        <f>#REF!</f>
        <v>#REF!</v>
      </c>
      <c r="AQ144" s="2" t="e">
        <f>#REF!</f>
        <v>#REF!</v>
      </c>
      <c r="AR144" s="2" t="e">
        <f>#REF!</f>
        <v>#REF!</v>
      </c>
      <c r="AS144" s="2" t="e">
        <f>#REF!</f>
        <v>#REF!</v>
      </c>
      <c r="AT144" s="2" t="e">
        <f>#REF!</f>
        <v>#REF!</v>
      </c>
      <c r="AU144" s="2" t="e">
        <f>#REF!</f>
        <v>#REF!</v>
      </c>
      <c r="AV144" s="2" t="e">
        <f>#REF!</f>
        <v>#REF!</v>
      </c>
      <c r="AW144" s="2" t="e">
        <f>#REF!</f>
        <v>#REF!</v>
      </c>
      <c r="AX144" s="2" t="e">
        <f>#REF!</f>
        <v>#REF!</v>
      </c>
      <c r="AY144" s="2" t="e">
        <f>#REF!</f>
        <v>#REF!</v>
      </c>
      <c r="AZ144" s="2" t="e">
        <f>#REF!</f>
        <v>#REF!</v>
      </c>
      <c r="BA144" s="2" t="e">
        <f>#REF!</f>
        <v>#REF!</v>
      </c>
      <c r="BB144" s="2" t="e">
        <f>#REF!</f>
        <v>#REF!</v>
      </c>
      <c r="BC144" s="2" t="e">
        <f>#REF!</f>
        <v>#REF!</v>
      </c>
      <c r="BD144" s="2" t="e">
        <f>#REF!</f>
        <v>#REF!</v>
      </c>
      <c r="BE144" s="2" t="e">
        <f>#REF!</f>
        <v>#REF!</v>
      </c>
      <c r="BF144" s="2" t="e">
        <f>#REF!</f>
        <v>#REF!</v>
      </c>
      <c r="BG144" s="2" t="e">
        <f>#REF!</f>
        <v>#REF!</v>
      </c>
      <c r="BH144" s="2" t="e">
        <f>#REF!</f>
        <v>#REF!</v>
      </c>
      <c r="BI144" s="2" t="e">
        <f>#REF!</f>
        <v>#REF!</v>
      </c>
      <c r="BJ144" s="2" t="e">
        <f>#REF!</f>
        <v>#REF!</v>
      </c>
      <c r="BK144" s="2" t="e">
        <f>#REF!</f>
        <v>#REF!</v>
      </c>
      <c r="BL144" s="2" t="e">
        <f>#REF!</f>
        <v>#REF!</v>
      </c>
      <c r="BM144" s="2" t="e">
        <f>#REF!</f>
        <v>#REF!</v>
      </c>
      <c r="BN144" s="2" t="e">
        <f>#REF!</f>
        <v>#REF!</v>
      </c>
      <c r="BO144" s="2" t="e">
        <f>#REF!</f>
        <v>#REF!</v>
      </c>
      <c r="BP144" s="2" t="e">
        <f>#REF!</f>
        <v>#REF!</v>
      </c>
      <c r="BR144" s="110" t="str">
        <f t="shared" si="28"/>
        <v>67_6</v>
      </c>
      <c r="BS144" s="112">
        <f>OOC!G144</f>
        <v>0.42200000000000004</v>
      </c>
      <c r="BT144" s="112">
        <f>OOC!H144</f>
        <v>0.36199999999999999</v>
      </c>
      <c r="BU144" s="3" t="e">
        <f t="shared" si="29"/>
        <v>#REF!</v>
      </c>
      <c r="BV144" s="3" t="e">
        <f t="shared" si="30"/>
        <v>#REF!</v>
      </c>
      <c r="BW144" s="3" t="e">
        <f t="shared" si="31"/>
        <v>#REF!</v>
      </c>
      <c r="BX144" s="109" t="e">
        <f>IF(AND(IF(OOC!G144="",0,OOC!G144) &gt;= IF(O144="",0,O144), IF(O144="",0,O144) &gt; IF(L144="",0,L144)), "OOC",
IF(AND(IF(M144="",0,M144) &gt; IF(P144="",0,P144), IF(P144="",0,P144) &gt;= IF(OOC!H144="",0,OOC!H144)), "OOC",
IF(IF(O144="",0,O144) &gt; IF(OOC!G144="",0,OOC!G144), "OOS",
IF(IF(OOC!H144="",0,OOC!H144) &gt; IF(P144="",0,P144), "OOS", "OK"))))</f>
        <v>#REF!</v>
      </c>
    </row>
    <row r="145" spans="1:76" ht="15" customHeight="1">
      <c r="A145" s="18">
        <v>13</v>
      </c>
      <c r="B145" s="84" t="s">
        <v>169</v>
      </c>
      <c r="C145" s="88" t="s">
        <v>103</v>
      </c>
      <c r="D145" s="22" t="s">
        <v>90</v>
      </c>
      <c r="E145" s="86">
        <v>1.33</v>
      </c>
      <c r="F145" s="13" t="s">
        <v>28</v>
      </c>
      <c r="G145" s="14">
        <v>0.39200000000000002</v>
      </c>
      <c r="H145" s="82" t="str">
        <f>IF(OOC!S145=0,"",OOC!S145)</f>
        <v/>
      </c>
      <c r="I145" s="82" t="str">
        <f>IF(OOC!T145=0,"",OOC!T145)</f>
        <v/>
      </c>
      <c r="J145" s="16" t="s">
        <v>12</v>
      </c>
      <c r="K145" s="73" t="s">
        <v>52</v>
      </c>
      <c r="L145" s="19" t="e">
        <f t="shared" si="0"/>
        <v>#VALUE!</v>
      </c>
      <c r="M145" s="25" t="e">
        <f t="shared" si="1"/>
        <v>#VALUE!</v>
      </c>
      <c r="N145" s="29"/>
      <c r="O145" s="3" t="e">
        <f t="shared" si="32"/>
        <v>#REF!</v>
      </c>
      <c r="P145" s="3" t="e">
        <f t="shared" si="33"/>
        <v>#REF!</v>
      </c>
      <c r="Q145" s="3" t="e">
        <f t="shared" si="34"/>
        <v>#REF!</v>
      </c>
      <c r="R145" s="4" t="e">
        <f t="shared" si="35"/>
        <v>#REF!</v>
      </c>
      <c r="S145" s="5" t="e">
        <f t="shared" si="27"/>
        <v>#REF!</v>
      </c>
      <c r="T145" s="76" t="e">
        <f t="shared" si="26"/>
        <v>#REF!</v>
      </c>
      <c r="U145" s="76" t="e">
        <f t="shared" si="3"/>
        <v>#REF!</v>
      </c>
      <c r="V145" s="5" t="e">
        <f t="shared" si="22"/>
        <v>#REF!</v>
      </c>
      <c r="W145" s="5" t="e">
        <f t="shared" si="23"/>
        <v>#REF!</v>
      </c>
      <c r="X145" s="5" t="e">
        <f t="shared" si="24"/>
        <v>#REF!</v>
      </c>
      <c r="Y145" s="70" t="e">
        <f t="shared" si="25"/>
        <v>#REF!</v>
      </c>
      <c r="Z145" s="32" t="e">
        <f t="shared" si="8"/>
        <v>#REF!</v>
      </c>
      <c r="AA145" s="32" t="e">
        <f t="shared" si="9"/>
        <v>#REF!</v>
      </c>
      <c r="AB145" s="32" t="e">
        <f t="shared" si="10"/>
        <v>#REF!</v>
      </c>
      <c r="AC145" s="32" t="e">
        <f t="shared" si="11"/>
        <v>#REF!</v>
      </c>
      <c r="AD145" s="30"/>
      <c r="AE145" s="21" t="str">
        <f t="shared" si="12"/>
        <v/>
      </c>
      <c r="AF145" s="74"/>
      <c r="AG145" s="57"/>
      <c r="AH145" s="57"/>
      <c r="AI145" s="58"/>
      <c r="AJ145" s="20"/>
      <c r="AK145" s="2" t="e">
        <f>#REF!</f>
        <v>#REF!</v>
      </c>
      <c r="AL145" s="2" t="e">
        <f>#REF!</f>
        <v>#REF!</v>
      </c>
      <c r="AM145" s="2" t="e">
        <f>#REF!</f>
        <v>#REF!</v>
      </c>
      <c r="AN145" s="2" t="e">
        <f>#REF!</f>
        <v>#REF!</v>
      </c>
      <c r="AO145" s="2" t="e">
        <f>#REF!</f>
        <v>#REF!</v>
      </c>
      <c r="AP145" s="2" t="e">
        <f>#REF!</f>
        <v>#REF!</v>
      </c>
      <c r="AQ145" s="2" t="e">
        <f>#REF!</f>
        <v>#REF!</v>
      </c>
      <c r="AR145" s="2" t="e">
        <f>#REF!</f>
        <v>#REF!</v>
      </c>
      <c r="AS145" s="2" t="e">
        <f>#REF!</f>
        <v>#REF!</v>
      </c>
      <c r="AT145" s="2" t="e">
        <f>#REF!</f>
        <v>#REF!</v>
      </c>
      <c r="AU145" s="2" t="e">
        <f>#REF!</f>
        <v>#REF!</v>
      </c>
      <c r="AV145" s="2" t="e">
        <f>#REF!</f>
        <v>#REF!</v>
      </c>
      <c r="AW145" s="2" t="e">
        <f>#REF!</f>
        <v>#REF!</v>
      </c>
      <c r="AX145" s="2" t="e">
        <f>#REF!</f>
        <v>#REF!</v>
      </c>
      <c r="AY145" s="2" t="e">
        <f>#REF!</f>
        <v>#REF!</v>
      </c>
      <c r="AZ145" s="2" t="e">
        <f>#REF!</f>
        <v>#REF!</v>
      </c>
      <c r="BA145" s="2" t="e">
        <f>#REF!</f>
        <v>#REF!</v>
      </c>
      <c r="BB145" s="2" t="e">
        <f>#REF!</f>
        <v>#REF!</v>
      </c>
      <c r="BC145" s="2" t="e">
        <f>#REF!</f>
        <v>#REF!</v>
      </c>
      <c r="BD145" s="2" t="e">
        <f>#REF!</f>
        <v>#REF!</v>
      </c>
      <c r="BE145" s="2" t="e">
        <f>#REF!</f>
        <v>#REF!</v>
      </c>
      <c r="BF145" s="2" t="e">
        <f>#REF!</f>
        <v>#REF!</v>
      </c>
      <c r="BG145" s="2" t="e">
        <f>#REF!</f>
        <v>#REF!</v>
      </c>
      <c r="BH145" s="2" t="e">
        <f>#REF!</f>
        <v>#REF!</v>
      </c>
      <c r="BI145" s="2" t="e">
        <f>#REF!</f>
        <v>#REF!</v>
      </c>
      <c r="BJ145" s="2" t="e">
        <f>#REF!</f>
        <v>#REF!</v>
      </c>
      <c r="BK145" s="2" t="e">
        <f>#REF!</f>
        <v>#REF!</v>
      </c>
      <c r="BL145" s="2" t="e">
        <f>#REF!</f>
        <v>#REF!</v>
      </c>
      <c r="BM145" s="2" t="e">
        <f>#REF!</f>
        <v>#REF!</v>
      </c>
      <c r="BN145" s="2" t="e">
        <f>#REF!</f>
        <v>#REF!</v>
      </c>
      <c r="BO145" s="2" t="e">
        <f>#REF!</f>
        <v>#REF!</v>
      </c>
      <c r="BP145" s="2" t="e">
        <f>#REF!</f>
        <v>#REF!</v>
      </c>
      <c r="BR145" s="110" t="str">
        <f t="shared" si="28"/>
        <v>67_7</v>
      </c>
      <c r="BS145" s="112">
        <f>OOC!G145</f>
        <v>0.42200000000000004</v>
      </c>
      <c r="BT145" s="112">
        <f>OOC!H145</f>
        <v>0.36199999999999999</v>
      </c>
      <c r="BU145" s="3" t="e">
        <f t="shared" si="29"/>
        <v>#REF!</v>
      </c>
      <c r="BV145" s="3" t="e">
        <f t="shared" si="30"/>
        <v>#REF!</v>
      </c>
      <c r="BW145" s="3" t="e">
        <f t="shared" si="31"/>
        <v>#REF!</v>
      </c>
      <c r="BX145" s="109" t="e">
        <f>IF(AND(IF(OOC!G145="",0,OOC!G145) &gt;= IF(O145="",0,O145), IF(O145="",0,O145) &gt; IF(L145="",0,L145)), "OOC",
IF(AND(IF(M145="",0,M145) &gt; IF(P145="",0,P145), IF(P145="",0,P145) &gt;= IF(OOC!H145="",0,OOC!H145)), "OOC",
IF(IF(O145="",0,O145) &gt; IF(OOC!G145="",0,OOC!G145), "OOS",
IF(IF(OOC!H145="",0,OOC!H145) &gt; IF(P145="",0,P145), "OOS", "OK"))))</f>
        <v>#REF!</v>
      </c>
    </row>
    <row r="146" spans="1:76" ht="15" customHeight="1">
      <c r="A146" s="18">
        <v>13</v>
      </c>
      <c r="B146" s="84" t="s">
        <v>169</v>
      </c>
      <c r="C146" s="88" t="s">
        <v>104</v>
      </c>
      <c r="D146" s="22" t="s">
        <v>90</v>
      </c>
      <c r="E146" s="86">
        <v>1.33</v>
      </c>
      <c r="F146" s="13" t="s">
        <v>28</v>
      </c>
      <c r="G146" s="14">
        <v>0.39200000000000002</v>
      </c>
      <c r="H146" s="82" t="str">
        <f>IF(OOC!S146=0,"",OOC!S146)</f>
        <v/>
      </c>
      <c r="I146" s="82" t="str">
        <f>IF(OOC!T146=0,"",OOC!T146)</f>
        <v/>
      </c>
      <c r="J146" s="16" t="s">
        <v>12</v>
      </c>
      <c r="K146" s="73" t="s">
        <v>52</v>
      </c>
      <c r="L146" s="19" t="e">
        <f t="shared" si="0"/>
        <v>#VALUE!</v>
      </c>
      <c r="M146" s="25" t="e">
        <f t="shared" si="1"/>
        <v>#VALUE!</v>
      </c>
      <c r="N146" s="29"/>
      <c r="O146" s="3" t="e">
        <f t="shared" si="32"/>
        <v>#REF!</v>
      </c>
      <c r="P146" s="3" t="e">
        <f t="shared" si="33"/>
        <v>#REF!</v>
      </c>
      <c r="Q146" s="3" t="e">
        <f t="shared" si="34"/>
        <v>#REF!</v>
      </c>
      <c r="R146" s="4" t="e">
        <f t="shared" si="35"/>
        <v>#REF!</v>
      </c>
      <c r="S146" s="5" t="e">
        <f t="shared" si="27"/>
        <v>#REF!</v>
      </c>
      <c r="T146" s="76" t="e">
        <f t="shared" si="26"/>
        <v>#REF!</v>
      </c>
      <c r="U146" s="76" t="e">
        <f t="shared" si="3"/>
        <v>#REF!</v>
      </c>
      <c r="V146" s="5" t="e">
        <f t="shared" si="22"/>
        <v>#REF!</v>
      </c>
      <c r="W146" s="5" t="e">
        <f t="shared" si="23"/>
        <v>#REF!</v>
      </c>
      <c r="X146" s="5" t="e">
        <f t="shared" si="24"/>
        <v>#REF!</v>
      </c>
      <c r="Y146" s="70" t="e">
        <f t="shared" si="25"/>
        <v>#REF!</v>
      </c>
      <c r="Z146" s="32" t="e">
        <f t="shared" si="8"/>
        <v>#REF!</v>
      </c>
      <c r="AA146" s="32" t="e">
        <f t="shared" si="9"/>
        <v>#REF!</v>
      </c>
      <c r="AB146" s="32" t="e">
        <f t="shared" si="10"/>
        <v>#REF!</v>
      </c>
      <c r="AC146" s="32" t="e">
        <f t="shared" si="11"/>
        <v>#REF!</v>
      </c>
      <c r="AD146" s="30"/>
      <c r="AE146" s="21" t="str">
        <f t="shared" si="12"/>
        <v/>
      </c>
      <c r="AF146" s="74"/>
      <c r="AG146" s="57"/>
      <c r="AH146" s="57"/>
      <c r="AI146" s="58"/>
      <c r="AJ146" s="20"/>
      <c r="AK146" s="2" t="e">
        <f>#REF!</f>
        <v>#REF!</v>
      </c>
      <c r="AL146" s="2" t="e">
        <f>#REF!</f>
        <v>#REF!</v>
      </c>
      <c r="AM146" s="2" t="e">
        <f>#REF!</f>
        <v>#REF!</v>
      </c>
      <c r="AN146" s="2" t="e">
        <f>#REF!</f>
        <v>#REF!</v>
      </c>
      <c r="AO146" s="2" t="e">
        <f>#REF!</f>
        <v>#REF!</v>
      </c>
      <c r="AP146" s="2" t="e">
        <f>#REF!</f>
        <v>#REF!</v>
      </c>
      <c r="AQ146" s="2" t="e">
        <f>#REF!</f>
        <v>#REF!</v>
      </c>
      <c r="AR146" s="2" t="e">
        <f>#REF!</f>
        <v>#REF!</v>
      </c>
      <c r="AS146" s="2" t="e">
        <f>#REF!</f>
        <v>#REF!</v>
      </c>
      <c r="AT146" s="2" t="e">
        <f>#REF!</f>
        <v>#REF!</v>
      </c>
      <c r="AU146" s="2" t="e">
        <f>#REF!</f>
        <v>#REF!</v>
      </c>
      <c r="AV146" s="2" t="e">
        <f>#REF!</f>
        <v>#REF!</v>
      </c>
      <c r="AW146" s="2" t="e">
        <f>#REF!</f>
        <v>#REF!</v>
      </c>
      <c r="AX146" s="2" t="e">
        <f>#REF!</f>
        <v>#REF!</v>
      </c>
      <c r="AY146" s="2" t="e">
        <f>#REF!</f>
        <v>#REF!</v>
      </c>
      <c r="AZ146" s="2" t="e">
        <f>#REF!</f>
        <v>#REF!</v>
      </c>
      <c r="BA146" s="2" t="e">
        <f>#REF!</f>
        <v>#REF!</v>
      </c>
      <c r="BB146" s="2" t="e">
        <f>#REF!</f>
        <v>#REF!</v>
      </c>
      <c r="BC146" s="2" t="e">
        <f>#REF!</f>
        <v>#REF!</v>
      </c>
      <c r="BD146" s="2" t="e">
        <f>#REF!</f>
        <v>#REF!</v>
      </c>
      <c r="BE146" s="2" t="e">
        <f>#REF!</f>
        <v>#REF!</v>
      </c>
      <c r="BF146" s="2" t="e">
        <f>#REF!</f>
        <v>#REF!</v>
      </c>
      <c r="BG146" s="2" t="e">
        <f>#REF!</f>
        <v>#REF!</v>
      </c>
      <c r="BH146" s="2" t="e">
        <f>#REF!</f>
        <v>#REF!</v>
      </c>
      <c r="BI146" s="2" t="e">
        <f>#REF!</f>
        <v>#REF!</v>
      </c>
      <c r="BJ146" s="2" t="e">
        <f>#REF!</f>
        <v>#REF!</v>
      </c>
      <c r="BK146" s="2" t="e">
        <f>#REF!</f>
        <v>#REF!</v>
      </c>
      <c r="BL146" s="2" t="e">
        <f>#REF!</f>
        <v>#REF!</v>
      </c>
      <c r="BM146" s="2" t="e">
        <f>#REF!</f>
        <v>#REF!</v>
      </c>
      <c r="BN146" s="2" t="e">
        <f>#REF!</f>
        <v>#REF!</v>
      </c>
      <c r="BO146" s="2" t="e">
        <f>#REF!</f>
        <v>#REF!</v>
      </c>
      <c r="BP146" s="2" t="e">
        <f>#REF!</f>
        <v>#REF!</v>
      </c>
      <c r="BR146" s="110" t="str">
        <f t="shared" si="28"/>
        <v>67_8</v>
      </c>
      <c r="BS146" s="112">
        <f>OOC!G146</f>
        <v>0.42200000000000004</v>
      </c>
      <c r="BT146" s="112">
        <f>OOC!H146</f>
        <v>0.36199999999999999</v>
      </c>
      <c r="BU146" s="3" t="e">
        <f t="shared" si="29"/>
        <v>#REF!</v>
      </c>
      <c r="BV146" s="3" t="e">
        <f t="shared" si="30"/>
        <v>#REF!</v>
      </c>
      <c r="BW146" s="3" t="e">
        <f t="shared" si="31"/>
        <v>#REF!</v>
      </c>
      <c r="BX146" s="109" t="e">
        <f>IF(AND(IF(OOC!G146="",0,OOC!G146) &gt;= IF(O146="",0,O146), IF(O146="",0,O146) &gt; IF(L146="",0,L146)), "OOC",
IF(AND(IF(M146="",0,M146) &gt; IF(P146="",0,P146), IF(P146="",0,P146) &gt;= IF(OOC!H146="",0,OOC!H146)), "OOC",
IF(IF(O146="",0,O146) &gt; IF(OOC!G146="",0,OOC!G146), "OOS",
IF(IF(OOC!H146="",0,OOC!H146) &gt; IF(P146="",0,P146), "OOS", "OK"))))</f>
        <v>#REF!</v>
      </c>
    </row>
    <row r="147" spans="1:76" ht="15" customHeight="1">
      <c r="A147" s="18">
        <v>13</v>
      </c>
      <c r="B147" s="84" t="s">
        <v>169</v>
      </c>
      <c r="C147" s="88" t="s">
        <v>105</v>
      </c>
      <c r="D147" s="22" t="s">
        <v>90</v>
      </c>
      <c r="E147" s="86">
        <v>1.33</v>
      </c>
      <c r="F147" s="13" t="s">
        <v>28</v>
      </c>
      <c r="G147" s="14">
        <v>0.39200000000000002</v>
      </c>
      <c r="H147" s="82" t="str">
        <f>IF(OOC!S147=0,"",OOC!S147)</f>
        <v/>
      </c>
      <c r="I147" s="82" t="str">
        <f>IF(OOC!T147=0,"",OOC!T147)</f>
        <v/>
      </c>
      <c r="J147" s="16" t="s">
        <v>12</v>
      </c>
      <c r="K147" s="73" t="s">
        <v>52</v>
      </c>
      <c r="L147" s="19" t="e">
        <f t="shared" si="0"/>
        <v>#VALUE!</v>
      </c>
      <c r="M147" s="25" t="e">
        <f t="shared" si="1"/>
        <v>#VALUE!</v>
      </c>
      <c r="N147" s="29"/>
      <c r="O147" s="3" t="e">
        <f t="shared" si="32"/>
        <v>#REF!</v>
      </c>
      <c r="P147" s="3" t="e">
        <f t="shared" si="33"/>
        <v>#REF!</v>
      </c>
      <c r="Q147" s="3" t="e">
        <f t="shared" si="34"/>
        <v>#REF!</v>
      </c>
      <c r="R147" s="4" t="e">
        <f t="shared" si="35"/>
        <v>#REF!</v>
      </c>
      <c r="S147" s="5" t="e">
        <f t="shared" si="27"/>
        <v>#REF!</v>
      </c>
      <c r="T147" s="76" t="e">
        <f t="shared" si="26"/>
        <v>#REF!</v>
      </c>
      <c r="U147" s="76" t="e">
        <f t="shared" si="3"/>
        <v>#REF!</v>
      </c>
      <c r="V147" s="5" t="e">
        <f t="shared" si="22"/>
        <v>#REF!</v>
      </c>
      <c r="W147" s="5" t="e">
        <f t="shared" si="23"/>
        <v>#REF!</v>
      </c>
      <c r="X147" s="5" t="e">
        <f t="shared" si="24"/>
        <v>#REF!</v>
      </c>
      <c r="Y147" s="70" t="e">
        <f t="shared" si="25"/>
        <v>#REF!</v>
      </c>
      <c r="Z147" s="32" t="e">
        <f t="shared" si="8"/>
        <v>#REF!</v>
      </c>
      <c r="AA147" s="32" t="e">
        <f t="shared" si="9"/>
        <v>#REF!</v>
      </c>
      <c r="AB147" s="32" t="e">
        <f t="shared" si="10"/>
        <v>#REF!</v>
      </c>
      <c r="AC147" s="32" t="e">
        <f t="shared" si="11"/>
        <v>#REF!</v>
      </c>
      <c r="AD147" s="30"/>
      <c r="AE147" s="21" t="str">
        <f t="shared" si="12"/>
        <v/>
      </c>
      <c r="AF147" s="74"/>
      <c r="AG147" s="57"/>
      <c r="AH147" s="57"/>
      <c r="AI147" s="58"/>
      <c r="AJ147" s="20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 t="e">
        <f>#REF!</f>
        <v>#REF!</v>
      </c>
      <c r="AO147" s="2" t="e">
        <f>#REF!</f>
        <v>#REF!</v>
      </c>
      <c r="AP147" s="2" t="e">
        <f>#REF!</f>
        <v>#REF!</v>
      </c>
      <c r="AQ147" s="2" t="e">
        <f>#REF!</f>
        <v>#REF!</v>
      </c>
      <c r="AR147" s="2" t="e">
        <f>#REF!</f>
        <v>#REF!</v>
      </c>
      <c r="AS147" s="2" t="e">
        <f>#REF!</f>
        <v>#REF!</v>
      </c>
      <c r="AT147" s="2" t="e">
        <f>#REF!</f>
        <v>#REF!</v>
      </c>
      <c r="AU147" s="2" t="e">
        <f>#REF!</f>
        <v>#REF!</v>
      </c>
      <c r="AV147" s="2" t="e">
        <f>#REF!</f>
        <v>#REF!</v>
      </c>
      <c r="AW147" s="2" t="e">
        <f>#REF!</f>
        <v>#REF!</v>
      </c>
      <c r="AX147" s="2" t="e">
        <f>#REF!</f>
        <v>#REF!</v>
      </c>
      <c r="AY147" s="2" t="e">
        <f>#REF!</f>
        <v>#REF!</v>
      </c>
      <c r="AZ147" s="2" t="e">
        <f>#REF!</f>
        <v>#REF!</v>
      </c>
      <c r="BA147" s="2" t="e">
        <f>#REF!</f>
        <v>#REF!</v>
      </c>
      <c r="BB147" s="2" t="e">
        <f>#REF!</f>
        <v>#REF!</v>
      </c>
      <c r="BC147" s="2" t="e">
        <f>#REF!</f>
        <v>#REF!</v>
      </c>
      <c r="BD147" s="2" t="e">
        <f>#REF!</f>
        <v>#REF!</v>
      </c>
      <c r="BE147" s="2" t="e">
        <f>#REF!</f>
        <v>#REF!</v>
      </c>
      <c r="BF147" s="2" t="e">
        <f>#REF!</f>
        <v>#REF!</v>
      </c>
      <c r="BG147" s="2" t="e">
        <f>#REF!</f>
        <v>#REF!</v>
      </c>
      <c r="BH147" s="2" t="e">
        <f>#REF!</f>
        <v>#REF!</v>
      </c>
      <c r="BI147" s="2" t="e">
        <f>#REF!</f>
        <v>#REF!</v>
      </c>
      <c r="BJ147" s="2" t="e">
        <f>#REF!</f>
        <v>#REF!</v>
      </c>
      <c r="BK147" s="2" t="e">
        <f>#REF!</f>
        <v>#REF!</v>
      </c>
      <c r="BL147" s="2" t="e">
        <f>#REF!</f>
        <v>#REF!</v>
      </c>
      <c r="BM147" s="2" t="e">
        <f>#REF!</f>
        <v>#REF!</v>
      </c>
      <c r="BN147" s="2" t="e">
        <f>#REF!</f>
        <v>#REF!</v>
      </c>
      <c r="BO147" s="2" t="e">
        <f>#REF!</f>
        <v>#REF!</v>
      </c>
      <c r="BP147" s="2" t="e">
        <f>#REF!</f>
        <v>#REF!</v>
      </c>
      <c r="BR147" s="110" t="str">
        <f t="shared" si="28"/>
        <v>67_9</v>
      </c>
      <c r="BS147" s="112">
        <f>OOC!G147</f>
        <v>0.42200000000000004</v>
      </c>
      <c r="BT147" s="112">
        <f>OOC!H147</f>
        <v>0.36199999999999999</v>
      </c>
      <c r="BU147" s="3" t="e">
        <f t="shared" si="29"/>
        <v>#REF!</v>
      </c>
      <c r="BV147" s="3" t="e">
        <f t="shared" si="30"/>
        <v>#REF!</v>
      </c>
      <c r="BW147" s="3" t="e">
        <f t="shared" si="31"/>
        <v>#REF!</v>
      </c>
      <c r="BX147" s="109" t="e">
        <f>IF(AND(IF(OOC!G147="",0,OOC!G147) &gt;= IF(O147="",0,O147), IF(O147="",0,O147) &gt; IF(L147="",0,L147)), "OOC",
IF(AND(IF(M147="",0,M147) &gt; IF(P147="",0,P147), IF(P147="",0,P147) &gt;= IF(OOC!H147="",0,OOC!H147)), "OOC",
IF(IF(O147="",0,O147) &gt; IF(OOC!G147="",0,OOC!G147), "OOS",
IF(IF(OOC!H147="",0,OOC!H147) &gt; IF(P147="",0,P147), "OOS", "OK"))))</f>
        <v>#REF!</v>
      </c>
    </row>
    <row r="148" spans="1:76" ht="15" customHeight="1">
      <c r="A148" s="18">
        <v>13</v>
      </c>
      <c r="B148" s="84" t="s">
        <v>169</v>
      </c>
      <c r="C148" s="88" t="s">
        <v>106</v>
      </c>
      <c r="D148" s="22" t="s">
        <v>90</v>
      </c>
      <c r="E148" s="86">
        <v>1.33</v>
      </c>
      <c r="F148" s="13" t="s">
        <v>28</v>
      </c>
      <c r="G148" s="14">
        <v>0.39200000000000002</v>
      </c>
      <c r="H148" s="82" t="str">
        <f>IF(OOC!S148=0,"",OOC!S148)</f>
        <v/>
      </c>
      <c r="I148" s="82" t="str">
        <f>IF(OOC!T148=0,"",OOC!T148)</f>
        <v/>
      </c>
      <c r="J148" s="16" t="s">
        <v>12</v>
      </c>
      <c r="K148" s="73" t="s">
        <v>52</v>
      </c>
      <c r="L148" s="19" t="e">
        <f t="shared" si="0"/>
        <v>#VALUE!</v>
      </c>
      <c r="M148" s="25" t="e">
        <f t="shared" si="1"/>
        <v>#VALUE!</v>
      </c>
      <c r="N148" s="29"/>
      <c r="O148" s="3" t="e">
        <f t="shared" si="32"/>
        <v>#REF!</v>
      </c>
      <c r="P148" s="3" t="e">
        <f t="shared" si="33"/>
        <v>#REF!</v>
      </c>
      <c r="Q148" s="3" t="e">
        <f t="shared" si="34"/>
        <v>#REF!</v>
      </c>
      <c r="R148" s="4" t="e">
        <f t="shared" si="35"/>
        <v>#REF!</v>
      </c>
      <c r="S148" s="5" t="e">
        <f t="shared" si="27"/>
        <v>#REF!</v>
      </c>
      <c r="T148" s="76" t="e">
        <f t="shared" si="26"/>
        <v>#REF!</v>
      </c>
      <c r="U148" s="76" t="e">
        <f t="shared" si="3"/>
        <v>#REF!</v>
      </c>
      <c r="V148" s="5" t="e">
        <f t="shared" si="22"/>
        <v>#REF!</v>
      </c>
      <c r="W148" s="5" t="e">
        <f t="shared" si="23"/>
        <v>#REF!</v>
      </c>
      <c r="X148" s="5" t="e">
        <f t="shared" si="24"/>
        <v>#REF!</v>
      </c>
      <c r="Y148" s="70" t="e">
        <f t="shared" si="25"/>
        <v>#REF!</v>
      </c>
      <c r="Z148" s="32" t="e">
        <f t="shared" si="8"/>
        <v>#REF!</v>
      </c>
      <c r="AA148" s="32" t="e">
        <f t="shared" si="9"/>
        <v>#REF!</v>
      </c>
      <c r="AB148" s="32" t="e">
        <f t="shared" si="10"/>
        <v>#REF!</v>
      </c>
      <c r="AC148" s="32" t="e">
        <f t="shared" si="11"/>
        <v>#REF!</v>
      </c>
      <c r="AD148" s="30"/>
      <c r="AE148" s="21" t="str">
        <f t="shared" si="12"/>
        <v/>
      </c>
      <c r="AF148" s="74"/>
      <c r="AG148" s="57"/>
      <c r="AH148" s="57"/>
      <c r="AI148" s="58"/>
      <c r="AJ148" s="20"/>
      <c r="AK148" s="2" t="e">
        <f>#REF!</f>
        <v>#REF!</v>
      </c>
      <c r="AL148" s="2" t="e">
        <f>#REF!</f>
        <v>#REF!</v>
      </c>
      <c r="AM148" s="2" t="e">
        <f>#REF!</f>
        <v>#REF!</v>
      </c>
      <c r="AN148" s="2" t="e">
        <f>#REF!</f>
        <v>#REF!</v>
      </c>
      <c r="AO148" s="2" t="e">
        <f>#REF!</f>
        <v>#REF!</v>
      </c>
      <c r="AP148" s="2" t="e">
        <f>#REF!</f>
        <v>#REF!</v>
      </c>
      <c r="AQ148" s="2" t="e">
        <f>#REF!</f>
        <v>#REF!</v>
      </c>
      <c r="AR148" s="2" t="e">
        <f>#REF!</f>
        <v>#REF!</v>
      </c>
      <c r="AS148" s="2" t="e">
        <f>#REF!</f>
        <v>#REF!</v>
      </c>
      <c r="AT148" s="2" t="e">
        <f>#REF!</f>
        <v>#REF!</v>
      </c>
      <c r="AU148" s="2" t="e">
        <f>#REF!</f>
        <v>#REF!</v>
      </c>
      <c r="AV148" s="2" t="e">
        <f>#REF!</f>
        <v>#REF!</v>
      </c>
      <c r="AW148" s="2" t="e">
        <f>#REF!</f>
        <v>#REF!</v>
      </c>
      <c r="AX148" s="2" t="e">
        <f>#REF!</f>
        <v>#REF!</v>
      </c>
      <c r="AY148" s="2" t="e">
        <f>#REF!</f>
        <v>#REF!</v>
      </c>
      <c r="AZ148" s="2" t="e">
        <f>#REF!</f>
        <v>#REF!</v>
      </c>
      <c r="BA148" s="2" t="e">
        <f>#REF!</f>
        <v>#REF!</v>
      </c>
      <c r="BB148" s="2" t="e">
        <f>#REF!</f>
        <v>#REF!</v>
      </c>
      <c r="BC148" s="2" t="e">
        <f>#REF!</f>
        <v>#REF!</v>
      </c>
      <c r="BD148" s="2" t="e">
        <f>#REF!</f>
        <v>#REF!</v>
      </c>
      <c r="BE148" s="2" t="e">
        <f>#REF!</f>
        <v>#REF!</v>
      </c>
      <c r="BF148" s="2" t="e">
        <f>#REF!</f>
        <v>#REF!</v>
      </c>
      <c r="BG148" s="2" t="e">
        <f>#REF!</f>
        <v>#REF!</v>
      </c>
      <c r="BH148" s="2" t="e">
        <f>#REF!</f>
        <v>#REF!</v>
      </c>
      <c r="BI148" s="2" t="e">
        <f>#REF!</f>
        <v>#REF!</v>
      </c>
      <c r="BJ148" s="2" t="e">
        <f>#REF!</f>
        <v>#REF!</v>
      </c>
      <c r="BK148" s="2" t="e">
        <f>#REF!</f>
        <v>#REF!</v>
      </c>
      <c r="BL148" s="2" t="e">
        <f>#REF!</f>
        <v>#REF!</v>
      </c>
      <c r="BM148" s="2" t="e">
        <f>#REF!</f>
        <v>#REF!</v>
      </c>
      <c r="BN148" s="2" t="e">
        <f>#REF!</f>
        <v>#REF!</v>
      </c>
      <c r="BO148" s="2" t="e">
        <f>#REF!</f>
        <v>#REF!</v>
      </c>
      <c r="BP148" s="2" t="e">
        <f>#REF!</f>
        <v>#REF!</v>
      </c>
      <c r="BR148" s="110" t="str">
        <f t="shared" si="28"/>
        <v>67_10</v>
      </c>
      <c r="BS148" s="112">
        <f>OOC!G148</f>
        <v>0.42200000000000004</v>
      </c>
      <c r="BT148" s="112">
        <f>OOC!H148</f>
        <v>0.36199999999999999</v>
      </c>
      <c r="BU148" s="3" t="e">
        <f t="shared" si="29"/>
        <v>#REF!</v>
      </c>
      <c r="BV148" s="3" t="e">
        <f t="shared" si="30"/>
        <v>#REF!</v>
      </c>
      <c r="BW148" s="3" t="e">
        <f t="shared" si="31"/>
        <v>#REF!</v>
      </c>
      <c r="BX148" s="109" t="e">
        <f>IF(AND(IF(OOC!G148="",0,OOC!G148) &gt;= IF(O148="",0,O148), IF(O148="",0,O148) &gt; IF(L148="",0,L148)), "OOC",
IF(AND(IF(M148="",0,M148) &gt; IF(P148="",0,P148), IF(P148="",0,P148) &gt;= IF(OOC!H148="",0,OOC!H148)), "OOC",
IF(IF(O148="",0,O148) &gt; IF(OOC!G148="",0,OOC!G148), "OOS",
IF(IF(OOC!H148="",0,OOC!H148) &gt; IF(P148="",0,P148), "OOS", "OK"))))</f>
        <v>#REF!</v>
      </c>
    </row>
    <row r="149" spans="1:76" ht="15" customHeight="1">
      <c r="A149" s="18">
        <v>13</v>
      </c>
      <c r="B149" s="84" t="s">
        <v>169</v>
      </c>
      <c r="C149" s="88" t="s">
        <v>107</v>
      </c>
      <c r="D149" s="22" t="s">
        <v>90</v>
      </c>
      <c r="E149" s="86">
        <v>1.33</v>
      </c>
      <c r="F149" s="13" t="s">
        <v>28</v>
      </c>
      <c r="G149" s="14">
        <v>0.39200000000000002</v>
      </c>
      <c r="H149" s="82" t="str">
        <f>IF(OOC!S149=0,"",OOC!S149)</f>
        <v/>
      </c>
      <c r="I149" s="82" t="str">
        <f>IF(OOC!T149=0,"",OOC!T149)</f>
        <v/>
      </c>
      <c r="J149" s="16" t="s">
        <v>12</v>
      </c>
      <c r="K149" s="73" t="s">
        <v>52</v>
      </c>
      <c r="L149" s="19" t="e">
        <f t="shared" si="0"/>
        <v>#VALUE!</v>
      </c>
      <c r="M149" s="25" t="e">
        <f t="shared" si="1"/>
        <v>#VALUE!</v>
      </c>
      <c r="N149" s="29"/>
      <c r="O149" s="3" t="e">
        <f t="shared" si="32"/>
        <v>#REF!</v>
      </c>
      <c r="P149" s="3" t="e">
        <f t="shared" si="33"/>
        <v>#REF!</v>
      </c>
      <c r="Q149" s="3" t="e">
        <f t="shared" si="34"/>
        <v>#REF!</v>
      </c>
      <c r="R149" s="4" t="e">
        <f t="shared" si="35"/>
        <v>#REF!</v>
      </c>
      <c r="S149" s="5" t="e">
        <f t="shared" si="27"/>
        <v>#REF!</v>
      </c>
      <c r="T149" s="76" t="e">
        <f t="shared" si="26"/>
        <v>#REF!</v>
      </c>
      <c r="U149" s="76" t="e">
        <f t="shared" si="3"/>
        <v>#REF!</v>
      </c>
      <c r="V149" s="5" t="e">
        <f t="shared" si="22"/>
        <v>#REF!</v>
      </c>
      <c r="W149" s="5" t="e">
        <f t="shared" si="23"/>
        <v>#REF!</v>
      </c>
      <c r="X149" s="5" t="e">
        <f t="shared" si="24"/>
        <v>#REF!</v>
      </c>
      <c r="Y149" s="70" t="e">
        <f t="shared" si="25"/>
        <v>#REF!</v>
      </c>
      <c r="Z149" s="32" t="e">
        <f t="shared" si="8"/>
        <v>#REF!</v>
      </c>
      <c r="AA149" s="32" t="e">
        <f t="shared" si="9"/>
        <v>#REF!</v>
      </c>
      <c r="AB149" s="32" t="e">
        <f t="shared" si="10"/>
        <v>#REF!</v>
      </c>
      <c r="AC149" s="32" t="e">
        <f t="shared" si="11"/>
        <v>#REF!</v>
      </c>
      <c r="AD149" s="30"/>
      <c r="AE149" s="21" t="str">
        <f t="shared" si="12"/>
        <v/>
      </c>
      <c r="AF149" s="74"/>
      <c r="AG149" s="57"/>
      <c r="AH149" s="57"/>
      <c r="AI149" s="58"/>
      <c r="AJ149" s="20"/>
      <c r="AK149" s="2" t="e">
        <f>#REF!</f>
        <v>#REF!</v>
      </c>
      <c r="AL149" s="2" t="e">
        <f>#REF!</f>
        <v>#REF!</v>
      </c>
      <c r="AM149" s="2" t="e">
        <f>#REF!</f>
        <v>#REF!</v>
      </c>
      <c r="AN149" s="2" t="e">
        <f>#REF!</f>
        <v>#REF!</v>
      </c>
      <c r="AO149" s="2" t="e">
        <f>#REF!</f>
        <v>#REF!</v>
      </c>
      <c r="AP149" s="2" t="e">
        <f>#REF!</f>
        <v>#REF!</v>
      </c>
      <c r="AQ149" s="2" t="e">
        <f>#REF!</f>
        <v>#REF!</v>
      </c>
      <c r="AR149" s="2" t="e">
        <f>#REF!</f>
        <v>#REF!</v>
      </c>
      <c r="AS149" s="2" t="e">
        <f>#REF!</f>
        <v>#REF!</v>
      </c>
      <c r="AT149" s="2" t="e">
        <f>#REF!</f>
        <v>#REF!</v>
      </c>
      <c r="AU149" s="2" t="e">
        <f>#REF!</f>
        <v>#REF!</v>
      </c>
      <c r="AV149" s="2" t="e">
        <f>#REF!</f>
        <v>#REF!</v>
      </c>
      <c r="AW149" s="2" t="e">
        <f>#REF!</f>
        <v>#REF!</v>
      </c>
      <c r="AX149" s="2" t="e">
        <f>#REF!</f>
        <v>#REF!</v>
      </c>
      <c r="AY149" s="2" t="e">
        <f>#REF!</f>
        <v>#REF!</v>
      </c>
      <c r="AZ149" s="2" t="e">
        <f>#REF!</f>
        <v>#REF!</v>
      </c>
      <c r="BA149" s="2" t="e">
        <f>#REF!</f>
        <v>#REF!</v>
      </c>
      <c r="BB149" s="2" t="e">
        <f>#REF!</f>
        <v>#REF!</v>
      </c>
      <c r="BC149" s="2" t="e">
        <f>#REF!</f>
        <v>#REF!</v>
      </c>
      <c r="BD149" s="2" t="e">
        <f>#REF!</f>
        <v>#REF!</v>
      </c>
      <c r="BE149" s="2" t="e">
        <f>#REF!</f>
        <v>#REF!</v>
      </c>
      <c r="BF149" s="2" t="e">
        <f>#REF!</f>
        <v>#REF!</v>
      </c>
      <c r="BG149" s="2" t="e">
        <f>#REF!</f>
        <v>#REF!</v>
      </c>
      <c r="BH149" s="2" t="e">
        <f>#REF!</f>
        <v>#REF!</v>
      </c>
      <c r="BI149" s="2" t="e">
        <f>#REF!</f>
        <v>#REF!</v>
      </c>
      <c r="BJ149" s="2" t="e">
        <f>#REF!</f>
        <v>#REF!</v>
      </c>
      <c r="BK149" s="2" t="e">
        <f>#REF!</f>
        <v>#REF!</v>
      </c>
      <c r="BL149" s="2" t="e">
        <f>#REF!</f>
        <v>#REF!</v>
      </c>
      <c r="BM149" s="2" t="e">
        <f>#REF!</f>
        <v>#REF!</v>
      </c>
      <c r="BN149" s="2" t="e">
        <f>#REF!</f>
        <v>#REF!</v>
      </c>
      <c r="BO149" s="2" t="e">
        <f>#REF!</f>
        <v>#REF!</v>
      </c>
      <c r="BP149" s="2" t="e">
        <f>#REF!</f>
        <v>#REF!</v>
      </c>
      <c r="BR149" s="110" t="str">
        <f t="shared" si="28"/>
        <v>67_11</v>
      </c>
      <c r="BS149" s="112">
        <f>OOC!G149</f>
        <v>0.42200000000000004</v>
      </c>
      <c r="BT149" s="112">
        <f>OOC!H149</f>
        <v>0.36199999999999999</v>
      </c>
      <c r="BU149" s="3" t="e">
        <f t="shared" si="29"/>
        <v>#REF!</v>
      </c>
      <c r="BV149" s="3" t="e">
        <f t="shared" si="30"/>
        <v>#REF!</v>
      </c>
      <c r="BW149" s="3" t="e">
        <f t="shared" si="31"/>
        <v>#REF!</v>
      </c>
      <c r="BX149" s="109" t="e">
        <f>IF(AND(IF(OOC!G149="",0,OOC!G149) &gt;= IF(O149="",0,O149), IF(O149="",0,O149) &gt; IF(L149="",0,L149)), "OOC",
IF(AND(IF(M149="",0,M149) &gt; IF(P149="",0,P149), IF(P149="",0,P149) &gt;= IF(OOC!H149="",0,OOC!H149)), "OOC",
IF(IF(O149="",0,O149) &gt; IF(OOC!G149="",0,OOC!G149), "OOS",
IF(IF(OOC!H149="",0,OOC!H149) &gt; IF(P149="",0,P149), "OOS", "OK"))))</f>
        <v>#REF!</v>
      </c>
    </row>
    <row r="150" spans="1:76" ht="15" customHeight="1">
      <c r="A150" s="18">
        <v>13</v>
      </c>
      <c r="B150" s="84" t="s">
        <v>169</v>
      </c>
      <c r="C150" s="88" t="s">
        <v>108</v>
      </c>
      <c r="D150" s="22" t="s">
        <v>90</v>
      </c>
      <c r="E150" s="86">
        <v>1.33</v>
      </c>
      <c r="F150" s="13" t="s">
        <v>28</v>
      </c>
      <c r="G150" s="14">
        <v>0.39200000000000002</v>
      </c>
      <c r="H150" s="82" t="str">
        <f>IF(OOC!S150=0,"",OOC!S150)</f>
        <v/>
      </c>
      <c r="I150" s="82" t="str">
        <f>IF(OOC!T150=0,"",OOC!T150)</f>
        <v/>
      </c>
      <c r="J150" s="16" t="s">
        <v>12</v>
      </c>
      <c r="K150" s="73" t="s">
        <v>52</v>
      </c>
      <c r="L150" s="19" t="e">
        <f t="shared" si="0"/>
        <v>#VALUE!</v>
      </c>
      <c r="M150" s="25" t="e">
        <f t="shared" si="1"/>
        <v>#VALUE!</v>
      </c>
      <c r="N150" s="29"/>
      <c r="O150" s="3" t="e">
        <f t="shared" si="32"/>
        <v>#REF!</v>
      </c>
      <c r="P150" s="3" t="e">
        <f t="shared" si="33"/>
        <v>#REF!</v>
      </c>
      <c r="Q150" s="3" t="e">
        <f t="shared" si="34"/>
        <v>#REF!</v>
      </c>
      <c r="R150" s="4" t="e">
        <f t="shared" si="35"/>
        <v>#REF!</v>
      </c>
      <c r="S150" s="5" t="e">
        <f t="shared" si="27"/>
        <v>#REF!</v>
      </c>
      <c r="T150" s="76" t="e">
        <f t="shared" si="26"/>
        <v>#REF!</v>
      </c>
      <c r="U150" s="76" t="e">
        <f t="shared" si="3"/>
        <v>#REF!</v>
      </c>
      <c r="V150" s="5" t="e">
        <f t="shared" si="22"/>
        <v>#REF!</v>
      </c>
      <c r="W150" s="5" t="e">
        <f t="shared" si="23"/>
        <v>#REF!</v>
      </c>
      <c r="X150" s="5" t="e">
        <f t="shared" si="24"/>
        <v>#REF!</v>
      </c>
      <c r="Y150" s="70" t="e">
        <f t="shared" si="25"/>
        <v>#REF!</v>
      </c>
      <c r="Z150" s="32" t="e">
        <f t="shared" si="8"/>
        <v>#REF!</v>
      </c>
      <c r="AA150" s="32" t="e">
        <f t="shared" si="9"/>
        <v>#REF!</v>
      </c>
      <c r="AB150" s="32" t="e">
        <f t="shared" si="10"/>
        <v>#REF!</v>
      </c>
      <c r="AC150" s="32" t="e">
        <f t="shared" si="11"/>
        <v>#REF!</v>
      </c>
      <c r="AD150" s="30"/>
      <c r="AE150" s="21" t="str">
        <f t="shared" si="12"/>
        <v/>
      </c>
      <c r="AF150" s="74"/>
      <c r="AG150" s="57"/>
      <c r="AH150" s="57"/>
      <c r="AI150" s="58"/>
      <c r="AJ150" s="20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 t="e">
        <f>#REF!</f>
        <v>#REF!</v>
      </c>
      <c r="AO150" s="2" t="e">
        <f>#REF!</f>
        <v>#REF!</v>
      </c>
      <c r="AP150" s="2" t="e">
        <f>#REF!</f>
        <v>#REF!</v>
      </c>
      <c r="AQ150" s="2" t="e">
        <f>#REF!</f>
        <v>#REF!</v>
      </c>
      <c r="AR150" s="2" t="e">
        <f>#REF!</f>
        <v>#REF!</v>
      </c>
      <c r="AS150" s="2" t="e">
        <f>#REF!</f>
        <v>#REF!</v>
      </c>
      <c r="AT150" s="2" t="e">
        <f>#REF!</f>
        <v>#REF!</v>
      </c>
      <c r="AU150" s="2" t="e">
        <f>#REF!</f>
        <v>#REF!</v>
      </c>
      <c r="AV150" s="2" t="e">
        <f>#REF!</f>
        <v>#REF!</v>
      </c>
      <c r="AW150" s="2" t="e">
        <f>#REF!</f>
        <v>#REF!</v>
      </c>
      <c r="AX150" s="2" t="e">
        <f>#REF!</f>
        <v>#REF!</v>
      </c>
      <c r="AY150" s="2" t="e">
        <f>#REF!</f>
        <v>#REF!</v>
      </c>
      <c r="AZ150" s="2" t="e">
        <f>#REF!</f>
        <v>#REF!</v>
      </c>
      <c r="BA150" s="2" t="e">
        <f>#REF!</f>
        <v>#REF!</v>
      </c>
      <c r="BB150" s="2" t="e">
        <f>#REF!</f>
        <v>#REF!</v>
      </c>
      <c r="BC150" s="2" t="e">
        <f>#REF!</f>
        <v>#REF!</v>
      </c>
      <c r="BD150" s="2" t="e">
        <f>#REF!</f>
        <v>#REF!</v>
      </c>
      <c r="BE150" s="2" t="e">
        <f>#REF!</f>
        <v>#REF!</v>
      </c>
      <c r="BF150" s="2" t="e">
        <f>#REF!</f>
        <v>#REF!</v>
      </c>
      <c r="BG150" s="2" t="e">
        <f>#REF!</f>
        <v>#REF!</v>
      </c>
      <c r="BH150" s="2" t="e">
        <f>#REF!</f>
        <v>#REF!</v>
      </c>
      <c r="BI150" s="2" t="e">
        <f>#REF!</f>
        <v>#REF!</v>
      </c>
      <c r="BJ150" s="2" t="e">
        <f>#REF!</f>
        <v>#REF!</v>
      </c>
      <c r="BK150" s="2" t="e">
        <f>#REF!</f>
        <v>#REF!</v>
      </c>
      <c r="BL150" s="2" t="e">
        <f>#REF!</f>
        <v>#REF!</v>
      </c>
      <c r="BM150" s="2" t="e">
        <f>#REF!</f>
        <v>#REF!</v>
      </c>
      <c r="BN150" s="2" t="e">
        <f>#REF!</f>
        <v>#REF!</v>
      </c>
      <c r="BO150" s="2" t="e">
        <f>#REF!</f>
        <v>#REF!</v>
      </c>
      <c r="BP150" s="2" t="e">
        <f>#REF!</f>
        <v>#REF!</v>
      </c>
      <c r="BR150" s="110" t="str">
        <f t="shared" si="28"/>
        <v>67_12</v>
      </c>
      <c r="BS150" s="112">
        <f>OOC!G150</f>
        <v>0.42200000000000004</v>
      </c>
      <c r="BT150" s="112">
        <f>OOC!H150</f>
        <v>0.36199999999999999</v>
      </c>
      <c r="BU150" s="3" t="e">
        <f t="shared" si="29"/>
        <v>#REF!</v>
      </c>
      <c r="BV150" s="3" t="e">
        <f t="shared" si="30"/>
        <v>#REF!</v>
      </c>
      <c r="BW150" s="3" t="e">
        <f t="shared" si="31"/>
        <v>#REF!</v>
      </c>
      <c r="BX150" s="109" t="e">
        <f>IF(AND(IF(OOC!G150="",0,OOC!G150) &gt;= IF(O150="",0,O150), IF(O150="",0,O150) &gt; IF(L150="",0,L150)), "OOC",
IF(AND(IF(M150="",0,M150) &gt; IF(P150="",0,P150), IF(P150="",0,P150) &gt;= IF(OOC!H150="",0,OOC!H150)), "OOC",
IF(IF(O150="",0,O150) &gt; IF(OOC!G150="",0,OOC!G150), "OOS",
IF(IF(OOC!H150="",0,OOC!H150) &gt; IF(P150="",0,P150), "OOS", "OK"))))</f>
        <v>#REF!</v>
      </c>
    </row>
    <row r="151" spans="1:76" ht="15" customHeight="1">
      <c r="A151" s="18">
        <v>13</v>
      </c>
      <c r="B151" s="84" t="s">
        <v>169</v>
      </c>
      <c r="C151" s="88" t="s">
        <v>109</v>
      </c>
      <c r="D151" s="22" t="s">
        <v>90</v>
      </c>
      <c r="E151" s="86">
        <v>1.33</v>
      </c>
      <c r="F151" s="13" t="s">
        <v>28</v>
      </c>
      <c r="G151" s="14">
        <v>0.39200000000000002</v>
      </c>
      <c r="H151" s="82" t="str">
        <f>IF(OOC!S151=0,"",OOC!S151)</f>
        <v/>
      </c>
      <c r="I151" s="82" t="str">
        <f>IF(OOC!T151=0,"",OOC!T151)</f>
        <v/>
      </c>
      <c r="J151" s="16" t="s">
        <v>12</v>
      </c>
      <c r="K151" s="73" t="s">
        <v>52</v>
      </c>
      <c r="L151" s="19" t="e">
        <f t="shared" si="0"/>
        <v>#VALUE!</v>
      </c>
      <c r="M151" s="25" t="e">
        <f t="shared" si="1"/>
        <v>#VALUE!</v>
      </c>
      <c r="N151" s="29"/>
      <c r="O151" s="3" t="e">
        <f t="shared" si="32"/>
        <v>#REF!</v>
      </c>
      <c r="P151" s="3" t="e">
        <f t="shared" si="33"/>
        <v>#REF!</v>
      </c>
      <c r="Q151" s="3" t="e">
        <f t="shared" si="34"/>
        <v>#REF!</v>
      </c>
      <c r="R151" s="4" t="e">
        <f t="shared" si="35"/>
        <v>#REF!</v>
      </c>
      <c r="S151" s="5" t="e">
        <f t="shared" si="27"/>
        <v>#REF!</v>
      </c>
      <c r="T151" s="76" t="e">
        <f t="shared" si="26"/>
        <v>#REF!</v>
      </c>
      <c r="U151" s="76" t="e">
        <f t="shared" si="3"/>
        <v>#REF!</v>
      </c>
      <c r="V151" s="5" t="e">
        <f t="shared" si="22"/>
        <v>#REF!</v>
      </c>
      <c r="W151" s="5" t="e">
        <f t="shared" si="23"/>
        <v>#REF!</v>
      </c>
      <c r="X151" s="5" t="e">
        <f t="shared" si="24"/>
        <v>#REF!</v>
      </c>
      <c r="Y151" s="70" t="e">
        <f t="shared" si="25"/>
        <v>#REF!</v>
      </c>
      <c r="Z151" s="32" t="e">
        <f t="shared" si="8"/>
        <v>#REF!</v>
      </c>
      <c r="AA151" s="32" t="e">
        <f t="shared" si="9"/>
        <v>#REF!</v>
      </c>
      <c r="AB151" s="32" t="e">
        <f t="shared" si="10"/>
        <v>#REF!</v>
      </c>
      <c r="AC151" s="32" t="e">
        <f t="shared" si="11"/>
        <v>#REF!</v>
      </c>
      <c r="AD151" s="30"/>
      <c r="AE151" s="21" t="str">
        <f t="shared" si="12"/>
        <v/>
      </c>
      <c r="AF151" s="74"/>
      <c r="AG151" s="57"/>
      <c r="AH151" s="57"/>
      <c r="AI151" s="58"/>
      <c r="AJ151" s="20"/>
      <c r="AK151" s="2" t="e">
        <f>#REF!</f>
        <v>#REF!</v>
      </c>
      <c r="AL151" s="2" t="e">
        <f>#REF!</f>
        <v>#REF!</v>
      </c>
      <c r="AM151" s="2" t="e">
        <f>#REF!</f>
        <v>#REF!</v>
      </c>
      <c r="AN151" s="2" t="e">
        <f>#REF!</f>
        <v>#REF!</v>
      </c>
      <c r="AO151" s="2" t="e">
        <f>#REF!</f>
        <v>#REF!</v>
      </c>
      <c r="AP151" s="2" t="e">
        <f>#REF!</f>
        <v>#REF!</v>
      </c>
      <c r="AQ151" s="2" t="e">
        <f>#REF!</f>
        <v>#REF!</v>
      </c>
      <c r="AR151" s="2" t="e">
        <f>#REF!</f>
        <v>#REF!</v>
      </c>
      <c r="AS151" s="2" t="e">
        <f>#REF!</f>
        <v>#REF!</v>
      </c>
      <c r="AT151" s="2" t="e">
        <f>#REF!</f>
        <v>#REF!</v>
      </c>
      <c r="AU151" s="2" t="e">
        <f>#REF!</f>
        <v>#REF!</v>
      </c>
      <c r="AV151" s="2" t="e">
        <f>#REF!</f>
        <v>#REF!</v>
      </c>
      <c r="AW151" s="2" t="e">
        <f>#REF!</f>
        <v>#REF!</v>
      </c>
      <c r="AX151" s="2" t="e">
        <f>#REF!</f>
        <v>#REF!</v>
      </c>
      <c r="AY151" s="2" t="e">
        <f>#REF!</f>
        <v>#REF!</v>
      </c>
      <c r="AZ151" s="2" t="e">
        <f>#REF!</f>
        <v>#REF!</v>
      </c>
      <c r="BA151" s="2" t="e">
        <f>#REF!</f>
        <v>#REF!</v>
      </c>
      <c r="BB151" s="2" t="e">
        <f>#REF!</f>
        <v>#REF!</v>
      </c>
      <c r="BC151" s="2" t="e">
        <f>#REF!</f>
        <v>#REF!</v>
      </c>
      <c r="BD151" s="2" t="e">
        <f>#REF!</f>
        <v>#REF!</v>
      </c>
      <c r="BE151" s="2" t="e">
        <f>#REF!</f>
        <v>#REF!</v>
      </c>
      <c r="BF151" s="2" t="e">
        <f>#REF!</f>
        <v>#REF!</v>
      </c>
      <c r="BG151" s="2" t="e">
        <f>#REF!</f>
        <v>#REF!</v>
      </c>
      <c r="BH151" s="2" t="e">
        <f>#REF!</f>
        <v>#REF!</v>
      </c>
      <c r="BI151" s="2" t="e">
        <f>#REF!</f>
        <v>#REF!</v>
      </c>
      <c r="BJ151" s="2" t="e">
        <f>#REF!</f>
        <v>#REF!</v>
      </c>
      <c r="BK151" s="2" t="e">
        <f>#REF!</f>
        <v>#REF!</v>
      </c>
      <c r="BL151" s="2" t="e">
        <f>#REF!</f>
        <v>#REF!</v>
      </c>
      <c r="BM151" s="2" t="e">
        <f>#REF!</f>
        <v>#REF!</v>
      </c>
      <c r="BN151" s="2" t="e">
        <f>#REF!</f>
        <v>#REF!</v>
      </c>
      <c r="BO151" s="2" t="e">
        <f>#REF!</f>
        <v>#REF!</v>
      </c>
      <c r="BP151" s="2" t="e">
        <f>#REF!</f>
        <v>#REF!</v>
      </c>
      <c r="BR151" s="110" t="str">
        <f t="shared" si="28"/>
        <v>67_13</v>
      </c>
      <c r="BS151" s="112">
        <f>OOC!G151</f>
        <v>0.42200000000000004</v>
      </c>
      <c r="BT151" s="112">
        <f>OOC!H151</f>
        <v>0.36199999999999999</v>
      </c>
      <c r="BU151" s="3" t="e">
        <f t="shared" si="29"/>
        <v>#REF!</v>
      </c>
      <c r="BV151" s="3" t="e">
        <f t="shared" si="30"/>
        <v>#REF!</v>
      </c>
      <c r="BW151" s="3" t="e">
        <f t="shared" si="31"/>
        <v>#REF!</v>
      </c>
      <c r="BX151" s="109" t="e">
        <f>IF(AND(IF(OOC!G151="",0,OOC!G151) &gt;= IF(O151="",0,O151), IF(O151="",0,O151) &gt; IF(L151="",0,L151)), "OOC",
IF(AND(IF(M151="",0,M151) &gt; IF(P151="",0,P151), IF(P151="",0,P151) &gt;= IF(OOC!H151="",0,OOC!H151)), "OOC",
IF(IF(O151="",0,O151) &gt; IF(OOC!G151="",0,OOC!G151), "OOS",
IF(IF(OOC!H151="",0,OOC!H151) &gt; IF(P151="",0,P151), "OOS", "OK"))))</f>
        <v>#REF!</v>
      </c>
    </row>
    <row r="152" spans="1:76" ht="15" customHeight="1">
      <c r="A152" s="18"/>
      <c r="B152" s="84"/>
      <c r="C152" s="88"/>
      <c r="D152" s="22"/>
      <c r="E152" s="86"/>
      <c r="F152" s="13"/>
      <c r="G152" s="14"/>
      <c r="H152" s="82"/>
      <c r="I152" s="82"/>
      <c r="J152" s="16"/>
      <c r="K152" s="73"/>
      <c r="L152" s="19"/>
      <c r="M152" s="25"/>
      <c r="N152" s="29"/>
      <c r="O152" s="3"/>
      <c r="P152" s="3"/>
      <c r="Q152" s="3"/>
      <c r="R152" s="4"/>
      <c r="S152" s="5"/>
      <c r="T152" s="76"/>
      <c r="U152" s="76"/>
      <c r="V152" s="5"/>
      <c r="W152" s="5"/>
      <c r="X152" s="5"/>
      <c r="Y152" s="70"/>
      <c r="Z152" s="32"/>
      <c r="AA152" s="32"/>
      <c r="AB152" s="32"/>
      <c r="AC152" s="32"/>
      <c r="AD152" s="30"/>
      <c r="AE152" s="21"/>
      <c r="AF152" s="74"/>
      <c r="AG152" s="57"/>
      <c r="AH152" s="57"/>
      <c r="AI152" s="58"/>
      <c r="AJ152" s="20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0"/>
      <c r="BS152" s="112"/>
      <c r="BT152" s="112"/>
      <c r="BU152" s="3"/>
      <c r="BV152" s="3"/>
      <c r="BW152" s="3"/>
      <c r="BX152" s="109"/>
    </row>
    <row r="153" spans="1:76" ht="15" customHeight="1">
      <c r="A153" s="18"/>
      <c r="B153" s="84"/>
      <c r="C153" s="88"/>
      <c r="D153" s="22"/>
      <c r="E153" s="86"/>
      <c r="F153" s="13"/>
      <c r="G153" s="14"/>
      <c r="H153" s="82"/>
      <c r="I153" s="82"/>
      <c r="J153" s="16"/>
      <c r="K153" s="73"/>
      <c r="L153" s="19"/>
      <c r="M153" s="25"/>
      <c r="N153" s="29"/>
      <c r="O153" s="3"/>
      <c r="P153" s="3"/>
      <c r="Q153" s="3"/>
      <c r="R153" s="4"/>
      <c r="S153" s="5"/>
      <c r="T153" s="76"/>
      <c r="U153" s="76"/>
      <c r="V153" s="5"/>
      <c r="W153" s="5"/>
      <c r="X153" s="5"/>
      <c r="Y153" s="70"/>
      <c r="Z153" s="32"/>
      <c r="AA153" s="32"/>
      <c r="AB153" s="32"/>
      <c r="AC153" s="32"/>
      <c r="AD153" s="30"/>
      <c r="AE153" s="21"/>
      <c r="AF153" s="74"/>
      <c r="AG153" s="57"/>
      <c r="AH153" s="57"/>
      <c r="AI153" s="58"/>
      <c r="AJ153" s="20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0"/>
      <c r="BS153" s="112"/>
      <c r="BT153" s="112"/>
      <c r="BU153" s="3"/>
      <c r="BV153" s="3"/>
      <c r="BW153" s="3"/>
      <c r="BX153" s="109"/>
    </row>
    <row r="154" spans="1:76" ht="15" customHeight="1">
      <c r="A154" s="18"/>
      <c r="B154" s="84"/>
      <c r="C154" s="88"/>
      <c r="D154" s="22"/>
      <c r="E154" s="86"/>
      <c r="F154" s="13"/>
      <c r="G154" s="14"/>
      <c r="H154" s="82"/>
      <c r="I154" s="82"/>
      <c r="J154" s="16"/>
      <c r="K154" s="73"/>
      <c r="L154" s="19"/>
      <c r="M154" s="25"/>
      <c r="N154" s="29"/>
      <c r="O154" s="3"/>
      <c r="P154" s="3"/>
      <c r="Q154" s="3"/>
      <c r="R154" s="4"/>
      <c r="S154" s="5"/>
      <c r="T154" s="76"/>
      <c r="U154" s="76"/>
      <c r="V154" s="5"/>
      <c r="W154" s="5"/>
      <c r="X154" s="5"/>
      <c r="Y154" s="70"/>
      <c r="Z154" s="32"/>
      <c r="AA154" s="32"/>
      <c r="AB154" s="32"/>
      <c r="AC154" s="32"/>
      <c r="AD154" s="30"/>
      <c r="AE154" s="21"/>
      <c r="AF154" s="74"/>
      <c r="AG154" s="57"/>
      <c r="AH154" s="57"/>
      <c r="AI154" s="58"/>
      <c r="AJ154" s="20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0"/>
      <c r="BS154" s="112"/>
      <c r="BT154" s="112"/>
      <c r="BU154" s="3"/>
      <c r="BV154" s="3"/>
      <c r="BW154" s="3"/>
      <c r="BX154" s="109"/>
    </row>
    <row r="155" spans="1:76" ht="15" customHeight="1">
      <c r="A155" s="18"/>
      <c r="B155" s="84"/>
      <c r="C155" s="88"/>
      <c r="D155" s="22"/>
      <c r="E155" s="86"/>
      <c r="F155" s="13"/>
      <c r="G155" s="14"/>
      <c r="H155" s="82"/>
      <c r="I155" s="82"/>
      <c r="J155" s="16"/>
      <c r="K155" s="73"/>
      <c r="L155" s="19"/>
      <c r="M155" s="25"/>
      <c r="N155" s="29"/>
      <c r="O155" s="3"/>
      <c r="P155" s="3"/>
      <c r="Q155" s="3"/>
      <c r="R155" s="4"/>
      <c r="S155" s="5"/>
      <c r="T155" s="76"/>
      <c r="U155" s="76"/>
      <c r="V155" s="5"/>
      <c r="W155" s="5"/>
      <c r="X155" s="5"/>
      <c r="Y155" s="70"/>
      <c r="Z155" s="32"/>
      <c r="AA155" s="32"/>
      <c r="AB155" s="32"/>
      <c r="AC155" s="32"/>
      <c r="AD155" s="30"/>
      <c r="AE155" s="21"/>
      <c r="AF155" s="74"/>
      <c r="AG155" s="57"/>
      <c r="AH155" s="57"/>
      <c r="AI155" s="58"/>
      <c r="AJ155" s="20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0"/>
      <c r="BS155" s="112"/>
      <c r="BT155" s="112"/>
      <c r="BU155" s="3"/>
      <c r="BV155" s="3"/>
      <c r="BW155" s="3"/>
      <c r="BX155" s="109"/>
    </row>
    <row r="156" spans="1:76" ht="15" customHeight="1">
      <c r="A156" s="18"/>
      <c r="B156" s="84"/>
      <c r="C156" s="88"/>
      <c r="D156" s="22"/>
      <c r="E156" s="86"/>
      <c r="F156" s="13"/>
      <c r="G156" s="14"/>
      <c r="H156" s="82"/>
      <c r="I156" s="82"/>
      <c r="J156" s="16"/>
      <c r="K156" s="73"/>
      <c r="L156" s="19"/>
      <c r="M156" s="25"/>
      <c r="N156" s="29"/>
      <c r="O156" s="3"/>
      <c r="P156" s="3"/>
      <c r="Q156" s="3"/>
      <c r="R156" s="4"/>
      <c r="S156" s="5"/>
      <c r="T156" s="76"/>
      <c r="U156" s="76"/>
      <c r="V156" s="5"/>
      <c r="W156" s="5"/>
      <c r="X156" s="5"/>
      <c r="Y156" s="70"/>
      <c r="Z156" s="32"/>
      <c r="AA156" s="32"/>
      <c r="AB156" s="32"/>
      <c r="AC156" s="32"/>
      <c r="AD156" s="30"/>
      <c r="AE156" s="21"/>
      <c r="AF156" s="74"/>
      <c r="AG156" s="57"/>
      <c r="AH156" s="57"/>
      <c r="AI156" s="58"/>
      <c r="AJ156" s="20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0"/>
      <c r="BS156" s="112"/>
      <c r="BT156" s="112"/>
      <c r="BU156" s="3"/>
      <c r="BV156" s="3"/>
      <c r="BW156" s="3"/>
      <c r="BX156" s="109"/>
    </row>
    <row r="157" spans="1:76" ht="15" customHeight="1">
      <c r="A157" s="18"/>
      <c r="B157" s="84"/>
      <c r="C157" s="88"/>
      <c r="D157" s="22"/>
      <c r="E157" s="86"/>
      <c r="F157" s="13"/>
      <c r="G157" s="14"/>
      <c r="H157" s="82"/>
      <c r="I157" s="82"/>
      <c r="J157" s="16"/>
      <c r="K157" s="73"/>
      <c r="L157" s="19"/>
      <c r="M157" s="25"/>
      <c r="N157" s="29"/>
      <c r="O157" s="3"/>
      <c r="P157" s="3"/>
      <c r="Q157" s="3"/>
      <c r="R157" s="4"/>
      <c r="S157" s="5"/>
      <c r="T157" s="76"/>
      <c r="U157" s="76"/>
      <c r="V157" s="5"/>
      <c r="W157" s="5"/>
      <c r="X157" s="5"/>
      <c r="Y157" s="70"/>
      <c r="Z157" s="32"/>
      <c r="AA157" s="32"/>
      <c r="AB157" s="32"/>
      <c r="AC157" s="32"/>
      <c r="AD157" s="30"/>
      <c r="AE157" s="21"/>
      <c r="AF157" s="74"/>
      <c r="AG157" s="57"/>
      <c r="AH157" s="57"/>
      <c r="AI157" s="58"/>
      <c r="AJ157" s="20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0"/>
      <c r="BS157" s="112"/>
      <c r="BT157" s="112"/>
      <c r="BU157" s="3"/>
      <c r="BV157" s="3"/>
      <c r="BW157" s="3"/>
      <c r="BX157" s="109"/>
    </row>
    <row r="158" spans="1:76" ht="15" customHeight="1">
      <c r="A158" s="18"/>
      <c r="B158" s="84"/>
      <c r="C158" s="88"/>
      <c r="D158" s="22"/>
      <c r="E158" s="86"/>
      <c r="F158" s="13"/>
      <c r="G158" s="14"/>
      <c r="H158" s="82"/>
      <c r="I158" s="82"/>
      <c r="J158" s="16"/>
      <c r="K158" s="73"/>
      <c r="L158" s="19"/>
      <c r="M158" s="25"/>
      <c r="N158" s="29"/>
      <c r="O158" s="3"/>
      <c r="P158" s="3"/>
      <c r="Q158" s="3"/>
      <c r="R158" s="4"/>
      <c r="S158" s="5"/>
      <c r="T158" s="76"/>
      <c r="U158" s="76"/>
      <c r="V158" s="5"/>
      <c r="W158" s="5"/>
      <c r="X158" s="5"/>
      <c r="Y158" s="70"/>
      <c r="Z158" s="32"/>
      <c r="AA158" s="32"/>
      <c r="AB158" s="32"/>
      <c r="AC158" s="32"/>
      <c r="AD158" s="30"/>
      <c r="AE158" s="21"/>
      <c r="AF158" s="74"/>
      <c r="AG158" s="57"/>
      <c r="AH158" s="57"/>
      <c r="AI158" s="58"/>
      <c r="AJ158" s="20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R158" s="110"/>
      <c r="BS158" s="112"/>
      <c r="BT158" s="112"/>
      <c r="BU158" s="3"/>
      <c r="BV158" s="3"/>
      <c r="BW158" s="3"/>
      <c r="BX158" s="109"/>
    </row>
    <row r="159" spans="1:76" ht="15" customHeight="1">
      <c r="A159" s="18"/>
      <c r="B159" s="84"/>
      <c r="C159" s="88"/>
      <c r="D159" s="22"/>
      <c r="E159" s="86"/>
      <c r="F159" s="13"/>
      <c r="G159" s="14"/>
      <c r="H159" s="82"/>
      <c r="I159" s="82"/>
      <c r="J159" s="16"/>
      <c r="K159" s="73"/>
      <c r="L159" s="19"/>
      <c r="M159" s="25"/>
      <c r="N159" s="29"/>
      <c r="O159" s="3"/>
      <c r="P159" s="3"/>
      <c r="Q159" s="3"/>
      <c r="R159" s="4"/>
      <c r="S159" s="5"/>
      <c r="T159" s="76"/>
      <c r="U159" s="76"/>
      <c r="V159" s="5"/>
      <c r="W159" s="5"/>
      <c r="X159" s="5"/>
      <c r="Y159" s="70"/>
      <c r="Z159" s="32"/>
      <c r="AA159" s="32"/>
      <c r="AB159" s="32"/>
      <c r="AC159" s="32"/>
      <c r="AD159" s="30"/>
      <c r="AE159" s="21"/>
      <c r="AF159" s="74"/>
      <c r="AG159" s="57"/>
      <c r="AH159" s="57"/>
      <c r="AI159" s="58"/>
      <c r="AJ159" s="20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0"/>
      <c r="BS159" s="112"/>
      <c r="BT159" s="112"/>
      <c r="BU159" s="3"/>
      <c r="BV159" s="3"/>
      <c r="BW159" s="3"/>
      <c r="BX159" s="109"/>
    </row>
    <row r="160" spans="1:76" ht="15" customHeight="1">
      <c r="A160" s="18"/>
      <c r="B160" s="84"/>
      <c r="C160" s="88"/>
      <c r="D160" s="22"/>
      <c r="E160" s="86"/>
      <c r="F160" s="13"/>
      <c r="G160" s="14"/>
      <c r="H160" s="82"/>
      <c r="I160" s="82"/>
      <c r="J160" s="16"/>
      <c r="K160" s="73"/>
      <c r="L160" s="19"/>
      <c r="M160" s="25"/>
      <c r="N160" s="29"/>
      <c r="O160" s="3"/>
      <c r="P160" s="3"/>
      <c r="Q160" s="3"/>
      <c r="R160" s="4"/>
      <c r="S160" s="5"/>
      <c r="T160" s="76"/>
      <c r="U160" s="76"/>
      <c r="V160" s="5"/>
      <c r="W160" s="5"/>
      <c r="X160" s="5"/>
      <c r="Y160" s="70"/>
      <c r="Z160" s="32"/>
      <c r="AA160" s="32"/>
      <c r="AB160" s="32"/>
      <c r="AC160" s="32"/>
      <c r="AD160" s="30"/>
      <c r="AE160" s="21"/>
      <c r="AF160" s="74"/>
      <c r="AG160" s="57"/>
      <c r="AH160" s="57"/>
      <c r="AI160" s="58"/>
      <c r="AJ160" s="20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0"/>
      <c r="BS160" s="112"/>
      <c r="BT160" s="112"/>
      <c r="BU160" s="3"/>
      <c r="BV160" s="3"/>
      <c r="BW160" s="3"/>
      <c r="BX160" s="109"/>
    </row>
    <row r="161" spans="1:76" ht="15" customHeight="1">
      <c r="A161" s="18"/>
      <c r="B161" s="84"/>
      <c r="C161" s="88"/>
      <c r="D161" s="22"/>
      <c r="E161" s="86"/>
      <c r="F161" s="13"/>
      <c r="G161" s="14"/>
      <c r="H161" s="82"/>
      <c r="I161" s="82"/>
      <c r="J161" s="16"/>
      <c r="K161" s="73"/>
      <c r="L161" s="19"/>
      <c r="M161" s="25"/>
      <c r="N161" s="29"/>
      <c r="O161" s="3"/>
      <c r="P161" s="3"/>
      <c r="Q161" s="3"/>
      <c r="R161" s="4"/>
      <c r="S161" s="5"/>
      <c r="T161" s="76"/>
      <c r="U161" s="76"/>
      <c r="V161" s="5"/>
      <c r="W161" s="5"/>
      <c r="X161" s="5"/>
      <c r="Y161" s="70"/>
      <c r="Z161" s="32"/>
      <c r="AA161" s="32"/>
      <c r="AB161" s="32"/>
      <c r="AC161" s="32"/>
      <c r="AD161" s="30"/>
      <c r="AE161" s="21"/>
      <c r="AF161" s="74"/>
      <c r="AG161" s="57"/>
      <c r="AH161" s="57"/>
      <c r="AI161" s="58"/>
      <c r="AJ161" s="20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0"/>
      <c r="BS161" s="112"/>
      <c r="BT161" s="112"/>
      <c r="BU161" s="3"/>
      <c r="BV161" s="3"/>
      <c r="BW161" s="3"/>
      <c r="BX161" s="109"/>
    </row>
    <row r="162" spans="1:76" ht="15" customHeight="1">
      <c r="A162" s="18"/>
      <c r="B162" s="84"/>
      <c r="C162" s="88"/>
      <c r="D162" s="22"/>
      <c r="E162" s="86"/>
      <c r="F162" s="13"/>
      <c r="G162" s="14"/>
      <c r="H162" s="82"/>
      <c r="I162" s="82"/>
      <c r="J162" s="16"/>
      <c r="K162" s="73"/>
      <c r="L162" s="19"/>
      <c r="M162" s="25"/>
      <c r="N162" s="29"/>
      <c r="O162" s="3"/>
      <c r="P162" s="3"/>
      <c r="Q162" s="3"/>
      <c r="R162" s="4"/>
      <c r="S162" s="5"/>
      <c r="T162" s="76"/>
      <c r="U162" s="76"/>
      <c r="V162" s="5"/>
      <c r="W162" s="5"/>
      <c r="X162" s="5"/>
      <c r="Y162" s="70"/>
      <c r="Z162" s="32"/>
      <c r="AA162" s="32"/>
      <c r="AB162" s="32"/>
      <c r="AC162" s="32"/>
      <c r="AD162" s="30"/>
      <c r="AE162" s="21"/>
      <c r="AF162" s="74"/>
      <c r="AG162" s="57"/>
      <c r="AH162" s="57"/>
      <c r="AI162" s="58"/>
      <c r="AJ162" s="20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0"/>
      <c r="BS162" s="112"/>
      <c r="BT162" s="112"/>
      <c r="BU162" s="3"/>
      <c r="BV162" s="3"/>
      <c r="BW162" s="3"/>
      <c r="BX162" s="109"/>
    </row>
    <row r="163" spans="1:76" ht="15" customHeight="1">
      <c r="A163" s="18"/>
      <c r="B163" s="84"/>
      <c r="C163" s="88"/>
      <c r="D163" s="22"/>
      <c r="E163" s="86"/>
      <c r="F163" s="13"/>
      <c r="G163" s="14"/>
      <c r="H163" s="82"/>
      <c r="I163" s="82"/>
      <c r="J163" s="16"/>
      <c r="K163" s="73"/>
      <c r="L163" s="19"/>
      <c r="M163" s="25"/>
      <c r="N163" s="29"/>
      <c r="O163" s="3"/>
      <c r="P163" s="3"/>
      <c r="Q163" s="3"/>
      <c r="R163" s="4"/>
      <c r="S163" s="5"/>
      <c r="T163" s="76"/>
      <c r="U163" s="76"/>
      <c r="V163" s="5"/>
      <c r="W163" s="5"/>
      <c r="X163" s="5"/>
      <c r="Y163" s="70"/>
      <c r="Z163" s="32"/>
      <c r="AA163" s="32"/>
      <c r="AB163" s="32"/>
      <c r="AC163" s="32"/>
      <c r="AD163" s="30"/>
      <c r="AE163" s="21"/>
      <c r="AF163" s="74"/>
      <c r="AG163" s="57"/>
      <c r="AH163" s="57"/>
      <c r="AI163" s="58"/>
      <c r="AJ163" s="20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0"/>
      <c r="BS163" s="112"/>
      <c r="BT163" s="112"/>
      <c r="BU163" s="3"/>
      <c r="BV163" s="3"/>
      <c r="BW163" s="3"/>
      <c r="BX163" s="109"/>
    </row>
    <row r="164" spans="1:76" ht="15" customHeight="1">
      <c r="A164" s="18"/>
      <c r="B164" s="84"/>
      <c r="C164" s="88"/>
      <c r="D164" s="22"/>
      <c r="E164" s="86"/>
      <c r="F164" s="13"/>
      <c r="G164" s="14"/>
      <c r="H164" s="82"/>
      <c r="I164" s="82"/>
      <c r="J164" s="16"/>
      <c r="K164" s="73"/>
      <c r="L164" s="19"/>
      <c r="M164" s="25"/>
      <c r="N164" s="29"/>
      <c r="O164" s="3"/>
      <c r="P164" s="3"/>
      <c r="Q164" s="3"/>
      <c r="R164" s="4"/>
      <c r="S164" s="5"/>
      <c r="T164" s="76"/>
      <c r="U164" s="76"/>
      <c r="V164" s="5"/>
      <c r="W164" s="5"/>
      <c r="X164" s="5"/>
      <c r="Y164" s="70"/>
      <c r="Z164" s="32"/>
      <c r="AA164" s="32"/>
      <c r="AB164" s="32"/>
      <c r="AC164" s="32"/>
      <c r="AD164" s="30"/>
      <c r="AE164" s="21"/>
      <c r="AF164" s="74"/>
      <c r="AG164" s="57"/>
      <c r="AH164" s="57"/>
      <c r="AI164" s="58"/>
      <c r="AJ164" s="20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0"/>
      <c r="BS164" s="112"/>
      <c r="BT164" s="112"/>
      <c r="BU164" s="3"/>
      <c r="BV164" s="3"/>
      <c r="BW164" s="3"/>
      <c r="BX164" s="109"/>
    </row>
    <row r="165" spans="1:76" ht="15" customHeight="1">
      <c r="A165" s="18"/>
      <c r="B165" s="84"/>
      <c r="C165" s="88"/>
      <c r="D165" s="22"/>
      <c r="E165" s="86"/>
      <c r="F165" s="13"/>
      <c r="G165" s="14"/>
      <c r="H165" s="82"/>
      <c r="I165" s="82"/>
      <c r="J165" s="16"/>
      <c r="K165" s="73"/>
      <c r="L165" s="19"/>
      <c r="M165" s="25"/>
      <c r="N165" s="29"/>
      <c r="O165" s="3"/>
      <c r="P165" s="3"/>
      <c r="Q165" s="3"/>
      <c r="R165" s="4"/>
      <c r="S165" s="5"/>
      <c r="T165" s="76"/>
      <c r="U165" s="76"/>
      <c r="V165" s="5"/>
      <c r="W165" s="5"/>
      <c r="X165" s="5"/>
      <c r="Y165" s="70"/>
      <c r="Z165" s="32"/>
      <c r="AA165" s="32"/>
      <c r="AB165" s="32"/>
      <c r="AC165" s="32"/>
      <c r="AD165" s="30"/>
      <c r="AE165" s="21"/>
      <c r="AF165" s="74"/>
      <c r="AG165" s="57"/>
      <c r="AH165" s="57"/>
      <c r="AI165" s="58"/>
      <c r="AJ165" s="20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0"/>
      <c r="BS165" s="112"/>
      <c r="BT165" s="112"/>
      <c r="BU165" s="3"/>
      <c r="BV165" s="3"/>
      <c r="BW165" s="3"/>
      <c r="BX165" s="109"/>
    </row>
    <row r="166" spans="1:76" ht="15" customHeight="1">
      <c r="A166" s="18"/>
      <c r="B166" s="84"/>
      <c r="C166" s="88"/>
      <c r="D166" s="22"/>
      <c r="E166" s="86"/>
      <c r="F166" s="13"/>
      <c r="G166" s="14"/>
      <c r="H166" s="82"/>
      <c r="I166" s="82"/>
      <c r="J166" s="16"/>
      <c r="K166" s="73"/>
      <c r="L166" s="19"/>
      <c r="M166" s="25"/>
      <c r="N166" s="29"/>
      <c r="O166" s="3"/>
      <c r="P166" s="3"/>
      <c r="Q166" s="3"/>
      <c r="R166" s="4"/>
      <c r="S166" s="5"/>
      <c r="T166" s="76"/>
      <c r="U166" s="76"/>
      <c r="V166" s="5"/>
      <c r="W166" s="5"/>
      <c r="X166" s="5"/>
      <c r="Y166" s="70"/>
      <c r="Z166" s="32"/>
      <c r="AA166" s="32"/>
      <c r="AB166" s="32"/>
      <c r="AC166" s="32"/>
      <c r="AD166" s="30"/>
      <c r="AE166" s="21"/>
      <c r="AF166" s="74"/>
      <c r="AG166" s="57"/>
      <c r="AH166" s="57"/>
      <c r="AI166" s="58"/>
      <c r="AJ166" s="20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0"/>
      <c r="BS166" s="112"/>
      <c r="BT166" s="112"/>
      <c r="BU166" s="3"/>
      <c r="BV166" s="3"/>
      <c r="BW166" s="3"/>
      <c r="BX166" s="109"/>
    </row>
    <row r="167" spans="1:76" ht="15" customHeight="1">
      <c r="A167" s="18"/>
      <c r="B167" s="84"/>
      <c r="C167" s="88"/>
      <c r="D167" s="22"/>
      <c r="E167" s="86"/>
      <c r="F167" s="13"/>
      <c r="G167" s="14"/>
      <c r="H167" s="82"/>
      <c r="I167" s="82"/>
      <c r="J167" s="16"/>
      <c r="K167" s="73"/>
      <c r="L167" s="19"/>
      <c r="M167" s="25"/>
      <c r="N167" s="29"/>
      <c r="O167" s="3"/>
      <c r="P167" s="3"/>
      <c r="Q167" s="3"/>
      <c r="R167" s="4"/>
      <c r="S167" s="5"/>
      <c r="T167" s="76"/>
      <c r="U167" s="76"/>
      <c r="V167" s="5"/>
      <c r="W167" s="5"/>
      <c r="X167" s="5"/>
      <c r="Y167" s="70"/>
      <c r="Z167" s="32"/>
      <c r="AA167" s="32"/>
      <c r="AB167" s="32"/>
      <c r="AC167" s="32"/>
      <c r="AD167" s="30"/>
      <c r="AE167" s="21"/>
      <c r="AF167" s="74"/>
      <c r="AG167" s="57"/>
      <c r="AH167" s="57"/>
      <c r="AI167" s="58"/>
      <c r="AJ167" s="20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0"/>
      <c r="BS167" s="112"/>
      <c r="BT167" s="112"/>
      <c r="BU167" s="3"/>
      <c r="BV167" s="3"/>
      <c r="BW167" s="3"/>
      <c r="BX167" s="109"/>
    </row>
    <row r="168" spans="1:76" ht="15" customHeight="1">
      <c r="A168" s="18"/>
      <c r="B168" s="84"/>
      <c r="C168" s="88"/>
      <c r="D168" s="22"/>
      <c r="E168" s="86"/>
      <c r="F168" s="13"/>
      <c r="G168" s="14"/>
      <c r="H168" s="82"/>
      <c r="I168" s="82"/>
      <c r="J168" s="16"/>
      <c r="K168" s="73"/>
      <c r="L168" s="19"/>
      <c r="M168" s="25"/>
      <c r="N168" s="29"/>
      <c r="O168" s="3"/>
      <c r="P168" s="3"/>
      <c r="Q168" s="3"/>
      <c r="R168" s="4"/>
      <c r="S168" s="5"/>
      <c r="T168" s="76"/>
      <c r="U168" s="76"/>
      <c r="V168" s="5"/>
      <c r="W168" s="5"/>
      <c r="X168" s="5"/>
      <c r="Y168" s="70"/>
      <c r="Z168" s="32"/>
      <c r="AA168" s="32"/>
      <c r="AB168" s="32"/>
      <c r="AC168" s="32"/>
      <c r="AD168" s="30"/>
      <c r="AE168" s="21"/>
      <c r="AF168" s="74"/>
      <c r="AG168" s="57"/>
      <c r="AH168" s="57"/>
      <c r="AI168" s="58"/>
      <c r="AJ168" s="20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0"/>
      <c r="BS168" s="112"/>
      <c r="BT168" s="112"/>
      <c r="BU168" s="3"/>
      <c r="BV168" s="3"/>
      <c r="BW168" s="3"/>
      <c r="BX168" s="109"/>
    </row>
    <row r="169" spans="1:76" ht="15" customHeight="1">
      <c r="A169" s="18"/>
      <c r="B169" s="84"/>
      <c r="C169" s="88"/>
      <c r="D169" s="22"/>
      <c r="E169" s="86"/>
      <c r="F169" s="13"/>
      <c r="G169" s="14"/>
      <c r="H169" s="82"/>
      <c r="I169" s="82"/>
      <c r="J169" s="16"/>
      <c r="K169" s="73"/>
      <c r="L169" s="19"/>
      <c r="M169" s="25"/>
      <c r="N169" s="29"/>
      <c r="O169" s="3"/>
      <c r="P169" s="3"/>
      <c r="Q169" s="3"/>
      <c r="R169" s="4"/>
      <c r="S169" s="5"/>
      <c r="T169" s="76"/>
      <c r="U169" s="76"/>
      <c r="V169" s="5"/>
      <c r="W169" s="5"/>
      <c r="X169" s="5"/>
      <c r="Y169" s="70"/>
      <c r="Z169" s="32"/>
      <c r="AA169" s="32"/>
      <c r="AB169" s="32"/>
      <c r="AC169" s="32"/>
      <c r="AD169" s="30"/>
      <c r="AE169" s="21"/>
      <c r="AF169" s="74"/>
      <c r="AG169" s="57"/>
      <c r="AH169" s="57"/>
      <c r="AI169" s="58"/>
      <c r="AJ169" s="20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0"/>
      <c r="BS169" s="112"/>
      <c r="BT169" s="112"/>
      <c r="BU169" s="3"/>
      <c r="BV169" s="3"/>
      <c r="BW169" s="3"/>
      <c r="BX169" s="109"/>
    </row>
    <row r="170" spans="1:76" ht="15" customHeight="1">
      <c r="A170" s="18"/>
      <c r="B170" s="84"/>
      <c r="C170" s="88"/>
      <c r="D170" s="22"/>
      <c r="E170" s="86"/>
      <c r="F170" s="13"/>
      <c r="G170" s="14"/>
      <c r="H170" s="82"/>
      <c r="I170" s="82"/>
      <c r="J170" s="16"/>
      <c r="K170" s="73"/>
      <c r="L170" s="19"/>
      <c r="M170" s="25"/>
      <c r="N170" s="29"/>
      <c r="O170" s="3"/>
      <c r="P170" s="3"/>
      <c r="Q170" s="3"/>
      <c r="R170" s="4"/>
      <c r="S170" s="5"/>
      <c r="T170" s="76"/>
      <c r="U170" s="76"/>
      <c r="V170" s="5"/>
      <c r="W170" s="5"/>
      <c r="X170" s="5"/>
      <c r="Y170" s="70"/>
      <c r="Z170" s="32"/>
      <c r="AA170" s="32"/>
      <c r="AB170" s="32"/>
      <c r="AC170" s="32"/>
      <c r="AD170" s="30"/>
      <c r="AE170" s="21"/>
      <c r="AF170" s="74"/>
      <c r="AG170" s="57"/>
      <c r="AH170" s="57"/>
      <c r="AI170" s="58"/>
      <c r="AJ170" s="20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0"/>
      <c r="BS170" s="112"/>
      <c r="BT170" s="112"/>
      <c r="BU170" s="3"/>
      <c r="BV170" s="3"/>
      <c r="BW170" s="3"/>
      <c r="BX170" s="109"/>
    </row>
    <row r="171" spans="1:76" ht="15" customHeight="1">
      <c r="A171" s="18"/>
      <c r="B171" s="84"/>
      <c r="C171" s="88"/>
      <c r="D171" s="22"/>
      <c r="E171" s="86"/>
      <c r="F171" s="13"/>
      <c r="G171" s="14"/>
      <c r="H171" s="82"/>
      <c r="I171" s="82"/>
      <c r="J171" s="16"/>
      <c r="K171" s="73"/>
      <c r="L171" s="19"/>
      <c r="M171" s="25"/>
      <c r="N171" s="29"/>
      <c r="O171" s="3"/>
      <c r="P171" s="3"/>
      <c r="Q171" s="3"/>
      <c r="R171" s="4"/>
      <c r="S171" s="5"/>
      <c r="T171" s="76"/>
      <c r="U171" s="76"/>
      <c r="V171" s="5"/>
      <c r="W171" s="5"/>
      <c r="X171" s="5"/>
      <c r="Y171" s="70"/>
      <c r="Z171" s="32"/>
      <c r="AA171" s="32"/>
      <c r="AB171" s="32"/>
      <c r="AC171" s="32"/>
      <c r="AD171" s="30"/>
      <c r="AE171" s="21"/>
      <c r="AF171" s="74"/>
      <c r="AG171" s="57"/>
      <c r="AH171" s="57"/>
      <c r="AI171" s="58"/>
      <c r="AJ171" s="20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0"/>
      <c r="BS171" s="112"/>
      <c r="BT171" s="112"/>
      <c r="BU171" s="3"/>
      <c r="BV171" s="3"/>
      <c r="BW171" s="3"/>
      <c r="BX171" s="109"/>
    </row>
    <row r="172" spans="1:76" ht="15" customHeight="1">
      <c r="A172" s="18"/>
      <c r="B172" s="84"/>
      <c r="C172" s="88"/>
      <c r="D172" s="22"/>
      <c r="E172" s="86"/>
      <c r="F172" s="13"/>
      <c r="G172" s="14"/>
      <c r="H172" s="82"/>
      <c r="I172" s="82"/>
      <c r="J172" s="16"/>
      <c r="K172" s="73"/>
      <c r="L172" s="19"/>
      <c r="M172" s="25"/>
      <c r="N172" s="29"/>
      <c r="O172" s="3"/>
      <c r="P172" s="3"/>
      <c r="Q172" s="3"/>
      <c r="R172" s="4"/>
      <c r="S172" s="5"/>
      <c r="T172" s="76"/>
      <c r="U172" s="76"/>
      <c r="V172" s="5"/>
      <c r="W172" s="5"/>
      <c r="X172" s="5"/>
      <c r="Y172" s="70"/>
      <c r="Z172" s="32"/>
      <c r="AA172" s="32"/>
      <c r="AB172" s="32"/>
      <c r="AC172" s="32"/>
      <c r="AD172" s="30"/>
      <c r="AE172" s="21"/>
      <c r="AF172" s="74"/>
      <c r="AG172" s="57"/>
      <c r="AH172" s="57"/>
      <c r="AI172" s="58"/>
      <c r="AJ172" s="20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0"/>
      <c r="BS172" s="112"/>
      <c r="BT172" s="112"/>
      <c r="BU172" s="3"/>
      <c r="BV172" s="3"/>
      <c r="BW172" s="3"/>
      <c r="BX172" s="109"/>
    </row>
    <row r="173" spans="1:76" ht="15" customHeight="1">
      <c r="A173" s="18"/>
      <c r="B173" s="84"/>
      <c r="C173" s="88"/>
      <c r="D173" s="22"/>
      <c r="E173" s="86"/>
      <c r="F173" s="13"/>
      <c r="G173" s="14"/>
      <c r="H173" s="82"/>
      <c r="I173" s="82"/>
      <c r="J173" s="16"/>
      <c r="K173" s="73"/>
      <c r="L173" s="19"/>
      <c r="M173" s="25"/>
      <c r="N173" s="29"/>
      <c r="O173" s="3"/>
      <c r="P173" s="3"/>
      <c r="Q173" s="3"/>
      <c r="R173" s="4"/>
      <c r="S173" s="5"/>
      <c r="T173" s="76"/>
      <c r="U173" s="76"/>
      <c r="V173" s="5"/>
      <c r="W173" s="5"/>
      <c r="X173" s="5"/>
      <c r="Y173" s="70"/>
      <c r="Z173" s="32"/>
      <c r="AA173" s="32"/>
      <c r="AB173" s="32"/>
      <c r="AC173" s="32"/>
      <c r="AD173" s="30"/>
      <c r="AE173" s="21"/>
      <c r="AF173" s="74"/>
      <c r="AG173" s="57"/>
      <c r="AH173" s="57"/>
      <c r="AI173" s="58"/>
      <c r="AJ173" s="20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0"/>
      <c r="BS173" s="112"/>
      <c r="BT173" s="112"/>
      <c r="BU173" s="3"/>
      <c r="BV173" s="3"/>
      <c r="BW173" s="3"/>
      <c r="BX173" s="109"/>
    </row>
    <row r="174" spans="1:76" ht="15" customHeight="1">
      <c r="A174" s="18"/>
      <c r="B174" s="84"/>
      <c r="C174" s="88"/>
      <c r="D174" s="22"/>
      <c r="E174" s="86"/>
      <c r="F174" s="13"/>
      <c r="G174" s="14"/>
      <c r="H174" s="82"/>
      <c r="I174" s="82"/>
      <c r="J174" s="16"/>
      <c r="K174" s="73"/>
      <c r="L174" s="19"/>
      <c r="M174" s="25"/>
      <c r="N174" s="29"/>
      <c r="O174" s="3"/>
      <c r="P174" s="3"/>
      <c r="Q174" s="3"/>
      <c r="R174" s="4"/>
      <c r="S174" s="5"/>
      <c r="T174" s="76"/>
      <c r="U174" s="76"/>
      <c r="V174" s="5"/>
      <c r="W174" s="5"/>
      <c r="X174" s="5"/>
      <c r="Y174" s="70"/>
      <c r="Z174" s="32"/>
      <c r="AA174" s="32"/>
      <c r="AB174" s="32"/>
      <c r="AC174" s="32"/>
      <c r="AD174" s="30"/>
      <c r="AE174" s="21"/>
      <c r="AF174" s="74"/>
      <c r="AG174" s="57"/>
      <c r="AH174" s="57"/>
      <c r="AI174" s="58"/>
      <c r="AJ174" s="20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0"/>
      <c r="BS174" s="112"/>
      <c r="BT174" s="112"/>
      <c r="BU174" s="3"/>
      <c r="BV174" s="3"/>
      <c r="BW174" s="3"/>
      <c r="BX174" s="109"/>
    </row>
    <row r="175" spans="1:76" ht="15" customHeight="1">
      <c r="A175" s="18"/>
      <c r="B175" s="84"/>
      <c r="C175" s="88"/>
      <c r="D175" s="22"/>
      <c r="E175" s="86"/>
      <c r="F175" s="13"/>
      <c r="G175" s="14"/>
      <c r="H175" s="82"/>
      <c r="I175" s="82"/>
      <c r="J175" s="16"/>
      <c r="K175" s="73"/>
      <c r="L175" s="19"/>
      <c r="M175" s="25"/>
      <c r="N175" s="29"/>
      <c r="O175" s="3"/>
      <c r="P175" s="3"/>
      <c r="Q175" s="3"/>
      <c r="R175" s="4"/>
      <c r="S175" s="5"/>
      <c r="T175" s="76"/>
      <c r="U175" s="76"/>
      <c r="V175" s="5"/>
      <c r="W175" s="5"/>
      <c r="X175" s="5"/>
      <c r="Y175" s="70"/>
      <c r="Z175" s="32"/>
      <c r="AA175" s="32"/>
      <c r="AB175" s="32"/>
      <c r="AC175" s="32"/>
      <c r="AD175" s="30"/>
      <c r="AE175" s="21"/>
      <c r="AF175" s="74"/>
      <c r="AG175" s="57"/>
      <c r="AH175" s="57"/>
      <c r="AI175" s="58"/>
      <c r="AJ175" s="20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0"/>
      <c r="BS175" s="112"/>
      <c r="BT175" s="112"/>
      <c r="BU175" s="3"/>
      <c r="BV175" s="3"/>
      <c r="BW175" s="3"/>
      <c r="BX175" s="109"/>
    </row>
    <row r="176" spans="1:76" ht="15" customHeight="1">
      <c r="A176" s="18"/>
      <c r="B176" s="84"/>
      <c r="C176" s="88">
        <v>70</v>
      </c>
      <c r="D176" s="22" t="s">
        <v>90</v>
      </c>
      <c r="E176" s="86"/>
      <c r="F176" s="13" t="s">
        <v>28</v>
      </c>
      <c r="G176" s="14">
        <v>5.157</v>
      </c>
      <c r="H176" s="82" t="str">
        <f>IF(OOC!S176=0,"",OOC!S176)</f>
        <v/>
      </c>
      <c r="I176" s="82" t="str">
        <f>IF(OOC!T176=0,"",OOC!T176)</f>
        <v/>
      </c>
      <c r="J176" s="16" t="s">
        <v>12</v>
      </c>
      <c r="K176" s="73" t="s">
        <v>52</v>
      </c>
      <c r="L176" s="19" t="e">
        <f t="shared" si="0"/>
        <v>#VALUE!</v>
      </c>
      <c r="M176" s="25" t="e">
        <f t="shared" si="1"/>
        <v>#VALUE!</v>
      </c>
      <c r="N176" s="28"/>
      <c r="O176" s="3" t="e">
        <f t="shared" si="32"/>
        <v>#REF!</v>
      </c>
      <c r="P176" s="3" t="e">
        <f t="shared" si="33"/>
        <v>#REF!</v>
      </c>
      <c r="Q176" s="3" t="e">
        <f t="shared" si="34"/>
        <v>#REF!</v>
      </c>
      <c r="R176" s="4" t="e">
        <f t="shared" si="35"/>
        <v>#REF!</v>
      </c>
      <c r="S176" s="5" t="e">
        <f t="shared" si="27"/>
        <v>#REF!</v>
      </c>
      <c r="T176" s="76" t="e">
        <f t="shared" si="26"/>
        <v>#REF!</v>
      </c>
      <c r="U176" s="76" t="e">
        <f t="shared" si="3"/>
        <v>#REF!</v>
      </c>
      <c r="V176" s="5" t="e">
        <f t="shared" si="22"/>
        <v>#REF!</v>
      </c>
      <c r="W176" s="5" t="e">
        <f t="shared" si="23"/>
        <v>#REF!</v>
      </c>
      <c r="X176" s="5" t="e">
        <f t="shared" si="24"/>
        <v>#REF!</v>
      </c>
      <c r="Y176" s="70" t="e">
        <f t="shared" si="25"/>
        <v>#REF!</v>
      </c>
      <c r="Z176" s="32"/>
      <c r="AA176" s="32"/>
      <c r="AB176" s="32"/>
      <c r="AC176" s="32"/>
      <c r="AD176" s="30"/>
      <c r="AE176" s="21"/>
      <c r="AF176" s="74"/>
      <c r="AG176" s="57"/>
      <c r="AH176" s="57"/>
      <c r="AI176" s="58"/>
      <c r="AJ176" s="23"/>
      <c r="AK176" s="2" t="e">
        <f>#REF!</f>
        <v>#REF!</v>
      </c>
      <c r="AL176" s="2" t="e">
        <f>#REF!</f>
        <v>#REF!</v>
      </c>
      <c r="AM176" s="2" t="e">
        <f>#REF!</f>
        <v>#REF!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0">
        <f t="shared" si="28"/>
        <v>70</v>
      </c>
      <c r="BS176" s="112">
        <f>OOC!G176</f>
        <v>5.4569999999999999</v>
      </c>
      <c r="BT176" s="112">
        <f>OOC!H176</f>
        <v>4.8570000000000002</v>
      </c>
      <c r="BU176" s="3" t="e">
        <f t="shared" si="29"/>
        <v>#REF!</v>
      </c>
      <c r="BV176" s="3" t="e">
        <f t="shared" si="30"/>
        <v>#REF!</v>
      </c>
      <c r="BW176" s="3" t="e">
        <f t="shared" si="31"/>
        <v>#REF!</v>
      </c>
      <c r="BX176" s="109" t="e">
        <f>IF(AND(IF(OOC!G176="",0,OOC!G176) &gt;= IF(O176="",0,O176), IF(O176="",0,O176) &gt; IF(L176="",0,L176)), "OOC",
IF(AND(IF(M176="",0,M176) &gt; IF(P176="",0,P176), IF(P176="",0,P176) &gt;= IF(OOC!H176="",0,OOC!H176)), "OOC",
IF(IF(O176="",0,O176) &gt; IF(OOC!G176="",0,OOC!G176), "OOS",
IF(IF(OOC!H176="",0,OOC!H176) &gt; IF(P176="",0,P176), "OOS", "OK"))))</f>
        <v>#REF!</v>
      </c>
    </row>
    <row r="177" spans="1:76" ht="15" customHeight="1">
      <c r="A177" s="18"/>
      <c r="B177" s="84"/>
      <c r="C177" s="88">
        <v>71</v>
      </c>
      <c r="D177" s="22" t="s">
        <v>90</v>
      </c>
      <c r="E177" s="86"/>
      <c r="F177" s="13" t="s">
        <v>28</v>
      </c>
      <c r="G177" s="14">
        <v>14.095000000000001</v>
      </c>
      <c r="H177" s="82" t="str">
        <f>IF(OOC!S177=0,"",OOC!S177)</f>
        <v/>
      </c>
      <c r="I177" s="82" t="str">
        <f>IF(OOC!T177=0,"",OOC!T177)</f>
        <v/>
      </c>
      <c r="J177" s="16" t="s">
        <v>12</v>
      </c>
      <c r="K177" s="73" t="s">
        <v>52</v>
      </c>
      <c r="L177" s="19" t="e">
        <f t="shared" si="0"/>
        <v>#VALUE!</v>
      </c>
      <c r="M177" s="25" t="e">
        <f t="shared" si="1"/>
        <v>#VALUE!</v>
      </c>
      <c r="N177" s="28"/>
      <c r="O177" s="3" t="e">
        <f t="shared" si="32"/>
        <v>#REF!</v>
      </c>
      <c r="P177" s="3" t="e">
        <f t="shared" si="33"/>
        <v>#REF!</v>
      </c>
      <c r="Q177" s="3" t="e">
        <f t="shared" si="34"/>
        <v>#REF!</v>
      </c>
      <c r="R177" s="4" t="e">
        <f t="shared" si="35"/>
        <v>#REF!</v>
      </c>
      <c r="S177" s="5" t="e">
        <f t="shared" si="27"/>
        <v>#REF!</v>
      </c>
      <c r="T177" s="76" t="e">
        <f t="shared" si="26"/>
        <v>#REF!</v>
      </c>
      <c r="U177" s="76" t="e">
        <f t="shared" si="3"/>
        <v>#REF!</v>
      </c>
      <c r="V177" s="5" t="e">
        <f t="shared" si="22"/>
        <v>#REF!</v>
      </c>
      <c r="W177" s="5" t="e">
        <f t="shared" si="23"/>
        <v>#REF!</v>
      </c>
      <c r="X177" s="5" t="e">
        <f t="shared" si="24"/>
        <v>#REF!</v>
      </c>
      <c r="Y177" s="70" t="e">
        <f t="shared" si="25"/>
        <v>#REF!</v>
      </c>
      <c r="Z177" s="32"/>
      <c r="AA177" s="32"/>
      <c r="AB177" s="32"/>
      <c r="AC177" s="32"/>
      <c r="AD177" s="30"/>
      <c r="AE177" s="21"/>
      <c r="AF177" s="74"/>
      <c r="AG177" s="57"/>
      <c r="AH177" s="57"/>
      <c r="AI177" s="58"/>
      <c r="AJ177" s="23"/>
      <c r="AK177" s="2" t="e">
        <f>#REF!</f>
        <v>#REF!</v>
      </c>
      <c r="AL177" s="2" t="e">
        <f>#REF!</f>
        <v>#REF!</v>
      </c>
      <c r="AM177" s="2" t="e">
        <f>#REF!</f>
        <v>#REF!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0">
        <f t="shared" si="28"/>
        <v>71</v>
      </c>
      <c r="BS177" s="112">
        <f>OOC!G177</f>
        <v>14.270000000000001</v>
      </c>
      <c r="BT177" s="112">
        <f>OOC!H177</f>
        <v>13.92</v>
      </c>
      <c r="BU177" s="3" t="e">
        <f t="shared" si="29"/>
        <v>#REF!</v>
      </c>
      <c r="BV177" s="3" t="e">
        <f t="shared" si="30"/>
        <v>#REF!</v>
      </c>
      <c r="BW177" s="3" t="e">
        <f t="shared" si="31"/>
        <v>#REF!</v>
      </c>
      <c r="BX177" s="109" t="e">
        <f>IF(AND(IF(OOC!G177="",0,OOC!G177) &gt;= IF(O177="",0,O177), IF(O177="",0,O177) &gt; IF(L177="",0,L177)), "OOC",
IF(AND(IF(M177="",0,M177) &gt; IF(P177="",0,P177), IF(P177="",0,P177) &gt;= IF(OOC!H177="",0,OOC!H177)), "OOC",
IF(IF(O177="",0,O177) &gt; IF(OOC!G177="",0,OOC!G177), "OOS",
IF(IF(OOC!H177="",0,OOC!H177) &gt; IF(P177="",0,P177), "OOS", "OK"))))</f>
        <v>#REF!</v>
      </c>
    </row>
    <row r="178" spans="1:76" ht="15" customHeight="1">
      <c r="A178" s="18">
        <v>18</v>
      </c>
      <c r="B178" s="84" t="s">
        <v>170</v>
      </c>
      <c r="C178" s="88" t="s">
        <v>134</v>
      </c>
      <c r="D178" s="22" t="s">
        <v>60</v>
      </c>
      <c r="E178" s="86">
        <v>1.33</v>
      </c>
      <c r="F178" s="13" t="s">
        <v>28</v>
      </c>
      <c r="G178" s="14">
        <v>0.79</v>
      </c>
      <c r="H178" s="82" t="str">
        <f>IF(OOC!S178=0,"",OOC!S178)</f>
        <v/>
      </c>
      <c r="I178" s="82" t="str">
        <f>IF(OOC!T178=0,"",OOC!T178)</f>
        <v/>
      </c>
      <c r="J178" s="16" t="s">
        <v>12</v>
      </c>
      <c r="K178" s="73" t="s">
        <v>52</v>
      </c>
      <c r="L178" s="19" t="e">
        <f t="shared" si="0"/>
        <v>#VALUE!</v>
      </c>
      <c r="M178" s="25" t="e">
        <f t="shared" si="1"/>
        <v>#VALUE!</v>
      </c>
      <c r="N178" s="29"/>
      <c r="O178" s="3" t="e">
        <f t="shared" si="32"/>
        <v>#REF!</v>
      </c>
      <c r="P178" s="3" t="e">
        <f t="shared" si="33"/>
        <v>#REF!</v>
      </c>
      <c r="Q178" s="3" t="e">
        <f t="shared" si="34"/>
        <v>#REF!</v>
      </c>
      <c r="R178" s="4" t="e">
        <f t="shared" si="35"/>
        <v>#REF!</v>
      </c>
      <c r="S178" s="5" t="e">
        <f t="shared" si="27"/>
        <v>#REF!</v>
      </c>
      <c r="T178" s="76" t="e">
        <f t="shared" si="26"/>
        <v>#REF!</v>
      </c>
      <c r="U178" s="76" t="e">
        <f t="shared" si="3"/>
        <v>#REF!</v>
      </c>
      <c r="V178" s="5" t="e">
        <f t="shared" si="22"/>
        <v>#REF!</v>
      </c>
      <c r="W178" s="5" t="e">
        <f t="shared" si="23"/>
        <v>#REF!</v>
      </c>
      <c r="X178" s="5" t="e">
        <f t="shared" si="24"/>
        <v>#REF!</v>
      </c>
      <c r="Y178" s="70" t="e">
        <f t="shared" si="25"/>
        <v>#REF!</v>
      </c>
      <c r="Z178" s="32" t="e">
        <f t="shared" si="8"/>
        <v>#REF!</v>
      </c>
      <c r="AA178" s="32" t="e">
        <f t="shared" si="9"/>
        <v>#REF!</v>
      </c>
      <c r="AB178" s="32" t="e">
        <f t="shared" si="10"/>
        <v>#REF!</v>
      </c>
      <c r="AC178" s="32" t="e">
        <f t="shared" si="11"/>
        <v>#REF!</v>
      </c>
      <c r="AD178" s="30"/>
      <c r="AE178" s="21" t="str">
        <f t="shared" si="12"/>
        <v/>
      </c>
      <c r="AF178" s="74"/>
      <c r="AG178" s="57"/>
      <c r="AH178" s="57"/>
      <c r="AI178" s="58"/>
      <c r="AJ178" s="20"/>
      <c r="AK178" s="2" t="e">
        <f>#REF!</f>
        <v>#REF!</v>
      </c>
      <c r="AL178" s="2" t="e">
        <f>#REF!</f>
        <v>#REF!</v>
      </c>
      <c r="AM178" s="2" t="e">
        <f>#REF!</f>
        <v>#REF!</v>
      </c>
      <c r="AN178" s="2" t="e">
        <f>#REF!</f>
        <v>#REF!</v>
      </c>
      <c r="AO178" s="2" t="e">
        <f>#REF!</f>
        <v>#REF!</v>
      </c>
      <c r="AP178" s="2" t="e">
        <f>#REF!</f>
        <v>#REF!</v>
      </c>
      <c r="AQ178" s="2" t="e">
        <f>#REF!</f>
        <v>#REF!</v>
      </c>
      <c r="AR178" s="2" t="e">
        <f>#REF!</f>
        <v>#REF!</v>
      </c>
      <c r="AS178" s="2" t="e">
        <f>#REF!</f>
        <v>#REF!</v>
      </c>
      <c r="AT178" s="2" t="e">
        <f>#REF!</f>
        <v>#REF!</v>
      </c>
      <c r="AU178" s="2" t="e">
        <f>#REF!</f>
        <v>#REF!</v>
      </c>
      <c r="AV178" s="2" t="e">
        <f>#REF!</f>
        <v>#REF!</v>
      </c>
      <c r="AW178" s="2" t="e">
        <f>#REF!</f>
        <v>#REF!</v>
      </c>
      <c r="AX178" s="2" t="e">
        <f>#REF!</f>
        <v>#REF!</v>
      </c>
      <c r="AY178" s="2" t="e">
        <f>#REF!</f>
        <v>#REF!</v>
      </c>
      <c r="AZ178" s="2" t="e">
        <f>#REF!</f>
        <v>#REF!</v>
      </c>
      <c r="BA178" s="2" t="e">
        <f>#REF!</f>
        <v>#REF!</v>
      </c>
      <c r="BB178" s="2" t="e">
        <f>#REF!</f>
        <v>#REF!</v>
      </c>
      <c r="BC178" s="2" t="e">
        <f>#REF!</f>
        <v>#REF!</v>
      </c>
      <c r="BD178" s="2" t="e">
        <f>#REF!</f>
        <v>#REF!</v>
      </c>
      <c r="BE178" s="2" t="e">
        <f>#REF!</f>
        <v>#REF!</v>
      </c>
      <c r="BF178" s="2" t="e">
        <f>#REF!</f>
        <v>#REF!</v>
      </c>
      <c r="BG178" s="2" t="e">
        <f>#REF!</f>
        <v>#REF!</v>
      </c>
      <c r="BH178" s="2" t="e">
        <f>#REF!</f>
        <v>#REF!</v>
      </c>
      <c r="BI178" s="2" t="e">
        <f>#REF!</f>
        <v>#REF!</v>
      </c>
      <c r="BJ178" s="2" t="e">
        <f>#REF!</f>
        <v>#REF!</v>
      </c>
      <c r="BK178" s="2" t="e">
        <f>#REF!</f>
        <v>#REF!</v>
      </c>
      <c r="BL178" s="2" t="e">
        <f>#REF!</f>
        <v>#REF!</v>
      </c>
      <c r="BM178" s="2" t="e">
        <f>#REF!</f>
        <v>#REF!</v>
      </c>
      <c r="BN178" s="2" t="e">
        <f>#REF!</f>
        <v>#REF!</v>
      </c>
      <c r="BO178" s="2" t="e">
        <f>#REF!</f>
        <v>#REF!</v>
      </c>
      <c r="BP178" s="2" t="e">
        <f>#REF!</f>
        <v>#REF!</v>
      </c>
      <c r="BR178" s="110" t="str">
        <f t="shared" si="28"/>
        <v>72-1</v>
      </c>
      <c r="BS178" s="112">
        <f>OOC!G178</f>
        <v>0.81</v>
      </c>
      <c r="BT178" s="112">
        <f>OOC!H178</f>
        <v>0.77</v>
      </c>
      <c r="BU178" s="3" t="e">
        <f t="shared" si="29"/>
        <v>#REF!</v>
      </c>
      <c r="BV178" s="3" t="e">
        <f t="shared" si="30"/>
        <v>#REF!</v>
      </c>
      <c r="BW178" s="3" t="e">
        <f t="shared" si="31"/>
        <v>#REF!</v>
      </c>
      <c r="BX178" s="109" t="e">
        <f>IF(AND(IF(OOC!G178="",0,OOC!G178) &gt;= IF(O178="",0,O178), IF(O178="",0,O178) &gt; IF(L178="",0,L178)), "OOC",
IF(AND(IF(M178="",0,M178) &gt; IF(P178="",0,P178), IF(P178="",0,P178) &gt;= IF(OOC!H178="",0,OOC!H178)), "OOC",
IF(IF(O178="",0,O178) &gt; IF(OOC!G178="",0,OOC!G178), "OOS",
IF(IF(OOC!H178="",0,OOC!H178) &gt; IF(P178="",0,P178), "OOS", "OK"))))</f>
        <v>#REF!</v>
      </c>
    </row>
    <row r="179" spans="1:76" ht="15" customHeight="1">
      <c r="A179" s="18">
        <v>18</v>
      </c>
      <c r="B179" s="84" t="s">
        <v>170</v>
      </c>
      <c r="C179" s="88" t="s">
        <v>135</v>
      </c>
      <c r="D179" s="22" t="s">
        <v>60</v>
      </c>
      <c r="E179" s="86">
        <v>1.33</v>
      </c>
      <c r="F179" s="13" t="s">
        <v>28</v>
      </c>
      <c r="G179" s="14">
        <v>0.79</v>
      </c>
      <c r="H179" s="82" t="str">
        <f>IF(OOC!S179=0,"",OOC!S179)</f>
        <v/>
      </c>
      <c r="I179" s="82" t="str">
        <f>IF(OOC!T179=0,"",OOC!T179)</f>
        <v/>
      </c>
      <c r="J179" s="16" t="s">
        <v>12</v>
      </c>
      <c r="K179" s="73" t="s">
        <v>52</v>
      </c>
      <c r="L179" s="19" t="e">
        <f t="shared" si="0"/>
        <v>#VALUE!</v>
      </c>
      <c r="M179" s="25" t="e">
        <f t="shared" si="1"/>
        <v>#VALUE!</v>
      </c>
      <c r="N179" s="29"/>
      <c r="O179" s="3" t="e">
        <f t="shared" si="32"/>
        <v>#REF!</v>
      </c>
      <c r="P179" s="3" t="e">
        <f t="shared" si="33"/>
        <v>#REF!</v>
      </c>
      <c r="Q179" s="3" t="e">
        <f t="shared" si="34"/>
        <v>#REF!</v>
      </c>
      <c r="R179" s="4" t="e">
        <f t="shared" si="35"/>
        <v>#REF!</v>
      </c>
      <c r="S179" s="5" t="e">
        <f t="shared" si="27"/>
        <v>#REF!</v>
      </c>
      <c r="T179" s="76" t="e">
        <f t="shared" si="26"/>
        <v>#REF!</v>
      </c>
      <c r="U179" s="76" t="e">
        <f t="shared" si="3"/>
        <v>#REF!</v>
      </c>
      <c r="V179" s="5" t="e">
        <f t="shared" si="22"/>
        <v>#REF!</v>
      </c>
      <c r="W179" s="5" t="e">
        <f t="shared" si="23"/>
        <v>#REF!</v>
      </c>
      <c r="X179" s="5" t="e">
        <f t="shared" si="24"/>
        <v>#REF!</v>
      </c>
      <c r="Y179" s="70" t="e">
        <f t="shared" si="25"/>
        <v>#REF!</v>
      </c>
      <c r="Z179" s="32" t="e">
        <f t="shared" si="8"/>
        <v>#REF!</v>
      </c>
      <c r="AA179" s="32" t="e">
        <f t="shared" si="9"/>
        <v>#REF!</v>
      </c>
      <c r="AB179" s="32" t="e">
        <f t="shared" si="10"/>
        <v>#REF!</v>
      </c>
      <c r="AC179" s="32" t="e">
        <f t="shared" si="11"/>
        <v>#REF!</v>
      </c>
      <c r="AD179" s="30"/>
      <c r="AE179" s="21" t="str">
        <f t="shared" si="12"/>
        <v/>
      </c>
      <c r="AF179" s="74"/>
      <c r="AG179" s="57"/>
      <c r="AH179" s="57"/>
      <c r="AI179" s="58"/>
      <c r="AJ179" s="20"/>
      <c r="AK179" s="2" t="e">
        <f>#REF!</f>
        <v>#REF!</v>
      </c>
      <c r="AL179" s="2" t="e">
        <f>#REF!</f>
        <v>#REF!</v>
      </c>
      <c r="AM179" s="2" t="e">
        <f>#REF!</f>
        <v>#REF!</v>
      </c>
      <c r="AN179" s="2" t="e">
        <f>#REF!</f>
        <v>#REF!</v>
      </c>
      <c r="AO179" s="2" t="e">
        <f>#REF!</f>
        <v>#REF!</v>
      </c>
      <c r="AP179" s="2" t="e">
        <f>#REF!</f>
        <v>#REF!</v>
      </c>
      <c r="AQ179" s="2" t="e">
        <f>#REF!</f>
        <v>#REF!</v>
      </c>
      <c r="AR179" s="2" t="e">
        <f>#REF!</f>
        <v>#REF!</v>
      </c>
      <c r="AS179" s="2" t="e">
        <f>#REF!</f>
        <v>#REF!</v>
      </c>
      <c r="AT179" s="2" t="e">
        <f>#REF!</f>
        <v>#REF!</v>
      </c>
      <c r="AU179" s="2" t="e">
        <f>#REF!</f>
        <v>#REF!</v>
      </c>
      <c r="AV179" s="2" t="e">
        <f>#REF!</f>
        <v>#REF!</v>
      </c>
      <c r="AW179" s="2" t="e">
        <f>#REF!</f>
        <v>#REF!</v>
      </c>
      <c r="AX179" s="2" t="e">
        <f>#REF!</f>
        <v>#REF!</v>
      </c>
      <c r="AY179" s="2" t="e">
        <f>#REF!</f>
        <v>#REF!</v>
      </c>
      <c r="AZ179" s="2" t="e">
        <f>#REF!</f>
        <v>#REF!</v>
      </c>
      <c r="BA179" s="2" t="e">
        <f>#REF!</f>
        <v>#REF!</v>
      </c>
      <c r="BB179" s="2" t="e">
        <f>#REF!</f>
        <v>#REF!</v>
      </c>
      <c r="BC179" s="2" t="e">
        <f>#REF!</f>
        <v>#REF!</v>
      </c>
      <c r="BD179" s="2" t="e">
        <f>#REF!</f>
        <v>#REF!</v>
      </c>
      <c r="BE179" s="2" t="e">
        <f>#REF!</f>
        <v>#REF!</v>
      </c>
      <c r="BF179" s="2" t="e">
        <f>#REF!</f>
        <v>#REF!</v>
      </c>
      <c r="BG179" s="2" t="e">
        <f>#REF!</f>
        <v>#REF!</v>
      </c>
      <c r="BH179" s="2" t="e">
        <f>#REF!</f>
        <v>#REF!</v>
      </c>
      <c r="BI179" s="2" t="e">
        <f>#REF!</f>
        <v>#REF!</v>
      </c>
      <c r="BJ179" s="2" t="e">
        <f>#REF!</f>
        <v>#REF!</v>
      </c>
      <c r="BK179" s="2" t="e">
        <f>#REF!</f>
        <v>#REF!</v>
      </c>
      <c r="BL179" s="2" t="e">
        <f>#REF!</f>
        <v>#REF!</v>
      </c>
      <c r="BM179" s="2" t="e">
        <f>#REF!</f>
        <v>#REF!</v>
      </c>
      <c r="BN179" s="2" t="e">
        <f>#REF!</f>
        <v>#REF!</v>
      </c>
      <c r="BO179" s="2" t="e">
        <f>#REF!</f>
        <v>#REF!</v>
      </c>
      <c r="BP179" s="2" t="e">
        <f>#REF!</f>
        <v>#REF!</v>
      </c>
      <c r="BR179" s="110" t="str">
        <f t="shared" si="28"/>
        <v>72-2</v>
      </c>
      <c r="BS179" s="112">
        <f>OOC!G179</f>
        <v>0.81</v>
      </c>
      <c r="BT179" s="112">
        <f>OOC!H179</f>
        <v>0.77</v>
      </c>
      <c r="BU179" s="3" t="e">
        <f t="shared" si="29"/>
        <v>#REF!</v>
      </c>
      <c r="BV179" s="3" t="e">
        <f t="shared" si="30"/>
        <v>#REF!</v>
      </c>
      <c r="BW179" s="3" t="e">
        <f t="shared" si="31"/>
        <v>#REF!</v>
      </c>
      <c r="BX179" s="109" t="e">
        <f>IF(AND(IF(OOC!G179="",0,OOC!G179) &gt;= IF(O179="",0,O179), IF(O179="",0,O179) &gt; IF(L179="",0,L179)), "OOC",
IF(AND(IF(M179="",0,M179) &gt; IF(P179="",0,P179), IF(P179="",0,P179) &gt;= IF(OOC!H179="",0,OOC!H179)), "OOC",
IF(IF(O179="",0,O179) &gt; IF(OOC!G179="",0,OOC!G179), "OOS",
IF(IF(OOC!H179="",0,OOC!H179) &gt; IF(P179="",0,P179), "OOS", "OK"))))</f>
        <v>#REF!</v>
      </c>
    </row>
    <row r="180" spans="1:76" ht="15" customHeight="1">
      <c r="A180" s="18">
        <v>18</v>
      </c>
      <c r="B180" s="87" t="s">
        <v>170</v>
      </c>
      <c r="C180" s="81" t="s">
        <v>136</v>
      </c>
      <c r="D180" s="22" t="s">
        <v>60</v>
      </c>
      <c r="E180" s="86">
        <v>1.33</v>
      </c>
      <c r="F180" s="13" t="s">
        <v>28</v>
      </c>
      <c r="G180" s="14">
        <v>0.79</v>
      </c>
      <c r="H180" s="82" t="str">
        <f>IF(OOC!S180=0,"",OOC!S180)</f>
        <v/>
      </c>
      <c r="I180" s="82" t="str">
        <f>IF(OOC!T180=0,"",OOC!T180)</f>
        <v/>
      </c>
      <c r="J180" s="16" t="s">
        <v>12</v>
      </c>
      <c r="K180" s="73" t="s">
        <v>52</v>
      </c>
      <c r="L180" s="19" t="e">
        <f t="shared" si="0"/>
        <v>#VALUE!</v>
      </c>
      <c r="M180" s="25" t="e">
        <f t="shared" si="1"/>
        <v>#VALUE!</v>
      </c>
      <c r="N180" s="29"/>
      <c r="O180" s="3" t="e">
        <f t="shared" si="32"/>
        <v>#REF!</v>
      </c>
      <c r="P180" s="3" t="e">
        <f t="shared" si="33"/>
        <v>#REF!</v>
      </c>
      <c r="Q180" s="3" t="e">
        <f t="shared" si="34"/>
        <v>#REF!</v>
      </c>
      <c r="R180" s="4" t="e">
        <f t="shared" si="35"/>
        <v>#REF!</v>
      </c>
      <c r="S180" s="5" t="e">
        <f t="shared" si="27"/>
        <v>#REF!</v>
      </c>
      <c r="T180" s="76" t="e">
        <f t="shared" si="26"/>
        <v>#REF!</v>
      </c>
      <c r="U180" s="76" t="e">
        <f t="shared" si="3"/>
        <v>#REF!</v>
      </c>
      <c r="V180" s="5" t="e">
        <f t="shared" si="22"/>
        <v>#REF!</v>
      </c>
      <c r="W180" s="5" t="e">
        <f t="shared" si="23"/>
        <v>#REF!</v>
      </c>
      <c r="X180" s="5" t="e">
        <f t="shared" si="24"/>
        <v>#REF!</v>
      </c>
      <c r="Y180" s="70" t="e">
        <f t="shared" si="25"/>
        <v>#REF!</v>
      </c>
      <c r="Z180" s="32" t="e">
        <f t="shared" si="8"/>
        <v>#REF!</v>
      </c>
      <c r="AA180" s="32" t="e">
        <f t="shared" si="9"/>
        <v>#REF!</v>
      </c>
      <c r="AB180" s="32" t="e">
        <f t="shared" si="10"/>
        <v>#REF!</v>
      </c>
      <c r="AC180" s="32" t="e">
        <f t="shared" si="11"/>
        <v>#REF!</v>
      </c>
      <c r="AD180" s="30"/>
      <c r="AE180" s="21" t="str">
        <f t="shared" si="12"/>
        <v/>
      </c>
      <c r="AF180" s="74"/>
      <c r="AG180" s="57"/>
      <c r="AH180" s="57"/>
      <c r="AI180" s="58"/>
      <c r="AJ180" s="20"/>
      <c r="AK180" s="2" t="e">
        <f>#REF!</f>
        <v>#REF!</v>
      </c>
      <c r="AL180" s="2" t="e">
        <f>#REF!</f>
        <v>#REF!</v>
      </c>
      <c r="AM180" s="2" t="e">
        <f>#REF!</f>
        <v>#REF!</v>
      </c>
      <c r="AN180" s="2" t="e">
        <f>#REF!</f>
        <v>#REF!</v>
      </c>
      <c r="AO180" s="2" t="e">
        <f>#REF!</f>
        <v>#REF!</v>
      </c>
      <c r="AP180" s="2" t="e">
        <f>#REF!</f>
        <v>#REF!</v>
      </c>
      <c r="AQ180" s="2" t="e">
        <f>#REF!</f>
        <v>#REF!</v>
      </c>
      <c r="AR180" s="2" t="e">
        <f>#REF!</f>
        <v>#REF!</v>
      </c>
      <c r="AS180" s="2" t="e">
        <f>#REF!</f>
        <v>#REF!</v>
      </c>
      <c r="AT180" s="2" t="e">
        <f>#REF!</f>
        <v>#REF!</v>
      </c>
      <c r="AU180" s="2" t="e">
        <f>#REF!</f>
        <v>#REF!</v>
      </c>
      <c r="AV180" s="2" t="e">
        <f>#REF!</f>
        <v>#REF!</v>
      </c>
      <c r="AW180" s="2" t="e">
        <f>#REF!</f>
        <v>#REF!</v>
      </c>
      <c r="AX180" s="2" t="e">
        <f>#REF!</f>
        <v>#REF!</v>
      </c>
      <c r="AY180" s="2" t="e">
        <f>#REF!</f>
        <v>#REF!</v>
      </c>
      <c r="AZ180" s="2" t="e">
        <f>#REF!</f>
        <v>#REF!</v>
      </c>
      <c r="BA180" s="2" t="e">
        <f>#REF!</f>
        <v>#REF!</v>
      </c>
      <c r="BB180" s="2" t="e">
        <f>#REF!</f>
        <v>#REF!</v>
      </c>
      <c r="BC180" s="2" t="e">
        <f>#REF!</f>
        <v>#REF!</v>
      </c>
      <c r="BD180" s="2" t="e">
        <f>#REF!</f>
        <v>#REF!</v>
      </c>
      <c r="BE180" s="2" t="e">
        <f>#REF!</f>
        <v>#REF!</v>
      </c>
      <c r="BF180" s="2" t="e">
        <f>#REF!</f>
        <v>#REF!</v>
      </c>
      <c r="BG180" s="2" t="e">
        <f>#REF!</f>
        <v>#REF!</v>
      </c>
      <c r="BH180" s="2" t="e">
        <f>#REF!</f>
        <v>#REF!</v>
      </c>
      <c r="BI180" s="2" t="e">
        <f>#REF!</f>
        <v>#REF!</v>
      </c>
      <c r="BJ180" s="2" t="e">
        <f>#REF!</f>
        <v>#REF!</v>
      </c>
      <c r="BK180" s="2" t="e">
        <f>#REF!</f>
        <v>#REF!</v>
      </c>
      <c r="BL180" s="2" t="e">
        <f>#REF!</f>
        <v>#REF!</v>
      </c>
      <c r="BM180" s="2" t="e">
        <f>#REF!</f>
        <v>#REF!</v>
      </c>
      <c r="BN180" s="2" t="e">
        <f>#REF!</f>
        <v>#REF!</v>
      </c>
      <c r="BO180" s="2" t="e">
        <f>#REF!</f>
        <v>#REF!</v>
      </c>
      <c r="BP180" s="2" t="e">
        <f>#REF!</f>
        <v>#REF!</v>
      </c>
      <c r="BR180" s="110" t="str">
        <f t="shared" si="28"/>
        <v>72-3</v>
      </c>
      <c r="BS180" s="112">
        <f>OOC!G180</f>
        <v>0.81</v>
      </c>
      <c r="BT180" s="112">
        <f>OOC!H180</f>
        <v>0.77</v>
      </c>
      <c r="BU180" s="3" t="e">
        <f t="shared" si="29"/>
        <v>#REF!</v>
      </c>
      <c r="BV180" s="3" t="e">
        <f t="shared" si="30"/>
        <v>#REF!</v>
      </c>
      <c r="BW180" s="3" t="e">
        <f t="shared" si="31"/>
        <v>#REF!</v>
      </c>
      <c r="BX180" s="109" t="e">
        <f>IF(AND(IF(OOC!G180="",0,OOC!G180) &gt;= IF(O180="",0,O180), IF(O180="",0,O180) &gt; IF(L180="",0,L180)), "OOC",
IF(AND(IF(M180="",0,M180) &gt; IF(P180="",0,P180), IF(P180="",0,P180) &gt;= IF(OOC!H180="",0,OOC!H180)), "OOC",
IF(IF(O180="",0,O180) &gt; IF(OOC!G180="",0,OOC!G180), "OOS",
IF(IF(OOC!H180="",0,OOC!H180) &gt; IF(P180="",0,P180), "OOS", "OK"))))</f>
        <v>#REF!</v>
      </c>
    </row>
    <row r="181" spans="1:76" ht="15" customHeight="1">
      <c r="A181" s="18">
        <v>19</v>
      </c>
      <c r="B181" s="84" t="s">
        <v>171</v>
      </c>
      <c r="C181" s="88" t="s">
        <v>137</v>
      </c>
      <c r="D181" s="22" t="s">
        <v>60</v>
      </c>
      <c r="E181" s="86">
        <v>1.33</v>
      </c>
      <c r="F181" s="13" t="s">
        <v>28</v>
      </c>
      <c r="G181" s="14">
        <v>0.79</v>
      </c>
      <c r="H181" s="82" t="str">
        <f>IF(OOC!S181=0,"",OOC!S181)</f>
        <v/>
      </c>
      <c r="I181" s="82" t="str">
        <f>IF(OOC!T181=0,"",OOC!T181)</f>
        <v/>
      </c>
      <c r="J181" s="16" t="s">
        <v>12</v>
      </c>
      <c r="K181" s="73" t="s">
        <v>52</v>
      </c>
      <c r="L181" s="19" t="e">
        <f t="shared" si="0"/>
        <v>#VALUE!</v>
      </c>
      <c r="M181" s="25" t="e">
        <f t="shared" si="1"/>
        <v>#VALUE!</v>
      </c>
      <c r="N181" s="29"/>
      <c r="O181" s="3" t="e">
        <f t="shared" si="32"/>
        <v>#REF!</v>
      </c>
      <c r="P181" s="3" t="e">
        <f t="shared" si="33"/>
        <v>#REF!</v>
      </c>
      <c r="Q181" s="3" t="e">
        <f t="shared" si="34"/>
        <v>#REF!</v>
      </c>
      <c r="R181" s="4" t="e">
        <f t="shared" si="35"/>
        <v>#REF!</v>
      </c>
      <c r="S181" s="5" t="e">
        <f t="shared" si="27"/>
        <v>#REF!</v>
      </c>
      <c r="T181" s="76" t="e">
        <f t="shared" si="26"/>
        <v>#REF!</v>
      </c>
      <c r="U181" s="76" t="e">
        <f t="shared" si="3"/>
        <v>#REF!</v>
      </c>
      <c r="V181" s="5" t="e">
        <f t="shared" si="22"/>
        <v>#REF!</v>
      </c>
      <c r="W181" s="5" t="e">
        <f t="shared" si="23"/>
        <v>#REF!</v>
      </c>
      <c r="X181" s="5" t="e">
        <f t="shared" si="24"/>
        <v>#REF!</v>
      </c>
      <c r="Y181" s="70" t="e">
        <f t="shared" si="25"/>
        <v>#REF!</v>
      </c>
      <c r="Z181" s="32" t="e">
        <f t="shared" si="8"/>
        <v>#REF!</v>
      </c>
      <c r="AA181" s="32" t="e">
        <f t="shared" si="9"/>
        <v>#REF!</v>
      </c>
      <c r="AB181" s="32" t="e">
        <f t="shared" si="10"/>
        <v>#REF!</v>
      </c>
      <c r="AC181" s="32" t="e">
        <f t="shared" si="11"/>
        <v>#REF!</v>
      </c>
      <c r="AD181" s="30"/>
      <c r="AE181" s="21" t="str">
        <f t="shared" si="12"/>
        <v/>
      </c>
      <c r="AF181" s="74"/>
      <c r="AG181" s="57"/>
      <c r="AH181" s="57"/>
      <c r="AI181" s="58"/>
      <c r="AJ181" s="20"/>
      <c r="AK181" s="2" t="e">
        <f>#REF!</f>
        <v>#REF!</v>
      </c>
      <c r="AL181" s="2" t="e">
        <f>#REF!</f>
        <v>#REF!</v>
      </c>
      <c r="AM181" s="2" t="e">
        <f>#REF!</f>
        <v>#REF!</v>
      </c>
      <c r="AN181" s="2" t="e">
        <f>#REF!</f>
        <v>#REF!</v>
      </c>
      <c r="AO181" s="2" t="e">
        <f>#REF!</f>
        <v>#REF!</v>
      </c>
      <c r="AP181" s="2" t="e">
        <f>#REF!</f>
        <v>#REF!</v>
      </c>
      <c r="AQ181" s="2" t="e">
        <f>#REF!</f>
        <v>#REF!</v>
      </c>
      <c r="AR181" s="2" t="e">
        <f>#REF!</f>
        <v>#REF!</v>
      </c>
      <c r="AS181" s="2" t="e">
        <f>#REF!</f>
        <v>#REF!</v>
      </c>
      <c r="AT181" s="2" t="e">
        <f>#REF!</f>
        <v>#REF!</v>
      </c>
      <c r="AU181" s="2" t="e">
        <f>#REF!</f>
        <v>#REF!</v>
      </c>
      <c r="AV181" s="2" t="e">
        <f>#REF!</f>
        <v>#REF!</v>
      </c>
      <c r="AW181" s="2" t="e">
        <f>#REF!</f>
        <v>#REF!</v>
      </c>
      <c r="AX181" s="2" t="e">
        <f>#REF!</f>
        <v>#REF!</v>
      </c>
      <c r="AY181" s="2" t="e">
        <f>#REF!</f>
        <v>#REF!</v>
      </c>
      <c r="AZ181" s="2" t="e">
        <f>#REF!</f>
        <v>#REF!</v>
      </c>
      <c r="BA181" s="2" t="e">
        <f>#REF!</f>
        <v>#REF!</v>
      </c>
      <c r="BB181" s="2" t="e">
        <f>#REF!</f>
        <v>#REF!</v>
      </c>
      <c r="BC181" s="2" t="e">
        <f>#REF!</f>
        <v>#REF!</v>
      </c>
      <c r="BD181" s="2" t="e">
        <f>#REF!</f>
        <v>#REF!</v>
      </c>
      <c r="BE181" s="2" t="e">
        <f>#REF!</f>
        <v>#REF!</v>
      </c>
      <c r="BF181" s="2" t="e">
        <f>#REF!</f>
        <v>#REF!</v>
      </c>
      <c r="BG181" s="2" t="e">
        <f>#REF!</f>
        <v>#REF!</v>
      </c>
      <c r="BH181" s="2" t="e">
        <f>#REF!</f>
        <v>#REF!</v>
      </c>
      <c r="BI181" s="2" t="e">
        <f>#REF!</f>
        <v>#REF!</v>
      </c>
      <c r="BJ181" s="2" t="e">
        <f>#REF!</f>
        <v>#REF!</v>
      </c>
      <c r="BK181" s="2" t="e">
        <f>#REF!</f>
        <v>#REF!</v>
      </c>
      <c r="BL181" s="2" t="e">
        <f>#REF!</f>
        <v>#REF!</v>
      </c>
      <c r="BM181" s="2" t="e">
        <f>#REF!</f>
        <v>#REF!</v>
      </c>
      <c r="BN181" s="2" t="e">
        <f>#REF!</f>
        <v>#REF!</v>
      </c>
      <c r="BO181" s="2" t="e">
        <f>#REF!</f>
        <v>#REF!</v>
      </c>
      <c r="BP181" s="2" t="e">
        <f>#REF!</f>
        <v>#REF!</v>
      </c>
      <c r="BR181" s="110" t="str">
        <f t="shared" si="28"/>
        <v>73-1</v>
      </c>
      <c r="BS181" s="112">
        <f>OOC!G181</f>
        <v>0.81</v>
      </c>
      <c r="BT181" s="112">
        <f>OOC!H181</f>
        <v>0.77</v>
      </c>
      <c r="BU181" s="3" t="e">
        <f t="shared" si="29"/>
        <v>#REF!</v>
      </c>
      <c r="BV181" s="3" t="e">
        <f t="shared" si="30"/>
        <v>#REF!</v>
      </c>
      <c r="BW181" s="3" t="e">
        <f t="shared" si="31"/>
        <v>#REF!</v>
      </c>
      <c r="BX181" s="109" t="e">
        <f>IF(AND(IF(OOC!G181="",0,OOC!G181) &gt;= IF(O181="",0,O181), IF(O181="",0,O181) &gt; IF(L181="",0,L181)), "OOC",
IF(AND(IF(M181="",0,M181) &gt; IF(P181="",0,P181), IF(P181="",0,P181) &gt;= IF(OOC!H181="",0,OOC!H181)), "OOC",
IF(IF(O181="",0,O181) &gt; IF(OOC!G181="",0,OOC!G181), "OOS",
IF(IF(OOC!H181="",0,OOC!H181) &gt; IF(P181="",0,P181), "OOS", "OK"))))</f>
        <v>#REF!</v>
      </c>
    </row>
    <row r="182" spans="1:76" ht="15" customHeight="1">
      <c r="A182" s="18">
        <v>19</v>
      </c>
      <c r="B182" s="84" t="s">
        <v>171</v>
      </c>
      <c r="C182" s="88" t="s">
        <v>138</v>
      </c>
      <c r="D182" s="22" t="s">
        <v>60</v>
      </c>
      <c r="E182" s="86">
        <v>1.33</v>
      </c>
      <c r="F182" s="13" t="s">
        <v>28</v>
      </c>
      <c r="G182" s="14">
        <v>0.79</v>
      </c>
      <c r="H182" s="82" t="str">
        <f>IF(OOC!S182=0,"",OOC!S182)</f>
        <v/>
      </c>
      <c r="I182" s="82" t="str">
        <f>IF(OOC!T182=0,"",OOC!T182)</f>
        <v/>
      </c>
      <c r="J182" s="16" t="s">
        <v>12</v>
      </c>
      <c r="K182" s="73" t="s">
        <v>52</v>
      </c>
      <c r="L182" s="19" t="e">
        <f t="shared" si="0"/>
        <v>#VALUE!</v>
      </c>
      <c r="M182" s="25" t="e">
        <f t="shared" si="1"/>
        <v>#VALUE!</v>
      </c>
      <c r="N182" s="29"/>
      <c r="O182" s="3" t="e">
        <f t="shared" si="32"/>
        <v>#REF!</v>
      </c>
      <c r="P182" s="3" t="e">
        <f t="shared" si="33"/>
        <v>#REF!</v>
      </c>
      <c r="Q182" s="3" t="e">
        <f t="shared" si="34"/>
        <v>#REF!</v>
      </c>
      <c r="R182" s="4" t="e">
        <f t="shared" si="35"/>
        <v>#REF!</v>
      </c>
      <c r="S182" s="5" t="e">
        <f t="shared" si="27"/>
        <v>#REF!</v>
      </c>
      <c r="T182" s="76" t="e">
        <f t="shared" si="26"/>
        <v>#REF!</v>
      </c>
      <c r="U182" s="76" t="e">
        <f t="shared" si="3"/>
        <v>#REF!</v>
      </c>
      <c r="V182" s="5" t="e">
        <f t="shared" si="22"/>
        <v>#REF!</v>
      </c>
      <c r="W182" s="5" t="e">
        <f t="shared" si="23"/>
        <v>#REF!</v>
      </c>
      <c r="X182" s="5" t="e">
        <f t="shared" si="24"/>
        <v>#REF!</v>
      </c>
      <c r="Y182" s="70" t="e">
        <f t="shared" si="25"/>
        <v>#REF!</v>
      </c>
      <c r="Z182" s="32" t="e">
        <f t="shared" ref="Z182:Z242" si="36">IF($Q182="","",IF(F182="Tolerance",IF(($E182*3*R182+Q182)-G182&lt;H182,"",($E182*3*R182+Q182)-G182),IF(OR(F182="GD&amp;T",F182="MAX"),IF(($E182*3*R182+Q182)&lt;H182,"",($E182*3*R182+Q182)),"")))</f>
        <v>#REF!</v>
      </c>
      <c r="AA182" s="32" t="e">
        <f t="shared" ref="AA182:AA242" si="37">IF(Q182="","",IF(F182="Tolerance",IF(-(($E182*3*R182)-Q182)-G182&gt;I182,"",-(($E182*3*R182)-Q182)-G182),IF(F182="MIN",IF(-(($E182*3*R182)-Q182)&gt;I182,"",-(($E182*3*R182)-Q182)),"")))</f>
        <v>#REF!</v>
      </c>
      <c r="AB182" s="32" t="e">
        <f t="shared" ref="AB182:AB242" si="38">IF(OR(G182="",Q182=""),"",(L182+M182)/2-Q182)</f>
        <v>#REF!</v>
      </c>
      <c r="AC182" s="32" t="e">
        <f t="shared" si="11"/>
        <v>#REF!</v>
      </c>
      <c r="AD182" s="30"/>
      <c r="AE182" s="21" t="str">
        <f t="shared" si="12"/>
        <v/>
      </c>
      <c r="AF182" s="74"/>
      <c r="AG182" s="57"/>
      <c r="AH182" s="57"/>
      <c r="AI182" s="58"/>
      <c r="AJ182" s="20"/>
      <c r="AK182" s="2" t="e">
        <f>#REF!</f>
        <v>#REF!</v>
      </c>
      <c r="AL182" s="2" t="e">
        <f>#REF!</f>
        <v>#REF!</v>
      </c>
      <c r="AM182" s="2" t="e">
        <f>#REF!</f>
        <v>#REF!</v>
      </c>
      <c r="AN182" s="2" t="e">
        <f>#REF!</f>
        <v>#REF!</v>
      </c>
      <c r="AO182" s="2" t="e">
        <f>#REF!</f>
        <v>#REF!</v>
      </c>
      <c r="AP182" s="2" t="e">
        <f>#REF!</f>
        <v>#REF!</v>
      </c>
      <c r="AQ182" s="2" t="e">
        <f>#REF!</f>
        <v>#REF!</v>
      </c>
      <c r="AR182" s="2" t="e">
        <f>#REF!</f>
        <v>#REF!</v>
      </c>
      <c r="AS182" s="2" t="e">
        <f>#REF!</f>
        <v>#REF!</v>
      </c>
      <c r="AT182" s="2" t="e">
        <f>#REF!</f>
        <v>#REF!</v>
      </c>
      <c r="AU182" s="2" t="e">
        <f>#REF!</f>
        <v>#REF!</v>
      </c>
      <c r="AV182" s="2" t="e">
        <f>#REF!</f>
        <v>#REF!</v>
      </c>
      <c r="AW182" s="2" t="e">
        <f>#REF!</f>
        <v>#REF!</v>
      </c>
      <c r="AX182" s="2" t="e">
        <f>#REF!</f>
        <v>#REF!</v>
      </c>
      <c r="AY182" s="2" t="e">
        <f>#REF!</f>
        <v>#REF!</v>
      </c>
      <c r="AZ182" s="2" t="e">
        <f>#REF!</f>
        <v>#REF!</v>
      </c>
      <c r="BA182" s="2" t="e">
        <f>#REF!</f>
        <v>#REF!</v>
      </c>
      <c r="BB182" s="2" t="e">
        <f>#REF!</f>
        <v>#REF!</v>
      </c>
      <c r="BC182" s="2" t="e">
        <f>#REF!</f>
        <v>#REF!</v>
      </c>
      <c r="BD182" s="2" t="e">
        <f>#REF!</f>
        <v>#REF!</v>
      </c>
      <c r="BE182" s="2" t="e">
        <f>#REF!</f>
        <v>#REF!</v>
      </c>
      <c r="BF182" s="2" t="e">
        <f>#REF!</f>
        <v>#REF!</v>
      </c>
      <c r="BG182" s="2" t="e">
        <f>#REF!</f>
        <v>#REF!</v>
      </c>
      <c r="BH182" s="2" t="e">
        <f>#REF!</f>
        <v>#REF!</v>
      </c>
      <c r="BI182" s="2" t="e">
        <f>#REF!</f>
        <v>#REF!</v>
      </c>
      <c r="BJ182" s="2" t="e">
        <f>#REF!</f>
        <v>#REF!</v>
      </c>
      <c r="BK182" s="2" t="e">
        <f>#REF!</f>
        <v>#REF!</v>
      </c>
      <c r="BL182" s="2" t="e">
        <f>#REF!</f>
        <v>#REF!</v>
      </c>
      <c r="BM182" s="2" t="e">
        <f>#REF!</f>
        <v>#REF!</v>
      </c>
      <c r="BN182" s="2" t="e">
        <f>#REF!</f>
        <v>#REF!</v>
      </c>
      <c r="BO182" s="2" t="e">
        <f>#REF!</f>
        <v>#REF!</v>
      </c>
      <c r="BP182" s="2" t="e">
        <f>#REF!</f>
        <v>#REF!</v>
      </c>
      <c r="BR182" s="110" t="str">
        <f t="shared" si="28"/>
        <v>73-2</v>
      </c>
      <c r="BS182" s="112">
        <f>OOC!G182</f>
        <v>0.81</v>
      </c>
      <c r="BT182" s="112">
        <f>OOC!H182</f>
        <v>0.77</v>
      </c>
      <c r="BU182" s="3" t="e">
        <f t="shared" si="29"/>
        <v>#REF!</v>
      </c>
      <c r="BV182" s="3" t="e">
        <f t="shared" si="30"/>
        <v>#REF!</v>
      </c>
      <c r="BW182" s="3" t="e">
        <f t="shared" si="31"/>
        <v>#REF!</v>
      </c>
      <c r="BX182" s="109" t="e">
        <f>IF(AND(IF(OOC!G182="",0,OOC!G182) &gt;= IF(O182="",0,O182), IF(O182="",0,O182) &gt; IF(L182="",0,L182)), "OOC",
IF(AND(IF(M182="",0,M182) &gt; IF(P182="",0,P182), IF(P182="",0,P182) &gt;= IF(OOC!H182="",0,OOC!H182)), "OOC",
IF(IF(O182="",0,O182) &gt; IF(OOC!G182="",0,OOC!G182), "OOS",
IF(IF(OOC!H182="",0,OOC!H182) &gt; IF(P182="",0,P182), "OOS", "OK"))))</f>
        <v>#REF!</v>
      </c>
    </row>
    <row r="183" spans="1:76" ht="15" customHeight="1">
      <c r="A183" s="18">
        <v>19</v>
      </c>
      <c r="B183" s="84" t="s">
        <v>171</v>
      </c>
      <c r="C183" s="88" t="s">
        <v>139</v>
      </c>
      <c r="D183" s="22" t="s">
        <v>60</v>
      </c>
      <c r="E183" s="86">
        <v>1.33</v>
      </c>
      <c r="F183" s="13" t="s">
        <v>28</v>
      </c>
      <c r="G183" s="14">
        <v>0.79</v>
      </c>
      <c r="H183" s="82" t="str">
        <f>IF(OOC!S183=0,"",OOC!S183)</f>
        <v/>
      </c>
      <c r="I183" s="82" t="str">
        <f>IF(OOC!T183=0,"",OOC!T183)</f>
        <v/>
      </c>
      <c r="J183" s="16" t="s">
        <v>12</v>
      </c>
      <c r="K183" s="73" t="s">
        <v>52</v>
      </c>
      <c r="L183" s="19" t="e">
        <f t="shared" si="0"/>
        <v>#VALUE!</v>
      </c>
      <c r="M183" s="25" t="e">
        <f t="shared" si="1"/>
        <v>#VALUE!</v>
      </c>
      <c r="N183" s="29"/>
      <c r="O183" s="3" t="e">
        <f t="shared" si="32"/>
        <v>#REF!</v>
      </c>
      <c r="P183" s="3" t="e">
        <f t="shared" si="33"/>
        <v>#REF!</v>
      </c>
      <c r="Q183" s="3" t="e">
        <f t="shared" si="34"/>
        <v>#REF!</v>
      </c>
      <c r="R183" s="4" t="e">
        <f t="shared" si="35"/>
        <v>#REF!</v>
      </c>
      <c r="S183" s="5" t="e">
        <f t="shared" si="27"/>
        <v>#REF!</v>
      </c>
      <c r="T183" s="76" t="e">
        <f t="shared" si="26"/>
        <v>#REF!</v>
      </c>
      <c r="U183" s="76" t="e">
        <f t="shared" si="3"/>
        <v>#REF!</v>
      </c>
      <c r="V183" s="5" t="e">
        <f t="shared" si="22"/>
        <v>#REF!</v>
      </c>
      <c r="W183" s="5" t="e">
        <f t="shared" si="23"/>
        <v>#REF!</v>
      </c>
      <c r="X183" s="5" t="e">
        <f t="shared" si="24"/>
        <v>#REF!</v>
      </c>
      <c r="Y183" s="70" t="e">
        <f t="shared" si="25"/>
        <v>#REF!</v>
      </c>
      <c r="Z183" s="32" t="e">
        <f t="shared" si="36"/>
        <v>#REF!</v>
      </c>
      <c r="AA183" s="32" t="e">
        <f t="shared" si="37"/>
        <v>#REF!</v>
      </c>
      <c r="AB183" s="32" t="e">
        <f t="shared" si="38"/>
        <v>#REF!</v>
      </c>
      <c r="AC183" s="32" t="e">
        <f t="shared" si="11"/>
        <v>#REF!</v>
      </c>
      <c r="AD183" s="30"/>
      <c r="AE183" s="21" t="str">
        <f t="shared" si="12"/>
        <v/>
      </c>
      <c r="AF183" s="74"/>
      <c r="AG183" s="57"/>
      <c r="AH183" s="57"/>
      <c r="AI183" s="58"/>
      <c r="AJ183" s="20"/>
      <c r="AK183" s="2" t="e">
        <f>#REF!</f>
        <v>#REF!</v>
      </c>
      <c r="AL183" s="2" t="e">
        <f>#REF!</f>
        <v>#REF!</v>
      </c>
      <c r="AM183" s="2" t="e">
        <f>#REF!</f>
        <v>#REF!</v>
      </c>
      <c r="AN183" s="2" t="e">
        <f>#REF!</f>
        <v>#REF!</v>
      </c>
      <c r="AO183" s="2" t="e">
        <f>#REF!</f>
        <v>#REF!</v>
      </c>
      <c r="AP183" s="2" t="e">
        <f>#REF!</f>
        <v>#REF!</v>
      </c>
      <c r="AQ183" s="2" t="e">
        <f>#REF!</f>
        <v>#REF!</v>
      </c>
      <c r="AR183" s="2" t="e">
        <f>#REF!</f>
        <v>#REF!</v>
      </c>
      <c r="AS183" s="2" t="e">
        <f>#REF!</f>
        <v>#REF!</v>
      </c>
      <c r="AT183" s="2" t="e">
        <f>#REF!</f>
        <v>#REF!</v>
      </c>
      <c r="AU183" s="2" t="e">
        <f>#REF!</f>
        <v>#REF!</v>
      </c>
      <c r="AV183" s="2" t="e">
        <f>#REF!</f>
        <v>#REF!</v>
      </c>
      <c r="AW183" s="2" t="e">
        <f>#REF!</f>
        <v>#REF!</v>
      </c>
      <c r="AX183" s="2" t="e">
        <f>#REF!</f>
        <v>#REF!</v>
      </c>
      <c r="AY183" s="2" t="e">
        <f>#REF!</f>
        <v>#REF!</v>
      </c>
      <c r="AZ183" s="2" t="e">
        <f>#REF!</f>
        <v>#REF!</v>
      </c>
      <c r="BA183" s="2" t="e">
        <f>#REF!</f>
        <v>#REF!</v>
      </c>
      <c r="BB183" s="2" t="e">
        <f>#REF!</f>
        <v>#REF!</v>
      </c>
      <c r="BC183" s="2" t="e">
        <f>#REF!</f>
        <v>#REF!</v>
      </c>
      <c r="BD183" s="2" t="e">
        <f>#REF!</f>
        <v>#REF!</v>
      </c>
      <c r="BE183" s="2" t="e">
        <f>#REF!</f>
        <v>#REF!</v>
      </c>
      <c r="BF183" s="2" t="e">
        <f>#REF!</f>
        <v>#REF!</v>
      </c>
      <c r="BG183" s="2" t="e">
        <f>#REF!</f>
        <v>#REF!</v>
      </c>
      <c r="BH183" s="2" t="e">
        <f>#REF!</f>
        <v>#REF!</v>
      </c>
      <c r="BI183" s="2" t="e">
        <f>#REF!</f>
        <v>#REF!</v>
      </c>
      <c r="BJ183" s="2" t="e">
        <f>#REF!</f>
        <v>#REF!</v>
      </c>
      <c r="BK183" s="2" t="e">
        <f>#REF!</f>
        <v>#REF!</v>
      </c>
      <c r="BL183" s="2" t="e">
        <f>#REF!</f>
        <v>#REF!</v>
      </c>
      <c r="BM183" s="2" t="e">
        <f>#REF!</f>
        <v>#REF!</v>
      </c>
      <c r="BN183" s="2" t="e">
        <f>#REF!</f>
        <v>#REF!</v>
      </c>
      <c r="BO183" s="2" t="e">
        <f>#REF!</f>
        <v>#REF!</v>
      </c>
      <c r="BP183" s="2" t="e">
        <f>#REF!</f>
        <v>#REF!</v>
      </c>
      <c r="BR183" s="110" t="str">
        <f t="shared" si="28"/>
        <v>73-3</v>
      </c>
      <c r="BS183" s="112">
        <f>OOC!G183</f>
        <v>0.81</v>
      </c>
      <c r="BT183" s="112">
        <f>OOC!H183</f>
        <v>0.77</v>
      </c>
      <c r="BU183" s="3" t="e">
        <f t="shared" si="29"/>
        <v>#REF!</v>
      </c>
      <c r="BV183" s="3" t="e">
        <f t="shared" si="30"/>
        <v>#REF!</v>
      </c>
      <c r="BW183" s="3" t="e">
        <f t="shared" si="31"/>
        <v>#REF!</v>
      </c>
      <c r="BX183" s="109" t="e">
        <f>IF(AND(IF(OOC!G183="",0,OOC!G183) &gt;= IF(O183="",0,O183), IF(O183="",0,O183) &gt; IF(L183="",0,L183)), "OOC",
IF(AND(IF(M183="",0,M183) &gt; IF(P183="",0,P183), IF(P183="",0,P183) &gt;= IF(OOC!H183="",0,OOC!H183)), "OOC",
IF(IF(O183="",0,O183) &gt; IF(OOC!G183="",0,OOC!G183), "OOS",
IF(IF(OOC!H183="",0,OOC!H183) &gt; IF(P183="",0,P183), "OOS", "OK"))))</f>
        <v>#REF!</v>
      </c>
    </row>
    <row r="184" spans="1:76" ht="15" customHeight="1">
      <c r="A184" s="18"/>
      <c r="B184" s="84"/>
      <c r="C184" s="88">
        <v>74</v>
      </c>
      <c r="D184" s="22" t="s">
        <v>207</v>
      </c>
      <c r="E184" s="86"/>
      <c r="F184" s="13" t="s">
        <v>28</v>
      </c>
      <c r="G184" s="14">
        <v>0</v>
      </c>
      <c r="H184" s="82" t="str">
        <f>IF(OOC!S184=0,"",OOC!S184)</f>
        <v/>
      </c>
      <c r="I184" s="82" t="str">
        <f>IF(OOC!T184=0,"",OOC!T184)</f>
        <v/>
      </c>
      <c r="J184" s="16" t="s">
        <v>12</v>
      </c>
      <c r="K184" s="73" t="s">
        <v>52</v>
      </c>
      <c r="L184" s="19" t="e">
        <f>IF(AND(G184="",H184=""),"",IF(G184="",H184,G184+H184))</f>
        <v>#VALUE!</v>
      </c>
      <c r="M184" s="25" t="e">
        <f>IF(AND(G184="",I184=""),"",IF(G184="",I184,G184+I184))</f>
        <v>#VALUE!</v>
      </c>
      <c r="N184" s="28"/>
      <c r="O184" s="3" t="e">
        <f>IF(OR($AK184="",ISNUMBER($AK184)=FALSE),"",MAX(AK184:BP184))</f>
        <v>#REF!</v>
      </c>
      <c r="P184" s="3" t="e">
        <f>IF(OR($AK184="",ISNUMBER($AK184)=FALSE),"",MIN(AK184:BP184))</f>
        <v>#REF!</v>
      </c>
      <c r="Q184" s="3" t="e">
        <f>IF(OR($AK184="",ISNUMBER($AK184)=FALSE),"",AVERAGE(AK184:BP184))</f>
        <v>#REF!</v>
      </c>
      <c r="R184" s="4" t="e">
        <f>IF(OR($AK184="",ISNUMBER($AK184)=FALSE),"",STDEV(AK184:BP184))</f>
        <v>#REF!</v>
      </c>
      <c r="S184" s="5" t="e">
        <f>IF(OR($AK184="",ISNUMBER($AK184)=FALSE),"",IF(AND(G184=0,I184=""),V184,IF(AND(G184="",H184=""),W184,(H184+ABS(I184))/(6*R184))))</f>
        <v>#REF!</v>
      </c>
      <c r="T184" s="76" t="e">
        <f>IF(OR($AK184="",ISNUMBER($AK184)=FALSE),"",IF(AND($F184="Tolerance",$G184&lt;&gt;""),($Q184-$G184)/(($L184-$M184)/2),IF(AND($F184="GD&amp;T",$H184&lt;&gt;""),$Q184/$H184,"")))</f>
        <v>#REF!</v>
      </c>
      <c r="U184" s="76" t="e">
        <f>IF($T184="","",IF(ABS($T184)&lt;=0.125, "Level A",IF(AND(ABS($T184)&gt;0.125,ABS($T184)&lt;=0.25), "Level B",IF(AND(ABS($T184)&gt;0.25,ABS($T184)&lt;=0.5), "Level C", IF(ABS($T184)&gt;0.5, "Level D")))))</f>
        <v>#REF!</v>
      </c>
      <c r="V184" s="5" t="e">
        <f>IF(OR($AK184="",ISNUMBER($AK184)=FALSE),"",IF(H184="","",(L184-Q184)/(3*R184)))</f>
        <v>#REF!</v>
      </c>
      <c r="W184" s="5" t="e">
        <f>IF(OR($AK184="",ISNUMBER($AK184)=FALSE),"",IF(I184="","",(Q184-M184)/(3*R184)))</f>
        <v>#REF!</v>
      </c>
      <c r="X184" s="5" t="e">
        <f>IF(OR($AK184="",ISNUMBER($AK184)=FALSE),"",IF(AND(G184=0,I184=0),((H184)-(Q184))/(3*R184),MIN(V184:W184)))</f>
        <v>#REF!</v>
      </c>
      <c r="Y184" s="70" t="e">
        <f>IF(OR($AK184="",ISNUMBER($AK184)=FALSE),"",IF(AND(G184=0,I184=0),NORMSDIST(3*X184),NORMSDIST(3*X184)+NORMSDIST(6*S184-3*X184)-1))</f>
        <v>#REF!</v>
      </c>
      <c r="Z184" s="32"/>
      <c r="AA184" s="32"/>
      <c r="AB184" s="32"/>
      <c r="AC184" s="32"/>
      <c r="AD184" s="30"/>
      <c r="AE184" s="21"/>
      <c r="AF184" s="74"/>
      <c r="AG184" s="57"/>
      <c r="AH184" s="57"/>
      <c r="AI184" s="58"/>
      <c r="AJ184" s="23"/>
      <c r="AK184" s="2" t="e">
        <f>#REF!</f>
        <v>#REF!</v>
      </c>
      <c r="AL184" s="2" t="e">
        <f>#REF!</f>
        <v>#REF!</v>
      </c>
      <c r="AM184" s="2" t="e">
        <f>#REF!</f>
        <v>#REF!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0">
        <f>IF(ISNUMBER(SEARCH("(DC)", B184)), C184 &amp; B184, C184)</f>
        <v>74</v>
      </c>
      <c r="BS184" s="112">
        <f>OOC!G184</f>
        <v>3</v>
      </c>
      <c r="BT184" s="112">
        <f>OOC!H184</f>
        <v>-3</v>
      </c>
      <c r="BU184" s="3" t="e">
        <f>IF(OR($AK184="",ISNUMBER($AK184)=FALSE),"",MAX(AK184:BP184))</f>
        <v>#REF!</v>
      </c>
      <c r="BV184" s="3" t="e">
        <f>IF(OR($AK184="",ISNUMBER($AK184)=FALSE),"",MIN(AK184:BP184))</f>
        <v>#REF!</v>
      </c>
      <c r="BW184" s="3" t="e">
        <f>IF(OR($AK184="",ISNUMBER($AK184)=FALSE),"",AVERAGE(AK184:BP184))</f>
        <v>#REF!</v>
      </c>
      <c r="BX184" s="109" t="e">
        <f>IF(AND(IF(OOC!G184="",0,OOC!G184) &gt;= IF(O184="",0,O184), IF(O184="",0,O184) &gt; IF(L184="",0,L184)), "OOC",
IF(AND(IF(M184="",0,M184) &gt; IF(P184="",0,P184), IF(P184="",0,P184) &gt;= IF(OOC!H184="",0,OOC!H184)), "OOC",
IF(IF(O184="",0,O184) &gt; IF(OOC!G184="",0,OOC!G184), "OOS",
IF(IF(OOC!H184="",0,OOC!H184) &gt; IF(P184="",0,P184), "OOS", "OK"))))</f>
        <v>#REF!</v>
      </c>
    </row>
    <row r="185" spans="1:76" ht="15" customHeight="1">
      <c r="A185" s="18"/>
      <c r="B185" s="84"/>
      <c r="C185" s="88"/>
      <c r="D185" s="22"/>
      <c r="E185" s="86"/>
      <c r="F185" s="13"/>
      <c r="G185" s="14"/>
      <c r="H185" s="82"/>
      <c r="I185" s="82"/>
      <c r="J185" s="16"/>
      <c r="K185" s="73"/>
      <c r="L185" s="19"/>
      <c r="M185" s="25"/>
      <c r="N185" s="29"/>
      <c r="O185" s="3"/>
      <c r="P185" s="3"/>
      <c r="Q185" s="3"/>
      <c r="R185" s="4"/>
      <c r="S185" s="5"/>
      <c r="T185" s="76"/>
      <c r="U185" s="76"/>
      <c r="V185" s="5"/>
      <c r="W185" s="5"/>
      <c r="X185" s="5"/>
      <c r="Y185" s="70"/>
      <c r="Z185" s="32"/>
      <c r="AA185" s="32"/>
      <c r="AB185" s="32"/>
      <c r="AC185" s="32"/>
      <c r="AD185" s="30"/>
      <c r="AE185" s="21"/>
      <c r="AF185" s="74"/>
      <c r="AG185" s="57"/>
      <c r="AH185" s="57"/>
      <c r="AI185" s="58"/>
      <c r="AJ185" s="20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0"/>
      <c r="BS185" s="112"/>
      <c r="BT185" s="112"/>
      <c r="BU185" s="3"/>
      <c r="BV185" s="3"/>
      <c r="BW185" s="3"/>
      <c r="BX185" s="109"/>
    </row>
    <row r="186" spans="1:76" ht="15" customHeight="1">
      <c r="A186" s="18"/>
      <c r="B186" s="84"/>
      <c r="C186" s="88"/>
      <c r="D186" s="22"/>
      <c r="E186" s="86"/>
      <c r="F186" s="13"/>
      <c r="G186" s="14"/>
      <c r="H186" s="82"/>
      <c r="I186" s="82"/>
      <c r="J186" s="16"/>
      <c r="K186" s="73"/>
      <c r="L186" s="19"/>
      <c r="M186" s="25"/>
      <c r="N186" s="29"/>
      <c r="O186" s="3"/>
      <c r="P186" s="3"/>
      <c r="Q186" s="3"/>
      <c r="R186" s="4"/>
      <c r="S186" s="5"/>
      <c r="T186" s="76"/>
      <c r="U186" s="76"/>
      <c r="V186" s="5"/>
      <c r="W186" s="5"/>
      <c r="X186" s="5"/>
      <c r="Y186" s="70"/>
      <c r="Z186" s="32"/>
      <c r="AA186" s="32"/>
      <c r="AB186" s="32"/>
      <c r="AC186" s="32"/>
      <c r="AD186" s="30"/>
      <c r="AE186" s="21"/>
      <c r="AF186" s="74"/>
      <c r="AG186" s="57"/>
      <c r="AH186" s="57"/>
      <c r="AI186" s="58"/>
      <c r="AJ186" s="20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0"/>
      <c r="BS186" s="112"/>
      <c r="BT186" s="112"/>
      <c r="BU186" s="3"/>
      <c r="BV186" s="3"/>
      <c r="BW186" s="3"/>
      <c r="BX186" s="109"/>
    </row>
    <row r="187" spans="1:76" ht="15" customHeight="1">
      <c r="A187" s="18"/>
      <c r="B187" s="84"/>
      <c r="C187" s="88"/>
      <c r="D187" s="22"/>
      <c r="E187" s="86"/>
      <c r="F187" s="13"/>
      <c r="G187" s="14"/>
      <c r="H187" s="82"/>
      <c r="I187" s="82"/>
      <c r="J187" s="16"/>
      <c r="K187" s="73"/>
      <c r="L187" s="19"/>
      <c r="M187" s="25"/>
      <c r="N187" s="29"/>
      <c r="O187" s="3"/>
      <c r="P187" s="3"/>
      <c r="Q187" s="3"/>
      <c r="R187" s="4"/>
      <c r="S187" s="5"/>
      <c r="T187" s="76"/>
      <c r="U187" s="76"/>
      <c r="V187" s="5"/>
      <c r="W187" s="5"/>
      <c r="X187" s="5"/>
      <c r="Y187" s="70"/>
      <c r="Z187" s="32"/>
      <c r="AA187" s="32"/>
      <c r="AB187" s="32"/>
      <c r="AC187" s="32"/>
      <c r="AD187" s="30"/>
      <c r="AE187" s="21"/>
      <c r="AF187" s="74"/>
      <c r="AG187" s="57"/>
      <c r="AH187" s="57"/>
      <c r="AI187" s="58"/>
      <c r="AJ187" s="20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0"/>
      <c r="BS187" s="112"/>
      <c r="BT187" s="112"/>
      <c r="BU187" s="3"/>
      <c r="BV187" s="3"/>
      <c r="BW187" s="3"/>
      <c r="BX187" s="109"/>
    </row>
    <row r="188" spans="1:76" ht="15" customHeight="1">
      <c r="A188" s="18"/>
      <c r="B188" s="84"/>
      <c r="C188" s="88"/>
      <c r="D188" s="22"/>
      <c r="E188" s="86"/>
      <c r="F188" s="13"/>
      <c r="G188" s="14"/>
      <c r="H188" s="82"/>
      <c r="I188" s="82"/>
      <c r="J188" s="16"/>
      <c r="K188" s="73"/>
      <c r="L188" s="19"/>
      <c r="M188" s="25"/>
      <c r="N188" s="29"/>
      <c r="O188" s="3"/>
      <c r="P188" s="3"/>
      <c r="Q188" s="3"/>
      <c r="R188" s="4"/>
      <c r="S188" s="5"/>
      <c r="T188" s="76"/>
      <c r="U188" s="76"/>
      <c r="V188" s="5"/>
      <c r="W188" s="5"/>
      <c r="X188" s="5"/>
      <c r="Y188" s="70"/>
      <c r="Z188" s="32"/>
      <c r="AA188" s="32"/>
      <c r="AB188" s="32"/>
      <c r="AC188" s="32"/>
      <c r="AD188" s="30"/>
      <c r="AE188" s="21"/>
      <c r="AF188" s="74"/>
      <c r="AG188" s="57"/>
      <c r="AH188" s="57"/>
      <c r="AI188" s="58"/>
      <c r="AJ188" s="20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0"/>
      <c r="BS188" s="112"/>
      <c r="BT188" s="112"/>
      <c r="BU188" s="3"/>
      <c r="BV188" s="3"/>
      <c r="BW188" s="3"/>
      <c r="BX188" s="109"/>
    </row>
    <row r="189" spans="1:76" ht="15" customHeight="1">
      <c r="A189" s="18"/>
      <c r="B189" s="84"/>
      <c r="C189" s="88"/>
      <c r="D189" s="22"/>
      <c r="E189" s="86"/>
      <c r="F189" s="13"/>
      <c r="G189" s="14"/>
      <c r="H189" s="82"/>
      <c r="I189" s="82"/>
      <c r="J189" s="16"/>
      <c r="K189" s="73"/>
      <c r="L189" s="19"/>
      <c r="M189" s="25"/>
      <c r="N189" s="29"/>
      <c r="O189" s="3"/>
      <c r="P189" s="3"/>
      <c r="Q189" s="3"/>
      <c r="R189" s="4"/>
      <c r="S189" s="5"/>
      <c r="T189" s="76"/>
      <c r="U189" s="76"/>
      <c r="V189" s="5"/>
      <c r="W189" s="5"/>
      <c r="X189" s="5"/>
      <c r="Y189" s="70"/>
      <c r="Z189" s="32"/>
      <c r="AA189" s="32"/>
      <c r="AB189" s="32"/>
      <c r="AC189" s="32"/>
      <c r="AD189" s="30"/>
      <c r="AE189" s="21"/>
      <c r="AF189" s="74"/>
      <c r="AG189" s="57"/>
      <c r="AH189" s="57"/>
      <c r="AI189" s="58"/>
      <c r="AJ189" s="20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0"/>
      <c r="BS189" s="112"/>
      <c r="BT189" s="112"/>
      <c r="BU189" s="3"/>
      <c r="BV189" s="3"/>
      <c r="BW189" s="3"/>
      <c r="BX189" s="109"/>
    </row>
    <row r="190" spans="1:76" ht="15" customHeight="1">
      <c r="A190" s="18"/>
      <c r="B190" s="84"/>
      <c r="C190" s="88"/>
      <c r="D190" s="22"/>
      <c r="E190" s="86"/>
      <c r="F190" s="13"/>
      <c r="G190" s="14"/>
      <c r="H190" s="82"/>
      <c r="I190" s="82"/>
      <c r="J190" s="16"/>
      <c r="K190" s="73"/>
      <c r="L190" s="19"/>
      <c r="M190" s="25"/>
      <c r="N190" s="29"/>
      <c r="O190" s="3"/>
      <c r="P190" s="3"/>
      <c r="Q190" s="3"/>
      <c r="R190" s="4"/>
      <c r="S190" s="5"/>
      <c r="T190" s="76"/>
      <c r="U190" s="76"/>
      <c r="V190" s="5"/>
      <c r="W190" s="5"/>
      <c r="X190" s="5"/>
      <c r="Y190" s="70"/>
      <c r="Z190" s="32"/>
      <c r="AA190" s="32"/>
      <c r="AB190" s="32"/>
      <c r="AC190" s="32"/>
      <c r="AD190" s="30"/>
      <c r="AE190" s="21"/>
      <c r="AF190" s="74"/>
      <c r="AG190" s="57"/>
      <c r="AH190" s="57"/>
      <c r="AI190" s="58"/>
      <c r="AJ190" s="20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R190" s="110"/>
      <c r="BS190" s="112"/>
      <c r="BT190" s="112"/>
      <c r="BU190" s="3"/>
      <c r="BV190" s="3"/>
      <c r="BW190" s="3"/>
      <c r="BX190" s="109"/>
    </row>
    <row r="191" spans="1:76" ht="15" customHeight="1">
      <c r="A191" s="18">
        <v>24</v>
      </c>
      <c r="B191" s="84"/>
      <c r="C191" s="91" t="s">
        <v>205</v>
      </c>
      <c r="D191" s="22" t="s">
        <v>60</v>
      </c>
      <c r="E191" s="86"/>
      <c r="F191" s="13" t="s">
        <v>28</v>
      </c>
      <c r="G191" s="14">
        <v>12.99</v>
      </c>
      <c r="H191" s="82" t="str">
        <f>IF(OOC!S191=0,"",OOC!S191)</f>
        <v/>
      </c>
      <c r="I191" s="82" t="str">
        <f>IF(OOC!T191=0,"",OOC!T191)</f>
        <v/>
      </c>
      <c r="J191" s="16" t="s">
        <v>12</v>
      </c>
      <c r="K191" s="73" t="s">
        <v>52</v>
      </c>
      <c r="L191" s="19" t="e">
        <f t="shared" si="0"/>
        <v>#VALUE!</v>
      </c>
      <c r="M191" s="25" t="e">
        <f t="shared" si="1"/>
        <v>#VALUE!</v>
      </c>
      <c r="N191" s="29"/>
      <c r="O191" s="3" t="e">
        <f t="shared" si="32"/>
        <v>#REF!</v>
      </c>
      <c r="P191" s="3" t="e">
        <f t="shared" si="33"/>
        <v>#REF!</v>
      </c>
      <c r="Q191" s="3" t="e">
        <f t="shared" si="34"/>
        <v>#REF!</v>
      </c>
      <c r="R191" s="4" t="e">
        <f t="shared" si="35"/>
        <v>#REF!</v>
      </c>
      <c r="S191" s="5" t="e">
        <f t="shared" si="27"/>
        <v>#REF!</v>
      </c>
      <c r="T191" s="76" t="e">
        <f t="shared" si="26"/>
        <v>#REF!</v>
      </c>
      <c r="U191" s="76" t="e">
        <f t="shared" si="3"/>
        <v>#REF!</v>
      </c>
      <c r="V191" s="5" t="e">
        <f t="shared" si="22"/>
        <v>#REF!</v>
      </c>
      <c r="W191" s="5" t="e">
        <f t="shared" si="23"/>
        <v>#REF!</v>
      </c>
      <c r="X191" s="5" t="e">
        <f t="shared" si="24"/>
        <v>#REF!</v>
      </c>
      <c r="Y191" s="70" t="e">
        <f t="shared" si="25"/>
        <v>#REF!</v>
      </c>
      <c r="Z191" s="32" t="e">
        <f t="shared" si="36"/>
        <v>#REF!</v>
      </c>
      <c r="AA191" s="32" t="e">
        <f t="shared" si="37"/>
        <v>#REF!</v>
      </c>
      <c r="AB191" s="32" t="e">
        <f t="shared" si="38"/>
        <v>#REF!</v>
      </c>
      <c r="AC191" s="32" t="e">
        <f t="shared" ref="AC191:AC242" si="39">IF(OR($S191&gt;$AC$9,$R191=""),"",$AC$9*6*$R191)</f>
        <v>#REF!</v>
      </c>
      <c r="AD191" s="30"/>
      <c r="AE191" s="21" t="str">
        <f t="shared" si="12"/>
        <v/>
      </c>
      <c r="AF191" s="74"/>
      <c r="AG191" s="57"/>
      <c r="AH191" s="57"/>
      <c r="AI191" s="58"/>
      <c r="AJ191" s="20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R191" s="110" t="str">
        <f t="shared" si="28"/>
        <v>80</v>
      </c>
      <c r="BS191" s="112">
        <f>OOC!G191</f>
        <v>13.02</v>
      </c>
      <c r="BT191" s="112">
        <f>OOC!H191</f>
        <v>12.96</v>
      </c>
      <c r="BU191" s="3" t="e">
        <f t="shared" si="29"/>
        <v>#REF!</v>
      </c>
      <c r="BV191" s="3" t="e">
        <f t="shared" si="30"/>
        <v>#REF!</v>
      </c>
      <c r="BW191" s="3" t="e">
        <f t="shared" si="31"/>
        <v>#REF!</v>
      </c>
      <c r="BX191" s="109" t="e">
        <f>IF(AND(IF(OOC!G191="",0,OOC!G191) &gt;= IF(O191="",0,O191), IF(O191="",0,O191) &gt; IF(L191="",0,L191)), "OOC",
IF(AND(IF(M191="",0,M191) &gt; IF(P191="",0,P191), IF(P191="",0,P191) &gt;= IF(OOC!H191="",0,OOC!H191)), "OOC",
IF(IF(O191="",0,O191) &gt; IF(OOC!G191="",0,OOC!G191), "OOS",
IF(IF(OOC!H191="",0,OOC!H191) &gt; IF(P191="",0,P191), "OOS", "OK"))))</f>
        <v>#REF!</v>
      </c>
    </row>
    <row r="192" spans="1:76" ht="15" customHeight="1">
      <c r="A192" s="18">
        <v>25</v>
      </c>
      <c r="B192" s="84"/>
      <c r="C192" s="89" t="s">
        <v>88</v>
      </c>
      <c r="D192" s="22" t="s">
        <v>60</v>
      </c>
      <c r="E192" s="86"/>
      <c r="F192" s="13" t="s">
        <v>28</v>
      </c>
      <c r="G192" s="14">
        <v>12.750999999999999</v>
      </c>
      <c r="H192" s="82" t="str">
        <f>IF(OOC!S192=0,"",OOC!S192)</f>
        <v/>
      </c>
      <c r="I192" s="82" t="str">
        <f>IF(OOC!T192=0,"",OOC!T192)</f>
        <v/>
      </c>
      <c r="J192" s="16" t="s">
        <v>12</v>
      </c>
      <c r="K192" s="73" t="s">
        <v>52</v>
      </c>
      <c r="L192" s="19" t="e">
        <f t="shared" si="0"/>
        <v>#VALUE!</v>
      </c>
      <c r="M192" s="25" t="e">
        <f t="shared" si="1"/>
        <v>#VALUE!</v>
      </c>
      <c r="N192" s="29"/>
      <c r="O192" s="3" t="e">
        <f t="shared" si="32"/>
        <v>#REF!</v>
      </c>
      <c r="P192" s="3" t="e">
        <f t="shared" si="33"/>
        <v>#REF!</v>
      </c>
      <c r="Q192" s="3" t="e">
        <f t="shared" si="34"/>
        <v>#REF!</v>
      </c>
      <c r="R192" s="4" t="e">
        <f t="shared" si="35"/>
        <v>#REF!</v>
      </c>
      <c r="S192" s="5" t="e">
        <f t="shared" si="27"/>
        <v>#REF!</v>
      </c>
      <c r="T192" s="76" t="e">
        <f t="shared" si="26"/>
        <v>#REF!</v>
      </c>
      <c r="U192" s="76" t="e">
        <f t="shared" si="3"/>
        <v>#REF!</v>
      </c>
      <c r="V192" s="5" t="e">
        <f t="shared" si="22"/>
        <v>#REF!</v>
      </c>
      <c r="W192" s="5" t="e">
        <f t="shared" si="23"/>
        <v>#REF!</v>
      </c>
      <c r="X192" s="5" t="e">
        <f t="shared" si="24"/>
        <v>#REF!</v>
      </c>
      <c r="Y192" s="70" t="e">
        <f t="shared" si="25"/>
        <v>#REF!</v>
      </c>
      <c r="Z192" s="32" t="e">
        <f t="shared" si="36"/>
        <v>#REF!</v>
      </c>
      <c r="AA192" s="32" t="e">
        <f t="shared" si="37"/>
        <v>#REF!</v>
      </c>
      <c r="AB192" s="32" t="e">
        <f t="shared" si="38"/>
        <v>#REF!</v>
      </c>
      <c r="AC192" s="32" t="e">
        <f t="shared" si="39"/>
        <v>#REF!</v>
      </c>
      <c r="AD192" s="30"/>
      <c r="AE192" s="21" t="str">
        <f t="shared" si="12"/>
        <v/>
      </c>
      <c r="AF192" s="74"/>
      <c r="AG192" s="57"/>
      <c r="AH192" s="57"/>
      <c r="AI192" s="58"/>
      <c r="AJ192" s="20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R192" s="110" t="str">
        <f t="shared" si="28"/>
        <v>81</v>
      </c>
      <c r="BS192" s="112">
        <f>OOC!G192</f>
        <v>12.780999999999999</v>
      </c>
      <c r="BT192" s="112">
        <f>OOC!H192</f>
        <v>12.721</v>
      </c>
      <c r="BU192" s="3" t="e">
        <f t="shared" si="29"/>
        <v>#REF!</v>
      </c>
      <c r="BV192" s="3" t="e">
        <f t="shared" si="30"/>
        <v>#REF!</v>
      </c>
      <c r="BW192" s="3" t="e">
        <f t="shared" si="31"/>
        <v>#REF!</v>
      </c>
      <c r="BX192" s="109" t="e">
        <f>IF(AND(IF(OOC!G192="",0,OOC!G192) &gt;= IF(O192="",0,O192), IF(O192="",0,O192) &gt; IF(L192="",0,L192)), "OOC",
IF(AND(IF(M192="",0,M192) &gt; IF(P192="",0,P192), IF(P192="",0,P192) &gt;= IF(OOC!H192="",0,OOC!H192)), "OOC",
IF(IF(O192="",0,O192) &gt; IF(OOC!G192="",0,OOC!G192), "OOS",
IF(IF(OOC!H192="",0,OOC!H192) &gt; IF(P192="",0,P192), "OOS", "OK"))))</f>
        <v>#REF!</v>
      </c>
    </row>
    <row r="193" spans="1:76" ht="15" customHeight="1">
      <c r="A193" s="18">
        <v>26</v>
      </c>
      <c r="B193" s="84"/>
      <c r="C193" s="89" t="s">
        <v>89</v>
      </c>
      <c r="D193" s="22" t="s">
        <v>60</v>
      </c>
      <c r="E193" s="86"/>
      <c r="F193" s="13" t="s">
        <v>28</v>
      </c>
      <c r="G193" s="14">
        <v>1.706</v>
      </c>
      <c r="H193" s="82" t="str">
        <f>IF(OOC!S193=0,"",OOC!S193)</f>
        <v/>
      </c>
      <c r="I193" s="82" t="str">
        <f>IF(OOC!T193=0,"",OOC!T193)</f>
        <v/>
      </c>
      <c r="J193" s="16" t="s">
        <v>12</v>
      </c>
      <c r="K193" s="73" t="s">
        <v>52</v>
      </c>
      <c r="L193" s="19" t="e">
        <f t="shared" si="0"/>
        <v>#VALUE!</v>
      </c>
      <c r="M193" s="25" t="e">
        <f t="shared" si="1"/>
        <v>#VALUE!</v>
      </c>
      <c r="N193" s="29"/>
      <c r="O193" s="3" t="e">
        <f t="shared" si="32"/>
        <v>#REF!</v>
      </c>
      <c r="P193" s="3" t="e">
        <f t="shared" si="33"/>
        <v>#REF!</v>
      </c>
      <c r="Q193" s="3" t="e">
        <f t="shared" si="34"/>
        <v>#REF!</v>
      </c>
      <c r="R193" s="4" t="e">
        <f t="shared" si="35"/>
        <v>#REF!</v>
      </c>
      <c r="S193" s="5" t="e">
        <f t="shared" si="27"/>
        <v>#REF!</v>
      </c>
      <c r="T193" s="76" t="e">
        <f t="shared" si="26"/>
        <v>#REF!</v>
      </c>
      <c r="U193" s="76" t="e">
        <f t="shared" si="3"/>
        <v>#REF!</v>
      </c>
      <c r="V193" s="5" t="e">
        <f t="shared" si="22"/>
        <v>#REF!</v>
      </c>
      <c r="W193" s="5" t="e">
        <f t="shared" si="23"/>
        <v>#REF!</v>
      </c>
      <c r="X193" s="5" t="e">
        <f t="shared" si="24"/>
        <v>#REF!</v>
      </c>
      <c r="Y193" s="70" t="e">
        <f t="shared" si="25"/>
        <v>#REF!</v>
      </c>
      <c r="Z193" s="32" t="e">
        <f t="shared" si="36"/>
        <v>#REF!</v>
      </c>
      <c r="AA193" s="32" t="e">
        <f t="shared" si="37"/>
        <v>#REF!</v>
      </c>
      <c r="AB193" s="32" t="e">
        <f t="shared" si="38"/>
        <v>#REF!</v>
      </c>
      <c r="AC193" s="32" t="e">
        <f t="shared" si="39"/>
        <v>#REF!</v>
      </c>
      <c r="AD193" s="30"/>
      <c r="AE193" s="21" t="str">
        <f t="shared" si="12"/>
        <v/>
      </c>
      <c r="AF193" s="74"/>
      <c r="AG193" s="57"/>
      <c r="AH193" s="57"/>
      <c r="AI193" s="58"/>
      <c r="AJ193" s="20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0" t="str">
        <f t="shared" si="28"/>
        <v>82</v>
      </c>
      <c r="BS193" s="112">
        <f>OOC!G193</f>
        <v>1.736</v>
      </c>
      <c r="BT193" s="112">
        <f>OOC!H193</f>
        <v>1.6759999999999999</v>
      </c>
      <c r="BU193" s="3" t="e">
        <f t="shared" si="29"/>
        <v>#REF!</v>
      </c>
      <c r="BV193" s="3" t="e">
        <f t="shared" si="30"/>
        <v>#REF!</v>
      </c>
      <c r="BW193" s="3" t="e">
        <f t="shared" si="31"/>
        <v>#REF!</v>
      </c>
      <c r="BX193" s="109" t="e">
        <f>IF(AND(IF(OOC!G193="",0,OOC!G193) &gt;= IF(O193="",0,O193), IF(O193="",0,O193) &gt; IF(L193="",0,L193)), "OOC",
IF(AND(IF(M193="",0,M193) &gt; IF(P193="",0,P193), IF(P193="",0,P193) &gt;= IF(OOC!H193="",0,OOC!H193)), "OOC",
IF(IF(O193="",0,O193) &gt; IF(OOC!G193="",0,OOC!G193), "OOS",
IF(IF(OOC!H193="",0,OOC!H193) &gt; IF(P193="",0,P193), "OOS", "OK"))))</f>
        <v>#REF!</v>
      </c>
    </row>
    <row r="194" spans="1:76" ht="15" customHeight="1">
      <c r="A194" s="18">
        <v>27</v>
      </c>
      <c r="B194" s="84"/>
      <c r="C194" s="89" t="s">
        <v>95</v>
      </c>
      <c r="D194" s="22" t="s">
        <v>324</v>
      </c>
      <c r="E194" s="86"/>
      <c r="F194" s="13" t="s">
        <v>27</v>
      </c>
      <c r="G194" s="14"/>
      <c r="H194" s="82" t="str">
        <f>IF(OOC!S194=0,"",OOC!S194)</f>
        <v/>
      </c>
      <c r="I194" s="82" t="str">
        <f>IF(OOC!T194=0,"",OOC!T194)</f>
        <v/>
      </c>
      <c r="J194" s="16" t="s">
        <v>12</v>
      </c>
      <c r="K194" s="73" t="s">
        <v>52</v>
      </c>
      <c r="L194" s="19" t="str">
        <f t="shared" ref="L194:L242" si="40">IF(AND(G194="",H194=""),"",IF(G194="",H194,G194+H194))</f>
        <v/>
      </c>
      <c r="M194" s="25" t="str">
        <f t="shared" ref="M194:M242" si="41">IF(AND(G194="",I194=""),"",IF(G194="",I194,G194+I194))</f>
        <v/>
      </c>
      <c r="N194" s="29"/>
      <c r="O194" s="3" t="e">
        <f t="shared" si="32"/>
        <v>#REF!</v>
      </c>
      <c r="P194" s="3" t="e">
        <f t="shared" si="33"/>
        <v>#REF!</v>
      </c>
      <c r="Q194" s="3" t="e">
        <f t="shared" si="34"/>
        <v>#REF!</v>
      </c>
      <c r="R194" s="4" t="e">
        <f t="shared" si="35"/>
        <v>#REF!</v>
      </c>
      <c r="S194" s="5" t="e">
        <f t="shared" si="27"/>
        <v>#REF!</v>
      </c>
      <c r="T194" s="76" t="e">
        <f t="shared" si="26"/>
        <v>#REF!</v>
      </c>
      <c r="U194" s="76" t="e">
        <f t="shared" ref="U194:U242" si="42">IF($T194="","",IF(ABS($T194)&lt;=0.125, "Level A",IF(AND(ABS($T194)&gt;0.125,ABS($T194)&lt;=0.25), "Level B",IF(AND(ABS($T194)&gt;0.25,ABS($T194)&lt;=0.5), "Level C", IF(ABS($T194)&gt;0.5, "Level D")))))</f>
        <v>#REF!</v>
      </c>
      <c r="V194" s="5" t="e">
        <f t="shared" si="22"/>
        <v>#REF!</v>
      </c>
      <c r="W194" s="5" t="e">
        <f t="shared" si="23"/>
        <v>#REF!</v>
      </c>
      <c r="X194" s="5" t="e">
        <f t="shared" si="24"/>
        <v>#REF!</v>
      </c>
      <c r="Y194" s="70" t="e">
        <f t="shared" si="25"/>
        <v>#REF!</v>
      </c>
      <c r="Z194" s="32" t="e">
        <f t="shared" si="36"/>
        <v>#REF!</v>
      </c>
      <c r="AA194" s="32" t="e">
        <f t="shared" si="37"/>
        <v>#REF!</v>
      </c>
      <c r="AB194" s="32" t="e">
        <f t="shared" si="38"/>
        <v>#REF!</v>
      </c>
      <c r="AC194" s="32" t="e">
        <f t="shared" si="39"/>
        <v>#REF!</v>
      </c>
      <c r="AD194" s="30"/>
      <c r="AE194" s="21" t="str">
        <f t="shared" ref="AE194:AE242" si="43">IF(AD194="","",IF(AD194&gt;=0.966,"Normal","Not Normal"))</f>
        <v/>
      </c>
      <c r="AF194" s="74"/>
      <c r="AG194" s="57"/>
      <c r="AH194" s="57"/>
      <c r="AI194" s="58"/>
      <c r="AJ194" s="20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0" t="str">
        <f t="shared" si="28"/>
        <v>83</v>
      </c>
      <c r="BS194" s="112">
        <f>OOC!G194</f>
        <v>0.03</v>
      </c>
      <c r="BT194" s="112" t="str">
        <f>OOC!H194</f>
        <v/>
      </c>
      <c r="BU194" s="3" t="e">
        <f t="shared" si="29"/>
        <v>#REF!</v>
      </c>
      <c r="BV194" s="3" t="e">
        <f t="shared" si="30"/>
        <v>#REF!</v>
      </c>
      <c r="BW194" s="3" t="e">
        <f t="shared" si="31"/>
        <v>#REF!</v>
      </c>
      <c r="BX194" s="109" t="e">
        <f>IF(AND(IF(OOC!G194="",0,OOC!G194) &gt;= IF(O194="",0,O194), IF(O194="",0,O194) &gt; IF(L194="",0,L194)), "OOC",
IF(AND(IF(M194="",0,M194) &gt; IF(P194="",0,P194), IF(P194="",0,P194) &gt;= IF(OOC!H194="",0,OOC!H194)), "OOC",
IF(IF(O194="",0,O194) &gt; IF(OOC!G194="",0,OOC!G194), "OOS",
IF(IF(OOC!H194="",0,OOC!H194) &gt; IF(P194="",0,P194), "OOS", "OK"))))</f>
        <v>#REF!</v>
      </c>
    </row>
    <row r="195" spans="1:76" ht="15" customHeight="1">
      <c r="A195" s="18">
        <v>28</v>
      </c>
      <c r="B195" s="84"/>
      <c r="C195" s="89" t="s">
        <v>96</v>
      </c>
      <c r="D195" s="22" t="s">
        <v>324</v>
      </c>
      <c r="E195" s="86"/>
      <c r="F195" s="13" t="s">
        <v>27</v>
      </c>
      <c r="G195" s="14"/>
      <c r="H195" s="82" t="str">
        <f>IF(OOC!S195=0,"",OOC!S195)</f>
        <v/>
      </c>
      <c r="I195" s="82" t="str">
        <f>IF(OOC!T195=0,"",OOC!T195)</f>
        <v/>
      </c>
      <c r="J195" s="16" t="s">
        <v>12</v>
      </c>
      <c r="K195" s="73" t="s">
        <v>52</v>
      </c>
      <c r="L195" s="19" t="str">
        <f t="shared" si="40"/>
        <v/>
      </c>
      <c r="M195" s="25" t="str">
        <f t="shared" si="41"/>
        <v/>
      </c>
      <c r="N195" s="29"/>
      <c r="O195" s="3" t="e">
        <f t="shared" si="32"/>
        <v>#REF!</v>
      </c>
      <c r="P195" s="3" t="e">
        <f t="shared" si="33"/>
        <v>#REF!</v>
      </c>
      <c r="Q195" s="3" t="e">
        <f t="shared" si="34"/>
        <v>#REF!</v>
      </c>
      <c r="R195" s="4" t="e">
        <f t="shared" si="35"/>
        <v>#REF!</v>
      </c>
      <c r="S195" s="5" t="e">
        <f t="shared" si="27"/>
        <v>#REF!</v>
      </c>
      <c r="T195" s="76" t="e">
        <f t="shared" si="26"/>
        <v>#REF!</v>
      </c>
      <c r="U195" s="76" t="e">
        <f t="shared" si="42"/>
        <v>#REF!</v>
      </c>
      <c r="V195" s="5" t="e">
        <f t="shared" si="22"/>
        <v>#REF!</v>
      </c>
      <c r="W195" s="5" t="e">
        <f t="shared" si="23"/>
        <v>#REF!</v>
      </c>
      <c r="X195" s="5" t="e">
        <f t="shared" si="24"/>
        <v>#REF!</v>
      </c>
      <c r="Y195" s="70" t="e">
        <f t="shared" si="25"/>
        <v>#REF!</v>
      </c>
      <c r="Z195" s="32" t="e">
        <f t="shared" si="36"/>
        <v>#REF!</v>
      </c>
      <c r="AA195" s="32" t="e">
        <f t="shared" si="37"/>
        <v>#REF!</v>
      </c>
      <c r="AB195" s="32" t="e">
        <f t="shared" si="38"/>
        <v>#REF!</v>
      </c>
      <c r="AC195" s="32" t="e">
        <f t="shared" si="39"/>
        <v>#REF!</v>
      </c>
      <c r="AD195" s="30"/>
      <c r="AE195" s="21" t="str">
        <f t="shared" si="43"/>
        <v/>
      </c>
      <c r="AF195" s="74"/>
      <c r="AG195" s="57"/>
      <c r="AH195" s="57"/>
      <c r="AI195" s="58"/>
      <c r="AJ195" s="20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R195" s="110" t="str">
        <f t="shared" si="28"/>
        <v>84</v>
      </c>
      <c r="BS195" s="112">
        <f>OOC!G195</f>
        <v>0.03</v>
      </c>
      <c r="BT195" s="112" t="str">
        <f>OOC!H195</f>
        <v/>
      </c>
      <c r="BU195" s="3" t="e">
        <f t="shared" si="29"/>
        <v>#REF!</v>
      </c>
      <c r="BV195" s="3" t="e">
        <f t="shared" si="30"/>
        <v>#REF!</v>
      </c>
      <c r="BW195" s="3" t="e">
        <f t="shared" si="31"/>
        <v>#REF!</v>
      </c>
      <c r="BX195" s="109" t="e">
        <f>IF(AND(IF(OOC!G195="",0,OOC!G195) &gt;= IF(O195="",0,O195), IF(O195="",0,O195) &gt; IF(L195="",0,L195)), "OOC",
IF(AND(IF(M195="",0,M195) &gt; IF(P195="",0,P195), IF(P195="",0,P195) &gt;= IF(OOC!H195="",0,OOC!H195)), "OOC",
IF(IF(O195="",0,O195) &gt; IF(OOC!G195="",0,OOC!G195), "OOS",
IF(IF(OOC!H195="",0,OOC!H195) &gt; IF(P195="",0,P195), "OOS", "OK"))))</f>
        <v>#REF!</v>
      </c>
    </row>
    <row r="196" spans="1:76" ht="15" customHeight="1">
      <c r="A196" s="18">
        <v>29</v>
      </c>
      <c r="B196" s="84"/>
      <c r="C196" s="90" t="s">
        <v>188</v>
      </c>
      <c r="D196" s="22" t="s">
        <v>60</v>
      </c>
      <c r="E196" s="86"/>
      <c r="F196" s="13" t="s">
        <v>28</v>
      </c>
      <c r="G196" s="14">
        <v>0</v>
      </c>
      <c r="H196" s="82" t="str">
        <f>IF(OOC!S196=0,"",OOC!S196)</f>
        <v/>
      </c>
      <c r="I196" s="82" t="str">
        <f>IF(OOC!T196=0,"",OOC!T196)</f>
        <v/>
      </c>
      <c r="J196" s="16" t="s">
        <v>12</v>
      </c>
      <c r="K196" s="73" t="s">
        <v>52</v>
      </c>
      <c r="L196" s="19" t="e">
        <f t="shared" si="40"/>
        <v>#VALUE!</v>
      </c>
      <c r="M196" s="25" t="e">
        <f t="shared" si="41"/>
        <v>#VALUE!</v>
      </c>
      <c r="N196" s="29"/>
      <c r="O196" s="3" t="e">
        <f t="shared" si="32"/>
        <v>#REF!</v>
      </c>
      <c r="P196" s="3" t="e">
        <f t="shared" si="33"/>
        <v>#REF!</v>
      </c>
      <c r="Q196" s="3" t="e">
        <f t="shared" si="34"/>
        <v>#REF!</v>
      </c>
      <c r="R196" s="4" t="e">
        <f t="shared" si="35"/>
        <v>#REF!</v>
      </c>
      <c r="S196" s="5" t="e">
        <f t="shared" si="27"/>
        <v>#REF!</v>
      </c>
      <c r="T196" s="76" t="e">
        <f t="shared" si="26"/>
        <v>#REF!</v>
      </c>
      <c r="U196" s="76" t="e">
        <f t="shared" si="42"/>
        <v>#REF!</v>
      </c>
      <c r="V196" s="5" t="e">
        <f t="shared" ref="V196:V213" si="44">IF(OR($AK196="",ISNUMBER($AK196)=FALSE),"",IF(H196="","",(L196-Q196)/(3*R196)))</f>
        <v>#REF!</v>
      </c>
      <c r="W196" s="5" t="e">
        <f t="shared" ref="W196:W213" si="45">IF(OR($AK196="",ISNUMBER($AK196)=FALSE),"",IF(I196="","",(Q196-M196)/(3*R196)))</f>
        <v>#REF!</v>
      </c>
      <c r="X196" s="5" t="e">
        <f t="shared" ref="X196:X213" si="46">IF(OR($AK196="",ISNUMBER($AK196)=FALSE),"",IF(AND(G196=0,I196=0),((H196)-(Q196))/(3*R196),MIN(V196:W196)))</f>
        <v>#REF!</v>
      </c>
      <c r="Y196" s="70" t="e">
        <f t="shared" ref="Y196:Y213" si="47">IF(OR($AK196="",ISNUMBER($AK196)=FALSE),"",IF(AND(G196=0,I196=0),NORMSDIST(3*X196),NORMSDIST(3*X196)+NORMSDIST(6*S196-3*X196)-1))</f>
        <v>#REF!</v>
      </c>
      <c r="Z196" s="32" t="e">
        <f t="shared" si="36"/>
        <v>#REF!</v>
      </c>
      <c r="AA196" s="32" t="e">
        <f t="shared" si="37"/>
        <v>#REF!</v>
      </c>
      <c r="AB196" s="32" t="e">
        <f t="shared" si="38"/>
        <v>#REF!</v>
      </c>
      <c r="AC196" s="32" t="e">
        <f t="shared" si="39"/>
        <v>#REF!</v>
      </c>
      <c r="AD196" s="30"/>
      <c r="AE196" s="21" t="str">
        <f t="shared" si="43"/>
        <v/>
      </c>
      <c r="AF196" s="74"/>
      <c r="AG196" s="57"/>
      <c r="AH196" s="57"/>
      <c r="AI196" s="58"/>
      <c r="AJ196" s="20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R196" s="110" t="str">
        <f t="shared" si="28"/>
        <v>85-1</v>
      </c>
      <c r="BS196" s="112">
        <f>OOC!G196</f>
        <v>0.03</v>
      </c>
      <c r="BT196" s="112">
        <f>OOC!H196</f>
        <v>-0.03</v>
      </c>
      <c r="BU196" s="3" t="e">
        <f t="shared" si="29"/>
        <v>#REF!</v>
      </c>
      <c r="BV196" s="3" t="e">
        <f t="shared" si="30"/>
        <v>#REF!</v>
      </c>
      <c r="BW196" s="3" t="e">
        <f t="shared" si="31"/>
        <v>#REF!</v>
      </c>
      <c r="BX196" s="109" t="e">
        <f>IF(AND(IF(OOC!G196="",0,OOC!G196) &gt;= IF(O196="",0,O196), IF(O196="",0,O196) &gt; IF(L196="",0,L196)), "OOC",
IF(AND(IF(M196="",0,M196) &gt; IF(P196="",0,P196), IF(P196="",0,P196) &gt;= IF(OOC!H196="",0,OOC!H196)), "OOC",
IF(IF(O196="",0,O196) &gt; IF(OOC!G196="",0,OOC!G196), "OOS",
IF(IF(OOC!H196="",0,OOC!H196) &gt; IF(P196="",0,P196), "OOS", "OK"))))</f>
        <v>#REF!</v>
      </c>
    </row>
    <row r="197" spans="1:76" ht="15" customHeight="1">
      <c r="A197" s="18">
        <v>29</v>
      </c>
      <c r="B197" s="84"/>
      <c r="C197" s="90" t="s">
        <v>189</v>
      </c>
      <c r="D197" s="22" t="s">
        <v>60</v>
      </c>
      <c r="E197" s="86"/>
      <c r="F197" s="13" t="s">
        <v>28</v>
      </c>
      <c r="G197" s="14">
        <v>0</v>
      </c>
      <c r="H197" s="82" t="str">
        <f>IF(OOC!S197=0,"",OOC!S197)</f>
        <v/>
      </c>
      <c r="I197" s="82" t="str">
        <f>IF(OOC!T197=0,"",OOC!T197)</f>
        <v/>
      </c>
      <c r="J197" s="16" t="s">
        <v>12</v>
      </c>
      <c r="K197" s="73" t="s">
        <v>52</v>
      </c>
      <c r="L197" s="19" t="e">
        <f t="shared" si="40"/>
        <v>#VALUE!</v>
      </c>
      <c r="M197" s="25" t="e">
        <f t="shared" si="41"/>
        <v>#VALUE!</v>
      </c>
      <c r="N197" s="29"/>
      <c r="O197" s="3" t="e">
        <f t="shared" si="32"/>
        <v>#REF!</v>
      </c>
      <c r="P197" s="3" t="e">
        <f t="shared" si="33"/>
        <v>#REF!</v>
      </c>
      <c r="Q197" s="3" t="e">
        <f t="shared" si="34"/>
        <v>#REF!</v>
      </c>
      <c r="R197" s="4" t="e">
        <f t="shared" si="35"/>
        <v>#REF!</v>
      </c>
      <c r="S197" s="5" t="e">
        <f t="shared" si="27"/>
        <v>#REF!</v>
      </c>
      <c r="T197" s="76" t="e">
        <f t="shared" si="26"/>
        <v>#REF!</v>
      </c>
      <c r="U197" s="76" t="e">
        <f t="shared" si="42"/>
        <v>#REF!</v>
      </c>
      <c r="V197" s="5" t="e">
        <f t="shared" si="44"/>
        <v>#REF!</v>
      </c>
      <c r="W197" s="5" t="e">
        <f t="shared" si="45"/>
        <v>#REF!</v>
      </c>
      <c r="X197" s="5" t="e">
        <f t="shared" si="46"/>
        <v>#REF!</v>
      </c>
      <c r="Y197" s="70" t="e">
        <f t="shared" si="47"/>
        <v>#REF!</v>
      </c>
      <c r="Z197" s="32" t="e">
        <f t="shared" si="36"/>
        <v>#REF!</v>
      </c>
      <c r="AA197" s="32" t="e">
        <f t="shared" si="37"/>
        <v>#REF!</v>
      </c>
      <c r="AB197" s="32" t="e">
        <f t="shared" si="38"/>
        <v>#REF!</v>
      </c>
      <c r="AC197" s="32" t="e">
        <f t="shared" si="39"/>
        <v>#REF!</v>
      </c>
      <c r="AD197" s="30"/>
      <c r="AE197" s="21" t="str">
        <f t="shared" si="43"/>
        <v/>
      </c>
      <c r="AF197" s="74"/>
      <c r="AG197" s="57"/>
      <c r="AH197" s="57"/>
      <c r="AI197" s="58"/>
      <c r="AJ197" s="20"/>
      <c r="AK197" s="2" t="e">
        <f>#REF!</f>
        <v>#REF!</v>
      </c>
      <c r="AL197" s="2" t="e">
        <f>#REF!</f>
        <v>#REF!</v>
      </c>
      <c r="AM197" s="2" t="e">
        <f>#REF!</f>
        <v>#REF!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0" t="str">
        <f t="shared" si="28"/>
        <v>85-2</v>
      </c>
      <c r="BS197" s="112">
        <f>OOC!G197</f>
        <v>0.03</v>
      </c>
      <c r="BT197" s="112">
        <f>OOC!H197</f>
        <v>-0.03</v>
      </c>
      <c r="BU197" s="3" t="e">
        <f t="shared" si="29"/>
        <v>#REF!</v>
      </c>
      <c r="BV197" s="3" t="e">
        <f t="shared" si="30"/>
        <v>#REF!</v>
      </c>
      <c r="BW197" s="3" t="e">
        <f t="shared" si="31"/>
        <v>#REF!</v>
      </c>
      <c r="BX197" s="109" t="e">
        <f>IF(AND(IF(OOC!G197="",0,OOC!G197) &gt;= IF(O197="",0,O197), IF(O197="",0,O197) &gt; IF(L197="",0,L197)), "OOC",
IF(AND(IF(M197="",0,M197) &gt; IF(P197="",0,P197), IF(P197="",0,P197) &gt;= IF(OOC!H197="",0,OOC!H197)), "OOC",
IF(IF(O197="",0,O197) &gt; IF(OOC!G197="",0,OOC!G197), "OOS",
IF(IF(OOC!H197="",0,OOC!H197) &gt; IF(P197="",0,P197), "OOS", "OK"))))</f>
        <v>#REF!</v>
      </c>
    </row>
    <row r="198" spans="1:76" ht="15" customHeight="1">
      <c r="A198" s="18">
        <v>29</v>
      </c>
      <c r="B198" s="84"/>
      <c r="C198" s="90" t="s">
        <v>190</v>
      </c>
      <c r="D198" s="22" t="s">
        <v>60</v>
      </c>
      <c r="E198" s="86"/>
      <c r="F198" s="13" t="s">
        <v>28</v>
      </c>
      <c r="G198" s="14">
        <v>0</v>
      </c>
      <c r="H198" s="82" t="str">
        <f>IF(OOC!S198=0,"",OOC!S198)</f>
        <v/>
      </c>
      <c r="I198" s="82" t="str">
        <f>IF(OOC!T198=0,"",OOC!T198)</f>
        <v/>
      </c>
      <c r="J198" s="16" t="s">
        <v>12</v>
      </c>
      <c r="K198" s="73" t="s">
        <v>52</v>
      </c>
      <c r="L198" s="19" t="e">
        <f t="shared" si="40"/>
        <v>#VALUE!</v>
      </c>
      <c r="M198" s="25" t="e">
        <f t="shared" si="41"/>
        <v>#VALUE!</v>
      </c>
      <c r="N198" s="29"/>
      <c r="O198" s="3" t="e">
        <f t="shared" si="32"/>
        <v>#REF!</v>
      </c>
      <c r="P198" s="3" t="e">
        <f t="shared" si="33"/>
        <v>#REF!</v>
      </c>
      <c r="Q198" s="3" t="e">
        <f t="shared" si="34"/>
        <v>#REF!</v>
      </c>
      <c r="R198" s="4" t="e">
        <f t="shared" si="35"/>
        <v>#REF!</v>
      </c>
      <c r="S198" s="5" t="e">
        <f t="shared" si="27"/>
        <v>#REF!</v>
      </c>
      <c r="T198" s="76" t="e">
        <f t="shared" ref="T198:T213" si="48">IF(OR($AK198="",ISNUMBER($AK198)=FALSE),"",IF(AND($F198="Tolerance",$G198&lt;&gt;""),($Q198-$G198)/(($L198-$M198)/2),IF(AND($F198="GD&amp;T",$H198&lt;&gt;""),$Q198/$H198,"")))</f>
        <v>#REF!</v>
      </c>
      <c r="U198" s="76" t="e">
        <f t="shared" si="42"/>
        <v>#REF!</v>
      </c>
      <c r="V198" s="5" t="e">
        <f t="shared" si="44"/>
        <v>#REF!</v>
      </c>
      <c r="W198" s="5" t="e">
        <f t="shared" si="45"/>
        <v>#REF!</v>
      </c>
      <c r="X198" s="5" t="e">
        <f t="shared" si="46"/>
        <v>#REF!</v>
      </c>
      <c r="Y198" s="70" t="e">
        <f t="shared" si="47"/>
        <v>#REF!</v>
      </c>
      <c r="Z198" s="32" t="e">
        <f t="shared" si="36"/>
        <v>#REF!</v>
      </c>
      <c r="AA198" s="32" t="e">
        <f t="shared" si="37"/>
        <v>#REF!</v>
      </c>
      <c r="AB198" s="32" t="e">
        <f t="shared" si="38"/>
        <v>#REF!</v>
      </c>
      <c r="AC198" s="32" t="e">
        <f t="shared" si="39"/>
        <v>#REF!</v>
      </c>
      <c r="AD198" s="30"/>
      <c r="AE198" s="21" t="str">
        <f t="shared" si="43"/>
        <v/>
      </c>
      <c r="AF198" s="74"/>
      <c r="AG198" s="57"/>
      <c r="AH198" s="57"/>
      <c r="AI198" s="58"/>
      <c r="AJ198" s="20"/>
      <c r="AK198" s="2" t="e">
        <f>#REF!</f>
        <v>#REF!</v>
      </c>
      <c r="AL198" s="2" t="e">
        <f>#REF!</f>
        <v>#REF!</v>
      </c>
      <c r="AM198" s="2" t="e">
        <f>#REF!</f>
        <v>#REF!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0" t="str">
        <f t="shared" si="28"/>
        <v>85-3</v>
      </c>
      <c r="BS198" s="112">
        <f>OOC!G198</f>
        <v>0.03</v>
      </c>
      <c r="BT198" s="112">
        <f>OOC!H198</f>
        <v>-0.03</v>
      </c>
      <c r="BU198" s="3" t="e">
        <f t="shared" si="29"/>
        <v>#REF!</v>
      </c>
      <c r="BV198" s="3" t="e">
        <f t="shared" si="30"/>
        <v>#REF!</v>
      </c>
      <c r="BW198" s="3" t="e">
        <f t="shared" si="31"/>
        <v>#REF!</v>
      </c>
      <c r="BX198" s="109" t="e">
        <f>IF(AND(IF(OOC!G198="",0,OOC!G198) &gt;= IF(O198="",0,O198), IF(O198="",0,O198) &gt; IF(L198="",0,L198)), "OOC",
IF(AND(IF(M198="",0,M198) &gt; IF(P198="",0,P198), IF(P198="",0,P198) &gt;= IF(OOC!H198="",0,OOC!H198)), "OOC",
IF(IF(O198="",0,O198) &gt; IF(OOC!G198="",0,OOC!G198), "OOS",
IF(IF(OOC!H198="",0,OOC!H198) &gt; IF(P198="",0,P198), "OOS", "OK"))))</f>
        <v>#REF!</v>
      </c>
    </row>
    <row r="199" spans="1:76" ht="15" customHeight="1">
      <c r="A199" s="18">
        <v>29</v>
      </c>
      <c r="B199" s="84"/>
      <c r="C199" s="90" t="s">
        <v>191</v>
      </c>
      <c r="D199" s="22" t="s">
        <v>60</v>
      </c>
      <c r="E199" s="86"/>
      <c r="F199" s="13" t="s">
        <v>28</v>
      </c>
      <c r="G199" s="14">
        <v>0</v>
      </c>
      <c r="H199" s="82" t="str">
        <f>IF(OOC!S199=0,"",OOC!S199)</f>
        <v/>
      </c>
      <c r="I199" s="82" t="str">
        <f>IF(OOC!T199=0,"",OOC!T199)</f>
        <v/>
      </c>
      <c r="J199" s="16" t="s">
        <v>12</v>
      </c>
      <c r="K199" s="73" t="s">
        <v>52</v>
      </c>
      <c r="L199" s="19" t="e">
        <f t="shared" si="40"/>
        <v>#VALUE!</v>
      </c>
      <c r="M199" s="25" t="e">
        <f t="shared" si="41"/>
        <v>#VALUE!</v>
      </c>
      <c r="N199" s="29"/>
      <c r="O199" s="3" t="e">
        <f t="shared" si="32"/>
        <v>#REF!</v>
      </c>
      <c r="P199" s="3" t="e">
        <f t="shared" si="33"/>
        <v>#REF!</v>
      </c>
      <c r="Q199" s="3" t="e">
        <f t="shared" si="34"/>
        <v>#REF!</v>
      </c>
      <c r="R199" s="4" t="e">
        <f t="shared" si="35"/>
        <v>#REF!</v>
      </c>
      <c r="S199" s="5" t="e">
        <f t="shared" ref="S199:S242" si="49">IF(OR($AK199="",ISNUMBER($AK199)=FALSE),"",IF(AND(G199=0,I199=""),V199,IF(AND(G199="",H199=""),W199,(H199+ABS(I199))/(6*R199))))</f>
        <v>#REF!</v>
      </c>
      <c r="T199" s="76" t="e">
        <f t="shared" si="48"/>
        <v>#REF!</v>
      </c>
      <c r="U199" s="76" t="e">
        <f t="shared" si="42"/>
        <v>#REF!</v>
      </c>
      <c r="V199" s="5" t="e">
        <f t="shared" si="44"/>
        <v>#REF!</v>
      </c>
      <c r="W199" s="5" t="e">
        <f t="shared" si="45"/>
        <v>#REF!</v>
      </c>
      <c r="X199" s="5" t="e">
        <f t="shared" si="46"/>
        <v>#REF!</v>
      </c>
      <c r="Y199" s="70" t="e">
        <f t="shared" si="47"/>
        <v>#REF!</v>
      </c>
      <c r="Z199" s="32" t="e">
        <f t="shared" si="36"/>
        <v>#REF!</v>
      </c>
      <c r="AA199" s="32" t="e">
        <f t="shared" si="37"/>
        <v>#REF!</v>
      </c>
      <c r="AB199" s="32" t="e">
        <f t="shared" si="38"/>
        <v>#REF!</v>
      </c>
      <c r="AC199" s="32" t="e">
        <f t="shared" si="39"/>
        <v>#REF!</v>
      </c>
      <c r="AD199" s="30"/>
      <c r="AE199" s="21" t="str">
        <f t="shared" si="43"/>
        <v/>
      </c>
      <c r="AF199" s="74"/>
      <c r="AG199" s="57"/>
      <c r="AH199" s="57"/>
      <c r="AI199" s="58"/>
      <c r="AJ199" s="20"/>
      <c r="AK199" s="2" t="e">
        <f>#REF!</f>
        <v>#REF!</v>
      </c>
      <c r="AL199" s="2" t="e">
        <f>#REF!</f>
        <v>#REF!</v>
      </c>
      <c r="AM199" s="2" t="e">
        <f>#REF!</f>
        <v>#REF!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0" t="str">
        <f t="shared" ref="BR199:BR242" si="50">IF(ISNUMBER(SEARCH("(DC)", B199)), C199 &amp; B199, C199)</f>
        <v>85-4</v>
      </c>
      <c r="BS199" s="112">
        <f>OOC!G199</f>
        <v>0.03</v>
      </c>
      <c r="BT199" s="112">
        <f>OOC!H199</f>
        <v>-0.03</v>
      </c>
      <c r="BU199" s="3" t="e">
        <f t="shared" ref="BU199:BU242" si="51">IF(OR($AK199="",ISNUMBER($AK199)=FALSE),"",MAX(AK199:BP199))</f>
        <v>#REF!</v>
      </c>
      <c r="BV199" s="3" t="e">
        <f t="shared" ref="BV199:BV242" si="52">IF(OR($AK199="",ISNUMBER($AK199)=FALSE),"",MIN(AK199:BP199))</f>
        <v>#REF!</v>
      </c>
      <c r="BW199" s="3" t="e">
        <f t="shared" ref="BW199:BW242" si="53">IF(OR($AK199="",ISNUMBER($AK199)=FALSE),"",AVERAGE(AK199:BP199))</f>
        <v>#REF!</v>
      </c>
      <c r="BX199" s="109" t="e">
        <f>IF(AND(IF(OOC!G199="",0,OOC!G199) &gt;= IF(O199="",0,O199), IF(O199="",0,O199) &gt; IF(L199="",0,L199)), "OOC",
IF(AND(IF(M199="",0,M199) &gt; IF(P199="",0,P199), IF(P199="",0,P199) &gt;= IF(OOC!H199="",0,OOC!H199)), "OOC",
IF(IF(O199="",0,O199) &gt; IF(OOC!G199="",0,OOC!G199), "OOS",
IF(IF(OOC!H199="",0,OOC!H199) &gt; IF(P199="",0,P199), "OOS", "OK"))))</f>
        <v>#REF!</v>
      </c>
    </row>
    <row r="200" spans="1:76" ht="15" customHeight="1">
      <c r="A200" s="18">
        <v>29</v>
      </c>
      <c r="B200" s="84"/>
      <c r="C200" s="90" t="s">
        <v>192</v>
      </c>
      <c r="D200" s="22" t="s">
        <v>60</v>
      </c>
      <c r="E200" s="86"/>
      <c r="F200" s="13" t="s">
        <v>28</v>
      </c>
      <c r="G200" s="14">
        <v>0</v>
      </c>
      <c r="H200" s="82" t="str">
        <f>IF(OOC!S200=0,"",OOC!S200)</f>
        <v/>
      </c>
      <c r="I200" s="82" t="str">
        <f>IF(OOC!T200=0,"",OOC!T200)</f>
        <v/>
      </c>
      <c r="J200" s="16" t="s">
        <v>12</v>
      </c>
      <c r="K200" s="73" t="s">
        <v>52</v>
      </c>
      <c r="L200" s="19" t="e">
        <f t="shared" si="40"/>
        <v>#VALUE!</v>
      </c>
      <c r="M200" s="25" t="e">
        <f t="shared" si="41"/>
        <v>#VALUE!</v>
      </c>
      <c r="N200" s="29"/>
      <c r="O200" s="3" t="e">
        <f t="shared" si="32"/>
        <v>#REF!</v>
      </c>
      <c r="P200" s="3" t="e">
        <f t="shared" si="33"/>
        <v>#REF!</v>
      </c>
      <c r="Q200" s="3" t="e">
        <f t="shared" si="34"/>
        <v>#REF!</v>
      </c>
      <c r="R200" s="4" t="e">
        <f t="shared" si="35"/>
        <v>#REF!</v>
      </c>
      <c r="S200" s="5" t="e">
        <f t="shared" si="49"/>
        <v>#REF!</v>
      </c>
      <c r="T200" s="76" t="e">
        <f t="shared" si="48"/>
        <v>#REF!</v>
      </c>
      <c r="U200" s="76" t="e">
        <f t="shared" si="42"/>
        <v>#REF!</v>
      </c>
      <c r="V200" s="5" t="e">
        <f t="shared" si="44"/>
        <v>#REF!</v>
      </c>
      <c r="W200" s="5" t="e">
        <f t="shared" si="45"/>
        <v>#REF!</v>
      </c>
      <c r="X200" s="5" t="e">
        <f t="shared" si="46"/>
        <v>#REF!</v>
      </c>
      <c r="Y200" s="70" t="e">
        <f t="shared" si="47"/>
        <v>#REF!</v>
      </c>
      <c r="Z200" s="32" t="e">
        <f t="shared" si="36"/>
        <v>#REF!</v>
      </c>
      <c r="AA200" s="32" t="e">
        <f t="shared" si="37"/>
        <v>#REF!</v>
      </c>
      <c r="AB200" s="32" t="e">
        <f t="shared" si="38"/>
        <v>#REF!</v>
      </c>
      <c r="AC200" s="32" t="e">
        <f t="shared" si="39"/>
        <v>#REF!</v>
      </c>
      <c r="AD200" s="30"/>
      <c r="AE200" s="21" t="str">
        <f t="shared" si="43"/>
        <v/>
      </c>
      <c r="AF200" s="74"/>
      <c r="AG200" s="57"/>
      <c r="AH200" s="57"/>
      <c r="AI200" s="58"/>
      <c r="AJ200" s="20"/>
      <c r="AK200" s="2" t="e">
        <f>#REF!</f>
        <v>#REF!</v>
      </c>
      <c r="AL200" s="2" t="e">
        <f>#REF!</f>
        <v>#REF!</v>
      </c>
      <c r="AM200" s="2" t="e">
        <f>#REF!</f>
        <v>#REF!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0" t="str">
        <f t="shared" si="50"/>
        <v>85-5</v>
      </c>
      <c r="BS200" s="112">
        <f>OOC!G200</f>
        <v>0.03</v>
      </c>
      <c r="BT200" s="112">
        <f>OOC!H200</f>
        <v>-0.03</v>
      </c>
      <c r="BU200" s="3" t="e">
        <f t="shared" si="51"/>
        <v>#REF!</v>
      </c>
      <c r="BV200" s="3" t="e">
        <f t="shared" si="52"/>
        <v>#REF!</v>
      </c>
      <c r="BW200" s="3" t="e">
        <f t="shared" si="53"/>
        <v>#REF!</v>
      </c>
      <c r="BX200" s="109" t="e">
        <f>IF(AND(IF(OOC!G200="",0,OOC!G200) &gt;= IF(O200="",0,O200), IF(O200="",0,O200) &gt; IF(L200="",0,L200)), "OOC",
IF(AND(IF(M200="",0,M200) &gt; IF(P200="",0,P200), IF(P200="",0,P200) &gt;= IF(OOC!H200="",0,OOC!H200)), "OOC",
IF(IF(O200="",0,O200) &gt; IF(OOC!G200="",0,OOC!G200), "OOS",
IF(IF(OOC!H200="",0,OOC!H200) &gt; IF(P200="",0,P200), "OOS", "OK"))))</f>
        <v>#REF!</v>
      </c>
    </row>
    <row r="201" spans="1:76" ht="15" customHeight="1">
      <c r="A201" s="18">
        <v>29</v>
      </c>
      <c r="B201" s="84"/>
      <c r="C201" s="90" t="s">
        <v>193</v>
      </c>
      <c r="D201" s="22" t="s">
        <v>60</v>
      </c>
      <c r="E201" s="86"/>
      <c r="F201" s="13" t="s">
        <v>28</v>
      </c>
      <c r="G201" s="14">
        <v>0</v>
      </c>
      <c r="H201" s="82" t="str">
        <f>IF(OOC!S201=0,"",OOC!S201)</f>
        <v/>
      </c>
      <c r="I201" s="82" t="str">
        <f>IF(OOC!T201=0,"",OOC!T201)</f>
        <v/>
      </c>
      <c r="J201" s="16" t="s">
        <v>12</v>
      </c>
      <c r="K201" s="73" t="s">
        <v>52</v>
      </c>
      <c r="L201" s="19" t="e">
        <f t="shared" si="40"/>
        <v>#VALUE!</v>
      </c>
      <c r="M201" s="25" t="e">
        <f t="shared" si="41"/>
        <v>#VALUE!</v>
      </c>
      <c r="N201" s="29"/>
      <c r="O201" s="3" t="e">
        <f t="shared" ref="O201:O207" si="54">IF(OR($AK201="",ISNUMBER($AK201)=FALSE),"",MAX(AK201:BP201))</f>
        <v>#REF!</v>
      </c>
      <c r="P201" s="3" t="e">
        <f t="shared" ref="P201:P207" si="55">IF(OR($AK201="",ISNUMBER($AK201)=FALSE),"",MIN(AK201:BP201))</f>
        <v>#REF!</v>
      </c>
      <c r="Q201" s="3" t="e">
        <f t="shared" ref="Q201:Q207" si="56">IF(OR($AK201="",ISNUMBER($AK201)=FALSE),"",AVERAGE(AK201:BP201))</f>
        <v>#REF!</v>
      </c>
      <c r="R201" s="4" t="e">
        <f t="shared" ref="R201:R207" si="57">IF(OR($AK201="",ISNUMBER($AK201)=FALSE),"",STDEV(AK201:BP201))</f>
        <v>#REF!</v>
      </c>
      <c r="S201" s="5" t="e">
        <f t="shared" si="49"/>
        <v>#REF!</v>
      </c>
      <c r="T201" s="76" t="e">
        <f t="shared" si="48"/>
        <v>#REF!</v>
      </c>
      <c r="U201" s="76" t="e">
        <f t="shared" si="42"/>
        <v>#REF!</v>
      </c>
      <c r="V201" s="5" t="e">
        <f t="shared" si="44"/>
        <v>#REF!</v>
      </c>
      <c r="W201" s="5" t="e">
        <f t="shared" si="45"/>
        <v>#REF!</v>
      </c>
      <c r="X201" s="5" t="e">
        <f t="shared" si="46"/>
        <v>#REF!</v>
      </c>
      <c r="Y201" s="70" t="e">
        <f t="shared" si="47"/>
        <v>#REF!</v>
      </c>
      <c r="Z201" s="32" t="e">
        <f t="shared" si="36"/>
        <v>#REF!</v>
      </c>
      <c r="AA201" s="32" t="e">
        <f t="shared" si="37"/>
        <v>#REF!</v>
      </c>
      <c r="AB201" s="32" t="e">
        <f t="shared" si="38"/>
        <v>#REF!</v>
      </c>
      <c r="AC201" s="32" t="e">
        <f t="shared" si="39"/>
        <v>#REF!</v>
      </c>
      <c r="AD201" s="30"/>
      <c r="AE201" s="21" t="str">
        <f t="shared" si="43"/>
        <v/>
      </c>
      <c r="AF201" s="74"/>
      <c r="AG201" s="57"/>
      <c r="AH201" s="57"/>
      <c r="AI201" s="58"/>
      <c r="AJ201" s="20"/>
      <c r="AK201" s="2" t="e">
        <f>#REF!</f>
        <v>#REF!</v>
      </c>
      <c r="AL201" s="2" t="e">
        <f>#REF!</f>
        <v>#REF!</v>
      </c>
      <c r="AM201" s="2" t="e">
        <f>#REF!</f>
        <v>#REF!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0" t="str">
        <f t="shared" si="50"/>
        <v>85-6</v>
      </c>
      <c r="BS201" s="112">
        <f>OOC!G201</f>
        <v>0.03</v>
      </c>
      <c r="BT201" s="112">
        <f>OOC!H201</f>
        <v>-0.03</v>
      </c>
      <c r="BU201" s="3" t="e">
        <f t="shared" si="51"/>
        <v>#REF!</v>
      </c>
      <c r="BV201" s="3" t="e">
        <f t="shared" si="52"/>
        <v>#REF!</v>
      </c>
      <c r="BW201" s="3" t="e">
        <f t="shared" si="53"/>
        <v>#REF!</v>
      </c>
      <c r="BX201" s="109" t="e">
        <f>IF(AND(IF(OOC!G201="",0,OOC!G201) &gt;= IF(O201="",0,O201), IF(O201="",0,O201) &gt; IF(L201="",0,L201)), "OOC",
IF(AND(IF(M201="",0,M201) &gt; IF(P201="",0,P201), IF(P201="",0,P201) &gt;= IF(OOC!H201="",0,OOC!H201)), "OOC",
IF(IF(O201="",0,O201) &gt; IF(OOC!G201="",0,OOC!G201), "OOS",
IF(IF(OOC!H201="",0,OOC!H201) &gt; IF(P201="",0,P201), "OOS", "OK"))))</f>
        <v>#REF!</v>
      </c>
    </row>
    <row r="202" spans="1:76" ht="15" customHeight="1">
      <c r="A202" s="18">
        <v>30</v>
      </c>
      <c r="B202" s="84"/>
      <c r="C202" s="90" t="s">
        <v>194</v>
      </c>
      <c r="D202" s="22" t="s">
        <v>60</v>
      </c>
      <c r="E202" s="86"/>
      <c r="F202" s="13" t="s">
        <v>28</v>
      </c>
      <c r="G202" s="14">
        <v>0</v>
      </c>
      <c r="H202" s="82" t="str">
        <f>IF(OOC!S202=0,"",OOC!S202)</f>
        <v/>
      </c>
      <c r="I202" s="82" t="str">
        <f>IF(OOC!T202=0,"",OOC!T202)</f>
        <v/>
      </c>
      <c r="J202" s="16" t="s">
        <v>12</v>
      </c>
      <c r="K202" s="73" t="s">
        <v>52</v>
      </c>
      <c r="L202" s="19" t="e">
        <f t="shared" si="40"/>
        <v>#VALUE!</v>
      </c>
      <c r="M202" s="25" t="e">
        <f t="shared" si="41"/>
        <v>#VALUE!</v>
      </c>
      <c r="N202" s="29"/>
      <c r="O202" s="3" t="e">
        <f t="shared" si="54"/>
        <v>#REF!</v>
      </c>
      <c r="P202" s="3" t="e">
        <f t="shared" si="55"/>
        <v>#REF!</v>
      </c>
      <c r="Q202" s="3" t="e">
        <f t="shared" si="56"/>
        <v>#REF!</v>
      </c>
      <c r="R202" s="4" t="e">
        <f t="shared" si="57"/>
        <v>#REF!</v>
      </c>
      <c r="S202" s="5" t="e">
        <f t="shared" si="49"/>
        <v>#REF!</v>
      </c>
      <c r="T202" s="76" t="e">
        <f t="shared" si="48"/>
        <v>#REF!</v>
      </c>
      <c r="U202" s="76" t="e">
        <f t="shared" si="42"/>
        <v>#REF!</v>
      </c>
      <c r="V202" s="5" t="e">
        <f t="shared" si="44"/>
        <v>#REF!</v>
      </c>
      <c r="W202" s="5" t="e">
        <f t="shared" si="45"/>
        <v>#REF!</v>
      </c>
      <c r="X202" s="5" t="e">
        <f t="shared" si="46"/>
        <v>#REF!</v>
      </c>
      <c r="Y202" s="70" t="e">
        <f t="shared" si="47"/>
        <v>#REF!</v>
      </c>
      <c r="Z202" s="32" t="e">
        <f t="shared" si="36"/>
        <v>#REF!</v>
      </c>
      <c r="AA202" s="32" t="e">
        <f t="shared" si="37"/>
        <v>#REF!</v>
      </c>
      <c r="AB202" s="32" t="e">
        <f t="shared" si="38"/>
        <v>#REF!</v>
      </c>
      <c r="AC202" s="32" t="e">
        <f t="shared" si="39"/>
        <v>#REF!</v>
      </c>
      <c r="AD202" s="30"/>
      <c r="AE202" s="21" t="str">
        <f t="shared" si="43"/>
        <v/>
      </c>
      <c r="AF202" s="74"/>
      <c r="AG202" s="57"/>
      <c r="AH202" s="57"/>
      <c r="AI202" s="58"/>
      <c r="AJ202" s="20"/>
      <c r="AK202" s="2" t="e">
        <f>#REF!</f>
        <v>#REF!</v>
      </c>
      <c r="AL202" s="2" t="e">
        <f>#REF!</f>
        <v>#REF!</v>
      </c>
      <c r="AM202" s="2" t="e">
        <f>#REF!</f>
        <v>#REF!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0" t="str">
        <f t="shared" si="50"/>
        <v>86-1</v>
      </c>
      <c r="BS202" s="112">
        <f>OOC!G202</f>
        <v>0.03</v>
      </c>
      <c r="BT202" s="112">
        <f>OOC!H202</f>
        <v>-0.03</v>
      </c>
      <c r="BU202" s="3" t="e">
        <f t="shared" si="51"/>
        <v>#REF!</v>
      </c>
      <c r="BV202" s="3" t="e">
        <f t="shared" si="52"/>
        <v>#REF!</v>
      </c>
      <c r="BW202" s="3" t="e">
        <f t="shared" si="53"/>
        <v>#REF!</v>
      </c>
      <c r="BX202" s="109" t="e">
        <f>IF(AND(IF(OOC!G202="",0,OOC!G202) &gt;= IF(O202="",0,O202), IF(O202="",0,O202) &gt; IF(L202="",0,L202)), "OOC",
IF(AND(IF(M202="",0,M202) &gt; IF(P202="",0,P202), IF(P202="",0,P202) &gt;= IF(OOC!H202="",0,OOC!H202)), "OOC",
IF(IF(O202="",0,O202) &gt; IF(OOC!G202="",0,OOC!G202), "OOS",
IF(IF(OOC!H202="",0,OOC!H202) &gt; IF(P202="",0,P202), "OOS", "OK"))))</f>
        <v>#REF!</v>
      </c>
    </row>
    <row r="203" spans="1:76" ht="15" customHeight="1">
      <c r="A203" s="18">
        <v>30</v>
      </c>
      <c r="B203" s="84"/>
      <c r="C203" s="90" t="s">
        <v>195</v>
      </c>
      <c r="D203" s="22" t="s">
        <v>60</v>
      </c>
      <c r="E203" s="86"/>
      <c r="F203" s="13" t="s">
        <v>28</v>
      </c>
      <c r="G203" s="14">
        <v>0</v>
      </c>
      <c r="H203" s="82" t="str">
        <f>IF(OOC!S203=0,"",OOC!S203)</f>
        <v/>
      </c>
      <c r="I203" s="82" t="str">
        <f>IF(OOC!T203=0,"",OOC!T203)</f>
        <v/>
      </c>
      <c r="J203" s="16" t="s">
        <v>12</v>
      </c>
      <c r="K203" s="73" t="s">
        <v>52</v>
      </c>
      <c r="L203" s="19" t="e">
        <f t="shared" si="40"/>
        <v>#VALUE!</v>
      </c>
      <c r="M203" s="25" t="e">
        <f t="shared" si="41"/>
        <v>#VALUE!</v>
      </c>
      <c r="N203" s="29"/>
      <c r="O203" s="3" t="e">
        <f t="shared" si="54"/>
        <v>#REF!</v>
      </c>
      <c r="P203" s="3" t="e">
        <f t="shared" si="55"/>
        <v>#REF!</v>
      </c>
      <c r="Q203" s="3" t="e">
        <f t="shared" si="56"/>
        <v>#REF!</v>
      </c>
      <c r="R203" s="4" t="e">
        <f t="shared" si="57"/>
        <v>#REF!</v>
      </c>
      <c r="S203" s="5" t="e">
        <f t="shared" si="49"/>
        <v>#REF!</v>
      </c>
      <c r="T203" s="76" t="e">
        <f t="shared" si="48"/>
        <v>#REF!</v>
      </c>
      <c r="U203" s="76" t="e">
        <f t="shared" si="42"/>
        <v>#REF!</v>
      </c>
      <c r="V203" s="5" t="e">
        <f t="shared" si="44"/>
        <v>#REF!</v>
      </c>
      <c r="W203" s="5" t="e">
        <f t="shared" si="45"/>
        <v>#REF!</v>
      </c>
      <c r="X203" s="5" t="e">
        <f t="shared" si="46"/>
        <v>#REF!</v>
      </c>
      <c r="Y203" s="70" t="e">
        <f t="shared" si="47"/>
        <v>#REF!</v>
      </c>
      <c r="Z203" s="32" t="e">
        <f t="shared" si="36"/>
        <v>#REF!</v>
      </c>
      <c r="AA203" s="32" t="e">
        <f t="shared" si="37"/>
        <v>#REF!</v>
      </c>
      <c r="AB203" s="32" t="e">
        <f t="shared" si="38"/>
        <v>#REF!</v>
      </c>
      <c r="AC203" s="32" t="e">
        <f t="shared" si="39"/>
        <v>#REF!</v>
      </c>
      <c r="AD203" s="30"/>
      <c r="AE203" s="21" t="str">
        <f t="shared" si="43"/>
        <v/>
      </c>
      <c r="AF203" s="74"/>
      <c r="AG203" s="57"/>
      <c r="AH203" s="57"/>
      <c r="AI203" s="58"/>
      <c r="AJ203" s="20"/>
      <c r="AK203" s="2" t="e">
        <f>#REF!</f>
        <v>#REF!</v>
      </c>
      <c r="AL203" s="2" t="e">
        <f>#REF!</f>
        <v>#REF!</v>
      </c>
      <c r="AM203" s="2" t="e">
        <f>#REF!</f>
        <v>#REF!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0" t="str">
        <f t="shared" si="50"/>
        <v>86-2</v>
      </c>
      <c r="BS203" s="112">
        <f>OOC!G203</f>
        <v>0.03</v>
      </c>
      <c r="BT203" s="112">
        <f>OOC!H203</f>
        <v>-0.03</v>
      </c>
      <c r="BU203" s="3" t="e">
        <f t="shared" si="51"/>
        <v>#REF!</v>
      </c>
      <c r="BV203" s="3" t="e">
        <f t="shared" si="52"/>
        <v>#REF!</v>
      </c>
      <c r="BW203" s="3" t="e">
        <f t="shared" si="53"/>
        <v>#REF!</v>
      </c>
      <c r="BX203" s="109" t="e">
        <f>IF(AND(IF(OOC!G203="",0,OOC!G203) &gt;= IF(O203="",0,O203), IF(O203="",0,O203) &gt; IF(L203="",0,L203)), "OOC",
IF(AND(IF(M203="",0,M203) &gt; IF(P203="",0,P203), IF(P203="",0,P203) &gt;= IF(OOC!H203="",0,OOC!H203)), "OOC",
IF(IF(O203="",0,O203) &gt; IF(OOC!G203="",0,OOC!G203), "OOS",
IF(IF(OOC!H203="",0,OOC!H203) &gt; IF(P203="",0,P203), "OOS", "OK"))))</f>
        <v>#REF!</v>
      </c>
    </row>
    <row r="204" spans="1:76" ht="15" customHeight="1">
      <c r="A204" s="18">
        <v>30</v>
      </c>
      <c r="B204" s="84"/>
      <c r="C204" s="90" t="s">
        <v>196</v>
      </c>
      <c r="D204" s="22" t="s">
        <v>60</v>
      </c>
      <c r="E204" s="86"/>
      <c r="F204" s="13" t="s">
        <v>28</v>
      </c>
      <c r="G204" s="14">
        <v>0</v>
      </c>
      <c r="H204" s="82" t="str">
        <f>IF(OOC!S204=0,"",OOC!S204)</f>
        <v/>
      </c>
      <c r="I204" s="82" t="str">
        <f>IF(OOC!T204=0,"",OOC!T204)</f>
        <v/>
      </c>
      <c r="J204" s="16" t="s">
        <v>12</v>
      </c>
      <c r="K204" s="73" t="s">
        <v>52</v>
      </c>
      <c r="L204" s="19" t="e">
        <f t="shared" si="40"/>
        <v>#VALUE!</v>
      </c>
      <c r="M204" s="25" t="e">
        <f t="shared" si="41"/>
        <v>#VALUE!</v>
      </c>
      <c r="N204" s="29"/>
      <c r="O204" s="3" t="e">
        <f t="shared" si="54"/>
        <v>#REF!</v>
      </c>
      <c r="P204" s="3" t="e">
        <f t="shared" si="55"/>
        <v>#REF!</v>
      </c>
      <c r="Q204" s="3" t="e">
        <f t="shared" si="56"/>
        <v>#REF!</v>
      </c>
      <c r="R204" s="4" t="e">
        <f t="shared" si="57"/>
        <v>#REF!</v>
      </c>
      <c r="S204" s="5" t="e">
        <f t="shared" si="49"/>
        <v>#REF!</v>
      </c>
      <c r="T204" s="76" t="e">
        <f t="shared" si="48"/>
        <v>#REF!</v>
      </c>
      <c r="U204" s="76" t="e">
        <f t="shared" si="42"/>
        <v>#REF!</v>
      </c>
      <c r="V204" s="5" t="e">
        <f t="shared" si="44"/>
        <v>#REF!</v>
      </c>
      <c r="W204" s="5" t="e">
        <f t="shared" si="45"/>
        <v>#REF!</v>
      </c>
      <c r="X204" s="5" t="e">
        <f t="shared" si="46"/>
        <v>#REF!</v>
      </c>
      <c r="Y204" s="70" t="e">
        <f t="shared" si="47"/>
        <v>#REF!</v>
      </c>
      <c r="Z204" s="32" t="e">
        <f t="shared" si="36"/>
        <v>#REF!</v>
      </c>
      <c r="AA204" s="32" t="e">
        <f t="shared" si="37"/>
        <v>#REF!</v>
      </c>
      <c r="AB204" s="32" t="e">
        <f t="shared" si="38"/>
        <v>#REF!</v>
      </c>
      <c r="AC204" s="32" t="e">
        <f t="shared" si="39"/>
        <v>#REF!</v>
      </c>
      <c r="AD204" s="30"/>
      <c r="AE204" s="21" t="str">
        <f t="shared" si="43"/>
        <v/>
      </c>
      <c r="AF204" s="74"/>
      <c r="AG204" s="57"/>
      <c r="AH204" s="57"/>
      <c r="AI204" s="58"/>
      <c r="AJ204" s="20"/>
      <c r="AK204" s="2" t="e">
        <f>#REF!</f>
        <v>#REF!</v>
      </c>
      <c r="AL204" s="2" t="e">
        <f>#REF!</f>
        <v>#REF!</v>
      </c>
      <c r="AM204" s="2" t="e">
        <f>#REF!</f>
        <v>#REF!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0" t="str">
        <f t="shared" si="50"/>
        <v>86-3</v>
      </c>
      <c r="BS204" s="112">
        <f>OOC!G204</f>
        <v>0.03</v>
      </c>
      <c r="BT204" s="112">
        <f>OOC!H204</f>
        <v>-0.03</v>
      </c>
      <c r="BU204" s="3" t="e">
        <f t="shared" si="51"/>
        <v>#REF!</v>
      </c>
      <c r="BV204" s="3" t="e">
        <f t="shared" si="52"/>
        <v>#REF!</v>
      </c>
      <c r="BW204" s="3" t="e">
        <f t="shared" si="53"/>
        <v>#REF!</v>
      </c>
      <c r="BX204" s="109" t="e">
        <f>IF(AND(IF(OOC!G204="",0,OOC!G204) &gt;= IF(O204="",0,O204), IF(O204="",0,O204) &gt; IF(L204="",0,L204)), "OOC",
IF(AND(IF(M204="",0,M204) &gt; IF(P204="",0,P204), IF(P204="",0,P204) &gt;= IF(OOC!H204="",0,OOC!H204)), "OOC",
IF(IF(O204="",0,O204) &gt; IF(OOC!G204="",0,OOC!G204), "OOS",
IF(IF(OOC!H204="",0,OOC!H204) &gt; IF(P204="",0,P204), "OOS", "OK"))))</f>
        <v>#REF!</v>
      </c>
    </row>
    <row r="205" spans="1:76" ht="15" customHeight="1">
      <c r="A205" s="18">
        <v>30</v>
      </c>
      <c r="B205" s="84"/>
      <c r="C205" s="90" t="s">
        <v>197</v>
      </c>
      <c r="D205" s="22" t="s">
        <v>60</v>
      </c>
      <c r="E205" s="86"/>
      <c r="F205" s="13" t="s">
        <v>28</v>
      </c>
      <c r="G205" s="14">
        <v>0</v>
      </c>
      <c r="H205" s="82" t="str">
        <f>IF(OOC!S205=0,"",OOC!S205)</f>
        <v/>
      </c>
      <c r="I205" s="82" t="str">
        <f>IF(OOC!T205=0,"",OOC!T205)</f>
        <v/>
      </c>
      <c r="J205" s="16" t="s">
        <v>12</v>
      </c>
      <c r="K205" s="73" t="s">
        <v>52</v>
      </c>
      <c r="L205" s="19" t="e">
        <f t="shared" si="40"/>
        <v>#VALUE!</v>
      </c>
      <c r="M205" s="25" t="e">
        <f t="shared" si="41"/>
        <v>#VALUE!</v>
      </c>
      <c r="N205" s="29"/>
      <c r="O205" s="3" t="e">
        <f t="shared" si="54"/>
        <v>#REF!</v>
      </c>
      <c r="P205" s="3" t="e">
        <f t="shared" si="55"/>
        <v>#REF!</v>
      </c>
      <c r="Q205" s="3" t="e">
        <f t="shared" si="56"/>
        <v>#REF!</v>
      </c>
      <c r="R205" s="4" t="e">
        <f t="shared" si="57"/>
        <v>#REF!</v>
      </c>
      <c r="S205" s="5" t="e">
        <f t="shared" si="49"/>
        <v>#REF!</v>
      </c>
      <c r="T205" s="76" t="e">
        <f t="shared" si="48"/>
        <v>#REF!</v>
      </c>
      <c r="U205" s="76" t="e">
        <f t="shared" si="42"/>
        <v>#REF!</v>
      </c>
      <c r="V205" s="5" t="e">
        <f t="shared" si="44"/>
        <v>#REF!</v>
      </c>
      <c r="W205" s="5" t="e">
        <f t="shared" si="45"/>
        <v>#REF!</v>
      </c>
      <c r="X205" s="5" t="e">
        <f t="shared" si="46"/>
        <v>#REF!</v>
      </c>
      <c r="Y205" s="70" t="e">
        <f t="shared" si="47"/>
        <v>#REF!</v>
      </c>
      <c r="Z205" s="32" t="e">
        <f t="shared" si="36"/>
        <v>#REF!</v>
      </c>
      <c r="AA205" s="32" t="e">
        <f t="shared" si="37"/>
        <v>#REF!</v>
      </c>
      <c r="AB205" s="32" t="e">
        <f t="shared" si="38"/>
        <v>#REF!</v>
      </c>
      <c r="AC205" s="32" t="e">
        <f t="shared" si="39"/>
        <v>#REF!</v>
      </c>
      <c r="AD205" s="30"/>
      <c r="AE205" s="21" t="str">
        <f t="shared" si="43"/>
        <v/>
      </c>
      <c r="AF205" s="74"/>
      <c r="AG205" s="57"/>
      <c r="AH205" s="57"/>
      <c r="AI205" s="58"/>
      <c r="AJ205" s="20"/>
      <c r="AK205" s="2" t="e">
        <f>#REF!</f>
        <v>#REF!</v>
      </c>
      <c r="AL205" s="2" t="e">
        <f>#REF!</f>
        <v>#REF!</v>
      </c>
      <c r="AM205" s="2" t="e">
        <f>#REF!</f>
        <v>#REF!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0" t="str">
        <f t="shared" si="50"/>
        <v>86-4</v>
      </c>
      <c r="BS205" s="112">
        <f>OOC!G205</f>
        <v>0.03</v>
      </c>
      <c r="BT205" s="112">
        <f>OOC!H205</f>
        <v>-0.03</v>
      </c>
      <c r="BU205" s="3" t="e">
        <f t="shared" si="51"/>
        <v>#REF!</v>
      </c>
      <c r="BV205" s="3" t="e">
        <f t="shared" si="52"/>
        <v>#REF!</v>
      </c>
      <c r="BW205" s="3" t="e">
        <f t="shared" si="53"/>
        <v>#REF!</v>
      </c>
      <c r="BX205" s="109" t="e">
        <f>IF(AND(IF(OOC!G205="",0,OOC!G205) &gt;= IF(O205="",0,O205), IF(O205="",0,O205) &gt; IF(L205="",0,L205)), "OOC",
IF(AND(IF(M205="",0,M205) &gt; IF(P205="",0,P205), IF(P205="",0,P205) &gt;= IF(OOC!H205="",0,OOC!H205)), "OOC",
IF(IF(O205="",0,O205) &gt; IF(OOC!G205="",0,OOC!G205), "OOS",
IF(IF(OOC!H205="",0,OOC!H205) &gt; IF(P205="",0,P205), "OOS", "OK"))))</f>
        <v>#REF!</v>
      </c>
    </row>
    <row r="206" spans="1:76" ht="15" customHeight="1">
      <c r="A206" s="18">
        <v>30</v>
      </c>
      <c r="B206" s="84"/>
      <c r="C206" s="90" t="s">
        <v>198</v>
      </c>
      <c r="D206" s="22" t="s">
        <v>60</v>
      </c>
      <c r="E206" s="86"/>
      <c r="F206" s="13" t="s">
        <v>28</v>
      </c>
      <c r="G206" s="14">
        <v>0</v>
      </c>
      <c r="H206" s="82" t="str">
        <f>IF(OOC!S206=0,"",OOC!S206)</f>
        <v/>
      </c>
      <c r="I206" s="82" t="str">
        <f>IF(OOC!T206=0,"",OOC!T206)</f>
        <v/>
      </c>
      <c r="J206" s="16" t="s">
        <v>12</v>
      </c>
      <c r="K206" s="73" t="s">
        <v>52</v>
      </c>
      <c r="L206" s="19" t="e">
        <f t="shared" si="40"/>
        <v>#VALUE!</v>
      </c>
      <c r="M206" s="25" t="e">
        <f t="shared" si="41"/>
        <v>#VALUE!</v>
      </c>
      <c r="N206" s="29"/>
      <c r="O206" s="3" t="e">
        <f t="shared" si="54"/>
        <v>#REF!</v>
      </c>
      <c r="P206" s="3" t="e">
        <f t="shared" si="55"/>
        <v>#REF!</v>
      </c>
      <c r="Q206" s="3" t="e">
        <f t="shared" si="56"/>
        <v>#REF!</v>
      </c>
      <c r="R206" s="4" t="e">
        <f t="shared" si="57"/>
        <v>#REF!</v>
      </c>
      <c r="S206" s="5" t="e">
        <f t="shared" si="49"/>
        <v>#REF!</v>
      </c>
      <c r="T206" s="76" t="e">
        <f t="shared" si="48"/>
        <v>#REF!</v>
      </c>
      <c r="U206" s="76" t="e">
        <f t="shared" si="42"/>
        <v>#REF!</v>
      </c>
      <c r="V206" s="5" t="e">
        <f t="shared" si="44"/>
        <v>#REF!</v>
      </c>
      <c r="W206" s="5" t="e">
        <f t="shared" si="45"/>
        <v>#REF!</v>
      </c>
      <c r="X206" s="5" t="e">
        <f t="shared" si="46"/>
        <v>#REF!</v>
      </c>
      <c r="Y206" s="70" t="e">
        <f t="shared" si="47"/>
        <v>#REF!</v>
      </c>
      <c r="Z206" s="32" t="e">
        <f t="shared" si="36"/>
        <v>#REF!</v>
      </c>
      <c r="AA206" s="32" t="e">
        <f t="shared" si="37"/>
        <v>#REF!</v>
      </c>
      <c r="AB206" s="32" t="e">
        <f t="shared" si="38"/>
        <v>#REF!</v>
      </c>
      <c r="AC206" s="32" t="e">
        <f t="shared" si="39"/>
        <v>#REF!</v>
      </c>
      <c r="AD206" s="30"/>
      <c r="AE206" s="21" t="str">
        <f t="shared" si="43"/>
        <v/>
      </c>
      <c r="AF206" s="74"/>
      <c r="AG206" s="57"/>
      <c r="AH206" s="57"/>
      <c r="AI206" s="58"/>
      <c r="AJ206" s="20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0" t="str">
        <f t="shared" si="50"/>
        <v>86-5</v>
      </c>
      <c r="BS206" s="112">
        <f>OOC!G206</f>
        <v>0.03</v>
      </c>
      <c r="BT206" s="112">
        <f>OOC!H206</f>
        <v>-0.03</v>
      </c>
      <c r="BU206" s="3" t="e">
        <f t="shared" si="51"/>
        <v>#REF!</v>
      </c>
      <c r="BV206" s="3" t="e">
        <f t="shared" si="52"/>
        <v>#REF!</v>
      </c>
      <c r="BW206" s="3" t="e">
        <f t="shared" si="53"/>
        <v>#REF!</v>
      </c>
      <c r="BX206" s="109" t="e">
        <f>IF(AND(IF(OOC!G206="",0,OOC!G206) &gt;= IF(O206="",0,O206), IF(O206="",0,O206) &gt; IF(L206="",0,L206)), "OOC",
IF(AND(IF(M206="",0,M206) &gt; IF(P206="",0,P206), IF(P206="",0,P206) &gt;= IF(OOC!H206="",0,OOC!H206)), "OOC",
IF(IF(O206="",0,O206) &gt; IF(OOC!G206="",0,OOC!G206), "OOS",
IF(IF(OOC!H206="",0,OOC!H206) &gt; IF(P206="",0,P206), "OOS", "OK"))))</f>
        <v>#REF!</v>
      </c>
    </row>
    <row r="207" spans="1:76" ht="15" customHeight="1">
      <c r="A207" s="18">
        <v>30</v>
      </c>
      <c r="B207" s="84"/>
      <c r="C207" s="90" t="s">
        <v>199</v>
      </c>
      <c r="D207" s="22" t="s">
        <v>60</v>
      </c>
      <c r="E207" s="86"/>
      <c r="F207" s="13" t="s">
        <v>28</v>
      </c>
      <c r="G207" s="14">
        <v>0</v>
      </c>
      <c r="H207" s="82" t="str">
        <f>IF(OOC!S207=0,"",OOC!S207)</f>
        <v/>
      </c>
      <c r="I207" s="82" t="str">
        <f>IF(OOC!T207=0,"",OOC!T207)</f>
        <v/>
      </c>
      <c r="J207" s="16" t="s">
        <v>12</v>
      </c>
      <c r="K207" s="73" t="s">
        <v>52</v>
      </c>
      <c r="L207" s="19" t="e">
        <f t="shared" si="40"/>
        <v>#VALUE!</v>
      </c>
      <c r="M207" s="25" t="e">
        <f t="shared" si="41"/>
        <v>#VALUE!</v>
      </c>
      <c r="N207" s="29"/>
      <c r="O207" s="3" t="e">
        <f t="shared" si="54"/>
        <v>#REF!</v>
      </c>
      <c r="P207" s="3" t="e">
        <f t="shared" si="55"/>
        <v>#REF!</v>
      </c>
      <c r="Q207" s="3" t="e">
        <f t="shared" si="56"/>
        <v>#REF!</v>
      </c>
      <c r="R207" s="4" t="e">
        <f t="shared" si="57"/>
        <v>#REF!</v>
      </c>
      <c r="S207" s="5" t="e">
        <f t="shared" si="49"/>
        <v>#REF!</v>
      </c>
      <c r="T207" s="76" t="e">
        <f t="shared" si="48"/>
        <v>#REF!</v>
      </c>
      <c r="U207" s="76" t="e">
        <f t="shared" si="42"/>
        <v>#REF!</v>
      </c>
      <c r="V207" s="5" t="e">
        <f t="shared" si="44"/>
        <v>#REF!</v>
      </c>
      <c r="W207" s="5" t="e">
        <f t="shared" si="45"/>
        <v>#REF!</v>
      </c>
      <c r="X207" s="5" t="e">
        <f t="shared" si="46"/>
        <v>#REF!</v>
      </c>
      <c r="Y207" s="70" t="e">
        <f t="shared" si="47"/>
        <v>#REF!</v>
      </c>
      <c r="Z207" s="32" t="e">
        <f t="shared" si="36"/>
        <v>#REF!</v>
      </c>
      <c r="AA207" s="32" t="e">
        <f t="shared" si="37"/>
        <v>#REF!</v>
      </c>
      <c r="AB207" s="32" t="e">
        <f t="shared" si="38"/>
        <v>#REF!</v>
      </c>
      <c r="AC207" s="32" t="e">
        <f t="shared" si="39"/>
        <v>#REF!</v>
      </c>
      <c r="AD207" s="30"/>
      <c r="AE207" s="21" t="str">
        <f t="shared" si="43"/>
        <v/>
      </c>
      <c r="AF207" s="74"/>
      <c r="AG207" s="57"/>
      <c r="AH207" s="57"/>
      <c r="AI207" s="58"/>
      <c r="AJ207" s="20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0" t="str">
        <f t="shared" si="50"/>
        <v>86-6</v>
      </c>
      <c r="BS207" s="112">
        <f>OOC!G207</f>
        <v>0.03</v>
      </c>
      <c r="BT207" s="112">
        <f>OOC!H207</f>
        <v>-0.03</v>
      </c>
      <c r="BU207" s="3" t="e">
        <f t="shared" si="51"/>
        <v>#REF!</v>
      </c>
      <c r="BV207" s="3" t="e">
        <f t="shared" si="52"/>
        <v>#REF!</v>
      </c>
      <c r="BW207" s="3" t="e">
        <f t="shared" si="53"/>
        <v>#REF!</v>
      </c>
      <c r="BX207" s="109" t="e">
        <f>IF(AND(IF(OOC!G207="",0,OOC!G207) &gt;= IF(O207="",0,O207), IF(O207="",0,O207) &gt; IF(L207="",0,L207)), "OOC",
IF(AND(IF(M207="",0,M207) &gt; IF(P207="",0,P207), IF(P207="",0,P207) &gt;= IF(OOC!H207="",0,OOC!H207)), "OOC",
IF(IF(O207="",0,O207) &gt; IF(OOC!G207="",0,OOC!G207), "OOS",
IF(IF(OOC!H207="",0,OOC!H207) &gt; IF(P207="",0,P207), "OOS", "OK"))))</f>
        <v>#REF!</v>
      </c>
    </row>
    <row r="208" spans="1:76" ht="15" customHeight="1">
      <c r="A208" s="18"/>
      <c r="B208" s="84"/>
      <c r="C208" s="90"/>
      <c r="D208" s="22"/>
      <c r="E208" s="86"/>
      <c r="F208" s="13"/>
      <c r="G208" s="14"/>
      <c r="H208" s="82"/>
      <c r="I208" s="82"/>
      <c r="J208" s="16"/>
      <c r="K208" s="73"/>
      <c r="L208" s="19"/>
      <c r="M208" s="25"/>
      <c r="N208" s="29"/>
      <c r="O208" s="3"/>
      <c r="P208" s="3"/>
      <c r="Q208" s="3"/>
      <c r="R208" s="4"/>
      <c r="S208" s="5"/>
      <c r="T208" s="76"/>
      <c r="U208" s="76"/>
      <c r="V208" s="5"/>
      <c r="W208" s="5"/>
      <c r="X208" s="5"/>
      <c r="Y208" s="70"/>
      <c r="Z208" s="32"/>
      <c r="AA208" s="32"/>
      <c r="AB208" s="32"/>
      <c r="AC208" s="32"/>
      <c r="AD208" s="30"/>
      <c r="AE208" s="21"/>
      <c r="AF208" s="74"/>
      <c r="AG208" s="57"/>
      <c r="AH208" s="57"/>
      <c r="AI208" s="58"/>
      <c r="AJ208" s="20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0"/>
      <c r="BS208" s="112"/>
      <c r="BT208" s="112"/>
      <c r="BU208" s="3"/>
      <c r="BV208" s="3"/>
      <c r="BW208" s="3"/>
      <c r="BX208" s="109"/>
    </row>
    <row r="209" spans="1:1015 1056:1869 2171:3038 3202:3267" ht="15" customHeight="1">
      <c r="A209" s="18"/>
      <c r="B209" s="84"/>
      <c r="C209" s="90"/>
      <c r="D209" s="22"/>
      <c r="E209" s="86"/>
      <c r="F209" s="13"/>
      <c r="G209" s="14"/>
      <c r="H209" s="82"/>
      <c r="I209" s="82"/>
      <c r="J209" s="16"/>
      <c r="K209" s="73"/>
      <c r="L209" s="19"/>
      <c r="M209" s="25"/>
      <c r="N209" s="29"/>
      <c r="O209" s="3"/>
      <c r="P209" s="3"/>
      <c r="Q209" s="3"/>
      <c r="R209" s="4"/>
      <c r="S209" s="5"/>
      <c r="T209" s="76"/>
      <c r="U209" s="76"/>
      <c r="V209" s="5"/>
      <c r="W209" s="5"/>
      <c r="X209" s="5"/>
      <c r="Y209" s="70"/>
      <c r="Z209" s="32"/>
      <c r="AA209" s="32"/>
      <c r="AB209" s="32"/>
      <c r="AC209" s="32"/>
      <c r="AD209" s="30"/>
      <c r="AE209" s="21"/>
      <c r="AF209" s="74"/>
      <c r="AG209" s="57"/>
      <c r="AH209" s="57"/>
      <c r="AI209" s="58"/>
      <c r="AJ209" s="20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0"/>
      <c r="BS209" s="112"/>
      <c r="BT209" s="112"/>
      <c r="BU209" s="3"/>
      <c r="BV209" s="3"/>
      <c r="BW209" s="3"/>
      <c r="BX209" s="109"/>
    </row>
    <row r="210" spans="1:1015 1056:1869 2171:3038 3202:3267" ht="15" customHeight="1">
      <c r="A210" s="18">
        <v>40</v>
      </c>
      <c r="B210" s="84" t="s">
        <v>209</v>
      </c>
      <c r="C210" s="75" t="s">
        <v>211</v>
      </c>
      <c r="D210" s="22" t="s">
        <v>210</v>
      </c>
      <c r="E210" s="71">
        <v>1.33</v>
      </c>
      <c r="F210" s="13" t="s">
        <v>28</v>
      </c>
      <c r="G210" s="14">
        <v>3.6999999999999998E-2</v>
      </c>
      <c r="H210" s="82" t="str">
        <f>IF(OOC!S210=0,"",OOC!S210)</f>
        <v/>
      </c>
      <c r="I210" s="82" t="str">
        <f>IF(OOC!T210=0,"",OOC!T210)</f>
        <v/>
      </c>
      <c r="J210" s="16" t="s">
        <v>12</v>
      </c>
      <c r="K210" s="73" t="s">
        <v>52</v>
      </c>
      <c r="L210" s="19" t="e">
        <f t="shared" si="40"/>
        <v>#VALUE!</v>
      </c>
      <c r="M210" s="25" t="e">
        <f t="shared" si="41"/>
        <v>#VALUE!</v>
      </c>
      <c r="N210" s="29"/>
      <c r="O210" s="3" t="e">
        <f>IF(OR($AK210="",ISNUMBER($AK210)=FALSE),"",MAX(AK210:BP210))</f>
        <v>#REF!</v>
      </c>
      <c r="P210" s="3" t="e">
        <f>IF(OR($AK210="",ISNUMBER($AK210)=FALSE),"",MIN(AK210:BP210))</f>
        <v>#REF!</v>
      </c>
      <c r="Q210" s="3" t="e">
        <f>IF(OR($AK210="",ISNUMBER($AK210)=FALSE),"",AVERAGE(AK210:BP210))</f>
        <v>#REF!</v>
      </c>
      <c r="R210" s="4" t="e">
        <f>IF(OR($AK210="",ISNUMBER($AK210)=FALSE),"",STDEV(AK210:BP210))</f>
        <v>#REF!</v>
      </c>
      <c r="S210" s="5" t="e">
        <f t="shared" si="49"/>
        <v>#REF!</v>
      </c>
      <c r="T210" s="76" t="e">
        <f t="shared" si="48"/>
        <v>#REF!</v>
      </c>
      <c r="U210" s="76" t="e">
        <f t="shared" si="42"/>
        <v>#REF!</v>
      </c>
      <c r="V210" s="5" t="e">
        <f t="shared" si="44"/>
        <v>#REF!</v>
      </c>
      <c r="W210" s="5" t="e">
        <f t="shared" si="45"/>
        <v>#REF!</v>
      </c>
      <c r="X210" s="5" t="e">
        <f t="shared" si="46"/>
        <v>#REF!</v>
      </c>
      <c r="Y210" s="70" t="e">
        <f t="shared" si="47"/>
        <v>#REF!</v>
      </c>
      <c r="Z210" s="32" t="e">
        <f t="shared" si="36"/>
        <v>#REF!</v>
      </c>
      <c r="AA210" s="32" t="e">
        <f t="shared" si="37"/>
        <v>#REF!</v>
      </c>
      <c r="AB210" s="32" t="e">
        <f t="shared" si="38"/>
        <v>#REF!</v>
      </c>
      <c r="AC210" s="32" t="e">
        <f t="shared" si="39"/>
        <v>#REF!</v>
      </c>
      <c r="AD210" s="30"/>
      <c r="AE210" s="21" t="str">
        <f t="shared" si="43"/>
        <v/>
      </c>
      <c r="AF210" s="74"/>
      <c r="AG210" s="57"/>
      <c r="AH210" s="57"/>
      <c r="AI210" s="58"/>
      <c r="AJ210" s="20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 t="e">
        <f>#REF!</f>
        <v>#REF!</v>
      </c>
      <c r="AO210" s="2" t="e">
        <f>#REF!</f>
        <v>#REF!</v>
      </c>
      <c r="AP210" s="2" t="e">
        <f>#REF!</f>
        <v>#REF!</v>
      </c>
      <c r="AQ210" s="2" t="e">
        <f>#REF!</f>
        <v>#REF!</v>
      </c>
      <c r="AR210" s="2" t="e">
        <f>#REF!</f>
        <v>#REF!</v>
      </c>
      <c r="AS210" s="2" t="e">
        <f>#REF!</f>
        <v>#REF!</v>
      </c>
      <c r="AT210" s="2" t="e">
        <f>#REF!</f>
        <v>#REF!</v>
      </c>
      <c r="AU210" s="2" t="e">
        <f>#REF!</f>
        <v>#REF!</v>
      </c>
      <c r="AV210" s="2" t="e">
        <f>#REF!</f>
        <v>#REF!</v>
      </c>
      <c r="AW210" s="2" t="e">
        <f>#REF!</f>
        <v>#REF!</v>
      </c>
      <c r="AX210" s="2" t="e">
        <f>#REF!</f>
        <v>#REF!</v>
      </c>
      <c r="AY210" s="2" t="e">
        <f>#REF!</f>
        <v>#REF!</v>
      </c>
      <c r="AZ210" s="2" t="e">
        <f>#REF!</f>
        <v>#REF!</v>
      </c>
      <c r="BA210" s="2" t="e">
        <f>#REF!</f>
        <v>#REF!</v>
      </c>
      <c r="BB210" s="2" t="e">
        <f>#REF!</f>
        <v>#REF!</v>
      </c>
      <c r="BC210" s="2" t="e">
        <f>#REF!</f>
        <v>#REF!</v>
      </c>
      <c r="BD210" s="2" t="e">
        <f>#REF!</f>
        <v>#REF!</v>
      </c>
      <c r="BE210" s="2" t="e">
        <f>#REF!</f>
        <v>#REF!</v>
      </c>
      <c r="BF210" s="2" t="e">
        <f>#REF!</f>
        <v>#REF!</v>
      </c>
      <c r="BG210" s="2" t="e">
        <f>#REF!</f>
        <v>#REF!</v>
      </c>
      <c r="BH210" s="2" t="e">
        <f>#REF!</f>
        <v>#REF!</v>
      </c>
      <c r="BI210" s="2" t="e">
        <f>#REF!</f>
        <v>#REF!</v>
      </c>
      <c r="BJ210" s="2" t="e">
        <f>#REF!</f>
        <v>#REF!</v>
      </c>
      <c r="BK210" s="2" t="e">
        <f>#REF!</f>
        <v>#REF!</v>
      </c>
      <c r="BL210" s="2" t="e">
        <f>#REF!</f>
        <v>#REF!</v>
      </c>
      <c r="BM210" s="2" t="e">
        <f>#REF!</f>
        <v>#REF!</v>
      </c>
      <c r="BN210" s="2" t="e">
        <f>#REF!</f>
        <v>#REF!</v>
      </c>
      <c r="BO210" s="2" t="e">
        <f>#REF!</f>
        <v>#REF!</v>
      </c>
      <c r="BP210" s="2" t="e">
        <f>#REF!</f>
        <v>#REF!</v>
      </c>
      <c r="BR210" s="110" t="str">
        <f t="shared" si="50"/>
        <v>90-1</v>
      </c>
      <c r="BS210" s="112">
        <f>OOC!G210</f>
        <v>7.2000000000000008E-2</v>
      </c>
      <c r="BT210" s="112">
        <f>OOC!H210</f>
        <v>1.9999999999999948E-3</v>
      </c>
      <c r="BU210" s="3" t="e">
        <f t="shared" si="51"/>
        <v>#REF!</v>
      </c>
      <c r="BV210" s="3" t="e">
        <f t="shared" si="52"/>
        <v>#REF!</v>
      </c>
      <c r="BW210" s="3" t="e">
        <f t="shared" si="53"/>
        <v>#REF!</v>
      </c>
      <c r="BX210" s="109" t="e">
        <f>IF(AND(IF(OOC!G210="",0,OOC!G210) &gt;= IF(O210="",0,O210), IF(O210="",0,O210) &gt; IF(L210="",0,L210)), "OOC",
IF(AND(IF(M210="",0,M210) &gt; IF(P210="",0,P210), IF(P210="",0,P210) &gt;= IF(OOC!H210="",0,OOC!H210)), "OOC",
IF(IF(O210="",0,O210) &gt; IF(OOC!G210="",0,OOC!G210), "OOS",
IF(IF(OOC!H210="",0,OOC!H210) &gt; IF(P210="",0,P210), "OOS", "OK"))))</f>
        <v>#REF!</v>
      </c>
    </row>
    <row r="211" spans="1:1015 1056:1869 2171:3038 3202:3267" ht="15" customHeight="1">
      <c r="A211" s="18">
        <v>41</v>
      </c>
      <c r="B211" s="84" t="s">
        <v>209</v>
      </c>
      <c r="C211" s="75" t="s">
        <v>212</v>
      </c>
      <c r="D211" s="22" t="s">
        <v>210</v>
      </c>
      <c r="E211" s="71">
        <v>1.33</v>
      </c>
      <c r="F211" s="13" t="s">
        <v>28</v>
      </c>
      <c r="G211" s="14">
        <v>3.6999999999999998E-2</v>
      </c>
      <c r="H211" s="82" t="str">
        <f>IF(OOC!S211=0,"",OOC!S211)</f>
        <v/>
      </c>
      <c r="I211" s="82" t="str">
        <f>IF(OOC!T211=0,"",OOC!T211)</f>
        <v/>
      </c>
      <c r="J211" s="16" t="s">
        <v>12</v>
      </c>
      <c r="K211" s="73" t="s">
        <v>52</v>
      </c>
      <c r="L211" s="19" t="e">
        <f t="shared" si="40"/>
        <v>#VALUE!</v>
      </c>
      <c r="M211" s="25" t="e">
        <f t="shared" si="41"/>
        <v>#VALUE!</v>
      </c>
      <c r="N211" s="29"/>
      <c r="O211" s="3" t="e">
        <f>IF(OR($AK211="",ISNUMBER($AK211)=FALSE),"",MAX(AK211:BP211))</f>
        <v>#REF!</v>
      </c>
      <c r="P211" s="3" t="e">
        <f>IF(OR($AK211="",ISNUMBER($AK211)=FALSE),"",MIN(AK211:BP211))</f>
        <v>#REF!</v>
      </c>
      <c r="Q211" s="3" t="e">
        <f>IF(OR($AK211="",ISNUMBER($AK211)=FALSE),"",AVERAGE(AK211:BP211))</f>
        <v>#REF!</v>
      </c>
      <c r="R211" s="4" t="e">
        <f>IF(OR($AK211="",ISNUMBER($AK211)=FALSE),"",STDEV(AK211:BP211))</f>
        <v>#REF!</v>
      </c>
      <c r="S211" s="5" t="e">
        <f t="shared" si="49"/>
        <v>#REF!</v>
      </c>
      <c r="T211" s="76" t="e">
        <f t="shared" si="48"/>
        <v>#REF!</v>
      </c>
      <c r="U211" s="76" t="e">
        <f t="shared" si="42"/>
        <v>#REF!</v>
      </c>
      <c r="V211" s="5" t="e">
        <f t="shared" si="44"/>
        <v>#REF!</v>
      </c>
      <c r="W211" s="5" t="e">
        <f t="shared" si="45"/>
        <v>#REF!</v>
      </c>
      <c r="X211" s="5" t="e">
        <f t="shared" si="46"/>
        <v>#REF!</v>
      </c>
      <c r="Y211" s="70" t="e">
        <f t="shared" si="47"/>
        <v>#REF!</v>
      </c>
      <c r="Z211" s="32" t="e">
        <f t="shared" si="36"/>
        <v>#REF!</v>
      </c>
      <c r="AA211" s="32" t="e">
        <f t="shared" si="37"/>
        <v>#REF!</v>
      </c>
      <c r="AB211" s="32" t="e">
        <f t="shared" si="38"/>
        <v>#REF!</v>
      </c>
      <c r="AC211" s="32" t="e">
        <f t="shared" si="39"/>
        <v>#REF!</v>
      </c>
      <c r="AD211" s="30"/>
      <c r="AE211" s="21" t="str">
        <f t="shared" si="43"/>
        <v/>
      </c>
      <c r="AF211" s="74"/>
      <c r="AG211" s="57"/>
      <c r="AH211" s="57"/>
      <c r="AI211" s="58"/>
      <c r="AJ211" s="20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 t="e">
        <f>#REF!</f>
        <v>#REF!</v>
      </c>
      <c r="AO211" s="2" t="e">
        <f>#REF!</f>
        <v>#REF!</v>
      </c>
      <c r="AP211" s="2" t="e">
        <f>#REF!</f>
        <v>#REF!</v>
      </c>
      <c r="AQ211" s="2" t="e">
        <f>#REF!</f>
        <v>#REF!</v>
      </c>
      <c r="AR211" s="2" t="e">
        <f>#REF!</f>
        <v>#REF!</v>
      </c>
      <c r="AS211" s="2" t="e">
        <f>#REF!</f>
        <v>#REF!</v>
      </c>
      <c r="AT211" s="2" t="e">
        <f>#REF!</f>
        <v>#REF!</v>
      </c>
      <c r="AU211" s="2" t="e">
        <f>#REF!</f>
        <v>#REF!</v>
      </c>
      <c r="AV211" s="2" t="e">
        <f>#REF!</f>
        <v>#REF!</v>
      </c>
      <c r="AW211" s="2" t="e">
        <f>#REF!</f>
        <v>#REF!</v>
      </c>
      <c r="AX211" s="2" t="e">
        <f>#REF!</f>
        <v>#REF!</v>
      </c>
      <c r="AY211" s="2" t="e">
        <f>#REF!</f>
        <v>#REF!</v>
      </c>
      <c r="AZ211" s="2" t="e">
        <f>#REF!</f>
        <v>#REF!</v>
      </c>
      <c r="BA211" s="2" t="e">
        <f>#REF!</f>
        <v>#REF!</v>
      </c>
      <c r="BB211" s="2" t="e">
        <f>#REF!</f>
        <v>#REF!</v>
      </c>
      <c r="BC211" s="2" t="e">
        <f>#REF!</f>
        <v>#REF!</v>
      </c>
      <c r="BD211" s="2" t="e">
        <f>#REF!</f>
        <v>#REF!</v>
      </c>
      <c r="BE211" s="2" t="e">
        <f>#REF!</f>
        <v>#REF!</v>
      </c>
      <c r="BF211" s="2" t="e">
        <f>#REF!</f>
        <v>#REF!</v>
      </c>
      <c r="BG211" s="2" t="e">
        <f>#REF!</f>
        <v>#REF!</v>
      </c>
      <c r="BH211" s="2" t="e">
        <f>#REF!</f>
        <v>#REF!</v>
      </c>
      <c r="BI211" s="2" t="e">
        <f>#REF!</f>
        <v>#REF!</v>
      </c>
      <c r="BJ211" s="2" t="e">
        <f>#REF!</f>
        <v>#REF!</v>
      </c>
      <c r="BK211" s="2" t="e">
        <f>#REF!</f>
        <v>#REF!</v>
      </c>
      <c r="BL211" s="2" t="e">
        <f>#REF!</f>
        <v>#REF!</v>
      </c>
      <c r="BM211" s="2" t="e">
        <f>#REF!</f>
        <v>#REF!</v>
      </c>
      <c r="BN211" s="2" t="e">
        <f>#REF!</f>
        <v>#REF!</v>
      </c>
      <c r="BO211" s="2" t="e">
        <f>#REF!</f>
        <v>#REF!</v>
      </c>
      <c r="BP211" s="2" t="e">
        <f>#REF!</f>
        <v>#REF!</v>
      </c>
      <c r="BR211" s="110" t="str">
        <f t="shared" si="50"/>
        <v>90-2</v>
      </c>
      <c r="BS211" s="112">
        <f>OOC!G211</f>
        <v>7.2000000000000008E-2</v>
      </c>
      <c r="BT211" s="112">
        <f>OOC!H211</f>
        <v>1.9999999999999948E-3</v>
      </c>
      <c r="BU211" s="3" t="e">
        <f t="shared" si="51"/>
        <v>#REF!</v>
      </c>
      <c r="BV211" s="3" t="e">
        <f t="shared" si="52"/>
        <v>#REF!</v>
      </c>
      <c r="BW211" s="3" t="e">
        <f t="shared" si="53"/>
        <v>#REF!</v>
      </c>
      <c r="BX211" s="109" t="e">
        <f>IF(AND(IF(OOC!G211="",0,OOC!G211) &gt;= IF(O211="",0,O211), IF(O211="",0,O211) &gt; IF(L211="",0,L211)), "OOC",
IF(AND(IF(M211="",0,M211) &gt; IF(P211="",0,P211), IF(P211="",0,P211) &gt;= IF(OOC!H211="",0,OOC!H211)), "OOC",
IF(IF(O211="",0,O211) &gt; IF(OOC!G211="",0,OOC!G211), "OOS",
IF(IF(OOC!H211="",0,OOC!H211) &gt; IF(P211="",0,P211), "OOS", "OK"))))</f>
        <v>#REF!</v>
      </c>
    </row>
    <row r="212" spans="1:1015 1056:1869 2171:3038 3202:3267" ht="15" customHeight="1">
      <c r="A212" s="18"/>
      <c r="B212" s="84" t="s">
        <v>209</v>
      </c>
      <c r="C212" s="75" t="s">
        <v>225</v>
      </c>
      <c r="D212" s="22" t="s">
        <v>210</v>
      </c>
      <c r="E212" s="71">
        <v>1.33</v>
      </c>
      <c r="F212" s="13" t="s">
        <v>28</v>
      </c>
      <c r="G212" s="14">
        <v>3.6999999999999998E-2</v>
      </c>
      <c r="H212" s="82">
        <f>IF(OOC!S212=0,"",OOC!S212)</f>
        <v>3.5000000000000003E-2</v>
      </c>
      <c r="I212" s="82">
        <f>IF(OOC!T212=0,"",OOC!T212)</f>
        <v>-3.5000000000000003E-2</v>
      </c>
      <c r="J212" s="16" t="s">
        <v>12</v>
      </c>
      <c r="K212" s="73" t="s">
        <v>52</v>
      </c>
      <c r="L212" s="19">
        <f t="shared" si="40"/>
        <v>7.2000000000000008E-2</v>
      </c>
      <c r="M212" s="25">
        <f t="shared" si="41"/>
        <v>1.9999999999999948E-3</v>
      </c>
      <c r="N212" s="29"/>
      <c r="O212" s="3" t="e">
        <f>IF(OR($AK212="",ISNUMBER($AK212)=FALSE),"",MAX(AK212:BP212))</f>
        <v>#REF!</v>
      </c>
      <c r="P212" s="3" t="e">
        <f>IF(OR($AK212="",ISNUMBER($AK212)=FALSE),"",MIN(AK212:BP212))</f>
        <v>#REF!</v>
      </c>
      <c r="Q212" s="3" t="e">
        <f>IF(OR($AK212="",ISNUMBER($AK212)=FALSE),"",AVERAGE(AK212:BP212))</f>
        <v>#REF!</v>
      </c>
      <c r="R212" s="4" t="e">
        <f>IF(OR($AK212="",ISNUMBER($AK212)=FALSE),"",STDEV(AK212:BP212))</f>
        <v>#REF!</v>
      </c>
      <c r="S212" s="5" t="e">
        <f t="shared" si="49"/>
        <v>#REF!</v>
      </c>
      <c r="T212" s="76" t="e">
        <f t="shared" si="48"/>
        <v>#REF!</v>
      </c>
      <c r="U212" s="76" t="e">
        <f t="shared" si="42"/>
        <v>#REF!</v>
      </c>
      <c r="V212" s="5" t="e">
        <f t="shared" si="44"/>
        <v>#REF!</v>
      </c>
      <c r="W212" s="5" t="e">
        <f t="shared" si="45"/>
        <v>#REF!</v>
      </c>
      <c r="X212" s="5" t="e">
        <f t="shared" si="46"/>
        <v>#REF!</v>
      </c>
      <c r="Y212" s="70" t="e">
        <f t="shared" si="47"/>
        <v>#REF!</v>
      </c>
      <c r="Z212" s="32"/>
      <c r="AA212" s="32"/>
      <c r="AB212" s="32"/>
      <c r="AC212" s="32"/>
      <c r="AD212" s="30"/>
      <c r="AE212" s="21"/>
      <c r="AF212" s="74"/>
      <c r="AG212" s="57"/>
      <c r="AH212" s="57"/>
      <c r="AI212" s="58"/>
      <c r="AJ212" s="20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0" t="str">
        <f t="shared" si="50"/>
        <v>90-1 (DC)</v>
      </c>
      <c r="BS212" s="112">
        <f>OOC!G212</f>
        <v>7.2000000000000008E-2</v>
      </c>
      <c r="BT212" s="112">
        <f>OOC!H212</f>
        <v>1.9999999999999948E-3</v>
      </c>
      <c r="BU212" s="3" t="e">
        <f t="shared" si="51"/>
        <v>#REF!</v>
      </c>
      <c r="BV212" s="3" t="e">
        <f t="shared" si="52"/>
        <v>#REF!</v>
      </c>
      <c r="BW212" s="3" t="e">
        <f t="shared" si="53"/>
        <v>#REF!</v>
      </c>
      <c r="BX212" s="109"/>
    </row>
    <row r="213" spans="1:1015 1056:1869 2171:3038 3202:3267" ht="15" customHeight="1">
      <c r="A213" s="18"/>
      <c r="B213" s="84" t="s">
        <v>209</v>
      </c>
      <c r="C213" s="75" t="s">
        <v>226</v>
      </c>
      <c r="D213" s="22" t="s">
        <v>210</v>
      </c>
      <c r="E213" s="71">
        <v>1.33</v>
      </c>
      <c r="F213" s="13" t="s">
        <v>28</v>
      </c>
      <c r="G213" s="14">
        <v>3.6999999999999998E-2</v>
      </c>
      <c r="H213" s="82">
        <f>IF(OOC!S213=0,"",OOC!S213)</f>
        <v>3.5000000000000003E-2</v>
      </c>
      <c r="I213" s="82">
        <f>IF(OOC!T213=0,"",OOC!T213)</f>
        <v>-3.5000000000000003E-2</v>
      </c>
      <c r="J213" s="16" t="s">
        <v>12</v>
      </c>
      <c r="K213" s="73" t="s">
        <v>52</v>
      </c>
      <c r="L213" s="19">
        <f t="shared" si="40"/>
        <v>7.2000000000000008E-2</v>
      </c>
      <c r="M213" s="25">
        <f t="shared" si="41"/>
        <v>1.9999999999999948E-3</v>
      </c>
      <c r="N213" s="29"/>
      <c r="O213" s="3" t="e">
        <f>IF(OR($AK213="",ISNUMBER($AK213)=FALSE),"",MAX(AK213:BP213))</f>
        <v>#REF!</v>
      </c>
      <c r="P213" s="3" t="e">
        <f>IF(OR($AK213="",ISNUMBER($AK213)=FALSE),"",MIN(AK213:BP213))</f>
        <v>#REF!</v>
      </c>
      <c r="Q213" s="3" t="e">
        <f>IF(OR($AK213="",ISNUMBER($AK213)=FALSE),"",AVERAGE(AK213:BP213))</f>
        <v>#REF!</v>
      </c>
      <c r="R213" s="4" t="e">
        <f>IF(OR($AK213="",ISNUMBER($AK213)=FALSE),"",STDEV(AK213:BP213))</f>
        <v>#REF!</v>
      </c>
      <c r="S213" s="5" t="e">
        <f t="shared" si="49"/>
        <v>#REF!</v>
      </c>
      <c r="T213" s="76" t="e">
        <f t="shared" si="48"/>
        <v>#REF!</v>
      </c>
      <c r="U213" s="76" t="e">
        <f t="shared" si="42"/>
        <v>#REF!</v>
      </c>
      <c r="V213" s="5" t="e">
        <f t="shared" si="44"/>
        <v>#REF!</v>
      </c>
      <c r="W213" s="5" t="e">
        <f t="shared" si="45"/>
        <v>#REF!</v>
      </c>
      <c r="X213" s="5" t="e">
        <f t="shared" si="46"/>
        <v>#REF!</v>
      </c>
      <c r="Y213" s="70" t="e">
        <f t="shared" si="47"/>
        <v>#REF!</v>
      </c>
      <c r="Z213" s="32"/>
      <c r="AA213" s="32"/>
      <c r="AB213" s="32"/>
      <c r="AC213" s="32"/>
      <c r="AD213" s="30"/>
      <c r="AE213" s="21"/>
      <c r="AF213" s="74"/>
      <c r="AG213" s="57"/>
      <c r="AH213" s="57"/>
      <c r="AI213" s="58"/>
      <c r="AJ213" s="20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0" t="str">
        <f t="shared" si="50"/>
        <v>90-2 (DC)</v>
      </c>
      <c r="BS213" s="112">
        <f>OOC!G213</f>
        <v>7.2000000000000008E-2</v>
      </c>
      <c r="BT213" s="112">
        <f>OOC!H213</f>
        <v>1.9999999999999948E-3</v>
      </c>
      <c r="BU213" s="3" t="e">
        <f t="shared" si="51"/>
        <v>#REF!</v>
      </c>
      <c r="BV213" s="3" t="e">
        <f t="shared" si="52"/>
        <v>#REF!</v>
      </c>
      <c r="BW213" s="3" t="e">
        <f t="shared" si="53"/>
        <v>#REF!</v>
      </c>
      <c r="BX213" s="109"/>
    </row>
    <row r="214" spans="1:1015 1056:1869 2171:3038 3202:3267" ht="15" customHeight="1">
      <c r="A214" s="18">
        <v>7</v>
      </c>
      <c r="B214" s="84" t="s">
        <v>213</v>
      </c>
      <c r="C214" s="88">
        <v>91</v>
      </c>
      <c r="D214" s="80" t="s">
        <v>58</v>
      </c>
      <c r="E214" s="86">
        <v>1.5</v>
      </c>
      <c r="F214" s="13" t="s">
        <v>27</v>
      </c>
      <c r="G214" s="14"/>
      <c r="H214" s="82" t="str">
        <f>IF(OOC!S214=0,"",OOC!S214)</f>
        <v/>
      </c>
      <c r="I214" s="82" t="str">
        <f>IF(OOC!T214=0,"",OOC!T214)</f>
        <v/>
      </c>
      <c r="J214" s="16" t="s">
        <v>12</v>
      </c>
      <c r="K214" s="73" t="s">
        <v>52</v>
      </c>
      <c r="L214" s="19" t="str">
        <f t="shared" si="40"/>
        <v/>
      </c>
      <c r="M214" s="25" t="str">
        <f t="shared" si="41"/>
        <v/>
      </c>
      <c r="N214" s="28"/>
      <c r="O214" s="3" t="e">
        <f>IF(OR($AK214="",ISNUMBER($AK214)=FALSE),"",MAX(AK214:BP214))</f>
        <v>#REF!</v>
      </c>
      <c r="P214" s="3" t="e">
        <f>IF(OR($AK214="",ISNUMBER($AK214)=FALSE),"",MIN(AK214:BP214))</f>
        <v>#REF!</v>
      </c>
      <c r="Q214" s="3" t="e">
        <f>IF(OR($AK214="",ISNUMBER($AK214)=FALSE),"",AVERAGE(AK214:BP214))</f>
        <v>#REF!</v>
      </c>
      <c r="R214" s="4" t="e">
        <f>IF(OR($AK214="",ISNUMBER($AK214)=FALSE),"",STDEV(AK214:BP214))</f>
        <v>#REF!</v>
      </c>
      <c r="S214" s="5" t="e">
        <f t="shared" si="49"/>
        <v>#REF!</v>
      </c>
      <c r="T214" s="76" t="e">
        <f>IF(OR($AK214="",ISNUMBER($AK214)=FALSE),"",IF(AND($F214="Tolerance",$G214&lt;&gt;""),($Q214-$G214)/(($L214-$M214)/2),IF(AND($F214="GD&amp;T",$H214&lt;&gt;""),$Q214/$H214,"")))</f>
        <v>#REF!</v>
      </c>
      <c r="U214" s="76" t="e">
        <f t="shared" si="42"/>
        <v>#REF!</v>
      </c>
      <c r="V214" s="5" t="e">
        <f>IF(OR($AK214="",ISNUMBER($AK214)=FALSE),"",IF(H214="","",(L214-Q214)/(3*R214)))</f>
        <v>#REF!</v>
      </c>
      <c r="W214" s="5" t="e">
        <f>IF(OR($AK214="",ISNUMBER($AK214)=FALSE),"",IF(I214="","",(Q214-M214)/(3*R214)))</f>
        <v>#REF!</v>
      </c>
      <c r="X214" s="5" t="e">
        <f>IF(OR($AK214="",ISNUMBER($AK214)=FALSE),"",IF(AND(G214=0,I214=0),((H214)-(Q214))/(3*R214),MIN(V214:W214)))</f>
        <v>#REF!</v>
      </c>
      <c r="Y214" s="70" t="e">
        <f>IF(OR($AK214="",ISNUMBER($AK214)=FALSE),"",IF(AND(G214=0,I214=0),NORMSDIST(3*X214),NORMSDIST(3*X214)+NORMSDIST(6*S214-3*X214)-1))</f>
        <v>#REF!</v>
      </c>
      <c r="Z214" s="32" t="e">
        <f t="shared" si="36"/>
        <v>#REF!</v>
      </c>
      <c r="AA214" s="32" t="e">
        <f t="shared" si="37"/>
        <v>#REF!</v>
      </c>
      <c r="AB214" s="32" t="e">
        <f t="shared" si="38"/>
        <v>#REF!</v>
      </c>
      <c r="AC214" s="32" t="e">
        <f t="shared" si="39"/>
        <v>#REF!</v>
      </c>
      <c r="AD214" s="30"/>
      <c r="AE214" s="21" t="str">
        <f t="shared" si="43"/>
        <v/>
      </c>
      <c r="AF214" s="74"/>
      <c r="AG214" s="57"/>
      <c r="AH214" s="57"/>
      <c r="AI214" s="58"/>
      <c r="AJ214" s="23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0">
        <f t="shared" si="50"/>
        <v>91</v>
      </c>
      <c r="BS214" s="112">
        <f>OOC!G214</f>
        <v>3.5000000000000003E-2</v>
      </c>
      <c r="BT214" s="112" t="str">
        <f>OOC!H214</f>
        <v/>
      </c>
      <c r="BU214" s="3" t="e">
        <f t="shared" si="51"/>
        <v>#REF!</v>
      </c>
      <c r="BV214" s="3" t="e">
        <f t="shared" si="52"/>
        <v>#REF!</v>
      </c>
      <c r="BW214" s="3" t="e">
        <f t="shared" si="53"/>
        <v>#REF!</v>
      </c>
      <c r="BX214" s="109" t="e">
        <f>IF(AND(IF(OOC!G214="",0,OOC!G214) &gt;= IF(O214="",0,O214), IF(O214="",0,O214) &gt; IF(L214="",0,L214)), "OOC",
IF(AND(IF(M214="",0,M214) &gt; IF(P214="",0,P214), IF(P214="",0,P214) &gt;= IF(OOC!H214="",0,OOC!H214)), "OOC",
IF(IF(O214="",0,O214) &gt; IF(OOC!G214="",0,OOC!G214), "OOS",
IF(IF(OOC!H214="",0,OOC!H214) &gt; IF(P214="",0,P214), "OOS", "OK"))))</f>
        <v>#REF!</v>
      </c>
      <c r="CR214" s="78"/>
      <c r="FT214" s="78"/>
      <c r="HH214" s="78"/>
      <c r="NB214" s="78"/>
      <c r="NO214" s="78"/>
      <c r="QE214" s="78"/>
      <c r="WV214" s="78"/>
      <c r="XV214" s="78"/>
      <c r="AAF214" s="78"/>
      <c r="ABP214" s="78"/>
      <c r="ACD214" s="78"/>
      <c r="ADK214" s="78"/>
      <c r="AHN214" s="78"/>
      <c r="AJD214" s="78"/>
      <c r="ALA214" s="78"/>
      <c r="AMA214" s="78"/>
      <c r="ANP214" s="78"/>
      <c r="AON214" s="78"/>
      <c r="AOR214" s="78"/>
      <c r="APH214" s="78"/>
      <c r="APO214" s="78"/>
      <c r="APP214" s="78"/>
      <c r="AQR214" s="78"/>
      <c r="ATC214" s="78"/>
      <c r="AZB214" s="78"/>
      <c r="BBD214" s="78"/>
      <c r="BCD214" s="78"/>
      <c r="BDV214" s="78"/>
      <c r="BEQ214" s="78"/>
      <c r="BQX214" s="78"/>
      <c r="BSW214" s="78"/>
      <c r="CEM214" s="78"/>
      <c r="CFJ214" s="78"/>
      <c r="CKW214" s="78"/>
      <c r="CWH214" s="78"/>
      <c r="DLV214" s="78"/>
      <c r="DSD214" s="78"/>
      <c r="DSO214" s="78"/>
      <c r="DTN214" s="78"/>
      <c r="DUQ214" s="78"/>
    </row>
    <row r="215" spans="1:1015 1056:1869 2171:3038 3202:3267" ht="15" customHeight="1">
      <c r="A215" s="18"/>
      <c r="B215" s="84"/>
      <c r="C215" s="88"/>
      <c r="D215" s="80"/>
      <c r="E215" s="86"/>
      <c r="F215" s="13"/>
      <c r="G215" s="14"/>
      <c r="H215" s="82"/>
      <c r="I215" s="82"/>
      <c r="J215" s="16"/>
      <c r="K215" s="73"/>
      <c r="L215" s="19"/>
      <c r="M215" s="25"/>
      <c r="N215" s="28"/>
      <c r="O215" s="3"/>
      <c r="P215" s="3"/>
      <c r="Q215" s="3"/>
      <c r="R215" s="4"/>
      <c r="S215" s="5"/>
      <c r="T215" s="76"/>
      <c r="U215" s="76"/>
      <c r="V215" s="5"/>
      <c r="W215" s="5"/>
      <c r="X215" s="5"/>
      <c r="Y215" s="70"/>
      <c r="Z215" s="32"/>
      <c r="AA215" s="32"/>
      <c r="AB215" s="32"/>
      <c r="AC215" s="32"/>
      <c r="AD215" s="30"/>
      <c r="AE215" s="21"/>
      <c r="AF215" s="74"/>
      <c r="AG215" s="57"/>
      <c r="AH215" s="57"/>
      <c r="AI215" s="58"/>
      <c r="AJ215" s="23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R215" s="110"/>
      <c r="BS215" s="112"/>
      <c r="BT215" s="112"/>
      <c r="BU215" s="3"/>
      <c r="BV215" s="3"/>
      <c r="BW215" s="3"/>
      <c r="BX215" s="109"/>
      <c r="CR215" s="78"/>
      <c r="FT215" s="78"/>
      <c r="HH215" s="78"/>
      <c r="NB215" s="78"/>
      <c r="NO215" s="78"/>
      <c r="QE215" s="78"/>
      <c r="WV215" s="78"/>
      <c r="XV215" s="78"/>
      <c r="AAF215" s="78"/>
      <c r="ABP215" s="78"/>
      <c r="ACD215" s="78"/>
      <c r="ADK215" s="78"/>
      <c r="AHN215" s="78"/>
      <c r="AJD215" s="78"/>
      <c r="ALA215" s="78"/>
      <c r="AMA215" s="78"/>
      <c r="ANP215" s="78"/>
      <c r="AON215" s="78"/>
      <c r="AOR215" s="78"/>
      <c r="APH215" s="78"/>
      <c r="APO215" s="78"/>
      <c r="APP215" s="78"/>
      <c r="AQR215" s="78"/>
      <c r="ATC215" s="78"/>
      <c r="AZB215" s="78"/>
      <c r="BBD215" s="78"/>
      <c r="BCD215" s="78"/>
      <c r="BDV215" s="78"/>
      <c r="BEQ215" s="78"/>
      <c r="BQX215" s="78"/>
      <c r="BSW215" s="78"/>
      <c r="CEM215" s="78"/>
      <c r="CFJ215" s="78"/>
      <c r="CKW215" s="78"/>
      <c r="CWH215" s="78"/>
      <c r="DLV215" s="78"/>
      <c r="DSD215" s="78"/>
      <c r="DSO215" s="78"/>
      <c r="DTN215" s="78"/>
      <c r="DUQ215" s="78"/>
    </row>
    <row r="216" spans="1:1015 1056:1869 2171:3038 3202:3267" ht="15" customHeight="1">
      <c r="A216" s="18"/>
      <c r="B216" s="84"/>
      <c r="C216" s="88"/>
      <c r="D216" s="80"/>
      <c r="E216" s="86"/>
      <c r="F216" s="13"/>
      <c r="G216" s="14"/>
      <c r="H216" s="82"/>
      <c r="I216" s="82"/>
      <c r="J216" s="16"/>
      <c r="K216" s="73"/>
      <c r="L216" s="19"/>
      <c r="M216" s="25"/>
      <c r="N216" s="28"/>
      <c r="O216" s="3"/>
      <c r="P216" s="3"/>
      <c r="Q216" s="3"/>
      <c r="R216" s="4"/>
      <c r="S216" s="5"/>
      <c r="T216" s="76"/>
      <c r="U216" s="76"/>
      <c r="V216" s="5"/>
      <c r="W216" s="5"/>
      <c r="X216" s="5"/>
      <c r="Y216" s="70"/>
      <c r="Z216" s="32"/>
      <c r="AA216" s="32"/>
      <c r="AB216" s="32"/>
      <c r="AC216" s="32"/>
      <c r="AD216" s="30"/>
      <c r="AE216" s="21"/>
      <c r="AF216" s="74"/>
      <c r="AG216" s="57"/>
      <c r="AH216" s="57"/>
      <c r="AI216" s="58"/>
      <c r="AJ216" s="23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R216" s="110"/>
      <c r="BS216" s="112"/>
      <c r="BT216" s="112"/>
      <c r="BU216" s="3"/>
      <c r="BV216" s="3"/>
      <c r="BW216" s="3"/>
      <c r="BX216" s="109"/>
      <c r="CR216" s="78"/>
      <c r="FT216" s="78"/>
      <c r="HH216" s="78"/>
      <c r="NB216" s="78"/>
      <c r="NO216" s="78"/>
      <c r="QE216" s="78"/>
      <c r="WV216" s="78"/>
      <c r="XV216" s="78"/>
      <c r="AAF216" s="78"/>
      <c r="ABP216" s="78"/>
      <c r="ACD216" s="78"/>
      <c r="ADK216" s="78"/>
      <c r="AHN216" s="78"/>
      <c r="AJD216" s="78"/>
      <c r="ALA216" s="78"/>
      <c r="AMA216" s="78"/>
      <c r="ANP216" s="78"/>
      <c r="AON216" s="78"/>
      <c r="AOR216" s="78"/>
      <c r="APH216" s="78"/>
      <c r="APO216" s="78"/>
      <c r="APP216" s="78"/>
      <c r="AQR216" s="78"/>
      <c r="ATC216" s="78"/>
      <c r="AZB216" s="78"/>
      <c r="BBD216" s="78"/>
      <c r="BCD216" s="78"/>
      <c r="BDV216" s="78"/>
      <c r="BEQ216" s="78"/>
      <c r="BQX216" s="78"/>
      <c r="BSW216" s="78"/>
      <c r="CEM216" s="78"/>
      <c r="CFJ216" s="78"/>
      <c r="CKW216" s="78"/>
      <c r="CWH216" s="78"/>
      <c r="DLV216" s="78"/>
      <c r="DSD216" s="78"/>
      <c r="DSO216" s="78"/>
      <c r="DTN216" s="78"/>
      <c r="DUQ216" s="78"/>
    </row>
    <row r="217" spans="1:1015 1056:1869 2171:3038 3202:3267" ht="15" customHeight="1">
      <c r="A217" s="18"/>
      <c r="B217" s="84"/>
      <c r="C217" s="88"/>
      <c r="D217" s="80"/>
      <c r="E217" s="86"/>
      <c r="F217" s="13"/>
      <c r="G217" s="14"/>
      <c r="H217" s="82"/>
      <c r="I217" s="82"/>
      <c r="J217" s="16"/>
      <c r="K217" s="73"/>
      <c r="L217" s="19"/>
      <c r="M217" s="25"/>
      <c r="N217" s="28"/>
      <c r="O217" s="3"/>
      <c r="P217" s="3"/>
      <c r="Q217" s="3"/>
      <c r="R217" s="4"/>
      <c r="S217" s="5"/>
      <c r="T217" s="76"/>
      <c r="U217" s="76"/>
      <c r="V217" s="5"/>
      <c r="W217" s="5"/>
      <c r="X217" s="5"/>
      <c r="Y217" s="70"/>
      <c r="Z217" s="32"/>
      <c r="AA217" s="32"/>
      <c r="AB217" s="32"/>
      <c r="AC217" s="32"/>
      <c r="AD217" s="30"/>
      <c r="AE217" s="21"/>
      <c r="AF217" s="74"/>
      <c r="AG217" s="57"/>
      <c r="AH217" s="57"/>
      <c r="AI217" s="58"/>
      <c r="AJ217" s="23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R217" s="110"/>
      <c r="BS217" s="112"/>
      <c r="BT217" s="112"/>
      <c r="BU217" s="3"/>
      <c r="BV217" s="3"/>
      <c r="BW217" s="3"/>
      <c r="BX217" s="109"/>
      <c r="CR217" s="78"/>
      <c r="FT217" s="78"/>
      <c r="HH217" s="78"/>
      <c r="NB217" s="78"/>
      <c r="NO217" s="78"/>
      <c r="QE217" s="78"/>
      <c r="WV217" s="78"/>
      <c r="XV217" s="78"/>
      <c r="AAF217" s="78"/>
      <c r="ABP217" s="78"/>
      <c r="ACD217" s="78"/>
      <c r="ADK217" s="78"/>
      <c r="AHN217" s="78"/>
      <c r="AJD217" s="78"/>
      <c r="ALA217" s="78"/>
      <c r="AMA217" s="78"/>
      <c r="ANP217" s="78"/>
      <c r="AON217" s="78"/>
      <c r="AOR217" s="78"/>
      <c r="APH217" s="78"/>
      <c r="APO217" s="78"/>
      <c r="APP217" s="78"/>
      <c r="AQR217" s="78"/>
      <c r="ATC217" s="78"/>
      <c r="AZB217" s="78"/>
      <c r="BBD217" s="78"/>
      <c r="BCD217" s="78"/>
      <c r="BDV217" s="78"/>
      <c r="BEQ217" s="78"/>
      <c r="BQX217" s="78"/>
      <c r="BSW217" s="78"/>
      <c r="CEM217" s="78"/>
      <c r="CFJ217" s="78"/>
      <c r="CKW217" s="78"/>
      <c r="CWH217" s="78"/>
      <c r="DLV217" s="78"/>
      <c r="DSD217" s="78"/>
      <c r="DSO217" s="78"/>
      <c r="DTN217" s="78"/>
      <c r="DUQ217" s="78"/>
    </row>
    <row r="218" spans="1:1015 1056:1869 2171:3038 3202:3267" ht="15" customHeight="1">
      <c r="A218" s="18"/>
      <c r="B218" s="84"/>
      <c r="C218" s="88"/>
      <c r="D218" s="80"/>
      <c r="E218" s="86"/>
      <c r="F218" s="13"/>
      <c r="G218" s="14"/>
      <c r="H218" s="82"/>
      <c r="I218" s="82"/>
      <c r="J218" s="16"/>
      <c r="K218" s="73"/>
      <c r="L218" s="19"/>
      <c r="M218" s="25"/>
      <c r="N218" s="28"/>
      <c r="O218" s="3"/>
      <c r="P218" s="3"/>
      <c r="Q218" s="3"/>
      <c r="R218" s="4"/>
      <c r="S218" s="5"/>
      <c r="T218" s="76"/>
      <c r="U218" s="76"/>
      <c r="V218" s="5"/>
      <c r="W218" s="5"/>
      <c r="X218" s="5"/>
      <c r="Y218" s="70"/>
      <c r="Z218" s="32"/>
      <c r="AA218" s="32"/>
      <c r="AB218" s="32"/>
      <c r="AC218" s="32"/>
      <c r="AD218" s="30"/>
      <c r="AE218" s="21"/>
      <c r="AF218" s="74"/>
      <c r="AG218" s="57"/>
      <c r="AH218" s="57"/>
      <c r="AI218" s="58"/>
      <c r="AJ218" s="23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0"/>
      <c r="BS218" s="112"/>
      <c r="BT218" s="112"/>
      <c r="BU218" s="3"/>
      <c r="BV218" s="3"/>
      <c r="BW218" s="3"/>
      <c r="BX218" s="109"/>
      <c r="CR218" s="78"/>
      <c r="FT218" s="78"/>
      <c r="HH218" s="78"/>
      <c r="NB218" s="78"/>
      <c r="NO218" s="78"/>
      <c r="QE218" s="78"/>
      <c r="WV218" s="78"/>
      <c r="XV218" s="78"/>
      <c r="AAF218" s="78"/>
      <c r="ABP218" s="78"/>
      <c r="ACD218" s="78"/>
      <c r="ADK218" s="78"/>
      <c r="AHN218" s="78"/>
      <c r="AJD218" s="78"/>
      <c r="ALA218" s="78"/>
      <c r="AMA218" s="78"/>
      <c r="ANP218" s="78"/>
      <c r="AON218" s="78"/>
      <c r="AOR218" s="78"/>
      <c r="APH218" s="78"/>
      <c r="APO218" s="78"/>
      <c r="APP218" s="78"/>
      <c r="AQR218" s="78"/>
      <c r="ATC218" s="78"/>
      <c r="AZB218" s="78"/>
      <c r="BBD218" s="78"/>
      <c r="BCD218" s="78"/>
      <c r="BDV218" s="78"/>
      <c r="BEQ218" s="78"/>
      <c r="BQX218" s="78"/>
      <c r="BSW218" s="78"/>
      <c r="CEM218" s="78"/>
      <c r="CFJ218" s="78"/>
      <c r="CKW218" s="78"/>
      <c r="CWH218" s="78"/>
      <c r="DLV218" s="78"/>
      <c r="DSD218" s="78"/>
      <c r="DSO218" s="78"/>
      <c r="DTN218" s="78"/>
      <c r="DUQ218" s="78"/>
    </row>
    <row r="219" spans="1:1015 1056:1869 2171:3038 3202:3267" ht="15" customHeight="1">
      <c r="A219" s="18">
        <v>7</v>
      </c>
      <c r="B219" s="84" t="s">
        <v>214</v>
      </c>
      <c r="C219" s="88">
        <v>92</v>
      </c>
      <c r="D219" s="80" t="s">
        <v>58</v>
      </c>
      <c r="E219" s="86">
        <v>1.5</v>
      </c>
      <c r="F219" s="13" t="s">
        <v>27</v>
      </c>
      <c r="G219" s="14"/>
      <c r="H219" s="82" t="str">
        <f>IF(OOC!S219=0,"",OOC!S219)</f>
        <v/>
      </c>
      <c r="I219" s="82" t="str">
        <f>IF(OOC!T219=0,"",OOC!T219)</f>
        <v/>
      </c>
      <c r="J219" s="16" t="s">
        <v>12</v>
      </c>
      <c r="K219" s="73" t="s">
        <v>52</v>
      </c>
      <c r="L219" s="19" t="str">
        <f t="shared" si="40"/>
        <v/>
      </c>
      <c r="M219" s="25" t="str">
        <f t="shared" si="41"/>
        <v/>
      </c>
      <c r="N219" s="28"/>
      <c r="O219" s="3" t="e">
        <f>IF(OR($AK219="",ISNUMBER($AK219)=FALSE),"",MAX(AK219:BP219))</f>
        <v>#REF!</v>
      </c>
      <c r="P219" s="3" t="e">
        <f>IF(OR($AK219="",ISNUMBER($AK219)=FALSE),"",MIN(AK219:BP219))</f>
        <v>#REF!</v>
      </c>
      <c r="Q219" s="3" t="e">
        <f>IF(OR($AK219="",ISNUMBER($AK219)=FALSE),"",AVERAGE(AK219:BP219))</f>
        <v>#REF!</v>
      </c>
      <c r="R219" s="4" t="e">
        <f>IF(OR($AK219="",ISNUMBER($AK219)=FALSE),"",STDEV(AK219:BP219))</f>
        <v>#REF!</v>
      </c>
      <c r="S219" s="5" t="e">
        <f t="shared" si="49"/>
        <v>#REF!</v>
      </c>
      <c r="T219" s="76" t="e">
        <f>IF(OR($AK219="",ISNUMBER($AK219)=FALSE),"",IF(AND($F219="Tolerance",$G219&lt;&gt;""),($Q219-$G219)/(($L219-$M219)/2),IF(AND($F219="GD&amp;T",$H219&lt;&gt;""),$Q219/$H219,"")))</f>
        <v>#REF!</v>
      </c>
      <c r="U219" s="76" t="e">
        <f t="shared" si="42"/>
        <v>#REF!</v>
      </c>
      <c r="V219" s="5" t="e">
        <f>IF(OR($AK219="",ISNUMBER($AK219)=FALSE),"",IF(H219="","",(L219-Q219)/(3*R219)))</f>
        <v>#REF!</v>
      </c>
      <c r="W219" s="5" t="e">
        <f>IF(OR($AK219="",ISNUMBER($AK219)=FALSE),"",IF(I219="","",(Q219-M219)/(3*R219)))</f>
        <v>#REF!</v>
      </c>
      <c r="X219" s="5" t="e">
        <f>IF(OR($AK219="",ISNUMBER($AK219)=FALSE),"",IF(AND(G219=0,I219=0),((H219)-(Q219))/(3*R219),MIN(V219:W219)))</f>
        <v>#REF!</v>
      </c>
      <c r="Y219" s="70" t="e">
        <f>IF(OR($AK219="",ISNUMBER($AK219)=FALSE),"",IF(AND(G219=0,I219=0),NORMSDIST(3*X219),NORMSDIST(3*X219)+NORMSDIST(6*S219-3*X219)-1))</f>
        <v>#REF!</v>
      </c>
      <c r="Z219" s="32" t="e">
        <f t="shared" si="36"/>
        <v>#REF!</v>
      </c>
      <c r="AA219" s="32" t="e">
        <f t="shared" si="37"/>
        <v>#REF!</v>
      </c>
      <c r="AB219" s="32" t="e">
        <f t="shared" si="38"/>
        <v>#REF!</v>
      </c>
      <c r="AC219" s="32" t="e">
        <f t="shared" si="39"/>
        <v>#REF!</v>
      </c>
      <c r="AD219" s="30"/>
      <c r="AE219" s="21" t="str">
        <f t="shared" si="43"/>
        <v/>
      </c>
      <c r="AF219" s="74"/>
      <c r="AG219" s="57"/>
      <c r="AH219" s="57"/>
      <c r="AI219" s="58"/>
      <c r="AJ219" s="23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0">
        <f t="shared" si="50"/>
        <v>92</v>
      </c>
      <c r="BS219" s="112">
        <f>OOC!G219</f>
        <v>5.0999999999999997E-2</v>
      </c>
      <c r="BT219" s="112" t="str">
        <f>OOC!H219</f>
        <v/>
      </c>
      <c r="BU219" s="3" t="e">
        <f t="shared" si="51"/>
        <v>#REF!</v>
      </c>
      <c r="BV219" s="3" t="e">
        <f t="shared" si="52"/>
        <v>#REF!</v>
      </c>
      <c r="BW219" s="3" t="e">
        <f t="shared" si="53"/>
        <v>#REF!</v>
      </c>
      <c r="BX219" s="109" t="e">
        <f>IF(AND(IF(OOC!G219="",0,OOC!G219) &gt;= IF(O219="",0,O219), IF(O219="",0,O219) &gt; IF(L219="",0,L219)), "OOC",
IF(AND(IF(M219="",0,M219) &gt; IF(P219="",0,P219), IF(P219="",0,P219) &gt;= IF(OOC!H219="",0,OOC!H219)), "OOC",
IF(IF(O219="",0,O219) &gt; IF(OOC!G219="",0,OOC!G219), "OOS",
IF(IF(OOC!H219="",0,OOC!H219) &gt; IF(P219="",0,P219), "OOS", "OK"))))</f>
        <v>#REF!</v>
      </c>
      <c r="CR219" s="78"/>
      <c r="FT219" s="78"/>
      <c r="HH219" s="78"/>
      <c r="NB219" s="78"/>
      <c r="NO219" s="78"/>
      <c r="QE219" s="78"/>
      <c r="WV219" s="78"/>
      <c r="XV219" s="78"/>
      <c r="AAF219" s="78"/>
      <c r="ABP219" s="78"/>
      <c r="ACD219" s="78"/>
      <c r="ADK219" s="78"/>
      <c r="AHN219" s="78"/>
      <c r="AJD219" s="78"/>
      <c r="ALA219" s="78"/>
      <c r="AMA219" s="78"/>
      <c r="ANP219" s="78"/>
      <c r="AON219" s="78"/>
      <c r="AOR219" s="78"/>
      <c r="APH219" s="78"/>
      <c r="APO219" s="78"/>
      <c r="APP219" s="78"/>
      <c r="AQR219" s="78"/>
      <c r="ATC219" s="78"/>
      <c r="AZB219" s="78"/>
      <c r="BBD219" s="78"/>
      <c r="BCD219" s="78"/>
      <c r="BDV219" s="78"/>
      <c r="BEQ219" s="78"/>
      <c r="BQX219" s="78"/>
      <c r="BSW219" s="78"/>
      <c r="CEM219" s="78"/>
      <c r="CFJ219" s="78"/>
      <c r="CKW219" s="78"/>
      <c r="CWH219" s="78"/>
      <c r="DLV219" s="78"/>
      <c r="DSD219" s="78"/>
      <c r="DSO219" s="78"/>
      <c r="DTN219" s="78"/>
      <c r="DUQ219" s="78"/>
    </row>
    <row r="220" spans="1:1015 1056:1869 2171:3038 3202:3267" ht="15" customHeight="1">
      <c r="A220" s="18"/>
      <c r="B220" s="84"/>
      <c r="C220" s="88"/>
      <c r="D220" s="80"/>
      <c r="E220" s="86"/>
      <c r="F220" s="13"/>
      <c r="G220" s="14"/>
      <c r="H220" s="82"/>
      <c r="I220" s="82"/>
      <c r="J220" s="16"/>
      <c r="K220" s="73"/>
      <c r="L220" s="19"/>
      <c r="M220" s="25"/>
      <c r="N220" s="28"/>
      <c r="O220" s="3"/>
      <c r="P220" s="3"/>
      <c r="Q220" s="3"/>
      <c r="R220" s="4"/>
      <c r="S220" s="5"/>
      <c r="T220" s="76"/>
      <c r="U220" s="76"/>
      <c r="V220" s="5"/>
      <c r="W220" s="5"/>
      <c r="X220" s="5"/>
      <c r="Y220" s="70"/>
      <c r="Z220" s="32"/>
      <c r="AA220" s="32"/>
      <c r="AB220" s="32"/>
      <c r="AC220" s="32"/>
      <c r="AD220" s="30"/>
      <c r="AE220" s="21"/>
      <c r="AF220" s="74"/>
      <c r="AG220" s="57"/>
      <c r="AH220" s="57"/>
      <c r="AI220" s="58"/>
      <c r="AJ220" s="23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R220" s="110"/>
      <c r="BS220" s="112"/>
      <c r="BT220" s="112"/>
      <c r="BU220" s="3"/>
      <c r="BV220" s="3"/>
      <c r="BW220" s="3"/>
      <c r="BX220" s="109"/>
      <c r="CR220" s="78"/>
      <c r="FT220" s="78"/>
      <c r="HH220" s="78"/>
      <c r="NB220" s="78"/>
      <c r="NO220" s="78"/>
      <c r="QE220" s="78"/>
      <c r="WV220" s="78"/>
      <c r="XV220" s="78"/>
      <c r="AAF220" s="78"/>
      <c r="ABP220" s="78"/>
      <c r="ACD220" s="78"/>
      <c r="ADK220" s="78"/>
      <c r="AHN220" s="78"/>
      <c r="AJD220" s="78"/>
      <c r="ALA220" s="78"/>
      <c r="AMA220" s="78"/>
      <c r="ANP220" s="78"/>
      <c r="AON220" s="78"/>
      <c r="AOR220" s="78"/>
      <c r="APH220" s="78"/>
      <c r="APO220" s="78"/>
      <c r="APP220" s="78"/>
      <c r="AQR220" s="78"/>
      <c r="ATC220" s="78"/>
      <c r="AZB220" s="78"/>
      <c r="BBD220" s="78"/>
      <c r="BCD220" s="78"/>
      <c r="BDV220" s="78"/>
      <c r="BEQ220" s="78"/>
      <c r="BQX220" s="78"/>
      <c r="BSW220" s="78"/>
      <c r="CEM220" s="78"/>
      <c r="CFJ220" s="78"/>
      <c r="CKW220" s="78"/>
      <c r="CWH220" s="78"/>
      <c r="DLV220" s="78"/>
      <c r="DSD220" s="78"/>
      <c r="DSO220" s="78"/>
      <c r="DTN220" s="78"/>
      <c r="DUQ220" s="78"/>
    </row>
    <row r="221" spans="1:1015 1056:1869 2171:3038 3202:3267" ht="15" customHeight="1">
      <c r="A221" s="18"/>
      <c r="B221" s="84"/>
      <c r="C221" s="88"/>
      <c r="D221" s="80"/>
      <c r="E221" s="86"/>
      <c r="F221" s="13"/>
      <c r="G221" s="14"/>
      <c r="H221" s="82"/>
      <c r="I221" s="82"/>
      <c r="J221" s="16"/>
      <c r="K221" s="73"/>
      <c r="L221" s="19"/>
      <c r="M221" s="25"/>
      <c r="N221" s="28"/>
      <c r="O221" s="3"/>
      <c r="P221" s="3"/>
      <c r="Q221" s="3"/>
      <c r="R221" s="4"/>
      <c r="S221" s="5"/>
      <c r="T221" s="76"/>
      <c r="U221" s="76"/>
      <c r="V221" s="5"/>
      <c r="W221" s="5"/>
      <c r="X221" s="5"/>
      <c r="Y221" s="70"/>
      <c r="Z221" s="32"/>
      <c r="AA221" s="32"/>
      <c r="AB221" s="32"/>
      <c r="AC221" s="32"/>
      <c r="AD221" s="30"/>
      <c r="AE221" s="21"/>
      <c r="AF221" s="74"/>
      <c r="AG221" s="57"/>
      <c r="AH221" s="57"/>
      <c r="AI221" s="58"/>
      <c r="AJ221" s="23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R221" s="110"/>
      <c r="BS221" s="112"/>
      <c r="BT221" s="112"/>
      <c r="BU221" s="3"/>
      <c r="BV221" s="3"/>
      <c r="BW221" s="3"/>
      <c r="BX221" s="109"/>
      <c r="CR221" s="78"/>
      <c r="FT221" s="78"/>
      <c r="HH221" s="78"/>
      <c r="NB221" s="78"/>
      <c r="NO221" s="78"/>
      <c r="QE221" s="78"/>
      <c r="WV221" s="78"/>
      <c r="XV221" s="78"/>
      <c r="AAF221" s="78"/>
      <c r="ABP221" s="78"/>
      <c r="ACD221" s="78"/>
      <c r="ADK221" s="78"/>
      <c r="AHN221" s="78"/>
      <c r="AJD221" s="78"/>
      <c r="ALA221" s="78"/>
      <c r="AMA221" s="78"/>
      <c r="ANP221" s="78"/>
      <c r="AON221" s="78"/>
      <c r="AOR221" s="78"/>
      <c r="APH221" s="78"/>
      <c r="APO221" s="78"/>
      <c r="APP221" s="78"/>
      <c r="AQR221" s="78"/>
      <c r="ATC221" s="78"/>
      <c r="AZB221" s="78"/>
      <c r="BBD221" s="78"/>
      <c r="BCD221" s="78"/>
      <c r="BDV221" s="78"/>
      <c r="BEQ221" s="78"/>
      <c r="BQX221" s="78"/>
      <c r="BSW221" s="78"/>
      <c r="CEM221" s="78"/>
      <c r="CFJ221" s="78"/>
      <c r="CKW221" s="78"/>
      <c r="CWH221" s="78"/>
      <c r="DLV221" s="78"/>
      <c r="DSD221" s="78"/>
      <c r="DSO221" s="78"/>
      <c r="DTN221" s="78"/>
      <c r="DUQ221" s="78"/>
    </row>
    <row r="222" spans="1:1015 1056:1869 2171:3038 3202:3267" ht="15" customHeight="1">
      <c r="A222" s="18"/>
      <c r="B222" s="84"/>
      <c r="C222" s="88"/>
      <c r="D222" s="80"/>
      <c r="E222" s="86"/>
      <c r="F222" s="13"/>
      <c r="G222" s="14"/>
      <c r="H222" s="82"/>
      <c r="I222" s="82"/>
      <c r="J222" s="16"/>
      <c r="K222" s="73"/>
      <c r="L222" s="19"/>
      <c r="M222" s="25"/>
      <c r="N222" s="28"/>
      <c r="O222" s="3"/>
      <c r="P222" s="3"/>
      <c r="Q222" s="3"/>
      <c r="R222" s="4"/>
      <c r="S222" s="5"/>
      <c r="T222" s="76"/>
      <c r="U222" s="76"/>
      <c r="V222" s="5"/>
      <c r="W222" s="5"/>
      <c r="X222" s="5"/>
      <c r="Y222" s="70"/>
      <c r="Z222" s="32"/>
      <c r="AA222" s="32"/>
      <c r="AB222" s="32"/>
      <c r="AC222" s="32"/>
      <c r="AD222" s="30"/>
      <c r="AE222" s="21"/>
      <c r="AF222" s="74"/>
      <c r="AG222" s="57"/>
      <c r="AH222" s="57"/>
      <c r="AI222" s="58"/>
      <c r="AJ222" s="23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R222" s="110"/>
      <c r="BS222" s="112"/>
      <c r="BT222" s="112"/>
      <c r="BU222" s="3"/>
      <c r="BV222" s="3"/>
      <c r="BW222" s="3"/>
      <c r="BX222" s="109"/>
      <c r="CR222" s="78"/>
      <c r="FT222" s="78"/>
      <c r="HH222" s="78"/>
      <c r="NB222" s="78"/>
      <c r="NO222" s="78"/>
      <c r="QE222" s="78"/>
      <c r="WV222" s="78"/>
      <c r="XV222" s="78"/>
      <c r="AAF222" s="78"/>
      <c r="ABP222" s="78"/>
      <c r="ACD222" s="78"/>
      <c r="ADK222" s="78"/>
      <c r="AHN222" s="78"/>
      <c r="AJD222" s="78"/>
      <c r="ALA222" s="78"/>
      <c r="AMA222" s="78"/>
      <c r="ANP222" s="78"/>
      <c r="AON222" s="78"/>
      <c r="AOR222" s="78"/>
      <c r="APH222" s="78"/>
      <c r="APO222" s="78"/>
      <c r="APP222" s="78"/>
      <c r="AQR222" s="78"/>
      <c r="ATC222" s="78"/>
      <c r="AZB222" s="78"/>
      <c r="BBD222" s="78"/>
      <c r="BCD222" s="78"/>
      <c r="BDV222" s="78"/>
      <c r="BEQ222" s="78"/>
      <c r="BQX222" s="78"/>
      <c r="BSW222" s="78"/>
      <c r="CEM222" s="78"/>
      <c r="CFJ222" s="78"/>
      <c r="CKW222" s="78"/>
      <c r="CWH222" s="78"/>
      <c r="DLV222" s="78"/>
      <c r="DSD222" s="78"/>
      <c r="DSO222" s="78"/>
      <c r="DTN222" s="78"/>
      <c r="DUQ222" s="78"/>
    </row>
    <row r="223" spans="1:1015 1056:1869 2171:3038 3202:3267" ht="15" customHeight="1">
      <c r="A223" s="18"/>
      <c r="B223" s="84"/>
      <c r="C223" s="88"/>
      <c r="D223" s="80"/>
      <c r="E223" s="86"/>
      <c r="F223" s="13"/>
      <c r="G223" s="14"/>
      <c r="H223" s="82"/>
      <c r="I223" s="82"/>
      <c r="J223" s="16"/>
      <c r="K223" s="73"/>
      <c r="L223" s="19"/>
      <c r="M223" s="25"/>
      <c r="N223" s="28"/>
      <c r="O223" s="3"/>
      <c r="P223" s="3"/>
      <c r="Q223" s="3"/>
      <c r="R223" s="4"/>
      <c r="S223" s="5"/>
      <c r="T223" s="76"/>
      <c r="U223" s="76"/>
      <c r="V223" s="5"/>
      <c r="W223" s="5"/>
      <c r="X223" s="5"/>
      <c r="Y223" s="70"/>
      <c r="Z223" s="32"/>
      <c r="AA223" s="32"/>
      <c r="AB223" s="32"/>
      <c r="AC223" s="32"/>
      <c r="AD223" s="30"/>
      <c r="AE223" s="21"/>
      <c r="AF223" s="74"/>
      <c r="AG223" s="57"/>
      <c r="AH223" s="57"/>
      <c r="AI223" s="58"/>
      <c r="AJ223" s="23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R223" s="110"/>
      <c r="BS223" s="112"/>
      <c r="BT223" s="112"/>
      <c r="BU223" s="3"/>
      <c r="BV223" s="3"/>
      <c r="BW223" s="3"/>
      <c r="BX223" s="109"/>
      <c r="CR223" s="78"/>
      <c r="FT223" s="78"/>
      <c r="HH223" s="78"/>
      <c r="NB223" s="78"/>
      <c r="NO223" s="78"/>
      <c r="QE223" s="78"/>
      <c r="WV223" s="78"/>
      <c r="XV223" s="78"/>
      <c r="AAF223" s="78"/>
      <c r="ABP223" s="78"/>
      <c r="ACD223" s="78"/>
      <c r="ADK223" s="78"/>
      <c r="AHN223" s="78"/>
      <c r="AJD223" s="78"/>
      <c r="ALA223" s="78"/>
      <c r="AMA223" s="78"/>
      <c r="ANP223" s="78"/>
      <c r="AON223" s="78"/>
      <c r="AOR223" s="78"/>
      <c r="APH223" s="78"/>
      <c r="APO223" s="78"/>
      <c r="APP223" s="78"/>
      <c r="AQR223" s="78"/>
      <c r="ATC223" s="78"/>
      <c r="AZB223" s="78"/>
      <c r="BBD223" s="78"/>
      <c r="BCD223" s="78"/>
      <c r="BDV223" s="78"/>
      <c r="BEQ223" s="78"/>
      <c r="BQX223" s="78"/>
      <c r="BSW223" s="78"/>
      <c r="CEM223" s="78"/>
      <c r="CFJ223" s="78"/>
      <c r="CKW223" s="78"/>
      <c r="CWH223" s="78"/>
      <c r="DLV223" s="78"/>
      <c r="DSD223" s="78"/>
      <c r="DSO223" s="78"/>
      <c r="DTN223" s="78"/>
      <c r="DUQ223" s="78"/>
    </row>
    <row r="224" spans="1:1015 1056:1869 2171:3038 3202:3267" ht="15" customHeight="1">
      <c r="A224" s="18"/>
      <c r="B224" s="84"/>
      <c r="C224" s="88"/>
      <c r="D224" s="80"/>
      <c r="E224" s="86"/>
      <c r="F224" s="13"/>
      <c r="G224" s="14"/>
      <c r="H224" s="82"/>
      <c r="I224" s="82"/>
      <c r="J224" s="16"/>
      <c r="K224" s="73"/>
      <c r="L224" s="19"/>
      <c r="M224" s="25"/>
      <c r="N224" s="28"/>
      <c r="O224" s="3"/>
      <c r="P224" s="3"/>
      <c r="Q224" s="3"/>
      <c r="R224" s="4"/>
      <c r="S224" s="5"/>
      <c r="T224" s="76"/>
      <c r="U224" s="76"/>
      <c r="V224" s="5"/>
      <c r="W224" s="5"/>
      <c r="X224" s="5"/>
      <c r="Y224" s="70"/>
      <c r="Z224" s="32"/>
      <c r="AA224" s="32"/>
      <c r="AB224" s="32"/>
      <c r="AC224" s="32"/>
      <c r="AD224" s="30"/>
      <c r="AE224" s="21"/>
      <c r="AF224" s="74"/>
      <c r="AG224" s="57"/>
      <c r="AH224" s="57"/>
      <c r="AI224" s="58"/>
      <c r="AJ224" s="23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R224" s="110"/>
      <c r="BS224" s="112"/>
      <c r="BT224" s="112"/>
      <c r="BU224" s="3"/>
      <c r="BV224" s="3"/>
      <c r="BW224" s="3"/>
      <c r="BX224" s="109"/>
      <c r="CR224" s="78"/>
      <c r="FT224" s="78"/>
      <c r="HH224" s="78"/>
      <c r="NB224" s="78"/>
      <c r="NO224" s="78"/>
      <c r="QE224" s="78"/>
      <c r="WV224" s="78"/>
      <c r="XV224" s="78"/>
      <c r="AAF224" s="78"/>
      <c r="ABP224" s="78"/>
      <c r="ACD224" s="78"/>
      <c r="ADK224" s="78"/>
      <c r="AHN224" s="78"/>
      <c r="AJD224" s="78"/>
      <c r="ALA224" s="78"/>
      <c r="AMA224" s="78"/>
      <c r="ANP224" s="78"/>
      <c r="AON224" s="78"/>
      <c r="AOR224" s="78"/>
      <c r="APH224" s="78"/>
      <c r="APO224" s="78"/>
      <c r="APP224" s="78"/>
      <c r="AQR224" s="78"/>
      <c r="ATC224" s="78"/>
      <c r="AZB224" s="78"/>
      <c r="BBD224" s="78"/>
      <c r="BCD224" s="78"/>
      <c r="BDV224" s="78"/>
      <c r="BEQ224" s="78"/>
      <c r="BQX224" s="78"/>
      <c r="BSW224" s="78"/>
      <c r="CEM224" s="78"/>
      <c r="CFJ224" s="78"/>
      <c r="CKW224" s="78"/>
      <c r="CWH224" s="78"/>
      <c r="DLV224" s="78"/>
      <c r="DSD224" s="78"/>
      <c r="DSO224" s="78"/>
      <c r="DTN224" s="78"/>
      <c r="DUQ224" s="78"/>
    </row>
    <row r="225" spans="1:1015 1056:1869 2171:3038 3202:3267" ht="15" customHeight="1">
      <c r="A225" s="18"/>
      <c r="B225" s="84"/>
      <c r="C225" s="88"/>
      <c r="D225" s="80"/>
      <c r="E225" s="86"/>
      <c r="F225" s="13"/>
      <c r="G225" s="14"/>
      <c r="H225" s="82"/>
      <c r="I225" s="82"/>
      <c r="J225" s="16"/>
      <c r="K225" s="73"/>
      <c r="L225" s="19"/>
      <c r="M225" s="25"/>
      <c r="N225" s="28"/>
      <c r="O225" s="3"/>
      <c r="P225" s="3"/>
      <c r="Q225" s="3"/>
      <c r="R225" s="4"/>
      <c r="S225" s="5"/>
      <c r="T225" s="76"/>
      <c r="U225" s="76"/>
      <c r="V225" s="5"/>
      <c r="W225" s="5"/>
      <c r="X225" s="5"/>
      <c r="Y225" s="70"/>
      <c r="Z225" s="32"/>
      <c r="AA225" s="32"/>
      <c r="AB225" s="32"/>
      <c r="AC225" s="32"/>
      <c r="AD225" s="30"/>
      <c r="AE225" s="21"/>
      <c r="AF225" s="74"/>
      <c r="AG225" s="57"/>
      <c r="AH225" s="57"/>
      <c r="AI225" s="58"/>
      <c r="AJ225" s="23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0"/>
      <c r="BS225" s="112"/>
      <c r="BT225" s="112"/>
      <c r="BU225" s="3"/>
      <c r="BV225" s="3"/>
      <c r="BW225" s="3"/>
      <c r="BX225" s="109"/>
      <c r="CR225" s="78"/>
      <c r="FT225" s="78"/>
      <c r="HH225" s="78"/>
      <c r="NB225" s="78"/>
      <c r="NO225" s="78"/>
      <c r="QE225" s="78"/>
      <c r="WV225" s="78"/>
      <c r="XV225" s="78"/>
      <c r="AAF225" s="78"/>
      <c r="ABP225" s="78"/>
      <c r="ACD225" s="78"/>
      <c r="ADK225" s="78"/>
      <c r="AHN225" s="78"/>
      <c r="AJD225" s="78"/>
      <c r="ALA225" s="78"/>
      <c r="AMA225" s="78"/>
      <c r="ANP225" s="78"/>
      <c r="AON225" s="78"/>
      <c r="AOR225" s="78"/>
      <c r="APH225" s="78"/>
      <c r="APO225" s="78"/>
      <c r="APP225" s="78"/>
      <c r="AQR225" s="78"/>
      <c r="ATC225" s="78"/>
      <c r="AZB225" s="78"/>
      <c r="BBD225" s="78"/>
      <c r="BCD225" s="78"/>
      <c r="BDV225" s="78"/>
      <c r="BEQ225" s="78"/>
      <c r="BQX225" s="78"/>
      <c r="BSW225" s="78"/>
      <c r="CEM225" s="78"/>
      <c r="CFJ225" s="78"/>
      <c r="CKW225" s="78"/>
      <c r="CWH225" s="78"/>
      <c r="DLV225" s="78"/>
      <c r="DSD225" s="78"/>
      <c r="DSO225" s="78"/>
      <c r="DTN225" s="78"/>
      <c r="DUQ225" s="78"/>
    </row>
    <row r="226" spans="1:1015 1056:1869 2171:3038 3202:3267" ht="15" customHeight="1">
      <c r="A226" s="18"/>
      <c r="B226" s="84"/>
      <c r="C226" s="88"/>
      <c r="D226" s="80"/>
      <c r="E226" s="86"/>
      <c r="F226" s="13"/>
      <c r="G226" s="14"/>
      <c r="H226" s="82"/>
      <c r="I226" s="82"/>
      <c r="J226" s="16"/>
      <c r="K226" s="73"/>
      <c r="L226" s="19"/>
      <c r="M226" s="25"/>
      <c r="N226" s="28"/>
      <c r="O226" s="3"/>
      <c r="P226" s="3"/>
      <c r="Q226" s="3"/>
      <c r="R226" s="4"/>
      <c r="S226" s="5"/>
      <c r="T226" s="76"/>
      <c r="U226" s="76"/>
      <c r="V226" s="5"/>
      <c r="W226" s="5"/>
      <c r="X226" s="5"/>
      <c r="Y226" s="70"/>
      <c r="Z226" s="32"/>
      <c r="AA226" s="32"/>
      <c r="AB226" s="32"/>
      <c r="AC226" s="32"/>
      <c r="AD226" s="30"/>
      <c r="AE226" s="21"/>
      <c r="AF226" s="74"/>
      <c r="AG226" s="57"/>
      <c r="AH226" s="57"/>
      <c r="AI226" s="58"/>
      <c r="AJ226" s="23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0"/>
      <c r="BS226" s="112"/>
      <c r="BT226" s="112"/>
      <c r="BU226" s="3"/>
      <c r="BV226" s="3"/>
      <c r="BW226" s="3"/>
      <c r="BX226" s="109"/>
      <c r="CR226" s="78"/>
      <c r="FT226" s="78"/>
      <c r="HH226" s="78"/>
      <c r="NB226" s="78"/>
      <c r="NO226" s="78"/>
      <c r="QE226" s="78"/>
      <c r="WV226" s="78"/>
      <c r="XV226" s="78"/>
      <c r="AAF226" s="78"/>
      <c r="ABP226" s="78"/>
      <c r="ACD226" s="78"/>
      <c r="ADK226" s="78"/>
      <c r="AHN226" s="78"/>
      <c r="AJD226" s="78"/>
      <c r="ALA226" s="78"/>
      <c r="AMA226" s="78"/>
      <c r="ANP226" s="78"/>
      <c r="AON226" s="78"/>
      <c r="AOR226" s="78"/>
      <c r="APH226" s="78"/>
      <c r="APO226" s="78"/>
      <c r="APP226" s="78"/>
      <c r="AQR226" s="78"/>
      <c r="ATC226" s="78"/>
      <c r="AZB226" s="78"/>
      <c r="BBD226" s="78"/>
      <c r="BCD226" s="78"/>
      <c r="BDV226" s="78"/>
      <c r="BEQ226" s="78"/>
      <c r="BQX226" s="78"/>
      <c r="BSW226" s="78"/>
      <c r="CEM226" s="78"/>
      <c r="CFJ226" s="78"/>
      <c r="CKW226" s="78"/>
      <c r="CWH226" s="78"/>
      <c r="DLV226" s="78"/>
      <c r="DSD226" s="78"/>
      <c r="DSO226" s="78"/>
      <c r="DTN226" s="78"/>
      <c r="DUQ226" s="78"/>
    </row>
    <row r="227" spans="1:1015 1056:1869 2171:3038 3202:3267" ht="15" customHeight="1">
      <c r="A227" s="18"/>
      <c r="B227" s="84"/>
      <c r="C227" s="88"/>
      <c r="D227" s="80"/>
      <c r="E227" s="86"/>
      <c r="F227" s="13"/>
      <c r="G227" s="14"/>
      <c r="H227" s="82"/>
      <c r="I227" s="82"/>
      <c r="J227" s="16"/>
      <c r="K227" s="73"/>
      <c r="L227" s="19"/>
      <c r="M227" s="25"/>
      <c r="N227" s="28"/>
      <c r="O227" s="3"/>
      <c r="P227" s="3"/>
      <c r="Q227" s="3"/>
      <c r="R227" s="4"/>
      <c r="S227" s="5"/>
      <c r="T227" s="76"/>
      <c r="U227" s="76"/>
      <c r="V227" s="5"/>
      <c r="W227" s="5"/>
      <c r="X227" s="5"/>
      <c r="Y227" s="70"/>
      <c r="Z227" s="32"/>
      <c r="AA227" s="32"/>
      <c r="AB227" s="32"/>
      <c r="AC227" s="32"/>
      <c r="AD227" s="30"/>
      <c r="AE227" s="21"/>
      <c r="AF227" s="74"/>
      <c r="AG227" s="57"/>
      <c r="AH227" s="57"/>
      <c r="AI227" s="58"/>
      <c r="AJ227" s="23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0"/>
      <c r="BS227" s="112"/>
      <c r="BT227" s="112"/>
      <c r="BU227" s="3"/>
      <c r="BV227" s="3"/>
      <c r="BW227" s="3"/>
      <c r="BX227" s="109"/>
      <c r="CR227" s="78"/>
      <c r="FT227" s="78"/>
      <c r="HH227" s="78"/>
      <c r="NB227" s="78"/>
      <c r="NO227" s="78"/>
      <c r="QE227" s="78"/>
      <c r="WV227" s="78"/>
      <c r="XV227" s="78"/>
      <c r="AAF227" s="78"/>
      <c r="ABP227" s="78"/>
      <c r="ACD227" s="78"/>
      <c r="ADK227" s="78"/>
      <c r="AHN227" s="78"/>
      <c r="AJD227" s="78"/>
      <c r="ALA227" s="78"/>
      <c r="AMA227" s="78"/>
      <c r="ANP227" s="78"/>
      <c r="AON227" s="78"/>
      <c r="AOR227" s="78"/>
      <c r="APH227" s="78"/>
      <c r="APO227" s="78"/>
      <c r="APP227" s="78"/>
      <c r="AQR227" s="78"/>
      <c r="ATC227" s="78"/>
      <c r="AZB227" s="78"/>
      <c r="BBD227" s="78"/>
      <c r="BCD227" s="78"/>
      <c r="BDV227" s="78"/>
      <c r="BEQ227" s="78"/>
      <c r="BQX227" s="78"/>
      <c r="BSW227" s="78"/>
      <c r="CEM227" s="78"/>
      <c r="CFJ227" s="78"/>
      <c r="CKW227" s="78"/>
      <c r="CWH227" s="78"/>
      <c r="DLV227" s="78"/>
      <c r="DSD227" s="78"/>
      <c r="DSO227" s="78"/>
      <c r="DTN227" s="78"/>
      <c r="DUQ227" s="78"/>
    </row>
    <row r="228" spans="1:1015 1056:1869 2171:3038 3202:3267" ht="15" customHeight="1">
      <c r="A228" s="18"/>
      <c r="B228" s="84"/>
      <c r="C228" s="88"/>
      <c r="D228" s="80"/>
      <c r="E228" s="86"/>
      <c r="F228" s="13"/>
      <c r="G228" s="14"/>
      <c r="H228" s="82"/>
      <c r="I228" s="82"/>
      <c r="J228" s="16"/>
      <c r="K228" s="73"/>
      <c r="L228" s="19"/>
      <c r="M228" s="25"/>
      <c r="N228" s="28"/>
      <c r="O228" s="3"/>
      <c r="P228" s="3"/>
      <c r="Q228" s="3"/>
      <c r="R228" s="4"/>
      <c r="S228" s="5"/>
      <c r="T228" s="76"/>
      <c r="U228" s="76"/>
      <c r="V228" s="5"/>
      <c r="W228" s="5"/>
      <c r="X228" s="5"/>
      <c r="Y228" s="70"/>
      <c r="Z228" s="32"/>
      <c r="AA228" s="32"/>
      <c r="AB228" s="32"/>
      <c r="AC228" s="32"/>
      <c r="AD228" s="30"/>
      <c r="AE228" s="21"/>
      <c r="AF228" s="74"/>
      <c r="AG228" s="57"/>
      <c r="AH228" s="57"/>
      <c r="AI228" s="58"/>
      <c r="AJ228" s="23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0"/>
      <c r="BS228" s="112"/>
      <c r="BT228" s="112"/>
      <c r="BU228" s="3"/>
      <c r="BV228" s="3"/>
      <c r="BW228" s="3"/>
      <c r="BX228" s="109"/>
      <c r="CR228" s="78"/>
      <c r="FT228" s="78"/>
      <c r="HH228" s="78"/>
      <c r="NB228" s="78"/>
      <c r="NO228" s="78"/>
      <c r="QE228" s="78"/>
      <c r="WV228" s="78"/>
      <c r="XV228" s="78"/>
      <c r="AAF228" s="78"/>
      <c r="ABP228" s="78"/>
      <c r="ACD228" s="78"/>
      <c r="ADK228" s="78"/>
      <c r="AHN228" s="78"/>
      <c r="AJD228" s="78"/>
      <c r="ALA228" s="78"/>
      <c r="AMA228" s="78"/>
      <c r="ANP228" s="78"/>
      <c r="AON228" s="78"/>
      <c r="AOR228" s="78"/>
      <c r="APH228" s="78"/>
      <c r="APO228" s="78"/>
      <c r="APP228" s="78"/>
      <c r="AQR228" s="78"/>
      <c r="ATC228" s="78"/>
      <c r="AZB228" s="78"/>
      <c r="BBD228" s="78"/>
      <c r="BCD228" s="78"/>
      <c r="BDV228" s="78"/>
      <c r="BEQ228" s="78"/>
      <c r="BQX228" s="78"/>
      <c r="BSW228" s="78"/>
      <c r="CEM228" s="78"/>
      <c r="CFJ228" s="78"/>
      <c r="CKW228" s="78"/>
      <c r="CWH228" s="78"/>
      <c r="DLV228" s="78"/>
      <c r="DSD228" s="78"/>
      <c r="DSO228" s="78"/>
      <c r="DTN228" s="78"/>
      <c r="DUQ228" s="78"/>
    </row>
    <row r="229" spans="1:1015 1056:1869 2171:3038 3202:3267" ht="15" customHeight="1">
      <c r="A229" s="18"/>
      <c r="B229" s="84"/>
      <c r="C229" s="88"/>
      <c r="D229" s="80"/>
      <c r="E229" s="86"/>
      <c r="F229" s="13"/>
      <c r="G229" s="14"/>
      <c r="H229" s="82"/>
      <c r="I229" s="82"/>
      <c r="J229" s="16"/>
      <c r="K229" s="73"/>
      <c r="L229" s="19"/>
      <c r="M229" s="25"/>
      <c r="N229" s="28"/>
      <c r="O229" s="3"/>
      <c r="P229" s="3"/>
      <c r="Q229" s="3"/>
      <c r="R229" s="4"/>
      <c r="S229" s="5"/>
      <c r="T229" s="76"/>
      <c r="U229" s="76"/>
      <c r="V229" s="5"/>
      <c r="W229" s="5"/>
      <c r="X229" s="5"/>
      <c r="Y229" s="70"/>
      <c r="Z229" s="32"/>
      <c r="AA229" s="32"/>
      <c r="AB229" s="32"/>
      <c r="AC229" s="32"/>
      <c r="AD229" s="30"/>
      <c r="AE229" s="21"/>
      <c r="AF229" s="74"/>
      <c r="AG229" s="57"/>
      <c r="AH229" s="57"/>
      <c r="AI229" s="58"/>
      <c r="AJ229" s="23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0"/>
      <c r="BS229" s="112"/>
      <c r="BT229" s="112"/>
      <c r="BU229" s="3"/>
      <c r="BV229" s="3"/>
      <c r="BW229" s="3"/>
      <c r="BX229" s="109"/>
      <c r="CR229" s="78"/>
      <c r="FT229" s="78"/>
      <c r="HH229" s="78"/>
      <c r="NB229" s="78"/>
      <c r="NO229" s="78"/>
      <c r="QE229" s="78"/>
      <c r="WV229" s="78"/>
      <c r="XV229" s="78"/>
      <c r="AAF229" s="78"/>
      <c r="ABP229" s="78"/>
      <c r="ACD229" s="78"/>
      <c r="ADK229" s="78"/>
      <c r="AHN229" s="78"/>
      <c r="AJD229" s="78"/>
      <c r="ALA229" s="78"/>
      <c r="AMA229" s="78"/>
      <c r="ANP229" s="78"/>
      <c r="AON229" s="78"/>
      <c r="AOR229" s="78"/>
      <c r="APH229" s="78"/>
      <c r="APO229" s="78"/>
      <c r="APP229" s="78"/>
      <c r="AQR229" s="78"/>
      <c r="ATC229" s="78"/>
      <c r="AZB229" s="78"/>
      <c r="BBD229" s="78"/>
      <c r="BCD229" s="78"/>
      <c r="BDV229" s="78"/>
      <c r="BEQ229" s="78"/>
      <c r="BQX229" s="78"/>
      <c r="BSW229" s="78"/>
      <c r="CEM229" s="78"/>
      <c r="CFJ229" s="78"/>
      <c r="CKW229" s="78"/>
      <c r="CWH229" s="78"/>
      <c r="DLV229" s="78"/>
      <c r="DSD229" s="78"/>
      <c r="DSO229" s="78"/>
      <c r="DTN229" s="78"/>
      <c r="DUQ229" s="78"/>
    </row>
    <row r="230" spans="1:1015 1056:1869 2171:3038 3202:3267" ht="15" customHeight="1">
      <c r="A230" s="18"/>
      <c r="B230" s="84"/>
      <c r="C230" s="88"/>
      <c r="D230" s="80"/>
      <c r="E230" s="86"/>
      <c r="F230" s="13"/>
      <c r="G230" s="14"/>
      <c r="H230" s="82"/>
      <c r="I230" s="82"/>
      <c r="J230" s="16"/>
      <c r="K230" s="73"/>
      <c r="L230" s="19"/>
      <c r="M230" s="25"/>
      <c r="N230" s="28"/>
      <c r="O230" s="3"/>
      <c r="P230" s="3"/>
      <c r="Q230" s="3"/>
      <c r="R230" s="4"/>
      <c r="S230" s="5"/>
      <c r="T230" s="76"/>
      <c r="U230" s="76"/>
      <c r="V230" s="5"/>
      <c r="W230" s="5"/>
      <c r="X230" s="5"/>
      <c r="Y230" s="70"/>
      <c r="Z230" s="32"/>
      <c r="AA230" s="32"/>
      <c r="AB230" s="32"/>
      <c r="AC230" s="32"/>
      <c r="AD230" s="30"/>
      <c r="AE230" s="21"/>
      <c r="AF230" s="74"/>
      <c r="AG230" s="57"/>
      <c r="AH230" s="57"/>
      <c r="AI230" s="58"/>
      <c r="AJ230" s="23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0"/>
      <c r="BS230" s="112"/>
      <c r="BT230" s="112"/>
      <c r="BU230" s="3"/>
      <c r="BV230" s="3"/>
      <c r="BW230" s="3"/>
      <c r="BX230" s="109"/>
      <c r="CR230" s="78"/>
      <c r="FT230" s="78"/>
      <c r="HH230" s="78"/>
      <c r="NB230" s="78"/>
      <c r="NO230" s="78"/>
      <c r="QE230" s="78"/>
      <c r="WV230" s="78"/>
      <c r="XV230" s="78"/>
      <c r="AAF230" s="78"/>
      <c r="ABP230" s="78"/>
      <c r="ACD230" s="78"/>
      <c r="ADK230" s="78"/>
      <c r="AHN230" s="78"/>
      <c r="AJD230" s="78"/>
      <c r="ALA230" s="78"/>
      <c r="AMA230" s="78"/>
      <c r="ANP230" s="78"/>
      <c r="AON230" s="78"/>
      <c r="AOR230" s="78"/>
      <c r="APH230" s="78"/>
      <c r="APO230" s="78"/>
      <c r="APP230" s="78"/>
      <c r="AQR230" s="78"/>
      <c r="ATC230" s="78"/>
      <c r="AZB230" s="78"/>
      <c r="BBD230" s="78"/>
      <c r="BCD230" s="78"/>
      <c r="BDV230" s="78"/>
      <c r="BEQ230" s="78"/>
      <c r="BQX230" s="78"/>
      <c r="BSW230" s="78"/>
      <c r="CEM230" s="78"/>
      <c r="CFJ230" s="78"/>
      <c r="CKW230" s="78"/>
      <c r="CWH230" s="78"/>
      <c r="DLV230" s="78"/>
      <c r="DSD230" s="78"/>
      <c r="DSO230" s="78"/>
      <c r="DTN230" s="78"/>
      <c r="DUQ230" s="78"/>
    </row>
    <row r="231" spans="1:1015 1056:1869 2171:3038 3202:3267" ht="15" customHeight="1">
      <c r="A231" s="18"/>
      <c r="B231" s="84"/>
      <c r="C231" s="88"/>
      <c r="D231" s="80"/>
      <c r="E231" s="86"/>
      <c r="F231" s="13"/>
      <c r="G231" s="14"/>
      <c r="H231" s="82"/>
      <c r="I231" s="82"/>
      <c r="J231" s="16"/>
      <c r="K231" s="73"/>
      <c r="L231" s="19"/>
      <c r="M231" s="25"/>
      <c r="N231" s="28"/>
      <c r="O231" s="3"/>
      <c r="P231" s="3"/>
      <c r="Q231" s="3"/>
      <c r="R231" s="4"/>
      <c r="S231" s="5"/>
      <c r="T231" s="76"/>
      <c r="U231" s="76"/>
      <c r="V231" s="5"/>
      <c r="W231" s="5"/>
      <c r="X231" s="5"/>
      <c r="Y231" s="70"/>
      <c r="Z231" s="32"/>
      <c r="AA231" s="32"/>
      <c r="AB231" s="32"/>
      <c r="AC231" s="32"/>
      <c r="AD231" s="30"/>
      <c r="AE231" s="21"/>
      <c r="AF231" s="74"/>
      <c r="AG231" s="57"/>
      <c r="AH231" s="57"/>
      <c r="AI231" s="58"/>
      <c r="AJ231" s="23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0"/>
      <c r="BS231" s="112"/>
      <c r="BT231" s="112"/>
      <c r="BU231" s="3"/>
      <c r="BV231" s="3"/>
      <c r="BW231" s="3"/>
      <c r="BX231" s="109"/>
      <c r="CR231" s="78"/>
      <c r="FT231" s="78"/>
      <c r="HH231" s="78"/>
      <c r="NB231" s="78"/>
      <c r="NO231" s="78"/>
      <c r="QE231" s="78"/>
      <c r="WV231" s="78"/>
      <c r="XV231" s="78"/>
      <c r="AAF231" s="78"/>
      <c r="ABP231" s="78"/>
      <c r="ACD231" s="78"/>
      <c r="ADK231" s="78"/>
      <c r="AHN231" s="78"/>
      <c r="AJD231" s="78"/>
      <c r="ALA231" s="78"/>
      <c r="AMA231" s="78"/>
      <c r="ANP231" s="78"/>
      <c r="AON231" s="78"/>
      <c r="AOR231" s="78"/>
      <c r="APH231" s="78"/>
      <c r="APO231" s="78"/>
      <c r="APP231" s="78"/>
      <c r="AQR231" s="78"/>
      <c r="ATC231" s="78"/>
      <c r="AZB231" s="78"/>
      <c r="BBD231" s="78"/>
      <c r="BCD231" s="78"/>
      <c r="BDV231" s="78"/>
      <c r="BEQ231" s="78"/>
      <c r="BQX231" s="78"/>
      <c r="BSW231" s="78"/>
      <c r="CEM231" s="78"/>
      <c r="CFJ231" s="78"/>
      <c r="CKW231" s="78"/>
      <c r="CWH231" s="78"/>
      <c r="DLV231" s="78"/>
      <c r="DSD231" s="78"/>
      <c r="DSO231" s="78"/>
      <c r="DTN231" s="78"/>
      <c r="DUQ231" s="78"/>
    </row>
    <row r="232" spans="1:1015 1056:1869 2171:3038 3202:3267" ht="15" customHeight="1">
      <c r="A232" s="18">
        <v>7</v>
      </c>
      <c r="B232" s="84" t="s">
        <v>218</v>
      </c>
      <c r="C232" s="88" t="s">
        <v>215</v>
      </c>
      <c r="D232" s="22" t="s">
        <v>60</v>
      </c>
      <c r="E232" s="86">
        <v>1.33</v>
      </c>
      <c r="F232" s="13" t="s">
        <v>28</v>
      </c>
      <c r="G232" s="14">
        <v>0.8</v>
      </c>
      <c r="H232" s="82" t="str">
        <f>IF(OOC!S232=0,"",OOC!S232)</f>
        <v/>
      </c>
      <c r="I232" s="82" t="str">
        <f>IF(OOC!T232=0,"",OOC!T232)</f>
        <v/>
      </c>
      <c r="J232" s="16" t="s">
        <v>12</v>
      </c>
      <c r="K232" s="73" t="s">
        <v>52</v>
      </c>
      <c r="L232" s="19" t="e">
        <f t="shared" si="40"/>
        <v>#VALUE!</v>
      </c>
      <c r="M232" s="25" t="e">
        <f t="shared" si="41"/>
        <v>#VALUE!</v>
      </c>
      <c r="N232" s="28"/>
      <c r="O232" s="3" t="e">
        <f>IF(OR($AK232="",ISNUMBER($AK232)=FALSE),"",MAX(AK232:BP232))</f>
        <v>#REF!</v>
      </c>
      <c r="P232" s="3" t="e">
        <f>IF(OR($AK232="",ISNUMBER($AK232)=FALSE),"",MIN(AK232:BP232))</f>
        <v>#REF!</v>
      </c>
      <c r="Q232" s="3" t="e">
        <f>IF(OR($AK232="",ISNUMBER($AK232)=FALSE),"",AVERAGE(AK232:BP232))</f>
        <v>#REF!</v>
      </c>
      <c r="R232" s="4" t="e">
        <f>IF(OR($AK232="",ISNUMBER($AK232)=FALSE),"",STDEV(AK232:BP232))</f>
        <v>#REF!</v>
      </c>
      <c r="S232" s="5" t="e">
        <f t="shared" si="49"/>
        <v>#REF!</v>
      </c>
      <c r="T232" s="76" t="e">
        <f>IF(OR($AK232="",ISNUMBER($AK232)=FALSE),"",IF(AND($F232="Tolerance",$G232&lt;&gt;""),($Q232-$G232)/(($L232-$M232)/2),IF(AND($F232="GD&amp;T",$H232&lt;&gt;""),$Q232/$H232,"")))</f>
        <v>#REF!</v>
      </c>
      <c r="U232" s="76" t="e">
        <f t="shared" si="42"/>
        <v>#REF!</v>
      </c>
      <c r="V232" s="5" t="e">
        <f>IF(OR($AK232="",ISNUMBER($AK232)=FALSE),"",IF(H232="","",(L232-Q232)/(3*R232)))</f>
        <v>#REF!</v>
      </c>
      <c r="W232" s="5" t="e">
        <f>IF(OR($AK232="",ISNUMBER($AK232)=FALSE),"",IF(I232="","",(Q232-M232)/(3*R232)))</f>
        <v>#REF!</v>
      </c>
      <c r="X232" s="5" t="e">
        <f>IF(OR($AK232="",ISNUMBER($AK232)=FALSE),"",IF(AND(G232=0,I232=0),((H232)-(Q232))/(3*R232),MIN(V232:W232)))</f>
        <v>#REF!</v>
      </c>
      <c r="Y232" s="70" t="e">
        <f>IF(OR($AK232="",ISNUMBER($AK232)=FALSE),"",IF(AND(G232=0,I232=0),NORMSDIST(3*X232),NORMSDIST(3*X232)+NORMSDIST(6*S232-3*X232)-1))</f>
        <v>#REF!</v>
      </c>
      <c r="Z232" s="32" t="e">
        <f t="shared" si="36"/>
        <v>#REF!</v>
      </c>
      <c r="AA232" s="32" t="e">
        <f t="shared" si="37"/>
        <v>#REF!</v>
      </c>
      <c r="AB232" s="32" t="e">
        <f t="shared" si="38"/>
        <v>#REF!</v>
      </c>
      <c r="AC232" s="32" t="e">
        <f t="shared" si="39"/>
        <v>#REF!</v>
      </c>
      <c r="AD232" s="30"/>
      <c r="AE232" s="21" t="str">
        <f t="shared" si="43"/>
        <v/>
      </c>
      <c r="AF232" s="74"/>
      <c r="AG232" s="57"/>
      <c r="AH232" s="57"/>
      <c r="AI232" s="58"/>
      <c r="AJ232" s="23"/>
      <c r="AK232" s="2" t="e">
        <f>#REF!</f>
        <v>#REF!</v>
      </c>
      <c r="AL232" s="2" t="e">
        <f>#REF!</f>
        <v>#REF!</v>
      </c>
      <c r="AM232" s="2" t="e">
        <f>#REF!</f>
        <v>#REF!</v>
      </c>
      <c r="AN232" s="2" t="e">
        <f>#REF!</f>
        <v>#REF!</v>
      </c>
      <c r="AO232" s="2" t="e">
        <f>#REF!</f>
        <v>#REF!</v>
      </c>
      <c r="AP232" s="2" t="e">
        <f>#REF!</f>
        <v>#REF!</v>
      </c>
      <c r="AQ232" s="2" t="e">
        <f>#REF!</f>
        <v>#REF!</v>
      </c>
      <c r="AR232" s="2" t="e">
        <f>#REF!</f>
        <v>#REF!</v>
      </c>
      <c r="AS232" s="2" t="e">
        <f>#REF!</f>
        <v>#REF!</v>
      </c>
      <c r="AT232" s="2" t="e">
        <f>#REF!</f>
        <v>#REF!</v>
      </c>
      <c r="AU232" s="2" t="e">
        <f>#REF!</f>
        <v>#REF!</v>
      </c>
      <c r="AV232" s="2" t="e">
        <f>#REF!</f>
        <v>#REF!</v>
      </c>
      <c r="AW232" s="2" t="e">
        <f>#REF!</f>
        <v>#REF!</v>
      </c>
      <c r="AX232" s="2" t="e">
        <f>#REF!</f>
        <v>#REF!</v>
      </c>
      <c r="AY232" s="2" t="e">
        <f>#REF!</f>
        <v>#REF!</v>
      </c>
      <c r="AZ232" s="2" t="e">
        <f>#REF!</f>
        <v>#REF!</v>
      </c>
      <c r="BA232" s="2" t="e">
        <f>#REF!</f>
        <v>#REF!</v>
      </c>
      <c r="BB232" s="2" t="e">
        <f>#REF!</f>
        <v>#REF!</v>
      </c>
      <c r="BC232" s="2" t="e">
        <f>#REF!</f>
        <v>#REF!</v>
      </c>
      <c r="BD232" s="2" t="e">
        <f>#REF!</f>
        <v>#REF!</v>
      </c>
      <c r="BE232" s="2" t="e">
        <f>#REF!</f>
        <v>#REF!</v>
      </c>
      <c r="BF232" s="2" t="e">
        <f>#REF!</f>
        <v>#REF!</v>
      </c>
      <c r="BG232" s="2" t="e">
        <f>#REF!</f>
        <v>#REF!</v>
      </c>
      <c r="BH232" s="2" t="e">
        <f>#REF!</f>
        <v>#REF!</v>
      </c>
      <c r="BI232" s="2" t="e">
        <f>#REF!</f>
        <v>#REF!</v>
      </c>
      <c r="BJ232" s="2" t="e">
        <f>#REF!</f>
        <v>#REF!</v>
      </c>
      <c r="BK232" s="2" t="e">
        <f>#REF!</f>
        <v>#REF!</v>
      </c>
      <c r="BL232" s="2" t="e">
        <f>#REF!</f>
        <v>#REF!</v>
      </c>
      <c r="BM232" s="2" t="e">
        <f>#REF!</f>
        <v>#REF!</v>
      </c>
      <c r="BN232" s="2" t="e">
        <f>#REF!</f>
        <v>#REF!</v>
      </c>
      <c r="BO232" s="2" t="e">
        <f>#REF!</f>
        <v>#REF!</v>
      </c>
      <c r="BP232" s="2" t="e">
        <f>#REF!</f>
        <v>#REF!</v>
      </c>
      <c r="BR232" s="110" t="str">
        <f t="shared" si="50"/>
        <v>94-1</v>
      </c>
      <c r="BS232" s="112">
        <f>OOC!G232</f>
        <v>0.82000000000000006</v>
      </c>
      <c r="BT232" s="112">
        <f>OOC!H232</f>
        <v>0.78</v>
      </c>
      <c r="BU232" s="3" t="e">
        <f t="shared" si="51"/>
        <v>#REF!</v>
      </c>
      <c r="BV232" s="3" t="e">
        <f t="shared" si="52"/>
        <v>#REF!</v>
      </c>
      <c r="BW232" s="3" t="e">
        <f t="shared" si="53"/>
        <v>#REF!</v>
      </c>
      <c r="BX232" s="109" t="e">
        <f>IF(AND(IF(OOC!G232="",0,OOC!G232) &gt;= IF(O232="",0,O232), IF(O232="",0,O232) &gt; IF(L232="",0,L232)), "OOC",
IF(AND(IF(M232="",0,M232) &gt; IF(P232="",0,P232), IF(P232="",0,P232) &gt;= IF(OOC!H232="",0,OOC!H232)), "OOC",
IF(IF(O232="",0,O232) &gt; IF(OOC!G232="",0,OOC!G232), "OOS",
IF(IF(OOC!H232="",0,OOC!H232) &gt; IF(P232="",0,P232), "OOS", "OK"))))</f>
        <v>#REF!</v>
      </c>
      <c r="CR232" s="78"/>
      <c r="FT232" s="78"/>
      <c r="HH232" s="78"/>
      <c r="NB232" s="78"/>
      <c r="NO232" s="78"/>
      <c r="QE232" s="78"/>
      <c r="WV232" s="78"/>
      <c r="XV232" s="78"/>
      <c r="AAF232" s="78"/>
      <c r="ABP232" s="78"/>
      <c r="ACD232" s="78"/>
      <c r="ADK232" s="78"/>
      <c r="AHN232" s="78"/>
      <c r="AJD232" s="78"/>
      <c r="ALA232" s="78"/>
      <c r="AMA232" s="78"/>
      <c r="ANP232" s="78"/>
      <c r="AON232" s="78"/>
      <c r="AOR232" s="78"/>
      <c r="APH232" s="78"/>
      <c r="APO232" s="78"/>
      <c r="APP232" s="78"/>
      <c r="AQR232" s="78"/>
      <c r="ATC232" s="78"/>
      <c r="AZB232" s="78"/>
      <c r="BBD232" s="78"/>
      <c r="BCD232" s="78"/>
      <c r="BDV232" s="78"/>
      <c r="BEQ232" s="78"/>
      <c r="BQX232" s="78"/>
      <c r="BSW232" s="78"/>
      <c r="CEM232" s="78"/>
      <c r="CFJ232" s="78"/>
      <c r="CKW232" s="78"/>
      <c r="CWH232" s="78"/>
      <c r="DLV232" s="78"/>
      <c r="DSD232" s="78"/>
      <c r="DSO232" s="78"/>
      <c r="DTN232" s="78"/>
      <c r="DUQ232" s="78"/>
    </row>
    <row r="233" spans="1:1015 1056:1869 2171:3038 3202:3267" ht="15" customHeight="1">
      <c r="A233" s="18">
        <v>7</v>
      </c>
      <c r="B233" s="84" t="s">
        <v>218</v>
      </c>
      <c r="C233" s="88" t="s">
        <v>216</v>
      </c>
      <c r="D233" s="22" t="s">
        <v>60</v>
      </c>
      <c r="E233" s="86">
        <v>1.33</v>
      </c>
      <c r="F233" s="13" t="s">
        <v>28</v>
      </c>
      <c r="G233" s="14">
        <v>0.8</v>
      </c>
      <c r="H233" s="82" t="str">
        <f>IF(OOC!S233=0,"",OOC!S233)</f>
        <v/>
      </c>
      <c r="I233" s="82" t="str">
        <f>IF(OOC!T233=0,"",OOC!T233)</f>
        <v/>
      </c>
      <c r="J233" s="16" t="s">
        <v>12</v>
      </c>
      <c r="K233" s="73" t="s">
        <v>52</v>
      </c>
      <c r="L233" s="19" t="e">
        <f t="shared" si="40"/>
        <v>#VALUE!</v>
      </c>
      <c r="M233" s="25" t="e">
        <f t="shared" si="41"/>
        <v>#VALUE!</v>
      </c>
      <c r="N233" s="28"/>
      <c r="O233" s="3" t="e">
        <f>IF(OR($AK233="",ISNUMBER($AK233)=FALSE),"",MAX(AK233:BP233))</f>
        <v>#REF!</v>
      </c>
      <c r="P233" s="3" t="e">
        <f>IF(OR($AK233="",ISNUMBER($AK233)=FALSE),"",MIN(AK233:BP233))</f>
        <v>#REF!</v>
      </c>
      <c r="Q233" s="3" t="e">
        <f>IF(OR($AK233="",ISNUMBER($AK233)=FALSE),"",AVERAGE(AK233:BP233))</f>
        <v>#REF!</v>
      </c>
      <c r="R233" s="4" t="e">
        <f>IF(OR($AK233="",ISNUMBER($AK233)=FALSE),"",STDEV(AK233:BP233))</f>
        <v>#REF!</v>
      </c>
      <c r="S233" s="5" t="e">
        <f t="shared" si="49"/>
        <v>#REF!</v>
      </c>
      <c r="T233" s="76" t="e">
        <f>IF(OR($AK233="",ISNUMBER($AK233)=FALSE),"",IF(AND($F233="Tolerance",$G233&lt;&gt;""),($Q233-$G233)/(($L233-$M233)/2),IF(AND($F233="GD&amp;T",$H233&lt;&gt;""),$Q233/$H233,"")))</f>
        <v>#REF!</v>
      </c>
      <c r="U233" s="76" t="e">
        <f t="shared" si="42"/>
        <v>#REF!</v>
      </c>
      <c r="V233" s="5" t="e">
        <f>IF(OR($AK233="",ISNUMBER($AK233)=FALSE),"",IF(H233="","",(L233-Q233)/(3*R233)))</f>
        <v>#REF!</v>
      </c>
      <c r="W233" s="5" t="e">
        <f>IF(OR($AK233="",ISNUMBER($AK233)=FALSE),"",IF(I233="","",(Q233-M233)/(3*R233)))</f>
        <v>#REF!</v>
      </c>
      <c r="X233" s="5" t="e">
        <f>IF(OR($AK233="",ISNUMBER($AK233)=FALSE),"",IF(AND(G233=0,I233=0),((H233)-(Q233))/(3*R233),MIN(V233:W233)))</f>
        <v>#REF!</v>
      </c>
      <c r="Y233" s="70" t="e">
        <f>IF(OR($AK233="",ISNUMBER($AK233)=FALSE),"",IF(AND(G233=0,I233=0),NORMSDIST(3*X233),NORMSDIST(3*X233)+NORMSDIST(6*S233-3*X233)-1))</f>
        <v>#REF!</v>
      </c>
      <c r="Z233" s="32" t="e">
        <f t="shared" si="36"/>
        <v>#REF!</v>
      </c>
      <c r="AA233" s="32" t="e">
        <f t="shared" si="37"/>
        <v>#REF!</v>
      </c>
      <c r="AB233" s="32" t="e">
        <f t="shared" si="38"/>
        <v>#REF!</v>
      </c>
      <c r="AC233" s="32" t="e">
        <f t="shared" si="39"/>
        <v>#REF!</v>
      </c>
      <c r="AD233" s="30"/>
      <c r="AE233" s="21" t="str">
        <f t="shared" si="43"/>
        <v/>
      </c>
      <c r="AF233" s="74"/>
      <c r="AG233" s="57"/>
      <c r="AH233" s="57"/>
      <c r="AI233" s="58"/>
      <c r="AJ233" s="23"/>
      <c r="AK233" s="2" t="e">
        <f>#REF!</f>
        <v>#REF!</v>
      </c>
      <c r="AL233" s="2" t="e">
        <f>#REF!</f>
        <v>#REF!</v>
      </c>
      <c r="AM233" s="2" t="e">
        <f>#REF!</f>
        <v>#REF!</v>
      </c>
      <c r="AN233" s="2" t="e">
        <f>#REF!</f>
        <v>#REF!</v>
      </c>
      <c r="AO233" s="2" t="e">
        <f>#REF!</f>
        <v>#REF!</v>
      </c>
      <c r="AP233" s="2" t="e">
        <f>#REF!</f>
        <v>#REF!</v>
      </c>
      <c r="AQ233" s="2" t="e">
        <f>#REF!</f>
        <v>#REF!</v>
      </c>
      <c r="AR233" s="2" t="e">
        <f>#REF!</f>
        <v>#REF!</v>
      </c>
      <c r="AS233" s="2" t="e">
        <f>#REF!</f>
        <v>#REF!</v>
      </c>
      <c r="AT233" s="2" t="e">
        <f>#REF!</f>
        <v>#REF!</v>
      </c>
      <c r="AU233" s="2" t="e">
        <f>#REF!</f>
        <v>#REF!</v>
      </c>
      <c r="AV233" s="2" t="e">
        <f>#REF!</f>
        <v>#REF!</v>
      </c>
      <c r="AW233" s="2" t="e">
        <f>#REF!</f>
        <v>#REF!</v>
      </c>
      <c r="AX233" s="2" t="e">
        <f>#REF!</f>
        <v>#REF!</v>
      </c>
      <c r="AY233" s="2" t="e">
        <f>#REF!</f>
        <v>#REF!</v>
      </c>
      <c r="AZ233" s="2" t="e">
        <f>#REF!</f>
        <v>#REF!</v>
      </c>
      <c r="BA233" s="2" t="e">
        <f>#REF!</f>
        <v>#REF!</v>
      </c>
      <c r="BB233" s="2" t="e">
        <f>#REF!</f>
        <v>#REF!</v>
      </c>
      <c r="BC233" s="2" t="e">
        <f>#REF!</f>
        <v>#REF!</v>
      </c>
      <c r="BD233" s="2" t="e">
        <f>#REF!</f>
        <v>#REF!</v>
      </c>
      <c r="BE233" s="2" t="e">
        <f>#REF!</f>
        <v>#REF!</v>
      </c>
      <c r="BF233" s="2" t="e">
        <f>#REF!</f>
        <v>#REF!</v>
      </c>
      <c r="BG233" s="2" t="e">
        <f>#REF!</f>
        <v>#REF!</v>
      </c>
      <c r="BH233" s="2" t="e">
        <f>#REF!</f>
        <v>#REF!</v>
      </c>
      <c r="BI233" s="2" t="e">
        <f>#REF!</f>
        <v>#REF!</v>
      </c>
      <c r="BJ233" s="2" t="e">
        <f>#REF!</f>
        <v>#REF!</v>
      </c>
      <c r="BK233" s="2" t="e">
        <f>#REF!</f>
        <v>#REF!</v>
      </c>
      <c r="BL233" s="2" t="e">
        <f>#REF!</f>
        <v>#REF!</v>
      </c>
      <c r="BM233" s="2" t="e">
        <f>#REF!</f>
        <v>#REF!</v>
      </c>
      <c r="BN233" s="2" t="e">
        <f>#REF!</f>
        <v>#REF!</v>
      </c>
      <c r="BO233" s="2" t="e">
        <f>#REF!</f>
        <v>#REF!</v>
      </c>
      <c r="BP233" s="2" t="e">
        <f>#REF!</f>
        <v>#REF!</v>
      </c>
      <c r="BR233" s="110" t="str">
        <f t="shared" si="50"/>
        <v>94-2</v>
      </c>
      <c r="BS233" s="112">
        <f>OOC!G233</f>
        <v>0.82000000000000006</v>
      </c>
      <c r="BT233" s="112">
        <f>OOC!H233</f>
        <v>0.78</v>
      </c>
      <c r="BU233" s="3" t="e">
        <f t="shared" si="51"/>
        <v>#REF!</v>
      </c>
      <c r="BV233" s="3" t="e">
        <f t="shared" si="52"/>
        <v>#REF!</v>
      </c>
      <c r="BW233" s="3" t="e">
        <f t="shared" si="53"/>
        <v>#REF!</v>
      </c>
      <c r="BX233" s="109" t="e">
        <f>IF(AND(IF(OOC!G233="",0,OOC!G233) &gt;= IF(O233="",0,O233), IF(O233="",0,O233) &gt; IF(L233="",0,L233)), "OOC",
IF(AND(IF(M233="",0,M233) &gt; IF(P233="",0,P233), IF(P233="",0,P233) &gt;= IF(OOC!H233="",0,OOC!H233)), "OOC",
IF(IF(O233="",0,O233) &gt; IF(OOC!G233="",0,OOC!G233), "OOS",
IF(IF(OOC!H233="",0,OOC!H233) &gt; IF(P233="",0,P233), "OOS", "OK"))))</f>
        <v>#REF!</v>
      </c>
      <c r="CR233" s="78"/>
      <c r="FT233" s="78"/>
      <c r="HH233" s="78"/>
      <c r="NB233" s="78"/>
      <c r="NO233" s="78"/>
      <c r="QE233" s="78"/>
      <c r="WV233" s="78"/>
      <c r="XV233" s="78"/>
      <c r="AAF233" s="78"/>
      <c r="ABP233" s="78"/>
      <c r="ACD233" s="78"/>
      <c r="ADK233" s="78"/>
      <c r="AHN233" s="78"/>
      <c r="AJD233" s="78"/>
      <c r="ALA233" s="78"/>
      <c r="AMA233" s="78"/>
      <c r="ANP233" s="78"/>
      <c r="AON233" s="78"/>
      <c r="AOR233" s="78"/>
      <c r="APH233" s="78"/>
      <c r="APO233" s="78"/>
      <c r="APP233" s="78"/>
      <c r="AQR233" s="78"/>
      <c r="ATC233" s="78"/>
      <c r="AZB233" s="78"/>
      <c r="BBD233" s="78"/>
      <c r="BCD233" s="78"/>
      <c r="BDV233" s="78"/>
      <c r="BEQ233" s="78"/>
      <c r="BQX233" s="78"/>
      <c r="BSW233" s="78"/>
      <c r="CEM233" s="78"/>
      <c r="CFJ233" s="78"/>
      <c r="CKW233" s="78"/>
      <c r="CWH233" s="78"/>
      <c r="DLV233" s="78"/>
      <c r="DSD233" s="78"/>
      <c r="DSO233" s="78"/>
      <c r="DTN233" s="78"/>
      <c r="DUQ233" s="78"/>
    </row>
    <row r="234" spans="1:1015 1056:1869 2171:3038 3202:3267" ht="15" customHeight="1">
      <c r="A234" s="18">
        <v>7</v>
      </c>
      <c r="B234" s="84" t="s">
        <v>219</v>
      </c>
      <c r="C234" s="88">
        <v>95</v>
      </c>
      <c r="D234" s="22" t="s">
        <v>60</v>
      </c>
      <c r="E234" s="86">
        <v>1.33</v>
      </c>
      <c r="F234" s="13" t="s">
        <v>28</v>
      </c>
      <c r="G234" s="14">
        <v>11.807</v>
      </c>
      <c r="H234" s="82" t="str">
        <f>IF(OOC!S234=0,"",OOC!S234)</f>
        <v/>
      </c>
      <c r="I234" s="82" t="str">
        <f>IF(OOC!T234=0,"",OOC!T234)</f>
        <v/>
      </c>
      <c r="J234" s="16" t="s">
        <v>12</v>
      </c>
      <c r="K234" s="73" t="s">
        <v>52</v>
      </c>
      <c r="L234" s="19" t="e">
        <f t="shared" si="40"/>
        <v>#VALUE!</v>
      </c>
      <c r="M234" s="25" t="e">
        <f t="shared" si="41"/>
        <v>#VALUE!</v>
      </c>
      <c r="N234" s="28"/>
      <c r="O234" s="3" t="e">
        <f>IF(OR($AK234="",ISNUMBER($AK234)=FALSE),"",MAX(AK234:BP234))</f>
        <v>#REF!</v>
      </c>
      <c r="P234" s="3" t="e">
        <f>IF(OR($AK234="",ISNUMBER($AK234)=FALSE),"",MIN(AK234:BP234))</f>
        <v>#REF!</v>
      </c>
      <c r="Q234" s="3" t="e">
        <f>IF(OR($AK234="",ISNUMBER($AK234)=FALSE),"",AVERAGE(AK234:BP234))</f>
        <v>#REF!</v>
      </c>
      <c r="R234" s="4" t="e">
        <f>IF(OR($AK234="",ISNUMBER($AK234)=FALSE),"",STDEV(AK234:BP234))</f>
        <v>#REF!</v>
      </c>
      <c r="S234" s="5" t="e">
        <f t="shared" si="49"/>
        <v>#REF!</v>
      </c>
      <c r="T234" s="76" t="e">
        <f>IF(OR($AK234="",ISNUMBER($AK234)=FALSE),"",IF(AND($F234="Tolerance",$G234&lt;&gt;""),($Q234-$G234)/(($L234-$M234)/2),IF(AND($F234="GD&amp;T",$H234&lt;&gt;""),$Q234/$H234,"")))</f>
        <v>#REF!</v>
      </c>
      <c r="U234" s="76" t="e">
        <f t="shared" si="42"/>
        <v>#REF!</v>
      </c>
      <c r="V234" s="5" t="e">
        <f>IF(OR($AK234="",ISNUMBER($AK234)=FALSE),"",IF(H234="","",(L234-Q234)/(3*R234)))</f>
        <v>#REF!</v>
      </c>
      <c r="W234" s="5" t="e">
        <f>IF(OR($AK234="",ISNUMBER($AK234)=FALSE),"",IF(I234="","",(Q234-M234)/(3*R234)))</f>
        <v>#REF!</v>
      </c>
      <c r="X234" s="5" t="e">
        <f>IF(OR($AK234="",ISNUMBER($AK234)=FALSE),"",IF(AND(G234=0,I234=0),((H234)-(Q234))/(3*R234),MIN(V234:W234)))</f>
        <v>#REF!</v>
      </c>
      <c r="Y234" s="70" t="e">
        <f>IF(OR($AK234="",ISNUMBER($AK234)=FALSE),"",IF(AND(G234=0,I234=0),NORMSDIST(3*X234),NORMSDIST(3*X234)+NORMSDIST(6*S234-3*X234)-1))</f>
        <v>#REF!</v>
      </c>
      <c r="Z234" s="32" t="e">
        <f t="shared" si="36"/>
        <v>#REF!</v>
      </c>
      <c r="AA234" s="32" t="e">
        <f t="shared" si="37"/>
        <v>#REF!</v>
      </c>
      <c r="AB234" s="32" t="e">
        <f t="shared" si="38"/>
        <v>#REF!</v>
      </c>
      <c r="AC234" s="32" t="e">
        <f t="shared" si="39"/>
        <v>#REF!</v>
      </c>
      <c r="AD234" s="30"/>
      <c r="AE234" s="21" t="str">
        <f t="shared" si="43"/>
        <v/>
      </c>
      <c r="AF234" s="74"/>
      <c r="AG234" s="57"/>
      <c r="AH234" s="57"/>
      <c r="AI234" s="58"/>
      <c r="AJ234" s="23"/>
      <c r="AK234" s="2" t="e">
        <f>#REF!</f>
        <v>#REF!</v>
      </c>
      <c r="AL234" s="2" t="e">
        <f>#REF!</f>
        <v>#REF!</v>
      </c>
      <c r="AM234" s="2" t="e">
        <f>#REF!</f>
        <v>#REF!</v>
      </c>
      <c r="AN234" s="2" t="e">
        <f>#REF!</f>
        <v>#REF!</v>
      </c>
      <c r="AO234" s="2" t="e">
        <f>#REF!</f>
        <v>#REF!</v>
      </c>
      <c r="AP234" s="2" t="e">
        <f>#REF!</f>
        <v>#REF!</v>
      </c>
      <c r="AQ234" s="2" t="e">
        <f>#REF!</f>
        <v>#REF!</v>
      </c>
      <c r="AR234" s="2" t="e">
        <f>#REF!</f>
        <v>#REF!</v>
      </c>
      <c r="AS234" s="2" t="e">
        <f>#REF!</f>
        <v>#REF!</v>
      </c>
      <c r="AT234" s="2" t="e">
        <f>#REF!</f>
        <v>#REF!</v>
      </c>
      <c r="AU234" s="2" t="e">
        <f>#REF!</f>
        <v>#REF!</v>
      </c>
      <c r="AV234" s="2" t="e">
        <f>#REF!</f>
        <v>#REF!</v>
      </c>
      <c r="AW234" s="2" t="e">
        <f>#REF!</f>
        <v>#REF!</v>
      </c>
      <c r="AX234" s="2" t="e">
        <f>#REF!</f>
        <v>#REF!</v>
      </c>
      <c r="AY234" s="2" t="e">
        <f>#REF!</f>
        <v>#REF!</v>
      </c>
      <c r="AZ234" s="2" t="e">
        <f>#REF!</f>
        <v>#REF!</v>
      </c>
      <c r="BA234" s="2" t="e">
        <f>#REF!</f>
        <v>#REF!</v>
      </c>
      <c r="BB234" s="2" t="e">
        <f>#REF!</f>
        <v>#REF!</v>
      </c>
      <c r="BC234" s="2" t="e">
        <f>#REF!</f>
        <v>#REF!</v>
      </c>
      <c r="BD234" s="2" t="e">
        <f>#REF!</f>
        <v>#REF!</v>
      </c>
      <c r="BE234" s="2" t="e">
        <f>#REF!</f>
        <v>#REF!</v>
      </c>
      <c r="BF234" s="2" t="e">
        <f>#REF!</f>
        <v>#REF!</v>
      </c>
      <c r="BG234" s="2" t="e">
        <f>#REF!</f>
        <v>#REF!</v>
      </c>
      <c r="BH234" s="2" t="e">
        <f>#REF!</f>
        <v>#REF!</v>
      </c>
      <c r="BI234" s="2" t="e">
        <f>#REF!</f>
        <v>#REF!</v>
      </c>
      <c r="BJ234" s="2" t="e">
        <f>#REF!</f>
        <v>#REF!</v>
      </c>
      <c r="BK234" s="2" t="e">
        <f>#REF!</f>
        <v>#REF!</v>
      </c>
      <c r="BL234" s="2" t="e">
        <f>#REF!</f>
        <v>#REF!</v>
      </c>
      <c r="BM234" s="2" t="e">
        <f>#REF!</f>
        <v>#REF!</v>
      </c>
      <c r="BN234" s="2" t="e">
        <f>#REF!</f>
        <v>#REF!</v>
      </c>
      <c r="BO234" s="2" t="e">
        <f>#REF!</f>
        <v>#REF!</v>
      </c>
      <c r="BP234" s="2" t="e">
        <f>#REF!</f>
        <v>#REF!</v>
      </c>
      <c r="BR234" s="110">
        <f t="shared" si="50"/>
        <v>95</v>
      </c>
      <c r="BS234" s="112">
        <f>OOC!G234</f>
        <v>11.827</v>
      </c>
      <c r="BT234" s="112">
        <f>OOC!H234</f>
        <v>11.787000000000001</v>
      </c>
      <c r="BU234" s="3" t="e">
        <f t="shared" si="51"/>
        <v>#REF!</v>
      </c>
      <c r="BV234" s="3" t="e">
        <f t="shared" si="52"/>
        <v>#REF!</v>
      </c>
      <c r="BW234" s="3" t="e">
        <f t="shared" si="53"/>
        <v>#REF!</v>
      </c>
      <c r="BX234" s="109" t="e">
        <f>IF(AND(IF(OOC!G234="",0,OOC!G234) &gt;= IF(O234="",0,O234), IF(O234="",0,O234) &gt; IF(L234="",0,L234)), "OOC",
IF(AND(IF(M234="",0,M234) &gt; IF(P234="",0,P234), IF(P234="",0,P234) &gt;= IF(OOC!H234="",0,OOC!H234)), "OOC",
IF(IF(O234="",0,O234) &gt; IF(OOC!G234="",0,OOC!G234), "OOS",
IF(IF(OOC!H234="",0,OOC!H234) &gt; IF(P234="",0,P234), "OOS", "OK"))))</f>
        <v>#REF!</v>
      </c>
      <c r="CR234" s="78"/>
      <c r="FT234" s="78"/>
      <c r="HH234" s="78"/>
      <c r="NB234" s="78"/>
      <c r="NO234" s="78"/>
      <c r="QE234" s="78"/>
      <c r="WV234" s="78"/>
      <c r="XV234" s="78"/>
      <c r="AAF234" s="78"/>
      <c r="ABP234" s="78"/>
      <c r="ACD234" s="78"/>
      <c r="ADK234" s="78"/>
      <c r="AHN234" s="78"/>
      <c r="AJD234" s="78"/>
      <c r="ALA234" s="78"/>
      <c r="AMA234" s="78"/>
      <c r="ANP234" s="78"/>
      <c r="AON234" s="78"/>
      <c r="AOR234" s="78"/>
      <c r="APH234" s="78"/>
      <c r="APO234" s="78"/>
      <c r="APP234" s="78"/>
      <c r="AQR234" s="78"/>
      <c r="ATC234" s="78"/>
      <c r="AZB234" s="78"/>
      <c r="BBD234" s="78"/>
      <c r="BCD234" s="78"/>
      <c r="BDV234" s="78"/>
      <c r="BEQ234" s="78"/>
      <c r="BQX234" s="78"/>
      <c r="BSW234" s="78"/>
      <c r="CEM234" s="78"/>
      <c r="CFJ234" s="78"/>
      <c r="CKW234" s="78"/>
      <c r="CWH234" s="78"/>
      <c r="DLV234" s="78"/>
      <c r="DSD234" s="78"/>
      <c r="DSO234" s="78"/>
      <c r="DTN234" s="78"/>
      <c r="DUQ234" s="78"/>
    </row>
    <row r="235" spans="1:1015 1056:1869 2171:3038 3202:3267" ht="15" customHeight="1">
      <c r="A235" s="18">
        <v>7</v>
      </c>
      <c r="B235" s="84"/>
      <c r="C235" s="91" t="s">
        <v>227</v>
      </c>
      <c r="D235" s="80" t="s">
        <v>217</v>
      </c>
      <c r="E235" s="86"/>
      <c r="F235" s="13" t="s">
        <v>27</v>
      </c>
      <c r="G235" s="14"/>
      <c r="H235" s="82" t="str">
        <f>IF(OOC!S235=0,"",OOC!S235)</f>
        <v/>
      </c>
      <c r="I235" s="82" t="str">
        <f>IF(OOC!T235=0,"",OOC!T235)</f>
        <v/>
      </c>
      <c r="J235" s="16" t="s">
        <v>12</v>
      </c>
      <c r="K235" s="73" t="s">
        <v>52</v>
      </c>
      <c r="L235" s="19" t="str">
        <f t="shared" si="40"/>
        <v/>
      </c>
      <c r="M235" s="25" t="str">
        <f t="shared" si="41"/>
        <v/>
      </c>
      <c r="N235" s="28"/>
      <c r="O235" s="3" t="e">
        <f>IF(OR($AK235="",ISNUMBER($AK235)=FALSE),"",MAX(AK235:BP235))</f>
        <v>#REF!</v>
      </c>
      <c r="P235" s="3" t="e">
        <f>IF(OR($AK235="",ISNUMBER($AK235)=FALSE),"",MIN(AK235:BP235))</f>
        <v>#REF!</v>
      </c>
      <c r="Q235" s="3" t="e">
        <f>IF(OR($AK235="",ISNUMBER($AK235)=FALSE),"",AVERAGE(AK235:BP235))</f>
        <v>#REF!</v>
      </c>
      <c r="R235" s="4" t="e">
        <f>IF(OR($AK235="",ISNUMBER($AK235)=FALSE),"",STDEV(AK235:BP235))</f>
        <v>#REF!</v>
      </c>
      <c r="S235" s="5" t="e">
        <f t="shared" si="49"/>
        <v>#REF!</v>
      </c>
      <c r="T235" s="76" t="e">
        <f>IF(OR($AK235="",ISNUMBER($AK235)=FALSE),"",IF(AND($F235="Tolerance",$G235&lt;&gt;""),($Q235-$G235)/(($L235-$M235)/2),IF(AND($F235="GD&amp;T",$H235&lt;&gt;""),$Q235/$H235,"")))</f>
        <v>#REF!</v>
      </c>
      <c r="U235" s="76" t="e">
        <f t="shared" si="42"/>
        <v>#REF!</v>
      </c>
      <c r="V235" s="5" t="e">
        <f>IF(OR($AK235="",ISNUMBER($AK235)=FALSE),"",IF(H235="","",(L235-Q235)/(3*R235)))</f>
        <v>#REF!</v>
      </c>
      <c r="W235" s="5" t="e">
        <f>IF(OR($AK235="",ISNUMBER($AK235)=FALSE),"",IF(I235="","",(Q235-M235)/(3*R235)))</f>
        <v>#REF!</v>
      </c>
      <c r="X235" s="5" t="e">
        <f>IF(OR($AK235="",ISNUMBER($AK235)=FALSE),"",IF(AND(G235=0,I235=0),((H235)-(Q235))/(3*R235),MIN(V235:W235)))</f>
        <v>#REF!</v>
      </c>
      <c r="Y235" s="70" t="e">
        <f>IF(OR($AK235="",ISNUMBER($AK235)=FALSE),"",IF(AND(G235=0,I235=0),NORMSDIST(3*X235),NORMSDIST(3*X235)+NORMSDIST(6*S235-3*X235)-1))</f>
        <v>#REF!</v>
      </c>
      <c r="Z235" s="32" t="e">
        <f t="shared" si="36"/>
        <v>#REF!</v>
      </c>
      <c r="AA235" s="32" t="e">
        <f t="shared" si="37"/>
        <v>#REF!</v>
      </c>
      <c r="AB235" s="32" t="e">
        <f t="shared" si="38"/>
        <v>#REF!</v>
      </c>
      <c r="AC235" s="32" t="e">
        <f t="shared" si="39"/>
        <v>#REF!</v>
      </c>
      <c r="AD235" s="30"/>
      <c r="AE235" s="21" t="str">
        <f t="shared" si="43"/>
        <v/>
      </c>
      <c r="AF235" s="74"/>
      <c r="AG235" s="57"/>
      <c r="AH235" s="57"/>
      <c r="AI235" s="58"/>
      <c r="AJ235" s="23"/>
      <c r="AK235" s="2" t="e">
        <f>#REF!</f>
        <v>#REF!</v>
      </c>
      <c r="AL235" s="2" t="e">
        <f>#REF!</f>
        <v>#REF!</v>
      </c>
      <c r="AM235" s="2" t="e">
        <f>#REF!</f>
        <v>#REF!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0" t="str">
        <f t="shared" si="50"/>
        <v>96</v>
      </c>
      <c r="BS235" s="112">
        <f>OOC!G235</f>
        <v>0.03</v>
      </c>
      <c r="BT235" s="112" t="str">
        <f>OOC!H235</f>
        <v/>
      </c>
      <c r="BU235" s="3" t="e">
        <f t="shared" si="51"/>
        <v>#REF!</v>
      </c>
      <c r="BV235" s="3" t="e">
        <f t="shared" si="52"/>
        <v>#REF!</v>
      </c>
      <c r="BW235" s="3" t="e">
        <f t="shared" si="53"/>
        <v>#REF!</v>
      </c>
      <c r="BX235" s="109" t="e">
        <f>IF(AND(IF(OOC!G235="",0,OOC!G235) &gt;= IF(O235="",0,O235), IF(O235="",0,O235) &gt; IF(L235="",0,L235)), "OOC",
IF(AND(IF(M235="",0,M235) &gt; IF(P235="",0,P235), IF(P235="",0,P235) &gt;= IF(OOC!H235="",0,OOC!H235)), "OOC",
IF(IF(O235="",0,O235) &gt; IF(OOC!G235="",0,OOC!G235), "OOS",
IF(IF(OOC!H235="",0,OOC!H235) &gt; IF(P235="",0,P235), "OOS", "OK"))))</f>
        <v>#REF!</v>
      </c>
      <c r="CR235" s="78"/>
      <c r="FT235" s="78"/>
      <c r="HH235" s="78"/>
      <c r="NB235" s="78"/>
      <c r="NO235" s="78"/>
      <c r="QE235" s="78"/>
      <c r="WV235" s="78"/>
      <c r="XV235" s="78"/>
      <c r="AAF235" s="78"/>
      <c r="ABP235" s="78"/>
      <c r="ACD235" s="78"/>
      <c r="ADK235" s="78"/>
      <c r="AHN235" s="78"/>
      <c r="AJD235" s="78"/>
      <c r="ALA235" s="78"/>
      <c r="AMA235" s="78"/>
      <c r="ANP235" s="78"/>
      <c r="AON235" s="78"/>
      <c r="AOR235" s="78"/>
      <c r="APH235" s="78"/>
      <c r="APO235" s="78"/>
      <c r="APP235" s="78"/>
      <c r="AQR235" s="78"/>
      <c r="ATC235" s="78"/>
      <c r="AZB235" s="78"/>
      <c r="BBD235" s="78"/>
      <c r="BCD235" s="78"/>
      <c r="BDV235" s="78"/>
      <c r="BEQ235" s="78"/>
      <c r="BQX235" s="78"/>
      <c r="BSW235" s="78"/>
      <c r="CEM235" s="78"/>
      <c r="CFJ235" s="78"/>
      <c r="CKW235" s="78"/>
      <c r="CWH235" s="78"/>
      <c r="DLV235" s="78"/>
      <c r="DSD235" s="78"/>
      <c r="DSO235" s="78"/>
      <c r="DTN235" s="78"/>
      <c r="DUQ235" s="78"/>
    </row>
    <row r="236" spans="1:1015 1056:1869 2171:3038 3202:3267" ht="15" customHeight="1">
      <c r="A236" s="18">
        <v>7</v>
      </c>
      <c r="B236" s="84"/>
      <c r="C236" s="91" t="s">
        <v>228</v>
      </c>
      <c r="D236" s="80" t="s">
        <v>217</v>
      </c>
      <c r="E236" s="86"/>
      <c r="F236" s="13" t="s">
        <v>27</v>
      </c>
      <c r="G236" s="14"/>
      <c r="H236" s="82" t="str">
        <f>IF(OOC!S236=0,"",OOC!S236)</f>
        <v/>
      </c>
      <c r="I236" s="82" t="str">
        <f>IF(OOC!T236=0,"",OOC!T236)</f>
        <v/>
      </c>
      <c r="J236" s="16" t="s">
        <v>12</v>
      </c>
      <c r="K236" s="73" t="s">
        <v>52</v>
      </c>
      <c r="L236" s="19" t="str">
        <f t="shared" si="40"/>
        <v/>
      </c>
      <c r="M236" s="25" t="str">
        <f t="shared" si="41"/>
        <v/>
      </c>
      <c r="N236" s="28"/>
      <c r="O236" s="3" t="e">
        <f>IF(OR($AK236="",ISNUMBER($AK236)=FALSE),"",MAX(AK236:BP236))</f>
        <v>#REF!</v>
      </c>
      <c r="P236" s="3" t="e">
        <f>IF(OR($AK236="",ISNUMBER($AK236)=FALSE),"",MIN(AK236:BP236))</f>
        <v>#REF!</v>
      </c>
      <c r="Q236" s="3" t="e">
        <f>IF(OR($AK236="",ISNUMBER($AK236)=FALSE),"",AVERAGE(AK236:BP236))</f>
        <v>#REF!</v>
      </c>
      <c r="R236" s="4" t="e">
        <f>IF(OR($AK236="",ISNUMBER($AK236)=FALSE),"",STDEV(AK236:BP236))</f>
        <v>#REF!</v>
      </c>
      <c r="S236" s="5" t="e">
        <f t="shared" si="49"/>
        <v>#REF!</v>
      </c>
      <c r="T236" s="76" t="e">
        <f>IF(OR($AK236="",ISNUMBER($AK236)=FALSE),"",IF(AND($F236="Tolerance",$G236&lt;&gt;""),($Q236-$G236)/(($L236-$M236)/2),IF(AND($F236="GD&amp;T",$H236&lt;&gt;""),$Q236/$H236,"")))</f>
        <v>#REF!</v>
      </c>
      <c r="U236" s="76" t="e">
        <f t="shared" si="42"/>
        <v>#REF!</v>
      </c>
      <c r="V236" s="5" t="e">
        <f>IF(OR($AK236="",ISNUMBER($AK236)=FALSE),"",IF(H236="","",(L236-Q236)/(3*R236)))</f>
        <v>#REF!</v>
      </c>
      <c r="W236" s="5" t="e">
        <f>IF(OR($AK236="",ISNUMBER($AK236)=FALSE),"",IF(I236="","",(Q236-M236)/(3*R236)))</f>
        <v>#REF!</v>
      </c>
      <c r="X236" s="5" t="e">
        <f>IF(OR($AK236="",ISNUMBER($AK236)=FALSE),"",IF(AND(G236=0,I236=0),((H236)-(Q236))/(3*R236),MIN(V236:W236)))</f>
        <v>#REF!</v>
      </c>
      <c r="Y236" s="70" t="e">
        <f>IF(OR($AK236="",ISNUMBER($AK236)=FALSE),"",IF(AND(G236=0,I236=0),NORMSDIST(3*X236),NORMSDIST(3*X236)+NORMSDIST(6*S236-3*X236)-1))</f>
        <v>#REF!</v>
      </c>
      <c r="Z236" s="32" t="e">
        <f t="shared" si="36"/>
        <v>#REF!</v>
      </c>
      <c r="AA236" s="32" t="e">
        <f t="shared" si="37"/>
        <v>#REF!</v>
      </c>
      <c r="AB236" s="32" t="e">
        <f t="shared" si="38"/>
        <v>#REF!</v>
      </c>
      <c r="AC236" s="32" t="e">
        <f t="shared" si="39"/>
        <v>#REF!</v>
      </c>
      <c r="AD236" s="30"/>
      <c r="AE236" s="21" t="str">
        <f t="shared" si="43"/>
        <v/>
      </c>
      <c r="AF236" s="74"/>
      <c r="AG236" s="57"/>
      <c r="AH236" s="57"/>
      <c r="AI236" s="58"/>
      <c r="AJ236" s="23"/>
      <c r="AK236" s="2" t="e">
        <f>#REF!</f>
        <v>#REF!</v>
      </c>
      <c r="AL236" s="2" t="e">
        <f>#REF!</f>
        <v>#REF!</v>
      </c>
      <c r="AM236" s="2" t="e">
        <f>#REF!</f>
        <v>#REF!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0" t="str">
        <f t="shared" si="50"/>
        <v>97</v>
      </c>
      <c r="BS236" s="112">
        <f>OOC!G236</f>
        <v>0.03</v>
      </c>
      <c r="BT236" s="112" t="str">
        <f>OOC!H236</f>
        <v/>
      </c>
      <c r="BU236" s="3" t="e">
        <f t="shared" si="51"/>
        <v>#REF!</v>
      </c>
      <c r="BV236" s="3" t="e">
        <f t="shared" si="52"/>
        <v>#REF!</v>
      </c>
      <c r="BW236" s="3" t="e">
        <f t="shared" si="53"/>
        <v>#REF!</v>
      </c>
      <c r="BX236" s="109" t="e">
        <f>IF(AND(IF(OOC!G236="",0,OOC!G236) &gt;= IF(O236="",0,O236), IF(O236="",0,O236) &gt; IF(L236="",0,L236)), "OOC",
IF(AND(IF(M236="",0,M236) &gt; IF(P236="",0,P236), IF(P236="",0,P236) &gt;= IF(OOC!H236="",0,OOC!H236)), "OOC",
IF(IF(O236="",0,O236) &gt; IF(OOC!G236="",0,OOC!G236), "OOS",
IF(IF(OOC!H236="",0,OOC!H236) &gt; IF(P236="",0,P236), "OOS", "OK"))))</f>
        <v>#REF!</v>
      </c>
      <c r="CR236" s="78"/>
      <c r="FT236" s="78"/>
      <c r="HH236" s="78"/>
      <c r="NB236" s="78"/>
      <c r="NO236" s="78"/>
      <c r="QE236" s="78"/>
      <c r="WV236" s="78"/>
      <c r="XV236" s="78"/>
      <c r="AAF236" s="78"/>
      <c r="ABP236" s="78"/>
      <c r="ACD236" s="78"/>
      <c r="ADK236" s="78"/>
      <c r="AHN236" s="78"/>
      <c r="AJD236" s="78"/>
      <c r="ALA236" s="78"/>
      <c r="AMA236" s="78"/>
      <c r="ANP236" s="78"/>
      <c r="AON236" s="78"/>
      <c r="AOR236" s="78"/>
      <c r="APH236" s="78"/>
      <c r="APO236" s="78"/>
      <c r="APP236" s="78"/>
      <c r="AQR236" s="78"/>
      <c r="ATC236" s="78"/>
      <c r="AZB236" s="78"/>
      <c r="BBD236" s="78"/>
      <c r="BCD236" s="78"/>
      <c r="BDV236" s="78"/>
      <c r="BEQ236" s="78"/>
      <c r="BQX236" s="78"/>
      <c r="BSW236" s="78"/>
      <c r="CEM236" s="78"/>
      <c r="CFJ236" s="78"/>
      <c r="CKW236" s="78"/>
      <c r="CWH236" s="78"/>
      <c r="DLV236" s="78"/>
      <c r="DSD236" s="78"/>
      <c r="DSO236" s="78"/>
      <c r="DTN236" s="78"/>
      <c r="DUQ236" s="78"/>
    </row>
    <row r="237" spans="1:1015 1056:1869 2171:3038 3202:3267" ht="15" customHeight="1">
      <c r="A237" s="18"/>
      <c r="B237" s="84"/>
      <c r="C237" s="88"/>
      <c r="D237" s="80"/>
      <c r="E237" s="86"/>
      <c r="F237" s="13"/>
      <c r="G237" s="14"/>
      <c r="H237" s="82"/>
      <c r="I237" s="82"/>
      <c r="J237" s="16"/>
      <c r="K237" s="73"/>
      <c r="L237" s="19"/>
      <c r="M237" s="25"/>
      <c r="N237" s="28"/>
      <c r="O237" s="3"/>
      <c r="P237" s="3"/>
      <c r="Q237" s="3"/>
      <c r="R237" s="4"/>
      <c r="S237" s="5"/>
      <c r="T237" s="76"/>
      <c r="U237" s="76"/>
      <c r="V237" s="5"/>
      <c r="W237" s="5"/>
      <c r="X237" s="5"/>
      <c r="Y237" s="70"/>
      <c r="Z237" s="32"/>
      <c r="AA237" s="32"/>
      <c r="AB237" s="32"/>
      <c r="AC237" s="32"/>
      <c r="AD237" s="30"/>
      <c r="AE237" s="21"/>
      <c r="AF237" s="74"/>
      <c r="AG237" s="57"/>
      <c r="AH237" s="57"/>
      <c r="AI237" s="58"/>
      <c r="AJ237" s="23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0"/>
      <c r="BS237" s="112"/>
      <c r="BT237" s="112"/>
      <c r="BU237" s="3"/>
      <c r="BV237" s="3"/>
      <c r="BW237" s="3"/>
      <c r="BX237" s="109"/>
      <c r="CR237" s="78"/>
      <c r="FT237" s="78"/>
      <c r="HH237" s="78"/>
      <c r="NB237" s="78"/>
      <c r="NO237" s="78"/>
      <c r="QE237" s="78"/>
      <c r="WV237" s="78"/>
      <c r="XV237" s="78"/>
      <c r="AAF237" s="78"/>
      <c r="ABP237" s="78"/>
      <c r="ACD237" s="78"/>
      <c r="ADK237" s="78"/>
      <c r="AHN237" s="78"/>
      <c r="AJD237" s="78"/>
      <c r="ALA237" s="78"/>
      <c r="AMA237" s="78"/>
      <c r="ANP237" s="78"/>
      <c r="AON237" s="78"/>
      <c r="AOR237" s="78"/>
      <c r="APH237" s="78"/>
      <c r="APO237" s="78"/>
      <c r="APP237" s="78"/>
      <c r="AQR237" s="78"/>
      <c r="ATC237" s="78"/>
      <c r="AZB237" s="78"/>
      <c r="BBD237" s="78"/>
      <c r="BCD237" s="78"/>
      <c r="BDV237" s="78"/>
      <c r="BEQ237" s="78"/>
      <c r="BQX237" s="78"/>
      <c r="BSW237" s="78"/>
      <c r="CEM237" s="78"/>
      <c r="CFJ237" s="78"/>
      <c r="CKW237" s="78"/>
      <c r="CWH237" s="78"/>
      <c r="DLV237" s="78"/>
      <c r="DSD237" s="78"/>
      <c r="DSO237" s="78"/>
      <c r="DTN237" s="78"/>
      <c r="DUQ237" s="78"/>
    </row>
    <row r="238" spans="1:1015 1056:1869 2171:3038 3202:3267" ht="15" customHeight="1">
      <c r="A238" s="18"/>
      <c r="B238" s="84"/>
      <c r="C238" s="88"/>
      <c r="D238" s="80"/>
      <c r="E238" s="86"/>
      <c r="F238" s="13"/>
      <c r="G238" s="14"/>
      <c r="H238" s="82"/>
      <c r="I238" s="82"/>
      <c r="J238" s="16"/>
      <c r="K238" s="73"/>
      <c r="L238" s="19"/>
      <c r="M238" s="25"/>
      <c r="N238" s="28"/>
      <c r="O238" s="3"/>
      <c r="P238" s="3"/>
      <c r="Q238" s="3"/>
      <c r="R238" s="4"/>
      <c r="S238" s="5"/>
      <c r="T238" s="76"/>
      <c r="U238" s="76"/>
      <c r="V238" s="5"/>
      <c r="W238" s="5"/>
      <c r="X238" s="5"/>
      <c r="Y238" s="70"/>
      <c r="Z238" s="32"/>
      <c r="AA238" s="32"/>
      <c r="AB238" s="32"/>
      <c r="AC238" s="32"/>
      <c r="AD238" s="30"/>
      <c r="AE238" s="21"/>
      <c r="AF238" s="74"/>
      <c r="AG238" s="57"/>
      <c r="AH238" s="57"/>
      <c r="AI238" s="58"/>
      <c r="AJ238" s="2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R238" s="110"/>
      <c r="BS238" s="112"/>
      <c r="BT238" s="112"/>
      <c r="BU238" s="3"/>
      <c r="BV238" s="3"/>
      <c r="BW238" s="3"/>
      <c r="BX238" s="109"/>
      <c r="CR238" s="78"/>
      <c r="FT238" s="78"/>
      <c r="HH238" s="78"/>
      <c r="NB238" s="78"/>
      <c r="NO238" s="78"/>
      <c r="QE238" s="78"/>
      <c r="WV238" s="78"/>
      <c r="XV238" s="78"/>
      <c r="AAF238" s="78"/>
      <c r="ABP238" s="78"/>
      <c r="ACD238" s="78"/>
      <c r="ADK238" s="78"/>
      <c r="AHN238" s="78"/>
      <c r="AJD238" s="78"/>
      <c r="ALA238" s="78"/>
      <c r="AMA238" s="78"/>
      <c r="ANP238" s="78"/>
      <c r="AON238" s="78"/>
      <c r="AOR238" s="78"/>
      <c r="APH238" s="78"/>
      <c r="APO238" s="78"/>
      <c r="APP238" s="78"/>
      <c r="AQR238" s="78"/>
      <c r="ATC238" s="78"/>
      <c r="AZB238" s="78"/>
      <c r="BBD238" s="78"/>
      <c r="BCD238" s="78"/>
      <c r="BDV238" s="78"/>
      <c r="BEQ238" s="78"/>
      <c r="BQX238" s="78"/>
      <c r="BSW238" s="78"/>
      <c r="CEM238" s="78"/>
      <c r="CFJ238" s="78"/>
      <c r="CKW238" s="78"/>
      <c r="CWH238" s="78"/>
      <c r="DLV238" s="78"/>
      <c r="DSD238" s="78"/>
      <c r="DSO238" s="78"/>
      <c r="DTN238" s="78"/>
      <c r="DUQ238" s="78"/>
    </row>
    <row r="239" spans="1:1015 1056:1869 2171:3038 3202:3267" ht="15" customHeight="1">
      <c r="A239" s="18"/>
      <c r="B239" s="84"/>
      <c r="C239" s="88"/>
      <c r="D239" s="80"/>
      <c r="E239" s="86"/>
      <c r="F239" s="13"/>
      <c r="G239" s="14"/>
      <c r="H239" s="82"/>
      <c r="I239" s="82"/>
      <c r="J239" s="16"/>
      <c r="K239" s="73"/>
      <c r="L239" s="19"/>
      <c r="M239" s="25"/>
      <c r="N239" s="28"/>
      <c r="O239" s="3"/>
      <c r="P239" s="3"/>
      <c r="Q239" s="3"/>
      <c r="R239" s="4"/>
      <c r="S239" s="5"/>
      <c r="T239" s="76"/>
      <c r="U239" s="76"/>
      <c r="V239" s="5"/>
      <c r="W239" s="5"/>
      <c r="X239" s="5"/>
      <c r="Y239" s="70"/>
      <c r="Z239" s="32"/>
      <c r="AA239" s="32"/>
      <c r="AB239" s="32"/>
      <c r="AC239" s="32"/>
      <c r="AD239" s="30"/>
      <c r="AE239" s="21"/>
      <c r="AF239" s="74"/>
      <c r="AG239" s="57"/>
      <c r="AH239" s="57"/>
      <c r="AI239" s="58"/>
      <c r="AJ239" s="2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R239" s="110"/>
      <c r="BS239" s="112"/>
      <c r="BT239" s="112"/>
      <c r="BU239" s="3"/>
      <c r="BV239" s="3"/>
      <c r="BW239" s="3"/>
      <c r="BX239" s="109"/>
      <c r="CR239" s="78"/>
      <c r="FT239" s="78"/>
      <c r="HH239" s="78"/>
      <c r="NB239" s="78"/>
      <c r="NO239" s="78"/>
      <c r="QE239" s="78"/>
      <c r="WV239" s="78"/>
      <c r="XV239" s="78"/>
      <c r="AAF239" s="78"/>
      <c r="ABP239" s="78"/>
      <c r="ACD239" s="78"/>
      <c r="ADK239" s="78"/>
      <c r="AHN239" s="78"/>
      <c r="AJD239" s="78"/>
      <c r="ALA239" s="78"/>
      <c r="AMA239" s="78"/>
      <c r="ANP239" s="78"/>
      <c r="AON239" s="78"/>
      <c r="AOR239" s="78"/>
      <c r="APH239" s="78"/>
      <c r="APO239" s="78"/>
      <c r="APP239" s="78"/>
      <c r="AQR239" s="78"/>
      <c r="ATC239" s="78"/>
      <c r="AZB239" s="78"/>
      <c r="BBD239" s="78"/>
      <c r="BCD239" s="78"/>
      <c r="BDV239" s="78"/>
      <c r="BEQ239" s="78"/>
      <c r="BQX239" s="78"/>
      <c r="BSW239" s="78"/>
      <c r="CEM239" s="78"/>
      <c r="CFJ239" s="78"/>
      <c r="CKW239" s="78"/>
      <c r="CWH239" s="78"/>
      <c r="DLV239" s="78"/>
      <c r="DSD239" s="78"/>
      <c r="DSO239" s="78"/>
      <c r="DTN239" s="78"/>
      <c r="DUQ239" s="78"/>
    </row>
    <row r="240" spans="1:1015 1056:1869 2171:3038 3202:3267" ht="15" customHeight="1">
      <c r="A240" s="18"/>
      <c r="B240" s="84"/>
      <c r="C240" s="88"/>
      <c r="D240" s="80"/>
      <c r="E240" s="86"/>
      <c r="F240" s="13"/>
      <c r="G240" s="14"/>
      <c r="H240" s="82"/>
      <c r="I240" s="82"/>
      <c r="J240" s="16"/>
      <c r="K240" s="73"/>
      <c r="L240" s="19"/>
      <c r="M240" s="25"/>
      <c r="N240" s="28"/>
      <c r="O240" s="3"/>
      <c r="P240" s="3"/>
      <c r="Q240" s="3"/>
      <c r="R240" s="4"/>
      <c r="S240" s="5"/>
      <c r="T240" s="76"/>
      <c r="U240" s="76"/>
      <c r="V240" s="5"/>
      <c r="W240" s="5"/>
      <c r="X240" s="5"/>
      <c r="Y240" s="70"/>
      <c r="Z240" s="32"/>
      <c r="AA240" s="32"/>
      <c r="AB240" s="32"/>
      <c r="AC240" s="32"/>
      <c r="AD240" s="30"/>
      <c r="AE240" s="21"/>
      <c r="AF240" s="74"/>
      <c r="AG240" s="57"/>
      <c r="AH240" s="57"/>
      <c r="AI240" s="58"/>
      <c r="AJ240" s="2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R240" s="110"/>
      <c r="BS240" s="112"/>
      <c r="BT240" s="112"/>
      <c r="BU240" s="3"/>
      <c r="BV240" s="3"/>
      <c r="BW240" s="3"/>
      <c r="BX240" s="109"/>
      <c r="CR240" s="78"/>
      <c r="FT240" s="78"/>
      <c r="HH240" s="78"/>
      <c r="NB240" s="78"/>
      <c r="NO240" s="78"/>
      <c r="QE240" s="78"/>
      <c r="WV240" s="78"/>
      <c r="XV240" s="78"/>
      <c r="AAF240" s="78"/>
      <c r="ABP240" s="78"/>
      <c r="ACD240" s="78"/>
      <c r="ADK240" s="78"/>
      <c r="AHN240" s="78"/>
      <c r="AJD240" s="78"/>
      <c r="ALA240" s="78"/>
      <c r="AMA240" s="78"/>
      <c r="ANP240" s="78"/>
      <c r="AON240" s="78"/>
      <c r="AOR240" s="78"/>
      <c r="APH240" s="78"/>
      <c r="APO240" s="78"/>
      <c r="APP240" s="78"/>
      <c r="AQR240" s="78"/>
      <c r="ATC240" s="78"/>
      <c r="AZB240" s="78"/>
      <c r="BBD240" s="78"/>
      <c r="BCD240" s="78"/>
      <c r="BDV240" s="78"/>
      <c r="BEQ240" s="78"/>
      <c r="BQX240" s="78"/>
      <c r="BSW240" s="78"/>
      <c r="CEM240" s="78"/>
      <c r="CFJ240" s="78"/>
      <c r="CKW240" s="78"/>
      <c r="CWH240" s="78"/>
      <c r="DLV240" s="78"/>
      <c r="DSD240" s="78"/>
      <c r="DSO240" s="78"/>
      <c r="DTN240" s="78"/>
      <c r="DUQ240" s="78"/>
    </row>
    <row r="241" spans="1:1015 1056:1869 2171:3038 3202:3267" ht="15" customHeight="1">
      <c r="A241" s="18">
        <v>7</v>
      </c>
      <c r="B241" s="84" t="s">
        <v>328</v>
      </c>
      <c r="C241" s="91" t="s">
        <v>231</v>
      </c>
      <c r="D241" s="80"/>
      <c r="E241" s="86"/>
      <c r="F241" s="13" t="s">
        <v>27</v>
      </c>
      <c r="G241" s="14"/>
      <c r="H241" s="82" t="str">
        <f>IF(OOC!S241=0,"",OOC!S241)</f>
        <v/>
      </c>
      <c r="I241" s="82" t="str">
        <f>IF(OOC!T241=0,"",OOC!T241)</f>
        <v/>
      </c>
      <c r="J241" s="16" t="s">
        <v>12</v>
      </c>
      <c r="K241" s="73" t="s">
        <v>52</v>
      </c>
      <c r="L241" s="19" t="str">
        <f t="shared" si="40"/>
        <v/>
      </c>
      <c r="M241" s="25" t="str">
        <f t="shared" si="41"/>
        <v/>
      </c>
      <c r="N241" s="28"/>
      <c r="O241" s="3" t="e">
        <f>IF(OR($AK241="",ISNUMBER($AK241)=FALSE),"",MAX(AK241:BP241))</f>
        <v>#REF!</v>
      </c>
      <c r="P241" s="3" t="e">
        <f>IF(OR($AK241="",ISNUMBER($AK241)=FALSE),"",MIN(AK241:BP241))</f>
        <v>#REF!</v>
      </c>
      <c r="Q241" s="3" t="e">
        <f>IF(OR($AK241="",ISNUMBER($AK241)=FALSE),"",AVERAGE(AK241:BP241))</f>
        <v>#REF!</v>
      </c>
      <c r="R241" s="4" t="e">
        <f>IF(OR($AK241="",ISNUMBER($AK241)=FALSE),"",STDEV(AK241:BP241))</f>
        <v>#REF!</v>
      </c>
      <c r="S241" s="5" t="e">
        <f t="shared" si="49"/>
        <v>#REF!</v>
      </c>
      <c r="T241" s="76" t="e">
        <f>IF(OR($AK241="",ISNUMBER($AK241)=FALSE),"",IF(AND($F241="Tolerance",$G241&lt;&gt;""),($Q241-$G241)/(($L241-$M241)/2),IF(AND($F241="GD&amp;T",$H241&lt;&gt;""),$Q241/$H241,"")))</f>
        <v>#REF!</v>
      </c>
      <c r="U241" s="76" t="e">
        <f t="shared" si="42"/>
        <v>#REF!</v>
      </c>
      <c r="V241" s="5" t="e">
        <f>IF(OR($AK241="",ISNUMBER($AK241)=FALSE),"",IF(H241="","",(L241-Q241)/(3*R241)))</f>
        <v>#REF!</v>
      </c>
      <c r="W241" s="5" t="e">
        <f>IF(OR($AK241="",ISNUMBER($AK241)=FALSE),"",IF(I241="","",(Q241-M241)/(3*R241)))</f>
        <v>#REF!</v>
      </c>
      <c r="X241" s="5" t="e">
        <f>IF(OR($AK241="",ISNUMBER($AK241)=FALSE),"",IF(AND(G241=0,I241=0),((H241)-(Q241))/(3*R241),MIN(V241:W241)))</f>
        <v>#REF!</v>
      </c>
      <c r="Y241" s="70" t="e">
        <f>IF(OR($AK241="",ISNUMBER($AK241)=FALSE),"",IF(AND(G241=0,I241=0),NORMSDIST(3*X241),NORMSDIST(3*X241)+NORMSDIST(6*S241-3*X241)-1))</f>
        <v>#REF!</v>
      </c>
      <c r="Z241" s="32" t="e">
        <f t="shared" si="36"/>
        <v>#REF!</v>
      </c>
      <c r="AA241" s="32" t="e">
        <f t="shared" si="37"/>
        <v>#REF!</v>
      </c>
      <c r="AB241" s="32" t="e">
        <f t="shared" si="38"/>
        <v>#REF!</v>
      </c>
      <c r="AC241" s="32" t="e">
        <f t="shared" si="39"/>
        <v>#REF!</v>
      </c>
      <c r="AD241" s="30"/>
      <c r="AE241" s="21" t="str">
        <f t="shared" si="43"/>
        <v/>
      </c>
      <c r="AF241" s="74"/>
      <c r="AG241" s="57"/>
      <c r="AH241" s="57"/>
      <c r="AI241" s="58"/>
      <c r="AJ241" s="23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0" t="str">
        <f t="shared" si="50"/>
        <v>99</v>
      </c>
      <c r="BS241" s="112">
        <f>OOC!G241</f>
        <v>0.03</v>
      </c>
      <c r="BT241" s="112" t="str">
        <f>OOC!H241</f>
        <v/>
      </c>
      <c r="BU241" s="3" t="e">
        <f t="shared" si="51"/>
        <v>#REF!</v>
      </c>
      <c r="BV241" s="3" t="e">
        <f t="shared" si="52"/>
        <v>#REF!</v>
      </c>
      <c r="BW241" s="3" t="e">
        <f t="shared" si="53"/>
        <v>#REF!</v>
      </c>
      <c r="BX241" s="109" t="e">
        <f>IF(AND(IF(OOC!G241="",0,OOC!G241) &gt;= IF(O241="",0,O241), IF(O241="",0,O241) &gt; IF(L241="",0,L241)), "OOC",
IF(AND(IF(M241="",0,M241) &gt; IF(P241="",0,P241), IF(P241="",0,P241) &gt;= IF(OOC!H241="",0,OOC!H241)), "OOC",
IF(IF(O241="",0,O241) &gt; IF(OOC!G241="",0,OOC!G241), "OOS",
IF(IF(OOC!H241="",0,OOC!H241) &gt; IF(P241="",0,P241), "OOS", "OK"))))</f>
        <v>#REF!</v>
      </c>
      <c r="CR241" s="78"/>
      <c r="FT241" s="78"/>
      <c r="HH241" s="78"/>
      <c r="NB241" s="78"/>
      <c r="NO241" s="78"/>
      <c r="QE241" s="78"/>
      <c r="WV241" s="78"/>
      <c r="XV241" s="78"/>
      <c r="AAF241" s="78"/>
      <c r="ABP241" s="78"/>
      <c r="ACD241" s="78"/>
      <c r="ADK241" s="78"/>
      <c r="AHN241" s="78"/>
      <c r="AJD241" s="78"/>
      <c r="ALA241" s="78"/>
      <c r="AMA241" s="78"/>
      <c r="ANP241" s="78"/>
      <c r="AON241" s="78"/>
      <c r="AOR241" s="78"/>
      <c r="APH241" s="78"/>
      <c r="APO241" s="78"/>
      <c r="APP241" s="78"/>
      <c r="AQR241" s="78"/>
      <c r="ATC241" s="78"/>
      <c r="AZB241" s="78"/>
      <c r="BBD241" s="78"/>
      <c r="BCD241" s="78"/>
      <c r="BDV241" s="78"/>
      <c r="BEQ241" s="78"/>
      <c r="BQX241" s="78"/>
      <c r="BSW241" s="78"/>
      <c r="CEM241" s="78"/>
      <c r="CFJ241" s="78"/>
      <c r="CKW241" s="78"/>
      <c r="CWH241" s="78"/>
      <c r="DLV241" s="78"/>
      <c r="DSD241" s="78"/>
      <c r="DSO241" s="78"/>
      <c r="DTN241" s="78"/>
      <c r="DUQ241" s="78"/>
    </row>
    <row r="242" spans="1:1015 1056:1869 2171:3038 3202:3267" ht="15" customHeight="1">
      <c r="A242" s="18">
        <v>7</v>
      </c>
      <c r="B242" s="84" t="s">
        <v>329</v>
      </c>
      <c r="C242" s="91" t="s">
        <v>232</v>
      </c>
      <c r="D242" s="80"/>
      <c r="E242" s="86"/>
      <c r="F242" s="13" t="s">
        <v>27</v>
      </c>
      <c r="G242" s="14"/>
      <c r="H242" s="82" t="str">
        <f>IF(OOC!S242=0,"",OOC!S242)</f>
        <v/>
      </c>
      <c r="I242" s="82" t="str">
        <f>IF(OOC!T242=0,"",OOC!T242)</f>
        <v/>
      </c>
      <c r="J242" s="16" t="s">
        <v>12</v>
      </c>
      <c r="K242" s="73" t="s">
        <v>52</v>
      </c>
      <c r="L242" s="19" t="str">
        <f t="shared" si="40"/>
        <v/>
      </c>
      <c r="M242" s="25" t="str">
        <f t="shared" si="41"/>
        <v/>
      </c>
      <c r="N242" s="28"/>
      <c r="O242" s="3" t="e">
        <f>IF(OR($AK242="",ISNUMBER($AK242)=FALSE),"",MAX(AK242:BP242))</f>
        <v>#REF!</v>
      </c>
      <c r="P242" s="3" t="e">
        <f>IF(OR($AK242="",ISNUMBER($AK242)=FALSE),"",MIN(AK242:BP242))</f>
        <v>#REF!</v>
      </c>
      <c r="Q242" s="3" t="e">
        <f>IF(OR($AK242="",ISNUMBER($AK242)=FALSE),"",AVERAGE(AK242:BP242))</f>
        <v>#REF!</v>
      </c>
      <c r="R242" s="4" t="e">
        <f>IF(OR($AK242="",ISNUMBER($AK242)=FALSE),"",STDEV(AK242:BP242))</f>
        <v>#REF!</v>
      </c>
      <c r="S242" s="5" t="e">
        <f t="shared" si="49"/>
        <v>#REF!</v>
      </c>
      <c r="T242" s="76" t="e">
        <f>IF(OR($AK242="",ISNUMBER($AK242)=FALSE),"",IF(AND($F242="Tolerance",$G242&lt;&gt;""),($Q242-$G242)/(($L242-$M242)/2),IF(AND($F242="GD&amp;T",$H242&lt;&gt;""),$Q242/$H242,"")))</f>
        <v>#REF!</v>
      </c>
      <c r="U242" s="76" t="e">
        <f t="shared" si="42"/>
        <v>#REF!</v>
      </c>
      <c r="V242" s="5" t="e">
        <f>IF(OR($AK242="",ISNUMBER($AK242)=FALSE),"",IF(H242="","",(L242-Q242)/(3*R242)))</f>
        <v>#REF!</v>
      </c>
      <c r="W242" s="5" t="e">
        <f>IF(OR($AK242="",ISNUMBER($AK242)=FALSE),"",IF(I242="","",(Q242-M242)/(3*R242)))</f>
        <v>#REF!</v>
      </c>
      <c r="X242" s="5" t="e">
        <f>IF(OR($AK242="",ISNUMBER($AK242)=FALSE),"",IF(AND(G242=0,I242=0),((H242)-(Q242))/(3*R242),MIN(V242:W242)))</f>
        <v>#REF!</v>
      </c>
      <c r="Y242" s="70" t="e">
        <f>IF(OR($AK242="",ISNUMBER($AK242)=FALSE),"",IF(AND(G242=0,I242=0),NORMSDIST(3*X242),NORMSDIST(3*X242)+NORMSDIST(6*S242-3*X242)-1))</f>
        <v>#REF!</v>
      </c>
      <c r="Z242" s="32" t="e">
        <f t="shared" si="36"/>
        <v>#REF!</v>
      </c>
      <c r="AA242" s="32" t="e">
        <f t="shared" si="37"/>
        <v>#REF!</v>
      </c>
      <c r="AB242" s="32" t="e">
        <f t="shared" si="38"/>
        <v>#REF!</v>
      </c>
      <c r="AC242" s="32" t="e">
        <f t="shared" si="39"/>
        <v>#REF!</v>
      </c>
      <c r="AD242" s="30"/>
      <c r="AE242" s="21" t="str">
        <f t="shared" si="43"/>
        <v/>
      </c>
      <c r="AF242" s="74"/>
      <c r="AG242" s="57"/>
      <c r="AH242" s="57"/>
      <c r="AI242" s="58"/>
      <c r="AJ242" s="23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0" t="str">
        <f t="shared" si="50"/>
        <v>100</v>
      </c>
      <c r="BS242" s="112">
        <f>OOC!G242</f>
        <v>0.03</v>
      </c>
      <c r="BT242" s="112" t="str">
        <f>OOC!H242</f>
        <v/>
      </c>
      <c r="BU242" s="3" t="e">
        <f t="shared" si="51"/>
        <v>#REF!</v>
      </c>
      <c r="BV242" s="3" t="e">
        <f t="shared" si="52"/>
        <v>#REF!</v>
      </c>
      <c r="BW242" s="3" t="e">
        <f t="shared" si="53"/>
        <v>#REF!</v>
      </c>
      <c r="BX242" s="109" t="e">
        <f>IF(AND(IF(OOC!G242="",0,OOC!G242) &gt;= IF(O242="",0,O242), IF(O242="",0,O242) &gt; IF(L242="",0,L242)), "OOC",
IF(AND(IF(M242="",0,M242) &gt; IF(P242="",0,P242), IF(P242="",0,P242) &gt;= IF(OOC!H242="",0,OOC!H242)), "OOC",
IF(IF(O242="",0,O242) &gt; IF(OOC!G242="",0,OOC!G242), "OOS",
IF(IF(OOC!H242="",0,OOC!H242) &gt; IF(P242="",0,P242), "OOS", "OK"))))</f>
        <v>#REF!</v>
      </c>
      <c r="CR242" s="78"/>
      <c r="FT242" s="78"/>
      <c r="HH242" s="78"/>
      <c r="NB242" s="78"/>
      <c r="NO242" s="78"/>
      <c r="QE242" s="78"/>
      <c r="WV242" s="78"/>
      <c r="XV242" s="78"/>
      <c r="AAF242" s="78"/>
      <c r="ABP242" s="78"/>
      <c r="ACD242" s="78"/>
      <c r="ADK242" s="78"/>
      <c r="AHN242" s="78"/>
      <c r="AJD242" s="78"/>
      <c r="ALA242" s="78"/>
      <c r="AMA242" s="78"/>
      <c r="ANP242" s="78"/>
      <c r="AON242" s="78"/>
      <c r="AOR242" s="78"/>
      <c r="APH242" s="78"/>
      <c r="APO242" s="78"/>
      <c r="APP242" s="78"/>
      <c r="AQR242" s="78"/>
      <c r="ATC242" s="78"/>
      <c r="AZB242" s="78"/>
      <c r="BBD242" s="78"/>
      <c r="BCD242" s="78"/>
      <c r="BDV242" s="78"/>
      <c r="BEQ242" s="78"/>
      <c r="BQX242" s="78"/>
      <c r="BSW242" s="78"/>
      <c r="CEM242" s="78"/>
      <c r="CFJ242" s="78"/>
      <c r="CKW242" s="78"/>
      <c r="CWH242" s="78"/>
      <c r="DLV242" s="78"/>
      <c r="DSD242" s="78"/>
      <c r="DSO242" s="78"/>
      <c r="DTN242" s="78"/>
      <c r="DUQ242" s="78"/>
    </row>
  </sheetData>
  <sheetProtection formatCells="0"/>
  <mergeCells count="29">
    <mergeCell ref="AK8:BP9"/>
    <mergeCell ref="Z9:AA9"/>
    <mergeCell ref="H5:M5"/>
    <mergeCell ref="O5:Q5"/>
    <mergeCell ref="R5:W5"/>
    <mergeCell ref="B8:M8"/>
    <mergeCell ref="O8:AE8"/>
    <mergeCell ref="BX8:BX10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AG8:AI8"/>
    <mergeCell ref="BW8:BW9"/>
    <mergeCell ref="BR8:BR9"/>
    <mergeCell ref="BS8:BS9"/>
    <mergeCell ref="BT8:BT9"/>
    <mergeCell ref="BU8:BU9"/>
    <mergeCell ref="BV8:BV9"/>
  </mergeCells>
  <phoneticPr fontId="48" type="noConversion"/>
  <conditionalFormatting sqref="G11:G209 G214:G240">
    <cfRule type="expression" dxfId="123" priority="78">
      <formula>AND($F11&lt;&gt;"Tolerance",$G11&lt;&gt;"")</formula>
    </cfRule>
  </conditionalFormatting>
  <conditionalFormatting sqref="G11:G240">
    <cfRule type="expression" dxfId="122" priority="79">
      <formula>AND(OR($F11="GD&amp;T",$F11="MAX",$F11="MIN"),$G11="")</formula>
    </cfRule>
  </conditionalFormatting>
  <conditionalFormatting sqref="G11:G242">
    <cfRule type="expression" dxfId="121" priority="19">
      <formula>AND($F11&lt;&gt;"Tolerance",$G11&lt;&gt;"")</formula>
    </cfRule>
  </conditionalFormatting>
  <conditionalFormatting sqref="G64 G191:G240">
    <cfRule type="containsBlanks" dxfId="120" priority="75">
      <formula>LEN(TRIM(G64))=0</formula>
    </cfRule>
  </conditionalFormatting>
  <conditionalFormatting sqref="G64">
    <cfRule type="expression" dxfId="119" priority="73">
      <formula>AND(OR($F64="GD&amp;T",$F64="MAX",$F64="MIN"),$G64="")</formula>
    </cfRule>
  </conditionalFormatting>
  <conditionalFormatting sqref="G210:G213">
    <cfRule type="containsBlanks" dxfId="118" priority="81">
      <formula>LEN(TRIM(G210))=0</formula>
    </cfRule>
    <cfRule type="expression" dxfId="117" priority="82">
      <formula>AND($F210&lt;&gt;"Tolerance",$G210&lt;&gt;"")</formula>
    </cfRule>
    <cfRule type="expression" dxfId="116" priority="83">
      <formula>AND(OR($F210="GD&amp;T",$F210="MAX",$F210="MIN"),$G210="")</formula>
    </cfRule>
  </conditionalFormatting>
  <conditionalFormatting sqref="G214:G240 G47:G48">
    <cfRule type="expression" dxfId="115" priority="76">
      <formula>AND(OR($F47="GD&amp;T",$F47="MAX",$F47="MIN"),$G47="")</formula>
    </cfRule>
  </conditionalFormatting>
  <conditionalFormatting sqref="G241:G242">
    <cfRule type="expression" dxfId="114" priority="29">
      <formula>AND(OR($F241="GD&amp;T",$F241="MAX",$F241="MIN"),$G241="")</formula>
    </cfRule>
    <cfRule type="expression" dxfId="113" priority="30">
      <formula>AND($F241&lt;&gt;"Tolerance",$G241&lt;&gt;"")</formula>
    </cfRule>
    <cfRule type="expression" dxfId="112" priority="31">
      <formula>AND(OR($F241="GD&amp;T",$F241="MAX",$F241="MIN"),$G241="")</formula>
    </cfRule>
  </conditionalFormatting>
  <conditionalFormatting sqref="G11:I190 AK11:BP211 H191:I242">
    <cfRule type="containsBlanks" dxfId="111" priority="77">
      <formula>LEN(TRIM(G11))=0</formula>
    </cfRule>
  </conditionalFormatting>
  <conditionalFormatting sqref="H11:H242">
    <cfRule type="expression" dxfId="110" priority="17">
      <formula>AND($F11="MIN",$H11&lt;&gt;"")</formula>
    </cfRule>
    <cfRule type="expression" dxfId="109" priority="18">
      <formula>AND($F11="MIN",$H11="")</formula>
    </cfRule>
  </conditionalFormatting>
  <conditionalFormatting sqref="I11:I242">
    <cfRule type="expression" dxfId="108" priority="15">
      <formula>AND(OR($F11="GD&amp;T",$F11="MAX"),$I11&lt;&gt;"")</formula>
    </cfRule>
    <cfRule type="expression" dxfId="107" priority="16">
      <formula>AND(OR($F11="GD&amp;T",$F11="MAX"),$I11="")</formula>
    </cfRule>
  </conditionalFormatting>
  <conditionalFormatting sqref="O11:Q242">
    <cfRule type="expression" dxfId="106" priority="41">
      <formula>AND($M11&lt;&gt;"",$AK11&lt;&gt;"",O11&lt;$M11)</formula>
    </cfRule>
    <cfRule type="expression" dxfId="105" priority="42">
      <formula>AND($L11&lt;&gt;"",$AK11&lt;&gt;"",O11&gt;$L11)</formula>
    </cfRule>
  </conditionalFormatting>
  <conditionalFormatting sqref="O11:R242">
    <cfRule type="notContainsBlanks" dxfId="104" priority="62">
      <formula>LEN(TRIM(O11))&gt;0</formula>
    </cfRule>
  </conditionalFormatting>
  <conditionalFormatting sqref="R11:R242">
    <cfRule type="expression" dxfId="103" priority="60">
      <formula>AND($R11&lt;&gt;"",$S11&lt;1.67)</formula>
    </cfRule>
  </conditionalFormatting>
  <conditionalFormatting sqref="V11:X211 S11:S242">
    <cfRule type="expression" dxfId="102" priority="61">
      <formula>$K11="Yes"</formula>
    </cfRule>
    <cfRule type="expression" dxfId="101" priority="63">
      <formula>AND($AD11&lt;0.966,$AD11&lt;&gt;"")</formula>
    </cfRule>
    <cfRule type="cellIs" dxfId="100" priority="67" operator="lessThan">
      <formula>$E11</formula>
    </cfRule>
    <cfRule type="notContainsBlanks" dxfId="99" priority="69">
      <formula>LEN(TRIM(S11))&gt;0</formula>
    </cfRule>
  </conditionalFormatting>
  <conditionalFormatting sqref="V214:X242">
    <cfRule type="expression" dxfId="98" priority="21">
      <formula>$K214="Yes"</formula>
    </cfRule>
    <cfRule type="expression" dxfId="97" priority="22">
      <formula>AND($AD214&lt;0.966,$AD214&lt;&gt;"")</formula>
    </cfRule>
    <cfRule type="cellIs" dxfId="96" priority="26" operator="lessThan">
      <formula>$E214</formula>
    </cfRule>
    <cfRule type="notContainsBlanks" dxfId="95" priority="28">
      <formula>LEN(TRIM(V214))&gt;0</formula>
    </cfRule>
  </conditionalFormatting>
  <conditionalFormatting sqref="Y11:Y211">
    <cfRule type="containsBlanks" dxfId="94" priority="64">
      <formula>LEN(TRIM(Y11))=0</formula>
    </cfRule>
    <cfRule type="cellIs" dxfId="93" priority="65" operator="between">
      <formula>0.9</formula>
      <formula>0.998</formula>
    </cfRule>
    <cfRule type="cellIs" dxfId="92" priority="66" operator="greaterThanOrEqual">
      <formula>0.998</formula>
    </cfRule>
    <cfRule type="notContainsBlanks" dxfId="91" priority="68">
      <formula>LEN(TRIM(Y11))&gt;0</formula>
    </cfRule>
  </conditionalFormatting>
  <conditionalFormatting sqref="Y214:Y242">
    <cfRule type="containsBlanks" dxfId="90" priority="23">
      <formula>LEN(TRIM(Y214))=0</formula>
    </cfRule>
    <cfRule type="cellIs" dxfId="89" priority="24" operator="between">
      <formula>0.9</formula>
      <formula>0.998</formula>
    </cfRule>
    <cfRule type="cellIs" dxfId="88" priority="25" operator="greaterThanOrEqual">
      <formula>0.998</formula>
    </cfRule>
    <cfRule type="notContainsBlanks" dxfId="87" priority="27">
      <formula>LEN(TRIM(Y214))&gt;0</formula>
    </cfRule>
  </conditionalFormatting>
  <conditionalFormatting sqref="Z139:AC211">
    <cfRule type="containsBlanks" dxfId="86" priority="44">
      <formula>LEN(TRIM(Z139))=0</formula>
    </cfRule>
    <cfRule type="cellIs" dxfId="85" priority="45" operator="between">
      <formula>0.9</formula>
      <formula>0.998</formula>
    </cfRule>
    <cfRule type="cellIs" dxfId="84" priority="46" operator="greaterThanOrEqual">
      <formula>0.998</formula>
    </cfRule>
  </conditionalFormatting>
  <conditionalFormatting sqref="AB32:AC32 Z135:AC136">
    <cfRule type="containsBlanks" dxfId="83" priority="84">
      <formula>LEN(TRIM(Z32))=0</formula>
    </cfRule>
    <cfRule type="cellIs" dxfId="82" priority="85" operator="between">
      <formula>0.9</formula>
      <formula>0.998</formula>
    </cfRule>
    <cfRule type="cellIs" dxfId="81" priority="86" operator="greaterThanOrEqual">
      <formula>0.998</formula>
    </cfRule>
  </conditionalFormatting>
  <conditionalFormatting sqref="AD11:AE211">
    <cfRule type="expression" dxfId="80" priority="43">
      <formula>AND($AD11&lt;0.966,$AD11&lt;&gt;"")</formula>
    </cfRule>
  </conditionalFormatting>
  <conditionalFormatting sqref="AD214:AE242">
    <cfRule type="expression" dxfId="79" priority="12">
      <formula>AND($AD214&lt;0.966,$AD214&lt;&gt;"")</formula>
    </cfRule>
  </conditionalFormatting>
  <conditionalFormatting sqref="AK11:BP100 BU11:BW211">
    <cfRule type="expression" dxfId="78" priority="32">
      <formula>AND($M11&lt;&gt;"",$AK11&lt;&gt;"",AK11&lt;$M11)</formula>
    </cfRule>
    <cfRule type="expression" dxfId="77" priority="33">
      <formula>AND($L11&lt;&gt;"",$AK11&lt;&gt;"",AK11&gt;$L11)</formula>
    </cfRule>
    <cfRule type="notContainsBlanks" dxfId="76" priority="34">
      <formula>LEN(TRIM(AK11))&gt;0</formula>
    </cfRule>
  </conditionalFormatting>
  <conditionalFormatting sqref="AK101:BP190 AL191:BP209 AK191:AK211 AL210:AM211">
    <cfRule type="expression" dxfId="75" priority="53">
      <formula>AND($L101&lt;&gt;"",$AK101&lt;&gt;"",AK101&gt;$L101)</formula>
    </cfRule>
    <cfRule type="notContainsBlanks" dxfId="74" priority="54">
      <formula>LEN(TRIM(AK101))&gt;0</formula>
    </cfRule>
  </conditionalFormatting>
  <conditionalFormatting sqref="AK101:BP211">
    <cfRule type="expression" dxfId="73" priority="52">
      <formula>AND($M101&lt;&gt;"",$AK101&lt;&gt;"",AK101&lt;$M101)</formula>
    </cfRule>
  </conditionalFormatting>
  <conditionalFormatting sqref="AK197:BP209">
    <cfRule type="expression" dxfId="72" priority="70">
      <formula>AND($M197&lt;&gt;"",AK197&lt;$M197)</formula>
    </cfRule>
    <cfRule type="expression" dxfId="71" priority="71">
      <formula>AND($L197&lt;&gt;"",AK197&gt;$L197)</formula>
    </cfRule>
    <cfRule type="notContainsBlanks" dxfId="70" priority="72">
      <formula>LEN(TRIM(AK197))&gt;0</formula>
    </cfRule>
  </conditionalFormatting>
  <conditionalFormatting sqref="AK210:BP211">
    <cfRule type="expression" dxfId="69" priority="47">
      <formula>AND($M210&lt;&gt;"",AK210&lt;$M210)</formula>
    </cfRule>
    <cfRule type="expression" dxfId="68" priority="48">
      <formula>AND($L210&lt;&gt;"",AK210&gt;$L210)</formula>
    </cfRule>
    <cfRule type="notContainsBlanks" dxfId="67" priority="49">
      <formula>LEN(TRIM(AK210))&gt;0</formula>
    </cfRule>
    <cfRule type="expression" dxfId="66" priority="50">
      <formula>AND($L210&lt;&gt;"",$AK210&lt;&gt;"",AK210&gt;$L210)</formula>
    </cfRule>
    <cfRule type="notContainsBlanks" dxfId="65" priority="51">
      <formula>LEN(TRIM(AK210))&gt;0</formula>
    </cfRule>
  </conditionalFormatting>
  <conditionalFormatting sqref="AK214:BP242 G241:G242">
    <cfRule type="containsBlanks" dxfId="64" priority="14">
      <formula>LEN(TRIM(G214))=0</formula>
    </cfRule>
  </conditionalFormatting>
  <conditionalFormatting sqref="AK214:BP242">
    <cfRule type="expression" dxfId="63" priority="7">
      <formula>AND($M214&lt;&gt;"",$AK214&lt;&gt;"",AK214&lt;$M214)</formula>
    </cfRule>
    <cfRule type="expression" dxfId="62" priority="8">
      <formula>AND($L214&lt;&gt;"",$AK214&lt;&gt;"",AK214&gt;$L214)</formula>
    </cfRule>
    <cfRule type="notContainsBlanks" dxfId="61" priority="9">
      <formula>LEN(TRIM(AK214))&gt;0</formula>
    </cfRule>
  </conditionalFormatting>
  <conditionalFormatting sqref="BU214:BW242">
    <cfRule type="expression" dxfId="60" priority="1">
      <formula>AND($M214&lt;&gt;"",$AK214&lt;&gt;"",BU214&lt;$M214)</formula>
    </cfRule>
    <cfRule type="expression" dxfId="59" priority="2">
      <formula>AND($L214&lt;&gt;"",$AK214&lt;&gt;"",BU214&gt;$L214)</formula>
    </cfRule>
    <cfRule type="notContainsBlanks" dxfId="58" priority="3">
      <formula>LEN(TRIM(BU214))&gt;0</formula>
    </cfRule>
  </conditionalFormatting>
  <conditionalFormatting sqref="BX11:BX242">
    <cfRule type="endsWith" dxfId="57" priority="4" operator="endsWith" text="OK">
      <formula>RIGHT(BX11,LEN("OK"))="OK"</formula>
    </cfRule>
    <cfRule type="endsWith" dxfId="56" priority="5" operator="endsWith" text="OOS">
      <formula>RIGHT(BX11,LEN("OOS"))="OOS"</formula>
    </cfRule>
    <cfRule type="endsWith" dxfId="55" priority="6" operator="endsWith" text="OOC">
      <formula>RIGHT(BX11,LEN("OOC"))="OOC"</formula>
    </cfRule>
  </conditionalFormatting>
  <dataValidations count="3">
    <dataValidation type="list" allowBlank="1" showInputMessage="1" showErrorMessage="1" sqref="J11:J242" xr:uid="{E3CAA8AA-A3D7-43F6-8587-AFB2F14F0F1C}">
      <formula1>insp_meth</formula1>
    </dataValidation>
    <dataValidation type="list" allowBlank="1" showInputMessage="1" showErrorMessage="1" sqref="F11:F242" xr:uid="{D78EA294-3F2D-4C82-8AA0-4DACF2077D19}">
      <formula1>dim_type</formula1>
    </dataValidation>
    <dataValidation type="list" allowBlank="1" showInputMessage="1" showErrorMessage="1" sqref="K11:K242" xr:uid="{8A678F4B-BD64-47D7-A4F3-9982B5BED2B2}">
      <formula1>gauging</formula1>
    </dataValidation>
  </dataValidations>
  <pageMargins left="0.75" right="0.75" top="1" bottom="1" header="0.5" footer="0.5"/>
  <pageSetup orientation="portrait" horizontalDpi="4294967292" verticalDpi="4294967292"/>
  <ignoredErrors>
    <ignoredError sqref="H121:I151 H11:I15 H20:I20 H25:I76 H81:I86 H90:I93 H98:I108 H241:I242 H176:I183 H191:I207 H210:I214 H219:I219 H232:I236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68BA-04FC-474B-81CF-4245E74CAB6C}">
  <sheetPr codeName="Sheet8"/>
  <dimension ref="A1:DZR528"/>
  <sheetViews>
    <sheetView showGridLines="0" topLeftCell="A201" zoomScale="70" zoomScaleNormal="70" zoomScalePageLayoutView="125" workbookViewId="0">
      <selection activeCell="C226" sqref="C226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61"/>
    <col min="24" max="27" width="8.6640625" style="61"/>
    <col min="29" max="32" width="8.6640625" style="61"/>
    <col min="34" max="37" width="8.6640625" style="61"/>
  </cols>
  <sheetData>
    <row r="1" spans="1:988 1039:2040 2089:3030 3125:3389" s="1" customFormat="1" ht="21.95" customHeight="1">
      <c r="A1" s="172" t="s">
        <v>240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S1" s="94"/>
      <c r="T1" s="94"/>
      <c r="U1" s="94"/>
      <c r="V1" s="94"/>
      <c r="X1" s="94"/>
      <c r="Y1" s="94"/>
      <c r="Z1" s="94"/>
      <c r="AA1" s="94"/>
      <c r="AC1" s="94"/>
      <c r="AD1" s="94"/>
      <c r="AE1" s="94"/>
      <c r="AF1" s="94"/>
      <c r="AH1" s="94"/>
      <c r="AI1" s="94"/>
      <c r="AJ1" s="94"/>
      <c r="AK1" s="94"/>
    </row>
    <row r="2" spans="1:988 1039:2040 2089:3030 3125:3389" s="1" customFormat="1" ht="14.1" customHeight="1">
      <c r="A2" s="9" t="s">
        <v>56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94"/>
      <c r="T2" s="94"/>
      <c r="U2" s="94"/>
      <c r="V2" s="94"/>
      <c r="X2" s="94"/>
      <c r="Y2" s="94"/>
      <c r="Z2" s="94"/>
      <c r="AA2" s="94"/>
      <c r="AC2" s="94"/>
      <c r="AD2" s="94"/>
      <c r="AE2" s="94"/>
      <c r="AF2" s="94"/>
      <c r="AH2" s="94"/>
      <c r="AI2" s="94"/>
      <c r="AJ2" s="94"/>
      <c r="AK2" s="94"/>
    </row>
    <row r="3" spans="1:988 1039:2040 2089:3030 3125:3389" s="1" customFormat="1" ht="9" customHeight="1">
      <c r="A3" s="8"/>
      <c r="B3" s="8"/>
      <c r="C3" s="8"/>
      <c r="D3" s="8"/>
      <c r="E3" s="8"/>
      <c r="F3" s="8"/>
      <c r="G3" s="8"/>
      <c r="H3" s="8"/>
      <c r="S3" s="94"/>
      <c r="T3" s="94"/>
      <c r="U3" s="94"/>
      <c r="V3" s="94"/>
      <c r="X3" s="94"/>
      <c r="Y3" s="94"/>
      <c r="Z3" s="94"/>
      <c r="AA3" s="94"/>
      <c r="AC3" s="94"/>
      <c r="AD3" s="94"/>
      <c r="AE3" s="94"/>
      <c r="AF3" s="94"/>
      <c r="AH3" s="94"/>
      <c r="AI3" s="94"/>
      <c r="AJ3" s="94"/>
      <c r="AK3" s="94"/>
    </row>
    <row r="4" spans="1:988 1039:2040 2089:3030 3125:3389" s="1" customFormat="1" ht="18.75" customHeight="1">
      <c r="B4" s="92"/>
      <c r="C4" s="33"/>
      <c r="D4" s="93"/>
      <c r="E4" s="211" t="s">
        <v>241</v>
      </c>
      <c r="F4" s="209"/>
      <c r="G4" s="209"/>
      <c r="H4" s="210"/>
      <c r="I4" s="34"/>
      <c r="S4" s="94"/>
      <c r="T4" s="94"/>
      <c r="U4" s="94"/>
      <c r="V4" s="94"/>
      <c r="X4" s="94"/>
      <c r="Y4" s="94"/>
      <c r="Z4" s="94"/>
      <c r="AA4" s="94"/>
      <c r="AC4" s="94"/>
      <c r="AD4" s="94"/>
      <c r="AE4" s="94"/>
      <c r="AF4" s="94"/>
      <c r="AH4" s="94"/>
      <c r="AI4" s="94"/>
      <c r="AJ4" s="94"/>
      <c r="AK4" s="94"/>
    </row>
    <row r="5" spans="1:988 1039:2040 2089:3030 3125:3389" s="1" customFormat="1" ht="18.75" customHeight="1">
      <c r="B5" s="92"/>
      <c r="C5" s="33"/>
      <c r="D5" s="93"/>
      <c r="E5" s="208" t="s">
        <v>242</v>
      </c>
      <c r="F5" s="209"/>
      <c r="G5" s="209"/>
      <c r="H5" s="210"/>
      <c r="I5" s="34"/>
      <c r="S5" s="94"/>
      <c r="T5" s="94"/>
      <c r="U5" s="94"/>
      <c r="V5" s="94"/>
      <c r="X5" s="94"/>
      <c r="Y5" s="94"/>
      <c r="Z5" s="94"/>
      <c r="AA5" s="94"/>
      <c r="AC5" s="94"/>
      <c r="AD5" s="94"/>
      <c r="AE5" s="94"/>
      <c r="AF5" s="94"/>
      <c r="AH5" s="94"/>
      <c r="AI5" s="94"/>
      <c r="AJ5" s="94"/>
      <c r="AK5" s="94"/>
    </row>
    <row r="6" spans="1:988 1039:2040 2089:3030 3125:3389" s="1" customFormat="1" ht="18.75" customHeight="1">
      <c r="B6" s="92"/>
      <c r="C6" s="33"/>
      <c r="D6" s="93"/>
      <c r="E6" s="208" t="s">
        <v>243</v>
      </c>
      <c r="F6" s="209"/>
      <c r="G6" s="209"/>
      <c r="H6" s="210"/>
      <c r="I6" s="34"/>
      <c r="S6" s="94"/>
      <c r="T6" s="94"/>
      <c r="U6" s="94"/>
      <c r="V6" s="94"/>
      <c r="X6" s="94"/>
      <c r="Y6" s="94"/>
      <c r="Z6" s="94"/>
      <c r="AA6" s="94"/>
      <c r="AC6" s="94"/>
      <c r="AD6" s="94"/>
      <c r="AE6" s="94"/>
      <c r="AF6" s="94"/>
      <c r="AH6" s="94"/>
      <c r="AI6" s="94"/>
      <c r="AJ6" s="94"/>
      <c r="AK6" s="94"/>
    </row>
    <row r="7" spans="1:988 1039:2040 2089:3030 3125:3389" s="1" customFormat="1" ht="9" customHeight="1">
      <c r="A7" s="10"/>
      <c r="B7" s="10"/>
      <c r="C7" s="10"/>
      <c r="D7" s="10"/>
      <c r="E7" s="10"/>
      <c r="F7" s="10"/>
      <c r="G7" s="10"/>
      <c r="H7" s="10"/>
      <c r="R7" s="95">
        <f>OQC!X5</f>
        <v>0</v>
      </c>
      <c r="S7" s="94"/>
      <c r="T7" s="94"/>
      <c r="U7" s="94"/>
      <c r="V7" s="94"/>
      <c r="W7" s="95" t="e">
        <f>#REF!</f>
        <v>#REF!</v>
      </c>
      <c r="X7" s="94"/>
      <c r="Y7" s="94"/>
      <c r="Z7" s="94"/>
      <c r="AA7" s="94"/>
      <c r="AB7" s="95" t="e">
        <f>#REF!</f>
        <v>#REF!</v>
      </c>
      <c r="AC7" s="94"/>
      <c r="AD7" s="94"/>
      <c r="AE7" s="94"/>
      <c r="AF7" s="94"/>
      <c r="AG7" s="95" t="e">
        <f>#REF!</f>
        <v>#REF!</v>
      </c>
      <c r="AH7" s="94"/>
      <c r="AI7" s="94"/>
      <c r="AJ7" s="94"/>
      <c r="AK7" s="94"/>
    </row>
    <row r="8" spans="1:988 1039:2040 2089:3030 3125:3389" s="17" customFormat="1" ht="15" customHeight="1">
      <c r="A8" s="26"/>
      <c r="B8" s="189"/>
      <c r="C8" s="189"/>
      <c r="D8" s="189"/>
      <c r="E8" s="189"/>
      <c r="F8" s="189"/>
      <c r="G8" s="189"/>
      <c r="H8" s="190"/>
      <c r="I8" s="26"/>
      <c r="J8" s="188" t="s">
        <v>25</v>
      </c>
      <c r="K8" s="189"/>
      <c r="L8" s="188" t="s">
        <v>25</v>
      </c>
      <c r="M8" s="189"/>
      <c r="N8" s="188" t="s">
        <v>25</v>
      </c>
      <c r="O8" s="189"/>
      <c r="P8" s="188" t="s">
        <v>25</v>
      </c>
      <c r="Q8" s="189"/>
      <c r="S8" s="94"/>
      <c r="T8" s="94"/>
      <c r="U8" s="94"/>
      <c r="V8" s="94"/>
      <c r="X8" s="94"/>
      <c r="Y8" s="94"/>
      <c r="Z8" s="94"/>
      <c r="AA8" s="94"/>
      <c r="AC8" s="94"/>
      <c r="AD8" s="94"/>
      <c r="AE8" s="94"/>
      <c r="AF8" s="94"/>
      <c r="AH8" s="94"/>
      <c r="AI8" s="94"/>
      <c r="AJ8" s="94"/>
      <c r="AK8" s="94"/>
    </row>
    <row r="9" spans="1:988 1039:2040 2089:3030 3125:3389" s="17" customFormat="1" ht="24.95" customHeight="1">
      <c r="A9" s="47"/>
      <c r="B9" s="47"/>
      <c r="C9" s="47"/>
      <c r="D9" s="48"/>
      <c r="E9" s="52" t="s">
        <v>40</v>
      </c>
      <c r="F9" s="52" t="s">
        <v>41</v>
      </c>
      <c r="G9" s="64"/>
      <c r="H9" s="64"/>
      <c r="I9" s="31"/>
      <c r="J9" s="213" t="s">
        <v>244</v>
      </c>
      <c r="K9" s="214"/>
      <c r="L9" s="213" t="s">
        <v>91</v>
      </c>
      <c r="M9" s="214"/>
      <c r="N9" s="213" t="s">
        <v>92</v>
      </c>
      <c r="O9" s="214"/>
      <c r="P9" s="213" t="s">
        <v>93</v>
      </c>
      <c r="Q9" s="214"/>
      <c r="S9" s="215" t="s">
        <v>450</v>
      </c>
      <c r="T9" s="215"/>
      <c r="U9" s="215"/>
      <c r="V9" s="215"/>
      <c r="X9" s="215" t="s">
        <v>450</v>
      </c>
      <c r="Y9" s="215"/>
      <c r="Z9" s="215"/>
      <c r="AA9" s="215"/>
      <c r="AC9" s="215" t="s">
        <v>450</v>
      </c>
      <c r="AD9" s="215"/>
      <c r="AE9" s="215"/>
      <c r="AF9" s="215"/>
      <c r="AH9" s="215" t="s">
        <v>450</v>
      </c>
      <c r="AI9" s="215"/>
      <c r="AJ9" s="215"/>
      <c r="AK9" s="215"/>
    </row>
    <row r="10" spans="1:988 1039:2040 2089:3030 3125:3389" s="24" customFormat="1" ht="15" customHeight="1">
      <c r="A10" s="49" t="s">
        <v>1</v>
      </c>
      <c r="B10" s="49" t="s">
        <v>245</v>
      </c>
      <c r="C10" s="49" t="s">
        <v>49</v>
      </c>
      <c r="D10" s="50" t="s">
        <v>21</v>
      </c>
      <c r="E10" s="68" t="s">
        <v>47</v>
      </c>
      <c r="F10" s="68" t="s">
        <v>48</v>
      </c>
      <c r="G10" s="53" t="s">
        <v>3</v>
      </c>
      <c r="H10" s="53" t="s">
        <v>4</v>
      </c>
      <c r="I10" s="27"/>
      <c r="J10" s="41" t="s">
        <v>5</v>
      </c>
      <c r="K10" s="41" t="s">
        <v>6</v>
      </c>
      <c r="L10" s="41" t="s">
        <v>5</v>
      </c>
      <c r="M10" s="41" t="s">
        <v>6</v>
      </c>
      <c r="N10" s="41" t="s">
        <v>5</v>
      </c>
      <c r="O10" s="41" t="s">
        <v>6</v>
      </c>
      <c r="P10" s="41" t="s">
        <v>5</v>
      </c>
      <c r="Q10" s="41" t="s">
        <v>6</v>
      </c>
      <c r="S10" s="96" t="s">
        <v>47</v>
      </c>
      <c r="T10" s="96" t="s">
        <v>48</v>
      </c>
      <c r="U10" s="96" t="s">
        <v>3</v>
      </c>
      <c r="V10" s="96" t="s">
        <v>4</v>
      </c>
      <c r="X10" s="96" t="s">
        <v>47</v>
      </c>
      <c r="Y10" s="96" t="s">
        <v>48</v>
      </c>
      <c r="Z10" s="96" t="s">
        <v>3</v>
      </c>
      <c r="AA10" s="96" t="s">
        <v>4</v>
      </c>
      <c r="AC10" s="96" t="s">
        <v>47</v>
      </c>
      <c r="AD10" s="96" t="s">
        <v>48</v>
      </c>
      <c r="AE10" s="96" t="s">
        <v>3</v>
      </c>
      <c r="AF10" s="96" t="s">
        <v>4</v>
      </c>
      <c r="AH10" s="96" t="s">
        <v>47</v>
      </c>
      <c r="AI10" s="96" t="s">
        <v>48</v>
      </c>
      <c r="AJ10" s="96" t="s">
        <v>3</v>
      </c>
      <c r="AK10" s="96" t="s">
        <v>4</v>
      </c>
    </row>
    <row r="11" spans="1:988 1039:2040 2089:3030 3125:3389" ht="15" customHeight="1">
      <c r="A11" s="87" t="s">
        <v>246</v>
      </c>
      <c r="B11" s="80" t="s">
        <v>59</v>
      </c>
      <c r="C11" s="86">
        <v>1.5</v>
      </c>
      <c r="D11" s="14">
        <v>0.5</v>
      </c>
      <c r="E11" s="82">
        <v>0.01</v>
      </c>
      <c r="F11" s="15">
        <v>-0.01</v>
      </c>
      <c r="G11" s="19">
        <f>IF(AND(D11="",E11=""),"",IF(D11="",E11,D11+E11))</f>
        <v>0.51</v>
      </c>
      <c r="H11" s="19">
        <f>IF(AND(D11="",F11=""),"",IF(D11="",F11,D11+F11))</f>
        <v>0.49</v>
      </c>
      <c r="I11" s="28"/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S11" s="97">
        <f>IF($A11&lt;&gt;"(DC)", $E11*$R$7, $E11)</f>
        <v>0</v>
      </c>
      <c r="T11" s="97">
        <f>IF($A11&lt;&gt;"(DC)", $F11*$R$7, $F11)</f>
        <v>0</v>
      </c>
      <c r="U11" s="98">
        <f>IF(AND($D11="",S11=""),"",IF($D11="",S11,$D11+S11))</f>
        <v>0.5</v>
      </c>
      <c r="V11" s="98">
        <f>IF(AND($D11="",T11=""),"",IF($D11="",T11,$D11+T11))</f>
        <v>0.5</v>
      </c>
      <c r="X11" s="97" t="e">
        <f>IF($A11&lt;&gt;"(DC)", $E11*$W$7, $E11)</f>
        <v>#REF!</v>
      </c>
      <c r="Y11" s="97" t="e">
        <f>IF($A11&lt;&gt;"(DC)", $F11*$W$7, $F11)</f>
        <v>#REF!</v>
      </c>
      <c r="Z11" s="98" t="e">
        <f>IF(AND($D11="",X11=""),"",IF($D11="",X11,$D11+X11))</f>
        <v>#REF!</v>
      </c>
      <c r="AA11" s="98" t="e">
        <f>IF(AND($D11="",Y11=""),"",IF($D11="",Y11,$D11+Y11))</f>
        <v>#REF!</v>
      </c>
      <c r="AC11" s="97" t="e">
        <f>IF($A11&lt;&gt;"(DC)", $E11*$AB$7, $E11)</f>
        <v>#REF!</v>
      </c>
      <c r="AD11" s="97" t="e">
        <f>IF($A11&lt;&gt;"(DC)", $F11*$AB$7, $F11)</f>
        <v>#REF!</v>
      </c>
      <c r="AE11" s="98" t="e">
        <f>IF(AND($D11="",AC11=""),"",IF($D11="",AC11,$D11+AC11))</f>
        <v>#REF!</v>
      </c>
      <c r="AF11" s="98" t="e">
        <f>IF(AND($D11="",AD11=""),"",IF($D11="",AD11,$D11+AD11))</f>
        <v>#REF!</v>
      </c>
      <c r="AH11" s="97" t="e">
        <f>IF($A11&lt;&gt;"(DC)", $E11*$AG$7, $E11)</f>
        <v>#REF!</v>
      </c>
      <c r="AI11" s="97" t="e">
        <f>IF($A11&lt;&gt;"(DC)", $F11*$AG$7, $F11)</f>
        <v>#REF!</v>
      </c>
      <c r="AJ11" s="98" t="e">
        <f>IF(AND($D11="",AH11=""),"",IF($D11="",AH11,$D11+AH11))</f>
        <v>#REF!</v>
      </c>
      <c r="AK11" s="98" t="e">
        <f>IF(AND($D11="",AI11=""),"",IF($D11="",AI11,$D11+AI11))</f>
        <v>#REF!</v>
      </c>
      <c r="JJ11" s="78"/>
      <c r="PC11" s="78"/>
      <c r="PY11" s="78"/>
      <c r="AFW11" s="78"/>
      <c r="AHC11" s="78"/>
      <c r="ATP11" s="78"/>
      <c r="AUH11" s="78"/>
      <c r="AYL11" s="78"/>
      <c r="BAH11" s="78"/>
      <c r="CGJ11" s="78"/>
      <c r="CMK11" s="78"/>
      <c r="DGC11" s="78"/>
      <c r="DLM11" s="78"/>
      <c r="DYE11" s="78"/>
      <c r="DZI11" s="78"/>
    </row>
    <row r="12" spans="1:988 1039:2040 2089:3030 3125:3389" ht="15" customHeight="1">
      <c r="A12" s="87" t="s">
        <v>246</v>
      </c>
      <c r="B12" s="80" t="s">
        <v>61</v>
      </c>
      <c r="C12" s="86">
        <v>1.5</v>
      </c>
      <c r="D12" s="14">
        <v>0.5</v>
      </c>
      <c r="E12" s="82">
        <v>0.01</v>
      </c>
      <c r="F12" s="15">
        <v>-0.01</v>
      </c>
      <c r="G12" s="19">
        <f t="shared" ref="G12:G108" si="0">IF(AND(D12="",E12=""),"",IF(D12="",E12,D12+E12))</f>
        <v>0.51</v>
      </c>
      <c r="H12" s="25">
        <f t="shared" ref="H12:H108" si="1">IF(AND(D12="",F12=""),"",IF(D12="",F12,D12+F12))</f>
        <v>0.49</v>
      </c>
      <c r="I12" s="28"/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S12" s="97">
        <f t="shared" ref="S12:S75" si="2">IF($A12&lt;&gt;"(DC)", $E12*$R$7, $E12)</f>
        <v>0</v>
      </c>
      <c r="T12" s="97">
        <f t="shared" ref="T12:T75" si="3">IF($A12&lt;&gt;"(DC)", $F12*$R$7, $F12)</f>
        <v>0</v>
      </c>
      <c r="U12" s="98">
        <f t="shared" ref="U12:V39" si="4">IF(AND($D12="",S12=""),"",IF($D12="",S12,$D12+S12))</f>
        <v>0.5</v>
      </c>
      <c r="V12" s="98">
        <f t="shared" si="4"/>
        <v>0.5</v>
      </c>
      <c r="X12" s="97" t="e">
        <f t="shared" ref="X12:X75" si="5">IF($A12&lt;&gt;"(DC)", $E12*$W$7, $E12)</f>
        <v>#REF!</v>
      </c>
      <c r="Y12" s="97" t="e">
        <f t="shared" ref="Y12:Y75" si="6">IF($A12&lt;&gt;"(DC)", $F12*$W$7, $F12)</f>
        <v>#REF!</v>
      </c>
      <c r="Z12" s="98" t="e">
        <f t="shared" ref="Z12:AA39" si="7">IF(AND($D12="",X12=""),"",IF($D12="",X12,$D12+X12))</f>
        <v>#REF!</v>
      </c>
      <c r="AA12" s="98" t="e">
        <f t="shared" si="7"/>
        <v>#REF!</v>
      </c>
      <c r="AC12" s="97" t="e">
        <f t="shared" ref="AC12:AC75" si="8">IF($A12&lt;&gt;"(DC)", $E12*$AB$7, $E12)</f>
        <v>#REF!</v>
      </c>
      <c r="AD12" s="97" t="e">
        <f t="shared" ref="AD12:AD75" si="9">IF($A12&lt;&gt;"(DC)", $F12*$AB$7, $F12)</f>
        <v>#REF!</v>
      </c>
      <c r="AE12" s="98" t="e">
        <f t="shared" ref="AE12:AF39" si="10">IF(AND($D12="",AC12=""),"",IF($D12="",AC12,$D12+AC12))</f>
        <v>#REF!</v>
      </c>
      <c r="AF12" s="98" t="e">
        <f t="shared" si="10"/>
        <v>#REF!</v>
      </c>
      <c r="AH12" s="97" t="e">
        <f t="shared" ref="AH12:AH75" si="11">IF($A12&lt;&gt;"(DC)", $E12*$AG$7, $E12)</f>
        <v>#REF!</v>
      </c>
      <c r="AI12" s="97" t="e">
        <f t="shared" ref="AI12:AI75" si="12">IF($A12&lt;&gt;"(DC)", $F12*$AG$7, $F12)</f>
        <v>#REF!</v>
      </c>
      <c r="AJ12" s="98" t="e">
        <f t="shared" ref="AJ12:AK39" si="13">IF(AND($D12="",AH12=""),"",IF($D12="",AH12,$D12+AH12))</f>
        <v>#REF!</v>
      </c>
      <c r="AK12" s="98" t="e">
        <f t="shared" si="13"/>
        <v>#REF!</v>
      </c>
      <c r="CB12" s="78"/>
      <c r="DJ12" s="78"/>
      <c r="GD12" s="78"/>
      <c r="JX12" s="78"/>
      <c r="PC12" s="78"/>
      <c r="AHC12" s="78"/>
      <c r="AKZ12" s="78"/>
      <c r="APA12" s="78"/>
      <c r="ATX12" s="78"/>
      <c r="BFM12" s="78"/>
      <c r="BIL12" s="78"/>
      <c r="BLD12" s="78"/>
      <c r="BML12" s="78"/>
      <c r="BMN12" s="78"/>
      <c r="BQB12" s="78"/>
      <c r="BQI12" s="78"/>
      <c r="BRC12" s="78"/>
      <c r="BWN12" s="78"/>
      <c r="CKU12" s="78"/>
      <c r="CKX12" s="78"/>
      <c r="CLA12" s="78"/>
      <c r="CRT12" s="78"/>
      <c r="CVV12" s="78"/>
      <c r="CWD12" s="78"/>
      <c r="DEE12" s="78"/>
      <c r="DFL12" s="78"/>
      <c r="DIM12" s="78"/>
      <c r="DPI12" s="78"/>
      <c r="DPM12" s="78"/>
      <c r="DQO12" s="78"/>
      <c r="DUY12" s="78"/>
      <c r="DXM12" s="78"/>
    </row>
    <row r="13" spans="1:988 1039:2040 2089:3030 3125:3389" ht="15" customHeight="1">
      <c r="A13" s="87" t="s">
        <v>246</v>
      </c>
      <c r="B13" s="80" t="s">
        <v>62</v>
      </c>
      <c r="C13" s="86">
        <v>1.5</v>
      </c>
      <c r="D13" s="14">
        <v>0.5</v>
      </c>
      <c r="E13" s="82">
        <v>0.01</v>
      </c>
      <c r="F13" s="15">
        <v>-0.01</v>
      </c>
      <c r="G13" s="19">
        <f t="shared" si="0"/>
        <v>0.51</v>
      </c>
      <c r="H13" s="25">
        <f t="shared" si="1"/>
        <v>0.49</v>
      </c>
      <c r="I13" s="28"/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S13" s="97">
        <f t="shared" si="2"/>
        <v>0</v>
      </c>
      <c r="T13" s="97">
        <f t="shared" si="3"/>
        <v>0</v>
      </c>
      <c r="U13" s="98">
        <f t="shared" si="4"/>
        <v>0.5</v>
      </c>
      <c r="V13" s="98">
        <f t="shared" si="4"/>
        <v>0.5</v>
      </c>
      <c r="X13" s="97" t="e">
        <f t="shared" si="5"/>
        <v>#REF!</v>
      </c>
      <c r="Y13" s="97" t="e">
        <f t="shared" si="6"/>
        <v>#REF!</v>
      </c>
      <c r="Z13" s="98" t="e">
        <f t="shared" si="7"/>
        <v>#REF!</v>
      </c>
      <c r="AA13" s="98" t="e">
        <f t="shared" si="7"/>
        <v>#REF!</v>
      </c>
      <c r="AC13" s="97" t="e">
        <f t="shared" si="8"/>
        <v>#REF!</v>
      </c>
      <c r="AD13" s="97" t="e">
        <f t="shared" si="9"/>
        <v>#REF!</v>
      </c>
      <c r="AE13" s="98" t="e">
        <f t="shared" si="10"/>
        <v>#REF!</v>
      </c>
      <c r="AF13" s="98" t="e">
        <f t="shared" si="10"/>
        <v>#REF!</v>
      </c>
      <c r="AH13" s="97" t="e">
        <f t="shared" si="11"/>
        <v>#REF!</v>
      </c>
      <c r="AI13" s="97" t="e">
        <f t="shared" si="12"/>
        <v>#REF!</v>
      </c>
      <c r="AJ13" s="98" t="e">
        <f t="shared" si="13"/>
        <v>#REF!</v>
      </c>
      <c r="AK13" s="98" t="e">
        <f t="shared" si="13"/>
        <v>#REF!</v>
      </c>
      <c r="CC13" s="78"/>
      <c r="GD13" s="78"/>
      <c r="ACN13" s="78"/>
      <c r="BBX13" s="78"/>
      <c r="BGN13" s="78"/>
      <c r="BLQ13" s="78"/>
      <c r="BML13" s="78"/>
      <c r="BOL13" s="78"/>
      <c r="BOR13" s="78"/>
      <c r="BRC13" s="78"/>
      <c r="BSQ13" s="78"/>
      <c r="BSY13" s="78"/>
      <c r="BVS13" s="78"/>
      <c r="BWN13" s="78"/>
      <c r="DEH13" s="78"/>
      <c r="DFL13" s="78"/>
      <c r="DLN13" s="78"/>
      <c r="DYL13" s="78"/>
    </row>
    <row r="14" spans="1:988 1039:2040 2089:3030 3125:3389" ht="15" customHeight="1">
      <c r="A14" s="87" t="s">
        <v>269</v>
      </c>
      <c r="B14" s="80">
        <v>4</v>
      </c>
      <c r="C14" s="86">
        <v>1.5</v>
      </c>
      <c r="D14" s="14"/>
      <c r="E14" s="82">
        <v>0.02</v>
      </c>
      <c r="F14" s="15"/>
      <c r="G14" s="19">
        <f t="shared" si="0"/>
        <v>0.02</v>
      </c>
      <c r="H14" s="25" t="str">
        <f t="shared" si="1"/>
        <v/>
      </c>
      <c r="I14" s="28"/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S14" s="97">
        <f t="shared" si="2"/>
        <v>0</v>
      </c>
      <c r="T14" s="97">
        <f t="shared" si="3"/>
        <v>0</v>
      </c>
      <c r="U14" s="98">
        <f t="shared" si="4"/>
        <v>0</v>
      </c>
      <c r="V14" s="98">
        <f t="shared" si="4"/>
        <v>0</v>
      </c>
      <c r="X14" s="97" t="e">
        <f t="shared" si="5"/>
        <v>#REF!</v>
      </c>
      <c r="Y14" s="97" t="e">
        <f t="shared" si="6"/>
        <v>#REF!</v>
      </c>
      <c r="Z14" s="98" t="e">
        <f t="shared" si="7"/>
        <v>#REF!</v>
      </c>
      <c r="AA14" s="98" t="e">
        <f t="shared" si="7"/>
        <v>#REF!</v>
      </c>
      <c r="AC14" s="97" t="e">
        <f t="shared" si="8"/>
        <v>#REF!</v>
      </c>
      <c r="AD14" s="97" t="e">
        <f t="shared" si="9"/>
        <v>#REF!</v>
      </c>
      <c r="AE14" s="98" t="e">
        <f t="shared" si="10"/>
        <v>#REF!</v>
      </c>
      <c r="AF14" s="98" t="e">
        <f t="shared" si="10"/>
        <v>#REF!</v>
      </c>
      <c r="AH14" s="97" t="e">
        <f t="shared" si="11"/>
        <v>#REF!</v>
      </c>
      <c r="AI14" s="97" t="e">
        <f t="shared" si="12"/>
        <v>#REF!</v>
      </c>
      <c r="AJ14" s="98" t="e">
        <f t="shared" si="13"/>
        <v>#REF!</v>
      </c>
      <c r="AK14" s="98" t="e">
        <f t="shared" si="13"/>
        <v>#REF!</v>
      </c>
      <c r="BH14" s="78"/>
      <c r="HL14" s="78"/>
      <c r="NA14" s="78"/>
      <c r="PZ14" s="78"/>
      <c r="XS14" s="78"/>
      <c r="YG14" s="78"/>
      <c r="AIP14" s="78"/>
      <c r="AJP14" s="78"/>
      <c r="AMY14" s="78"/>
      <c r="AOD14" s="78"/>
      <c r="ARS14" s="78"/>
      <c r="AWY14" s="78"/>
      <c r="AXI14" s="78"/>
      <c r="BDK14" s="78"/>
      <c r="BFY14" s="78"/>
      <c r="BLJ14" s="78"/>
      <c r="BPC14" s="78"/>
      <c r="BPR14" s="78"/>
      <c r="BSG14" s="78"/>
      <c r="BSL14" s="78"/>
      <c r="BSV14" s="78"/>
      <c r="BUL14" s="78"/>
      <c r="BZL14" s="78"/>
      <c r="CBI14" s="78"/>
      <c r="CCA14" s="78"/>
      <c r="CCB14" s="78"/>
      <c r="CGX14" s="78"/>
      <c r="CIY14" s="78"/>
      <c r="CKV14" s="78"/>
      <c r="CML14" s="78"/>
      <c r="CNO14" s="78"/>
      <c r="COJ14" s="78"/>
      <c r="CQC14" s="78"/>
      <c r="CVZ14" s="78"/>
      <c r="CZS14" s="78"/>
      <c r="DBD14" s="78"/>
      <c r="DEN14" s="78"/>
      <c r="DEW14" s="78"/>
      <c r="DJE14" s="78"/>
      <c r="DPE14" s="78"/>
      <c r="DPF14" s="78"/>
      <c r="DRV14" s="78"/>
      <c r="DYF14" s="78"/>
    </row>
    <row r="15" spans="1:988 1039:2040 2089:3030 3125:3389" ht="15" customHeight="1">
      <c r="A15" s="87" t="s">
        <v>270</v>
      </c>
      <c r="B15" s="80">
        <v>5</v>
      </c>
      <c r="C15" s="86">
        <v>1.5</v>
      </c>
      <c r="D15" s="14"/>
      <c r="E15" s="82">
        <v>2.5000000000000001E-2</v>
      </c>
      <c r="F15" s="15"/>
      <c r="G15" s="19">
        <f t="shared" si="0"/>
        <v>2.5000000000000001E-2</v>
      </c>
      <c r="H15" s="25" t="str">
        <f t="shared" si="1"/>
        <v/>
      </c>
      <c r="I15" s="28"/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S15" s="97">
        <f t="shared" si="2"/>
        <v>0</v>
      </c>
      <c r="T15" s="97">
        <f t="shared" si="3"/>
        <v>0</v>
      </c>
      <c r="U15" s="98">
        <f t="shared" si="4"/>
        <v>0</v>
      </c>
      <c r="V15" s="98">
        <f t="shared" si="4"/>
        <v>0</v>
      </c>
      <c r="X15" s="97" t="e">
        <f t="shared" si="5"/>
        <v>#REF!</v>
      </c>
      <c r="Y15" s="97" t="e">
        <f t="shared" si="6"/>
        <v>#REF!</v>
      </c>
      <c r="Z15" s="98" t="e">
        <f t="shared" si="7"/>
        <v>#REF!</v>
      </c>
      <c r="AA15" s="98" t="e">
        <f t="shared" si="7"/>
        <v>#REF!</v>
      </c>
      <c r="AC15" s="97" t="e">
        <f t="shared" si="8"/>
        <v>#REF!</v>
      </c>
      <c r="AD15" s="97" t="e">
        <f t="shared" si="9"/>
        <v>#REF!</v>
      </c>
      <c r="AE15" s="98" t="e">
        <f t="shared" si="10"/>
        <v>#REF!</v>
      </c>
      <c r="AF15" s="98" t="e">
        <f t="shared" si="10"/>
        <v>#REF!</v>
      </c>
      <c r="AH15" s="97" t="e">
        <f t="shared" si="11"/>
        <v>#REF!</v>
      </c>
      <c r="AI15" s="97" t="e">
        <f t="shared" si="12"/>
        <v>#REF!</v>
      </c>
      <c r="AJ15" s="98" t="e">
        <f t="shared" si="13"/>
        <v>#REF!</v>
      </c>
      <c r="AK15" s="98" t="e">
        <f t="shared" si="13"/>
        <v>#REF!</v>
      </c>
      <c r="BH15" s="78"/>
      <c r="BO15" s="78"/>
      <c r="BZ15" s="78"/>
      <c r="CL15" s="78"/>
      <c r="QW15" s="78"/>
      <c r="UB15" s="78"/>
      <c r="VC15" s="78"/>
      <c r="XS15" s="78"/>
      <c r="AHK15" s="78"/>
      <c r="BFY15" s="78"/>
      <c r="BGY15" s="78"/>
      <c r="BJM15" s="78"/>
      <c r="BLL15" s="78"/>
      <c r="BLO15" s="78"/>
      <c r="BLV15" s="78"/>
      <c r="BPR15" s="78"/>
      <c r="BSL15" s="78"/>
      <c r="BUS15" s="78"/>
      <c r="CCB15" s="78"/>
      <c r="CHB15" s="78"/>
      <c r="CKR15" s="78"/>
      <c r="CKV15" s="78"/>
      <c r="CMI15" s="78"/>
      <c r="CMS15" s="78"/>
      <c r="CND15" s="78"/>
      <c r="CUF15" s="78"/>
      <c r="CVZ15" s="78"/>
      <c r="CZS15" s="78"/>
      <c r="DCW15" s="78"/>
      <c r="DDJ15" s="78"/>
      <c r="DDK15" s="78"/>
      <c r="DEH15" s="78"/>
      <c r="DEY15" s="78"/>
      <c r="DPF15" s="78"/>
      <c r="DQP15" s="78"/>
    </row>
    <row r="16" spans="1:988 1039:2040 2089:3030 3125:3389" ht="15" customHeight="1">
      <c r="A16" s="87"/>
      <c r="B16" s="80"/>
      <c r="C16" s="86"/>
      <c r="D16" s="14"/>
      <c r="E16" s="82"/>
      <c r="F16" s="15"/>
      <c r="G16" s="19"/>
      <c r="H16" s="25"/>
      <c r="I16" s="28"/>
      <c r="J16" s="3"/>
      <c r="K16" s="3"/>
      <c r="L16" s="3"/>
      <c r="M16" s="3"/>
      <c r="N16" s="3"/>
      <c r="O16" s="3"/>
      <c r="P16" s="3"/>
      <c r="Q16" s="3"/>
      <c r="S16" s="97">
        <f t="shared" si="2"/>
        <v>0</v>
      </c>
      <c r="T16" s="97">
        <f t="shared" si="3"/>
        <v>0</v>
      </c>
      <c r="U16" s="98">
        <f t="shared" si="4"/>
        <v>0</v>
      </c>
      <c r="V16" s="98">
        <f t="shared" si="4"/>
        <v>0</v>
      </c>
      <c r="X16" s="97" t="e">
        <f t="shared" si="5"/>
        <v>#REF!</v>
      </c>
      <c r="Y16" s="97" t="e">
        <f t="shared" si="6"/>
        <v>#REF!</v>
      </c>
      <c r="Z16" s="98" t="e">
        <f t="shared" si="7"/>
        <v>#REF!</v>
      </c>
      <c r="AA16" s="98" t="e">
        <f t="shared" si="7"/>
        <v>#REF!</v>
      </c>
      <c r="AC16" s="97" t="e">
        <f t="shared" si="8"/>
        <v>#REF!</v>
      </c>
      <c r="AD16" s="97" t="e">
        <f t="shared" si="9"/>
        <v>#REF!</v>
      </c>
      <c r="AE16" s="98" t="e">
        <f t="shared" si="10"/>
        <v>#REF!</v>
      </c>
      <c r="AF16" s="98" t="e">
        <f t="shared" si="10"/>
        <v>#REF!</v>
      </c>
      <c r="AH16" s="97" t="e">
        <f t="shared" si="11"/>
        <v>#REF!</v>
      </c>
      <c r="AI16" s="97" t="e">
        <f t="shared" si="12"/>
        <v>#REF!</v>
      </c>
      <c r="AJ16" s="98" t="e">
        <f t="shared" si="13"/>
        <v>#REF!</v>
      </c>
      <c r="AK16" s="98" t="e">
        <f t="shared" si="13"/>
        <v>#REF!</v>
      </c>
      <c r="BH16" s="78"/>
      <c r="BO16" s="78"/>
      <c r="BZ16" s="78"/>
      <c r="CL16" s="78"/>
      <c r="QW16" s="78"/>
      <c r="UB16" s="78"/>
      <c r="VC16" s="78"/>
      <c r="XS16" s="78"/>
      <c r="AHK16" s="78"/>
      <c r="BFY16" s="78"/>
      <c r="BGY16" s="78"/>
      <c r="BJM16" s="78"/>
      <c r="BLL16" s="78"/>
      <c r="BLO16" s="78"/>
      <c r="BLV16" s="78"/>
      <c r="BPR16" s="78"/>
      <c r="BSL16" s="78"/>
      <c r="BUS16" s="78"/>
      <c r="CCB16" s="78"/>
      <c r="CHB16" s="78"/>
      <c r="CKR16" s="78"/>
      <c r="CKV16" s="78"/>
      <c r="CMI16" s="78"/>
      <c r="CMS16" s="78"/>
      <c r="CND16" s="78"/>
      <c r="CUF16" s="78"/>
      <c r="CVZ16" s="78"/>
      <c r="CZS16" s="78"/>
      <c r="DCW16" s="78"/>
      <c r="DDJ16" s="78"/>
      <c r="DDK16" s="78"/>
      <c r="DEH16" s="78"/>
      <c r="DEY16" s="78"/>
      <c r="DPF16" s="78"/>
      <c r="DQP16" s="78"/>
    </row>
    <row r="17" spans="1:988 1026:2036 2108:3044 3073:3381" ht="15" customHeight="1">
      <c r="A17" s="87"/>
      <c r="B17" s="80"/>
      <c r="C17" s="86"/>
      <c r="D17" s="14"/>
      <c r="E17" s="82"/>
      <c r="F17" s="15"/>
      <c r="G17" s="19"/>
      <c r="H17" s="25"/>
      <c r="I17" s="28"/>
      <c r="J17" s="3"/>
      <c r="K17" s="3"/>
      <c r="L17" s="3"/>
      <c r="M17" s="3"/>
      <c r="N17" s="3"/>
      <c r="O17" s="3"/>
      <c r="P17" s="3"/>
      <c r="Q17" s="3"/>
      <c r="S17" s="97">
        <f t="shared" si="2"/>
        <v>0</v>
      </c>
      <c r="T17" s="97">
        <f t="shared" si="3"/>
        <v>0</v>
      </c>
      <c r="U17" s="98">
        <f t="shared" si="4"/>
        <v>0</v>
      </c>
      <c r="V17" s="98">
        <f t="shared" si="4"/>
        <v>0</v>
      </c>
      <c r="X17" s="97" t="e">
        <f t="shared" si="5"/>
        <v>#REF!</v>
      </c>
      <c r="Y17" s="97" t="e">
        <f t="shared" si="6"/>
        <v>#REF!</v>
      </c>
      <c r="Z17" s="98" t="e">
        <f t="shared" si="7"/>
        <v>#REF!</v>
      </c>
      <c r="AA17" s="98" t="e">
        <f t="shared" si="7"/>
        <v>#REF!</v>
      </c>
      <c r="AC17" s="97" t="e">
        <f t="shared" si="8"/>
        <v>#REF!</v>
      </c>
      <c r="AD17" s="97" t="e">
        <f t="shared" si="9"/>
        <v>#REF!</v>
      </c>
      <c r="AE17" s="98" t="e">
        <f t="shared" si="10"/>
        <v>#REF!</v>
      </c>
      <c r="AF17" s="98" t="e">
        <f t="shared" si="10"/>
        <v>#REF!</v>
      </c>
      <c r="AH17" s="97" t="e">
        <f t="shared" si="11"/>
        <v>#REF!</v>
      </c>
      <c r="AI17" s="97" t="e">
        <f t="shared" si="12"/>
        <v>#REF!</v>
      </c>
      <c r="AJ17" s="98" t="e">
        <f t="shared" si="13"/>
        <v>#REF!</v>
      </c>
      <c r="AK17" s="98" t="e">
        <f t="shared" si="13"/>
        <v>#REF!</v>
      </c>
      <c r="BH17" s="78"/>
      <c r="BO17" s="78"/>
      <c r="BZ17" s="78"/>
      <c r="CL17" s="78"/>
      <c r="QW17" s="78"/>
      <c r="UB17" s="78"/>
      <c r="VC17" s="78"/>
      <c r="XS17" s="78"/>
      <c r="AHK17" s="78"/>
      <c r="BFY17" s="78"/>
      <c r="BGY17" s="78"/>
      <c r="BJM17" s="78"/>
      <c r="BLL17" s="78"/>
      <c r="BLO17" s="78"/>
      <c r="BLV17" s="78"/>
      <c r="BPR17" s="78"/>
      <c r="BSL17" s="78"/>
      <c r="BUS17" s="78"/>
      <c r="CCB17" s="78"/>
      <c r="CHB17" s="78"/>
      <c r="CKR17" s="78"/>
      <c r="CKV17" s="78"/>
      <c r="CMI17" s="78"/>
      <c r="CMS17" s="78"/>
      <c r="CND17" s="78"/>
      <c r="CUF17" s="78"/>
      <c r="CVZ17" s="78"/>
      <c r="CZS17" s="78"/>
      <c r="DCW17" s="78"/>
      <c r="DDJ17" s="78"/>
      <c r="DDK17" s="78"/>
      <c r="DEH17" s="78"/>
      <c r="DEY17" s="78"/>
      <c r="DPF17" s="78"/>
      <c r="DQP17" s="78"/>
    </row>
    <row r="18" spans="1:988 1026:2036 2108:3044 3073:3381" ht="15" customHeight="1">
      <c r="A18" s="87"/>
      <c r="B18" s="80"/>
      <c r="C18" s="86"/>
      <c r="D18" s="14"/>
      <c r="E18" s="82"/>
      <c r="F18" s="15"/>
      <c r="G18" s="19"/>
      <c r="H18" s="25"/>
      <c r="I18" s="28"/>
      <c r="J18" s="3"/>
      <c r="K18" s="3"/>
      <c r="L18" s="3"/>
      <c r="M18" s="3"/>
      <c r="N18" s="3"/>
      <c r="O18" s="3"/>
      <c r="P18" s="3"/>
      <c r="Q18" s="3"/>
      <c r="S18" s="97">
        <f t="shared" si="2"/>
        <v>0</v>
      </c>
      <c r="T18" s="97">
        <f t="shared" si="3"/>
        <v>0</v>
      </c>
      <c r="U18" s="98">
        <f t="shared" si="4"/>
        <v>0</v>
      </c>
      <c r="V18" s="98">
        <f t="shared" si="4"/>
        <v>0</v>
      </c>
      <c r="X18" s="97" t="e">
        <f t="shared" si="5"/>
        <v>#REF!</v>
      </c>
      <c r="Y18" s="97" t="e">
        <f t="shared" si="6"/>
        <v>#REF!</v>
      </c>
      <c r="Z18" s="98" t="e">
        <f t="shared" si="7"/>
        <v>#REF!</v>
      </c>
      <c r="AA18" s="98" t="e">
        <f t="shared" si="7"/>
        <v>#REF!</v>
      </c>
      <c r="AC18" s="97" t="e">
        <f t="shared" si="8"/>
        <v>#REF!</v>
      </c>
      <c r="AD18" s="97" t="e">
        <f t="shared" si="9"/>
        <v>#REF!</v>
      </c>
      <c r="AE18" s="98" t="e">
        <f t="shared" si="10"/>
        <v>#REF!</v>
      </c>
      <c r="AF18" s="98" t="e">
        <f t="shared" si="10"/>
        <v>#REF!</v>
      </c>
      <c r="AH18" s="97" t="e">
        <f t="shared" si="11"/>
        <v>#REF!</v>
      </c>
      <c r="AI18" s="97" t="e">
        <f t="shared" si="12"/>
        <v>#REF!</v>
      </c>
      <c r="AJ18" s="98" t="e">
        <f t="shared" si="13"/>
        <v>#REF!</v>
      </c>
      <c r="AK18" s="98" t="e">
        <f t="shared" si="13"/>
        <v>#REF!</v>
      </c>
      <c r="BH18" s="78"/>
      <c r="BO18" s="78"/>
      <c r="BZ18" s="78"/>
      <c r="CL18" s="78"/>
      <c r="QW18" s="78"/>
      <c r="UB18" s="78"/>
      <c r="VC18" s="78"/>
      <c r="XS18" s="78"/>
      <c r="AHK18" s="78"/>
      <c r="BFY18" s="78"/>
      <c r="BGY18" s="78"/>
      <c r="BJM18" s="78"/>
      <c r="BLL18" s="78"/>
      <c r="BLO18" s="78"/>
      <c r="BLV18" s="78"/>
      <c r="BPR18" s="78"/>
      <c r="BSL18" s="78"/>
      <c r="BUS18" s="78"/>
      <c r="CCB18" s="78"/>
      <c r="CHB18" s="78"/>
      <c r="CKR18" s="78"/>
      <c r="CKV18" s="78"/>
      <c r="CMI18" s="78"/>
      <c r="CMS18" s="78"/>
      <c r="CND18" s="78"/>
      <c r="CUF18" s="78"/>
      <c r="CVZ18" s="78"/>
      <c r="CZS18" s="78"/>
      <c r="DCW18" s="78"/>
      <c r="DDJ18" s="78"/>
      <c r="DDK18" s="78"/>
      <c r="DEH18" s="78"/>
      <c r="DEY18" s="78"/>
      <c r="DPF18" s="78"/>
      <c r="DQP18" s="78"/>
    </row>
    <row r="19" spans="1:988 1026:2036 2108:3044 3073:3381" ht="15" customHeight="1">
      <c r="A19" s="87"/>
      <c r="B19" s="80"/>
      <c r="C19" s="86"/>
      <c r="D19" s="14"/>
      <c r="E19" s="82"/>
      <c r="F19" s="15"/>
      <c r="G19" s="19"/>
      <c r="H19" s="25"/>
      <c r="I19" s="28"/>
      <c r="J19" s="3"/>
      <c r="K19" s="3"/>
      <c r="L19" s="3"/>
      <c r="M19" s="3"/>
      <c r="N19" s="3"/>
      <c r="O19" s="3"/>
      <c r="P19" s="3"/>
      <c r="Q19" s="3"/>
      <c r="S19" s="97">
        <f t="shared" si="2"/>
        <v>0</v>
      </c>
      <c r="T19" s="97">
        <f t="shared" si="3"/>
        <v>0</v>
      </c>
      <c r="U19" s="98">
        <f t="shared" si="4"/>
        <v>0</v>
      </c>
      <c r="V19" s="98">
        <f t="shared" si="4"/>
        <v>0</v>
      </c>
      <c r="X19" s="97" t="e">
        <f t="shared" si="5"/>
        <v>#REF!</v>
      </c>
      <c r="Y19" s="97" t="e">
        <f t="shared" si="6"/>
        <v>#REF!</v>
      </c>
      <c r="Z19" s="98" t="e">
        <f t="shared" si="7"/>
        <v>#REF!</v>
      </c>
      <c r="AA19" s="98" t="e">
        <f t="shared" si="7"/>
        <v>#REF!</v>
      </c>
      <c r="AC19" s="97" t="e">
        <f t="shared" si="8"/>
        <v>#REF!</v>
      </c>
      <c r="AD19" s="97" t="e">
        <f t="shared" si="9"/>
        <v>#REF!</v>
      </c>
      <c r="AE19" s="98" t="e">
        <f t="shared" si="10"/>
        <v>#REF!</v>
      </c>
      <c r="AF19" s="98" t="e">
        <f t="shared" si="10"/>
        <v>#REF!</v>
      </c>
      <c r="AH19" s="97" t="e">
        <f t="shared" si="11"/>
        <v>#REF!</v>
      </c>
      <c r="AI19" s="97" t="e">
        <f t="shared" si="12"/>
        <v>#REF!</v>
      </c>
      <c r="AJ19" s="98" t="e">
        <f t="shared" si="13"/>
        <v>#REF!</v>
      </c>
      <c r="AK19" s="98" t="e">
        <f t="shared" si="13"/>
        <v>#REF!</v>
      </c>
      <c r="BH19" s="78"/>
      <c r="BO19" s="78"/>
      <c r="BZ19" s="78"/>
      <c r="CL19" s="78"/>
      <c r="QW19" s="78"/>
      <c r="UB19" s="78"/>
      <c r="VC19" s="78"/>
      <c r="XS19" s="78"/>
      <c r="AHK19" s="78"/>
      <c r="BFY19" s="78"/>
      <c r="BGY19" s="78"/>
      <c r="BJM19" s="78"/>
      <c r="BLL19" s="78"/>
      <c r="BLO19" s="78"/>
      <c r="BLV19" s="78"/>
      <c r="BPR19" s="78"/>
      <c r="BSL19" s="78"/>
      <c r="BUS19" s="78"/>
      <c r="CCB19" s="78"/>
      <c r="CHB19" s="78"/>
      <c r="CKR19" s="78"/>
      <c r="CKV19" s="78"/>
      <c r="CMI19" s="78"/>
      <c r="CMS19" s="78"/>
      <c r="CND19" s="78"/>
      <c r="CUF19" s="78"/>
      <c r="CVZ19" s="78"/>
      <c r="CZS19" s="78"/>
      <c r="DCW19" s="78"/>
      <c r="DDJ19" s="78"/>
      <c r="DDK19" s="78"/>
      <c r="DEH19" s="78"/>
      <c r="DEY19" s="78"/>
      <c r="DPF19" s="78"/>
      <c r="DQP19" s="78"/>
    </row>
    <row r="20" spans="1:988 1026:2036 2108:3044 3073:3381" ht="15" customHeight="1">
      <c r="A20" s="87" t="s">
        <v>271</v>
      </c>
      <c r="B20" s="80">
        <v>6</v>
      </c>
      <c r="C20" s="86">
        <v>1.5</v>
      </c>
      <c r="D20" s="14"/>
      <c r="E20" s="82">
        <v>0.02</v>
      </c>
      <c r="F20" s="15"/>
      <c r="G20" s="19">
        <f t="shared" si="0"/>
        <v>0.02</v>
      </c>
      <c r="H20" s="25" t="str">
        <f t="shared" si="1"/>
        <v/>
      </c>
      <c r="I20" s="28"/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S20" s="97">
        <f t="shared" si="2"/>
        <v>0</v>
      </c>
      <c r="T20" s="97">
        <f t="shared" si="3"/>
        <v>0</v>
      </c>
      <c r="U20" s="98">
        <f t="shared" si="4"/>
        <v>0</v>
      </c>
      <c r="V20" s="98">
        <f t="shared" si="4"/>
        <v>0</v>
      </c>
      <c r="X20" s="97" t="e">
        <f t="shared" si="5"/>
        <v>#REF!</v>
      </c>
      <c r="Y20" s="97" t="e">
        <f t="shared" si="6"/>
        <v>#REF!</v>
      </c>
      <c r="Z20" s="98" t="e">
        <f t="shared" si="7"/>
        <v>#REF!</v>
      </c>
      <c r="AA20" s="98" t="e">
        <f t="shared" si="7"/>
        <v>#REF!</v>
      </c>
      <c r="AC20" s="97" t="e">
        <f t="shared" si="8"/>
        <v>#REF!</v>
      </c>
      <c r="AD20" s="97" t="e">
        <f t="shared" si="9"/>
        <v>#REF!</v>
      </c>
      <c r="AE20" s="98" t="e">
        <f t="shared" si="10"/>
        <v>#REF!</v>
      </c>
      <c r="AF20" s="98" t="e">
        <f t="shared" si="10"/>
        <v>#REF!</v>
      </c>
      <c r="AH20" s="97" t="e">
        <f t="shared" si="11"/>
        <v>#REF!</v>
      </c>
      <c r="AI20" s="97" t="e">
        <f t="shared" si="12"/>
        <v>#REF!</v>
      </c>
      <c r="AJ20" s="98" t="e">
        <f t="shared" si="13"/>
        <v>#REF!</v>
      </c>
      <c r="AK20" s="98" t="e">
        <f t="shared" si="13"/>
        <v>#REF!</v>
      </c>
      <c r="CB20" s="78"/>
      <c r="DJ20" s="78"/>
      <c r="GD20" s="78"/>
      <c r="JX20" s="78"/>
      <c r="MA20" s="78"/>
      <c r="PC20" s="78"/>
      <c r="AHC20" s="78"/>
      <c r="AKZ20" s="78"/>
      <c r="ATX20" s="78"/>
      <c r="BIL20" s="78"/>
      <c r="BLD20" s="78"/>
      <c r="BMN20" s="78"/>
      <c r="BPC20" s="78"/>
      <c r="BRC20" s="78"/>
      <c r="BZH20" s="78"/>
      <c r="CDU20" s="78"/>
      <c r="CGJ20" s="78"/>
      <c r="CLA20" s="78"/>
      <c r="CWD20" s="78"/>
      <c r="DPM20" s="78"/>
    </row>
    <row r="21" spans="1:988 1026:2036 2108:3044 3073:3381" ht="15" customHeight="1">
      <c r="A21" s="87"/>
      <c r="B21" s="80"/>
      <c r="C21" s="86"/>
      <c r="D21" s="14"/>
      <c r="E21" s="82"/>
      <c r="F21" s="15"/>
      <c r="G21" s="19"/>
      <c r="H21" s="25"/>
      <c r="I21" s="28"/>
      <c r="J21" s="3"/>
      <c r="K21" s="3"/>
      <c r="L21" s="3"/>
      <c r="M21" s="3"/>
      <c r="N21" s="3"/>
      <c r="O21" s="3"/>
      <c r="P21" s="3"/>
      <c r="Q21" s="3"/>
      <c r="S21" s="97">
        <f t="shared" si="2"/>
        <v>0</v>
      </c>
      <c r="T21" s="97">
        <f t="shared" si="3"/>
        <v>0</v>
      </c>
      <c r="U21" s="98">
        <f t="shared" si="4"/>
        <v>0</v>
      </c>
      <c r="V21" s="98">
        <f t="shared" si="4"/>
        <v>0</v>
      </c>
      <c r="X21" s="97" t="e">
        <f t="shared" si="5"/>
        <v>#REF!</v>
      </c>
      <c r="Y21" s="97" t="e">
        <f t="shared" si="6"/>
        <v>#REF!</v>
      </c>
      <c r="Z21" s="98" t="e">
        <f t="shared" si="7"/>
        <v>#REF!</v>
      </c>
      <c r="AA21" s="98" t="e">
        <f t="shared" si="7"/>
        <v>#REF!</v>
      </c>
      <c r="AC21" s="97" t="e">
        <f t="shared" si="8"/>
        <v>#REF!</v>
      </c>
      <c r="AD21" s="97" t="e">
        <f t="shared" si="9"/>
        <v>#REF!</v>
      </c>
      <c r="AE21" s="98" t="e">
        <f t="shared" si="10"/>
        <v>#REF!</v>
      </c>
      <c r="AF21" s="98" t="e">
        <f t="shared" si="10"/>
        <v>#REF!</v>
      </c>
      <c r="AH21" s="97" t="e">
        <f t="shared" si="11"/>
        <v>#REF!</v>
      </c>
      <c r="AI21" s="97" t="e">
        <f t="shared" si="12"/>
        <v>#REF!</v>
      </c>
      <c r="AJ21" s="98" t="e">
        <f t="shared" si="13"/>
        <v>#REF!</v>
      </c>
      <c r="AK21" s="98" t="e">
        <f t="shared" si="13"/>
        <v>#REF!</v>
      </c>
      <c r="CB21" s="78"/>
      <c r="DJ21" s="78"/>
      <c r="GD21" s="78"/>
      <c r="JX21" s="78"/>
      <c r="MA21" s="78"/>
      <c r="PC21" s="78"/>
      <c r="AHC21" s="78"/>
      <c r="AKZ21" s="78"/>
      <c r="ATX21" s="78"/>
      <c r="BIL21" s="78"/>
      <c r="BLD21" s="78"/>
      <c r="BMN21" s="78"/>
      <c r="BPC21" s="78"/>
      <c r="BRC21" s="78"/>
      <c r="BZH21" s="78"/>
      <c r="CDU21" s="78"/>
      <c r="CGJ21" s="78"/>
      <c r="CLA21" s="78"/>
      <c r="CWD21" s="78"/>
      <c r="DPM21" s="78"/>
    </row>
    <row r="22" spans="1:988 1026:2036 2108:3044 3073:3381" ht="15" customHeight="1">
      <c r="A22" s="87"/>
      <c r="B22" s="80"/>
      <c r="C22" s="86"/>
      <c r="D22" s="14"/>
      <c r="E22" s="82"/>
      <c r="F22" s="15"/>
      <c r="G22" s="19"/>
      <c r="H22" s="25"/>
      <c r="I22" s="28"/>
      <c r="J22" s="3"/>
      <c r="K22" s="3"/>
      <c r="L22" s="3"/>
      <c r="M22" s="3"/>
      <c r="N22" s="3"/>
      <c r="O22" s="3"/>
      <c r="P22" s="3"/>
      <c r="Q22" s="3"/>
      <c r="S22" s="97">
        <f t="shared" si="2"/>
        <v>0</v>
      </c>
      <c r="T22" s="97">
        <f t="shared" si="3"/>
        <v>0</v>
      </c>
      <c r="U22" s="98">
        <f t="shared" si="4"/>
        <v>0</v>
      </c>
      <c r="V22" s="98">
        <f t="shared" si="4"/>
        <v>0</v>
      </c>
      <c r="X22" s="97" t="e">
        <f t="shared" si="5"/>
        <v>#REF!</v>
      </c>
      <c r="Y22" s="97" t="e">
        <f t="shared" si="6"/>
        <v>#REF!</v>
      </c>
      <c r="Z22" s="98" t="e">
        <f t="shared" si="7"/>
        <v>#REF!</v>
      </c>
      <c r="AA22" s="98" t="e">
        <f t="shared" si="7"/>
        <v>#REF!</v>
      </c>
      <c r="AC22" s="97" t="e">
        <f t="shared" si="8"/>
        <v>#REF!</v>
      </c>
      <c r="AD22" s="97" t="e">
        <f t="shared" si="9"/>
        <v>#REF!</v>
      </c>
      <c r="AE22" s="98" t="e">
        <f t="shared" si="10"/>
        <v>#REF!</v>
      </c>
      <c r="AF22" s="98" t="e">
        <f t="shared" si="10"/>
        <v>#REF!</v>
      </c>
      <c r="AH22" s="97" t="e">
        <f t="shared" si="11"/>
        <v>#REF!</v>
      </c>
      <c r="AI22" s="97" t="e">
        <f t="shared" si="12"/>
        <v>#REF!</v>
      </c>
      <c r="AJ22" s="98" t="e">
        <f t="shared" si="13"/>
        <v>#REF!</v>
      </c>
      <c r="AK22" s="98" t="e">
        <f t="shared" si="13"/>
        <v>#REF!</v>
      </c>
      <c r="CB22" s="78"/>
      <c r="DJ22" s="78"/>
      <c r="GD22" s="78"/>
      <c r="JX22" s="78"/>
      <c r="MA22" s="78"/>
      <c r="PC22" s="78"/>
      <c r="AHC22" s="78"/>
      <c r="AKZ22" s="78"/>
      <c r="ATX22" s="78"/>
      <c r="BIL22" s="78"/>
      <c r="BLD22" s="78"/>
      <c r="BMN22" s="78"/>
      <c r="BPC22" s="78"/>
      <c r="BRC22" s="78"/>
      <c r="BZH22" s="78"/>
      <c r="CDU22" s="78"/>
      <c r="CGJ22" s="78"/>
      <c r="CLA22" s="78"/>
      <c r="CWD22" s="78"/>
      <c r="DPM22" s="78"/>
    </row>
    <row r="23" spans="1:988 1026:2036 2108:3044 3073:3381" ht="15" customHeight="1">
      <c r="A23" s="87"/>
      <c r="B23" s="80"/>
      <c r="C23" s="86"/>
      <c r="D23" s="14"/>
      <c r="E23" s="82"/>
      <c r="F23" s="15"/>
      <c r="G23" s="19"/>
      <c r="H23" s="25"/>
      <c r="I23" s="28"/>
      <c r="J23" s="3"/>
      <c r="K23" s="3"/>
      <c r="L23" s="3"/>
      <c r="M23" s="3"/>
      <c r="N23" s="3"/>
      <c r="O23" s="3"/>
      <c r="P23" s="3"/>
      <c r="Q23" s="3"/>
      <c r="S23" s="97">
        <f t="shared" si="2"/>
        <v>0</v>
      </c>
      <c r="T23" s="97">
        <f t="shared" si="3"/>
        <v>0</v>
      </c>
      <c r="U23" s="98">
        <f t="shared" si="4"/>
        <v>0</v>
      </c>
      <c r="V23" s="98">
        <f t="shared" si="4"/>
        <v>0</v>
      </c>
      <c r="X23" s="97" t="e">
        <f t="shared" si="5"/>
        <v>#REF!</v>
      </c>
      <c r="Y23" s="97" t="e">
        <f t="shared" si="6"/>
        <v>#REF!</v>
      </c>
      <c r="Z23" s="98" t="e">
        <f t="shared" si="7"/>
        <v>#REF!</v>
      </c>
      <c r="AA23" s="98" t="e">
        <f t="shared" si="7"/>
        <v>#REF!</v>
      </c>
      <c r="AC23" s="97" t="e">
        <f t="shared" si="8"/>
        <v>#REF!</v>
      </c>
      <c r="AD23" s="97" t="e">
        <f t="shared" si="9"/>
        <v>#REF!</v>
      </c>
      <c r="AE23" s="98" t="e">
        <f t="shared" si="10"/>
        <v>#REF!</v>
      </c>
      <c r="AF23" s="98" t="e">
        <f t="shared" si="10"/>
        <v>#REF!</v>
      </c>
      <c r="AH23" s="97" t="e">
        <f t="shared" si="11"/>
        <v>#REF!</v>
      </c>
      <c r="AI23" s="97" t="e">
        <f t="shared" si="12"/>
        <v>#REF!</v>
      </c>
      <c r="AJ23" s="98" t="e">
        <f t="shared" si="13"/>
        <v>#REF!</v>
      </c>
      <c r="AK23" s="98" t="e">
        <f t="shared" si="13"/>
        <v>#REF!</v>
      </c>
      <c r="CB23" s="78"/>
      <c r="DJ23" s="78"/>
      <c r="GD23" s="78"/>
      <c r="JX23" s="78"/>
      <c r="MA23" s="78"/>
      <c r="PC23" s="78"/>
      <c r="AHC23" s="78"/>
      <c r="AKZ23" s="78"/>
      <c r="ATX23" s="78"/>
      <c r="BIL23" s="78"/>
      <c r="BLD23" s="78"/>
      <c r="BMN23" s="78"/>
      <c r="BPC23" s="78"/>
      <c r="BRC23" s="78"/>
      <c r="BZH23" s="78"/>
      <c r="CDU23" s="78"/>
      <c r="CGJ23" s="78"/>
      <c r="CLA23" s="78"/>
      <c r="CWD23" s="78"/>
      <c r="DPM23" s="78"/>
    </row>
    <row r="24" spans="1:988 1026:2036 2108:3044 3073:3381" ht="15" customHeight="1">
      <c r="A24" s="87"/>
      <c r="B24" s="80"/>
      <c r="C24" s="86"/>
      <c r="D24" s="14"/>
      <c r="E24" s="82"/>
      <c r="F24" s="15"/>
      <c r="G24" s="19"/>
      <c r="H24" s="25"/>
      <c r="I24" s="28"/>
      <c r="J24" s="3"/>
      <c r="K24" s="3"/>
      <c r="L24" s="3"/>
      <c r="M24" s="3"/>
      <c r="N24" s="3"/>
      <c r="O24" s="3"/>
      <c r="P24" s="3"/>
      <c r="Q24" s="3"/>
      <c r="S24" s="97">
        <f t="shared" si="2"/>
        <v>0</v>
      </c>
      <c r="T24" s="97">
        <f t="shared" si="3"/>
        <v>0</v>
      </c>
      <c r="U24" s="98">
        <f t="shared" si="4"/>
        <v>0</v>
      </c>
      <c r="V24" s="98">
        <f t="shared" si="4"/>
        <v>0</v>
      </c>
      <c r="X24" s="97" t="e">
        <f t="shared" si="5"/>
        <v>#REF!</v>
      </c>
      <c r="Y24" s="97" t="e">
        <f t="shared" si="6"/>
        <v>#REF!</v>
      </c>
      <c r="Z24" s="98" t="e">
        <f t="shared" si="7"/>
        <v>#REF!</v>
      </c>
      <c r="AA24" s="98" t="e">
        <f t="shared" si="7"/>
        <v>#REF!</v>
      </c>
      <c r="AC24" s="97" t="e">
        <f t="shared" si="8"/>
        <v>#REF!</v>
      </c>
      <c r="AD24" s="97" t="e">
        <f t="shared" si="9"/>
        <v>#REF!</v>
      </c>
      <c r="AE24" s="98" t="e">
        <f t="shared" si="10"/>
        <v>#REF!</v>
      </c>
      <c r="AF24" s="98" t="e">
        <f t="shared" si="10"/>
        <v>#REF!</v>
      </c>
      <c r="AH24" s="97" t="e">
        <f t="shared" si="11"/>
        <v>#REF!</v>
      </c>
      <c r="AI24" s="97" t="e">
        <f t="shared" si="12"/>
        <v>#REF!</v>
      </c>
      <c r="AJ24" s="98" t="e">
        <f t="shared" si="13"/>
        <v>#REF!</v>
      </c>
      <c r="AK24" s="98" t="e">
        <f t="shared" si="13"/>
        <v>#REF!</v>
      </c>
      <c r="CB24" s="78"/>
      <c r="DJ24" s="78"/>
      <c r="GD24" s="78"/>
      <c r="JX24" s="78"/>
      <c r="MA24" s="78"/>
      <c r="PC24" s="78"/>
      <c r="AHC24" s="78"/>
      <c r="AKZ24" s="78"/>
      <c r="ATX24" s="78"/>
      <c r="BIL24" s="78"/>
      <c r="BLD24" s="78"/>
      <c r="BMN24" s="78"/>
      <c r="BPC24" s="78"/>
      <c r="BRC24" s="78"/>
      <c r="BZH24" s="78"/>
      <c r="CDU24" s="78"/>
      <c r="CGJ24" s="78"/>
      <c r="CLA24" s="78"/>
      <c r="CWD24" s="78"/>
      <c r="DPM24" s="78"/>
    </row>
    <row r="25" spans="1:988 1026:2036 2108:3044 3073:3381" ht="15" customHeight="1">
      <c r="A25" s="87" t="s">
        <v>247</v>
      </c>
      <c r="B25" s="80">
        <v>7</v>
      </c>
      <c r="C25" s="86">
        <v>1.5</v>
      </c>
      <c r="D25" s="14">
        <v>12.612</v>
      </c>
      <c r="E25" s="15">
        <v>0.02</v>
      </c>
      <c r="F25" s="15">
        <v>-0.02</v>
      </c>
      <c r="G25" s="19">
        <f t="shared" si="0"/>
        <v>12.632</v>
      </c>
      <c r="H25" s="25">
        <f t="shared" si="1"/>
        <v>12.592000000000001</v>
      </c>
      <c r="I25" s="29"/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S25" s="97">
        <f t="shared" si="2"/>
        <v>0</v>
      </c>
      <c r="T25" s="97">
        <f t="shared" si="3"/>
        <v>0</v>
      </c>
      <c r="U25" s="98">
        <f t="shared" si="4"/>
        <v>12.612</v>
      </c>
      <c r="V25" s="98">
        <f t="shared" si="4"/>
        <v>12.612</v>
      </c>
      <c r="X25" s="97" t="e">
        <f t="shared" si="5"/>
        <v>#REF!</v>
      </c>
      <c r="Y25" s="97" t="e">
        <f t="shared" si="6"/>
        <v>#REF!</v>
      </c>
      <c r="Z25" s="98" t="e">
        <f t="shared" si="7"/>
        <v>#REF!</v>
      </c>
      <c r="AA25" s="98" t="e">
        <f t="shared" si="7"/>
        <v>#REF!</v>
      </c>
      <c r="AC25" s="97" t="e">
        <f t="shared" si="8"/>
        <v>#REF!</v>
      </c>
      <c r="AD25" s="97" t="e">
        <f t="shared" si="9"/>
        <v>#REF!</v>
      </c>
      <c r="AE25" s="98" t="e">
        <f t="shared" si="10"/>
        <v>#REF!</v>
      </c>
      <c r="AF25" s="98" t="e">
        <f t="shared" si="10"/>
        <v>#REF!</v>
      </c>
      <c r="AH25" s="97" t="e">
        <f t="shared" si="11"/>
        <v>#REF!</v>
      </c>
      <c r="AI25" s="97" t="e">
        <f t="shared" si="12"/>
        <v>#REF!</v>
      </c>
      <c r="AJ25" s="98" t="e">
        <f t="shared" si="13"/>
        <v>#REF!</v>
      </c>
      <c r="AK25" s="98" t="e">
        <f t="shared" si="13"/>
        <v>#REF!</v>
      </c>
      <c r="AU25" s="78"/>
      <c r="DJ25" s="78"/>
      <c r="GM25" s="78"/>
      <c r="HL25" s="78"/>
      <c r="LZ25" s="78"/>
      <c r="SJ25" s="78"/>
      <c r="TX25" s="78"/>
      <c r="VC25" s="78"/>
      <c r="AFG25" s="78"/>
      <c r="AHC25" s="78"/>
      <c r="AHN25" s="78"/>
      <c r="AIT25" s="78"/>
      <c r="AJL25" s="78"/>
      <c r="AMY25" s="78"/>
      <c r="AOJ25" s="78"/>
      <c r="ASO25" s="78"/>
      <c r="AVF25" s="78"/>
      <c r="AYQ25" s="78"/>
      <c r="BAH25" s="78"/>
      <c r="BBW25" s="78"/>
      <c r="BKX25" s="78"/>
      <c r="BOB25" s="78"/>
      <c r="BOW25" s="78"/>
      <c r="BPL25" s="78"/>
      <c r="BUF25" s="78"/>
      <c r="BUS25" s="78"/>
      <c r="CCY25" s="78"/>
      <c r="CDB25" s="78"/>
      <c r="CIE25" s="78"/>
      <c r="CJP25" s="78"/>
      <c r="CUS25" s="78"/>
      <c r="CVA25" s="78"/>
      <c r="DAR25" s="78"/>
      <c r="DEG25" s="78"/>
      <c r="DEJ25" s="78"/>
      <c r="DEZ25" s="78"/>
      <c r="DFZ25" s="78"/>
      <c r="DKJ25" s="78"/>
      <c r="DLX25" s="78"/>
      <c r="DMB25" s="78"/>
      <c r="DNE25" s="78"/>
      <c r="DWM25" s="78"/>
      <c r="DZA25" s="78"/>
    </row>
    <row r="26" spans="1:988 1026:2036 2108:3044 3073:3381" ht="15" customHeight="1">
      <c r="A26" s="87" t="s">
        <v>248</v>
      </c>
      <c r="B26" s="80" t="s">
        <v>63</v>
      </c>
      <c r="C26" s="86">
        <v>1.5</v>
      </c>
      <c r="D26" s="14">
        <v>0.04</v>
      </c>
      <c r="E26" s="15">
        <v>0.02</v>
      </c>
      <c r="F26" s="15">
        <v>-0.02</v>
      </c>
      <c r="G26" s="19">
        <f t="shared" si="0"/>
        <v>0.06</v>
      </c>
      <c r="H26" s="25">
        <f t="shared" si="1"/>
        <v>0.02</v>
      </c>
      <c r="I26" s="28"/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S26" s="97">
        <f t="shared" si="2"/>
        <v>0</v>
      </c>
      <c r="T26" s="97">
        <f t="shared" si="3"/>
        <v>0</v>
      </c>
      <c r="U26" s="98">
        <f t="shared" si="4"/>
        <v>0.04</v>
      </c>
      <c r="V26" s="98">
        <f t="shared" si="4"/>
        <v>0.04</v>
      </c>
      <c r="X26" s="97" t="e">
        <f t="shared" si="5"/>
        <v>#REF!</v>
      </c>
      <c r="Y26" s="97" t="e">
        <f t="shared" si="6"/>
        <v>#REF!</v>
      </c>
      <c r="Z26" s="98" t="e">
        <f t="shared" si="7"/>
        <v>#REF!</v>
      </c>
      <c r="AA26" s="98" t="e">
        <f t="shared" si="7"/>
        <v>#REF!</v>
      </c>
      <c r="AC26" s="97" t="e">
        <f t="shared" si="8"/>
        <v>#REF!</v>
      </c>
      <c r="AD26" s="97" t="e">
        <f t="shared" si="9"/>
        <v>#REF!</v>
      </c>
      <c r="AE26" s="98" t="e">
        <f t="shared" si="10"/>
        <v>#REF!</v>
      </c>
      <c r="AF26" s="98" t="e">
        <f t="shared" si="10"/>
        <v>#REF!</v>
      </c>
      <c r="AH26" s="97" t="e">
        <f t="shared" si="11"/>
        <v>#REF!</v>
      </c>
      <c r="AI26" s="97" t="e">
        <f t="shared" si="12"/>
        <v>#REF!</v>
      </c>
      <c r="AJ26" s="98" t="e">
        <f t="shared" si="13"/>
        <v>#REF!</v>
      </c>
      <c r="AK26" s="98" t="e">
        <f t="shared" si="13"/>
        <v>#REF!</v>
      </c>
      <c r="AU26" s="78"/>
      <c r="DJ26" s="78"/>
      <c r="GM26" s="78"/>
      <c r="HL26" s="78"/>
      <c r="LZ26" s="78"/>
      <c r="SJ26" s="78"/>
      <c r="TX26" s="78"/>
      <c r="VC26" s="78"/>
      <c r="AFG26" s="78"/>
      <c r="AHN26" s="78"/>
      <c r="AIT26" s="78"/>
      <c r="AJL26" s="78"/>
      <c r="AML26" s="78"/>
      <c r="AMY26" s="78"/>
      <c r="ANN26" s="78"/>
      <c r="AOJ26" s="78"/>
      <c r="ASO26" s="78"/>
      <c r="AYQ26" s="78"/>
      <c r="BAH26" s="78"/>
      <c r="BBW26" s="78"/>
      <c r="BGD26" s="78"/>
      <c r="BKX26" s="78"/>
      <c r="BOB26" s="78"/>
      <c r="BOW26" s="78"/>
      <c r="BPL26" s="78"/>
      <c r="BUF26" s="78"/>
      <c r="BUS26" s="78"/>
      <c r="CCY26" s="78"/>
      <c r="CDB26" s="78"/>
      <c r="CIE26" s="78"/>
      <c r="CJP26" s="78"/>
      <c r="CSK26" s="78"/>
      <c r="CVA26" s="78"/>
      <c r="DEG26" s="78"/>
      <c r="DEJ26" s="78"/>
      <c r="DEZ26" s="78"/>
      <c r="DFZ26" s="78"/>
      <c r="DKX26" s="78"/>
      <c r="DLX26" s="78"/>
      <c r="DMB26" s="78"/>
      <c r="DNE26" s="78"/>
      <c r="DVS26" s="78"/>
      <c r="DWM26" s="78"/>
      <c r="DYE26" s="78"/>
      <c r="DZA26" s="78"/>
    </row>
    <row r="27" spans="1:988 1026:2036 2108:3044 3073:3381" ht="15" customHeight="1">
      <c r="A27" s="87" t="s">
        <v>248</v>
      </c>
      <c r="B27" s="99" t="s">
        <v>64</v>
      </c>
      <c r="C27" s="86">
        <v>1.5</v>
      </c>
      <c r="D27" s="14">
        <v>0.04</v>
      </c>
      <c r="E27" s="15">
        <v>0.02</v>
      </c>
      <c r="F27" s="15">
        <v>-0.02</v>
      </c>
      <c r="G27" s="19">
        <f t="shared" si="0"/>
        <v>0.06</v>
      </c>
      <c r="H27" s="25">
        <f t="shared" si="1"/>
        <v>0.02</v>
      </c>
      <c r="I27" s="28"/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S27" s="97">
        <f t="shared" si="2"/>
        <v>0</v>
      </c>
      <c r="T27" s="97">
        <f t="shared" si="3"/>
        <v>0</v>
      </c>
      <c r="U27" s="98">
        <f t="shared" si="4"/>
        <v>0.04</v>
      </c>
      <c r="V27" s="98">
        <f t="shared" si="4"/>
        <v>0.04</v>
      </c>
      <c r="X27" s="97" t="e">
        <f t="shared" si="5"/>
        <v>#REF!</v>
      </c>
      <c r="Y27" s="97" t="e">
        <f t="shared" si="6"/>
        <v>#REF!</v>
      </c>
      <c r="Z27" s="98" t="e">
        <f t="shared" si="7"/>
        <v>#REF!</v>
      </c>
      <c r="AA27" s="98" t="e">
        <f t="shared" si="7"/>
        <v>#REF!</v>
      </c>
      <c r="AC27" s="97" t="e">
        <f t="shared" si="8"/>
        <v>#REF!</v>
      </c>
      <c r="AD27" s="97" t="e">
        <f t="shared" si="9"/>
        <v>#REF!</v>
      </c>
      <c r="AE27" s="98" t="e">
        <f t="shared" si="10"/>
        <v>#REF!</v>
      </c>
      <c r="AF27" s="98" t="e">
        <f t="shared" si="10"/>
        <v>#REF!</v>
      </c>
      <c r="AH27" s="97" t="e">
        <f t="shared" si="11"/>
        <v>#REF!</v>
      </c>
      <c r="AI27" s="97" t="e">
        <f t="shared" si="12"/>
        <v>#REF!</v>
      </c>
      <c r="AJ27" s="98" t="e">
        <f t="shared" si="13"/>
        <v>#REF!</v>
      </c>
      <c r="AK27" s="98" t="e">
        <f t="shared" si="13"/>
        <v>#REF!</v>
      </c>
      <c r="AU27" s="78"/>
      <c r="DJ27" s="78"/>
      <c r="HL27" s="78"/>
      <c r="LZ27" s="78"/>
      <c r="SJ27" s="78"/>
      <c r="TX27" s="78"/>
      <c r="VC27" s="78"/>
      <c r="AFG27" s="78"/>
      <c r="AHN27" s="78"/>
      <c r="AIT27" s="78"/>
      <c r="AJL27" s="78"/>
      <c r="AML27" s="78"/>
      <c r="AOJ27" s="78"/>
      <c r="ASO27" s="78"/>
      <c r="AYQ27" s="78"/>
      <c r="BAH27" s="78"/>
      <c r="BBW27" s="78"/>
      <c r="BHA27" s="78"/>
      <c r="BKX27" s="78"/>
      <c r="BOB27" s="78"/>
      <c r="BOW27" s="78"/>
      <c r="BPL27" s="78"/>
      <c r="BUF27" s="78"/>
      <c r="BUS27" s="78"/>
      <c r="CCY27" s="78"/>
      <c r="CDB27" s="78"/>
      <c r="CQC27" s="78"/>
      <c r="DEG27" s="78"/>
      <c r="DEJ27" s="78"/>
      <c r="DEZ27" s="78"/>
      <c r="DFZ27" s="78"/>
      <c r="DLX27" s="78"/>
      <c r="DMB27" s="78"/>
      <c r="DNE27" s="78"/>
      <c r="DVS27" s="78"/>
      <c r="DWM27" s="78"/>
      <c r="DZA27" s="78"/>
    </row>
    <row r="28" spans="1:988 1026:2036 2108:3044 3073:3381" ht="15" customHeight="1">
      <c r="A28" s="87" t="s">
        <v>249</v>
      </c>
      <c r="B28" s="99">
        <v>9</v>
      </c>
      <c r="C28" s="86">
        <v>1.5</v>
      </c>
      <c r="D28" s="14">
        <v>12.382</v>
      </c>
      <c r="E28" s="15">
        <v>0.02</v>
      </c>
      <c r="F28" s="15">
        <v>-0.02</v>
      </c>
      <c r="G28" s="19">
        <f t="shared" si="0"/>
        <v>12.401999999999999</v>
      </c>
      <c r="H28" s="25">
        <f t="shared" si="1"/>
        <v>12.362</v>
      </c>
      <c r="I28" s="29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S28" s="97">
        <f t="shared" si="2"/>
        <v>0</v>
      </c>
      <c r="T28" s="97">
        <f t="shared" si="3"/>
        <v>0</v>
      </c>
      <c r="U28" s="98">
        <f t="shared" si="4"/>
        <v>12.382</v>
      </c>
      <c r="V28" s="98">
        <f t="shared" si="4"/>
        <v>12.382</v>
      </c>
      <c r="X28" s="97" t="e">
        <f t="shared" si="5"/>
        <v>#REF!</v>
      </c>
      <c r="Y28" s="97" t="e">
        <f t="shared" si="6"/>
        <v>#REF!</v>
      </c>
      <c r="Z28" s="98" t="e">
        <f t="shared" si="7"/>
        <v>#REF!</v>
      </c>
      <c r="AA28" s="98" t="e">
        <f t="shared" si="7"/>
        <v>#REF!</v>
      </c>
      <c r="AC28" s="97" t="e">
        <f t="shared" si="8"/>
        <v>#REF!</v>
      </c>
      <c r="AD28" s="97" t="e">
        <f t="shared" si="9"/>
        <v>#REF!</v>
      </c>
      <c r="AE28" s="98" t="e">
        <f t="shared" si="10"/>
        <v>#REF!</v>
      </c>
      <c r="AF28" s="98" t="e">
        <f t="shared" si="10"/>
        <v>#REF!</v>
      </c>
      <c r="AH28" s="97" t="e">
        <f t="shared" si="11"/>
        <v>#REF!</v>
      </c>
      <c r="AI28" s="97" t="e">
        <f t="shared" si="12"/>
        <v>#REF!</v>
      </c>
      <c r="AJ28" s="98" t="e">
        <f t="shared" si="13"/>
        <v>#REF!</v>
      </c>
      <c r="AK28" s="98" t="e">
        <f t="shared" si="13"/>
        <v>#REF!</v>
      </c>
      <c r="DJ28" s="78"/>
      <c r="HL28" s="78"/>
      <c r="TX28" s="78"/>
      <c r="VC28" s="78"/>
      <c r="AFG28" s="78"/>
      <c r="AHC28" s="78"/>
      <c r="AHN28" s="78"/>
      <c r="AIT28" s="78"/>
      <c r="AJL28" s="78"/>
      <c r="AML28" s="78"/>
      <c r="AMY28" s="78"/>
      <c r="AOJ28" s="78"/>
      <c r="ASO28" s="78"/>
      <c r="AVF28" s="78"/>
      <c r="AYQ28" s="78"/>
      <c r="BAH28" s="78"/>
      <c r="BBW28" s="78"/>
      <c r="BGD28" s="78"/>
      <c r="BKX28" s="78"/>
      <c r="BOB28" s="78"/>
      <c r="BOW28" s="78"/>
      <c r="BUF28" s="78"/>
      <c r="BUS28" s="78"/>
      <c r="CCY28" s="78"/>
      <c r="DEG28" s="78"/>
      <c r="DEJ28" s="78"/>
      <c r="DEZ28" s="78"/>
      <c r="DFZ28" s="78"/>
      <c r="DLX28" s="78"/>
      <c r="DMB28" s="78"/>
      <c r="DNE28" s="78"/>
      <c r="DOU28" s="78"/>
      <c r="DVS28" s="78"/>
      <c r="DWM28" s="78"/>
    </row>
    <row r="29" spans="1:988 1026:2036 2108:3044 3073:3381" ht="15" customHeight="1">
      <c r="A29" s="87" t="s">
        <v>272</v>
      </c>
      <c r="B29" s="100">
        <v>10</v>
      </c>
      <c r="C29" s="86">
        <v>1.5</v>
      </c>
      <c r="D29" s="14">
        <v>14.726000000000001</v>
      </c>
      <c r="E29" s="15">
        <v>0.02</v>
      </c>
      <c r="F29" s="15">
        <v>-0.02</v>
      </c>
      <c r="G29" s="19">
        <f t="shared" si="0"/>
        <v>14.746</v>
      </c>
      <c r="H29" s="25">
        <f t="shared" si="1"/>
        <v>14.706000000000001</v>
      </c>
      <c r="I29" s="28"/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S29" s="97">
        <f t="shared" si="2"/>
        <v>0</v>
      </c>
      <c r="T29" s="97">
        <f t="shared" si="3"/>
        <v>0</v>
      </c>
      <c r="U29" s="98">
        <f t="shared" si="4"/>
        <v>14.726000000000001</v>
      </c>
      <c r="V29" s="98">
        <f t="shared" si="4"/>
        <v>14.726000000000001</v>
      </c>
      <c r="X29" s="97" t="e">
        <f t="shared" si="5"/>
        <v>#REF!</v>
      </c>
      <c r="Y29" s="97" t="e">
        <f t="shared" si="6"/>
        <v>#REF!</v>
      </c>
      <c r="Z29" s="98" t="e">
        <f t="shared" si="7"/>
        <v>#REF!</v>
      </c>
      <c r="AA29" s="98" t="e">
        <f t="shared" si="7"/>
        <v>#REF!</v>
      </c>
      <c r="AC29" s="97" t="e">
        <f t="shared" si="8"/>
        <v>#REF!</v>
      </c>
      <c r="AD29" s="97" t="e">
        <f t="shared" si="9"/>
        <v>#REF!</v>
      </c>
      <c r="AE29" s="98" t="e">
        <f t="shared" si="10"/>
        <v>#REF!</v>
      </c>
      <c r="AF29" s="98" t="e">
        <f t="shared" si="10"/>
        <v>#REF!</v>
      </c>
      <c r="AH29" s="97" t="e">
        <f t="shared" si="11"/>
        <v>#REF!</v>
      </c>
      <c r="AI29" s="97" t="e">
        <f t="shared" si="12"/>
        <v>#REF!</v>
      </c>
      <c r="AJ29" s="98" t="e">
        <f t="shared" si="13"/>
        <v>#REF!</v>
      </c>
      <c r="AK29" s="98" t="e">
        <f t="shared" si="13"/>
        <v>#REF!</v>
      </c>
      <c r="DJ29" s="78"/>
      <c r="EV29" s="78"/>
      <c r="GM29" s="78"/>
      <c r="MR29" s="78"/>
      <c r="SJ29" s="78"/>
      <c r="TN29" s="78"/>
      <c r="TQ29" s="78"/>
      <c r="WJ29" s="78"/>
      <c r="AFG29" s="78"/>
      <c r="AHC29" s="78"/>
      <c r="AQL29" s="78"/>
      <c r="AYQ29" s="78"/>
      <c r="BBW29" s="78"/>
      <c r="BRB29" s="78"/>
      <c r="BUE29" s="78"/>
      <c r="BWK29" s="78"/>
      <c r="CDB29" s="78"/>
      <c r="CDO29" s="78"/>
      <c r="CEH29" s="78"/>
      <c r="CHD29" s="78"/>
      <c r="CIE29" s="78"/>
      <c r="CIO29" s="78"/>
      <c r="CJY29" s="78"/>
      <c r="CNP29" s="78"/>
      <c r="DAR29" s="78"/>
      <c r="DEG29" s="78"/>
      <c r="DEJ29" s="78"/>
      <c r="DEZ29" s="78"/>
      <c r="DLQ29" s="78"/>
      <c r="DWM29" s="78"/>
    </row>
    <row r="30" spans="1:988 1026:2036 2108:3044 3073:3381" ht="15" customHeight="1">
      <c r="A30" s="87" t="s">
        <v>250</v>
      </c>
      <c r="B30" s="100">
        <v>11</v>
      </c>
      <c r="C30" s="86">
        <v>1.5</v>
      </c>
      <c r="D30" s="14">
        <v>14.506</v>
      </c>
      <c r="E30" s="15">
        <v>0.02</v>
      </c>
      <c r="F30" s="15">
        <v>-0.02</v>
      </c>
      <c r="G30" s="19">
        <f t="shared" si="0"/>
        <v>14.526</v>
      </c>
      <c r="H30" s="25">
        <f t="shared" si="1"/>
        <v>14.486000000000001</v>
      </c>
      <c r="I30" s="28"/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S30" s="97">
        <f t="shared" si="2"/>
        <v>0</v>
      </c>
      <c r="T30" s="97">
        <f t="shared" si="3"/>
        <v>0</v>
      </c>
      <c r="U30" s="98">
        <f t="shared" si="4"/>
        <v>14.506</v>
      </c>
      <c r="V30" s="98">
        <f t="shared" si="4"/>
        <v>14.506</v>
      </c>
      <c r="X30" s="97" t="e">
        <f t="shared" si="5"/>
        <v>#REF!</v>
      </c>
      <c r="Y30" s="97" t="e">
        <f t="shared" si="6"/>
        <v>#REF!</v>
      </c>
      <c r="Z30" s="98" t="e">
        <f t="shared" si="7"/>
        <v>#REF!</v>
      </c>
      <c r="AA30" s="98" t="e">
        <f t="shared" si="7"/>
        <v>#REF!</v>
      </c>
      <c r="AC30" s="97" t="e">
        <f t="shared" si="8"/>
        <v>#REF!</v>
      </c>
      <c r="AD30" s="97" t="e">
        <f t="shared" si="9"/>
        <v>#REF!</v>
      </c>
      <c r="AE30" s="98" t="e">
        <f t="shared" si="10"/>
        <v>#REF!</v>
      </c>
      <c r="AF30" s="98" t="e">
        <f t="shared" si="10"/>
        <v>#REF!</v>
      </c>
      <c r="AH30" s="97" t="e">
        <f t="shared" si="11"/>
        <v>#REF!</v>
      </c>
      <c r="AI30" s="97" t="e">
        <f t="shared" si="12"/>
        <v>#REF!</v>
      </c>
      <c r="AJ30" s="98" t="e">
        <f t="shared" si="13"/>
        <v>#REF!</v>
      </c>
      <c r="AK30" s="98" t="e">
        <f t="shared" si="13"/>
        <v>#REF!</v>
      </c>
      <c r="CS30" s="78"/>
      <c r="DJ30" s="78"/>
      <c r="EV30" s="78"/>
      <c r="GM30" s="78"/>
      <c r="MR30" s="78"/>
      <c r="SC30" s="78"/>
      <c r="SJ30" s="78"/>
      <c r="TN30" s="78"/>
      <c r="TQ30" s="78"/>
      <c r="WJ30" s="78"/>
      <c r="AFG30" s="78"/>
      <c r="AHC30" s="78"/>
      <c r="AQL30" s="78"/>
      <c r="AVX30" s="78"/>
      <c r="AYQ30" s="78"/>
      <c r="BBW30" s="78"/>
      <c r="BNE30" s="78"/>
      <c r="BOW30" s="78"/>
      <c r="BRB30" s="78"/>
      <c r="BUE30" s="78"/>
      <c r="BWK30" s="78"/>
      <c r="CDB30" s="78"/>
      <c r="CDO30" s="78"/>
      <c r="CEH30" s="78"/>
      <c r="CHE30" s="78"/>
      <c r="CIE30" s="78"/>
      <c r="CIO30" s="78"/>
      <c r="CJY30" s="78"/>
      <c r="CNP30" s="78"/>
      <c r="CVA30" s="78"/>
      <c r="CXO30" s="78"/>
      <c r="DAR30" s="78"/>
      <c r="DBB30" s="78"/>
      <c r="DEG30" s="78"/>
      <c r="DEJ30" s="78"/>
      <c r="DEM30" s="78"/>
      <c r="DET30" s="78"/>
      <c r="DEZ30" s="78"/>
      <c r="DGF30" s="78"/>
      <c r="DKR30" s="78"/>
      <c r="DLQ30" s="78"/>
      <c r="DWM30" s="78"/>
    </row>
    <row r="31" spans="1:988 1026:2036 2108:3044 3073:3381" ht="15" customHeight="1">
      <c r="A31" s="87" t="s">
        <v>273</v>
      </c>
      <c r="B31" s="100" t="s">
        <v>65</v>
      </c>
      <c r="C31" s="86">
        <v>1.5</v>
      </c>
      <c r="D31" s="14">
        <v>0.05</v>
      </c>
      <c r="E31" s="15">
        <v>0.02</v>
      </c>
      <c r="F31" s="15">
        <v>-0.02</v>
      </c>
      <c r="G31" s="19">
        <f t="shared" si="0"/>
        <v>7.0000000000000007E-2</v>
      </c>
      <c r="H31" s="25">
        <f t="shared" si="1"/>
        <v>3.0000000000000002E-2</v>
      </c>
      <c r="I31" s="28"/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S31" s="97">
        <f t="shared" si="2"/>
        <v>0</v>
      </c>
      <c r="T31" s="97">
        <f t="shared" si="3"/>
        <v>0</v>
      </c>
      <c r="U31" s="98">
        <f t="shared" si="4"/>
        <v>0.05</v>
      </c>
      <c r="V31" s="98">
        <f t="shared" si="4"/>
        <v>0.05</v>
      </c>
      <c r="X31" s="97" t="e">
        <f t="shared" si="5"/>
        <v>#REF!</v>
      </c>
      <c r="Y31" s="97" t="e">
        <f t="shared" si="6"/>
        <v>#REF!</v>
      </c>
      <c r="Z31" s="98" t="e">
        <f t="shared" si="7"/>
        <v>#REF!</v>
      </c>
      <c r="AA31" s="98" t="e">
        <f t="shared" si="7"/>
        <v>#REF!</v>
      </c>
      <c r="AC31" s="97" t="e">
        <f t="shared" si="8"/>
        <v>#REF!</v>
      </c>
      <c r="AD31" s="97" t="e">
        <f t="shared" si="9"/>
        <v>#REF!</v>
      </c>
      <c r="AE31" s="98" t="e">
        <f t="shared" si="10"/>
        <v>#REF!</v>
      </c>
      <c r="AF31" s="98" t="e">
        <f t="shared" si="10"/>
        <v>#REF!</v>
      </c>
      <c r="AH31" s="97" t="e">
        <f t="shared" si="11"/>
        <v>#REF!</v>
      </c>
      <c r="AI31" s="97" t="e">
        <f t="shared" si="12"/>
        <v>#REF!</v>
      </c>
      <c r="AJ31" s="98" t="e">
        <f t="shared" si="13"/>
        <v>#REF!</v>
      </c>
      <c r="AK31" s="98" t="e">
        <f t="shared" si="13"/>
        <v>#REF!</v>
      </c>
      <c r="EU31" s="78"/>
      <c r="EV31" s="78"/>
      <c r="GM31" s="78"/>
      <c r="LK31" s="78"/>
      <c r="SJ31" s="78"/>
      <c r="TN31" s="78"/>
      <c r="WJ31" s="78"/>
      <c r="XG31" s="78"/>
      <c r="AFG31" s="78"/>
      <c r="AHC31" s="78"/>
      <c r="AHN31" s="78"/>
      <c r="AQL31" s="78"/>
      <c r="AYQ31" s="78"/>
      <c r="BBW31" s="78"/>
      <c r="BOW31" s="78"/>
      <c r="BRB31" s="78"/>
      <c r="BWK31" s="78"/>
      <c r="CDB31" s="78"/>
      <c r="CEH31" s="78"/>
      <c r="CHE31" s="78"/>
      <c r="CIE31" s="78"/>
      <c r="CJY31" s="78"/>
      <c r="CNP31" s="78"/>
      <c r="CVA31" s="78"/>
      <c r="CXO31" s="78"/>
      <c r="DAR31" s="78"/>
      <c r="DEG31" s="78"/>
      <c r="DEH31" s="78"/>
      <c r="DEJ31" s="78"/>
      <c r="DEM31" s="78"/>
      <c r="DET31" s="78"/>
      <c r="DEZ31" s="78"/>
      <c r="DIM31" s="78"/>
      <c r="DKR31" s="78"/>
      <c r="DLQ31" s="78"/>
      <c r="DWM31" s="78"/>
    </row>
    <row r="32" spans="1:988 1026:2036 2108:3044 3073:3381" ht="15" customHeight="1">
      <c r="A32" s="87" t="s">
        <v>273</v>
      </c>
      <c r="B32" s="99" t="s">
        <v>66</v>
      </c>
      <c r="C32" s="86">
        <v>1.5</v>
      </c>
      <c r="D32" s="14">
        <v>0.05</v>
      </c>
      <c r="E32" s="15">
        <v>0.02</v>
      </c>
      <c r="F32" s="15">
        <v>-0.02</v>
      </c>
      <c r="G32" s="19">
        <f t="shared" si="0"/>
        <v>7.0000000000000007E-2</v>
      </c>
      <c r="H32" s="25">
        <f t="shared" si="1"/>
        <v>3.0000000000000002E-2</v>
      </c>
      <c r="I32" s="29"/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S32" s="97">
        <f t="shared" si="2"/>
        <v>0</v>
      </c>
      <c r="T32" s="97">
        <f t="shared" si="3"/>
        <v>0</v>
      </c>
      <c r="U32" s="98">
        <f t="shared" si="4"/>
        <v>0.05</v>
      </c>
      <c r="V32" s="98">
        <f t="shared" si="4"/>
        <v>0.05</v>
      </c>
      <c r="X32" s="97" t="e">
        <f t="shared" si="5"/>
        <v>#REF!</v>
      </c>
      <c r="Y32" s="97" t="e">
        <f t="shared" si="6"/>
        <v>#REF!</v>
      </c>
      <c r="Z32" s="98" t="e">
        <f t="shared" si="7"/>
        <v>#REF!</v>
      </c>
      <c r="AA32" s="98" t="e">
        <f t="shared" si="7"/>
        <v>#REF!</v>
      </c>
      <c r="AC32" s="97" t="e">
        <f t="shared" si="8"/>
        <v>#REF!</v>
      </c>
      <c r="AD32" s="97" t="e">
        <f t="shared" si="9"/>
        <v>#REF!</v>
      </c>
      <c r="AE32" s="98" t="e">
        <f t="shared" si="10"/>
        <v>#REF!</v>
      </c>
      <c r="AF32" s="98" t="e">
        <f t="shared" si="10"/>
        <v>#REF!</v>
      </c>
      <c r="AH32" s="97" t="e">
        <f t="shared" si="11"/>
        <v>#REF!</v>
      </c>
      <c r="AI32" s="97" t="e">
        <f t="shared" si="12"/>
        <v>#REF!</v>
      </c>
      <c r="AJ32" s="98" t="e">
        <f t="shared" si="13"/>
        <v>#REF!</v>
      </c>
      <c r="AK32" s="98" t="e">
        <f t="shared" si="13"/>
        <v>#REF!</v>
      </c>
      <c r="DJ32" s="78"/>
      <c r="EV32" s="78"/>
      <c r="GM32" s="78"/>
      <c r="MR32" s="78"/>
      <c r="SJ32" s="78"/>
      <c r="TQ32" s="78"/>
      <c r="WJ32" s="78"/>
      <c r="XG32" s="78"/>
      <c r="AFG32" s="78"/>
      <c r="AHC32" s="78"/>
      <c r="AHN32" s="78"/>
      <c r="AYQ32" s="78"/>
      <c r="BBW32" s="78"/>
      <c r="BOB32" s="78"/>
      <c r="BOW32" s="78"/>
      <c r="BRB32" s="78"/>
      <c r="BUE32" s="78"/>
      <c r="BWK32" s="78"/>
      <c r="CDB32" s="78"/>
      <c r="CDN32" s="78"/>
      <c r="CEH32" s="78"/>
      <c r="CIE32" s="78"/>
      <c r="CJY32" s="78"/>
      <c r="CNP32" s="78"/>
      <c r="CVA32" s="78"/>
      <c r="CXO32" s="78"/>
      <c r="DAR32" s="78"/>
      <c r="DEG32" s="78"/>
      <c r="DEJ32" s="78"/>
      <c r="DEZ32" s="78"/>
      <c r="DKR32" s="78"/>
      <c r="DLQ32" s="78"/>
      <c r="DWM32" s="78"/>
    </row>
    <row r="33" spans="1:1005 1029:2000 2058:3033 3076:3337" ht="15" customHeight="1">
      <c r="A33" s="101" t="s">
        <v>251</v>
      </c>
      <c r="B33" s="102" t="s">
        <v>252</v>
      </c>
      <c r="C33" s="103">
        <v>1.5</v>
      </c>
      <c r="D33" s="104">
        <v>9.9190000000000005</v>
      </c>
      <c r="E33" s="105">
        <v>0.02</v>
      </c>
      <c r="F33" s="105">
        <v>-0.02</v>
      </c>
      <c r="G33" s="19">
        <f t="shared" si="0"/>
        <v>9.9390000000000001</v>
      </c>
      <c r="H33" s="25">
        <f t="shared" si="1"/>
        <v>9.8990000000000009</v>
      </c>
      <c r="I33" s="29"/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S33" s="97">
        <f t="shared" si="2"/>
        <v>0</v>
      </c>
      <c r="T33" s="97">
        <f t="shared" si="3"/>
        <v>0</v>
      </c>
      <c r="U33" s="98">
        <f t="shared" si="4"/>
        <v>9.9190000000000005</v>
      </c>
      <c r="V33" s="98">
        <f t="shared" si="4"/>
        <v>9.9190000000000005</v>
      </c>
      <c r="X33" s="97" t="e">
        <f t="shared" si="5"/>
        <v>#REF!</v>
      </c>
      <c r="Y33" s="97" t="e">
        <f t="shared" si="6"/>
        <v>#REF!</v>
      </c>
      <c r="Z33" s="98" t="e">
        <f t="shared" si="7"/>
        <v>#REF!</v>
      </c>
      <c r="AA33" s="98" t="e">
        <f t="shared" si="7"/>
        <v>#REF!</v>
      </c>
      <c r="AC33" s="97" t="e">
        <f t="shared" si="8"/>
        <v>#REF!</v>
      </c>
      <c r="AD33" s="97" t="e">
        <f t="shared" si="9"/>
        <v>#REF!</v>
      </c>
      <c r="AE33" s="98" t="e">
        <f t="shared" si="10"/>
        <v>#REF!</v>
      </c>
      <c r="AF33" s="98" t="e">
        <f t="shared" si="10"/>
        <v>#REF!</v>
      </c>
      <c r="AH33" s="97" t="e">
        <f t="shared" si="11"/>
        <v>#REF!</v>
      </c>
      <c r="AI33" s="97" t="e">
        <f t="shared" si="12"/>
        <v>#REF!</v>
      </c>
      <c r="AJ33" s="98" t="e">
        <f t="shared" si="13"/>
        <v>#REF!</v>
      </c>
      <c r="AK33" s="98" t="e">
        <f t="shared" si="13"/>
        <v>#REF!</v>
      </c>
      <c r="DJ33" s="78"/>
      <c r="EV33" s="78"/>
      <c r="GM33" s="78"/>
      <c r="MR33" s="78"/>
      <c r="SJ33" s="78"/>
      <c r="TQ33" s="78"/>
      <c r="WJ33" s="78"/>
      <c r="XG33" s="78"/>
      <c r="AFG33" s="78"/>
      <c r="AHC33" s="78"/>
      <c r="AHN33" s="78"/>
      <c r="AYQ33" s="78"/>
      <c r="BBW33" s="78"/>
      <c r="BOB33" s="78"/>
      <c r="BOW33" s="78"/>
      <c r="BRB33" s="78"/>
      <c r="BUE33" s="78"/>
      <c r="BWK33" s="78"/>
      <c r="CDB33" s="78"/>
      <c r="CDN33" s="78"/>
      <c r="CEH33" s="78"/>
      <c r="CIE33" s="78"/>
      <c r="CJY33" s="78"/>
      <c r="CNP33" s="78"/>
      <c r="CVA33" s="78"/>
      <c r="CXO33" s="78"/>
      <c r="DAR33" s="78"/>
      <c r="DEG33" s="78"/>
      <c r="DEJ33" s="78"/>
      <c r="DEZ33" s="78"/>
      <c r="DKR33" s="78"/>
      <c r="DLQ33" s="78"/>
      <c r="DWM33" s="78"/>
    </row>
    <row r="34" spans="1:1005 1029:2000 2058:3033 3076:3337" ht="15" customHeight="1">
      <c r="A34" s="101" t="s">
        <v>251</v>
      </c>
      <c r="B34" s="102" t="s">
        <v>114</v>
      </c>
      <c r="C34" s="103">
        <v>1.5</v>
      </c>
      <c r="D34" s="104">
        <v>9.9190000000000005</v>
      </c>
      <c r="E34" s="105">
        <v>0.02</v>
      </c>
      <c r="F34" s="105">
        <v>-0.02</v>
      </c>
      <c r="G34" s="19">
        <f t="shared" si="0"/>
        <v>9.9390000000000001</v>
      </c>
      <c r="H34" s="25">
        <f t="shared" si="1"/>
        <v>9.8990000000000009</v>
      </c>
      <c r="I34" s="29"/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S34" s="97">
        <f t="shared" si="2"/>
        <v>0</v>
      </c>
      <c r="T34" s="97">
        <f t="shared" si="3"/>
        <v>0</v>
      </c>
      <c r="U34" s="98">
        <f t="shared" si="4"/>
        <v>9.9190000000000005</v>
      </c>
      <c r="V34" s="98">
        <f t="shared" si="4"/>
        <v>9.9190000000000005</v>
      </c>
      <c r="X34" s="97" t="e">
        <f t="shared" si="5"/>
        <v>#REF!</v>
      </c>
      <c r="Y34" s="97" t="e">
        <f t="shared" si="6"/>
        <v>#REF!</v>
      </c>
      <c r="Z34" s="98" t="e">
        <f t="shared" si="7"/>
        <v>#REF!</v>
      </c>
      <c r="AA34" s="98" t="e">
        <f t="shared" si="7"/>
        <v>#REF!</v>
      </c>
      <c r="AC34" s="97" t="e">
        <f t="shared" si="8"/>
        <v>#REF!</v>
      </c>
      <c r="AD34" s="97" t="e">
        <f t="shared" si="9"/>
        <v>#REF!</v>
      </c>
      <c r="AE34" s="98" t="e">
        <f t="shared" si="10"/>
        <v>#REF!</v>
      </c>
      <c r="AF34" s="98" t="e">
        <f t="shared" si="10"/>
        <v>#REF!</v>
      </c>
      <c r="AH34" s="97" t="e">
        <f t="shared" si="11"/>
        <v>#REF!</v>
      </c>
      <c r="AI34" s="97" t="e">
        <f t="shared" si="12"/>
        <v>#REF!</v>
      </c>
      <c r="AJ34" s="98" t="e">
        <f t="shared" si="13"/>
        <v>#REF!</v>
      </c>
      <c r="AK34" s="98" t="e">
        <f t="shared" si="13"/>
        <v>#REF!</v>
      </c>
      <c r="DJ34" s="78"/>
      <c r="EV34" s="78"/>
      <c r="GM34" s="78"/>
      <c r="MR34" s="78"/>
      <c r="SJ34" s="78"/>
      <c r="TQ34" s="78"/>
      <c r="WJ34" s="78"/>
      <c r="XG34" s="78"/>
      <c r="AFG34" s="78"/>
      <c r="AHC34" s="78"/>
      <c r="AHN34" s="78"/>
      <c r="AYQ34" s="78"/>
      <c r="BBW34" s="78"/>
      <c r="BOB34" s="78"/>
      <c r="BOW34" s="78"/>
      <c r="BRB34" s="78"/>
      <c r="BUE34" s="78"/>
      <c r="BWK34" s="78"/>
      <c r="CDB34" s="78"/>
      <c r="CDN34" s="78"/>
      <c r="CEH34" s="78"/>
      <c r="CIE34" s="78"/>
      <c r="CJY34" s="78"/>
      <c r="CNP34" s="78"/>
      <c r="CVA34" s="78"/>
      <c r="CXO34" s="78"/>
      <c r="DAR34" s="78"/>
      <c r="DEG34" s="78"/>
      <c r="DEJ34" s="78"/>
      <c r="DEZ34" s="78"/>
      <c r="DKR34" s="78"/>
      <c r="DLQ34" s="78"/>
      <c r="DWM34" s="78"/>
    </row>
    <row r="35" spans="1:1005 1029:2000 2058:3033 3076:3337" ht="15" customHeight="1">
      <c r="A35" s="101" t="s">
        <v>251</v>
      </c>
      <c r="B35" s="102" t="s">
        <v>115</v>
      </c>
      <c r="C35" s="103">
        <v>1.5</v>
      </c>
      <c r="D35" s="104">
        <v>9.9190000000000005</v>
      </c>
      <c r="E35" s="105">
        <v>0.02</v>
      </c>
      <c r="F35" s="105">
        <v>-0.02</v>
      </c>
      <c r="G35" s="19">
        <f t="shared" si="0"/>
        <v>9.9390000000000001</v>
      </c>
      <c r="H35" s="25">
        <f t="shared" si="1"/>
        <v>9.8990000000000009</v>
      </c>
      <c r="I35" s="29"/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S35" s="97">
        <f t="shared" si="2"/>
        <v>0</v>
      </c>
      <c r="T35" s="97">
        <f t="shared" si="3"/>
        <v>0</v>
      </c>
      <c r="U35" s="98">
        <f t="shared" si="4"/>
        <v>9.9190000000000005</v>
      </c>
      <c r="V35" s="98">
        <f t="shared" si="4"/>
        <v>9.9190000000000005</v>
      </c>
      <c r="X35" s="97" t="e">
        <f t="shared" si="5"/>
        <v>#REF!</v>
      </c>
      <c r="Y35" s="97" t="e">
        <f t="shared" si="6"/>
        <v>#REF!</v>
      </c>
      <c r="Z35" s="98" t="e">
        <f t="shared" si="7"/>
        <v>#REF!</v>
      </c>
      <c r="AA35" s="98" t="e">
        <f t="shared" si="7"/>
        <v>#REF!</v>
      </c>
      <c r="AC35" s="97" t="e">
        <f t="shared" si="8"/>
        <v>#REF!</v>
      </c>
      <c r="AD35" s="97" t="e">
        <f t="shared" si="9"/>
        <v>#REF!</v>
      </c>
      <c r="AE35" s="98" t="e">
        <f t="shared" si="10"/>
        <v>#REF!</v>
      </c>
      <c r="AF35" s="98" t="e">
        <f t="shared" si="10"/>
        <v>#REF!</v>
      </c>
      <c r="AH35" s="97" t="e">
        <f t="shared" si="11"/>
        <v>#REF!</v>
      </c>
      <c r="AI35" s="97" t="e">
        <f t="shared" si="12"/>
        <v>#REF!</v>
      </c>
      <c r="AJ35" s="98" t="e">
        <f t="shared" si="13"/>
        <v>#REF!</v>
      </c>
      <c r="AK35" s="98" t="e">
        <f t="shared" si="13"/>
        <v>#REF!</v>
      </c>
      <c r="DJ35" s="78"/>
      <c r="EV35" s="78"/>
      <c r="GM35" s="78"/>
      <c r="MR35" s="78"/>
      <c r="SJ35" s="78"/>
      <c r="TQ35" s="78"/>
      <c r="WJ35" s="78"/>
      <c r="XG35" s="78"/>
      <c r="AFG35" s="78"/>
      <c r="AHC35" s="78"/>
      <c r="AHN35" s="78"/>
      <c r="AYQ35" s="78"/>
      <c r="BBW35" s="78"/>
      <c r="BOB35" s="78"/>
      <c r="BOW35" s="78"/>
      <c r="BRB35" s="78"/>
      <c r="BUE35" s="78"/>
      <c r="BWK35" s="78"/>
      <c r="CDB35" s="78"/>
      <c r="CDN35" s="78"/>
      <c r="CEH35" s="78"/>
      <c r="CIE35" s="78"/>
      <c r="CJY35" s="78"/>
      <c r="CNP35" s="78"/>
      <c r="CVA35" s="78"/>
      <c r="CXO35" s="78"/>
      <c r="DAR35" s="78"/>
      <c r="DEG35" s="78"/>
      <c r="DEJ35" s="78"/>
      <c r="DEZ35" s="78"/>
      <c r="DKR35" s="78"/>
      <c r="DLQ35" s="78"/>
      <c r="DWM35" s="78"/>
    </row>
    <row r="36" spans="1:1005 1029:2000 2058:3033 3076:3337" ht="15" customHeight="1">
      <c r="A36" s="101" t="s">
        <v>274</v>
      </c>
      <c r="B36" s="102" t="s">
        <v>253</v>
      </c>
      <c r="C36" s="103">
        <v>1.5</v>
      </c>
      <c r="D36" s="104">
        <v>12.795</v>
      </c>
      <c r="E36" s="105">
        <v>0.02</v>
      </c>
      <c r="F36" s="105">
        <v>-0.02</v>
      </c>
      <c r="G36" s="19">
        <f t="shared" si="0"/>
        <v>12.815</v>
      </c>
      <c r="H36" s="25">
        <f t="shared" si="1"/>
        <v>12.775</v>
      </c>
      <c r="I36" s="29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S36" s="97">
        <f t="shared" si="2"/>
        <v>0</v>
      </c>
      <c r="T36" s="97">
        <f t="shared" si="3"/>
        <v>0</v>
      </c>
      <c r="U36" s="98">
        <f t="shared" si="4"/>
        <v>12.795</v>
      </c>
      <c r="V36" s="98">
        <f t="shared" si="4"/>
        <v>12.795</v>
      </c>
      <c r="X36" s="97" t="e">
        <f t="shared" si="5"/>
        <v>#REF!</v>
      </c>
      <c r="Y36" s="97" t="e">
        <f t="shared" si="6"/>
        <v>#REF!</v>
      </c>
      <c r="Z36" s="98" t="e">
        <f t="shared" si="7"/>
        <v>#REF!</v>
      </c>
      <c r="AA36" s="98" t="e">
        <f t="shared" si="7"/>
        <v>#REF!</v>
      </c>
      <c r="AC36" s="97" t="e">
        <f t="shared" si="8"/>
        <v>#REF!</v>
      </c>
      <c r="AD36" s="97" t="e">
        <f t="shared" si="9"/>
        <v>#REF!</v>
      </c>
      <c r="AE36" s="98" t="e">
        <f t="shared" si="10"/>
        <v>#REF!</v>
      </c>
      <c r="AF36" s="98" t="e">
        <f t="shared" si="10"/>
        <v>#REF!</v>
      </c>
      <c r="AH36" s="97" t="e">
        <f t="shared" si="11"/>
        <v>#REF!</v>
      </c>
      <c r="AI36" s="97" t="e">
        <f t="shared" si="12"/>
        <v>#REF!</v>
      </c>
      <c r="AJ36" s="98" t="e">
        <f t="shared" si="13"/>
        <v>#REF!</v>
      </c>
      <c r="AK36" s="98" t="e">
        <f t="shared" si="13"/>
        <v>#REF!</v>
      </c>
      <c r="DJ36" s="78"/>
      <c r="EV36" s="78"/>
      <c r="GM36" s="78"/>
      <c r="MR36" s="78"/>
      <c r="SJ36" s="78"/>
      <c r="TQ36" s="78"/>
      <c r="WJ36" s="78"/>
      <c r="XG36" s="78"/>
      <c r="AFG36" s="78"/>
      <c r="AHC36" s="78"/>
      <c r="AHN36" s="78"/>
      <c r="AYQ36" s="78"/>
      <c r="BBW36" s="78"/>
      <c r="BOB36" s="78"/>
      <c r="BOW36" s="78"/>
      <c r="BRB36" s="78"/>
      <c r="BUE36" s="78"/>
      <c r="BWK36" s="78"/>
      <c r="CDB36" s="78"/>
      <c r="CDN36" s="78"/>
      <c r="CEH36" s="78"/>
      <c r="CIE36" s="78"/>
      <c r="CJY36" s="78"/>
      <c r="CNP36" s="78"/>
      <c r="CVA36" s="78"/>
      <c r="CXO36" s="78"/>
      <c r="DAR36" s="78"/>
      <c r="DEG36" s="78"/>
      <c r="DEJ36" s="78"/>
      <c r="DEZ36" s="78"/>
      <c r="DKR36" s="78"/>
      <c r="DLQ36" s="78"/>
      <c r="DWM36" s="78"/>
    </row>
    <row r="37" spans="1:1005 1029:2000 2058:3033 3076:3337" ht="15" customHeight="1">
      <c r="A37" s="101" t="s">
        <v>274</v>
      </c>
      <c r="B37" s="102" t="s">
        <v>117</v>
      </c>
      <c r="C37" s="103">
        <v>1.5</v>
      </c>
      <c r="D37" s="104">
        <v>12.795</v>
      </c>
      <c r="E37" s="105">
        <v>0.02</v>
      </c>
      <c r="F37" s="105">
        <v>-0.02</v>
      </c>
      <c r="G37" s="19">
        <f t="shared" si="0"/>
        <v>12.815</v>
      </c>
      <c r="H37" s="25">
        <f t="shared" si="1"/>
        <v>12.775</v>
      </c>
      <c r="I37" s="29"/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S37" s="97">
        <f t="shared" si="2"/>
        <v>0</v>
      </c>
      <c r="T37" s="97">
        <f t="shared" si="3"/>
        <v>0</v>
      </c>
      <c r="U37" s="98">
        <f t="shared" si="4"/>
        <v>12.795</v>
      </c>
      <c r="V37" s="98">
        <f t="shared" si="4"/>
        <v>12.795</v>
      </c>
      <c r="X37" s="97" t="e">
        <f t="shared" si="5"/>
        <v>#REF!</v>
      </c>
      <c r="Y37" s="97" t="e">
        <f t="shared" si="6"/>
        <v>#REF!</v>
      </c>
      <c r="Z37" s="98" t="e">
        <f t="shared" si="7"/>
        <v>#REF!</v>
      </c>
      <c r="AA37" s="98" t="e">
        <f t="shared" si="7"/>
        <v>#REF!</v>
      </c>
      <c r="AC37" s="97" t="e">
        <f t="shared" si="8"/>
        <v>#REF!</v>
      </c>
      <c r="AD37" s="97" t="e">
        <f t="shared" si="9"/>
        <v>#REF!</v>
      </c>
      <c r="AE37" s="98" t="e">
        <f t="shared" si="10"/>
        <v>#REF!</v>
      </c>
      <c r="AF37" s="98" t="e">
        <f t="shared" si="10"/>
        <v>#REF!</v>
      </c>
      <c r="AH37" s="97" t="e">
        <f t="shared" si="11"/>
        <v>#REF!</v>
      </c>
      <c r="AI37" s="97" t="e">
        <f t="shared" si="12"/>
        <v>#REF!</v>
      </c>
      <c r="AJ37" s="98" t="e">
        <f t="shared" si="13"/>
        <v>#REF!</v>
      </c>
      <c r="AK37" s="98" t="e">
        <f t="shared" si="13"/>
        <v>#REF!</v>
      </c>
      <c r="DJ37" s="78"/>
      <c r="EV37" s="78"/>
      <c r="GM37" s="78"/>
      <c r="MR37" s="78"/>
      <c r="SJ37" s="78"/>
      <c r="TQ37" s="78"/>
      <c r="WJ37" s="78"/>
      <c r="XG37" s="78"/>
      <c r="AFG37" s="78"/>
      <c r="AHC37" s="78"/>
      <c r="AHN37" s="78"/>
      <c r="AYQ37" s="78"/>
      <c r="BBW37" s="78"/>
      <c r="BOB37" s="78"/>
      <c r="BOW37" s="78"/>
      <c r="BRB37" s="78"/>
      <c r="BUE37" s="78"/>
      <c r="BWK37" s="78"/>
      <c r="CDB37" s="78"/>
      <c r="CDN37" s="78"/>
      <c r="CEH37" s="78"/>
      <c r="CIE37" s="78"/>
      <c r="CJY37" s="78"/>
      <c r="CNP37" s="78"/>
      <c r="CVA37" s="78"/>
      <c r="CXO37" s="78"/>
      <c r="DAR37" s="78"/>
      <c r="DEG37" s="78"/>
      <c r="DEJ37" s="78"/>
      <c r="DEZ37" s="78"/>
      <c r="DKR37" s="78"/>
      <c r="DLQ37" s="78"/>
      <c r="DWM37" s="78"/>
    </row>
    <row r="38" spans="1:1005 1029:2000 2058:3033 3076:3337" ht="15" customHeight="1">
      <c r="A38" s="101" t="s">
        <v>274</v>
      </c>
      <c r="B38" s="102" t="s">
        <v>118</v>
      </c>
      <c r="C38" s="103">
        <v>1.5</v>
      </c>
      <c r="D38" s="104">
        <v>12.795</v>
      </c>
      <c r="E38" s="105">
        <v>0.02</v>
      </c>
      <c r="F38" s="105">
        <v>-0.02</v>
      </c>
      <c r="G38" s="19">
        <f t="shared" si="0"/>
        <v>12.815</v>
      </c>
      <c r="H38" s="25">
        <f t="shared" si="1"/>
        <v>12.775</v>
      </c>
      <c r="I38" s="29"/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S38" s="97">
        <f t="shared" si="2"/>
        <v>0</v>
      </c>
      <c r="T38" s="97">
        <f t="shared" si="3"/>
        <v>0</v>
      </c>
      <c r="U38" s="98">
        <f t="shared" si="4"/>
        <v>12.795</v>
      </c>
      <c r="V38" s="98">
        <f t="shared" si="4"/>
        <v>12.795</v>
      </c>
      <c r="X38" s="97" t="e">
        <f t="shared" si="5"/>
        <v>#REF!</v>
      </c>
      <c r="Y38" s="97" t="e">
        <f t="shared" si="6"/>
        <v>#REF!</v>
      </c>
      <c r="Z38" s="98" t="e">
        <f t="shared" si="7"/>
        <v>#REF!</v>
      </c>
      <c r="AA38" s="98" t="e">
        <f t="shared" si="7"/>
        <v>#REF!</v>
      </c>
      <c r="AC38" s="97" t="e">
        <f t="shared" si="8"/>
        <v>#REF!</v>
      </c>
      <c r="AD38" s="97" t="e">
        <f t="shared" si="9"/>
        <v>#REF!</v>
      </c>
      <c r="AE38" s="98" t="e">
        <f t="shared" si="10"/>
        <v>#REF!</v>
      </c>
      <c r="AF38" s="98" t="e">
        <f t="shared" si="10"/>
        <v>#REF!</v>
      </c>
      <c r="AH38" s="97" t="e">
        <f t="shared" si="11"/>
        <v>#REF!</v>
      </c>
      <c r="AI38" s="97" t="e">
        <f t="shared" si="12"/>
        <v>#REF!</v>
      </c>
      <c r="AJ38" s="98" t="e">
        <f t="shared" si="13"/>
        <v>#REF!</v>
      </c>
      <c r="AK38" s="98" t="e">
        <f t="shared" si="13"/>
        <v>#REF!</v>
      </c>
      <c r="DJ38" s="78"/>
      <c r="EV38" s="78"/>
      <c r="GM38" s="78"/>
      <c r="MR38" s="78"/>
      <c r="SJ38" s="78"/>
      <c r="TQ38" s="78"/>
      <c r="WJ38" s="78"/>
      <c r="XG38" s="78"/>
      <c r="AFG38" s="78"/>
      <c r="AHC38" s="78"/>
      <c r="AHN38" s="78"/>
      <c r="AYQ38" s="78"/>
      <c r="BBW38" s="78"/>
      <c r="BOB38" s="78"/>
      <c r="BOW38" s="78"/>
      <c r="BRB38" s="78"/>
      <c r="BUE38" s="78"/>
      <c r="BWK38" s="78"/>
      <c r="CDB38" s="78"/>
      <c r="CDN38" s="78"/>
      <c r="CEH38" s="78"/>
      <c r="CIE38" s="78"/>
      <c r="CJY38" s="78"/>
      <c r="CNP38" s="78"/>
      <c r="CVA38" s="78"/>
      <c r="CXO38" s="78"/>
      <c r="DAR38" s="78"/>
      <c r="DEG38" s="78"/>
      <c r="DEJ38" s="78"/>
      <c r="DEZ38" s="78"/>
      <c r="DKR38" s="78"/>
      <c r="DLQ38" s="78"/>
      <c r="DWM38" s="78"/>
    </row>
    <row r="39" spans="1:1005 1029:2000 2058:3033 3076:3337" ht="15" customHeight="1">
      <c r="A39" s="87" t="s">
        <v>275</v>
      </c>
      <c r="B39" s="99" t="s">
        <v>84</v>
      </c>
      <c r="C39" s="86">
        <v>1.33</v>
      </c>
      <c r="D39" s="14">
        <v>0.105</v>
      </c>
      <c r="E39" s="15">
        <v>0.02</v>
      </c>
      <c r="F39" s="15">
        <v>-0.02</v>
      </c>
      <c r="G39" s="19">
        <f t="shared" si="0"/>
        <v>0.125</v>
      </c>
      <c r="H39" s="25">
        <f t="shared" si="1"/>
        <v>8.4999999999999992E-2</v>
      </c>
      <c r="I39" s="29"/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S39" s="97">
        <f t="shared" si="2"/>
        <v>0</v>
      </c>
      <c r="T39" s="97">
        <f t="shared" si="3"/>
        <v>0</v>
      </c>
      <c r="U39" s="98">
        <f t="shared" si="4"/>
        <v>0.105</v>
      </c>
      <c r="V39" s="98">
        <f t="shared" si="4"/>
        <v>0.105</v>
      </c>
      <c r="X39" s="97" t="e">
        <f t="shared" si="5"/>
        <v>#REF!</v>
      </c>
      <c r="Y39" s="97" t="e">
        <f t="shared" si="6"/>
        <v>#REF!</v>
      </c>
      <c r="Z39" s="98" t="e">
        <f t="shared" si="7"/>
        <v>#REF!</v>
      </c>
      <c r="AA39" s="98" t="e">
        <f t="shared" si="7"/>
        <v>#REF!</v>
      </c>
      <c r="AC39" s="97" t="e">
        <f t="shared" si="8"/>
        <v>#REF!</v>
      </c>
      <c r="AD39" s="97" t="e">
        <f t="shared" si="9"/>
        <v>#REF!</v>
      </c>
      <c r="AE39" s="98" t="e">
        <f t="shared" si="10"/>
        <v>#REF!</v>
      </c>
      <c r="AF39" s="98" t="e">
        <f t="shared" si="10"/>
        <v>#REF!</v>
      </c>
      <c r="AH39" s="97" t="e">
        <f t="shared" si="11"/>
        <v>#REF!</v>
      </c>
      <c r="AI39" s="97" t="e">
        <f t="shared" si="12"/>
        <v>#REF!</v>
      </c>
      <c r="AJ39" s="98" t="e">
        <f t="shared" si="13"/>
        <v>#REF!</v>
      </c>
      <c r="AK39" s="98" t="e">
        <f t="shared" si="13"/>
        <v>#REF!</v>
      </c>
      <c r="DJ39" s="78"/>
      <c r="EV39" s="78"/>
      <c r="GM39" s="78"/>
      <c r="SJ39" s="78"/>
      <c r="TQ39" s="78"/>
      <c r="WJ39" s="78"/>
      <c r="XG39" s="78"/>
      <c r="AEZ39" s="78"/>
      <c r="AFG39" s="78"/>
      <c r="AHC39" s="78"/>
      <c r="AHN39" s="78"/>
      <c r="ALQ39" s="78"/>
      <c r="AYQ39" s="78"/>
      <c r="BBW39" s="78"/>
      <c r="BOW39" s="78"/>
      <c r="BRB39" s="78"/>
      <c r="BUS39" s="78"/>
      <c r="BWK39" s="78"/>
      <c r="CDB39" s="78"/>
      <c r="CIE39" s="78"/>
      <c r="CJY39" s="78"/>
      <c r="CNP39" s="78"/>
      <c r="CVA39" s="78"/>
      <c r="DAR39" s="78"/>
      <c r="DEG39" s="78"/>
      <c r="DEJ39" s="78"/>
      <c r="DEZ39" s="78"/>
      <c r="DKR39" s="78"/>
      <c r="DLQ39" s="78"/>
      <c r="DNH39" s="78"/>
      <c r="DWM39" s="78"/>
    </row>
    <row r="40" spans="1:1005 1029:2000 2058:3033 3076:3337" ht="15" customHeight="1">
      <c r="A40" s="101" t="s">
        <v>275</v>
      </c>
      <c r="B40" s="102" t="s">
        <v>85</v>
      </c>
      <c r="C40" s="103">
        <v>1.33</v>
      </c>
      <c r="D40" s="104">
        <v>0.105</v>
      </c>
      <c r="E40" s="105">
        <v>0.02</v>
      </c>
      <c r="F40" s="105">
        <v>-0.02</v>
      </c>
      <c r="G40" s="19">
        <f t="shared" si="0"/>
        <v>0.125</v>
      </c>
      <c r="H40" s="25">
        <f t="shared" si="1"/>
        <v>8.4999999999999992E-2</v>
      </c>
      <c r="I40" s="29"/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S40" s="97">
        <f t="shared" si="2"/>
        <v>0</v>
      </c>
      <c r="T40" s="97">
        <f t="shared" si="3"/>
        <v>0</v>
      </c>
      <c r="U40" s="98">
        <f t="shared" ref="U40:V103" si="14">IF(AND($D40="",S40=""),"",IF($D40="",S40,$D40+S40))</f>
        <v>0.105</v>
      </c>
      <c r="V40" s="98">
        <f t="shared" si="14"/>
        <v>0.105</v>
      </c>
      <c r="X40" s="97" t="e">
        <f t="shared" si="5"/>
        <v>#REF!</v>
      </c>
      <c r="Y40" s="97" t="e">
        <f t="shared" si="6"/>
        <v>#REF!</v>
      </c>
      <c r="Z40" s="98" t="e">
        <f t="shared" ref="Z40:AA103" si="15">IF(AND($D40="",X40=""),"",IF($D40="",X40,$D40+X40))</f>
        <v>#REF!</v>
      </c>
      <c r="AA40" s="98" t="e">
        <f t="shared" si="15"/>
        <v>#REF!</v>
      </c>
      <c r="AC40" s="97" t="e">
        <f t="shared" si="8"/>
        <v>#REF!</v>
      </c>
      <c r="AD40" s="97" t="e">
        <f t="shared" si="9"/>
        <v>#REF!</v>
      </c>
      <c r="AE40" s="98" t="e">
        <f t="shared" ref="AE40:AF103" si="16">IF(AND($D40="",AC40=""),"",IF($D40="",AC40,$D40+AC40))</f>
        <v>#REF!</v>
      </c>
      <c r="AF40" s="98" t="e">
        <f t="shared" si="16"/>
        <v>#REF!</v>
      </c>
      <c r="AH40" s="97" t="e">
        <f t="shared" si="11"/>
        <v>#REF!</v>
      </c>
      <c r="AI40" s="97" t="e">
        <f t="shared" si="12"/>
        <v>#REF!</v>
      </c>
      <c r="AJ40" s="98" t="e">
        <f t="shared" ref="AJ40:AK103" si="17">IF(AND($D40="",AH40=""),"",IF($D40="",AH40,$D40+AH40))</f>
        <v>#REF!</v>
      </c>
      <c r="AK40" s="98" t="e">
        <f t="shared" si="17"/>
        <v>#REF!</v>
      </c>
      <c r="DJ40" s="78"/>
      <c r="EV40" s="78"/>
      <c r="GM40" s="78"/>
      <c r="SJ40" s="78"/>
      <c r="TQ40" s="78"/>
      <c r="WJ40" s="78"/>
      <c r="XG40" s="78"/>
      <c r="AEZ40" s="78"/>
      <c r="AFG40" s="78"/>
      <c r="AHC40" s="78"/>
      <c r="AHN40" s="78"/>
      <c r="ALQ40" s="78"/>
      <c r="AYQ40" s="78"/>
      <c r="BBW40" s="78"/>
      <c r="BOW40" s="78"/>
      <c r="BRB40" s="78"/>
      <c r="BUS40" s="78"/>
      <c r="BWK40" s="78"/>
      <c r="CDB40" s="78"/>
      <c r="CIE40" s="78"/>
      <c r="CJY40" s="78"/>
      <c r="CNP40" s="78"/>
      <c r="CVA40" s="78"/>
      <c r="DAR40" s="78"/>
      <c r="DEG40" s="78"/>
      <c r="DEJ40" s="78"/>
      <c r="DEZ40" s="78"/>
      <c r="DKR40" s="78"/>
      <c r="DLQ40" s="78"/>
      <c r="DNH40" s="78"/>
      <c r="DWM40" s="78"/>
    </row>
    <row r="41" spans="1:1005 1029:2000 2058:3033 3076:3337" ht="15" customHeight="1">
      <c r="A41" s="101" t="s">
        <v>276</v>
      </c>
      <c r="B41" s="102" t="s">
        <v>67</v>
      </c>
      <c r="C41" s="103">
        <v>1.33</v>
      </c>
      <c r="D41" s="104">
        <v>0.91</v>
      </c>
      <c r="E41" s="105">
        <v>0.02</v>
      </c>
      <c r="F41" s="105">
        <v>-0.02</v>
      </c>
      <c r="G41" s="19">
        <f t="shared" si="0"/>
        <v>0.93</v>
      </c>
      <c r="H41" s="25">
        <f t="shared" si="1"/>
        <v>0.89</v>
      </c>
      <c r="I41" s="29"/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S41" s="97">
        <f t="shared" si="2"/>
        <v>0</v>
      </c>
      <c r="T41" s="97">
        <f t="shared" si="3"/>
        <v>0</v>
      </c>
      <c r="U41" s="98">
        <f t="shared" si="14"/>
        <v>0.91</v>
      </c>
      <c r="V41" s="98">
        <f t="shared" si="14"/>
        <v>0.91</v>
      </c>
      <c r="X41" s="97" t="e">
        <f t="shared" si="5"/>
        <v>#REF!</v>
      </c>
      <c r="Y41" s="97" t="e">
        <f t="shared" si="6"/>
        <v>#REF!</v>
      </c>
      <c r="Z41" s="98" t="e">
        <f t="shared" si="15"/>
        <v>#REF!</v>
      </c>
      <c r="AA41" s="98" t="e">
        <f t="shared" si="15"/>
        <v>#REF!</v>
      </c>
      <c r="AC41" s="97" t="e">
        <f t="shared" si="8"/>
        <v>#REF!</v>
      </c>
      <c r="AD41" s="97" t="e">
        <f t="shared" si="9"/>
        <v>#REF!</v>
      </c>
      <c r="AE41" s="98" t="e">
        <f t="shared" si="16"/>
        <v>#REF!</v>
      </c>
      <c r="AF41" s="98" t="e">
        <f t="shared" si="16"/>
        <v>#REF!</v>
      </c>
      <c r="AH41" s="97" t="e">
        <f t="shared" si="11"/>
        <v>#REF!</v>
      </c>
      <c r="AI41" s="97" t="e">
        <f t="shared" si="12"/>
        <v>#REF!</v>
      </c>
      <c r="AJ41" s="98" t="e">
        <f t="shared" si="17"/>
        <v>#REF!</v>
      </c>
      <c r="AK41" s="98" t="e">
        <f t="shared" si="17"/>
        <v>#REF!</v>
      </c>
      <c r="DJ41" s="78"/>
      <c r="EV41" s="78"/>
      <c r="GM41" s="78"/>
      <c r="SJ41" s="78"/>
      <c r="TQ41" s="78"/>
      <c r="WJ41" s="78"/>
      <c r="XG41" s="78"/>
      <c r="AEZ41" s="78"/>
      <c r="AFG41" s="78"/>
      <c r="AHC41" s="78"/>
      <c r="AHN41" s="78"/>
      <c r="ALQ41" s="78"/>
      <c r="AYQ41" s="78"/>
      <c r="BBW41" s="78"/>
      <c r="BOW41" s="78"/>
      <c r="BRB41" s="78"/>
      <c r="BUS41" s="78"/>
      <c r="BWK41" s="78"/>
      <c r="CDB41" s="78"/>
      <c r="CIE41" s="78"/>
      <c r="CJY41" s="78"/>
      <c r="CNP41" s="78"/>
      <c r="CVA41" s="78"/>
      <c r="DAR41" s="78"/>
      <c r="DEG41" s="78"/>
      <c r="DEJ41" s="78"/>
      <c r="DEZ41" s="78"/>
      <c r="DKR41" s="78"/>
      <c r="DLQ41" s="78"/>
      <c r="DNH41" s="78"/>
      <c r="DWM41" s="78"/>
    </row>
    <row r="42" spans="1:1005 1029:2000 2058:3033 3076:3337" ht="15" customHeight="1">
      <c r="A42" s="101" t="s">
        <v>276</v>
      </c>
      <c r="B42" s="102" t="s">
        <v>68</v>
      </c>
      <c r="C42" s="103">
        <v>1.33</v>
      </c>
      <c r="D42" s="104">
        <v>0.91</v>
      </c>
      <c r="E42" s="105">
        <v>0.02</v>
      </c>
      <c r="F42" s="105">
        <v>-0.02</v>
      </c>
      <c r="G42" s="19">
        <f t="shared" si="0"/>
        <v>0.93</v>
      </c>
      <c r="H42" s="25">
        <f t="shared" si="1"/>
        <v>0.89</v>
      </c>
      <c r="I42" s="29"/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S42" s="97">
        <f t="shared" si="2"/>
        <v>0</v>
      </c>
      <c r="T42" s="97">
        <f t="shared" si="3"/>
        <v>0</v>
      </c>
      <c r="U42" s="98">
        <f t="shared" si="14"/>
        <v>0.91</v>
      </c>
      <c r="V42" s="98">
        <f t="shared" si="14"/>
        <v>0.91</v>
      </c>
      <c r="X42" s="97" t="e">
        <f t="shared" si="5"/>
        <v>#REF!</v>
      </c>
      <c r="Y42" s="97" t="e">
        <f t="shared" si="6"/>
        <v>#REF!</v>
      </c>
      <c r="Z42" s="98" t="e">
        <f t="shared" si="15"/>
        <v>#REF!</v>
      </c>
      <c r="AA42" s="98" t="e">
        <f t="shared" si="15"/>
        <v>#REF!</v>
      </c>
      <c r="AC42" s="97" t="e">
        <f t="shared" si="8"/>
        <v>#REF!</v>
      </c>
      <c r="AD42" s="97" t="e">
        <f t="shared" si="9"/>
        <v>#REF!</v>
      </c>
      <c r="AE42" s="98" t="e">
        <f t="shared" si="16"/>
        <v>#REF!</v>
      </c>
      <c r="AF42" s="98" t="e">
        <f t="shared" si="16"/>
        <v>#REF!</v>
      </c>
      <c r="AH42" s="97" t="e">
        <f t="shared" si="11"/>
        <v>#REF!</v>
      </c>
      <c r="AI42" s="97" t="e">
        <f t="shared" si="12"/>
        <v>#REF!</v>
      </c>
      <c r="AJ42" s="98" t="e">
        <f t="shared" si="17"/>
        <v>#REF!</v>
      </c>
      <c r="AK42" s="98" t="e">
        <f t="shared" si="17"/>
        <v>#REF!</v>
      </c>
      <c r="DJ42" s="78"/>
      <c r="EV42" s="78"/>
      <c r="GM42" s="78"/>
      <c r="SJ42" s="78"/>
      <c r="TQ42" s="78"/>
      <c r="WJ42" s="78"/>
      <c r="XG42" s="78"/>
      <c r="AEZ42" s="78"/>
      <c r="AFG42" s="78"/>
      <c r="AHC42" s="78"/>
      <c r="AHN42" s="78"/>
      <c r="ALQ42" s="78"/>
      <c r="AYQ42" s="78"/>
      <c r="BBW42" s="78"/>
      <c r="BOW42" s="78"/>
      <c r="BRB42" s="78"/>
      <c r="BUS42" s="78"/>
      <c r="BWK42" s="78"/>
      <c r="CDB42" s="78"/>
      <c r="CIE42" s="78"/>
      <c r="CJY42" s="78"/>
      <c r="CNP42" s="78"/>
      <c r="CVA42" s="78"/>
      <c r="DAR42" s="78"/>
      <c r="DEG42" s="78"/>
      <c r="DEJ42" s="78"/>
      <c r="DEZ42" s="78"/>
      <c r="DKR42" s="78"/>
      <c r="DLQ42" s="78"/>
      <c r="DNH42" s="78"/>
      <c r="DWM42" s="78"/>
    </row>
    <row r="43" spans="1:1005 1029:2000 2058:3033 3076:3337" ht="15" customHeight="1">
      <c r="A43" s="101" t="s">
        <v>276</v>
      </c>
      <c r="B43" s="102" t="s">
        <v>86</v>
      </c>
      <c r="C43" s="103">
        <v>1.33</v>
      </c>
      <c r="D43" s="104">
        <v>0.91</v>
      </c>
      <c r="E43" s="105">
        <v>0.02</v>
      </c>
      <c r="F43" s="105">
        <v>-0.02</v>
      </c>
      <c r="G43" s="19">
        <f t="shared" si="0"/>
        <v>0.93</v>
      </c>
      <c r="H43" s="25">
        <f t="shared" si="1"/>
        <v>0.89</v>
      </c>
      <c r="I43" s="29"/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S43" s="97">
        <f t="shared" si="2"/>
        <v>0</v>
      </c>
      <c r="T43" s="97">
        <f t="shared" si="3"/>
        <v>0</v>
      </c>
      <c r="U43" s="98">
        <f t="shared" si="14"/>
        <v>0.91</v>
      </c>
      <c r="V43" s="98">
        <f t="shared" si="14"/>
        <v>0.91</v>
      </c>
      <c r="X43" s="97" t="e">
        <f t="shared" si="5"/>
        <v>#REF!</v>
      </c>
      <c r="Y43" s="97" t="e">
        <f t="shared" si="6"/>
        <v>#REF!</v>
      </c>
      <c r="Z43" s="98" t="e">
        <f t="shared" si="15"/>
        <v>#REF!</v>
      </c>
      <c r="AA43" s="98" t="e">
        <f t="shared" si="15"/>
        <v>#REF!</v>
      </c>
      <c r="AC43" s="97" t="e">
        <f t="shared" si="8"/>
        <v>#REF!</v>
      </c>
      <c r="AD43" s="97" t="e">
        <f t="shared" si="9"/>
        <v>#REF!</v>
      </c>
      <c r="AE43" s="98" t="e">
        <f t="shared" si="16"/>
        <v>#REF!</v>
      </c>
      <c r="AF43" s="98" t="e">
        <f t="shared" si="16"/>
        <v>#REF!</v>
      </c>
      <c r="AH43" s="97" t="e">
        <f t="shared" si="11"/>
        <v>#REF!</v>
      </c>
      <c r="AI43" s="97" t="e">
        <f t="shared" si="12"/>
        <v>#REF!</v>
      </c>
      <c r="AJ43" s="98" t="e">
        <f t="shared" si="17"/>
        <v>#REF!</v>
      </c>
      <c r="AK43" s="98" t="e">
        <f t="shared" si="17"/>
        <v>#REF!</v>
      </c>
      <c r="DJ43" s="78"/>
      <c r="EV43" s="78"/>
      <c r="GM43" s="78"/>
      <c r="SJ43" s="78"/>
      <c r="TQ43" s="78"/>
      <c r="WJ43" s="78"/>
      <c r="XG43" s="78"/>
      <c r="AEZ43" s="78"/>
      <c r="AFG43" s="78"/>
      <c r="AHC43" s="78"/>
      <c r="AHN43" s="78"/>
      <c r="ALQ43" s="78"/>
      <c r="AYQ43" s="78"/>
      <c r="BBW43" s="78"/>
      <c r="BOW43" s="78"/>
      <c r="BRB43" s="78"/>
      <c r="BUS43" s="78"/>
      <c r="BWK43" s="78"/>
      <c r="CDB43" s="78"/>
      <c r="CIE43" s="78"/>
      <c r="CJY43" s="78"/>
      <c r="CNP43" s="78"/>
      <c r="CVA43" s="78"/>
      <c r="DAR43" s="78"/>
      <c r="DEG43" s="78"/>
      <c r="DEJ43" s="78"/>
      <c r="DEZ43" s="78"/>
      <c r="DKR43" s="78"/>
      <c r="DLQ43" s="78"/>
      <c r="DNH43" s="78"/>
      <c r="DWM43" s="78"/>
    </row>
    <row r="44" spans="1:1005 1029:2000 2058:3033 3076:3337" ht="15" customHeight="1">
      <c r="A44" s="101" t="s">
        <v>277</v>
      </c>
      <c r="B44" s="102" t="s">
        <v>278</v>
      </c>
      <c r="C44" s="103">
        <v>1.33</v>
      </c>
      <c r="D44" s="104">
        <v>0.86</v>
      </c>
      <c r="E44" s="105">
        <v>2.5000000000000001E-2</v>
      </c>
      <c r="F44" s="105">
        <v>-2.5000000000000001E-2</v>
      </c>
      <c r="G44" s="19">
        <f t="shared" si="0"/>
        <v>0.88500000000000001</v>
      </c>
      <c r="H44" s="25">
        <f t="shared" si="1"/>
        <v>0.83499999999999996</v>
      </c>
      <c r="I44" s="29"/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S44" s="97">
        <f t="shared" si="2"/>
        <v>0</v>
      </c>
      <c r="T44" s="97">
        <f t="shared" si="3"/>
        <v>0</v>
      </c>
      <c r="U44" s="98">
        <f t="shared" si="14"/>
        <v>0.86</v>
      </c>
      <c r="V44" s="98">
        <f t="shared" si="14"/>
        <v>0.86</v>
      </c>
      <c r="X44" s="97" t="e">
        <f t="shared" si="5"/>
        <v>#REF!</v>
      </c>
      <c r="Y44" s="97" t="e">
        <f t="shared" si="6"/>
        <v>#REF!</v>
      </c>
      <c r="Z44" s="98" t="e">
        <f t="shared" si="15"/>
        <v>#REF!</v>
      </c>
      <c r="AA44" s="98" t="e">
        <f t="shared" si="15"/>
        <v>#REF!</v>
      </c>
      <c r="AC44" s="97" t="e">
        <f t="shared" si="8"/>
        <v>#REF!</v>
      </c>
      <c r="AD44" s="97" t="e">
        <f t="shared" si="9"/>
        <v>#REF!</v>
      </c>
      <c r="AE44" s="98" t="e">
        <f t="shared" si="16"/>
        <v>#REF!</v>
      </c>
      <c r="AF44" s="98" t="e">
        <f t="shared" si="16"/>
        <v>#REF!</v>
      </c>
      <c r="AH44" s="97" t="e">
        <f t="shared" si="11"/>
        <v>#REF!</v>
      </c>
      <c r="AI44" s="97" t="e">
        <f t="shared" si="12"/>
        <v>#REF!</v>
      </c>
      <c r="AJ44" s="98" t="e">
        <f t="shared" si="17"/>
        <v>#REF!</v>
      </c>
      <c r="AK44" s="98" t="e">
        <f t="shared" si="17"/>
        <v>#REF!</v>
      </c>
      <c r="DJ44" s="78"/>
      <c r="EV44" s="78"/>
      <c r="GM44" s="78"/>
      <c r="SJ44" s="78"/>
      <c r="TQ44" s="78"/>
      <c r="WJ44" s="78"/>
      <c r="XG44" s="78"/>
      <c r="AEZ44" s="78"/>
      <c r="AFG44" s="78"/>
      <c r="AHC44" s="78"/>
      <c r="AHN44" s="78"/>
      <c r="ALQ44" s="78"/>
      <c r="AYQ44" s="78"/>
      <c r="BBW44" s="78"/>
      <c r="BOW44" s="78"/>
      <c r="BRB44" s="78"/>
      <c r="BUS44" s="78"/>
      <c r="BWK44" s="78"/>
      <c r="CDB44" s="78"/>
      <c r="CIE44" s="78"/>
      <c r="CJY44" s="78"/>
      <c r="CNP44" s="78"/>
      <c r="CVA44" s="78"/>
      <c r="DAR44" s="78"/>
      <c r="DEG44" s="78"/>
      <c r="DEJ44" s="78"/>
      <c r="DEZ44" s="78"/>
      <c r="DKR44" s="78"/>
      <c r="DLQ44" s="78"/>
      <c r="DNH44" s="78"/>
      <c r="DWM44" s="78"/>
    </row>
    <row r="45" spans="1:1005 1029:2000 2058:3033 3076:3337" ht="15" customHeight="1">
      <c r="A45" s="101" t="s">
        <v>277</v>
      </c>
      <c r="B45" s="102" t="s">
        <v>126</v>
      </c>
      <c r="C45" s="103">
        <v>1.33</v>
      </c>
      <c r="D45" s="104">
        <v>0.86</v>
      </c>
      <c r="E45" s="105">
        <v>2.5000000000000001E-2</v>
      </c>
      <c r="F45" s="105">
        <v>-2.5000000000000001E-2</v>
      </c>
      <c r="G45" s="19">
        <f t="shared" si="0"/>
        <v>0.88500000000000001</v>
      </c>
      <c r="H45" s="25">
        <f t="shared" si="1"/>
        <v>0.83499999999999996</v>
      </c>
      <c r="I45" s="29"/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S45" s="97">
        <f t="shared" si="2"/>
        <v>0</v>
      </c>
      <c r="T45" s="97">
        <f t="shared" si="3"/>
        <v>0</v>
      </c>
      <c r="U45" s="98">
        <f t="shared" si="14"/>
        <v>0.86</v>
      </c>
      <c r="V45" s="98">
        <f t="shared" si="14"/>
        <v>0.86</v>
      </c>
      <c r="X45" s="97" t="e">
        <f t="shared" si="5"/>
        <v>#REF!</v>
      </c>
      <c r="Y45" s="97" t="e">
        <f t="shared" si="6"/>
        <v>#REF!</v>
      </c>
      <c r="Z45" s="98" t="e">
        <f t="shared" si="15"/>
        <v>#REF!</v>
      </c>
      <c r="AA45" s="98" t="e">
        <f t="shared" si="15"/>
        <v>#REF!</v>
      </c>
      <c r="AC45" s="97" t="e">
        <f t="shared" si="8"/>
        <v>#REF!</v>
      </c>
      <c r="AD45" s="97" t="e">
        <f t="shared" si="9"/>
        <v>#REF!</v>
      </c>
      <c r="AE45" s="98" t="e">
        <f t="shared" si="16"/>
        <v>#REF!</v>
      </c>
      <c r="AF45" s="98" t="e">
        <f t="shared" si="16"/>
        <v>#REF!</v>
      </c>
      <c r="AH45" s="97" t="e">
        <f t="shared" si="11"/>
        <v>#REF!</v>
      </c>
      <c r="AI45" s="97" t="e">
        <f t="shared" si="12"/>
        <v>#REF!</v>
      </c>
      <c r="AJ45" s="98" t="e">
        <f t="shared" si="17"/>
        <v>#REF!</v>
      </c>
      <c r="AK45" s="98" t="e">
        <f t="shared" si="17"/>
        <v>#REF!</v>
      </c>
      <c r="DJ45" s="78"/>
      <c r="EV45" s="78"/>
      <c r="GM45" s="78"/>
      <c r="SJ45" s="78"/>
      <c r="TQ45" s="78"/>
      <c r="WJ45" s="78"/>
      <c r="XG45" s="78"/>
      <c r="AEZ45" s="78"/>
      <c r="AFG45" s="78"/>
      <c r="AHC45" s="78"/>
      <c r="AHN45" s="78"/>
      <c r="ALQ45" s="78"/>
      <c r="AYQ45" s="78"/>
      <c r="BBW45" s="78"/>
      <c r="BOW45" s="78"/>
      <c r="BRB45" s="78"/>
      <c r="BUS45" s="78"/>
      <c r="BWK45" s="78"/>
      <c r="CDB45" s="78"/>
      <c r="CIE45" s="78"/>
      <c r="CJY45" s="78"/>
      <c r="CNP45" s="78"/>
      <c r="CVA45" s="78"/>
      <c r="DAR45" s="78"/>
      <c r="DEG45" s="78"/>
      <c r="DEJ45" s="78"/>
      <c r="DEZ45" s="78"/>
      <c r="DKR45" s="78"/>
      <c r="DLQ45" s="78"/>
      <c r="DNH45" s="78"/>
      <c r="DWM45" s="78"/>
    </row>
    <row r="46" spans="1:1005 1029:2000 2058:3033 3076:3337" ht="15" customHeight="1">
      <c r="A46" s="87" t="s">
        <v>277</v>
      </c>
      <c r="B46" s="99" t="s">
        <v>127</v>
      </c>
      <c r="C46" s="86">
        <v>1.33</v>
      </c>
      <c r="D46" s="14">
        <v>0.86</v>
      </c>
      <c r="E46" s="15">
        <v>2.5000000000000001E-2</v>
      </c>
      <c r="F46" s="15">
        <v>-2.5000000000000001E-2</v>
      </c>
      <c r="G46" s="19">
        <f t="shared" si="0"/>
        <v>0.88500000000000001</v>
      </c>
      <c r="H46" s="25">
        <f t="shared" si="1"/>
        <v>0.83499999999999996</v>
      </c>
      <c r="I46" s="29"/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S46" s="97">
        <f t="shared" si="2"/>
        <v>0</v>
      </c>
      <c r="T46" s="97">
        <f t="shared" si="3"/>
        <v>0</v>
      </c>
      <c r="U46" s="98">
        <f t="shared" si="14"/>
        <v>0.86</v>
      </c>
      <c r="V46" s="98">
        <f t="shared" si="14"/>
        <v>0.86</v>
      </c>
      <c r="X46" s="97" t="e">
        <f t="shared" si="5"/>
        <v>#REF!</v>
      </c>
      <c r="Y46" s="97" t="e">
        <f t="shared" si="6"/>
        <v>#REF!</v>
      </c>
      <c r="Z46" s="98" t="e">
        <f t="shared" si="15"/>
        <v>#REF!</v>
      </c>
      <c r="AA46" s="98" t="e">
        <f t="shared" si="15"/>
        <v>#REF!</v>
      </c>
      <c r="AC46" s="97" t="e">
        <f t="shared" si="8"/>
        <v>#REF!</v>
      </c>
      <c r="AD46" s="97" t="e">
        <f t="shared" si="9"/>
        <v>#REF!</v>
      </c>
      <c r="AE46" s="98" t="e">
        <f t="shared" si="16"/>
        <v>#REF!</v>
      </c>
      <c r="AF46" s="98" t="e">
        <f t="shared" si="16"/>
        <v>#REF!</v>
      </c>
      <c r="AH46" s="97" t="e">
        <f t="shared" si="11"/>
        <v>#REF!</v>
      </c>
      <c r="AI46" s="97" t="e">
        <f t="shared" si="12"/>
        <v>#REF!</v>
      </c>
      <c r="AJ46" s="98" t="e">
        <f t="shared" si="17"/>
        <v>#REF!</v>
      </c>
      <c r="AK46" s="98" t="e">
        <f t="shared" si="17"/>
        <v>#REF!</v>
      </c>
      <c r="AT46" s="78"/>
      <c r="CN46" s="78"/>
      <c r="LV46" s="78"/>
      <c r="MB46" s="78"/>
      <c r="RG46" s="78"/>
      <c r="SX46" s="78"/>
      <c r="TC46" s="78"/>
      <c r="VN46" s="78"/>
      <c r="ZO46" s="78"/>
      <c r="ZR46" s="78"/>
      <c r="ACC46" s="78"/>
      <c r="ACM46" s="78"/>
      <c r="ACV46" s="78"/>
      <c r="ADC46" s="78"/>
      <c r="ADP46" s="78"/>
      <c r="AEA46" s="78"/>
      <c r="AEJ46" s="78"/>
      <c r="AFC46" s="78"/>
      <c r="AKO46" s="78"/>
      <c r="ALC46" s="78"/>
      <c r="AMO46" s="78"/>
      <c r="BQU46" s="78"/>
      <c r="DJI46" s="78"/>
      <c r="DOX46" s="78"/>
    </row>
    <row r="47" spans="1:1005 1029:2000 2058:3033 3076:3337" ht="15" customHeight="1">
      <c r="A47" s="87" t="s">
        <v>254</v>
      </c>
      <c r="B47" s="99" t="s">
        <v>279</v>
      </c>
      <c r="C47" s="86">
        <v>1.33</v>
      </c>
      <c r="D47" s="14">
        <v>0.87</v>
      </c>
      <c r="E47" s="15">
        <v>2.5000000000000001E-2</v>
      </c>
      <c r="F47" s="15">
        <v>-2.5000000000000001E-2</v>
      </c>
      <c r="G47" s="19">
        <f t="shared" si="0"/>
        <v>0.89500000000000002</v>
      </c>
      <c r="H47" s="25">
        <f t="shared" si="1"/>
        <v>0.84499999999999997</v>
      </c>
      <c r="I47" s="29"/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S47" s="97">
        <f t="shared" si="2"/>
        <v>0</v>
      </c>
      <c r="T47" s="97">
        <f t="shared" si="3"/>
        <v>0</v>
      </c>
      <c r="U47" s="98">
        <f t="shared" si="14"/>
        <v>0.87</v>
      </c>
      <c r="V47" s="98">
        <f t="shared" si="14"/>
        <v>0.87</v>
      </c>
      <c r="X47" s="97" t="e">
        <f t="shared" si="5"/>
        <v>#REF!</v>
      </c>
      <c r="Y47" s="97" t="e">
        <f t="shared" si="6"/>
        <v>#REF!</v>
      </c>
      <c r="Z47" s="98" t="e">
        <f t="shared" si="15"/>
        <v>#REF!</v>
      </c>
      <c r="AA47" s="98" t="e">
        <f t="shared" si="15"/>
        <v>#REF!</v>
      </c>
      <c r="AC47" s="97" t="e">
        <f t="shared" si="8"/>
        <v>#REF!</v>
      </c>
      <c r="AD47" s="97" t="e">
        <f t="shared" si="9"/>
        <v>#REF!</v>
      </c>
      <c r="AE47" s="98" t="e">
        <f t="shared" si="16"/>
        <v>#REF!</v>
      </c>
      <c r="AF47" s="98" t="e">
        <f t="shared" si="16"/>
        <v>#REF!</v>
      </c>
      <c r="AH47" s="97" t="e">
        <f t="shared" si="11"/>
        <v>#REF!</v>
      </c>
      <c r="AI47" s="97" t="e">
        <f t="shared" si="12"/>
        <v>#REF!</v>
      </c>
      <c r="AJ47" s="98" t="e">
        <f t="shared" si="17"/>
        <v>#REF!</v>
      </c>
      <c r="AK47" s="98" t="e">
        <f t="shared" si="17"/>
        <v>#REF!</v>
      </c>
      <c r="EI47" s="78"/>
      <c r="PW47" s="78"/>
      <c r="QQ47" s="78"/>
      <c r="TQ47" s="78"/>
      <c r="TX47" s="78"/>
      <c r="UG47" s="78"/>
      <c r="UP47" s="78"/>
      <c r="XG47" s="78"/>
      <c r="XU47" s="78"/>
      <c r="YW47" s="78"/>
      <c r="ZR47" s="78"/>
      <c r="ZX47" s="78"/>
      <c r="ACV47" s="78"/>
      <c r="ADF47" s="78"/>
      <c r="ADR47" s="78"/>
      <c r="AHN47" s="78"/>
      <c r="AQQ47" s="78"/>
      <c r="ARE47" s="78"/>
      <c r="AZL47" s="78"/>
      <c r="BER47" s="78"/>
      <c r="BHS47" s="78"/>
      <c r="BMD47" s="78"/>
      <c r="BUR47" s="78"/>
      <c r="BUU47" s="78"/>
      <c r="BVX47" s="78"/>
      <c r="CAD47" s="78"/>
      <c r="CAO47" s="78"/>
      <c r="CWU47" s="78"/>
      <c r="CZG47" s="78"/>
      <c r="DET47" s="78"/>
      <c r="DIG47" s="78"/>
      <c r="DRF47" s="78"/>
    </row>
    <row r="48" spans="1:1005 1029:2000 2058:3033 3076:3337" ht="15" customHeight="1">
      <c r="A48" s="87" t="s">
        <v>254</v>
      </c>
      <c r="B48" s="99" t="s">
        <v>129</v>
      </c>
      <c r="C48" s="86">
        <v>1.33</v>
      </c>
      <c r="D48" s="14">
        <v>0.87</v>
      </c>
      <c r="E48" s="15">
        <v>2.5000000000000001E-2</v>
      </c>
      <c r="F48" s="15">
        <v>-2.5000000000000001E-2</v>
      </c>
      <c r="G48" s="19">
        <f t="shared" si="0"/>
        <v>0.89500000000000002</v>
      </c>
      <c r="H48" s="25">
        <f t="shared" si="1"/>
        <v>0.84499999999999997</v>
      </c>
      <c r="I48" s="29"/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S48" s="97">
        <f t="shared" si="2"/>
        <v>0</v>
      </c>
      <c r="T48" s="97">
        <f t="shared" si="3"/>
        <v>0</v>
      </c>
      <c r="U48" s="98">
        <f t="shared" si="14"/>
        <v>0.87</v>
      </c>
      <c r="V48" s="98">
        <f t="shared" si="14"/>
        <v>0.87</v>
      </c>
      <c r="X48" s="97" t="e">
        <f t="shared" si="5"/>
        <v>#REF!</v>
      </c>
      <c r="Y48" s="97" t="e">
        <f t="shared" si="6"/>
        <v>#REF!</v>
      </c>
      <c r="Z48" s="98" t="e">
        <f t="shared" si="15"/>
        <v>#REF!</v>
      </c>
      <c r="AA48" s="98" t="e">
        <f t="shared" si="15"/>
        <v>#REF!</v>
      </c>
      <c r="AC48" s="97" t="e">
        <f t="shared" si="8"/>
        <v>#REF!</v>
      </c>
      <c r="AD48" s="97" t="e">
        <f t="shared" si="9"/>
        <v>#REF!</v>
      </c>
      <c r="AE48" s="98" t="e">
        <f t="shared" si="16"/>
        <v>#REF!</v>
      </c>
      <c r="AF48" s="98" t="e">
        <f t="shared" si="16"/>
        <v>#REF!</v>
      </c>
      <c r="AH48" s="97" t="e">
        <f t="shared" si="11"/>
        <v>#REF!</v>
      </c>
      <c r="AI48" s="97" t="e">
        <f t="shared" si="12"/>
        <v>#REF!</v>
      </c>
      <c r="AJ48" s="98" t="e">
        <f t="shared" si="17"/>
        <v>#REF!</v>
      </c>
      <c r="AK48" s="98" t="e">
        <f t="shared" si="17"/>
        <v>#REF!</v>
      </c>
      <c r="CH48" s="78"/>
      <c r="HM48" s="78"/>
      <c r="HR48" s="78"/>
      <c r="NG48" s="78"/>
      <c r="QF48" s="78"/>
      <c r="SJ48" s="78"/>
      <c r="UX48" s="78"/>
      <c r="VV48" s="78"/>
      <c r="ALG48" s="78"/>
      <c r="APV48" s="78"/>
      <c r="AWA48" s="78"/>
      <c r="BCZ48" s="78"/>
      <c r="BFE48" s="78"/>
      <c r="BLU48" s="78"/>
      <c r="BMN48" s="78"/>
      <c r="BPT48" s="78"/>
      <c r="BWJ48" s="78"/>
      <c r="BXX48" s="78"/>
      <c r="CJH48" s="78"/>
      <c r="CKQ48" s="78"/>
      <c r="CRV48" s="78"/>
      <c r="CWM48" s="78"/>
      <c r="CYH48" s="78"/>
      <c r="DAI48" s="78"/>
      <c r="DDB48" s="78"/>
      <c r="DDR48" s="78"/>
      <c r="DEJ48" s="78"/>
      <c r="DGS48" s="78"/>
      <c r="DII48" s="78"/>
      <c r="DPM48" s="78"/>
      <c r="DRY48" s="78"/>
      <c r="DUS48" s="78"/>
      <c r="DXI48" s="78"/>
    </row>
    <row r="49" spans="1:995 1114:2000 2058:3015 3118:3398" ht="15" customHeight="1">
      <c r="A49" s="87" t="s">
        <v>280</v>
      </c>
      <c r="B49" s="99">
        <v>25</v>
      </c>
      <c r="C49" s="86">
        <v>1.33</v>
      </c>
      <c r="D49" s="14">
        <v>12.561999999999999</v>
      </c>
      <c r="E49" s="15">
        <v>0.02</v>
      </c>
      <c r="F49" s="15">
        <v>-0.02</v>
      </c>
      <c r="G49" s="19">
        <f t="shared" si="0"/>
        <v>12.581999999999999</v>
      </c>
      <c r="H49" s="25">
        <f t="shared" si="1"/>
        <v>12.542</v>
      </c>
      <c r="I49" s="29"/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S49" s="97">
        <f t="shared" si="2"/>
        <v>0</v>
      </c>
      <c r="T49" s="97">
        <f t="shared" si="3"/>
        <v>0</v>
      </c>
      <c r="U49" s="98">
        <f t="shared" si="14"/>
        <v>12.561999999999999</v>
      </c>
      <c r="V49" s="98">
        <f t="shared" si="14"/>
        <v>12.561999999999999</v>
      </c>
      <c r="X49" s="97" t="e">
        <f t="shared" si="5"/>
        <v>#REF!</v>
      </c>
      <c r="Y49" s="97" t="e">
        <f t="shared" si="6"/>
        <v>#REF!</v>
      </c>
      <c r="Z49" s="98" t="e">
        <f t="shared" si="15"/>
        <v>#REF!</v>
      </c>
      <c r="AA49" s="98" t="e">
        <f t="shared" si="15"/>
        <v>#REF!</v>
      </c>
      <c r="AC49" s="97" t="e">
        <f t="shared" si="8"/>
        <v>#REF!</v>
      </c>
      <c r="AD49" s="97" t="e">
        <f t="shared" si="9"/>
        <v>#REF!</v>
      </c>
      <c r="AE49" s="98" t="e">
        <f t="shared" si="16"/>
        <v>#REF!</v>
      </c>
      <c r="AF49" s="98" t="e">
        <f t="shared" si="16"/>
        <v>#REF!</v>
      </c>
      <c r="AH49" s="97" t="e">
        <f t="shared" si="11"/>
        <v>#REF!</v>
      </c>
      <c r="AI49" s="97" t="e">
        <f t="shared" si="12"/>
        <v>#REF!</v>
      </c>
      <c r="AJ49" s="98" t="e">
        <f t="shared" si="17"/>
        <v>#REF!</v>
      </c>
      <c r="AK49" s="98" t="e">
        <f t="shared" si="17"/>
        <v>#REF!</v>
      </c>
      <c r="EI49" s="78"/>
      <c r="PW49" s="78"/>
      <c r="QQ49" s="78"/>
      <c r="TQ49" s="78"/>
      <c r="TX49" s="78"/>
      <c r="UG49" s="78"/>
      <c r="UP49" s="78"/>
      <c r="XG49" s="78"/>
      <c r="XU49" s="78"/>
      <c r="YW49" s="78"/>
      <c r="ZR49" s="78"/>
      <c r="ZX49" s="78"/>
      <c r="ACV49" s="78"/>
      <c r="ADF49" s="78"/>
      <c r="ADR49" s="78"/>
      <c r="AHN49" s="78"/>
      <c r="AQQ49" s="78"/>
      <c r="ARE49" s="78"/>
      <c r="AZL49" s="78"/>
      <c r="BER49" s="78"/>
      <c r="BHS49" s="78"/>
      <c r="BMD49" s="78"/>
      <c r="BUR49" s="78"/>
      <c r="BUU49" s="78"/>
      <c r="BVX49" s="78"/>
      <c r="CAD49" s="78"/>
      <c r="CAO49" s="78"/>
      <c r="CWU49" s="78"/>
      <c r="CZG49" s="78"/>
      <c r="DET49" s="78"/>
      <c r="DIG49" s="78"/>
      <c r="DRF49" s="78"/>
    </row>
    <row r="50" spans="1:995 1114:2000 2058:3015 3118:3398" ht="15" customHeight="1">
      <c r="A50" s="87" t="s">
        <v>255</v>
      </c>
      <c r="B50" s="99">
        <v>26</v>
      </c>
      <c r="C50" s="86">
        <v>1.33</v>
      </c>
      <c r="D50" s="14">
        <v>12.332000000000001</v>
      </c>
      <c r="E50" s="15">
        <v>0.02</v>
      </c>
      <c r="F50" s="15">
        <v>-0.02</v>
      </c>
      <c r="G50" s="19">
        <f t="shared" si="0"/>
        <v>12.352</v>
      </c>
      <c r="H50" s="25">
        <f t="shared" si="1"/>
        <v>12.312000000000001</v>
      </c>
      <c r="I50" s="29"/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S50" s="97">
        <f t="shared" si="2"/>
        <v>0</v>
      </c>
      <c r="T50" s="97">
        <f t="shared" si="3"/>
        <v>0</v>
      </c>
      <c r="U50" s="98">
        <f t="shared" si="14"/>
        <v>12.332000000000001</v>
      </c>
      <c r="V50" s="98">
        <f t="shared" si="14"/>
        <v>12.332000000000001</v>
      </c>
      <c r="X50" s="97" t="e">
        <f t="shared" si="5"/>
        <v>#REF!</v>
      </c>
      <c r="Y50" s="97" t="e">
        <f t="shared" si="6"/>
        <v>#REF!</v>
      </c>
      <c r="Z50" s="98" t="e">
        <f t="shared" si="15"/>
        <v>#REF!</v>
      </c>
      <c r="AA50" s="98" t="e">
        <f t="shared" si="15"/>
        <v>#REF!</v>
      </c>
      <c r="AC50" s="97" t="e">
        <f t="shared" si="8"/>
        <v>#REF!</v>
      </c>
      <c r="AD50" s="97" t="e">
        <f t="shared" si="9"/>
        <v>#REF!</v>
      </c>
      <c r="AE50" s="98" t="e">
        <f t="shared" si="16"/>
        <v>#REF!</v>
      </c>
      <c r="AF50" s="98" t="e">
        <f t="shared" si="16"/>
        <v>#REF!</v>
      </c>
      <c r="AH50" s="97" t="e">
        <f t="shared" si="11"/>
        <v>#REF!</v>
      </c>
      <c r="AI50" s="97" t="e">
        <f t="shared" si="12"/>
        <v>#REF!</v>
      </c>
      <c r="AJ50" s="98" t="e">
        <f t="shared" si="17"/>
        <v>#REF!</v>
      </c>
      <c r="AK50" s="98" t="e">
        <f t="shared" si="17"/>
        <v>#REF!</v>
      </c>
      <c r="CH50" s="78"/>
      <c r="HM50" s="78"/>
      <c r="HR50" s="78"/>
      <c r="NG50" s="78"/>
      <c r="QF50" s="78"/>
      <c r="SJ50" s="78"/>
      <c r="UX50" s="78"/>
      <c r="VV50" s="78"/>
      <c r="ALG50" s="78"/>
      <c r="APV50" s="78"/>
      <c r="AWA50" s="78"/>
      <c r="BCZ50" s="78"/>
      <c r="BFE50" s="78"/>
      <c r="BLU50" s="78"/>
      <c r="BMN50" s="78"/>
      <c r="BPT50" s="78"/>
      <c r="BWJ50" s="78"/>
      <c r="BXX50" s="78"/>
      <c r="CJH50" s="78"/>
      <c r="CKQ50" s="78"/>
      <c r="CRV50" s="78"/>
      <c r="CWM50" s="78"/>
      <c r="CYH50" s="78"/>
      <c r="DAI50" s="78"/>
      <c r="DDB50" s="78"/>
      <c r="DDR50" s="78"/>
      <c r="DEJ50" s="78"/>
      <c r="DGS50" s="78"/>
      <c r="DII50" s="78"/>
      <c r="DPM50" s="78"/>
      <c r="DRY50" s="78"/>
      <c r="DUS50" s="78"/>
      <c r="DXI50" s="78"/>
    </row>
    <row r="51" spans="1:995 1114:2000 2058:3015 3118:3398" ht="15" customHeight="1">
      <c r="A51" s="87" t="s">
        <v>256</v>
      </c>
      <c r="B51" s="99" t="s">
        <v>87</v>
      </c>
      <c r="C51" s="86">
        <v>1.33</v>
      </c>
      <c r="D51" s="14">
        <v>0.35499999999999998</v>
      </c>
      <c r="E51" s="15">
        <v>2.5000000000000001E-2</v>
      </c>
      <c r="F51" s="15">
        <v>-2.5000000000000001E-2</v>
      </c>
      <c r="G51" s="19">
        <f t="shared" si="0"/>
        <v>0.38</v>
      </c>
      <c r="H51" s="25">
        <f t="shared" si="1"/>
        <v>0.32999999999999996</v>
      </c>
      <c r="I51" s="29"/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S51" s="97">
        <f t="shared" si="2"/>
        <v>0</v>
      </c>
      <c r="T51" s="97">
        <f t="shared" si="3"/>
        <v>0</v>
      </c>
      <c r="U51" s="98">
        <f t="shared" si="14"/>
        <v>0.35499999999999998</v>
      </c>
      <c r="V51" s="98">
        <f t="shared" si="14"/>
        <v>0.35499999999999998</v>
      </c>
      <c r="X51" s="97" t="e">
        <f t="shared" si="5"/>
        <v>#REF!</v>
      </c>
      <c r="Y51" s="97" t="e">
        <f t="shared" si="6"/>
        <v>#REF!</v>
      </c>
      <c r="Z51" s="98" t="e">
        <f t="shared" si="15"/>
        <v>#REF!</v>
      </c>
      <c r="AA51" s="98" t="e">
        <f t="shared" si="15"/>
        <v>#REF!</v>
      </c>
      <c r="AC51" s="97" t="e">
        <f t="shared" si="8"/>
        <v>#REF!</v>
      </c>
      <c r="AD51" s="97" t="e">
        <f t="shared" si="9"/>
        <v>#REF!</v>
      </c>
      <c r="AE51" s="98" t="e">
        <f t="shared" si="16"/>
        <v>#REF!</v>
      </c>
      <c r="AF51" s="98" t="e">
        <f t="shared" si="16"/>
        <v>#REF!</v>
      </c>
      <c r="AH51" s="97" t="e">
        <f t="shared" si="11"/>
        <v>#REF!</v>
      </c>
      <c r="AI51" s="97" t="e">
        <f t="shared" si="12"/>
        <v>#REF!</v>
      </c>
      <c r="AJ51" s="98" t="e">
        <f t="shared" si="17"/>
        <v>#REF!</v>
      </c>
      <c r="AK51" s="98" t="e">
        <f t="shared" si="17"/>
        <v>#REF!</v>
      </c>
      <c r="AX51" s="78"/>
      <c r="LW51" s="78"/>
      <c r="SE51" s="78"/>
      <c r="SO51" s="78"/>
      <c r="SV51" s="78"/>
      <c r="VK51" s="78"/>
      <c r="WY51" s="78"/>
      <c r="ADQ51" s="78"/>
      <c r="AIP51" s="78"/>
      <c r="AKU51" s="78"/>
      <c r="ARN51" s="78"/>
      <c r="BCZ51" s="78"/>
      <c r="BID51" s="78"/>
      <c r="BJT51" s="78"/>
      <c r="BKL51" s="78"/>
      <c r="BPT51" s="78"/>
      <c r="BVZ51" s="78"/>
      <c r="CAG51" s="78"/>
      <c r="CKT51" s="78"/>
      <c r="CNT51" s="78"/>
      <c r="CTI51" s="78"/>
      <c r="CUZ51" s="78"/>
      <c r="CVE51" s="78"/>
      <c r="CWG51" s="78"/>
      <c r="DEW51" s="78"/>
      <c r="DHC51" s="78"/>
      <c r="DJU51" s="78"/>
      <c r="DKT51" s="78"/>
      <c r="DKY51" s="78"/>
      <c r="DOX51" s="78"/>
      <c r="DZR51" s="78"/>
    </row>
    <row r="52" spans="1:995 1114:2000 2058:3015 3118:3398" ht="15" customHeight="1">
      <c r="A52" s="87" t="s">
        <v>256</v>
      </c>
      <c r="B52" s="99" t="s">
        <v>81</v>
      </c>
      <c r="C52" s="86">
        <v>1.33</v>
      </c>
      <c r="D52" s="14">
        <v>0.35499999999999998</v>
      </c>
      <c r="E52" s="15">
        <v>2.5000000000000001E-2</v>
      </c>
      <c r="F52" s="15">
        <v>-2.5000000000000001E-2</v>
      </c>
      <c r="G52" s="19">
        <f t="shared" si="0"/>
        <v>0.38</v>
      </c>
      <c r="H52" s="25">
        <f t="shared" si="1"/>
        <v>0.32999999999999996</v>
      </c>
      <c r="I52" s="29"/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S52" s="97">
        <f t="shared" si="2"/>
        <v>0</v>
      </c>
      <c r="T52" s="97">
        <f t="shared" si="3"/>
        <v>0</v>
      </c>
      <c r="U52" s="98">
        <f t="shared" si="14"/>
        <v>0.35499999999999998</v>
      </c>
      <c r="V52" s="98">
        <f t="shared" si="14"/>
        <v>0.35499999999999998</v>
      </c>
      <c r="X52" s="97" t="e">
        <f t="shared" si="5"/>
        <v>#REF!</v>
      </c>
      <c r="Y52" s="97" t="e">
        <f t="shared" si="6"/>
        <v>#REF!</v>
      </c>
      <c r="Z52" s="98" t="e">
        <f t="shared" si="15"/>
        <v>#REF!</v>
      </c>
      <c r="AA52" s="98" t="e">
        <f t="shared" si="15"/>
        <v>#REF!</v>
      </c>
      <c r="AC52" s="97" t="e">
        <f t="shared" si="8"/>
        <v>#REF!</v>
      </c>
      <c r="AD52" s="97" t="e">
        <f t="shared" si="9"/>
        <v>#REF!</v>
      </c>
      <c r="AE52" s="98" t="e">
        <f t="shared" si="16"/>
        <v>#REF!</v>
      </c>
      <c r="AF52" s="98" t="e">
        <f t="shared" si="16"/>
        <v>#REF!</v>
      </c>
      <c r="AH52" s="97" t="e">
        <f t="shared" si="11"/>
        <v>#REF!</v>
      </c>
      <c r="AI52" s="97" t="e">
        <f t="shared" si="12"/>
        <v>#REF!</v>
      </c>
      <c r="AJ52" s="98" t="e">
        <f t="shared" si="17"/>
        <v>#REF!</v>
      </c>
      <c r="AK52" s="98" t="e">
        <f t="shared" si="17"/>
        <v>#REF!</v>
      </c>
    </row>
    <row r="53" spans="1:995 1114:2000 2058:3015 3118:3398" ht="15" customHeight="1">
      <c r="A53" s="87" t="s">
        <v>256</v>
      </c>
      <c r="B53" s="99" t="s">
        <v>82</v>
      </c>
      <c r="C53" s="86">
        <v>1.33</v>
      </c>
      <c r="D53" s="14">
        <v>0.35499999999999998</v>
      </c>
      <c r="E53" s="15">
        <v>2.5000000000000001E-2</v>
      </c>
      <c r="F53" s="15">
        <v>-2.5000000000000001E-2</v>
      </c>
      <c r="G53" s="19">
        <f t="shared" si="0"/>
        <v>0.38</v>
      </c>
      <c r="H53" s="25">
        <f t="shared" si="1"/>
        <v>0.32999999999999996</v>
      </c>
      <c r="I53" s="29"/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S53" s="97">
        <f t="shared" si="2"/>
        <v>0</v>
      </c>
      <c r="T53" s="97">
        <f t="shared" si="3"/>
        <v>0</v>
      </c>
      <c r="U53" s="98">
        <f t="shared" si="14"/>
        <v>0.35499999999999998</v>
      </c>
      <c r="V53" s="98">
        <f t="shared" si="14"/>
        <v>0.35499999999999998</v>
      </c>
      <c r="X53" s="97" t="e">
        <f t="shared" si="5"/>
        <v>#REF!</v>
      </c>
      <c r="Y53" s="97" t="e">
        <f t="shared" si="6"/>
        <v>#REF!</v>
      </c>
      <c r="Z53" s="98" t="e">
        <f t="shared" si="15"/>
        <v>#REF!</v>
      </c>
      <c r="AA53" s="98" t="e">
        <f t="shared" si="15"/>
        <v>#REF!</v>
      </c>
      <c r="AC53" s="97" t="e">
        <f t="shared" si="8"/>
        <v>#REF!</v>
      </c>
      <c r="AD53" s="97" t="e">
        <f t="shared" si="9"/>
        <v>#REF!</v>
      </c>
      <c r="AE53" s="98" t="e">
        <f t="shared" si="16"/>
        <v>#REF!</v>
      </c>
      <c r="AF53" s="98" t="e">
        <f t="shared" si="16"/>
        <v>#REF!</v>
      </c>
      <c r="AH53" s="97" t="e">
        <f t="shared" si="11"/>
        <v>#REF!</v>
      </c>
      <c r="AI53" s="97" t="e">
        <f t="shared" si="12"/>
        <v>#REF!</v>
      </c>
      <c r="AJ53" s="98" t="e">
        <f t="shared" si="17"/>
        <v>#REF!</v>
      </c>
      <c r="AK53" s="98" t="e">
        <f t="shared" si="17"/>
        <v>#REF!</v>
      </c>
    </row>
    <row r="54" spans="1:995 1114:2000 2058:3015 3118:3398" ht="15" customHeight="1">
      <c r="A54" s="84" t="s">
        <v>256</v>
      </c>
      <c r="B54" s="89" t="s">
        <v>83</v>
      </c>
      <c r="C54" s="86">
        <v>1.33</v>
      </c>
      <c r="D54" s="14">
        <v>0.35499999999999998</v>
      </c>
      <c r="E54" s="15">
        <v>2.5000000000000001E-2</v>
      </c>
      <c r="F54" s="15">
        <v>-2.5000000000000001E-2</v>
      </c>
      <c r="G54" s="19">
        <f t="shared" si="0"/>
        <v>0.38</v>
      </c>
      <c r="H54" s="25">
        <f t="shared" si="1"/>
        <v>0.32999999999999996</v>
      </c>
      <c r="I54" s="29"/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S54" s="97">
        <f t="shared" si="2"/>
        <v>0</v>
      </c>
      <c r="T54" s="97">
        <f t="shared" si="3"/>
        <v>0</v>
      </c>
      <c r="U54" s="98">
        <f t="shared" si="14"/>
        <v>0.35499999999999998</v>
      </c>
      <c r="V54" s="98">
        <f t="shared" si="14"/>
        <v>0.35499999999999998</v>
      </c>
      <c r="X54" s="97" t="e">
        <f t="shared" si="5"/>
        <v>#REF!</v>
      </c>
      <c r="Y54" s="97" t="e">
        <f t="shared" si="6"/>
        <v>#REF!</v>
      </c>
      <c r="Z54" s="98" t="e">
        <f t="shared" si="15"/>
        <v>#REF!</v>
      </c>
      <c r="AA54" s="98" t="e">
        <f t="shared" si="15"/>
        <v>#REF!</v>
      </c>
      <c r="AC54" s="97" t="e">
        <f t="shared" si="8"/>
        <v>#REF!</v>
      </c>
      <c r="AD54" s="97" t="e">
        <f t="shared" si="9"/>
        <v>#REF!</v>
      </c>
      <c r="AE54" s="98" t="e">
        <f t="shared" si="16"/>
        <v>#REF!</v>
      </c>
      <c r="AF54" s="98" t="e">
        <f t="shared" si="16"/>
        <v>#REF!</v>
      </c>
      <c r="AH54" s="97" t="e">
        <f t="shared" si="11"/>
        <v>#REF!</v>
      </c>
      <c r="AI54" s="97" t="e">
        <f t="shared" si="12"/>
        <v>#REF!</v>
      </c>
      <c r="AJ54" s="98" t="e">
        <f t="shared" si="17"/>
        <v>#REF!</v>
      </c>
      <c r="AK54" s="98" t="e">
        <f t="shared" si="17"/>
        <v>#REF!</v>
      </c>
    </row>
    <row r="55" spans="1:995 1114:2000 2058:3015 3118:3398" ht="15" customHeight="1">
      <c r="A55" s="87" t="s">
        <v>257</v>
      </c>
      <c r="B55" s="100">
        <v>28</v>
      </c>
      <c r="C55" s="86">
        <v>1.33</v>
      </c>
      <c r="D55" s="14">
        <v>0.96299999999999997</v>
      </c>
      <c r="E55" s="15">
        <v>0.02</v>
      </c>
      <c r="F55" s="15">
        <v>-0.02</v>
      </c>
      <c r="G55" s="19">
        <f t="shared" si="0"/>
        <v>0.98299999999999998</v>
      </c>
      <c r="H55" s="25">
        <f t="shared" si="1"/>
        <v>0.94299999999999995</v>
      </c>
      <c r="I55" s="29"/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S55" s="97">
        <f t="shared" si="2"/>
        <v>0</v>
      </c>
      <c r="T55" s="97">
        <f t="shared" si="3"/>
        <v>0</v>
      </c>
      <c r="U55" s="98">
        <f t="shared" si="14"/>
        <v>0.96299999999999997</v>
      </c>
      <c r="V55" s="98">
        <f t="shared" si="14"/>
        <v>0.96299999999999997</v>
      </c>
      <c r="X55" s="97" t="e">
        <f t="shared" si="5"/>
        <v>#REF!</v>
      </c>
      <c r="Y55" s="97" t="e">
        <f t="shared" si="6"/>
        <v>#REF!</v>
      </c>
      <c r="Z55" s="98" t="e">
        <f t="shared" si="15"/>
        <v>#REF!</v>
      </c>
      <c r="AA55" s="98" t="e">
        <f t="shared" si="15"/>
        <v>#REF!</v>
      </c>
      <c r="AC55" s="97" t="e">
        <f t="shared" si="8"/>
        <v>#REF!</v>
      </c>
      <c r="AD55" s="97" t="e">
        <f t="shared" si="9"/>
        <v>#REF!</v>
      </c>
      <c r="AE55" s="98" t="e">
        <f t="shared" si="16"/>
        <v>#REF!</v>
      </c>
      <c r="AF55" s="98" t="e">
        <f t="shared" si="16"/>
        <v>#REF!</v>
      </c>
      <c r="AH55" s="97" t="e">
        <f t="shared" si="11"/>
        <v>#REF!</v>
      </c>
      <c r="AI55" s="97" t="e">
        <f t="shared" si="12"/>
        <v>#REF!</v>
      </c>
      <c r="AJ55" s="98" t="e">
        <f t="shared" si="17"/>
        <v>#REF!</v>
      </c>
      <c r="AK55" s="98" t="e">
        <f t="shared" si="17"/>
        <v>#REF!</v>
      </c>
    </row>
    <row r="56" spans="1:995 1114:2000 2058:3015 3118:3398" ht="15" customHeight="1">
      <c r="A56" s="87" t="s">
        <v>258</v>
      </c>
      <c r="B56" s="100">
        <v>29</v>
      </c>
      <c r="C56" s="86">
        <v>1.33</v>
      </c>
      <c r="D56" s="14">
        <v>1.58</v>
      </c>
      <c r="E56" s="15">
        <v>0.02</v>
      </c>
      <c r="F56" s="15">
        <v>-0.02</v>
      </c>
      <c r="G56" s="19">
        <f t="shared" si="0"/>
        <v>1.6</v>
      </c>
      <c r="H56" s="25">
        <f t="shared" si="1"/>
        <v>1.56</v>
      </c>
      <c r="I56" s="29"/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S56" s="97">
        <f t="shared" si="2"/>
        <v>0</v>
      </c>
      <c r="T56" s="97">
        <f t="shared" si="3"/>
        <v>0</v>
      </c>
      <c r="U56" s="98">
        <f t="shared" si="14"/>
        <v>1.58</v>
      </c>
      <c r="V56" s="98">
        <f t="shared" si="14"/>
        <v>1.58</v>
      </c>
      <c r="X56" s="97" t="e">
        <f t="shared" si="5"/>
        <v>#REF!</v>
      </c>
      <c r="Y56" s="97" t="e">
        <f t="shared" si="6"/>
        <v>#REF!</v>
      </c>
      <c r="Z56" s="98" t="e">
        <f t="shared" si="15"/>
        <v>#REF!</v>
      </c>
      <c r="AA56" s="98" t="e">
        <f t="shared" si="15"/>
        <v>#REF!</v>
      </c>
      <c r="AC56" s="97" t="e">
        <f t="shared" si="8"/>
        <v>#REF!</v>
      </c>
      <c r="AD56" s="97" t="e">
        <f t="shared" si="9"/>
        <v>#REF!</v>
      </c>
      <c r="AE56" s="98" t="e">
        <f t="shared" si="16"/>
        <v>#REF!</v>
      </c>
      <c r="AF56" s="98" t="e">
        <f t="shared" si="16"/>
        <v>#REF!</v>
      </c>
      <c r="AH56" s="97" t="e">
        <f t="shared" si="11"/>
        <v>#REF!</v>
      </c>
      <c r="AI56" s="97" t="e">
        <f t="shared" si="12"/>
        <v>#REF!</v>
      </c>
      <c r="AJ56" s="98" t="e">
        <f t="shared" si="17"/>
        <v>#REF!</v>
      </c>
      <c r="AK56" s="98" t="e">
        <f t="shared" si="17"/>
        <v>#REF!</v>
      </c>
    </row>
    <row r="57" spans="1:995 1114:2000 2058:3015 3118:3398" ht="15" customHeight="1">
      <c r="A57" s="87"/>
      <c r="B57" s="100" t="s">
        <v>281</v>
      </c>
      <c r="C57" s="86"/>
      <c r="D57" s="14">
        <v>1.85</v>
      </c>
      <c r="E57" s="15">
        <v>0.02</v>
      </c>
      <c r="F57" s="15">
        <v>-0.02</v>
      </c>
      <c r="G57" s="19">
        <f t="shared" si="0"/>
        <v>1.87</v>
      </c>
      <c r="H57" s="25">
        <f t="shared" si="1"/>
        <v>1.83</v>
      </c>
      <c r="I57" s="29"/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S57" s="97">
        <f t="shared" si="2"/>
        <v>0</v>
      </c>
      <c r="T57" s="97">
        <f t="shared" si="3"/>
        <v>0</v>
      </c>
      <c r="U57" s="98">
        <f t="shared" si="14"/>
        <v>1.85</v>
      </c>
      <c r="V57" s="98">
        <f t="shared" si="14"/>
        <v>1.85</v>
      </c>
      <c r="X57" s="97" t="e">
        <f t="shared" si="5"/>
        <v>#REF!</v>
      </c>
      <c r="Y57" s="97" t="e">
        <f t="shared" si="6"/>
        <v>#REF!</v>
      </c>
      <c r="Z57" s="98" t="e">
        <f t="shared" si="15"/>
        <v>#REF!</v>
      </c>
      <c r="AA57" s="98" t="e">
        <f t="shared" si="15"/>
        <v>#REF!</v>
      </c>
      <c r="AC57" s="97" t="e">
        <f t="shared" si="8"/>
        <v>#REF!</v>
      </c>
      <c r="AD57" s="97" t="e">
        <f t="shared" si="9"/>
        <v>#REF!</v>
      </c>
      <c r="AE57" s="98" t="e">
        <f t="shared" si="16"/>
        <v>#REF!</v>
      </c>
      <c r="AF57" s="98" t="e">
        <f t="shared" si="16"/>
        <v>#REF!</v>
      </c>
      <c r="AH57" s="97" t="e">
        <f t="shared" si="11"/>
        <v>#REF!</v>
      </c>
      <c r="AI57" s="97" t="e">
        <f t="shared" si="12"/>
        <v>#REF!</v>
      </c>
      <c r="AJ57" s="98" t="e">
        <f t="shared" si="17"/>
        <v>#REF!</v>
      </c>
      <c r="AK57" s="98" t="e">
        <f t="shared" si="17"/>
        <v>#REF!</v>
      </c>
    </row>
    <row r="58" spans="1:995 1114:2000 2058:3015 3118:3398" ht="15" customHeight="1">
      <c r="A58" s="87"/>
      <c r="B58" s="100" t="s">
        <v>173</v>
      </c>
      <c r="C58" s="86"/>
      <c r="D58" s="14">
        <v>1.85</v>
      </c>
      <c r="E58" s="15">
        <v>0.02</v>
      </c>
      <c r="F58" s="15">
        <v>-0.02</v>
      </c>
      <c r="G58" s="19">
        <f t="shared" si="0"/>
        <v>1.87</v>
      </c>
      <c r="H58" s="25">
        <f t="shared" si="1"/>
        <v>1.83</v>
      </c>
      <c r="I58" s="29"/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S58" s="97">
        <f t="shared" si="2"/>
        <v>0</v>
      </c>
      <c r="T58" s="97">
        <f t="shared" si="3"/>
        <v>0</v>
      </c>
      <c r="U58" s="98">
        <f t="shared" si="14"/>
        <v>1.85</v>
      </c>
      <c r="V58" s="98">
        <f t="shared" si="14"/>
        <v>1.85</v>
      </c>
      <c r="X58" s="97" t="e">
        <f t="shared" si="5"/>
        <v>#REF!</v>
      </c>
      <c r="Y58" s="97" t="e">
        <f t="shared" si="6"/>
        <v>#REF!</v>
      </c>
      <c r="Z58" s="98" t="e">
        <f t="shared" si="15"/>
        <v>#REF!</v>
      </c>
      <c r="AA58" s="98" t="e">
        <f t="shared" si="15"/>
        <v>#REF!</v>
      </c>
      <c r="AC58" s="97" t="e">
        <f t="shared" si="8"/>
        <v>#REF!</v>
      </c>
      <c r="AD58" s="97" t="e">
        <f t="shared" si="9"/>
        <v>#REF!</v>
      </c>
      <c r="AE58" s="98" t="e">
        <f t="shared" si="16"/>
        <v>#REF!</v>
      </c>
      <c r="AF58" s="98" t="e">
        <f t="shared" si="16"/>
        <v>#REF!</v>
      </c>
      <c r="AH58" s="97" t="e">
        <f t="shared" si="11"/>
        <v>#REF!</v>
      </c>
      <c r="AI58" s="97" t="e">
        <f t="shared" si="12"/>
        <v>#REF!</v>
      </c>
      <c r="AJ58" s="98" t="e">
        <f t="shared" si="17"/>
        <v>#REF!</v>
      </c>
      <c r="AK58" s="98" t="e">
        <f t="shared" si="17"/>
        <v>#REF!</v>
      </c>
    </row>
    <row r="59" spans="1:995 1114:2000 2058:3015 3118:3398" ht="15" customHeight="1">
      <c r="A59" s="87" t="s">
        <v>266</v>
      </c>
      <c r="B59" s="106" t="s">
        <v>282</v>
      </c>
      <c r="C59" s="86">
        <v>1.33</v>
      </c>
      <c r="D59" s="14">
        <v>6.9009999999999998</v>
      </c>
      <c r="E59" s="15">
        <v>1.4999999999999999E-2</v>
      </c>
      <c r="F59" s="15">
        <v>-1.4999999999999999E-2</v>
      </c>
      <c r="G59" s="19">
        <f t="shared" si="0"/>
        <v>6.9159999999999995</v>
      </c>
      <c r="H59" s="25">
        <f t="shared" si="1"/>
        <v>6.8860000000000001</v>
      </c>
      <c r="I59" s="29"/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S59" s="97">
        <f t="shared" si="2"/>
        <v>0</v>
      </c>
      <c r="T59" s="97">
        <f t="shared" si="3"/>
        <v>0</v>
      </c>
      <c r="U59" s="98">
        <f t="shared" si="14"/>
        <v>6.9009999999999998</v>
      </c>
      <c r="V59" s="98">
        <f t="shared" si="14"/>
        <v>6.9009999999999998</v>
      </c>
      <c r="X59" s="97" t="e">
        <f t="shared" si="5"/>
        <v>#REF!</v>
      </c>
      <c r="Y59" s="97" t="e">
        <f t="shared" si="6"/>
        <v>#REF!</v>
      </c>
      <c r="Z59" s="98" t="e">
        <f t="shared" si="15"/>
        <v>#REF!</v>
      </c>
      <c r="AA59" s="98" t="e">
        <f t="shared" si="15"/>
        <v>#REF!</v>
      </c>
      <c r="AC59" s="97" t="e">
        <f t="shared" si="8"/>
        <v>#REF!</v>
      </c>
      <c r="AD59" s="97" t="e">
        <f t="shared" si="9"/>
        <v>#REF!</v>
      </c>
      <c r="AE59" s="98" t="e">
        <f t="shared" si="16"/>
        <v>#REF!</v>
      </c>
      <c r="AF59" s="98" t="e">
        <f t="shared" si="16"/>
        <v>#REF!</v>
      </c>
      <c r="AH59" s="97" t="e">
        <f t="shared" si="11"/>
        <v>#REF!</v>
      </c>
      <c r="AI59" s="97" t="e">
        <f t="shared" si="12"/>
        <v>#REF!</v>
      </c>
      <c r="AJ59" s="98" t="e">
        <f t="shared" si="17"/>
        <v>#REF!</v>
      </c>
      <c r="AK59" s="98" t="e">
        <f t="shared" si="17"/>
        <v>#REF!</v>
      </c>
    </row>
    <row r="60" spans="1:995 1114:2000 2058:3015 3118:3398" ht="15" customHeight="1">
      <c r="A60" s="87" t="s">
        <v>266</v>
      </c>
      <c r="B60" s="106" t="s">
        <v>175</v>
      </c>
      <c r="C60" s="86">
        <v>1.33</v>
      </c>
      <c r="D60" s="14">
        <v>6.9009999999999998</v>
      </c>
      <c r="E60" s="15">
        <v>1.4999999999999999E-2</v>
      </c>
      <c r="F60" s="15">
        <v>-1.4999999999999999E-2</v>
      </c>
      <c r="G60" s="19">
        <f t="shared" si="0"/>
        <v>6.9159999999999995</v>
      </c>
      <c r="H60" s="25">
        <f t="shared" si="1"/>
        <v>6.8860000000000001</v>
      </c>
      <c r="I60" s="29"/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S60" s="97">
        <f t="shared" si="2"/>
        <v>0</v>
      </c>
      <c r="T60" s="97">
        <f t="shared" si="3"/>
        <v>0</v>
      </c>
      <c r="U60" s="98">
        <f t="shared" si="14"/>
        <v>6.9009999999999998</v>
      </c>
      <c r="V60" s="98">
        <f t="shared" si="14"/>
        <v>6.9009999999999998</v>
      </c>
      <c r="X60" s="97" t="e">
        <f t="shared" si="5"/>
        <v>#REF!</v>
      </c>
      <c r="Y60" s="97" t="e">
        <f t="shared" si="6"/>
        <v>#REF!</v>
      </c>
      <c r="Z60" s="98" t="e">
        <f t="shared" si="15"/>
        <v>#REF!</v>
      </c>
      <c r="AA60" s="98" t="e">
        <f t="shared" si="15"/>
        <v>#REF!</v>
      </c>
      <c r="AC60" s="97" t="e">
        <f t="shared" si="8"/>
        <v>#REF!</v>
      </c>
      <c r="AD60" s="97" t="e">
        <f t="shared" si="9"/>
        <v>#REF!</v>
      </c>
      <c r="AE60" s="98" t="e">
        <f t="shared" si="16"/>
        <v>#REF!</v>
      </c>
      <c r="AF60" s="98" t="e">
        <f t="shared" si="16"/>
        <v>#REF!</v>
      </c>
      <c r="AH60" s="97" t="e">
        <f t="shared" si="11"/>
        <v>#REF!</v>
      </c>
      <c r="AI60" s="97" t="e">
        <f t="shared" si="12"/>
        <v>#REF!</v>
      </c>
      <c r="AJ60" s="98" t="e">
        <f t="shared" si="17"/>
        <v>#REF!</v>
      </c>
      <c r="AK60" s="98" t="e">
        <f t="shared" si="17"/>
        <v>#REF!</v>
      </c>
    </row>
    <row r="61" spans="1:995 1114:2000 2058:3015 3118:3398" ht="15" customHeight="1">
      <c r="A61" s="87" t="s">
        <v>266</v>
      </c>
      <c r="B61" s="100" t="s">
        <v>283</v>
      </c>
      <c r="C61" s="86">
        <v>1.33</v>
      </c>
      <c r="D61" s="14">
        <v>6.9009999999999998</v>
      </c>
      <c r="E61" s="15">
        <v>1.4999999999999999E-2</v>
      </c>
      <c r="F61" s="15">
        <v>-1.4999999999999999E-2</v>
      </c>
      <c r="G61" s="19">
        <f t="shared" si="0"/>
        <v>6.9159999999999995</v>
      </c>
      <c r="H61" s="25">
        <f t="shared" si="1"/>
        <v>6.8860000000000001</v>
      </c>
      <c r="I61" s="29"/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S61" s="97">
        <f t="shared" si="2"/>
        <v>0</v>
      </c>
      <c r="T61" s="97">
        <f t="shared" si="3"/>
        <v>0</v>
      </c>
      <c r="U61" s="98">
        <f t="shared" si="14"/>
        <v>6.9009999999999998</v>
      </c>
      <c r="V61" s="98">
        <f t="shared" si="14"/>
        <v>6.9009999999999998</v>
      </c>
      <c r="X61" s="97" t="e">
        <f t="shared" si="5"/>
        <v>#REF!</v>
      </c>
      <c r="Y61" s="97" t="e">
        <f t="shared" si="6"/>
        <v>#REF!</v>
      </c>
      <c r="Z61" s="98" t="e">
        <f t="shared" si="15"/>
        <v>#REF!</v>
      </c>
      <c r="AA61" s="98" t="e">
        <f t="shared" si="15"/>
        <v>#REF!</v>
      </c>
      <c r="AC61" s="97" t="e">
        <f t="shared" si="8"/>
        <v>#REF!</v>
      </c>
      <c r="AD61" s="97" t="e">
        <f t="shared" si="9"/>
        <v>#REF!</v>
      </c>
      <c r="AE61" s="98" t="e">
        <f t="shared" si="16"/>
        <v>#REF!</v>
      </c>
      <c r="AF61" s="98" t="e">
        <f t="shared" si="16"/>
        <v>#REF!</v>
      </c>
      <c r="AH61" s="97" t="e">
        <f t="shared" si="11"/>
        <v>#REF!</v>
      </c>
      <c r="AI61" s="97" t="e">
        <f t="shared" si="12"/>
        <v>#REF!</v>
      </c>
      <c r="AJ61" s="98" t="e">
        <f t="shared" si="17"/>
        <v>#REF!</v>
      </c>
      <c r="AK61" s="98" t="e">
        <f t="shared" si="17"/>
        <v>#REF!</v>
      </c>
    </row>
    <row r="62" spans="1:995 1114:2000 2058:3015 3118:3398" ht="15" customHeight="1">
      <c r="A62" s="87"/>
      <c r="B62" s="100" t="s">
        <v>284</v>
      </c>
      <c r="C62" s="86"/>
      <c r="D62" s="14">
        <v>2.9729999999999999</v>
      </c>
      <c r="E62" s="15">
        <v>0.02</v>
      </c>
      <c r="F62" s="15">
        <v>-0.02</v>
      </c>
      <c r="G62" s="19">
        <f t="shared" si="0"/>
        <v>2.9929999999999999</v>
      </c>
      <c r="H62" s="25">
        <f t="shared" si="1"/>
        <v>2.9529999999999998</v>
      </c>
      <c r="I62" s="29"/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S62" s="97">
        <f t="shared" si="2"/>
        <v>0</v>
      </c>
      <c r="T62" s="97">
        <f t="shared" si="3"/>
        <v>0</v>
      </c>
      <c r="U62" s="98">
        <f t="shared" si="14"/>
        <v>2.9729999999999999</v>
      </c>
      <c r="V62" s="98">
        <f t="shared" si="14"/>
        <v>2.9729999999999999</v>
      </c>
      <c r="X62" s="97" t="e">
        <f t="shared" si="5"/>
        <v>#REF!</v>
      </c>
      <c r="Y62" s="97" t="e">
        <f t="shared" si="6"/>
        <v>#REF!</v>
      </c>
      <c r="Z62" s="98" t="e">
        <f t="shared" si="15"/>
        <v>#REF!</v>
      </c>
      <c r="AA62" s="98" t="e">
        <f t="shared" si="15"/>
        <v>#REF!</v>
      </c>
      <c r="AC62" s="97" t="e">
        <f t="shared" si="8"/>
        <v>#REF!</v>
      </c>
      <c r="AD62" s="97" t="e">
        <f t="shared" si="9"/>
        <v>#REF!</v>
      </c>
      <c r="AE62" s="98" t="e">
        <f t="shared" si="16"/>
        <v>#REF!</v>
      </c>
      <c r="AF62" s="98" t="e">
        <f t="shared" si="16"/>
        <v>#REF!</v>
      </c>
      <c r="AH62" s="97" t="e">
        <f t="shared" si="11"/>
        <v>#REF!</v>
      </c>
      <c r="AI62" s="97" t="e">
        <f t="shared" si="12"/>
        <v>#REF!</v>
      </c>
      <c r="AJ62" s="98" t="e">
        <f t="shared" si="17"/>
        <v>#REF!</v>
      </c>
      <c r="AK62" s="98" t="e">
        <f t="shared" si="17"/>
        <v>#REF!</v>
      </c>
    </row>
    <row r="63" spans="1:995 1114:2000 2058:3015 3118:3398" ht="15" customHeight="1">
      <c r="A63" s="87"/>
      <c r="B63" s="100" t="s">
        <v>177</v>
      </c>
      <c r="C63" s="86"/>
      <c r="D63" s="14">
        <v>2.9729999999999999</v>
      </c>
      <c r="E63" s="15">
        <v>0.02</v>
      </c>
      <c r="F63" s="15">
        <v>-0.02</v>
      </c>
      <c r="G63" s="19">
        <f t="shared" si="0"/>
        <v>2.9929999999999999</v>
      </c>
      <c r="H63" s="25">
        <f t="shared" si="1"/>
        <v>2.9529999999999998</v>
      </c>
      <c r="I63" s="29"/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S63" s="97">
        <f t="shared" si="2"/>
        <v>0</v>
      </c>
      <c r="T63" s="97">
        <f t="shared" si="3"/>
        <v>0</v>
      </c>
      <c r="U63" s="98">
        <f t="shared" si="14"/>
        <v>2.9729999999999999</v>
      </c>
      <c r="V63" s="98">
        <f t="shared" si="14"/>
        <v>2.9729999999999999</v>
      </c>
      <c r="X63" s="97" t="e">
        <f t="shared" si="5"/>
        <v>#REF!</v>
      </c>
      <c r="Y63" s="97" t="e">
        <f t="shared" si="6"/>
        <v>#REF!</v>
      </c>
      <c r="Z63" s="98" t="e">
        <f t="shared" si="15"/>
        <v>#REF!</v>
      </c>
      <c r="AA63" s="98" t="e">
        <f t="shared" si="15"/>
        <v>#REF!</v>
      </c>
      <c r="AC63" s="97" t="e">
        <f t="shared" si="8"/>
        <v>#REF!</v>
      </c>
      <c r="AD63" s="97" t="e">
        <f t="shared" si="9"/>
        <v>#REF!</v>
      </c>
      <c r="AE63" s="98" t="e">
        <f t="shared" si="16"/>
        <v>#REF!</v>
      </c>
      <c r="AF63" s="98" t="e">
        <f t="shared" si="16"/>
        <v>#REF!</v>
      </c>
      <c r="AH63" s="97" t="e">
        <f t="shared" si="11"/>
        <v>#REF!</v>
      </c>
      <c r="AI63" s="97" t="e">
        <f t="shared" si="12"/>
        <v>#REF!</v>
      </c>
      <c r="AJ63" s="98" t="e">
        <f t="shared" si="17"/>
        <v>#REF!</v>
      </c>
      <c r="AK63" s="98" t="e">
        <f t="shared" si="17"/>
        <v>#REF!</v>
      </c>
    </row>
    <row r="64" spans="1:995 1114:2000 2058:3015 3118:3398" ht="15" customHeight="1">
      <c r="A64" s="87"/>
      <c r="B64" s="100" t="s">
        <v>177</v>
      </c>
      <c r="C64" s="86"/>
      <c r="D64" s="14">
        <v>2.9729999999999999</v>
      </c>
      <c r="E64" s="15">
        <v>0.02</v>
      </c>
      <c r="F64" s="15">
        <v>-0.02</v>
      </c>
      <c r="G64" s="19">
        <f t="shared" si="0"/>
        <v>2.9929999999999999</v>
      </c>
      <c r="H64" s="25">
        <f t="shared" si="1"/>
        <v>2.9529999999999998</v>
      </c>
      <c r="I64" s="29"/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S64" s="97">
        <f t="shared" si="2"/>
        <v>0</v>
      </c>
      <c r="T64" s="97">
        <f t="shared" si="3"/>
        <v>0</v>
      </c>
      <c r="U64" s="98">
        <f t="shared" si="14"/>
        <v>2.9729999999999999</v>
      </c>
      <c r="V64" s="98">
        <f t="shared" si="14"/>
        <v>2.9729999999999999</v>
      </c>
      <c r="X64" s="97" t="e">
        <f t="shared" si="5"/>
        <v>#REF!</v>
      </c>
      <c r="Y64" s="97" t="e">
        <f t="shared" si="6"/>
        <v>#REF!</v>
      </c>
      <c r="Z64" s="98" t="e">
        <f t="shared" si="15"/>
        <v>#REF!</v>
      </c>
      <c r="AA64" s="98" t="e">
        <f t="shared" si="15"/>
        <v>#REF!</v>
      </c>
      <c r="AC64" s="97" t="e">
        <f t="shared" si="8"/>
        <v>#REF!</v>
      </c>
      <c r="AD64" s="97" t="e">
        <f t="shared" si="9"/>
        <v>#REF!</v>
      </c>
      <c r="AE64" s="98" t="e">
        <f t="shared" si="16"/>
        <v>#REF!</v>
      </c>
      <c r="AF64" s="98" t="e">
        <f t="shared" si="16"/>
        <v>#REF!</v>
      </c>
      <c r="AH64" s="97" t="e">
        <f t="shared" si="11"/>
        <v>#REF!</v>
      </c>
      <c r="AI64" s="97" t="e">
        <f t="shared" si="12"/>
        <v>#REF!</v>
      </c>
      <c r="AJ64" s="98" t="e">
        <f t="shared" si="17"/>
        <v>#REF!</v>
      </c>
      <c r="AK64" s="98" t="e">
        <f t="shared" si="17"/>
        <v>#REF!</v>
      </c>
    </row>
    <row r="65" spans="1:37" ht="15" customHeight="1">
      <c r="A65" s="87"/>
      <c r="B65" s="100">
        <v>33</v>
      </c>
      <c r="C65" s="86"/>
      <c r="D65" s="14">
        <v>4.532</v>
      </c>
      <c r="E65" s="15">
        <v>0.03</v>
      </c>
      <c r="F65" s="15">
        <v>-0.03</v>
      </c>
      <c r="G65" s="19">
        <f t="shared" si="0"/>
        <v>4.5620000000000003</v>
      </c>
      <c r="H65" s="25">
        <f t="shared" si="1"/>
        <v>4.5019999999999998</v>
      </c>
      <c r="I65" s="29"/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S65" s="97">
        <f t="shared" si="2"/>
        <v>0</v>
      </c>
      <c r="T65" s="97">
        <f t="shared" si="3"/>
        <v>0</v>
      </c>
      <c r="U65" s="98">
        <f t="shared" si="14"/>
        <v>4.532</v>
      </c>
      <c r="V65" s="98">
        <f t="shared" si="14"/>
        <v>4.532</v>
      </c>
      <c r="X65" s="97" t="e">
        <f t="shared" si="5"/>
        <v>#REF!</v>
      </c>
      <c r="Y65" s="97" t="e">
        <f t="shared" si="6"/>
        <v>#REF!</v>
      </c>
      <c r="Z65" s="98" t="e">
        <f t="shared" si="15"/>
        <v>#REF!</v>
      </c>
      <c r="AA65" s="98" t="e">
        <f t="shared" si="15"/>
        <v>#REF!</v>
      </c>
      <c r="AC65" s="97" t="e">
        <f t="shared" si="8"/>
        <v>#REF!</v>
      </c>
      <c r="AD65" s="97" t="e">
        <f t="shared" si="9"/>
        <v>#REF!</v>
      </c>
      <c r="AE65" s="98" t="e">
        <f t="shared" si="16"/>
        <v>#REF!</v>
      </c>
      <c r="AF65" s="98" t="e">
        <f t="shared" si="16"/>
        <v>#REF!</v>
      </c>
      <c r="AH65" s="97" t="e">
        <f t="shared" si="11"/>
        <v>#REF!</v>
      </c>
      <c r="AI65" s="97" t="e">
        <f t="shared" si="12"/>
        <v>#REF!</v>
      </c>
      <c r="AJ65" s="98" t="e">
        <f t="shared" si="17"/>
        <v>#REF!</v>
      </c>
      <c r="AK65" s="98" t="e">
        <f t="shared" si="17"/>
        <v>#REF!</v>
      </c>
    </row>
    <row r="66" spans="1:37" ht="15" customHeight="1">
      <c r="A66" s="87" t="s">
        <v>285</v>
      </c>
      <c r="B66" s="100" t="s">
        <v>71</v>
      </c>
      <c r="C66" s="86">
        <v>1.33</v>
      </c>
      <c r="D66" s="14">
        <v>7.8010000000000002</v>
      </c>
      <c r="E66" s="15">
        <v>0.03</v>
      </c>
      <c r="F66" s="15">
        <v>-0.03</v>
      </c>
      <c r="G66" s="19">
        <f t="shared" si="0"/>
        <v>7.8310000000000004</v>
      </c>
      <c r="H66" s="25">
        <f t="shared" si="1"/>
        <v>7.7709999999999999</v>
      </c>
      <c r="I66" s="29"/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S66" s="97">
        <f t="shared" si="2"/>
        <v>0</v>
      </c>
      <c r="T66" s="97">
        <f t="shared" si="3"/>
        <v>0</v>
      </c>
      <c r="U66" s="98">
        <f t="shared" si="14"/>
        <v>7.8010000000000002</v>
      </c>
      <c r="V66" s="98">
        <f t="shared" si="14"/>
        <v>7.8010000000000002</v>
      </c>
      <c r="X66" s="97" t="e">
        <f t="shared" si="5"/>
        <v>#REF!</v>
      </c>
      <c r="Y66" s="97" t="e">
        <f t="shared" si="6"/>
        <v>#REF!</v>
      </c>
      <c r="Z66" s="98" t="e">
        <f t="shared" si="15"/>
        <v>#REF!</v>
      </c>
      <c r="AA66" s="98" t="e">
        <f t="shared" si="15"/>
        <v>#REF!</v>
      </c>
      <c r="AC66" s="97" t="e">
        <f t="shared" si="8"/>
        <v>#REF!</v>
      </c>
      <c r="AD66" s="97" t="e">
        <f t="shared" si="9"/>
        <v>#REF!</v>
      </c>
      <c r="AE66" s="98" t="e">
        <f t="shared" si="16"/>
        <v>#REF!</v>
      </c>
      <c r="AF66" s="98" t="e">
        <f t="shared" si="16"/>
        <v>#REF!</v>
      </c>
      <c r="AH66" s="97" t="e">
        <f t="shared" si="11"/>
        <v>#REF!</v>
      </c>
      <c r="AI66" s="97" t="e">
        <f t="shared" si="12"/>
        <v>#REF!</v>
      </c>
      <c r="AJ66" s="98" t="e">
        <f t="shared" si="17"/>
        <v>#REF!</v>
      </c>
      <c r="AK66" s="98" t="e">
        <f t="shared" si="17"/>
        <v>#REF!</v>
      </c>
    </row>
    <row r="67" spans="1:37" ht="15" customHeight="1">
      <c r="A67" s="87" t="s">
        <v>285</v>
      </c>
      <c r="B67" s="100" t="s">
        <v>72</v>
      </c>
      <c r="C67" s="86">
        <v>1.33</v>
      </c>
      <c r="D67" s="14">
        <v>7.8010000000000002</v>
      </c>
      <c r="E67" s="15">
        <v>0.03</v>
      </c>
      <c r="F67" s="15">
        <v>-0.03</v>
      </c>
      <c r="G67" s="19">
        <f t="shared" si="0"/>
        <v>7.8310000000000004</v>
      </c>
      <c r="H67" s="25">
        <f t="shared" si="1"/>
        <v>7.7709999999999999</v>
      </c>
      <c r="I67" s="29"/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S67" s="97">
        <f t="shared" si="2"/>
        <v>0</v>
      </c>
      <c r="T67" s="97">
        <f t="shared" si="3"/>
        <v>0</v>
      </c>
      <c r="U67" s="98">
        <f t="shared" si="14"/>
        <v>7.8010000000000002</v>
      </c>
      <c r="V67" s="98">
        <f t="shared" si="14"/>
        <v>7.8010000000000002</v>
      </c>
      <c r="X67" s="97" t="e">
        <f t="shared" si="5"/>
        <v>#REF!</v>
      </c>
      <c r="Y67" s="97" t="e">
        <f t="shared" si="6"/>
        <v>#REF!</v>
      </c>
      <c r="Z67" s="98" t="e">
        <f t="shared" si="15"/>
        <v>#REF!</v>
      </c>
      <c r="AA67" s="98" t="e">
        <f t="shared" si="15"/>
        <v>#REF!</v>
      </c>
      <c r="AC67" s="97" t="e">
        <f t="shared" si="8"/>
        <v>#REF!</v>
      </c>
      <c r="AD67" s="97" t="e">
        <f t="shared" si="9"/>
        <v>#REF!</v>
      </c>
      <c r="AE67" s="98" t="e">
        <f t="shared" si="16"/>
        <v>#REF!</v>
      </c>
      <c r="AF67" s="98" t="e">
        <f t="shared" si="16"/>
        <v>#REF!</v>
      </c>
      <c r="AH67" s="97" t="e">
        <f t="shared" si="11"/>
        <v>#REF!</v>
      </c>
      <c r="AI67" s="97" t="e">
        <f t="shared" si="12"/>
        <v>#REF!</v>
      </c>
      <c r="AJ67" s="98" t="e">
        <f t="shared" si="17"/>
        <v>#REF!</v>
      </c>
      <c r="AK67" s="98" t="e">
        <f t="shared" si="17"/>
        <v>#REF!</v>
      </c>
    </row>
    <row r="68" spans="1:37" ht="15" customHeight="1">
      <c r="A68" s="101" t="s">
        <v>285</v>
      </c>
      <c r="B68" s="107" t="s">
        <v>73</v>
      </c>
      <c r="C68" s="103">
        <v>1.33</v>
      </c>
      <c r="D68" s="104">
        <v>7.8010000000000002</v>
      </c>
      <c r="E68" s="105">
        <v>0.03</v>
      </c>
      <c r="F68" s="105">
        <v>-0.03</v>
      </c>
      <c r="G68" s="19">
        <f t="shared" si="0"/>
        <v>7.8310000000000004</v>
      </c>
      <c r="H68" s="25">
        <f t="shared" si="1"/>
        <v>7.7709999999999999</v>
      </c>
      <c r="I68" s="29"/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S68" s="97">
        <f t="shared" si="2"/>
        <v>0</v>
      </c>
      <c r="T68" s="97">
        <f t="shared" si="3"/>
        <v>0</v>
      </c>
      <c r="U68" s="98">
        <f t="shared" si="14"/>
        <v>7.8010000000000002</v>
      </c>
      <c r="V68" s="98">
        <f t="shared" si="14"/>
        <v>7.8010000000000002</v>
      </c>
      <c r="X68" s="97" t="e">
        <f t="shared" si="5"/>
        <v>#REF!</v>
      </c>
      <c r="Y68" s="97" t="e">
        <f t="shared" si="6"/>
        <v>#REF!</v>
      </c>
      <c r="Z68" s="98" t="e">
        <f t="shared" si="15"/>
        <v>#REF!</v>
      </c>
      <c r="AA68" s="98" t="e">
        <f t="shared" si="15"/>
        <v>#REF!</v>
      </c>
      <c r="AC68" s="97" t="e">
        <f t="shared" si="8"/>
        <v>#REF!</v>
      </c>
      <c r="AD68" s="97" t="e">
        <f t="shared" si="9"/>
        <v>#REF!</v>
      </c>
      <c r="AE68" s="98" t="e">
        <f t="shared" si="16"/>
        <v>#REF!</v>
      </c>
      <c r="AF68" s="98" t="e">
        <f t="shared" si="16"/>
        <v>#REF!</v>
      </c>
      <c r="AH68" s="97" t="e">
        <f t="shared" si="11"/>
        <v>#REF!</v>
      </c>
      <c r="AI68" s="97" t="e">
        <f t="shared" si="12"/>
        <v>#REF!</v>
      </c>
      <c r="AJ68" s="98" t="e">
        <f t="shared" si="17"/>
        <v>#REF!</v>
      </c>
      <c r="AK68" s="98" t="e">
        <f t="shared" si="17"/>
        <v>#REF!</v>
      </c>
    </row>
    <row r="69" spans="1:37" ht="15" customHeight="1">
      <c r="A69" s="101" t="s">
        <v>264</v>
      </c>
      <c r="B69" s="107" t="s">
        <v>74</v>
      </c>
      <c r="C69" s="103">
        <v>1.33</v>
      </c>
      <c r="D69" s="104">
        <v>10.154999999999999</v>
      </c>
      <c r="E69" s="105">
        <v>0.03</v>
      </c>
      <c r="F69" s="105">
        <v>-0.03</v>
      </c>
      <c r="G69" s="19">
        <f t="shared" si="0"/>
        <v>10.184999999999999</v>
      </c>
      <c r="H69" s="25">
        <f t="shared" si="1"/>
        <v>10.125</v>
      </c>
      <c r="I69" s="29"/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S69" s="97">
        <f t="shared" si="2"/>
        <v>0</v>
      </c>
      <c r="T69" s="97">
        <f t="shared" si="3"/>
        <v>0</v>
      </c>
      <c r="U69" s="98">
        <f t="shared" si="14"/>
        <v>10.154999999999999</v>
      </c>
      <c r="V69" s="98">
        <f t="shared" si="14"/>
        <v>10.154999999999999</v>
      </c>
      <c r="X69" s="97" t="e">
        <f t="shared" si="5"/>
        <v>#REF!</v>
      </c>
      <c r="Y69" s="97" t="e">
        <f t="shared" si="6"/>
        <v>#REF!</v>
      </c>
      <c r="Z69" s="98" t="e">
        <f t="shared" si="15"/>
        <v>#REF!</v>
      </c>
      <c r="AA69" s="98" t="e">
        <f t="shared" si="15"/>
        <v>#REF!</v>
      </c>
      <c r="AC69" s="97" t="e">
        <f t="shared" si="8"/>
        <v>#REF!</v>
      </c>
      <c r="AD69" s="97" t="e">
        <f t="shared" si="9"/>
        <v>#REF!</v>
      </c>
      <c r="AE69" s="98" t="e">
        <f t="shared" si="16"/>
        <v>#REF!</v>
      </c>
      <c r="AF69" s="98" t="e">
        <f t="shared" si="16"/>
        <v>#REF!</v>
      </c>
      <c r="AH69" s="97" t="e">
        <f t="shared" si="11"/>
        <v>#REF!</v>
      </c>
      <c r="AI69" s="97" t="e">
        <f t="shared" si="12"/>
        <v>#REF!</v>
      </c>
      <c r="AJ69" s="98" t="e">
        <f t="shared" si="17"/>
        <v>#REF!</v>
      </c>
      <c r="AK69" s="98" t="e">
        <f t="shared" si="17"/>
        <v>#REF!</v>
      </c>
    </row>
    <row r="70" spans="1:37" ht="15" customHeight="1">
      <c r="A70" s="101" t="s">
        <v>264</v>
      </c>
      <c r="B70" s="107" t="s">
        <v>75</v>
      </c>
      <c r="C70" s="103">
        <v>1.33</v>
      </c>
      <c r="D70" s="104">
        <v>10.154999999999999</v>
      </c>
      <c r="E70" s="105">
        <v>0.03</v>
      </c>
      <c r="F70" s="105">
        <v>-0.03</v>
      </c>
      <c r="G70" s="19">
        <f t="shared" si="0"/>
        <v>10.184999999999999</v>
      </c>
      <c r="H70" s="25">
        <f t="shared" si="1"/>
        <v>10.125</v>
      </c>
      <c r="I70" s="29"/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S70" s="97">
        <f t="shared" si="2"/>
        <v>0</v>
      </c>
      <c r="T70" s="97">
        <f t="shared" si="3"/>
        <v>0</v>
      </c>
      <c r="U70" s="98">
        <f t="shared" si="14"/>
        <v>10.154999999999999</v>
      </c>
      <c r="V70" s="98">
        <f t="shared" si="14"/>
        <v>10.154999999999999</v>
      </c>
      <c r="X70" s="97" t="e">
        <f t="shared" si="5"/>
        <v>#REF!</v>
      </c>
      <c r="Y70" s="97" t="e">
        <f t="shared" si="6"/>
        <v>#REF!</v>
      </c>
      <c r="Z70" s="98" t="e">
        <f t="shared" si="15"/>
        <v>#REF!</v>
      </c>
      <c r="AA70" s="98" t="e">
        <f t="shared" si="15"/>
        <v>#REF!</v>
      </c>
      <c r="AC70" s="97" t="e">
        <f t="shared" si="8"/>
        <v>#REF!</v>
      </c>
      <c r="AD70" s="97" t="e">
        <f t="shared" si="9"/>
        <v>#REF!</v>
      </c>
      <c r="AE70" s="98" t="e">
        <f t="shared" si="16"/>
        <v>#REF!</v>
      </c>
      <c r="AF70" s="98" t="e">
        <f t="shared" si="16"/>
        <v>#REF!</v>
      </c>
      <c r="AH70" s="97" t="e">
        <f t="shared" si="11"/>
        <v>#REF!</v>
      </c>
      <c r="AI70" s="97" t="e">
        <f t="shared" si="12"/>
        <v>#REF!</v>
      </c>
      <c r="AJ70" s="98" t="e">
        <f t="shared" si="17"/>
        <v>#REF!</v>
      </c>
      <c r="AK70" s="98" t="e">
        <f t="shared" si="17"/>
        <v>#REF!</v>
      </c>
    </row>
    <row r="71" spans="1:37" ht="15" customHeight="1">
      <c r="A71" s="101"/>
      <c r="B71" s="107">
        <v>36</v>
      </c>
      <c r="C71" s="103"/>
      <c r="D71" s="104">
        <v>8.1950000000000003</v>
      </c>
      <c r="E71" s="105">
        <v>0.03</v>
      </c>
      <c r="F71" s="105">
        <v>-0.03</v>
      </c>
      <c r="G71" s="19">
        <f t="shared" si="0"/>
        <v>8.2249999999999996</v>
      </c>
      <c r="H71" s="25">
        <f t="shared" si="1"/>
        <v>8.1650000000000009</v>
      </c>
      <c r="I71" s="29"/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S71" s="97">
        <f t="shared" si="2"/>
        <v>0</v>
      </c>
      <c r="T71" s="97">
        <f t="shared" si="3"/>
        <v>0</v>
      </c>
      <c r="U71" s="98">
        <f t="shared" si="14"/>
        <v>8.1950000000000003</v>
      </c>
      <c r="V71" s="98">
        <f t="shared" si="14"/>
        <v>8.1950000000000003</v>
      </c>
      <c r="X71" s="97" t="e">
        <f t="shared" si="5"/>
        <v>#REF!</v>
      </c>
      <c r="Y71" s="97" t="e">
        <f t="shared" si="6"/>
        <v>#REF!</v>
      </c>
      <c r="Z71" s="98" t="e">
        <f t="shared" si="15"/>
        <v>#REF!</v>
      </c>
      <c r="AA71" s="98" t="e">
        <f t="shared" si="15"/>
        <v>#REF!</v>
      </c>
      <c r="AC71" s="97" t="e">
        <f t="shared" si="8"/>
        <v>#REF!</v>
      </c>
      <c r="AD71" s="97" t="e">
        <f t="shared" si="9"/>
        <v>#REF!</v>
      </c>
      <c r="AE71" s="98" t="e">
        <f t="shared" si="16"/>
        <v>#REF!</v>
      </c>
      <c r="AF71" s="98" t="e">
        <f t="shared" si="16"/>
        <v>#REF!</v>
      </c>
      <c r="AH71" s="97" t="e">
        <f t="shared" si="11"/>
        <v>#REF!</v>
      </c>
      <c r="AI71" s="97" t="e">
        <f t="shared" si="12"/>
        <v>#REF!</v>
      </c>
      <c r="AJ71" s="98" t="e">
        <f t="shared" si="17"/>
        <v>#REF!</v>
      </c>
      <c r="AK71" s="98" t="e">
        <f t="shared" si="17"/>
        <v>#REF!</v>
      </c>
    </row>
    <row r="72" spans="1:37" ht="15" customHeight="1">
      <c r="A72" s="101" t="s">
        <v>286</v>
      </c>
      <c r="B72" s="107" t="s">
        <v>261</v>
      </c>
      <c r="C72" s="103">
        <v>1.33</v>
      </c>
      <c r="D72" s="104">
        <v>0.626</v>
      </c>
      <c r="E72" s="105">
        <v>0.02</v>
      </c>
      <c r="F72" s="105">
        <v>-0.02</v>
      </c>
      <c r="G72" s="19">
        <f t="shared" si="0"/>
        <v>0.64600000000000002</v>
      </c>
      <c r="H72" s="25">
        <f t="shared" si="1"/>
        <v>0.60599999999999998</v>
      </c>
      <c r="I72" s="29"/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S72" s="97">
        <f t="shared" si="2"/>
        <v>0</v>
      </c>
      <c r="T72" s="97">
        <f t="shared" si="3"/>
        <v>0</v>
      </c>
      <c r="U72" s="98">
        <f t="shared" si="14"/>
        <v>0.626</v>
      </c>
      <c r="V72" s="98">
        <f t="shared" si="14"/>
        <v>0.626</v>
      </c>
      <c r="X72" s="97" t="e">
        <f t="shared" si="5"/>
        <v>#REF!</v>
      </c>
      <c r="Y72" s="97" t="e">
        <f t="shared" si="6"/>
        <v>#REF!</v>
      </c>
      <c r="Z72" s="98" t="e">
        <f t="shared" si="15"/>
        <v>#REF!</v>
      </c>
      <c r="AA72" s="98" t="e">
        <f t="shared" si="15"/>
        <v>#REF!</v>
      </c>
      <c r="AC72" s="97" t="e">
        <f t="shared" si="8"/>
        <v>#REF!</v>
      </c>
      <c r="AD72" s="97" t="e">
        <f t="shared" si="9"/>
        <v>#REF!</v>
      </c>
      <c r="AE72" s="98" t="e">
        <f t="shared" si="16"/>
        <v>#REF!</v>
      </c>
      <c r="AF72" s="98" t="e">
        <f t="shared" si="16"/>
        <v>#REF!</v>
      </c>
      <c r="AH72" s="97" t="e">
        <f t="shared" si="11"/>
        <v>#REF!</v>
      </c>
      <c r="AI72" s="97" t="e">
        <f t="shared" si="12"/>
        <v>#REF!</v>
      </c>
      <c r="AJ72" s="98" t="e">
        <f t="shared" si="17"/>
        <v>#REF!</v>
      </c>
      <c r="AK72" s="98" t="e">
        <f t="shared" si="17"/>
        <v>#REF!</v>
      </c>
    </row>
    <row r="73" spans="1:37" ht="15" customHeight="1">
      <c r="A73" s="101" t="s">
        <v>286</v>
      </c>
      <c r="B73" s="107" t="s">
        <v>120</v>
      </c>
      <c r="C73" s="103">
        <v>1.33</v>
      </c>
      <c r="D73" s="104">
        <v>0.626</v>
      </c>
      <c r="E73" s="105">
        <v>0.02</v>
      </c>
      <c r="F73" s="105">
        <v>-0.02</v>
      </c>
      <c r="G73" s="19">
        <f t="shared" si="0"/>
        <v>0.64600000000000002</v>
      </c>
      <c r="H73" s="25">
        <f t="shared" si="1"/>
        <v>0.60599999999999998</v>
      </c>
      <c r="I73" s="29"/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S73" s="97">
        <f t="shared" si="2"/>
        <v>0</v>
      </c>
      <c r="T73" s="97">
        <f t="shared" si="3"/>
        <v>0</v>
      </c>
      <c r="U73" s="98">
        <f t="shared" si="14"/>
        <v>0.626</v>
      </c>
      <c r="V73" s="98">
        <f t="shared" si="14"/>
        <v>0.626</v>
      </c>
      <c r="X73" s="97" t="e">
        <f t="shared" si="5"/>
        <v>#REF!</v>
      </c>
      <c r="Y73" s="97" t="e">
        <f t="shared" si="6"/>
        <v>#REF!</v>
      </c>
      <c r="Z73" s="98" t="e">
        <f t="shared" si="15"/>
        <v>#REF!</v>
      </c>
      <c r="AA73" s="98" t="e">
        <f t="shared" si="15"/>
        <v>#REF!</v>
      </c>
      <c r="AC73" s="97" t="e">
        <f t="shared" si="8"/>
        <v>#REF!</v>
      </c>
      <c r="AD73" s="97" t="e">
        <f t="shared" si="9"/>
        <v>#REF!</v>
      </c>
      <c r="AE73" s="98" t="e">
        <f t="shared" si="16"/>
        <v>#REF!</v>
      </c>
      <c r="AF73" s="98" t="e">
        <f t="shared" si="16"/>
        <v>#REF!</v>
      </c>
      <c r="AH73" s="97" t="e">
        <f t="shared" si="11"/>
        <v>#REF!</v>
      </c>
      <c r="AI73" s="97" t="e">
        <f t="shared" si="12"/>
        <v>#REF!</v>
      </c>
      <c r="AJ73" s="98" t="e">
        <f t="shared" si="17"/>
        <v>#REF!</v>
      </c>
      <c r="AK73" s="98" t="e">
        <f t="shared" si="17"/>
        <v>#REF!</v>
      </c>
    </row>
    <row r="74" spans="1:37" ht="15" customHeight="1">
      <c r="A74" s="87" t="s">
        <v>287</v>
      </c>
      <c r="B74" s="100" t="s">
        <v>76</v>
      </c>
      <c r="C74" s="86">
        <v>1.33</v>
      </c>
      <c r="D74" s="14">
        <v>1.9530000000000001</v>
      </c>
      <c r="E74" s="15">
        <v>0.03</v>
      </c>
      <c r="F74" s="15">
        <v>-0.03</v>
      </c>
      <c r="G74" s="19">
        <f t="shared" si="0"/>
        <v>1.9830000000000001</v>
      </c>
      <c r="H74" s="25">
        <f t="shared" si="1"/>
        <v>1.923</v>
      </c>
      <c r="I74" s="29"/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S74" s="97">
        <f t="shared" si="2"/>
        <v>0</v>
      </c>
      <c r="T74" s="97">
        <f t="shared" si="3"/>
        <v>0</v>
      </c>
      <c r="U74" s="98">
        <f t="shared" si="14"/>
        <v>1.9530000000000001</v>
      </c>
      <c r="V74" s="98">
        <f t="shared" si="14"/>
        <v>1.9530000000000001</v>
      </c>
      <c r="X74" s="97" t="e">
        <f t="shared" si="5"/>
        <v>#REF!</v>
      </c>
      <c r="Y74" s="97" t="e">
        <f t="shared" si="6"/>
        <v>#REF!</v>
      </c>
      <c r="Z74" s="98" t="e">
        <f t="shared" si="15"/>
        <v>#REF!</v>
      </c>
      <c r="AA74" s="98" t="e">
        <f t="shared" si="15"/>
        <v>#REF!</v>
      </c>
      <c r="AC74" s="97" t="e">
        <f t="shared" si="8"/>
        <v>#REF!</v>
      </c>
      <c r="AD74" s="97" t="e">
        <f t="shared" si="9"/>
        <v>#REF!</v>
      </c>
      <c r="AE74" s="98" t="e">
        <f t="shared" si="16"/>
        <v>#REF!</v>
      </c>
      <c r="AF74" s="98" t="e">
        <f t="shared" si="16"/>
        <v>#REF!</v>
      </c>
      <c r="AH74" s="97" t="e">
        <f t="shared" si="11"/>
        <v>#REF!</v>
      </c>
      <c r="AI74" s="97" t="e">
        <f t="shared" si="12"/>
        <v>#REF!</v>
      </c>
      <c r="AJ74" s="98" t="e">
        <f t="shared" si="17"/>
        <v>#REF!</v>
      </c>
      <c r="AK74" s="98" t="e">
        <f t="shared" si="17"/>
        <v>#REF!</v>
      </c>
    </row>
    <row r="75" spans="1:37" ht="15" customHeight="1">
      <c r="A75" s="101" t="s">
        <v>287</v>
      </c>
      <c r="B75" s="107" t="s">
        <v>77</v>
      </c>
      <c r="C75" s="103">
        <v>1.33</v>
      </c>
      <c r="D75" s="104">
        <v>1.9530000000000001</v>
      </c>
      <c r="E75" s="105">
        <v>0.03</v>
      </c>
      <c r="F75" s="105">
        <v>-0.03</v>
      </c>
      <c r="G75" s="19">
        <f t="shared" si="0"/>
        <v>1.9830000000000001</v>
      </c>
      <c r="H75" s="25">
        <f t="shared" si="1"/>
        <v>1.923</v>
      </c>
      <c r="I75" s="29"/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S75" s="97">
        <f t="shared" si="2"/>
        <v>0</v>
      </c>
      <c r="T75" s="97">
        <f t="shared" si="3"/>
        <v>0</v>
      </c>
      <c r="U75" s="98">
        <f t="shared" si="14"/>
        <v>1.9530000000000001</v>
      </c>
      <c r="V75" s="98">
        <f t="shared" si="14"/>
        <v>1.9530000000000001</v>
      </c>
      <c r="X75" s="97" t="e">
        <f t="shared" si="5"/>
        <v>#REF!</v>
      </c>
      <c r="Y75" s="97" t="e">
        <f t="shared" si="6"/>
        <v>#REF!</v>
      </c>
      <c r="Z75" s="98" t="e">
        <f t="shared" si="15"/>
        <v>#REF!</v>
      </c>
      <c r="AA75" s="98" t="e">
        <f t="shared" si="15"/>
        <v>#REF!</v>
      </c>
      <c r="AC75" s="97" t="e">
        <f t="shared" si="8"/>
        <v>#REF!</v>
      </c>
      <c r="AD75" s="97" t="e">
        <f t="shared" si="9"/>
        <v>#REF!</v>
      </c>
      <c r="AE75" s="98" t="e">
        <f t="shared" si="16"/>
        <v>#REF!</v>
      </c>
      <c r="AF75" s="98" t="e">
        <f t="shared" si="16"/>
        <v>#REF!</v>
      </c>
      <c r="AH75" s="97" t="e">
        <f t="shared" si="11"/>
        <v>#REF!</v>
      </c>
      <c r="AI75" s="97" t="e">
        <f t="shared" si="12"/>
        <v>#REF!</v>
      </c>
      <c r="AJ75" s="98" t="e">
        <f t="shared" si="17"/>
        <v>#REF!</v>
      </c>
      <c r="AK75" s="98" t="e">
        <f t="shared" si="17"/>
        <v>#REF!</v>
      </c>
    </row>
    <row r="76" spans="1:37" ht="15" customHeight="1">
      <c r="A76" s="101"/>
      <c r="B76" s="107" t="s">
        <v>288</v>
      </c>
      <c r="C76" s="103"/>
      <c r="D76" s="104">
        <v>2.9260000000000002</v>
      </c>
      <c r="E76" s="105">
        <v>0.03</v>
      </c>
      <c r="F76" s="105">
        <v>-0.03</v>
      </c>
      <c r="G76" s="19">
        <f t="shared" si="0"/>
        <v>2.956</v>
      </c>
      <c r="H76" s="25">
        <f t="shared" si="1"/>
        <v>2.8960000000000004</v>
      </c>
      <c r="I76" s="29"/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S76" s="97">
        <f t="shared" ref="S76:S139" si="18">IF($A76&lt;&gt;"(DC)", $E76*$R$7, $E76)</f>
        <v>0</v>
      </c>
      <c r="T76" s="97">
        <f t="shared" ref="T76:T139" si="19">IF($A76&lt;&gt;"(DC)", $F76*$R$7, $F76)</f>
        <v>0</v>
      </c>
      <c r="U76" s="98">
        <f t="shared" si="14"/>
        <v>2.9260000000000002</v>
      </c>
      <c r="V76" s="98">
        <f t="shared" si="14"/>
        <v>2.9260000000000002</v>
      </c>
      <c r="X76" s="97" t="e">
        <f t="shared" ref="X76:X139" si="20">IF($A76&lt;&gt;"(DC)", $E76*$W$7, $E76)</f>
        <v>#REF!</v>
      </c>
      <c r="Y76" s="97" t="e">
        <f t="shared" ref="Y76:Y139" si="21">IF($A76&lt;&gt;"(DC)", $F76*$W$7, $F76)</f>
        <v>#REF!</v>
      </c>
      <c r="Z76" s="98" t="e">
        <f t="shared" si="15"/>
        <v>#REF!</v>
      </c>
      <c r="AA76" s="98" t="e">
        <f t="shared" si="15"/>
        <v>#REF!</v>
      </c>
      <c r="AC76" s="97" t="e">
        <f t="shared" ref="AC76:AC139" si="22">IF($A76&lt;&gt;"(DC)", $E76*$AB$7, $E76)</f>
        <v>#REF!</v>
      </c>
      <c r="AD76" s="97" t="e">
        <f t="shared" ref="AD76:AD139" si="23">IF($A76&lt;&gt;"(DC)", $F76*$AB$7, $F76)</f>
        <v>#REF!</v>
      </c>
      <c r="AE76" s="98" t="e">
        <f t="shared" si="16"/>
        <v>#REF!</v>
      </c>
      <c r="AF76" s="98" t="e">
        <f t="shared" si="16"/>
        <v>#REF!</v>
      </c>
      <c r="AH76" s="97" t="e">
        <f t="shared" ref="AH76:AH139" si="24">IF($A76&lt;&gt;"(DC)", $E76*$AG$7, $E76)</f>
        <v>#REF!</v>
      </c>
      <c r="AI76" s="97" t="e">
        <f t="shared" ref="AI76:AI139" si="25">IF($A76&lt;&gt;"(DC)", $F76*$AG$7, $F76)</f>
        <v>#REF!</v>
      </c>
      <c r="AJ76" s="98" t="e">
        <f t="shared" si="17"/>
        <v>#REF!</v>
      </c>
      <c r="AK76" s="98" t="e">
        <f t="shared" si="17"/>
        <v>#REF!</v>
      </c>
    </row>
    <row r="77" spans="1:37" ht="15" customHeight="1">
      <c r="A77" s="101"/>
      <c r="B77" s="107"/>
      <c r="C77" s="103"/>
      <c r="D77" s="104"/>
      <c r="E77" s="105"/>
      <c r="F77" s="105"/>
      <c r="G77" s="19"/>
      <c r="H77" s="25"/>
      <c r="I77" s="29"/>
      <c r="J77" s="3"/>
      <c r="K77" s="3"/>
      <c r="L77" s="3"/>
      <c r="M77" s="3"/>
      <c r="N77" s="3"/>
      <c r="O77" s="3"/>
      <c r="P77" s="3"/>
      <c r="Q77" s="3"/>
      <c r="S77" s="97">
        <f t="shared" si="18"/>
        <v>0</v>
      </c>
      <c r="T77" s="97">
        <f t="shared" si="19"/>
        <v>0</v>
      </c>
      <c r="U77" s="98">
        <f t="shared" si="14"/>
        <v>0</v>
      </c>
      <c r="V77" s="98">
        <f t="shared" si="14"/>
        <v>0</v>
      </c>
      <c r="X77" s="97" t="e">
        <f t="shared" si="20"/>
        <v>#REF!</v>
      </c>
      <c r="Y77" s="97" t="e">
        <f t="shared" si="21"/>
        <v>#REF!</v>
      </c>
      <c r="Z77" s="98" t="e">
        <f t="shared" si="15"/>
        <v>#REF!</v>
      </c>
      <c r="AA77" s="98" t="e">
        <f t="shared" si="15"/>
        <v>#REF!</v>
      </c>
      <c r="AC77" s="97" t="e">
        <f t="shared" si="22"/>
        <v>#REF!</v>
      </c>
      <c r="AD77" s="97" t="e">
        <f t="shared" si="23"/>
        <v>#REF!</v>
      </c>
      <c r="AE77" s="98" t="e">
        <f t="shared" si="16"/>
        <v>#REF!</v>
      </c>
      <c r="AF77" s="98" t="e">
        <f t="shared" si="16"/>
        <v>#REF!</v>
      </c>
      <c r="AH77" s="97" t="e">
        <f t="shared" si="24"/>
        <v>#REF!</v>
      </c>
      <c r="AI77" s="97" t="e">
        <f t="shared" si="25"/>
        <v>#REF!</v>
      </c>
      <c r="AJ77" s="98" t="e">
        <f t="shared" si="17"/>
        <v>#REF!</v>
      </c>
      <c r="AK77" s="98" t="e">
        <f t="shared" si="17"/>
        <v>#REF!</v>
      </c>
    </row>
    <row r="78" spans="1:37" ht="15" customHeight="1">
      <c r="A78" s="101"/>
      <c r="B78" s="107"/>
      <c r="C78" s="103"/>
      <c r="D78" s="104"/>
      <c r="E78" s="105"/>
      <c r="F78" s="105"/>
      <c r="G78" s="19"/>
      <c r="H78" s="25"/>
      <c r="I78" s="29"/>
      <c r="J78" s="3"/>
      <c r="K78" s="3"/>
      <c r="L78" s="3"/>
      <c r="M78" s="3"/>
      <c r="N78" s="3"/>
      <c r="O78" s="3"/>
      <c r="P78" s="3"/>
      <c r="Q78" s="3"/>
      <c r="S78" s="97">
        <f t="shared" si="18"/>
        <v>0</v>
      </c>
      <c r="T78" s="97">
        <f t="shared" si="19"/>
        <v>0</v>
      </c>
      <c r="U78" s="98">
        <f t="shared" si="14"/>
        <v>0</v>
      </c>
      <c r="V78" s="98">
        <f t="shared" si="14"/>
        <v>0</v>
      </c>
      <c r="X78" s="97" t="e">
        <f t="shared" si="20"/>
        <v>#REF!</v>
      </c>
      <c r="Y78" s="97" t="e">
        <f t="shared" si="21"/>
        <v>#REF!</v>
      </c>
      <c r="Z78" s="98" t="e">
        <f t="shared" si="15"/>
        <v>#REF!</v>
      </c>
      <c r="AA78" s="98" t="e">
        <f t="shared" si="15"/>
        <v>#REF!</v>
      </c>
      <c r="AC78" s="97" t="e">
        <f t="shared" si="22"/>
        <v>#REF!</v>
      </c>
      <c r="AD78" s="97" t="e">
        <f t="shared" si="23"/>
        <v>#REF!</v>
      </c>
      <c r="AE78" s="98" t="e">
        <f t="shared" si="16"/>
        <v>#REF!</v>
      </c>
      <c r="AF78" s="98" t="e">
        <f t="shared" si="16"/>
        <v>#REF!</v>
      </c>
      <c r="AH78" s="97" t="e">
        <f t="shared" si="24"/>
        <v>#REF!</v>
      </c>
      <c r="AI78" s="97" t="e">
        <f t="shared" si="25"/>
        <v>#REF!</v>
      </c>
      <c r="AJ78" s="98" t="e">
        <f t="shared" si="17"/>
        <v>#REF!</v>
      </c>
      <c r="AK78" s="98" t="e">
        <f t="shared" si="17"/>
        <v>#REF!</v>
      </c>
    </row>
    <row r="79" spans="1:37" ht="15" customHeight="1">
      <c r="A79" s="101"/>
      <c r="B79" s="107"/>
      <c r="C79" s="103"/>
      <c r="D79" s="104"/>
      <c r="E79" s="105"/>
      <c r="F79" s="105"/>
      <c r="G79" s="19"/>
      <c r="H79" s="25"/>
      <c r="I79" s="29"/>
      <c r="J79" s="3"/>
      <c r="K79" s="3"/>
      <c r="L79" s="3"/>
      <c r="M79" s="3"/>
      <c r="N79" s="3"/>
      <c r="O79" s="3"/>
      <c r="P79" s="3"/>
      <c r="Q79" s="3"/>
      <c r="S79" s="97">
        <f t="shared" si="18"/>
        <v>0</v>
      </c>
      <c r="T79" s="97">
        <f t="shared" si="19"/>
        <v>0</v>
      </c>
      <c r="U79" s="98">
        <f t="shared" si="14"/>
        <v>0</v>
      </c>
      <c r="V79" s="98">
        <f t="shared" si="14"/>
        <v>0</v>
      </c>
      <c r="X79" s="97" t="e">
        <f t="shared" si="20"/>
        <v>#REF!</v>
      </c>
      <c r="Y79" s="97" t="e">
        <f t="shared" si="21"/>
        <v>#REF!</v>
      </c>
      <c r="Z79" s="98" t="e">
        <f t="shared" si="15"/>
        <v>#REF!</v>
      </c>
      <c r="AA79" s="98" t="e">
        <f t="shared" si="15"/>
        <v>#REF!</v>
      </c>
      <c r="AC79" s="97" t="e">
        <f t="shared" si="22"/>
        <v>#REF!</v>
      </c>
      <c r="AD79" s="97" t="e">
        <f t="shared" si="23"/>
        <v>#REF!</v>
      </c>
      <c r="AE79" s="98" t="e">
        <f t="shared" si="16"/>
        <v>#REF!</v>
      </c>
      <c r="AF79" s="98" t="e">
        <f t="shared" si="16"/>
        <v>#REF!</v>
      </c>
      <c r="AH79" s="97" t="e">
        <f t="shared" si="24"/>
        <v>#REF!</v>
      </c>
      <c r="AI79" s="97" t="e">
        <f t="shared" si="25"/>
        <v>#REF!</v>
      </c>
      <c r="AJ79" s="98" t="e">
        <f t="shared" si="17"/>
        <v>#REF!</v>
      </c>
      <c r="AK79" s="98" t="e">
        <f t="shared" si="17"/>
        <v>#REF!</v>
      </c>
    </row>
    <row r="80" spans="1:37" ht="15" customHeight="1">
      <c r="A80" s="101"/>
      <c r="B80" s="107"/>
      <c r="C80" s="103"/>
      <c r="D80" s="104"/>
      <c r="E80" s="105"/>
      <c r="F80" s="105"/>
      <c r="G80" s="19"/>
      <c r="H80" s="25"/>
      <c r="I80" s="29"/>
      <c r="J80" s="3"/>
      <c r="K80" s="3"/>
      <c r="L80" s="3"/>
      <c r="M80" s="3"/>
      <c r="N80" s="3"/>
      <c r="O80" s="3"/>
      <c r="P80" s="3"/>
      <c r="Q80" s="3"/>
      <c r="S80" s="97">
        <f t="shared" si="18"/>
        <v>0</v>
      </c>
      <c r="T80" s="97">
        <f t="shared" si="19"/>
        <v>0</v>
      </c>
      <c r="U80" s="98">
        <f t="shared" si="14"/>
        <v>0</v>
      </c>
      <c r="V80" s="98">
        <f t="shared" si="14"/>
        <v>0</v>
      </c>
      <c r="X80" s="97" t="e">
        <f t="shared" si="20"/>
        <v>#REF!</v>
      </c>
      <c r="Y80" s="97" t="e">
        <f t="shared" si="21"/>
        <v>#REF!</v>
      </c>
      <c r="Z80" s="98" t="e">
        <f t="shared" si="15"/>
        <v>#REF!</v>
      </c>
      <c r="AA80" s="98" t="e">
        <f t="shared" si="15"/>
        <v>#REF!</v>
      </c>
      <c r="AC80" s="97" t="e">
        <f t="shared" si="22"/>
        <v>#REF!</v>
      </c>
      <c r="AD80" s="97" t="e">
        <f t="shared" si="23"/>
        <v>#REF!</v>
      </c>
      <c r="AE80" s="98" t="e">
        <f t="shared" si="16"/>
        <v>#REF!</v>
      </c>
      <c r="AF80" s="98" t="e">
        <f t="shared" si="16"/>
        <v>#REF!</v>
      </c>
      <c r="AH80" s="97" t="e">
        <f t="shared" si="24"/>
        <v>#REF!</v>
      </c>
      <c r="AI80" s="97" t="e">
        <f t="shared" si="25"/>
        <v>#REF!</v>
      </c>
      <c r="AJ80" s="98" t="e">
        <f t="shared" si="17"/>
        <v>#REF!</v>
      </c>
      <c r="AK80" s="98" t="e">
        <f t="shared" si="17"/>
        <v>#REF!</v>
      </c>
    </row>
    <row r="81" spans="1:37" ht="15" customHeight="1">
      <c r="A81" s="101"/>
      <c r="B81" s="107">
        <v>41</v>
      </c>
      <c r="C81" s="103"/>
      <c r="D81" s="104">
        <v>2.8730000000000002</v>
      </c>
      <c r="E81" s="105">
        <v>0.03</v>
      </c>
      <c r="F81" s="105">
        <v>-0.03</v>
      </c>
      <c r="G81" s="19">
        <f t="shared" si="0"/>
        <v>2.903</v>
      </c>
      <c r="H81" s="25">
        <f t="shared" si="1"/>
        <v>2.8430000000000004</v>
      </c>
      <c r="I81" s="29"/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S81" s="97">
        <f t="shared" si="18"/>
        <v>0</v>
      </c>
      <c r="T81" s="97">
        <f t="shared" si="19"/>
        <v>0</v>
      </c>
      <c r="U81" s="98">
        <f t="shared" si="14"/>
        <v>2.8730000000000002</v>
      </c>
      <c r="V81" s="98">
        <f t="shared" si="14"/>
        <v>2.8730000000000002</v>
      </c>
      <c r="X81" s="97" t="e">
        <f t="shared" si="20"/>
        <v>#REF!</v>
      </c>
      <c r="Y81" s="97" t="e">
        <f t="shared" si="21"/>
        <v>#REF!</v>
      </c>
      <c r="Z81" s="98" t="e">
        <f t="shared" si="15"/>
        <v>#REF!</v>
      </c>
      <c r="AA81" s="98" t="e">
        <f t="shared" si="15"/>
        <v>#REF!</v>
      </c>
      <c r="AC81" s="97" t="e">
        <f t="shared" si="22"/>
        <v>#REF!</v>
      </c>
      <c r="AD81" s="97" t="e">
        <f t="shared" si="23"/>
        <v>#REF!</v>
      </c>
      <c r="AE81" s="98" t="e">
        <f t="shared" si="16"/>
        <v>#REF!</v>
      </c>
      <c r="AF81" s="98" t="e">
        <f t="shared" si="16"/>
        <v>#REF!</v>
      </c>
      <c r="AH81" s="97" t="e">
        <f t="shared" si="24"/>
        <v>#REF!</v>
      </c>
      <c r="AI81" s="97" t="e">
        <f t="shared" si="25"/>
        <v>#REF!</v>
      </c>
      <c r="AJ81" s="98" t="e">
        <f t="shared" si="17"/>
        <v>#REF!</v>
      </c>
      <c r="AK81" s="98" t="e">
        <f t="shared" si="17"/>
        <v>#REF!</v>
      </c>
    </row>
    <row r="82" spans="1:37" ht="15" customHeight="1">
      <c r="A82" s="101"/>
      <c r="B82" s="107">
        <v>42</v>
      </c>
      <c r="C82" s="103"/>
      <c r="D82" s="104">
        <v>0.97799999999999998</v>
      </c>
      <c r="E82" s="105">
        <v>0.03</v>
      </c>
      <c r="F82" s="105">
        <v>-0.03</v>
      </c>
      <c r="G82" s="19">
        <f t="shared" si="0"/>
        <v>1.008</v>
      </c>
      <c r="H82" s="25">
        <f t="shared" si="1"/>
        <v>0.94799999999999995</v>
      </c>
      <c r="I82" s="29"/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S82" s="97">
        <f t="shared" si="18"/>
        <v>0</v>
      </c>
      <c r="T82" s="97">
        <f t="shared" si="19"/>
        <v>0</v>
      </c>
      <c r="U82" s="98">
        <f t="shared" si="14"/>
        <v>0.97799999999999998</v>
      </c>
      <c r="V82" s="98">
        <f t="shared" si="14"/>
        <v>0.97799999999999998</v>
      </c>
      <c r="X82" s="97" t="e">
        <f t="shared" si="20"/>
        <v>#REF!</v>
      </c>
      <c r="Y82" s="97" t="e">
        <f t="shared" si="21"/>
        <v>#REF!</v>
      </c>
      <c r="Z82" s="98" t="e">
        <f t="shared" si="15"/>
        <v>#REF!</v>
      </c>
      <c r="AA82" s="98" t="e">
        <f t="shared" si="15"/>
        <v>#REF!</v>
      </c>
      <c r="AC82" s="97" t="e">
        <f t="shared" si="22"/>
        <v>#REF!</v>
      </c>
      <c r="AD82" s="97" t="e">
        <f t="shared" si="23"/>
        <v>#REF!</v>
      </c>
      <c r="AE82" s="98" t="e">
        <f t="shared" si="16"/>
        <v>#REF!</v>
      </c>
      <c r="AF82" s="98" t="e">
        <f t="shared" si="16"/>
        <v>#REF!</v>
      </c>
      <c r="AH82" s="97" t="e">
        <f t="shared" si="24"/>
        <v>#REF!</v>
      </c>
      <c r="AI82" s="97" t="e">
        <f t="shared" si="25"/>
        <v>#REF!</v>
      </c>
      <c r="AJ82" s="98" t="e">
        <f t="shared" si="17"/>
        <v>#REF!</v>
      </c>
      <c r="AK82" s="98" t="e">
        <f t="shared" si="17"/>
        <v>#REF!</v>
      </c>
    </row>
    <row r="83" spans="1:37" ht="15" customHeight="1">
      <c r="A83" s="101"/>
      <c r="B83" s="107">
        <v>43</v>
      </c>
      <c r="C83" s="103"/>
      <c r="D83" s="104">
        <v>0.98499999999999999</v>
      </c>
      <c r="E83" s="105">
        <v>0.03</v>
      </c>
      <c r="F83" s="105">
        <v>-0.03</v>
      </c>
      <c r="G83" s="19">
        <f t="shared" si="0"/>
        <v>1.0149999999999999</v>
      </c>
      <c r="H83" s="25">
        <f t="shared" si="1"/>
        <v>0.95499999999999996</v>
      </c>
      <c r="I83" s="29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S83" s="97">
        <f t="shared" si="18"/>
        <v>0</v>
      </c>
      <c r="T83" s="97">
        <f t="shared" si="19"/>
        <v>0</v>
      </c>
      <c r="U83" s="98">
        <f t="shared" si="14"/>
        <v>0.98499999999999999</v>
      </c>
      <c r="V83" s="98">
        <f t="shared" si="14"/>
        <v>0.98499999999999999</v>
      </c>
      <c r="X83" s="97" t="e">
        <f t="shared" si="20"/>
        <v>#REF!</v>
      </c>
      <c r="Y83" s="97" t="e">
        <f t="shared" si="21"/>
        <v>#REF!</v>
      </c>
      <c r="Z83" s="98" t="e">
        <f t="shared" si="15"/>
        <v>#REF!</v>
      </c>
      <c r="AA83" s="98" t="e">
        <f t="shared" si="15"/>
        <v>#REF!</v>
      </c>
      <c r="AC83" s="97" t="e">
        <f t="shared" si="22"/>
        <v>#REF!</v>
      </c>
      <c r="AD83" s="97" t="e">
        <f t="shared" si="23"/>
        <v>#REF!</v>
      </c>
      <c r="AE83" s="98" t="e">
        <f t="shared" si="16"/>
        <v>#REF!</v>
      </c>
      <c r="AF83" s="98" t="e">
        <f t="shared" si="16"/>
        <v>#REF!</v>
      </c>
      <c r="AH83" s="97" t="e">
        <f t="shared" si="24"/>
        <v>#REF!</v>
      </c>
      <c r="AI83" s="97" t="e">
        <f t="shared" si="25"/>
        <v>#REF!</v>
      </c>
      <c r="AJ83" s="98" t="e">
        <f t="shared" si="17"/>
        <v>#REF!</v>
      </c>
      <c r="AK83" s="98" t="e">
        <f t="shared" si="17"/>
        <v>#REF!</v>
      </c>
    </row>
    <row r="84" spans="1:37" ht="15" customHeight="1">
      <c r="A84" s="101"/>
      <c r="B84" s="107">
        <v>44</v>
      </c>
      <c r="C84" s="103"/>
      <c r="D84" s="104">
        <v>4.5339999999999998</v>
      </c>
      <c r="E84" s="105">
        <v>0.03</v>
      </c>
      <c r="F84" s="105">
        <v>-0.03</v>
      </c>
      <c r="G84" s="19">
        <f t="shared" si="0"/>
        <v>4.5640000000000001</v>
      </c>
      <c r="H84" s="25">
        <f t="shared" si="1"/>
        <v>4.5039999999999996</v>
      </c>
      <c r="I84" s="29"/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S84" s="97">
        <f t="shared" si="18"/>
        <v>0</v>
      </c>
      <c r="T84" s="97">
        <f t="shared" si="19"/>
        <v>0</v>
      </c>
      <c r="U84" s="98">
        <f t="shared" si="14"/>
        <v>4.5339999999999998</v>
      </c>
      <c r="V84" s="98">
        <f t="shared" si="14"/>
        <v>4.5339999999999998</v>
      </c>
      <c r="X84" s="97" t="e">
        <f t="shared" si="20"/>
        <v>#REF!</v>
      </c>
      <c r="Y84" s="97" t="e">
        <f t="shared" si="21"/>
        <v>#REF!</v>
      </c>
      <c r="Z84" s="98" t="e">
        <f t="shared" si="15"/>
        <v>#REF!</v>
      </c>
      <c r="AA84" s="98" t="e">
        <f t="shared" si="15"/>
        <v>#REF!</v>
      </c>
      <c r="AC84" s="97" t="e">
        <f t="shared" si="22"/>
        <v>#REF!</v>
      </c>
      <c r="AD84" s="97" t="e">
        <f t="shared" si="23"/>
        <v>#REF!</v>
      </c>
      <c r="AE84" s="98" t="e">
        <f t="shared" si="16"/>
        <v>#REF!</v>
      </c>
      <c r="AF84" s="98" t="e">
        <f t="shared" si="16"/>
        <v>#REF!</v>
      </c>
      <c r="AH84" s="97" t="e">
        <f t="shared" si="24"/>
        <v>#REF!</v>
      </c>
      <c r="AI84" s="97" t="e">
        <f t="shared" si="25"/>
        <v>#REF!</v>
      </c>
      <c r="AJ84" s="98" t="e">
        <f t="shared" si="17"/>
        <v>#REF!</v>
      </c>
      <c r="AK84" s="98" t="e">
        <f t="shared" si="17"/>
        <v>#REF!</v>
      </c>
    </row>
    <row r="85" spans="1:37" ht="15" customHeight="1">
      <c r="A85" s="87"/>
      <c r="B85" s="100">
        <v>45</v>
      </c>
      <c r="C85" s="86"/>
      <c r="D85" s="14">
        <v>6.9379999999999997</v>
      </c>
      <c r="E85" s="15">
        <v>0.03</v>
      </c>
      <c r="F85" s="15">
        <v>-0.03</v>
      </c>
      <c r="G85" s="19">
        <f t="shared" si="0"/>
        <v>6.968</v>
      </c>
      <c r="H85" s="25">
        <f t="shared" si="1"/>
        <v>6.9079999999999995</v>
      </c>
      <c r="I85" s="29"/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S85" s="97">
        <f t="shared" si="18"/>
        <v>0</v>
      </c>
      <c r="T85" s="97">
        <f t="shared" si="19"/>
        <v>0</v>
      </c>
      <c r="U85" s="98">
        <f t="shared" si="14"/>
        <v>6.9379999999999997</v>
      </c>
      <c r="V85" s="98">
        <f t="shared" si="14"/>
        <v>6.9379999999999997</v>
      </c>
      <c r="X85" s="97" t="e">
        <f t="shared" si="20"/>
        <v>#REF!</v>
      </c>
      <c r="Y85" s="97" t="e">
        <f t="shared" si="21"/>
        <v>#REF!</v>
      </c>
      <c r="Z85" s="98" t="e">
        <f t="shared" si="15"/>
        <v>#REF!</v>
      </c>
      <c r="AA85" s="98" t="e">
        <f t="shared" si="15"/>
        <v>#REF!</v>
      </c>
      <c r="AC85" s="97" t="e">
        <f t="shared" si="22"/>
        <v>#REF!</v>
      </c>
      <c r="AD85" s="97" t="e">
        <f t="shared" si="23"/>
        <v>#REF!</v>
      </c>
      <c r="AE85" s="98" t="e">
        <f t="shared" si="16"/>
        <v>#REF!</v>
      </c>
      <c r="AF85" s="98" t="e">
        <f t="shared" si="16"/>
        <v>#REF!</v>
      </c>
      <c r="AH85" s="97" t="e">
        <f t="shared" si="24"/>
        <v>#REF!</v>
      </c>
      <c r="AI85" s="97" t="e">
        <f t="shared" si="25"/>
        <v>#REF!</v>
      </c>
      <c r="AJ85" s="98" t="e">
        <f t="shared" si="17"/>
        <v>#REF!</v>
      </c>
      <c r="AK85" s="98" t="e">
        <f t="shared" si="17"/>
        <v>#REF!</v>
      </c>
    </row>
    <row r="86" spans="1:37" ht="15" customHeight="1">
      <c r="A86" s="87"/>
      <c r="B86" s="100">
        <v>46</v>
      </c>
      <c r="C86" s="86"/>
      <c r="D86" s="14">
        <v>0.61099999999999999</v>
      </c>
      <c r="E86" s="15">
        <v>0.03</v>
      </c>
      <c r="F86" s="15">
        <v>-0.03</v>
      </c>
      <c r="G86" s="19">
        <f t="shared" si="0"/>
        <v>0.64100000000000001</v>
      </c>
      <c r="H86" s="25">
        <f t="shared" si="1"/>
        <v>0.58099999999999996</v>
      </c>
      <c r="I86" s="29"/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S86" s="97">
        <f t="shared" si="18"/>
        <v>0</v>
      </c>
      <c r="T86" s="97">
        <f t="shared" si="19"/>
        <v>0</v>
      </c>
      <c r="U86" s="98">
        <f t="shared" si="14"/>
        <v>0.61099999999999999</v>
      </c>
      <c r="V86" s="98">
        <f t="shared" si="14"/>
        <v>0.61099999999999999</v>
      </c>
      <c r="X86" s="97" t="e">
        <f t="shared" si="20"/>
        <v>#REF!</v>
      </c>
      <c r="Y86" s="97" t="e">
        <f t="shared" si="21"/>
        <v>#REF!</v>
      </c>
      <c r="Z86" s="98" t="e">
        <f t="shared" si="15"/>
        <v>#REF!</v>
      </c>
      <c r="AA86" s="98" t="e">
        <f t="shared" si="15"/>
        <v>#REF!</v>
      </c>
      <c r="AC86" s="97" t="e">
        <f t="shared" si="22"/>
        <v>#REF!</v>
      </c>
      <c r="AD86" s="97" t="e">
        <f t="shared" si="23"/>
        <v>#REF!</v>
      </c>
      <c r="AE86" s="98" t="e">
        <f t="shared" si="16"/>
        <v>#REF!</v>
      </c>
      <c r="AF86" s="98" t="e">
        <f t="shared" si="16"/>
        <v>#REF!</v>
      </c>
      <c r="AH86" s="97" t="e">
        <f t="shared" si="24"/>
        <v>#REF!</v>
      </c>
      <c r="AI86" s="97" t="e">
        <f t="shared" si="25"/>
        <v>#REF!</v>
      </c>
      <c r="AJ86" s="98" t="e">
        <f t="shared" si="17"/>
        <v>#REF!</v>
      </c>
      <c r="AK86" s="98" t="e">
        <f t="shared" si="17"/>
        <v>#REF!</v>
      </c>
    </row>
    <row r="87" spans="1:37" ht="15" customHeight="1">
      <c r="A87" s="87"/>
      <c r="B87" s="100"/>
      <c r="C87" s="86"/>
      <c r="D87" s="14"/>
      <c r="E87" s="15"/>
      <c r="F87" s="15"/>
      <c r="G87" s="19"/>
      <c r="H87" s="25"/>
      <c r="I87" s="29"/>
      <c r="J87" s="3"/>
      <c r="K87" s="3"/>
      <c r="L87" s="3"/>
      <c r="M87" s="3"/>
      <c r="N87" s="3"/>
      <c r="O87" s="3"/>
      <c r="P87" s="3"/>
      <c r="Q87" s="3"/>
      <c r="S87" s="97">
        <f t="shared" si="18"/>
        <v>0</v>
      </c>
      <c r="T87" s="97">
        <f t="shared" si="19"/>
        <v>0</v>
      </c>
      <c r="U87" s="98">
        <f t="shared" si="14"/>
        <v>0</v>
      </c>
      <c r="V87" s="98">
        <f t="shared" si="14"/>
        <v>0</v>
      </c>
      <c r="X87" s="97" t="e">
        <f t="shared" si="20"/>
        <v>#REF!</v>
      </c>
      <c r="Y87" s="97" t="e">
        <f t="shared" si="21"/>
        <v>#REF!</v>
      </c>
      <c r="Z87" s="98" t="e">
        <f t="shared" si="15"/>
        <v>#REF!</v>
      </c>
      <c r="AA87" s="98" t="e">
        <f t="shared" si="15"/>
        <v>#REF!</v>
      </c>
      <c r="AC87" s="97" t="e">
        <f t="shared" si="22"/>
        <v>#REF!</v>
      </c>
      <c r="AD87" s="97" t="e">
        <f t="shared" si="23"/>
        <v>#REF!</v>
      </c>
      <c r="AE87" s="98" t="e">
        <f t="shared" si="16"/>
        <v>#REF!</v>
      </c>
      <c r="AF87" s="98" t="e">
        <f t="shared" si="16"/>
        <v>#REF!</v>
      </c>
      <c r="AH87" s="97" t="e">
        <f t="shared" si="24"/>
        <v>#REF!</v>
      </c>
      <c r="AI87" s="97" t="e">
        <f t="shared" si="25"/>
        <v>#REF!</v>
      </c>
      <c r="AJ87" s="98" t="e">
        <f t="shared" si="17"/>
        <v>#REF!</v>
      </c>
      <c r="AK87" s="98" t="e">
        <f t="shared" si="17"/>
        <v>#REF!</v>
      </c>
    </row>
    <row r="88" spans="1:37" ht="15" customHeight="1">
      <c r="A88" s="87"/>
      <c r="B88" s="100"/>
      <c r="C88" s="86"/>
      <c r="D88" s="14"/>
      <c r="E88" s="15"/>
      <c r="F88" s="15"/>
      <c r="G88" s="19"/>
      <c r="H88" s="25"/>
      <c r="I88" s="29"/>
      <c r="J88" s="3"/>
      <c r="K88" s="3"/>
      <c r="L88" s="3"/>
      <c r="M88" s="3"/>
      <c r="N88" s="3"/>
      <c r="O88" s="3"/>
      <c r="P88" s="3"/>
      <c r="Q88" s="3"/>
      <c r="S88" s="97">
        <f t="shared" si="18"/>
        <v>0</v>
      </c>
      <c r="T88" s="97">
        <f t="shared" si="19"/>
        <v>0</v>
      </c>
      <c r="U88" s="98">
        <f t="shared" si="14"/>
        <v>0</v>
      </c>
      <c r="V88" s="98">
        <f t="shared" si="14"/>
        <v>0</v>
      </c>
      <c r="X88" s="97" t="e">
        <f t="shared" si="20"/>
        <v>#REF!</v>
      </c>
      <c r="Y88" s="97" t="e">
        <f t="shared" si="21"/>
        <v>#REF!</v>
      </c>
      <c r="Z88" s="98" t="e">
        <f t="shared" si="15"/>
        <v>#REF!</v>
      </c>
      <c r="AA88" s="98" t="e">
        <f t="shared" si="15"/>
        <v>#REF!</v>
      </c>
      <c r="AC88" s="97" t="e">
        <f t="shared" si="22"/>
        <v>#REF!</v>
      </c>
      <c r="AD88" s="97" t="e">
        <f t="shared" si="23"/>
        <v>#REF!</v>
      </c>
      <c r="AE88" s="98" t="e">
        <f t="shared" si="16"/>
        <v>#REF!</v>
      </c>
      <c r="AF88" s="98" t="e">
        <f t="shared" si="16"/>
        <v>#REF!</v>
      </c>
      <c r="AH88" s="97" t="e">
        <f t="shared" si="24"/>
        <v>#REF!</v>
      </c>
      <c r="AI88" s="97" t="e">
        <f t="shared" si="25"/>
        <v>#REF!</v>
      </c>
      <c r="AJ88" s="98" t="e">
        <f t="shared" si="17"/>
        <v>#REF!</v>
      </c>
      <c r="AK88" s="98" t="e">
        <f t="shared" si="17"/>
        <v>#REF!</v>
      </c>
    </row>
    <row r="89" spans="1:37" ht="15" customHeight="1">
      <c r="A89" s="87"/>
      <c r="B89" s="100"/>
      <c r="C89" s="86"/>
      <c r="D89" s="14"/>
      <c r="E89" s="15"/>
      <c r="F89" s="15"/>
      <c r="G89" s="19"/>
      <c r="H89" s="25"/>
      <c r="I89" s="29"/>
      <c r="J89" s="3"/>
      <c r="K89" s="3"/>
      <c r="L89" s="3"/>
      <c r="M89" s="3"/>
      <c r="N89" s="3"/>
      <c r="O89" s="3"/>
      <c r="P89" s="3"/>
      <c r="Q89" s="3"/>
      <c r="S89" s="97">
        <f t="shared" si="18"/>
        <v>0</v>
      </c>
      <c r="T89" s="97">
        <f t="shared" si="19"/>
        <v>0</v>
      </c>
      <c r="U89" s="98">
        <f t="shared" si="14"/>
        <v>0</v>
      </c>
      <c r="V89" s="98">
        <f t="shared" si="14"/>
        <v>0</v>
      </c>
      <c r="X89" s="97" t="e">
        <f t="shared" si="20"/>
        <v>#REF!</v>
      </c>
      <c r="Y89" s="97" t="e">
        <f t="shared" si="21"/>
        <v>#REF!</v>
      </c>
      <c r="Z89" s="98" t="e">
        <f t="shared" si="15"/>
        <v>#REF!</v>
      </c>
      <c r="AA89" s="98" t="e">
        <f t="shared" si="15"/>
        <v>#REF!</v>
      </c>
      <c r="AC89" s="97" t="e">
        <f t="shared" si="22"/>
        <v>#REF!</v>
      </c>
      <c r="AD89" s="97" t="e">
        <f t="shared" si="23"/>
        <v>#REF!</v>
      </c>
      <c r="AE89" s="98" t="e">
        <f t="shared" si="16"/>
        <v>#REF!</v>
      </c>
      <c r="AF89" s="98" t="e">
        <f t="shared" si="16"/>
        <v>#REF!</v>
      </c>
      <c r="AH89" s="97" t="e">
        <f t="shared" si="24"/>
        <v>#REF!</v>
      </c>
      <c r="AI89" s="97" t="e">
        <f t="shared" si="25"/>
        <v>#REF!</v>
      </c>
      <c r="AJ89" s="98" t="e">
        <f t="shared" si="17"/>
        <v>#REF!</v>
      </c>
      <c r="AK89" s="98" t="e">
        <f t="shared" si="17"/>
        <v>#REF!</v>
      </c>
    </row>
    <row r="90" spans="1:37" ht="15" customHeight="1">
      <c r="A90" s="87" t="s">
        <v>263</v>
      </c>
      <c r="B90" s="100" t="s">
        <v>78</v>
      </c>
      <c r="C90" s="86">
        <v>1.33</v>
      </c>
      <c r="D90" s="14">
        <v>2.2429999999999999</v>
      </c>
      <c r="E90" s="15">
        <v>0.03</v>
      </c>
      <c r="F90" s="15">
        <v>-0.03</v>
      </c>
      <c r="G90" s="19">
        <f t="shared" si="0"/>
        <v>2.2729999999999997</v>
      </c>
      <c r="H90" s="25">
        <f t="shared" si="1"/>
        <v>2.2130000000000001</v>
      </c>
      <c r="I90" s="29"/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S90" s="97">
        <f t="shared" si="18"/>
        <v>0</v>
      </c>
      <c r="T90" s="97">
        <f t="shared" si="19"/>
        <v>0</v>
      </c>
      <c r="U90" s="98">
        <f t="shared" si="14"/>
        <v>2.2429999999999999</v>
      </c>
      <c r="V90" s="98">
        <f t="shared" si="14"/>
        <v>2.2429999999999999</v>
      </c>
      <c r="X90" s="97" t="e">
        <f t="shared" si="20"/>
        <v>#REF!</v>
      </c>
      <c r="Y90" s="97" t="e">
        <f t="shared" si="21"/>
        <v>#REF!</v>
      </c>
      <c r="Z90" s="98" t="e">
        <f t="shared" si="15"/>
        <v>#REF!</v>
      </c>
      <c r="AA90" s="98" t="e">
        <f t="shared" si="15"/>
        <v>#REF!</v>
      </c>
      <c r="AC90" s="97" t="e">
        <f t="shared" si="22"/>
        <v>#REF!</v>
      </c>
      <c r="AD90" s="97" t="e">
        <f t="shared" si="23"/>
        <v>#REF!</v>
      </c>
      <c r="AE90" s="98" t="e">
        <f t="shared" si="16"/>
        <v>#REF!</v>
      </c>
      <c r="AF90" s="98" t="e">
        <f t="shared" si="16"/>
        <v>#REF!</v>
      </c>
      <c r="AH90" s="97" t="e">
        <f t="shared" si="24"/>
        <v>#REF!</v>
      </c>
      <c r="AI90" s="97" t="e">
        <f t="shared" si="25"/>
        <v>#REF!</v>
      </c>
      <c r="AJ90" s="98" t="e">
        <f t="shared" si="17"/>
        <v>#REF!</v>
      </c>
      <c r="AK90" s="98" t="e">
        <f t="shared" si="17"/>
        <v>#REF!</v>
      </c>
    </row>
    <row r="91" spans="1:37" ht="15" customHeight="1">
      <c r="A91" s="87" t="s">
        <v>263</v>
      </c>
      <c r="B91" s="100" t="s">
        <v>79</v>
      </c>
      <c r="C91" s="86">
        <v>1.33</v>
      </c>
      <c r="D91" s="14">
        <v>2.2429999999999999</v>
      </c>
      <c r="E91" s="15">
        <v>0.03</v>
      </c>
      <c r="F91" s="15">
        <v>-0.03</v>
      </c>
      <c r="G91" s="19">
        <f t="shared" si="0"/>
        <v>2.2729999999999997</v>
      </c>
      <c r="H91" s="25">
        <f t="shared" si="1"/>
        <v>2.2130000000000001</v>
      </c>
      <c r="I91" s="28"/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S91" s="97">
        <f t="shared" si="18"/>
        <v>0</v>
      </c>
      <c r="T91" s="97">
        <f t="shared" si="19"/>
        <v>0</v>
      </c>
      <c r="U91" s="98">
        <f t="shared" si="14"/>
        <v>2.2429999999999999</v>
      </c>
      <c r="V91" s="98">
        <f t="shared" si="14"/>
        <v>2.2429999999999999</v>
      </c>
      <c r="X91" s="97" t="e">
        <f t="shared" si="20"/>
        <v>#REF!</v>
      </c>
      <c r="Y91" s="97" t="e">
        <f t="shared" si="21"/>
        <v>#REF!</v>
      </c>
      <c r="Z91" s="98" t="e">
        <f t="shared" si="15"/>
        <v>#REF!</v>
      </c>
      <c r="AA91" s="98" t="e">
        <f t="shared" si="15"/>
        <v>#REF!</v>
      </c>
      <c r="AC91" s="97" t="e">
        <f t="shared" si="22"/>
        <v>#REF!</v>
      </c>
      <c r="AD91" s="97" t="e">
        <f t="shared" si="23"/>
        <v>#REF!</v>
      </c>
      <c r="AE91" s="98" t="e">
        <f t="shared" si="16"/>
        <v>#REF!</v>
      </c>
      <c r="AF91" s="98" t="e">
        <f t="shared" si="16"/>
        <v>#REF!</v>
      </c>
      <c r="AH91" s="97" t="e">
        <f t="shared" si="24"/>
        <v>#REF!</v>
      </c>
      <c r="AI91" s="97" t="e">
        <f t="shared" si="25"/>
        <v>#REF!</v>
      </c>
      <c r="AJ91" s="98" t="e">
        <f t="shared" si="17"/>
        <v>#REF!</v>
      </c>
      <c r="AK91" s="98" t="e">
        <f t="shared" si="17"/>
        <v>#REF!</v>
      </c>
    </row>
    <row r="92" spans="1:37" ht="15" customHeight="1">
      <c r="A92" s="87" t="s">
        <v>263</v>
      </c>
      <c r="B92" s="100" t="s">
        <v>80</v>
      </c>
      <c r="C92" s="86">
        <v>1.33</v>
      </c>
      <c r="D92" s="14">
        <v>2.2429999999999999</v>
      </c>
      <c r="E92" s="15">
        <v>0.03</v>
      </c>
      <c r="F92" s="15">
        <v>-0.03</v>
      </c>
      <c r="G92" s="19">
        <f t="shared" si="0"/>
        <v>2.2729999999999997</v>
      </c>
      <c r="H92" s="25">
        <f t="shared" si="1"/>
        <v>2.2130000000000001</v>
      </c>
      <c r="I92" s="28"/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S92" s="97">
        <f t="shared" si="18"/>
        <v>0</v>
      </c>
      <c r="T92" s="97">
        <f t="shared" si="19"/>
        <v>0</v>
      </c>
      <c r="U92" s="98">
        <f t="shared" si="14"/>
        <v>2.2429999999999999</v>
      </c>
      <c r="V92" s="98">
        <f t="shared" si="14"/>
        <v>2.2429999999999999</v>
      </c>
      <c r="X92" s="97" t="e">
        <f t="shared" si="20"/>
        <v>#REF!</v>
      </c>
      <c r="Y92" s="97" t="e">
        <f t="shared" si="21"/>
        <v>#REF!</v>
      </c>
      <c r="Z92" s="98" t="e">
        <f t="shared" si="15"/>
        <v>#REF!</v>
      </c>
      <c r="AA92" s="98" t="e">
        <f t="shared" si="15"/>
        <v>#REF!</v>
      </c>
      <c r="AC92" s="97" t="e">
        <f t="shared" si="22"/>
        <v>#REF!</v>
      </c>
      <c r="AD92" s="97" t="e">
        <f t="shared" si="23"/>
        <v>#REF!</v>
      </c>
      <c r="AE92" s="98" t="e">
        <f t="shared" si="16"/>
        <v>#REF!</v>
      </c>
      <c r="AF92" s="98" t="e">
        <f t="shared" si="16"/>
        <v>#REF!</v>
      </c>
      <c r="AH92" s="97" t="e">
        <f t="shared" si="24"/>
        <v>#REF!</v>
      </c>
      <c r="AI92" s="97" t="e">
        <f t="shared" si="25"/>
        <v>#REF!</v>
      </c>
      <c r="AJ92" s="98" t="e">
        <f t="shared" si="17"/>
        <v>#REF!</v>
      </c>
      <c r="AK92" s="98" t="e">
        <f t="shared" si="17"/>
        <v>#REF!</v>
      </c>
    </row>
    <row r="93" spans="1:37" ht="15" customHeight="1">
      <c r="A93" s="87"/>
      <c r="B93" s="100">
        <v>49</v>
      </c>
      <c r="C93" s="86"/>
      <c r="D93" s="14"/>
      <c r="E93" s="15">
        <v>0.02</v>
      </c>
      <c r="F93" s="15"/>
      <c r="G93" s="19">
        <f t="shared" si="0"/>
        <v>0.02</v>
      </c>
      <c r="H93" s="25" t="str">
        <f t="shared" si="1"/>
        <v/>
      </c>
      <c r="I93" s="28"/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S93" s="97">
        <f t="shared" si="18"/>
        <v>0</v>
      </c>
      <c r="T93" s="97">
        <f t="shared" si="19"/>
        <v>0</v>
      </c>
      <c r="U93" s="98">
        <f t="shared" si="14"/>
        <v>0</v>
      </c>
      <c r="V93" s="98">
        <f t="shared" si="14"/>
        <v>0</v>
      </c>
      <c r="X93" s="97" t="e">
        <f t="shared" si="20"/>
        <v>#REF!</v>
      </c>
      <c r="Y93" s="97" t="e">
        <f t="shared" si="21"/>
        <v>#REF!</v>
      </c>
      <c r="Z93" s="98" t="e">
        <f t="shared" si="15"/>
        <v>#REF!</v>
      </c>
      <c r="AA93" s="98" t="e">
        <f t="shared" si="15"/>
        <v>#REF!</v>
      </c>
      <c r="AC93" s="97" t="e">
        <f t="shared" si="22"/>
        <v>#REF!</v>
      </c>
      <c r="AD93" s="97" t="e">
        <f t="shared" si="23"/>
        <v>#REF!</v>
      </c>
      <c r="AE93" s="98" t="e">
        <f t="shared" si="16"/>
        <v>#REF!</v>
      </c>
      <c r="AF93" s="98" t="e">
        <f t="shared" si="16"/>
        <v>#REF!</v>
      </c>
      <c r="AH93" s="97" t="e">
        <f t="shared" si="24"/>
        <v>#REF!</v>
      </c>
      <c r="AI93" s="97" t="e">
        <f t="shared" si="25"/>
        <v>#REF!</v>
      </c>
      <c r="AJ93" s="98" t="e">
        <f t="shared" si="17"/>
        <v>#REF!</v>
      </c>
      <c r="AK93" s="98" t="e">
        <f t="shared" si="17"/>
        <v>#REF!</v>
      </c>
    </row>
    <row r="94" spans="1:37" ht="15" customHeight="1">
      <c r="A94" s="87"/>
      <c r="B94" s="100"/>
      <c r="C94" s="86"/>
      <c r="D94" s="14"/>
      <c r="E94" s="15"/>
      <c r="F94" s="15"/>
      <c r="G94" s="19"/>
      <c r="H94" s="25"/>
      <c r="I94" s="28"/>
      <c r="J94" s="3"/>
      <c r="K94" s="3"/>
      <c r="L94" s="3"/>
      <c r="M94" s="3"/>
      <c r="N94" s="3"/>
      <c r="O94" s="3"/>
      <c r="P94" s="3"/>
      <c r="Q94" s="3"/>
      <c r="S94" s="97">
        <f t="shared" si="18"/>
        <v>0</v>
      </c>
      <c r="T94" s="97">
        <f t="shared" si="19"/>
        <v>0</v>
      </c>
      <c r="U94" s="98">
        <f t="shared" si="14"/>
        <v>0</v>
      </c>
      <c r="V94" s="98">
        <f t="shared" si="14"/>
        <v>0</v>
      </c>
      <c r="X94" s="97" t="e">
        <f t="shared" si="20"/>
        <v>#REF!</v>
      </c>
      <c r="Y94" s="97" t="e">
        <f t="shared" si="21"/>
        <v>#REF!</v>
      </c>
      <c r="Z94" s="98" t="e">
        <f t="shared" si="15"/>
        <v>#REF!</v>
      </c>
      <c r="AA94" s="98" t="e">
        <f t="shared" si="15"/>
        <v>#REF!</v>
      </c>
      <c r="AC94" s="97" t="e">
        <f t="shared" si="22"/>
        <v>#REF!</v>
      </c>
      <c r="AD94" s="97" t="e">
        <f t="shared" si="23"/>
        <v>#REF!</v>
      </c>
      <c r="AE94" s="98" t="e">
        <f t="shared" si="16"/>
        <v>#REF!</v>
      </c>
      <c r="AF94" s="98" t="e">
        <f t="shared" si="16"/>
        <v>#REF!</v>
      </c>
      <c r="AH94" s="97" t="e">
        <f t="shared" si="24"/>
        <v>#REF!</v>
      </c>
      <c r="AI94" s="97" t="e">
        <f t="shared" si="25"/>
        <v>#REF!</v>
      </c>
      <c r="AJ94" s="98" t="e">
        <f t="shared" si="17"/>
        <v>#REF!</v>
      </c>
      <c r="AK94" s="98" t="e">
        <f t="shared" si="17"/>
        <v>#REF!</v>
      </c>
    </row>
    <row r="95" spans="1:37" ht="15" customHeight="1">
      <c r="A95" s="87"/>
      <c r="B95" s="100"/>
      <c r="C95" s="86"/>
      <c r="D95" s="14"/>
      <c r="E95" s="15"/>
      <c r="F95" s="15"/>
      <c r="G95" s="19"/>
      <c r="H95" s="25"/>
      <c r="I95" s="28"/>
      <c r="J95" s="3"/>
      <c r="K95" s="3"/>
      <c r="L95" s="3"/>
      <c r="M95" s="3"/>
      <c r="N95" s="3"/>
      <c r="O95" s="3"/>
      <c r="P95" s="3"/>
      <c r="Q95" s="3"/>
      <c r="S95" s="97">
        <f t="shared" si="18"/>
        <v>0</v>
      </c>
      <c r="T95" s="97">
        <f t="shared" si="19"/>
        <v>0</v>
      </c>
      <c r="U95" s="98">
        <f t="shared" si="14"/>
        <v>0</v>
      </c>
      <c r="V95" s="98">
        <f t="shared" si="14"/>
        <v>0</v>
      </c>
      <c r="X95" s="97" t="e">
        <f t="shared" si="20"/>
        <v>#REF!</v>
      </c>
      <c r="Y95" s="97" t="e">
        <f t="shared" si="21"/>
        <v>#REF!</v>
      </c>
      <c r="Z95" s="98" t="e">
        <f t="shared" si="15"/>
        <v>#REF!</v>
      </c>
      <c r="AA95" s="98" t="e">
        <f t="shared" si="15"/>
        <v>#REF!</v>
      </c>
      <c r="AC95" s="97" t="e">
        <f t="shared" si="22"/>
        <v>#REF!</v>
      </c>
      <c r="AD95" s="97" t="e">
        <f t="shared" si="23"/>
        <v>#REF!</v>
      </c>
      <c r="AE95" s="98" t="e">
        <f t="shared" si="16"/>
        <v>#REF!</v>
      </c>
      <c r="AF95" s="98" t="e">
        <f t="shared" si="16"/>
        <v>#REF!</v>
      </c>
      <c r="AH95" s="97" t="e">
        <f t="shared" si="24"/>
        <v>#REF!</v>
      </c>
      <c r="AI95" s="97" t="e">
        <f t="shared" si="25"/>
        <v>#REF!</v>
      </c>
      <c r="AJ95" s="98" t="e">
        <f t="shared" si="17"/>
        <v>#REF!</v>
      </c>
      <c r="AK95" s="98" t="e">
        <f t="shared" si="17"/>
        <v>#REF!</v>
      </c>
    </row>
    <row r="96" spans="1:37" ht="15" customHeight="1">
      <c r="A96" s="87"/>
      <c r="B96" s="100"/>
      <c r="C96" s="86"/>
      <c r="D96" s="14"/>
      <c r="E96" s="15"/>
      <c r="F96" s="15"/>
      <c r="G96" s="19"/>
      <c r="H96" s="25"/>
      <c r="I96" s="28"/>
      <c r="J96" s="3"/>
      <c r="K96" s="3"/>
      <c r="L96" s="3"/>
      <c r="M96" s="3"/>
      <c r="N96" s="3"/>
      <c r="O96" s="3"/>
      <c r="P96" s="3"/>
      <c r="Q96" s="3"/>
      <c r="S96" s="97">
        <f t="shared" si="18"/>
        <v>0</v>
      </c>
      <c r="T96" s="97">
        <f t="shared" si="19"/>
        <v>0</v>
      </c>
      <c r="U96" s="98">
        <f t="shared" si="14"/>
        <v>0</v>
      </c>
      <c r="V96" s="98">
        <f t="shared" si="14"/>
        <v>0</v>
      </c>
      <c r="X96" s="97" t="e">
        <f t="shared" si="20"/>
        <v>#REF!</v>
      </c>
      <c r="Y96" s="97" t="e">
        <f t="shared" si="21"/>
        <v>#REF!</v>
      </c>
      <c r="Z96" s="98" t="e">
        <f t="shared" si="15"/>
        <v>#REF!</v>
      </c>
      <c r="AA96" s="98" t="e">
        <f t="shared" si="15"/>
        <v>#REF!</v>
      </c>
      <c r="AC96" s="97" t="e">
        <f t="shared" si="22"/>
        <v>#REF!</v>
      </c>
      <c r="AD96" s="97" t="e">
        <f t="shared" si="23"/>
        <v>#REF!</v>
      </c>
      <c r="AE96" s="98" t="e">
        <f t="shared" si="16"/>
        <v>#REF!</v>
      </c>
      <c r="AF96" s="98" t="e">
        <f t="shared" si="16"/>
        <v>#REF!</v>
      </c>
      <c r="AH96" s="97" t="e">
        <f t="shared" si="24"/>
        <v>#REF!</v>
      </c>
      <c r="AI96" s="97" t="e">
        <f t="shared" si="25"/>
        <v>#REF!</v>
      </c>
      <c r="AJ96" s="98" t="e">
        <f t="shared" si="17"/>
        <v>#REF!</v>
      </c>
      <c r="AK96" s="98" t="e">
        <f t="shared" si="17"/>
        <v>#REF!</v>
      </c>
    </row>
    <row r="97" spans="1:37" ht="15" customHeight="1">
      <c r="A97" s="87"/>
      <c r="B97" s="100"/>
      <c r="C97" s="86"/>
      <c r="D97" s="14"/>
      <c r="E97" s="15"/>
      <c r="F97" s="15"/>
      <c r="G97" s="19"/>
      <c r="H97" s="25"/>
      <c r="I97" s="28"/>
      <c r="J97" s="3"/>
      <c r="K97" s="3"/>
      <c r="L97" s="3"/>
      <c r="M97" s="3"/>
      <c r="N97" s="3"/>
      <c r="O97" s="3"/>
      <c r="P97" s="3"/>
      <c r="Q97" s="3"/>
      <c r="S97" s="97">
        <f t="shared" si="18"/>
        <v>0</v>
      </c>
      <c r="T97" s="97">
        <f t="shared" si="19"/>
        <v>0</v>
      </c>
      <c r="U97" s="98">
        <f t="shared" si="14"/>
        <v>0</v>
      </c>
      <c r="V97" s="98">
        <f t="shared" si="14"/>
        <v>0</v>
      </c>
      <c r="X97" s="97" t="e">
        <f t="shared" si="20"/>
        <v>#REF!</v>
      </c>
      <c r="Y97" s="97" t="e">
        <f t="shared" si="21"/>
        <v>#REF!</v>
      </c>
      <c r="Z97" s="98" t="e">
        <f t="shared" si="15"/>
        <v>#REF!</v>
      </c>
      <c r="AA97" s="98" t="e">
        <f t="shared" si="15"/>
        <v>#REF!</v>
      </c>
      <c r="AC97" s="97" t="e">
        <f t="shared" si="22"/>
        <v>#REF!</v>
      </c>
      <c r="AD97" s="97" t="e">
        <f t="shared" si="23"/>
        <v>#REF!</v>
      </c>
      <c r="AE97" s="98" t="e">
        <f t="shared" si="16"/>
        <v>#REF!</v>
      </c>
      <c r="AF97" s="98" t="e">
        <f t="shared" si="16"/>
        <v>#REF!</v>
      </c>
      <c r="AH97" s="97" t="e">
        <f t="shared" si="24"/>
        <v>#REF!</v>
      </c>
      <c r="AI97" s="97" t="e">
        <f t="shared" si="25"/>
        <v>#REF!</v>
      </c>
      <c r="AJ97" s="98" t="e">
        <f t="shared" si="17"/>
        <v>#REF!</v>
      </c>
      <c r="AK97" s="98" t="e">
        <f t="shared" si="17"/>
        <v>#REF!</v>
      </c>
    </row>
    <row r="98" spans="1:37" ht="15" customHeight="1">
      <c r="A98" s="87"/>
      <c r="B98" s="100" t="s">
        <v>289</v>
      </c>
      <c r="C98" s="86"/>
      <c r="D98" s="14">
        <v>3.7559999999999998</v>
      </c>
      <c r="E98" s="15">
        <v>0.02</v>
      </c>
      <c r="F98" s="15">
        <v>-0.02</v>
      </c>
      <c r="G98" s="19">
        <f t="shared" si="0"/>
        <v>3.7759999999999998</v>
      </c>
      <c r="H98" s="25">
        <f t="shared" si="1"/>
        <v>3.7359999999999998</v>
      </c>
      <c r="I98" s="28"/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S98" s="97">
        <f t="shared" si="18"/>
        <v>0</v>
      </c>
      <c r="T98" s="97">
        <f t="shared" si="19"/>
        <v>0</v>
      </c>
      <c r="U98" s="98">
        <f t="shared" si="14"/>
        <v>3.7559999999999998</v>
      </c>
      <c r="V98" s="98">
        <f t="shared" si="14"/>
        <v>3.7559999999999998</v>
      </c>
      <c r="X98" s="97" t="e">
        <f t="shared" si="20"/>
        <v>#REF!</v>
      </c>
      <c r="Y98" s="97" t="e">
        <f t="shared" si="21"/>
        <v>#REF!</v>
      </c>
      <c r="Z98" s="98" t="e">
        <f t="shared" si="15"/>
        <v>#REF!</v>
      </c>
      <c r="AA98" s="98" t="e">
        <f t="shared" si="15"/>
        <v>#REF!</v>
      </c>
      <c r="AC98" s="97" t="e">
        <f t="shared" si="22"/>
        <v>#REF!</v>
      </c>
      <c r="AD98" s="97" t="e">
        <f t="shared" si="23"/>
        <v>#REF!</v>
      </c>
      <c r="AE98" s="98" t="e">
        <f t="shared" si="16"/>
        <v>#REF!</v>
      </c>
      <c r="AF98" s="98" t="e">
        <f t="shared" si="16"/>
        <v>#REF!</v>
      </c>
      <c r="AH98" s="97" t="e">
        <f t="shared" si="24"/>
        <v>#REF!</v>
      </c>
      <c r="AI98" s="97" t="e">
        <f t="shared" si="25"/>
        <v>#REF!</v>
      </c>
      <c r="AJ98" s="98" t="e">
        <f t="shared" si="17"/>
        <v>#REF!</v>
      </c>
      <c r="AK98" s="98" t="e">
        <f t="shared" si="17"/>
        <v>#REF!</v>
      </c>
    </row>
    <row r="99" spans="1:37" ht="15" customHeight="1">
      <c r="A99" s="87"/>
      <c r="B99" s="100" t="s">
        <v>179</v>
      </c>
      <c r="C99" s="86"/>
      <c r="D99" s="14">
        <v>3.7559999999999998</v>
      </c>
      <c r="E99" s="15">
        <v>0.02</v>
      </c>
      <c r="F99" s="15">
        <v>-0.02</v>
      </c>
      <c r="G99" s="19">
        <f t="shared" si="0"/>
        <v>3.7759999999999998</v>
      </c>
      <c r="H99" s="25">
        <f t="shared" si="1"/>
        <v>3.7359999999999998</v>
      </c>
      <c r="I99" s="29"/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S99" s="97">
        <f t="shared" si="18"/>
        <v>0</v>
      </c>
      <c r="T99" s="97">
        <f t="shared" si="19"/>
        <v>0</v>
      </c>
      <c r="U99" s="98">
        <f t="shared" si="14"/>
        <v>3.7559999999999998</v>
      </c>
      <c r="V99" s="98">
        <f t="shared" si="14"/>
        <v>3.7559999999999998</v>
      </c>
      <c r="X99" s="97" t="e">
        <f t="shared" si="20"/>
        <v>#REF!</v>
      </c>
      <c r="Y99" s="97" t="e">
        <f t="shared" si="21"/>
        <v>#REF!</v>
      </c>
      <c r="Z99" s="98" t="e">
        <f t="shared" si="15"/>
        <v>#REF!</v>
      </c>
      <c r="AA99" s="98" t="e">
        <f t="shared" si="15"/>
        <v>#REF!</v>
      </c>
      <c r="AC99" s="97" t="e">
        <f t="shared" si="22"/>
        <v>#REF!</v>
      </c>
      <c r="AD99" s="97" t="e">
        <f t="shared" si="23"/>
        <v>#REF!</v>
      </c>
      <c r="AE99" s="98" t="e">
        <f t="shared" si="16"/>
        <v>#REF!</v>
      </c>
      <c r="AF99" s="98" t="e">
        <f t="shared" si="16"/>
        <v>#REF!</v>
      </c>
      <c r="AH99" s="97" t="e">
        <f t="shared" si="24"/>
        <v>#REF!</v>
      </c>
      <c r="AI99" s="97" t="e">
        <f t="shared" si="25"/>
        <v>#REF!</v>
      </c>
      <c r="AJ99" s="98" t="e">
        <f t="shared" si="17"/>
        <v>#REF!</v>
      </c>
      <c r="AK99" s="98" t="e">
        <f t="shared" si="17"/>
        <v>#REF!</v>
      </c>
    </row>
    <row r="100" spans="1:37" ht="15" customHeight="1">
      <c r="A100" s="84"/>
      <c r="B100" s="89" t="s">
        <v>290</v>
      </c>
      <c r="C100" s="86"/>
      <c r="D100" s="14">
        <v>3.7559999999999998</v>
      </c>
      <c r="E100" s="15">
        <v>0.02</v>
      </c>
      <c r="F100" s="15">
        <v>-0.02</v>
      </c>
      <c r="G100" s="19">
        <f t="shared" si="0"/>
        <v>3.7759999999999998</v>
      </c>
      <c r="H100" s="25">
        <f t="shared" si="1"/>
        <v>3.7359999999999998</v>
      </c>
      <c r="I100" s="29"/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S100" s="97">
        <f t="shared" si="18"/>
        <v>0</v>
      </c>
      <c r="T100" s="97">
        <f t="shared" si="19"/>
        <v>0</v>
      </c>
      <c r="U100" s="98">
        <f t="shared" si="14"/>
        <v>3.7559999999999998</v>
      </c>
      <c r="V100" s="98">
        <f t="shared" si="14"/>
        <v>3.7559999999999998</v>
      </c>
      <c r="X100" s="97" t="e">
        <f t="shared" si="20"/>
        <v>#REF!</v>
      </c>
      <c r="Y100" s="97" t="e">
        <f t="shared" si="21"/>
        <v>#REF!</v>
      </c>
      <c r="Z100" s="98" t="e">
        <f t="shared" si="15"/>
        <v>#REF!</v>
      </c>
      <c r="AA100" s="98" t="e">
        <f t="shared" si="15"/>
        <v>#REF!</v>
      </c>
      <c r="AC100" s="97" t="e">
        <f t="shared" si="22"/>
        <v>#REF!</v>
      </c>
      <c r="AD100" s="97" t="e">
        <f t="shared" si="23"/>
        <v>#REF!</v>
      </c>
      <c r="AE100" s="98" t="e">
        <f t="shared" si="16"/>
        <v>#REF!</v>
      </c>
      <c r="AF100" s="98" t="e">
        <f t="shared" si="16"/>
        <v>#REF!</v>
      </c>
      <c r="AH100" s="97" t="e">
        <f t="shared" si="24"/>
        <v>#REF!</v>
      </c>
      <c r="AI100" s="97" t="e">
        <f t="shared" si="25"/>
        <v>#REF!</v>
      </c>
      <c r="AJ100" s="98" t="e">
        <f t="shared" si="17"/>
        <v>#REF!</v>
      </c>
      <c r="AK100" s="98" t="e">
        <f t="shared" si="17"/>
        <v>#REF!</v>
      </c>
    </row>
    <row r="101" spans="1:37" ht="15" customHeight="1">
      <c r="A101" s="87"/>
      <c r="B101" s="100" t="s">
        <v>291</v>
      </c>
      <c r="C101" s="86"/>
      <c r="D101" s="14">
        <v>0.91</v>
      </c>
      <c r="E101" s="15">
        <v>0.02</v>
      </c>
      <c r="F101" s="15">
        <v>-0.02</v>
      </c>
      <c r="G101" s="19">
        <f t="shared" si="0"/>
        <v>0.93</v>
      </c>
      <c r="H101" s="25">
        <f t="shared" si="1"/>
        <v>0.89</v>
      </c>
      <c r="I101" s="28"/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S101" s="97">
        <f t="shared" si="18"/>
        <v>0</v>
      </c>
      <c r="T101" s="97">
        <f t="shared" si="19"/>
        <v>0</v>
      </c>
      <c r="U101" s="98">
        <f t="shared" si="14"/>
        <v>0.91</v>
      </c>
      <c r="V101" s="98">
        <f t="shared" si="14"/>
        <v>0.91</v>
      </c>
      <c r="X101" s="97" t="e">
        <f t="shared" si="20"/>
        <v>#REF!</v>
      </c>
      <c r="Y101" s="97" t="e">
        <f t="shared" si="21"/>
        <v>#REF!</v>
      </c>
      <c r="Z101" s="98" t="e">
        <f t="shared" si="15"/>
        <v>#REF!</v>
      </c>
      <c r="AA101" s="98" t="e">
        <f t="shared" si="15"/>
        <v>#REF!</v>
      </c>
      <c r="AC101" s="97" t="e">
        <f t="shared" si="22"/>
        <v>#REF!</v>
      </c>
      <c r="AD101" s="97" t="e">
        <f t="shared" si="23"/>
        <v>#REF!</v>
      </c>
      <c r="AE101" s="98" t="e">
        <f t="shared" si="16"/>
        <v>#REF!</v>
      </c>
      <c r="AF101" s="98" t="e">
        <f t="shared" si="16"/>
        <v>#REF!</v>
      </c>
      <c r="AH101" s="97" t="e">
        <f t="shared" si="24"/>
        <v>#REF!</v>
      </c>
      <c r="AI101" s="97" t="e">
        <f t="shared" si="25"/>
        <v>#REF!</v>
      </c>
      <c r="AJ101" s="98" t="e">
        <f t="shared" si="17"/>
        <v>#REF!</v>
      </c>
      <c r="AK101" s="98" t="e">
        <f t="shared" si="17"/>
        <v>#REF!</v>
      </c>
    </row>
    <row r="102" spans="1:37" ht="15" customHeight="1">
      <c r="A102" s="87"/>
      <c r="B102" s="100" t="s">
        <v>141</v>
      </c>
      <c r="C102" s="86"/>
      <c r="D102" s="14">
        <v>0.91</v>
      </c>
      <c r="E102" s="15">
        <v>0.02</v>
      </c>
      <c r="F102" s="15">
        <v>-0.02</v>
      </c>
      <c r="G102" s="19">
        <f t="shared" si="0"/>
        <v>0.93</v>
      </c>
      <c r="H102" s="25">
        <f t="shared" si="1"/>
        <v>0.89</v>
      </c>
      <c r="I102" s="28"/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S102" s="97">
        <f t="shared" si="18"/>
        <v>0</v>
      </c>
      <c r="T102" s="97">
        <f t="shared" si="19"/>
        <v>0</v>
      </c>
      <c r="U102" s="98">
        <f t="shared" si="14"/>
        <v>0.91</v>
      </c>
      <c r="V102" s="98">
        <f t="shared" si="14"/>
        <v>0.91</v>
      </c>
      <c r="X102" s="97" t="e">
        <f t="shared" si="20"/>
        <v>#REF!</v>
      </c>
      <c r="Y102" s="97" t="e">
        <f t="shared" si="21"/>
        <v>#REF!</v>
      </c>
      <c r="Z102" s="98" t="e">
        <f t="shared" si="15"/>
        <v>#REF!</v>
      </c>
      <c r="AA102" s="98" t="e">
        <f t="shared" si="15"/>
        <v>#REF!</v>
      </c>
      <c r="AC102" s="97" t="e">
        <f t="shared" si="22"/>
        <v>#REF!</v>
      </c>
      <c r="AD102" s="97" t="e">
        <f t="shared" si="23"/>
        <v>#REF!</v>
      </c>
      <c r="AE102" s="98" t="e">
        <f t="shared" si="16"/>
        <v>#REF!</v>
      </c>
      <c r="AF102" s="98" t="e">
        <f t="shared" si="16"/>
        <v>#REF!</v>
      </c>
      <c r="AH102" s="97" t="e">
        <f t="shared" si="24"/>
        <v>#REF!</v>
      </c>
      <c r="AI102" s="97" t="e">
        <f t="shared" si="25"/>
        <v>#REF!</v>
      </c>
      <c r="AJ102" s="98" t="e">
        <f t="shared" si="17"/>
        <v>#REF!</v>
      </c>
      <c r="AK102" s="98" t="e">
        <f t="shared" si="17"/>
        <v>#REF!</v>
      </c>
    </row>
    <row r="103" spans="1:37" ht="15" customHeight="1">
      <c r="A103" s="84"/>
      <c r="B103" s="89" t="s">
        <v>292</v>
      </c>
      <c r="C103" s="86"/>
      <c r="D103" s="14">
        <v>0.91</v>
      </c>
      <c r="E103" s="15">
        <v>0.02</v>
      </c>
      <c r="F103" s="15">
        <v>-0.02</v>
      </c>
      <c r="G103" s="19">
        <f t="shared" si="0"/>
        <v>0.93</v>
      </c>
      <c r="H103" s="25">
        <f t="shared" si="1"/>
        <v>0.89</v>
      </c>
      <c r="I103" s="29"/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S103" s="97">
        <f t="shared" si="18"/>
        <v>0</v>
      </c>
      <c r="T103" s="97">
        <f t="shared" si="19"/>
        <v>0</v>
      </c>
      <c r="U103" s="98">
        <f t="shared" si="14"/>
        <v>0.91</v>
      </c>
      <c r="V103" s="98">
        <f t="shared" si="14"/>
        <v>0.91</v>
      </c>
      <c r="X103" s="97" t="e">
        <f t="shared" si="20"/>
        <v>#REF!</v>
      </c>
      <c r="Y103" s="97" t="e">
        <f t="shared" si="21"/>
        <v>#REF!</v>
      </c>
      <c r="Z103" s="98" t="e">
        <f t="shared" si="15"/>
        <v>#REF!</v>
      </c>
      <c r="AA103" s="98" t="e">
        <f t="shared" si="15"/>
        <v>#REF!</v>
      </c>
      <c r="AC103" s="97" t="e">
        <f t="shared" si="22"/>
        <v>#REF!</v>
      </c>
      <c r="AD103" s="97" t="e">
        <f t="shared" si="23"/>
        <v>#REF!</v>
      </c>
      <c r="AE103" s="98" t="e">
        <f t="shared" si="16"/>
        <v>#REF!</v>
      </c>
      <c r="AF103" s="98" t="e">
        <f t="shared" si="16"/>
        <v>#REF!</v>
      </c>
      <c r="AH103" s="97" t="e">
        <f t="shared" si="24"/>
        <v>#REF!</v>
      </c>
      <c r="AI103" s="97" t="e">
        <f t="shared" si="25"/>
        <v>#REF!</v>
      </c>
      <c r="AJ103" s="98" t="e">
        <f t="shared" si="17"/>
        <v>#REF!</v>
      </c>
      <c r="AK103" s="98" t="e">
        <f t="shared" si="17"/>
        <v>#REF!</v>
      </c>
    </row>
    <row r="104" spans="1:37" ht="15" customHeight="1">
      <c r="A104" s="87" t="s">
        <v>293</v>
      </c>
      <c r="B104" s="99" t="s">
        <v>294</v>
      </c>
      <c r="C104" s="86">
        <v>1.33</v>
      </c>
      <c r="D104" s="14">
        <v>6.9059999999999997</v>
      </c>
      <c r="E104" s="15">
        <v>2.5000000000000001E-2</v>
      </c>
      <c r="F104" s="15">
        <v>-1.4999999999999999E-2</v>
      </c>
      <c r="G104" s="19">
        <f t="shared" si="0"/>
        <v>6.931</v>
      </c>
      <c r="H104" s="25">
        <f t="shared" si="1"/>
        <v>6.891</v>
      </c>
      <c r="I104" s="28"/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S104" s="97">
        <f t="shared" si="18"/>
        <v>0</v>
      </c>
      <c r="T104" s="97">
        <f t="shared" si="19"/>
        <v>0</v>
      </c>
      <c r="U104" s="98">
        <f t="shared" ref="U104:V169" si="26">IF(AND($D104="",S104=""),"",IF($D104="",S104,$D104+S104))</f>
        <v>6.9059999999999997</v>
      </c>
      <c r="V104" s="98">
        <f t="shared" si="26"/>
        <v>6.9059999999999997</v>
      </c>
      <c r="X104" s="97" t="e">
        <f t="shared" si="20"/>
        <v>#REF!</v>
      </c>
      <c r="Y104" s="97" t="e">
        <f t="shared" si="21"/>
        <v>#REF!</v>
      </c>
      <c r="Z104" s="98" t="e">
        <f t="shared" ref="Z104:AA169" si="27">IF(AND($D104="",X104=""),"",IF($D104="",X104,$D104+X104))</f>
        <v>#REF!</v>
      </c>
      <c r="AA104" s="98" t="e">
        <f t="shared" si="27"/>
        <v>#REF!</v>
      </c>
      <c r="AC104" s="97" t="e">
        <f t="shared" si="22"/>
        <v>#REF!</v>
      </c>
      <c r="AD104" s="97" t="e">
        <f t="shared" si="23"/>
        <v>#REF!</v>
      </c>
      <c r="AE104" s="98" t="e">
        <f t="shared" ref="AE104:AF169" si="28">IF(AND($D104="",AC104=""),"",IF($D104="",AC104,$D104+AC104))</f>
        <v>#REF!</v>
      </c>
      <c r="AF104" s="98" t="e">
        <f t="shared" si="28"/>
        <v>#REF!</v>
      </c>
      <c r="AH104" s="97" t="e">
        <f t="shared" si="24"/>
        <v>#REF!</v>
      </c>
      <c r="AI104" s="97" t="e">
        <f t="shared" si="25"/>
        <v>#REF!</v>
      </c>
      <c r="AJ104" s="98" t="e">
        <f t="shared" ref="AJ104:AK169" si="29">IF(AND($D104="",AH104=""),"",IF($D104="",AH104,$D104+AH104))</f>
        <v>#REF!</v>
      </c>
      <c r="AK104" s="98" t="e">
        <f t="shared" si="29"/>
        <v>#REF!</v>
      </c>
    </row>
    <row r="105" spans="1:37" ht="15" customHeight="1">
      <c r="A105" s="87" t="s">
        <v>293</v>
      </c>
      <c r="B105" s="99" t="s">
        <v>181</v>
      </c>
      <c r="C105" s="86">
        <v>1.33</v>
      </c>
      <c r="D105" s="14">
        <v>6.9059999999999997</v>
      </c>
      <c r="E105" s="15">
        <v>2.5000000000000001E-2</v>
      </c>
      <c r="F105" s="15">
        <v>-1.4999999999999999E-2</v>
      </c>
      <c r="G105" s="19">
        <f t="shared" si="0"/>
        <v>6.931</v>
      </c>
      <c r="H105" s="25">
        <f t="shared" si="1"/>
        <v>6.891</v>
      </c>
      <c r="I105" s="28"/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S105" s="97">
        <f t="shared" si="18"/>
        <v>0</v>
      </c>
      <c r="T105" s="97">
        <f t="shared" si="19"/>
        <v>0</v>
      </c>
      <c r="U105" s="98">
        <f t="shared" si="26"/>
        <v>6.9059999999999997</v>
      </c>
      <c r="V105" s="98">
        <f t="shared" si="26"/>
        <v>6.9059999999999997</v>
      </c>
      <c r="X105" s="97" t="e">
        <f t="shared" si="20"/>
        <v>#REF!</v>
      </c>
      <c r="Y105" s="97" t="e">
        <f t="shared" si="21"/>
        <v>#REF!</v>
      </c>
      <c r="Z105" s="98" t="e">
        <f t="shared" si="27"/>
        <v>#REF!</v>
      </c>
      <c r="AA105" s="98" t="e">
        <f t="shared" si="27"/>
        <v>#REF!</v>
      </c>
      <c r="AC105" s="97" t="e">
        <f t="shared" si="22"/>
        <v>#REF!</v>
      </c>
      <c r="AD105" s="97" t="e">
        <f t="shared" si="23"/>
        <v>#REF!</v>
      </c>
      <c r="AE105" s="98" t="e">
        <f t="shared" si="28"/>
        <v>#REF!</v>
      </c>
      <c r="AF105" s="98" t="e">
        <f t="shared" si="28"/>
        <v>#REF!</v>
      </c>
      <c r="AH105" s="97" t="e">
        <f t="shared" si="24"/>
        <v>#REF!</v>
      </c>
      <c r="AI105" s="97" t="e">
        <f t="shared" si="25"/>
        <v>#REF!</v>
      </c>
      <c r="AJ105" s="98" t="e">
        <f t="shared" si="29"/>
        <v>#REF!</v>
      </c>
      <c r="AK105" s="98" t="e">
        <f t="shared" si="29"/>
        <v>#REF!</v>
      </c>
    </row>
    <row r="106" spans="1:37" ht="15" customHeight="1">
      <c r="A106" s="87" t="s">
        <v>293</v>
      </c>
      <c r="B106" s="99" t="s">
        <v>295</v>
      </c>
      <c r="C106" s="86">
        <v>1.33</v>
      </c>
      <c r="D106" s="14">
        <v>6.9059999999999997</v>
      </c>
      <c r="E106" s="15">
        <v>2.5000000000000001E-2</v>
      </c>
      <c r="F106" s="15">
        <v>-1.4999999999999999E-2</v>
      </c>
      <c r="G106" s="19">
        <f t="shared" si="0"/>
        <v>6.931</v>
      </c>
      <c r="H106" s="25">
        <f t="shared" si="1"/>
        <v>6.891</v>
      </c>
      <c r="I106" s="28"/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S106" s="97">
        <f t="shared" si="18"/>
        <v>0</v>
      </c>
      <c r="T106" s="97">
        <f t="shared" si="19"/>
        <v>0</v>
      </c>
      <c r="U106" s="98">
        <f t="shared" si="26"/>
        <v>6.9059999999999997</v>
      </c>
      <c r="V106" s="98">
        <f t="shared" si="26"/>
        <v>6.9059999999999997</v>
      </c>
      <c r="X106" s="97" t="e">
        <f t="shared" si="20"/>
        <v>#REF!</v>
      </c>
      <c r="Y106" s="97" t="e">
        <f t="shared" si="21"/>
        <v>#REF!</v>
      </c>
      <c r="Z106" s="98" t="e">
        <f t="shared" si="27"/>
        <v>#REF!</v>
      </c>
      <c r="AA106" s="98" t="e">
        <f t="shared" si="27"/>
        <v>#REF!</v>
      </c>
      <c r="AC106" s="97" t="e">
        <f t="shared" si="22"/>
        <v>#REF!</v>
      </c>
      <c r="AD106" s="97" t="e">
        <f t="shared" si="23"/>
        <v>#REF!</v>
      </c>
      <c r="AE106" s="98" t="e">
        <f t="shared" si="28"/>
        <v>#REF!</v>
      </c>
      <c r="AF106" s="98" t="e">
        <f t="shared" si="28"/>
        <v>#REF!</v>
      </c>
      <c r="AH106" s="97" t="e">
        <f t="shared" si="24"/>
        <v>#REF!</v>
      </c>
      <c r="AI106" s="97" t="e">
        <f t="shared" si="25"/>
        <v>#REF!</v>
      </c>
      <c r="AJ106" s="98" t="e">
        <f t="shared" si="29"/>
        <v>#REF!</v>
      </c>
      <c r="AK106" s="98" t="e">
        <f t="shared" si="29"/>
        <v>#REF!</v>
      </c>
    </row>
    <row r="107" spans="1:37" ht="15" customHeight="1">
      <c r="A107" s="87"/>
      <c r="B107" s="99" t="s">
        <v>296</v>
      </c>
      <c r="C107" s="86"/>
      <c r="D107" s="14">
        <v>1.85</v>
      </c>
      <c r="E107" s="15">
        <v>0.02</v>
      </c>
      <c r="F107" s="15">
        <v>-0.02</v>
      </c>
      <c r="G107" s="19">
        <f t="shared" si="0"/>
        <v>1.87</v>
      </c>
      <c r="H107" s="25">
        <f t="shared" si="1"/>
        <v>1.83</v>
      </c>
      <c r="I107" s="29"/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S107" s="97">
        <f t="shared" si="18"/>
        <v>0</v>
      </c>
      <c r="T107" s="97">
        <f t="shared" si="19"/>
        <v>0</v>
      </c>
      <c r="U107" s="98">
        <f t="shared" si="26"/>
        <v>1.85</v>
      </c>
      <c r="V107" s="98">
        <f t="shared" si="26"/>
        <v>1.85</v>
      </c>
      <c r="X107" s="97" t="e">
        <f t="shared" si="20"/>
        <v>#REF!</v>
      </c>
      <c r="Y107" s="97" t="e">
        <f t="shared" si="21"/>
        <v>#REF!</v>
      </c>
      <c r="Z107" s="98" t="e">
        <f t="shared" si="27"/>
        <v>#REF!</v>
      </c>
      <c r="AA107" s="98" t="e">
        <f t="shared" si="27"/>
        <v>#REF!</v>
      </c>
      <c r="AC107" s="97" t="e">
        <f t="shared" si="22"/>
        <v>#REF!</v>
      </c>
      <c r="AD107" s="97" t="e">
        <f t="shared" si="23"/>
        <v>#REF!</v>
      </c>
      <c r="AE107" s="98" t="e">
        <f t="shared" si="28"/>
        <v>#REF!</v>
      </c>
      <c r="AF107" s="98" t="e">
        <f t="shared" si="28"/>
        <v>#REF!</v>
      </c>
      <c r="AH107" s="97" t="e">
        <f t="shared" si="24"/>
        <v>#REF!</v>
      </c>
      <c r="AI107" s="97" t="e">
        <f t="shared" si="25"/>
        <v>#REF!</v>
      </c>
      <c r="AJ107" s="98" t="e">
        <f t="shared" si="29"/>
        <v>#REF!</v>
      </c>
      <c r="AK107" s="98" t="e">
        <f t="shared" si="29"/>
        <v>#REF!</v>
      </c>
    </row>
    <row r="108" spans="1:37" ht="15" customHeight="1">
      <c r="A108" s="87"/>
      <c r="B108" s="100" t="s">
        <v>183</v>
      </c>
      <c r="C108" s="86"/>
      <c r="D108" s="14">
        <v>1.85</v>
      </c>
      <c r="E108" s="15">
        <v>0.02</v>
      </c>
      <c r="F108" s="15">
        <v>-0.02</v>
      </c>
      <c r="G108" s="19">
        <f t="shared" si="0"/>
        <v>1.87</v>
      </c>
      <c r="H108" s="25">
        <f t="shared" si="1"/>
        <v>1.83</v>
      </c>
      <c r="I108" s="29"/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S108" s="97">
        <f t="shared" si="18"/>
        <v>0</v>
      </c>
      <c r="T108" s="97">
        <f t="shared" si="19"/>
        <v>0</v>
      </c>
      <c r="U108" s="98">
        <f t="shared" si="26"/>
        <v>1.85</v>
      </c>
      <c r="V108" s="98">
        <f t="shared" si="26"/>
        <v>1.85</v>
      </c>
      <c r="X108" s="97" t="e">
        <f t="shared" si="20"/>
        <v>#REF!</v>
      </c>
      <c r="Y108" s="97" t="e">
        <f t="shared" si="21"/>
        <v>#REF!</v>
      </c>
      <c r="Z108" s="98" t="e">
        <f t="shared" si="27"/>
        <v>#REF!</v>
      </c>
      <c r="AA108" s="98" t="e">
        <f t="shared" si="27"/>
        <v>#REF!</v>
      </c>
      <c r="AC108" s="97" t="e">
        <f t="shared" si="22"/>
        <v>#REF!</v>
      </c>
      <c r="AD108" s="97" t="e">
        <f t="shared" si="23"/>
        <v>#REF!</v>
      </c>
      <c r="AE108" s="98" t="e">
        <f t="shared" si="28"/>
        <v>#REF!</v>
      </c>
      <c r="AF108" s="98" t="e">
        <f t="shared" si="28"/>
        <v>#REF!</v>
      </c>
      <c r="AH108" s="97" t="e">
        <f t="shared" si="24"/>
        <v>#REF!</v>
      </c>
      <c r="AI108" s="97" t="e">
        <f t="shared" si="25"/>
        <v>#REF!</v>
      </c>
      <c r="AJ108" s="98" t="e">
        <f t="shared" si="29"/>
        <v>#REF!</v>
      </c>
      <c r="AK108" s="98" t="e">
        <f t="shared" si="29"/>
        <v>#REF!</v>
      </c>
    </row>
    <row r="109" spans="1:37" ht="15" customHeight="1">
      <c r="A109" s="87"/>
      <c r="B109" s="100"/>
      <c r="C109" s="86"/>
      <c r="D109" s="14"/>
      <c r="E109" s="15"/>
      <c r="F109" s="15"/>
      <c r="G109" s="19"/>
      <c r="H109" s="25"/>
      <c r="I109" s="29"/>
      <c r="J109" s="3"/>
      <c r="K109" s="3"/>
      <c r="L109" s="3"/>
      <c r="M109" s="3"/>
      <c r="N109" s="3"/>
      <c r="O109" s="3"/>
      <c r="P109" s="3"/>
      <c r="Q109" s="3"/>
      <c r="S109" s="97">
        <f t="shared" si="18"/>
        <v>0</v>
      </c>
      <c r="T109" s="97">
        <f t="shared" si="19"/>
        <v>0</v>
      </c>
      <c r="U109" s="98">
        <f t="shared" si="26"/>
        <v>0</v>
      </c>
      <c r="V109" s="98">
        <f t="shared" si="26"/>
        <v>0</v>
      </c>
      <c r="X109" s="97" t="e">
        <f t="shared" si="20"/>
        <v>#REF!</v>
      </c>
      <c r="Y109" s="97" t="e">
        <f t="shared" si="21"/>
        <v>#REF!</v>
      </c>
      <c r="Z109" s="98" t="e">
        <f t="shared" si="27"/>
        <v>#REF!</v>
      </c>
      <c r="AA109" s="98" t="e">
        <f t="shared" si="27"/>
        <v>#REF!</v>
      </c>
      <c r="AC109" s="97" t="e">
        <f t="shared" si="22"/>
        <v>#REF!</v>
      </c>
      <c r="AD109" s="97" t="e">
        <f t="shared" si="23"/>
        <v>#REF!</v>
      </c>
      <c r="AE109" s="98" t="e">
        <f t="shared" si="28"/>
        <v>#REF!</v>
      </c>
      <c r="AF109" s="98" t="e">
        <f t="shared" si="28"/>
        <v>#REF!</v>
      </c>
      <c r="AH109" s="97" t="e">
        <f t="shared" si="24"/>
        <v>#REF!</v>
      </c>
      <c r="AI109" s="97" t="e">
        <f t="shared" si="25"/>
        <v>#REF!</v>
      </c>
      <c r="AJ109" s="98" t="e">
        <f t="shared" si="29"/>
        <v>#REF!</v>
      </c>
      <c r="AK109" s="98" t="e">
        <f t="shared" si="29"/>
        <v>#REF!</v>
      </c>
    </row>
    <row r="110" spans="1:37" ht="15" customHeight="1">
      <c r="A110" s="87"/>
      <c r="B110" s="100"/>
      <c r="C110" s="86"/>
      <c r="D110" s="14"/>
      <c r="E110" s="15"/>
      <c r="F110" s="15"/>
      <c r="G110" s="19"/>
      <c r="H110" s="25"/>
      <c r="I110" s="29"/>
      <c r="J110" s="3"/>
      <c r="K110" s="3"/>
      <c r="L110" s="3"/>
      <c r="M110" s="3"/>
      <c r="N110" s="3"/>
      <c r="O110" s="3"/>
      <c r="P110" s="3"/>
      <c r="Q110" s="3"/>
      <c r="S110" s="97">
        <f t="shared" si="18"/>
        <v>0</v>
      </c>
      <c r="T110" s="97">
        <f t="shared" si="19"/>
        <v>0</v>
      </c>
      <c r="U110" s="98">
        <f t="shared" si="26"/>
        <v>0</v>
      </c>
      <c r="V110" s="98">
        <f t="shared" si="26"/>
        <v>0</v>
      </c>
      <c r="X110" s="97" t="e">
        <f t="shared" si="20"/>
        <v>#REF!</v>
      </c>
      <c r="Y110" s="97" t="e">
        <f t="shared" si="21"/>
        <v>#REF!</v>
      </c>
      <c r="Z110" s="98" t="e">
        <f t="shared" si="27"/>
        <v>#REF!</v>
      </c>
      <c r="AA110" s="98" t="e">
        <f t="shared" si="27"/>
        <v>#REF!</v>
      </c>
      <c r="AC110" s="97" t="e">
        <f t="shared" si="22"/>
        <v>#REF!</v>
      </c>
      <c r="AD110" s="97" t="e">
        <f t="shared" si="23"/>
        <v>#REF!</v>
      </c>
      <c r="AE110" s="98" t="e">
        <f t="shared" si="28"/>
        <v>#REF!</v>
      </c>
      <c r="AF110" s="98" t="e">
        <f t="shared" si="28"/>
        <v>#REF!</v>
      </c>
      <c r="AH110" s="97" t="e">
        <f t="shared" si="24"/>
        <v>#REF!</v>
      </c>
      <c r="AI110" s="97" t="e">
        <f t="shared" si="25"/>
        <v>#REF!</v>
      </c>
      <c r="AJ110" s="98" t="e">
        <f t="shared" si="29"/>
        <v>#REF!</v>
      </c>
      <c r="AK110" s="98" t="e">
        <f t="shared" si="29"/>
        <v>#REF!</v>
      </c>
    </row>
    <row r="111" spans="1:37" ht="15" customHeight="1">
      <c r="A111" s="87"/>
      <c r="B111" s="100"/>
      <c r="C111" s="86"/>
      <c r="D111" s="14"/>
      <c r="E111" s="15"/>
      <c r="F111" s="15"/>
      <c r="G111" s="19"/>
      <c r="H111" s="25"/>
      <c r="I111" s="29"/>
      <c r="J111" s="3"/>
      <c r="K111" s="3"/>
      <c r="L111" s="3"/>
      <c r="M111" s="3"/>
      <c r="N111" s="3"/>
      <c r="O111" s="3"/>
      <c r="P111" s="3"/>
      <c r="Q111" s="3"/>
      <c r="S111" s="97">
        <f t="shared" si="18"/>
        <v>0</v>
      </c>
      <c r="T111" s="97">
        <f t="shared" si="19"/>
        <v>0</v>
      </c>
      <c r="U111" s="98">
        <f t="shared" si="26"/>
        <v>0</v>
      </c>
      <c r="V111" s="98">
        <f t="shared" si="26"/>
        <v>0</v>
      </c>
      <c r="X111" s="97" t="e">
        <f t="shared" si="20"/>
        <v>#REF!</v>
      </c>
      <c r="Y111" s="97" t="e">
        <f t="shared" si="21"/>
        <v>#REF!</v>
      </c>
      <c r="Z111" s="98" t="e">
        <f t="shared" si="27"/>
        <v>#REF!</v>
      </c>
      <c r="AA111" s="98" t="e">
        <f t="shared" si="27"/>
        <v>#REF!</v>
      </c>
      <c r="AC111" s="97" t="e">
        <f t="shared" si="22"/>
        <v>#REF!</v>
      </c>
      <c r="AD111" s="97" t="e">
        <f t="shared" si="23"/>
        <v>#REF!</v>
      </c>
      <c r="AE111" s="98" t="e">
        <f t="shared" si="28"/>
        <v>#REF!</v>
      </c>
      <c r="AF111" s="98" t="e">
        <f t="shared" si="28"/>
        <v>#REF!</v>
      </c>
      <c r="AH111" s="97" t="e">
        <f t="shared" si="24"/>
        <v>#REF!</v>
      </c>
      <c r="AI111" s="97" t="e">
        <f t="shared" si="25"/>
        <v>#REF!</v>
      </c>
      <c r="AJ111" s="98" t="e">
        <f t="shared" si="29"/>
        <v>#REF!</v>
      </c>
      <c r="AK111" s="98" t="e">
        <f t="shared" si="29"/>
        <v>#REF!</v>
      </c>
    </row>
    <row r="112" spans="1:37" ht="15" customHeight="1">
      <c r="A112" s="87"/>
      <c r="B112" s="100"/>
      <c r="C112" s="86"/>
      <c r="D112" s="14"/>
      <c r="E112" s="15"/>
      <c r="F112" s="15"/>
      <c r="G112" s="19"/>
      <c r="H112" s="25"/>
      <c r="I112" s="29"/>
      <c r="J112" s="3"/>
      <c r="K112" s="3"/>
      <c r="L112" s="3"/>
      <c r="M112" s="3"/>
      <c r="N112" s="3"/>
      <c r="O112" s="3"/>
      <c r="P112" s="3"/>
      <c r="Q112" s="3"/>
      <c r="S112" s="97">
        <f t="shared" si="18"/>
        <v>0</v>
      </c>
      <c r="T112" s="97">
        <f t="shared" si="19"/>
        <v>0</v>
      </c>
      <c r="U112" s="98">
        <f t="shared" si="26"/>
        <v>0</v>
      </c>
      <c r="V112" s="98">
        <f t="shared" si="26"/>
        <v>0</v>
      </c>
      <c r="X112" s="97" t="e">
        <f t="shared" si="20"/>
        <v>#REF!</v>
      </c>
      <c r="Y112" s="97" t="e">
        <f t="shared" si="21"/>
        <v>#REF!</v>
      </c>
      <c r="Z112" s="98" t="e">
        <f t="shared" si="27"/>
        <v>#REF!</v>
      </c>
      <c r="AA112" s="98" t="e">
        <f t="shared" si="27"/>
        <v>#REF!</v>
      </c>
      <c r="AC112" s="97" t="e">
        <f t="shared" si="22"/>
        <v>#REF!</v>
      </c>
      <c r="AD112" s="97" t="e">
        <f t="shared" si="23"/>
        <v>#REF!</v>
      </c>
      <c r="AE112" s="98" t="e">
        <f t="shared" si="28"/>
        <v>#REF!</v>
      </c>
      <c r="AF112" s="98" t="e">
        <f t="shared" si="28"/>
        <v>#REF!</v>
      </c>
      <c r="AH112" s="97" t="e">
        <f t="shared" si="24"/>
        <v>#REF!</v>
      </c>
      <c r="AI112" s="97" t="e">
        <f t="shared" si="25"/>
        <v>#REF!</v>
      </c>
      <c r="AJ112" s="98" t="e">
        <f t="shared" si="29"/>
        <v>#REF!</v>
      </c>
      <c r="AK112" s="98" t="e">
        <f t="shared" si="29"/>
        <v>#REF!</v>
      </c>
    </row>
    <row r="113" spans="1:37" ht="15" customHeight="1">
      <c r="A113" s="87"/>
      <c r="B113" s="100"/>
      <c r="C113" s="86"/>
      <c r="D113" s="14"/>
      <c r="E113" s="15"/>
      <c r="F113" s="15"/>
      <c r="G113" s="19"/>
      <c r="H113" s="25"/>
      <c r="I113" s="29"/>
      <c r="J113" s="3"/>
      <c r="K113" s="3"/>
      <c r="L113" s="3"/>
      <c r="M113" s="3"/>
      <c r="N113" s="3"/>
      <c r="O113" s="3"/>
      <c r="P113" s="3"/>
      <c r="Q113" s="3"/>
      <c r="S113" s="97">
        <f t="shared" si="18"/>
        <v>0</v>
      </c>
      <c r="T113" s="97">
        <f t="shared" si="19"/>
        <v>0</v>
      </c>
      <c r="U113" s="98">
        <f t="shared" si="26"/>
        <v>0</v>
      </c>
      <c r="V113" s="98">
        <f t="shared" si="26"/>
        <v>0</v>
      </c>
      <c r="X113" s="97" t="e">
        <f t="shared" si="20"/>
        <v>#REF!</v>
      </c>
      <c r="Y113" s="97" t="e">
        <f t="shared" si="21"/>
        <v>#REF!</v>
      </c>
      <c r="Z113" s="98" t="e">
        <f t="shared" si="27"/>
        <v>#REF!</v>
      </c>
      <c r="AA113" s="98" t="e">
        <f t="shared" si="27"/>
        <v>#REF!</v>
      </c>
      <c r="AC113" s="97" t="e">
        <f t="shared" si="22"/>
        <v>#REF!</v>
      </c>
      <c r="AD113" s="97" t="e">
        <f t="shared" si="23"/>
        <v>#REF!</v>
      </c>
      <c r="AE113" s="98" t="e">
        <f t="shared" si="28"/>
        <v>#REF!</v>
      </c>
      <c r="AF113" s="98" t="e">
        <f t="shared" si="28"/>
        <v>#REF!</v>
      </c>
      <c r="AH113" s="97" t="e">
        <f t="shared" si="24"/>
        <v>#REF!</v>
      </c>
      <c r="AI113" s="97" t="e">
        <f t="shared" si="25"/>
        <v>#REF!</v>
      </c>
      <c r="AJ113" s="98" t="e">
        <f t="shared" si="29"/>
        <v>#REF!</v>
      </c>
      <c r="AK113" s="98" t="e">
        <f t="shared" si="29"/>
        <v>#REF!</v>
      </c>
    </row>
    <row r="114" spans="1:37" ht="15" customHeight="1">
      <c r="A114" s="87"/>
      <c r="B114" s="100"/>
      <c r="C114" s="86"/>
      <c r="D114" s="14"/>
      <c r="E114" s="15"/>
      <c r="F114" s="15"/>
      <c r="G114" s="19"/>
      <c r="H114" s="25"/>
      <c r="I114" s="29"/>
      <c r="J114" s="3"/>
      <c r="K114" s="3"/>
      <c r="L114" s="3"/>
      <c r="M114" s="3"/>
      <c r="N114" s="3"/>
      <c r="O114" s="3"/>
      <c r="P114" s="3"/>
      <c r="Q114" s="3"/>
      <c r="S114" s="97">
        <f t="shared" si="18"/>
        <v>0</v>
      </c>
      <c r="T114" s="97">
        <f t="shared" si="19"/>
        <v>0</v>
      </c>
      <c r="U114" s="98">
        <f t="shared" si="26"/>
        <v>0</v>
      </c>
      <c r="V114" s="98">
        <f t="shared" si="26"/>
        <v>0</v>
      </c>
      <c r="X114" s="97" t="e">
        <f t="shared" si="20"/>
        <v>#REF!</v>
      </c>
      <c r="Y114" s="97" t="e">
        <f t="shared" si="21"/>
        <v>#REF!</v>
      </c>
      <c r="Z114" s="98" t="e">
        <f t="shared" si="27"/>
        <v>#REF!</v>
      </c>
      <c r="AA114" s="98" t="e">
        <f t="shared" si="27"/>
        <v>#REF!</v>
      </c>
      <c r="AC114" s="97" t="e">
        <f t="shared" si="22"/>
        <v>#REF!</v>
      </c>
      <c r="AD114" s="97" t="e">
        <f t="shared" si="23"/>
        <v>#REF!</v>
      </c>
      <c r="AE114" s="98" t="e">
        <f t="shared" si="28"/>
        <v>#REF!</v>
      </c>
      <c r="AF114" s="98" t="e">
        <f t="shared" si="28"/>
        <v>#REF!</v>
      </c>
      <c r="AH114" s="97" t="e">
        <f t="shared" si="24"/>
        <v>#REF!</v>
      </c>
      <c r="AI114" s="97" t="e">
        <f t="shared" si="25"/>
        <v>#REF!</v>
      </c>
      <c r="AJ114" s="98" t="e">
        <f t="shared" si="29"/>
        <v>#REF!</v>
      </c>
      <c r="AK114" s="98" t="e">
        <f t="shared" si="29"/>
        <v>#REF!</v>
      </c>
    </row>
    <row r="115" spans="1:37" ht="15" customHeight="1">
      <c r="A115" s="87"/>
      <c r="B115" s="100"/>
      <c r="C115" s="86"/>
      <c r="D115" s="14"/>
      <c r="E115" s="15"/>
      <c r="F115" s="15"/>
      <c r="G115" s="19"/>
      <c r="H115" s="25"/>
      <c r="I115" s="29"/>
      <c r="J115" s="3"/>
      <c r="K115" s="3"/>
      <c r="L115" s="3"/>
      <c r="M115" s="3"/>
      <c r="N115" s="3"/>
      <c r="O115" s="3"/>
      <c r="P115" s="3"/>
      <c r="Q115" s="3"/>
      <c r="S115" s="97">
        <f t="shared" si="18"/>
        <v>0</v>
      </c>
      <c r="T115" s="97">
        <f t="shared" si="19"/>
        <v>0</v>
      </c>
      <c r="U115" s="98">
        <f t="shared" si="26"/>
        <v>0</v>
      </c>
      <c r="V115" s="98">
        <f t="shared" si="26"/>
        <v>0</v>
      </c>
      <c r="X115" s="97" t="e">
        <f t="shared" si="20"/>
        <v>#REF!</v>
      </c>
      <c r="Y115" s="97" t="e">
        <f t="shared" si="21"/>
        <v>#REF!</v>
      </c>
      <c r="Z115" s="98" t="e">
        <f t="shared" si="27"/>
        <v>#REF!</v>
      </c>
      <c r="AA115" s="98" t="e">
        <f t="shared" si="27"/>
        <v>#REF!</v>
      </c>
      <c r="AC115" s="97" t="e">
        <f t="shared" si="22"/>
        <v>#REF!</v>
      </c>
      <c r="AD115" s="97" t="e">
        <f t="shared" si="23"/>
        <v>#REF!</v>
      </c>
      <c r="AE115" s="98" t="e">
        <f t="shared" si="28"/>
        <v>#REF!</v>
      </c>
      <c r="AF115" s="98" t="e">
        <f t="shared" si="28"/>
        <v>#REF!</v>
      </c>
      <c r="AH115" s="97" t="e">
        <f t="shared" si="24"/>
        <v>#REF!</v>
      </c>
      <c r="AI115" s="97" t="e">
        <f t="shared" si="25"/>
        <v>#REF!</v>
      </c>
      <c r="AJ115" s="98" t="e">
        <f t="shared" si="29"/>
        <v>#REF!</v>
      </c>
      <c r="AK115" s="98" t="e">
        <f t="shared" si="29"/>
        <v>#REF!</v>
      </c>
    </row>
    <row r="116" spans="1:37" ht="15" customHeight="1">
      <c r="A116" s="87"/>
      <c r="B116" s="100"/>
      <c r="C116" s="86"/>
      <c r="D116" s="14"/>
      <c r="E116" s="15"/>
      <c r="F116" s="15"/>
      <c r="G116" s="19"/>
      <c r="H116" s="25"/>
      <c r="I116" s="29"/>
      <c r="J116" s="3"/>
      <c r="K116" s="3"/>
      <c r="L116" s="3"/>
      <c r="M116" s="3"/>
      <c r="N116" s="3"/>
      <c r="O116" s="3"/>
      <c r="P116" s="3"/>
      <c r="Q116" s="3"/>
      <c r="S116" s="97">
        <f t="shared" si="18"/>
        <v>0</v>
      </c>
      <c r="T116" s="97">
        <f t="shared" si="19"/>
        <v>0</v>
      </c>
      <c r="U116" s="98">
        <f t="shared" si="26"/>
        <v>0</v>
      </c>
      <c r="V116" s="98">
        <f t="shared" si="26"/>
        <v>0</v>
      </c>
      <c r="X116" s="97" t="e">
        <f t="shared" si="20"/>
        <v>#REF!</v>
      </c>
      <c r="Y116" s="97" t="e">
        <f t="shared" si="21"/>
        <v>#REF!</v>
      </c>
      <c r="Z116" s="98" t="e">
        <f t="shared" si="27"/>
        <v>#REF!</v>
      </c>
      <c r="AA116" s="98" t="e">
        <f t="shared" si="27"/>
        <v>#REF!</v>
      </c>
      <c r="AC116" s="97" t="e">
        <f t="shared" si="22"/>
        <v>#REF!</v>
      </c>
      <c r="AD116" s="97" t="e">
        <f t="shared" si="23"/>
        <v>#REF!</v>
      </c>
      <c r="AE116" s="98" t="e">
        <f t="shared" si="28"/>
        <v>#REF!</v>
      </c>
      <c r="AF116" s="98" t="e">
        <f t="shared" si="28"/>
        <v>#REF!</v>
      </c>
      <c r="AH116" s="97" t="e">
        <f t="shared" si="24"/>
        <v>#REF!</v>
      </c>
      <c r="AI116" s="97" t="e">
        <f t="shared" si="25"/>
        <v>#REF!</v>
      </c>
      <c r="AJ116" s="98" t="e">
        <f t="shared" si="29"/>
        <v>#REF!</v>
      </c>
      <c r="AK116" s="98" t="e">
        <f t="shared" si="29"/>
        <v>#REF!</v>
      </c>
    </row>
    <row r="117" spans="1:37" ht="15" customHeight="1">
      <c r="A117" s="87"/>
      <c r="B117" s="100"/>
      <c r="C117" s="86"/>
      <c r="D117" s="14"/>
      <c r="E117" s="15"/>
      <c r="F117" s="15"/>
      <c r="G117" s="19"/>
      <c r="H117" s="25"/>
      <c r="I117" s="29"/>
      <c r="J117" s="3"/>
      <c r="K117" s="3"/>
      <c r="L117" s="3"/>
      <c r="M117" s="3"/>
      <c r="N117" s="3"/>
      <c r="O117" s="3"/>
      <c r="P117" s="3"/>
      <c r="Q117" s="3"/>
      <c r="S117" s="97">
        <f t="shared" si="18"/>
        <v>0</v>
      </c>
      <c r="T117" s="97">
        <f t="shared" si="19"/>
        <v>0</v>
      </c>
      <c r="U117" s="98">
        <f t="shared" si="26"/>
        <v>0</v>
      </c>
      <c r="V117" s="98">
        <f t="shared" si="26"/>
        <v>0</v>
      </c>
      <c r="X117" s="97" t="e">
        <f t="shared" si="20"/>
        <v>#REF!</v>
      </c>
      <c r="Y117" s="97" t="e">
        <f t="shared" si="21"/>
        <v>#REF!</v>
      </c>
      <c r="Z117" s="98" t="e">
        <f t="shared" si="27"/>
        <v>#REF!</v>
      </c>
      <c r="AA117" s="98" t="e">
        <f t="shared" si="27"/>
        <v>#REF!</v>
      </c>
      <c r="AC117" s="97" t="e">
        <f t="shared" si="22"/>
        <v>#REF!</v>
      </c>
      <c r="AD117" s="97" t="e">
        <f t="shared" si="23"/>
        <v>#REF!</v>
      </c>
      <c r="AE117" s="98" t="e">
        <f t="shared" si="28"/>
        <v>#REF!</v>
      </c>
      <c r="AF117" s="98" t="e">
        <f t="shared" si="28"/>
        <v>#REF!</v>
      </c>
      <c r="AH117" s="97" t="e">
        <f t="shared" si="24"/>
        <v>#REF!</v>
      </c>
      <c r="AI117" s="97" t="e">
        <f t="shared" si="25"/>
        <v>#REF!</v>
      </c>
      <c r="AJ117" s="98" t="e">
        <f t="shared" si="29"/>
        <v>#REF!</v>
      </c>
      <c r="AK117" s="98" t="e">
        <f t="shared" si="29"/>
        <v>#REF!</v>
      </c>
    </row>
    <row r="118" spans="1:37" ht="15" customHeight="1">
      <c r="A118" s="87"/>
      <c r="B118" s="100"/>
      <c r="C118" s="86"/>
      <c r="D118" s="14"/>
      <c r="E118" s="15"/>
      <c r="F118" s="15"/>
      <c r="G118" s="19"/>
      <c r="H118" s="25"/>
      <c r="I118" s="29"/>
      <c r="J118" s="3"/>
      <c r="K118" s="3"/>
      <c r="L118" s="3"/>
      <c r="M118" s="3"/>
      <c r="N118" s="3"/>
      <c r="O118" s="3"/>
      <c r="P118" s="3"/>
      <c r="Q118" s="3"/>
      <c r="S118" s="97">
        <f t="shared" si="18"/>
        <v>0</v>
      </c>
      <c r="T118" s="97">
        <f t="shared" si="19"/>
        <v>0</v>
      </c>
      <c r="U118" s="98">
        <f t="shared" si="26"/>
        <v>0</v>
      </c>
      <c r="V118" s="98">
        <f t="shared" si="26"/>
        <v>0</v>
      </c>
      <c r="X118" s="97" t="e">
        <f t="shared" si="20"/>
        <v>#REF!</v>
      </c>
      <c r="Y118" s="97" t="e">
        <f t="shared" si="21"/>
        <v>#REF!</v>
      </c>
      <c r="Z118" s="98" t="e">
        <f t="shared" si="27"/>
        <v>#REF!</v>
      </c>
      <c r="AA118" s="98" t="e">
        <f t="shared" si="27"/>
        <v>#REF!</v>
      </c>
      <c r="AC118" s="97" t="e">
        <f t="shared" si="22"/>
        <v>#REF!</v>
      </c>
      <c r="AD118" s="97" t="e">
        <f t="shared" si="23"/>
        <v>#REF!</v>
      </c>
      <c r="AE118" s="98" t="e">
        <f t="shared" si="28"/>
        <v>#REF!</v>
      </c>
      <c r="AF118" s="98" t="e">
        <f t="shared" si="28"/>
        <v>#REF!</v>
      </c>
      <c r="AH118" s="97" t="e">
        <f t="shared" si="24"/>
        <v>#REF!</v>
      </c>
      <c r="AI118" s="97" t="e">
        <f t="shared" si="25"/>
        <v>#REF!</v>
      </c>
      <c r="AJ118" s="98" t="e">
        <f t="shared" si="29"/>
        <v>#REF!</v>
      </c>
      <c r="AK118" s="98" t="e">
        <f t="shared" si="29"/>
        <v>#REF!</v>
      </c>
    </row>
    <row r="119" spans="1:37" ht="15" customHeight="1">
      <c r="A119" s="87"/>
      <c r="B119" s="100"/>
      <c r="C119" s="86"/>
      <c r="D119" s="14"/>
      <c r="E119" s="15"/>
      <c r="F119" s="15"/>
      <c r="G119" s="19"/>
      <c r="H119" s="25"/>
      <c r="I119" s="29"/>
      <c r="J119" s="3"/>
      <c r="K119" s="3"/>
      <c r="L119" s="3"/>
      <c r="M119" s="3"/>
      <c r="N119" s="3"/>
      <c r="O119" s="3"/>
      <c r="P119" s="3"/>
      <c r="Q119" s="3"/>
      <c r="S119" s="97">
        <f t="shared" si="18"/>
        <v>0</v>
      </c>
      <c r="T119" s="97">
        <f t="shared" si="19"/>
        <v>0</v>
      </c>
      <c r="U119" s="98">
        <f t="shared" si="26"/>
        <v>0</v>
      </c>
      <c r="V119" s="98">
        <f t="shared" si="26"/>
        <v>0</v>
      </c>
      <c r="X119" s="97" t="e">
        <f t="shared" si="20"/>
        <v>#REF!</v>
      </c>
      <c r="Y119" s="97" t="e">
        <f t="shared" si="21"/>
        <v>#REF!</v>
      </c>
      <c r="Z119" s="98" t="e">
        <f t="shared" si="27"/>
        <v>#REF!</v>
      </c>
      <c r="AA119" s="98" t="e">
        <f t="shared" si="27"/>
        <v>#REF!</v>
      </c>
      <c r="AC119" s="97" t="e">
        <f t="shared" si="22"/>
        <v>#REF!</v>
      </c>
      <c r="AD119" s="97" t="e">
        <f t="shared" si="23"/>
        <v>#REF!</v>
      </c>
      <c r="AE119" s="98" t="e">
        <f t="shared" si="28"/>
        <v>#REF!</v>
      </c>
      <c r="AF119" s="98" t="e">
        <f t="shared" si="28"/>
        <v>#REF!</v>
      </c>
      <c r="AH119" s="97" t="e">
        <f t="shared" si="24"/>
        <v>#REF!</v>
      </c>
      <c r="AI119" s="97" t="e">
        <f t="shared" si="25"/>
        <v>#REF!</v>
      </c>
      <c r="AJ119" s="98" t="e">
        <f t="shared" si="29"/>
        <v>#REF!</v>
      </c>
      <c r="AK119" s="98" t="e">
        <f t="shared" si="29"/>
        <v>#REF!</v>
      </c>
    </row>
    <row r="120" spans="1:37" ht="15" customHeight="1">
      <c r="A120" s="87"/>
      <c r="B120" s="100"/>
      <c r="C120" s="86"/>
      <c r="D120" s="14"/>
      <c r="E120" s="15"/>
      <c r="F120" s="15"/>
      <c r="G120" s="19"/>
      <c r="H120" s="25"/>
      <c r="I120" s="29"/>
      <c r="J120" s="3"/>
      <c r="K120" s="3"/>
      <c r="L120" s="3"/>
      <c r="M120" s="3"/>
      <c r="N120" s="3"/>
      <c r="O120" s="3"/>
      <c r="P120" s="3"/>
      <c r="Q120" s="3"/>
      <c r="S120" s="97">
        <f t="shared" si="18"/>
        <v>0</v>
      </c>
      <c r="T120" s="97">
        <f t="shared" si="19"/>
        <v>0</v>
      </c>
      <c r="U120" s="98">
        <f t="shared" si="26"/>
        <v>0</v>
      </c>
      <c r="V120" s="98">
        <f t="shared" si="26"/>
        <v>0</v>
      </c>
      <c r="X120" s="97" t="e">
        <f t="shared" si="20"/>
        <v>#REF!</v>
      </c>
      <c r="Y120" s="97" t="e">
        <f t="shared" si="21"/>
        <v>#REF!</v>
      </c>
      <c r="Z120" s="98" t="e">
        <f t="shared" si="27"/>
        <v>#REF!</v>
      </c>
      <c r="AA120" s="98" t="e">
        <f t="shared" si="27"/>
        <v>#REF!</v>
      </c>
      <c r="AC120" s="97" t="e">
        <f t="shared" si="22"/>
        <v>#REF!</v>
      </c>
      <c r="AD120" s="97" t="e">
        <f t="shared" si="23"/>
        <v>#REF!</v>
      </c>
      <c r="AE120" s="98" t="e">
        <f t="shared" si="28"/>
        <v>#REF!</v>
      </c>
      <c r="AF120" s="98" t="e">
        <f t="shared" si="28"/>
        <v>#REF!</v>
      </c>
      <c r="AH120" s="97" t="e">
        <f t="shared" si="24"/>
        <v>#REF!</v>
      </c>
      <c r="AI120" s="97" t="e">
        <f t="shared" si="25"/>
        <v>#REF!</v>
      </c>
      <c r="AJ120" s="98" t="e">
        <f t="shared" si="29"/>
        <v>#REF!</v>
      </c>
      <c r="AK120" s="98" t="e">
        <f t="shared" si="29"/>
        <v>#REF!</v>
      </c>
    </row>
    <row r="121" spans="1:37" ht="15" customHeight="1">
      <c r="A121" s="87" t="s">
        <v>259</v>
      </c>
      <c r="B121" s="100">
        <v>56</v>
      </c>
      <c r="C121" s="86">
        <v>1.33</v>
      </c>
      <c r="D121" s="14">
        <v>0.47</v>
      </c>
      <c r="E121" s="15">
        <v>0.01</v>
      </c>
      <c r="F121" s="15">
        <v>-0.03</v>
      </c>
      <c r="G121" s="19">
        <f t="shared" ref="G121:G214" si="30">IF(AND(D121="",E121=""),"",IF(D121="",E121,D121+E121))</f>
        <v>0.48</v>
      </c>
      <c r="H121" s="25">
        <f t="shared" ref="H121:H214" si="31">IF(AND(D121="",F121=""),"",IF(D121="",F121,D121+F121))</f>
        <v>0.43999999999999995</v>
      </c>
      <c r="I121" s="29"/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S121" s="97">
        <f t="shared" si="18"/>
        <v>0</v>
      </c>
      <c r="T121" s="97">
        <f t="shared" si="19"/>
        <v>0</v>
      </c>
      <c r="U121" s="98">
        <f t="shared" si="26"/>
        <v>0.47</v>
      </c>
      <c r="V121" s="98">
        <f t="shared" si="26"/>
        <v>0.47</v>
      </c>
      <c r="X121" s="97" t="e">
        <f t="shared" si="20"/>
        <v>#REF!</v>
      </c>
      <c r="Y121" s="97" t="e">
        <f t="shared" si="21"/>
        <v>#REF!</v>
      </c>
      <c r="Z121" s="98" t="e">
        <f t="shared" si="27"/>
        <v>#REF!</v>
      </c>
      <c r="AA121" s="98" t="e">
        <f t="shared" si="27"/>
        <v>#REF!</v>
      </c>
      <c r="AC121" s="97" t="e">
        <f t="shared" si="22"/>
        <v>#REF!</v>
      </c>
      <c r="AD121" s="97" t="e">
        <f t="shared" si="23"/>
        <v>#REF!</v>
      </c>
      <c r="AE121" s="98" t="e">
        <f t="shared" si="28"/>
        <v>#REF!</v>
      </c>
      <c r="AF121" s="98" t="e">
        <f t="shared" si="28"/>
        <v>#REF!</v>
      </c>
      <c r="AH121" s="97" t="e">
        <f t="shared" si="24"/>
        <v>#REF!</v>
      </c>
      <c r="AI121" s="97" t="e">
        <f t="shared" si="25"/>
        <v>#REF!</v>
      </c>
      <c r="AJ121" s="98" t="e">
        <f t="shared" si="29"/>
        <v>#REF!</v>
      </c>
      <c r="AK121" s="98" t="e">
        <f t="shared" si="29"/>
        <v>#REF!</v>
      </c>
    </row>
    <row r="122" spans="1:37" ht="15" customHeight="1">
      <c r="A122" s="87" t="s">
        <v>297</v>
      </c>
      <c r="B122" s="100">
        <v>57</v>
      </c>
      <c r="C122" s="86">
        <v>1.33</v>
      </c>
      <c r="D122" s="14">
        <v>0.25</v>
      </c>
      <c r="E122" s="15">
        <v>0.01</v>
      </c>
      <c r="F122" s="15">
        <v>-0.03</v>
      </c>
      <c r="G122" s="19">
        <f t="shared" si="30"/>
        <v>0.26</v>
      </c>
      <c r="H122" s="25">
        <f t="shared" si="31"/>
        <v>0.22</v>
      </c>
      <c r="I122" s="29"/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S122" s="97">
        <f t="shared" si="18"/>
        <v>0</v>
      </c>
      <c r="T122" s="97">
        <f t="shared" si="19"/>
        <v>0</v>
      </c>
      <c r="U122" s="98">
        <f t="shared" si="26"/>
        <v>0.25</v>
      </c>
      <c r="V122" s="98">
        <f t="shared" si="26"/>
        <v>0.25</v>
      </c>
      <c r="X122" s="97" t="e">
        <f t="shared" si="20"/>
        <v>#REF!</v>
      </c>
      <c r="Y122" s="97" t="e">
        <f t="shared" si="21"/>
        <v>#REF!</v>
      </c>
      <c r="Z122" s="98" t="e">
        <f t="shared" si="27"/>
        <v>#REF!</v>
      </c>
      <c r="AA122" s="98" t="e">
        <f t="shared" si="27"/>
        <v>#REF!</v>
      </c>
      <c r="AC122" s="97" t="e">
        <f t="shared" si="22"/>
        <v>#REF!</v>
      </c>
      <c r="AD122" s="97" t="e">
        <f t="shared" si="23"/>
        <v>#REF!</v>
      </c>
      <c r="AE122" s="98" t="e">
        <f t="shared" si="28"/>
        <v>#REF!</v>
      </c>
      <c r="AF122" s="98" t="e">
        <f t="shared" si="28"/>
        <v>#REF!</v>
      </c>
      <c r="AH122" s="97" t="e">
        <f t="shared" si="24"/>
        <v>#REF!</v>
      </c>
      <c r="AI122" s="97" t="e">
        <f t="shared" si="25"/>
        <v>#REF!</v>
      </c>
      <c r="AJ122" s="98" t="e">
        <f t="shared" si="29"/>
        <v>#REF!</v>
      </c>
      <c r="AK122" s="98" t="e">
        <f t="shared" si="29"/>
        <v>#REF!</v>
      </c>
    </row>
    <row r="123" spans="1:37" ht="15" customHeight="1">
      <c r="A123" s="87" t="s">
        <v>298</v>
      </c>
      <c r="B123" s="100" t="s">
        <v>69</v>
      </c>
      <c r="C123" s="86">
        <v>1.33</v>
      </c>
      <c r="D123" s="14">
        <v>0.41099999999999998</v>
      </c>
      <c r="E123" s="15">
        <v>0.01</v>
      </c>
      <c r="F123" s="15">
        <v>-0.03</v>
      </c>
      <c r="G123" s="19">
        <f t="shared" si="30"/>
        <v>0.42099999999999999</v>
      </c>
      <c r="H123" s="25">
        <f t="shared" si="31"/>
        <v>0.38100000000000001</v>
      </c>
      <c r="I123" s="29"/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S123" s="97">
        <f t="shared" si="18"/>
        <v>0</v>
      </c>
      <c r="T123" s="97">
        <f t="shared" si="19"/>
        <v>0</v>
      </c>
      <c r="U123" s="98">
        <f t="shared" si="26"/>
        <v>0.41099999999999998</v>
      </c>
      <c r="V123" s="98">
        <f t="shared" si="26"/>
        <v>0.41099999999999998</v>
      </c>
      <c r="X123" s="97" t="e">
        <f t="shared" si="20"/>
        <v>#REF!</v>
      </c>
      <c r="Y123" s="97" t="e">
        <f t="shared" si="21"/>
        <v>#REF!</v>
      </c>
      <c r="Z123" s="98" t="e">
        <f t="shared" si="27"/>
        <v>#REF!</v>
      </c>
      <c r="AA123" s="98" t="e">
        <f t="shared" si="27"/>
        <v>#REF!</v>
      </c>
      <c r="AC123" s="97" t="e">
        <f t="shared" si="22"/>
        <v>#REF!</v>
      </c>
      <c r="AD123" s="97" t="e">
        <f t="shared" si="23"/>
        <v>#REF!</v>
      </c>
      <c r="AE123" s="98" t="e">
        <f t="shared" si="28"/>
        <v>#REF!</v>
      </c>
      <c r="AF123" s="98" t="e">
        <f t="shared" si="28"/>
        <v>#REF!</v>
      </c>
      <c r="AH123" s="97" t="e">
        <f t="shared" si="24"/>
        <v>#REF!</v>
      </c>
      <c r="AI123" s="97" t="e">
        <f t="shared" si="25"/>
        <v>#REF!</v>
      </c>
      <c r="AJ123" s="98" t="e">
        <f t="shared" si="29"/>
        <v>#REF!</v>
      </c>
      <c r="AK123" s="98" t="e">
        <f t="shared" si="29"/>
        <v>#REF!</v>
      </c>
    </row>
    <row r="124" spans="1:37" ht="15" customHeight="1">
      <c r="A124" s="87" t="s">
        <v>298</v>
      </c>
      <c r="B124" s="100" t="s">
        <v>70</v>
      </c>
      <c r="C124" s="86">
        <v>1.33</v>
      </c>
      <c r="D124" s="14">
        <v>0.41099999999999998</v>
      </c>
      <c r="E124" s="15">
        <v>0.01</v>
      </c>
      <c r="F124" s="15">
        <v>-0.03</v>
      </c>
      <c r="G124" s="19">
        <f t="shared" si="30"/>
        <v>0.42099999999999999</v>
      </c>
      <c r="H124" s="25">
        <f t="shared" si="31"/>
        <v>0.38100000000000001</v>
      </c>
      <c r="I124" s="29"/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S124" s="97">
        <f t="shared" si="18"/>
        <v>0</v>
      </c>
      <c r="T124" s="97">
        <f t="shared" si="19"/>
        <v>0</v>
      </c>
      <c r="U124" s="98">
        <f t="shared" si="26"/>
        <v>0.41099999999999998</v>
      </c>
      <c r="V124" s="98">
        <f t="shared" si="26"/>
        <v>0.41099999999999998</v>
      </c>
      <c r="X124" s="97" t="e">
        <f t="shared" si="20"/>
        <v>#REF!</v>
      </c>
      <c r="Y124" s="97" t="e">
        <f t="shared" si="21"/>
        <v>#REF!</v>
      </c>
      <c r="Z124" s="98" t="e">
        <f t="shared" si="27"/>
        <v>#REF!</v>
      </c>
      <c r="AA124" s="98" t="e">
        <f t="shared" si="27"/>
        <v>#REF!</v>
      </c>
      <c r="AC124" s="97" t="e">
        <f t="shared" si="22"/>
        <v>#REF!</v>
      </c>
      <c r="AD124" s="97" t="e">
        <f t="shared" si="23"/>
        <v>#REF!</v>
      </c>
      <c r="AE124" s="98" t="e">
        <f t="shared" si="28"/>
        <v>#REF!</v>
      </c>
      <c r="AF124" s="98" t="e">
        <f t="shared" si="28"/>
        <v>#REF!</v>
      </c>
      <c r="AH124" s="97" t="e">
        <f t="shared" si="24"/>
        <v>#REF!</v>
      </c>
      <c r="AI124" s="97" t="e">
        <f t="shared" si="25"/>
        <v>#REF!</v>
      </c>
      <c r="AJ124" s="98" t="e">
        <f t="shared" si="29"/>
        <v>#REF!</v>
      </c>
      <c r="AK124" s="98" t="e">
        <f t="shared" si="29"/>
        <v>#REF!</v>
      </c>
    </row>
    <row r="125" spans="1:37" ht="15" customHeight="1">
      <c r="A125" s="87" t="s">
        <v>260</v>
      </c>
      <c r="B125" s="100" t="s">
        <v>299</v>
      </c>
      <c r="C125" s="86">
        <v>1.33</v>
      </c>
      <c r="D125" s="14">
        <v>0.17</v>
      </c>
      <c r="E125" s="15">
        <v>0.02</v>
      </c>
      <c r="F125" s="15">
        <v>-0.02</v>
      </c>
      <c r="G125" s="19">
        <f t="shared" si="30"/>
        <v>0.19</v>
      </c>
      <c r="H125" s="25">
        <f t="shared" si="31"/>
        <v>0.15000000000000002</v>
      </c>
      <c r="I125" s="29"/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S125" s="97">
        <f t="shared" si="18"/>
        <v>0</v>
      </c>
      <c r="T125" s="97">
        <f t="shared" si="19"/>
        <v>0</v>
      </c>
      <c r="U125" s="98">
        <f t="shared" si="26"/>
        <v>0.17</v>
      </c>
      <c r="V125" s="98">
        <f t="shared" si="26"/>
        <v>0.17</v>
      </c>
      <c r="X125" s="97" t="e">
        <f t="shared" si="20"/>
        <v>#REF!</v>
      </c>
      <c r="Y125" s="97" t="e">
        <f t="shared" si="21"/>
        <v>#REF!</v>
      </c>
      <c r="Z125" s="98" t="e">
        <f t="shared" si="27"/>
        <v>#REF!</v>
      </c>
      <c r="AA125" s="98" t="e">
        <f t="shared" si="27"/>
        <v>#REF!</v>
      </c>
      <c r="AC125" s="97" t="e">
        <f t="shared" si="22"/>
        <v>#REF!</v>
      </c>
      <c r="AD125" s="97" t="e">
        <f t="shared" si="23"/>
        <v>#REF!</v>
      </c>
      <c r="AE125" s="98" t="e">
        <f t="shared" si="28"/>
        <v>#REF!</v>
      </c>
      <c r="AF125" s="98" t="e">
        <f t="shared" si="28"/>
        <v>#REF!</v>
      </c>
      <c r="AH125" s="97" t="e">
        <f t="shared" si="24"/>
        <v>#REF!</v>
      </c>
      <c r="AI125" s="97" t="e">
        <f t="shared" si="25"/>
        <v>#REF!</v>
      </c>
      <c r="AJ125" s="98" t="e">
        <f t="shared" si="29"/>
        <v>#REF!</v>
      </c>
      <c r="AK125" s="98" t="e">
        <f t="shared" si="29"/>
        <v>#REF!</v>
      </c>
    </row>
    <row r="126" spans="1:37" ht="15" customHeight="1">
      <c r="A126" s="87" t="s">
        <v>260</v>
      </c>
      <c r="B126" s="100" t="s">
        <v>185</v>
      </c>
      <c r="C126" s="86">
        <v>1.33</v>
      </c>
      <c r="D126" s="14">
        <v>0.17</v>
      </c>
      <c r="E126" s="15">
        <v>0.02</v>
      </c>
      <c r="F126" s="15">
        <v>-0.02</v>
      </c>
      <c r="G126" s="19">
        <f t="shared" si="30"/>
        <v>0.19</v>
      </c>
      <c r="H126" s="25">
        <f t="shared" si="31"/>
        <v>0.15000000000000002</v>
      </c>
      <c r="I126" s="29"/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S126" s="97">
        <f t="shared" si="18"/>
        <v>0</v>
      </c>
      <c r="T126" s="97">
        <f t="shared" si="19"/>
        <v>0</v>
      </c>
      <c r="U126" s="98">
        <f t="shared" si="26"/>
        <v>0.17</v>
      </c>
      <c r="V126" s="98">
        <f t="shared" si="26"/>
        <v>0.17</v>
      </c>
      <c r="X126" s="97" t="e">
        <f t="shared" si="20"/>
        <v>#REF!</v>
      </c>
      <c r="Y126" s="97" t="e">
        <f t="shared" si="21"/>
        <v>#REF!</v>
      </c>
      <c r="Z126" s="98" t="e">
        <f t="shared" si="27"/>
        <v>#REF!</v>
      </c>
      <c r="AA126" s="98" t="e">
        <f t="shared" si="27"/>
        <v>#REF!</v>
      </c>
      <c r="AC126" s="97" t="e">
        <f t="shared" si="22"/>
        <v>#REF!</v>
      </c>
      <c r="AD126" s="97" t="e">
        <f t="shared" si="23"/>
        <v>#REF!</v>
      </c>
      <c r="AE126" s="98" t="e">
        <f t="shared" si="28"/>
        <v>#REF!</v>
      </c>
      <c r="AF126" s="98" t="e">
        <f t="shared" si="28"/>
        <v>#REF!</v>
      </c>
      <c r="AH126" s="97" t="e">
        <f t="shared" si="24"/>
        <v>#REF!</v>
      </c>
      <c r="AI126" s="97" t="e">
        <f t="shared" si="25"/>
        <v>#REF!</v>
      </c>
      <c r="AJ126" s="98" t="e">
        <f t="shared" si="29"/>
        <v>#REF!</v>
      </c>
      <c r="AK126" s="98" t="e">
        <f t="shared" si="29"/>
        <v>#REF!</v>
      </c>
    </row>
    <row r="127" spans="1:37" ht="15" customHeight="1">
      <c r="A127" s="87"/>
      <c r="B127" s="100" t="s">
        <v>300</v>
      </c>
      <c r="C127" s="86"/>
      <c r="D127" s="14">
        <v>0.45500000000000002</v>
      </c>
      <c r="E127" s="15">
        <v>0.02</v>
      </c>
      <c r="F127" s="15">
        <v>-0.02</v>
      </c>
      <c r="G127" s="19">
        <f t="shared" si="30"/>
        <v>0.47500000000000003</v>
      </c>
      <c r="H127" s="25">
        <f t="shared" si="31"/>
        <v>0.435</v>
      </c>
      <c r="I127" s="29"/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S127" s="97">
        <f t="shared" si="18"/>
        <v>0</v>
      </c>
      <c r="T127" s="97">
        <f t="shared" si="19"/>
        <v>0</v>
      </c>
      <c r="U127" s="98">
        <f t="shared" si="26"/>
        <v>0.45500000000000002</v>
      </c>
      <c r="V127" s="98">
        <f t="shared" si="26"/>
        <v>0.45500000000000002</v>
      </c>
      <c r="X127" s="97" t="e">
        <f t="shared" si="20"/>
        <v>#REF!</v>
      </c>
      <c r="Y127" s="97" t="e">
        <f t="shared" si="21"/>
        <v>#REF!</v>
      </c>
      <c r="Z127" s="98" t="e">
        <f t="shared" si="27"/>
        <v>#REF!</v>
      </c>
      <c r="AA127" s="98" t="e">
        <f t="shared" si="27"/>
        <v>#REF!</v>
      </c>
      <c r="AC127" s="97" t="e">
        <f t="shared" si="22"/>
        <v>#REF!</v>
      </c>
      <c r="AD127" s="97" t="e">
        <f t="shared" si="23"/>
        <v>#REF!</v>
      </c>
      <c r="AE127" s="98" t="e">
        <f t="shared" si="28"/>
        <v>#REF!</v>
      </c>
      <c r="AF127" s="98" t="e">
        <f t="shared" si="28"/>
        <v>#REF!</v>
      </c>
      <c r="AH127" s="97" t="e">
        <f t="shared" si="24"/>
        <v>#REF!</v>
      </c>
      <c r="AI127" s="97" t="e">
        <f t="shared" si="25"/>
        <v>#REF!</v>
      </c>
      <c r="AJ127" s="98" t="e">
        <f t="shared" si="29"/>
        <v>#REF!</v>
      </c>
      <c r="AK127" s="98" t="e">
        <f t="shared" si="29"/>
        <v>#REF!</v>
      </c>
    </row>
    <row r="128" spans="1:37" ht="15" customHeight="1">
      <c r="A128" s="87"/>
      <c r="B128" s="99" t="s">
        <v>122</v>
      </c>
      <c r="C128" s="86"/>
      <c r="D128" s="14">
        <v>0.45500000000000002</v>
      </c>
      <c r="E128" s="15">
        <v>0.02</v>
      </c>
      <c r="F128" s="15">
        <v>-0.02</v>
      </c>
      <c r="G128" s="19">
        <f t="shared" si="30"/>
        <v>0.47500000000000003</v>
      </c>
      <c r="H128" s="25">
        <f t="shared" si="31"/>
        <v>0.435</v>
      </c>
      <c r="I128" s="29"/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S128" s="97">
        <f t="shared" si="18"/>
        <v>0</v>
      </c>
      <c r="T128" s="97">
        <f t="shared" si="19"/>
        <v>0</v>
      </c>
      <c r="U128" s="98">
        <f t="shared" si="26"/>
        <v>0.45500000000000002</v>
      </c>
      <c r="V128" s="98">
        <f t="shared" si="26"/>
        <v>0.45500000000000002</v>
      </c>
      <c r="X128" s="97" t="e">
        <f t="shared" si="20"/>
        <v>#REF!</v>
      </c>
      <c r="Y128" s="97" t="e">
        <f t="shared" si="21"/>
        <v>#REF!</v>
      </c>
      <c r="Z128" s="98" t="e">
        <f t="shared" si="27"/>
        <v>#REF!</v>
      </c>
      <c r="AA128" s="98" t="e">
        <f t="shared" si="27"/>
        <v>#REF!</v>
      </c>
      <c r="AC128" s="97" t="e">
        <f t="shared" si="22"/>
        <v>#REF!</v>
      </c>
      <c r="AD128" s="97" t="e">
        <f t="shared" si="23"/>
        <v>#REF!</v>
      </c>
      <c r="AE128" s="98" t="e">
        <f t="shared" si="28"/>
        <v>#REF!</v>
      </c>
      <c r="AF128" s="98" t="e">
        <f t="shared" si="28"/>
        <v>#REF!</v>
      </c>
      <c r="AH128" s="97" t="e">
        <f t="shared" si="24"/>
        <v>#REF!</v>
      </c>
      <c r="AI128" s="97" t="e">
        <f t="shared" si="25"/>
        <v>#REF!</v>
      </c>
      <c r="AJ128" s="98" t="e">
        <f t="shared" si="29"/>
        <v>#REF!</v>
      </c>
      <c r="AK128" s="98" t="e">
        <f t="shared" si="29"/>
        <v>#REF!</v>
      </c>
    </row>
    <row r="129" spans="1:898 1130:1961 2134:3033 3315:3315" ht="15" customHeight="1">
      <c r="A129" s="87"/>
      <c r="B129" s="100">
        <v>61</v>
      </c>
      <c r="C129" s="86"/>
      <c r="D129" s="14">
        <v>7.9009999999999998</v>
      </c>
      <c r="E129" s="15">
        <v>0.02</v>
      </c>
      <c r="F129" s="15">
        <v>-0.02</v>
      </c>
      <c r="G129" s="19">
        <f t="shared" si="30"/>
        <v>7.9209999999999994</v>
      </c>
      <c r="H129" s="25">
        <f t="shared" si="31"/>
        <v>7.8810000000000002</v>
      </c>
      <c r="I129" s="29"/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S129" s="97">
        <f t="shared" si="18"/>
        <v>0</v>
      </c>
      <c r="T129" s="97">
        <f t="shared" si="19"/>
        <v>0</v>
      </c>
      <c r="U129" s="98">
        <f t="shared" si="26"/>
        <v>7.9009999999999998</v>
      </c>
      <c r="V129" s="98">
        <f t="shared" si="26"/>
        <v>7.9009999999999998</v>
      </c>
      <c r="X129" s="97" t="e">
        <f t="shared" si="20"/>
        <v>#REF!</v>
      </c>
      <c r="Y129" s="97" t="e">
        <f t="shared" si="21"/>
        <v>#REF!</v>
      </c>
      <c r="Z129" s="98" t="e">
        <f t="shared" si="27"/>
        <v>#REF!</v>
      </c>
      <c r="AA129" s="98" t="e">
        <f t="shared" si="27"/>
        <v>#REF!</v>
      </c>
      <c r="AC129" s="97" t="e">
        <f t="shared" si="22"/>
        <v>#REF!</v>
      </c>
      <c r="AD129" s="97" t="e">
        <f t="shared" si="23"/>
        <v>#REF!</v>
      </c>
      <c r="AE129" s="98" t="e">
        <f t="shared" si="28"/>
        <v>#REF!</v>
      </c>
      <c r="AF129" s="98" t="e">
        <f t="shared" si="28"/>
        <v>#REF!</v>
      </c>
      <c r="AH129" s="97" t="e">
        <f t="shared" si="24"/>
        <v>#REF!</v>
      </c>
      <c r="AI129" s="97" t="e">
        <f t="shared" si="25"/>
        <v>#REF!</v>
      </c>
      <c r="AJ129" s="98" t="e">
        <f t="shared" si="29"/>
        <v>#REF!</v>
      </c>
      <c r="AK129" s="98" t="e">
        <f t="shared" si="29"/>
        <v>#REF!</v>
      </c>
    </row>
    <row r="130" spans="1:898 1130:1961 2134:3033 3315:3315" ht="15" customHeight="1">
      <c r="A130" s="87"/>
      <c r="B130" s="99" t="s">
        <v>301</v>
      </c>
      <c r="C130" s="86"/>
      <c r="D130" s="14">
        <v>11.72</v>
      </c>
      <c r="E130" s="15">
        <v>0.02</v>
      </c>
      <c r="F130" s="15">
        <v>-0.02</v>
      </c>
      <c r="G130" s="19">
        <f t="shared" si="30"/>
        <v>11.74</v>
      </c>
      <c r="H130" s="25">
        <f t="shared" si="31"/>
        <v>11.700000000000001</v>
      </c>
      <c r="I130" s="29"/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S130" s="97">
        <f t="shared" si="18"/>
        <v>0</v>
      </c>
      <c r="T130" s="97">
        <f t="shared" si="19"/>
        <v>0</v>
      </c>
      <c r="U130" s="98">
        <f t="shared" si="26"/>
        <v>11.72</v>
      </c>
      <c r="V130" s="98">
        <f t="shared" si="26"/>
        <v>11.72</v>
      </c>
      <c r="X130" s="97" t="e">
        <f t="shared" si="20"/>
        <v>#REF!</v>
      </c>
      <c r="Y130" s="97" t="e">
        <f t="shared" si="21"/>
        <v>#REF!</v>
      </c>
      <c r="Z130" s="98" t="e">
        <f t="shared" si="27"/>
        <v>#REF!</v>
      </c>
      <c r="AA130" s="98" t="e">
        <f t="shared" si="27"/>
        <v>#REF!</v>
      </c>
      <c r="AC130" s="97" t="e">
        <f t="shared" si="22"/>
        <v>#REF!</v>
      </c>
      <c r="AD130" s="97" t="e">
        <f t="shared" si="23"/>
        <v>#REF!</v>
      </c>
      <c r="AE130" s="98" t="e">
        <f t="shared" si="28"/>
        <v>#REF!</v>
      </c>
      <c r="AF130" s="98" t="e">
        <f t="shared" si="28"/>
        <v>#REF!</v>
      </c>
      <c r="AH130" s="97" t="e">
        <f t="shared" si="24"/>
        <v>#REF!</v>
      </c>
      <c r="AI130" s="97" t="e">
        <f t="shared" si="25"/>
        <v>#REF!</v>
      </c>
      <c r="AJ130" s="98" t="e">
        <f t="shared" si="29"/>
        <v>#REF!</v>
      </c>
      <c r="AK130" s="98" t="e">
        <f t="shared" si="29"/>
        <v>#REF!</v>
      </c>
    </row>
    <row r="131" spans="1:898 1130:1961 2134:3033 3315:3315" ht="15" customHeight="1">
      <c r="A131" s="87"/>
      <c r="B131" s="100" t="s">
        <v>131</v>
      </c>
      <c r="C131" s="86"/>
      <c r="D131" s="14">
        <v>11.72</v>
      </c>
      <c r="E131" s="15">
        <v>0.02</v>
      </c>
      <c r="F131" s="15">
        <v>-0.02</v>
      </c>
      <c r="G131" s="19">
        <f t="shared" si="30"/>
        <v>11.74</v>
      </c>
      <c r="H131" s="25">
        <f t="shared" si="31"/>
        <v>11.700000000000001</v>
      </c>
      <c r="I131" s="28"/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S131" s="97">
        <f t="shared" si="18"/>
        <v>0</v>
      </c>
      <c r="T131" s="97">
        <f t="shared" si="19"/>
        <v>0</v>
      </c>
      <c r="U131" s="98">
        <f t="shared" si="26"/>
        <v>11.72</v>
      </c>
      <c r="V131" s="98">
        <f t="shared" si="26"/>
        <v>11.72</v>
      </c>
      <c r="X131" s="97" t="e">
        <f t="shared" si="20"/>
        <v>#REF!</v>
      </c>
      <c r="Y131" s="97" t="e">
        <f t="shared" si="21"/>
        <v>#REF!</v>
      </c>
      <c r="Z131" s="98" t="e">
        <f t="shared" si="27"/>
        <v>#REF!</v>
      </c>
      <c r="AA131" s="98" t="e">
        <f t="shared" si="27"/>
        <v>#REF!</v>
      </c>
      <c r="AC131" s="97" t="e">
        <f t="shared" si="22"/>
        <v>#REF!</v>
      </c>
      <c r="AD131" s="97" t="e">
        <f t="shared" si="23"/>
        <v>#REF!</v>
      </c>
      <c r="AE131" s="98" t="e">
        <f t="shared" si="28"/>
        <v>#REF!</v>
      </c>
      <c r="AF131" s="98" t="e">
        <f t="shared" si="28"/>
        <v>#REF!</v>
      </c>
      <c r="AH131" s="97" t="e">
        <f t="shared" si="24"/>
        <v>#REF!</v>
      </c>
      <c r="AI131" s="97" t="e">
        <f t="shared" si="25"/>
        <v>#REF!</v>
      </c>
      <c r="AJ131" s="98" t="e">
        <f t="shared" si="29"/>
        <v>#REF!</v>
      </c>
      <c r="AK131" s="98" t="e">
        <f t="shared" si="29"/>
        <v>#REF!</v>
      </c>
      <c r="EU131" s="78"/>
      <c r="EV131" s="78"/>
      <c r="GM131" s="78"/>
      <c r="LK131" s="78"/>
      <c r="SJ131" s="78"/>
      <c r="TN131" s="78"/>
      <c r="WJ131" s="78"/>
      <c r="XG131" s="78"/>
      <c r="AFG131" s="78"/>
      <c r="AHC131" s="78"/>
      <c r="AHN131" s="78"/>
      <c r="AQL131" s="78"/>
      <c r="AYQ131" s="78"/>
      <c r="BBW131" s="78"/>
      <c r="BOW131" s="78"/>
      <c r="BRB131" s="78"/>
      <c r="BWK131" s="78"/>
      <c r="CDB131" s="78"/>
      <c r="CEH131" s="78"/>
      <c r="CHE131" s="78"/>
      <c r="CIE131" s="78"/>
      <c r="CJY131" s="78"/>
      <c r="CNP131" s="78"/>
      <c r="CVA131" s="78"/>
      <c r="CXO131" s="78"/>
      <c r="DAR131" s="78"/>
      <c r="DEG131" s="78"/>
      <c r="DEH131" s="78"/>
      <c r="DEJ131" s="78"/>
      <c r="DEM131" s="78"/>
      <c r="DET131" s="78"/>
      <c r="DEZ131" s="78"/>
      <c r="DIM131" s="78"/>
      <c r="DKR131" s="78"/>
      <c r="DLQ131" s="78"/>
      <c r="DWM131" s="78"/>
    </row>
    <row r="132" spans="1:898 1130:1961 2134:3033 3315:3315" ht="15" customHeight="1">
      <c r="A132" s="87"/>
      <c r="B132" s="99" t="s">
        <v>302</v>
      </c>
      <c r="C132" s="86"/>
      <c r="D132" s="14">
        <v>0.434</v>
      </c>
      <c r="E132" s="15">
        <v>0.02</v>
      </c>
      <c r="F132" s="15">
        <v>-0.02</v>
      </c>
      <c r="G132" s="19">
        <f t="shared" si="30"/>
        <v>0.45400000000000001</v>
      </c>
      <c r="H132" s="25">
        <f t="shared" si="31"/>
        <v>0.41399999999999998</v>
      </c>
      <c r="I132" s="29"/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S132" s="97">
        <f t="shared" si="18"/>
        <v>0</v>
      </c>
      <c r="T132" s="97">
        <f t="shared" si="19"/>
        <v>0</v>
      </c>
      <c r="U132" s="98">
        <f t="shared" si="26"/>
        <v>0.434</v>
      </c>
      <c r="V132" s="98">
        <f t="shared" si="26"/>
        <v>0.434</v>
      </c>
      <c r="X132" s="97" t="e">
        <f t="shared" si="20"/>
        <v>#REF!</v>
      </c>
      <c r="Y132" s="97" t="e">
        <f t="shared" si="21"/>
        <v>#REF!</v>
      </c>
      <c r="Z132" s="98" t="e">
        <f t="shared" si="27"/>
        <v>#REF!</v>
      </c>
      <c r="AA132" s="98" t="e">
        <f t="shared" si="27"/>
        <v>#REF!</v>
      </c>
      <c r="AC132" s="97" t="e">
        <f t="shared" si="22"/>
        <v>#REF!</v>
      </c>
      <c r="AD132" s="97" t="e">
        <f t="shared" si="23"/>
        <v>#REF!</v>
      </c>
      <c r="AE132" s="98" t="e">
        <f t="shared" si="28"/>
        <v>#REF!</v>
      </c>
      <c r="AF132" s="98" t="e">
        <f t="shared" si="28"/>
        <v>#REF!</v>
      </c>
      <c r="AH132" s="97" t="e">
        <f t="shared" si="24"/>
        <v>#REF!</v>
      </c>
      <c r="AI132" s="97" t="e">
        <f t="shared" si="25"/>
        <v>#REF!</v>
      </c>
      <c r="AJ132" s="98" t="e">
        <f t="shared" si="29"/>
        <v>#REF!</v>
      </c>
      <c r="AK132" s="98" t="e">
        <f t="shared" si="29"/>
        <v>#REF!</v>
      </c>
    </row>
    <row r="133" spans="1:898 1130:1961 2134:3033 3315:3315" ht="15" customHeight="1">
      <c r="A133" s="87"/>
      <c r="B133" s="100" t="s">
        <v>303</v>
      </c>
      <c r="C133" s="86"/>
      <c r="D133" s="14">
        <v>0.434</v>
      </c>
      <c r="E133" s="15">
        <v>0.02</v>
      </c>
      <c r="F133" s="15">
        <v>-0.02</v>
      </c>
      <c r="G133" s="19">
        <f t="shared" si="30"/>
        <v>0.45400000000000001</v>
      </c>
      <c r="H133" s="25">
        <f t="shared" si="31"/>
        <v>0.41399999999999998</v>
      </c>
      <c r="I133" s="28"/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S133" s="97">
        <f t="shared" si="18"/>
        <v>0</v>
      </c>
      <c r="T133" s="97">
        <f t="shared" si="19"/>
        <v>0</v>
      </c>
      <c r="U133" s="98">
        <f t="shared" si="26"/>
        <v>0.434</v>
      </c>
      <c r="V133" s="98">
        <f t="shared" si="26"/>
        <v>0.434</v>
      </c>
      <c r="X133" s="97" t="e">
        <f t="shared" si="20"/>
        <v>#REF!</v>
      </c>
      <c r="Y133" s="97" t="e">
        <f t="shared" si="21"/>
        <v>#REF!</v>
      </c>
      <c r="Z133" s="98" t="e">
        <f t="shared" si="27"/>
        <v>#REF!</v>
      </c>
      <c r="AA133" s="98" t="e">
        <f t="shared" si="27"/>
        <v>#REF!</v>
      </c>
      <c r="AC133" s="97" t="e">
        <f t="shared" si="22"/>
        <v>#REF!</v>
      </c>
      <c r="AD133" s="97" t="e">
        <f t="shared" si="23"/>
        <v>#REF!</v>
      </c>
      <c r="AE133" s="98" t="e">
        <f t="shared" si="28"/>
        <v>#REF!</v>
      </c>
      <c r="AF133" s="98" t="e">
        <f t="shared" si="28"/>
        <v>#REF!</v>
      </c>
      <c r="AH133" s="97" t="e">
        <f t="shared" si="24"/>
        <v>#REF!</v>
      </c>
      <c r="AI133" s="97" t="e">
        <f t="shared" si="25"/>
        <v>#REF!</v>
      </c>
      <c r="AJ133" s="98" t="e">
        <f t="shared" si="29"/>
        <v>#REF!</v>
      </c>
      <c r="AK133" s="98" t="e">
        <f t="shared" si="29"/>
        <v>#REF!</v>
      </c>
      <c r="EU133" s="78"/>
      <c r="EV133" s="78"/>
      <c r="GM133" s="78"/>
      <c r="LK133" s="78"/>
      <c r="SJ133" s="78"/>
      <c r="TN133" s="78"/>
      <c r="WJ133" s="78"/>
      <c r="XG133" s="78"/>
      <c r="AFG133" s="78"/>
      <c r="AHC133" s="78"/>
      <c r="AHN133" s="78"/>
      <c r="AQL133" s="78"/>
      <c r="AYQ133" s="78"/>
      <c r="BBW133" s="78"/>
      <c r="BOW133" s="78"/>
      <c r="BRB133" s="78"/>
      <c r="BWK133" s="78"/>
      <c r="CDB133" s="78"/>
      <c r="CEH133" s="78"/>
      <c r="CHE133" s="78"/>
      <c r="CIE133" s="78"/>
      <c r="CJY133" s="78"/>
      <c r="CNP133" s="78"/>
      <c r="CVA133" s="78"/>
      <c r="CXO133" s="78"/>
      <c r="DAR133" s="78"/>
      <c r="DEG133" s="78"/>
      <c r="DEH133" s="78"/>
      <c r="DEJ133" s="78"/>
      <c r="DEM133" s="78"/>
      <c r="DET133" s="78"/>
      <c r="DEZ133" s="78"/>
      <c r="DIM133" s="78"/>
      <c r="DKR133" s="78"/>
      <c r="DLQ133" s="78"/>
      <c r="DWM133" s="78"/>
    </row>
    <row r="134" spans="1:898 1130:1961 2134:3033 3315:3315" ht="15" customHeight="1">
      <c r="A134" s="87"/>
      <c r="B134" s="89">
        <v>64</v>
      </c>
      <c r="C134" s="86"/>
      <c r="D134" s="14">
        <v>3.073</v>
      </c>
      <c r="E134" s="15">
        <v>0.02</v>
      </c>
      <c r="F134" s="15">
        <v>-0.02</v>
      </c>
      <c r="G134" s="19">
        <f t="shared" si="30"/>
        <v>3.093</v>
      </c>
      <c r="H134" s="25">
        <f t="shared" si="31"/>
        <v>3.0529999999999999</v>
      </c>
      <c r="I134" s="28"/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S134" s="97">
        <f t="shared" si="18"/>
        <v>0</v>
      </c>
      <c r="T134" s="97">
        <f t="shared" si="19"/>
        <v>0</v>
      </c>
      <c r="U134" s="98">
        <f t="shared" si="26"/>
        <v>3.073</v>
      </c>
      <c r="V134" s="98">
        <f t="shared" si="26"/>
        <v>3.073</v>
      </c>
      <c r="X134" s="97" t="e">
        <f t="shared" si="20"/>
        <v>#REF!</v>
      </c>
      <c r="Y134" s="97" t="e">
        <f t="shared" si="21"/>
        <v>#REF!</v>
      </c>
      <c r="Z134" s="98" t="e">
        <f t="shared" si="27"/>
        <v>#REF!</v>
      </c>
      <c r="AA134" s="98" t="e">
        <f t="shared" si="27"/>
        <v>#REF!</v>
      </c>
      <c r="AC134" s="97" t="e">
        <f t="shared" si="22"/>
        <v>#REF!</v>
      </c>
      <c r="AD134" s="97" t="e">
        <f t="shared" si="23"/>
        <v>#REF!</v>
      </c>
      <c r="AE134" s="98" t="e">
        <f t="shared" si="28"/>
        <v>#REF!</v>
      </c>
      <c r="AF134" s="98" t="e">
        <f t="shared" si="28"/>
        <v>#REF!</v>
      </c>
      <c r="AH134" s="97" t="e">
        <f t="shared" si="24"/>
        <v>#REF!</v>
      </c>
      <c r="AI134" s="97" t="e">
        <f t="shared" si="25"/>
        <v>#REF!</v>
      </c>
      <c r="AJ134" s="98" t="e">
        <f t="shared" si="29"/>
        <v>#REF!</v>
      </c>
      <c r="AK134" s="98" t="e">
        <f t="shared" si="29"/>
        <v>#REF!</v>
      </c>
    </row>
    <row r="135" spans="1:898 1130:1961 2134:3033 3315:3315" ht="15" customHeight="1">
      <c r="A135" s="87" t="s">
        <v>304</v>
      </c>
      <c r="B135" s="100" t="s">
        <v>305</v>
      </c>
      <c r="C135" s="86">
        <v>1.33</v>
      </c>
      <c r="D135" s="14">
        <v>1.4610000000000001</v>
      </c>
      <c r="E135" s="15">
        <v>0.02</v>
      </c>
      <c r="F135" s="15">
        <v>-0.02</v>
      </c>
      <c r="G135" s="19">
        <f t="shared" si="30"/>
        <v>1.4810000000000001</v>
      </c>
      <c r="H135" s="25">
        <f t="shared" si="31"/>
        <v>1.4410000000000001</v>
      </c>
      <c r="I135" s="28"/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S135" s="97">
        <f t="shared" si="18"/>
        <v>0</v>
      </c>
      <c r="T135" s="97">
        <f t="shared" si="19"/>
        <v>0</v>
      </c>
      <c r="U135" s="98">
        <f t="shared" si="26"/>
        <v>1.4610000000000001</v>
      </c>
      <c r="V135" s="98">
        <f t="shared" si="26"/>
        <v>1.4610000000000001</v>
      </c>
      <c r="X135" s="97" t="e">
        <f t="shared" si="20"/>
        <v>#REF!</v>
      </c>
      <c r="Y135" s="97" t="e">
        <f t="shared" si="21"/>
        <v>#REF!</v>
      </c>
      <c r="Z135" s="98" t="e">
        <f t="shared" si="27"/>
        <v>#REF!</v>
      </c>
      <c r="AA135" s="98" t="e">
        <f t="shared" si="27"/>
        <v>#REF!</v>
      </c>
      <c r="AC135" s="97" t="e">
        <f t="shared" si="22"/>
        <v>#REF!</v>
      </c>
      <c r="AD135" s="97" t="e">
        <f t="shared" si="23"/>
        <v>#REF!</v>
      </c>
      <c r="AE135" s="98" t="e">
        <f t="shared" si="28"/>
        <v>#REF!</v>
      </c>
      <c r="AF135" s="98" t="e">
        <f t="shared" si="28"/>
        <v>#REF!</v>
      </c>
      <c r="AH135" s="97" t="e">
        <f t="shared" si="24"/>
        <v>#REF!</v>
      </c>
      <c r="AI135" s="97" t="e">
        <f t="shared" si="25"/>
        <v>#REF!</v>
      </c>
      <c r="AJ135" s="98" t="e">
        <f t="shared" si="29"/>
        <v>#REF!</v>
      </c>
      <c r="AK135" s="98" t="e">
        <f t="shared" si="29"/>
        <v>#REF!</v>
      </c>
    </row>
    <row r="136" spans="1:898 1130:1961 2134:3033 3315:3315" ht="15" customHeight="1">
      <c r="A136" s="87" t="s">
        <v>304</v>
      </c>
      <c r="B136" s="99" t="s">
        <v>124</v>
      </c>
      <c r="C136" s="86">
        <v>1.33</v>
      </c>
      <c r="D136" s="14">
        <v>1.4610000000000001</v>
      </c>
      <c r="E136" s="15">
        <v>0.02</v>
      </c>
      <c r="F136" s="15">
        <v>-0.02</v>
      </c>
      <c r="G136" s="19">
        <f t="shared" si="30"/>
        <v>1.4810000000000001</v>
      </c>
      <c r="H136" s="25">
        <f t="shared" si="31"/>
        <v>1.4410000000000001</v>
      </c>
      <c r="I136" s="29"/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S136" s="97">
        <f t="shared" si="18"/>
        <v>0</v>
      </c>
      <c r="T136" s="97">
        <f t="shared" si="19"/>
        <v>0</v>
      </c>
      <c r="U136" s="98">
        <f t="shared" si="26"/>
        <v>1.4610000000000001</v>
      </c>
      <c r="V136" s="98">
        <f t="shared" si="26"/>
        <v>1.4610000000000001</v>
      </c>
      <c r="X136" s="97" t="e">
        <f t="shared" si="20"/>
        <v>#REF!</v>
      </c>
      <c r="Y136" s="97" t="e">
        <f t="shared" si="21"/>
        <v>#REF!</v>
      </c>
      <c r="Z136" s="98" t="e">
        <f t="shared" si="27"/>
        <v>#REF!</v>
      </c>
      <c r="AA136" s="98" t="e">
        <f t="shared" si="27"/>
        <v>#REF!</v>
      </c>
      <c r="AC136" s="97" t="e">
        <f t="shared" si="22"/>
        <v>#REF!</v>
      </c>
      <c r="AD136" s="97" t="e">
        <f t="shared" si="23"/>
        <v>#REF!</v>
      </c>
      <c r="AE136" s="98" t="e">
        <f t="shared" si="28"/>
        <v>#REF!</v>
      </c>
      <c r="AF136" s="98" t="e">
        <f t="shared" si="28"/>
        <v>#REF!</v>
      </c>
      <c r="AH136" s="97" t="e">
        <f t="shared" si="24"/>
        <v>#REF!</v>
      </c>
      <c r="AI136" s="97" t="e">
        <f t="shared" si="25"/>
        <v>#REF!</v>
      </c>
      <c r="AJ136" s="98" t="e">
        <f t="shared" si="29"/>
        <v>#REF!</v>
      </c>
      <c r="AK136" s="98" t="e">
        <f t="shared" si="29"/>
        <v>#REF!</v>
      </c>
    </row>
    <row r="137" spans="1:898 1130:1961 2134:3033 3315:3315" ht="15" customHeight="1">
      <c r="A137" s="87"/>
      <c r="B137" s="100" t="s">
        <v>306</v>
      </c>
      <c r="C137" s="86"/>
      <c r="D137" s="14">
        <v>0.42899999999999999</v>
      </c>
      <c r="E137" s="15">
        <v>0.02</v>
      </c>
      <c r="F137" s="15">
        <v>-0.02</v>
      </c>
      <c r="G137" s="19">
        <f t="shared" si="30"/>
        <v>0.44900000000000001</v>
      </c>
      <c r="H137" s="25">
        <f t="shared" si="31"/>
        <v>0.40899999999999997</v>
      </c>
      <c r="I137" s="28"/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S137" s="97">
        <f t="shared" si="18"/>
        <v>0</v>
      </c>
      <c r="T137" s="97">
        <f t="shared" si="19"/>
        <v>0</v>
      </c>
      <c r="U137" s="98">
        <f t="shared" si="26"/>
        <v>0.42899999999999999</v>
      </c>
      <c r="V137" s="98">
        <f t="shared" si="26"/>
        <v>0.42899999999999999</v>
      </c>
      <c r="X137" s="97" t="e">
        <f t="shared" si="20"/>
        <v>#REF!</v>
      </c>
      <c r="Y137" s="97" t="e">
        <f t="shared" si="21"/>
        <v>#REF!</v>
      </c>
      <c r="Z137" s="98" t="e">
        <f t="shared" si="27"/>
        <v>#REF!</v>
      </c>
      <c r="AA137" s="98" t="e">
        <f t="shared" si="27"/>
        <v>#REF!</v>
      </c>
      <c r="AC137" s="97" t="e">
        <f t="shared" si="22"/>
        <v>#REF!</v>
      </c>
      <c r="AD137" s="97" t="e">
        <f t="shared" si="23"/>
        <v>#REF!</v>
      </c>
      <c r="AE137" s="98" t="e">
        <f t="shared" si="28"/>
        <v>#REF!</v>
      </c>
      <c r="AF137" s="98" t="e">
        <f t="shared" si="28"/>
        <v>#REF!</v>
      </c>
      <c r="AH137" s="97" t="e">
        <f t="shared" si="24"/>
        <v>#REF!</v>
      </c>
      <c r="AI137" s="97" t="e">
        <f t="shared" si="25"/>
        <v>#REF!</v>
      </c>
      <c r="AJ137" s="98" t="e">
        <f t="shared" si="29"/>
        <v>#REF!</v>
      </c>
      <c r="AK137" s="98" t="e">
        <f t="shared" si="29"/>
        <v>#REF!</v>
      </c>
    </row>
    <row r="138" spans="1:898 1130:1961 2134:3033 3315:3315" ht="15" customHeight="1">
      <c r="A138" s="87"/>
      <c r="B138" s="100" t="s">
        <v>187</v>
      </c>
      <c r="C138" s="86"/>
      <c r="D138" s="14">
        <v>0.42899999999999999</v>
      </c>
      <c r="E138" s="15">
        <v>0.02</v>
      </c>
      <c r="F138" s="15">
        <v>-0.02</v>
      </c>
      <c r="G138" s="19">
        <f t="shared" si="30"/>
        <v>0.44900000000000001</v>
      </c>
      <c r="H138" s="25">
        <f t="shared" si="31"/>
        <v>0.40899999999999997</v>
      </c>
      <c r="I138" s="28"/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S138" s="97">
        <f t="shared" si="18"/>
        <v>0</v>
      </c>
      <c r="T138" s="97">
        <f t="shared" si="19"/>
        <v>0</v>
      </c>
      <c r="U138" s="98">
        <f t="shared" si="26"/>
        <v>0.42899999999999999</v>
      </c>
      <c r="V138" s="98">
        <f t="shared" si="26"/>
        <v>0.42899999999999999</v>
      </c>
      <c r="X138" s="97" t="e">
        <f t="shared" si="20"/>
        <v>#REF!</v>
      </c>
      <c r="Y138" s="97" t="e">
        <f t="shared" si="21"/>
        <v>#REF!</v>
      </c>
      <c r="Z138" s="98" t="e">
        <f t="shared" si="27"/>
        <v>#REF!</v>
      </c>
      <c r="AA138" s="98" t="e">
        <f t="shared" si="27"/>
        <v>#REF!</v>
      </c>
      <c r="AC138" s="97" t="e">
        <f t="shared" si="22"/>
        <v>#REF!</v>
      </c>
      <c r="AD138" s="97" t="e">
        <f t="shared" si="23"/>
        <v>#REF!</v>
      </c>
      <c r="AE138" s="98" t="e">
        <f t="shared" si="28"/>
        <v>#REF!</v>
      </c>
      <c r="AF138" s="98" t="e">
        <f t="shared" si="28"/>
        <v>#REF!</v>
      </c>
      <c r="AH138" s="97" t="e">
        <f t="shared" si="24"/>
        <v>#REF!</v>
      </c>
      <c r="AI138" s="97" t="e">
        <f t="shared" si="25"/>
        <v>#REF!</v>
      </c>
      <c r="AJ138" s="98" t="e">
        <f t="shared" si="29"/>
        <v>#REF!</v>
      </c>
      <c r="AK138" s="98" t="e">
        <f t="shared" si="29"/>
        <v>#REF!</v>
      </c>
    </row>
    <row r="139" spans="1:898 1130:1961 2134:3033 3315:3315" ht="15" customHeight="1">
      <c r="A139" s="87" t="s">
        <v>307</v>
      </c>
      <c r="B139" s="99" t="s">
        <v>308</v>
      </c>
      <c r="C139" s="86">
        <v>1.33</v>
      </c>
      <c r="D139" s="14">
        <v>0.39200000000000002</v>
      </c>
      <c r="E139" s="15">
        <v>0.03</v>
      </c>
      <c r="F139" s="15">
        <v>-0.03</v>
      </c>
      <c r="G139" s="19">
        <f t="shared" si="30"/>
        <v>0.42200000000000004</v>
      </c>
      <c r="H139" s="25">
        <f t="shared" si="31"/>
        <v>0.36199999999999999</v>
      </c>
      <c r="I139" s="29"/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S139" s="97">
        <f t="shared" si="18"/>
        <v>0</v>
      </c>
      <c r="T139" s="97">
        <f t="shared" si="19"/>
        <v>0</v>
      </c>
      <c r="U139" s="98">
        <f t="shared" si="26"/>
        <v>0.39200000000000002</v>
      </c>
      <c r="V139" s="98">
        <f t="shared" si="26"/>
        <v>0.39200000000000002</v>
      </c>
      <c r="X139" s="97" t="e">
        <f t="shared" si="20"/>
        <v>#REF!</v>
      </c>
      <c r="Y139" s="97" t="e">
        <f t="shared" si="21"/>
        <v>#REF!</v>
      </c>
      <c r="Z139" s="98" t="e">
        <f t="shared" si="27"/>
        <v>#REF!</v>
      </c>
      <c r="AA139" s="98" t="e">
        <f t="shared" si="27"/>
        <v>#REF!</v>
      </c>
      <c r="AC139" s="97" t="e">
        <f t="shared" si="22"/>
        <v>#REF!</v>
      </c>
      <c r="AD139" s="97" t="e">
        <f t="shared" si="23"/>
        <v>#REF!</v>
      </c>
      <c r="AE139" s="98" t="e">
        <f t="shared" si="28"/>
        <v>#REF!</v>
      </c>
      <c r="AF139" s="98" t="e">
        <f t="shared" si="28"/>
        <v>#REF!</v>
      </c>
      <c r="AH139" s="97" t="e">
        <f t="shared" si="24"/>
        <v>#REF!</v>
      </c>
      <c r="AI139" s="97" t="e">
        <f t="shared" si="25"/>
        <v>#REF!</v>
      </c>
      <c r="AJ139" s="98" t="e">
        <f t="shared" si="29"/>
        <v>#REF!</v>
      </c>
      <c r="AK139" s="98" t="e">
        <f t="shared" si="29"/>
        <v>#REF!</v>
      </c>
    </row>
    <row r="140" spans="1:898 1130:1961 2134:3033 3315:3315" ht="15" customHeight="1">
      <c r="A140" s="87" t="s">
        <v>307</v>
      </c>
      <c r="B140" s="100" t="s">
        <v>98</v>
      </c>
      <c r="C140" s="86">
        <v>1.33</v>
      </c>
      <c r="D140" s="14">
        <v>0.39200000000000002</v>
      </c>
      <c r="E140" s="15">
        <v>0.03</v>
      </c>
      <c r="F140" s="15">
        <v>-0.03</v>
      </c>
      <c r="G140" s="19">
        <f t="shared" si="30"/>
        <v>0.42200000000000004</v>
      </c>
      <c r="H140" s="25">
        <f t="shared" si="31"/>
        <v>0.36199999999999999</v>
      </c>
      <c r="I140" s="28"/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S140" s="97">
        <f t="shared" ref="S140:S205" si="32">IF($A140&lt;&gt;"(DC)", $E140*$R$7, $E140)</f>
        <v>0</v>
      </c>
      <c r="T140" s="97">
        <f t="shared" ref="T140:T205" si="33">IF($A140&lt;&gt;"(DC)", $F140*$R$7, $F140)</f>
        <v>0</v>
      </c>
      <c r="U140" s="98">
        <f t="shared" si="26"/>
        <v>0.39200000000000002</v>
      </c>
      <c r="V140" s="98">
        <f t="shared" si="26"/>
        <v>0.39200000000000002</v>
      </c>
      <c r="X140" s="97" t="e">
        <f t="shared" ref="X140:X205" si="34">IF($A140&lt;&gt;"(DC)", $E140*$W$7, $E140)</f>
        <v>#REF!</v>
      </c>
      <c r="Y140" s="97" t="e">
        <f t="shared" ref="Y140:Y205" si="35">IF($A140&lt;&gt;"(DC)", $F140*$W$7, $F140)</f>
        <v>#REF!</v>
      </c>
      <c r="Z140" s="98" t="e">
        <f t="shared" si="27"/>
        <v>#REF!</v>
      </c>
      <c r="AA140" s="98" t="e">
        <f t="shared" si="27"/>
        <v>#REF!</v>
      </c>
      <c r="AC140" s="97" t="e">
        <f t="shared" ref="AC140:AC205" si="36">IF($A140&lt;&gt;"(DC)", $E140*$AB$7, $E140)</f>
        <v>#REF!</v>
      </c>
      <c r="AD140" s="97" t="e">
        <f t="shared" ref="AD140:AD205" si="37">IF($A140&lt;&gt;"(DC)", $F140*$AB$7, $F140)</f>
        <v>#REF!</v>
      </c>
      <c r="AE140" s="98" t="e">
        <f t="shared" si="28"/>
        <v>#REF!</v>
      </c>
      <c r="AF140" s="98" t="e">
        <f t="shared" si="28"/>
        <v>#REF!</v>
      </c>
      <c r="AH140" s="97" t="e">
        <f t="shared" ref="AH140:AH205" si="38">IF($A140&lt;&gt;"(DC)", $E140*$AG$7, $E140)</f>
        <v>#REF!</v>
      </c>
      <c r="AI140" s="97" t="e">
        <f t="shared" ref="AI140:AI205" si="39">IF($A140&lt;&gt;"(DC)", $F140*$AG$7, $F140)</f>
        <v>#REF!</v>
      </c>
      <c r="AJ140" s="98" t="e">
        <f t="shared" si="29"/>
        <v>#REF!</v>
      </c>
      <c r="AK140" s="98" t="e">
        <f t="shared" si="29"/>
        <v>#REF!</v>
      </c>
    </row>
    <row r="141" spans="1:898 1130:1961 2134:3033 3315:3315" ht="15" customHeight="1">
      <c r="A141" s="87" t="s">
        <v>307</v>
      </c>
      <c r="B141" s="99" t="s">
        <v>99</v>
      </c>
      <c r="C141" s="86">
        <v>1.33</v>
      </c>
      <c r="D141" s="14">
        <v>0.39200000000000002</v>
      </c>
      <c r="E141" s="15">
        <v>0.03</v>
      </c>
      <c r="F141" s="15">
        <v>-0.03</v>
      </c>
      <c r="G141" s="19">
        <f t="shared" si="30"/>
        <v>0.42200000000000004</v>
      </c>
      <c r="H141" s="25">
        <f t="shared" si="31"/>
        <v>0.36199999999999999</v>
      </c>
      <c r="I141" s="29"/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S141" s="97">
        <f t="shared" si="32"/>
        <v>0</v>
      </c>
      <c r="T141" s="97">
        <f t="shared" si="33"/>
        <v>0</v>
      </c>
      <c r="U141" s="98">
        <f t="shared" si="26"/>
        <v>0.39200000000000002</v>
      </c>
      <c r="V141" s="98">
        <f t="shared" si="26"/>
        <v>0.39200000000000002</v>
      </c>
      <c r="X141" s="97" t="e">
        <f t="shared" si="34"/>
        <v>#REF!</v>
      </c>
      <c r="Y141" s="97" t="e">
        <f t="shared" si="35"/>
        <v>#REF!</v>
      </c>
      <c r="Z141" s="98" t="e">
        <f t="shared" si="27"/>
        <v>#REF!</v>
      </c>
      <c r="AA141" s="98" t="e">
        <f t="shared" si="27"/>
        <v>#REF!</v>
      </c>
      <c r="AC141" s="97" t="e">
        <f t="shared" si="36"/>
        <v>#REF!</v>
      </c>
      <c r="AD141" s="97" t="e">
        <f t="shared" si="37"/>
        <v>#REF!</v>
      </c>
      <c r="AE141" s="98" t="e">
        <f t="shared" si="28"/>
        <v>#REF!</v>
      </c>
      <c r="AF141" s="98" t="e">
        <f t="shared" si="28"/>
        <v>#REF!</v>
      </c>
      <c r="AH141" s="97" t="e">
        <f t="shared" si="38"/>
        <v>#REF!</v>
      </c>
      <c r="AI141" s="97" t="e">
        <f t="shared" si="39"/>
        <v>#REF!</v>
      </c>
      <c r="AJ141" s="98" t="e">
        <f t="shared" si="29"/>
        <v>#REF!</v>
      </c>
      <c r="AK141" s="98" t="e">
        <f t="shared" si="29"/>
        <v>#REF!</v>
      </c>
    </row>
    <row r="142" spans="1:898 1130:1961 2134:3033 3315:3315" ht="15" customHeight="1">
      <c r="A142" s="87" t="s">
        <v>307</v>
      </c>
      <c r="B142" s="100" t="s">
        <v>100</v>
      </c>
      <c r="C142" s="86">
        <v>1.33</v>
      </c>
      <c r="D142" s="14">
        <v>0.39200000000000002</v>
      </c>
      <c r="E142" s="15">
        <v>0.03</v>
      </c>
      <c r="F142" s="15">
        <v>-0.03</v>
      </c>
      <c r="G142" s="19">
        <f t="shared" si="30"/>
        <v>0.42200000000000004</v>
      </c>
      <c r="H142" s="25">
        <f t="shared" si="31"/>
        <v>0.36199999999999999</v>
      </c>
      <c r="I142" s="28"/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S142" s="97">
        <f t="shared" si="32"/>
        <v>0</v>
      </c>
      <c r="T142" s="97">
        <f t="shared" si="33"/>
        <v>0</v>
      </c>
      <c r="U142" s="98">
        <f t="shared" si="26"/>
        <v>0.39200000000000002</v>
      </c>
      <c r="V142" s="98">
        <f t="shared" si="26"/>
        <v>0.39200000000000002</v>
      </c>
      <c r="X142" s="97" t="e">
        <f t="shared" si="34"/>
        <v>#REF!</v>
      </c>
      <c r="Y142" s="97" t="e">
        <f t="shared" si="35"/>
        <v>#REF!</v>
      </c>
      <c r="Z142" s="98" t="e">
        <f t="shared" si="27"/>
        <v>#REF!</v>
      </c>
      <c r="AA142" s="98" t="e">
        <f t="shared" si="27"/>
        <v>#REF!</v>
      </c>
      <c r="AC142" s="97" t="e">
        <f t="shared" si="36"/>
        <v>#REF!</v>
      </c>
      <c r="AD142" s="97" t="e">
        <f t="shared" si="37"/>
        <v>#REF!</v>
      </c>
      <c r="AE142" s="98" t="e">
        <f t="shared" si="28"/>
        <v>#REF!</v>
      </c>
      <c r="AF142" s="98" t="e">
        <f t="shared" si="28"/>
        <v>#REF!</v>
      </c>
      <c r="AH142" s="97" t="e">
        <f t="shared" si="38"/>
        <v>#REF!</v>
      </c>
      <c r="AI142" s="97" t="e">
        <f t="shared" si="39"/>
        <v>#REF!</v>
      </c>
      <c r="AJ142" s="98" t="e">
        <f t="shared" si="29"/>
        <v>#REF!</v>
      </c>
      <c r="AK142" s="98" t="e">
        <f t="shared" si="29"/>
        <v>#REF!</v>
      </c>
    </row>
    <row r="143" spans="1:898 1130:1961 2134:3033 3315:3315" ht="15" customHeight="1">
      <c r="A143" s="87" t="s">
        <v>307</v>
      </c>
      <c r="B143" s="99" t="s">
        <v>101</v>
      </c>
      <c r="C143" s="86">
        <v>1.33</v>
      </c>
      <c r="D143" s="14">
        <v>0.39200000000000002</v>
      </c>
      <c r="E143" s="15">
        <v>0.03</v>
      </c>
      <c r="F143" s="15">
        <v>-0.03</v>
      </c>
      <c r="G143" s="19">
        <f t="shared" si="30"/>
        <v>0.42200000000000004</v>
      </c>
      <c r="H143" s="25">
        <f t="shared" si="31"/>
        <v>0.36199999999999999</v>
      </c>
      <c r="I143" s="29"/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S143" s="97">
        <f t="shared" si="32"/>
        <v>0</v>
      </c>
      <c r="T143" s="97">
        <f t="shared" si="33"/>
        <v>0</v>
      </c>
      <c r="U143" s="98">
        <f t="shared" si="26"/>
        <v>0.39200000000000002</v>
      </c>
      <c r="V143" s="98">
        <f t="shared" si="26"/>
        <v>0.39200000000000002</v>
      </c>
      <c r="X143" s="97" t="e">
        <f t="shared" si="34"/>
        <v>#REF!</v>
      </c>
      <c r="Y143" s="97" t="e">
        <f t="shared" si="35"/>
        <v>#REF!</v>
      </c>
      <c r="Z143" s="98" t="e">
        <f t="shared" si="27"/>
        <v>#REF!</v>
      </c>
      <c r="AA143" s="98" t="e">
        <f t="shared" si="27"/>
        <v>#REF!</v>
      </c>
      <c r="AC143" s="97" t="e">
        <f t="shared" si="36"/>
        <v>#REF!</v>
      </c>
      <c r="AD143" s="97" t="e">
        <f t="shared" si="37"/>
        <v>#REF!</v>
      </c>
      <c r="AE143" s="98" t="e">
        <f t="shared" si="28"/>
        <v>#REF!</v>
      </c>
      <c r="AF143" s="98" t="e">
        <f t="shared" si="28"/>
        <v>#REF!</v>
      </c>
      <c r="AH143" s="97" t="e">
        <f t="shared" si="38"/>
        <v>#REF!</v>
      </c>
      <c r="AI143" s="97" t="e">
        <f t="shared" si="39"/>
        <v>#REF!</v>
      </c>
      <c r="AJ143" s="98" t="e">
        <f t="shared" si="29"/>
        <v>#REF!</v>
      </c>
      <c r="AK143" s="98" t="e">
        <f t="shared" si="29"/>
        <v>#REF!</v>
      </c>
    </row>
    <row r="144" spans="1:898 1130:1961 2134:3033 3315:3315" ht="15" customHeight="1">
      <c r="A144" s="87" t="s">
        <v>307</v>
      </c>
      <c r="B144" s="100" t="s">
        <v>102</v>
      </c>
      <c r="C144" s="86">
        <v>1.33</v>
      </c>
      <c r="D144" s="14">
        <v>0.39200000000000002</v>
      </c>
      <c r="E144" s="15">
        <v>0.03</v>
      </c>
      <c r="F144" s="15">
        <v>-0.03</v>
      </c>
      <c r="G144" s="19">
        <f t="shared" si="30"/>
        <v>0.42200000000000004</v>
      </c>
      <c r="H144" s="25">
        <f t="shared" si="31"/>
        <v>0.36199999999999999</v>
      </c>
      <c r="I144" s="29"/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S144" s="97">
        <f t="shared" si="32"/>
        <v>0</v>
      </c>
      <c r="T144" s="97">
        <f t="shared" si="33"/>
        <v>0</v>
      </c>
      <c r="U144" s="98">
        <f t="shared" si="26"/>
        <v>0.39200000000000002</v>
      </c>
      <c r="V144" s="98">
        <f t="shared" si="26"/>
        <v>0.39200000000000002</v>
      </c>
      <c r="X144" s="97" t="e">
        <f t="shared" si="34"/>
        <v>#REF!</v>
      </c>
      <c r="Y144" s="97" t="e">
        <f t="shared" si="35"/>
        <v>#REF!</v>
      </c>
      <c r="Z144" s="98" t="e">
        <f t="shared" si="27"/>
        <v>#REF!</v>
      </c>
      <c r="AA144" s="98" t="e">
        <f t="shared" si="27"/>
        <v>#REF!</v>
      </c>
      <c r="AC144" s="97" t="e">
        <f t="shared" si="36"/>
        <v>#REF!</v>
      </c>
      <c r="AD144" s="97" t="e">
        <f t="shared" si="37"/>
        <v>#REF!</v>
      </c>
      <c r="AE144" s="98" t="e">
        <f t="shared" si="28"/>
        <v>#REF!</v>
      </c>
      <c r="AF144" s="98" t="e">
        <f t="shared" si="28"/>
        <v>#REF!</v>
      </c>
      <c r="AH144" s="97" t="e">
        <f t="shared" si="38"/>
        <v>#REF!</v>
      </c>
      <c r="AI144" s="97" t="e">
        <f t="shared" si="39"/>
        <v>#REF!</v>
      </c>
      <c r="AJ144" s="98" t="e">
        <f t="shared" si="29"/>
        <v>#REF!</v>
      </c>
      <c r="AK144" s="98" t="e">
        <f t="shared" si="29"/>
        <v>#REF!</v>
      </c>
    </row>
    <row r="145" spans="1:37" ht="15" customHeight="1">
      <c r="A145" s="87" t="s">
        <v>307</v>
      </c>
      <c r="B145" s="90" t="s">
        <v>103</v>
      </c>
      <c r="C145" s="86">
        <v>1.33</v>
      </c>
      <c r="D145" s="14">
        <v>0.39200000000000002</v>
      </c>
      <c r="E145" s="15">
        <v>0.03</v>
      </c>
      <c r="F145" s="15">
        <v>-0.03</v>
      </c>
      <c r="G145" s="19">
        <f t="shared" si="30"/>
        <v>0.42200000000000004</v>
      </c>
      <c r="H145" s="25">
        <f t="shared" si="31"/>
        <v>0.36199999999999999</v>
      </c>
      <c r="I145" s="29"/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S145" s="97">
        <f t="shared" si="32"/>
        <v>0</v>
      </c>
      <c r="T145" s="97">
        <f t="shared" si="33"/>
        <v>0</v>
      </c>
      <c r="U145" s="98">
        <f t="shared" si="26"/>
        <v>0.39200000000000002</v>
      </c>
      <c r="V145" s="98">
        <f t="shared" si="26"/>
        <v>0.39200000000000002</v>
      </c>
      <c r="X145" s="97" t="e">
        <f t="shared" si="34"/>
        <v>#REF!</v>
      </c>
      <c r="Y145" s="97" t="e">
        <f t="shared" si="35"/>
        <v>#REF!</v>
      </c>
      <c r="Z145" s="98" t="e">
        <f t="shared" si="27"/>
        <v>#REF!</v>
      </c>
      <c r="AA145" s="98" t="e">
        <f t="shared" si="27"/>
        <v>#REF!</v>
      </c>
      <c r="AC145" s="97" t="e">
        <f t="shared" si="36"/>
        <v>#REF!</v>
      </c>
      <c r="AD145" s="97" t="e">
        <f t="shared" si="37"/>
        <v>#REF!</v>
      </c>
      <c r="AE145" s="98" t="e">
        <f t="shared" si="28"/>
        <v>#REF!</v>
      </c>
      <c r="AF145" s="98" t="e">
        <f t="shared" si="28"/>
        <v>#REF!</v>
      </c>
      <c r="AH145" s="97" t="e">
        <f t="shared" si="38"/>
        <v>#REF!</v>
      </c>
      <c r="AI145" s="97" t="e">
        <f t="shared" si="39"/>
        <v>#REF!</v>
      </c>
      <c r="AJ145" s="98" t="e">
        <f t="shared" si="29"/>
        <v>#REF!</v>
      </c>
      <c r="AK145" s="98" t="e">
        <f t="shared" si="29"/>
        <v>#REF!</v>
      </c>
    </row>
    <row r="146" spans="1:37" ht="15" customHeight="1">
      <c r="A146" s="87" t="s">
        <v>307</v>
      </c>
      <c r="B146" s="90" t="s">
        <v>104</v>
      </c>
      <c r="C146" s="86">
        <v>1.33</v>
      </c>
      <c r="D146" s="14">
        <v>0.39200000000000002</v>
      </c>
      <c r="E146" s="15">
        <v>0.03</v>
      </c>
      <c r="F146" s="15">
        <v>-0.03</v>
      </c>
      <c r="G146" s="19">
        <f t="shared" si="30"/>
        <v>0.42200000000000004</v>
      </c>
      <c r="H146" s="25">
        <f t="shared" si="31"/>
        <v>0.36199999999999999</v>
      </c>
      <c r="I146" s="29"/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S146" s="97">
        <f t="shared" si="32"/>
        <v>0</v>
      </c>
      <c r="T146" s="97">
        <f t="shared" si="33"/>
        <v>0</v>
      </c>
      <c r="U146" s="98">
        <f t="shared" si="26"/>
        <v>0.39200000000000002</v>
      </c>
      <c r="V146" s="98">
        <f t="shared" si="26"/>
        <v>0.39200000000000002</v>
      </c>
      <c r="X146" s="97" t="e">
        <f t="shared" si="34"/>
        <v>#REF!</v>
      </c>
      <c r="Y146" s="97" t="e">
        <f t="shared" si="35"/>
        <v>#REF!</v>
      </c>
      <c r="Z146" s="98" t="e">
        <f t="shared" si="27"/>
        <v>#REF!</v>
      </c>
      <c r="AA146" s="98" t="e">
        <f t="shared" si="27"/>
        <v>#REF!</v>
      </c>
      <c r="AC146" s="97" t="e">
        <f t="shared" si="36"/>
        <v>#REF!</v>
      </c>
      <c r="AD146" s="97" t="e">
        <f t="shared" si="37"/>
        <v>#REF!</v>
      </c>
      <c r="AE146" s="98" t="e">
        <f t="shared" si="28"/>
        <v>#REF!</v>
      </c>
      <c r="AF146" s="98" t="e">
        <f t="shared" si="28"/>
        <v>#REF!</v>
      </c>
      <c r="AH146" s="97" t="e">
        <f t="shared" si="38"/>
        <v>#REF!</v>
      </c>
      <c r="AI146" s="97" t="e">
        <f t="shared" si="39"/>
        <v>#REF!</v>
      </c>
      <c r="AJ146" s="98" t="e">
        <f t="shared" si="29"/>
        <v>#REF!</v>
      </c>
      <c r="AK146" s="98" t="e">
        <f t="shared" si="29"/>
        <v>#REF!</v>
      </c>
    </row>
    <row r="147" spans="1:37" ht="15" customHeight="1">
      <c r="A147" s="87" t="s">
        <v>307</v>
      </c>
      <c r="B147" s="90" t="s">
        <v>105</v>
      </c>
      <c r="C147" s="86">
        <v>1.33</v>
      </c>
      <c r="D147" s="14">
        <v>0.39200000000000002</v>
      </c>
      <c r="E147" s="15">
        <v>0.03</v>
      </c>
      <c r="F147" s="15">
        <v>-0.03</v>
      </c>
      <c r="G147" s="19">
        <f t="shared" si="30"/>
        <v>0.42200000000000004</v>
      </c>
      <c r="H147" s="25">
        <f t="shared" si="31"/>
        <v>0.36199999999999999</v>
      </c>
      <c r="I147" s="29"/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S147" s="97">
        <f t="shared" si="32"/>
        <v>0</v>
      </c>
      <c r="T147" s="97">
        <f t="shared" si="33"/>
        <v>0</v>
      </c>
      <c r="U147" s="98">
        <f t="shared" si="26"/>
        <v>0.39200000000000002</v>
      </c>
      <c r="V147" s="98">
        <f t="shared" si="26"/>
        <v>0.39200000000000002</v>
      </c>
      <c r="X147" s="97" t="e">
        <f t="shared" si="34"/>
        <v>#REF!</v>
      </c>
      <c r="Y147" s="97" t="e">
        <f t="shared" si="35"/>
        <v>#REF!</v>
      </c>
      <c r="Z147" s="98" t="e">
        <f t="shared" si="27"/>
        <v>#REF!</v>
      </c>
      <c r="AA147" s="98" t="e">
        <f t="shared" si="27"/>
        <v>#REF!</v>
      </c>
      <c r="AC147" s="97" t="e">
        <f t="shared" si="36"/>
        <v>#REF!</v>
      </c>
      <c r="AD147" s="97" t="e">
        <f t="shared" si="37"/>
        <v>#REF!</v>
      </c>
      <c r="AE147" s="98" t="e">
        <f t="shared" si="28"/>
        <v>#REF!</v>
      </c>
      <c r="AF147" s="98" t="e">
        <f t="shared" si="28"/>
        <v>#REF!</v>
      </c>
      <c r="AH147" s="97" t="e">
        <f t="shared" si="38"/>
        <v>#REF!</v>
      </c>
      <c r="AI147" s="97" t="e">
        <f t="shared" si="39"/>
        <v>#REF!</v>
      </c>
      <c r="AJ147" s="98" t="e">
        <f t="shared" si="29"/>
        <v>#REF!</v>
      </c>
      <c r="AK147" s="98" t="e">
        <f t="shared" si="29"/>
        <v>#REF!</v>
      </c>
    </row>
    <row r="148" spans="1:37" ht="15" customHeight="1">
      <c r="A148" s="87" t="s">
        <v>307</v>
      </c>
      <c r="B148" s="89" t="s">
        <v>106</v>
      </c>
      <c r="C148" s="86">
        <v>1.33</v>
      </c>
      <c r="D148" s="14">
        <v>0.39200000000000002</v>
      </c>
      <c r="E148" s="15">
        <v>0.03</v>
      </c>
      <c r="F148" s="15">
        <v>-0.03</v>
      </c>
      <c r="G148" s="19">
        <f t="shared" si="30"/>
        <v>0.42200000000000004</v>
      </c>
      <c r="H148" s="25">
        <f t="shared" si="31"/>
        <v>0.36199999999999999</v>
      </c>
      <c r="I148" s="28"/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S148" s="97">
        <f t="shared" si="32"/>
        <v>0</v>
      </c>
      <c r="T148" s="97">
        <f t="shared" si="33"/>
        <v>0</v>
      </c>
      <c r="U148" s="98">
        <f t="shared" si="26"/>
        <v>0.39200000000000002</v>
      </c>
      <c r="V148" s="98">
        <f t="shared" si="26"/>
        <v>0.39200000000000002</v>
      </c>
      <c r="X148" s="97" t="e">
        <f t="shared" si="34"/>
        <v>#REF!</v>
      </c>
      <c r="Y148" s="97" t="e">
        <f t="shared" si="35"/>
        <v>#REF!</v>
      </c>
      <c r="Z148" s="98" t="e">
        <f t="shared" si="27"/>
        <v>#REF!</v>
      </c>
      <c r="AA148" s="98" t="e">
        <f t="shared" si="27"/>
        <v>#REF!</v>
      </c>
      <c r="AC148" s="97" t="e">
        <f t="shared" si="36"/>
        <v>#REF!</v>
      </c>
      <c r="AD148" s="97" t="e">
        <f t="shared" si="37"/>
        <v>#REF!</v>
      </c>
      <c r="AE148" s="98" t="e">
        <f t="shared" si="28"/>
        <v>#REF!</v>
      </c>
      <c r="AF148" s="98" t="e">
        <f t="shared" si="28"/>
        <v>#REF!</v>
      </c>
      <c r="AH148" s="97" t="e">
        <f t="shared" si="38"/>
        <v>#REF!</v>
      </c>
      <c r="AI148" s="97" t="e">
        <f t="shared" si="39"/>
        <v>#REF!</v>
      </c>
      <c r="AJ148" s="98" t="e">
        <f t="shared" si="29"/>
        <v>#REF!</v>
      </c>
      <c r="AK148" s="98" t="e">
        <f t="shared" si="29"/>
        <v>#REF!</v>
      </c>
    </row>
    <row r="149" spans="1:37" ht="15" customHeight="1">
      <c r="A149" s="87" t="s">
        <v>307</v>
      </c>
      <c r="B149" s="100" t="s">
        <v>107</v>
      </c>
      <c r="C149" s="86">
        <v>1.33</v>
      </c>
      <c r="D149" s="14">
        <v>0.39200000000000002</v>
      </c>
      <c r="E149" s="15">
        <v>0.03</v>
      </c>
      <c r="F149" s="15">
        <v>-0.03</v>
      </c>
      <c r="G149" s="19">
        <f t="shared" si="30"/>
        <v>0.42200000000000004</v>
      </c>
      <c r="H149" s="25">
        <f t="shared" si="31"/>
        <v>0.36199999999999999</v>
      </c>
      <c r="I149" s="29"/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S149" s="97">
        <f t="shared" si="32"/>
        <v>0</v>
      </c>
      <c r="T149" s="97">
        <f t="shared" si="33"/>
        <v>0</v>
      </c>
      <c r="U149" s="98">
        <f t="shared" si="26"/>
        <v>0.39200000000000002</v>
      </c>
      <c r="V149" s="98">
        <f t="shared" si="26"/>
        <v>0.39200000000000002</v>
      </c>
      <c r="X149" s="97" t="e">
        <f t="shared" si="34"/>
        <v>#REF!</v>
      </c>
      <c r="Y149" s="97" t="e">
        <f t="shared" si="35"/>
        <v>#REF!</v>
      </c>
      <c r="Z149" s="98" t="e">
        <f t="shared" si="27"/>
        <v>#REF!</v>
      </c>
      <c r="AA149" s="98" t="e">
        <f t="shared" si="27"/>
        <v>#REF!</v>
      </c>
      <c r="AC149" s="97" t="e">
        <f t="shared" si="36"/>
        <v>#REF!</v>
      </c>
      <c r="AD149" s="97" t="e">
        <f t="shared" si="37"/>
        <v>#REF!</v>
      </c>
      <c r="AE149" s="98" t="e">
        <f t="shared" si="28"/>
        <v>#REF!</v>
      </c>
      <c r="AF149" s="98" t="e">
        <f t="shared" si="28"/>
        <v>#REF!</v>
      </c>
      <c r="AH149" s="97" t="e">
        <f t="shared" si="38"/>
        <v>#REF!</v>
      </c>
      <c r="AI149" s="97" t="e">
        <f t="shared" si="39"/>
        <v>#REF!</v>
      </c>
      <c r="AJ149" s="98" t="e">
        <f t="shared" si="29"/>
        <v>#REF!</v>
      </c>
      <c r="AK149" s="98" t="e">
        <f t="shared" si="29"/>
        <v>#REF!</v>
      </c>
    </row>
    <row r="150" spans="1:37" ht="15" customHeight="1">
      <c r="A150" s="84" t="s">
        <v>307</v>
      </c>
      <c r="B150" s="89" t="s">
        <v>108</v>
      </c>
      <c r="C150" s="86">
        <v>1.33</v>
      </c>
      <c r="D150" s="14">
        <v>0.39200000000000002</v>
      </c>
      <c r="E150" s="15">
        <v>0.03</v>
      </c>
      <c r="F150" s="15">
        <v>-0.03</v>
      </c>
      <c r="G150" s="19">
        <f t="shared" si="30"/>
        <v>0.42200000000000004</v>
      </c>
      <c r="H150" s="25">
        <f t="shared" si="31"/>
        <v>0.36199999999999999</v>
      </c>
      <c r="I150" s="29"/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S150" s="97">
        <f t="shared" si="32"/>
        <v>0</v>
      </c>
      <c r="T150" s="97">
        <f t="shared" si="33"/>
        <v>0</v>
      </c>
      <c r="U150" s="98">
        <f t="shared" si="26"/>
        <v>0.39200000000000002</v>
      </c>
      <c r="V150" s="98">
        <f t="shared" si="26"/>
        <v>0.39200000000000002</v>
      </c>
      <c r="X150" s="97" t="e">
        <f t="shared" si="34"/>
        <v>#REF!</v>
      </c>
      <c r="Y150" s="97" t="e">
        <f t="shared" si="35"/>
        <v>#REF!</v>
      </c>
      <c r="Z150" s="98" t="e">
        <f t="shared" si="27"/>
        <v>#REF!</v>
      </c>
      <c r="AA150" s="98" t="e">
        <f t="shared" si="27"/>
        <v>#REF!</v>
      </c>
      <c r="AC150" s="97" t="e">
        <f t="shared" si="36"/>
        <v>#REF!</v>
      </c>
      <c r="AD150" s="97" t="e">
        <f t="shared" si="37"/>
        <v>#REF!</v>
      </c>
      <c r="AE150" s="98" t="e">
        <f t="shared" si="28"/>
        <v>#REF!</v>
      </c>
      <c r="AF150" s="98" t="e">
        <f t="shared" si="28"/>
        <v>#REF!</v>
      </c>
      <c r="AH150" s="97" t="e">
        <f t="shared" si="38"/>
        <v>#REF!</v>
      </c>
      <c r="AI150" s="97" t="e">
        <f t="shared" si="39"/>
        <v>#REF!</v>
      </c>
      <c r="AJ150" s="98" t="e">
        <f t="shared" si="29"/>
        <v>#REF!</v>
      </c>
      <c r="AK150" s="98" t="e">
        <f t="shared" si="29"/>
        <v>#REF!</v>
      </c>
    </row>
    <row r="151" spans="1:37" ht="15" customHeight="1">
      <c r="A151" s="84" t="s">
        <v>307</v>
      </c>
      <c r="B151" s="89" t="s">
        <v>109</v>
      </c>
      <c r="C151" s="86">
        <v>1.33</v>
      </c>
      <c r="D151" s="14">
        <v>0.39200000000000002</v>
      </c>
      <c r="E151" s="15">
        <v>0.03</v>
      </c>
      <c r="F151" s="15">
        <v>-0.03</v>
      </c>
      <c r="G151" s="19">
        <f t="shared" si="30"/>
        <v>0.42200000000000004</v>
      </c>
      <c r="H151" s="25">
        <f t="shared" si="31"/>
        <v>0.36199999999999999</v>
      </c>
      <c r="I151" s="29"/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S151" s="97">
        <f t="shared" si="32"/>
        <v>0</v>
      </c>
      <c r="T151" s="97">
        <f t="shared" si="33"/>
        <v>0</v>
      </c>
      <c r="U151" s="98">
        <f t="shared" si="26"/>
        <v>0.39200000000000002</v>
      </c>
      <c r="V151" s="98">
        <f t="shared" si="26"/>
        <v>0.39200000000000002</v>
      </c>
      <c r="X151" s="97" t="e">
        <f t="shared" si="34"/>
        <v>#REF!</v>
      </c>
      <c r="Y151" s="97" t="e">
        <f t="shared" si="35"/>
        <v>#REF!</v>
      </c>
      <c r="Z151" s="98" t="e">
        <f t="shared" si="27"/>
        <v>#REF!</v>
      </c>
      <c r="AA151" s="98" t="e">
        <f t="shared" si="27"/>
        <v>#REF!</v>
      </c>
      <c r="AC151" s="97" t="e">
        <f t="shared" si="36"/>
        <v>#REF!</v>
      </c>
      <c r="AD151" s="97" t="e">
        <f t="shared" si="37"/>
        <v>#REF!</v>
      </c>
      <c r="AE151" s="98" t="e">
        <f t="shared" si="28"/>
        <v>#REF!</v>
      </c>
      <c r="AF151" s="98" t="e">
        <f t="shared" si="28"/>
        <v>#REF!</v>
      </c>
      <c r="AH151" s="97" t="e">
        <f t="shared" si="38"/>
        <v>#REF!</v>
      </c>
      <c r="AI151" s="97" t="e">
        <f t="shared" si="39"/>
        <v>#REF!</v>
      </c>
      <c r="AJ151" s="98" t="e">
        <f t="shared" si="29"/>
        <v>#REF!</v>
      </c>
      <c r="AK151" s="98" t="e">
        <f t="shared" si="29"/>
        <v>#REF!</v>
      </c>
    </row>
    <row r="152" spans="1:37" ht="15" customHeight="1">
      <c r="A152" s="84"/>
      <c r="B152" s="99" t="s">
        <v>308</v>
      </c>
      <c r="C152" s="86">
        <v>1.33</v>
      </c>
      <c r="D152" s="14">
        <v>0.39200000000000002</v>
      </c>
      <c r="E152" s="15">
        <v>0.03</v>
      </c>
      <c r="F152" s="15">
        <v>-0.03</v>
      </c>
      <c r="G152" s="19">
        <f t="shared" ref="G152:G164" si="40">IF(AND(D152="",E152=""),"",IF(D152="",E152,D152+E152))</f>
        <v>0.42200000000000004</v>
      </c>
      <c r="H152" s="25">
        <f t="shared" ref="H152:H164" si="41">IF(AND(D152="",F152=""),"",IF(D152="",F152,D152+F152))</f>
        <v>0.36199999999999999</v>
      </c>
      <c r="I152" s="29"/>
      <c r="J152" s="3"/>
      <c r="K152" s="3"/>
      <c r="L152" s="3"/>
      <c r="M152" s="3"/>
      <c r="N152" s="3"/>
      <c r="O152" s="3"/>
      <c r="P152" s="3"/>
      <c r="Q152" s="3"/>
      <c r="S152" s="97">
        <f t="shared" si="32"/>
        <v>0</v>
      </c>
      <c r="T152" s="97">
        <f t="shared" si="33"/>
        <v>0</v>
      </c>
      <c r="U152" s="98">
        <f t="shared" si="26"/>
        <v>0.39200000000000002</v>
      </c>
      <c r="V152" s="98">
        <f t="shared" si="26"/>
        <v>0.39200000000000002</v>
      </c>
      <c r="X152" s="97" t="e">
        <f t="shared" si="34"/>
        <v>#REF!</v>
      </c>
      <c r="Y152" s="97" t="e">
        <f t="shared" si="35"/>
        <v>#REF!</v>
      </c>
      <c r="Z152" s="98" t="e">
        <f t="shared" si="27"/>
        <v>#REF!</v>
      </c>
      <c r="AA152" s="98" t="e">
        <f t="shared" si="27"/>
        <v>#REF!</v>
      </c>
      <c r="AC152" s="97" t="e">
        <f t="shared" si="36"/>
        <v>#REF!</v>
      </c>
      <c r="AD152" s="97" t="e">
        <f t="shared" si="37"/>
        <v>#REF!</v>
      </c>
      <c r="AE152" s="98" t="e">
        <f t="shared" si="28"/>
        <v>#REF!</v>
      </c>
      <c r="AF152" s="98" t="e">
        <f t="shared" si="28"/>
        <v>#REF!</v>
      </c>
      <c r="AH152" s="97" t="e">
        <f t="shared" si="38"/>
        <v>#REF!</v>
      </c>
      <c r="AI152" s="97" t="e">
        <f t="shared" si="39"/>
        <v>#REF!</v>
      </c>
      <c r="AJ152" s="98" t="e">
        <f t="shared" si="29"/>
        <v>#REF!</v>
      </c>
      <c r="AK152" s="98" t="e">
        <f t="shared" si="29"/>
        <v>#REF!</v>
      </c>
    </row>
    <row r="153" spans="1:37" ht="15" customHeight="1">
      <c r="A153" s="84"/>
      <c r="B153" s="100" t="s">
        <v>98</v>
      </c>
      <c r="C153" s="86">
        <v>1.33</v>
      </c>
      <c r="D153" s="14">
        <v>0.39200000000000002</v>
      </c>
      <c r="E153" s="15">
        <v>0.03</v>
      </c>
      <c r="F153" s="15">
        <v>-0.03</v>
      </c>
      <c r="G153" s="19">
        <f t="shared" si="40"/>
        <v>0.42200000000000004</v>
      </c>
      <c r="H153" s="25">
        <f t="shared" si="41"/>
        <v>0.36199999999999999</v>
      </c>
      <c r="I153" s="29"/>
      <c r="J153" s="3"/>
      <c r="K153" s="3"/>
      <c r="L153" s="3"/>
      <c r="M153" s="3"/>
      <c r="N153" s="3"/>
      <c r="O153" s="3"/>
      <c r="P153" s="3"/>
      <c r="Q153" s="3"/>
      <c r="S153" s="97">
        <f t="shared" si="32"/>
        <v>0</v>
      </c>
      <c r="T153" s="97">
        <f t="shared" si="33"/>
        <v>0</v>
      </c>
      <c r="U153" s="98">
        <f t="shared" si="26"/>
        <v>0.39200000000000002</v>
      </c>
      <c r="V153" s="98">
        <f t="shared" si="26"/>
        <v>0.39200000000000002</v>
      </c>
      <c r="X153" s="97" t="e">
        <f t="shared" si="34"/>
        <v>#REF!</v>
      </c>
      <c r="Y153" s="97" t="e">
        <f t="shared" si="35"/>
        <v>#REF!</v>
      </c>
      <c r="Z153" s="98" t="e">
        <f t="shared" si="27"/>
        <v>#REF!</v>
      </c>
      <c r="AA153" s="98" t="e">
        <f t="shared" si="27"/>
        <v>#REF!</v>
      </c>
      <c r="AC153" s="97" t="e">
        <f t="shared" si="36"/>
        <v>#REF!</v>
      </c>
      <c r="AD153" s="97" t="e">
        <f t="shared" si="37"/>
        <v>#REF!</v>
      </c>
      <c r="AE153" s="98" t="e">
        <f t="shared" si="28"/>
        <v>#REF!</v>
      </c>
      <c r="AF153" s="98" t="e">
        <f t="shared" si="28"/>
        <v>#REF!</v>
      </c>
      <c r="AH153" s="97" t="e">
        <f t="shared" si="38"/>
        <v>#REF!</v>
      </c>
      <c r="AI153" s="97" t="e">
        <f t="shared" si="39"/>
        <v>#REF!</v>
      </c>
      <c r="AJ153" s="98" t="e">
        <f t="shared" si="29"/>
        <v>#REF!</v>
      </c>
      <c r="AK153" s="98" t="e">
        <f t="shared" si="29"/>
        <v>#REF!</v>
      </c>
    </row>
    <row r="154" spans="1:37" ht="15" customHeight="1">
      <c r="A154" s="84"/>
      <c r="B154" s="99" t="s">
        <v>99</v>
      </c>
      <c r="C154" s="86">
        <v>1.33</v>
      </c>
      <c r="D154" s="14">
        <v>0.39200000000000002</v>
      </c>
      <c r="E154" s="15">
        <v>0.03</v>
      </c>
      <c r="F154" s="15">
        <v>-0.03</v>
      </c>
      <c r="G154" s="19">
        <f t="shared" si="40"/>
        <v>0.42200000000000004</v>
      </c>
      <c r="H154" s="25">
        <f t="shared" si="41"/>
        <v>0.36199999999999999</v>
      </c>
      <c r="I154" s="29"/>
      <c r="J154" s="3"/>
      <c r="K154" s="3"/>
      <c r="L154" s="3"/>
      <c r="M154" s="3"/>
      <c r="N154" s="3"/>
      <c r="O154" s="3"/>
      <c r="P154" s="3"/>
      <c r="Q154" s="3"/>
      <c r="S154" s="97">
        <f t="shared" si="32"/>
        <v>0</v>
      </c>
      <c r="T154" s="97">
        <f t="shared" si="33"/>
        <v>0</v>
      </c>
      <c r="U154" s="98">
        <f t="shared" si="26"/>
        <v>0.39200000000000002</v>
      </c>
      <c r="V154" s="98">
        <f t="shared" si="26"/>
        <v>0.39200000000000002</v>
      </c>
      <c r="X154" s="97" t="e">
        <f t="shared" si="34"/>
        <v>#REF!</v>
      </c>
      <c r="Y154" s="97" t="e">
        <f t="shared" si="35"/>
        <v>#REF!</v>
      </c>
      <c r="Z154" s="98" t="e">
        <f t="shared" si="27"/>
        <v>#REF!</v>
      </c>
      <c r="AA154" s="98" t="e">
        <f t="shared" si="27"/>
        <v>#REF!</v>
      </c>
      <c r="AC154" s="97" t="e">
        <f t="shared" si="36"/>
        <v>#REF!</v>
      </c>
      <c r="AD154" s="97" t="e">
        <f t="shared" si="37"/>
        <v>#REF!</v>
      </c>
      <c r="AE154" s="98" t="e">
        <f t="shared" si="28"/>
        <v>#REF!</v>
      </c>
      <c r="AF154" s="98" t="e">
        <f t="shared" si="28"/>
        <v>#REF!</v>
      </c>
      <c r="AH154" s="97" t="e">
        <f t="shared" si="38"/>
        <v>#REF!</v>
      </c>
      <c r="AI154" s="97" t="e">
        <f t="shared" si="39"/>
        <v>#REF!</v>
      </c>
      <c r="AJ154" s="98" t="e">
        <f t="shared" si="29"/>
        <v>#REF!</v>
      </c>
      <c r="AK154" s="98" t="e">
        <f t="shared" si="29"/>
        <v>#REF!</v>
      </c>
    </row>
    <row r="155" spans="1:37" ht="15" customHeight="1">
      <c r="A155" s="84"/>
      <c r="B155" s="100" t="s">
        <v>100</v>
      </c>
      <c r="C155" s="86">
        <v>1.33</v>
      </c>
      <c r="D155" s="14">
        <v>0.39200000000000002</v>
      </c>
      <c r="E155" s="15">
        <v>0.03</v>
      </c>
      <c r="F155" s="15">
        <v>-0.03</v>
      </c>
      <c r="G155" s="19">
        <f t="shared" si="40"/>
        <v>0.42200000000000004</v>
      </c>
      <c r="H155" s="25">
        <f t="shared" si="41"/>
        <v>0.36199999999999999</v>
      </c>
      <c r="I155" s="29"/>
      <c r="J155" s="3"/>
      <c r="K155" s="3"/>
      <c r="L155" s="3"/>
      <c r="M155" s="3"/>
      <c r="N155" s="3"/>
      <c r="O155" s="3"/>
      <c r="P155" s="3"/>
      <c r="Q155" s="3"/>
      <c r="S155" s="97">
        <f t="shared" si="32"/>
        <v>0</v>
      </c>
      <c r="T155" s="97">
        <f t="shared" si="33"/>
        <v>0</v>
      </c>
      <c r="U155" s="98">
        <f t="shared" si="26"/>
        <v>0.39200000000000002</v>
      </c>
      <c r="V155" s="98">
        <f t="shared" si="26"/>
        <v>0.39200000000000002</v>
      </c>
      <c r="X155" s="97" t="e">
        <f t="shared" si="34"/>
        <v>#REF!</v>
      </c>
      <c r="Y155" s="97" t="e">
        <f t="shared" si="35"/>
        <v>#REF!</v>
      </c>
      <c r="Z155" s="98" t="e">
        <f t="shared" si="27"/>
        <v>#REF!</v>
      </c>
      <c r="AA155" s="98" t="e">
        <f t="shared" si="27"/>
        <v>#REF!</v>
      </c>
      <c r="AC155" s="97" t="e">
        <f t="shared" si="36"/>
        <v>#REF!</v>
      </c>
      <c r="AD155" s="97" t="e">
        <f t="shared" si="37"/>
        <v>#REF!</v>
      </c>
      <c r="AE155" s="98" t="e">
        <f t="shared" si="28"/>
        <v>#REF!</v>
      </c>
      <c r="AF155" s="98" t="e">
        <f t="shared" si="28"/>
        <v>#REF!</v>
      </c>
      <c r="AH155" s="97" t="e">
        <f t="shared" si="38"/>
        <v>#REF!</v>
      </c>
      <c r="AI155" s="97" t="e">
        <f t="shared" si="39"/>
        <v>#REF!</v>
      </c>
      <c r="AJ155" s="98" t="e">
        <f t="shared" si="29"/>
        <v>#REF!</v>
      </c>
      <c r="AK155" s="98" t="e">
        <f t="shared" si="29"/>
        <v>#REF!</v>
      </c>
    </row>
    <row r="156" spans="1:37" ht="15" customHeight="1">
      <c r="A156" s="84"/>
      <c r="B156" s="99" t="s">
        <v>101</v>
      </c>
      <c r="C156" s="86">
        <v>1.33</v>
      </c>
      <c r="D156" s="14">
        <v>0.39200000000000002</v>
      </c>
      <c r="E156" s="15">
        <v>0.03</v>
      </c>
      <c r="F156" s="15">
        <v>-0.03</v>
      </c>
      <c r="G156" s="19">
        <f t="shared" si="40"/>
        <v>0.42200000000000004</v>
      </c>
      <c r="H156" s="25">
        <f t="shared" si="41"/>
        <v>0.36199999999999999</v>
      </c>
      <c r="I156" s="29"/>
      <c r="J156" s="3"/>
      <c r="K156" s="3"/>
      <c r="L156" s="3"/>
      <c r="M156" s="3"/>
      <c r="N156" s="3"/>
      <c r="O156" s="3"/>
      <c r="P156" s="3"/>
      <c r="Q156" s="3"/>
      <c r="S156" s="97">
        <f t="shared" si="32"/>
        <v>0</v>
      </c>
      <c r="T156" s="97">
        <f t="shared" si="33"/>
        <v>0</v>
      </c>
      <c r="U156" s="98">
        <f t="shared" si="26"/>
        <v>0.39200000000000002</v>
      </c>
      <c r="V156" s="98">
        <f t="shared" si="26"/>
        <v>0.39200000000000002</v>
      </c>
      <c r="X156" s="97" t="e">
        <f t="shared" si="34"/>
        <v>#REF!</v>
      </c>
      <c r="Y156" s="97" t="e">
        <f t="shared" si="35"/>
        <v>#REF!</v>
      </c>
      <c r="Z156" s="98" t="e">
        <f t="shared" si="27"/>
        <v>#REF!</v>
      </c>
      <c r="AA156" s="98" t="e">
        <f t="shared" si="27"/>
        <v>#REF!</v>
      </c>
      <c r="AC156" s="97" t="e">
        <f t="shared" si="36"/>
        <v>#REF!</v>
      </c>
      <c r="AD156" s="97" t="e">
        <f t="shared" si="37"/>
        <v>#REF!</v>
      </c>
      <c r="AE156" s="98" t="e">
        <f t="shared" si="28"/>
        <v>#REF!</v>
      </c>
      <c r="AF156" s="98" t="e">
        <f t="shared" si="28"/>
        <v>#REF!</v>
      </c>
      <c r="AH156" s="97" t="e">
        <f t="shared" si="38"/>
        <v>#REF!</v>
      </c>
      <c r="AI156" s="97" t="e">
        <f t="shared" si="39"/>
        <v>#REF!</v>
      </c>
      <c r="AJ156" s="98" t="e">
        <f t="shared" si="29"/>
        <v>#REF!</v>
      </c>
      <c r="AK156" s="98" t="e">
        <f t="shared" si="29"/>
        <v>#REF!</v>
      </c>
    </row>
    <row r="157" spans="1:37" ht="15" customHeight="1">
      <c r="A157" s="84"/>
      <c r="B157" s="100" t="s">
        <v>102</v>
      </c>
      <c r="C157" s="86">
        <v>1.33</v>
      </c>
      <c r="D157" s="14">
        <v>0.39200000000000002</v>
      </c>
      <c r="E157" s="15">
        <v>0.03</v>
      </c>
      <c r="F157" s="15">
        <v>-0.03</v>
      </c>
      <c r="G157" s="19">
        <f t="shared" si="40"/>
        <v>0.42200000000000004</v>
      </c>
      <c r="H157" s="25">
        <f t="shared" si="41"/>
        <v>0.36199999999999999</v>
      </c>
      <c r="I157" s="29"/>
      <c r="J157" s="3"/>
      <c r="K157" s="3"/>
      <c r="L157" s="3"/>
      <c r="M157" s="3"/>
      <c r="N157" s="3"/>
      <c r="O157" s="3"/>
      <c r="P157" s="3"/>
      <c r="Q157" s="3"/>
      <c r="S157" s="97">
        <f t="shared" si="32"/>
        <v>0</v>
      </c>
      <c r="T157" s="97">
        <f t="shared" si="33"/>
        <v>0</v>
      </c>
      <c r="U157" s="98">
        <f t="shared" si="26"/>
        <v>0.39200000000000002</v>
      </c>
      <c r="V157" s="98">
        <f t="shared" si="26"/>
        <v>0.39200000000000002</v>
      </c>
      <c r="X157" s="97" t="e">
        <f t="shared" si="34"/>
        <v>#REF!</v>
      </c>
      <c r="Y157" s="97" t="e">
        <f t="shared" si="35"/>
        <v>#REF!</v>
      </c>
      <c r="Z157" s="98" t="e">
        <f t="shared" si="27"/>
        <v>#REF!</v>
      </c>
      <c r="AA157" s="98" t="e">
        <f t="shared" si="27"/>
        <v>#REF!</v>
      </c>
      <c r="AC157" s="97" t="e">
        <f t="shared" si="36"/>
        <v>#REF!</v>
      </c>
      <c r="AD157" s="97" t="e">
        <f t="shared" si="37"/>
        <v>#REF!</v>
      </c>
      <c r="AE157" s="98" t="e">
        <f t="shared" si="28"/>
        <v>#REF!</v>
      </c>
      <c r="AF157" s="98" t="e">
        <f t="shared" si="28"/>
        <v>#REF!</v>
      </c>
      <c r="AH157" s="97" t="e">
        <f t="shared" si="38"/>
        <v>#REF!</v>
      </c>
      <c r="AI157" s="97" t="e">
        <f t="shared" si="39"/>
        <v>#REF!</v>
      </c>
      <c r="AJ157" s="98" t="e">
        <f t="shared" si="29"/>
        <v>#REF!</v>
      </c>
      <c r="AK157" s="98" t="e">
        <f t="shared" si="29"/>
        <v>#REF!</v>
      </c>
    </row>
    <row r="158" spans="1:37" ht="15" customHeight="1">
      <c r="A158" s="84"/>
      <c r="B158" s="90" t="s">
        <v>103</v>
      </c>
      <c r="C158" s="86">
        <v>1.33</v>
      </c>
      <c r="D158" s="14">
        <v>0.39200000000000002</v>
      </c>
      <c r="E158" s="15">
        <v>0.03</v>
      </c>
      <c r="F158" s="15">
        <v>-0.03</v>
      </c>
      <c r="G158" s="19">
        <f t="shared" si="40"/>
        <v>0.42200000000000004</v>
      </c>
      <c r="H158" s="25">
        <f t="shared" si="41"/>
        <v>0.36199999999999999</v>
      </c>
      <c r="I158" s="29"/>
      <c r="J158" s="3"/>
      <c r="K158" s="3"/>
      <c r="L158" s="3"/>
      <c r="M158" s="3"/>
      <c r="N158" s="3"/>
      <c r="O158" s="3"/>
      <c r="P158" s="3"/>
      <c r="Q158" s="3"/>
      <c r="S158" s="97">
        <f t="shared" si="32"/>
        <v>0</v>
      </c>
      <c r="T158" s="97">
        <f t="shared" si="33"/>
        <v>0</v>
      </c>
      <c r="U158" s="98">
        <f t="shared" si="26"/>
        <v>0.39200000000000002</v>
      </c>
      <c r="V158" s="98">
        <f t="shared" si="26"/>
        <v>0.39200000000000002</v>
      </c>
      <c r="X158" s="97" t="e">
        <f t="shared" si="34"/>
        <v>#REF!</v>
      </c>
      <c r="Y158" s="97" t="e">
        <f t="shared" si="35"/>
        <v>#REF!</v>
      </c>
      <c r="Z158" s="98" t="e">
        <f t="shared" si="27"/>
        <v>#REF!</v>
      </c>
      <c r="AA158" s="98" t="e">
        <f t="shared" si="27"/>
        <v>#REF!</v>
      </c>
      <c r="AC158" s="97" t="e">
        <f t="shared" si="36"/>
        <v>#REF!</v>
      </c>
      <c r="AD158" s="97" t="e">
        <f t="shared" si="37"/>
        <v>#REF!</v>
      </c>
      <c r="AE158" s="98" t="e">
        <f t="shared" si="28"/>
        <v>#REF!</v>
      </c>
      <c r="AF158" s="98" t="e">
        <f t="shared" si="28"/>
        <v>#REF!</v>
      </c>
      <c r="AH158" s="97" t="e">
        <f t="shared" si="38"/>
        <v>#REF!</v>
      </c>
      <c r="AI158" s="97" t="e">
        <f t="shared" si="39"/>
        <v>#REF!</v>
      </c>
      <c r="AJ158" s="98" t="e">
        <f t="shared" si="29"/>
        <v>#REF!</v>
      </c>
      <c r="AK158" s="98" t="e">
        <f t="shared" si="29"/>
        <v>#REF!</v>
      </c>
    </row>
    <row r="159" spans="1:37" ht="15" customHeight="1">
      <c r="A159" s="84"/>
      <c r="B159" s="90" t="s">
        <v>104</v>
      </c>
      <c r="C159" s="86">
        <v>1.33</v>
      </c>
      <c r="D159" s="14">
        <v>0.39200000000000002</v>
      </c>
      <c r="E159" s="15">
        <v>0.03</v>
      </c>
      <c r="F159" s="15">
        <v>-0.03</v>
      </c>
      <c r="G159" s="19">
        <f t="shared" si="40"/>
        <v>0.42200000000000004</v>
      </c>
      <c r="H159" s="25">
        <f t="shared" si="41"/>
        <v>0.36199999999999999</v>
      </c>
      <c r="I159" s="29"/>
      <c r="J159" s="3"/>
      <c r="K159" s="3"/>
      <c r="L159" s="3"/>
      <c r="M159" s="3"/>
      <c r="N159" s="3"/>
      <c r="O159" s="3"/>
      <c r="P159" s="3"/>
      <c r="Q159" s="3"/>
      <c r="S159" s="97">
        <f t="shared" si="32"/>
        <v>0</v>
      </c>
      <c r="T159" s="97">
        <f t="shared" si="33"/>
        <v>0</v>
      </c>
      <c r="U159" s="98">
        <f t="shared" si="26"/>
        <v>0.39200000000000002</v>
      </c>
      <c r="V159" s="98">
        <f t="shared" si="26"/>
        <v>0.39200000000000002</v>
      </c>
      <c r="X159" s="97" t="e">
        <f t="shared" si="34"/>
        <v>#REF!</v>
      </c>
      <c r="Y159" s="97" t="e">
        <f t="shared" si="35"/>
        <v>#REF!</v>
      </c>
      <c r="Z159" s="98" t="e">
        <f t="shared" si="27"/>
        <v>#REF!</v>
      </c>
      <c r="AA159" s="98" t="e">
        <f t="shared" si="27"/>
        <v>#REF!</v>
      </c>
      <c r="AC159" s="97" t="e">
        <f t="shared" si="36"/>
        <v>#REF!</v>
      </c>
      <c r="AD159" s="97" t="e">
        <f t="shared" si="37"/>
        <v>#REF!</v>
      </c>
      <c r="AE159" s="98" t="e">
        <f t="shared" si="28"/>
        <v>#REF!</v>
      </c>
      <c r="AF159" s="98" t="e">
        <f t="shared" si="28"/>
        <v>#REF!</v>
      </c>
      <c r="AH159" s="97" t="e">
        <f t="shared" si="38"/>
        <v>#REF!</v>
      </c>
      <c r="AI159" s="97" t="e">
        <f t="shared" si="39"/>
        <v>#REF!</v>
      </c>
      <c r="AJ159" s="98" t="e">
        <f t="shared" si="29"/>
        <v>#REF!</v>
      </c>
      <c r="AK159" s="98" t="e">
        <f t="shared" si="29"/>
        <v>#REF!</v>
      </c>
    </row>
    <row r="160" spans="1:37" ht="15" customHeight="1">
      <c r="A160" s="84"/>
      <c r="B160" s="90" t="s">
        <v>105</v>
      </c>
      <c r="C160" s="86">
        <v>1.33</v>
      </c>
      <c r="D160" s="14">
        <v>0.39200000000000002</v>
      </c>
      <c r="E160" s="15">
        <v>0.03</v>
      </c>
      <c r="F160" s="15">
        <v>-0.03</v>
      </c>
      <c r="G160" s="19">
        <f t="shared" si="40"/>
        <v>0.42200000000000004</v>
      </c>
      <c r="H160" s="25">
        <f t="shared" si="41"/>
        <v>0.36199999999999999</v>
      </c>
      <c r="I160" s="29"/>
      <c r="J160" s="3"/>
      <c r="K160" s="3"/>
      <c r="L160" s="3"/>
      <c r="M160" s="3"/>
      <c r="N160" s="3"/>
      <c r="O160" s="3"/>
      <c r="P160" s="3"/>
      <c r="Q160" s="3"/>
      <c r="S160" s="97">
        <f t="shared" si="32"/>
        <v>0</v>
      </c>
      <c r="T160" s="97">
        <f t="shared" si="33"/>
        <v>0</v>
      </c>
      <c r="U160" s="98">
        <f t="shared" si="26"/>
        <v>0.39200000000000002</v>
      </c>
      <c r="V160" s="98">
        <f t="shared" si="26"/>
        <v>0.39200000000000002</v>
      </c>
      <c r="X160" s="97" t="e">
        <f t="shared" si="34"/>
        <v>#REF!</v>
      </c>
      <c r="Y160" s="97" t="e">
        <f t="shared" si="35"/>
        <v>#REF!</v>
      </c>
      <c r="Z160" s="98" t="e">
        <f t="shared" si="27"/>
        <v>#REF!</v>
      </c>
      <c r="AA160" s="98" t="e">
        <f t="shared" si="27"/>
        <v>#REF!</v>
      </c>
      <c r="AC160" s="97" t="e">
        <f t="shared" si="36"/>
        <v>#REF!</v>
      </c>
      <c r="AD160" s="97" t="e">
        <f t="shared" si="37"/>
        <v>#REF!</v>
      </c>
      <c r="AE160" s="98" t="e">
        <f t="shared" si="28"/>
        <v>#REF!</v>
      </c>
      <c r="AF160" s="98" t="e">
        <f t="shared" si="28"/>
        <v>#REF!</v>
      </c>
      <c r="AH160" s="97" t="e">
        <f t="shared" si="38"/>
        <v>#REF!</v>
      </c>
      <c r="AI160" s="97" t="e">
        <f t="shared" si="39"/>
        <v>#REF!</v>
      </c>
      <c r="AJ160" s="98" t="e">
        <f t="shared" si="29"/>
        <v>#REF!</v>
      </c>
      <c r="AK160" s="98" t="e">
        <f t="shared" si="29"/>
        <v>#REF!</v>
      </c>
    </row>
    <row r="161" spans="1:37" ht="15" customHeight="1">
      <c r="A161" s="84"/>
      <c r="B161" s="89" t="s">
        <v>106</v>
      </c>
      <c r="C161" s="86">
        <v>1.33</v>
      </c>
      <c r="D161" s="14">
        <v>0.39200000000000002</v>
      </c>
      <c r="E161" s="15">
        <v>0.03</v>
      </c>
      <c r="F161" s="15">
        <v>-0.03</v>
      </c>
      <c r="G161" s="19">
        <f t="shared" si="40"/>
        <v>0.42200000000000004</v>
      </c>
      <c r="H161" s="25">
        <f t="shared" si="41"/>
        <v>0.36199999999999999</v>
      </c>
      <c r="I161" s="29"/>
      <c r="J161" s="3"/>
      <c r="K161" s="3"/>
      <c r="L161" s="3"/>
      <c r="M161" s="3"/>
      <c r="N161" s="3"/>
      <c r="O161" s="3"/>
      <c r="P161" s="3"/>
      <c r="Q161" s="3"/>
      <c r="S161" s="97">
        <f t="shared" si="32"/>
        <v>0</v>
      </c>
      <c r="T161" s="97">
        <f t="shared" si="33"/>
        <v>0</v>
      </c>
      <c r="U161" s="98">
        <f t="shared" si="26"/>
        <v>0.39200000000000002</v>
      </c>
      <c r="V161" s="98">
        <f t="shared" si="26"/>
        <v>0.39200000000000002</v>
      </c>
      <c r="X161" s="97" t="e">
        <f t="shared" si="34"/>
        <v>#REF!</v>
      </c>
      <c r="Y161" s="97" t="e">
        <f t="shared" si="35"/>
        <v>#REF!</v>
      </c>
      <c r="Z161" s="98" t="e">
        <f t="shared" si="27"/>
        <v>#REF!</v>
      </c>
      <c r="AA161" s="98" t="e">
        <f t="shared" si="27"/>
        <v>#REF!</v>
      </c>
      <c r="AC161" s="97" t="e">
        <f t="shared" si="36"/>
        <v>#REF!</v>
      </c>
      <c r="AD161" s="97" t="e">
        <f t="shared" si="37"/>
        <v>#REF!</v>
      </c>
      <c r="AE161" s="98" t="e">
        <f t="shared" si="28"/>
        <v>#REF!</v>
      </c>
      <c r="AF161" s="98" t="e">
        <f t="shared" si="28"/>
        <v>#REF!</v>
      </c>
      <c r="AH161" s="97" t="e">
        <f t="shared" si="38"/>
        <v>#REF!</v>
      </c>
      <c r="AI161" s="97" t="e">
        <f t="shared" si="39"/>
        <v>#REF!</v>
      </c>
      <c r="AJ161" s="98" t="e">
        <f t="shared" si="29"/>
        <v>#REF!</v>
      </c>
      <c r="AK161" s="98" t="e">
        <f t="shared" si="29"/>
        <v>#REF!</v>
      </c>
    </row>
    <row r="162" spans="1:37" ht="15" customHeight="1">
      <c r="A162" s="84"/>
      <c r="B162" s="100" t="s">
        <v>107</v>
      </c>
      <c r="C162" s="86">
        <v>1.33</v>
      </c>
      <c r="D162" s="14">
        <v>0.39200000000000002</v>
      </c>
      <c r="E162" s="15">
        <v>0.03</v>
      </c>
      <c r="F162" s="15">
        <v>-0.03</v>
      </c>
      <c r="G162" s="19">
        <f t="shared" si="40"/>
        <v>0.42200000000000004</v>
      </c>
      <c r="H162" s="25">
        <f t="shared" si="41"/>
        <v>0.36199999999999999</v>
      </c>
      <c r="I162" s="29"/>
      <c r="J162" s="3"/>
      <c r="K162" s="3"/>
      <c r="L162" s="3"/>
      <c r="M162" s="3"/>
      <c r="N162" s="3"/>
      <c r="O162" s="3"/>
      <c r="P162" s="3"/>
      <c r="Q162" s="3"/>
      <c r="S162" s="97">
        <f t="shared" si="32"/>
        <v>0</v>
      </c>
      <c r="T162" s="97">
        <f t="shared" si="33"/>
        <v>0</v>
      </c>
      <c r="U162" s="98">
        <f t="shared" si="26"/>
        <v>0.39200000000000002</v>
      </c>
      <c r="V162" s="98">
        <f t="shared" si="26"/>
        <v>0.39200000000000002</v>
      </c>
      <c r="X162" s="97" t="e">
        <f t="shared" si="34"/>
        <v>#REF!</v>
      </c>
      <c r="Y162" s="97" t="e">
        <f t="shared" si="35"/>
        <v>#REF!</v>
      </c>
      <c r="Z162" s="98" t="e">
        <f t="shared" si="27"/>
        <v>#REF!</v>
      </c>
      <c r="AA162" s="98" t="e">
        <f t="shared" si="27"/>
        <v>#REF!</v>
      </c>
      <c r="AC162" s="97" t="e">
        <f t="shared" si="36"/>
        <v>#REF!</v>
      </c>
      <c r="AD162" s="97" t="e">
        <f t="shared" si="37"/>
        <v>#REF!</v>
      </c>
      <c r="AE162" s="98" t="e">
        <f t="shared" si="28"/>
        <v>#REF!</v>
      </c>
      <c r="AF162" s="98" t="e">
        <f t="shared" si="28"/>
        <v>#REF!</v>
      </c>
      <c r="AH162" s="97" t="e">
        <f t="shared" si="38"/>
        <v>#REF!</v>
      </c>
      <c r="AI162" s="97" t="e">
        <f t="shared" si="39"/>
        <v>#REF!</v>
      </c>
      <c r="AJ162" s="98" t="e">
        <f t="shared" si="29"/>
        <v>#REF!</v>
      </c>
      <c r="AK162" s="98" t="e">
        <f t="shared" si="29"/>
        <v>#REF!</v>
      </c>
    </row>
    <row r="163" spans="1:37" ht="15" customHeight="1">
      <c r="A163" s="84"/>
      <c r="B163" s="89" t="s">
        <v>108</v>
      </c>
      <c r="C163" s="86">
        <v>1.33</v>
      </c>
      <c r="D163" s="14">
        <v>0.39200000000000002</v>
      </c>
      <c r="E163" s="15">
        <v>0.03</v>
      </c>
      <c r="F163" s="15">
        <v>-0.03</v>
      </c>
      <c r="G163" s="19">
        <f t="shared" si="40"/>
        <v>0.42200000000000004</v>
      </c>
      <c r="H163" s="25">
        <f t="shared" si="41"/>
        <v>0.36199999999999999</v>
      </c>
      <c r="I163" s="29"/>
      <c r="J163" s="3"/>
      <c r="K163" s="3"/>
      <c r="L163" s="3"/>
      <c r="M163" s="3"/>
      <c r="N163" s="3"/>
      <c r="O163" s="3"/>
      <c r="P163" s="3"/>
      <c r="Q163" s="3"/>
      <c r="S163" s="97">
        <f t="shared" si="32"/>
        <v>0</v>
      </c>
      <c r="T163" s="97">
        <f t="shared" si="33"/>
        <v>0</v>
      </c>
      <c r="U163" s="98">
        <f t="shared" si="26"/>
        <v>0.39200000000000002</v>
      </c>
      <c r="V163" s="98">
        <f t="shared" si="26"/>
        <v>0.39200000000000002</v>
      </c>
      <c r="X163" s="97" t="e">
        <f t="shared" si="34"/>
        <v>#REF!</v>
      </c>
      <c r="Y163" s="97" t="e">
        <f t="shared" si="35"/>
        <v>#REF!</v>
      </c>
      <c r="Z163" s="98" t="e">
        <f t="shared" si="27"/>
        <v>#REF!</v>
      </c>
      <c r="AA163" s="98" t="e">
        <f t="shared" si="27"/>
        <v>#REF!</v>
      </c>
      <c r="AC163" s="97" t="e">
        <f t="shared" si="36"/>
        <v>#REF!</v>
      </c>
      <c r="AD163" s="97" t="e">
        <f t="shared" si="37"/>
        <v>#REF!</v>
      </c>
      <c r="AE163" s="98" t="e">
        <f t="shared" si="28"/>
        <v>#REF!</v>
      </c>
      <c r="AF163" s="98" t="e">
        <f t="shared" si="28"/>
        <v>#REF!</v>
      </c>
      <c r="AH163" s="97" t="e">
        <f t="shared" si="38"/>
        <v>#REF!</v>
      </c>
      <c r="AI163" s="97" t="e">
        <f t="shared" si="39"/>
        <v>#REF!</v>
      </c>
      <c r="AJ163" s="98" t="e">
        <f t="shared" si="29"/>
        <v>#REF!</v>
      </c>
      <c r="AK163" s="98" t="e">
        <f t="shared" si="29"/>
        <v>#REF!</v>
      </c>
    </row>
    <row r="164" spans="1:37" ht="15" customHeight="1">
      <c r="A164" s="84"/>
      <c r="B164" s="89" t="s">
        <v>109</v>
      </c>
      <c r="C164" s="86">
        <v>1.33</v>
      </c>
      <c r="D164" s="14">
        <v>0.39200000000000002</v>
      </c>
      <c r="E164" s="15">
        <v>0.03</v>
      </c>
      <c r="F164" s="15">
        <v>-0.03</v>
      </c>
      <c r="G164" s="19">
        <f t="shared" si="40"/>
        <v>0.42200000000000004</v>
      </c>
      <c r="H164" s="25">
        <f t="shared" si="41"/>
        <v>0.36199999999999999</v>
      </c>
      <c r="I164" s="29"/>
      <c r="J164" s="3"/>
      <c r="K164" s="3"/>
      <c r="L164" s="3"/>
      <c r="M164" s="3"/>
      <c r="N164" s="3"/>
      <c r="O164" s="3"/>
      <c r="P164" s="3"/>
      <c r="Q164" s="3"/>
      <c r="S164" s="97">
        <f t="shared" si="32"/>
        <v>0</v>
      </c>
      <c r="T164" s="97">
        <f t="shared" si="33"/>
        <v>0</v>
      </c>
      <c r="U164" s="98">
        <f>IF(AND($D164="",S164=""),"",IF($D164="",S164,$D164+S164))</f>
        <v>0.39200000000000002</v>
      </c>
      <c r="V164" s="98">
        <f>IF(AND($D164="",T164=""),"",IF($D164="",T164,$D164+T164))</f>
        <v>0.39200000000000002</v>
      </c>
      <c r="X164" s="97" t="e">
        <f t="shared" si="34"/>
        <v>#REF!</v>
      </c>
      <c r="Y164" s="97" t="e">
        <f t="shared" si="35"/>
        <v>#REF!</v>
      </c>
      <c r="Z164" s="98" t="e">
        <f>IF(AND($D164="",X164=""),"",IF($D164="",X164,$D164+X164))</f>
        <v>#REF!</v>
      </c>
      <c r="AA164" s="98" t="e">
        <f>IF(AND($D164="",Y164=""),"",IF($D164="",Y164,$D164+Y164))</f>
        <v>#REF!</v>
      </c>
      <c r="AC164" s="97" t="e">
        <f t="shared" si="36"/>
        <v>#REF!</v>
      </c>
      <c r="AD164" s="97" t="e">
        <f t="shared" si="37"/>
        <v>#REF!</v>
      </c>
      <c r="AE164" s="98" t="e">
        <f>IF(AND($D164="",AC164=""),"",IF($D164="",AC164,$D164+AC164))</f>
        <v>#REF!</v>
      </c>
      <c r="AF164" s="98" t="e">
        <f>IF(AND($D164="",AD164=""),"",IF($D164="",AD164,$D164+AD164))</f>
        <v>#REF!</v>
      </c>
      <c r="AH164" s="97" t="e">
        <f t="shared" si="38"/>
        <v>#REF!</v>
      </c>
      <c r="AI164" s="97" t="e">
        <f t="shared" si="39"/>
        <v>#REF!</v>
      </c>
      <c r="AJ164" s="98" t="e">
        <f>IF(AND($D164="",AH164=""),"",IF($D164="",AH164,$D164+AH164))</f>
        <v>#REF!</v>
      </c>
      <c r="AK164" s="98" t="e">
        <f>IF(AND($D164="",AI164=""),"",IF($D164="",AI164,$D164+AI164))</f>
        <v>#REF!</v>
      </c>
    </row>
    <row r="165" spans="1:37" ht="15" customHeight="1">
      <c r="A165" s="84"/>
      <c r="B165" s="89"/>
      <c r="C165" s="86"/>
      <c r="D165" s="14"/>
      <c r="E165" s="15"/>
      <c r="F165" s="15"/>
      <c r="G165" s="19"/>
      <c r="H165" s="25"/>
      <c r="I165" s="29"/>
      <c r="J165" s="3"/>
      <c r="K165" s="3"/>
      <c r="L165" s="3"/>
      <c r="M165" s="3"/>
      <c r="N165" s="3"/>
      <c r="O165" s="3"/>
      <c r="P165" s="3"/>
      <c r="Q165" s="3"/>
      <c r="S165" s="97">
        <f t="shared" si="32"/>
        <v>0</v>
      </c>
      <c r="T165" s="97">
        <f t="shared" si="33"/>
        <v>0</v>
      </c>
      <c r="U165" s="98">
        <f>IF(AND($D165="",S165=""),"",IF($D165="",S165,$D165+S165))</f>
        <v>0</v>
      </c>
      <c r="V165" s="98">
        <f>IF(AND($D165="",T165=""),"",IF($D165="",T165,$D165+T165))</f>
        <v>0</v>
      </c>
      <c r="X165" s="97" t="e">
        <f t="shared" si="34"/>
        <v>#REF!</v>
      </c>
      <c r="Y165" s="97" t="e">
        <f t="shared" si="35"/>
        <v>#REF!</v>
      </c>
      <c r="Z165" s="98" t="e">
        <f>IF(AND($D165="",X165=""),"",IF($D165="",X165,$D165+X165))</f>
        <v>#REF!</v>
      </c>
      <c r="AA165" s="98" t="e">
        <f>IF(AND($D165="",Y165=""),"",IF($D165="",Y165,$D165+Y165))</f>
        <v>#REF!</v>
      </c>
      <c r="AC165" s="97" t="e">
        <f t="shared" si="36"/>
        <v>#REF!</v>
      </c>
      <c r="AD165" s="97" t="e">
        <f t="shared" si="37"/>
        <v>#REF!</v>
      </c>
      <c r="AE165" s="98" t="e">
        <f>IF(AND($D165="",AC165=""),"",IF($D165="",AC165,$D165+AC165))</f>
        <v>#REF!</v>
      </c>
      <c r="AF165" s="98" t="e">
        <f>IF(AND($D165="",AD165=""),"",IF($D165="",AD165,$D165+AD165))</f>
        <v>#REF!</v>
      </c>
      <c r="AH165" s="97" t="e">
        <f t="shared" si="38"/>
        <v>#REF!</v>
      </c>
      <c r="AI165" s="97" t="e">
        <f t="shared" si="39"/>
        <v>#REF!</v>
      </c>
      <c r="AJ165" s="98" t="e">
        <f>IF(AND($D165="",AH165=""),"",IF($D165="",AH165,$D165+AH165))</f>
        <v>#REF!</v>
      </c>
      <c r="AK165" s="98" t="e">
        <f>IF(AND($D165="",AI165=""),"",IF($D165="",AI165,$D165+AI165))</f>
        <v>#REF!</v>
      </c>
    </row>
    <row r="166" spans="1:37" ht="15" customHeight="1">
      <c r="A166" s="84"/>
      <c r="B166" s="89"/>
      <c r="C166" s="86"/>
      <c r="D166" s="14"/>
      <c r="E166" s="15"/>
      <c r="F166" s="15"/>
      <c r="G166" s="19"/>
      <c r="H166" s="25"/>
      <c r="I166" s="29"/>
      <c r="J166" s="3"/>
      <c r="K166" s="3"/>
      <c r="L166" s="3"/>
      <c r="M166" s="3"/>
      <c r="N166" s="3"/>
      <c r="O166" s="3"/>
      <c r="P166" s="3"/>
      <c r="Q166" s="3"/>
      <c r="S166" s="97">
        <f t="shared" si="32"/>
        <v>0</v>
      </c>
      <c r="T166" s="97">
        <f t="shared" si="33"/>
        <v>0</v>
      </c>
      <c r="U166" s="98">
        <f t="shared" si="26"/>
        <v>0</v>
      </c>
      <c r="V166" s="98">
        <f t="shared" si="26"/>
        <v>0</v>
      </c>
      <c r="X166" s="97" t="e">
        <f t="shared" si="34"/>
        <v>#REF!</v>
      </c>
      <c r="Y166" s="97" t="e">
        <f t="shared" si="35"/>
        <v>#REF!</v>
      </c>
      <c r="Z166" s="98" t="e">
        <f t="shared" si="27"/>
        <v>#REF!</v>
      </c>
      <c r="AA166" s="98" t="e">
        <f t="shared" si="27"/>
        <v>#REF!</v>
      </c>
      <c r="AC166" s="97" t="e">
        <f t="shared" si="36"/>
        <v>#REF!</v>
      </c>
      <c r="AD166" s="97" t="e">
        <f t="shared" si="37"/>
        <v>#REF!</v>
      </c>
      <c r="AE166" s="98" t="e">
        <f t="shared" si="28"/>
        <v>#REF!</v>
      </c>
      <c r="AF166" s="98" t="e">
        <f t="shared" si="28"/>
        <v>#REF!</v>
      </c>
      <c r="AH166" s="97" t="e">
        <f t="shared" si="38"/>
        <v>#REF!</v>
      </c>
      <c r="AI166" s="97" t="e">
        <f t="shared" si="39"/>
        <v>#REF!</v>
      </c>
      <c r="AJ166" s="98" t="e">
        <f t="shared" si="29"/>
        <v>#REF!</v>
      </c>
      <c r="AK166" s="98" t="e">
        <f t="shared" si="29"/>
        <v>#REF!</v>
      </c>
    </row>
    <row r="167" spans="1:37" ht="15" customHeight="1">
      <c r="A167" s="84"/>
      <c r="B167" s="89"/>
      <c r="C167" s="86"/>
      <c r="D167" s="14"/>
      <c r="E167" s="15"/>
      <c r="F167" s="15"/>
      <c r="G167" s="19"/>
      <c r="H167" s="25"/>
      <c r="I167" s="29"/>
      <c r="J167" s="3"/>
      <c r="K167" s="3"/>
      <c r="L167" s="3"/>
      <c r="M167" s="3"/>
      <c r="N167" s="3"/>
      <c r="O167" s="3"/>
      <c r="P167" s="3"/>
      <c r="Q167" s="3"/>
      <c r="S167" s="97">
        <f t="shared" si="32"/>
        <v>0</v>
      </c>
      <c r="T167" s="97">
        <f t="shared" si="33"/>
        <v>0</v>
      </c>
      <c r="U167" s="98">
        <f t="shared" si="26"/>
        <v>0</v>
      </c>
      <c r="V167" s="98">
        <f t="shared" si="26"/>
        <v>0</v>
      </c>
      <c r="X167" s="97" t="e">
        <f t="shared" si="34"/>
        <v>#REF!</v>
      </c>
      <c r="Y167" s="97" t="e">
        <f t="shared" si="35"/>
        <v>#REF!</v>
      </c>
      <c r="Z167" s="98" t="e">
        <f t="shared" si="27"/>
        <v>#REF!</v>
      </c>
      <c r="AA167" s="98" t="e">
        <f t="shared" si="27"/>
        <v>#REF!</v>
      </c>
      <c r="AC167" s="97" t="e">
        <f t="shared" si="36"/>
        <v>#REF!</v>
      </c>
      <c r="AD167" s="97" t="e">
        <f t="shared" si="37"/>
        <v>#REF!</v>
      </c>
      <c r="AE167" s="98" t="e">
        <f t="shared" si="28"/>
        <v>#REF!</v>
      </c>
      <c r="AF167" s="98" t="e">
        <f t="shared" si="28"/>
        <v>#REF!</v>
      </c>
      <c r="AH167" s="97" t="e">
        <f t="shared" si="38"/>
        <v>#REF!</v>
      </c>
      <c r="AI167" s="97" t="e">
        <f t="shared" si="39"/>
        <v>#REF!</v>
      </c>
      <c r="AJ167" s="98" t="e">
        <f t="shared" si="29"/>
        <v>#REF!</v>
      </c>
      <c r="AK167" s="98" t="e">
        <f t="shared" si="29"/>
        <v>#REF!</v>
      </c>
    </row>
    <row r="168" spans="1:37" ht="15" customHeight="1">
      <c r="A168" s="84"/>
      <c r="B168" s="89"/>
      <c r="C168" s="86"/>
      <c r="D168" s="14"/>
      <c r="E168" s="15"/>
      <c r="F168" s="15"/>
      <c r="G168" s="19"/>
      <c r="H168" s="25"/>
      <c r="I168" s="29"/>
      <c r="J168" s="3"/>
      <c r="K168" s="3"/>
      <c r="L168" s="3"/>
      <c r="M168" s="3"/>
      <c r="N168" s="3"/>
      <c r="O168" s="3"/>
      <c r="P168" s="3"/>
      <c r="Q168" s="3"/>
      <c r="S168" s="97">
        <f t="shared" si="32"/>
        <v>0</v>
      </c>
      <c r="T168" s="97">
        <f t="shared" si="33"/>
        <v>0</v>
      </c>
      <c r="U168" s="98">
        <f t="shared" si="26"/>
        <v>0</v>
      </c>
      <c r="V168" s="98">
        <f t="shared" si="26"/>
        <v>0</v>
      </c>
      <c r="X168" s="97" t="e">
        <f t="shared" si="34"/>
        <v>#REF!</v>
      </c>
      <c r="Y168" s="97" t="e">
        <f t="shared" si="35"/>
        <v>#REF!</v>
      </c>
      <c r="Z168" s="98" t="e">
        <f t="shared" si="27"/>
        <v>#REF!</v>
      </c>
      <c r="AA168" s="98" t="e">
        <f t="shared" si="27"/>
        <v>#REF!</v>
      </c>
      <c r="AC168" s="97" t="e">
        <f t="shared" si="36"/>
        <v>#REF!</v>
      </c>
      <c r="AD168" s="97" t="e">
        <f t="shared" si="37"/>
        <v>#REF!</v>
      </c>
      <c r="AE168" s="98" t="e">
        <f t="shared" si="28"/>
        <v>#REF!</v>
      </c>
      <c r="AF168" s="98" t="e">
        <f t="shared" si="28"/>
        <v>#REF!</v>
      </c>
      <c r="AH168" s="97" t="e">
        <f t="shared" si="38"/>
        <v>#REF!</v>
      </c>
      <c r="AI168" s="97" t="e">
        <f t="shared" si="39"/>
        <v>#REF!</v>
      </c>
      <c r="AJ168" s="98" t="e">
        <f t="shared" si="29"/>
        <v>#REF!</v>
      </c>
      <c r="AK168" s="98" t="e">
        <f t="shared" si="29"/>
        <v>#REF!</v>
      </c>
    </row>
    <row r="169" spans="1:37" ht="15" customHeight="1">
      <c r="A169" s="84"/>
      <c r="B169" s="89"/>
      <c r="C169" s="86"/>
      <c r="D169" s="14"/>
      <c r="E169" s="15"/>
      <c r="F169" s="15"/>
      <c r="G169" s="19"/>
      <c r="H169" s="25"/>
      <c r="I169" s="29"/>
      <c r="J169" s="3"/>
      <c r="K169" s="3"/>
      <c r="L169" s="3"/>
      <c r="M169" s="3"/>
      <c r="N169" s="3"/>
      <c r="O169" s="3"/>
      <c r="P169" s="3"/>
      <c r="Q169" s="3"/>
      <c r="S169" s="97">
        <f t="shared" si="32"/>
        <v>0</v>
      </c>
      <c r="T169" s="97">
        <f t="shared" si="33"/>
        <v>0</v>
      </c>
      <c r="U169" s="98">
        <f t="shared" si="26"/>
        <v>0</v>
      </c>
      <c r="V169" s="98">
        <f t="shared" si="26"/>
        <v>0</v>
      </c>
      <c r="X169" s="97" t="e">
        <f t="shared" si="34"/>
        <v>#REF!</v>
      </c>
      <c r="Y169" s="97" t="e">
        <f t="shared" si="35"/>
        <v>#REF!</v>
      </c>
      <c r="Z169" s="98" t="e">
        <f t="shared" si="27"/>
        <v>#REF!</v>
      </c>
      <c r="AA169" s="98" t="e">
        <f t="shared" si="27"/>
        <v>#REF!</v>
      </c>
      <c r="AC169" s="97" t="e">
        <f t="shared" si="36"/>
        <v>#REF!</v>
      </c>
      <c r="AD169" s="97" t="e">
        <f t="shared" si="37"/>
        <v>#REF!</v>
      </c>
      <c r="AE169" s="98" t="e">
        <f t="shared" si="28"/>
        <v>#REF!</v>
      </c>
      <c r="AF169" s="98" t="e">
        <f t="shared" si="28"/>
        <v>#REF!</v>
      </c>
      <c r="AH169" s="97" t="e">
        <f t="shared" si="38"/>
        <v>#REF!</v>
      </c>
      <c r="AI169" s="97" t="e">
        <f t="shared" si="39"/>
        <v>#REF!</v>
      </c>
      <c r="AJ169" s="98" t="e">
        <f t="shared" si="29"/>
        <v>#REF!</v>
      </c>
      <c r="AK169" s="98" t="e">
        <f t="shared" si="29"/>
        <v>#REF!</v>
      </c>
    </row>
    <row r="170" spans="1:37" ht="15" customHeight="1">
      <c r="A170" s="84"/>
      <c r="B170" s="89"/>
      <c r="C170" s="86"/>
      <c r="D170" s="14"/>
      <c r="E170" s="15"/>
      <c r="F170" s="15"/>
      <c r="G170" s="19"/>
      <c r="H170" s="25"/>
      <c r="I170" s="29"/>
      <c r="J170" s="3"/>
      <c r="K170" s="3"/>
      <c r="L170" s="3"/>
      <c r="M170" s="3"/>
      <c r="N170" s="3"/>
      <c r="O170" s="3"/>
      <c r="P170" s="3"/>
      <c r="Q170" s="3"/>
      <c r="S170" s="97">
        <f t="shared" si="32"/>
        <v>0</v>
      </c>
      <c r="T170" s="97">
        <f t="shared" si="33"/>
        <v>0</v>
      </c>
      <c r="U170" s="98">
        <f t="shared" ref="U170:V233" si="42">IF(AND($D170="",S170=""),"",IF($D170="",S170,$D170+S170))</f>
        <v>0</v>
      </c>
      <c r="V170" s="98">
        <f t="shared" si="42"/>
        <v>0</v>
      </c>
      <c r="X170" s="97" t="e">
        <f t="shared" si="34"/>
        <v>#REF!</v>
      </c>
      <c r="Y170" s="97" t="e">
        <f t="shared" si="35"/>
        <v>#REF!</v>
      </c>
      <c r="Z170" s="98" t="e">
        <f t="shared" ref="Z170:AA233" si="43">IF(AND($D170="",X170=""),"",IF($D170="",X170,$D170+X170))</f>
        <v>#REF!</v>
      </c>
      <c r="AA170" s="98" t="e">
        <f t="shared" si="43"/>
        <v>#REF!</v>
      </c>
      <c r="AC170" s="97" t="e">
        <f t="shared" si="36"/>
        <v>#REF!</v>
      </c>
      <c r="AD170" s="97" t="e">
        <f t="shared" si="37"/>
        <v>#REF!</v>
      </c>
      <c r="AE170" s="98" t="e">
        <f t="shared" ref="AE170:AF233" si="44">IF(AND($D170="",AC170=""),"",IF($D170="",AC170,$D170+AC170))</f>
        <v>#REF!</v>
      </c>
      <c r="AF170" s="98" t="e">
        <f t="shared" si="44"/>
        <v>#REF!</v>
      </c>
      <c r="AH170" s="97" t="e">
        <f t="shared" si="38"/>
        <v>#REF!</v>
      </c>
      <c r="AI170" s="97" t="e">
        <f t="shared" si="39"/>
        <v>#REF!</v>
      </c>
      <c r="AJ170" s="98" t="e">
        <f t="shared" ref="AJ170:AK233" si="45">IF(AND($D170="",AH170=""),"",IF($D170="",AH170,$D170+AH170))</f>
        <v>#REF!</v>
      </c>
      <c r="AK170" s="98" t="e">
        <f t="shared" si="45"/>
        <v>#REF!</v>
      </c>
    </row>
    <row r="171" spans="1:37" ht="15" customHeight="1">
      <c r="A171" s="84"/>
      <c r="B171" s="89"/>
      <c r="C171" s="86"/>
      <c r="D171" s="14"/>
      <c r="E171" s="15"/>
      <c r="F171" s="15"/>
      <c r="G171" s="19"/>
      <c r="H171" s="25"/>
      <c r="I171" s="29"/>
      <c r="J171" s="3"/>
      <c r="K171" s="3"/>
      <c r="L171" s="3"/>
      <c r="M171" s="3"/>
      <c r="N171" s="3"/>
      <c r="O171" s="3"/>
      <c r="P171" s="3"/>
      <c r="Q171" s="3"/>
      <c r="S171" s="97">
        <f t="shared" si="32"/>
        <v>0</v>
      </c>
      <c r="T171" s="97">
        <f t="shared" si="33"/>
        <v>0</v>
      </c>
      <c r="U171" s="98">
        <f t="shared" si="42"/>
        <v>0</v>
      </c>
      <c r="V171" s="98">
        <f t="shared" si="42"/>
        <v>0</v>
      </c>
      <c r="X171" s="97" t="e">
        <f t="shared" si="34"/>
        <v>#REF!</v>
      </c>
      <c r="Y171" s="97" t="e">
        <f t="shared" si="35"/>
        <v>#REF!</v>
      </c>
      <c r="Z171" s="98" t="e">
        <f t="shared" si="43"/>
        <v>#REF!</v>
      </c>
      <c r="AA171" s="98" t="e">
        <f t="shared" si="43"/>
        <v>#REF!</v>
      </c>
      <c r="AC171" s="97" t="e">
        <f t="shared" si="36"/>
        <v>#REF!</v>
      </c>
      <c r="AD171" s="97" t="e">
        <f t="shared" si="37"/>
        <v>#REF!</v>
      </c>
      <c r="AE171" s="98" t="e">
        <f t="shared" si="44"/>
        <v>#REF!</v>
      </c>
      <c r="AF171" s="98" t="e">
        <f t="shared" si="44"/>
        <v>#REF!</v>
      </c>
      <c r="AH171" s="97" t="e">
        <f t="shared" si="38"/>
        <v>#REF!</v>
      </c>
      <c r="AI171" s="97" t="e">
        <f t="shared" si="39"/>
        <v>#REF!</v>
      </c>
      <c r="AJ171" s="98" t="e">
        <f t="shared" si="45"/>
        <v>#REF!</v>
      </c>
      <c r="AK171" s="98" t="e">
        <f t="shared" si="45"/>
        <v>#REF!</v>
      </c>
    </row>
    <row r="172" spans="1:37" ht="15" customHeight="1">
      <c r="A172" s="84"/>
      <c r="B172" s="89"/>
      <c r="C172" s="86"/>
      <c r="D172" s="14"/>
      <c r="E172" s="15"/>
      <c r="F172" s="15"/>
      <c r="G172" s="19"/>
      <c r="H172" s="25"/>
      <c r="I172" s="29"/>
      <c r="J172" s="3"/>
      <c r="K172" s="3"/>
      <c r="L172" s="3"/>
      <c r="M172" s="3"/>
      <c r="N172" s="3"/>
      <c r="O172" s="3"/>
      <c r="P172" s="3"/>
      <c r="Q172" s="3"/>
      <c r="S172" s="97">
        <f t="shared" si="32"/>
        <v>0</v>
      </c>
      <c r="T172" s="97">
        <f t="shared" si="33"/>
        <v>0</v>
      </c>
      <c r="U172" s="98">
        <f t="shared" si="42"/>
        <v>0</v>
      </c>
      <c r="V172" s="98">
        <f t="shared" si="42"/>
        <v>0</v>
      </c>
      <c r="X172" s="97" t="e">
        <f t="shared" si="34"/>
        <v>#REF!</v>
      </c>
      <c r="Y172" s="97" t="e">
        <f t="shared" si="35"/>
        <v>#REF!</v>
      </c>
      <c r="Z172" s="98" t="e">
        <f t="shared" si="43"/>
        <v>#REF!</v>
      </c>
      <c r="AA172" s="98" t="e">
        <f t="shared" si="43"/>
        <v>#REF!</v>
      </c>
      <c r="AC172" s="97" t="e">
        <f t="shared" si="36"/>
        <v>#REF!</v>
      </c>
      <c r="AD172" s="97" t="e">
        <f t="shared" si="37"/>
        <v>#REF!</v>
      </c>
      <c r="AE172" s="98" t="e">
        <f t="shared" si="44"/>
        <v>#REF!</v>
      </c>
      <c r="AF172" s="98" t="e">
        <f t="shared" si="44"/>
        <v>#REF!</v>
      </c>
      <c r="AH172" s="97" t="e">
        <f t="shared" si="38"/>
        <v>#REF!</v>
      </c>
      <c r="AI172" s="97" t="e">
        <f t="shared" si="39"/>
        <v>#REF!</v>
      </c>
      <c r="AJ172" s="98" t="e">
        <f t="shared" si="45"/>
        <v>#REF!</v>
      </c>
      <c r="AK172" s="98" t="e">
        <f t="shared" si="45"/>
        <v>#REF!</v>
      </c>
    </row>
    <row r="173" spans="1:37" ht="15" customHeight="1">
      <c r="A173" s="84"/>
      <c r="B173" s="89"/>
      <c r="C173" s="86"/>
      <c r="D173" s="14"/>
      <c r="E173" s="15"/>
      <c r="F173" s="15"/>
      <c r="G173" s="19"/>
      <c r="H173" s="25"/>
      <c r="I173" s="29"/>
      <c r="J173" s="3"/>
      <c r="K173" s="3"/>
      <c r="L173" s="3"/>
      <c r="M173" s="3"/>
      <c r="N173" s="3"/>
      <c r="O173" s="3"/>
      <c r="P173" s="3"/>
      <c r="Q173" s="3"/>
      <c r="S173" s="97">
        <f t="shared" si="32"/>
        <v>0</v>
      </c>
      <c r="T173" s="97">
        <f t="shared" si="33"/>
        <v>0</v>
      </c>
      <c r="U173" s="98">
        <f t="shared" si="42"/>
        <v>0</v>
      </c>
      <c r="V173" s="98">
        <f t="shared" si="42"/>
        <v>0</v>
      </c>
      <c r="X173" s="97" t="e">
        <f t="shared" si="34"/>
        <v>#REF!</v>
      </c>
      <c r="Y173" s="97" t="e">
        <f t="shared" si="35"/>
        <v>#REF!</v>
      </c>
      <c r="Z173" s="98" t="e">
        <f t="shared" si="43"/>
        <v>#REF!</v>
      </c>
      <c r="AA173" s="98" t="e">
        <f t="shared" si="43"/>
        <v>#REF!</v>
      </c>
      <c r="AC173" s="97" t="e">
        <f t="shared" si="36"/>
        <v>#REF!</v>
      </c>
      <c r="AD173" s="97" t="e">
        <f t="shared" si="37"/>
        <v>#REF!</v>
      </c>
      <c r="AE173" s="98" t="e">
        <f t="shared" si="44"/>
        <v>#REF!</v>
      </c>
      <c r="AF173" s="98" t="e">
        <f t="shared" si="44"/>
        <v>#REF!</v>
      </c>
      <c r="AH173" s="97" t="e">
        <f t="shared" si="38"/>
        <v>#REF!</v>
      </c>
      <c r="AI173" s="97" t="e">
        <f t="shared" si="39"/>
        <v>#REF!</v>
      </c>
      <c r="AJ173" s="98" t="e">
        <f t="shared" si="45"/>
        <v>#REF!</v>
      </c>
      <c r="AK173" s="98" t="e">
        <f t="shared" si="45"/>
        <v>#REF!</v>
      </c>
    </row>
    <row r="174" spans="1:37" ht="15" customHeight="1">
      <c r="A174" s="84"/>
      <c r="B174" s="89"/>
      <c r="C174" s="86"/>
      <c r="D174" s="14"/>
      <c r="E174" s="15"/>
      <c r="F174" s="15"/>
      <c r="G174" s="19"/>
      <c r="H174" s="25"/>
      <c r="I174" s="29"/>
      <c r="J174" s="3"/>
      <c r="K174" s="3"/>
      <c r="L174" s="3"/>
      <c r="M174" s="3"/>
      <c r="N174" s="3"/>
      <c r="O174" s="3"/>
      <c r="P174" s="3"/>
      <c r="Q174" s="3"/>
      <c r="S174" s="97">
        <f t="shared" si="32"/>
        <v>0</v>
      </c>
      <c r="T174" s="97">
        <f t="shared" si="33"/>
        <v>0</v>
      </c>
      <c r="U174" s="98">
        <f t="shared" si="42"/>
        <v>0</v>
      </c>
      <c r="V174" s="98">
        <f t="shared" si="42"/>
        <v>0</v>
      </c>
      <c r="X174" s="97" t="e">
        <f t="shared" si="34"/>
        <v>#REF!</v>
      </c>
      <c r="Y174" s="97" t="e">
        <f t="shared" si="35"/>
        <v>#REF!</v>
      </c>
      <c r="Z174" s="98" t="e">
        <f t="shared" si="43"/>
        <v>#REF!</v>
      </c>
      <c r="AA174" s="98" t="e">
        <f t="shared" si="43"/>
        <v>#REF!</v>
      </c>
      <c r="AC174" s="97" t="e">
        <f t="shared" si="36"/>
        <v>#REF!</v>
      </c>
      <c r="AD174" s="97" t="e">
        <f t="shared" si="37"/>
        <v>#REF!</v>
      </c>
      <c r="AE174" s="98" t="e">
        <f t="shared" si="44"/>
        <v>#REF!</v>
      </c>
      <c r="AF174" s="98" t="e">
        <f t="shared" si="44"/>
        <v>#REF!</v>
      </c>
      <c r="AH174" s="97" t="e">
        <f t="shared" si="38"/>
        <v>#REF!</v>
      </c>
      <c r="AI174" s="97" t="e">
        <f t="shared" si="39"/>
        <v>#REF!</v>
      </c>
      <c r="AJ174" s="98" t="e">
        <f t="shared" si="45"/>
        <v>#REF!</v>
      </c>
      <c r="AK174" s="98" t="e">
        <f t="shared" si="45"/>
        <v>#REF!</v>
      </c>
    </row>
    <row r="175" spans="1:37" ht="15" customHeight="1">
      <c r="A175" s="84"/>
      <c r="B175" s="89"/>
      <c r="C175" s="86"/>
      <c r="D175" s="14"/>
      <c r="E175" s="15"/>
      <c r="F175" s="15"/>
      <c r="G175" s="19"/>
      <c r="H175" s="25"/>
      <c r="I175" s="29"/>
      <c r="J175" s="3"/>
      <c r="K175" s="3"/>
      <c r="L175" s="3"/>
      <c r="M175" s="3"/>
      <c r="N175" s="3"/>
      <c r="O175" s="3"/>
      <c r="P175" s="3"/>
      <c r="Q175" s="3"/>
      <c r="S175" s="97">
        <f t="shared" si="32"/>
        <v>0</v>
      </c>
      <c r="T175" s="97">
        <f t="shared" si="33"/>
        <v>0</v>
      </c>
      <c r="U175" s="98">
        <f t="shared" si="42"/>
        <v>0</v>
      </c>
      <c r="V175" s="98">
        <f t="shared" si="42"/>
        <v>0</v>
      </c>
      <c r="X175" s="97" t="e">
        <f t="shared" si="34"/>
        <v>#REF!</v>
      </c>
      <c r="Y175" s="97" t="e">
        <f t="shared" si="35"/>
        <v>#REF!</v>
      </c>
      <c r="Z175" s="98" t="e">
        <f t="shared" si="43"/>
        <v>#REF!</v>
      </c>
      <c r="AA175" s="98" t="e">
        <f t="shared" si="43"/>
        <v>#REF!</v>
      </c>
      <c r="AC175" s="97" t="e">
        <f t="shared" si="36"/>
        <v>#REF!</v>
      </c>
      <c r="AD175" s="97" t="e">
        <f t="shared" si="37"/>
        <v>#REF!</v>
      </c>
      <c r="AE175" s="98" t="e">
        <f t="shared" si="44"/>
        <v>#REF!</v>
      </c>
      <c r="AF175" s="98" t="e">
        <f t="shared" si="44"/>
        <v>#REF!</v>
      </c>
      <c r="AH175" s="97" t="e">
        <f t="shared" si="38"/>
        <v>#REF!</v>
      </c>
      <c r="AI175" s="97" t="e">
        <f t="shared" si="39"/>
        <v>#REF!</v>
      </c>
      <c r="AJ175" s="98" t="e">
        <f t="shared" si="45"/>
        <v>#REF!</v>
      </c>
      <c r="AK175" s="98" t="e">
        <f t="shared" si="45"/>
        <v>#REF!</v>
      </c>
    </row>
    <row r="176" spans="1:37" ht="15" customHeight="1">
      <c r="A176" s="87"/>
      <c r="B176" s="100">
        <v>70</v>
      </c>
      <c r="C176" s="86"/>
      <c r="D176" s="14">
        <v>5.157</v>
      </c>
      <c r="E176" s="15">
        <v>0.3</v>
      </c>
      <c r="F176" s="15">
        <v>-0.3</v>
      </c>
      <c r="G176" s="19">
        <f t="shared" si="30"/>
        <v>5.4569999999999999</v>
      </c>
      <c r="H176" s="25">
        <f t="shared" si="31"/>
        <v>4.8570000000000002</v>
      </c>
      <c r="I176" s="29"/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S176" s="97">
        <f t="shared" si="32"/>
        <v>0</v>
      </c>
      <c r="T176" s="97">
        <f t="shared" si="33"/>
        <v>0</v>
      </c>
      <c r="U176" s="98">
        <f t="shared" si="42"/>
        <v>5.157</v>
      </c>
      <c r="V176" s="98">
        <f t="shared" si="42"/>
        <v>5.157</v>
      </c>
      <c r="X176" s="97" t="e">
        <f t="shared" si="34"/>
        <v>#REF!</v>
      </c>
      <c r="Y176" s="97" t="e">
        <f t="shared" si="35"/>
        <v>#REF!</v>
      </c>
      <c r="Z176" s="98" t="e">
        <f t="shared" si="43"/>
        <v>#REF!</v>
      </c>
      <c r="AA176" s="98" t="e">
        <f t="shared" si="43"/>
        <v>#REF!</v>
      </c>
      <c r="AC176" s="97" t="e">
        <f t="shared" si="36"/>
        <v>#REF!</v>
      </c>
      <c r="AD176" s="97" t="e">
        <f t="shared" si="37"/>
        <v>#REF!</v>
      </c>
      <c r="AE176" s="98" t="e">
        <f t="shared" si="44"/>
        <v>#REF!</v>
      </c>
      <c r="AF176" s="98" t="e">
        <f t="shared" si="44"/>
        <v>#REF!</v>
      </c>
      <c r="AH176" s="97" t="e">
        <f t="shared" si="38"/>
        <v>#REF!</v>
      </c>
      <c r="AI176" s="97" t="e">
        <f t="shared" si="39"/>
        <v>#REF!</v>
      </c>
      <c r="AJ176" s="98" t="e">
        <f t="shared" si="45"/>
        <v>#REF!</v>
      </c>
      <c r="AK176" s="98" t="e">
        <f t="shared" si="45"/>
        <v>#REF!</v>
      </c>
    </row>
    <row r="177" spans="1:37" ht="15" customHeight="1">
      <c r="A177" s="87"/>
      <c r="B177" s="100">
        <v>71</v>
      </c>
      <c r="C177" s="86"/>
      <c r="D177" s="14">
        <v>14.095000000000001</v>
      </c>
      <c r="E177" s="15">
        <v>0.17499999999999999</v>
      </c>
      <c r="F177" s="15">
        <v>-0.17499999999999999</v>
      </c>
      <c r="G177" s="19">
        <f t="shared" si="30"/>
        <v>14.270000000000001</v>
      </c>
      <c r="H177" s="25">
        <f t="shared" si="31"/>
        <v>13.92</v>
      </c>
      <c r="I177" s="29"/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S177" s="97">
        <f t="shared" si="32"/>
        <v>0</v>
      </c>
      <c r="T177" s="97">
        <f t="shared" si="33"/>
        <v>0</v>
      </c>
      <c r="U177" s="98">
        <f t="shared" si="42"/>
        <v>14.095000000000001</v>
      </c>
      <c r="V177" s="98">
        <f t="shared" si="42"/>
        <v>14.095000000000001</v>
      </c>
      <c r="X177" s="97" t="e">
        <f t="shared" si="34"/>
        <v>#REF!</v>
      </c>
      <c r="Y177" s="97" t="e">
        <f t="shared" si="35"/>
        <v>#REF!</v>
      </c>
      <c r="Z177" s="98" t="e">
        <f t="shared" si="43"/>
        <v>#REF!</v>
      </c>
      <c r="AA177" s="98" t="e">
        <f t="shared" si="43"/>
        <v>#REF!</v>
      </c>
      <c r="AC177" s="97" t="e">
        <f t="shared" si="36"/>
        <v>#REF!</v>
      </c>
      <c r="AD177" s="97" t="e">
        <f t="shared" si="37"/>
        <v>#REF!</v>
      </c>
      <c r="AE177" s="98" t="e">
        <f t="shared" si="44"/>
        <v>#REF!</v>
      </c>
      <c r="AF177" s="98" t="e">
        <f t="shared" si="44"/>
        <v>#REF!</v>
      </c>
      <c r="AH177" s="97" t="e">
        <f t="shared" si="38"/>
        <v>#REF!</v>
      </c>
      <c r="AI177" s="97" t="e">
        <f t="shared" si="39"/>
        <v>#REF!</v>
      </c>
      <c r="AJ177" s="98" t="e">
        <f t="shared" si="45"/>
        <v>#REF!</v>
      </c>
      <c r="AK177" s="98" t="e">
        <f t="shared" si="45"/>
        <v>#REF!</v>
      </c>
    </row>
    <row r="178" spans="1:37" ht="15" customHeight="1">
      <c r="A178" s="87" t="s">
        <v>262</v>
      </c>
      <c r="B178" s="100" t="s">
        <v>309</v>
      </c>
      <c r="C178" s="86">
        <v>1.33</v>
      </c>
      <c r="D178" s="14">
        <v>0.79</v>
      </c>
      <c r="E178" s="15">
        <v>0.02</v>
      </c>
      <c r="F178" s="15">
        <v>-0.02</v>
      </c>
      <c r="G178" s="19">
        <f t="shared" si="30"/>
        <v>0.81</v>
      </c>
      <c r="H178" s="25">
        <f t="shared" si="31"/>
        <v>0.77</v>
      </c>
      <c r="I178" s="29"/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S178" s="97">
        <f t="shared" si="32"/>
        <v>0</v>
      </c>
      <c r="T178" s="97">
        <f t="shared" si="33"/>
        <v>0</v>
      </c>
      <c r="U178" s="98">
        <f t="shared" si="42"/>
        <v>0.79</v>
      </c>
      <c r="V178" s="98">
        <f t="shared" si="42"/>
        <v>0.79</v>
      </c>
      <c r="X178" s="97" t="e">
        <f t="shared" si="34"/>
        <v>#REF!</v>
      </c>
      <c r="Y178" s="97" t="e">
        <f t="shared" si="35"/>
        <v>#REF!</v>
      </c>
      <c r="Z178" s="98" t="e">
        <f t="shared" si="43"/>
        <v>#REF!</v>
      </c>
      <c r="AA178" s="98" t="e">
        <f t="shared" si="43"/>
        <v>#REF!</v>
      </c>
      <c r="AC178" s="97" t="e">
        <f t="shared" si="36"/>
        <v>#REF!</v>
      </c>
      <c r="AD178" s="97" t="e">
        <f t="shared" si="37"/>
        <v>#REF!</v>
      </c>
      <c r="AE178" s="98" t="e">
        <f t="shared" si="44"/>
        <v>#REF!</v>
      </c>
      <c r="AF178" s="98" t="e">
        <f t="shared" si="44"/>
        <v>#REF!</v>
      </c>
      <c r="AH178" s="97" t="e">
        <f t="shared" si="38"/>
        <v>#REF!</v>
      </c>
      <c r="AI178" s="97" t="e">
        <f t="shared" si="39"/>
        <v>#REF!</v>
      </c>
      <c r="AJ178" s="98" t="e">
        <f t="shared" si="45"/>
        <v>#REF!</v>
      </c>
      <c r="AK178" s="98" t="e">
        <f t="shared" si="45"/>
        <v>#REF!</v>
      </c>
    </row>
    <row r="179" spans="1:37" ht="15" customHeight="1">
      <c r="A179" s="101" t="s">
        <v>262</v>
      </c>
      <c r="B179" s="108" t="s">
        <v>135</v>
      </c>
      <c r="C179" s="103">
        <v>1.33</v>
      </c>
      <c r="D179" s="104">
        <v>0.79</v>
      </c>
      <c r="E179" s="105">
        <v>0.02</v>
      </c>
      <c r="F179" s="105">
        <v>-0.02</v>
      </c>
      <c r="G179" s="19">
        <f t="shared" si="30"/>
        <v>0.81</v>
      </c>
      <c r="H179" s="25">
        <f t="shared" si="31"/>
        <v>0.77</v>
      </c>
      <c r="I179" s="29"/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S179" s="97">
        <f t="shared" si="32"/>
        <v>0</v>
      </c>
      <c r="T179" s="97">
        <f t="shared" si="33"/>
        <v>0</v>
      </c>
      <c r="U179" s="98">
        <f t="shared" si="42"/>
        <v>0.79</v>
      </c>
      <c r="V179" s="98">
        <f t="shared" si="42"/>
        <v>0.79</v>
      </c>
      <c r="X179" s="97" t="e">
        <f t="shared" si="34"/>
        <v>#REF!</v>
      </c>
      <c r="Y179" s="97" t="e">
        <f t="shared" si="35"/>
        <v>#REF!</v>
      </c>
      <c r="Z179" s="98" t="e">
        <f t="shared" si="43"/>
        <v>#REF!</v>
      </c>
      <c r="AA179" s="98" t="e">
        <f t="shared" si="43"/>
        <v>#REF!</v>
      </c>
      <c r="AC179" s="97" t="e">
        <f t="shared" si="36"/>
        <v>#REF!</v>
      </c>
      <c r="AD179" s="97" t="e">
        <f t="shared" si="37"/>
        <v>#REF!</v>
      </c>
      <c r="AE179" s="98" t="e">
        <f t="shared" si="44"/>
        <v>#REF!</v>
      </c>
      <c r="AF179" s="98" t="e">
        <f t="shared" si="44"/>
        <v>#REF!</v>
      </c>
      <c r="AH179" s="97" t="e">
        <f t="shared" si="38"/>
        <v>#REF!</v>
      </c>
      <c r="AI179" s="97" t="e">
        <f t="shared" si="39"/>
        <v>#REF!</v>
      </c>
      <c r="AJ179" s="98" t="e">
        <f t="shared" si="45"/>
        <v>#REF!</v>
      </c>
      <c r="AK179" s="98" t="e">
        <f t="shared" si="45"/>
        <v>#REF!</v>
      </c>
    </row>
    <row r="180" spans="1:37" ht="15" customHeight="1">
      <c r="A180" s="101" t="s">
        <v>262</v>
      </c>
      <c r="B180" s="108" t="s">
        <v>136</v>
      </c>
      <c r="C180" s="103">
        <v>1.33</v>
      </c>
      <c r="D180" s="104">
        <v>0.79</v>
      </c>
      <c r="E180" s="105">
        <v>0.02</v>
      </c>
      <c r="F180" s="105">
        <v>-0.02</v>
      </c>
      <c r="G180" s="19">
        <f t="shared" si="30"/>
        <v>0.81</v>
      </c>
      <c r="H180" s="25">
        <f t="shared" si="31"/>
        <v>0.77</v>
      </c>
      <c r="I180" s="29"/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S180" s="97">
        <f t="shared" si="32"/>
        <v>0</v>
      </c>
      <c r="T180" s="97">
        <f t="shared" si="33"/>
        <v>0</v>
      </c>
      <c r="U180" s="98">
        <f t="shared" si="42"/>
        <v>0.79</v>
      </c>
      <c r="V180" s="98">
        <f t="shared" si="42"/>
        <v>0.79</v>
      </c>
      <c r="X180" s="97" t="e">
        <f t="shared" si="34"/>
        <v>#REF!</v>
      </c>
      <c r="Y180" s="97" t="e">
        <f t="shared" si="35"/>
        <v>#REF!</v>
      </c>
      <c r="Z180" s="98" t="e">
        <f t="shared" si="43"/>
        <v>#REF!</v>
      </c>
      <c r="AA180" s="98" t="e">
        <f t="shared" si="43"/>
        <v>#REF!</v>
      </c>
      <c r="AC180" s="97" t="e">
        <f t="shared" si="36"/>
        <v>#REF!</v>
      </c>
      <c r="AD180" s="97" t="e">
        <f t="shared" si="37"/>
        <v>#REF!</v>
      </c>
      <c r="AE180" s="98" t="e">
        <f t="shared" si="44"/>
        <v>#REF!</v>
      </c>
      <c r="AF180" s="98" t="e">
        <f t="shared" si="44"/>
        <v>#REF!</v>
      </c>
      <c r="AH180" s="97" t="e">
        <f t="shared" si="38"/>
        <v>#REF!</v>
      </c>
      <c r="AI180" s="97" t="e">
        <f t="shared" si="39"/>
        <v>#REF!</v>
      </c>
      <c r="AJ180" s="98" t="e">
        <f t="shared" si="45"/>
        <v>#REF!</v>
      </c>
      <c r="AK180" s="98" t="e">
        <f t="shared" si="45"/>
        <v>#REF!</v>
      </c>
    </row>
    <row r="181" spans="1:37" ht="15" customHeight="1">
      <c r="A181" s="101" t="s">
        <v>265</v>
      </c>
      <c r="B181" s="108" t="s">
        <v>310</v>
      </c>
      <c r="C181" s="103">
        <v>1.33</v>
      </c>
      <c r="D181" s="104">
        <v>0.79</v>
      </c>
      <c r="E181" s="105">
        <v>0.02</v>
      </c>
      <c r="F181" s="105">
        <v>-0.02</v>
      </c>
      <c r="G181" s="19">
        <f t="shared" si="30"/>
        <v>0.81</v>
      </c>
      <c r="H181" s="25">
        <f t="shared" si="31"/>
        <v>0.77</v>
      </c>
      <c r="I181" s="29"/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S181" s="97">
        <f t="shared" si="32"/>
        <v>0</v>
      </c>
      <c r="T181" s="97">
        <f t="shared" si="33"/>
        <v>0</v>
      </c>
      <c r="U181" s="98">
        <f t="shared" si="42"/>
        <v>0.79</v>
      </c>
      <c r="V181" s="98">
        <f t="shared" si="42"/>
        <v>0.79</v>
      </c>
      <c r="X181" s="97" t="e">
        <f t="shared" si="34"/>
        <v>#REF!</v>
      </c>
      <c r="Y181" s="97" t="e">
        <f t="shared" si="35"/>
        <v>#REF!</v>
      </c>
      <c r="Z181" s="98" t="e">
        <f t="shared" si="43"/>
        <v>#REF!</v>
      </c>
      <c r="AA181" s="98" t="e">
        <f t="shared" si="43"/>
        <v>#REF!</v>
      </c>
      <c r="AC181" s="97" t="e">
        <f t="shared" si="36"/>
        <v>#REF!</v>
      </c>
      <c r="AD181" s="97" t="e">
        <f t="shared" si="37"/>
        <v>#REF!</v>
      </c>
      <c r="AE181" s="98" t="e">
        <f t="shared" si="44"/>
        <v>#REF!</v>
      </c>
      <c r="AF181" s="98" t="e">
        <f t="shared" si="44"/>
        <v>#REF!</v>
      </c>
      <c r="AH181" s="97" t="e">
        <f t="shared" si="38"/>
        <v>#REF!</v>
      </c>
      <c r="AI181" s="97" t="e">
        <f t="shared" si="39"/>
        <v>#REF!</v>
      </c>
      <c r="AJ181" s="98" t="e">
        <f t="shared" si="45"/>
        <v>#REF!</v>
      </c>
      <c r="AK181" s="98" t="e">
        <f t="shared" si="45"/>
        <v>#REF!</v>
      </c>
    </row>
    <row r="182" spans="1:37" ht="15" customHeight="1">
      <c r="A182" s="101" t="s">
        <v>265</v>
      </c>
      <c r="B182" s="108" t="s">
        <v>138</v>
      </c>
      <c r="C182" s="103">
        <v>1.33</v>
      </c>
      <c r="D182" s="104">
        <v>0.79</v>
      </c>
      <c r="E182" s="105">
        <v>0.02</v>
      </c>
      <c r="F182" s="105">
        <v>-0.02</v>
      </c>
      <c r="G182" s="19">
        <f t="shared" si="30"/>
        <v>0.81</v>
      </c>
      <c r="H182" s="25">
        <f t="shared" si="31"/>
        <v>0.77</v>
      </c>
      <c r="I182" s="29"/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S182" s="97">
        <f t="shared" si="32"/>
        <v>0</v>
      </c>
      <c r="T182" s="97">
        <f t="shared" si="33"/>
        <v>0</v>
      </c>
      <c r="U182" s="98">
        <f t="shared" si="42"/>
        <v>0.79</v>
      </c>
      <c r="V182" s="98">
        <f t="shared" si="42"/>
        <v>0.79</v>
      </c>
      <c r="X182" s="97" t="e">
        <f t="shared" si="34"/>
        <v>#REF!</v>
      </c>
      <c r="Y182" s="97" t="e">
        <f t="shared" si="35"/>
        <v>#REF!</v>
      </c>
      <c r="Z182" s="98" t="e">
        <f t="shared" si="43"/>
        <v>#REF!</v>
      </c>
      <c r="AA182" s="98" t="e">
        <f t="shared" si="43"/>
        <v>#REF!</v>
      </c>
      <c r="AC182" s="97" t="e">
        <f t="shared" si="36"/>
        <v>#REF!</v>
      </c>
      <c r="AD182" s="97" t="e">
        <f t="shared" si="37"/>
        <v>#REF!</v>
      </c>
      <c r="AE182" s="98" t="e">
        <f t="shared" si="44"/>
        <v>#REF!</v>
      </c>
      <c r="AF182" s="98" t="e">
        <f t="shared" si="44"/>
        <v>#REF!</v>
      </c>
      <c r="AH182" s="97" t="e">
        <f t="shared" si="38"/>
        <v>#REF!</v>
      </c>
      <c r="AI182" s="97" t="e">
        <f t="shared" si="39"/>
        <v>#REF!</v>
      </c>
      <c r="AJ182" s="98" t="e">
        <f t="shared" si="45"/>
        <v>#REF!</v>
      </c>
      <c r="AK182" s="98" t="e">
        <f t="shared" si="45"/>
        <v>#REF!</v>
      </c>
    </row>
    <row r="183" spans="1:37" ht="15" customHeight="1">
      <c r="A183" s="101" t="s">
        <v>265</v>
      </c>
      <c r="B183" s="108" t="s">
        <v>139</v>
      </c>
      <c r="C183" s="103">
        <v>1.33</v>
      </c>
      <c r="D183" s="104">
        <v>0.79</v>
      </c>
      <c r="E183" s="105">
        <v>0.02</v>
      </c>
      <c r="F183" s="105">
        <v>-0.02</v>
      </c>
      <c r="G183" s="19">
        <f t="shared" si="30"/>
        <v>0.81</v>
      </c>
      <c r="H183" s="25">
        <f t="shared" si="31"/>
        <v>0.77</v>
      </c>
      <c r="I183" s="29"/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S183" s="97">
        <f t="shared" si="32"/>
        <v>0</v>
      </c>
      <c r="T183" s="97">
        <f t="shared" si="33"/>
        <v>0</v>
      </c>
      <c r="U183" s="98">
        <f t="shared" si="42"/>
        <v>0.79</v>
      </c>
      <c r="V183" s="98">
        <f t="shared" si="42"/>
        <v>0.79</v>
      </c>
      <c r="X183" s="97" t="e">
        <f t="shared" si="34"/>
        <v>#REF!</v>
      </c>
      <c r="Y183" s="97" t="e">
        <f t="shared" si="35"/>
        <v>#REF!</v>
      </c>
      <c r="Z183" s="98" t="e">
        <f t="shared" si="43"/>
        <v>#REF!</v>
      </c>
      <c r="AA183" s="98" t="e">
        <f t="shared" si="43"/>
        <v>#REF!</v>
      </c>
      <c r="AC183" s="97" t="e">
        <f t="shared" si="36"/>
        <v>#REF!</v>
      </c>
      <c r="AD183" s="97" t="e">
        <f t="shared" si="37"/>
        <v>#REF!</v>
      </c>
      <c r="AE183" s="98" t="e">
        <f t="shared" si="44"/>
        <v>#REF!</v>
      </c>
      <c r="AF183" s="98" t="e">
        <f t="shared" si="44"/>
        <v>#REF!</v>
      </c>
      <c r="AH183" s="97" t="e">
        <f t="shared" si="38"/>
        <v>#REF!</v>
      </c>
      <c r="AI183" s="97" t="e">
        <f t="shared" si="39"/>
        <v>#REF!</v>
      </c>
      <c r="AJ183" s="98" t="e">
        <f t="shared" si="45"/>
        <v>#REF!</v>
      </c>
      <c r="AK183" s="98" t="e">
        <f t="shared" si="45"/>
        <v>#REF!</v>
      </c>
    </row>
    <row r="184" spans="1:37" ht="15" customHeight="1">
      <c r="A184" s="87"/>
      <c r="B184" s="100">
        <v>74</v>
      </c>
      <c r="C184" s="86"/>
      <c r="D184" s="14">
        <v>0</v>
      </c>
      <c r="E184" s="15">
        <v>3</v>
      </c>
      <c r="F184" s="15">
        <v>-3</v>
      </c>
      <c r="G184" s="19">
        <f>IF(AND(D184="",E184=""),"",IF(D184="",E184,D184+E184))</f>
        <v>3</v>
      </c>
      <c r="H184" s="25">
        <f>IF(AND(D184="",F184=""),"",IF(D184="",F184,D184+F184))</f>
        <v>-3</v>
      </c>
      <c r="I184" s="29"/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S184" s="97">
        <f t="shared" si="32"/>
        <v>0</v>
      </c>
      <c r="T184" s="97">
        <f t="shared" si="33"/>
        <v>0</v>
      </c>
      <c r="U184" s="98">
        <f t="shared" si="42"/>
        <v>0</v>
      </c>
      <c r="V184" s="98">
        <f t="shared" si="42"/>
        <v>0</v>
      </c>
      <c r="X184" s="97" t="e">
        <f t="shared" si="34"/>
        <v>#REF!</v>
      </c>
      <c r="Y184" s="97" t="e">
        <f t="shared" si="35"/>
        <v>#REF!</v>
      </c>
      <c r="Z184" s="98" t="e">
        <f t="shared" si="43"/>
        <v>#REF!</v>
      </c>
      <c r="AA184" s="98" t="e">
        <f t="shared" si="43"/>
        <v>#REF!</v>
      </c>
      <c r="AC184" s="97" t="e">
        <f t="shared" si="36"/>
        <v>#REF!</v>
      </c>
      <c r="AD184" s="97" t="e">
        <f t="shared" si="37"/>
        <v>#REF!</v>
      </c>
      <c r="AE184" s="98" t="e">
        <f t="shared" si="44"/>
        <v>#REF!</v>
      </c>
      <c r="AF184" s="98" t="e">
        <f t="shared" si="44"/>
        <v>#REF!</v>
      </c>
      <c r="AH184" s="97" t="e">
        <f t="shared" si="38"/>
        <v>#REF!</v>
      </c>
      <c r="AI184" s="97" t="e">
        <f t="shared" si="39"/>
        <v>#REF!</v>
      </c>
      <c r="AJ184" s="98" t="e">
        <f t="shared" si="45"/>
        <v>#REF!</v>
      </c>
      <c r="AK184" s="98" t="e">
        <f t="shared" si="45"/>
        <v>#REF!</v>
      </c>
    </row>
    <row r="185" spans="1:37" ht="15" customHeight="1">
      <c r="A185" s="84"/>
      <c r="B185" s="89"/>
      <c r="C185" s="86"/>
      <c r="D185" s="14"/>
      <c r="E185" s="15"/>
      <c r="F185" s="15"/>
      <c r="G185" s="19"/>
      <c r="H185" s="25"/>
      <c r="I185" s="29"/>
      <c r="J185" s="3"/>
      <c r="K185" s="3"/>
      <c r="L185" s="3"/>
      <c r="M185" s="3"/>
      <c r="N185" s="3"/>
      <c r="O185" s="3"/>
      <c r="P185" s="3"/>
      <c r="Q185" s="3"/>
      <c r="S185" s="97">
        <f t="shared" si="32"/>
        <v>0</v>
      </c>
      <c r="T185" s="97">
        <f t="shared" si="33"/>
        <v>0</v>
      </c>
      <c r="U185" s="98">
        <f t="shared" si="42"/>
        <v>0</v>
      </c>
      <c r="V185" s="98">
        <f t="shared" si="42"/>
        <v>0</v>
      </c>
      <c r="X185" s="97" t="e">
        <f t="shared" si="34"/>
        <v>#REF!</v>
      </c>
      <c r="Y185" s="97" t="e">
        <f t="shared" si="35"/>
        <v>#REF!</v>
      </c>
      <c r="Z185" s="98" t="e">
        <f t="shared" si="43"/>
        <v>#REF!</v>
      </c>
      <c r="AA185" s="98" t="e">
        <f t="shared" si="43"/>
        <v>#REF!</v>
      </c>
      <c r="AC185" s="97" t="e">
        <f t="shared" si="36"/>
        <v>#REF!</v>
      </c>
      <c r="AD185" s="97" t="e">
        <f t="shared" si="37"/>
        <v>#REF!</v>
      </c>
      <c r="AE185" s="98" t="e">
        <f t="shared" si="44"/>
        <v>#REF!</v>
      </c>
      <c r="AF185" s="98" t="e">
        <f t="shared" si="44"/>
        <v>#REF!</v>
      </c>
      <c r="AH185" s="97" t="e">
        <f t="shared" si="38"/>
        <v>#REF!</v>
      </c>
      <c r="AI185" s="97" t="e">
        <f t="shared" si="39"/>
        <v>#REF!</v>
      </c>
      <c r="AJ185" s="98" t="e">
        <f t="shared" si="45"/>
        <v>#REF!</v>
      </c>
      <c r="AK185" s="98" t="e">
        <f t="shared" si="45"/>
        <v>#REF!</v>
      </c>
    </row>
    <row r="186" spans="1:37" ht="15" customHeight="1">
      <c r="A186" s="84"/>
      <c r="B186" s="89"/>
      <c r="C186" s="86"/>
      <c r="D186" s="14"/>
      <c r="E186" s="15"/>
      <c r="F186" s="15"/>
      <c r="G186" s="19"/>
      <c r="H186" s="25"/>
      <c r="I186" s="29"/>
      <c r="J186" s="3"/>
      <c r="K186" s="3"/>
      <c r="L186" s="3"/>
      <c r="M186" s="3"/>
      <c r="N186" s="3"/>
      <c r="O186" s="3"/>
      <c r="P186" s="3"/>
      <c r="Q186" s="3"/>
      <c r="S186" s="97">
        <f t="shared" si="32"/>
        <v>0</v>
      </c>
      <c r="T186" s="97">
        <f t="shared" si="33"/>
        <v>0</v>
      </c>
      <c r="U186" s="98">
        <f t="shared" si="42"/>
        <v>0</v>
      </c>
      <c r="V186" s="98">
        <f t="shared" si="42"/>
        <v>0</v>
      </c>
      <c r="X186" s="97" t="e">
        <f t="shared" si="34"/>
        <v>#REF!</v>
      </c>
      <c r="Y186" s="97" t="e">
        <f t="shared" si="35"/>
        <v>#REF!</v>
      </c>
      <c r="Z186" s="98" t="e">
        <f t="shared" si="43"/>
        <v>#REF!</v>
      </c>
      <c r="AA186" s="98" t="e">
        <f t="shared" si="43"/>
        <v>#REF!</v>
      </c>
      <c r="AC186" s="97" t="e">
        <f t="shared" si="36"/>
        <v>#REF!</v>
      </c>
      <c r="AD186" s="97" t="e">
        <f t="shared" si="37"/>
        <v>#REF!</v>
      </c>
      <c r="AE186" s="98" t="e">
        <f t="shared" si="44"/>
        <v>#REF!</v>
      </c>
      <c r="AF186" s="98" t="e">
        <f t="shared" si="44"/>
        <v>#REF!</v>
      </c>
      <c r="AH186" s="97" t="e">
        <f t="shared" si="38"/>
        <v>#REF!</v>
      </c>
      <c r="AI186" s="97" t="e">
        <f t="shared" si="39"/>
        <v>#REF!</v>
      </c>
      <c r="AJ186" s="98" t="e">
        <f t="shared" si="45"/>
        <v>#REF!</v>
      </c>
      <c r="AK186" s="98" t="e">
        <f t="shared" si="45"/>
        <v>#REF!</v>
      </c>
    </row>
    <row r="187" spans="1:37" ht="15" customHeight="1">
      <c r="A187" s="84"/>
      <c r="B187" s="89"/>
      <c r="C187" s="86"/>
      <c r="D187" s="14"/>
      <c r="E187" s="15"/>
      <c r="F187" s="15"/>
      <c r="G187" s="19"/>
      <c r="H187" s="25"/>
      <c r="I187" s="29"/>
      <c r="J187" s="3"/>
      <c r="K187" s="3"/>
      <c r="L187" s="3"/>
      <c r="M187" s="3"/>
      <c r="N187" s="3"/>
      <c r="O187" s="3"/>
      <c r="P187" s="3"/>
      <c r="Q187" s="3"/>
      <c r="S187" s="97">
        <f t="shared" si="32"/>
        <v>0</v>
      </c>
      <c r="T187" s="97">
        <f t="shared" si="33"/>
        <v>0</v>
      </c>
      <c r="U187" s="98">
        <f t="shared" si="42"/>
        <v>0</v>
      </c>
      <c r="V187" s="98">
        <f t="shared" si="42"/>
        <v>0</v>
      </c>
      <c r="X187" s="97" t="e">
        <f t="shared" si="34"/>
        <v>#REF!</v>
      </c>
      <c r="Y187" s="97" t="e">
        <f t="shared" si="35"/>
        <v>#REF!</v>
      </c>
      <c r="Z187" s="98" t="e">
        <f t="shared" si="43"/>
        <v>#REF!</v>
      </c>
      <c r="AA187" s="98" t="e">
        <f t="shared" si="43"/>
        <v>#REF!</v>
      </c>
      <c r="AC187" s="97" t="e">
        <f t="shared" si="36"/>
        <v>#REF!</v>
      </c>
      <c r="AD187" s="97" t="e">
        <f t="shared" si="37"/>
        <v>#REF!</v>
      </c>
      <c r="AE187" s="98" t="e">
        <f t="shared" si="44"/>
        <v>#REF!</v>
      </c>
      <c r="AF187" s="98" t="e">
        <f t="shared" si="44"/>
        <v>#REF!</v>
      </c>
      <c r="AH187" s="97" t="e">
        <f t="shared" si="38"/>
        <v>#REF!</v>
      </c>
      <c r="AI187" s="97" t="e">
        <f t="shared" si="39"/>
        <v>#REF!</v>
      </c>
      <c r="AJ187" s="98" t="e">
        <f t="shared" si="45"/>
        <v>#REF!</v>
      </c>
      <c r="AK187" s="98" t="e">
        <f t="shared" si="45"/>
        <v>#REF!</v>
      </c>
    </row>
    <row r="188" spans="1:37" ht="15" customHeight="1">
      <c r="A188" s="84"/>
      <c r="B188" s="89"/>
      <c r="C188" s="86"/>
      <c r="D188" s="14"/>
      <c r="E188" s="15"/>
      <c r="F188" s="15"/>
      <c r="G188" s="19"/>
      <c r="H188" s="25"/>
      <c r="I188" s="29"/>
      <c r="J188" s="3"/>
      <c r="K188" s="3"/>
      <c r="L188" s="3"/>
      <c r="M188" s="3"/>
      <c r="N188" s="3"/>
      <c r="O188" s="3"/>
      <c r="P188" s="3"/>
      <c r="Q188" s="3"/>
      <c r="S188" s="97">
        <f t="shared" si="32"/>
        <v>0</v>
      </c>
      <c r="T188" s="97">
        <f t="shared" si="33"/>
        <v>0</v>
      </c>
      <c r="U188" s="98">
        <f t="shared" si="42"/>
        <v>0</v>
      </c>
      <c r="V188" s="98">
        <f t="shared" si="42"/>
        <v>0</v>
      </c>
      <c r="X188" s="97" t="e">
        <f t="shared" si="34"/>
        <v>#REF!</v>
      </c>
      <c r="Y188" s="97" t="e">
        <f t="shared" si="35"/>
        <v>#REF!</v>
      </c>
      <c r="Z188" s="98" t="e">
        <f t="shared" si="43"/>
        <v>#REF!</v>
      </c>
      <c r="AA188" s="98" t="e">
        <f t="shared" si="43"/>
        <v>#REF!</v>
      </c>
      <c r="AC188" s="97" t="e">
        <f t="shared" si="36"/>
        <v>#REF!</v>
      </c>
      <c r="AD188" s="97" t="e">
        <f t="shared" si="37"/>
        <v>#REF!</v>
      </c>
      <c r="AE188" s="98" t="e">
        <f t="shared" si="44"/>
        <v>#REF!</v>
      </c>
      <c r="AF188" s="98" t="e">
        <f t="shared" si="44"/>
        <v>#REF!</v>
      </c>
      <c r="AH188" s="97" t="e">
        <f t="shared" si="38"/>
        <v>#REF!</v>
      </c>
      <c r="AI188" s="97" t="e">
        <f t="shared" si="39"/>
        <v>#REF!</v>
      </c>
      <c r="AJ188" s="98" t="e">
        <f t="shared" si="45"/>
        <v>#REF!</v>
      </c>
      <c r="AK188" s="98" t="e">
        <f t="shared" si="45"/>
        <v>#REF!</v>
      </c>
    </row>
    <row r="189" spans="1:37" ht="15" customHeight="1">
      <c r="A189" s="84"/>
      <c r="B189" s="89"/>
      <c r="C189" s="86"/>
      <c r="D189" s="14"/>
      <c r="E189" s="15"/>
      <c r="F189" s="15"/>
      <c r="G189" s="19"/>
      <c r="H189" s="25"/>
      <c r="I189" s="29"/>
      <c r="J189" s="3"/>
      <c r="K189" s="3"/>
      <c r="L189" s="3"/>
      <c r="M189" s="3"/>
      <c r="N189" s="3"/>
      <c r="O189" s="3"/>
      <c r="P189" s="3"/>
      <c r="Q189" s="3"/>
      <c r="S189" s="97">
        <f t="shared" si="32"/>
        <v>0</v>
      </c>
      <c r="T189" s="97">
        <f t="shared" si="33"/>
        <v>0</v>
      </c>
      <c r="U189" s="98">
        <f t="shared" si="42"/>
        <v>0</v>
      </c>
      <c r="V189" s="98">
        <f t="shared" si="42"/>
        <v>0</v>
      </c>
      <c r="X189" s="97" t="e">
        <f t="shared" si="34"/>
        <v>#REF!</v>
      </c>
      <c r="Y189" s="97" t="e">
        <f t="shared" si="35"/>
        <v>#REF!</v>
      </c>
      <c r="Z189" s="98" t="e">
        <f t="shared" si="43"/>
        <v>#REF!</v>
      </c>
      <c r="AA189" s="98" t="e">
        <f t="shared" si="43"/>
        <v>#REF!</v>
      </c>
      <c r="AC189" s="97" t="e">
        <f t="shared" si="36"/>
        <v>#REF!</v>
      </c>
      <c r="AD189" s="97" t="e">
        <f t="shared" si="37"/>
        <v>#REF!</v>
      </c>
      <c r="AE189" s="98" t="e">
        <f t="shared" si="44"/>
        <v>#REF!</v>
      </c>
      <c r="AF189" s="98" t="e">
        <f t="shared" si="44"/>
        <v>#REF!</v>
      </c>
      <c r="AH189" s="97" t="e">
        <f t="shared" si="38"/>
        <v>#REF!</v>
      </c>
      <c r="AI189" s="97" t="e">
        <f t="shared" si="39"/>
        <v>#REF!</v>
      </c>
      <c r="AJ189" s="98" t="e">
        <f t="shared" si="45"/>
        <v>#REF!</v>
      </c>
      <c r="AK189" s="98" t="e">
        <f t="shared" si="45"/>
        <v>#REF!</v>
      </c>
    </row>
    <row r="190" spans="1:37" ht="15" customHeight="1">
      <c r="A190" s="84"/>
      <c r="B190" s="89"/>
      <c r="C190" s="86"/>
      <c r="D190" s="14"/>
      <c r="E190" s="15"/>
      <c r="F190" s="15"/>
      <c r="G190" s="19"/>
      <c r="H190" s="25"/>
      <c r="I190" s="29"/>
      <c r="J190" s="3"/>
      <c r="K190" s="3"/>
      <c r="L190" s="3"/>
      <c r="M190" s="3"/>
      <c r="N190" s="3"/>
      <c r="O190" s="3"/>
      <c r="P190" s="3"/>
      <c r="Q190" s="3"/>
      <c r="S190" s="97">
        <f t="shared" si="32"/>
        <v>0</v>
      </c>
      <c r="T190" s="97">
        <f t="shared" si="33"/>
        <v>0</v>
      </c>
      <c r="U190" s="98">
        <f t="shared" si="42"/>
        <v>0</v>
      </c>
      <c r="V190" s="98">
        <f t="shared" si="42"/>
        <v>0</v>
      </c>
      <c r="X190" s="97" t="e">
        <f t="shared" si="34"/>
        <v>#REF!</v>
      </c>
      <c r="Y190" s="97" t="e">
        <f t="shared" si="35"/>
        <v>#REF!</v>
      </c>
      <c r="Z190" s="98" t="e">
        <f t="shared" si="43"/>
        <v>#REF!</v>
      </c>
      <c r="AA190" s="98" t="e">
        <f t="shared" si="43"/>
        <v>#REF!</v>
      </c>
      <c r="AC190" s="97" t="e">
        <f t="shared" si="36"/>
        <v>#REF!</v>
      </c>
      <c r="AD190" s="97" t="e">
        <f t="shared" si="37"/>
        <v>#REF!</v>
      </c>
      <c r="AE190" s="98" t="e">
        <f t="shared" si="44"/>
        <v>#REF!</v>
      </c>
      <c r="AF190" s="98" t="e">
        <f t="shared" si="44"/>
        <v>#REF!</v>
      </c>
      <c r="AH190" s="97" t="e">
        <f t="shared" si="38"/>
        <v>#REF!</v>
      </c>
      <c r="AI190" s="97" t="e">
        <f t="shared" si="39"/>
        <v>#REF!</v>
      </c>
      <c r="AJ190" s="98" t="e">
        <f t="shared" si="45"/>
        <v>#REF!</v>
      </c>
      <c r="AK190" s="98" t="e">
        <f t="shared" si="45"/>
        <v>#REF!</v>
      </c>
    </row>
    <row r="191" spans="1:37" ht="15" customHeight="1">
      <c r="A191" s="101"/>
      <c r="B191" s="108" t="s">
        <v>267</v>
      </c>
      <c r="C191" s="103"/>
      <c r="D191" s="104">
        <v>12.99</v>
      </c>
      <c r="E191" s="105">
        <v>0.03</v>
      </c>
      <c r="F191" s="105">
        <v>-0.03</v>
      </c>
      <c r="G191" s="19">
        <f t="shared" si="30"/>
        <v>13.02</v>
      </c>
      <c r="H191" s="25">
        <f t="shared" si="31"/>
        <v>12.96</v>
      </c>
      <c r="I191" s="29"/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S191" s="97">
        <f t="shared" si="32"/>
        <v>0</v>
      </c>
      <c r="T191" s="97">
        <f t="shared" si="33"/>
        <v>0</v>
      </c>
      <c r="U191" s="98">
        <f t="shared" si="42"/>
        <v>12.99</v>
      </c>
      <c r="V191" s="98">
        <f t="shared" si="42"/>
        <v>12.99</v>
      </c>
      <c r="X191" s="97" t="e">
        <f t="shared" si="34"/>
        <v>#REF!</v>
      </c>
      <c r="Y191" s="97" t="e">
        <f t="shared" si="35"/>
        <v>#REF!</v>
      </c>
      <c r="Z191" s="98" t="e">
        <f t="shared" si="43"/>
        <v>#REF!</v>
      </c>
      <c r="AA191" s="98" t="e">
        <f t="shared" si="43"/>
        <v>#REF!</v>
      </c>
      <c r="AC191" s="97" t="e">
        <f t="shared" si="36"/>
        <v>#REF!</v>
      </c>
      <c r="AD191" s="97" t="e">
        <f t="shared" si="37"/>
        <v>#REF!</v>
      </c>
      <c r="AE191" s="98" t="e">
        <f t="shared" si="44"/>
        <v>#REF!</v>
      </c>
      <c r="AF191" s="98" t="e">
        <f t="shared" si="44"/>
        <v>#REF!</v>
      </c>
      <c r="AH191" s="97" t="e">
        <f t="shared" si="38"/>
        <v>#REF!</v>
      </c>
      <c r="AI191" s="97" t="e">
        <f t="shared" si="39"/>
        <v>#REF!</v>
      </c>
      <c r="AJ191" s="98" t="e">
        <f t="shared" si="45"/>
        <v>#REF!</v>
      </c>
      <c r="AK191" s="98" t="e">
        <f t="shared" si="45"/>
        <v>#REF!</v>
      </c>
    </row>
    <row r="192" spans="1:37" ht="15" customHeight="1">
      <c r="A192" s="101"/>
      <c r="B192" s="107" t="s">
        <v>88</v>
      </c>
      <c r="C192" s="103"/>
      <c r="D192" s="104">
        <v>12.750999999999999</v>
      </c>
      <c r="E192" s="105">
        <v>0.03</v>
      </c>
      <c r="F192" s="105">
        <v>-0.03</v>
      </c>
      <c r="G192" s="19">
        <f t="shared" si="30"/>
        <v>12.780999999999999</v>
      </c>
      <c r="H192" s="25">
        <f t="shared" si="31"/>
        <v>12.721</v>
      </c>
      <c r="I192" s="29"/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S192" s="97">
        <f t="shared" si="32"/>
        <v>0</v>
      </c>
      <c r="T192" s="97">
        <f t="shared" si="33"/>
        <v>0</v>
      </c>
      <c r="U192" s="98">
        <f t="shared" si="42"/>
        <v>12.750999999999999</v>
      </c>
      <c r="V192" s="98">
        <f t="shared" si="42"/>
        <v>12.750999999999999</v>
      </c>
      <c r="X192" s="97" t="e">
        <f t="shared" si="34"/>
        <v>#REF!</v>
      </c>
      <c r="Y192" s="97" t="e">
        <f t="shared" si="35"/>
        <v>#REF!</v>
      </c>
      <c r="Z192" s="98" t="e">
        <f t="shared" si="43"/>
        <v>#REF!</v>
      </c>
      <c r="AA192" s="98" t="e">
        <f t="shared" si="43"/>
        <v>#REF!</v>
      </c>
      <c r="AC192" s="97" t="e">
        <f t="shared" si="36"/>
        <v>#REF!</v>
      </c>
      <c r="AD192" s="97" t="e">
        <f t="shared" si="37"/>
        <v>#REF!</v>
      </c>
      <c r="AE192" s="98" t="e">
        <f t="shared" si="44"/>
        <v>#REF!</v>
      </c>
      <c r="AF192" s="98" t="e">
        <f t="shared" si="44"/>
        <v>#REF!</v>
      </c>
      <c r="AH192" s="97" t="e">
        <f t="shared" si="38"/>
        <v>#REF!</v>
      </c>
      <c r="AI192" s="97" t="e">
        <f t="shared" si="39"/>
        <v>#REF!</v>
      </c>
      <c r="AJ192" s="98" t="e">
        <f t="shared" si="45"/>
        <v>#REF!</v>
      </c>
      <c r="AK192" s="98" t="e">
        <f t="shared" si="45"/>
        <v>#REF!</v>
      </c>
    </row>
    <row r="193" spans="1:37" ht="15" customHeight="1">
      <c r="A193" s="101"/>
      <c r="B193" s="107" t="s">
        <v>89</v>
      </c>
      <c r="C193" s="103"/>
      <c r="D193" s="104">
        <v>1.706</v>
      </c>
      <c r="E193" s="105">
        <v>0.03</v>
      </c>
      <c r="F193" s="105">
        <v>-0.03</v>
      </c>
      <c r="G193" s="19">
        <f t="shared" si="30"/>
        <v>1.736</v>
      </c>
      <c r="H193" s="25">
        <f t="shared" si="31"/>
        <v>1.6759999999999999</v>
      </c>
      <c r="I193" s="29"/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S193" s="97">
        <f t="shared" si="32"/>
        <v>0</v>
      </c>
      <c r="T193" s="97">
        <f t="shared" si="33"/>
        <v>0</v>
      </c>
      <c r="U193" s="98">
        <f t="shared" si="42"/>
        <v>1.706</v>
      </c>
      <c r="V193" s="98">
        <f t="shared" si="42"/>
        <v>1.706</v>
      </c>
      <c r="X193" s="97" t="e">
        <f t="shared" si="34"/>
        <v>#REF!</v>
      </c>
      <c r="Y193" s="97" t="e">
        <f t="shared" si="35"/>
        <v>#REF!</v>
      </c>
      <c r="Z193" s="98" t="e">
        <f t="shared" si="43"/>
        <v>#REF!</v>
      </c>
      <c r="AA193" s="98" t="e">
        <f t="shared" si="43"/>
        <v>#REF!</v>
      </c>
      <c r="AC193" s="97" t="e">
        <f t="shared" si="36"/>
        <v>#REF!</v>
      </c>
      <c r="AD193" s="97" t="e">
        <f t="shared" si="37"/>
        <v>#REF!</v>
      </c>
      <c r="AE193" s="98" t="e">
        <f t="shared" si="44"/>
        <v>#REF!</v>
      </c>
      <c r="AF193" s="98" t="e">
        <f t="shared" si="44"/>
        <v>#REF!</v>
      </c>
      <c r="AH193" s="97" t="e">
        <f t="shared" si="38"/>
        <v>#REF!</v>
      </c>
      <c r="AI193" s="97" t="e">
        <f t="shared" si="39"/>
        <v>#REF!</v>
      </c>
      <c r="AJ193" s="98" t="e">
        <f t="shared" si="45"/>
        <v>#REF!</v>
      </c>
      <c r="AK193" s="98" t="e">
        <f t="shared" si="45"/>
        <v>#REF!</v>
      </c>
    </row>
    <row r="194" spans="1:37" ht="15" customHeight="1">
      <c r="A194" s="101"/>
      <c r="B194" s="107" t="s">
        <v>95</v>
      </c>
      <c r="C194" s="103"/>
      <c r="D194" s="104"/>
      <c r="E194" s="105">
        <v>0.03</v>
      </c>
      <c r="F194" s="105"/>
      <c r="G194" s="19">
        <f t="shared" si="30"/>
        <v>0.03</v>
      </c>
      <c r="H194" s="25" t="str">
        <f t="shared" si="31"/>
        <v/>
      </c>
      <c r="I194" s="29"/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S194" s="97">
        <f t="shared" si="32"/>
        <v>0</v>
      </c>
      <c r="T194" s="97">
        <f t="shared" si="33"/>
        <v>0</v>
      </c>
      <c r="U194" s="98">
        <f t="shared" si="42"/>
        <v>0</v>
      </c>
      <c r="V194" s="98">
        <f t="shared" si="42"/>
        <v>0</v>
      </c>
      <c r="X194" s="97" t="e">
        <f t="shared" si="34"/>
        <v>#REF!</v>
      </c>
      <c r="Y194" s="97" t="e">
        <f t="shared" si="35"/>
        <v>#REF!</v>
      </c>
      <c r="Z194" s="98" t="e">
        <f t="shared" si="43"/>
        <v>#REF!</v>
      </c>
      <c r="AA194" s="98" t="e">
        <f t="shared" si="43"/>
        <v>#REF!</v>
      </c>
      <c r="AC194" s="97" t="e">
        <f t="shared" si="36"/>
        <v>#REF!</v>
      </c>
      <c r="AD194" s="97" t="e">
        <f t="shared" si="37"/>
        <v>#REF!</v>
      </c>
      <c r="AE194" s="98" t="e">
        <f t="shared" si="44"/>
        <v>#REF!</v>
      </c>
      <c r="AF194" s="98" t="e">
        <f t="shared" si="44"/>
        <v>#REF!</v>
      </c>
      <c r="AH194" s="97" t="e">
        <f t="shared" si="38"/>
        <v>#REF!</v>
      </c>
      <c r="AI194" s="97" t="e">
        <f t="shared" si="39"/>
        <v>#REF!</v>
      </c>
      <c r="AJ194" s="98" t="e">
        <f t="shared" si="45"/>
        <v>#REF!</v>
      </c>
      <c r="AK194" s="98" t="e">
        <f t="shared" si="45"/>
        <v>#REF!</v>
      </c>
    </row>
    <row r="195" spans="1:37" ht="15" customHeight="1">
      <c r="A195" s="101"/>
      <c r="B195" s="107" t="s">
        <v>96</v>
      </c>
      <c r="C195" s="103"/>
      <c r="D195" s="104"/>
      <c r="E195" s="105">
        <v>0.03</v>
      </c>
      <c r="F195" s="105"/>
      <c r="G195" s="19">
        <f t="shared" si="30"/>
        <v>0.03</v>
      </c>
      <c r="H195" s="25" t="str">
        <f t="shared" si="31"/>
        <v/>
      </c>
      <c r="I195" s="29"/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S195" s="97">
        <f t="shared" si="32"/>
        <v>0</v>
      </c>
      <c r="T195" s="97">
        <f t="shared" si="33"/>
        <v>0</v>
      </c>
      <c r="U195" s="98">
        <f t="shared" si="42"/>
        <v>0</v>
      </c>
      <c r="V195" s="98">
        <f t="shared" si="42"/>
        <v>0</v>
      </c>
      <c r="X195" s="97" t="e">
        <f t="shared" si="34"/>
        <v>#REF!</v>
      </c>
      <c r="Y195" s="97" t="e">
        <f t="shared" si="35"/>
        <v>#REF!</v>
      </c>
      <c r="Z195" s="98" t="e">
        <f t="shared" si="43"/>
        <v>#REF!</v>
      </c>
      <c r="AA195" s="98" t="e">
        <f t="shared" si="43"/>
        <v>#REF!</v>
      </c>
      <c r="AC195" s="97" t="e">
        <f t="shared" si="36"/>
        <v>#REF!</v>
      </c>
      <c r="AD195" s="97" t="e">
        <f t="shared" si="37"/>
        <v>#REF!</v>
      </c>
      <c r="AE195" s="98" t="e">
        <f t="shared" si="44"/>
        <v>#REF!</v>
      </c>
      <c r="AF195" s="98" t="e">
        <f t="shared" si="44"/>
        <v>#REF!</v>
      </c>
      <c r="AH195" s="97" t="e">
        <f t="shared" si="38"/>
        <v>#REF!</v>
      </c>
      <c r="AI195" s="97" t="e">
        <f t="shared" si="39"/>
        <v>#REF!</v>
      </c>
      <c r="AJ195" s="98" t="e">
        <f t="shared" si="45"/>
        <v>#REF!</v>
      </c>
      <c r="AK195" s="98" t="e">
        <f t="shared" si="45"/>
        <v>#REF!</v>
      </c>
    </row>
    <row r="196" spans="1:37" ht="15" customHeight="1">
      <c r="A196" s="101"/>
      <c r="B196" s="107" t="s">
        <v>311</v>
      </c>
      <c r="C196" s="103"/>
      <c r="D196" s="104">
        <v>0</v>
      </c>
      <c r="E196" s="105">
        <v>0.03</v>
      </c>
      <c r="F196" s="105">
        <v>-0.03</v>
      </c>
      <c r="G196" s="19">
        <f t="shared" si="30"/>
        <v>0.03</v>
      </c>
      <c r="H196" s="25">
        <f t="shared" si="31"/>
        <v>-0.03</v>
      </c>
      <c r="I196" s="29"/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S196" s="97">
        <f t="shared" si="32"/>
        <v>0</v>
      </c>
      <c r="T196" s="97">
        <f t="shared" si="33"/>
        <v>0</v>
      </c>
      <c r="U196" s="98">
        <f t="shared" si="42"/>
        <v>0</v>
      </c>
      <c r="V196" s="98">
        <f t="shared" si="42"/>
        <v>0</v>
      </c>
      <c r="X196" s="97" t="e">
        <f t="shared" si="34"/>
        <v>#REF!</v>
      </c>
      <c r="Y196" s="97" t="e">
        <f t="shared" si="35"/>
        <v>#REF!</v>
      </c>
      <c r="Z196" s="98" t="e">
        <f t="shared" si="43"/>
        <v>#REF!</v>
      </c>
      <c r="AA196" s="98" t="e">
        <f t="shared" si="43"/>
        <v>#REF!</v>
      </c>
      <c r="AC196" s="97" t="e">
        <f t="shared" si="36"/>
        <v>#REF!</v>
      </c>
      <c r="AD196" s="97" t="e">
        <f t="shared" si="37"/>
        <v>#REF!</v>
      </c>
      <c r="AE196" s="98" t="e">
        <f t="shared" si="44"/>
        <v>#REF!</v>
      </c>
      <c r="AF196" s="98" t="e">
        <f t="shared" si="44"/>
        <v>#REF!</v>
      </c>
      <c r="AH196" s="97" t="e">
        <f t="shared" si="38"/>
        <v>#REF!</v>
      </c>
      <c r="AI196" s="97" t="e">
        <f t="shared" si="39"/>
        <v>#REF!</v>
      </c>
      <c r="AJ196" s="98" t="e">
        <f t="shared" si="45"/>
        <v>#REF!</v>
      </c>
      <c r="AK196" s="98" t="e">
        <f t="shared" si="45"/>
        <v>#REF!</v>
      </c>
    </row>
    <row r="197" spans="1:37" ht="15" customHeight="1">
      <c r="A197" s="101"/>
      <c r="B197" s="107" t="s">
        <v>189</v>
      </c>
      <c r="C197" s="103"/>
      <c r="D197" s="104">
        <v>0</v>
      </c>
      <c r="E197" s="105">
        <v>0.03</v>
      </c>
      <c r="F197" s="105">
        <v>-0.03</v>
      </c>
      <c r="G197" s="19">
        <f t="shared" si="30"/>
        <v>0.03</v>
      </c>
      <c r="H197" s="25">
        <f t="shared" si="31"/>
        <v>-0.03</v>
      </c>
      <c r="I197" s="29"/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S197" s="97">
        <f t="shared" si="32"/>
        <v>0</v>
      </c>
      <c r="T197" s="97">
        <f t="shared" si="33"/>
        <v>0</v>
      </c>
      <c r="U197" s="98">
        <f t="shared" si="42"/>
        <v>0</v>
      </c>
      <c r="V197" s="98">
        <f t="shared" si="42"/>
        <v>0</v>
      </c>
      <c r="X197" s="97" t="e">
        <f t="shared" si="34"/>
        <v>#REF!</v>
      </c>
      <c r="Y197" s="97" t="e">
        <f t="shared" si="35"/>
        <v>#REF!</v>
      </c>
      <c r="Z197" s="98" t="e">
        <f t="shared" si="43"/>
        <v>#REF!</v>
      </c>
      <c r="AA197" s="98" t="e">
        <f t="shared" si="43"/>
        <v>#REF!</v>
      </c>
      <c r="AC197" s="97" t="e">
        <f t="shared" si="36"/>
        <v>#REF!</v>
      </c>
      <c r="AD197" s="97" t="e">
        <f t="shared" si="37"/>
        <v>#REF!</v>
      </c>
      <c r="AE197" s="98" t="e">
        <f t="shared" si="44"/>
        <v>#REF!</v>
      </c>
      <c r="AF197" s="98" t="e">
        <f t="shared" si="44"/>
        <v>#REF!</v>
      </c>
      <c r="AH197" s="97" t="e">
        <f t="shared" si="38"/>
        <v>#REF!</v>
      </c>
      <c r="AI197" s="97" t="e">
        <f t="shared" si="39"/>
        <v>#REF!</v>
      </c>
      <c r="AJ197" s="98" t="e">
        <f t="shared" si="45"/>
        <v>#REF!</v>
      </c>
      <c r="AK197" s="98" t="e">
        <f t="shared" si="45"/>
        <v>#REF!</v>
      </c>
    </row>
    <row r="198" spans="1:37" ht="15" customHeight="1">
      <c r="A198" s="101"/>
      <c r="B198" s="107" t="s">
        <v>190</v>
      </c>
      <c r="C198" s="103"/>
      <c r="D198" s="104">
        <v>0</v>
      </c>
      <c r="E198" s="105">
        <v>0.03</v>
      </c>
      <c r="F198" s="105">
        <v>-0.03</v>
      </c>
      <c r="G198" s="19">
        <f t="shared" si="30"/>
        <v>0.03</v>
      </c>
      <c r="H198" s="25">
        <f t="shared" si="31"/>
        <v>-0.03</v>
      </c>
      <c r="I198" s="29"/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S198" s="97">
        <f t="shared" si="32"/>
        <v>0</v>
      </c>
      <c r="T198" s="97">
        <f t="shared" si="33"/>
        <v>0</v>
      </c>
      <c r="U198" s="98">
        <f t="shared" si="42"/>
        <v>0</v>
      </c>
      <c r="V198" s="98">
        <f t="shared" si="42"/>
        <v>0</v>
      </c>
      <c r="X198" s="97" t="e">
        <f t="shared" si="34"/>
        <v>#REF!</v>
      </c>
      <c r="Y198" s="97" t="e">
        <f t="shared" si="35"/>
        <v>#REF!</v>
      </c>
      <c r="Z198" s="98" t="e">
        <f t="shared" si="43"/>
        <v>#REF!</v>
      </c>
      <c r="AA198" s="98" t="e">
        <f t="shared" si="43"/>
        <v>#REF!</v>
      </c>
      <c r="AC198" s="97" t="e">
        <f t="shared" si="36"/>
        <v>#REF!</v>
      </c>
      <c r="AD198" s="97" t="e">
        <f t="shared" si="37"/>
        <v>#REF!</v>
      </c>
      <c r="AE198" s="98" t="e">
        <f t="shared" si="44"/>
        <v>#REF!</v>
      </c>
      <c r="AF198" s="98" t="e">
        <f t="shared" si="44"/>
        <v>#REF!</v>
      </c>
      <c r="AH198" s="97" t="e">
        <f t="shared" si="38"/>
        <v>#REF!</v>
      </c>
      <c r="AI198" s="97" t="e">
        <f t="shared" si="39"/>
        <v>#REF!</v>
      </c>
      <c r="AJ198" s="98" t="e">
        <f t="shared" si="45"/>
        <v>#REF!</v>
      </c>
      <c r="AK198" s="98" t="e">
        <f t="shared" si="45"/>
        <v>#REF!</v>
      </c>
    </row>
    <row r="199" spans="1:37" ht="15" customHeight="1">
      <c r="A199" s="87"/>
      <c r="B199" s="100" t="s">
        <v>191</v>
      </c>
      <c r="C199" s="86"/>
      <c r="D199" s="14">
        <v>0</v>
      </c>
      <c r="E199" s="15">
        <v>0.03</v>
      </c>
      <c r="F199" s="15">
        <v>-0.03</v>
      </c>
      <c r="G199" s="19">
        <f t="shared" si="30"/>
        <v>0.03</v>
      </c>
      <c r="H199" s="25">
        <f t="shared" si="31"/>
        <v>-0.03</v>
      </c>
      <c r="I199" s="29"/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S199" s="97">
        <f t="shared" si="32"/>
        <v>0</v>
      </c>
      <c r="T199" s="97">
        <f t="shared" si="33"/>
        <v>0</v>
      </c>
      <c r="U199" s="98">
        <f t="shared" si="42"/>
        <v>0</v>
      </c>
      <c r="V199" s="98">
        <f t="shared" si="42"/>
        <v>0</v>
      </c>
      <c r="X199" s="97" t="e">
        <f t="shared" si="34"/>
        <v>#REF!</v>
      </c>
      <c r="Y199" s="97" t="e">
        <f t="shared" si="35"/>
        <v>#REF!</v>
      </c>
      <c r="Z199" s="98" t="e">
        <f t="shared" si="43"/>
        <v>#REF!</v>
      </c>
      <c r="AA199" s="98" t="e">
        <f t="shared" si="43"/>
        <v>#REF!</v>
      </c>
      <c r="AC199" s="97" t="e">
        <f t="shared" si="36"/>
        <v>#REF!</v>
      </c>
      <c r="AD199" s="97" t="e">
        <f t="shared" si="37"/>
        <v>#REF!</v>
      </c>
      <c r="AE199" s="98" t="e">
        <f t="shared" si="44"/>
        <v>#REF!</v>
      </c>
      <c r="AF199" s="98" t="e">
        <f t="shared" si="44"/>
        <v>#REF!</v>
      </c>
      <c r="AH199" s="97" t="e">
        <f t="shared" si="38"/>
        <v>#REF!</v>
      </c>
      <c r="AI199" s="97" t="e">
        <f t="shared" si="39"/>
        <v>#REF!</v>
      </c>
      <c r="AJ199" s="98" t="e">
        <f t="shared" si="45"/>
        <v>#REF!</v>
      </c>
      <c r="AK199" s="98" t="e">
        <f t="shared" si="45"/>
        <v>#REF!</v>
      </c>
    </row>
    <row r="200" spans="1:37" ht="15" customHeight="1">
      <c r="A200" s="87"/>
      <c r="B200" s="100" t="s">
        <v>192</v>
      </c>
      <c r="C200" s="86"/>
      <c r="D200" s="14">
        <v>0</v>
      </c>
      <c r="E200" s="15">
        <v>0.03</v>
      </c>
      <c r="F200" s="15">
        <v>-0.03</v>
      </c>
      <c r="G200" s="19">
        <f t="shared" si="30"/>
        <v>0.03</v>
      </c>
      <c r="H200" s="25">
        <f t="shared" si="31"/>
        <v>-0.03</v>
      </c>
      <c r="I200" s="29"/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S200" s="97">
        <f t="shared" si="32"/>
        <v>0</v>
      </c>
      <c r="T200" s="97">
        <f t="shared" si="33"/>
        <v>0</v>
      </c>
      <c r="U200" s="98">
        <f t="shared" si="42"/>
        <v>0</v>
      </c>
      <c r="V200" s="98">
        <f t="shared" si="42"/>
        <v>0</v>
      </c>
      <c r="X200" s="97" t="e">
        <f t="shared" si="34"/>
        <v>#REF!</v>
      </c>
      <c r="Y200" s="97" t="e">
        <f t="shared" si="35"/>
        <v>#REF!</v>
      </c>
      <c r="Z200" s="98" t="e">
        <f t="shared" si="43"/>
        <v>#REF!</v>
      </c>
      <c r="AA200" s="98" t="e">
        <f t="shared" si="43"/>
        <v>#REF!</v>
      </c>
      <c r="AC200" s="97" t="e">
        <f t="shared" si="36"/>
        <v>#REF!</v>
      </c>
      <c r="AD200" s="97" t="e">
        <f t="shared" si="37"/>
        <v>#REF!</v>
      </c>
      <c r="AE200" s="98" t="e">
        <f t="shared" si="44"/>
        <v>#REF!</v>
      </c>
      <c r="AF200" s="98" t="e">
        <f t="shared" si="44"/>
        <v>#REF!</v>
      </c>
      <c r="AH200" s="97" t="e">
        <f t="shared" si="38"/>
        <v>#REF!</v>
      </c>
      <c r="AI200" s="97" t="e">
        <f t="shared" si="39"/>
        <v>#REF!</v>
      </c>
      <c r="AJ200" s="98" t="e">
        <f t="shared" si="45"/>
        <v>#REF!</v>
      </c>
      <c r="AK200" s="98" t="e">
        <f t="shared" si="45"/>
        <v>#REF!</v>
      </c>
    </row>
    <row r="201" spans="1:37" ht="15" customHeight="1">
      <c r="A201" s="87"/>
      <c r="B201" s="100" t="s">
        <v>193</v>
      </c>
      <c r="C201" s="86"/>
      <c r="D201" s="14">
        <v>0</v>
      </c>
      <c r="E201" s="15">
        <v>0.03</v>
      </c>
      <c r="F201" s="15">
        <v>-0.03</v>
      </c>
      <c r="G201" s="19">
        <f t="shared" si="30"/>
        <v>0.03</v>
      </c>
      <c r="H201" s="25">
        <f t="shared" si="31"/>
        <v>-0.03</v>
      </c>
      <c r="I201" s="29"/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S201" s="97">
        <f t="shared" si="32"/>
        <v>0</v>
      </c>
      <c r="T201" s="97">
        <f t="shared" si="33"/>
        <v>0</v>
      </c>
      <c r="U201" s="98">
        <f t="shared" si="42"/>
        <v>0</v>
      </c>
      <c r="V201" s="98">
        <f t="shared" si="42"/>
        <v>0</v>
      </c>
      <c r="X201" s="97" t="e">
        <f t="shared" si="34"/>
        <v>#REF!</v>
      </c>
      <c r="Y201" s="97" t="e">
        <f t="shared" si="35"/>
        <v>#REF!</v>
      </c>
      <c r="Z201" s="98" t="e">
        <f t="shared" si="43"/>
        <v>#REF!</v>
      </c>
      <c r="AA201" s="98" t="e">
        <f t="shared" si="43"/>
        <v>#REF!</v>
      </c>
      <c r="AC201" s="97" t="e">
        <f t="shared" si="36"/>
        <v>#REF!</v>
      </c>
      <c r="AD201" s="97" t="e">
        <f t="shared" si="37"/>
        <v>#REF!</v>
      </c>
      <c r="AE201" s="98" t="e">
        <f t="shared" si="44"/>
        <v>#REF!</v>
      </c>
      <c r="AF201" s="98" t="e">
        <f t="shared" si="44"/>
        <v>#REF!</v>
      </c>
      <c r="AH201" s="97" t="e">
        <f t="shared" si="38"/>
        <v>#REF!</v>
      </c>
      <c r="AI201" s="97" t="e">
        <f t="shared" si="39"/>
        <v>#REF!</v>
      </c>
      <c r="AJ201" s="98" t="e">
        <f t="shared" si="45"/>
        <v>#REF!</v>
      </c>
      <c r="AK201" s="98" t="e">
        <f t="shared" si="45"/>
        <v>#REF!</v>
      </c>
    </row>
    <row r="202" spans="1:37" ht="15" customHeight="1">
      <c r="A202" s="84"/>
      <c r="B202" s="89" t="s">
        <v>268</v>
      </c>
      <c r="C202" s="86"/>
      <c r="D202" s="14">
        <v>0</v>
      </c>
      <c r="E202" s="15">
        <v>0.03</v>
      </c>
      <c r="F202" s="15">
        <v>-0.03</v>
      </c>
      <c r="G202" s="19">
        <f t="shared" si="30"/>
        <v>0.03</v>
      </c>
      <c r="H202" s="25">
        <f t="shared" si="31"/>
        <v>-0.03</v>
      </c>
      <c r="I202" s="29"/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S202" s="97">
        <f t="shared" si="32"/>
        <v>0</v>
      </c>
      <c r="T202" s="97">
        <f t="shared" si="33"/>
        <v>0</v>
      </c>
      <c r="U202" s="98">
        <f t="shared" si="42"/>
        <v>0</v>
      </c>
      <c r="V202" s="98">
        <f t="shared" si="42"/>
        <v>0</v>
      </c>
      <c r="X202" s="97" t="e">
        <f t="shared" si="34"/>
        <v>#REF!</v>
      </c>
      <c r="Y202" s="97" t="e">
        <f t="shared" si="35"/>
        <v>#REF!</v>
      </c>
      <c r="Z202" s="98" t="e">
        <f t="shared" si="43"/>
        <v>#REF!</v>
      </c>
      <c r="AA202" s="98" t="e">
        <f t="shared" si="43"/>
        <v>#REF!</v>
      </c>
      <c r="AC202" s="97" t="e">
        <f t="shared" si="36"/>
        <v>#REF!</v>
      </c>
      <c r="AD202" s="97" t="e">
        <f t="shared" si="37"/>
        <v>#REF!</v>
      </c>
      <c r="AE202" s="98" t="e">
        <f t="shared" si="44"/>
        <v>#REF!</v>
      </c>
      <c r="AF202" s="98" t="e">
        <f t="shared" si="44"/>
        <v>#REF!</v>
      </c>
      <c r="AH202" s="97" t="e">
        <f t="shared" si="38"/>
        <v>#REF!</v>
      </c>
      <c r="AI202" s="97" t="e">
        <f t="shared" si="39"/>
        <v>#REF!</v>
      </c>
      <c r="AJ202" s="98" t="e">
        <f t="shared" si="45"/>
        <v>#REF!</v>
      </c>
      <c r="AK202" s="98" t="e">
        <f t="shared" si="45"/>
        <v>#REF!</v>
      </c>
    </row>
    <row r="203" spans="1:37" ht="15" customHeight="1">
      <c r="A203" s="84"/>
      <c r="B203" s="89" t="s">
        <v>195</v>
      </c>
      <c r="C203" s="86"/>
      <c r="D203" s="14">
        <v>0</v>
      </c>
      <c r="E203" s="15">
        <v>0.03</v>
      </c>
      <c r="F203" s="15">
        <v>-0.03</v>
      </c>
      <c r="G203" s="19">
        <f t="shared" si="30"/>
        <v>0.03</v>
      </c>
      <c r="H203" s="25">
        <f t="shared" si="31"/>
        <v>-0.03</v>
      </c>
      <c r="I203" s="29"/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S203" s="97">
        <f t="shared" si="32"/>
        <v>0</v>
      </c>
      <c r="T203" s="97">
        <f t="shared" si="33"/>
        <v>0</v>
      </c>
      <c r="U203" s="98">
        <f t="shared" si="42"/>
        <v>0</v>
      </c>
      <c r="V203" s="98">
        <f t="shared" si="42"/>
        <v>0</v>
      </c>
      <c r="X203" s="97" t="e">
        <f t="shared" si="34"/>
        <v>#REF!</v>
      </c>
      <c r="Y203" s="97" t="e">
        <f t="shared" si="35"/>
        <v>#REF!</v>
      </c>
      <c r="Z203" s="98" t="e">
        <f t="shared" si="43"/>
        <v>#REF!</v>
      </c>
      <c r="AA203" s="98" t="e">
        <f t="shared" si="43"/>
        <v>#REF!</v>
      </c>
      <c r="AC203" s="97" t="e">
        <f t="shared" si="36"/>
        <v>#REF!</v>
      </c>
      <c r="AD203" s="97" t="e">
        <f t="shared" si="37"/>
        <v>#REF!</v>
      </c>
      <c r="AE203" s="98" t="e">
        <f t="shared" si="44"/>
        <v>#REF!</v>
      </c>
      <c r="AF203" s="98" t="e">
        <f t="shared" si="44"/>
        <v>#REF!</v>
      </c>
      <c r="AH203" s="97" t="e">
        <f t="shared" si="38"/>
        <v>#REF!</v>
      </c>
      <c r="AI203" s="97" t="e">
        <f t="shared" si="39"/>
        <v>#REF!</v>
      </c>
      <c r="AJ203" s="98" t="e">
        <f t="shared" si="45"/>
        <v>#REF!</v>
      </c>
      <c r="AK203" s="98" t="e">
        <f t="shared" si="45"/>
        <v>#REF!</v>
      </c>
    </row>
    <row r="204" spans="1:37" ht="15" customHeight="1">
      <c r="A204" s="87"/>
      <c r="B204" s="99" t="s">
        <v>196</v>
      </c>
      <c r="C204" s="86"/>
      <c r="D204" s="14">
        <v>0</v>
      </c>
      <c r="E204" s="15">
        <v>0.03</v>
      </c>
      <c r="F204" s="15">
        <v>-0.03</v>
      </c>
      <c r="G204" s="19">
        <f t="shared" si="30"/>
        <v>0.03</v>
      </c>
      <c r="H204" s="25">
        <f t="shared" si="31"/>
        <v>-0.03</v>
      </c>
      <c r="I204" s="28"/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S204" s="97">
        <f t="shared" si="32"/>
        <v>0</v>
      </c>
      <c r="T204" s="97">
        <f t="shared" si="33"/>
        <v>0</v>
      </c>
      <c r="U204" s="98">
        <f t="shared" si="42"/>
        <v>0</v>
      </c>
      <c r="V204" s="98">
        <f t="shared" si="42"/>
        <v>0</v>
      </c>
      <c r="X204" s="97" t="e">
        <f t="shared" si="34"/>
        <v>#REF!</v>
      </c>
      <c r="Y204" s="97" t="e">
        <f t="shared" si="35"/>
        <v>#REF!</v>
      </c>
      <c r="Z204" s="98" t="e">
        <f t="shared" si="43"/>
        <v>#REF!</v>
      </c>
      <c r="AA204" s="98" t="e">
        <f t="shared" si="43"/>
        <v>#REF!</v>
      </c>
      <c r="AC204" s="97" t="e">
        <f t="shared" si="36"/>
        <v>#REF!</v>
      </c>
      <c r="AD204" s="97" t="e">
        <f t="shared" si="37"/>
        <v>#REF!</v>
      </c>
      <c r="AE204" s="98" t="e">
        <f t="shared" si="44"/>
        <v>#REF!</v>
      </c>
      <c r="AF204" s="98" t="e">
        <f t="shared" si="44"/>
        <v>#REF!</v>
      </c>
      <c r="AH204" s="97" t="e">
        <f t="shared" si="38"/>
        <v>#REF!</v>
      </c>
      <c r="AI204" s="97" t="e">
        <f t="shared" si="39"/>
        <v>#REF!</v>
      </c>
      <c r="AJ204" s="98" t="e">
        <f t="shared" si="45"/>
        <v>#REF!</v>
      </c>
      <c r="AK204" s="98" t="e">
        <f t="shared" si="45"/>
        <v>#REF!</v>
      </c>
    </row>
    <row r="205" spans="1:37" ht="15" customHeight="1">
      <c r="A205" s="87"/>
      <c r="B205" s="100" t="s">
        <v>197</v>
      </c>
      <c r="C205" s="86"/>
      <c r="D205" s="14">
        <v>0</v>
      </c>
      <c r="E205" s="15">
        <v>0.03</v>
      </c>
      <c r="F205" s="15">
        <v>-0.03</v>
      </c>
      <c r="G205" s="19">
        <f t="shared" si="30"/>
        <v>0.03</v>
      </c>
      <c r="H205" s="25">
        <f t="shared" si="31"/>
        <v>-0.03</v>
      </c>
      <c r="I205" s="29"/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S205" s="97">
        <f t="shared" si="32"/>
        <v>0</v>
      </c>
      <c r="T205" s="97">
        <f t="shared" si="33"/>
        <v>0</v>
      </c>
      <c r="U205" s="98">
        <f t="shared" si="42"/>
        <v>0</v>
      </c>
      <c r="V205" s="98">
        <f t="shared" si="42"/>
        <v>0</v>
      </c>
      <c r="X205" s="97" t="e">
        <f t="shared" si="34"/>
        <v>#REF!</v>
      </c>
      <c r="Y205" s="97" t="e">
        <f t="shared" si="35"/>
        <v>#REF!</v>
      </c>
      <c r="Z205" s="98" t="e">
        <f t="shared" si="43"/>
        <v>#REF!</v>
      </c>
      <c r="AA205" s="98" t="e">
        <f t="shared" si="43"/>
        <v>#REF!</v>
      </c>
      <c r="AC205" s="97" t="e">
        <f t="shared" si="36"/>
        <v>#REF!</v>
      </c>
      <c r="AD205" s="97" t="e">
        <f t="shared" si="37"/>
        <v>#REF!</v>
      </c>
      <c r="AE205" s="98" t="e">
        <f t="shared" si="44"/>
        <v>#REF!</v>
      </c>
      <c r="AF205" s="98" t="e">
        <f t="shared" si="44"/>
        <v>#REF!</v>
      </c>
      <c r="AH205" s="97" t="e">
        <f t="shared" si="38"/>
        <v>#REF!</v>
      </c>
      <c r="AI205" s="97" t="e">
        <f t="shared" si="39"/>
        <v>#REF!</v>
      </c>
      <c r="AJ205" s="98" t="e">
        <f t="shared" si="45"/>
        <v>#REF!</v>
      </c>
      <c r="AK205" s="98" t="e">
        <f t="shared" si="45"/>
        <v>#REF!</v>
      </c>
    </row>
    <row r="206" spans="1:37" ht="15" customHeight="1">
      <c r="A206" s="87"/>
      <c r="B206" s="99" t="s">
        <v>198</v>
      </c>
      <c r="C206" s="86"/>
      <c r="D206" s="14">
        <v>0</v>
      </c>
      <c r="E206" s="15">
        <v>0.03</v>
      </c>
      <c r="F206" s="15">
        <v>-0.03</v>
      </c>
      <c r="G206" s="19">
        <f t="shared" si="30"/>
        <v>0.03</v>
      </c>
      <c r="H206" s="25">
        <f t="shared" si="31"/>
        <v>-0.03</v>
      </c>
      <c r="I206" s="29"/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S206" s="97">
        <f t="shared" ref="S206:S269" si="46">IF($A206&lt;&gt;"(DC)", $E206*$R$7, $E206)</f>
        <v>0</v>
      </c>
      <c r="T206" s="97">
        <f t="shared" ref="T206:T269" si="47">IF($A206&lt;&gt;"(DC)", $F206*$R$7, $F206)</f>
        <v>0</v>
      </c>
      <c r="U206" s="98">
        <f t="shared" si="42"/>
        <v>0</v>
      </c>
      <c r="V206" s="98">
        <f t="shared" si="42"/>
        <v>0</v>
      </c>
      <c r="X206" s="97" t="e">
        <f t="shared" ref="X206:X269" si="48">IF($A206&lt;&gt;"(DC)", $E206*$W$7, $E206)</f>
        <v>#REF!</v>
      </c>
      <c r="Y206" s="97" t="e">
        <f t="shared" ref="Y206:Y269" si="49">IF($A206&lt;&gt;"(DC)", $F206*$W$7, $F206)</f>
        <v>#REF!</v>
      </c>
      <c r="Z206" s="98" t="e">
        <f t="shared" si="43"/>
        <v>#REF!</v>
      </c>
      <c r="AA206" s="98" t="e">
        <f t="shared" si="43"/>
        <v>#REF!</v>
      </c>
      <c r="AC206" s="97" t="e">
        <f t="shared" ref="AC206:AC269" si="50">IF($A206&lt;&gt;"(DC)", $E206*$AB$7, $E206)</f>
        <v>#REF!</v>
      </c>
      <c r="AD206" s="97" t="e">
        <f t="shared" ref="AD206:AD269" si="51">IF($A206&lt;&gt;"(DC)", $F206*$AB$7, $F206)</f>
        <v>#REF!</v>
      </c>
      <c r="AE206" s="98" t="e">
        <f t="shared" si="44"/>
        <v>#REF!</v>
      </c>
      <c r="AF206" s="98" t="e">
        <f t="shared" si="44"/>
        <v>#REF!</v>
      </c>
      <c r="AH206" s="97" t="e">
        <f t="shared" ref="AH206:AH269" si="52">IF($A206&lt;&gt;"(DC)", $E206*$AG$7, $E206)</f>
        <v>#REF!</v>
      </c>
      <c r="AI206" s="97" t="e">
        <f t="shared" ref="AI206:AI269" si="53">IF($A206&lt;&gt;"(DC)", $F206*$AG$7, $F206)</f>
        <v>#REF!</v>
      </c>
      <c r="AJ206" s="98" t="e">
        <f t="shared" si="45"/>
        <v>#REF!</v>
      </c>
      <c r="AK206" s="98" t="e">
        <f t="shared" si="45"/>
        <v>#REF!</v>
      </c>
    </row>
    <row r="207" spans="1:37" ht="15" customHeight="1">
      <c r="A207" s="87"/>
      <c r="B207" s="99" t="s">
        <v>199</v>
      </c>
      <c r="C207" s="86"/>
      <c r="D207" s="14">
        <v>0</v>
      </c>
      <c r="E207" s="15">
        <v>0.03</v>
      </c>
      <c r="F207" s="15">
        <v>-0.03</v>
      </c>
      <c r="G207" s="19">
        <f t="shared" si="30"/>
        <v>0.03</v>
      </c>
      <c r="H207" s="25">
        <f t="shared" si="31"/>
        <v>-0.03</v>
      </c>
      <c r="I207" s="29"/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S207" s="97">
        <f t="shared" si="46"/>
        <v>0</v>
      </c>
      <c r="T207" s="97">
        <f t="shared" si="47"/>
        <v>0</v>
      </c>
      <c r="U207" s="98">
        <f t="shared" si="42"/>
        <v>0</v>
      </c>
      <c r="V207" s="98">
        <f t="shared" si="42"/>
        <v>0</v>
      </c>
      <c r="X207" s="97" t="e">
        <f t="shared" si="48"/>
        <v>#REF!</v>
      </c>
      <c r="Y207" s="97" t="e">
        <f t="shared" si="49"/>
        <v>#REF!</v>
      </c>
      <c r="Z207" s="98" t="e">
        <f t="shared" si="43"/>
        <v>#REF!</v>
      </c>
      <c r="AA207" s="98" t="e">
        <f t="shared" si="43"/>
        <v>#REF!</v>
      </c>
      <c r="AC207" s="97" t="e">
        <f t="shared" si="50"/>
        <v>#REF!</v>
      </c>
      <c r="AD207" s="97" t="e">
        <f t="shared" si="51"/>
        <v>#REF!</v>
      </c>
      <c r="AE207" s="98" t="e">
        <f t="shared" si="44"/>
        <v>#REF!</v>
      </c>
      <c r="AF207" s="98" t="e">
        <f t="shared" si="44"/>
        <v>#REF!</v>
      </c>
      <c r="AH207" s="97" t="e">
        <f t="shared" si="52"/>
        <v>#REF!</v>
      </c>
      <c r="AI207" s="97" t="e">
        <f t="shared" si="53"/>
        <v>#REF!</v>
      </c>
      <c r="AJ207" s="98" t="e">
        <f t="shared" si="45"/>
        <v>#REF!</v>
      </c>
      <c r="AK207" s="98" t="e">
        <f t="shared" si="45"/>
        <v>#REF!</v>
      </c>
    </row>
    <row r="208" spans="1:37" ht="15" customHeight="1">
      <c r="A208" s="87"/>
      <c r="B208" s="99"/>
      <c r="C208" s="86"/>
      <c r="D208" s="14"/>
      <c r="E208" s="15"/>
      <c r="F208" s="15"/>
      <c r="G208" s="19"/>
      <c r="H208" s="25"/>
      <c r="I208" s="29"/>
      <c r="J208" s="3"/>
      <c r="K208" s="3"/>
      <c r="L208" s="3"/>
      <c r="M208" s="3"/>
      <c r="N208" s="3"/>
      <c r="O208" s="3"/>
      <c r="P208" s="3"/>
      <c r="Q208" s="3"/>
      <c r="S208" s="97">
        <f t="shared" si="46"/>
        <v>0</v>
      </c>
      <c r="T208" s="97">
        <f t="shared" si="47"/>
        <v>0</v>
      </c>
      <c r="U208" s="98">
        <f t="shared" si="42"/>
        <v>0</v>
      </c>
      <c r="V208" s="98">
        <f t="shared" si="42"/>
        <v>0</v>
      </c>
      <c r="X208" s="97" t="e">
        <f t="shared" si="48"/>
        <v>#REF!</v>
      </c>
      <c r="Y208" s="97" t="e">
        <f t="shared" si="49"/>
        <v>#REF!</v>
      </c>
      <c r="Z208" s="98" t="e">
        <f t="shared" si="43"/>
        <v>#REF!</v>
      </c>
      <c r="AA208" s="98" t="e">
        <f t="shared" si="43"/>
        <v>#REF!</v>
      </c>
      <c r="AC208" s="97" t="e">
        <f t="shared" si="50"/>
        <v>#REF!</v>
      </c>
      <c r="AD208" s="97" t="e">
        <f t="shared" si="51"/>
        <v>#REF!</v>
      </c>
      <c r="AE208" s="98" t="e">
        <f t="shared" si="44"/>
        <v>#REF!</v>
      </c>
      <c r="AF208" s="98" t="e">
        <f t="shared" si="44"/>
        <v>#REF!</v>
      </c>
      <c r="AH208" s="97" t="e">
        <f t="shared" si="52"/>
        <v>#REF!</v>
      </c>
      <c r="AI208" s="97" t="e">
        <f t="shared" si="53"/>
        <v>#REF!</v>
      </c>
      <c r="AJ208" s="98" t="e">
        <f t="shared" si="45"/>
        <v>#REF!</v>
      </c>
      <c r="AK208" s="98" t="e">
        <f t="shared" si="45"/>
        <v>#REF!</v>
      </c>
    </row>
    <row r="209" spans="1:37" ht="15" customHeight="1">
      <c r="A209" s="87"/>
      <c r="B209" s="99"/>
      <c r="C209" s="86"/>
      <c r="D209" s="14"/>
      <c r="E209" s="15"/>
      <c r="F209" s="15"/>
      <c r="G209" s="19"/>
      <c r="H209" s="25"/>
      <c r="I209" s="29"/>
      <c r="J209" s="3"/>
      <c r="K209" s="3"/>
      <c r="L209" s="3"/>
      <c r="M209" s="3"/>
      <c r="N209" s="3"/>
      <c r="O209" s="3"/>
      <c r="P209" s="3"/>
      <c r="Q209" s="3"/>
      <c r="S209" s="97">
        <f t="shared" si="46"/>
        <v>0</v>
      </c>
      <c r="T209" s="97">
        <f t="shared" si="47"/>
        <v>0</v>
      </c>
      <c r="U209" s="98">
        <f t="shared" si="42"/>
        <v>0</v>
      </c>
      <c r="V209" s="98">
        <f t="shared" si="42"/>
        <v>0</v>
      </c>
      <c r="X209" s="97" t="e">
        <f t="shared" si="48"/>
        <v>#REF!</v>
      </c>
      <c r="Y209" s="97" t="e">
        <f t="shared" si="49"/>
        <v>#REF!</v>
      </c>
      <c r="Z209" s="98" t="e">
        <f t="shared" si="43"/>
        <v>#REF!</v>
      </c>
      <c r="AA209" s="98" t="e">
        <f t="shared" si="43"/>
        <v>#REF!</v>
      </c>
      <c r="AC209" s="97" t="e">
        <f t="shared" si="50"/>
        <v>#REF!</v>
      </c>
      <c r="AD209" s="97" t="e">
        <f t="shared" si="51"/>
        <v>#REF!</v>
      </c>
      <c r="AE209" s="98" t="e">
        <f t="shared" si="44"/>
        <v>#REF!</v>
      </c>
      <c r="AF209" s="98" t="e">
        <f t="shared" si="44"/>
        <v>#REF!</v>
      </c>
      <c r="AH209" s="97" t="e">
        <f t="shared" si="52"/>
        <v>#REF!</v>
      </c>
      <c r="AI209" s="97" t="e">
        <f t="shared" si="53"/>
        <v>#REF!</v>
      </c>
      <c r="AJ209" s="98" t="e">
        <f t="shared" si="45"/>
        <v>#REF!</v>
      </c>
      <c r="AK209" s="98" t="e">
        <f t="shared" si="45"/>
        <v>#REF!</v>
      </c>
    </row>
    <row r="210" spans="1:37" ht="15" customHeight="1">
      <c r="A210" s="87" t="s">
        <v>312</v>
      </c>
      <c r="B210" s="99" t="s">
        <v>211</v>
      </c>
      <c r="C210" s="86">
        <v>1.33</v>
      </c>
      <c r="D210" s="14">
        <v>3.6999999999999998E-2</v>
      </c>
      <c r="E210" s="15">
        <v>3.5000000000000003E-2</v>
      </c>
      <c r="F210" s="15">
        <v>-3.5000000000000003E-2</v>
      </c>
      <c r="G210" s="19">
        <f t="shared" si="30"/>
        <v>7.2000000000000008E-2</v>
      </c>
      <c r="H210" s="25">
        <f t="shared" si="31"/>
        <v>1.9999999999999948E-3</v>
      </c>
      <c r="I210" s="29"/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S210" s="97">
        <f t="shared" si="46"/>
        <v>0</v>
      </c>
      <c r="T210" s="97">
        <f t="shared" si="47"/>
        <v>0</v>
      </c>
      <c r="U210" s="98">
        <f t="shared" si="42"/>
        <v>3.6999999999999998E-2</v>
      </c>
      <c r="V210" s="98">
        <f t="shared" si="42"/>
        <v>3.6999999999999998E-2</v>
      </c>
      <c r="X210" s="97" t="e">
        <f t="shared" si="48"/>
        <v>#REF!</v>
      </c>
      <c r="Y210" s="97" t="e">
        <f t="shared" si="49"/>
        <v>#REF!</v>
      </c>
      <c r="Z210" s="98" t="e">
        <f t="shared" si="43"/>
        <v>#REF!</v>
      </c>
      <c r="AA210" s="98" t="e">
        <f t="shared" si="43"/>
        <v>#REF!</v>
      </c>
      <c r="AC210" s="97" t="e">
        <f t="shared" si="50"/>
        <v>#REF!</v>
      </c>
      <c r="AD210" s="97" t="e">
        <f t="shared" si="51"/>
        <v>#REF!</v>
      </c>
      <c r="AE210" s="98" t="e">
        <f t="shared" si="44"/>
        <v>#REF!</v>
      </c>
      <c r="AF210" s="98" t="e">
        <f t="shared" si="44"/>
        <v>#REF!</v>
      </c>
      <c r="AH210" s="97" t="e">
        <f t="shared" si="52"/>
        <v>#REF!</v>
      </c>
      <c r="AI210" s="97" t="e">
        <f t="shared" si="53"/>
        <v>#REF!</v>
      </c>
      <c r="AJ210" s="98" t="e">
        <f t="shared" si="45"/>
        <v>#REF!</v>
      </c>
      <c r="AK210" s="98" t="e">
        <f t="shared" si="45"/>
        <v>#REF!</v>
      </c>
    </row>
    <row r="211" spans="1:37" ht="15" customHeight="1">
      <c r="A211" s="87" t="s">
        <v>312</v>
      </c>
      <c r="B211" s="99" t="s">
        <v>212</v>
      </c>
      <c r="C211" s="86">
        <v>1.33</v>
      </c>
      <c r="D211" s="14">
        <v>3.6999999999999998E-2</v>
      </c>
      <c r="E211" s="15">
        <v>3.5000000000000003E-2</v>
      </c>
      <c r="F211" s="15">
        <v>-3.5000000000000003E-2</v>
      </c>
      <c r="G211" s="19">
        <f t="shared" si="30"/>
        <v>7.2000000000000008E-2</v>
      </c>
      <c r="H211" s="25">
        <f t="shared" si="31"/>
        <v>1.9999999999999948E-3</v>
      </c>
      <c r="I211" s="29"/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S211" s="97">
        <f t="shared" si="46"/>
        <v>0</v>
      </c>
      <c r="T211" s="97">
        <f t="shared" si="47"/>
        <v>0</v>
      </c>
      <c r="U211" s="98">
        <f t="shared" si="42"/>
        <v>3.6999999999999998E-2</v>
      </c>
      <c r="V211" s="98">
        <f t="shared" si="42"/>
        <v>3.6999999999999998E-2</v>
      </c>
      <c r="X211" s="97" t="e">
        <f t="shared" si="48"/>
        <v>#REF!</v>
      </c>
      <c r="Y211" s="97" t="e">
        <f t="shared" si="49"/>
        <v>#REF!</v>
      </c>
      <c r="Z211" s="98" t="e">
        <f t="shared" si="43"/>
        <v>#REF!</v>
      </c>
      <c r="AA211" s="98" t="e">
        <f t="shared" si="43"/>
        <v>#REF!</v>
      </c>
      <c r="AC211" s="97" t="e">
        <f t="shared" si="50"/>
        <v>#REF!</v>
      </c>
      <c r="AD211" s="97" t="e">
        <f t="shared" si="51"/>
        <v>#REF!</v>
      </c>
      <c r="AE211" s="98" t="e">
        <f t="shared" si="44"/>
        <v>#REF!</v>
      </c>
      <c r="AF211" s="98" t="e">
        <f t="shared" si="44"/>
        <v>#REF!</v>
      </c>
      <c r="AH211" s="97" t="e">
        <f t="shared" si="52"/>
        <v>#REF!</v>
      </c>
      <c r="AI211" s="97" t="e">
        <f t="shared" si="53"/>
        <v>#REF!</v>
      </c>
      <c r="AJ211" s="98" t="e">
        <f t="shared" si="45"/>
        <v>#REF!</v>
      </c>
      <c r="AK211" s="98" t="e">
        <f t="shared" si="45"/>
        <v>#REF!</v>
      </c>
    </row>
    <row r="212" spans="1:37" ht="15" customHeight="1">
      <c r="A212" s="87" t="s">
        <v>230</v>
      </c>
      <c r="B212" s="100" t="s">
        <v>313</v>
      </c>
      <c r="C212" s="86">
        <v>1.33</v>
      </c>
      <c r="D212" s="14">
        <v>3.6999999999999998E-2</v>
      </c>
      <c r="E212" s="15">
        <v>3.5000000000000003E-2</v>
      </c>
      <c r="F212" s="15">
        <v>-3.5000000000000003E-2</v>
      </c>
      <c r="G212" s="19">
        <f t="shared" si="30"/>
        <v>7.2000000000000008E-2</v>
      </c>
      <c r="H212" s="25">
        <f t="shared" si="31"/>
        <v>1.9999999999999948E-3</v>
      </c>
      <c r="I212" s="29"/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S212" s="97">
        <f t="shared" si="46"/>
        <v>3.5000000000000003E-2</v>
      </c>
      <c r="T212" s="97">
        <f t="shared" si="47"/>
        <v>-3.5000000000000003E-2</v>
      </c>
      <c r="U212" s="98">
        <f t="shared" si="42"/>
        <v>7.2000000000000008E-2</v>
      </c>
      <c r="V212" s="98">
        <f t="shared" si="42"/>
        <v>1.9999999999999948E-3</v>
      </c>
      <c r="X212" s="97">
        <f t="shared" si="48"/>
        <v>3.5000000000000003E-2</v>
      </c>
      <c r="Y212" s="97">
        <f t="shared" si="49"/>
        <v>-3.5000000000000003E-2</v>
      </c>
      <c r="Z212" s="98">
        <f t="shared" si="43"/>
        <v>7.2000000000000008E-2</v>
      </c>
      <c r="AA212" s="98">
        <f t="shared" si="43"/>
        <v>1.9999999999999948E-3</v>
      </c>
      <c r="AC212" s="97">
        <f t="shared" si="50"/>
        <v>3.5000000000000003E-2</v>
      </c>
      <c r="AD212" s="97">
        <f t="shared" si="51"/>
        <v>-3.5000000000000003E-2</v>
      </c>
      <c r="AE212" s="98">
        <f t="shared" si="44"/>
        <v>7.2000000000000008E-2</v>
      </c>
      <c r="AF212" s="98">
        <f t="shared" si="44"/>
        <v>1.9999999999999948E-3</v>
      </c>
      <c r="AH212" s="97">
        <f t="shared" si="52"/>
        <v>3.5000000000000003E-2</v>
      </c>
      <c r="AI212" s="97">
        <f t="shared" si="53"/>
        <v>-3.5000000000000003E-2</v>
      </c>
      <c r="AJ212" s="98">
        <f t="shared" si="45"/>
        <v>7.2000000000000008E-2</v>
      </c>
      <c r="AK212" s="98">
        <f t="shared" si="45"/>
        <v>1.9999999999999948E-3</v>
      </c>
    </row>
    <row r="213" spans="1:37" ht="15" customHeight="1">
      <c r="A213" s="87" t="s">
        <v>230</v>
      </c>
      <c r="B213" s="89" t="s">
        <v>226</v>
      </c>
      <c r="C213" s="86">
        <v>1.33</v>
      </c>
      <c r="D213" s="14">
        <v>3.6999999999999998E-2</v>
      </c>
      <c r="E213" s="15">
        <v>3.5000000000000003E-2</v>
      </c>
      <c r="F213" s="15">
        <v>-3.5000000000000003E-2</v>
      </c>
      <c r="G213" s="19">
        <f t="shared" si="30"/>
        <v>7.2000000000000008E-2</v>
      </c>
      <c r="H213" s="25">
        <f t="shared" si="31"/>
        <v>1.9999999999999948E-3</v>
      </c>
      <c r="I213" s="29"/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S213" s="97">
        <f t="shared" si="46"/>
        <v>3.5000000000000003E-2</v>
      </c>
      <c r="T213" s="97">
        <f t="shared" si="47"/>
        <v>-3.5000000000000003E-2</v>
      </c>
      <c r="U213" s="98">
        <f t="shared" si="42"/>
        <v>7.2000000000000008E-2</v>
      </c>
      <c r="V213" s="98">
        <f t="shared" si="42"/>
        <v>1.9999999999999948E-3</v>
      </c>
      <c r="X213" s="97">
        <f t="shared" si="48"/>
        <v>3.5000000000000003E-2</v>
      </c>
      <c r="Y213" s="97">
        <f t="shared" si="49"/>
        <v>-3.5000000000000003E-2</v>
      </c>
      <c r="Z213" s="98">
        <f t="shared" si="43"/>
        <v>7.2000000000000008E-2</v>
      </c>
      <c r="AA213" s="98">
        <f t="shared" si="43"/>
        <v>1.9999999999999948E-3</v>
      </c>
      <c r="AC213" s="97">
        <f t="shared" si="50"/>
        <v>3.5000000000000003E-2</v>
      </c>
      <c r="AD213" s="97">
        <f t="shared" si="51"/>
        <v>-3.5000000000000003E-2</v>
      </c>
      <c r="AE213" s="98">
        <f t="shared" si="44"/>
        <v>7.2000000000000008E-2</v>
      </c>
      <c r="AF213" s="98">
        <f t="shared" si="44"/>
        <v>1.9999999999999948E-3</v>
      </c>
      <c r="AH213" s="97">
        <f t="shared" si="52"/>
        <v>3.5000000000000003E-2</v>
      </c>
      <c r="AI213" s="97">
        <f t="shared" si="53"/>
        <v>-3.5000000000000003E-2</v>
      </c>
      <c r="AJ213" s="98">
        <f t="shared" si="45"/>
        <v>7.2000000000000008E-2</v>
      </c>
      <c r="AK213" s="98">
        <f t="shared" si="45"/>
        <v>1.9999999999999948E-3</v>
      </c>
    </row>
    <row r="214" spans="1:37" ht="15" customHeight="1">
      <c r="A214" s="84" t="s">
        <v>314</v>
      </c>
      <c r="B214" s="89">
        <v>91</v>
      </c>
      <c r="C214" s="86">
        <v>1.5</v>
      </c>
      <c r="D214" s="14"/>
      <c r="E214" s="15">
        <v>3.5000000000000003E-2</v>
      </c>
      <c r="F214" s="15"/>
      <c r="G214" s="19">
        <f t="shared" si="30"/>
        <v>3.5000000000000003E-2</v>
      </c>
      <c r="H214" s="25" t="str">
        <f t="shared" si="31"/>
        <v/>
      </c>
      <c r="I214" s="29"/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S214" s="97">
        <f t="shared" si="46"/>
        <v>0</v>
      </c>
      <c r="T214" s="97">
        <f t="shared" si="47"/>
        <v>0</v>
      </c>
      <c r="U214" s="98">
        <f t="shared" si="42"/>
        <v>0</v>
      </c>
      <c r="V214" s="98">
        <f t="shared" si="42"/>
        <v>0</v>
      </c>
      <c r="X214" s="97" t="e">
        <f t="shared" si="48"/>
        <v>#REF!</v>
      </c>
      <c r="Y214" s="97" t="e">
        <f t="shared" si="49"/>
        <v>#REF!</v>
      </c>
      <c r="Z214" s="98" t="e">
        <f t="shared" si="43"/>
        <v>#REF!</v>
      </c>
      <c r="AA214" s="98" t="e">
        <f t="shared" si="43"/>
        <v>#REF!</v>
      </c>
      <c r="AC214" s="97" t="e">
        <f t="shared" si="50"/>
        <v>#REF!</v>
      </c>
      <c r="AD214" s="97" t="e">
        <f t="shared" si="51"/>
        <v>#REF!</v>
      </c>
      <c r="AE214" s="98" t="e">
        <f t="shared" si="44"/>
        <v>#REF!</v>
      </c>
      <c r="AF214" s="98" t="e">
        <f t="shared" si="44"/>
        <v>#REF!</v>
      </c>
      <c r="AH214" s="97" t="e">
        <f t="shared" si="52"/>
        <v>#REF!</v>
      </c>
      <c r="AI214" s="97" t="e">
        <f t="shared" si="53"/>
        <v>#REF!</v>
      </c>
      <c r="AJ214" s="98" t="e">
        <f t="shared" si="45"/>
        <v>#REF!</v>
      </c>
      <c r="AK214" s="98" t="e">
        <f t="shared" si="45"/>
        <v>#REF!</v>
      </c>
    </row>
    <row r="215" spans="1:37" ht="15" customHeight="1">
      <c r="A215" s="84"/>
      <c r="B215" s="89"/>
      <c r="C215" s="86"/>
      <c r="D215" s="14"/>
      <c r="E215" s="15"/>
      <c r="F215" s="15"/>
      <c r="G215" s="19"/>
      <c r="H215" s="25"/>
      <c r="I215" s="29"/>
      <c r="J215" s="3"/>
      <c r="K215" s="3"/>
      <c r="L215" s="3"/>
      <c r="M215" s="3"/>
      <c r="N215" s="3"/>
      <c r="O215" s="3"/>
      <c r="P215" s="3"/>
      <c r="Q215" s="3"/>
      <c r="S215" s="97">
        <f t="shared" si="46"/>
        <v>0</v>
      </c>
      <c r="T215" s="97">
        <f t="shared" si="47"/>
        <v>0</v>
      </c>
      <c r="U215" s="98">
        <f t="shared" si="42"/>
        <v>0</v>
      </c>
      <c r="V215" s="98">
        <f t="shared" si="42"/>
        <v>0</v>
      </c>
      <c r="X215" s="97" t="e">
        <f t="shared" si="48"/>
        <v>#REF!</v>
      </c>
      <c r="Y215" s="97" t="e">
        <f t="shared" si="49"/>
        <v>#REF!</v>
      </c>
      <c r="Z215" s="98" t="e">
        <f t="shared" si="43"/>
        <v>#REF!</v>
      </c>
      <c r="AA215" s="98" t="e">
        <f t="shared" si="43"/>
        <v>#REF!</v>
      </c>
      <c r="AC215" s="97" t="e">
        <f t="shared" si="50"/>
        <v>#REF!</v>
      </c>
      <c r="AD215" s="97" t="e">
        <f t="shared" si="51"/>
        <v>#REF!</v>
      </c>
      <c r="AE215" s="98" t="e">
        <f t="shared" si="44"/>
        <v>#REF!</v>
      </c>
      <c r="AF215" s="98" t="e">
        <f t="shared" si="44"/>
        <v>#REF!</v>
      </c>
      <c r="AH215" s="97" t="e">
        <f t="shared" si="52"/>
        <v>#REF!</v>
      </c>
      <c r="AI215" s="97" t="e">
        <f t="shared" si="53"/>
        <v>#REF!</v>
      </c>
      <c r="AJ215" s="98" t="e">
        <f t="shared" si="45"/>
        <v>#REF!</v>
      </c>
      <c r="AK215" s="98" t="e">
        <f t="shared" si="45"/>
        <v>#REF!</v>
      </c>
    </row>
    <row r="216" spans="1:37" ht="15" customHeight="1">
      <c r="A216" s="84"/>
      <c r="B216" s="89"/>
      <c r="C216" s="86"/>
      <c r="D216" s="14"/>
      <c r="E216" s="15"/>
      <c r="F216" s="15"/>
      <c r="G216" s="19"/>
      <c r="H216" s="25"/>
      <c r="I216" s="29"/>
      <c r="J216" s="3"/>
      <c r="K216" s="3"/>
      <c r="L216" s="3"/>
      <c r="M216" s="3"/>
      <c r="N216" s="3"/>
      <c r="O216" s="3"/>
      <c r="P216" s="3"/>
      <c r="Q216" s="3"/>
      <c r="S216" s="97">
        <f t="shared" si="46"/>
        <v>0</v>
      </c>
      <c r="T216" s="97">
        <f t="shared" si="47"/>
        <v>0</v>
      </c>
      <c r="U216" s="98">
        <f t="shared" si="42"/>
        <v>0</v>
      </c>
      <c r="V216" s="98">
        <f t="shared" si="42"/>
        <v>0</v>
      </c>
      <c r="X216" s="97" t="e">
        <f t="shared" si="48"/>
        <v>#REF!</v>
      </c>
      <c r="Y216" s="97" t="e">
        <f t="shared" si="49"/>
        <v>#REF!</v>
      </c>
      <c r="Z216" s="98" t="e">
        <f t="shared" si="43"/>
        <v>#REF!</v>
      </c>
      <c r="AA216" s="98" t="e">
        <f t="shared" si="43"/>
        <v>#REF!</v>
      </c>
      <c r="AC216" s="97" t="e">
        <f t="shared" si="50"/>
        <v>#REF!</v>
      </c>
      <c r="AD216" s="97" t="e">
        <f t="shared" si="51"/>
        <v>#REF!</v>
      </c>
      <c r="AE216" s="98" t="e">
        <f t="shared" si="44"/>
        <v>#REF!</v>
      </c>
      <c r="AF216" s="98" t="e">
        <f t="shared" si="44"/>
        <v>#REF!</v>
      </c>
      <c r="AH216" s="97" t="e">
        <f t="shared" si="52"/>
        <v>#REF!</v>
      </c>
      <c r="AI216" s="97" t="e">
        <f t="shared" si="53"/>
        <v>#REF!</v>
      </c>
      <c r="AJ216" s="98" t="e">
        <f t="shared" si="45"/>
        <v>#REF!</v>
      </c>
      <c r="AK216" s="98" t="e">
        <f t="shared" si="45"/>
        <v>#REF!</v>
      </c>
    </row>
    <row r="217" spans="1:37" ht="15" customHeight="1">
      <c r="A217" s="84"/>
      <c r="B217" s="89"/>
      <c r="C217" s="86"/>
      <c r="D217" s="14"/>
      <c r="E217" s="15"/>
      <c r="F217" s="15"/>
      <c r="G217" s="19"/>
      <c r="H217" s="25"/>
      <c r="I217" s="29"/>
      <c r="J217" s="3"/>
      <c r="K217" s="3"/>
      <c r="L217" s="3"/>
      <c r="M217" s="3"/>
      <c r="N217" s="3"/>
      <c r="O217" s="3"/>
      <c r="P217" s="3"/>
      <c r="Q217" s="3"/>
      <c r="S217" s="97">
        <f t="shared" si="46"/>
        <v>0</v>
      </c>
      <c r="T217" s="97">
        <f t="shared" si="47"/>
        <v>0</v>
      </c>
      <c r="U217" s="98">
        <f t="shared" si="42"/>
        <v>0</v>
      </c>
      <c r="V217" s="98">
        <f t="shared" si="42"/>
        <v>0</v>
      </c>
      <c r="X217" s="97" t="e">
        <f t="shared" si="48"/>
        <v>#REF!</v>
      </c>
      <c r="Y217" s="97" t="e">
        <f t="shared" si="49"/>
        <v>#REF!</v>
      </c>
      <c r="Z217" s="98" t="e">
        <f t="shared" si="43"/>
        <v>#REF!</v>
      </c>
      <c r="AA217" s="98" t="e">
        <f t="shared" si="43"/>
        <v>#REF!</v>
      </c>
      <c r="AC217" s="97" t="e">
        <f t="shared" si="50"/>
        <v>#REF!</v>
      </c>
      <c r="AD217" s="97" t="e">
        <f t="shared" si="51"/>
        <v>#REF!</v>
      </c>
      <c r="AE217" s="98" t="e">
        <f t="shared" si="44"/>
        <v>#REF!</v>
      </c>
      <c r="AF217" s="98" t="e">
        <f t="shared" si="44"/>
        <v>#REF!</v>
      </c>
      <c r="AH217" s="97" t="e">
        <f t="shared" si="52"/>
        <v>#REF!</v>
      </c>
      <c r="AI217" s="97" t="e">
        <f t="shared" si="53"/>
        <v>#REF!</v>
      </c>
      <c r="AJ217" s="98" t="e">
        <f t="shared" si="45"/>
        <v>#REF!</v>
      </c>
      <c r="AK217" s="98" t="e">
        <f t="shared" si="45"/>
        <v>#REF!</v>
      </c>
    </row>
    <row r="218" spans="1:37" ht="15" customHeight="1">
      <c r="A218" s="84"/>
      <c r="B218" s="89"/>
      <c r="C218" s="86"/>
      <c r="D218" s="14"/>
      <c r="E218" s="15"/>
      <c r="F218" s="15"/>
      <c r="G218" s="19"/>
      <c r="H218" s="25"/>
      <c r="I218" s="29"/>
      <c r="J218" s="3"/>
      <c r="K218" s="3"/>
      <c r="L218" s="3"/>
      <c r="M218" s="3"/>
      <c r="N218" s="3"/>
      <c r="O218" s="3"/>
      <c r="P218" s="3"/>
      <c r="Q218" s="3"/>
      <c r="S218" s="97">
        <f t="shared" si="46"/>
        <v>0</v>
      </c>
      <c r="T218" s="97">
        <f t="shared" si="47"/>
        <v>0</v>
      </c>
      <c r="U218" s="98">
        <f t="shared" si="42"/>
        <v>0</v>
      </c>
      <c r="V218" s="98">
        <f t="shared" si="42"/>
        <v>0</v>
      </c>
      <c r="X218" s="97" t="e">
        <f t="shared" si="48"/>
        <v>#REF!</v>
      </c>
      <c r="Y218" s="97" t="e">
        <f t="shared" si="49"/>
        <v>#REF!</v>
      </c>
      <c r="Z218" s="98" t="e">
        <f t="shared" si="43"/>
        <v>#REF!</v>
      </c>
      <c r="AA218" s="98" t="e">
        <f t="shared" si="43"/>
        <v>#REF!</v>
      </c>
      <c r="AC218" s="97" t="e">
        <f t="shared" si="50"/>
        <v>#REF!</v>
      </c>
      <c r="AD218" s="97" t="e">
        <f t="shared" si="51"/>
        <v>#REF!</v>
      </c>
      <c r="AE218" s="98" t="e">
        <f t="shared" si="44"/>
        <v>#REF!</v>
      </c>
      <c r="AF218" s="98" t="e">
        <f t="shared" si="44"/>
        <v>#REF!</v>
      </c>
      <c r="AH218" s="97" t="e">
        <f t="shared" si="52"/>
        <v>#REF!</v>
      </c>
      <c r="AI218" s="97" t="e">
        <f t="shared" si="53"/>
        <v>#REF!</v>
      </c>
      <c r="AJ218" s="98" t="e">
        <f t="shared" si="45"/>
        <v>#REF!</v>
      </c>
      <c r="AK218" s="98" t="e">
        <f t="shared" si="45"/>
        <v>#REF!</v>
      </c>
    </row>
    <row r="219" spans="1:37" ht="15" customHeight="1">
      <c r="A219" s="84" t="s">
        <v>315</v>
      </c>
      <c r="B219" s="89">
        <v>92</v>
      </c>
      <c r="C219" s="86">
        <v>1.5</v>
      </c>
      <c r="D219" s="14"/>
      <c r="E219" s="15">
        <v>5.0999999999999997E-2</v>
      </c>
      <c r="F219" s="15"/>
      <c r="G219" s="19">
        <f>IF(AND(D219="",E219=""),"",IF(D219="",E219,D219+E219))</f>
        <v>5.0999999999999997E-2</v>
      </c>
      <c r="H219" s="25" t="str">
        <f>IF(AND(D219="",F219=""),"",IF(D219="",F219,D219+F219))</f>
        <v/>
      </c>
      <c r="I219" s="29"/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S219" s="97">
        <f t="shared" si="46"/>
        <v>0</v>
      </c>
      <c r="T219" s="97">
        <f t="shared" si="47"/>
        <v>0</v>
      </c>
      <c r="U219" s="98">
        <f t="shared" si="42"/>
        <v>0</v>
      </c>
      <c r="V219" s="98">
        <f t="shared" si="42"/>
        <v>0</v>
      </c>
      <c r="X219" s="97" t="e">
        <f t="shared" si="48"/>
        <v>#REF!</v>
      </c>
      <c r="Y219" s="97" t="e">
        <f t="shared" si="49"/>
        <v>#REF!</v>
      </c>
      <c r="Z219" s="98" t="e">
        <f t="shared" si="43"/>
        <v>#REF!</v>
      </c>
      <c r="AA219" s="98" t="e">
        <f t="shared" si="43"/>
        <v>#REF!</v>
      </c>
      <c r="AC219" s="97" t="e">
        <f t="shared" si="50"/>
        <v>#REF!</v>
      </c>
      <c r="AD219" s="97" t="e">
        <f t="shared" si="51"/>
        <v>#REF!</v>
      </c>
      <c r="AE219" s="98" t="e">
        <f t="shared" si="44"/>
        <v>#REF!</v>
      </c>
      <c r="AF219" s="98" t="e">
        <f t="shared" si="44"/>
        <v>#REF!</v>
      </c>
      <c r="AH219" s="97" t="e">
        <f t="shared" si="52"/>
        <v>#REF!</v>
      </c>
      <c r="AI219" s="97" t="e">
        <f t="shared" si="53"/>
        <v>#REF!</v>
      </c>
      <c r="AJ219" s="98" t="e">
        <f t="shared" si="45"/>
        <v>#REF!</v>
      </c>
      <c r="AK219" s="98" t="e">
        <f t="shared" si="45"/>
        <v>#REF!</v>
      </c>
    </row>
    <row r="220" spans="1:37" ht="15" customHeight="1">
      <c r="A220" s="84"/>
      <c r="B220" s="89"/>
      <c r="C220" s="86"/>
      <c r="D220" s="14"/>
      <c r="E220" s="15"/>
      <c r="F220" s="15"/>
      <c r="G220" s="19"/>
      <c r="H220" s="25"/>
      <c r="I220" s="29"/>
      <c r="J220" s="3"/>
      <c r="K220" s="3"/>
      <c r="L220" s="3"/>
      <c r="M220" s="3"/>
      <c r="N220" s="3"/>
      <c r="O220" s="3"/>
      <c r="P220" s="3"/>
      <c r="Q220" s="3"/>
      <c r="S220" s="97">
        <f t="shared" si="46"/>
        <v>0</v>
      </c>
      <c r="T220" s="97">
        <f t="shared" si="47"/>
        <v>0</v>
      </c>
      <c r="U220" s="98">
        <f t="shared" si="42"/>
        <v>0</v>
      </c>
      <c r="V220" s="98">
        <f t="shared" si="42"/>
        <v>0</v>
      </c>
      <c r="X220" s="97" t="e">
        <f t="shared" si="48"/>
        <v>#REF!</v>
      </c>
      <c r="Y220" s="97" t="e">
        <f t="shared" si="49"/>
        <v>#REF!</v>
      </c>
      <c r="Z220" s="98" t="e">
        <f t="shared" si="43"/>
        <v>#REF!</v>
      </c>
      <c r="AA220" s="98" t="e">
        <f t="shared" si="43"/>
        <v>#REF!</v>
      </c>
      <c r="AC220" s="97" t="e">
        <f t="shared" si="50"/>
        <v>#REF!</v>
      </c>
      <c r="AD220" s="97" t="e">
        <f t="shared" si="51"/>
        <v>#REF!</v>
      </c>
      <c r="AE220" s="98" t="e">
        <f t="shared" si="44"/>
        <v>#REF!</v>
      </c>
      <c r="AF220" s="98" t="e">
        <f t="shared" si="44"/>
        <v>#REF!</v>
      </c>
      <c r="AH220" s="97" t="e">
        <f t="shared" si="52"/>
        <v>#REF!</v>
      </c>
      <c r="AI220" s="97" t="e">
        <f t="shared" si="53"/>
        <v>#REF!</v>
      </c>
      <c r="AJ220" s="98" t="e">
        <f t="shared" si="45"/>
        <v>#REF!</v>
      </c>
      <c r="AK220" s="98" t="e">
        <f t="shared" si="45"/>
        <v>#REF!</v>
      </c>
    </row>
    <row r="221" spans="1:37" ht="15" customHeight="1">
      <c r="A221" s="84"/>
      <c r="B221" s="89"/>
      <c r="C221" s="86"/>
      <c r="D221" s="14"/>
      <c r="E221" s="15"/>
      <c r="F221" s="15"/>
      <c r="G221" s="19"/>
      <c r="H221" s="25"/>
      <c r="I221" s="29"/>
      <c r="J221" s="3"/>
      <c r="K221" s="3"/>
      <c r="L221" s="3"/>
      <c r="M221" s="3"/>
      <c r="N221" s="3"/>
      <c r="O221" s="3"/>
      <c r="P221" s="3"/>
      <c r="Q221" s="3"/>
      <c r="S221" s="97">
        <f t="shared" si="46"/>
        <v>0</v>
      </c>
      <c r="T221" s="97">
        <f t="shared" si="47"/>
        <v>0</v>
      </c>
      <c r="U221" s="98">
        <f t="shared" si="42"/>
        <v>0</v>
      </c>
      <c r="V221" s="98">
        <f t="shared" si="42"/>
        <v>0</v>
      </c>
      <c r="X221" s="97" t="e">
        <f t="shared" si="48"/>
        <v>#REF!</v>
      </c>
      <c r="Y221" s="97" t="e">
        <f t="shared" si="49"/>
        <v>#REF!</v>
      </c>
      <c r="Z221" s="98" t="e">
        <f t="shared" si="43"/>
        <v>#REF!</v>
      </c>
      <c r="AA221" s="98" t="e">
        <f t="shared" si="43"/>
        <v>#REF!</v>
      </c>
      <c r="AC221" s="97" t="e">
        <f t="shared" si="50"/>
        <v>#REF!</v>
      </c>
      <c r="AD221" s="97" t="e">
        <f t="shared" si="51"/>
        <v>#REF!</v>
      </c>
      <c r="AE221" s="98" t="e">
        <f t="shared" si="44"/>
        <v>#REF!</v>
      </c>
      <c r="AF221" s="98" t="e">
        <f t="shared" si="44"/>
        <v>#REF!</v>
      </c>
      <c r="AH221" s="97" t="e">
        <f t="shared" si="52"/>
        <v>#REF!</v>
      </c>
      <c r="AI221" s="97" t="e">
        <f t="shared" si="53"/>
        <v>#REF!</v>
      </c>
      <c r="AJ221" s="98" t="e">
        <f t="shared" si="45"/>
        <v>#REF!</v>
      </c>
      <c r="AK221" s="98" t="e">
        <f t="shared" si="45"/>
        <v>#REF!</v>
      </c>
    </row>
    <row r="222" spans="1:37" ht="15" customHeight="1">
      <c r="A222" s="84"/>
      <c r="B222" s="89"/>
      <c r="C222" s="86"/>
      <c r="D222" s="14"/>
      <c r="E222" s="15"/>
      <c r="F222" s="15"/>
      <c r="G222" s="19"/>
      <c r="H222" s="25"/>
      <c r="I222" s="29"/>
      <c r="J222" s="3"/>
      <c r="K222" s="3"/>
      <c r="L222" s="3"/>
      <c r="M222" s="3"/>
      <c r="N222" s="3"/>
      <c r="O222" s="3"/>
      <c r="P222" s="3"/>
      <c r="Q222" s="3"/>
      <c r="S222" s="97">
        <f t="shared" si="46"/>
        <v>0</v>
      </c>
      <c r="T222" s="97">
        <f t="shared" si="47"/>
        <v>0</v>
      </c>
      <c r="U222" s="98">
        <f t="shared" si="42"/>
        <v>0</v>
      </c>
      <c r="V222" s="98">
        <f t="shared" si="42"/>
        <v>0</v>
      </c>
      <c r="X222" s="97" t="e">
        <f t="shared" si="48"/>
        <v>#REF!</v>
      </c>
      <c r="Y222" s="97" t="e">
        <f t="shared" si="49"/>
        <v>#REF!</v>
      </c>
      <c r="Z222" s="98" t="e">
        <f t="shared" si="43"/>
        <v>#REF!</v>
      </c>
      <c r="AA222" s="98" t="e">
        <f t="shared" si="43"/>
        <v>#REF!</v>
      </c>
      <c r="AC222" s="97" t="e">
        <f t="shared" si="50"/>
        <v>#REF!</v>
      </c>
      <c r="AD222" s="97" t="e">
        <f t="shared" si="51"/>
        <v>#REF!</v>
      </c>
      <c r="AE222" s="98" t="e">
        <f t="shared" si="44"/>
        <v>#REF!</v>
      </c>
      <c r="AF222" s="98" t="e">
        <f t="shared" si="44"/>
        <v>#REF!</v>
      </c>
      <c r="AH222" s="97" t="e">
        <f t="shared" si="52"/>
        <v>#REF!</v>
      </c>
      <c r="AI222" s="97" t="e">
        <f t="shared" si="53"/>
        <v>#REF!</v>
      </c>
      <c r="AJ222" s="98" t="e">
        <f t="shared" si="45"/>
        <v>#REF!</v>
      </c>
      <c r="AK222" s="98" t="e">
        <f t="shared" si="45"/>
        <v>#REF!</v>
      </c>
    </row>
    <row r="223" spans="1:37" ht="15" customHeight="1">
      <c r="A223" s="84"/>
      <c r="B223" s="89"/>
      <c r="C223" s="86"/>
      <c r="D223" s="14"/>
      <c r="E223" s="15"/>
      <c r="F223" s="15"/>
      <c r="G223" s="19"/>
      <c r="H223" s="25"/>
      <c r="I223" s="29"/>
      <c r="J223" s="3"/>
      <c r="K223" s="3"/>
      <c r="L223" s="3"/>
      <c r="M223" s="3"/>
      <c r="N223" s="3"/>
      <c r="O223" s="3"/>
      <c r="P223" s="3"/>
      <c r="Q223" s="3"/>
      <c r="S223" s="97">
        <f t="shared" si="46"/>
        <v>0</v>
      </c>
      <c r="T223" s="97">
        <f t="shared" si="47"/>
        <v>0</v>
      </c>
      <c r="U223" s="98">
        <f t="shared" si="42"/>
        <v>0</v>
      </c>
      <c r="V223" s="98">
        <f t="shared" si="42"/>
        <v>0</v>
      </c>
      <c r="X223" s="97" t="e">
        <f t="shared" si="48"/>
        <v>#REF!</v>
      </c>
      <c r="Y223" s="97" t="e">
        <f t="shared" si="49"/>
        <v>#REF!</v>
      </c>
      <c r="Z223" s="98" t="e">
        <f t="shared" si="43"/>
        <v>#REF!</v>
      </c>
      <c r="AA223" s="98" t="e">
        <f t="shared" si="43"/>
        <v>#REF!</v>
      </c>
      <c r="AC223" s="97" t="e">
        <f t="shared" si="50"/>
        <v>#REF!</v>
      </c>
      <c r="AD223" s="97" t="e">
        <f t="shared" si="51"/>
        <v>#REF!</v>
      </c>
      <c r="AE223" s="98" t="e">
        <f t="shared" si="44"/>
        <v>#REF!</v>
      </c>
      <c r="AF223" s="98" t="e">
        <f t="shared" si="44"/>
        <v>#REF!</v>
      </c>
      <c r="AH223" s="97" t="e">
        <f t="shared" si="52"/>
        <v>#REF!</v>
      </c>
      <c r="AI223" s="97" t="e">
        <f t="shared" si="53"/>
        <v>#REF!</v>
      </c>
      <c r="AJ223" s="98" t="e">
        <f t="shared" si="45"/>
        <v>#REF!</v>
      </c>
      <c r="AK223" s="98" t="e">
        <f t="shared" si="45"/>
        <v>#REF!</v>
      </c>
    </row>
    <row r="224" spans="1:37" ht="15" customHeight="1">
      <c r="A224" s="84"/>
      <c r="B224" s="89"/>
      <c r="C224" s="86"/>
      <c r="D224" s="14"/>
      <c r="E224" s="15"/>
      <c r="F224" s="15"/>
      <c r="G224" s="19"/>
      <c r="H224" s="25"/>
      <c r="I224" s="29"/>
      <c r="J224" s="3"/>
      <c r="K224" s="3"/>
      <c r="L224" s="3"/>
      <c r="M224" s="3"/>
      <c r="N224" s="3"/>
      <c r="O224" s="3"/>
      <c r="P224" s="3"/>
      <c r="Q224" s="3"/>
      <c r="S224" s="97">
        <f t="shared" si="46"/>
        <v>0</v>
      </c>
      <c r="T224" s="97">
        <f t="shared" si="47"/>
        <v>0</v>
      </c>
      <c r="U224" s="98">
        <f t="shared" si="42"/>
        <v>0</v>
      </c>
      <c r="V224" s="98">
        <f t="shared" si="42"/>
        <v>0</v>
      </c>
      <c r="X224" s="97" t="e">
        <f t="shared" si="48"/>
        <v>#REF!</v>
      </c>
      <c r="Y224" s="97" t="e">
        <f t="shared" si="49"/>
        <v>#REF!</v>
      </c>
      <c r="Z224" s="98" t="e">
        <f t="shared" si="43"/>
        <v>#REF!</v>
      </c>
      <c r="AA224" s="98" t="e">
        <f t="shared" si="43"/>
        <v>#REF!</v>
      </c>
      <c r="AC224" s="97" t="e">
        <f t="shared" si="50"/>
        <v>#REF!</v>
      </c>
      <c r="AD224" s="97" t="e">
        <f t="shared" si="51"/>
        <v>#REF!</v>
      </c>
      <c r="AE224" s="98" t="e">
        <f t="shared" si="44"/>
        <v>#REF!</v>
      </c>
      <c r="AF224" s="98" t="e">
        <f t="shared" si="44"/>
        <v>#REF!</v>
      </c>
      <c r="AH224" s="97" t="e">
        <f t="shared" si="52"/>
        <v>#REF!</v>
      </c>
      <c r="AI224" s="97" t="e">
        <f t="shared" si="53"/>
        <v>#REF!</v>
      </c>
      <c r="AJ224" s="98" t="e">
        <f t="shared" si="45"/>
        <v>#REF!</v>
      </c>
      <c r="AK224" s="98" t="e">
        <f t="shared" si="45"/>
        <v>#REF!</v>
      </c>
    </row>
    <row r="225" spans="1:37" ht="15" customHeight="1">
      <c r="A225" s="84"/>
      <c r="B225" s="89"/>
      <c r="C225" s="86"/>
      <c r="D225" s="14"/>
      <c r="E225" s="15"/>
      <c r="F225" s="15"/>
      <c r="G225" s="19"/>
      <c r="H225" s="25"/>
      <c r="I225" s="29"/>
      <c r="J225" s="3"/>
      <c r="K225" s="3"/>
      <c r="L225" s="3"/>
      <c r="M225" s="3"/>
      <c r="N225" s="3"/>
      <c r="O225" s="3"/>
      <c r="P225" s="3"/>
      <c r="Q225" s="3"/>
      <c r="S225" s="97">
        <f t="shared" si="46"/>
        <v>0</v>
      </c>
      <c r="T225" s="97">
        <f t="shared" si="47"/>
        <v>0</v>
      </c>
      <c r="U225" s="98">
        <f t="shared" si="42"/>
        <v>0</v>
      </c>
      <c r="V225" s="98">
        <f t="shared" si="42"/>
        <v>0</v>
      </c>
      <c r="X225" s="97" t="e">
        <f t="shared" si="48"/>
        <v>#REF!</v>
      </c>
      <c r="Y225" s="97" t="e">
        <f t="shared" si="49"/>
        <v>#REF!</v>
      </c>
      <c r="Z225" s="98" t="e">
        <f t="shared" si="43"/>
        <v>#REF!</v>
      </c>
      <c r="AA225" s="98" t="e">
        <f t="shared" si="43"/>
        <v>#REF!</v>
      </c>
      <c r="AC225" s="97" t="e">
        <f t="shared" si="50"/>
        <v>#REF!</v>
      </c>
      <c r="AD225" s="97" t="e">
        <f t="shared" si="51"/>
        <v>#REF!</v>
      </c>
      <c r="AE225" s="98" t="e">
        <f t="shared" si="44"/>
        <v>#REF!</v>
      </c>
      <c r="AF225" s="98" t="e">
        <f t="shared" si="44"/>
        <v>#REF!</v>
      </c>
      <c r="AH225" s="97" t="e">
        <f t="shared" si="52"/>
        <v>#REF!</v>
      </c>
      <c r="AI225" s="97" t="e">
        <f t="shared" si="53"/>
        <v>#REF!</v>
      </c>
      <c r="AJ225" s="98" t="e">
        <f t="shared" si="45"/>
        <v>#REF!</v>
      </c>
      <c r="AK225" s="98" t="e">
        <f t="shared" si="45"/>
        <v>#REF!</v>
      </c>
    </row>
    <row r="226" spans="1:37" ht="15" customHeight="1">
      <c r="A226" s="84"/>
      <c r="B226" s="89"/>
      <c r="C226" s="86"/>
      <c r="D226" s="14"/>
      <c r="E226" s="15"/>
      <c r="F226" s="15"/>
      <c r="G226" s="19"/>
      <c r="H226" s="25"/>
      <c r="I226" s="29"/>
      <c r="J226" s="3"/>
      <c r="K226" s="3"/>
      <c r="L226" s="3"/>
      <c r="M226" s="3"/>
      <c r="N226" s="3"/>
      <c r="O226" s="3"/>
      <c r="P226" s="3"/>
      <c r="Q226" s="3"/>
      <c r="S226" s="97">
        <f t="shared" si="46"/>
        <v>0</v>
      </c>
      <c r="T226" s="97">
        <f t="shared" si="47"/>
        <v>0</v>
      </c>
      <c r="U226" s="98">
        <f t="shared" si="42"/>
        <v>0</v>
      </c>
      <c r="V226" s="98">
        <f t="shared" si="42"/>
        <v>0</v>
      </c>
      <c r="X226" s="97" t="e">
        <f t="shared" si="48"/>
        <v>#REF!</v>
      </c>
      <c r="Y226" s="97" t="e">
        <f t="shared" si="49"/>
        <v>#REF!</v>
      </c>
      <c r="Z226" s="98" t="e">
        <f t="shared" si="43"/>
        <v>#REF!</v>
      </c>
      <c r="AA226" s="98" t="e">
        <f t="shared" si="43"/>
        <v>#REF!</v>
      </c>
      <c r="AC226" s="97" t="e">
        <f t="shared" si="50"/>
        <v>#REF!</v>
      </c>
      <c r="AD226" s="97" t="e">
        <f t="shared" si="51"/>
        <v>#REF!</v>
      </c>
      <c r="AE226" s="98" t="e">
        <f t="shared" si="44"/>
        <v>#REF!</v>
      </c>
      <c r="AF226" s="98" t="e">
        <f t="shared" si="44"/>
        <v>#REF!</v>
      </c>
      <c r="AH226" s="97" t="e">
        <f t="shared" si="52"/>
        <v>#REF!</v>
      </c>
      <c r="AI226" s="97" t="e">
        <f t="shared" si="53"/>
        <v>#REF!</v>
      </c>
      <c r="AJ226" s="98" t="e">
        <f t="shared" si="45"/>
        <v>#REF!</v>
      </c>
      <c r="AK226" s="98" t="e">
        <f t="shared" si="45"/>
        <v>#REF!</v>
      </c>
    </row>
    <row r="227" spans="1:37" ht="15" customHeight="1">
      <c r="A227" s="84"/>
      <c r="B227" s="89"/>
      <c r="C227" s="86"/>
      <c r="D227" s="14"/>
      <c r="E227" s="15"/>
      <c r="F227" s="15"/>
      <c r="G227" s="19"/>
      <c r="H227" s="25"/>
      <c r="I227" s="29"/>
      <c r="J227" s="3"/>
      <c r="K227" s="3"/>
      <c r="L227" s="3"/>
      <c r="M227" s="3"/>
      <c r="N227" s="3"/>
      <c r="O227" s="3"/>
      <c r="P227" s="3"/>
      <c r="Q227" s="3"/>
      <c r="S227" s="97">
        <f t="shared" si="46"/>
        <v>0</v>
      </c>
      <c r="T227" s="97">
        <f t="shared" si="47"/>
        <v>0</v>
      </c>
      <c r="U227" s="98">
        <f t="shared" si="42"/>
        <v>0</v>
      </c>
      <c r="V227" s="98">
        <f t="shared" si="42"/>
        <v>0</v>
      </c>
      <c r="X227" s="97" t="e">
        <f t="shared" si="48"/>
        <v>#REF!</v>
      </c>
      <c r="Y227" s="97" t="e">
        <f t="shared" si="49"/>
        <v>#REF!</v>
      </c>
      <c r="Z227" s="98" t="e">
        <f t="shared" si="43"/>
        <v>#REF!</v>
      </c>
      <c r="AA227" s="98" t="e">
        <f t="shared" si="43"/>
        <v>#REF!</v>
      </c>
      <c r="AC227" s="97" t="e">
        <f t="shared" si="50"/>
        <v>#REF!</v>
      </c>
      <c r="AD227" s="97" t="e">
        <f t="shared" si="51"/>
        <v>#REF!</v>
      </c>
      <c r="AE227" s="98" t="e">
        <f t="shared" si="44"/>
        <v>#REF!</v>
      </c>
      <c r="AF227" s="98" t="e">
        <f t="shared" si="44"/>
        <v>#REF!</v>
      </c>
      <c r="AH227" s="97" t="e">
        <f t="shared" si="52"/>
        <v>#REF!</v>
      </c>
      <c r="AI227" s="97" t="e">
        <f t="shared" si="53"/>
        <v>#REF!</v>
      </c>
      <c r="AJ227" s="98" t="e">
        <f t="shared" si="45"/>
        <v>#REF!</v>
      </c>
      <c r="AK227" s="98" t="e">
        <f t="shared" si="45"/>
        <v>#REF!</v>
      </c>
    </row>
    <row r="228" spans="1:37" ht="15" customHeight="1">
      <c r="A228" s="84"/>
      <c r="B228" s="89"/>
      <c r="C228" s="86"/>
      <c r="D228" s="14"/>
      <c r="E228" s="15"/>
      <c r="F228" s="15"/>
      <c r="G228" s="19"/>
      <c r="H228" s="25"/>
      <c r="I228" s="29"/>
      <c r="J228" s="3"/>
      <c r="K228" s="3"/>
      <c r="L228" s="3"/>
      <c r="M228" s="3"/>
      <c r="N228" s="3"/>
      <c r="O228" s="3"/>
      <c r="P228" s="3"/>
      <c r="Q228" s="3"/>
      <c r="S228" s="97">
        <f t="shared" si="46"/>
        <v>0</v>
      </c>
      <c r="T228" s="97">
        <f t="shared" si="47"/>
        <v>0</v>
      </c>
      <c r="U228" s="98">
        <f t="shared" si="42"/>
        <v>0</v>
      </c>
      <c r="V228" s="98">
        <f t="shared" si="42"/>
        <v>0</v>
      </c>
      <c r="X228" s="97" t="e">
        <f t="shared" si="48"/>
        <v>#REF!</v>
      </c>
      <c r="Y228" s="97" t="e">
        <f t="shared" si="49"/>
        <v>#REF!</v>
      </c>
      <c r="Z228" s="98" t="e">
        <f t="shared" si="43"/>
        <v>#REF!</v>
      </c>
      <c r="AA228" s="98" t="e">
        <f t="shared" si="43"/>
        <v>#REF!</v>
      </c>
      <c r="AC228" s="97" t="e">
        <f t="shared" si="50"/>
        <v>#REF!</v>
      </c>
      <c r="AD228" s="97" t="e">
        <f t="shared" si="51"/>
        <v>#REF!</v>
      </c>
      <c r="AE228" s="98" t="e">
        <f t="shared" si="44"/>
        <v>#REF!</v>
      </c>
      <c r="AF228" s="98" t="e">
        <f t="shared" si="44"/>
        <v>#REF!</v>
      </c>
      <c r="AH228" s="97" t="e">
        <f t="shared" si="52"/>
        <v>#REF!</v>
      </c>
      <c r="AI228" s="97" t="e">
        <f t="shared" si="53"/>
        <v>#REF!</v>
      </c>
      <c r="AJ228" s="98" t="e">
        <f t="shared" si="45"/>
        <v>#REF!</v>
      </c>
      <c r="AK228" s="98" t="e">
        <f t="shared" si="45"/>
        <v>#REF!</v>
      </c>
    </row>
    <row r="229" spans="1:37" ht="15" customHeight="1">
      <c r="A229" s="84"/>
      <c r="B229" s="89"/>
      <c r="C229" s="86"/>
      <c r="D229" s="14"/>
      <c r="E229" s="15"/>
      <c r="F229" s="15"/>
      <c r="G229" s="19"/>
      <c r="H229" s="25"/>
      <c r="I229" s="29"/>
      <c r="J229" s="3"/>
      <c r="K229" s="3"/>
      <c r="L229" s="3"/>
      <c r="M229" s="3"/>
      <c r="N229" s="3"/>
      <c r="O229" s="3"/>
      <c r="P229" s="3"/>
      <c r="Q229" s="3"/>
      <c r="S229" s="97">
        <f t="shared" si="46"/>
        <v>0</v>
      </c>
      <c r="T229" s="97">
        <f t="shared" si="47"/>
        <v>0</v>
      </c>
      <c r="U229" s="98">
        <f t="shared" si="42"/>
        <v>0</v>
      </c>
      <c r="V229" s="98">
        <f t="shared" si="42"/>
        <v>0</v>
      </c>
      <c r="X229" s="97" t="e">
        <f t="shared" si="48"/>
        <v>#REF!</v>
      </c>
      <c r="Y229" s="97" t="e">
        <f t="shared" si="49"/>
        <v>#REF!</v>
      </c>
      <c r="Z229" s="98" t="e">
        <f t="shared" si="43"/>
        <v>#REF!</v>
      </c>
      <c r="AA229" s="98" t="e">
        <f t="shared" si="43"/>
        <v>#REF!</v>
      </c>
      <c r="AC229" s="97" t="e">
        <f t="shared" si="50"/>
        <v>#REF!</v>
      </c>
      <c r="AD229" s="97" t="e">
        <f t="shared" si="51"/>
        <v>#REF!</v>
      </c>
      <c r="AE229" s="98" t="e">
        <f t="shared" si="44"/>
        <v>#REF!</v>
      </c>
      <c r="AF229" s="98" t="e">
        <f t="shared" si="44"/>
        <v>#REF!</v>
      </c>
      <c r="AH229" s="97" t="e">
        <f t="shared" si="52"/>
        <v>#REF!</v>
      </c>
      <c r="AI229" s="97" t="e">
        <f t="shared" si="53"/>
        <v>#REF!</v>
      </c>
      <c r="AJ229" s="98" t="e">
        <f t="shared" si="45"/>
        <v>#REF!</v>
      </c>
      <c r="AK229" s="98" t="e">
        <f t="shared" si="45"/>
        <v>#REF!</v>
      </c>
    </row>
    <row r="230" spans="1:37" ht="15" customHeight="1">
      <c r="A230" s="84"/>
      <c r="B230" s="89"/>
      <c r="C230" s="86"/>
      <c r="D230" s="14"/>
      <c r="E230" s="15"/>
      <c r="F230" s="15"/>
      <c r="G230" s="19"/>
      <c r="H230" s="25"/>
      <c r="I230" s="29"/>
      <c r="J230" s="3"/>
      <c r="K230" s="3"/>
      <c r="L230" s="3"/>
      <c r="M230" s="3"/>
      <c r="N230" s="3"/>
      <c r="O230" s="3"/>
      <c r="P230" s="3"/>
      <c r="Q230" s="3"/>
      <c r="S230" s="97">
        <f t="shared" si="46"/>
        <v>0</v>
      </c>
      <c r="T230" s="97">
        <f t="shared" si="47"/>
        <v>0</v>
      </c>
      <c r="U230" s="98">
        <f t="shared" si="42"/>
        <v>0</v>
      </c>
      <c r="V230" s="98">
        <f t="shared" si="42"/>
        <v>0</v>
      </c>
      <c r="X230" s="97" t="e">
        <f t="shared" si="48"/>
        <v>#REF!</v>
      </c>
      <c r="Y230" s="97" t="e">
        <f t="shared" si="49"/>
        <v>#REF!</v>
      </c>
      <c r="Z230" s="98" t="e">
        <f t="shared" si="43"/>
        <v>#REF!</v>
      </c>
      <c r="AA230" s="98" t="e">
        <f t="shared" si="43"/>
        <v>#REF!</v>
      </c>
      <c r="AC230" s="97" t="e">
        <f t="shared" si="50"/>
        <v>#REF!</v>
      </c>
      <c r="AD230" s="97" t="e">
        <f t="shared" si="51"/>
        <v>#REF!</v>
      </c>
      <c r="AE230" s="98" t="e">
        <f t="shared" si="44"/>
        <v>#REF!</v>
      </c>
      <c r="AF230" s="98" t="e">
        <f t="shared" si="44"/>
        <v>#REF!</v>
      </c>
      <c r="AH230" s="97" t="e">
        <f t="shared" si="52"/>
        <v>#REF!</v>
      </c>
      <c r="AI230" s="97" t="e">
        <f t="shared" si="53"/>
        <v>#REF!</v>
      </c>
      <c r="AJ230" s="98" t="e">
        <f t="shared" si="45"/>
        <v>#REF!</v>
      </c>
      <c r="AK230" s="98" t="e">
        <f t="shared" si="45"/>
        <v>#REF!</v>
      </c>
    </row>
    <row r="231" spans="1:37" ht="15" customHeight="1">
      <c r="A231" s="84"/>
      <c r="B231" s="89"/>
      <c r="C231" s="86"/>
      <c r="D231" s="14"/>
      <c r="E231" s="15"/>
      <c r="F231" s="15"/>
      <c r="G231" s="19"/>
      <c r="H231" s="25"/>
      <c r="I231" s="29"/>
      <c r="J231" s="3"/>
      <c r="K231" s="3"/>
      <c r="L231" s="3"/>
      <c r="M231" s="3"/>
      <c r="N231" s="3"/>
      <c r="O231" s="3"/>
      <c r="P231" s="3"/>
      <c r="Q231" s="3"/>
      <c r="S231" s="97">
        <f t="shared" si="46"/>
        <v>0</v>
      </c>
      <c r="T231" s="97">
        <f t="shared" si="47"/>
        <v>0</v>
      </c>
      <c r="U231" s="98">
        <f t="shared" si="42"/>
        <v>0</v>
      </c>
      <c r="V231" s="98">
        <f t="shared" si="42"/>
        <v>0</v>
      </c>
      <c r="X231" s="97" t="e">
        <f t="shared" si="48"/>
        <v>#REF!</v>
      </c>
      <c r="Y231" s="97" t="e">
        <f t="shared" si="49"/>
        <v>#REF!</v>
      </c>
      <c r="Z231" s="98" t="e">
        <f t="shared" si="43"/>
        <v>#REF!</v>
      </c>
      <c r="AA231" s="98" t="e">
        <f t="shared" si="43"/>
        <v>#REF!</v>
      </c>
      <c r="AC231" s="97" t="e">
        <f t="shared" si="50"/>
        <v>#REF!</v>
      </c>
      <c r="AD231" s="97" t="e">
        <f t="shared" si="51"/>
        <v>#REF!</v>
      </c>
      <c r="AE231" s="98" t="e">
        <f t="shared" si="44"/>
        <v>#REF!</v>
      </c>
      <c r="AF231" s="98" t="e">
        <f t="shared" si="44"/>
        <v>#REF!</v>
      </c>
      <c r="AH231" s="97" t="e">
        <f t="shared" si="52"/>
        <v>#REF!</v>
      </c>
      <c r="AI231" s="97" t="e">
        <f t="shared" si="53"/>
        <v>#REF!</v>
      </c>
      <c r="AJ231" s="98" t="e">
        <f t="shared" si="45"/>
        <v>#REF!</v>
      </c>
      <c r="AK231" s="98" t="e">
        <f t="shared" si="45"/>
        <v>#REF!</v>
      </c>
    </row>
    <row r="232" spans="1:37" ht="15" customHeight="1">
      <c r="A232" s="84" t="s">
        <v>316</v>
      </c>
      <c r="B232" s="89" t="s">
        <v>317</v>
      </c>
      <c r="C232" s="86">
        <v>1.33</v>
      </c>
      <c r="D232" s="14">
        <v>0.8</v>
      </c>
      <c r="E232" s="15">
        <v>0.02</v>
      </c>
      <c r="F232" s="15">
        <v>-0.02</v>
      </c>
      <c r="G232" s="19">
        <f>IF(AND(D232="",E232=""),"",IF(D232="",E232,D232+E232))</f>
        <v>0.82000000000000006</v>
      </c>
      <c r="H232" s="25">
        <f>IF(AND(D232="",F232=""),"",IF(D232="",F232,D232+F232))</f>
        <v>0.78</v>
      </c>
      <c r="I232" s="29"/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S232" s="97">
        <f t="shared" si="46"/>
        <v>0</v>
      </c>
      <c r="T232" s="97">
        <f t="shared" si="47"/>
        <v>0</v>
      </c>
      <c r="U232" s="98">
        <f t="shared" si="42"/>
        <v>0.8</v>
      </c>
      <c r="V232" s="98">
        <f t="shared" si="42"/>
        <v>0.8</v>
      </c>
      <c r="X232" s="97" t="e">
        <f t="shared" si="48"/>
        <v>#REF!</v>
      </c>
      <c r="Y232" s="97" t="e">
        <f t="shared" si="49"/>
        <v>#REF!</v>
      </c>
      <c r="Z232" s="98" t="e">
        <f t="shared" si="43"/>
        <v>#REF!</v>
      </c>
      <c r="AA232" s="98" t="e">
        <f t="shared" si="43"/>
        <v>#REF!</v>
      </c>
      <c r="AC232" s="97" t="e">
        <f t="shared" si="50"/>
        <v>#REF!</v>
      </c>
      <c r="AD232" s="97" t="e">
        <f t="shared" si="51"/>
        <v>#REF!</v>
      </c>
      <c r="AE232" s="98" t="e">
        <f t="shared" si="44"/>
        <v>#REF!</v>
      </c>
      <c r="AF232" s="98" t="e">
        <f t="shared" si="44"/>
        <v>#REF!</v>
      </c>
      <c r="AH232" s="97" t="e">
        <f t="shared" si="52"/>
        <v>#REF!</v>
      </c>
      <c r="AI232" s="97" t="e">
        <f t="shared" si="53"/>
        <v>#REF!</v>
      </c>
      <c r="AJ232" s="98" t="e">
        <f t="shared" si="45"/>
        <v>#REF!</v>
      </c>
      <c r="AK232" s="98" t="e">
        <f t="shared" si="45"/>
        <v>#REF!</v>
      </c>
    </row>
    <row r="233" spans="1:37" ht="15" customHeight="1">
      <c r="A233" s="84" t="s">
        <v>316</v>
      </c>
      <c r="B233" s="89" t="s">
        <v>216</v>
      </c>
      <c r="C233" s="86">
        <v>1.33</v>
      </c>
      <c r="D233" s="14">
        <v>0.8</v>
      </c>
      <c r="E233" s="15">
        <v>0.02</v>
      </c>
      <c r="F233" s="15">
        <v>-0.02</v>
      </c>
      <c r="G233" s="19">
        <f>IF(AND(D233="",E233=""),"",IF(D233="",E233,D233+E233))</f>
        <v>0.82000000000000006</v>
      </c>
      <c r="H233" s="25">
        <f>IF(AND(D233="",F233=""),"",IF(D233="",F233,D233+F233))</f>
        <v>0.78</v>
      </c>
      <c r="I233" s="29"/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S233" s="97">
        <f t="shared" si="46"/>
        <v>0</v>
      </c>
      <c r="T233" s="97">
        <f t="shared" si="47"/>
        <v>0</v>
      </c>
      <c r="U233" s="98">
        <f t="shared" si="42"/>
        <v>0.8</v>
      </c>
      <c r="V233" s="98">
        <f t="shared" si="42"/>
        <v>0.8</v>
      </c>
      <c r="X233" s="97" t="e">
        <f t="shared" si="48"/>
        <v>#REF!</v>
      </c>
      <c r="Y233" s="97" t="e">
        <f t="shared" si="49"/>
        <v>#REF!</v>
      </c>
      <c r="Z233" s="98" t="e">
        <f t="shared" si="43"/>
        <v>#REF!</v>
      </c>
      <c r="AA233" s="98" t="e">
        <f t="shared" si="43"/>
        <v>#REF!</v>
      </c>
      <c r="AC233" s="97" t="e">
        <f t="shared" si="50"/>
        <v>#REF!</v>
      </c>
      <c r="AD233" s="97" t="e">
        <f t="shared" si="51"/>
        <v>#REF!</v>
      </c>
      <c r="AE233" s="98" t="e">
        <f t="shared" si="44"/>
        <v>#REF!</v>
      </c>
      <c r="AF233" s="98" t="e">
        <f t="shared" si="44"/>
        <v>#REF!</v>
      </c>
      <c r="AH233" s="97" t="e">
        <f t="shared" si="52"/>
        <v>#REF!</v>
      </c>
      <c r="AI233" s="97" t="e">
        <f t="shared" si="53"/>
        <v>#REF!</v>
      </c>
      <c r="AJ233" s="98" t="e">
        <f t="shared" si="45"/>
        <v>#REF!</v>
      </c>
      <c r="AK233" s="98" t="e">
        <f t="shared" si="45"/>
        <v>#REF!</v>
      </c>
    </row>
    <row r="234" spans="1:37" ht="15" customHeight="1">
      <c r="A234" s="84" t="s">
        <v>318</v>
      </c>
      <c r="B234" s="89">
        <v>95</v>
      </c>
      <c r="C234" s="86">
        <v>1.33</v>
      </c>
      <c r="D234" s="14">
        <v>11.807</v>
      </c>
      <c r="E234" s="15">
        <v>0.02</v>
      </c>
      <c r="F234" s="15">
        <v>-0.02</v>
      </c>
      <c r="G234" s="19">
        <f>IF(AND(D234="",E234=""),"",IF(D234="",E234,D234+E234))</f>
        <v>11.827</v>
      </c>
      <c r="H234" s="25">
        <f>IF(AND(D234="",F234=""),"",IF(D234="",F234,D234+F234))</f>
        <v>11.787000000000001</v>
      </c>
      <c r="I234" s="29"/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S234" s="97">
        <f t="shared" si="46"/>
        <v>0</v>
      </c>
      <c r="T234" s="97">
        <f t="shared" si="47"/>
        <v>0</v>
      </c>
      <c r="U234" s="98">
        <f t="shared" ref="U234:V297" si="54">IF(AND($D234="",S234=""),"",IF($D234="",S234,$D234+S234))</f>
        <v>11.807</v>
      </c>
      <c r="V234" s="98">
        <f t="shared" si="54"/>
        <v>11.807</v>
      </c>
      <c r="X234" s="97" t="e">
        <f t="shared" si="48"/>
        <v>#REF!</v>
      </c>
      <c r="Y234" s="97" t="e">
        <f t="shared" si="49"/>
        <v>#REF!</v>
      </c>
      <c r="Z234" s="98" t="e">
        <f t="shared" ref="Z234:AA297" si="55">IF(AND($D234="",X234=""),"",IF($D234="",X234,$D234+X234))</f>
        <v>#REF!</v>
      </c>
      <c r="AA234" s="98" t="e">
        <f t="shared" si="55"/>
        <v>#REF!</v>
      </c>
      <c r="AC234" s="97" t="e">
        <f t="shared" si="50"/>
        <v>#REF!</v>
      </c>
      <c r="AD234" s="97" t="e">
        <f t="shared" si="51"/>
        <v>#REF!</v>
      </c>
      <c r="AE234" s="98" t="e">
        <f t="shared" ref="AE234:AF297" si="56">IF(AND($D234="",AC234=""),"",IF($D234="",AC234,$D234+AC234))</f>
        <v>#REF!</v>
      </c>
      <c r="AF234" s="98" t="e">
        <f t="shared" si="56"/>
        <v>#REF!</v>
      </c>
      <c r="AH234" s="97" t="e">
        <f t="shared" si="52"/>
        <v>#REF!</v>
      </c>
      <c r="AI234" s="97" t="e">
        <f t="shared" si="53"/>
        <v>#REF!</v>
      </c>
      <c r="AJ234" s="98" t="e">
        <f t="shared" ref="AJ234:AK297" si="57">IF(AND($D234="",AH234=""),"",IF($D234="",AH234,$D234+AH234))</f>
        <v>#REF!</v>
      </c>
      <c r="AK234" s="98" t="e">
        <f t="shared" si="57"/>
        <v>#REF!</v>
      </c>
    </row>
    <row r="235" spans="1:37" ht="15" customHeight="1">
      <c r="A235" s="84"/>
      <c r="B235" s="89" t="s">
        <v>319</v>
      </c>
      <c r="C235" s="86"/>
      <c r="D235" s="14"/>
      <c r="E235" s="15">
        <v>0.03</v>
      </c>
      <c r="F235" s="15"/>
      <c r="G235" s="19">
        <f>IF(AND(D235="",E235=""),"",IF(D235="",E235,D235+E235))</f>
        <v>0.03</v>
      </c>
      <c r="H235" s="25" t="str">
        <f>IF(AND(D235="",F235=""),"",IF(D235="",F235,D235+F235))</f>
        <v/>
      </c>
      <c r="I235" s="29"/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S235" s="97">
        <f t="shared" si="46"/>
        <v>0</v>
      </c>
      <c r="T235" s="97">
        <f t="shared" si="47"/>
        <v>0</v>
      </c>
      <c r="U235" s="98">
        <f t="shared" si="54"/>
        <v>0</v>
      </c>
      <c r="V235" s="98">
        <f t="shared" si="54"/>
        <v>0</v>
      </c>
      <c r="X235" s="97" t="e">
        <f t="shared" si="48"/>
        <v>#REF!</v>
      </c>
      <c r="Y235" s="97" t="e">
        <f t="shared" si="49"/>
        <v>#REF!</v>
      </c>
      <c r="Z235" s="98" t="e">
        <f t="shared" si="55"/>
        <v>#REF!</v>
      </c>
      <c r="AA235" s="98" t="e">
        <f t="shared" si="55"/>
        <v>#REF!</v>
      </c>
      <c r="AC235" s="97" t="e">
        <f t="shared" si="50"/>
        <v>#REF!</v>
      </c>
      <c r="AD235" s="97" t="e">
        <f t="shared" si="51"/>
        <v>#REF!</v>
      </c>
      <c r="AE235" s="98" t="e">
        <f t="shared" si="56"/>
        <v>#REF!</v>
      </c>
      <c r="AF235" s="98" t="e">
        <f t="shared" si="56"/>
        <v>#REF!</v>
      </c>
      <c r="AH235" s="97" t="e">
        <f t="shared" si="52"/>
        <v>#REF!</v>
      </c>
      <c r="AI235" s="97" t="e">
        <f t="shared" si="53"/>
        <v>#REF!</v>
      </c>
      <c r="AJ235" s="98" t="e">
        <f t="shared" si="57"/>
        <v>#REF!</v>
      </c>
      <c r="AK235" s="98" t="e">
        <f t="shared" si="57"/>
        <v>#REF!</v>
      </c>
    </row>
    <row r="236" spans="1:37" ht="15" customHeight="1">
      <c r="A236" s="84"/>
      <c r="B236" s="89" t="s">
        <v>320</v>
      </c>
      <c r="C236" s="86"/>
      <c r="D236" s="14"/>
      <c r="E236" s="15">
        <v>0.03</v>
      </c>
      <c r="F236" s="15"/>
      <c r="G236" s="19">
        <f>IF(AND(D236="",E236=""),"",IF(D236="",E236,D236+E236))</f>
        <v>0.03</v>
      </c>
      <c r="H236" s="25" t="str">
        <f>IF(AND(D236="",F236=""),"",IF(D236="",F236,D236+F236))</f>
        <v/>
      </c>
      <c r="I236" s="29"/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S236" s="97">
        <f t="shared" si="46"/>
        <v>0</v>
      </c>
      <c r="T236" s="97">
        <f t="shared" si="47"/>
        <v>0</v>
      </c>
      <c r="U236" s="98">
        <f t="shared" si="54"/>
        <v>0</v>
      </c>
      <c r="V236" s="98">
        <f t="shared" si="54"/>
        <v>0</v>
      </c>
      <c r="X236" s="97" t="e">
        <f t="shared" si="48"/>
        <v>#REF!</v>
      </c>
      <c r="Y236" s="97" t="e">
        <f t="shared" si="49"/>
        <v>#REF!</v>
      </c>
      <c r="Z236" s="98" t="e">
        <f t="shared" si="55"/>
        <v>#REF!</v>
      </c>
      <c r="AA236" s="98" t="e">
        <f t="shared" si="55"/>
        <v>#REF!</v>
      </c>
      <c r="AC236" s="97" t="e">
        <f t="shared" si="50"/>
        <v>#REF!</v>
      </c>
      <c r="AD236" s="97" t="e">
        <f t="shared" si="51"/>
        <v>#REF!</v>
      </c>
      <c r="AE236" s="98" t="e">
        <f t="shared" si="56"/>
        <v>#REF!</v>
      </c>
      <c r="AF236" s="98" t="e">
        <f t="shared" si="56"/>
        <v>#REF!</v>
      </c>
      <c r="AH236" s="97" t="e">
        <f t="shared" si="52"/>
        <v>#REF!</v>
      </c>
      <c r="AI236" s="97" t="e">
        <f t="shared" si="53"/>
        <v>#REF!</v>
      </c>
      <c r="AJ236" s="98" t="e">
        <f t="shared" si="57"/>
        <v>#REF!</v>
      </c>
      <c r="AK236" s="98" t="e">
        <f t="shared" si="57"/>
        <v>#REF!</v>
      </c>
    </row>
    <row r="237" spans="1:37" ht="15" customHeight="1">
      <c r="A237" s="84"/>
      <c r="B237" s="89"/>
      <c r="C237" s="86"/>
      <c r="D237" s="14"/>
      <c r="E237" s="15"/>
      <c r="F237" s="15"/>
      <c r="G237" s="19"/>
      <c r="H237" s="25"/>
      <c r="I237" s="29"/>
      <c r="J237" s="3"/>
      <c r="K237" s="3"/>
      <c r="L237" s="3"/>
      <c r="M237" s="3"/>
      <c r="N237" s="3"/>
      <c r="O237" s="3"/>
      <c r="P237" s="3"/>
      <c r="Q237" s="3"/>
      <c r="S237" s="97">
        <f t="shared" si="46"/>
        <v>0</v>
      </c>
      <c r="T237" s="97">
        <f t="shared" si="47"/>
        <v>0</v>
      </c>
      <c r="U237" s="98">
        <f t="shared" si="54"/>
        <v>0</v>
      </c>
      <c r="V237" s="98">
        <f t="shared" si="54"/>
        <v>0</v>
      </c>
      <c r="X237" s="97" t="e">
        <f t="shared" si="48"/>
        <v>#REF!</v>
      </c>
      <c r="Y237" s="97" t="e">
        <f t="shared" si="49"/>
        <v>#REF!</v>
      </c>
      <c r="Z237" s="98" t="e">
        <f t="shared" si="55"/>
        <v>#REF!</v>
      </c>
      <c r="AA237" s="98" t="e">
        <f t="shared" si="55"/>
        <v>#REF!</v>
      </c>
      <c r="AC237" s="97" t="e">
        <f t="shared" si="50"/>
        <v>#REF!</v>
      </c>
      <c r="AD237" s="97" t="e">
        <f t="shared" si="51"/>
        <v>#REF!</v>
      </c>
      <c r="AE237" s="98" t="e">
        <f t="shared" si="56"/>
        <v>#REF!</v>
      </c>
      <c r="AF237" s="98" t="e">
        <f t="shared" si="56"/>
        <v>#REF!</v>
      </c>
      <c r="AH237" s="97" t="e">
        <f t="shared" si="52"/>
        <v>#REF!</v>
      </c>
      <c r="AI237" s="97" t="e">
        <f t="shared" si="53"/>
        <v>#REF!</v>
      </c>
      <c r="AJ237" s="98" t="e">
        <f t="shared" si="57"/>
        <v>#REF!</v>
      </c>
      <c r="AK237" s="98" t="e">
        <f t="shared" si="57"/>
        <v>#REF!</v>
      </c>
    </row>
    <row r="238" spans="1:37" ht="15" customHeight="1">
      <c r="A238" s="84"/>
      <c r="B238" s="89"/>
      <c r="C238" s="86"/>
      <c r="D238" s="14"/>
      <c r="E238" s="15"/>
      <c r="F238" s="15"/>
      <c r="G238" s="19"/>
      <c r="H238" s="25"/>
      <c r="I238" s="29"/>
      <c r="J238" s="3"/>
      <c r="K238" s="3"/>
      <c r="L238" s="3"/>
      <c r="M238" s="3"/>
      <c r="N238" s="3"/>
      <c r="O238" s="3"/>
      <c r="P238" s="3"/>
      <c r="Q238" s="3"/>
      <c r="S238" s="97">
        <f t="shared" si="46"/>
        <v>0</v>
      </c>
      <c r="T238" s="97">
        <f t="shared" si="47"/>
        <v>0</v>
      </c>
      <c r="U238" s="98">
        <f t="shared" si="54"/>
        <v>0</v>
      </c>
      <c r="V238" s="98">
        <f t="shared" si="54"/>
        <v>0</v>
      </c>
      <c r="X238" s="97" t="e">
        <f t="shared" si="48"/>
        <v>#REF!</v>
      </c>
      <c r="Y238" s="97" t="e">
        <f t="shared" si="49"/>
        <v>#REF!</v>
      </c>
      <c r="Z238" s="98" t="e">
        <f t="shared" si="55"/>
        <v>#REF!</v>
      </c>
      <c r="AA238" s="98" t="e">
        <f t="shared" si="55"/>
        <v>#REF!</v>
      </c>
      <c r="AC238" s="97" t="e">
        <f t="shared" si="50"/>
        <v>#REF!</v>
      </c>
      <c r="AD238" s="97" t="e">
        <f t="shared" si="51"/>
        <v>#REF!</v>
      </c>
      <c r="AE238" s="98" t="e">
        <f t="shared" si="56"/>
        <v>#REF!</v>
      </c>
      <c r="AF238" s="98" t="e">
        <f t="shared" si="56"/>
        <v>#REF!</v>
      </c>
      <c r="AH238" s="97" t="e">
        <f t="shared" si="52"/>
        <v>#REF!</v>
      </c>
      <c r="AI238" s="97" t="e">
        <f t="shared" si="53"/>
        <v>#REF!</v>
      </c>
      <c r="AJ238" s="98" t="e">
        <f t="shared" si="57"/>
        <v>#REF!</v>
      </c>
      <c r="AK238" s="98" t="e">
        <f t="shared" si="57"/>
        <v>#REF!</v>
      </c>
    </row>
    <row r="239" spans="1:37" ht="15" customHeight="1">
      <c r="A239" s="84"/>
      <c r="B239" s="89"/>
      <c r="C239" s="86"/>
      <c r="D239" s="14"/>
      <c r="E239" s="15"/>
      <c r="F239" s="15"/>
      <c r="G239" s="19"/>
      <c r="H239" s="25"/>
      <c r="I239" s="29"/>
      <c r="J239" s="3"/>
      <c r="K239" s="3"/>
      <c r="L239" s="3"/>
      <c r="M239" s="3"/>
      <c r="N239" s="3"/>
      <c r="O239" s="3"/>
      <c r="P239" s="3"/>
      <c r="Q239" s="3"/>
      <c r="S239" s="97">
        <f t="shared" si="46"/>
        <v>0</v>
      </c>
      <c r="T239" s="97">
        <f t="shared" si="47"/>
        <v>0</v>
      </c>
      <c r="U239" s="98">
        <f t="shared" si="54"/>
        <v>0</v>
      </c>
      <c r="V239" s="98">
        <f t="shared" si="54"/>
        <v>0</v>
      </c>
      <c r="X239" s="97" t="e">
        <f t="shared" si="48"/>
        <v>#REF!</v>
      </c>
      <c r="Y239" s="97" t="e">
        <f t="shared" si="49"/>
        <v>#REF!</v>
      </c>
      <c r="Z239" s="98" t="e">
        <f t="shared" si="55"/>
        <v>#REF!</v>
      </c>
      <c r="AA239" s="98" t="e">
        <f t="shared" si="55"/>
        <v>#REF!</v>
      </c>
      <c r="AC239" s="97" t="e">
        <f t="shared" si="50"/>
        <v>#REF!</v>
      </c>
      <c r="AD239" s="97" t="e">
        <f t="shared" si="51"/>
        <v>#REF!</v>
      </c>
      <c r="AE239" s="98" t="e">
        <f t="shared" si="56"/>
        <v>#REF!</v>
      </c>
      <c r="AF239" s="98" t="e">
        <f t="shared" si="56"/>
        <v>#REF!</v>
      </c>
      <c r="AH239" s="97" t="e">
        <f t="shared" si="52"/>
        <v>#REF!</v>
      </c>
      <c r="AI239" s="97" t="e">
        <f t="shared" si="53"/>
        <v>#REF!</v>
      </c>
      <c r="AJ239" s="98" t="e">
        <f t="shared" si="57"/>
        <v>#REF!</v>
      </c>
      <c r="AK239" s="98" t="e">
        <f t="shared" si="57"/>
        <v>#REF!</v>
      </c>
    </row>
    <row r="240" spans="1:37" ht="15" customHeight="1">
      <c r="A240" s="84"/>
      <c r="B240" s="89"/>
      <c r="C240" s="86"/>
      <c r="D240" s="14"/>
      <c r="E240" s="15"/>
      <c r="F240" s="15"/>
      <c r="G240" s="19"/>
      <c r="H240" s="25"/>
      <c r="I240" s="29"/>
      <c r="J240" s="3"/>
      <c r="K240" s="3"/>
      <c r="L240" s="3"/>
      <c r="M240" s="3"/>
      <c r="N240" s="3"/>
      <c r="O240" s="3"/>
      <c r="P240" s="3"/>
      <c r="Q240" s="3"/>
      <c r="S240" s="97">
        <f t="shared" si="46"/>
        <v>0</v>
      </c>
      <c r="T240" s="97">
        <f t="shared" si="47"/>
        <v>0</v>
      </c>
      <c r="U240" s="98">
        <f t="shared" si="54"/>
        <v>0</v>
      </c>
      <c r="V240" s="98">
        <f t="shared" si="54"/>
        <v>0</v>
      </c>
      <c r="X240" s="97" t="e">
        <f t="shared" si="48"/>
        <v>#REF!</v>
      </c>
      <c r="Y240" s="97" t="e">
        <f t="shared" si="49"/>
        <v>#REF!</v>
      </c>
      <c r="Z240" s="98" t="e">
        <f t="shared" si="55"/>
        <v>#REF!</v>
      </c>
      <c r="AA240" s="98" t="e">
        <f t="shared" si="55"/>
        <v>#REF!</v>
      </c>
      <c r="AC240" s="97" t="e">
        <f t="shared" si="50"/>
        <v>#REF!</v>
      </c>
      <c r="AD240" s="97" t="e">
        <f t="shared" si="51"/>
        <v>#REF!</v>
      </c>
      <c r="AE240" s="98" t="e">
        <f t="shared" si="56"/>
        <v>#REF!</v>
      </c>
      <c r="AF240" s="98" t="e">
        <f t="shared" si="56"/>
        <v>#REF!</v>
      </c>
      <c r="AH240" s="97" t="e">
        <f t="shared" si="52"/>
        <v>#REF!</v>
      </c>
      <c r="AI240" s="97" t="e">
        <f t="shared" si="53"/>
        <v>#REF!</v>
      </c>
      <c r="AJ240" s="98" t="e">
        <f t="shared" si="57"/>
        <v>#REF!</v>
      </c>
      <c r="AK240" s="98" t="e">
        <f t="shared" si="57"/>
        <v>#REF!</v>
      </c>
    </row>
    <row r="241" spans="1:37" ht="15" customHeight="1">
      <c r="A241" s="84" t="s">
        <v>328</v>
      </c>
      <c r="B241" s="89" t="s">
        <v>321</v>
      </c>
      <c r="C241" s="86"/>
      <c r="D241" s="14"/>
      <c r="E241" s="15">
        <v>0.03</v>
      </c>
      <c r="F241" s="15"/>
      <c r="G241" s="19">
        <f>IF(AND(D241="",E241=""),"",IF(D241="",E241,D241+E241))</f>
        <v>0.03</v>
      </c>
      <c r="H241" s="25" t="str">
        <f>IF(AND(D241="",F241=""),"",IF(D241="",F241,D241+F241))</f>
        <v/>
      </c>
      <c r="I241" s="29"/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S241" s="97">
        <f t="shared" si="46"/>
        <v>0</v>
      </c>
      <c r="T241" s="97">
        <f t="shared" si="47"/>
        <v>0</v>
      </c>
      <c r="U241" s="98">
        <f t="shared" si="54"/>
        <v>0</v>
      </c>
      <c r="V241" s="98">
        <f t="shared" si="54"/>
        <v>0</v>
      </c>
      <c r="X241" s="97" t="e">
        <f t="shared" si="48"/>
        <v>#REF!</v>
      </c>
      <c r="Y241" s="97" t="e">
        <f t="shared" si="49"/>
        <v>#REF!</v>
      </c>
      <c r="Z241" s="98" t="e">
        <f t="shared" si="55"/>
        <v>#REF!</v>
      </c>
      <c r="AA241" s="98" t="e">
        <f t="shared" si="55"/>
        <v>#REF!</v>
      </c>
      <c r="AC241" s="97" t="e">
        <f t="shared" si="50"/>
        <v>#REF!</v>
      </c>
      <c r="AD241" s="97" t="e">
        <f t="shared" si="51"/>
        <v>#REF!</v>
      </c>
      <c r="AE241" s="98" t="e">
        <f t="shared" si="56"/>
        <v>#REF!</v>
      </c>
      <c r="AF241" s="98" t="e">
        <f t="shared" si="56"/>
        <v>#REF!</v>
      </c>
      <c r="AH241" s="97" t="e">
        <f t="shared" si="52"/>
        <v>#REF!</v>
      </c>
      <c r="AI241" s="97" t="e">
        <f t="shared" si="53"/>
        <v>#REF!</v>
      </c>
      <c r="AJ241" s="98" t="e">
        <f t="shared" si="57"/>
        <v>#REF!</v>
      </c>
      <c r="AK241" s="98" t="e">
        <f t="shared" si="57"/>
        <v>#REF!</v>
      </c>
    </row>
    <row r="242" spans="1:37" ht="15" customHeight="1">
      <c r="A242" s="84" t="s">
        <v>329</v>
      </c>
      <c r="B242" s="89" t="s">
        <v>322</v>
      </c>
      <c r="C242" s="86"/>
      <c r="D242" s="14"/>
      <c r="E242" s="15">
        <v>0.03</v>
      </c>
      <c r="F242" s="15"/>
      <c r="G242" s="19">
        <f>IF(AND(D242="",E242=""),"",IF(D242="",E242,D242+E242))</f>
        <v>0.03</v>
      </c>
      <c r="H242" s="25" t="str">
        <f>IF(AND(D242="",F242=""),"",IF(D242="",F242,D242+F242))</f>
        <v/>
      </c>
      <c r="I242" s="29"/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S242" s="97">
        <f t="shared" si="46"/>
        <v>0</v>
      </c>
      <c r="T242" s="97">
        <f t="shared" si="47"/>
        <v>0</v>
      </c>
      <c r="U242" s="98">
        <f t="shared" si="54"/>
        <v>0</v>
      </c>
      <c r="V242" s="98">
        <f t="shared" si="54"/>
        <v>0</v>
      </c>
      <c r="X242" s="97" t="e">
        <f t="shared" si="48"/>
        <v>#REF!</v>
      </c>
      <c r="Y242" s="97" t="e">
        <f t="shared" si="49"/>
        <v>#REF!</v>
      </c>
      <c r="Z242" s="98" t="e">
        <f t="shared" si="55"/>
        <v>#REF!</v>
      </c>
      <c r="AA242" s="98" t="e">
        <f t="shared" si="55"/>
        <v>#REF!</v>
      </c>
      <c r="AC242" s="97" t="e">
        <f t="shared" si="50"/>
        <v>#REF!</v>
      </c>
      <c r="AD242" s="97" t="e">
        <f t="shared" si="51"/>
        <v>#REF!</v>
      </c>
      <c r="AE242" s="98" t="e">
        <f t="shared" si="56"/>
        <v>#REF!</v>
      </c>
      <c r="AF242" s="98" t="e">
        <f t="shared" si="56"/>
        <v>#REF!</v>
      </c>
      <c r="AH242" s="97" t="e">
        <f t="shared" si="52"/>
        <v>#REF!</v>
      </c>
      <c r="AI242" s="97" t="e">
        <f t="shared" si="53"/>
        <v>#REF!</v>
      </c>
      <c r="AJ242" s="98" t="e">
        <f t="shared" si="57"/>
        <v>#REF!</v>
      </c>
      <c r="AK242" s="98" t="e">
        <f t="shared" si="57"/>
        <v>#REF!</v>
      </c>
    </row>
    <row r="243" spans="1:37">
      <c r="S243" s="97">
        <f t="shared" si="46"/>
        <v>0</v>
      </c>
      <c r="T243" s="97">
        <f t="shared" si="47"/>
        <v>0</v>
      </c>
      <c r="U243" s="98">
        <f t="shared" si="54"/>
        <v>0</v>
      </c>
      <c r="V243" s="98">
        <f t="shared" si="54"/>
        <v>0</v>
      </c>
      <c r="X243" s="97" t="e">
        <f t="shared" si="48"/>
        <v>#REF!</v>
      </c>
      <c r="Y243" s="97" t="e">
        <f t="shared" si="49"/>
        <v>#REF!</v>
      </c>
      <c r="Z243" s="98" t="e">
        <f t="shared" si="55"/>
        <v>#REF!</v>
      </c>
      <c r="AA243" s="98" t="e">
        <f t="shared" si="55"/>
        <v>#REF!</v>
      </c>
      <c r="AC243" s="97" t="e">
        <f t="shared" si="50"/>
        <v>#REF!</v>
      </c>
      <c r="AD243" s="97" t="e">
        <f t="shared" si="51"/>
        <v>#REF!</v>
      </c>
      <c r="AE243" s="98" t="e">
        <f t="shared" si="56"/>
        <v>#REF!</v>
      </c>
      <c r="AF243" s="98" t="e">
        <f t="shared" si="56"/>
        <v>#REF!</v>
      </c>
      <c r="AH243" s="97" t="e">
        <f t="shared" si="52"/>
        <v>#REF!</v>
      </c>
      <c r="AI243" s="97" t="e">
        <f t="shared" si="53"/>
        <v>#REF!</v>
      </c>
      <c r="AJ243" s="98" t="e">
        <f t="shared" si="57"/>
        <v>#REF!</v>
      </c>
      <c r="AK243" s="98" t="e">
        <f t="shared" si="57"/>
        <v>#REF!</v>
      </c>
    </row>
    <row r="244" spans="1:37">
      <c r="S244" s="97">
        <f t="shared" si="46"/>
        <v>0</v>
      </c>
      <c r="T244" s="97">
        <f t="shared" si="47"/>
        <v>0</v>
      </c>
      <c r="U244" s="98">
        <f t="shared" si="54"/>
        <v>0</v>
      </c>
      <c r="V244" s="98">
        <f t="shared" si="54"/>
        <v>0</v>
      </c>
      <c r="X244" s="97" t="e">
        <f t="shared" si="48"/>
        <v>#REF!</v>
      </c>
      <c r="Y244" s="97" t="e">
        <f t="shared" si="49"/>
        <v>#REF!</v>
      </c>
      <c r="Z244" s="98" t="e">
        <f t="shared" si="55"/>
        <v>#REF!</v>
      </c>
      <c r="AA244" s="98" t="e">
        <f t="shared" si="55"/>
        <v>#REF!</v>
      </c>
      <c r="AC244" s="97" t="e">
        <f t="shared" si="50"/>
        <v>#REF!</v>
      </c>
      <c r="AD244" s="97" t="e">
        <f t="shared" si="51"/>
        <v>#REF!</v>
      </c>
      <c r="AE244" s="98" t="e">
        <f t="shared" si="56"/>
        <v>#REF!</v>
      </c>
      <c r="AF244" s="98" t="e">
        <f t="shared" si="56"/>
        <v>#REF!</v>
      </c>
      <c r="AH244" s="97" t="e">
        <f t="shared" si="52"/>
        <v>#REF!</v>
      </c>
      <c r="AI244" s="97" t="e">
        <f t="shared" si="53"/>
        <v>#REF!</v>
      </c>
      <c r="AJ244" s="98" t="e">
        <f t="shared" si="57"/>
        <v>#REF!</v>
      </c>
      <c r="AK244" s="98" t="e">
        <f t="shared" si="57"/>
        <v>#REF!</v>
      </c>
    </row>
    <row r="245" spans="1:37">
      <c r="S245" s="97">
        <f t="shared" si="46"/>
        <v>0</v>
      </c>
      <c r="T245" s="97">
        <f t="shared" si="47"/>
        <v>0</v>
      </c>
      <c r="U245" s="98">
        <f t="shared" si="54"/>
        <v>0</v>
      </c>
      <c r="V245" s="98">
        <f t="shared" si="54"/>
        <v>0</v>
      </c>
      <c r="X245" s="97" t="e">
        <f t="shared" si="48"/>
        <v>#REF!</v>
      </c>
      <c r="Y245" s="97" t="e">
        <f t="shared" si="49"/>
        <v>#REF!</v>
      </c>
      <c r="Z245" s="98" t="e">
        <f t="shared" si="55"/>
        <v>#REF!</v>
      </c>
      <c r="AA245" s="98" t="e">
        <f t="shared" si="55"/>
        <v>#REF!</v>
      </c>
      <c r="AC245" s="97" t="e">
        <f t="shared" si="50"/>
        <v>#REF!</v>
      </c>
      <c r="AD245" s="97" t="e">
        <f t="shared" si="51"/>
        <v>#REF!</v>
      </c>
      <c r="AE245" s="98" t="e">
        <f t="shared" si="56"/>
        <v>#REF!</v>
      </c>
      <c r="AF245" s="98" t="e">
        <f t="shared" si="56"/>
        <v>#REF!</v>
      </c>
      <c r="AH245" s="97" t="e">
        <f t="shared" si="52"/>
        <v>#REF!</v>
      </c>
      <c r="AI245" s="97" t="e">
        <f t="shared" si="53"/>
        <v>#REF!</v>
      </c>
      <c r="AJ245" s="98" t="e">
        <f t="shared" si="57"/>
        <v>#REF!</v>
      </c>
      <c r="AK245" s="98" t="e">
        <f t="shared" si="57"/>
        <v>#REF!</v>
      </c>
    </row>
    <row r="246" spans="1:37">
      <c r="S246" s="97">
        <f t="shared" si="46"/>
        <v>0</v>
      </c>
      <c r="T246" s="97">
        <f t="shared" si="47"/>
        <v>0</v>
      </c>
      <c r="U246" s="98">
        <f t="shared" si="54"/>
        <v>0</v>
      </c>
      <c r="V246" s="98">
        <f t="shared" si="54"/>
        <v>0</v>
      </c>
      <c r="X246" s="97" t="e">
        <f t="shared" si="48"/>
        <v>#REF!</v>
      </c>
      <c r="Y246" s="97" t="e">
        <f t="shared" si="49"/>
        <v>#REF!</v>
      </c>
      <c r="Z246" s="98" t="e">
        <f t="shared" si="55"/>
        <v>#REF!</v>
      </c>
      <c r="AA246" s="98" t="e">
        <f t="shared" si="55"/>
        <v>#REF!</v>
      </c>
      <c r="AC246" s="97" t="e">
        <f t="shared" si="50"/>
        <v>#REF!</v>
      </c>
      <c r="AD246" s="97" t="e">
        <f t="shared" si="51"/>
        <v>#REF!</v>
      </c>
      <c r="AE246" s="98" t="e">
        <f t="shared" si="56"/>
        <v>#REF!</v>
      </c>
      <c r="AF246" s="98" t="e">
        <f t="shared" si="56"/>
        <v>#REF!</v>
      </c>
      <c r="AH246" s="97" t="e">
        <f t="shared" si="52"/>
        <v>#REF!</v>
      </c>
      <c r="AI246" s="97" t="e">
        <f t="shared" si="53"/>
        <v>#REF!</v>
      </c>
      <c r="AJ246" s="98" t="e">
        <f t="shared" si="57"/>
        <v>#REF!</v>
      </c>
      <c r="AK246" s="98" t="e">
        <f t="shared" si="57"/>
        <v>#REF!</v>
      </c>
    </row>
    <row r="247" spans="1:37">
      <c r="S247" s="97">
        <f t="shared" si="46"/>
        <v>0</v>
      </c>
      <c r="T247" s="97">
        <f t="shared" si="47"/>
        <v>0</v>
      </c>
      <c r="U247" s="98">
        <f t="shared" si="54"/>
        <v>0</v>
      </c>
      <c r="V247" s="98">
        <f t="shared" si="54"/>
        <v>0</v>
      </c>
      <c r="X247" s="97" t="e">
        <f t="shared" si="48"/>
        <v>#REF!</v>
      </c>
      <c r="Y247" s="97" t="e">
        <f t="shared" si="49"/>
        <v>#REF!</v>
      </c>
      <c r="Z247" s="98" t="e">
        <f t="shared" si="55"/>
        <v>#REF!</v>
      </c>
      <c r="AA247" s="98" t="e">
        <f t="shared" si="55"/>
        <v>#REF!</v>
      </c>
      <c r="AC247" s="97" t="e">
        <f t="shared" si="50"/>
        <v>#REF!</v>
      </c>
      <c r="AD247" s="97" t="e">
        <f t="shared" si="51"/>
        <v>#REF!</v>
      </c>
      <c r="AE247" s="98" t="e">
        <f t="shared" si="56"/>
        <v>#REF!</v>
      </c>
      <c r="AF247" s="98" t="e">
        <f t="shared" si="56"/>
        <v>#REF!</v>
      </c>
      <c r="AH247" s="97" t="e">
        <f t="shared" si="52"/>
        <v>#REF!</v>
      </c>
      <c r="AI247" s="97" t="e">
        <f t="shared" si="53"/>
        <v>#REF!</v>
      </c>
      <c r="AJ247" s="98" t="e">
        <f t="shared" si="57"/>
        <v>#REF!</v>
      </c>
      <c r="AK247" s="98" t="e">
        <f t="shared" si="57"/>
        <v>#REF!</v>
      </c>
    </row>
    <row r="248" spans="1:37">
      <c r="S248" s="97">
        <f t="shared" si="46"/>
        <v>0</v>
      </c>
      <c r="T248" s="97">
        <f t="shared" si="47"/>
        <v>0</v>
      </c>
      <c r="U248" s="98">
        <f t="shared" si="54"/>
        <v>0</v>
      </c>
      <c r="V248" s="98">
        <f t="shared" si="54"/>
        <v>0</v>
      </c>
      <c r="X248" s="97" t="e">
        <f t="shared" si="48"/>
        <v>#REF!</v>
      </c>
      <c r="Y248" s="97" t="e">
        <f t="shared" si="49"/>
        <v>#REF!</v>
      </c>
      <c r="Z248" s="98" t="e">
        <f t="shared" si="55"/>
        <v>#REF!</v>
      </c>
      <c r="AA248" s="98" t="e">
        <f t="shared" si="55"/>
        <v>#REF!</v>
      </c>
      <c r="AC248" s="97" t="e">
        <f t="shared" si="50"/>
        <v>#REF!</v>
      </c>
      <c r="AD248" s="97" t="e">
        <f t="shared" si="51"/>
        <v>#REF!</v>
      </c>
      <c r="AE248" s="98" t="e">
        <f t="shared" si="56"/>
        <v>#REF!</v>
      </c>
      <c r="AF248" s="98" t="e">
        <f t="shared" si="56"/>
        <v>#REF!</v>
      </c>
      <c r="AH248" s="97" t="e">
        <f t="shared" si="52"/>
        <v>#REF!</v>
      </c>
      <c r="AI248" s="97" t="e">
        <f t="shared" si="53"/>
        <v>#REF!</v>
      </c>
      <c r="AJ248" s="98" t="e">
        <f t="shared" si="57"/>
        <v>#REF!</v>
      </c>
      <c r="AK248" s="98" t="e">
        <f t="shared" si="57"/>
        <v>#REF!</v>
      </c>
    </row>
    <row r="249" spans="1:37">
      <c r="S249" s="97">
        <f t="shared" si="46"/>
        <v>0</v>
      </c>
      <c r="T249" s="97">
        <f t="shared" si="47"/>
        <v>0</v>
      </c>
      <c r="U249" s="98">
        <f t="shared" si="54"/>
        <v>0</v>
      </c>
      <c r="V249" s="98">
        <f t="shared" si="54"/>
        <v>0</v>
      </c>
      <c r="X249" s="97" t="e">
        <f t="shared" si="48"/>
        <v>#REF!</v>
      </c>
      <c r="Y249" s="97" t="e">
        <f t="shared" si="49"/>
        <v>#REF!</v>
      </c>
      <c r="Z249" s="98" t="e">
        <f t="shared" si="55"/>
        <v>#REF!</v>
      </c>
      <c r="AA249" s="98" t="e">
        <f t="shared" si="55"/>
        <v>#REF!</v>
      </c>
      <c r="AC249" s="97" t="e">
        <f t="shared" si="50"/>
        <v>#REF!</v>
      </c>
      <c r="AD249" s="97" t="e">
        <f t="shared" si="51"/>
        <v>#REF!</v>
      </c>
      <c r="AE249" s="98" t="e">
        <f t="shared" si="56"/>
        <v>#REF!</v>
      </c>
      <c r="AF249" s="98" t="e">
        <f t="shared" si="56"/>
        <v>#REF!</v>
      </c>
      <c r="AH249" s="97" t="e">
        <f t="shared" si="52"/>
        <v>#REF!</v>
      </c>
      <c r="AI249" s="97" t="e">
        <f t="shared" si="53"/>
        <v>#REF!</v>
      </c>
      <c r="AJ249" s="98" t="e">
        <f t="shared" si="57"/>
        <v>#REF!</v>
      </c>
      <c r="AK249" s="98" t="e">
        <f t="shared" si="57"/>
        <v>#REF!</v>
      </c>
    </row>
    <row r="250" spans="1:37">
      <c r="S250" s="97">
        <f t="shared" si="46"/>
        <v>0</v>
      </c>
      <c r="T250" s="97">
        <f t="shared" si="47"/>
        <v>0</v>
      </c>
      <c r="U250" s="98">
        <f t="shared" si="54"/>
        <v>0</v>
      </c>
      <c r="V250" s="98">
        <f t="shared" si="54"/>
        <v>0</v>
      </c>
      <c r="X250" s="97" t="e">
        <f t="shared" si="48"/>
        <v>#REF!</v>
      </c>
      <c r="Y250" s="97" t="e">
        <f t="shared" si="49"/>
        <v>#REF!</v>
      </c>
      <c r="Z250" s="98" t="e">
        <f t="shared" si="55"/>
        <v>#REF!</v>
      </c>
      <c r="AA250" s="98" t="e">
        <f t="shared" si="55"/>
        <v>#REF!</v>
      </c>
      <c r="AC250" s="97" t="e">
        <f t="shared" si="50"/>
        <v>#REF!</v>
      </c>
      <c r="AD250" s="97" t="e">
        <f t="shared" si="51"/>
        <v>#REF!</v>
      </c>
      <c r="AE250" s="98" t="e">
        <f t="shared" si="56"/>
        <v>#REF!</v>
      </c>
      <c r="AF250" s="98" t="e">
        <f t="shared" si="56"/>
        <v>#REF!</v>
      </c>
      <c r="AH250" s="97" t="e">
        <f t="shared" si="52"/>
        <v>#REF!</v>
      </c>
      <c r="AI250" s="97" t="e">
        <f t="shared" si="53"/>
        <v>#REF!</v>
      </c>
      <c r="AJ250" s="98" t="e">
        <f t="shared" si="57"/>
        <v>#REF!</v>
      </c>
      <c r="AK250" s="98" t="e">
        <f t="shared" si="57"/>
        <v>#REF!</v>
      </c>
    </row>
    <row r="251" spans="1:37">
      <c r="S251" s="97">
        <f t="shared" si="46"/>
        <v>0</v>
      </c>
      <c r="T251" s="97">
        <f t="shared" si="47"/>
        <v>0</v>
      </c>
      <c r="U251" s="98">
        <f t="shared" si="54"/>
        <v>0</v>
      </c>
      <c r="V251" s="98">
        <f t="shared" si="54"/>
        <v>0</v>
      </c>
      <c r="X251" s="97" t="e">
        <f t="shared" si="48"/>
        <v>#REF!</v>
      </c>
      <c r="Y251" s="97" t="e">
        <f t="shared" si="49"/>
        <v>#REF!</v>
      </c>
      <c r="Z251" s="98" t="e">
        <f t="shared" si="55"/>
        <v>#REF!</v>
      </c>
      <c r="AA251" s="98" t="e">
        <f t="shared" si="55"/>
        <v>#REF!</v>
      </c>
      <c r="AC251" s="97" t="e">
        <f t="shared" si="50"/>
        <v>#REF!</v>
      </c>
      <c r="AD251" s="97" t="e">
        <f t="shared" si="51"/>
        <v>#REF!</v>
      </c>
      <c r="AE251" s="98" t="e">
        <f t="shared" si="56"/>
        <v>#REF!</v>
      </c>
      <c r="AF251" s="98" t="e">
        <f t="shared" si="56"/>
        <v>#REF!</v>
      </c>
      <c r="AH251" s="97" t="e">
        <f t="shared" si="52"/>
        <v>#REF!</v>
      </c>
      <c r="AI251" s="97" t="e">
        <f t="shared" si="53"/>
        <v>#REF!</v>
      </c>
      <c r="AJ251" s="98" t="e">
        <f t="shared" si="57"/>
        <v>#REF!</v>
      </c>
      <c r="AK251" s="98" t="e">
        <f t="shared" si="57"/>
        <v>#REF!</v>
      </c>
    </row>
    <row r="252" spans="1:37">
      <c r="S252" s="97">
        <f t="shared" si="46"/>
        <v>0</v>
      </c>
      <c r="T252" s="97">
        <f t="shared" si="47"/>
        <v>0</v>
      </c>
      <c r="U252" s="98">
        <f t="shared" si="54"/>
        <v>0</v>
      </c>
      <c r="V252" s="98">
        <f t="shared" si="54"/>
        <v>0</v>
      </c>
      <c r="X252" s="97" t="e">
        <f t="shared" si="48"/>
        <v>#REF!</v>
      </c>
      <c r="Y252" s="97" t="e">
        <f t="shared" si="49"/>
        <v>#REF!</v>
      </c>
      <c r="Z252" s="98" t="e">
        <f t="shared" si="55"/>
        <v>#REF!</v>
      </c>
      <c r="AA252" s="98" t="e">
        <f t="shared" si="55"/>
        <v>#REF!</v>
      </c>
      <c r="AC252" s="97" t="e">
        <f t="shared" si="50"/>
        <v>#REF!</v>
      </c>
      <c r="AD252" s="97" t="e">
        <f t="shared" si="51"/>
        <v>#REF!</v>
      </c>
      <c r="AE252" s="98" t="e">
        <f t="shared" si="56"/>
        <v>#REF!</v>
      </c>
      <c r="AF252" s="98" t="e">
        <f t="shared" si="56"/>
        <v>#REF!</v>
      </c>
      <c r="AH252" s="97" t="e">
        <f t="shared" si="52"/>
        <v>#REF!</v>
      </c>
      <c r="AI252" s="97" t="e">
        <f t="shared" si="53"/>
        <v>#REF!</v>
      </c>
      <c r="AJ252" s="98" t="e">
        <f t="shared" si="57"/>
        <v>#REF!</v>
      </c>
      <c r="AK252" s="98" t="e">
        <f t="shared" si="57"/>
        <v>#REF!</v>
      </c>
    </row>
    <row r="253" spans="1:37">
      <c r="S253" s="97">
        <f t="shared" si="46"/>
        <v>0</v>
      </c>
      <c r="T253" s="97">
        <f t="shared" si="47"/>
        <v>0</v>
      </c>
      <c r="U253" s="98">
        <f t="shared" si="54"/>
        <v>0</v>
      </c>
      <c r="V253" s="98">
        <f t="shared" si="54"/>
        <v>0</v>
      </c>
      <c r="X253" s="97" t="e">
        <f t="shared" si="48"/>
        <v>#REF!</v>
      </c>
      <c r="Y253" s="97" t="e">
        <f t="shared" si="49"/>
        <v>#REF!</v>
      </c>
      <c r="Z253" s="98" t="e">
        <f t="shared" si="55"/>
        <v>#REF!</v>
      </c>
      <c r="AA253" s="98" t="e">
        <f t="shared" si="55"/>
        <v>#REF!</v>
      </c>
      <c r="AC253" s="97" t="e">
        <f t="shared" si="50"/>
        <v>#REF!</v>
      </c>
      <c r="AD253" s="97" t="e">
        <f t="shared" si="51"/>
        <v>#REF!</v>
      </c>
      <c r="AE253" s="98" t="e">
        <f t="shared" si="56"/>
        <v>#REF!</v>
      </c>
      <c r="AF253" s="98" t="e">
        <f t="shared" si="56"/>
        <v>#REF!</v>
      </c>
      <c r="AH253" s="97" t="e">
        <f t="shared" si="52"/>
        <v>#REF!</v>
      </c>
      <c r="AI253" s="97" t="e">
        <f t="shared" si="53"/>
        <v>#REF!</v>
      </c>
      <c r="AJ253" s="98" t="e">
        <f t="shared" si="57"/>
        <v>#REF!</v>
      </c>
      <c r="AK253" s="98" t="e">
        <f t="shared" si="57"/>
        <v>#REF!</v>
      </c>
    </row>
    <row r="254" spans="1:37">
      <c r="S254" s="97">
        <f t="shared" si="46"/>
        <v>0</v>
      </c>
      <c r="T254" s="97">
        <f t="shared" si="47"/>
        <v>0</v>
      </c>
      <c r="U254" s="98">
        <f t="shared" si="54"/>
        <v>0</v>
      </c>
      <c r="V254" s="98">
        <f t="shared" si="54"/>
        <v>0</v>
      </c>
      <c r="X254" s="97" t="e">
        <f t="shared" si="48"/>
        <v>#REF!</v>
      </c>
      <c r="Y254" s="97" t="e">
        <f t="shared" si="49"/>
        <v>#REF!</v>
      </c>
      <c r="Z254" s="98" t="e">
        <f t="shared" si="55"/>
        <v>#REF!</v>
      </c>
      <c r="AA254" s="98" t="e">
        <f t="shared" si="55"/>
        <v>#REF!</v>
      </c>
      <c r="AC254" s="97" t="e">
        <f t="shared" si="50"/>
        <v>#REF!</v>
      </c>
      <c r="AD254" s="97" t="e">
        <f t="shared" si="51"/>
        <v>#REF!</v>
      </c>
      <c r="AE254" s="98" t="e">
        <f t="shared" si="56"/>
        <v>#REF!</v>
      </c>
      <c r="AF254" s="98" t="e">
        <f t="shared" si="56"/>
        <v>#REF!</v>
      </c>
      <c r="AH254" s="97" t="e">
        <f t="shared" si="52"/>
        <v>#REF!</v>
      </c>
      <c r="AI254" s="97" t="e">
        <f t="shared" si="53"/>
        <v>#REF!</v>
      </c>
      <c r="AJ254" s="98" t="e">
        <f t="shared" si="57"/>
        <v>#REF!</v>
      </c>
      <c r="AK254" s="98" t="e">
        <f t="shared" si="57"/>
        <v>#REF!</v>
      </c>
    </row>
    <row r="255" spans="1:37">
      <c r="S255" s="97">
        <f t="shared" si="46"/>
        <v>0</v>
      </c>
      <c r="T255" s="97">
        <f t="shared" si="47"/>
        <v>0</v>
      </c>
      <c r="U255" s="98">
        <f t="shared" si="54"/>
        <v>0</v>
      </c>
      <c r="V255" s="98">
        <f t="shared" si="54"/>
        <v>0</v>
      </c>
      <c r="X255" s="97" t="e">
        <f t="shared" si="48"/>
        <v>#REF!</v>
      </c>
      <c r="Y255" s="97" t="e">
        <f t="shared" si="49"/>
        <v>#REF!</v>
      </c>
      <c r="Z255" s="98" t="e">
        <f t="shared" si="55"/>
        <v>#REF!</v>
      </c>
      <c r="AA255" s="98" t="e">
        <f t="shared" si="55"/>
        <v>#REF!</v>
      </c>
      <c r="AC255" s="97" t="e">
        <f t="shared" si="50"/>
        <v>#REF!</v>
      </c>
      <c r="AD255" s="97" t="e">
        <f t="shared" si="51"/>
        <v>#REF!</v>
      </c>
      <c r="AE255" s="98" t="e">
        <f t="shared" si="56"/>
        <v>#REF!</v>
      </c>
      <c r="AF255" s="98" t="e">
        <f t="shared" si="56"/>
        <v>#REF!</v>
      </c>
      <c r="AH255" s="97" t="e">
        <f t="shared" si="52"/>
        <v>#REF!</v>
      </c>
      <c r="AI255" s="97" t="e">
        <f t="shared" si="53"/>
        <v>#REF!</v>
      </c>
      <c r="AJ255" s="98" t="e">
        <f t="shared" si="57"/>
        <v>#REF!</v>
      </c>
      <c r="AK255" s="98" t="e">
        <f t="shared" si="57"/>
        <v>#REF!</v>
      </c>
    </row>
    <row r="256" spans="1:37">
      <c r="S256" s="97">
        <f t="shared" si="46"/>
        <v>0</v>
      </c>
      <c r="T256" s="97">
        <f t="shared" si="47"/>
        <v>0</v>
      </c>
      <c r="U256" s="98">
        <f t="shared" si="54"/>
        <v>0</v>
      </c>
      <c r="V256" s="98">
        <f t="shared" si="54"/>
        <v>0</v>
      </c>
      <c r="X256" s="97" t="e">
        <f t="shared" si="48"/>
        <v>#REF!</v>
      </c>
      <c r="Y256" s="97" t="e">
        <f t="shared" si="49"/>
        <v>#REF!</v>
      </c>
      <c r="Z256" s="98" t="e">
        <f t="shared" si="55"/>
        <v>#REF!</v>
      </c>
      <c r="AA256" s="98" t="e">
        <f t="shared" si="55"/>
        <v>#REF!</v>
      </c>
      <c r="AC256" s="97" t="e">
        <f t="shared" si="50"/>
        <v>#REF!</v>
      </c>
      <c r="AD256" s="97" t="e">
        <f t="shared" si="51"/>
        <v>#REF!</v>
      </c>
      <c r="AE256" s="98" t="e">
        <f t="shared" si="56"/>
        <v>#REF!</v>
      </c>
      <c r="AF256" s="98" t="e">
        <f t="shared" si="56"/>
        <v>#REF!</v>
      </c>
      <c r="AH256" s="97" t="e">
        <f t="shared" si="52"/>
        <v>#REF!</v>
      </c>
      <c r="AI256" s="97" t="e">
        <f t="shared" si="53"/>
        <v>#REF!</v>
      </c>
      <c r="AJ256" s="98" t="e">
        <f t="shared" si="57"/>
        <v>#REF!</v>
      </c>
      <c r="AK256" s="98" t="e">
        <f t="shared" si="57"/>
        <v>#REF!</v>
      </c>
    </row>
    <row r="257" spans="19:37">
      <c r="S257" s="97">
        <f t="shared" si="46"/>
        <v>0</v>
      </c>
      <c r="T257" s="97">
        <f t="shared" si="47"/>
        <v>0</v>
      </c>
      <c r="U257" s="98">
        <f t="shared" si="54"/>
        <v>0</v>
      </c>
      <c r="V257" s="98">
        <f t="shared" si="54"/>
        <v>0</v>
      </c>
      <c r="X257" s="97" t="e">
        <f t="shared" si="48"/>
        <v>#REF!</v>
      </c>
      <c r="Y257" s="97" t="e">
        <f t="shared" si="49"/>
        <v>#REF!</v>
      </c>
      <c r="Z257" s="98" t="e">
        <f t="shared" si="55"/>
        <v>#REF!</v>
      </c>
      <c r="AA257" s="98" t="e">
        <f t="shared" si="55"/>
        <v>#REF!</v>
      </c>
      <c r="AC257" s="97" t="e">
        <f t="shared" si="50"/>
        <v>#REF!</v>
      </c>
      <c r="AD257" s="97" t="e">
        <f t="shared" si="51"/>
        <v>#REF!</v>
      </c>
      <c r="AE257" s="98" t="e">
        <f t="shared" si="56"/>
        <v>#REF!</v>
      </c>
      <c r="AF257" s="98" t="e">
        <f t="shared" si="56"/>
        <v>#REF!</v>
      </c>
      <c r="AH257" s="97" t="e">
        <f t="shared" si="52"/>
        <v>#REF!</v>
      </c>
      <c r="AI257" s="97" t="e">
        <f t="shared" si="53"/>
        <v>#REF!</v>
      </c>
      <c r="AJ257" s="98" t="e">
        <f t="shared" si="57"/>
        <v>#REF!</v>
      </c>
      <c r="AK257" s="98" t="e">
        <f t="shared" si="57"/>
        <v>#REF!</v>
      </c>
    </row>
    <row r="258" spans="19:37">
      <c r="S258" s="97">
        <f t="shared" si="46"/>
        <v>0</v>
      </c>
      <c r="T258" s="97">
        <f t="shared" si="47"/>
        <v>0</v>
      </c>
      <c r="U258" s="98">
        <f t="shared" si="54"/>
        <v>0</v>
      </c>
      <c r="V258" s="98">
        <f t="shared" si="54"/>
        <v>0</v>
      </c>
      <c r="X258" s="97" t="e">
        <f t="shared" si="48"/>
        <v>#REF!</v>
      </c>
      <c r="Y258" s="97" t="e">
        <f t="shared" si="49"/>
        <v>#REF!</v>
      </c>
      <c r="Z258" s="98" t="e">
        <f t="shared" si="55"/>
        <v>#REF!</v>
      </c>
      <c r="AA258" s="98" t="e">
        <f t="shared" si="55"/>
        <v>#REF!</v>
      </c>
      <c r="AC258" s="97" t="e">
        <f t="shared" si="50"/>
        <v>#REF!</v>
      </c>
      <c r="AD258" s="97" t="e">
        <f t="shared" si="51"/>
        <v>#REF!</v>
      </c>
      <c r="AE258" s="98" t="e">
        <f t="shared" si="56"/>
        <v>#REF!</v>
      </c>
      <c r="AF258" s="98" t="e">
        <f t="shared" si="56"/>
        <v>#REF!</v>
      </c>
      <c r="AH258" s="97" t="e">
        <f t="shared" si="52"/>
        <v>#REF!</v>
      </c>
      <c r="AI258" s="97" t="e">
        <f t="shared" si="53"/>
        <v>#REF!</v>
      </c>
      <c r="AJ258" s="98" t="e">
        <f t="shared" si="57"/>
        <v>#REF!</v>
      </c>
      <c r="AK258" s="98" t="e">
        <f t="shared" si="57"/>
        <v>#REF!</v>
      </c>
    </row>
    <row r="259" spans="19:37">
      <c r="S259" s="97">
        <f t="shared" si="46"/>
        <v>0</v>
      </c>
      <c r="T259" s="97">
        <f t="shared" si="47"/>
        <v>0</v>
      </c>
      <c r="U259" s="98">
        <f t="shared" si="54"/>
        <v>0</v>
      </c>
      <c r="V259" s="98">
        <f t="shared" si="54"/>
        <v>0</v>
      </c>
      <c r="X259" s="97" t="e">
        <f t="shared" si="48"/>
        <v>#REF!</v>
      </c>
      <c r="Y259" s="97" t="e">
        <f t="shared" si="49"/>
        <v>#REF!</v>
      </c>
      <c r="Z259" s="98" t="e">
        <f t="shared" si="55"/>
        <v>#REF!</v>
      </c>
      <c r="AA259" s="98" t="e">
        <f t="shared" si="55"/>
        <v>#REF!</v>
      </c>
      <c r="AC259" s="97" t="e">
        <f t="shared" si="50"/>
        <v>#REF!</v>
      </c>
      <c r="AD259" s="97" t="e">
        <f t="shared" si="51"/>
        <v>#REF!</v>
      </c>
      <c r="AE259" s="98" t="e">
        <f t="shared" si="56"/>
        <v>#REF!</v>
      </c>
      <c r="AF259" s="98" t="e">
        <f t="shared" si="56"/>
        <v>#REF!</v>
      </c>
      <c r="AH259" s="97" t="e">
        <f t="shared" si="52"/>
        <v>#REF!</v>
      </c>
      <c r="AI259" s="97" t="e">
        <f t="shared" si="53"/>
        <v>#REF!</v>
      </c>
      <c r="AJ259" s="98" t="e">
        <f t="shared" si="57"/>
        <v>#REF!</v>
      </c>
      <c r="AK259" s="98" t="e">
        <f t="shared" si="57"/>
        <v>#REF!</v>
      </c>
    </row>
    <row r="260" spans="19:37">
      <c r="S260" s="97">
        <f t="shared" si="46"/>
        <v>0</v>
      </c>
      <c r="T260" s="97">
        <f t="shared" si="47"/>
        <v>0</v>
      </c>
      <c r="U260" s="98">
        <f t="shared" si="54"/>
        <v>0</v>
      </c>
      <c r="V260" s="98">
        <f t="shared" si="54"/>
        <v>0</v>
      </c>
      <c r="X260" s="97" t="e">
        <f t="shared" si="48"/>
        <v>#REF!</v>
      </c>
      <c r="Y260" s="97" t="e">
        <f t="shared" si="49"/>
        <v>#REF!</v>
      </c>
      <c r="Z260" s="98" t="e">
        <f t="shared" si="55"/>
        <v>#REF!</v>
      </c>
      <c r="AA260" s="98" t="e">
        <f t="shared" si="55"/>
        <v>#REF!</v>
      </c>
      <c r="AC260" s="97" t="e">
        <f t="shared" si="50"/>
        <v>#REF!</v>
      </c>
      <c r="AD260" s="97" t="e">
        <f t="shared" si="51"/>
        <v>#REF!</v>
      </c>
      <c r="AE260" s="98" t="e">
        <f t="shared" si="56"/>
        <v>#REF!</v>
      </c>
      <c r="AF260" s="98" t="e">
        <f t="shared" si="56"/>
        <v>#REF!</v>
      </c>
      <c r="AH260" s="97" t="e">
        <f t="shared" si="52"/>
        <v>#REF!</v>
      </c>
      <c r="AI260" s="97" t="e">
        <f t="shared" si="53"/>
        <v>#REF!</v>
      </c>
      <c r="AJ260" s="98" t="e">
        <f t="shared" si="57"/>
        <v>#REF!</v>
      </c>
      <c r="AK260" s="98" t="e">
        <f t="shared" si="57"/>
        <v>#REF!</v>
      </c>
    </row>
    <row r="261" spans="19:37">
      <c r="S261" s="97">
        <f t="shared" si="46"/>
        <v>0</v>
      </c>
      <c r="T261" s="97">
        <f t="shared" si="47"/>
        <v>0</v>
      </c>
      <c r="U261" s="98">
        <f t="shared" si="54"/>
        <v>0</v>
      </c>
      <c r="V261" s="98">
        <f t="shared" si="54"/>
        <v>0</v>
      </c>
      <c r="X261" s="97" t="e">
        <f t="shared" si="48"/>
        <v>#REF!</v>
      </c>
      <c r="Y261" s="97" t="e">
        <f t="shared" si="49"/>
        <v>#REF!</v>
      </c>
      <c r="Z261" s="98" t="e">
        <f t="shared" si="55"/>
        <v>#REF!</v>
      </c>
      <c r="AA261" s="98" t="e">
        <f t="shared" si="55"/>
        <v>#REF!</v>
      </c>
      <c r="AC261" s="97" t="e">
        <f t="shared" si="50"/>
        <v>#REF!</v>
      </c>
      <c r="AD261" s="97" t="e">
        <f t="shared" si="51"/>
        <v>#REF!</v>
      </c>
      <c r="AE261" s="98" t="e">
        <f t="shared" si="56"/>
        <v>#REF!</v>
      </c>
      <c r="AF261" s="98" t="e">
        <f t="shared" si="56"/>
        <v>#REF!</v>
      </c>
      <c r="AH261" s="97" t="e">
        <f t="shared" si="52"/>
        <v>#REF!</v>
      </c>
      <c r="AI261" s="97" t="e">
        <f t="shared" si="53"/>
        <v>#REF!</v>
      </c>
      <c r="AJ261" s="98" t="e">
        <f t="shared" si="57"/>
        <v>#REF!</v>
      </c>
      <c r="AK261" s="98" t="e">
        <f t="shared" si="57"/>
        <v>#REF!</v>
      </c>
    </row>
    <row r="262" spans="19:37">
      <c r="S262" s="97">
        <f t="shared" si="46"/>
        <v>0</v>
      </c>
      <c r="T262" s="97">
        <f t="shared" si="47"/>
        <v>0</v>
      </c>
      <c r="U262" s="98">
        <f t="shared" si="54"/>
        <v>0</v>
      </c>
      <c r="V262" s="98">
        <f t="shared" si="54"/>
        <v>0</v>
      </c>
      <c r="X262" s="97" t="e">
        <f t="shared" si="48"/>
        <v>#REF!</v>
      </c>
      <c r="Y262" s="97" t="e">
        <f t="shared" si="49"/>
        <v>#REF!</v>
      </c>
      <c r="Z262" s="98" t="e">
        <f t="shared" si="55"/>
        <v>#REF!</v>
      </c>
      <c r="AA262" s="98" t="e">
        <f t="shared" si="55"/>
        <v>#REF!</v>
      </c>
      <c r="AC262" s="97" t="e">
        <f t="shared" si="50"/>
        <v>#REF!</v>
      </c>
      <c r="AD262" s="97" t="e">
        <f t="shared" si="51"/>
        <v>#REF!</v>
      </c>
      <c r="AE262" s="98" t="e">
        <f t="shared" si="56"/>
        <v>#REF!</v>
      </c>
      <c r="AF262" s="98" t="e">
        <f t="shared" si="56"/>
        <v>#REF!</v>
      </c>
      <c r="AH262" s="97" t="e">
        <f t="shared" si="52"/>
        <v>#REF!</v>
      </c>
      <c r="AI262" s="97" t="e">
        <f t="shared" si="53"/>
        <v>#REF!</v>
      </c>
      <c r="AJ262" s="98" t="e">
        <f t="shared" si="57"/>
        <v>#REF!</v>
      </c>
      <c r="AK262" s="98" t="e">
        <f t="shared" si="57"/>
        <v>#REF!</v>
      </c>
    </row>
    <row r="263" spans="19:37">
      <c r="S263" s="97">
        <f t="shared" si="46"/>
        <v>0</v>
      </c>
      <c r="T263" s="97">
        <f t="shared" si="47"/>
        <v>0</v>
      </c>
      <c r="U263" s="98">
        <f t="shared" si="54"/>
        <v>0</v>
      </c>
      <c r="V263" s="98">
        <f t="shared" si="54"/>
        <v>0</v>
      </c>
      <c r="X263" s="97" t="e">
        <f t="shared" si="48"/>
        <v>#REF!</v>
      </c>
      <c r="Y263" s="97" t="e">
        <f t="shared" si="49"/>
        <v>#REF!</v>
      </c>
      <c r="Z263" s="98" t="e">
        <f t="shared" si="55"/>
        <v>#REF!</v>
      </c>
      <c r="AA263" s="98" t="e">
        <f t="shared" si="55"/>
        <v>#REF!</v>
      </c>
      <c r="AC263" s="97" t="e">
        <f t="shared" si="50"/>
        <v>#REF!</v>
      </c>
      <c r="AD263" s="97" t="e">
        <f t="shared" si="51"/>
        <v>#REF!</v>
      </c>
      <c r="AE263" s="98" t="e">
        <f t="shared" si="56"/>
        <v>#REF!</v>
      </c>
      <c r="AF263" s="98" t="e">
        <f t="shared" si="56"/>
        <v>#REF!</v>
      </c>
      <c r="AH263" s="97" t="e">
        <f t="shared" si="52"/>
        <v>#REF!</v>
      </c>
      <c r="AI263" s="97" t="e">
        <f t="shared" si="53"/>
        <v>#REF!</v>
      </c>
      <c r="AJ263" s="98" t="e">
        <f t="shared" si="57"/>
        <v>#REF!</v>
      </c>
      <c r="AK263" s="98" t="e">
        <f t="shared" si="57"/>
        <v>#REF!</v>
      </c>
    </row>
    <row r="264" spans="19:37">
      <c r="S264" s="97">
        <f t="shared" si="46"/>
        <v>0</v>
      </c>
      <c r="T264" s="97">
        <f t="shared" si="47"/>
        <v>0</v>
      </c>
      <c r="U264" s="98">
        <f t="shared" si="54"/>
        <v>0</v>
      </c>
      <c r="V264" s="98">
        <f t="shared" si="54"/>
        <v>0</v>
      </c>
      <c r="X264" s="97" t="e">
        <f t="shared" si="48"/>
        <v>#REF!</v>
      </c>
      <c r="Y264" s="97" t="e">
        <f t="shared" si="49"/>
        <v>#REF!</v>
      </c>
      <c r="Z264" s="98" t="e">
        <f t="shared" si="55"/>
        <v>#REF!</v>
      </c>
      <c r="AA264" s="98" t="e">
        <f t="shared" si="55"/>
        <v>#REF!</v>
      </c>
      <c r="AC264" s="97" t="e">
        <f t="shared" si="50"/>
        <v>#REF!</v>
      </c>
      <c r="AD264" s="97" t="e">
        <f t="shared" si="51"/>
        <v>#REF!</v>
      </c>
      <c r="AE264" s="98" t="e">
        <f t="shared" si="56"/>
        <v>#REF!</v>
      </c>
      <c r="AF264" s="98" t="e">
        <f t="shared" si="56"/>
        <v>#REF!</v>
      </c>
      <c r="AH264" s="97" t="e">
        <f t="shared" si="52"/>
        <v>#REF!</v>
      </c>
      <c r="AI264" s="97" t="e">
        <f t="shared" si="53"/>
        <v>#REF!</v>
      </c>
      <c r="AJ264" s="98" t="e">
        <f t="shared" si="57"/>
        <v>#REF!</v>
      </c>
      <c r="AK264" s="98" t="e">
        <f t="shared" si="57"/>
        <v>#REF!</v>
      </c>
    </row>
    <row r="265" spans="19:37">
      <c r="S265" s="97">
        <f t="shared" si="46"/>
        <v>0</v>
      </c>
      <c r="T265" s="97">
        <f t="shared" si="47"/>
        <v>0</v>
      </c>
      <c r="U265" s="98">
        <f t="shared" si="54"/>
        <v>0</v>
      </c>
      <c r="V265" s="98">
        <f t="shared" si="54"/>
        <v>0</v>
      </c>
      <c r="X265" s="97" t="e">
        <f t="shared" si="48"/>
        <v>#REF!</v>
      </c>
      <c r="Y265" s="97" t="e">
        <f t="shared" si="49"/>
        <v>#REF!</v>
      </c>
      <c r="Z265" s="98" t="e">
        <f t="shared" si="55"/>
        <v>#REF!</v>
      </c>
      <c r="AA265" s="98" t="e">
        <f t="shared" si="55"/>
        <v>#REF!</v>
      </c>
      <c r="AC265" s="97" t="e">
        <f t="shared" si="50"/>
        <v>#REF!</v>
      </c>
      <c r="AD265" s="97" t="e">
        <f t="shared" si="51"/>
        <v>#REF!</v>
      </c>
      <c r="AE265" s="98" t="e">
        <f t="shared" si="56"/>
        <v>#REF!</v>
      </c>
      <c r="AF265" s="98" t="e">
        <f t="shared" si="56"/>
        <v>#REF!</v>
      </c>
      <c r="AH265" s="97" t="e">
        <f t="shared" si="52"/>
        <v>#REF!</v>
      </c>
      <c r="AI265" s="97" t="e">
        <f t="shared" si="53"/>
        <v>#REF!</v>
      </c>
      <c r="AJ265" s="98" t="e">
        <f t="shared" si="57"/>
        <v>#REF!</v>
      </c>
      <c r="AK265" s="98" t="e">
        <f t="shared" si="57"/>
        <v>#REF!</v>
      </c>
    </row>
    <row r="266" spans="19:37">
      <c r="S266" s="97">
        <f t="shared" si="46"/>
        <v>0</v>
      </c>
      <c r="T266" s="97">
        <f t="shared" si="47"/>
        <v>0</v>
      </c>
      <c r="U266" s="98">
        <f t="shared" si="54"/>
        <v>0</v>
      </c>
      <c r="V266" s="98">
        <f t="shared" si="54"/>
        <v>0</v>
      </c>
      <c r="X266" s="97" t="e">
        <f t="shared" si="48"/>
        <v>#REF!</v>
      </c>
      <c r="Y266" s="97" t="e">
        <f t="shared" si="49"/>
        <v>#REF!</v>
      </c>
      <c r="Z266" s="98" t="e">
        <f t="shared" si="55"/>
        <v>#REF!</v>
      </c>
      <c r="AA266" s="98" t="e">
        <f t="shared" si="55"/>
        <v>#REF!</v>
      </c>
      <c r="AC266" s="97" t="e">
        <f t="shared" si="50"/>
        <v>#REF!</v>
      </c>
      <c r="AD266" s="97" t="e">
        <f t="shared" si="51"/>
        <v>#REF!</v>
      </c>
      <c r="AE266" s="98" t="e">
        <f t="shared" si="56"/>
        <v>#REF!</v>
      </c>
      <c r="AF266" s="98" t="e">
        <f t="shared" si="56"/>
        <v>#REF!</v>
      </c>
      <c r="AH266" s="97" t="e">
        <f t="shared" si="52"/>
        <v>#REF!</v>
      </c>
      <c r="AI266" s="97" t="e">
        <f t="shared" si="53"/>
        <v>#REF!</v>
      </c>
      <c r="AJ266" s="98" t="e">
        <f t="shared" si="57"/>
        <v>#REF!</v>
      </c>
      <c r="AK266" s="98" t="e">
        <f t="shared" si="57"/>
        <v>#REF!</v>
      </c>
    </row>
    <row r="267" spans="19:37">
      <c r="S267" s="97">
        <f t="shared" si="46"/>
        <v>0</v>
      </c>
      <c r="T267" s="97">
        <f t="shared" si="47"/>
        <v>0</v>
      </c>
      <c r="U267" s="98">
        <f t="shared" si="54"/>
        <v>0</v>
      </c>
      <c r="V267" s="98">
        <f t="shared" si="54"/>
        <v>0</v>
      </c>
      <c r="X267" s="97" t="e">
        <f t="shared" si="48"/>
        <v>#REF!</v>
      </c>
      <c r="Y267" s="97" t="e">
        <f t="shared" si="49"/>
        <v>#REF!</v>
      </c>
      <c r="Z267" s="98" t="e">
        <f t="shared" si="55"/>
        <v>#REF!</v>
      </c>
      <c r="AA267" s="98" t="e">
        <f t="shared" si="55"/>
        <v>#REF!</v>
      </c>
      <c r="AC267" s="97" t="e">
        <f t="shared" si="50"/>
        <v>#REF!</v>
      </c>
      <c r="AD267" s="97" t="e">
        <f t="shared" si="51"/>
        <v>#REF!</v>
      </c>
      <c r="AE267" s="98" t="e">
        <f t="shared" si="56"/>
        <v>#REF!</v>
      </c>
      <c r="AF267" s="98" t="e">
        <f t="shared" si="56"/>
        <v>#REF!</v>
      </c>
      <c r="AH267" s="97" t="e">
        <f t="shared" si="52"/>
        <v>#REF!</v>
      </c>
      <c r="AI267" s="97" t="e">
        <f t="shared" si="53"/>
        <v>#REF!</v>
      </c>
      <c r="AJ267" s="98" t="e">
        <f t="shared" si="57"/>
        <v>#REF!</v>
      </c>
      <c r="AK267" s="98" t="e">
        <f t="shared" si="57"/>
        <v>#REF!</v>
      </c>
    </row>
    <row r="268" spans="19:37">
      <c r="S268" s="97">
        <f t="shared" si="46"/>
        <v>0</v>
      </c>
      <c r="T268" s="97">
        <f t="shared" si="47"/>
        <v>0</v>
      </c>
      <c r="U268" s="98">
        <f t="shared" si="54"/>
        <v>0</v>
      </c>
      <c r="V268" s="98">
        <f t="shared" si="54"/>
        <v>0</v>
      </c>
      <c r="X268" s="97" t="e">
        <f t="shared" si="48"/>
        <v>#REF!</v>
      </c>
      <c r="Y268" s="97" t="e">
        <f t="shared" si="49"/>
        <v>#REF!</v>
      </c>
      <c r="Z268" s="98" t="e">
        <f t="shared" si="55"/>
        <v>#REF!</v>
      </c>
      <c r="AA268" s="98" t="e">
        <f t="shared" si="55"/>
        <v>#REF!</v>
      </c>
      <c r="AC268" s="97" t="e">
        <f t="shared" si="50"/>
        <v>#REF!</v>
      </c>
      <c r="AD268" s="97" t="e">
        <f t="shared" si="51"/>
        <v>#REF!</v>
      </c>
      <c r="AE268" s="98" t="e">
        <f t="shared" si="56"/>
        <v>#REF!</v>
      </c>
      <c r="AF268" s="98" t="e">
        <f t="shared" si="56"/>
        <v>#REF!</v>
      </c>
      <c r="AH268" s="97" t="e">
        <f t="shared" si="52"/>
        <v>#REF!</v>
      </c>
      <c r="AI268" s="97" t="e">
        <f t="shared" si="53"/>
        <v>#REF!</v>
      </c>
      <c r="AJ268" s="98" t="e">
        <f t="shared" si="57"/>
        <v>#REF!</v>
      </c>
      <c r="AK268" s="98" t="e">
        <f t="shared" si="57"/>
        <v>#REF!</v>
      </c>
    </row>
    <row r="269" spans="19:37">
      <c r="S269" s="97">
        <f t="shared" si="46"/>
        <v>0</v>
      </c>
      <c r="T269" s="97">
        <f t="shared" si="47"/>
        <v>0</v>
      </c>
      <c r="U269" s="98">
        <f t="shared" si="54"/>
        <v>0</v>
      </c>
      <c r="V269" s="98">
        <f t="shared" si="54"/>
        <v>0</v>
      </c>
      <c r="X269" s="97" t="e">
        <f t="shared" si="48"/>
        <v>#REF!</v>
      </c>
      <c r="Y269" s="97" t="e">
        <f t="shared" si="49"/>
        <v>#REF!</v>
      </c>
      <c r="Z269" s="98" t="e">
        <f t="shared" si="55"/>
        <v>#REF!</v>
      </c>
      <c r="AA269" s="98" t="e">
        <f t="shared" si="55"/>
        <v>#REF!</v>
      </c>
      <c r="AC269" s="97" t="e">
        <f t="shared" si="50"/>
        <v>#REF!</v>
      </c>
      <c r="AD269" s="97" t="e">
        <f t="shared" si="51"/>
        <v>#REF!</v>
      </c>
      <c r="AE269" s="98" t="e">
        <f t="shared" si="56"/>
        <v>#REF!</v>
      </c>
      <c r="AF269" s="98" t="e">
        <f t="shared" si="56"/>
        <v>#REF!</v>
      </c>
      <c r="AH269" s="97" t="e">
        <f t="shared" si="52"/>
        <v>#REF!</v>
      </c>
      <c r="AI269" s="97" t="e">
        <f t="shared" si="53"/>
        <v>#REF!</v>
      </c>
      <c r="AJ269" s="98" t="e">
        <f t="shared" si="57"/>
        <v>#REF!</v>
      </c>
      <c r="AK269" s="98" t="e">
        <f t="shared" si="57"/>
        <v>#REF!</v>
      </c>
    </row>
    <row r="270" spans="19:37">
      <c r="S270" s="97">
        <f t="shared" ref="S270:S333" si="58">IF($A270&lt;&gt;"(DC)", $E270*$R$7, $E270)</f>
        <v>0</v>
      </c>
      <c r="T270" s="97">
        <f t="shared" ref="T270:T333" si="59">IF($A270&lt;&gt;"(DC)", $F270*$R$7, $F270)</f>
        <v>0</v>
      </c>
      <c r="U270" s="98">
        <f t="shared" si="54"/>
        <v>0</v>
      </c>
      <c r="V270" s="98">
        <f t="shared" si="54"/>
        <v>0</v>
      </c>
      <c r="X270" s="97" t="e">
        <f t="shared" ref="X270:X333" si="60">IF($A270&lt;&gt;"(DC)", $E270*$W$7, $E270)</f>
        <v>#REF!</v>
      </c>
      <c r="Y270" s="97" t="e">
        <f t="shared" ref="Y270:Y333" si="61">IF($A270&lt;&gt;"(DC)", $F270*$W$7, $F270)</f>
        <v>#REF!</v>
      </c>
      <c r="Z270" s="98" t="e">
        <f t="shared" si="55"/>
        <v>#REF!</v>
      </c>
      <c r="AA270" s="98" t="e">
        <f t="shared" si="55"/>
        <v>#REF!</v>
      </c>
      <c r="AC270" s="97" t="e">
        <f t="shared" ref="AC270:AC333" si="62">IF($A270&lt;&gt;"(DC)", $E270*$AB$7, $E270)</f>
        <v>#REF!</v>
      </c>
      <c r="AD270" s="97" t="e">
        <f t="shared" ref="AD270:AD333" si="63">IF($A270&lt;&gt;"(DC)", $F270*$AB$7, $F270)</f>
        <v>#REF!</v>
      </c>
      <c r="AE270" s="98" t="e">
        <f t="shared" si="56"/>
        <v>#REF!</v>
      </c>
      <c r="AF270" s="98" t="e">
        <f t="shared" si="56"/>
        <v>#REF!</v>
      </c>
      <c r="AH270" s="97" t="e">
        <f t="shared" ref="AH270:AH333" si="64">IF($A270&lt;&gt;"(DC)", $E270*$AG$7, $E270)</f>
        <v>#REF!</v>
      </c>
      <c r="AI270" s="97" t="e">
        <f t="shared" ref="AI270:AI333" si="65">IF($A270&lt;&gt;"(DC)", $F270*$AG$7, $F270)</f>
        <v>#REF!</v>
      </c>
      <c r="AJ270" s="98" t="e">
        <f t="shared" si="57"/>
        <v>#REF!</v>
      </c>
      <c r="AK270" s="98" t="e">
        <f t="shared" si="57"/>
        <v>#REF!</v>
      </c>
    </row>
    <row r="271" spans="19:37">
      <c r="S271" s="97">
        <f t="shared" si="58"/>
        <v>0</v>
      </c>
      <c r="T271" s="97">
        <f t="shared" si="59"/>
        <v>0</v>
      </c>
      <c r="U271" s="98">
        <f t="shared" si="54"/>
        <v>0</v>
      </c>
      <c r="V271" s="98">
        <f t="shared" si="54"/>
        <v>0</v>
      </c>
      <c r="X271" s="97" t="e">
        <f t="shared" si="60"/>
        <v>#REF!</v>
      </c>
      <c r="Y271" s="97" t="e">
        <f t="shared" si="61"/>
        <v>#REF!</v>
      </c>
      <c r="Z271" s="98" t="e">
        <f t="shared" si="55"/>
        <v>#REF!</v>
      </c>
      <c r="AA271" s="98" t="e">
        <f t="shared" si="55"/>
        <v>#REF!</v>
      </c>
      <c r="AC271" s="97" t="e">
        <f t="shared" si="62"/>
        <v>#REF!</v>
      </c>
      <c r="AD271" s="97" t="e">
        <f t="shared" si="63"/>
        <v>#REF!</v>
      </c>
      <c r="AE271" s="98" t="e">
        <f t="shared" si="56"/>
        <v>#REF!</v>
      </c>
      <c r="AF271" s="98" t="e">
        <f t="shared" si="56"/>
        <v>#REF!</v>
      </c>
      <c r="AH271" s="97" t="e">
        <f t="shared" si="64"/>
        <v>#REF!</v>
      </c>
      <c r="AI271" s="97" t="e">
        <f t="shared" si="65"/>
        <v>#REF!</v>
      </c>
      <c r="AJ271" s="98" t="e">
        <f t="shared" si="57"/>
        <v>#REF!</v>
      </c>
      <c r="AK271" s="98" t="e">
        <f t="shared" si="57"/>
        <v>#REF!</v>
      </c>
    </row>
    <row r="272" spans="19:37">
      <c r="S272" s="97">
        <f t="shared" si="58"/>
        <v>0</v>
      </c>
      <c r="T272" s="97">
        <f t="shared" si="59"/>
        <v>0</v>
      </c>
      <c r="U272" s="98">
        <f t="shared" si="54"/>
        <v>0</v>
      </c>
      <c r="V272" s="98">
        <f t="shared" si="54"/>
        <v>0</v>
      </c>
      <c r="X272" s="97" t="e">
        <f t="shared" si="60"/>
        <v>#REF!</v>
      </c>
      <c r="Y272" s="97" t="e">
        <f t="shared" si="61"/>
        <v>#REF!</v>
      </c>
      <c r="Z272" s="98" t="e">
        <f t="shared" si="55"/>
        <v>#REF!</v>
      </c>
      <c r="AA272" s="98" t="e">
        <f t="shared" si="55"/>
        <v>#REF!</v>
      </c>
      <c r="AC272" s="97" t="e">
        <f t="shared" si="62"/>
        <v>#REF!</v>
      </c>
      <c r="AD272" s="97" t="e">
        <f t="shared" si="63"/>
        <v>#REF!</v>
      </c>
      <c r="AE272" s="98" t="e">
        <f t="shared" si="56"/>
        <v>#REF!</v>
      </c>
      <c r="AF272" s="98" t="e">
        <f t="shared" si="56"/>
        <v>#REF!</v>
      </c>
      <c r="AH272" s="97" t="e">
        <f t="shared" si="64"/>
        <v>#REF!</v>
      </c>
      <c r="AI272" s="97" t="e">
        <f t="shared" si="65"/>
        <v>#REF!</v>
      </c>
      <c r="AJ272" s="98" t="e">
        <f t="shared" si="57"/>
        <v>#REF!</v>
      </c>
      <c r="AK272" s="98" t="e">
        <f t="shared" si="57"/>
        <v>#REF!</v>
      </c>
    </row>
    <row r="273" spans="19:37">
      <c r="S273" s="97">
        <f t="shared" si="58"/>
        <v>0</v>
      </c>
      <c r="T273" s="97">
        <f t="shared" si="59"/>
        <v>0</v>
      </c>
      <c r="U273" s="98">
        <f t="shared" si="54"/>
        <v>0</v>
      </c>
      <c r="V273" s="98">
        <f t="shared" si="54"/>
        <v>0</v>
      </c>
      <c r="X273" s="97" t="e">
        <f t="shared" si="60"/>
        <v>#REF!</v>
      </c>
      <c r="Y273" s="97" t="e">
        <f t="shared" si="61"/>
        <v>#REF!</v>
      </c>
      <c r="Z273" s="98" t="e">
        <f t="shared" si="55"/>
        <v>#REF!</v>
      </c>
      <c r="AA273" s="98" t="e">
        <f t="shared" si="55"/>
        <v>#REF!</v>
      </c>
      <c r="AC273" s="97" t="e">
        <f t="shared" si="62"/>
        <v>#REF!</v>
      </c>
      <c r="AD273" s="97" t="e">
        <f t="shared" si="63"/>
        <v>#REF!</v>
      </c>
      <c r="AE273" s="98" t="e">
        <f t="shared" si="56"/>
        <v>#REF!</v>
      </c>
      <c r="AF273" s="98" t="e">
        <f t="shared" si="56"/>
        <v>#REF!</v>
      </c>
      <c r="AH273" s="97" t="e">
        <f t="shared" si="64"/>
        <v>#REF!</v>
      </c>
      <c r="AI273" s="97" t="e">
        <f t="shared" si="65"/>
        <v>#REF!</v>
      </c>
      <c r="AJ273" s="98" t="e">
        <f t="shared" si="57"/>
        <v>#REF!</v>
      </c>
      <c r="AK273" s="98" t="e">
        <f t="shared" si="57"/>
        <v>#REF!</v>
      </c>
    </row>
    <row r="274" spans="19:37">
      <c r="S274" s="97">
        <f t="shared" si="58"/>
        <v>0</v>
      </c>
      <c r="T274" s="97">
        <f t="shared" si="59"/>
        <v>0</v>
      </c>
      <c r="U274" s="98">
        <f t="shared" si="54"/>
        <v>0</v>
      </c>
      <c r="V274" s="98">
        <f t="shared" si="54"/>
        <v>0</v>
      </c>
      <c r="X274" s="97" t="e">
        <f t="shared" si="60"/>
        <v>#REF!</v>
      </c>
      <c r="Y274" s="97" t="e">
        <f t="shared" si="61"/>
        <v>#REF!</v>
      </c>
      <c r="Z274" s="98" t="e">
        <f t="shared" si="55"/>
        <v>#REF!</v>
      </c>
      <c r="AA274" s="98" t="e">
        <f t="shared" si="55"/>
        <v>#REF!</v>
      </c>
      <c r="AC274" s="97" t="e">
        <f t="shared" si="62"/>
        <v>#REF!</v>
      </c>
      <c r="AD274" s="97" t="e">
        <f t="shared" si="63"/>
        <v>#REF!</v>
      </c>
      <c r="AE274" s="98" t="e">
        <f t="shared" si="56"/>
        <v>#REF!</v>
      </c>
      <c r="AF274" s="98" t="e">
        <f t="shared" si="56"/>
        <v>#REF!</v>
      </c>
      <c r="AH274" s="97" t="e">
        <f t="shared" si="64"/>
        <v>#REF!</v>
      </c>
      <c r="AI274" s="97" t="e">
        <f t="shared" si="65"/>
        <v>#REF!</v>
      </c>
      <c r="AJ274" s="98" t="e">
        <f t="shared" si="57"/>
        <v>#REF!</v>
      </c>
      <c r="AK274" s="98" t="e">
        <f t="shared" si="57"/>
        <v>#REF!</v>
      </c>
    </row>
    <row r="275" spans="19:37">
      <c r="S275" s="97">
        <f t="shared" si="58"/>
        <v>0</v>
      </c>
      <c r="T275" s="97">
        <f t="shared" si="59"/>
        <v>0</v>
      </c>
      <c r="U275" s="98">
        <f t="shared" si="54"/>
        <v>0</v>
      </c>
      <c r="V275" s="98">
        <f t="shared" si="54"/>
        <v>0</v>
      </c>
      <c r="X275" s="97" t="e">
        <f t="shared" si="60"/>
        <v>#REF!</v>
      </c>
      <c r="Y275" s="97" t="e">
        <f t="shared" si="61"/>
        <v>#REF!</v>
      </c>
      <c r="Z275" s="98" t="e">
        <f t="shared" si="55"/>
        <v>#REF!</v>
      </c>
      <c r="AA275" s="98" t="e">
        <f t="shared" si="55"/>
        <v>#REF!</v>
      </c>
      <c r="AC275" s="97" t="e">
        <f t="shared" si="62"/>
        <v>#REF!</v>
      </c>
      <c r="AD275" s="97" t="e">
        <f t="shared" si="63"/>
        <v>#REF!</v>
      </c>
      <c r="AE275" s="98" t="e">
        <f t="shared" si="56"/>
        <v>#REF!</v>
      </c>
      <c r="AF275" s="98" t="e">
        <f t="shared" si="56"/>
        <v>#REF!</v>
      </c>
      <c r="AH275" s="97" t="e">
        <f t="shared" si="64"/>
        <v>#REF!</v>
      </c>
      <c r="AI275" s="97" t="e">
        <f t="shared" si="65"/>
        <v>#REF!</v>
      </c>
      <c r="AJ275" s="98" t="e">
        <f t="shared" si="57"/>
        <v>#REF!</v>
      </c>
      <c r="AK275" s="98" t="e">
        <f t="shared" si="57"/>
        <v>#REF!</v>
      </c>
    </row>
    <row r="276" spans="19:37">
      <c r="S276" s="97">
        <f t="shared" si="58"/>
        <v>0</v>
      </c>
      <c r="T276" s="97">
        <f t="shared" si="59"/>
        <v>0</v>
      </c>
      <c r="U276" s="98">
        <f t="shared" si="54"/>
        <v>0</v>
      </c>
      <c r="V276" s="98">
        <f t="shared" si="54"/>
        <v>0</v>
      </c>
      <c r="X276" s="97" t="e">
        <f t="shared" si="60"/>
        <v>#REF!</v>
      </c>
      <c r="Y276" s="97" t="e">
        <f t="shared" si="61"/>
        <v>#REF!</v>
      </c>
      <c r="Z276" s="98" t="e">
        <f t="shared" si="55"/>
        <v>#REF!</v>
      </c>
      <c r="AA276" s="98" t="e">
        <f t="shared" si="55"/>
        <v>#REF!</v>
      </c>
      <c r="AC276" s="97" t="e">
        <f t="shared" si="62"/>
        <v>#REF!</v>
      </c>
      <c r="AD276" s="97" t="e">
        <f t="shared" si="63"/>
        <v>#REF!</v>
      </c>
      <c r="AE276" s="98" t="e">
        <f t="shared" si="56"/>
        <v>#REF!</v>
      </c>
      <c r="AF276" s="98" t="e">
        <f t="shared" si="56"/>
        <v>#REF!</v>
      </c>
      <c r="AH276" s="97" t="e">
        <f t="shared" si="64"/>
        <v>#REF!</v>
      </c>
      <c r="AI276" s="97" t="e">
        <f t="shared" si="65"/>
        <v>#REF!</v>
      </c>
      <c r="AJ276" s="98" t="e">
        <f t="shared" si="57"/>
        <v>#REF!</v>
      </c>
      <c r="AK276" s="98" t="e">
        <f t="shared" si="57"/>
        <v>#REF!</v>
      </c>
    </row>
    <row r="277" spans="19:37">
      <c r="S277" s="97">
        <f t="shared" si="58"/>
        <v>0</v>
      </c>
      <c r="T277" s="97">
        <f t="shared" si="59"/>
        <v>0</v>
      </c>
      <c r="U277" s="98">
        <f t="shared" si="54"/>
        <v>0</v>
      </c>
      <c r="V277" s="98">
        <f t="shared" si="54"/>
        <v>0</v>
      </c>
      <c r="X277" s="97" t="e">
        <f t="shared" si="60"/>
        <v>#REF!</v>
      </c>
      <c r="Y277" s="97" t="e">
        <f t="shared" si="61"/>
        <v>#REF!</v>
      </c>
      <c r="Z277" s="98" t="e">
        <f t="shared" si="55"/>
        <v>#REF!</v>
      </c>
      <c r="AA277" s="98" t="e">
        <f t="shared" si="55"/>
        <v>#REF!</v>
      </c>
      <c r="AC277" s="97" t="e">
        <f t="shared" si="62"/>
        <v>#REF!</v>
      </c>
      <c r="AD277" s="97" t="e">
        <f t="shared" si="63"/>
        <v>#REF!</v>
      </c>
      <c r="AE277" s="98" t="e">
        <f t="shared" si="56"/>
        <v>#REF!</v>
      </c>
      <c r="AF277" s="98" t="e">
        <f t="shared" si="56"/>
        <v>#REF!</v>
      </c>
      <c r="AH277" s="97" t="e">
        <f t="shared" si="64"/>
        <v>#REF!</v>
      </c>
      <c r="AI277" s="97" t="e">
        <f t="shared" si="65"/>
        <v>#REF!</v>
      </c>
      <c r="AJ277" s="98" t="e">
        <f t="shared" si="57"/>
        <v>#REF!</v>
      </c>
      <c r="AK277" s="98" t="e">
        <f t="shared" si="57"/>
        <v>#REF!</v>
      </c>
    </row>
    <row r="278" spans="19:37">
      <c r="S278" s="97">
        <f t="shared" si="58"/>
        <v>0</v>
      </c>
      <c r="T278" s="97">
        <f t="shared" si="59"/>
        <v>0</v>
      </c>
      <c r="U278" s="98">
        <f t="shared" si="54"/>
        <v>0</v>
      </c>
      <c r="V278" s="98">
        <f t="shared" si="54"/>
        <v>0</v>
      </c>
      <c r="X278" s="97" t="e">
        <f t="shared" si="60"/>
        <v>#REF!</v>
      </c>
      <c r="Y278" s="97" t="e">
        <f t="shared" si="61"/>
        <v>#REF!</v>
      </c>
      <c r="Z278" s="98" t="e">
        <f t="shared" si="55"/>
        <v>#REF!</v>
      </c>
      <c r="AA278" s="98" t="e">
        <f t="shared" si="55"/>
        <v>#REF!</v>
      </c>
      <c r="AC278" s="97" t="e">
        <f t="shared" si="62"/>
        <v>#REF!</v>
      </c>
      <c r="AD278" s="97" t="e">
        <f t="shared" si="63"/>
        <v>#REF!</v>
      </c>
      <c r="AE278" s="98" t="e">
        <f t="shared" si="56"/>
        <v>#REF!</v>
      </c>
      <c r="AF278" s="98" t="e">
        <f t="shared" si="56"/>
        <v>#REF!</v>
      </c>
      <c r="AH278" s="97" t="e">
        <f t="shared" si="64"/>
        <v>#REF!</v>
      </c>
      <c r="AI278" s="97" t="e">
        <f t="shared" si="65"/>
        <v>#REF!</v>
      </c>
      <c r="AJ278" s="98" t="e">
        <f t="shared" si="57"/>
        <v>#REF!</v>
      </c>
      <c r="AK278" s="98" t="e">
        <f t="shared" si="57"/>
        <v>#REF!</v>
      </c>
    </row>
    <row r="279" spans="19:37">
      <c r="S279" s="97">
        <f t="shared" si="58"/>
        <v>0</v>
      </c>
      <c r="T279" s="97">
        <f t="shared" si="59"/>
        <v>0</v>
      </c>
      <c r="U279" s="98">
        <f t="shared" si="54"/>
        <v>0</v>
      </c>
      <c r="V279" s="98">
        <f t="shared" si="54"/>
        <v>0</v>
      </c>
      <c r="X279" s="97" t="e">
        <f t="shared" si="60"/>
        <v>#REF!</v>
      </c>
      <c r="Y279" s="97" t="e">
        <f t="shared" si="61"/>
        <v>#REF!</v>
      </c>
      <c r="Z279" s="98" t="e">
        <f t="shared" si="55"/>
        <v>#REF!</v>
      </c>
      <c r="AA279" s="98" t="e">
        <f t="shared" si="55"/>
        <v>#REF!</v>
      </c>
      <c r="AC279" s="97" t="e">
        <f t="shared" si="62"/>
        <v>#REF!</v>
      </c>
      <c r="AD279" s="97" t="e">
        <f t="shared" si="63"/>
        <v>#REF!</v>
      </c>
      <c r="AE279" s="98" t="e">
        <f t="shared" si="56"/>
        <v>#REF!</v>
      </c>
      <c r="AF279" s="98" t="e">
        <f t="shared" si="56"/>
        <v>#REF!</v>
      </c>
      <c r="AH279" s="97" t="e">
        <f t="shared" si="64"/>
        <v>#REF!</v>
      </c>
      <c r="AI279" s="97" t="e">
        <f t="shared" si="65"/>
        <v>#REF!</v>
      </c>
      <c r="AJ279" s="98" t="e">
        <f t="shared" si="57"/>
        <v>#REF!</v>
      </c>
      <c r="AK279" s="98" t="e">
        <f t="shared" si="57"/>
        <v>#REF!</v>
      </c>
    </row>
    <row r="280" spans="19:37">
      <c r="S280" s="97">
        <f t="shared" si="58"/>
        <v>0</v>
      </c>
      <c r="T280" s="97">
        <f t="shared" si="59"/>
        <v>0</v>
      </c>
      <c r="U280" s="98">
        <f t="shared" si="54"/>
        <v>0</v>
      </c>
      <c r="V280" s="98">
        <f t="shared" si="54"/>
        <v>0</v>
      </c>
      <c r="X280" s="97" t="e">
        <f t="shared" si="60"/>
        <v>#REF!</v>
      </c>
      <c r="Y280" s="97" t="e">
        <f t="shared" si="61"/>
        <v>#REF!</v>
      </c>
      <c r="Z280" s="98" t="e">
        <f t="shared" si="55"/>
        <v>#REF!</v>
      </c>
      <c r="AA280" s="98" t="e">
        <f t="shared" si="55"/>
        <v>#REF!</v>
      </c>
      <c r="AC280" s="97" t="e">
        <f t="shared" si="62"/>
        <v>#REF!</v>
      </c>
      <c r="AD280" s="97" t="e">
        <f t="shared" si="63"/>
        <v>#REF!</v>
      </c>
      <c r="AE280" s="98" t="e">
        <f t="shared" si="56"/>
        <v>#REF!</v>
      </c>
      <c r="AF280" s="98" t="e">
        <f t="shared" si="56"/>
        <v>#REF!</v>
      </c>
      <c r="AH280" s="97" t="e">
        <f t="shared" si="64"/>
        <v>#REF!</v>
      </c>
      <c r="AI280" s="97" t="e">
        <f t="shared" si="65"/>
        <v>#REF!</v>
      </c>
      <c r="AJ280" s="98" t="e">
        <f t="shared" si="57"/>
        <v>#REF!</v>
      </c>
      <c r="AK280" s="98" t="e">
        <f t="shared" si="57"/>
        <v>#REF!</v>
      </c>
    </row>
    <row r="281" spans="19:37">
      <c r="S281" s="97">
        <f t="shared" si="58"/>
        <v>0</v>
      </c>
      <c r="T281" s="97">
        <f t="shared" si="59"/>
        <v>0</v>
      </c>
      <c r="U281" s="98">
        <f t="shared" si="54"/>
        <v>0</v>
      </c>
      <c r="V281" s="98">
        <f t="shared" si="54"/>
        <v>0</v>
      </c>
      <c r="X281" s="97" t="e">
        <f t="shared" si="60"/>
        <v>#REF!</v>
      </c>
      <c r="Y281" s="97" t="e">
        <f t="shared" si="61"/>
        <v>#REF!</v>
      </c>
      <c r="Z281" s="98" t="e">
        <f t="shared" si="55"/>
        <v>#REF!</v>
      </c>
      <c r="AA281" s="98" t="e">
        <f t="shared" si="55"/>
        <v>#REF!</v>
      </c>
      <c r="AC281" s="97" t="e">
        <f t="shared" si="62"/>
        <v>#REF!</v>
      </c>
      <c r="AD281" s="97" t="e">
        <f t="shared" si="63"/>
        <v>#REF!</v>
      </c>
      <c r="AE281" s="98" t="e">
        <f t="shared" si="56"/>
        <v>#REF!</v>
      </c>
      <c r="AF281" s="98" t="e">
        <f t="shared" si="56"/>
        <v>#REF!</v>
      </c>
      <c r="AH281" s="97" t="e">
        <f t="shared" si="64"/>
        <v>#REF!</v>
      </c>
      <c r="AI281" s="97" t="e">
        <f t="shared" si="65"/>
        <v>#REF!</v>
      </c>
      <c r="AJ281" s="98" t="e">
        <f t="shared" si="57"/>
        <v>#REF!</v>
      </c>
      <c r="AK281" s="98" t="e">
        <f t="shared" si="57"/>
        <v>#REF!</v>
      </c>
    </row>
    <row r="282" spans="19:37">
      <c r="S282" s="97">
        <f t="shared" si="58"/>
        <v>0</v>
      </c>
      <c r="T282" s="97">
        <f t="shared" si="59"/>
        <v>0</v>
      </c>
      <c r="U282" s="98">
        <f t="shared" si="54"/>
        <v>0</v>
      </c>
      <c r="V282" s="98">
        <f t="shared" si="54"/>
        <v>0</v>
      </c>
      <c r="X282" s="97" t="e">
        <f t="shared" si="60"/>
        <v>#REF!</v>
      </c>
      <c r="Y282" s="97" t="e">
        <f t="shared" si="61"/>
        <v>#REF!</v>
      </c>
      <c r="Z282" s="98" t="e">
        <f t="shared" si="55"/>
        <v>#REF!</v>
      </c>
      <c r="AA282" s="98" t="e">
        <f t="shared" si="55"/>
        <v>#REF!</v>
      </c>
      <c r="AC282" s="97" t="e">
        <f t="shared" si="62"/>
        <v>#REF!</v>
      </c>
      <c r="AD282" s="97" t="e">
        <f t="shared" si="63"/>
        <v>#REF!</v>
      </c>
      <c r="AE282" s="98" t="e">
        <f t="shared" si="56"/>
        <v>#REF!</v>
      </c>
      <c r="AF282" s="98" t="e">
        <f t="shared" si="56"/>
        <v>#REF!</v>
      </c>
      <c r="AH282" s="97" t="e">
        <f t="shared" si="64"/>
        <v>#REF!</v>
      </c>
      <c r="AI282" s="97" t="e">
        <f t="shared" si="65"/>
        <v>#REF!</v>
      </c>
      <c r="AJ282" s="98" t="e">
        <f t="shared" si="57"/>
        <v>#REF!</v>
      </c>
      <c r="AK282" s="98" t="e">
        <f t="shared" si="57"/>
        <v>#REF!</v>
      </c>
    </row>
    <row r="283" spans="19:37">
      <c r="S283" s="97">
        <f t="shared" si="58"/>
        <v>0</v>
      </c>
      <c r="T283" s="97">
        <f t="shared" si="59"/>
        <v>0</v>
      </c>
      <c r="U283" s="98">
        <f t="shared" si="54"/>
        <v>0</v>
      </c>
      <c r="V283" s="98">
        <f t="shared" si="54"/>
        <v>0</v>
      </c>
      <c r="X283" s="97" t="e">
        <f t="shared" si="60"/>
        <v>#REF!</v>
      </c>
      <c r="Y283" s="97" t="e">
        <f t="shared" si="61"/>
        <v>#REF!</v>
      </c>
      <c r="Z283" s="98" t="e">
        <f t="shared" si="55"/>
        <v>#REF!</v>
      </c>
      <c r="AA283" s="98" t="e">
        <f t="shared" si="55"/>
        <v>#REF!</v>
      </c>
      <c r="AC283" s="97" t="e">
        <f t="shared" si="62"/>
        <v>#REF!</v>
      </c>
      <c r="AD283" s="97" t="e">
        <f t="shared" si="63"/>
        <v>#REF!</v>
      </c>
      <c r="AE283" s="98" t="e">
        <f t="shared" si="56"/>
        <v>#REF!</v>
      </c>
      <c r="AF283" s="98" t="e">
        <f t="shared" si="56"/>
        <v>#REF!</v>
      </c>
      <c r="AH283" s="97" t="e">
        <f t="shared" si="64"/>
        <v>#REF!</v>
      </c>
      <c r="AI283" s="97" t="e">
        <f t="shared" si="65"/>
        <v>#REF!</v>
      </c>
      <c r="AJ283" s="98" t="e">
        <f t="shared" si="57"/>
        <v>#REF!</v>
      </c>
      <c r="AK283" s="98" t="e">
        <f t="shared" si="57"/>
        <v>#REF!</v>
      </c>
    </row>
    <row r="284" spans="19:37">
      <c r="S284" s="97">
        <f t="shared" si="58"/>
        <v>0</v>
      </c>
      <c r="T284" s="97">
        <f t="shared" si="59"/>
        <v>0</v>
      </c>
      <c r="U284" s="98">
        <f t="shared" si="54"/>
        <v>0</v>
      </c>
      <c r="V284" s="98">
        <f t="shared" si="54"/>
        <v>0</v>
      </c>
      <c r="X284" s="97" t="e">
        <f t="shared" si="60"/>
        <v>#REF!</v>
      </c>
      <c r="Y284" s="97" t="e">
        <f t="shared" si="61"/>
        <v>#REF!</v>
      </c>
      <c r="Z284" s="98" t="e">
        <f t="shared" si="55"/>
        <v>#REF!</v>
      </c>
      <c r="AA284" s="98" t="e">
        <f t="shared" si="55"/>
        <v>#REF!</v>
      </c>
      <c r="AC284" s="97" t="e">
        <f t="shared" si="62"/>
        <v>#REF!</v>
      </c>
      <c r="AD284" s="97" t="e">
        <f t="shared" si="63"/>
        <v>#REF!</v>
      </c>
      <c r="AE284" s="98" t="e">
        <f t="shared" si="56"/>
        <v>#REF!</v>
      </c>
      <c r="AF284" s="98" t="e">
        <f t="shared" si="56"/>
        <v>#REF!</v>
      </c>
      <c r="AH284" s="97" t="e">
        <f t="shared" si="64"/>
        <v>#REF!</v>
      </c>
      <c r="AI284" s="97" t="e">
        <f t="shared" si="65"/>
        <v>#REF!</v>
      </c>
      <c r="AJ284" s="98" t="e">
        <f t="shared" si="57"/>
        <v>#REF!</v>
      </c>
      <c r="AK284" s="98" t="e">
        <f t="shared" si="57"/>
        <v>#REF!</v>
      </c>
    </row>
    <row r="285" spans="19:37">
      <c r="S285" s="97">
        <f t="shared" si="58"/>
        <v>0</v>
      </c>
      <c r="T285" s="97">
        <f t="shared" si="59"/>
        <v>0</v>
      </c>
      <c r="U285" s="98">
        <f t="shared" si="54"/>
        <v>0</v>
      </c>
      <c r="V285" s="98">
        <f t="shared" si="54"/>
        <v>0</v>
      </c>
      <c r="X285" s="97" t="e">
        <f t="shared" si="60"/>
        <v>#REF!</v>
      </c>
      <c r="Y285" s="97" t="e">
        <f t="shared" si="61"/>
        <v>#REF!</v>
      </c>
      <c r="Z285" s="98" t="e">
        <f t="shared" si="55"/>
        <v>#REF!</v>
      </c>
      <c r="AA285" s="98" t="e">
        <f t="shared" si="55"/>
        <v>#REF!</v>
      </c>
      <c r="AC285" s="97" t="e">
        <f t="shared" si="62"/>
        <v>#REF!</v>
      </c>
      <c r="AD285" s="97" t="e">
        <f t="shared" si="63"/>
        <v>#REF!</v>
      </c>
      <c r="AE285" s="98" t="e">
        <f t="shared" si="56"/>
        <v>#REF!</v>
      </c>
      <c r="AF285" s="98" t="e">
        <f t="shared" si="56"/>
        <v>#REF!</v>
      </c>
      <c r="AH285" s="97" t="e">
        <f t="shared" si="64"/>
        <v>#REF!</v>
      </c>
      <c r="AI285" s="97" t="e">
        <f t="shared" si="65"/>
        <v>#REF!</v>
      </c>
      <c r="AJ285" s="98" t="e">
        <f t="shared" si="57"/>
        <v>#REF!</v>
      </c>
      <c r="AK285" s="98" t="e">
        <f t="shared" si="57"/>
        <v>#REF!</v>
      </c>
    </row>
    <row r="286" spans="19:37">
      <c r="S286" s="97">
        <f t="shared" si="58"/>
        <v>0</v>
      </c>
      <c r="T286" s="97">
        <f t="shared" si="59"/>
        <v>0</v>
      </c>
      <c r="U286" s="98">
        <f t="shared" si="54"/>
        <v>0</v>
      </c>
      <c r="V286" s="98">
        <f t="shared" si="54"/>
        <v>0</v>
      </c>
      <c r="X286" s="97" t="e">
        <f t="shared" si="60"/>
        <v>#REF!</v>
      </c>
      <c r="Y286" s="97" t="e">
        <f t="shared" si="61"/>
        <v>#REF!</v>
      </c>
      <c r="Z286" s="98" t="e">
        <f t="shared" si="55"/>
        <v>#REF!</v>
      </c>
      <c r="AA286" s="98" t="e">
        <f t="shared" si="55"/>
        <v>#REF!</v>
      </c>
      <c r="AC286" s="97" t="e">
        <f t="shared" si="62"/>
        <v>#REF!</v>
      </c>
      <c r="AD286" s="97" t="e">
        <f t="shared" si="63"/>
        <v>#REF!</v>
      </c>
      <c r="AE286" s="98" t="e">
        <f t="shared" si="56"/>
        <v>#REF!</v>
      </c>
      <c r="AF286" s="98" t="e">
        <f t="shared" si="56"/>
        <v>#REF!</v>
      </c>
      <c r="AH286" s="97" t="e">
        <f t="shared" si="64"/>
        <v>#REF!</v>
      </c>
      <c r="AI286" s="97" t="e">
        <f t="shared" si="65"/>
        <v>#REF!</v>
      </c>
      <c r="AJ286" s="98" t="e">
        <f t="shared" si="57"/>
        <v>#REF!</v>
      </c>
      <c r="AK286" s="98" t="e">
        <f t="shared" si="57"/>
        <v>#REF!</v>
      </c>
    </row>
    <row r="287" spans="19:37">
      <c r="S287" s="97">
        <f t="shared" si="58"/>
        <v>0</v>
      </c>
      <c r="T287" s="97">
        <f t="shared" si="59"/>
        <v>0</v>
      </c>
      <c r="U287" s="98">
        <f t="shared" si="54"/>
        <v>0</v>
      </c>
      <c r="V287" s="98">
        <f t="shared" si="54"/>
        <v>0</v>
      </c>
      <c r="X287" s="97" t="e">
        <f t="shared" si="60"/>
        <v>#REF!</v>
      </c>
      <c r="Y287" s="97" t="e">
        <f t="shared" si="61"/>
        <v>#REF!</v>
      </c>
      <c r="Z287" s="98" t="e">
        <f t="shared" si="55"/>
        <v>#REF!</v>
      </c>
      <c r="AA287" s="98" t="e">
        <f t="shared" si="55"/>
        <v>#REF!</v>
      </c>
      <c r="AC287" s="97" t="e">
        <f t="shared" si="62"/>
        <v>#REF!</v>
      </c>
      <c r="AD287" s="97" t="e">
        <f t="shared" si="63"/>
        <v>#REF!</v>
      </c>
      <c r="AE287" s="98" t="e">
        <f t="shared" si="56"/>
        <v>#REF!</v>
      </c>
      <c r="AF287" s="98" t="e">
        <f t="shared" si="56"/>
        <v>#REF!</v>
      </c>
      <c r="AH287" s="97" t="e">
        <f t="shared" si="64"/>
        <v>#REF!</v>
      </c>
      <c r="AI287" s="97" t="e">
        <f t="shared" si="65"/>
        <v>#REF!</v>
      </c>
      <c r="AJ287" s="98" t="e">
        <f t="shared" si="57"/>
        <v>#REF!</v>
      </c>
      <c r="AK287" s="98" t="e">
        <f t="shared" si="57"/>
        <v>#REF!</v>
      </c>
    </row>
    <row r="288" spans="19:37">
      <c r="S288" s="97">
        <f t="shared" si="58"/>
        <v>0</v>
      </c>
      <c r="T288" s="97">
        <f t="shared" si="59"/>
        <v>0</v>
      </c>
      <c r="U288" s="98">
        <f t="shared" si="54"/>
        <v>0</v>
      </c>
      <c r="V288" s="98">
        <f t="shared" si="54"/>
        <v>0</v>
      </c>
      <c r="X288" s="97" t="e">
        <f t="shared" si="60"/>
        <v>#REF!</v>
      </c>
      <c r="Y288" s="97" t="e">
        <f t="shared" si="61"/>
        <v>#REF!</v>
      </c>
      <c r="Z288" s="98" t="e">
        <f t="shared" si="55"/>
        <v>#REF!</v>
      </c>
      <c r="AA288" s="98" t="e">
        <f t="shared" si="55"/>
        <v>#REF!</v>
      </c>
      <c r="AC288" s="97" t="e">
        <f t="shared" si="62"/>
        <v>#REF!</v>
      </c>
      <c r="AD288" s="97" t="e">
        <f t="shared" si="63"/>
        <v>#REF!</v>
      </c>
      <c r="AE288" s="98" t="e">
        <f t="shared" si="56"/>
        <v>#REF!</v>
      </c>
      <c r="AF288" s="98" t="e">
        <f t="shared" si="56"/>
        <v>#REF!</v>
      </c>
      <c r="AH288" s="97" t="e">
        <f t="shared" si="64"/>
        <v>#REF!</v>
      </c>
      <c r="AI288" s="97" t="e">
        <f t="shared" si="65"/>
        <v>#REF!</v>
      </c>
      <c r="AJ288" s="98" t="e">
        <f t="shared" si="57"/>
        <v>#REF!</v>
      </c>
      <c r="AK288" s="98" t="e">
        <f t="shared" si="57"/>
        <v>#REF!</v>
      </c>
    </row>
    <row r="289" spans="19:37">
      <c r="S289" s="97">
        <f t="shared" si="58"/>
        <v>0</v>
      </c>
      <c r="T289" s="97">
        <f t="shared" si="59"/>
        <v>0</v>
      </c>
      <c r="U289" s="98">
        <f t="shared" si="54"/>
        <v>0</v>
      </c>
      <c r="V289" s="98">
        <f t="shared" si="54"/>
        <v>0</v>
      </c>
      <c r="X289" s="97" t="e">
        <f t="shared" si="60"/>
        <v>#REF!</v>
      </c>
      <c r="Y289" s="97" t="e">
        <f t="shared" si="61"/>
        <v>#REF!</v>
      </c>
      <c r="Z289" s="98" t="e">
        <f t="shared" si="55"/>
        <v>#REF!</v>
      </c>
      <c r="AA289" s="98" t="e">
        <f t="shared" si="55"/>
        <v>#REF!</v>
      </c>
      <c r="AC289" s="97" t="e">
        <f t="shared" si="62"/>
        <v>#REF!</v>
      </c>
      <c r="AD289" s="97" t="e">
        <f t="shared" si="63"/>
        <v>#REF!</v>
      </c>
      <c r="AE289" s="98" t="e">
        <f t="shared" si="56"/>
        <v>#REF!</v>
      </c>
      <c r="AF289" s="98" t="e">
        <f t="shared" si="56"/>
        <v>#REF!</v>
      </c>
      <c r="AH289" s="97" t="e">
        <f t="shared" si="64"/>
        <v>#REF!</v>
      </c>
      <c r="AI289" s="97" t="e">
        <f t="shared" si="65"/>
        <v>#REF!</v>
      </c>
      <c r="AJ289" s="98" t="e">
        <f t="shared" si="57"/>
        <v>#REF!</v>
      </c>
      <c r="AK289" s="98" t="e">
        <f t="shared" si="57"/>
        <v>#REF!</v>
      </c>
    </row>
    <row r="290" spans="19:37">
      <c r="S290" s="97">
        <f t="shared" si="58"/>
        <v>0</v>
      </c>
      <c r="T290" s="97">
        <f t="shared" si="59"/>
        <v>0</v>
      </c>
      <c r="U290" s="98">
        <f t="shared" si="54"/>
        <v>0</v>
      </c>
      <c r="V290" s="98">
        <f t="shared" si="54"/>
        <v>0</v>
      </c>
      <c r="X290" s="97" t="e">
        <f t="shared" si="60"/>
        <v>#REF!</v>
      </c>
      <c r="Y290" s="97" t="e">
        <f t="shared" si="61"/>
        <v>#REF!</v>
      </c>
      <c r="Z290" s="98" t="e">
        <f t="shared" si="55"/>
        <v>#REF!</v>
      </c>
      <c r="AA290" s="98" t="e">
        <f t="shared" si="55"/>
        <v>#REF!</v>
      </c>
      <c r="AC290" s="97" t="e">
        <f t="shared" si="62"/>
        <v>#REF!</v>
      </c>
      <c r="AD290" s="97" t="e">
        <f t="shared" si="63"/>
        <v>#REF!</v>
      </c>
      <c r="AE290" s="98" t="e">
        <f t="shared" si="56"/>
        <v>#REF!</v>
      </c>
      <c r="AF290" s="98" t="e">
        <f t="shared" si="56"/>
        <v>#REF!</v>
      </c>
      <c r="AH290" s="97" t="e">
        <f t="shared" si="64"/>
        <v>#REF!</v>
      </c>
      <c r="AI290" s="97" t="e">
        <f t="shared" si="65"/>
        <v>#REF!</v>
      </c>
      <c r="AJ290" s="98" t="e">
        <f t="shared" si="57"/>
        <v>#REF!</v>
      </c>
      <c r="AK290" s="98" t="e">
        <f t="shared" si="57"/>
        <v>#REF!</v>
      </c>
    </row>
    <row r="291" spans="19:37">
      <c r="S291" s="97">
        <f t="shared" si="58"/>
        <v>0</v>
      </c>
      <c r="T291" s="97">
        <f t="shared" si="59"/>
        <v>0</v>
      </c>
      <c r="U291" s="98">
        <f t="shared" si="54"/>
        <v>0</v>
      </c>
      <c r="V291" s="98">
        <f t="shared" si="54"/>
        <v>0</v>
      </c>
      <c r="X291" s="97" t="e">
        <f t="shared" si="60"/>
        <v>#REF!</v>
      </c>
      <c r="Y291" s="97" t="e">
        <f t="shared" si="61"/>
        <v>#REF!</v>
      </c>
      <c r="Z291" s="98" t="e">
        <f t="shared" si="55"/>
        <v>#REF!</v>
      </c>
      <c r="AA291" s="98" t="e">
        <f t="shared" si="55"/>
        <v>#REF!</v>
      </c>
      <c r="AC291" s="97" t="e">
        <f t="shared" si="62"/>
        <v>#REF!</v>
      </c>
      <c r="AD291" s="97" t="e">
        <f t="shared" si="63"/>
        <v>#REF!</v>
      </c>
      <c r="AE291" s="98" t="e">
        <f t="shared" si="56"/>
        <v>#REF!</v>
      </c>
      <c r="AF291" s="98" t="e">
        <f t="shared" si="56"/>
        <v>#REF!</v>
      </c>
      <c r="AH291" s="97" t="e">
        <f t="shared" si="64"/>
        <v>#REF!</v>
      </c>
      <c r="AI291" s="97" t="e">
        <f t="shared" si="65"/>
        <v>#REF!</v>
      </c>
      <c r="AJ291" s="98" t="e">
        <f t="shared" si="57"/>
        <v>#REF!</v>
      </c>
      <c r="AK291" s="98" t="e">
        <f t="shared" si="57"/>
        <v>#REF!</v>
      </c>
    </row>
    <row r="292" spans="19:37">
      <c r="S292" s="97">
        <f t="shared" si="58"/>
        <v>0</v>
      </c>
      <c r="T292" s="97">
        <f t="shared" si="59"/>
        <v>0</v>
      </c>
      <c r="U292" s="98">
        <f t="shared" si="54"/>
        <v>0</v>
      </c>
      <c r="V292" s="98">
        <f t="shared" si="54"/>
        <v>0</v>
      </c>
      <c r="X292" s="97" t="e">
        <f t="shared" si="60"/>
        <v>#REF!</v>
      </c>
      <c r="Y292" s="97" t="e">
        <f t="shared" si="61"/>
        <v>#REF!</v>
      </c>
      <c r="Z292" s="98" t="e">
        <f t="shared" si="55"/>
        <v>#REF!</v>
      </c>
      <c r="AA292" s="98" t="e">
        <f t="shared" si="55"/>
        <v>#REF!</v>
      </c>
      <c r="AC292" s="97" t="e">
        <f t="shared" si="62"/>
        <v>#REF!</v>
      </c>
      <c r="AD292" s="97" t="e">
        <f t="shared" si="63"/>
        <v>#REF!</v>
      </c>
      <c r="AE292" s="98" t="e">
        <f t="shared" si="56"/>
        <v>#REF!</v>
      </c>
      <c r="AF292" s="98" t="e">
        <f t="shared" si="56"/>
        <v>#REF!</v>
      </c>
      <c r="AH292" s="97" t="e">
        <f t="shared" si="64"/>
        <v>#REF!</v>
      </c>
      <c r="AI292" s="97" t="e">
        <f t="shared" si="65"/>
        <v>#REF!</v>
      </c>
      <c r="AJ292" s="98" t="e">
        <f t="shared" si="57"/>
        <v>#REF!</v>
      </c>
      <c r="AK292" s="98" t="e">
        <f t="shared" si="57"/>
        <v>#REF!</v>
      </c>
    </row>
    <row r="293" spans="19:37">
      <c r="S293" s="97">
        <f t="shared" si="58"/>
        <v>0</v>
      </c>
      <c r="T293" s="97">
        <f t="shared" si="59"/>
        <v>0</v>
      </c>
      <c r="U293" s="98">
        <f t="shared" si="54"/>
        <v>0</v>
      </c>
      <c r="V293" s="98">
        <f t="shared" si="54"/>
        <v>0</v>
      </c>
      <c r="X293" s="97" t="e">
        <f t="shared" si="60"/>
        <v>#REF!</v>
      </c>
      <c r="Y293" s="97" t="e">
        <f t="shared" si="61"/>
        <v>#REF!</v>
      </c>
      <c r="Z293" s="98" t="e">
        <f t="shared" si="55"/>
        <v>#REF!</v>
      </c>
      <c r="AA293" s="98" t="e">
        <f t="shared" si="55"/>
        <v>#REF!</v>
      </c>
      <c r="AC293" s="97" t="e">
        <f t="shared" si="62"/>
        <v>#REF!</v>
      </c>
      <c r="AD293" s="97" t="e">
        <f t="shared" si="63"/>
        <v>#REF!</v>
      </c>
      <c r="AE293" s="98" t="e">
        <f t="shared" si="56"/>
        <v>#REF!</v>
      </c>
      <c r="AF293" s="98" t="e">
        <f t="shared" si="56"/>
        <v>#REF!</v>
      </c>
      <c r="AH293" s="97" t="e">
        <f t="shared" si="64"/>
        <v>#REF!</v>
      </c>
      <c r="AI293" s="97" t="e">
        <f t="shared" si="65"/>
        <v>#REF!</v>
      </c>
      <c r="AJ293" s="98" t="e">
        <f t="shared" si="57"/>
        <v>#REF!</v>
      </c>
      <c r="AK293" s="98" t="e">
        <f t="shared" si="57"/>
        <v>#REF!</v>
      </c>
    </row>
    <row r="294" spans="19:37">
      <c r="S294" s="97">
        <f t="shared" si="58"/>
        <v>0</v>
      </c>
      <c r="T294" s="97">
        <f t="shared" si="59"/>
        <v>0</v>
      </c>
      <c r="U294" s="98">
        <f t="shared" si="54"/>
        <v>0</v>
      </c>
      <c r="V294" s="98">
        <f t="shared" si="54"/>
        <v>0</v>
      </c>
      <c r="X294" s="97" t="e">
        <f t="shared" si="60"/>
        <v>#REF!</v>
      </c>
      <c r="Y294" s="97" t="e">
        <f t="shared" si="61"/>
        <v>#REF!</v>
      </c>
      <c r="Z294" s="98" t="e">
        <f t="shared" si="55"/>
        <v>#REF!</v>
      </c>
      <c r="AA294" s="98" t="e">
        <f t="shared" si="55"/>
        <v>#REF!</v>
      </c>
      <c r="AC294" s="97" t="e">
        <f t="shared" si="62"/>
        <v>#REF!</v>
      </c>
      <c r="AD294" s="97" t="e">
        <f t="shared" si="63"/>
        <v>#REF!</v>
      </c>
      <c r="AE294" s="98" t="e">
        <f t="shared" si="56"/>
        <v>#REF!</v>
      </c>
      <c r="AF294" s="98" t="e">
        <f t="shared" si="56"/>
        <v>#REF!</v>
      </c>
      <c r="AH294" s="97" t="e">
        <f t="shared" si="64"/>
        <v>#REF!</v>
      </c>
      <c r="AI294" s="97" t="e">
        <f t="shared" si="65"/>
        <v>#REF!</v>
      </c>
      <c r="AJ294" s="98" t="e">
        <f t="shared" si="57"/>
        <v>#REF!</v>
      </c>
      <c r="AK294" s="98" t="e">
        <f t="shared" si="57"/>
        <v>#REF!</v>
      </c>
    </row>
    <row r="295" spans="19:37">
      <c r="S295" s="97">
        <f t="shared" si="58"/>
        <v>0</v>
      </c>
      <c r="T295" s="97">
        <f t="shared" si="59"/>
        <v>0</v>
      </c>
      <c r="U295" s="98">
        <f t="shared" si="54"/>
        <v>0</v>
      </c>
      <c r="V295" s="98">
        <f t="shared" si="54"/>
        <v>0</v>
      </c>
      <c r="X295" s="97" t="e">
        <f t="shared" si="60"/>
        <v>#REF!</v>
      </c>
      <c r="Y295" s="97" t="e">
        <f t="shared" si="61"/>
        <v>#REF!</v>
      </c>
      <c r="Z295" s="98" t="e">
        <f t="shared" si="55"/>
        <v>#REF!</v>
      </c>
      <c r="AA295" s="98" t="e">
        <f t="shared" si="55"/>
        <v>#REF!</v>
      </c>
      <c r="AC295" s="97" t="e">
        <f t="shared" si="62"/>
        <v>#REF!</v>
      </c>
      <c r="AD295" s="97" t="e">
        <f t="shared" si="63"/>
        <v>#REF!</v>
      </c>
      <c r="AE295" s="98" t="e">
        <f t="shared" si="56"/>
        <v>#REF!</v>
      </c>
      <c r="AF295" s="98" t="e">
        <f t="shared" si="56"/>
        <v>#REF!</v>
      </c>
      <c r="AH295" s="97" t="e">
        <f t="shared" si="64"/>
        <v>#REF!</v>
      </c>
      <c r="AI295" s="97" t="e">
        <f t="shared" si="65"/>
        <v>#REF!</v>
      </c>
      <c r="AJ295" s="98" t="e">
        <f t="shared" si="57"/>
        <v>#REF!</v>
      </c>
      <c r="AK295" s="98" t="e">
        <f t="shared" si="57"/>
        <v>#REF!</v>
      </c>
    </row>
    <row r="296" spans="19:37">
      <c r="S296" s="97">
        <f t="shared" si="58"/>
        <v>0</v>
      </c>
      <c r="T296" s="97">
        <f t="shared" si="59"/>
        <v>0</v>
      </c>
      <c r="U296" s="98">
        <f t="shared" si="54"/>
        <v>0</v>
      </c>
      <c r="V296" s="98">
        <f t="shared" si="54"/>
        <v>0</v>
      </c>
      <c r="X296" s="97" t="e">
        <f t="shared" si="60"/>
        <v>#REF!</v>
      </c>
      <c r="Y296" s="97" t="e">
        <f t="shared" si="61"/>
        <v>#REF!</v>
      </c>
      <c r="Z296" s="98" t="e">
        <f t="shared" si="55"/>
        <v>#REF!</v>
      </c>
      <c r="AA296" s="98" t="e">
        <f t="shared" si="55"/>
        <v>#REF!</v>
      </c>
      <c r="AC296" s="97" t="e">
        <f t="shared" si="62"/>
        <v>#REF!</v>
      </c>
      <c r="AD296" s="97" t="e">
        <f t="shared" si="63"/>
        <v>#REF!</v>
      </c>
      <c r="AE296" s="98" t="e">
        <f t="shared" si="56"/>
        <v>#REF!</v>
      </c>
      <c r="AF296" s="98" t="e">
        <f t="shared" si="56"/>
        <v>#REF!</v>
      </c>
      <c r="AH296" s="97" t="e">
        <f t="shared" si="64"/>
        <v>#REF!</v>
      </c>
      <c r="AI296" s="97" t="e">
        <f t="shared" si="65"/>
        <v>#REF!</v>
      </c>
      <c r="AJ296" s="98" t="e">
        <f t="shared" si="57"/>
        <v>#REF!</v>
      </c>
      <c r="AK296" s="98" t="e">
        <f t="shared" si="57"/>
        <v>#REF!</v>
      </c>
    </row>
    <row r="297" spans="19:37">
      <c r="S297" s="97">
        <f t="shared" si="58"/>
        <v>0</v>
      </c>
      <c r="T297" s="97">
        <f t="shared" si="59"/>
        <v>0</v>
      </c>
      <c r="U297" s="98">
        <f t="shared" si="54"/>
        <v>0</v>
      </c>
      <c r="V297" s="98">
        <f t="shared" si="54"/>
        <v>0</v>
      </c>
      <c r="X297" s="97" t="e">
        <f t="shared" si="60"/>
        <v>#REF!</v>
      </c>
      <c r="Y297" s="97" t="e">
        <f t="shared" si="61"/>
        <v>#REF!</v>
      </c>
      <c r="Z297" s="98" t="e">
        <f t="shared" si="55"/>
        <v>#REF!</v>
      </c>
      <c r="AA297" s="98" t="e">
        <f t="shared" si="55"/>
        <v>#REF!</v>
      </c>
      <c r="AC297" s="97" t="e">
        <f t="shared" si="62"/>
        <v>#REF!</v>
      </c>
      <c r="AD297" s="97" t="e">
        <f t="shared" si="63"/>
        <v>#REF!</v>
      </c>
      <c r="AE297" s="98" t="e">
        <f t="shared" si="56"/>
        <v>#REF!</v>
      </c>
      <c r="AF297" s="98" t="e">
        <f t="shared" si="56"/>
        <v>#REF!</v>
      </c>
      <c r="AH297" s="97" t="e">
        <f t="shared" si="64"/>
        <v>#REF!</v>
      </c>
      <c r="AI297" s="97" t="e">
        <f t="shared" si="65"/>
        <v>#REF!</v>
      </c>
      <c r="AJ297" s="98" t="e">
        <f t="shared" si="57"/>
        <v>#REF!</v>
      </c>
      <c r="AK297" s="98" t="e">
        <f t="shared" si="57"/>
        <v>#REF!</v>
      </c>
    </row>
    <row r="298" spans="19:37">
      <c r="S298" s="97">
        <f t="shared" si="58"/>
        <v>0</v>
      </c>
      <c r="T298" s="97">
        <f t="shared" si="59"/>
        <v>0</v>
      </c>
      <c r="U298" s="98">
        <f t="shared" ref="U298:V361" si="66">IF(AND($D298="",S298=""),"",IF($D298="",S298,$D298+S298))</f>
        <v>0</v>
      </c>
      <c r="V298" s="98">
        <f t="shared" si="66"/>
        <v>0</v>
      </c>
      <c r="X298" s="97" t="e">
        <f t="shared" si="60"/>
        <v>#REF!</v>
      </c>
      <c r="Y298" s="97" t="e">
        <f t="shared" si="61"/>
        <v>#REF!</v>
      </c>
      <c r="Z298" s="98" t="e">
        <f t="shared" ref="Z298:AA361" si="67">IF(AND($D298="",X298=""),"",IF($D298="",X298,$D298+X298))</f>
        <v>#REF!</v>
      </c>
      <c r="AA298" s="98" t="e">
        <f t="shared" si="67"/>
        <v>#REF!</v>
      </c>
      <c r="AC298" s="97" t="e">
        <f t="shared" si="62"/>
        <v>#REF!</v>
      </c>
      <c r="AD298" s="97" t="e">
        <f t="shared" si="63"/>
        <v>#REF!</v>
      </c>
      <c r="AE298" s="98" t="e">
        <f t="shared" ref="AE298:AF361" si="68">IF(AND($D298="",AC298=""),"",IF($D298="",AC298,$D298+AC298))</f>
        <v>#REF!</v>
      </c>
      <c r="AF298" s="98" t="e">
        <f t="shared" si="68"/>
        <v>#REF!</v>
      </c>
      <c r="AH298" s="97" t="e">
        <f t="shared" si="64"/>
        <v>#REF!</v>
      </c>
      <c r="AI298" s="97" t="e">
        <f t="shared" si="65"/>
        <v>#REF!</v>
      </c>
      <c r="AJ298" s="98" t="e">
        <f t="shared" ref="AJ298:AK361" si="69">IF(AND($D298="",AH298=""),"",IF($D298="",AH298,$D298+AH298))</f>
        <v>#REF!</v>
      </c>
      <c r="AK298" s="98" t="e">
        <f t="shared" si="69"/>
        <v>#REF!</v>
      </c>
    </row>
    <row r="299" spans="19:37">
      <c r="S299" s="97">
        <f t="shared" si="58"/>
        <v>0</v>
      </c>
      <c r="T299" s="97">
        <f t="shared" si="59"/>
        <v>0</v>
      </c>
      <c r="U299" s="98">
        <f t="shared" si="66"/>
        <v>0</v>
      </c>
      <c r="V299" s="98">
        <f t="shared" si="66"/>
        <v>0</v>
      </c>
      <c r="X299" s="97" t="e">
        <f t="shared" si="60"/>
        <v>#REF!</v>
      </c>
      <c r="Y299" s="97" t="e">
        <f t="shared" si="61"/>
        <v>#REF!</v>
      </c>
      <c r="Z299" s="98" t="e">
        <f t="shared" si="67"/>
        <v>#REF!</v>
      </c>
      <c r="AA299" s="98" t="e">
        <f t="shared" si="67"/>
        <v>#REF!</v>
      </c>
      <c r="AC299" s="97" t="e">
        <f t="shared" si="62"/>
        <v>#REF!</v>
      </c>
      <c r="AD299" s="97" t="e">
        <f t="shared" si="63"/>
        <v>#REF!</v>
      </c>
      <c r="AE299" s="98" t="e">
        <f t="shared" si="68"/>
        <v>#REF!</v>
      </c>
      <c r="AF299" s="98" t="e">
        <f t="shared" si="68"/>
        <v>#REF!</v>
      </c>
      <c r="AH299" s="97" t="e">
        <f t="shared" si="64"/>
        <v>#REF!</v>
      </c>
      <c r="AI299" s="97" t="e">
        <f t="shared" si="65"/>
        <v>#REF!</v>
      </c>
      <c r="AJ299" s="98" t="e">
        <f t="shared" si="69"/>
        <v>#REF!</v>
      </c>
      <c r="AK299" s="98" t="e">
        <f t="shared" si="69"/>
        <v>#REF!</v>
      </c>
    </row>
    <row r="300" spans="19:37">
      <c r="S300" s="97">
        <f t="shared" si="58"/>
        <v>0</v>
      </c>
      <c r="T300" s="97">
        <f t="shared" si="59"/>
        <v>0</v>
      </c>
      <c r="U300" s="98">
        <f t="shared" si="66"/>
        <v>0</v>
      </c>
      <c r="V300" s="98">
        <f t="shared" si="66"/>
        <v>0</v>
      </c>
      <c r="X300" s="97" t="e">
        <f t="shared" si="60"/>
        <v>#REF!</v>
      </c>
      <c r="Y300" s="97" t="e">
        <f t="shared" si="61"/>
        <v>#REF!</v>
      </c>
      <c r="Z300" s="98" t="e">
        <f t="shared" si="67"/>
        <v>#REF!</v>
      </c>
      <c r="AA300" s="98" t="e">
        <f t="shared" si="67"/>
        <v>#REF!</v>
      </c>
      <c r="AC300" s="97" t="e">
        <f t="shared" si="62"/>
        <v>#REF!</v>
      </c>
      <c r="AD300" s="97" t="e">
        <f t="shared" si="63"/>
        <v>#REF!</v>
      </c>
      <c r="AE300" s="98" t="e">
        <f t="shared" si="68"/>
        <v>#REF!</v>
      </c>
      <c r="AF300" s="98" t="e">
        <f t="shared" si="68"/>
        <v>#REF!</v>
      </c>
      <c r="AH300" s="97" t="e">
        <f t="shared" si="64"/>
        <v>#REF!</v>
      </c>
      <c r="AI300" s="97" t="e">
        <f t="shared" si="65"/>
        <v>#REF!</v>
      </c>
      <c r="AJ300" s="98" t="e">
        <f t="shared" si="69"/>
        <v>#REF!</v>
      </c>
      <c r="AK300" s="98" t="e">
        <f t="shared" si="69"/>
        <v>#REF!</v>
      </c>
    </row>
    <row r="301" spans="19:37">
      <c r="S301" s="97">
        <f t="shared" si="58"/>
        <v>0</v>
      </c>
      <c r="T301" s="97">
        <f t="shared" si="59"/>
        <v>0</v>
      </c>
      <c r="U301" s="98">
        <f t="shared" si="66"/>
        <v>0</v>
      </c>
      <c r="V301" s="98">
        <f t="shared" si="66"/>
        <v>0</v>
      </c>
      <c r="X301" s="97" t="e">
        <f t="shared" si="60"/>
        <v>#REF!</v>
      </c>
      <c r="Y301" s="97" t="e">
        <f t="shared" si="61"/>
        <v>#REF!</v>
      </c>
      <c r="Z301" s="98" t="e">
        <f t="shared" si="67"/>
        <v>#REF!</v>
      </c>
      <c r="AA301" s="98" t="e">
        <f t="shared" si="67"/>
        <v>#REF!</v>
      </c>
      <c r="AC301" s="97" t="e">
        <f t="shared" si="62"/>
        <v>#REF!</v>
      </c>
      <c r="AD301" s="97" t="e">
        <f t="shared" si="63"/>
        <v>#REF!</v>
      </c>
      <c r="AE301" s="98" t="e">
        <f t="shared" si="68"/>
        <v>#REF!</v>
      </c>
      <c r="AF301" s="98" t="e">
        <f t="shared" si="68"/>
        <v>#REF!</v>
      </c>
      <c r="AH301" s="97" t="e">
        <f t="shared" si="64"/>
        <v>#REF!</v>
      </c>
      <c r="AI301" s="97" t="e">
        <f t="shared" si="65"/>
        <v>#REF!</v>
      </c>
      <c r="AJ301" s="98" t="e">
        <f t="shared" si="69"/>
        <v>#REF!</v>
      </c>
      <c r="AK301" s="98" t="e">
        <f t="shared" si="69"/>
        <v>#REF!</v>
      </c>
    </row>
    <row r="302" spans="19:37">
      <c r="S302" s="97">
        <f t="shared" si="58"/>
        <v>0</v>
      </c>
      <c r="T302" s="97">
        <f t="shared" si="59"/>
        <v>0</v>
      </c>
      <c r="U302" s="98">
        <f t="shared" si="66"/>
        <v>0</v>
      </c>
      <c r="V302" s="98">
        <f t="shared" si="66"/>
        <v>0</v>
      </c>
      <c r="X302" s="97" t="e">
        <f t="shared" si="60"/>
        <v>#REF!</v>
      </c>
      <c r="Y302" s="97" t="e">
        <f t="shared" si="61"/>
        <v>#REF!</v>
      </c>
      <c r="Z302" s="98" t="e">
        <f t="shared" si="67"/>
        <v>#REF!</v>
      </c>
      <c r="AA302" s="98" t="e">
        <f t="shared" si="67"/>
        <v>#REF!</v>
      </c>
      <c r="AC302" s="97" t="e">
        <f t="shared" si="62"/>
        <v>#REF!</v>
      </c>
      <c r="AD302" s="97" t="e">
        <f t="shared" si="63"/>
        <v>#REF!</v>
      </c>
      <c r="AE302" s="98" t="e">
        <f t="shared" si="68"/>
        <v>#REF!</v>
      </c>
      <c r="AF302" s="98" t="e">
        <f t="shared" si="68"/>
        <v>#REF!</v>
      </c>
      <c r="AH302" s="97" t="e">
        <f t="shared" si="64"/>
        <v>#REF!</v>
      </c>
      <c r="AI302" s="97" t="e">
        <f t="shared" si="65"/>
        <v>#REF!</v>
      </c>
      <c r="AJ302" s="98" t="e">
        <f t="shared" si="69"/>
        <v>#REF!</v>
      </c>
      <c r="AK302" s="98" t="e">
        <f t="shared" si="69"/>
        <v>#REF!</v>
      </c>
    </row>
    <row r="303" spans="19:37">
      <c r="S303" s="97">
        <f t="shared" si="58"/>
        <v>0</v>
      </c>
      <c r="T303" s="97">
        <f t="shared" si="59"/>
        <v>0</v>
      </c>
      <c r="U303" s="98">
        <f t="shared" si="66"/>
        <v>0</v>
      </c>
      <c r="V303" s="98">
        <f t="shared" si="66"/>
        <v>0</v>
      </c>
      <c r="X303" s="97" t="e">
        <f t="shared" si="60"/>
        <v>#REF!</v>
      </c>
      <c r="Y303" s="97" t="e">
        <f t="shared" si="61"/>
        <v>#REF!</v>
      </c>
      <c r="Z303" s="98" t="e">
        <f t="shared" si="67"/>
        <v>#REF!</v>
      </c>
      <c r="AA303" s="98" t="e">
        <f t="shared" si="67"/>
        <v>#REF!</v>
      </c>
      <c r="AC303" s="97" t="e">
        <f t="shared" si="62"/>
        <v>#REF!</v>
      </c>
      <c r="AD303" s="97" t="e">
        <f t="shared" si="63"/>
        <v>#REF!</v>
      </c>
      <c r="AE303" s="98" t="e">
        <f t="shared" si="68"/>
        <v>#REF!</v>
      </c>
      <c r="AF303" s="98" t="e">
        <f t="shared" si="68"/>
        <v>#REF!</v>
      </c>
      <c r="AH303" s="97" t="e">
        <f t="shared" si="64"/>
        <v>#REF!</v>
      </c>
      <c r="AI303" s="97" t="e">
        <f t="shared" si="65"/>
        <v>#REF!</v>
      </c>
      <c r="AJ303" s="98" t="e">
        <f t="shared" si="69"/>
        <v>#REF!</v>
      </c>
      <c r="AK303" s="98" t="e">
        <f t="shared" si="69"/>
        <v>#REF!</v>
      </c>
    </row>
    <row r="304" spans="19:37">
      <c r="S304" s="97">
        <f t="shared" si="58"/>
        <v>0</v>
      </c>
      <c r="T304" s="97">
        <f t="shared" si="59"/>
        <v>0</v>
      </c>
      <c r="U304" s="98">
        <f t="shared" si="66"/>
        <v>0</v>
      </c>
      <c r="V304" s="98">
        <f t="shared" si="66"/>
        <v>0</v>
      </c>
      <c r="X304" s="97" t="e">
        <f t="shared" si="60"/>
        <v>#REF!</v>
      </c>
      <c r="Y304" s="97" t="e">
        <f t="shared" si="61"/>
        <v>#REF!</v>
      </c>
      <c r="Z304" s="98" t="e">
        <f t="shared" si="67"/>
        <v>#REF!</v>
      </c>
      <c r="AA304" s="98" t="e">
        <f t="shared" si="67"/>
        <v>#REF!</v>
      </c>
      <c r="AC304" s="97" t="e">
        <f t="shared" si="62"/>
        <v>#REF!</v>
      </c>
      <c r="AD304" s="97" t="e">
        <f t="shared" si="63"/>
        <v>#REF!</v>
      </c>
      <c r="AE304" s="98" t="e">
        <f t="shared" si="68"/>
        <v>#REF!</v>
      </c>
      <c r="AF304" s="98" t="e">
        <f t="shared" si="68"/>
        <v>#REF!</v>
      </c>
      <c r="AH304" s="97" t="e">
        <f t="shared" si="64"/>
        <v>#REF!</v>
      </c>
      <c r="AI304" s="97" t="e">
        <f t="shared" si="65"/>
        <v>#REF!</v>
      </c>
      <c r="AJ304" s="98" t="e">
        <f t="shared" si="69"/>
        <v>#REF!</v>
      </c>
      <c r="AK304" s="98" t="e">
        <f t="shared" si="69"/>
        <v>#REF!</v>
      </c>
    </row>
    <row r="305" spans="19:37">
      <c r="S305" s="97">
        <f t="shared" si="58"/>
        <v>0</v>
      </c>
      <c r="T305" s="97">
        <f t="shared" si="59"/>
        <v>0</v>
      </c>
      <c r="U305" s="98">
        <f t="shared" si="66"/>
        <v>0</v>
      </c>
      <c r="V305" s="98">
        <f t="shared" si="66"/>
        <v>0</v>
      </c>
      <c r="X305" s="97" t="e">
        <f t="shared" si="60"/>
        <v>#REF!</v>
      </c>
      <c r="Y305" s="97" t="e">
        <f t="shared" si="61"/>
        <v>#REF!</v>
      </c>
      <c r="Z305" s="98" t="e">
        <f t="shared" si="67"/>
        <v>#REF!</v>
      </c>
      <c r="AA305" s="98" t="e">
        <f t="shared" si="67"/>
        <v>#REF!</v>
      </c>
      <c r="AC305" s="97" t="e">
        <f t="shared" si="62"/>
        <v>#REF!</v>
      </c>
      <c r="AD305" s="97" t="e">
        <f t="shared" si="63"/>
        <v>#REF!</v>
      </c>
      <c r="AE305" s="98" t="e">
        <f t="shared" si="68"/>
        <v>#REF!</v>
      </c>
      <c r="AF305" s="98" t="e">
        <f t="shared" si="68"/>
        <v>#REF!</v>
      </c>
      <c r="AH305" s="97" t="e">
        <f t="shared" si="64"/>
        <v>#REF!</v>
      </c>
      <c r="AI305" s="97" t="e">
        <f t="shared" si="65"/>
        <v>#REF!</v>
      </c>
      <c r="AJ305" s="98" t="e">
        <f t="shared" si="69"/>
        <v>#REF!</v>
      </c>
      <c r="AK305" s="98" t="e">
        <f t="shared" si="69"/>
        <v>#REF!</v>
      </c>
    </row>
    <row r="306" spans="19:37">
      <c r="S306" s="97">
        <f t="shared" si="58"/>
        <v>0</v>
      </c>
      <c r="T306" s="97">
        <f t="shared" si="59"/>
        <v>0</v>
      </c>
      <c r="U306" s="98">
        <f t="shared" si="66"/>
        <v>0</v>
      </c>
      <c r="V306" s="98">
        <f t="shared" si="66"/>
        <v>0</v>
      </c>
      <c r="X306" s="97" t="e">
        <f t="shared" si="60"/>
        <v>#REF!</v>
      </c>
      <c r="Y306" s="97" t="e">
        <f t="shared" si="61"/>
        <v>#REF!</v>
      </c>
      <c r="Z306" s="98" t="e">
        <f t="shared" si="67"/>
        <v>#REF!</v>
      </c>
      <c r="AA306" s="98" t="e">
        <f t="shared" si="67"/>
        <v>#REF!</v>
      </c>
      <c r="AC306" s="97" t="e">
        <f t="shared" si="62"/>
        <v>#REF!</v>
      </c>
      <c r="AD306" s="97" t="e">
        <f t="shared" si="63"/>
        <v>#REF!</v>
      </c>
      <c r="AE306" s="98" t="e">
        <f t="shared" si="68"/>
        <v>#REF!</v>
      </c>
      <c r="AF306" s="98" t="e">
        <f t="shared" si="68"/>
        <v>#REF!</v>
      </c>
      <c r="AH306" s="97" t="e">
        <f t="shared" si="64"/>
        <v>#REF!</v>
      </c>
      <c r="AI306" s="97" t="e">
        <f t="shared" si="65"/>
        <v>#REF!</v>
      </c>
      <c r="AJ306" s="98" t="e">
        <f t="shared" si="69"/>
        <v>#REF!</v>
      </c>
      <c r="AK306" s="98" t="e">
        <f t="shared" si="69"/>
        <v>#REF!</v>
      </c>
    </row>
    <row r="307" spans="19:37">
      <c r="S307" s="97">
        <f t="shared" si="58"/>
        <v>0</v>
      </c>
      <c r="T307" s="97">
        <f t="shared" si="59"/>
        <v>0</v>
      </c>
      <c r="U307" s="98">
        <f t="shared" si="66"/>
        <v>0</v>
      </c>
      <c r="V307" s="98">
        <f t="shared" si="66"/>
        <v>0</v>
      </c>
      <c r="X307" s="97" t="e">
        <f t="shared" si="60"/>
        <v>#REF!</v>
      </c>
      <c r="Y307" s="97" t="e">
        <f t="shared" si="61"/>
        <v>#REF!</v>
      </c>
      <c r="Z307" s="98" t="e">
        <f t="shared" si="67"/>
        <v>#REF!</v>
      </c>
      <c r="AA307" s="98" t="e">
        <f t="shared" si="67"/>
        <v>#REF!</v>
      </c>
      <c r="AC307" s="97" t="e">
        <f t="shared" si="62"/>
        <v>#REF!</v>
      </c>
      <c r="AD307" s="97" t="e">
        <f t="shared" si="63"/>
        <v>#REF!</v>
      </c>
      <c r="AE307" s="98" t="e">
        <f t="shared" si="68"/>
        <v>#REF!</v>
      </c>
      <c r="AF307" s="98" t="e">
        <f t="shared" si="68"/>
        <v>#REF!</v>
      </c>
      <c r="AH307" s="97" t="e">
        <f t="shared" si="64"/>
        <v>#REF!</v>
      </c>
      <c r="AI307" s="97" t="e">
        <f t="shared" si="65"/>
        <v>#REF!</v>
      </c>
      <c r="AJ307" s="98" t="e">
        <f t="shared" si="69"/>
        <v>#REF!</v>
      </c>
      <c r="AK307" s="98" t="e">
        <f t="shared" si="69"/>
        <v>#REF!</v>
      </c>
    </row>
    <row r="308" spans="19:37">
      <c r="S308" s="97">
        <f t="shared" si="58"/>
        <v>0</v>
      </c>
      <c r="T308" s="97">
        <f t="shared" si="59"/>
        <v>0</v>
      </c>
      <c r="U308" s="98">
        <f t="shared" si="66"/>
        <v>0</v>
      </c>
      <c r="V308" s="98">
        <f t="shared" si="66"/>
        <v>0</v>
      </c>
      <c r="X308" s="97" t="e">
        <f t="shared" si="60"/>
        <v>#REF!</v>
      </c>
      <c r="Y308" s="97" t="e">
        <f t="shared" si="61"/>
        <v>#REF!</v>
      </c>
      <c r="Z308" s="98" t="e">
        <f t="shared" si="67"/>
        <v>#REF!</v>
      </c>
      <c r="AA308" s="98" t="e">
        <f t="shared" si="67"/>
        <v>#REF!</v>
      </c>
      <c r="AC308" s="97" t="e">
        <f t="shared" si="62"/>
        <v>#REF!</v>
      </c>
      <c r="AD308" s="97" t="e">
        <f t="shared" si="63"/>
        <v>#REF!</v>
      </c>
      <c r="AE308" s="98" t="e">
        <f t="shared" si="68"/>
        <v>#REF!</v>
      </c>
      <c r="AF308" s="98" t="e">
        <f t="shared" si="68"/>
        <v>#REF!</v>
      </c>
      <c r="AH308" s="97" t="e">
        <f t="shared" si="64"/>
        <v>#REF!</v>
      </c>
      <c r="AI308" s="97" t="e">
        <f t="shared" si="65"/>
        <v>#REF!</v>
      </c>
      <c r="AJ308" s="98" t="e">
        <f t="shared" si="69"/>
        <v>#REF!</v>
      </c>
      <c r="AK308" s="98" t="e">
        <f t="shared" si="69"/>
        <v>#REF!</v>
      </c>
    </row>
    <row r="309" spans="19:37">
      <c r="S309" s="97">
        <f t="shared" si="58"/>
        <v>0</v>
      </c>
      <c r="T309" s="97">
        <f t="shared" si="59"/>
        <v>0</v>
      </c>
      <c r="U309" s="98">
        <f t="shared" si="66"/>
        <v>0</v>
      </c>
      <c r="V309" s="98">
        <f t="shared" si="66"/>
        <v>0</v>
      </c>
      <c r="X309" s="97" t="e">
        <f t="shared" si="60"/>
        <v>#REF!</v>
      </c>
      <c r="Y309" s="97" t="e">
        <f t="shared" si="61"/>
        <v>#REF!</v>
      </c>
      <c r="Z309" s="98" t="e">
        <f t="shared" si="67"/>
        <v>#REF!</v>
      </c>
      <c r="AA309" s="98" t="e">
        <f t="shared" si="67"/>
        <v>#REF!</v>
      </c>
      <c r="AC309" s="97" t="e">
        <f t="shared" si="62"/>
        <v>#REF!</v>
      </c>
      <c r="AD309" s="97" t="e">
        <f t="shared" si="63"/>
        <v>#REF!</v>
      </c>
      <c r="AE309" s="98" t="e">
        <f t="shared" si="68"/>
        <v>#REF!</v>
      </c>
      <c r="AF309" s="98" t="e">
        <f t="shared" si="68"/>
        <v>#REF!</v>
      </c>
      <c r="AH309" s="97" t="e">
        <f t="shared" si="64"/>
        <v>#REF!</v>
      </c>
      <c r="AI309" s="97" t="e">
        <f t="shared" si="65"/>
        <v>#REF!</v>
      </c>
      <c r="AJ309" s="98" t="e">
        <f t="shared" si="69"/>
        <v>#REF!</v>
      </c>
      <c r="AK309" s="98" t="e">
        <f t="shared" si="69"/>
        <v>#REF!</v>
      </c>
    </row>
    <row r="310" spans="19:37">
      <c r="S310" s="97">
        <f t="shared" si="58"/>
        <v>0</v>
      </c>
      <c r="T310" s="97">
        <f t="shared" si="59"/>
        <v>0</v>
      </c>
      <c r="U310" s="98">
        <f t="shared" si="66"/>
        <v>0</v>
      </c>
      <c r="V310" s="98">
        <f t="shared" si="66"/>
        <v>0</v>
      </c>
      <c r="X310" s="97" t="e">
        <f t="shared" si="60"/>
        <v>#REF!</v>
      </c>
      <c r="Y310" s="97" t="e">
        <f t="shared" si="61"/>
        <v>#REF!</v>
      </c>
      <c r="Z310" s="98" t="e">
        <f t="shared" si="67"/>
        <v>#REF!</v>
      </c>
      <c r="AA310" s="98" t="e">
        <f t="shared" si="67"/>
        <v>#REF!</v>
      </c>
      <c r="AC310" s="97" t="e">
        <f t="shared" si="62"/>
        <v>#REF!</v>
      </c>
      <c r="AD310" s="97" t="e">
        <f t="shared" si="63"/>
        <v>#REF!</v>
      </c>
      <c r="AE310" s="98" t="e">
        <f t="shared" si="68"/>
        <v>#REF!</v>
      </c>
      <c r="AF310" s="98" t="e">
        <f t="shared" si="68"/>
        <v>#REF!</v>
      </c>
      <c r="AH310" s="97" t="e">
        <f t="shared" si="64"/>
        <v>#REF!</v>
      </c>
      <c r="AI310" s="97" t="e">
        <f t="shared" si="65"/>
        <v>#REF!</v>
      </c>
      <c r="AJ310" s="98" t="e">
        <f t="shared" si="69"/>
        <v>#REF!</v>
      </c>
      <c r="AK310" s="98" t="e">
        <f t="shared" si="69"/>
        <v>#REF!</v>
      </c>
    </row>
    <row r="311" spans="19:37">
      <c r="S311" s="97">
        <f t="shared" si="58"/>
        <v>0</v>
      </c>
      <c r="T311" s="97">
        <f t="shared" si="59"/>
        <v>0</v>
      </c>
      <c r="U311" s="98">
        <f t="shared" si="66"/>
        <v>0</v>
      </c>
      <c r="V311" s="98">
        <f t="shared" si="66"/>
        <v>0</v>
      </c>
      <c r="X311" s="97" t="e">
        <f t="shared" si="60"/>
        <v>#REF!</v>
      </c>
      <c r="Y311" s="97" t="e">
        <f t="shared" si="61"/>
        <v>#REF!</v>
      </c>
      <c r="Z311" s="98" t="e">
        <f t="shared" si="67"/>
        <v>#REF!</v>
      </c>
      <c r="AA311" s="98" t="e">
        <f t="shared" si="67"/>
        <v>#REF!</v>
      </c>
      <c r="AC311" s="97" t="e">
        <f t="shared" si="62"/>
        <v>#REF!</v>
      </c>
      <c r="AD311" s="97" t="e">
        <f t="shared" si="63"/>
        <v>#REF!</v>
      </c>
      <c r="AE311" s="98" t="e">
        <f t="shared" si="68"/>
        <v>#REF!</v>
      </c>
      <c r="AF311" s="98" t="e">
        <f t="shared" si="68"/>
        <v>#REF!</v>
      </c>
      <c r="AH311" s="97" t="e">
        <f t="shared" si="64"/>
        <v>#REF!</v>
      </c>
      <c r="AI311" s="97" t="e">
        <f t="shared" si="65"/>
        <v>#REF!</v>
      </c>
      <c r="AJ311" s="98" t="e">
        <f t="shared" si="69"/>
        <v>#REF!</v>
      </c>
      <c r="AK311" s="98" t="e">
        <f t="shared" si="69"/>
        <v>#REF!</v>
      </c>
    </row>
    <row r="312" spans="19:37">
      <c r="S312" s="97">
        <f t="shared" si="58"/>
        <v>0</v>
      </c>
      <c r="T312" s="97">
        <f t="shared" si="59"/>
        <v>0</v>
      </c>
      <c r="U312" s="98">
        <f t="shared" si="66"/>
        <v>0</v>
      </c>
      <c r="V312" s="98">
        <f t="shared" si="66"/>
        <v>0</v>
      </c>
      <c r="X312" s="97" t="e">
        <f t="shared" si="60"/>
        <v>#REF!</v>
      </c>
      <c r="Y312" s="97" t="e">
        <f t="shared" si="61"/>
        <v>#REF!</v>
      </c>
      <c r="Z312" s="98" t="e">
        <f t="shared" si="67"/>
        <v>#REF!</v>
      </c>
      <c r="AA312" s="98" t="e">
        <f t="shared" si="67"/>
        <v>#REF!</v>
      </c>
      <c r="AC312" s="97" t="e">
        <f t="shared" si="62"/>
        <v>#REF!</v>
      </c>
      <c r="AD312" s="97" t="e">
        <f t="shared" si="63"/>
        <v>#REF!</v>
      </c>
      <c r="AE312" s="98" t="e">
        <f t="shared" si="68"/>
        <v>#REF!</v>
      </c>
      <c r="AF312" s="98" t="e">
        <f t="shared" si="68"/>
        <v>#REF!</v>
      </c>
      <c r="AH312" s="97" t="e">
        <f t="shared" si="64"/>
        <v>#REF!</v>
      </c>
      <c r="AI312" s="97" t="e">
        <f t="shared" si="65"/>
        <v>#REF!</v>
      </c>
      <c r="AJ312" s="98" t="e">
        <f t="shared" si="69"/>
        <v>#REF!</v>
      </c>
      <c r="AK312" s="98" t="e">
        <f t="shared" si="69"/>
        <v>#REF!</v>
      </c>
    </row>
    <row r="313" spans="19:37">
      <c r="S313" s="97">
        <f t="shared" si="58"/>
        <v>0</v>
      </c>
      <c r="T313" s="97">
        <f t="shared" si="59"/>
        <v>0</v>
      </c>
      <c r="U313" s="98">
        <f t="shared" si="66"/>
        <v>0</v>
      </c>
      <c r="V313" s="98">
        <f t="shared" si="66"/>
        <v>0</v>
      </c>
      <c r="X313" s="97" t="e">
        <f t="shared" si="60"/>
        <v>#REF!</v>
      </c>
      <c r="Y313" s="97" t="e">
        <f t="shared" si="61"/>
        <v>#REF!</v>
      </c>
      <c r="Z313" s="98" t="e">
        <f t="shared" si="67"/>
        <v>#REF!</v>
      </c>
      <c r="AA313" s="98" t="e">
        <f t="shared" si="67"/>
        <v>#REF!</v>
      </c>
      <c r="AC313" s="97" t="e">
        <f t="shared" si="62"/>
        <v>#REF!</v>
      </c>
      <c r="AD313" s="97" t="e">
        <f t="shared" si="63"/>
        <v>#REF!</v>
      </c>
      <c r="AE313" s="98" t="e">
        <f t="shared" si="68"/>
        <v>#REF!</v>
      </c>
      <c r="AF313" s="98" t="e">
        <f t="shared" si="68"/>
        <v>#REF!</v>
      </c>
      <c r="AH313" s="97" t="e">
        <f t="shared" si="64"/>
        <v>#REF!</v>
      </c>
      <c r="AI313" s="97" t="e">
        <f t="shared" si="65"/>
        <v>#REF!</v>
      </c>
      <c r="AJ313" s="98" t="e">
        <f t="shared" si="69"/>
        <v>#REF!</v>
      </c>
      <c r="AK313" s="98" t="e">
        <f t="shared" si="69"/>
        <v>#REF!</v>
      </c>
    </row>
    <row r="314" spans="19:37">
      <c r="S314" s="97">
        <f t="shared" si="58"/>
        <v>0</v>
      </c>
      <c r="T314" s="97">
        <f t="shared" si="59"/>
        <v>0</v>
      </c>
      <c r="U314" s="98">
        <f t="shared" si="66"/>
        <v>0</v>
      </c>
      <c r="V314" s="98">
        <f t="shared" si="66"/>
        <v>0</v>
      </c>
      <c r="X314" s="97" t="e">
        <f t="shared" si="60"/>
        <v>#REF!</v>
      </c>
      <c r="Y314" s="97" t="e">
        <f t="shared" si="61"/>
        <v>#REF!</v>
      </c>
      <c r="Z314" s="98" t="e">
        <f t="shared" si="67"/>
        <v>#REF!</v>
      </c>
      <c r="AA314" s="98" t="e">
        <f t="shared" si="67"/>
        <v>#REF!</v>
      </c>
      <c r="AC314" s="97" t="e">
        <f t="shared" si="62"/>
        <v>#REF!</v>
      </c>
      <c r="AD314" s="97" t="e">
        <f t="shared" si="63"/>
        <v>#REF!</v>
      </c>
      <c r="AE314" s="98" t="e">
        <f t="shared" si="68"/>
        <v>#REF!</v>
      </c>
      <c r="AF314" s="98" t="e">
        <f t="shared" si="68"/>
        <v>#REF!</v>
      </c>
      <c r="AH314" s="97" t="e">
        <f t="shared" si="64"/>
        <v>#REF!</v>
      </c>
      <c r="AI314" s="97" t="e">
        <f t="shared" si="65"/>
        <v>#REF!</v>
      </c>
      <c r="AJ314" s="98" t="e">
        <f t="shared" si="69"/>
        <v>#REF!</v>
      </c>
      <c r="AK314" s="98" t="e">
        <f t="shared" si="69"/>
        <v>#REF!</v>
      </c>
    </row>
    <row r="315" spans="19:37">
      <c r="S315" s="97">
        <f t="shared" si="58"/>
        <v>0</v>
      </c>
      <c r="T315" s="97">
        <f t="shared" si="59"/>
        <v>0</v>
      </c>
      <c r="U315" s="98">
        <f t="shared" si="66"/>
        <v>0</v>
      </c>
      <c r="V315" s="98">
        <f t="shared" si="66"/>
        <v>0</v>
      </c>
      <c r="X315" s="97" t="e">
        <f t="shared" si="60"/>
        <v>#REF!</v>
      </c>
      <c r="Y315" s="97" t="e">
        <f t="shared" si="61"/>
        <v>#REF!</v>
      </c>
      <c r="Z315" s="98" t="e">
        <f t="shared" si="67"/>
        <v>#REF!</v>
      </c>
      <c r="AA315" s="98" t="e">
        <f t="shared" si="67"/>
        <v>#REF!</v>
      </c>
      <c r="AC315" s="97" t="e">
        <f t="shared" si="62"/>
        <v>#REF!</v>
      </c>
      <c r="AD315" s="97" t="e">
        <f t="shared" si="63"/>
        <v>#REF!</v>
      </c>
      <c r="AE315" s="98" t="e">
        <f t="shared" si="68"/>
        <v>#REF!</v>
      </c>
      <c r="AF315" s="98" t="e">
        <f t="shared" si="68"/>
        <v>#REF!</v>
      </c>
      <c r="AH315" s="97" t="e">
        <f t="shared" si="64"/>
        <v>#REF!</v>
      </c>
      <c r="AI315" s="97" t="e">
        <f t="shared" si="65"/>
        <v>#REF!</v>
      </c>
      <c r="AJ315" s="98" t="e">
        <f t="shared" si="69"/>
        <v>#REF!</v>
      </c>
      <c r="AK315" s="98" t="e">
        <f t="shared" si="69"/>
        <v>#REF!</v>
      </c>
    </row>
    <row r="316" spans="19:37">
      <c r="S316" s="97">
        <f t="shared" si="58"/>
        <v>0</v>
      </c>
      <c r="T316" s="97">
        <f t="shared" si="59"/>
        <v>0</v>
      </c>
      <c r="U316" s="98">
        <f t="shared" si="66"/>
        <v>0</v>
      </c>
      <c r="V316" s="98">
        <f t="shared" si="66"/>
        <v>0</v>
      </c>
      <c r="X316" s="97" t="e">
        <f t="shared" si="60"/>
        <v>#REF!</v>
      </c>
      <c r="Y316" s="97" t="e">
        <f t="shared" si="61"/>
        <v>#REF!</v>
      </c>
      <c r="Z316" s="98" t="e">
        <f t="shared" si="67"/>
        <v>#REF!</v>
      </c>
      <c r="AA316" s="98" t="e">
        <f t="shared" si="67"/>
        <v>#REF!</v>
      </c>
      <c r="AC316" s="97" t="e">
        <f t="shared" si="62"/>
        <v>#REF!</v>
      </c>
      <c r="AD316" s="97" t="e">
        <f t="shared" si="63"/>
        <v>#REF!</v>
      </c>
      <c r="AE316" s="98" t="e">
        <f t="shared" si="68"/>
        <v>#REF!</v>
      </c>
      <c r="AF316" s="98" t="e">
        <f t="shared" si="68"/>
        <v>#REF!</v>
      </c>
      <c r="AH316" s="97" t="e">
        <f t="shared" si="64"/>
        <v>#REF!</v>
      </c>
      <c r="AI316" s="97" t="e">
        <f t="shared" si="65"/>
        <v>#REF!</v>
      </c>
      <c r="AJ316" s="98" t="e">
        <f t="shared" si="69"/>
        <v>#REF!</v>
      </c>
      <c r="AK316" s="98" t="e">
        <f t="shared" si="69"/>
        <v>#REF!</v>
      </c>
    </row>
    <row r="317" spans="19:37">
      <c r="S317" s="97">
        <f t="shared" si="58"/>
        <v>0</v>
      </c>
      <c r="T317" s="97">
        <f t="shared" si="59"/>
        <v>0</v>
      </c>
      <c r="U317" s="98">
        <f t="shared" si="66"/>
        <v>0</v>
      </c>
      <c r="V317" s="98">
        <f t="shared" si="66"/>
        <v>0</v>
      </c>
      <c r="X317" s="97" t="e">
        <f t="shared" si="60"/>
        <v>#REF!</v>
      </c>
      <c r="Y317" s="97" t="e">
        <f t="shared" si="61"/>
        <v>#REF!</v>
      </c>
      <c r="Z317" s="98" t="e">
        <f t="shared" si="67"/>
        <v>#REF!</v>
      </c>
      <c r="AA317" s="98" t="e">
        <f t="shared" si="67"/>
        <v>#REF!</v>
      </c>
      <c r="AC317" s="97" t="e">
        <f t="shared" si="62"/>
        <v>#REF!</v>
      </c>
      <c r="AD317" s="97" t="e">
        <f t="shared" si="63"/>
        <v>#REF!</v>
      </c>
      <c r="AE317" s="98" t="e">
        <f t="shared" si="68"/>
        <v>#REF!</v>
      </c>
      <c r="AF317" s="98" t="e">
        <f t="shared" si="68"/>
        <v>#REF!</v>
      </c>
      <c r="AH317" s="97" t="e">
        <f t="shared" si="64"/>
        <v>#REF!</v>
      </c>
      <c r="AI317" s="97" t="e">
        <f t="shared" si="65"/>
        <v>#REF!</v>
      </c>
      <c r="AJ317" s="98" t="e">
        <f t="shared" si="69"/>
        <v>#REF!</v>
      </c>
      <c r="AK317" s="98" t="e">
        <f t="shared" si="69"/>
        <v>#REF!</v>
      </c>
    </row>
    <row r="318" spans="19:37">
      <c r="S318" s="97">
        <f t="shared" si="58"/>
        <v>0</v>
      </c>
      <c r="T318" s="97">
        <f t="shared" si="59"/>
        <v>0</v>
      </c>
      <c r="U318" s="98">
        <f t="shared" si="66"/>
        <v>0</v>
      </c>
      <c r="V318" s="98">
        <f t="shared" si="66"/>
        <v>0</v>
      </c>
      <c r="X318" s="97" t="e">
        <f t="shared" si="60"/>
        <v>#REF!</v>
      </c>
      <c r="Y318" s="97" t="e">
        <f t="shared" si="61"/>
        <v>#REF!</v>
      </c>
      <c r="Z318" s="98" t="e">
        <f t="shared" si="67"/>
        <v>#REF!</v>
      </c>
      <c r="AA318" s="98" t="e">
        <f t="shared" si="67"/>
        <v>#REF!</v>
      </c>
      <c r="AC318" s="97" t="e">
        <f t="shared" si="62"/>
        <v>#REF!</v>
      </c>
      <c r="AD318" s="97" t="e">
        <f t="shared" si="63"/>
        <v>#REF!</v>
      </c>
      <c r="AE318" s="98" t="e">
        <f t="shared" si="68"/>
        <v>#REF!</v>
      </c>
      <c r="AF318" s="98" t="e">
        <f t="shared" si="68"/>
        <v>#REF!</v>
      </c>
      <c r="AH318" s="97" t="e">
        <f t="shared" si="64"/>
        <v>#REF!</v>
      </c>
      <c r="AI318" s="97" t="e">
        <f t="shared" si="65"/>
        <v>#REF!</v>
      </c>
      <c r="AJ318" s="98" t="e">
        <f t="shared" si="69"/>
        <v>#REF!</v>
      </c>
      <c r="AK318" s="98" t="e">
        <f t="shared" si="69"/>
        <v>#REF!</v>
      </c>
    </row>
    <row r="319" spans="19:37">
      <c r="S319" s="97">
        <f t="shared" si="58"/>
        <v>0</v>
      </c>
      <c r="T319" s="97">
        <f t="shared" si="59"/>
        <v>0</v>
      </c>
      <c r="U319" s="98">
        <f t="shared" si="66"/>
        <v>0</v>
      </c>
      <c r="V319" s="98">
        <f t="shared" si="66"/>
        <v>0</v>
      </c>
      <c r="X319" s="97" t="e">
        <f t="shared" si="60"/>
        <v>#REF!</v>
      </c>
      <c r="Y319" s="97" t="e">
        <f t="shared" si="61"/>
        <v>#REF!</v>
      </c>
      <c r="Z319" s="98" t="e">
        <f t="shared" si="67"/>
        <v>#REF!</v>
      </c>
      <c r="AA319" s="98" t="e">
        <f t="shared" si="67"/>
        <v>#REF!</v>
      </c>
      <c r="AC319" s="97" t="e">
        <f t="shared" si="62"/>
        <v>#REF!</v>
      </c>
      <c r="AD319" s="97" t="e">
        <f t="shared" si="63"/>
        <v>#REF!</v>
      </c>
      <c r="AE319" s="98" t="e">
        <f t="shared" si="68"/>
        <v>#REF!</v>
      </c>
      <c r="AF319" s="98" t="e">
        <f t="shared" si="68"/>
        <v>#REF!</v>
      </c>
      <c r="AH319" s="97" t="e">
        <f t="shared" si="64"/>
        <v>#REF!</v>
      </c>
      <c r="AI319" s="97" t="e">
        <f t="shared" si="65"/>
        <v>#REF!</v>
      </c>
      <c r="AJ319" s="98" t="e">
        <f t="shared" si="69"/>
        <v>#REF!</v>
      </c>
      <c r="AK319" s="98" t="e">
        <f t="shared" si="69"/>
        <v>#REF!</v>
      </c>
    </row>
    <row r="320" spans="19:37">
      <c r="S320" s="97">
        <f t="shared" si="58"/>
        <v>0</v>
      </c>
      <c r="T320" s="97">
        <f t="shared" si="59"/>
        <v>0</v>
      </c>
      <c r="U320" s="98">
        <f t="shared" si="66"/>
        <v>0</v>
      </c>
      <c r="V320" s="98">
        <f t="shared" si="66"/>
        <v>0</v>
      </c>
      <c r="X320" s="97" t="e">
        <f t="shared" si="60"/>
        <v>#REF!</v>
      </c>
      <c r="Y320" s="97" t="e">
        <f t="shared" si="61"/>
        <v>#REF!</v>
      </c>
      <c r="Z320" s="98" t="e">
        <f t="shared" si="67"/>
        <v>#REF!</v>
      </c>
      <c r="AA320" s="98" t="e">
        <f t="shared" si="67"/>
        <v>#REF!</v>
      </c>
      <c r="AC320" s="97" t="e">
        <f t="shared" si="62"/>
        <v>#REF!</v>
      </c>
      <c r="AD320" s="97" t="e">
        <f t="shared" si="63"/>
        <v>#REF!</v>
      </c>
      <c r="AE320" s="98" t="e">
        <f t="shared" si="68"/>
        <v>#REF!</v>
      </c>
      <c r="AF320" s="98" t="e">
        <f t="shared" si="68"/>
        <v>#REF!</v>
      </c>
      <c r="AH320" s="97" t="e">
        <f t="shared" si="64"/>
        <v>#REF!</v>
      </c>
      <c r="AI320" s="97" t="e">
        <f t="shared" si="65"/>
        <v>#REF!</v>
      </c>
      <c r="AJ320" s="98" t="e">
        <f t="shared" si="69"/>
        <v>#REF!</v>
      </c>
      <c r="AK320" s="98" t="e">
        <f t="shared" si="69"/>
        <v>#REF!</v>
      </c>
    </row>
    <row r="321" spans="19:37">
      <c r="S321" s="97">
        <f t="shared" si="58"/>
        <v>0</v>
      </c>
      <c r="T321" s="97">
        <f t="shared" si="59"/>
        <v>0</v>
      </c>
      <c r="U321" s="98">
        <f t="shared" si="66"/>
        <v>0</v>
      </c>
      <c r="V321" s="98">
        <f t="shared" si="66"/>
        <v>0</v>
      </c>
      <c r="X321" s="97" t="e">
        <f t="shared" si="60"/>
        <v>#REF!</v>
      </c>
      <c r="Y321" s="97" t="e">
        <f t="shared" si="61"/>
        <v>#REF!</v>
      </c>
      <c r="Z321" s="98" t="e">
        <f t="shared" si="67"/>
        <v>#REF!</v>
      </c>
      <c r="AA321" s="98" t="e">
        <f t="shared" si="67"/>
        <v>#REF!</v>
      </c>
      <c r="AC321" s="97" t="e">
        <f t="shared" si="62"/>
        <v>#REF!</v>
      </c>
      <c r="AD321" s="97" t="e">
        <f t="shared" si="63"/>
        <v>#REF!</v>
      </c>
      <c r="AE321" s="98" t="e">
        <f t="shared" si="68"/>
        <v>#REF!</v>
      </c>
      <c r="AF321" s="98" t="e">
        <f t="shared" si="68"/>
        <v>#REF!</v>
      </c>
      <c r="AH321" s="97" t="e">
        <f t="shared" si="64"/>
        <v>#REF!</v>
      </c>
      <c r="AI321" s="97" t="e">
        <f t="shared" si="65"/>
        <v>#REF!</v>
      </c>
      <c r="AJ321" s="98" t="e">
        <f t="shared" si="69"/>
        <v>#REF!</v>
      </c>
      <c r="AK321" s="98" t="e">
        <f t="shared" si="69"/>
        <v>#REF!</v>
      </c>
    </row>
    <row r="322" spans="19:37">
      <c r="S322" s="97">
        <f t="shared" si="58"/>
        <v>0</v>
      </c>
      <c r="T322" s="97">
        <f t="shared" si="59"/>
        <v>0</v>
      </c>
      <c r="U322" s="98">
        <f t="shared" si="66"/>
        <v>0</v>
      </c>
      <c r="V322" s="98">
        <f t="shared" si="66"/>
        <v>0</v>
      </c>
      <c r="X322" s="97" t="e">
        <f t="shared" si="60"/>
        <v>#REF!</v>
      </c>
      <c r="Y322" s="97" t="e">
        <f t="shared" si="61"/>
        <v>#REF!</v>
      </c>
      <c r="Z322" s="98" t="e">
        <f t="shared" si="67"/>
        <v>#REF!</v>
      </c>
      <c r="AA322" s="98" t="e">
        <f t="shared" si="67"/>
        <v>#REF!</v>
      </c>
      <c r="AC322" s="97" t="e">
        <f t="shared" si="62"/>
        <v>#REF!</v>
      </c>
      <c r="AD322" s="97" t="e">
        <f t="shared" si="63"/>
        <v>#REF!</v>
      </c>
      <c r="AE322" s="98" t="e">
        <f t="shared" si="68"/>
        <v>#REF!</v>
      </c>
      <c r="AF322" s="98" t="e">
        <f t="shared" si="68"/>
        <v>#REF!</v>
      </c>
      <c r="AH322" s="97" t="e">
        <f t="shared" si="64"/>
        <v>#REF!</v>
      </c>
      <c r="AI322" s="97" t="e">
        <f t="shared" si="65"/>
        <v>#REF!</v>
      </c>
      <c r="AJ322" s="98" t="e">
        <f t="shared" si="69"/>
        <v>#REF!</v>
      </c>
      <c r="AK322" s="98" t="e">
        <f t="shared" si="69"/>
        <v>#REF!</v>
      </c>
    </row>
    <row r="323" spans="19:37">
      <c r="S323" s="97">
        <f t="shared" si="58"/>
        <v>0</v>
      </c>
      <c r="T323" s="97">
        <f t="shared" si="59"/>
        <v>0</v>
      </c>
      <c r="U323" s="98">
        <f t="shared" si="66"/>
        <v>0</v>
      </c>
      <c r="V323" s="98">
        <f t="shared" si="66"/>
        <v>0</v>
      </c>
      <c r="X323" s="97" t="e">
        <f t="shared" si="60"/>
        <v>#REF!</v>
      </c>
      <c r="Y323" s="97" t="e">
        <f t="shared" si="61"/>
        <v>#REF!</v>
      </c>
      <c r="Z323" s="98" t="e">
        <f t="shared" si="67"/>
        <v>#REF!</v>
      </c>
      <c r="AA323" s="98" t="e">
        <f t="shared" si="67"/>
        <v>#REF!</v>
      </c>
      <c r="AC323" s="97" t="e">
        <f t="shared" si="62"/>
        <v>#REF!</v>
      </c>
      <c r="AD323" s="97" t="e">
        <f t="shared" si="63"/>
        <v>#REF!</v>
      </c>
      <c r="AE323" s="98" t="e">
        <f t="shared" si="68"/>
        <v>#REF!</v>
      </c>
      <c r="AF323" s="98" t="e">
        <f t="shared" si="68"/>
        <v>#REF!</v>
      </c>
      <c r="AH323" s="97" t="e">
        <f t="shared" si="64"/>
        <v>#REF!</v>
      </c>
      <c r="AI323" s="97" t="e">
        <f t="shared" si="65"/>
        <v>#REF!</v>
      </c>
      <c r="AJ323" s="98" t="e">
        <f t="shared" si="69"/>
        <v>#REF!</v>
      </c>
      <c r="AK323" s="98" t="e">
        <f t="shared" si="69"/>
        <v>#REF!</v>
      </c>
    </row>
    <row r="324" spans="19:37">
      <c r="S324" s="97">
        <f t="shared" si="58"/>
        <v>0</v>
      </c>
      <c r="T324" s="97">
        <f t="shared" si="59"/>
        <v>0</v>
      </c>
      <c r="U324" s="98">
        <f t="shared" si="66"/>
        <v>0</v>
      </c>
      <c r="V324" s="98">
        <f t="shared" si="66"/>
        <v>0</v>
      </c>
      <c r="X324" s="97" t="e">
        <f t="shared" si="60"/>
        <v>#REF!</v>
      </c>
      <c r="Y324" s="97" t="e">
        <f t="shared" si="61"/>
        <v>#REF!</v>
      </c>
      <c r="Z324" s="98" t="e">
        <f t="shared" si="67"/>
        <v>#REF!</v>
      </c>
      <c r="AA324" s="98" t="e">
        <f t="shared" si="67"/>
        <v>#REF!</v>
      </c>
      <c r="AC324" s="97" t="e">
        <f t="shared" si="62"/>
        <v>#REF!</v>
      </c>
      <c r="AD324" s="97" t="e">
        <f t="shared" si="63"/>
        <v>#REF!</v>
      </c>
      <c r="AE324" s="98" t="e">
        <f t="shared" si="68"/>
        <v>#REF!</v>
      </c>
      <c r="AF324" s="98" t="e">
        <f t="shared" si="68"/>
        <v>#REF!</v>
      </c>
      <c r="AH324" s="97" t="e">
        <f t="shared" si="64"/>
        <v>#REF!</v>
      </c>
      <c r="AI324" s="97" t="e">
        <f t="shared" si="65"/>
        <v>#REF!</v>
      </c>
      <c r="AJ324" s="98" t="e">
        <f t="shared" si="69"/>
        <v>#REF!</v>
      </c>
      <c r="AK324" s="98" t="e">
        <f t="shared" si="69"/>
        <v>#REF!</v>
      </c>
    </row>
    <row r="325" spans="19:37">
      <c r="S325" s="97">
        <f t="shared" si="58"/>
        <v>0</v>
      </c>
      <c r="T325" s="97">
        <f t="shared" si="59"/>
        <v>0</v>
      </c>
      <c r="U325" s="98">
        <f t="shared" si="66"/>
        <v>0</v>
      </c>
      <c r="V325" s="98">
        <f t="shared" si="66"/>
        <v>0</v>
      </c>
      <c r="X325" s="97" t="e">
        <f t="shared" si="60"/>
        <v>#REF!</v>
      </c>
      <c r="Y325" s="97" t="e">
        <f t="shared" si="61"/>
        <v>#REF!</v>
      </c>
      <c r="Z325" s="98" t="e">
        <f t="shared" si="67"/>
        <v>#REF!</v>
      </c>
      <c r="AA325" s="98" t="e">
        <f t="shared" si="67"/>
        <v>#REF!</v>
      </c>
      <c r="AC325" s="97" t="e">
        <f t="shared" si="62"/>
        <v>#REF!</v>
      </c>
      <c r="AD325" s="97" t="e">
        <f t="shared" si="63"/>
        <v>#REF!</v>
      </c>
      <c r="AE325" s="98" t="e">
        <f t="shared" si="68"/>
        <v>#REF!</v>
      </c>
      <c r="AF325" s="98" t="e">
        <f t="shared" si="68"/>
        <v>#REF!</v>
      </c>
      <c r="AH325" s="97" t="e">
        <f t="shared" si="64"/>
        <v>#REF!</v>
      </c>
      <c r="AI325" s="97" t="e">
        <f t="shared" si="65"/>
        <v>#REF!</v>
      </c>
      <c r="AJ325" s="98" t="e">
        <f t="shared" si="69"/>
        <v>#REF!</v>
      </c>
      <c r="AK325" s="98" t="e">
        <f t="shared" si="69"/>
        <v>#REF!</v>
      </c>
    </row>
    <row r="326" spans="19:37">
      <c r="S326" s="97">
        <f t="shared" si="58"/>
        <v>0</v>
      </c>
      <c r="T326" s="97">
        <f t="shared" si="59"/>
        <v>0</v>
      </c>
      <c r="U326" s="98">
        <f t="shared" si="66"/>
        <v>0</v>
      </c>
      <c r="V326" s="98">
        <f t="shared" si="66"/>
        <v>0</v>
      </c>
      <c r="X326" s="97" t="e">
        <f t="shared" si="60"/>
        <v>#REF!</v>
      </c>
      <c r="Y326" s="97" t="e">
        <f t="shared" si="61"/>
        <v>#REF!</v>
      </c>
      <c r="Z326" s="98" t="e">
        <f t="shared" si="67"/>
        <v>#REF!</v>
      </c>
      <c r="AA326" s="98" t="e">
        <f t="shared" si="67"/>
        <v>#REF!</v>
      </c>
      <c r="AC326" s="97" t="e">
        <f t="shared" si="62"/>
        <v>#REF!</v>
      </c>
      <c r="AD326" s="97" t="e">
        <f t="shared" si="63"/>
        <v>#REF!</v>
      </c>
      <c r="AE326" s="98" t="e">
        <f t="shared" si="68"/>
        <v>#REF!</v>
      </c>
      <c r="AF326" s="98" t="e">
        <f t="shared" si="68"/>
        <v>#REF!</v>
      </c>
      <c r="AH326" s="97" t="e">
        <f t="shared" si="64"/>
        <v>#REF!</v>
      </c>
      <c r="AI326" s="97" t="e">
        <f t="shared" si="65"/>
        <v>#REF!</v>
      </c>
      <c r="AJ326" s="98" t="e">
        <f t="shared" si="69"/>
        <v>#REF!</v>
      </c>
      <c r="AK326" s="98" t="e">
        <f t="shared" si="69"/>
        <v>#REF!</v>
      </c>
    </row>
    <row r="327" spans="19:37">
      <c r="S327" s="97">
        <f t="shared" si="58"/>
        <v>0</v>
      </c>
      <c r="T327" s="97">
        <f t="shared" si="59"/>
        <v>0</v>
      </c>
      <c r="U327" s="98">
        <f t="shared" si="66"/>
        <v>0</v>
      </c>
      <c r="V327" s="98">
        <f t="shared" si="66"/>
        <v>0</v>
      </c>
      <c r="X327" s="97" t="e">
        <f t="shared" si="60"/>
        <v>#REF!</v>
      </c>
      <c r="Y327" s="97" t="e">
        <f t="shared" si="61"/>
        <v>#REF!</v>
      </c>
      <c r="Z327" s="98" t="e">
        <f t="shared" si="67"/>
        <v>#REF!</v>
      </c>
      <c r="AA327" s="98" t="e">
        <f t="shared" si="67"/>
        <v>#REF!</v>
      </c>
      <c r="AC327" s="97" t="e">
        <f t="shared" si="62"/>
        <v>#REF!</v>
      </c>
      <c r="AD327" s="97" t="e">
        <f t="shared" si="63"/>
        <v>#REF!</v>
      </c>
      <c r="AE327" s="98" t="e">
        <f t="shared" si="68"/>
        <v>#REF!</v>
      </c>
      <c r="AF327" s="98" t="e">
        <f t="shared" si="68"/>
        <v>#REF!</v>
      </c>
      <c r="AH327" s="97" t="e">
        <f t="shared" si="64"/>
        <v>#REF!</v>
      </c>
      <c r="AI327" s="97" t="e">
        <f t="shared" si="65"/>
        <v>#REF!</v>
      </c>
      <c r="AJ327" s="98" t="e">
        <f t="shared" si="69"/>
        <v>#REF!</v>
      </c>
      <c r="AK327" s="98" t="e">
        <f t="shared" si="69"/>
        <v>#REF!</v>
      </c>
    </row>
    <row r="328" spans="19:37">
      <c r="S328" s="97">
        <f t="shared" si="58"/>
        <v>0</v>
      </c>
      <c r="T328" s="97">
        <f t="shared" si="59"/>
        <v>0</v>
      </c>
      <c r="U328" s="98">
        <f t="shared" si="66"/>
        <v>0</v>
      </c>
      <c r="V328" s="98">
        <f t="shared" si="66"/>
        <v>0</v>
      </c>
      <c r="X328" s="97" t="e">
        <f t="shared" si="60"/>
        <v>#REF!</v>
      </c>
      <c r="Y328" s="97" t="e">
        <f t="shared" si="61"/>
        <v>#REF!</v>
      </c>
      <c r="Z328" s="98" t="e">
        <f t="shared" si="67"/>
        <v>#REF!</v>
      </c>
      <c r="AA328" s="98" t="e">
        <f t="shared" si="67"/>
        <v>#REF!</v>
      </c>
      <c r="AC328" s="97" t="e">
        <f t="shared" si="62"/>
        <v>#REF!</v>
      </c>
      <c r="AD328" s="97" t="e">
        <f t="shared" si="63"/>
        <v>#REF!</v>
      </c>
      <c r="AE328" s="98" t="e">
        <f t="shared" si="68"/>
        <v>#REF!</v>
      </c>
      <c r="AF328" s="98" t="e">
        <f t="shared" si="68"/>
        <v>#REF!</v>
      </c>
      <c r="AH328" s="97" t="e">
        <f t="shared" si="64"/>
        <v>#REF!</v>
      </c>
      <c r="AI328" s="97" t="e">
        <f t="shared" si="65"/>
        <v>#REF!</v>
      </c>
      <c r="AJ328" s="98" t="e">
        <f t="shared" si="69"/>
        <v>#REF!</v>
      </c>
      <c r="AK328" s="98" t="e">
        <f t="shared" si="69"/>
        <v>#REF!</v>
      </c>
    </row>
    <row r="329" spans="19:37">
      <c r="S329" s="97">
        <f t="shared" si="58"/>
        <v>0</v>
      </c>
      <c r="T329" s="97">
        <f t="shared" si="59"/>
        <v>0</v>
      </c>
      <c r="U329" s="98">
        <f t="shared" si="66"/>
        <v>0</v>
      </c>
      <c r="V329" s="98">
        <f t="shared" si="66"/>
        <v>0</v>
      </c>
      <c r="X329" s="97" t="e">
        <f t="shared" si="60"/>
        <v>#REF!</v>
      </c>
      <c r="Y329" s="97" t="e">
        <f t="shared" si="61"/>
        <v>#REF!</v>
      </c>
      <c r="Z329" s="98" t="e">
        <f t="shared" si="67"/>
        <v>#REF!</v>
      </c>
      <c r="AA329" s="98" t="e">
        <f t="shared" si="67"/>
        <v>#REF!</v>
      </c>
      <c r="AC329" s="97" t="e">
        <f t="shared" si="62"/>
        <v>#REF!</v>
      </c>
      <c r="AD329" s="97" t="e">
        <f t="shared" si="63"/>
        <v>#REF!</v>
      </c>
      <c r="AE329" s="98" t="e">
        <f t="shared" si="68"/>
        <v>#REF!</v>
      </c>
      <c r="AF329" s="98" t="e">
        <f t="shared" si="68"/>
        <v>#REF!</v>
      </c>
      <c r="AH329" s="97" t="e">
        <f t="shared" si="64"/>
        <v>#REF!</v>
      </c>
      <c r="AI329" s="97" t="e">
        <f t="shared" si="65"/>
        <v>#REF!</v>
      </c>
      <c r="AJ329" s="98" t="e">
        <f t="shared" si="69"/>
        <v>#REF!</v>
      </c>
      <c r="AK329" s="98" t="e">
        <f t="shared" si="69"/>
        <v>#REF!</v>
      </c>
    </row>
    <row r="330" spans="19:37">
      <c r="S330" s="97">
        <f t="shared" si="58"/>
        <v>0</v>
      </c>
      <c r="T330" s="97">
        <f t="shared" si="59"/>
        <v>0</v>
      </c>
      <c r="U330" s="98">
        <f t="shared" si="66"/>
        <v>0</v>
      </c>
      <c r="V330" s="98">
        <f t="shared" si="66"/>
        <v>0</v>
      </c>
      <c r="X330" s="97" t="e">
        <f t="shared" si="60"/>
        <v>#REF!</v>
      </c>
      <c r="Y330" s="97" t="e">
        <f t="shared" si="61"/>
        <v>#REF!</v>
      </c>
      <c r="Z330" s="98" t="e">
        <f t="shared" si="67"/>
        <v>#REF!</v>
      </c>
      <c r="AA330" s="98" t="e">
        <f t="shared" si="67"/>
        <v>#REF!</v>
      </c>
      <c r="AC330" s="97" t="e">
        <f t="shared" si="62"/>
        <v>#REF!</v>
      </c>
      <c r="AD330" s="97" t="e">
        <f t="shared" si="63"/>
        <v>#REF!</v>
      </c>
      <c r="AE330" s="98" t="e">
        <f t="shared" si="68"/>
        <v>#REF!</v>
      </c>
      <c r="AF330" s="98" t="e">
        <f t="shared" si="68"/>
        <v>#REF!</v>
      </c>
      <c r="AH330" s="97" t="e">
        <f t="shared" si="64"/>
        <v>#REF!</v>
      </c>
      <c r="AI330" s="97" t="e">
        <f t="shared" si="65"/>
        <v>#REF!</v>
      </c>
      <c r="AJ330" s="98" t="e">
        <f t="shared" si="69"/>
        <v>#REF!</v>
      </c>
      <c r="AK330" s="98" t="e">
        <f t="shared" si="69"/>
        <v>#REF!</v>
      </c>
    </row>
    <row r="331" spans="19:37">
      <c r="S331" s="97">
        <f t="shared" si="58"/>
        <v>0</v>
      </c>
      <c r="T331" s="97">
        <f t="shared" si="59"/>
        <v>0</v>
      </c>
      <c r="U331" s="98">
        <f t="shared" si="66"/>
        <v>0</v>
      </c>
      <c r="V331" s="98">
        <f t="shared" si="66"/>
        <v>0</v>
      </c>
      <c r="X331" s="97" t="e">
        <f t="shared" si="60"/>
        <v>#REF!</v>
      </c>
      <c r="Y331" s="97" t="e">
        <f t="shared" si="61"/>
        <v>#REF!</v>
      </c>
      <c r="Z331" s="98" t="e">
        <f t="shared" si="67"/>
        <v>#REF!</v>
      </c>
      <c r="AA331" s="98" t="e">
        <f t="shared" si="67"/>
        <v>#REF!</v>
      </c>
      <c r="AC331" s="97" t="e">
        <f t="shared" si="62"/>
        <v>#REF!</v>
      </c>
      <c r="AD331" s="97" t="e">
        <f t="shared" si="63"/>
        <v>#REF!</v>
      </c>
      <c r="AE331" s="98" t="e">
        <f t="shared" si="68"/>
        <v>#REF!</v>
      </c>
      <c r="AF331" s="98" t="e">
        <f t="shared" si="68"/>
        <v>#REF!</v>
      </c>
      <c r="AH331" s="97" t="e">
        <f t="shared" si="64"/>
        <v>#REF!</v>
      </c>
      <c r="AI331" s="97" t="e">
        <f t="shared" si="65"/>
        <v>#REF!</v>
      </c>
      <c r="AJ331" s="98" t="e">
        <f t="shared" si="69"/>
        <v>#REF!</v>
      </c>
      <c r="AK331" s="98" t="e">
        <f t="shared" si="69"/>
        <v>#REF!</v>
      </c>
    </row>
    <row r="332" spans="19:37">
      <c r="S332" s="97">
        <f t="shared" si="58"/>
        <v>0</v>
      </c>
      <c r="T332" s="97">
        <f t="shared" si="59"/>
        <v>0</v>
      </c>
      <c r="U332" s="98">
        <f t="shared" si="66"/>
        <v>0</v>
      </c>
      <c r="V332" s="98">
        <f t="shared" si="66"/>
        <v>0</v>
      </c>
      <c r="X332" s="97" t="e">
        <f t="shared" si="60"/>
        <v>#REF!</v>
      </c>
      <c r="Y332" s="97" t="e">
        <f t="shared" si="61"/>
        <v>#REF!</v>
      </c>
      <c r="Z332" s="98" t="e">
        <f t="shared" si="67"/>
        <v>#REF!</v>
      </c>
      <c r="AA332" s="98" t="e">
        <f t="shared" si="67"/>
        <v>#REF!</v>
      </c>
      <c r="AC332" s="97" t="e">
        <f t="shared" si="62"/>
        <v>#REF!</v>
      </c>
      <c r="AD332" s="97" t="e">
        <f t="shared" si="63"/>
        <v>#REF!</v>
      </c>
      <c r="AE332" s="98" t="e">
        <f t="shared" si="68"/>
        <v>#REF!</v>
      </c>
      <c r="AF332" s="98" t="e">
        <f t="shared" si="68"/>
        <v>#REF!</v>
      </c>
      <c r="AH332" s="97" t="e">
        <f t="shared" si="64"/>
        <v>#REF!</v>
      </c>
      <c r="AI332" s="97" t="e">
        <f t="shared" si="65"/>
        <v>#REF!</v>
      </c>
      <c r="AJ332" s="98" t="e">
        <f t="shared" si="69"/>
        <v>#REF!</v>
      </c>
      <c r="AK332" s="98" t="e">
        <f t="shared" si="69"/>
        <v>#REF!</v>
      </c>
    </row>
    <row r="333" spans="19:37">
      <c r="S333" s="97">
        <f t="shared" si="58"/>
        <v>0</v>
      </c>
      <c r="T333" s="97">
        <f t="shared" si="59"/>
        <v>0</v>
      </c>
      <c r="U333" s="98">
        <f t="shared" si="66"/>
        <v>0</v>
      </c>
      <c r="V333" s="98">
        <f t="shared" si="66"/>
        <v>0</v>
      </c>
      <c r="X333" s="97" t="e">
        <f t="shared" si="60"/>
        <v>#REF!</v>
      </c>
      <c r="Y333" s="97" t="e">
        <f t="shared" si="61"/>
        <v>#REF!</v>
      </c>
      <c r="Z333" s="98" t="e">
        <f t="shared" si="67"/>
        <v>#REF!</v>
      </c>
      <c r="AA333" s="98" t="e">
        <f t="shared" si="67"/>
        <v>#REF!</v>
      </c>
      <c r="AC333" s="97" t="e">
        <f t="shared" si="62"/>
        <v>#REF!</v>
      </c>
      <c r="AD333" s="97" t="e">
        <f t="shared" si="63"/>
        <v>#REF!</v>
      </c>
      <c r="AE333" s="98" t="e">
        <f t="shared" si="68"/>
        <v>#REF!</v>
      </c>
      <c r="AF333" s="98" t="e">
        <f t="shared" si="68"/>
        <v>#REF!</v>
      </c>
      <c r="AH333" s="97" t="e">
        <f t="shared" si="64"/>
        <v>#REF!</v>
      </c>
      <c r="AI333" s="97" t="e">
        <f t="shared" si="65"/>
        <v>#REF!</v>
      </c>
      <c r="AJ333" s="98" t="e">
        <f t="shared" si="69"/>
        <v>#REF!</v>
      </c>
      <c r="AK333" s="98" t="e">
        <f t="shared" si="69"/>
        <v>#REF!</v>
      </c>
    </row>
    <row r="334" spans="19:37">
      <c r="S334" s="97">
        <f t="shared" ref="S334:S397" si="70">IF($A334&lt;&gt;"(DC)", $E334*$R$7, $E334)</f>
        <v>0</v>
      </c>
      <c r="T334" s="97">
        <f t="shared" ref="T334:T397" si="71">IF($A334&lt;&gt;"(DC)", $F334*$R$7, $F334)</f>
        <v>0</v>
      </c>
      <c r="U334" s="98">
        <f t="shared" si="66"/>
        <v>0</v>
      </c>
      <c r="V334" s="98">
        <f t="shared" si="66"/>
        <v>0</v>
      </c>
      <c r="X334" s="97" t="e">
        <f t="shared" ref="X334:X397" si="72">IF($A334&lt;&gt;"(DC)", $E334*$W$7, $E334)</f>
        <v>#REF!</v>
      </c>
      <c r="Y334" s="97" t="e">
        <f t="shared" ref="Y334:Y397" si="73">IF($A334&lt;&gt;"(DC)", $F334*$W$7, $F334)</f>
        <v>#REF!</v>
      </c>
      <c r="Z334" s="98" t="e">
        <f t="shared" si="67"/>
        <v>#REF!</v>
      </c>
      <c r="AA334" s="98" t="e">
        <f t="shared" si="67"/>
        <v>#REF!</v>
      </c>
      <c r="AC334" s="97" t="e">
        <f t="shared" ref="AC334:AC397" si="74">IF($A334&lt;&gt;"(DC)", $E334*$AB$7, $E334)</f>
        <v>#REF!</v>
      </c>
      <c r="AD334" s="97" t="e">
        <f t="shared" ref="AD334:AD397" si="75">IF($A334&lt;&gt;"(DC)", $F334*$AB$7, $F334)</f>
        <v>#REF!</v>
      </c>
      <c r="AE334" s="98" t="e">
        <f t="shared" si="68"/>
        <v>#REF!</v>
      </c>
      <c r="AF334" s="98" t="e">
        <f t="shared" si="68"/>
        <v>#REF!</v>
      </c>
      <c r="AH334" s="97" t="e">
        <f t="shared" ref="AH334:AH397" si="76">IF($A334&lt;&gt;"(DC)", $E334*$AG$7, $E334)</f>
        <v>#REF!</v>
      </c>
      <c r="AI334" s="97" t="e">
        <f t="shared" ref="AI334:AI397" si="77">IF($A334&lt;&gt;"(DC)", $F334*$AG$7, $F334)</f>
        <v>#REF!</v>
      </c>
      <c r="AJ334" s="98" t="e">
        <f t="shared" si="69"/>
        <v>#REF!</v>
      </c>
      <c r="AK334" s="98" t="e">
        <f t="shared" si="69"/>
        <v>#REF!</v>
      </c>
    </row>
    <row r="335" spans="19:37">
      <c r="S335" s="97">
        <f t="shared" si="70"/>
        <v>0</v>
      </c>
      <c r="T335" s="97">
        <f t="shared" si="71"/>
        <v>0</v>
      </c>
      <c r="U335" s="98">
        <f t="shared" si="66"/>
        <v>0</v>
      </c>
      <c r="V335" s="98">
        <f t="shared" si="66"/>
        <v>0</v>
      </c>
      <c r="X335" s="97" t="e">
        <f t="shared" si="72"/>
        <v>#REF!</v>
      </c>
      <c r="Y335" s="97" t="e">
        <f t="shared" si="73"/>
        <v>#REF!</v>
      </c>
      <c r="Z335" s="98" t="e">
        <f t="shared" si="67"/>
        <v>#REF!</v>
      </c>
      <c r="AA335" s="98" t="e">
        <f t="shared" si="67"/>
        <v>#REF!</v>
      </c>
      <c r="AC335" s="97" t="e">
        <f t="shared" si="74"/>
        <v>#REF!</v>
      </c>
      <c r="AD335" s="97" t="e">
        <f t="shared" si="75"/>
        <v>#REF!</v>
      </c>
      <c r="AE335" s="98" t="e">
        <f t="shared" si="68"/>
        <v>#REF!</v>
      </c>
      <c r="AF335" s="98" t="e">
        <f t="shared" si="68"/>
        <v>#REF!</v>
      </c>
      <c r="AH335" s="97" t="e">
        <f t="shared" si="76"/>
        <v>#REF!</v>
      </c>
      <c r="AI335" s="97" t="e">
        <f t="shared" si="77"/>
        <v>#REF!</v>
      </c>
      <c r="AJ335" s="98" t="e">
        <f t="shared" si="69"/>
        <v>#REF!</v>
      </c>
      <c r="AK335" s="98" t="e">
        <f t="shared" si="69"/>
        <v>#REF!</v>
      </c>
    </row>
    <row r="336" spans="19:37">
      <c r="S336" s="97">
        <f t="shared" si="70"/>
        <v>0</v>
      </c>
      <c r="T336" s="97">
        <f t="shared" si="71"/>
        <v>0</v>
      </c>
      <c r="U336" s="98">
        <f t="shared" si="66"/>
        <v>0</v>
      </c>
      <c r="V336" s="98">
        <f t="shared" si="66"/>
        <v>0</v>
      </c>
      <c r="X336" s="97" t="e">
        <f t="shared" si="72"/>
        <v>#REF!</v>
      </c>
      <c r="Y336" s="97" t="e">
        <f t="shared" si="73"/>
        <v>#REF!</v>
      </c>
      <c r="Z336" s="98" t="e">
        <f t="shared" si="67"/>
        <v>#REF!</v>
      </c>
      <c r="AA336" s="98" t="e">
        <f t="shared" si="67"/>
        <v>#REF!</v>
      </c>
      <c r="AC336" s="97" t="e">
        <f t="shared" si="74"/>
        <v>#REF!</v>
      </c>
      <c r="AD336" s="97" t="e">
        <f t="shared" si="75"/>
        <v>#REF!</v>
      </c>
      <c r="AE336" s="98" t="e">
        <f t="shared" si="68"/>
        <v>#REF!</v>
      </c>
      <c r="AF336" s="98" t="e">
        <f t="shared" si="68"/>
        <v>#REF!</v>
      </c>
      <c r="AH336" s="97" t="e">
        <f t="shared" si="76"/>
        <v>#REF!</v>
      </c>
      <c r="AI336" s="97" t="e">
        <f t="shared" si="77"/>
        <v>#REF!</v>
      </c>
      <c r="AJ336" s="98" t="e">
        <f t="shared" si="69"/>
        <v>#REF!</v>
      </c>
      <c r="AK336" s="98" t="e">
        <f t="shared" si="69"/>
        <v>#REF!</v>
      </c>
    </row>
    <row r="337" spans="19:37">
      <c r="S337" s="97">
        <f t="shared" si="70"/>
        <v>0</v>
      </c>
      <c r="T337" s="97">
        <f t="shared" si="71"/>
        <v>0</v>
      </c>
      <c r="U337" s="98">
        <f t="shared" si="66"/>
        <v>0</v>
      </c>
      <c r="V337" s="98">
        <f t="shared" si="66"/>
        <v>0</v>
      </c>
      <c r="X337" s="97" t="e">
        <f t="shared" si="72"/>
        <v>#REF!</v>
      </c>
      <c r="Y337" s="97" t="e">
        <f t="shared" si="73"/>
        <v>#REF!</v>
      </c>
      <c r="Z337" s="98" t="e">
        <f t="shared" si="67"/>
        <v>#REF!</v>
      </c>
      <c r="AA337" s="98" t="e">
        <f t="shared" si="67"/>
        <v>#REF!</v>
      </c>
      <c r="AC337" s="97" t="e">
        <f t="shared" si="74"/>
        <v>#REF!</v>
      </c>
      <c r="AD337" s="97" t="e">
        <f t="shared" si="75"/>
        <v>#REF!</v>
      </c>
      <c r="AE337" s="98" t="e">
        <f t="shared" si="68"/>
        <v>#REF!</v>
      </c>
      <c r="AF337" s="98" t="e">
        <f t="shared" si="68"/>
        <v>#REF!</v>
      </c>
      <c r="AH337" s="97" t="e">
        <f t="shared" si="76"/>
        <v>#REF!</v>
      </c>
      <c r="AI337" s="97" t="e">
        <f t="shared" si="77"/>
        <v>#REF!</v>
      </c>
      <c r="AJ337" s="98" t="e">
        <f t="shared" si="69"/>
        <v>#REF!</v>
      </c>
      <c r="AK337" s="98" t="e">
        <f t="shared" si="69"/>
        <v>#REF!</v>
      </c>
    </row>
    <row r="338" spans="19:37">
      <c r="S338" s="97">
        <f t="shared" si="70"/>
        <v>0</v>
      </c>
      <c r="T338" s="97">
        <f t="shared" si="71"/>
        <v>0</v>
      </c>
      <c r="U338" s="98">
        <f t="shared" si="66"/>
        <v>0</v>
      </c>
      <c r="V338" s="98">
        <f t="shared" si="66"/>
        <v>0</v>
      </c>
      <c r="X338" s="97" t="e">
        <f t="shared" si="72"/>
        <v>#REF!</v>
      </c>
      <c r="Y338" s="97" t="e">
        <f t="shared" si="73"/>
        <v>#REF!</v>
      </c>
      <c r="Z338" s="98" t="e">
        <f t="shared" si="67"/>
        <v>#REF!</v>
      </c>
      <c r="AA338" s="98" t="e">
        <f t="shared" si="67"/>
        <v>#REF!</v>
      </c>
      <c r="AC338" s="97" t="e">
        <f t="shared" si="74"/>
        <v>#REF!</v>
      </c>
      <c r="AD338" s="97" t="e">
        <f t="shared" si="75"/>
        <v>#REF!</v>
      </c>
      <c r="AE338" s="98" t="e">
        <f t="shared" si="68"/>
        <v>#REF!</v>
      </c>
      <c r="AF338" s="98" t="e">
        <f t="shared" si="68"/>
        <v>#REF!</v>
      </c>
      <c r="AH338" s="97" t="e">
        <f t="shared" si="76"/>
        <v>#REF!</v>
      </c>
      <c r="AI338" s="97" t="e">
        <f t="shared" si="77"/>
        <v>#REF!</v>
      </c>
      <c r="AJ338" s="98" t="e">
        <f t="shared" si="69"/>
        <v>#REF!</v>
      </c>
      <c r="AK338" s="98" t="e">
        <f t="shared" si="69"/>
        <v>#REF!</v>
      </c>
    </row>
    <row r="339" spans="19:37">
      <c r="S339" s="97">
        <f t="shared" si="70"/>
        <v>0</v>
      </c>
      <c r="T339" s="97">
        <f t="shared" si="71"/>
        <v>0</v>
      </c>
      <c r="U339" s="98">
        <f t="shared" si="66"/>
        <v>0</v>
      </c>
      <c r="V339" s="98">
        <f t="shared" si="66"/>
        <v>0</v>
      </c>
      <c r="X339" s="97" t="e">
        <f t="shared" si="72"/>
        <v>#REF!</v>
      </c>
      <c r="Y339" s="97" t="e">
        <f t="shared" si="73"/>
        <v>#REF!</v>
      </c>
      <c r="Z339" s="98" t="e">
        <f t="shared" si="67"/>
        <v>#REF!</v>
      </c>
      <c r="AA339" s="98" t="e">
        <f t="shared" si="67"/>
        <v>#REF!</v>
      </c>
      <c r="AC339" s="97" t="e">
        <f t="shared" si="74"/>
        <v>#REF!</v>
      </c>
      <c r="AD339" s="97" t="e">
        <f t="shared" si="75"/>
        <v>#REF!</v>
      </c>
      <c r="AE339" s="98" t="e">
        <f t="shared" si="68"/>
        <v>#REF!</v>
      </c>
      <c r="AF339" s="98" t="e">
        <f t="shared" si="68"/>
        <v>#REF!</v>
      </c>
      <c r="AH339" s="97" t="e">
        <f t="shared" si="76"/>
        <v>#REF!</v>
      </c>
      <c r="AI339" s="97" t="e">
        <f t="shared" si="77"/>
        <v>#REF!</v>
      </c>
      <c r="AJ339" s="98" t="e">
        <f t="shared" si="69"/>
        <v>#REF!</v>
      </c>
      <c r="AK339" s="98" t="e">
        <f t="shared" si="69"/>
        <v>#REF!</v>
      </c>
    </row>
    <row r="340" spans="19:37">
      <c r="S340" s="97">
        <f t="shared" si="70"/>
        <v>0</v>
      </c>
      <c r="T340" s="97">
        <f t="shared" si="71"/>
        <v>0</v>
      </c>
      <c r="U340" s="98">
        <f t="shared" si="66"/>
        <v>0</v>
      </c>
      <c r="V340" s="98">
        <f t="shared" si="66"/>
        <v>0</v>
      </c>
      <c r="X340" s="97" t="e">
        <f t="shared" si="72"/>
        <v>#REF!</v>
      </c>
      <c r="Y340" s="97" t="e">
        <f t="shared" si="73"/>
        <v>#REF!</v>
      </c>
      <c r="Z340" s="98" t="e">
        <f t="shared" si="67"/>
        <v>#REF!</v>
      </c>
      <c r="AA340" s="98" t="e">
        <f t="shared" si="67"/>
        <v>#REF!</v>
      </c>
      <c r="AC340" s="97" t="e">
        <f t="shared" si="74"/>
        <v>#REF!</v>
      </c>
      <c r="AD340" s="97" t="e">
        <f t="shared" si="75"/>
        <v>#REF!</v>
      </c>
      <c r="AE340" s="98" t="e">
        <f t="shared" si="68"/>
        <v>#REF!</v>
      </c>
      <c r="AF340" s="98" t="e">
        <f t="shared" si="68"/>
        <v>#REF!</v>
      </c>
      <c r="AH340" s="97" t="e">
        <f t="shared" si="76"/>
        <v>#REF!</v>
      </c>
      <c r="AI340" s="97" t="e">
        <f t="shared" si="77"/>
        <v>#REF!</v>
      </c>
      <c r="AJ340" s="98" t="e">
        <f t="shared" si="69"/>
        <v>#REF!</v>
      </c>
      <c r="AK340" s="98" t="e">
        <f t="shared" si="69"/>
        <v>#REF!</v>
      </c>
    </row>
    <row r="341" spans="19:37">
      <c r="S341" s="97">
        <f t="shared" si="70"/>
        <v>0</v>
      </c>
      <c r="T341" s="97">
        <f t="shared" si="71"/>
        <v>0</v>
      </c>
      <c r="U341" s="98">
        <f t="shared" si="66"/>
        <v>0</v>
      </c>
      <c r="V341" s="98">
        <f t="shared" si="66"/>
        <v>0</v>
      </c>
      <c r="X341" s="97" t="e">
        <f t="shared" si="72"/>
        <v>#REF!</v>
      </c>
      <c r="Y341" s="97" t="e">
        <f t="shared" si="73"/>
        <v>#REF!</v>
      </c>
      <c r="Z341" s="98" t="e">
        <f t="shared" si="67"/>
        <v>#REF!</v>
      </c>
      <c r="AA341" s="98" t="e">
        <f t="shared" si="67"/>
        <v>#REF!</v>
      </c>
      <c r="AC341" s="97" t="e">
        <f t="shared" si="74"/>
        <v>#REF!</v>
      </c>
      <c r="AD341" s="97" t="e">
        <f t="shared" si="75"/>
        <v>#REF!</v>
      </c>
      <c r="AE341" s="98" t="e">
        <f t="shared" si="68"/>
        <v>#REF!</v>
      </c>
      <c r="AF341" s="98" t="e">
        <f t="shared" si="68"/>
        <v>#REF!</v>
      </c>
      <c r="AH341" s="97" t="e">
        <f t="shared" si="76"/>
        <v>#REF!</v>
      </c>
      <c r="AI341" s="97" t="e">
        <f t="shared" si="77"/>
        <v>#REF!</v>
      </c>
      <c r="AJ341" s="98" t="e">
        <f t="shared" si="69"/>
        <v>#REF!</v>
      </c>
      <c r="AK341" s="98" t="e">
        <f t="shared" si="69"/>
        <v>#REF!</v>
      </c>
    </row>
    <row r="342" spans="19:37">
      <c r="S342" s="97">
        <f t="shared" si="70"/>
        <v>0</v>
      </c>
      <c r="T342" s="97">
        <f t="shared" si="71"/>
        <v>0</v>
      </c>
      <c r="U342" s="98">
        <f t="shared" si="66"/>
        <v>0</v>
      </c>
      <c r="V342" s="98">
        <f t="shared" si="66"/>
        <v>0</v>
      </c>
      <c r="X342" s="97" t="e">
        <f t="shared" si="72"/>
        <v>#REF!</v>
      </c>
      <c r="Y342" s="97" t="e">
        <f t="shared" si="73"/>
        <v>#REF!</v>
      </c>
      <c r="Z342" s="98" t="e">
        <f t="shared" si="67"/>
        <v>#REF!</v>
      </c>
      <c r="AA342" s="98" t="e">
        <f t="shared" si="67"/>
        <v>#REF!</v>
      </c>
      <c r="AC342" s="97" t="e">
        <f t="shared" si="74"/>
        <v>#REF!</v>
      </c>
      <c r="AD342" s="97" t="e">
        <f t="shared" si="75"/>
        <v>#REF!</v>
      </c>
      <c r="AE342" s="98" t="e">
        <f t="shared" si="68"/>
        <v>#REF!</v>
      </c>
      <c r="AF342" s="98" t="e">
        <f t="shared" si="68"/>
        <v>#REF!</v>
      </c>
      <c r="AH342" s="97" t="e">
        <f t="shared" si="76"/>
        <v>#REF!</v>
      </c>
      <c r="AI342" s="97" t="e">
        <f t="shared" si="77"/>
        <v>#REF!</v>
      </c>
      <c r="AJ342" s="98" t="e">
        <f t="shared" si="69"/>
        <v>#REF!</v>
      </c>
      <c r="AK342" s="98" t="e">
        <f t="shared" si="69"/>
        <v>#REF!</v>
      </c>
    </row>
    <row r="343" spans="19:37">
      <c r="S343" s="97">
        <f t="shared" si="70"/>
        <v>0</v>
      </c>
      <c r="T343" s="97">
        <f t="shared" si="71"/>
        <v>0</v>
      </c>
      <c r="U343" s="98">
        <f t="shared" si="66"/>
        <v>0</v>
      </c>
      <c r="V343" s="98">
        <f t="shared" si="66"/>
        <v>0</v>
      </c>
      <c r="X343" s="97" t="e">
        <f t="shared" si="72"/>
        <v>#REF!</v>
      </c>
      <c r="Y343" s="97" t="e">
        <f t="shared" si="73"/>
        <v>#REF!</v>
      </c>
      <c r="Z343" s="98" t="e">
        <f t="shared" si="67"/>
        <v>#REF!</v>
      </c>
      <c r="AA343" s="98" t="e">
        <f t="shared" si="67"/>
        <v>#REF!</v>
      </c>
      <c r="AC343" s="97" t="e">
        <f t="shared" si="74"/>
        <v>#REF!</v>
      </c>
      <c r="AD343" s="97" t="e">
        <f t="shared" si="75"/>
        <v>#REF!</v>
      </c>
      <c r="AE343" s="98" t="e">
        <f t="shared" si="68"/>
        <v>#REF!</v>
      </c>
      <c r="AF343" s="98" t="e">
        <f t="shared" si="68"/>
        <v>#REF!</v>
      </c>
      <c r="AH343" s="97" t="e">
        <f t="shared" si="76"/>
        <v>#REF!</v>
      </c>
      <c r="AI343" s="97" t="e">
        <f t="shared" si="77"/>
        <v>#REF!</v>
      </c>
      <c r="AJ343" s="98" t="e">
        <f t="shared" si="69"/>
        <v>#REF!</v>
      </c>
      <c r="AK343" s="98" t="e">
        <f t="shared" si="69"/>
        <v>#REF!</v>
      </c>
    </row>
    <row r="344" spans="19:37">
      <c r="S344" s="97">
        <f t="shared" si="70"/>
        <v>0</v>
      </c>
      <c r="T344" s="97">
        <f t="shared" si="71"/>
        <v>0</v>
      </c>
      <c r="U344" s="98">
        <f t="shared" si="66"/>
        <v>0</v>
      </c>
      <c r="V344" s="98">
        <f t="shared" si="66"/>
        <v>0</v>
      </c>
      <c r="X344" s="97" t="e">
        <f t="shared" si="72"/>
        <v>#REF!</v>
      </c>
      <c r="Y344" s="97" t="e">
        <f t="shared" si="73"/>
        <v>#REF!</v>
      </c>
      <c r="Z344" s="98" t="e">
        <f t="shared" si="67"/>
        <v>#REF!</v>
      </c>
      <c r="AA344" s="98" t="e">
        <f t="shared" si="67"/>
        <v>#REF!</v>
      </c>
      <c r="AC344" s="97" t="e">
        <f t="shared" si="74"/>
        <v>#REF!</v>
      </c>
      <c r="AD344" s="97" t="e">
        <f t="shared" si="75"/>
        <v>#REF!</v>
      </c>
      <c r="AE344" s="98" t="e">
        <f t="shared" si="68"/>
        <v>#REF!</v>
      </c>
      <c r="AF344" s="98" t="e">
        <f t="shared" si="68"/>
        <v>#REF!</v>
      </c>
      <c r="AH344" s="97" t="e">
        <f t="shared" si="76"/>
        <v>#REF!</v>
      </c>
      <c r="AI344" s="97" t="e">
        <f t="shared" si="77"/>
        <v>#REF!</v>
      </c>
      <c r="AJ344" s="98" t="e">
        <f t="shared" si="69"/>
        <v>#REF!</v>
      </c>
      <c r="AK344" s="98" t="e">
        <f t="shared" si="69"/>
        <v>#REF!</v>
      </c>
    </row>
    <row r="345" spans="19:37">
      <c r="S345" s="97">
        <f t="shared" si="70"/>
        <v>0</v>
      </c>
      <c r="T345" s="97">
        <f t="shared" si="71"/>
        <v>0</v>
      </c>
      <c r="U345" s="98">
        <f t="shared" si="66"/>
        <v>0</v>
      </c>
      <c r="V345" s="98">
        <f t="shared" si="66"/>
        <v>0</v>
      </c>
      <c r="X345" s="97" t="e">
        <f t="shared" si="72"/>
        <v>#REF!</v>
      </c>
      <c r="Y345" s="97" t="e">
        <f t="shared" si="73"/>
        <v>#REF!</v>
      </c>
      <c r="Z345" s="98" t="e">
        <f t="shared" si="67"/>
        <v>#REF!</v>
      </c>
      <c r="AA345" s="98" t="e">
        <f t="shared" si="67"/>
        <v>#REF!</v>
      </c>
      <c r="AC345" s="97" t="e">
        <f t="shared" si="74"/>
        <v>#REF!</v>
      </c>
      <c r="AD345" s="97" t="e">
        <f t="shared" si="75"/>
        <v>#REF!</v>
      </c>
      <c r="AE345" s="98" t="e">
        <f t="shared" si="68"/>
        <v>#REF!</v>
      </c>
      <c r="AF345" s="98" t="e">
        <f t="shared" si="68"/>
        <v>#REF!</v>
      </c>
      <c r="AH345" s="97" t="e">
        <f t="shared" si="76"/>
        <v>#REF!</v>
      </c>
      <c r="AI345" s="97" t="e">
        <f t="shared" si="77"/>
        <v>#REF!</v>
      </c>
      <c r="AJ345" s="98" t="e">
        <f t="shared" si="69"/>
        <v>#REF!</v>
      </c>
      <c r="AK345" s="98" t="e">
        <f t="shared" si="69"/>
        <v>#REF!</v>
      </c>
    </row>
    <row r="346" spans="19:37">
      <c r="S346" s="97">
        <f t="shared" si="70"/>
        <v>0</v>
      </c>
      <c r="T346" s="97">
        <f t="shared" si="71"/>
        <v>0</v>
      </c>
      <c r="U346" s="98">
        <f t="shared" si="66"/>
        <v>0</v>
      </c>
      <c r="V346" s="98">
        <f t="shared" si="66"/>
        <v>0</v>
      </c>
      <c r="X346" s="97" t="e">
        <f t="shared" si="72"/>
        <v>#REF!</v>
      </c>
      <c r="Y346" s="97" t="e">
        <f t="shared" si="73"/>
        <v>#REF!</v>
      </c>
      <c r="Z346" s="98" t="e">
        <f t="shared" si="67"/>
        <v>#REF!</v>
      </c>
      <c r="AA346" s="98" t="e">
        <f t="shared" si="67"/>
        <v>#REF!</v>
      </c>
      <c r="AC346" s="97" t="e">
        <f t="shared" si="74"/>
        <v>#REF!</v>
      </c>
      <c r="AD346" s="97" t="e">
        <f t="shared" si="75"/>
        <v>#REF!</v>
      </c>
      <c r="AE346" s="98" t="e">
        <f t="shared" si="68"/>
        <v>#REF!</v>
      </c>
      <c r="AF346" s="98" t="e">
        <f t="shared" si="68"/>
        <v>#REF!</v>
      </c>
      <c r="AH346" s="97" t="e">
        <f t="shared" si="76"/>
        <v>#REF!</v>
      </c>
      <c r="AI346" s="97" t="e">
        <f t="shared" si="77"/>
        <v>#REF!</v>
      </c>
      <c r="AJ346" s="98" t="e">
        <f t="shared" si="69"/>
        <v>#REF!</v>
      </c>
      <c r="AK346" s="98" t="e">
        <f t="shared" si="69"/>
        <v>#REF!</v>
      </c>
    </row>
    <row r="347" spans="19:37">
      <c r="S347" s="97">
        <f t="shared" si="70"/>
        <v>0</v>
      </c>
      <c r="T347" s="97">
        <f t="shared" si="71"/>
        <v>0</v>
      </c>
      <c r="U347" s="98">
        <f t="shared" si="66"/>
        <v>0</v>
      </c>
      <c r="V347" s="98">
        <f t="shared" si="66"/>
        <v>0</v>
      </c>
      <c r="X347" s="97" t="e">
        <f t="shared" si="72"/>
        <v>#REF!</v>
      </c>
      <c r="Y347" s="97" t="e">
        <f t="shared" si="73"/>
        <v>#REF!</v>
      </c>
      <c r="Z347" s="98" t="e">
        <f t="shared" si="67"/>
        <v>#REF!</v>
      </c>
      <c r="AA347" s="98" t="e">
        <f t="shared" si="67"/>
        <v>#REF!</v>
      </c>
      <c r="AC347" s="97" t="e">
        <f t="shared" si="74"/>
        <v>#REF!</v>
      </c>
      <c r="AD347" s="97" t="e">
        <f t="shared" si="75"/>
        <v>#REF!</v>
      </c>
      <c r="AE347" s="98" t="e">
        <f t="shared" si="68"/>
        <v>#REF!</v>
      </c>
      <c r="AF347" s="98" t="e">
        <f t="shared" si="68"/>
        <v>#REF!</v>
      </c>
      <c r="AH347" s="97" t="e">
        <f t="shared" si="76"/>
        <v>#REF!</v>
      </c>
      <c r="AI347" s="97" t="e">
        <f t="shared" si="77"/>
        <v>#REF!</v>
      </c>
      <c r="AJ347" s="98" t="e">
        <f t="shared" si="69"/>
        <v>#REF!</v>
      </c>
      <c r="AK347" s="98" t="e">
        <f t="shared" si="69"/>
        <v>#REF!</v>
      </c>
    </row>
    <row r="348" spans="19:37">
      <c r="S348" s="97">
        <f t="shared" si="70"/>
        <v>0</v>
      </c>
      <c r="T348" s="97">
        <f t="shared" si="71"/>
        <v>0</v>
      </c>
      <c r="U348" s="98">
        <f t="shared" si="66"/>
        <v>0</v>
      </c>
      <c r="V348" s="98">
        <f t="shared" si="66"/>
        <v>0</v>
      </c>
      <c r="X348" s="97" t="e">
        <f t="shared" si="72"/>
        <v>#REF!</v>
      </c>
      <c r="Y348" s="97" t="e">
        <f t="shared" si="73"/>
        <v>#REF!</v>
      </c>
      <c r="Z348" s="98" t="e">
        <f t="shared" si="67"/>
        <v>#REF!</v>
      </c>
      <c r="AA348" s="98" t="e">
        <f t="shared" si="67"/>
        <v>#REF!</v>
      </c>
      <c r="AC348" s="97" t="e">
        <f t="shared" si="74"/>
        <v>#REF!</v>
      </c>
      <c r="AD348" s="97" t="e">
        <f t="shared" si="75"/>
        <v>#REF!</v>
      </c>
      <c r="AE348" s="98" t="e">
        <f t="shared" si="68"/>
        <v>#REF!</v>
      </c>
      <c r="AF348" s="98" t="e">
        <f t="shared" si="68"/>
        <v>#REF!</v>
      </c>
      <c r="AH348" s="97" t="e">
        <f t="shared" si="76"/>
        <v>#REF!</v>
      </c>
      <c r="AI348" s="97" t="e">
        <f t="shared" si="77"/>
        <v>#REF!</v>
      </c>
      <c r="AJ348" s="98" t="e">
        <f t="shared" si="69"/>
        <v>#REF!</v>
      </c>
      <c r="AK348" s="98" t="e">
        <f t="shared" si="69"/>
        <v>#REF!</v>
      </c>
    </row>
    <row r="349" spans="19:37">
      <c r="S349" s="97">
        <f t="shared" si="70"/>
        <v>0</v>
      </c>
      <c r="T349" s="97">
        <f t="shared" si="71"/>
        <v>0</v>
      </c>
      <c r="U349" s="98">
        <f t="shared" si="66"/>
        <v>0</v>
      </c>
      <c r="V349" s="98">
        <f t="shared" si="66"/>
        <v>0</v>
      </c>
      <c r="X349" s="97" t="e">
        <f t="shared" si="72"/>
        <v>#REF!</v>
      </c>
      <c r="Y349" s="97" t="e">
        <f t="shared" si="73"/>
        <v>#REF!</v>
      </c>
      <c r="Z349" s="98" t="e">
        <f t="shared" si="67"/>
        <v>#REF!</v>
      </c>
      <c r="AA349" s="98" t="e">
        <f t="shared" si="67"/>
        <v>#REF!</v>
      </c>
      <c r="AC349" s="97" t="e">
        <f t="shared" si="74"/>
        <v>#REF!</v>
      </c>
      <c r="AD349" s="97" t="e">
        <f t="shared" si="75"/>
        <v>#REF!</v>
      </c>
      <c r="AE349" s="98" t="e">
        <f t="shared" si="68"/>
        <v>#REF!</v>
      </c>
      <c r="AF349" s="98" t="e">
        <f t="shared" si="68"/>
        <v>#REF!</v>
      </c>
      <c r="AH349" s="97" t="e">
        <f t="shared" si="76"/>
        <v>#REF!</v>
      </c>
      <c r="AI349" s="97" t="e">
        <f t="shared" si="77"/>
        <v>#REF!</v>
      </c>
      <c r="AJ349" s="98" t="e">
        <f t="shared" si="69"/>
        <v>#REF!</v>
      </c>
      <c r="AK349" s="98" t="e">
        <f t="shared" si="69"/>
        <v>#REF!</v>
      </c>
    </row>
    <row r="350" spans="19:37">
      <c r="S350" s="97">
        <f t="shared" si="70"/>
        <v>0</v>
      </c>
      <c r="T350" s="97">
        <f t="shared" si="71"/>
        <v>0</v>
      </c>
      <c r="U350" s="98">
        <f t="shared" si="66"/>
        <v>0</v>
      </c>
      <c r="V350" s="98">
        <f t="shared" si="66"/>
        <v>0</v>
      </c>
      <c r="X350" s="97" t="e">
        <f t="shared" si="72"/>
        <v>#REF!</v>
      </c>
      <c r="Y350" s="97" t="e">
        <f t="shared" si="73"/>
        <v>#REF!</v>
      </c>
      <c r="Z350" s="98" t="e">
        <f t="shared" si="67"/>
        <v>#REF!</v>
      </c>
      <c r="AA350" s="98" t="e">
        <f t="shared" si="67"/>
        <v>#REF!</v>
      </c>
      <c r="AC350" s="97" t="e">
        <f t="shared" si="74"/>
        <v>#REF!</v>
      </c>
      <c r="AD350" s="97" t="e">
        <f t="shared" si="75"/>
        <v>#REF!</v>
      </c>
      <c r="AE350" s="98" t="e">
        <f t="shared" si="68"/>
        <v>#REF!</v>
      </c>
      <c r="AF350" s="98" t="e">
        <f t="shared" si="68"/>
        <v>#REF!</v>
      </c>
      <c r="AH350" s="97" t="e">
        <f t="shared" si="76"/>
        <v>#REF!</v>
      </c>
      <c r="AI350" s="97" t="e">
        <f t="shared" si="77"/>
        <v>#REF!</v>
      </c>
      <c r="AJ350" s="98" t="e">
        <f t="shared" si="69"/>
        <v>#REF!</v>
      </c>
      <c r="AK350" s="98" t="e">
        <f t="shared" si="69"/>
        <v>#REF!</v>
      </c>
    </row>
    <row r="351" spans="19:37">
      <c r="S351" s="97">
        <f t="shared" si="70"/>
        <v>0</v>
      </c>
      <c r="T351" s="97">
        <f t="shared" si="71"/>
        <v>0</v>
      </c>
      <c r="U351" s="98">
        <f t="shared" si="66"/>
        <v>0</v>
      </c>
      <c r="V351" s="98">
        <f t="shared" si="66"/>
        <v>0</v>
      </c>
      <c r="X351" s="97" t="e">
        <f t="shared" si="72"/>
        <v>#REF!</v>
      </c>
      <c r="Y351" s="97" t="e">
        <f t="shared" si="73"/>
        <v>#REF!</v>
      </c>
      <c r="Z351" s="98" t="e">
        <f t="shared" si="67"/>
        <v>#REF!</v>
      </c>
      <c r="AA351" s="98" t="e">
        <f t="shared" si="67"/>
        <v>#REF!</v>
      </c>
      <c r="AC351" s="97" t="e">
        <f t="shared" si="74"/>
        <v>#REF!</v>
      </c>
      <c r="AD351" s="97" t="e">
        <f t="shared" si="75"/>
        <v>#REF!</v>
      </c>
      <c r="AE351" s="98" t="e">
        <f t="shared" si="68"/>
        <v>#REF!</v>
      </c>
      <c r="AF351" s="98" t="e">
        <f t="shared" si="68"/>
        <v>#REF!</v>
      </c>
      <c r="AH351" s="97" t="e">
        <f t="shared" si="76"/>
        <v>#REF!</v>
      </c>
      <c r="AI351" s="97" t="e">
        <f t="shared" si="77"/>
        <v>#REF!</v>
      </c>
      <c r="AJ351" s="98" t="e">
        <f t="shared" si="69"/>
        <v>#REF!</v>
      </c>
      <c r="AK351" s="98" t="e">
        <f t="shared" si="69"/>
        <v>#REF!</v>
      </c>
    </row>
    <row r="352" spans="19:37">
      <c r="S352" s="97">
        <f t="shared" si="70"/>
        <v>0</v>
      </c>
      <c r="T352" s="97">
        <f t="shared" si="71"/>
        <v>0</v>
      </c>
      <c r="U352" s="98">
        <f t="shared" si="66"/>
        <v>0</v>
      </c>
      <c r="V352" s="98">
        <f t="shared" si="66"/>
        <v>0</v>
      </c>
      <c r="X352" s="97" t="e">
        <f t="shared" si="72"/>
        <v>#REF!</v>
      </c>
      <c r="Y352" s="97" t="e">
        <f t="shared" si="73"/>
        <v>#REF!</v>
      </c>
      <c r="Z352" s="98" t="e">
        <f t="shared" si="67"/>
        <v>#REF!</v>
      </c>
      <c r="AA352" s="98" t="e">
        <f t="shared" si="67"/>
        <v>#REF!</v>
      </c>
      <c r="AC352" s="97" t="e">
        <f t="shared" si="74"/>
        <v>#REF!</v>
      </c>
      <c r="AD352" s="97" t="e">
        <f t="shared" si="75"/>
        <v>#REF!</v>
      </c>
      <c r="AE352" s="98" t="e">
        <f t="shared" si="68"/>
        <v>#REF!</v>
      </c>
      <c r="AF352" s="98" t="e">
        <f t="shared" si="68"/>
        <v>#REF!</v>
      </c>
      <c r="AH352" s="97" t="e">
        <f t="shared" si="76"/>
        <v>#REF!</v>
      </c>
      <c r="AI352" s="97" t="e">
        <f t="shared" si="77"/>
        <v>#REF!</v>
      </c>
      <c r="AJ352" s="98" t="e">
        <f t="shared" si="69"/>
        <v>#REF!</v>
      </c>
      <c r="AK352" s="98" t="e">
        <f t="shared" si="69"/>
        <v>#REF!</v>
      </c>
    </row>
    <row r="353" spans="19:37">
      <c r="S353" s="97">
        <f t="shared" si="70"/>
        <v>0</v>
      </c>
      <c r="T353" s="97">
        <f t="shared" si="71"/>
        <v>0</v>
      </c>
      <c r="U353" s="98">
        <f t="shared" si="66"/>
        <v>0</v>
      </c>
      <c r="V353" s="98">
        <f t="shared" si="66"/>
        <v>0</v>
      </c>
      <c r="X353" s="97" t="e">
        <f t="shared" si="72"/>
        <v>#REF!</v>
      </c>
      <c r="Y353" s="97" t="e">
        <f t="shared" si="73"/>
        <v>#REF!</v>
      </c>
      <c r="Z353" s="98" t="e">
        <f t="shared" si="67"/>
        <v>#REF!</v>
      </c>
      <c r="AA353" s="98" t="e">
        <f t="shared" si="67"/>
        <v>#REF!</v>
      </c>
      <c r="AC353" s="97" t="e">
        <f t="shared" si="74"/>
        <v>#REF!</v>
      </c>
      <c r="AD353" s="97" t="e">
        <f t="shared" si="75"/>
        <v>#REF!</v>
      </c>
      <c r="AE353" s="98" t="e">
        <f t="shared" si="68"/>
        <v>#REF!</v>
      </c>
      <c r="AF353" s="98" t="e">
        <f t="shared" si="68"/>
        <v>#REF!</v>
      </c>
      <c r="AH353" s="97" t="e">
        <f t="shared" si="76"/>
        <v>#REF!</v>
      </c>
      <c r="AI353" s="97" t="e">
        <f t="shared" si="77"/>
        <v>#REF!</v>
      </c>
      <c r="AJ353" s="98" t="e">
        <f t="shared" si="69"/>
        <v>#REF!</v>
      </c>
      <c r="AK353" s="98" t="e">
        <f t="shared" si="69"/>
        <v>#REF!</v>
      </c>
    </row>
    <row r="354" spans="19:37">
      <c r="S354" s="97">
        <f t="shared" si="70"/>
        <v>0</v>
      </c>
      <c r="T354" s="97">
        <f t="shared" si="71"/>
        <v>0</v>
      </c>
      <c r="U354" s="98">
        <f t="shared" si="66"/>
        <v>0</v>
      </c>
      <c r="V354" s="98">
        <f t="shared" si="66"/>
        <v>0</v>
      </c>
      <c r="X354" s="97" t="e">
        <f t="shared" si="72"/>
        <v>#REF!</v>
      </c>
      <c r="Y354" s="97" t="e">
        <f t="shared" si="73"/>
        <v>#REF!</v>
      </c>
      <c r="Z354" s="98" t="e">
        <f t="shared" si="67"/>
        <v>#REF!</v>
      </c>
      <c r="AA354" s="98" t="e">
        <f t="shared" si="67"/>
        <v>#REF!</v>
      </c>
      <c r="AC354" s="97" t="e">
        <f t="shared" si="74"/>
        <v>#REF!</v>
      </c>
      <c r="AD354" s="97" t="e">
        <f t="shared" si="75"/>
        <v>#REF!</v>
      </c>
      <c r="AE354" s="98" t="e">
        <f t="shared" si="68"/>
        <v>#REF!</v>
      </c>
      <c r="AF354" s="98" t="e">
        <f t="shared" si="68"/>
        <v>#REF!</v>
      </c>
      <c r="AH354" s="97" t="e">
        <f t="shared" si="76"/>
        <v>#REF!</v>
      </c>
      <c r="AI354" s="97" t="e">
        <f t="shared" si="77"/>
        <v>#REF!</v>
      </c>
      <c r="AJ354" s="98" t="e">
        <f t="shared" si="69"/>
        <v>#REF!</v>
      </c>
      <c r="AK354" s="98" t="e">
        <f t="shared" si="69"/>
        <v>#REF!</v>
      </c>
    </row>
    <row r="355" spans="19:37">
      <c r="S355" s="97">
        <f t="shared" si="70"/>
        <v>0</v>
      </c>
      <c r="T355" s="97">
        <f t="shared" si="71"/>
        <v>0</v>
      </c>
      <c r="U355" s="98">
        <f t="shared" si="66"/>
        <v>0</v>
      </c>
      <c r="V355" s="98">
        <f t="shared" si="66"/>
        <v>0</v>
      </c>
      <c r="X355" s="97" t="e">
        <f t="shared" si="72"/>
        <v>#REF!</v>
      </c>
      <c r="Y355" s="97" t="e">
        <f t="shared" si="73"/>
        <v>#REF!</v>
      </c>
      <c r="Z355" s="98" t="e">
        <f t="shared" si="67"/>
        <v>#REF!</v>
      </c>
      <c r="AA355" s="98" t="e">
        <f t="shared" si="67"/>
        <v>#REF!</v>
      </c>
      <c r="AC355" s="97" t="e">
        <f t="shared" si="74"/>
        <v>#REF!</v>
      </c>
      <c r="AD355" s="97" t="e">
        <f t="shared" si="75"/>
        <v>#REF!</v>
      </c>
      <c r="AE355" s="98" t="e">
        <f t="shared" si="68"/>
        <v>#REF!</v>
      </c>
      <c r="AF355" s="98" t="e">
        <f t="shared" si="68"/>
        <v>#REF!</v>
      </c>
      <c r="AH355" s="97" t="e">
        <f t="shared" si="76"/>
        <v>#REF!</v>
      </c>
      <c r="AI355" s="97" t="e">
        <f t="shared" si="77"/>
        <v>#REF!</v>
      </c>
      <c r="AJ355" s="98" t="e">
        <f t="shared" si="69"/>
        <v>#REF!</v>
      </c>
      <c r="AK355" s="98" t="e">
        <f t="shared" si="69"/>
        <v>#REF!</v>
      </c>
    </row>
    <row r="356" spans="19:37">
      <c r="S356" s="97">
        <f t="shared" si="70"/>
        <v>0</v>
      </c>
      <c r="T356" s="97">
        <f t="shared" si="71"/>
        <v>0</v>
      </c>
      <c r="U356" s="98">
        <f t="shared" si="66"/>
        <v>0</v>
      </c>
      <c r="V356" s="98">
        <f t="shared" si="66"/>
        <v>0</v>
      </c>
      <c r="X356" s="97" t="e">
        <f t="shared" si="72"/>
        <v>#REF!</v>
      </c>
      <c r="Y356" s="97" t="e">
        <f t="shared" si="73"/>
        <v>#REF!</v>
      </c>
      <c r="Z356" s="98" t="e">
        <f t="shared" si="67"/>
        <v>#REF!</v>
      </c>
      <c r="AA356" s="98" t="e">
        <f t="shared" si="67"/>
        <v>#REF!</v>
      </c>
      <c r="AC356" s="97" t="e">
        <f t="shared" si="74"/>
        <v>#REF!</v>
      </c>
      <c r="AD356" s="97" t="e">
        <f t="shared" si="75"/>
        <v>#REF!</v>
      </c>
      <c r="AE356" s="98" t="e">
        <f t="shared" si="68"/>
        <v>#REF!</v>
      </c>
      <c r="AF356" s="98" t="e">
        <f t="shared" si="68"/>
        <v>#REF!</v>
      </c>
      <c r="AH356" s="97" t="e">
        <f t="shared" si="76"/>
        <v>#REF!</v>
      </c>
      <c r="AI356" s="97" t="e">
        <f t="shared" si="77"/>
        <v>#REF!</v>
      </c>
      <c r="AJ356" s="98" t="e">
        <f t="shared" si="69"/>
        <v>#REF!</v>
      </c>
      <c r="AK356" s="98" t="e">
        <f t="shared" si="69"/>
        <v>#REF!</v>
      </c>
    </row>
    <row r="357" spans="19:37">
      <c r="S357" s="97">
        <f t="shared" si="70"/>
        <v>0</v>
      </c>
      <c r="T357" s="97">
        <f t="shared" si="71"/>
        <v>0</v>
      </c>
      <c r="U357" s="98">
        <f t="shared" si="66"/>
        <v>0</v>
      </c>
      <c r="V357" s="98">
        <f t="shared" si="66"/>
        <v>0</v>
      </c>
      <c r="X357" s="97" t="e">
        <f t="shared" si="72"/>
        <v>#REF!</v>
      </c>
      <c r="Y357" s="97" t="e">
        <f t="shared" si="73"/>
        <v>#REF!</v>
      </c>
      <c r="Z357" s="98" t="e">
        <f t="shared" si="67"/>
        <v>#REF!</v>
      </c>
      <c r="AA357" s="98" t="e">
        <f t="shared" si="67"/>
        <v>#REF!</v>
      </c>
      <c r="AC357" s="97" t="e">
        <f t="shared" si="74"/>
        <v>#REF!</v>
      </c>
      <c r="AD357" s="97" t="e">
        <f t="shared" si="75"/>
        <v>#REF!</v>
      </c>
      <c r="AE357" s="98" t="e">
        <f t="shared" si="68"/>
        <v>#REF!</v>
      </c>
      <c r="AF357" s="98" t="e">
        <f t="shared" si="68"/>
        <v>#REF!</v>
      </c>
      <c r="AH357" s="97" t="e">
        <f t="shared" si="76"/>
        <v>#REF!</v>
      </c>
      <c r="AI357" s="97" t="e">
        <f t="shared" si="77"/>
        <v>#REF!</v>
      </c>
      <c r="AJ357" s="98" t="e">
        <f t="shared" si="69"/>
        <v>#REF!</v>
      </c>
      <c r="AK357" s="98" t="e">
        <f t="shared" si="69"/>
        <v>#REF!</v>
      </c>
    </row>
    <row r="358" spans="19:37">
      <c r="S358" s="97">
        <f t="shared" si="70"/>
        <v>0</v>
      </c>
      <c r="T358" s="97">
        <f t="shared" si="71"/>
        <v>0</v>
      </c>
      <c r="U358" s="98">
        <f t="shared" si="66"/>
        <v>0</v>
      </c>
      <c r="V358" s="98">
        <f t="shared" si="66"/>
        <v>0</v>
      </c>
      <c r="X358" s="97" t="e">
        <f t="shared" si="72"/>
        <v>#REF!</v>
      </c>
      <c r="Y358" s="97" t="e">
        <f t="shared" si="73"/>
        <v>#REF!</v>
      </c>
      <c r="Z358" s="98" t="e">
        <f t="shared" si="67"/>
        <v>#REF!</v>
      </c>
      <c r="AA358" s="98" t="e">
        <f t="shared" si="67"/>
        <v>#REF!</v>
      </c>
      <c r="AC358" s="97" t="e">
        <f t="shared" si="74"/>
        <v>#REF!</v>
      </c>
      <c r="AD358" s="97" t="e">
        <f t="shared" si="75"/>
        <v>#REF!</v>
      </c>
      <c r="AE358" s="98" t="e">
        <f t="shared" si="68"/>
        <v>#REF!</v>
      </c>
      <c r="AF358" s="98" t="e">
        <f t="shared" si="68"/>
        <v>#REF!</v>
      </c>
      <c r="AH358" s="97" t="e">
        <f t="shared" si="76"/>
        <v>#REF!</v>
      </c>
      <c r="AI358" s="97" t="e">
        <f t="shared" si="77"/>
        <v>#REF!</v>
      </c>
      <c r="AJ358" s="98" t="e">
        <f t="shared" si="69"/>
        <v>#REF!</v>
      </c>
      <c r="AK358" s="98" t="e">
        <f t="shared" si="69"/>
        <v>#REF!</v>
      </c>
    </row>
    <row r="359" spans="19:37">
      <c r="S359" s="97">
        <f t="shared" si="70"/>
        <v>0</v>
      </c>
      <c r="T359" s="97">
        <f t="shared" si="71"/>
        <v>0</v>
      </c>
      <c r="U359" s="98">
        <f t="shared" si="66"/>
        <v>0</v>
      </c>
      <c r="V359" s="98">
        <f t="shared" si="66"/>
        <v>0</v>
      </c>
      <c r="X359" s="97" t="e">
        <f t="shared" si="72"/>
        <v>#REF!</v>
      </c>
      <c r="Y359" s="97" t="e">
        <f t="shared" si="73"/>
        <v>#REF!</v>
      </c>
      <c r="Z359" s="98" t="e">
        <f t="shared" si="67"/>
        <v>#REF!</v>
      </c>
      <c r="AA359" s="98" t="e">
        <f t="shared" si="67"/>
        <v>#REF!</v>
      </c>
      <c r="AC359" s="97" t="e">
        <f t="shared" si="74"/>
        <v>#REF!</v>
      </c>
      <c r="AD359" s="97" t="e">
        <f t="shared" si="75"/>
        <v>#REF!</v>
      </c>
      <c r="AE359" s="98" t="e">
        <f t="shared" si="68"/>
        <v>#REF!</v>
      </c>
      <c r="AF359" s="98" t="e">
        <f t="shared" si="68"/>
        <v>#REF!</v>
      </c>
      <c r="AH359" s="97" t="e">
        <f t="shared" si="76"/>
        <v>#REF!</v>
      </c>
      <c r="AI359" s="97" t="e">
        <f t="shared" si="77"/>
        <v>#REF!</v>
      </c>
      <c r="AJ359" s="98" t="e">
        <f t="shared" si="69"/>
        <v>#REF!</v>
      </c>
      <c r="AK359" s="98" t="e">
        <f t="shared" si="69"/>
        <v>#REF!</v>
      </c>
    </row>
    <row r="360" spans="19:37">
      <c r="S360" s="97">
        <f t="shared" si="70"/>
        <v>0</v>
      </c>
      <c r="T360" s="97">
        <f t="shared" si="71"/>
        <v>0</v>
      </c>
      <c r="U360" s="98">
        <f t="shared" si="66"/>
        <v>0</v>
      </c>
      <c r="V360" s="98">
        <f t="shared" si="66"/>
        <v>0</v>
      </c>
      <c r="X360" s="97" t="e">
        <f t="shared" si="72"/>
        <v>#REF!</v>
      </c>
      <c r="Y360" s="97" t="e">
        <f t="shared" si="73"/>
        <v>#REF!</v>
      </c>
      <c r="Z360" s="98" t="e">
        <f t="shared" si="67"/>
        <v>#REF!</v>
      </c>
      <c r="AA360" s="98" t="e">
        <f t="shared" si="67"/>
        <v>#REF!</v>
      </c>
      <c r="AC360" s="97" t="e">
        <f t="shared" si="74"/>
        <v>#REF!</v>
      </c>
      <c r="AD360" s="97" t="e">
        <f t="shared" si="75"/>
        <v>#REF!</v>
      </c>
      <c r="AE360" s="98" t="e">
        <f t="shared" si="68"/>
        <v>#REF!</v>
      </c>
      <c r="AF360" s="98" t="e">
        <f t="shared" si="68"/>
        <v>#REF!</v>
      </c>
      <c r="AH360" s="97" t="e">
        <f t="shared" si="76"/>
        <v>#REF!</v>
      </c>
      <c r="AI360" s="97" t="e">
        <f t="shared" si="77"/>
        <v>#REF!</v>
      </c>
      <c r="AJ360" s="98" t="e">
        <f t="shared" si="69"/>
        <v>#REF!</v>
      </c>
      <c r="AK360" s="98" t="e">
        <f t="shared" si="69"/>
        <v>#REF!</v>
      </c>
    </row>
    <row r="361" spans="19:37">
      <c r="S361" s="97">
        <f t="shared" si="70"/>
        <v>0</v>
      </c>
      <c r="T361" s="97">
        <f t="shared" si="71"/>
        <v>0</v>
      </c>
      <c r="U361" s="98">
        <f t="shared" si="66"/>
        <v>0</v>
      </c>
      <c r="V361" s="98">
        <f t="shared" si="66"/>
        <v>0</v>
      </c>
      <c r="X361" s="97" t="e">
        <f t="shared" si="72"/>
        <v>#REF!</v>
      </c>
      <c r="Y361" s="97" t="e">
        <f t="shared" si="73"/>
        <v>#REF!</v>
      </c>
      <c r="Z361" s="98" t="e">
        <f t="shared" si="67"/>
        <v>#REF!</v>
      </c>
      <c r="AA361" s="98" t="e">
        <f t="shared" si="67"/>
        <v>#REF!</v>
      </c>
      <c r="AC361" s="97" t="e">
        <f t="shared" si="74"/>
        <v>#REF!</v>
      </c>
      <c r="AD361" s="97" t="e">
        <f t="shared" si="75"/>
        <v>#REF!</v>
      </c>
      <c r="AE361" s="98" t="e">
        <f t="shared" si="68"/>
        <v>#REF!</v>
      </c>
      <c r="AF361" s="98" t="e">
        <f t="shared" si="68"/>
        <v>#REF!</v>
      </c>
      <c r="AH361" s="97" t="e">
        <f t="shared" si="76"/>
        <v>#REF!</v>
      </c>
      <c r="AI361" s="97" t="e">
        <f t="shared" si="77"/>
        <v>#REF!</v>
      </c>
      <c r="AJ361" s="98" t="e">
        <f t="shared" si="69"/>
        <v>#REF!</v>
      </c>
      <c r="AK361" s="98" t="e">
        <f t="shared" si="69"/>
        <v>#REF!</v>
      </c>
    </row>
    <row r="362" spans="19:37">
      <c r="S362" s="97">
        <f t="shared" si="70"/>
        <v>0</v>
      </c>
      <c r="T362" s="97">
        <f t="shared" si="71"/>
        <v>0</v>
      </c>
      <c r="U362" s="98">
        <f t="shared" ref="U362:V425" si="78">IF(AND($D362="",S362=""),"",IF($D362="",S362,$D362+S362))</f>
        <v>0</v>
      </c>
      <c r="V362" s="98">
        <f t="shared" si="78"/>
        <v>0</v>
      </c>
      <c r="X362" s="97" t="e">
        <f t="shared" si="72"/>
        <v>#REF!</v>
      </c>
      <c r="Y362" s="97" t="e">
        <f t="shared" si="73"/>
        <v>#REF!</v>
      </c>
      <c r="Z362" s="98" t="e">
        <f t="shared" ref="Z362:AA425" si="79">IF(AND($D362="",X362=""),"",IF($D362="",X362,$D362+X362))</f>
        <v>#REF!</v>
      </c>
      <c r="AA362" s="98" t="e">
        <f t="shared" si="79"/>
        <v>#REF!</v>
      </c>
      <c r="AC362" s="97" t="e">
        <f t="shared" si="74"/>
        <v>#REF!</v>
      </c>
      <c r="AD362" s="97" t="e">
        <f t="shared" si="75"/>
        <v>#REF!</v>
      </c>
      <c r="AE362" s="98" t="e">
        <f t="shared" ref="AE362:AF425" si="80">IF(AND($D362="",AC362=""),"",IF($D362="",AC362,$D362+AC362))</f>
        <v>#REF!</v>
      </c>
      <c r="AF362" s="98" t="e">
        <f t="shared" si="80"/>
        <v>#REF!</v>
      </c>
      <c r="AH362" s="97" t="e">
        <f t="shared" si="76"/>
        <v>#REF!</v>
      </c>
      <c r="AI362" s="97" t="e">
        <f t="shared" si="77"/>
        <v>#REF!</v>
      </c>
      <c r="AJ362" s="98" t="e">
        <f t="shared" ref="AJ362:AK425" si="81">IF(AND($D362="",AH362=""),"",IF($D362="",AH362,$D362+AH362))</f>
        <v>#REF!</v>
      </c>
      <c r="AK362" s="98" t="e">
        <f t="shared" si="81"/>
        <v>#REF!</v>
      </c>
    </row>
    <row r="363" spans="19:37">
      <c r="S363" s="97">
        <f t="shared" si="70"/>
        <v>0</v>
      </c>
      <c r="T363" s="97">
        <f t="shared" si="71"/>
        <v>0</v>
      </c>
      <c r="U363" s="98">
        <f t="shared" si="78"/>
        <v>0</v>
      </c>
      <c r="V363" s="98">
        <f t="shared" si="78"/>
        <v>0</v>
      </c>
      <c r="X363" s="97" t="e">
        <f t="shared" si="72"/>
        <v>#REF!</v>
      </c>
      <c r="Y363" s="97" t="e">
        <f t="shared" si="73"/>
        <v>#REF!</v>
      </c>
      <c r="Z363" s="98" t="e">
        <f t="shared" si="79"/>
        <v>#REF!</v>
      </c>
      <c r="AA363" s="98" t="e">
        <f t="shared" si="79"/>
        <v>#REF!</v>
      </c>
      <c r="AC363" s="97" t="e">
        <f t="shared" si="74"/>
        <v>#REF!</v>
      </c>
      <c r="AD363" s="97" t="e">
        <f t="shared" si="75"/>
        <v>#REF!</v>
      </c>
      <c r="AE363" s="98" t="e">
        <f t="shared" si="80"/>
        <v>#REF!</v>
      </c>
      <c r="AF363" s="98" t="e">
        <f t="shared" si="80"/>
        <v>#REF!</v>
      </c>
      <c r="AH363" s="97" t="e">
        <f t="shared" si="76"/>
        <v>#REF!</v>
      </c>
      <c r="AI363" s="97" t="e">
        <f t="shared" si="77"/>
        <v>#REF!</v>
      </c>
      <c r="AJ363" s="98" t="e">
        <f t="shared" si="81"/>
        <v>#REF!</v>
      </c>
      <c r="AK363" s="98" t="e">
        <f t="shared" si="81"/>
        <v>#REF!</v>
      </c>
    </row>
    <row r="364" spans="19:37">
      <c r="S364" s="97">
        <f t="shared" si="70"/>
        <v>0</v>
      </c>
      <c r="T364" s="97">
        <f t="shared" si="71"/>
        <v>0</v>
      </c>
      <c r="U364" s="98">
        <f t="shared" si="78"/>
        <v>0</v>
      </c>
      <c r="V364" s="98">
        <f t="shared" si="78"/>
        <v>0</v>
      </c>
      <c r="X364" s="97" t="e">
        <f t="shared" si="72"/>
        <v>#REF!</v>
      </c>
      <c r="Y364" s="97" t="e">
        <f t="shared" si="73"/>
        <v>#REF!</v>
      </c>
      <c r="Z364" s="98" t="e">
        <f t="shared" si="79"/>
        <v>#REF!</v>
      </c>
      <c r="AA364" s="98" t="e">
        <f t="shared" si="79"/>
        <v>#REF!</v>
      </c>
      <c r="AC364" s="97" t="e">
        <f t="shared" si="74"/>
        <v>#REF!</v>
      </c>
      <c r="AD364" s="97" t="e">
        <f t="shared" si="75"/>
        <v>#REF!</v>
      </c>
      <c r="AE364" s="98" t="e">
        <f t="shared" si="80"/>
        <v>#REF!</v>
      </c>
      <c r="AF364" s="98" t="e">
        <f t="shared" si="80"/>
        <v>#REF!</v>
      </c>
      <c r="AH364" s="97" t="e">
        <f t="shared" si="76"/>
        <v>#REF!</v>
      </c>
      <c r="AI364" s="97" t="e">
        <f t="shared" si="77"/>
        <v>#REF!</v>
      </c>
      <c r="AJ364" s="98" t="e">
        <f t="shared" si="81"/>
        <v>#REF!</v>
      </c>
      <c r="AK364" s="98" t="e">
        <f t="shared" si="81"/>
        <v>#REF!</v>
      </c>
    </row>
    <row r="365" spans="19:37">
      <c r="S365" s="97">
        <f t="shared" si="70"/>
        <v>0</v>
      </c>
      <c r="T365" s="97">
        <f t="shared" si="71"/>
        <v>0</v>
      </c>
      <c r="U365" s="98">
        <f t="shared" si="78"/>
        <v>0</v>
      </c>
      <c r="V365" s="98">
        <f t="shared" si="78"/>
        <v>0</v>
      </c>
      <c r="X365" s="97" t="e">
        <f t="shared" si="72"/>
        <v>#REF!</v>
      </c>
      <c r="Y365" s="97" t="e">
        <f t="shared" si="73"/>
        <v>#REF!</v>
      </c>
      <c r="Z365" s="98" t="e">
        <f t="shared" si="79"/>
        <v>#REF!</v>
      </c>
      <c r="AA365" s="98" t="e">
        <f t="shared" si="79"/>
        <v>#REF!</v>
      </c>
      <c r="AC365" s="97" t="e">
        <f t="shared" si="74"/>
        <v>#REF!</v>
      </c>
      <c r="AD365" s="97" t="e">
        <f t="shared" si="75"/>
        <v>#REF!</v>
      </c>
      <c r="AE365" s="98" t="e">
        <f t="shared" si="80"/>
        <v>#REF!</v>
      </c>
      <c r="AF365" s="98" t="e">
        <f t="shared" si="80"/>
        <v>#REF!</v>
      </c>
      <c r="AH365" s="97" t="e">
        <f t="shared" si="76"/>
        <v>#REF!</v>
      </c>
      <c r="AI365" s="97" t="e">
        <f t="shared" si="77"/>
        <v>#REF!</v>
      </c>
      <c r="AJ365" s="98" t="e">
        <f t="shared" si="81"/>
        <v>#REF!</v>
      </c>
      <c r="AK365" s="98" t="e">
        <f t="shared" si="81"/>
        <v>#REF!</v>
      </c>
    </row>
    <row r="366" spans="19:37">
      <c r="S366" s="97">
        <f t="shared" si="70"/>
        <v>0</v>
      </c>
      <c r="T366" s="97">
        <f t="shared" si="71"/>
        <v>0</v>
      </c>
      <c r="U366" s="98">
        <f t="shared" si="78"/>
        <v>0</v>
      </c>
      <c r="V366" s="98">
        <f t="shared" si="78"/>
        <v>0</v>
      </c>
      <c r="X366" s="97" t="e">
        <f t="shared" si="72"/>
        <v>#REF!</v>
      </c>
      <c r="Y366" s="97" t="e">
        <f t="shared" si="73"/>
        <v>#REF!</v>
      </c>
      <c r="Z366" s="98" t="e">
        <f t="shared" si="79"/>
        <v>#REF!</v>
      </c>
      <c r="AA366" s="98" t="e">
        <f t="shared" si="79"/>
        <v>#REF!</v>
      </c>
      <c r="AC366" s="97" t="e">
        <f t="shared" si="74"/>
        <v>#REF!</v>
      </c>
      <c r="AD366" s="97" t="e">
        <f t="shared" si="75"/>
        <v>#REF!</v>
      </c>
      <c r="AE366" s="98" t="e">
        <f t="shared" si="80"/>
        <v>#REF!</v>
      </c>
      <c r="AF366" s="98" t="e">
        <f t="shared" si="80"/>
        <v>#REF!</v>
      </c>
      <c r="AH366" s="97" t="e">
        <f t="shared" si="76"/>
        <v>#REF!</v>
      </c>
      <c r="AI366" s="97" t="e">
        <f t="shared" si="77"/>
        <v>#REF!</v>
      </c>
      <c r="AJ366" s="98" t="e">
        <f t="shared" si="81"/>
        <v>#REF!</v>
      </c>
      <c r="AK366" s="98" t="e">
        <f t="shared" si="81"/>
        <v>#REF!</v>
      </c>
    </row>
    <row r="367" spans="19:37">
      <c r="S367" s="97">
        <f t="shared" si="70"/>
        <v>0</v>
      </c>
      <c r="T367" s="97">
        <f t="shared" si="71"/>
        <v>0</v>
      </c>
      <c r="U367" s="98">
        <f t="shared" si="78"/>
        <v>0</v>
      </c>
      <c r="V367" s="98">
        <f t="shared" si="78"/>
        <v>0</v>
      </c>
      <c r="X367" s="97" t="e">
        <f t="shared" si="72"/>
        <v>#REF!</v>
      </c>
      <c r="Y367" s="97" t="e">
        <f t="shared" si="73"/>
        <v>#REF!</v>
      </c>
      <c r="Z367" s="98" t="e">
        <f t="shared" si="79"/>
        <v>#REF!</v>
      </c>
      <c r="AA367" s="98" t="e">
        <f t="shared" si="79"/>
        <v>#REF!</v>
      </c>
      <c r="AC367" s="97" t="e">
        <f t="shared" si="74"/>
        <v>#REF!</v>
      </c>
      <c r="AD367" s="97" t="e">
        <f t="shared" si="75"/>
        <v>#REF!</v>
      </c>
      <c r="AE367" s="98" t="e">
        <f t="shared" si="80"/>
        <v>#REF!</v>
      </c>
      <c r="AF367" s="98" t="e">
        <f t="shared" si="80"/>
        <v>#REF!</v>
      </c>
      <c r="AH367" s="97" t="e">
        <f t="shared" si="76"/>
        <v>#REF!</v>
      </c>
      <c r="AI367" s="97" t="e">
        <f t="shared" si="77"/>
        <v>#REF!</v>
      </c>
      <c r="AJ367" s="98" t="e">
        <f t="shared" si="81"/>
        <v>#REF!</v>
      </c>
      <c r="AK367" s="98" t="e">
        <f t="shared" si="81"/>
        <v>#REF!</v>
      </c>
    </row>
    <row r="368" spans="19:37">
      <c r="S368" s="97">
        <f t="shared" si="70"/>
        <v>0</v>
      </c>
      <c r="T368" s="97">
        <f t="shared" si="71"/>
        <v>0</v>
      </c>
      <c r="U368" s="98">
        <f t="shared" si="78"/>
        <v>0</v>
      </c>
      <c r="V368" s="98">
        <f t="shared" si="78"/>
        <v>0</v>
      </c>
      <c r="X368" s="97" t="e">
        <f t="shared" si="72"/>
        <v>#REF!</v>
      </c>
      <c r="Y368" s="97" t="e">
        <f t="shared" si="73"/>
        <v>#REF!</v>
      </c>
      <c r="Z368" s="98" t="e">
        <f t="shared" si="79"/>
        <v>#REF!</v>
      </c>
      <c r="AA368" s="98" t="e">
        <f t="shared" si="79"/>
        <v>#REF!</v>
      </c>
      <c r="AC368" s="97" t="e">
        <f t="shared" si="74"/>
        <v>#REF!</v>
      </c>
      <c r="AD368" s="97" t="e">
        <f t="shared" si="75"/>
        <v>#REF!</v>
      </c>
      <c r="AE368" s="98" t="e">
        <f t="shared" si="80"/>
        <v>#REF!</v>
      </c>
      <c r="AF368" s="98" t="e">
        <f t="shared" si="80"/>
        <v>#REF!</v>
      </c>
      <c r="AH368" s="97" t="e">
        <f t="shared" si="76"/>
        <v>#REF!</v>
      </c>
      <c r="AI368" s="97" t="e">
        <f t="shared" si="77"/>
        <v>#REF!</v>
      </c>
      <c r="AJ368" s="98" t="e">
        <f t="shared" si="81"/>
        <v>#REF!</v>
      </c>
      <c r="AK368" s="98" t="e">
        <f t="shared" si="81"/>
        <v>#REF!</v>
      </c>
    </row>
    <row r="369" spans="19:37">
      <c r="S369" s="97">
        <f t="shared" si="70"/>
        <v>0</v>
      </c>
      <c r="T369" s="97">
        <f t="shared" si="71"/>
        <v>0</v>
      </c>
      <c r="U369" s="98">
        <f t="shared" si="78"/>
        <v>0</v>
      </c>
      <c r="V369" s="98">
        <f t="shared" si="78"/>
        <v>0</v>
      </c>
      <c r="X369" s="97" t="e">
        <f t="shared" si="72"/>
        <v>#REF!</v>
      </c>
      <c r="Y369" s="97" t="e">
        <f t="shared" si="73"/>
        <v>#REF!</v>
      </c>
      <c r="Z369" s="98" t="e">
        <f t="shared" si="79"/>
        <v>#REF!</v>
      </c>
      <c r="AA369" s="98" t="e">
        <f t="shared" si="79"/>
        <v>#REF!</v>
      </c>
      <c r="AC369" s="97" t="e">
        <f t="shared" si="74"/>
        <v>#REF!</v>
      </c>
      <c r="AD369" s="97" t="e">
        <f t="shared" si="75"/>
        <v>#REF!</v>
      </c>
      <c r="AE369" s="98" t="e">
        <f t="shared" si="80"/>
        <v>#REF!</v>
      </c>
      <c r="AF369" s="98" t="e">
        <f t="shared" si="80"/>
        <v>#REF!</v>
      </c>
      <c r="AH369" s="97" t="e">
        <f t="shared" si="76"/>
        <v>#REF!</v>
      </c>
      <c r="AI369" s="97" t="e">
        <f t="shared" si="77"/>
        <v>#REF!</v>
      </c>
      <c r="AJ369" s="98" t="e">
        <f t="shared" si="81"/>
        <v>#REF!</v>
      </c>
      <c r="AK369" s="98" t="e">
        <f t="shared" si="81"/>
        <v>#REF!</v>
      </c>
    </row>
    <row r="370" spans="19:37">
      <c r="S370" s="97">
        <f t="shared" si="70"/>
        <v>0</v>
      </c>
      <c r="T370" s="97">
        <f t="shared" si="71"/>
        <v>0</v>
      </c>
      <c r="U370" s="98">
        <f t="shared" si="78"/>
        <v>0</v>
      </c>
      <c r="V370" s="98">
        <f t="shared" si="78"/>
        <v>0</v>
      </c>
      <c r="X370" s="97" t="e">
        <f t="shared" si="72"/>
        <v>#REF!</v>
      </c>
      <c r="Y370" s="97" t="e">
        <f t="shared" si="73"/>
        <v>#REF!</v>
      </c>
      <c r="Z370" s="98" t="e">
        <f t="shared" si="79"/>
        <v>#REF!</v>
      </c>
      <c r="AA370" s="98" t="e">
        <f t="shared" si="79"/>
        <v>#REF!</v>
      </c>
      <c r="AC370" s="97" t="e">
        <f t="shared" si="74"/>
        <v>#REF!</v>
      </c>
      <c r="AD370" s="97" t="e">
        <f t="shared" si="75"/>
        <v>#REF!</v>
      </c>
      <c r="AE370" s="98" t="e">
        <f t="shared" si="80"/>
        <v>#REF!</v>
      </c>
      <c r="AF370" s="98" t="e">
        <f t="shared" si="80"/>
        <v>#REF!</v>
      </c>
      <c r="AH370" s="97" t="e">
        <f t="shared" si="76"/>
        <v>#REF!</v>
      </c>
      <c r="AI370" s="97" t="e">
        <f t="shared" si="77"/>
        <v>#REF!</v>
      </c>
      <c r="AJ370" s="98" t="e">
        <f t="shared" si="81"/>
        <v>#REF!</v>
      </c>
      <c r="AK370" s="98" t="e">
        <f t="shared" si="81"/>
        <v>#REF!</v>
      </c>
    </row>
    <row r="371" spans="19:37">
      <c r="S371" s="97">
        <f t="shared" si="70"/>
        <v>0</v>
      </c>
      <c r="T371" s="97">
        <f t="shared" si="71"/>
        <v>0</v>
      </c>
      <c r="U371" s="98">
        <f t="shared" si="78"/>
        <v>0</v>
      </c>
      <c r="V371" s="98">
        <f t="shared" si="78"/>
        <v>0</v>
      </c>
      <c r="X371" s="97" t="e">
        <f t="shared" si="72"/>
        <v>#REF!</v>
      </c>
      <c r="Y371" s="97" t="e">
        <f t="shared" si="73"/>
        <v>#REF!</v>
      </c>
      <c r="Z371" s="98" t="e">
        <f t="shared" si="79"/>
        <v>#REF!</v>
      </c>
      <c r="AA371" s="98" t="e">
        <f t="shared" si="79"/>
        <v>#REF!</v>
      </c>
      <c r="AC371" s="97" t="e">
        <f t="shared" si="74"/>
        <v>#REF!</v>
      </c>
      <c r="AD371" s="97" t="e">
        <f t="shared" si="75"/>
        <v>#REF!</v>
      </c>
      <c r="AE371" s="98" t="e">
        <f t="shared" si="80"/>
        <v>#REF!</v>
      </c>
      <c r="AF371" s="98" t="e">
        <f t="shared" si="80"/>
        <v>#REF!</v>
      </c>
      <c r="AH371" s="97" t="e">
        <f t="shared" si="76"/>
        <v>#REF!</v>
      </c>
      <c r="AI371" s="97" t="e">
        <f t="shared" si="77"/>
        <v>#REF!</v>
      </c>
      <c r="AJ371" s="98" t="e">
        <f t="shared" si="81"/>
        <v>#REF!</v>
      </c>
      <c r="AK371" s="98" t="e">
        <f t="shared" si="81"/>
        <v>#REF!</v>
      </c>
    </row>
    <row r="372" spans="19:37">
      <c r="S372" s="97">
        <f t="shared" si="70"/>
        <v>0</v>
      </c>
      <c r="T372" s="97">
        <f t="shared" si="71"/>
        <v>0</v>
      </c>
      <c r="U372" s="98">
        <f t="shared" si="78"/>
        <v>0</v>
      </c>
      <c r="V372" s="98">
        <f t="shared" si="78"/>
        <v>0</v>
      </c>
      <c r="X372" s="97" t="e">
        <f t="shared" si="72"/>
        <v>#REF!</v>
      </c>
      <c r="Y372" s="97" t="e">
        <f t="shared" si="73"/>
        <v>#REF!</v>
      </c>
      <c r="Z372" s="98" t="e">
        <f t="shared" si="79"/>
        <v>#REF!</v>
      </c>
      <c r="AA372" s="98" t="e">
        <f t="shared" si="79"/>
        <v>#REF!</v>
      </c>
      <c r="AC372" s="97" t="e">
        <f t="shared" si="74"/>
        <v>#REF!</v>
      </c>
      <c r="AD372" s="97" t="e">
        <f t="shared" si="75"/>
        <v>#REF!</v>
      </c>
      <c r="AE372" s="98" t="e">
        <f t="shared" si="80"/>
        <v>#REF!</v>
      </c>
      <c r="AF372" s="98" t="e">
        <f t="shared" si="80"/>
        <v>#REF!</v>
      </c>
      <c r="AH372" s="97" t="e">
        <f t="shared" si="76"/>
        <v>#REF!</v>
      </c>
      <c r="AI372" s="97" t="e">
        <f t="shared" si="77"/>
        <v>#REF!</v>
      </c>
      <c r="AJ372" s="98" t="e">
        <f t="shared" si="81"/>
        <v>#REF!</v>
      </c>
      <c r="AK372" s="98" t="e">
        <f t="shared" si="81"/>
        <v>#REF!</v>
      </c>
    </row>
    <row r="373" spans="19:37">
      <c r="S373" s="97">
        <f t="shared" si="70"/>
        <v>0</v>
      </c>
      <c r="T373" s="97">
        <f t="shared" si="71"/>
        <v>0</v>
      </c>
      <c r="U373" s="98">
        <f t="shared" si="78"/>
        <v>0</v>
      </c>
      <c r="V373" s="98">
        <f t="shared" si="78"/>
        <v>0</v>
      </c>
      <c r="X373" s="97" t="e">
        <f t="shared" si="72"/>
        <v>#REF!</v>
      </c>
      <c r="Y373" s="97" t="e">
        <f t="shared" si="73"/>
        <v>#REF!</v>
      </c>
      <c r="Z373" s="98" t="e">
        <f t="shared" si="79"/>
        <v>#REF!</v>
      </c>
      <c r="AA373" s="98" t="e">
        <f t="shared" si="79"/>
        <v>#REF!</v>
      </c>
      <c r="AC373" s="97" t="e">
        <f t="shared" si="74"/>
        <v>#REF!</v>
      </c>
      <c r="AD373" s="97" t="e">
        <f t="shared" si="75"/>
        <v>#REF!</v>
      </c>
      <c r="AE373" s="98" t="e">
        <f t="shared" si="80"/>
        <v>#REF!</v>
      </c>
      <c r="AF373" s="98" t="e">
        <f t="shared" si="80"/>
        <v>#REF!</v>
      </c>
      <c r="AH373" s="97" t="e">
        <f t="shared" si="76"/>
        <v>#REF!</v>
      </c>
      <c r="AI373" s="97" t="e">
        <f t="shared" si="77"/>
        <v>#REF!</v>
      </c>
      <c r="AJ373" s="98" t="e">
        <f t="shared" si="81"/>
        <v>#REF!</v>
      </c>
      <c r="AK373" s="98" t="e">
        <f t="shared" si="81"/>
        <v>#REF!</v>
      </c>
    </row>
    <row r="374" spans="19:37">
      <c r="S374" s="97">
        <f t="shared" si="70"/>
        <v>0</v>
      </c>
      <c r="T374" s="97">
        <f t="shared" si="71"/>
        <v>0</v>
      </c>
      <c r="U374" s="98">
        <f t="shared" si="78"/>
        <v>0</v>
      </c>
      <c r="V374" s="98">
        <f t="shared" si="78"/>
        <v>0</v>
      </c>
      <c r="X374" s="97" t="e">
        <f t="shared" si="72"/>
        <v>#REF!</v>
      </c>
      <c r="Y374" s="97" t="e">
        <f t="shared" si="73"/>
        <v>#REF!</v>
      </c>
      <c r="Z374" s="98" t="e">
        <f t="shared" si="79"/>
        <v>#REF!</v>
      </c>
      <c r="AA374" s="98" t="e">
        <f t="shared" si="79"/>
        <v>#REF!</v>
      </c>
      <c r="AC374" s="97" t="e">
        <f t="shared" si="74"/>
        <v>#REF!</v>
      </c>
      <c r="AD374" s="97" t="e">
        <f t="shared" si="75"/>
        <v>#REF!</v>
      </c>
      <c r="AE374" s="98" t="e">
        <f t="shared" si="80"/>
        <v>#REF!</v>
      </c>
      <c r="AF374" s="98" t="e">
        <f t="shared" si="80"/>
        <v>#REF!</v>
      </c>
      <c r="AH374" s="97" t="e">
        <f t="shared" si="76"/>
        <v>#REF!</v>
      </c>
      <c r="AI374" s="97" t="e">
        <f t="shared" si="77"/>
        <v>#REF!</v>
      </c>
      <c r="AJ374" s="98" t="e">
        <f t="shared" si="81"/>
        <v>#REF!</v>
      </c>
      <c r="AK374" s="98" t="e">
        <f t="shared" si="81"/>
        <v>#REF!</v>
      </c>
    </row>
    <row r="375" spans="19:37">
      <c r="S375" s="97">
        <f t="shared" si="70"/>
        <v>0</v>
      </c>
      <c r="T375" s="97">
        <f t="shared" si="71"/>
        <v>0</v>
      </c>
      <c r="U375" s="98">
        <f t="shared" si="78"/>
        <v>0</v>
      </c>
      <c r="V375" s="98">
        <f t="shared" si="78"/>
        <v>0</v>
      </c>
      <c r="X375" s="97" t="e">
        <f t="shared" si="72"/>
        <v>#REF!</v>
      </c>
      <c r="Y375" s="97" t="e">
        <f t="shared" si="73"/>
        <v>#REF!</v>
      </c>
      <c r="Z375" s="98" t="e">
        <f t="shared" si="79"/>
        <v>#REF!</v>
      </c>
      <c r="AA375" s="98" t="e">
        <f t="shared" si="79"/>
        <v>#REF!</v>
      </c>
      <c r="AC375" s="97" t="e">
        <f t="shared" si="74"/>
        <v>#REF!</v>
      </c>
      <c r="AD375" s="97" t="e">
        <f t="shared" si="75"/>
        <v>#REF!</v>
      </c>
      <c r="AE375" s="98" t="e">
        <f t="shared" si="80"/>
        <v>#REF!</v>
      </c>
      <c r="AF375" s="98" t="e">
        <f t="shared" si="80"/>
        <v>#REF!</v>
      </c>
      <c r="AH375" s="97" t="e">
        <f t="shared" si="76"/>
        <v>#REF!</v>
      </c>
      <c r="AI375" s="97" t="e">
        <f t="shared" si="77"/>
        <v>#REF!</v>
      </c>
      <c r="AJ375" s="98" t="e">
        <f t="shared" si="81"/>
        <v>#REF!</v>
      </c>
      <c r="AK375" s="98" t="e">
        <f t="shared" si="81"/>
        <v>#REF!</v>
      </c>
    </row>
    <row r="376" spans="19:37">
      <c r="S376" s="97">
        <f t="shared" si="70"/>
        <v>0</v>
      </c>
      <c r="T376" s="97">
        <f t="shared" si="71"/>
        <v>0</v>
      </c>
      <c r="U376" s="98">
        <f t="shared" si="78"/>
        <v>0</v>
      </c>
      <c r="V376" s="98">
        <f t="shared" si="78"/>
        <v>0</v>
      </c>
      <c r="X376" s="97" t="e">
        <f t="shared" si="72"/>
        <v>#REF!</v>
      </c>
      <c r="Y376" s="97" t="e">
        <f t="shared" si="73"/>
        <v>#REF!</v>
      </c>
      <c r="Z376" s="98" t="e">
        <f t="shared" si="79"/>
        <v>#REF!</v>
      </c>
      <c r="AA376" s="98" t="e">
        <f t="shared" si="79"/>
        <v>#REF!</v>
      </c>
      <c r="AC376" s="97" t="e">
        <f t="shared" si="74"/>
        <v>#REF!</v>
      </c>
      <c r="AD376" s="97" t="e">
        <f t="shared" si="75"/>
        <v>#REF!</v>
      </c>
      <c r="AE376" s="98" t="e">
        <f t="shared" si="80"/>
        <v>#REF!</v>
      </c>
      <c r="AF376" s="98" t="e">
        <f t="shared" si="80"/>
        <v>#REF!</v>
      </c>
      <c r="AH376" s="97" t="e">
        <f t="shared" si="76"/>
        <v>#REF!</v>
      </c>
      <c r="AI376" s="97" t="e">
        <f t="shared" si="77"/>
        <v>#REF!</v>
      </c>
      <c r="AJ376" s="98" t="e">
        <f t="shared" si="81"/>
        <v>#REF!</v>
      </c>
      <c r="AK376" s="98" t="e">
        <f t="shared" si="81"/>
        <v>#REF!</v>
      </c>
    </row>
    <row r="377" spans="19:37">
      <c r="S377" s="97">
        <f t="shared" si="70"/>
        <v>0</v>
      </c>
      <c r="T377" s="97">
        <f t="shared" si="71"/>
        <v>0</v>
      </c>
      <c r="U377" s="98">
        <f t="shared" si="78"/>
        <v>0</v>
      </c>
      <c r="V377" s="98">
        <f t="shared" si="78"/>
        <v>0</v>
      </c>
      <c r="X377" s="97" t="e">
        <f t="shared" si="72"/>
        <v>#REF!</v>
      </c>
      <c r="Y377" s="97" t="e">
        <f t="shared" si="73"/>
        <v>#REF!</v>
      </c>
      <c r="Z377" s="98" t="e">
        <f t="shared" si="79"/>
        <v>#REF!</v>
      </c>
      <c r="AA377" s="98" t="e">
        <f t="shared" si="79"/>
        <v>#REF!</v>
      </c>
      <c r="AC377" s="97" t="e">
        <f t="shared" si="74"/>
        <v>#REF!</v>
      </c>
      <c r="AD377" s="97" t="e">
        <f t="shared" si="75"/>
        <v>#REF!</v>
      </c>
      <c r="AE377" s="98" t="e">
        <f t="shared" si="80"/>
        <v>#REF!</v>
      </c>
      <c r="AF377" s="98" t="e">
        <f t="shared" si="80"/>
        <v>#REF!</v>
      </c>
      <c r="AH377" s="97" t="e">
        <f t="shared" si="76"/>
        <v>#REF!</v>
      </c>
      <c r="AI377" s="97" t="e">
        <f t="shared" si="77"/>
        <v>#REF!</v>
      </c>
      <c r="AJ377" s="98" t="e">
        <f t="shared" si="81"/>
        <v>#REF!</v>
      </c>
      <c r="AK377" s="98" t="e">
        <f t="shared" si="81"/>
        <v>#REF!</v>
      </c>
    </row>
    <row r="378" spans="19:37">
      <c r="S378" s="97">
        <f t="shared" si="70"/>
        <v>0</v>
      </c>
      <c r="T378" s="97">
        <f t="shared" si="71"/>
        <v>0</v>
      </c>
      <c r="U378" s="98">
        <f t="shared" si="78"/>
        <v>0</v>
      </c>
      <c r="V378" s="98">
        <f t="shared" si="78"/>
        <v>0</v>
      </c>
      <c r="X378" s="97" t="e">
        <f t="shared" si="72"/>
        <v>#REF!</v>
      </c>
      <c r="Y378" s="97" t="e">
        <f t="shared" si="73"/>
        <v>#REF!</v>
      </c>
      <c r="Z378" s="98" t="e">
        <f t="shared" si="79"/>
        <v>#REF!</v>
      </c>
      <c r="AA378" s="98" t="e">
        <f t="shared" si="79"/>
        <v>#REF!</v>
      </c>
      <c r="AC378" s="97" t="e">
        <f t="shared" si="74"/>
        <v>#REF!</v>
      </c>
      <c r="AD378" s="97" t="e">
        <f t="shared" si="75"/>
        <v>#REF!</v>
      </c>
      <c r="AE378" s="98" t="e">
        <f t="shared" si="80"/>
        <v>#REF!</v>
      </c>
      <c r="AF378" s="98" t="e">
        <f t="shared" si="80"/>
        <v>#REF!</v>
      </c>
      <c r="AH378" s="97" t="e">
        <f t="shared" si="76"/>
        <v>#REF!</v>
      </c>
      <c r="AI378" s="97" t="e">
        <f t="shared" si="77"/>
        <v>#REF!</v>
      </c>
      <c r="AJ378" s="98" t="e">
        <f t="shared" si="81"/>
        <v>#REF!</v>
      </c>
      <c r="AK378" s="98" t="e">
        <f t="shared" si="81"/>
        <v>#REF!</v>
      </c>
    </row>
    <row r="379" spans="19:37">
      <c r="S379" s="97">
        <f t="shared" si="70"/>
        <v>0</v>
      </c>
      <c r="T379" s="97">
        <f t="shared" si="71"/>
        <v>0</v>
      </c>
      <c r="U379" s="98">
        <f t="shared" si="78"/>
        <v>0</v>
      </c>
      <c r="V379" s="98">
        <f t="shared" si="78"/>
        <v>0</v>
      </c>
      <c r="X379" s="97" t="e">
        <f t="shared" si="72"/>
        <v>#REF!</v>
      </c>
      <c r="Y379" s="97" t="e">
        <f t="shared" si="73"/>
        <v>#REF!</v>
      </c>
      <c r="Z379" s="98" t="e">
        <f t="shared" si="79"/>
        <v>#REF!</v>
      </c>
      <c r="AA379" s="98" t="e">
        <f t="shared" si="79"/>
        <v>#REF!</v>
      </c>
      <c r="AC379" s="97" t="e">
        <f t="shared" si="74"/>
        <v>#REF!</v>
      </c>
      <c r="AD379" s="97" t="e">
        <f t="shared" si="75"/>
        <v>#REF!</v>
      </c>
      <c r="AE379" s="98" t="e">
        <f t="shared" si="80"/>
        <v>#REF!</v>
      </c>
      <c r="AF379" s="98" t="e">
        <f t="shared" si="80"/>
        <v>#REF!</v>
      </c>
      <c r="AH379" s="97" t="e">
        <f t="shared" si="76"/>
        <v>#REF!</v>
      </c>
      <c r="AI379" s="97" t="e">
        <f t="shared" si="77"/>
        <v>#REF!</v>
      </c>
      <c r="AJ379" s="98" t="e">
        <f t="shared" si="81"/>
        <v>#REF!</v>
      </c>
      <c r="AK379" s="98" t="e">
        <f t="shared" si="81"/>
        <v>#REF!</v>
      </c>
    </row>
    <row r="380" spans="19:37">
      <c r="S380" s="97">
        <f t="shared" si="70"/>
        <v>0</v>
      </c>
      <c r="T380" s="97">
        <f t="shared" si="71"/>
        <v>0</v>
      </c>
      <c r="U380" s="98">
        <f t="shared" si="78"/>
        <v>0</v>
      </c>
      <c r="V380" s="98">
        <f t="shared" si="78"/>
        <v>0</v>
      </c>
      <c r="X380" s="97" t="e">
        <f t="shared" si="72"/>
        <v>#REF!</v>
      </c>
      <c r="Y380" s="97" t="e">
        <f t="shared" si="73"/>
        <v>#REF!</v>
      </c>
      <c r="Z380" s="98" t="e">
        <f t="shared" si="79"/>
        <v>#REF!</v>
      </c>
      <c r="AA380" s="98" t="e">
        <f t="shared" si="79"/>
        <v>#REF!</v>
      </c>
      <c r="AC380" s="97" t="e">
        <f t="shared" si="74"/>
        <v>#REF!</v>
      </c>
      <c r="AD380" s="97" t="e">
        <f t="shared" si="75"/>
        <v>#REF!</v>
      </c>
      <c r="AE380" s="98" t="e">
        <f t="shared" si="80"/>
        <v>#REF!</v>
      </c>
      <c r="AF380" s="98" t="e">
        <f t="shared" si="80"/>
        <v>#REF!</v>
      </c>
      <c r="AH380" s="97" t="e">
        <f t="shared" si="76"/>
        <v>#REF!</v>
      </c>
      <c r="AI380" s="97" t="e">
        <f t="shared" si="77"/>
        <v>#REF!</v>
      </c>
      <c r="AJ380" s="98" t="e">
        <f t="shared" si="81"/>
        <v>#REF!</v>
      </c>
      <c r="AK380" s="98" t="e">
        <f t="shared" si="81"/>
        <v>#REF!</v>
      </c>
    </row>
    <row r="381" spans="19:37">
      <c r="S381" s="97">
        <f t="shared" si="70"/>
        <v>0</v>
      </c>
      <c r="T381" s="97">
        <f t="shared" si="71"/>
        <v>0</v>
      </c>
      <c r="U381" s="98">
        <f t="shared" si="78"/>
        <v>0</v>
      </c>
      <c r="V381" s="98">
        <f t="shared" si="78"/>
        <v>0</v>
      </c>
      <c r="X381" s="97" t="e">
        <f t="shared" si="72"/>
        <v>#REF!</v>
      </c>
      <c r="Y381" s="97" t="e">
        <f t="shared" si="73"/>
        <v>#REF!</v>
      </c>
      <c r="Z381" s="98" t="e">
        <f t="shared" si="79"/>
        <v>#REF!</v>
      </c>
      <c r="AA381" s="98" t="e">
        <f t="shared" si="79"/>
        <v>#REF!</v>
      </c>
      <c r="AC381" s="97" t="e">
        <f t="shared" si="74"/>
        <v>#REF!</v>
      </c>
      <c r="AD381" s="97" t="e">
        <f t="shared" si="75"/>
        <v>#REF!</v>
      </c>
      <c r="AE381" s="98" t="e">
        <f t="shared" si="80"/>
        <v>#REF!</v>
      </c>
      <c r="AF381" s="98" t="e">
        <f t="shared" si="80"/>
        <v>#REF!</v>
      </c>
      <c r="AH381" s="97" t="e">
        <f t="shared" si="76"/>
        <v>#REF!</v>
      </c>
      <c r="AI381" s="97" t="e">
        <f t="shared" si="77"/>
        <v>#REF!</v>
      </c>
      <c r="AJ381" s="98" t="e">
        <f t="shared" si="81"/>
        <v>#REF!</v>
      </c>
      <c r="AK381" s="98" t="e">
        <f t="shared" si="81"/>
        <v>#REF!</v>
      </c>
    </row>
    <row r="382" spans="19:37">
      <c r="S382" s="97">
        <f t="shared" si="70"/>
        <v>0</v>
      </c>
      <c r="T382" s="97">
        <f t="shared" si="71"/>
        <v>0</v>
      </c>
      <c r="U382" s="98">
        <f t="shared" si="78"/>
        <v>0</v>
      </c>
      <c r="V382" s="98">
        <f t="shared" si="78"/>
        <v>0</v>
      </c>
      <c r="X382" s="97" t="e">
        <f t="shared" si="72"/>
        <v>#REF!</v>
      </c>
      <c r="Y382" s="97" t="e">
        <f t="shared" si="73"/>
        <v>#REF!</v>
      </c>
      <c r="Z382" s="98" t="e">
        <f t="shared" si="79"/>
        <v>#REF!</v>
      </c>
      <c r="AA382" s="98" t="e">
        <f t="shared" si="79"/>
        <v>#REF!</v>
      </c>
      <c r="AC382" s="97" t="e">
        <f t="shared" si="74"/>
        <v>#REF!</v>
      </c>
      <c r="AD382" s="97" t="e">
        <f t="shared" si="75"/>
        <v>#REF!</v>
      </c>
      <c r="AE382" s="98" t="e">
        <f t="shared" si="80"/>
        <v>#REF!</v>
      </c>
      <c r="AF382" s="98" t="e">
        <f t="shared" si="80"/>
        <v>#REF!</v>
      </c>
      <c r="AH382" s="97" t="e">
        <f t="shared" si="76"/>
        <v>#REF!</v>
      </c>
      <c r="AI382" s="97" t="e">
        <f t="shared" si="77"/>
        <v>#REF!</v>
      </c>
      <c r="AJ382" s="98" t="e">
        <f t="shared" si="81"/>
        <v>#REF!</v>
      </c>
      <c r="AK382" s="98" t="e">
        <f t="shared" si="81"/>
        <v>#REF!</v>
      </c>
    </row>
    <row r="383" spans="19:37">
      <c r="S383" s="97">
        <f t="shared" si="70"/>
        <v>0</v>
      </c>
      <c r="T383" s="97">
        <f t="shared" si="71"/>
        <v>0</v>
      </c>
      <c r="U383" s="98">
        <f t="shared" si="78"/>
        <v>0</v>
      </c>
      <c r="V383" s="98">
        <f t="shared" si="78"/>
        <v>0</v>
      </c>
      <c r="X383" s="97" t="e">
        <f t="shared" si="72"/>
        <v>#REF!</v>
      </c>
      <c r="Y383" s="97" t="e">
        <f t="shared" si="73"/>
        <v>#REF!</v>
      </c>
      <c r="Z383" s="98" t="e">
        <f t="shared" si="79"/>
        <v>#REF!</v>
      </c>
      <c r="AA383" s="98" t="e">
        <f t="shared" si="79"/>
        <v>#REF!</v>
      </c>
      <c r="AC383" s="97" t="e">
        <f t="shared" si="74"/>
        <v>#REF!</v>
      </c>
      <c r="AD383" s="97" t="e">
        <f t="shared" si="75"/>
        <v>#REF!</v>
      </c>
      <c r="AE383" s="98" t="e">
        <f t="shared" si="80"/>
        <v>#REF!</v>
      </c>
      <c r="AF383" s="98" t="e">
        <f t="shared" si="80"/>
        <v>#REF!</v>
      </c>
      <c r="AH383" s="97" t="e">
        <f t="shared" si="76"/>
        <v>#REF!</v>
      </c>
      <c r="AI383" s="97" t="e">
        <f t="shared" si="77"/>
        <v>#REF!</v>
      </c>
      <c r="AJ383" s="98" t="e">
        <f t="shared" si="81"/>
        <v>#REF!</v>
      </c>
      <c r="AK383" s="98" t="e">
        <f t="shared" si="81"/>
        <v>#REF!</v>
      </c>
    </row>
    <row r="384" spans="19:37">
      <c r="S384" s="97">
        <f t="shared" si="70"/>
        <v>0</v>
      </c>
      <c r="T384" s="97">
        <f t="shared" si="71"/>
        <v>0</v>
      </c>
      <c r="U384" s="98">
        <f t="shared" si="78"/>
        <v>0</v>
      </c>
      <c r="V384" s="98">
        <f t="shared" si="78"/>
        <v>0</v>
      </c>
      <c r="X384" s="97" t="e">
        <f t="shared" si="72"/>
        <v>#REF!</v>
      </c>
      <c r="Y384" s="97" t="e">
        <f t="shared" si="73"/>
        <v>#REF!</v>
      </c>
      <c r="Z384" s="98" t="e">
        <f t="shared" si="79"/>
        <v>#REF!</v>
      </c>
      <c r="AA384" s="98" t="e">
        <f t="shared" si="79"/>
        <v>#REF!</v>
      </c>
      <c r="AC384" s="97" t="e">
        <f t="shared" si="74"/>
        <v>#REF!</v>
      </c>
      <c r="AD384" s="97" t="e">
        <f t="shared" si="75"/>
        <v>#REF!</v>
      </c>
      <c r="AE384" s="98" t="e">
        <f t="shared" si="80"/>
        <v>#REF!</v>
      </c>
      <c r="AF384" s="98" t="e">
        <f t="shared" si="80"/>
        <v>#REF!</v>
      </c>
      <c r="AH384" s="97" t="e">
        <f t="shared" si="76"/>
        <v>#REF!</v>
      </c>
      <c r="AI384" s="97" t="e">
        <f t="shared" si="77"/>
        <v>#REF!</v>
      </c>
      <c r="AJ384" s="98" t="e">
        <f t="shared" si="81"/>
        <v>#REF!</v>
      </c>
      <c r="AK384" s="98" t="e">
        <f t="shared" si="81"/>
        <v>#REF!</v>
      </c>
    </row>
    <row r="385" spans="19:37">
      <c r="S385" s="97">
        <f t="shared" si="70"/>
        <v>0</v>
      </c>
      <c r="T385" s="97">
        <f t="shared" si="71"/>
        <v>0</v>
      </c>
      <c r="U385" s="98">
        <f t="shared" si="78"/>
        <v>0</v>
      </c>
      <c r="V385" s="98">
        <f t="shared" si="78"/>
        <v>0</v>
      </c>
      <c r="X385" s="97" t="e">
        <f t="shared" si="72"/>
        <v>#REF!</v>
      </c>
      <c r="Y385" s="97" t="e">
        <f t="shared" si="73"/>
        <v>#REF!</v>
      </c>
      <c r="Z385" s="98" t="e">
        <f t="shared" si="79"/>
        <v>#REF!</v>
      </c>
      <c r="AA385" s="98" t="e">
        <f t="shared" si="79"/>
        <v>#REF!</v>
      </c>
      <c r="AC385" s="97" t="e">
        <f t="shared" si="74"/>
        <v>#REF!</v>
      </c>
      <c r="AD385" s="97" t="e">
        <f t="shared" si="75"/>
        <v>#REF!</v>
      </c>
      <c r="AE385" s="98" t="e">
        <f t="shared" si="80"/>
        <v>#REF!</v>
      </c>
      <c r="AF385" s="98" t="e">
        <f t="shared" si="80"/>
        <v>#REF!</v>
      </c>
      <c r="AH385" s="97" t="e">
        <f t="shared" si="76"/>
        <v>#REF!</v>
      </c>
      <c r="AI385" s="97" t="e">
        <f t="shared" si="77"/>
        <v>#REF!</v>
      </c>
      <c r="AJ385" s="98" t="e">
        <f t="shared" si="81"/>
        <v>#REF!</v>
      </c>
      <c r="AK385" s="98" t="e">
        <f t="shared" si="81"/>
        <v>#REF!</v>
      </c>
    </row>
    <row r="386" spans="19:37">
      <c r="S386" s="97">
        <f t="shared" si="70"/>
        <v>0</v>
      </c>
      <c r="T386" s="97">
        <f t="shared" si="71"/>
        <v>0</v>
      </c>
      <c r="U386" s="98">
        <f t="shared" si="78"/>
        <v>0</v>
      </c>
      <c r="V386" s="98">
        <f t="shared" si="78"/>
        <v>0</v>
      </c>
      <c r="X386" s="97" t="e">
        <f t="shared" si="72"/>
        <v>#REF!</v>
      </c>
      <c r="Y386" s="97" t="e">
        <f t="shared" si="73"/>
        <v>#REF!</v>
      </c>
      <c r="Z386" s="98" t="e">
        <f t="shared" si="79"/>
        <v>#REF!</v>
      </c>
      <c r="AA386" s="98" t="e">
        <f t="shared" si="79"/>
        <v>#REF!</v>
      </c>
      <c r="AC386" s="97" t="e">
        <f t="shared" si="74"/>
        <v>#REF!</v>
      </c>
      <c r="AD386" s="97" t="e">
        <f t="shared" si="75"/>
        <v>#REF!</v>
      </c>
      <c r="AE386" s="98" t="e">
        <f t="shared" si="80"/>
        <v>#REF!</v>
      </c>
      <c r="AF386" s="98" t="e">
        <f t="shared" si="80"/>
        <v>#REF!</v>
      </c>
      <c r="AH386" s="97" t="e">
        <f t="shared" si="76"/>
        <v>#REF!</v>
      </c>
      <c r="AI386" s="97" t="e">
        <f t="shared" si="77"/>
        <v>#REF!</v>
      </c>
      <c r="AJ386" s="98" t="e">
        <f t="shared" si="81"/>
        <v>#REF!</v>
      </c>
      <c r="AK386" s="98" t="e">
        <f t="shared" si="81"/>
        <v>#REF!</v>
      </c>
    </row>
    <row r="387" spans="19:37">
      <c r="S387" s="97">
        <f t="shared" si="70"/>
        <v>0</v>
      </c>
      <c r="T387" s="97">
        <f t="shared" si="71"/>
        <v>0</v>
      </c>
      <c r="U387" s="98">
        <f t="shared" si="78"/>
        <v>0</v>
      </c>
      <c r="V387" s="98">
        <f t="shared" si="78"/>
        <v>0</v>
      </c>
      <c r="X387" s="97" t="e">
        <f t="shared" si="72"/>
        <v>#REF!</v>
      </c>
      <c r="Y387" s="97" t="e">
        <f t="shared" si="73"/>
        <v>#REF!</v>
      </c>
      <c r="Z387" s="98" t="e">
        <f t="shared" si="79"/>
        <v>#REF!</v>
      </c>
      <c r="AA387" s="98" t="e">
        <f t="shared" si="79"/>
        <v>#REF!</v>
      </c>
      <c r="AC387" s="97" t="e">
        <f t="shared" si="74"/>
        <v>#REF!</v>
      </c>
      <c r="AD387" s="97" t="e">
        <f t="shared" si="75"/>
        <v>#REF!</v>
      </c>
      <c r="AE387" s="98" t="e">
        <f t="shared" si="80"/>
        <v>#REF!</v>
      </c>
      <c r="AF387" s="98" t="e">
        <f t="shared" si="80"/>
        <v>#REF!</v>
      </c>
      <c r="AH387" s="97" t="e">
        <f t="shared" si="76"/>
        <v>#REF!</v>
      </c>
      <c r="AI387" s="97" t="e">
        <f t="shared" si="77"/>
        <v>#REF!</v>
      </c>
      <c r="AJ387" s="98" t="e">
        <f t="shared" si="81"/>
        <v>#REF!</v>
      </c>
      <c r="AK387" s="98" t="e">
        <f t="shared" si="81"/>
        <v>#REF!</v>
      </c>
    </row>
    <row r="388" spans="19:37">
      <c r="S388" s="97">
        <f t="shared" si="70"/>
        <v>0</v>
      </c>
      <c r="T388" s="97">
        <f t="shared" si="71"/>
        <v>0</v>
      </c>
      <c r="U388" s="98">
        <f t="shared" si="78"/>
        <v>0</v>
      </c>
      <c r="V388" s="98">
        <f t="shared" si="78"/>
        <v>0</v>
      </c>
      <c r="X388" s="97" t="e">
        <f t="shared" si="72"/>
        <v>#REF!</v>
      </c>
      <c r="Y388" s="97" t="e">
        <f t="shared" si="73"/>
        <v>#REF!</v>
      </c>
      <c r="Z388" s="98" t="e">
        <f t="shared" si="79"/>
        <v>#REF!</v>
      </c>
      <c r="AA388" s="98" t="e">
        <f t="shared" si="79"/>
        <v>#REF!</v>
      </c>
      <c r="AC388" s="97" t="e">
        <f t="shared" si="74"/>
        <v>#REF!</v>
      </c>
      <c r="AD388" s="97" t="e">
        <f t="shared" si="75"/>
        <v>#REF!</v>
      </c>
      <c r="AE388" s="98" t="e">
        <f t="shared" si="80"/>
        <v>#REF!</v>
      </c>
      <c r="AF388" s="98" t="e">
        <f t="shared" si="80"/>
        <v>#REF!</v>
      </c>
      <c r="AH388" s="97" t="e">
        <f t="shared" si="76"/>
        <v>#REF!</v>
      </c>
      <c r="AI388" s="97" t="e">
        <f t="shared" si="77"/>
        <v>#REF!</v>
      </c>
      <c r="AJ388" s="98" t="e">
        <f t="shared" si="81"/>
        <v>#REF!</v>
      </c>
      <c r="AK388" s="98" t="e">
        <f t="shared" si="81"/>
        <v>#REF!</v>
      </c>
    </row>
    <row r="389" spans="19:37">
      <c r="S389" s="97">
        <f t="shared" si="70"/>
        <v>0</v>
      </c>
      <c r="T389" s="97">
        <f t="shared" si="71"/>
        <v>0</v>
      </c>
      <c r="U389" s="98">
        <f t="shared" si="78"/>
        <v>0</v>
      </c>
      <c r="V389" s="98">
        <f t="shared" si="78"/>
        <v>0</v>
      </c>
      <c r="X389" s="97" t="e">
        <f t="shared" si="72"/>
        <v>#REF!</v>
      </c>
      <c r="Y389" s="97" t="e">
        <f t="shared" si="73"/>
        <v>#REF!</v>
      </c>
      <c r="Z389" s="98" t="e">
        <f t="shared" si="79"/>
        <v>#REF!</v>
      </c>
      <c r="AA389" s="98" t="e">
        <f t="shared" si="79"/>
        <v>#REF!</v>
      </c>
      <c r="AC389" s="97" t="e">
        <f t="shared" si="74"/>
        <v>#REF!</v>
      </c>
      <c r="AD389" s="97" t="e">
        <f t="shared" si="75"/>
        <v>#REF!</v>
      </c>
      <c r="AE389" s="98" t="e">
        <f t="shared" si="80"/>
        <v>#REF!</v>
      </c>
      <c r="AF389" s="98" t="e">
        <f t="shared" si="80"/>
        <v>#REF!</v>
      </c>
      <c r="AH389" s="97" t="e">
        <f t="shared" si="76"/>
        <v>#REF!</v>
      </c>
      <c r="AI389" s="97" t="e">
        <f t="shared" si="77"/>
        <v>#REF!</v>
      </c>
      <c r="AJ389" s="98" t="e">
        <f t="shared" si="81"/>
        <v>#REF!</v>
      </c>
      <c r="AK389" s="98" t="e">
        <f t="shared" si="81"/>
        <v>#REF!</v>
      </c>
    </row>
    <row r="390" spans="19:37">
      <c r="S390" s="97">
        <f t="shared" si="70"/>
        <v>0</v>
      </c>
      <c r="T390" s="97">
        <f t="shared" si="71"/>
        <v>0</v>
      </c>
      <c r="U390" s="98">
        <f t="shared" si="78"/>
        <v>0</v>
      </c>
      <c r="V390" s="98">
        <f t="shared" si="78"/>
        <v>0</v>
      </c>
      <c r="X390" s="97" t="e">
        <f t="shared" si="72"/>
        <v>#REF!</v>
      </c>
      <c r="Y390" s="97" t="e">
        <f t="shared" si="73"/>
        <v>#REF!</v>
      </c>
      <c r="Z390" s="98" t="e">
        <f t="shared" si="79"/>
        <v>#REF!</v>
      </c>
      <c r="AA390" s="98" t="e">
        <f t="shared" si="79"/>
        <v>#REF!</v>
      </c>
      <c r="AC390" s="97" t="e">
        <f t="shared" si="74"/>
        <v>#REF!</v>
      </c>
      <c r="AD390" s="97" t="e">
        <f t="shared" si="75"/>
        <v>#REF!</v>
      </c>
      <c r="AE390" s="98" t="e">
        <f t="shared" si="80"/>
        <v>#REF!</v>
      </c>
      <c r="AF390" s="98" t="e">
        <f t="shared" si="80"/>
        <v>#REF!</v>
      </c>
      <c r="AH390" s="97" t="e">
        <f t="shared" si="76"/>
        <v>#REF!</v>
      </c>
      <c r="AI390" s="97" t="e">
        <f t="shared" si="77"/>
        <v>#REF!</v>
      </c>
      <c r="AJ390" s="98" t="e">
        <f t="shared" si="81"/>
        <v>#REF!</v>
      </c>
      <c r="AK390" s="98" t="e">
        <f t="shared" si="81"/>
        <v>#REF!</v>
      </c>
    </row>
    <row r="391" spans="19:37">
      <c r="S391" s="97">
        <f t="shared" si="70"/>
        <v>0</v>
      </c>
      <c r="T391" s="97">
        <f t="shared" si="71"/>
        <v>0</v>
      </c>
      <c r="U391" s="98">
        <f t="shared" si="78"/>
        <v>0</v>
      </c>
      <c r="V391" s="98">
        <f t="shared" si="78"/>
        <v>0</v>
      </c>
      <c r="X391" s="97" t="e">
        <f t="shared" si="72"/>
        <v>#REF!</v>
      </c>
      <c r="Y391" s="97" t="e">
        <f t="shared" si="73"/>
        <v>#REF!</v>
      </c>
      <c r="Z391" s="98" t="e">
        <f t="shared" si="79"/>
        <v>#REF!</v>
      </c>
      <c r="AA391" s="98" t="e">
        <f t="shared" si="79"/>
        <v>#REF!</v>
      </c>
      <c r="AC391" s="97" t="e">
        <f t="shared" si="74"/>
        <v>#REF!</v>
      </c>
      <c r="AD391" s="97" t="e">
        <f t="shared" si="75"/>
        <v>#REF!</v>
      </c>
      <c r="AE391" s="98" t="e">
        <f t="shared" si="80"/>
        <v>#REF!</v>
      </c>
      <c r="AF391" s="98" t="e">
        <f t="shared" si="80"/>
        <v>#REF!</v>
      </c>
      <c r="AH391" s="97" t="e">
        <f t="shared" si="76"/>
        <v>#REF!</v>
      </c>
      <c r="AI391" s="97" t="e">
        <f t="shared" si="77"/>
        <v>#REF!</v>
      </c>
      <c r="AJ391" s="98" t="e">
        <f t="shared" si="81"/>
        <v>#REF!</v>
      </c>
      <c r="AK391" s="98" t="e">
        <f t="shared" si="81"/>
        <v>#REF!</v>
      </c>
    </row>
    <row r="392" spans="19:37">
      <c r="S392" s="97">
        <f t="shared" si="70"/>
        <v>0</v>
      </c>
      <c r="T392" s="97">
        <f t="shared" si="71"/>
        <v>0</v>
      </c>
      <c r="U392" s="98">
        <f t="shared" si="78"/>
        <v>0</v>
      </c>
      <c r="V392" s="98">
        <f t="shared" si="78"/>
        <v>0</v>
      </c>
      <c r="X392" s="97" t="e">
        <f t="shared" si="72"/>
        <v>#REF!</v>
      </c>
      <c r="Y392" s="97" t="e">
        <f t="shared" si="73"/>
        <v>#REF!</v>
      </c>
      <c r="Z392" s="98" t="e">
        <f t="shared" si="79"/>
        <v>#REF!</v>
      </c>
      <c r="AA392" s="98" t="e">
        <f t="shared" si="79"/>
        <v>#REF!</v>
      </c>
      <c r="AC392" s="97" t="e">
        <f t="shared" si="74"/>
        <v>#REF!</v>
      </c>
      <c r="AD392" s="97" t="e">
        <f t="shared" si="75"/>
        <v>#REF!</v>
      </c>
      <c r="AE392" s="98" t="e">
        <f t="shared" si="80"/>
        <v>#REF!</v>
      </c>
      <c r="AF392" s="98" t="e">
        <f t="shared" si="80"/>
        <v>#REF!</v>
      </c>
      <c r="AH392" s="97" t="e">
        <f t="shared" si="76"/>
        <v>#REF!</v>
      </c>
      <c r="AI392" s="97" t="e">
        <f t="shared" si="77"/>
        <v>#REF!</v>
      </c>
      <c r="AJ392" s="98" t="e">
        <f t="shared" si="81"/>
        <v>#REF!</v>
      </c>
      <c r="AK392" s="98" t="e">
        <f t="shared" si="81"/>
        <v>#REF!</v>
      </c>
    </row>
    <row r="393" spans="19:37">
      <c r="S393" s="97">
        <f t="shared" si="70"/>
        <v>0</v>
      </c>
      <c r="T393" s="97">
        <f t="shared" si="71"/>
        <v>0</v>
      </c>
      <c r="U393" s="98">
        <f t="shared" si="78"/>
        <v>0</v>
      </c>
      <c r="V393" s="98">
        <f t="shared" si="78"/>
        <v>0</v>
      </c>
      <c r="X393" s="97" t="e">
        <f t="shared" si="72"/>
        <v>#REF!</v>
      </c>
      <c r="Y393" s="97" t="e">
        <f t="shared" si="73"/>
        <v>#REF!</v>
      </c>
      <c r="Z393" s="98" t="e">
        <f t="shared" si="79"/>
        <v>#REF!</v>
      </c>
      <c r="AA393" s="98" t="e">
        <f t="shared" si="79"/>
        <v>#REF!</v>
      </c>
      <c r="AC393" s="97" t="e">
        <f t="shared" si="74"/>
        <v>#REF!</v>
      </c>
      <c r="AD393" s="97" t="e">
        <f t="shared" si="75"/>
        <v>#REF!</v>
      </c>
      <c r="AE393" s="98" t="e">
        <f t="shared" si="80"/>
        <v>#REF!</v>
      </c>
      <c r="AF393" s="98" t="e">
        <f t="shared" si="80"/>
        <v>#REF!</v>
      </c>
      <c r="AH393" s="97" t="e">
        <f t="shared" si="76"/>
        <v>#REF!</v>
      </c>
      <c r="AI393" s="97" t="e">
        <f t="shared" si="77"/>
        <v>#REF!</v>
      </c>
      <c r="AJ393" s="98" t="e">
        <f t="shared" si="81"/>
        <v>#REF!</v>
      </c>
      <c r="AK393" s="98" t="e">
        <f t="shared" si="81"/>
        <v>#REF!</v>
      </c>
    </row>
    <row r="394" spans="19:37">
      <c r="S394" s="97">
        <f t="shared" si="70"/>
        <v>0</v>
      </c>
      <c r="T394" s="97">
        <f t="shared" si="71"/>
        <v>0</v>
      </c>
      <c r="U394" s="98">
        <f t="shared" si="78"/>
        <v>0</v>
      </c>
      <c r="V394" s="98">
        <f t="shared" si="78"/>
        <v>0</v>
      </c>
      <c r="X394" s="97" t="e">
        <f t="shared" si="72"/>
        <v>#REF!</v>
      </c>
      <c r="Y394" s="97" t="e">
        <f t="shared" si="73"/>
        <v>#REF!</v>
      </c>
      <c r="Z394" s="98" t="e">
        <f t="shared" si="79"/>
        <v>#REF!</v>
      </c>
      <c r="AA394" s="98" t="e">
        <f t="shared" si="79"/>
        <v>#REF!</v>
      </c>
      <c r="AC394" s="97" t="e">
        <f t="shared" si="74"/>
        <v>#REF!</v>
      </c>
      <c r="AD394" s="97" t="e">
        <f t="shared" si="75"/>
        <v>#REF!</v>
      </c>
      <c r="AE394" s="98" t="e">
        <f t="shared" si="80"/>
        <v>#REF!</v>
      </c>
      <c r="AF394" s="98" t="e">
        <f t="shared" si="80"/>
        <v>#REF!</v>
      </c>
      <c r="AH394" s="97" t="e">
        <f t="shared" si="76"/>
        <v>#REF!</v>
      </c>
      <c r="AI394" s="97" t="e">
        <f t="shared" si="77"/>
        <v>#REF!</v>
      </c>
      <c r="AJ394" s="98" t="e">
        <f t="shared" si="81"/>
        <v>#REF!</v>
      </c>
      <c r="AK394" s="98" t="e">
        <f t="shared" si="81"/>
        <v>#REF!</v>
      </c>
    </row>
    <row r="395" spans="19:37">
      <c r="S395" s="97">
        <f t="shared" si="70"/>
        <v>0</v>
      </c>
      <c r="T395" s="97">
        <f t="shared" si="71"/>
        <v>0</v>
      </c>
      <c r="U395" s="98">
        <f t="shared" si="78"/>
        <v>0</v>
      </c>
      <c r="V395" s="98">
        <f t="shared" si="78"/>
        <v>0</v>
      </c>
      <c r="X395" s="97" t="e">
        <f t="shared" si="72"/>
        <v>#REF!</v>
      </c>
      <c r="Y395" s="97" t="e">
        <f t="shared" si="73"/>
        <v>#REF!</v>
      </c>
      <c r="Z395" s="98" t="e">
        <f t="shared" si="79"/>
        <v>#REF!</v>
      </c>
      <c r="AA395" s="98" t="e">
        <f t="shared" si="79"/>
        <v>#REF!</v>
      </c>
      <c r="AC395" s="97" t="e">
        <f t="shared" si="74"/>
        <v>#REF!</v>
      </c>
      <c r="AD395" s="97" t="e">
        <f t="shared" si="75"/>
        <v>#REF!</v>
      </c>
      <c r="AE395" s="98" t="e">
        <f t="shared" si="80"/>
        <v>#REF!</v>
      </c>
      <c r="AF395" s="98" t="e">
        <f t="shared" si="80"/>
        <v>#REF!</v>
      </c>
      <c r="AH395" s="97" t="e">
        <f t="shared" si="76"/>
        <v>#REF!</v>
      </c>
      <c r="AI395" s="97" t="e">
        <f t="shared" si="77"/>
        <v>#REF!</v>
      </c>
      <c r="AJ395" s="98" t="e">
        <f t="shared" si="81"/>
        <v>#REF!</v>
      </c>
      <c r="AK395" s="98" t="e">
        <f t="shared" si="81"/>
        <v>#REF!</v>
      </c>
    </row>
    <row r="396" spans="19:37">
      <c r="S396" s="97">
        <f t="shared" si="70"/>
        <v>0</v>
      </c>
      <c r="T396" s="97">
        <f t="shared" si="71"/>
        <v>0</v>
      </c>
      <c r="U396" s="98">
        <f t="shared" si="78"/>
        <v>0</v>
      </c>
      <c r="V396" s="98">
        <f t="shared" si="78"/>
        <v>0</v>
      </c>
      <c r="X396" s="97" t="e">
        <f t="shared" si="72"/>
        <v>#REF!</v>
      </c>
      <c r="Y396" s="97" t="e">
        <f t="shared" si="73"/>
        <v>#REF!</v>
      </c>
      <c r="Z396" s="98" t="e">
        <f t="shared" si="79"/>
        <v>#REF!</v>
      </c>
      <c r="AA396" s="98" t="e">
        <f t="shared" si="79"/>
        <v>#REF!</v>
      </c>
      <c r="AC396" s="97" t="e">
        <f t="shared" si="74"/>
        <v>#REF!</v>
      </c>
      <c r="AD396" s="97" t="e">
        <f t="shared" si="75"/>
        <v>#REF!</v>
      </c>
      <c r="AE396" s="98" t="e">
        <f t="shared" si="80"/>
        <v>#REF!</v>
      </c>
      <c r="AF396" s="98" t="e">
        <f t="shared" si="80"/>
        <v>#REF!</v>
      </c>
      <c r="AH396" s="97" t="e">
        <f t="shared" si="76"/>
        <v>#REF!</v>
      </c>
      <c r="AI396" s="97" t="e">
        <f t="shared" si="77"/>
        <v>#REF!</v>
      </c>
      <c r="AJ396" s="98" t="e">
        <f t="shared" si="81"/>
        <v>#REF!</v>
      </c>
      <c r="AK396" s="98" t="e">
        <f t="shared" si="81"/>
        <v>#REF!</v>
      </c>
    </row>
    <row r="397" spans="19:37">
      <c r="S397" s="97">
        <f t="shared" si="70"/>
        <v>0</v>
      </c>
      <c r="T397" s="97">
        <f t="shared" si="71"/>
        <v>0</v>
      </c>
      <c r="U397" s="98">
        <f t="shared" si="78"/>
        <v>0</v>
      </c>
      <c r="V397" s="98">
        <f t="shared" si="78"/>
        <v>0</v>
      </c>
      <c r="X397" s="97" t="e">
        <f t="shared" si="72"/>
        <v>#REF!</v>
      </c>
      <c r="Y397" s="97" t="e">
        <f t="shared" si="73"/>
        <v>#REF!</v>
      </c>
      <c r="Z397" s="98" t="e">
        <f t="shared" si="79"/>
        <v>#REF!</v>
      </c>
      <c r="AA397" s="98" t="e">
        <f t="shared" si="79"/>
        <v>#REF!</v>
      </c>
      <c r="AC397" s="97" t="e">
        <f t="shared" si="74"/>
        <v>#REF!</v>
      </c>
      <c r="AD397" s="97" t="e">
        <f t="shared" si="75"/>
        <v>#REF!</v>
      </c>
      <c r="AE397" s="98" t="e">
        <f t="shared" si="80"/>
        <v>#REF!</v>
      </c>
      <c r="AF397" s="98" t="e">
        <f t="shared" si="80"/>
        <v>#REF!</v>
      </c>
      <c r="AH397" s="97" t="e">
        <f t="shared" si="76"/>
        <v>#REF!</v>
      </c>
      <c r="AI397" s="97" t="e">
        <f t="shared" si="77"/>
        <v>#REF!</v>
      </c>
      <c r="AJ397" s="98" t="e">
        <f t="shared" si="81"/>
        <v>#REF!</v>
      </c>
      <c r="AK397" s="98" t="e">
        <f t="shared" si="81"/>
        <v>#REF!</v>
      </c>
    </row>
    <row r="398" spans="19:37">
      <c r="S398" s="97">
        <f t="shared" ref="S398:S461" si="82">IF($A398&lt;&gt;"(DC)", $E398*$R$7, $E398)</f>
        <v>0</v>
      </c>
      <c r="T398" s="97">
        <f t="shared" ref="T398:T461" si="83">IF($A398&lt;&gt;"(DC)", $F398*$R$7, $F398)</f>
        <v>0</v>
      </c>
      <c r="U398" s="98">
        <f t="shared" si="78"/>
        <v>0</v>
      </c>
      <c r="V398" s="98">
        <f t="shared" si="78"/>
        <v>0</v>
      </c>
      <c r="X398" s="97" t="e">
        <f t="shared" ref="X398:X461" si="84">IF($A398&lt;&gt;"(DC)", $E398*$W$7, $E398)</f>
        <v>#REF!</v>
      </c>
      <c r="Y398" s="97" t="e">
        <f t="shared" ref="Y398:Y461" si="85">IF($A398&lt;&gt;"(DC)", $F398*$W$7, $F398)</f>
        <v>#REF!</v>
      </c>
      <c r="Z398" s="98" t="e">
        <f t="shared" si="79"/>
        <v>#REF!</v>
      </c>
      <c r="AA398" s="98" t="e">
        <f t="shared" si="79"/>
        <v>#REF!</v>
      </c>
      <c r="AC398" s="97" t="e">
        <f t="shared" ref="AC398:AC461" si="86">IF($A398&lt;&gt;"(DC)", $E398*$AB$7, $E398)</f>
        <v>#REF!</v>
      </c>
      <c r="AD398" s="97" t="e">
        <f t="shared" ref="AD398:AD461" si="87">IF($A398&lt;&gt;"(DC)", $F398*$AB$7, $F398)</f>
        <v>#REF!</v>
      </c>
      <c r="AE398" s="98" t="e">
        <f t="shared" si="80"/>
        <v>#REF!</v>
      </c>
      <c r="AF398" s="98" t="e">
        <f t="shared" si="80"/>
        <v>#REF!</v>
      </c>
      <c r="AH398" s="97" t="e">
        <f t="shared" ref="AH398:AH461" si="88">IF($A398&lt;&gt;"(DC)", $E398*$AG$7, $E398)</f>
        <v>#REF!</v>
      </c>
      <c r="AI398" s="97" t="e">
        <f t="shared" ref="AI398:AI461" si="89">IF($A398&lt;&gt;"(DC)", $F398*$AG$7, $F398)</f>
        <v>#REF!</v>
      </c>
      <c r="AJ398" s="98" t="e">
        <f t="shared" si="81"/>
        <v>#REF!</v>
      </c>
      <c r="AK398" s="98" t="e">
        <f t="shared" si="81"/>
        <v>#REF!</v>
      </c>
    </row>
    <row r="399" spans="19:37">
      <c r="S399" s="97">
        <f t="shared" si="82"/>
        <v>0</v>
      </c>
      <c r="T399" s="97">
        <f t="shared" si="83"/>
        <v>0</v>
      </c>
      <c r="U399" s="98">
        <f t="shared" si="78"/>
        <v>0</v>
      </c>
      <c r="V399" s="98">
        <f t="shared" si="78"/>
        <v>0</v>
      </c>
      <c r="X399" s="97" t="e">
        <f t="shared" si="84"/>
        <v>#REF!</v>
      </c>
      <c r="Y399" s="97" t="e">
        <f t="shared" si="85"/>
        <v>#REF!</v>
      </c>
      <c r="Z399" s="98" t="e">
        <f t="shared" si="79"/>
        <v>#REF!</v>
      </c>
      <c r="AA399" s="98" t="e">
        <f t="shared" si="79"/>
        <v>#REF!</v>
      </c>
      <c r="AC399" s="97" t="e">
        <f t="shared" si="86"/>
        <v>#REF!</v>
      </c>
      <c r="AD399" s="97" t="e">
        <f t="shared" si="87"/>
        <v>#REF!</v>
      </c>
      <c r="AE399" s="98" t="e">
        <f t="shared" si="80"/>
        <v>#REF!</v>
      </c>
      <c r="AF399" s="98" t="e">
        <f t="shared" si="80"/>
        <v>#REF!</v>
      </c>
      <c r="AH399" s="97" t="e">
        <f t="shared" si="88"/>
        <v>#REF!</v>
      </c>
      <c r="AI399" s="97" t="e">
        <f t="shared" si="89"/>
        <v>#REF!</v>
      </c>
      <c r="AJ399" s="98" t="e">
        <f t="shared" si="81"/>
        <v>#REF!</v>
      </c>
      <c r="AK399" s="98" t="e">
        <f t="shared" si="81"/>
        <v>#REF!</v>
      </c>
    </row>
    <row r="400" spans="19:37">
      <c r="S400" s="97">
        <f t="shared" si="82"/>
        <v>0</v>
      </c>
      <c r="T400" s="97">
        <f t="shared" si="83"/>
        <v>0</v>
      </c>
      <c r="U400" s="98">
        <f t="shared" si="78"/>
        <v>0</v>
      </c>
      <c r="V400" s="98">
        <f t="shared" si="78"/>
        <v>0</v>
      </c>
      <c r="X400" s="97" t="e">
        <f t="shared" si="84"/>
        <v>#REF!</v>
      </c>
      <c r="Y400" s="97" t="e">
        <f t="shared" si="85"/>
        <v>#REF!</v>
      </c>
      <c r="Z400" s="98" t="e">
        <f t="shared" si="79"/>
        <v>#REF!</v>
      </c>
      <c r="AA400" s="98" t="e">
        <f t="shared" si="79"/>
        <v>#REF!</v>
      </c>
      <c r="AC400" s="97" t="e">
        <f t="shared" si="86"/>
        <v>#REF!</v>
      </c>
      <c r="AD400" s="97" t="e">
        <f t="shared" si="87"/>
        <v>#REF!</v>
      </c>
      <c r="AE400" s="98" t="e">
        <f t="shared" si="80"/>
        <v>#REF!</v>
      </c>
      <c r="AF400" s="98" t="e">
        <f t="shared" si="80"/>
        <v>#REF!</v>
      </c>
      <c r="AH400" s="97" t="e">
        <f t="shared" si="88"/>
        <v>#REF!</v>
      </c>
      <c r="AI400" s="97" t="e">
        <f t="shared" si="89"/>
        <v>#REF!</v>
      </c>
      <c r="AJ400" s="98" t="e">
        <f t="shared" si="81"/>
        <v>#REF!</v>
      </c>
      <c r="AK400" s="98" t="e">
        <f t="shared" si="81"/>
        <v>#REF!</v>
      </c>
    </row>
    <row r="401" spans="19:37">
      <c r="S401" s="97">
        <f t="shared" si="82"/>
        <v>0</v>
      </c>
      <c r="T401" s="97">
        <f t="shared" si="83"/>
        <v>0</v>
      </c>
      <c r="U401" s="98">
        <f t="shared" si="78"/>
        <v>0</v>
      </c>
      <c r="V401" s="98">
        <f t="shared" si="78"/>
        <v>0</v>
      </c>
      <c r="X401" s="97" t="e">
        <f t="shared" si="84"/>
        <v>#REF!</v>
      </c>
      <c r="Y401" s="97" t="e">
        <f t="shared" si="85"/>
        <v>#REF!</v>
      </c>
      <c r="Z401" s="98" t="e">
        <f t="shared" si="79"/>
        <v>#REF!</v>
      </c>
      <c r="AA401" s="98" t="e">
        <f t="shared" si="79"/>
        <v>#REF!</v>
      </c>
      <c r="AC401" s="97" t="e">
        <f t="shared" si="86"/>
        <v>#REF!</v>
      </c>
      <c r="AD401" s="97" t="e">
        <f t="shared" si="87"/>
        <v>#REF!</v>
      </c>
      <c r="AE401" s="98" t="e">
        <f t="shared" si="80"/>
        <v>#REF!</v>
      </c>
      <c r="AF401" s="98" t="e">
        <f t="shared" si="80"/>
        <v>#REF!</v>
      </c>
      <c r="AH401" s="97" t="e">
        <f t="shared" si="88"/>
        <v>#REF!</v>
      </c>
      <c r="AI401" s="97" t="e">
        <f t="shared" si="89"/>
        <v>#REF!</v>
      </c>
      <c r="AJ401" s="98" t="e">
        <f t="shared" si="81"/>
        <v>#REF!</v>
      </c>
      <c r="AK401" s="98" t="e">
        <f t="shared" si="81"/>
        <v>#REF!</v>
      </c>
    </row>
    <row r="402" spans="19:37">
      <c r="S402" s="97">
        <f t="shared" si="82"/>
        <v>0</v>
      </c>
      <c r="T402" s="97">
        <f t="shared" si="83"/>
        <v>0</v>
      </c>
      <c r="U402" s="98">
        <f t="shared" si="78"/>
        <v>0</v>
      </c>
      <c r="V402" s="98">
        <f t="shared" si="78"/>
        <v>0</v>
      </c>
      <c r="X402" s="97" t="e">
        <f t="shared" si="84"/>
        <v>#REF!</v>
      </c>
      <c r="Y402" s="97" t="e">
        <f t="shared" si="85"/>
        <v>#REF!</v>
      </c>
      <c r="Z402" s="98" t="e">
        <f t="shared" si="79"/>
        <v>#REF!</v>
      </c>
      <c r="AA402" s="98" t="e">
        <f t="shared" si="79"/>
        <v>#REF!</v>
      </c>
      <c r="AC402" s="97" t="e">
        <f t="shared" si="86"/>
        <v>#REF!</v>
      </c>
      <c r="AD402" s="97" t="e">
        <f t="shared" si="87"/>
        <v>#REF!</v>
      </c>
      <c r="AE402" s="98" t="e">
        <f t="shared" si="80"/>
        <v>#REF!</v>
      </c>
      <c r="AF402" s="98" t="e">
        <f t="shared" si="80"/>
        <v>#REF!</v>
      </c>
      <c r="AH402" s="97" t="e">
        <f t="shared" si="88"/>
        <v>#REF!</v>
      </c>
      <c r="AI402" s="97" t="e">
        <f t="shared" si="89"/>
        <v>#REF!</v>
      </c>
      <c r="AJ402" s="98" t="e">
        <f t="shared" si="81"/>
        <v>#REF!</v>
      </c>
      <c r="AK402" s="98" t="e">
        <f t="shared" si="81"/>
        <v>#REF!</v>
      </c>
    </row>
    <row r="403" spans="19:37">
      <c r="S403" s="97">
        <f t="shared" si="82"/>
        <v>0</v>
      </c>
      <c r="T403" s="97">
        <f t="shared" si="83"/>
        <v>0</v>
      </c>
      <c r="U403" s="98">
        <f t="shared" si="78"/>
        <v>0</v>
      </c>
      <c r="V403" s="98">
        <f t="shared" si="78"/>
        <v>0</v>
      </c>
      <c r="X403" s="97" t="e">
        <f t="shared" si="84"/>
        <v>#REF!</v>
      </c>
      <c r="Y403" s="97" t="e">
        <f t="shared" si="85"/>
        <v>#REF!</v>
      </c>
      <c r="Z403" s="98" t="e">
        <f t="shared" si="79"/>
        <v>#REF!</v>
      </c>
      <c r="AA403" s="98" t="e">
        <f t="shared" si="79"/>
        <v>#REF!</v>
      </c>
      <c r="AC403" s="97" t="e">
        <f t="shared" si="86"/>
        <v>#REF!</v>
      </c>
      <c r="AD403" s="97" t="e">
        <f t="shared" si="87"/>
        <v>#REF!</v>
      </c>
      <c r="AE403" s="98" t="e">
        <f t="shared" si="80"/>
        <v>#REF!</v>
      </c>
      <c r="AF403" s="98" t="e">
        <f t="shared" si="80"/>
        <v>#REF!</v>
      </c>
      <c r="AH403" s="97" t="e">
        <f t="shared" si="88"/>
        <v>#REF!</v>
      </c>
      <c r="AI403" s="97" t="e">
        <f t="shared" si="89"/>
        <v>#REF!</v>
      </c>
      <c r="AJ403" s="98" t="e">
        <f t="shared" si="81"/>
        <v>#REF!</v>
      </c>
      <c r="AK403" s="98" t="e">
        <f t="shared" si="81"/>
        <v>#REF!</v>
      </c>
    </row>
    <row r="404" spans="19:37">
      <c r="S404" s="97">
        <f t="shared" si="82"/>
        <v>0</v>
      </c>
      <c r="T404" s="97">
        <f t="shared" si="83"/>
        <v>0</v>
      </c>
      <c r="U404" s="98">
        <f t="shared" si="78"/>
        <v>0</v>
      </c>
      <c r="V404" s="98">
        <f t="shared" si="78"/>
        <v>0</v>
      </c>
      <c r="X404" s="97" t="e">
        <f t="shared" si="84"/>
        <v>#REF!</v>
      </c>
      <c r="Y404" s="97" t="e">
        <f t="shared" si="85"/>
        <v>#REF!</v>
      </c>
      <c r="Z404" s="98" t="e">
        <f t="shared" si="79"/>
        <v>#REF!</v>
      </c>
      <c r="AA404" s="98" t="e">
        <f t="shared" si="79"/>
        <v>#REF!</v>
      </c>
      <c r="AC404" s="97" t="e">
        <f t="shared" si="86"/>
        <v>#REF!</v>
      </c>
      <c r="AD404" s="97" t="e">
        <f t="shared" si="87"/>
        <v>#REF!</v>
      </c>
      <c r="AE404" s="98" t="e">
        <f t="shared" si="80"/>
        <v>#REF!</v>
      </c>
      <c r="AF404" s="98" t="e">
        <f t="shared" si="80"/>
        <v>#REF!</v>
      </c>
      <c r="AH404" s="97" t="e">
        <f t="shared" si="88"/>
        <v>#REF!</v>
      </c>
      <c r="AI404" s="97" t="e">
        <f t="shared" si="89"/>
        <v>#REF!</v>
      </c>
      <c r="AJ404" s="98" t="e">
        <f t="shared" si="81"/>
        <v>#REF!</v>
      </c>
      <c r="AK404" s="98" t="e">
        <f t="shared" si="81"/>
        <v>#REF!</v>
      </c>
    </row>
    <row r="405" spans="19:37">
      <c r="S405" s="97">
        <f t="shared" si="82"/>
        <v>0</v>
      </c>
      <c r="T405" s="97">
        <f t="shared" si="83"/>
        <v>0</v>
      </c>
      <c r="U405" s="98">
        <f t="shared" si="78"/>
        <v>0</v>
      </c>
      <c r="V405" s="98">
        <f t="shared" si="78"/>
        <v>0</v>
      </c>
      <c r="X405" s="97" t="e">
        <f t="shared" si="84"/>
        <v>#REF!</v>
      </c>
      <c r="Y405" s="97" t="e">
        <f t="shared" si="85"/>
        <v>#REF!</v>
      </c>
      <c r="Z405" s="98" t="e">
        <f t="shared" si="79"/>
        <v>#REF!</v>
      </c>
      <c r="AA405" s="98" t="e">
        <f t="shared" si="79"/>
        <v>#REF!</v>
      </c>
      <c r="AC405" s="97" t="e">
        <f t="shared" si="86"/>
        <v>#REF!</v>
      </c>
      <c r="AD405" s="97" t="e">
        <f t="shared" si="87"/>
        <v>#REF!</v>
      </c>
      <c r="AE405" s="98" t="e">
        <f t="shared" si="80"/>
        <v>#REF!</v>
      </c>
      <c r="AF405" s="98" t="e">
        <f t="shared" si="80"/>
        <v>#REF!</v>
      </c>
      <c r="AH405" s="97" t="e">
        <f t="shared" si="88"/>
        <v>#REF!</v>
      </c>
      <c r="AI405" s="97" t="e">
        <f t="shared" si="89"/>
        <v>#REF!</v>
      </c>
      <c r="AJ405" s="98" t="e">
        <f t="shared" si="81"/>
        <v>#REF!</v>
      </c>
      <c r="AK405" s="98" t="e">
        <f t="shared" si="81"/>
        <v>#REF!</v>
      </c>
    </row>
    <row r="406" spans="19:37">
      <c r="S406" s="97">
        <f t="shared" si="82"/>
        <v>0</v>
      </c>
      <c r="T406" s="97">
        <f t="shared" si="83"/>
        <v>0</v>
      </c>
      <c r="U406" s="98">
        <f t="shared" si="78"/>
        <v>0</v>
      </c>
      <c r="V406" s="98">
        <f t="shared" si="78"/>
        <v>0</v>
      </c>
      <c r="X406" s="97" t="e">
        <f t="shared" si="84"/>
        <v>#REF!</v>
      </c>
      <c r="Y406" s="97" t="e">
        <f t="shared" si="85"/>
        <v>#REF!</v>
      </c>
      <c r="Z406" s="98" t="e">
        <f t="shared" si="79"/>
        <v>#REF!</v>
      </c>
      <c r="AA406" s="98" t="e">
        <f t="shared" si="79"/>
        <v>#REF!</v>
      </c>
      <c r="AC406" s="97" t="e">
        <f t="shared" si="86"/>
        <v>#REF!</v>
      </c>
      <c r="AD406" s="97" t="e">
        <f t="shared" si="87"/>
        <v>#REF!</v>
      </c>
      <c r="AE406" s="98" t="e">
        <f t="shared" si="80"/>
        <v>#REF!</v>
      </c>
      <c r="AF406" s="98" t="e">
        <f t="shared" si="80"/>
        <v>#REF!</v>
      </c>
      <c r="AH406" s="97" t="e">
        <f t="shared" si="88"/>
        <v>#REF!</v>
      </c>
      <c r="AI406" s="97" t="e">
        <f t="shared" si="89"/>
        <v>#REF!</v>
      </c>
      <c r="AJ406" s="98" t="e">
        <f t="shared" si="81"/>
        <v>#REF!</v>
      </c>
      <c r="AK406" s="98" t="e">
        <f t="shared" si="81"/>
        <v>#REF!</v>
      </c>
    </row>
    <row r="407" spans="19:37">
      <c r="S407" s="97">
        <f t="shared" si="82"/>
        <v>0</v>
      </c>
      <c r="T407" s="97">
        <f t="shared" si="83"/>
        <v>0</v>
      </c>
      <c r="U407" s="98">
        <f t="shared" si="78"/>
        <v>0</v>
      </c>
      <c r="V407" s="98">
        <f t="shared" si="78"/>
        <v>0</v>
      </c>
      <c r="X407" s="97" t="e">
        <f t="shared" si="84"/>
        <v>#REF!</v>
      </c>
      <c r="Y407" s="97" t="e">
        <f t="shared" si="85"/>
        <v>#REF!</v>
      </c>
      <c r="Z407" s="98" t="e">
        <f t="shared" si="79"/>
        <v>#REF!</v>
      </c>
      <c r="AA407" s="98" t="e">
        <f t="shared" si="79"/>
        <v>#REF!</v>
      </c>
      <c r="AC407" s="97" t="e">
        <f t="shared" si="86"/>
        <v>#REF!</v>
      </c>
      <c r="AD407" s="97" t="e">
        <f t="shared" si="87"/>
        <v>#REF!</v>
      </c>
      <c r="AE407" s="98" t="e">
        <f t="shared" si="80"/>
        <v>#REF!</v>
      </c>
      <c r="AF407" s="98" t="e">
        <f t="shared" si="80"/>
        <v>#REF!</v>
      </c>
      <c r="AH407" s="97" t="e">
        <f t="shared" si="88"/>
        <v>#REF!</v>
      </c>
      <c r="AI407" s="97" t="e">
        <f t="shared" si="89"/>
        <v>#REF!</v>
      </c>
      <c r="AJ407" s="98" t="e">
        <f t="shared" si="81"/>
        <v>#REF!</v>
      </c>
      <c r="AK407" s="98" t="e">
        <f t="shared" si="81"/>
        <v>#REF!</v>
      </c>
    </row>
    <row r="408" spans="19:37">
      <c r="S408" s="97">
        <f t="shared" si="82"/>
        <v>0</v>
      </c>
      <c r="T408" s="97">
        <f t="shared" si="83"/>
        <v>0</v>
      </c>
      <c r="U408" s="98">
        <f t="shared" si="78"/>
        <v>0</v>
      </c>
      <c r="V408" s="98">
        <f t="shared" si="78"/>
        <v>0</v>
      </c>
      <c r="X408" s="97" t="e">
        <f t="shared" si="84"/>
        <v>#REF!</v>
      </c>
      <c r="Y408" s="97" t="e">
        <f t="shared" si="85"/>
        <v>#REF!</v>
      </c>
      <c r="Z408" s="98" t="e">
        <f t="shared" si="79"/>
        <v>#REF!</v>
      </c>
      <c r="AA408" s="98" t="e">
        <f t="shared" si="79"/>
        <v>#REF!</v>
      </c>
      <c r="AC408" s="97" t="e">
        <f t="shared" si="86"/>
        <v>#REF!</v>
      </c>
      <c r="AD408" s="97" t="e">
        <f t="shared" si="87"/>
        <v>#REF!</v>
      </c>
      <c r="AE408" s="98" t="e">
        <f t="shared" si="80"/>
        <v>#REF!</v>
      </c>
      <c r="AF408" s="98" t="e">
        <f t="shared" si="80"/>
        <v>#REF!</v>
      </c>
      <c r="AH408" s="97" t="e">
        <f t="shared" si="88"/>
        <v>#REF!</v>
      </c>
      <c r="AI408" s="97" t="e">
        <f t="shared" si="89"/>
        <v>#REF!</v>
      </c>
      <c r="AJ408" s="98" t="e">
        <f t="shared" si="81"/>
        <v>#REF!</v>
      </c>
      <c r="AK408" s="98" t="e">
        <f t="shared" si="81"/>
        <v>#REF!</v>
      </c>
    </row>
    <row r="409" spans="19:37">
      <c r="S409" s="97">
        <f t="shared" si="82"/>
        <v>0</v>
      </c>
      <c r="T409" s="97">
        <f t="shared" si="83"/>
        <v>0</v>
      </c>
      <c r="U409" s="98">
        <f t="shared" si="78"/>
        <v>0</v>
      </c>
      <c r="V409" s="98">
        <f t="shared" si="78"/>
        <v>0</v>
      </c>
      <c r="X409" s="97" t="e">
        <f t="shared" si="84"/>
        <v>#REF!</v>
      </c>
      <c r="Y409" s="97" t="e">
        <f t="shared" si="85"/>
        <v>#REF!</v>
      </c>
      <c r="Z409" s="98" t="e">
        <f t="shared" si="79"/>
        <v>#REF!</v>
      </c>
      <c r="AA409" s="98" t="e">
        <f t="shared" si="79"/>
        <v>#REF!</v>
      </c>
      <c r="AC409" s="97" t="e">
        <f t="shared" si="86"/>
        <v>#REF!</v>
      </c>
      <c r="AD409" s="97" t="e">
        <f t="shared" si="87"/>
        <v>#REF!</v>
      </c>
      <c r="AE409" s="98" t="e">
        <f t="shared" si="80"/>
        <v>#REF!</v>
      </c>
      <c r="AF409" s="98" t="e">
        <f t="shared" si="80"/>
        <v>#REF!</v>
      </c>
      <c r="AH409" s="97" t="e">
        <f t="shared" si="88"/>
        <v>#REF!</v>
      </c>
      <c r="AI409" s="97" t="e">
        <f t="shared" si="89"/>
        <v>#REF!</v>
      </c>
      <c r="AJ409" s="98" t="e">
        <f t="shared" si="81"/>
        <v>#REF!</v>
      </c>
      <c r="AK409" s="98" t="e">
        <f t="shared" si="81"/>
        <v>#REF!</v>
      </c>
    </row>
    <row r="410" spans="19:37">
      <c r="S410" s="97">
        <f t="shared" si="82"/>
        <v>0</v>
      </c>
      <c r="T410" s="97">
        <f t="shared" si="83"/>
        <v>0</v>
      </c>
      <c r="U410" s="98">
        <f t="shared" si="78"/>
        <v>0</v>
      </c>
      <c r="V410" s="98">
        <f t="shared" si="78"/>
        <v>0</v>
      </c>
      <c r="X410" s="97" t="e">
        <f t="shared" si="84"/>
        <v>#REF!</v>
      </c>
      <c r="Y410" s="97" t="e">
        <f t="shared" si="85"/>
        <v>#REF!</v>
      </c>
      <c r="Z410" s="98" t="e">
        <f t="shared" si="79"/>
        <v>#REF!</v>
      </c>
      <c r="AA410" s="98" t="e">
        <f t="shared" si="79"/>
        <v>#REF!</v>
      </c>
      <c r="AC410" s="97" t="e">
        <f t="shared" si="86"/>
        <v>#REF!</v>
      </c>
      <c r="AD410" s="97" t="e">
        <f t="shared" si="87"/>
        <v>#REF!</v>
      </c>
      <c r="AE410" s="98" t="e">
        <f t="shared" si="80"/>
        <v>#REF!</v>
      </c>
      <c r="AF410" s="98" t="e">
        <f t="shared" si="80"/>
        <v>#REF!</v>
      </c>
      <c r="AH410" s="97" t="e">
        <f t="shared" si="88"/>
        <v>#REF!</v>
      </c>
      <c r="AI410" s="97" t="e">
        <f t="shared" si="89"/>
        <v>#REF!</v>
      </c>
      <c r="AJ410" s="98" t="e">
        <f t="shared" si="81"/>
        <v>#REF!</v>
      </c>
      <c r="AK410" s="98" t="e">
        <f t="shared" si="81"/>
        <v>#REF!</v>
      </c>
    </row>
    <row r="411" spans="19:37">
      <c r="S411" s="97">
        <f t="shared" si="82"/>
        <v>0</v>
      </c>
      <c r="T411" s="97">
        <f t="shared" si="83"/>
        <v>0</v>
      </c>
      <c r="U411" s="98">
        <f t="shared" si="78"/>
        <v>0</v>
      </c>
      <c r="V411" s="98">
        <f t="shared" si="78"/>
        <v>0</v>
      </c>
      <c r="X411" s="97" t="e">
        <f t="shared" si="84"/>
        <v>#REF!</v>
      </c>
      <c r="Y411" s="97" t="e">
        <f t="shared" si="85"/>
        <v>#REF!</v>
      </c>
      <c r="Z411" s="98" t="e">
        <f t="shared" si="79"/>
        <v>#REF!</v>
      </c>
      <c r="AA411" s="98" t="e">
        <f t="shared" si="79"/>
        <v>#REF!</v>
      </c>
      <c r="AC411" s="97" t="e">
        <f t="shared" si="86"/>
        <v>#REF!</v>
      </c>
      <c r="AD411" s="97" t="e">
        <f t="shared" si="87"/>
        <v>#REF!</v>
      </c>
      <c r="AE411" s="98" t="e">
        <f t="shared" si="80"/>
        <v>#REF!</v>
      </c>
      <c r="AF411" s="98" t="e">
        <f t="shared" si="80"/>
        <v>#REF!</v>
      </c>
      <c r="AH411" s="97" t="e">
        <f t="shared" si="88"/>
        <v>#REF!</v>
      </c>
      <c r="AI411" s="97" t="e">
        <f t="shared" si="89"/>
        <v>#REF!</v>
      </c>
      <c r="AJ411" s="98" t="e">
        <f t="shared" si="81"/>
        <v>#REF!</v>
      </c>
      <c r="AK411" s="98" t="e">
        <f t="shared" si="81"/>
        <v>#REF!</v>
      </c>
    </row>
    <row r="412" spans="19:37">
      <c r="S412" s="97">
        <f t="shared" si="82"/>
        <v>0</v>
      </c>
      <c r="T412" s="97">
        <f t="shared" si="83"/>
        <v>0</v>
      </c>
      <c r="U412" s="98">
        <f t="shared" si="78"/>
        <v>0</v>
      </c>
      <c r="V412" s="98">
        <f t="shared" si="78"/>
        <v>0</v>
      </c>
      <c r="X412" s="97" t="e">
        <f t="shared" si="84"/>
        <v>#REF!</v>
      </c>
      <c r="Y412" s="97" t="e">
        <f t="shared" si="85"/>
        <v>#REF!</v>
      </c>
      <c r="Z412" s="98" t="e">
        <f t="shared" si="79"/>
        <v>#REF!</v>
      </c>
      <c r="AA412" s="98" t="e">
        <f t="shared" si="79"/>
        <v>#REF!</v>
      </c>
      <c r="AC412" s="97" t="e">
        <f t="shared" si="86"/>
        <v>#REF!</v>
      </c>
      <c r="AD412" s="97" t="e">
        <f t="shared" si="87"/>
        <v>#REF!</v>
      </c>
      <c r="AE412" s="98" t="e">
        <f t="shared" si="80"/>
        <v>#REF!</v>
      </c>
      <c r="AF412" s="98" t="e">
        <f t="shared" si="80"/>
        <v>#REF!</v>
      </c>
      <c r="AH412" s="97" t="e">
        <f t="shared" si="88"/>
        <v>#REF!</v>
      </c>
      <c r="AI412" s="97" t="e">
        <f t="shared" si="89"/>
        <v>#REF!</v>
      </c>
      <c r="AJ412" s="98" t="e">
        <f t="shared" si="81"/>
        <v>#REF!</v>
      </c>
      <c r="AK412" s="98" t="e">
        <f t="shared" si="81"/>
        <v>#REF!</v>
      </c>
    </row>
    <row r="413" spans="19:37">
      <c r="S413" s="97">
        <f t="shared" si="82"/>
        <v>0</v>
      </c>
      <c r="T413" s="97">
        <f t="shared" si="83"/>
        <v>0</v>
      </c>
      <c r="U413" s="98">
        <f t="shared" si="78"/>
        <v>0</v>
      </c>
      <c r="V413" s="98">
        <f t="shared" si="78"/>
        <v>0</v>
      </c>
      <c r="X413" s="97" t="e">
        <f t="shared" si="84"/>
        <v>#REF!</v>
      </c>
      <c r="Y413" s="97" t="e">
        <f t="shared" si="85"/>
        <v>#REF!</v>
      </c>
      <c r="Z413" s="98" t="e">
        <f t="shared" si="79"/>
        <v>#REF!</v>
      </c>
      <c r="AA413" s="98" t="e">
        <f t="shared" si="79"/>
        <v>#REF!</v>
      </c>
      <c r="AC413" s="97" t="e">
        <f t="shared" si="86"/>
        <v>#REF!</v>
      </c>
      <c r="AD413" s="97" t="e">
        <f t="shared" si="87"/>
        <v>#REF!</v>
      </c>
      <c r="AE413" s="98" t="e">
        <f t="shared" si="80"/>
        <v>#REF!</v>
      </c>
      <c r="AF413" s="98" t="e">
        <f t="shared" si="80"/>
        <v>#REF!</v>
      </c>
      <c r="AH413" s="97" t="e">
        <f t="shared" si="88"/>
        <v>#REF!</v>
      </c>
      <c r="AI413" s="97" t="e">
        <f t="shared" si="89"/>
        <v>#REF!</v>
      </c>
      <c r="AJ413" s="98" t="e">
        <f t="shared" si="81"/>
        <v>#REF!</v>
      </c>
      <c r="AK413" s="98" t="e">
        <f t="shared" si="81"/>
        <v>#REF!</v>
      </c>
    </row>
    <row r="414" spans="19:37">
      <c r="S414" s="97">
        <f t="shared" si="82"/>
        <v>0</v>
      </c>
      <c r="T414" s="97">
        <f t="shared" si="83"/>
        <v>0</v>
      </c>
      <c r="U414" s="98">
        <f t="shared" si="78"/>
        <v>0</v>
      </c>
      <c r="V414" s="98">
        <f t="shared" si="78"/>
        <v>0</v>
      </c>
      <c r="X414" s="97" t="e">
        <f t="shared" si="84"/>
        <v>#REF!</v>
      </c>
      <c r="Y414" s="97" t="e">
        <f t="shared" si="85"/>
        <v>#REF!</v>
      </c>
      <c r="Z414" s="98" t="e">
        <f t="shared" si="79"/>
        <v>#REF!</v>
      </c>
      <c r="AA414" s="98" t="e">
        <f t="shared" si="79"/>
        <v>#REF!</v>
      </c>
      <c r="AC414" s="97" t="e">
        <f t="shared" si="86"/>
        <v>#REF!</v>
      </c>
      <c r="AD414" s="97" t="e">
        <f t="shared" si="87"/>
        <v>#REF!</v>
      </c>
      <c r="AE414" s="98" t="e">
        <f t="shared" si="80"/>
        <v>#REF!</v>
      </c>
      <c r="AF414" s="98" t="e">
        <f t="shared" si="80"/>
        <v>#REF!</v>
      </c>
      <c r="AH414" s="97" t="e">
        <f t="shared" si="88"/>
        <v>#REF!</v>
      </c>
      <c r="AI414" s="97" t="e">
        <f t="shared" si="89"/>
        <v>#REF!</v>
      </c>
      <c r="AJ414" s="98" t="e">
        <f t="shared" si="81"/>
        <v>#REF!</v>
      </c>
      <c r="AK414" s="98" t="e">
        <f t="shared" si="81"/>
        <v>#REF!</v>
      </c>
    </row>
    <row r="415" spans="19:37">
      <c r="S415" s="97">
        <f t="shared" si="82"/>
        <v>0</v>
      </c>
      <c r="T415" s="97">
        <f t="shared" si="83"/>
        <v>0</v>
      </c>
      <c r="U415" s="98">
        <f t="shared" si="78"/>
        <v>0</v>
      </c>
      <c r="V415" s="98">
        <f t="shared" si="78"/>
        <v>0</v>
      </c>
      <c r="X415" s="97" t="e">
        <f t="shared" si="84"/>
        <v>#REF!</v>
      </c>
      <c r="Y415" s="97" t="e">
        <f t="shared" si="85"/>
        <v>#REF!</v>
      </c>
      <c r="Z415" s="98" t="e">
        <f t="shared" si="79"/>
        <v>#REF!</v>
      </c>
      <c r="AA415" s="98" t="e">
        <f t="shared" si="79"/>
        <v>#REF!</v>
      </c>
      <c r="AC415" s="97" t="e">
        <f t="shared" si="86"/>
        <v>#REF!</v>
      </c>
      <c r="AD415" s="97" t="e">
        <f t="shared" si="87"/>
        <v>#REF!</v>
      </c>
      <c r="AE415" s="98" t="e">
        <f t="shared" si="80"/>
        <v>#REF!</v>
      </c>
      <c r="AF415" s="98" t="e">
        <f t="shared" si="80"/>
        <v>#REF!</v>
      </c>
      <c r="AH415" s="97" t="e">
        <f t="shared" si="88"/>
        <v>#REF!</v>
      </c>
      <c r="AI415" s="97" t="e">
        <f t="shared" si="89"/>
        <v>#REF!</v>
      </c>
      <c r="AJ415" s="98" t="e">
        <f t="shared" si="81"/>
        <v>#REF!</v>
      </c>
      <c r="AK415" s="98" t="e">
        <f t="shared" si="81"/>
        <v>#REF!</v>
      </c>
    </row>
    <row r="416" spans="19:37">
      <c r="S416" s="97">
        <f t="shared" si="82"/>
        <v>0</v>
      </c>
      <c r="T416" s="97">
        <f t="shared" si="83"/>
        <v>0</v>
      </c>
      <c r="U416" s="98">
        <f t="shared" si="78"/>
        <v>0</v>
      </c>
      <c r="V416" s="98">
        <f t="shared" si="78"/>
        <v>0</v>
      </c>
      <c r="X416" s="97" t="e">
        <f t="shared" si="84"/>
        <v>#REF!</v>
      </c>
      <c r="Y416" s="97" t="e">
        <f t="shared" si="85"/>
        <v>#REF!</v>
      </c>
      <c r="Z416" s="98" t="e">
        <f t="shared" si="79"/>
        <v>#REF!</v>
      </c>
      <c r="AA416" s="98" t="e">
        <f t="shared" si="79"/>
        <v>#REF!</v>
      </c>
      <c r="AC416" s="97" t="e">
        <f t="shared" si="86"/>
        <v>#REF!</v>
      </c>
      <c r="AD416" s="97" t="e">
        <f t="shared" si="87"/>
        <v>#REF!</v>
      </c>
      <c r="AE416" s="98" t="e">
        <f t="shared" si="80"/>
        <v>#REF!</v>
      </c>
      <c r="AF416" s="98" t="e">
        <f t="shared" si="80"/>
        <v>#REF!</v>
      </c>
      <c r="AH416" s="97" t="e">
        <f t="shared" si="88"/>
        <v>#REF!</v>
      </c>
      <c r="AI416" s="97" t="e">
        <f t="shared" si="89"/>
        <v>#REF!</v>
      </c>
      <c r="AJ416" s="98" t="e">
        <f t="shared" si="81"/>
        <v>#REF!</v>
      </c>
      <c r="AK416" s="98" t="e">
        <f t="shared" si="81"/>
        <v>#REF!</v>
      </c>
    </row>
    <row r="417" spans="19:37">
      <c r="S417" s="97">
        <f t="shared" si="82"/>
        <v>0</v>
      </c>
      <c r="T417" s="97">
        <f t="shared" si="83"/>
        <v>0</v>
      </c>
      <c r="U417" s="98">
        <f t="shared" si="78"/>
        <v>0</v>
      </c>
      <c r="V417" s="98">
        <f t="shared" si="78"/>
        <v>0</v>
      </c>
      <c r="X417" s="97" t="e">
        <f t="shared" si="84"/>
        <v>#REF!</v>
      </c>
      <c r="Y417" s="97" t="e">
        <f t="shared" si="85"/>
        <v>#REF!</v>
      </c>
      <c r="Z417" s="98" t="e">
        <f t="shared" si="79"/>
        <v>#REF!</v>
      </c>
      <c r="AA417" s="98" t="e">
        <f t="shared" si="79"/>
        <v>#REF!</v>
      </c>
      <c r="AC417" s="97" t="e">
        <f t="shared" si="86"/>
        <v>#REF!</v>
      </c>
      <c r="AD417" s="97" t="e">
        <f t="shared" si="87"/>
        <v>#REF!</v>
      </c>
      <c r="AE417" s="98" t="e">
        <f t="shared" si="80"/>
        <v>#REF!</v>
      </c>
      <c r="AF417" s="98" t="e">
        <f t="shared" si="80"/>
        <v>#REF!</v>
      </c>
      <c r="AH417" s="97" t="e">
        <f t="shared" si="88"/>
        <v>#REF!</v>
      </c>
      <c r="AI417" s="97" t="e">
        <f t="shared" si="89"/>
        <v>#REF!</v>
      </c>
      <c r="AJ417" s="98" t="e">
        <f t="shared" si="81"/>
        <v>#REF!</v>
      </c>
      <c r="AK417" s="98" t="e">
        <f t="shared" si="81"/>
        <v>#REF!</v>
      </c>
    </row>
    <row r="418" spans="19:37">
      <c r="S418" s="97">
        <f t="shared" si="82"/>
        <v>0</v>
      </c>
      <c r="T418" s="97">
        <f t="shared" si="83"/>
        <v>0</v>
      </c>
      <c r="U418" s="98">
        <f t="shared" si="78"/>
        <v>0</v>
      </c>
      <c r="V418" s="98">
        <f t="shared" si="78"/>
        <v>0</v>
      </c>
      <c r="X418" s="97" t="e">
        <f t="shared" si="84"/>
        <v>#REF!</v>
      </c>
      <c r="Y418" s="97" t="e">
        <f t="shared" si="85"/>
        <v>#REF!</v>
      </c>
      <c r="Z418" s="98" t="e">
        <f t="shared" si="79"/>
        <v>#REF!</v>
      </c>
      <c r="AA418" s="98" t="e">
        <f t="shared" si="79"/>
        <v>#REF!</v>
      </c>
      <c r="AC418" s="97" t="e">
        <f t="shared" si="86"/>
        <v>#REF!</v>
      </c>
      <c r="AD418" s="97" t="e">
        <f t="shared" si="87"/>
        <v>#REF!</v>
      </c>
      <c r="AE418" s="98" t="e">
        <f t="shared" si="80"/>
        <v>#REF!</v>
      </c>
      <c r="AF418" s="98" t="e">
        <f t="shared" si="80"/>
        <v>#REF!</v>
      </c>
      <c r="AH418" s="97" t="e">
        <f t="shared" si="88"/>
        <v>#REF!</v>
      </c>
      <c r="AI418" s="97" t="e">
        <f t="shared" si="89"/>
        <v>#REF!</v>
      </c>
      <c r="AJ418" s="98" t="e">
        <f t="shared" si="81"/>
        <v>#REF!</v>
      </c>
      <c r="AK418" s="98" t="e">
        <f t="shared" si="81"/>
        <v>#REF!</v>
      </c>
    </row>
    <row r="419" spans="19:37">
      <c r="S419" s="97">
        <f t="shared" si="82"/>
        <v>0</v>
      </c>
      <c r="T419" s="97">
        <f t="shared" si="83"/>
        <v>0</v>
      </c>
      <c r="U419" s="98">
        <f t="shared" si="78"/>
        <v>0</v>
      </c>
      <c r="V419" s="98">
        <f t="shared" si="78"/>
        <v>0</v>
      </c>
      <c r="X419" s="97" t="e">
        <f t="shared" si="84"/>
        <v>#REF!</v>
      </c>
      <c r="Y419" s="97" t="e">
        <f t="shared" si="85"/>
        <v>#REF!</v>
      </c>
      <c r="Z419" s="98" t="e">
        <f t="shared" si="79"/>
        <v>#REF!</v>
      </c>
      <c r="AA419" s="98" t="e">
        <f t="shared" si="79"/>
        <v>#REF!</v>
      </c>
      <c r="AC419" s="97" t="e">
        <f t="shared" si="86"/>
        <v>#REF!</v>
      </c>
      <c r="AD419" s="97" t="e">
        <f t="shared" si="87"/>
        <v>#REF!</v>
      </c>
      <c r="AE419" s="98" t="e">
        <f t="shared" si="80"/>
        <v>#REF!</v>
      </c>
      <c r="AF419" s="98" t="e">
        <f t="shared" si="80"/>
        <v>#REF!</v>
      </c>
      <c r="AH419" s="97" t="e">
        <f t="shared" si="88"/>
        <v>#REF!</v>
      </c>
      <c r="AI419" s="97" t="e">
        <f t="shared" si="89"/>
        <v>#REF!</v>
      </c>
      <c r="AJ419" s="98" t="e">
        <f t="shared" si="81"/>
        <v>#REF!</v>
      </c>
      <c r="AK419" s="98" t="e">
        <f t="shared" si="81"/>
        <v>#REF!</v>
      </c>
    </row>
    <row r="420" spans="19:37">
      <c r="S420" s="97">
        <f t="shared" si="82"/>
        <v>0</v>
      </c>
      <c r="T420" s="97">
        <f t="shared" si="83"/>
        <v>0</v>
      </c>
      <c r="U420" s="98">
        <f t="shared" si="78"/>
        <v>0</v>
      </c>
      <c r="V420" s="98">
        <f t="shared" si="78"/>
        <v>0</v>
      </c>
      <c r="X420" s="97" t="e">
        <f t="shared" si="84"/>
        <v>#REF!</v>
      </c>
      <c r="Y420" s="97" t="e">
        <f t="shared" si="85"/>
        <v>#REF!</v>
      </c>
      <c r="Z420" s="98" t="e">
        <f t="shared" si="79"/>
        <v>#REF!</v>
      </c>
      <c r="AA420" s="98" t="e">
        <f t="shared" si="79"/>
        <v>#REF!</v>
      </c>
      <c r="AC420" s="97" t="e">
        <f t="shared" si="86"/>
        <v>#REF!</v>
      </c>
      <c r="AD420" s="97" t="e">
        <f t="shared" si="87"/>
        <v>#REF!</v>
      </c>
      <c r="AE420" s="98" t="e">
        <f t="shared" si="80"/>
        <v>#REF!</v>
      </c>
      <c r="AF420" s="98" t="e">
        <f t="shared" si="80"/>
        <v>#REF!</v>
      </c>
      <c r="AH420" s="97" t="e">
        <f t="shared" si="88"/>
        <v>#REF!</v>
      </c>
      <c r="AI420" s="97" t="e">
        <f t="shared" si="89"/>
        <v>#REF!</v>
      </c>
      <c r="AJ420" s="98" t="e">
        <f t="shared" si="81"/>
        <v>#REF!</v>
      </c>
      <c r="AK420" s="98" t="e">
        <f t="shared" si="81"/>
        <v>#REF!</v>
      </c>
    </row>
    <row r="421" spans="19:37">
      <c r="S421" s="97">
        <f t="shared" si="82"/>
        <v>0</v>
      </c>
      <c r="T421" s="97">
        <f t="shared" si="83"/>
        <v>0</v>
      </c>
      <c r="U421" s="98">
        <f t="shared" si="78"/>
        <v>0</v>
      </c>
      <c r="V421" s="98">
        <f t="shared" si="78"/>
        <v>0</v>
      </c>
      <c r="X421" s="97" t="e">
        <f t="shared" si="84"/>
        <v>#REF!</v>
      </c>
      <c r="Y421" s="97" t="e">
        <f t="shared" si="85"/>
        <v>#REF!</v>
      </c>
      <c r="Z421" s="98" t="e">
        <f t="shared" si="79"/>
        <v>#REF!</v>
      </c>
      <c r="AA421" s="98" t="e">
        <f t="shared" si="79"/>
        <v>#REF!</v>
      </c>
      <c r="AC421" s="97" t="e">
        <f t="shared" si="86"/>
        <v>#REF!</v>
      </c>
      <c r="AD421" s="97" t="e">
        <f t="shared" si="87"/>
        <v>#REF!</v>
      </c>
      <c r="AE421" s="98" t="e">
        <f t="shared" si="80"/>
        <v>#REF!</v>
      </c>
      <c r="AF421" s="98" t="e">
        <f t="shared" si="80"/>
        <v>#REF!</v>
      </c>
      <c r="AH421" s="97" t="e">
        <f t="shared" si="88"/>
        <v>#REF!</v>
      </c>
      <c r="AI421" s="97" t="e">
        <f t="shared" si="89"/>
        <v>#REF!</v>
      </c>
      <c r="AJ421" s="98" t="e">
        <f t="shared" si="81"/>
        <v>#REF!</v>
      </c>
      <c r="AK421" s="98" t="e">
        <f t="shared" si="81"/>
        <v>#REF!</v>
      </c>
    </row>
    <row r="422" spans="19:37">
      <c r="S422" s="97">
        <f t="shared" si="82"/>
        <v>0</v>
      </c>
      <c r="T422" s="97">
        <f t="shared" si="83"/>
        <v>0</v>
      </c>
      <c r="U422" s="98">
        <f t="shared" si="78"/>
        <v>0</v>
      </c>
      <c r="V422" s="98">
        <f t="shared" si="78"/>
        <v>0</v>
      </c>
      <c r="X422" s="97" t="e">
        <f t="shared" si="84"/>
        <v>#REF!</v>
      </c>
      <c r="Y422" s="97" t="e">
        <f t="shared" si="85"/>
        <v>#REF!</v>
      </c>
      <c r="Z422" s="98" t="e">
        <f t="shared" si="79"/>
        <v>#REF!</v>
      </c>
      <c r="AA422" s="98" t="e">
        <f t="shared" si="79"/>
        <v>#REF!</v>
      </c>
      <c r="AC422" s="97" t="e">
        <f t="shared" si="86"/>
        <v>#REF!</v>
      </c>
      <c r="AD422" s="97" t="e">
        <f t="shared" si="87"/>
        <v>#REF!</v>
      </c>
      <c r="AE422" s="98" t="e">
        <f t="shared" si="80"/>
        <v>#REF!</v>
      </c>
      <c r="AF422" s="98" t="e">
        <f t="shared" si="80"/>
        <v>#REF!</v>
      </c>
      <c r="AH422" s="97" t="e">
        <f t="shared" si="88"/>
        <v>#REF!</v>
      </c>
      <c r="AI422" s="97" t="e">
        <f t="shared" si="89"/>
        <v>#REF!</v>
      </c>
      <c r="AJ422" s="98" t="e">
        <f t="shared" si="81"/>
        <v>#REF!</v>
      </c>
      <c r="AK422" s="98" t="e">
        <f t="shared" si="81"/>
        <v>#REF!</v>
      </c>
    </row>
    <row r="423" spans="19:37">
      <c r="S423" s="97">
        <f t="shared" si="82"/>
        <v>0</v>
      </c>
      <c r="T423" s="97">
        <f t="shared" si="83"/>
        <v>0</v>
      </c>
      <c r="U423" s="98">
        <f t="shared" si="78"/>
        <v>0</v>
      </c>
      <c r="V423" s="98">
        <f t="shared" si="78"/>
        <v>0</v>
      </c>
      <c r="X423" s="97" t="e">
        <f t="shared" si="84"/>
        <v>#REF!</v>
      </c>
      <c r="Y423" s="97" t="e">
        <f t="shared" si="85"/>
        <v>#REF!</v>
      </c>
      <c r="Z423" s="98" t="e">
        <f t="shared" si="79"/>
        <v>#REF!</v>
      </c>
      <c r="AA423" s="98" t="e">
        <f t="shared" si="79"/>
        <v>#REF!</v>
      </c>
      <c r="AC423" s="97" t="e">
        <f t="shared" si="86"/>
        <v>#REF!</v>
      </c>
      <c r="AD423" s="97" t="e">
        <f t="shared" si="87"/>
        <v>#REF!</v>
      </c>
      <c r="AE423" s="98" t="e">
        <f t="shared" si="80"/>
        <v>#REF!</v>
      </c>
      <c r="AF423" s="98" t="e">
        <f t="shared" si="80"/>
        <v>#REF!</v>
      </c>
      <c r="AH423" s="97" t="e">
        <f t="shared" si="88"/>
        <v>#REF!</v>
      </c>
      <c r="AI423" s="97" t="e">
        <f t="shared" si="89"/>
        <v>#REF!</v>
      </c>
      <c r="AJ423" s="98" t="e">
        <f t="shared" si="81"/>
        <v>#REF!</v>
      </c>
      <c r="AK423" s="98" t="e">
        <f t="shared" si="81"/>
        <v>#REF!</v>
      </c>
    </row>
    <row r="424" spans="19:37">
      <c r="S424" s="97">
        <f t="shared" si="82"/>
        <v>0</v>
      </c>
      <c r="T424" s="97">
        <f t="shared" si="83"/>
        <v>0</v>
      </c>
      <c r="U424" s="98">
        <f t="shared" si="78"/>
        <v>0</v>
      </c>
      <c r="V424" s="98">
        <f t="shared" si="78"/>
        <v>0</v>
      </c>
      <c r="X424" s="97" t="e">
        <f t="shared" si="84"/>
        <v>#REF!</v>
      </c>
      <c r="Y424" s="97" t="e">
        <f t="shared" si="85"/>
        <v>#REF!</v>
      </c>
      <c r="Z424" s="98" t="e">
        <f t="shared" si="79"/>
        <v>#REF!</v>
      </c>
      <c r="AA424" s="98" t="e">
        <f t="shared" si="79"/>
        <v>#REF!</v>
      </c>
      <c r="AC424" s="97" t="e">
        <f t="shared" si="86"/>
        <v>#REF!</v>
      </c>
      <c r="AD424" s="97" t="e">
        <f t="shared" si="87"/>
        <v>#REF!</v>
      </c>
      <c r="AE424" s="98" t="e">
        <f t="shared" si="80"/>
        <v>#REF!</v>
      </c>
      <c r="AF424" s="98" t="e">
        <f t="shared" si="80"/>
        <v>#REF!</v>
      </c>
      <c r="AH424" s="97" t="e">
        <f t="shared" si="88"/>
        <v>#REF!</v>
      </c>
      <c r="AI424" s="97" t="e">
        <f t="shared" si="89"/>
        <v>#REF!</v>
      </c>
      <c r="AJ424" s="98" t="e">
        <f t="shared" si="81"/>
        <v>#REF!</v>
      </c>
      <c r="AK424" s="98" t="e">
        <f t="shared" si="81"/>
        <v>#REF!</v>
      </c>
    </row>
    <row r="425" spans="19:37">
      <c r="S425" s="97">
        <f t="shared" si="82"/>
        <v>0</v>
      </c>
      <c r="T425" s="97">
        <f t="shared" si="83"/>
        <v>0</v>
      </c>
      <c r="U425" s="98">
        <f t="shared" si="78"/>
        <v>0</v>
      </c>
      <c r="V425" s="98">
        <f t="shared" si="78"/>
        <v>0</v>
      </c>
      <c r="X425" s="97" t="e">
        <f t="shared" si="84"/>
        <v>#REF!</v>
      </c>
      <c r="Y425" s="97" t="e">
        <f t="shared" si="85"/>
        <v>#REF!</v>
      </c>
      <c r="Z425" s="98" t="e">
        <f t="shared" si="79"/>
        <v>#REF!</v>
      </c>
      <c r="AA425" s="98" t="e">
        <f t="shared" si="79"/>
        <v>#REF!</v>
      </c>
      <c r="AC425" s="97" t="e">
        <f t="shared" si="86"/>
        <v>#REF!</v>
      </c>
      <c r="AD425" s="97" t="e">
        <f t="shared" si="87"/>
        <v>#REF!</v>
      </c>
      <c r="AE425" s="98" t="e">
        <f t="shared" si="80"/>
        <v>#REF!</v>
      </c>
      <c r="AF425" s="98" t="e">
        <f t="shared" si="80"/>
        <v>#REF!</v>
      </c>
      <c r="AH425" s="97" t="e">
        <f t="shared" si="88"/>
        <v>#REF!</v>
      </c>
      <c r="AI425" s="97" t="e">
        <f t="shared" si="89"/>
        <v>#REF!</v>
      </c>
      <c r="AJ425" s="98" t="e">
        <f t="shared" si="81"/>
        <v>#REF!</v>
      </c>
      <c r="AK425" s="98" t="e">
        <f t="shared" si="81"/>
        <v>#REF!</v>
      </c>
    </row>
    <row r="426" spans="19:37">
      <c r="S426" s="97">
        <f t="shared" si="82"/>
        <v>0</v>
      </c>
      <c r="T426" s="97">
        <f t="shared" si="83"/>
        <v>0</v>
      </c>
      <c r="U426" s="98">
        <f t="shared" ref="U426:V489" si="90">IF(AND($D426="",S426=""),"",IF($D426="",S426,$D426+S426))</f>
        <v>0</v>
      </c>
      <c r="V426" s="98">
        <f t="shared" si="90"/>
        <v>0</v>
      </c>
      <c r="X426" s="97" t="e">
        <f t="shared" si="84"/>
        <v>#REF!</v>
      </c>
      <c r="Y426" s="97" t="e">
        <f t="shared" si="85"/>
        <v>#REF!</v>
      </c>
      <c r="Z426" s="98" t="e">
        <f t="shared" ref="Z426:AA489" si="91">IF(AND($D426="",X426=""),"",IF($D426="",X426,$D426+X426))</f>
        <v>#REF!</v>
      </c>
      <c r="AA426" s="98" t="e">
        <f t="shared" si="91"/>
        <v>#REF!</v>
      </c>
      <c r="AC426" s="97" t="e">
        <f t="shared" si="86"/>
        <v>#REF!</v>
      </c>
      <c r="AD426" s="97" t="e">
        <f t="shared" si="87"/>
        <v>#REF!</v>
      </c>
      <c r="AE426" s="98" t="e">
        <f t="shared" ref="AE426:AF489" si="92">IF(AND($D426="",AC426=""),"",IF($D426="",AC426,$D426+AC426))</f>
        <v>#REF!</v>
      </c>
      <c r="AF426" s="98" t="e">
        <f t="shared" si="92"/>
        <v>#REF!</v>
      </c>
      <c r="AH426" s="97" t="e">
        <f t="shared" si="88"/>
        <v>#REF!</v>
      </c>
      <c r="AI426" s="97" t="e">
        <f t="shared" si="89"/>
        <v>#REF!</v>
      </c>
      <c r="AJ426" s="98" t="e">
        <f t="shared" ref="AJ426:AK489" si="93">IF(AND($D426="",AH426=""),"",IF($D426="",AH426,$D426+AH426))</f>
        <v>#REF!</v>
      </c>
      <c r="AK426" s="98" t="e">
        <f t="shared" si="93"/>
        <v>#REF!</v>
      </c>
    </row>
    <row r="427" spans="19:37">
      <c r="S427" s="97">
        <f t="shared" si="82"/>
        <v>0</v>
      </c>
      <c r="T427" s="97">
        <f t="shared" si="83"/>
        <v>0</v>
      </c>
      <c r="U427" s="98">
        <f t="shared" si="90"/>
        <v>0</v>
      </c>
      <c r="V427" s="98">
        <f t="shared" si="90"/>
        <v>0</v>
      </c>
      <c r="X427" s="97" t="e">
        <f t="shared" si="84"/>
        <v>#REF!</v>
      </c>
      <c r="Y427" s="97" t="e">
        <f t="shared" si="85"/>
        <v>#REF!</v>
      </c>
      <c r="Z427" s="98" t="e">
        <f t="shared" si="91"/>
        <v>#REF!</v>
      </c>
      <c r="AA427" s="98" t="e">
        <f t="shared" si="91"/>
        <v>#REF!</v>
      </c>
      <c r="AC427" s="97" t="e">
        <f t="shared" si="86"/>
        <v>#REF!</v>
      </c>
      <c r="AD427" s="97" t="e">
        <f t="shared" si="87"/>
        <v>#REF!</v>
      </c>
      <c r="AE427" s="98" t="e">
        <f t="shared" si="92"/>
        <v>#REF!</v>
      </c>
      <c r="AF427" s="98" t="e">
        <f t="shared" si="92"/>
        <v>#REF!</v>
      </c>
      <c r="AH427" s="97" t="e">
        <f t="shared" si="88"/>
        <v>#REF!</v>
      </c>
      <c r="AI427" s="97" t="e">
        <f t="shared" si="89"/>
        <v>#REF!</v>
      </c>
      <c r="AJ427" s="98" t="e">
        <f t="shared" si="93"/>
        <v>#REF!</v>
      </c>
      <c r="AK427" s="98" t="e">
        <f t="shared" si="93"/>
        <v>#REF!</v>
      </c>
    </row>
    <row r="428" spans="19:37">
      <c r="S428" s="97">
        <f t="shared" si="82"/>
        <v>0</v>
      </c>
      <c r="T428" s="97">
        <f t="shared" si="83"/>
        <v>0</v>
      </c>
      <c r="U428" s="98">
        <f t="shared" si="90"/>
        <v>0</v>
      </c>
      <c r="V428" s="98">
        <f t="shared" si="90"/>
        <v>0</v>
      </c>
      <c r="X428" s="97" t="e">
        <f t="shared" si="84"/>
        <v>#REF!</v>
      </c>
      <c r="Y428" s="97" t="e">
        <f t="shared" si="85"/>
        <v>#REF!</v>
      </c>
      <c r="Z428" s="98" t="e">
        <f t="shared" si="91"/>
        <v>#REF!</v>
      </c>
      <c r="AA428" s="98" t="e">
        <f t="shared" si="91"/>
        <v>#REF!</v>
      </c>
      <c r="AC428" s="97" t="e">
        <f t="shared" si="86"/>
        <v>#REF!</v>
      </c>
      <c r="AD428" s="97" t="e">
        <f t="shared" si="87"/>
        <v>#REF!</v>
      </c>
      <c r="AE428" s="98" t="e">
        <f t="shared" si="92"/>
        <v>#REF!</v>
      </c>
      <c r="AF428" s="98" t="e">
        <f t="shared" si="92"/>
        <v>#REF!</v>
      </c>
      <c r="AH428" s="97" t="e">
        <f t="shared" si="88"/>
        <v>#REF!</v>
      </c>
      <c r="AI428" s="97" t="e">
        <f t="shared" si="89"/>
        <v>#REF!</v>
      </c>
      <c r="AJ428" s="98" t="e">
        <f t="shared" si="93"/>
        <v>#REF!</v>
      </c>
      <c r="AK428" s="98" t="e">
        <f t="shared" si="93"/>
        <v>#REF!</v>
      </c>
    </row>
    <row r="429" spans="19:37">
      <c r="S429" s="97">
        <f t="shared" si="82"/>
        <v>0</v>
      </c>
      <c r="T429" s="97">
        <f t="shared" si="83"/>
        <v>0</v>
      </c>
      <c r="U429" s="98">
        <f t="shared" si="90"/>
        <v>0</v>
      </c>
      <c r="V429" s="98">
        <f t="shared" si="90"/>
        <v>0</v>
      </c>
      <c r="X429" s="97" t="e">
        <f t="shared" si="84"/>
        <v>#REF!</v>
      </c>
      <c r="Y429" s="97" t="e">
        <f t="shared" si="85"/>
        <v>#REF!</v>
      </c>
      <c r="Z429" s="98" t="e">
        <f t="shared" si="91"/>
        <v>#REF!</v>
      </c>
      <c r="AA429" s="98" t="e">
        <f t="shared" si="91"/>
        <v>#REF!</v>
      </c>
      <c r="AC429" s="97" t="e">
        <f t="shared" si="86"/>
        <v>#REF!</v>
      </c>
      <c r="AD429" s="97" t="e">
        <f t="shared" si="87"/>
        <v>#REF!</v>
      </c>
      <c r="AE429" s="98" t="e">
        <f t="shared" si="92"/>
        <v>#REF!</v>
      </c>
      <c r="AF429" s="98" t="e">
        <f t="shared" si="92"/>
        <v>#REF!</v>
      </c>
      <c r="AH429" s="97" t="e">
        <f t="shared" si="88"/>
        <v>#REF!</v>
      </c>
      <c r="AI429" s="97" t="e">
        <f t="shared" si="89"/>
        <v>#REF!</v>
      </c>
      <c r="AJ429" s="98" t="e">
        <f t="shared" si="93"/>
        <v>#REF!</v>
      </c>
      <c r="AK429" s="98" t="e">
        <f t="shared" si="93"/>
        <v>#REF!</v>
      </c>
    </row>
    <row r="430" spans="19:37">
      <c r="S430" s="97">
        <f t="shared" si="82"/>
        <v>0</v>
      </c>
      <c r="T430" s="97">
        <f t="shared" si="83"/>
        <v>0</v>
      </c>
      <c r="U430" s="98">
        <f t="shared" si="90"/>
        <v>0</v>
      </c>
      <c r="V430" s="98">
        <f t="shared" si="90"/>
        <v>0</v>
      </c>
      <c r="X430" s="97" t="e">
        <f t="shared" si="84"/>
        <v>#REF!</v>
      </c>
      <c r="Y430" s="97" t="e">
        <f t="shared" si="85"/>
        <v>#REF!</v>
      </c>
      <c r="Z430" s="98" t="e">
        <f t="shared" si="91"/>
        <v>#REF!</v>
      </c>
      <c r="AA430" s="98" t="e">
        <f t="shared" si="91"/>
        <v>#REF!</v>
      </c>
      <c r="AC430" s="97" t="e">
        <f t="shared" si="86"/>
        <v>#REF!</v>
      </c>
      <c r="AD430" s="97" t="e">
        <f t="shared" si="87"/>
        <v>#REF!</v>
      </c>
      <c r="AE430" s="98" t="e">
        <f t="shared" si="92"/>
        <v>#REF!</v>
      </c>
      <c r="AF430" s="98" t="e">
        <f t="shared" si="92"/>
        <v>#REF!</v>
      </c>
      <c r="AH430" s="97" t="e">
        <f t="shared" si="88"/>
        <v>#REF!</v>
      </c>
      <c r="AI430" s="97" t="e">
        <f t="shared" si="89"/>
        <v>#REF!</v>
      </c>
      <c r="AJ430" s="98" t="e">
        <f t="shared" si="93"/>
        <v>#REF!</v>
      </c>
      <c r="AK430" s="98" t="e">
        <f t="shared" si="93"/>
        <v>#REF!</v>
      </c>
    </row>
    <row r="431" spans="19:37">
      <c r="S431" s="97">
        <f t="shared" si="82"/>
        <v>0</v>
      </c>
      <c r="T431" s="97">
        <f t="shared" si="83"/>
        <v>0</v>
      </c>
      <c r="U431" s="98">
        <f t="shared" si="90"/>
        <v>0</v>
      </c>
      <c r="V431" s="98">
        <f t="shared" si="90"/>
        <v>0</v>
      </c>
      <c r="X431" s="97" t="e">
        <f t="shared" si="84"/>
        <v>#REF!</v>
      </c>
      <c r="Y431" s="97" t="e">
        <f t="shared" si="85"/>
        <v>#REF!</v>
      </c>
      <c r="Z431" s="98" t="e">
        <f t="shared" si="91"/>
        <v>#REF!</v>
      </c>
      <c r="AA431" s="98" t="e">
        <f t="shared" si="91"/>
        <v>#REF!</v>
      </c>
      <c r="AC431" s="97" t="e">
        <f t="shared" si="86"/>
        <v>#REF!</v>
      </c>
      <c r="AD431" s="97" t="e">
        <f t="shared" si="87"/>
        <v>#REF!</v>
      </c>
      <c r="AE431" s="98" t="e">
        <f t="shared" si="92"/>
        <v>#REF!</v>
      </c>
      <c r="AF431" s="98" t="e">
        <f t="shared" si="92"/>
        <v>#REF!</v>
      </c>
      <c r="AH431" s="97" t="e">
        <f t="shared" si="88"/>
        <v>#REF!</v>
      </c>
      <c r="AI431" s="97" t="e">
        <f t="shared" si="89"/>
        <v>#REF!</v>
      </c>
      <c r="AJ431" s="98" t="e">
        <f t="shared" si="93"/>
        <v>#REF!</v>
      </c>
      <c r="AK431" s="98" t="e">
        <f t="shared" si="93"/>
        <v>#REF!</v>
      </c>
    </row>
    <row r="432" spans="19:37">
      <c r="S432" s="97">
        <f t="shared" si="82"/>
        <v>0</v>
      </c>
      <c r="T432" s="97">
        <f t="shared" si="83"/>
        <v>0</v>
      </c>
      <c r="U432" s="98">
        <f t="shared" si="90"/>
        <v>0</v>
      </c>
      <c r="V432" s="98">
        <f t="shared" si="90"/>
        <v>0</v>
      </c>
      <c r="X432" s="97" t="e">
        <f t="shared" si="84"/>
        <v>#REF!</v>
      </c>
      <c r="Y432" s="97" t="e">
        <f t="shared" si="85"/>
        <v>#REF!</v>
      </c>
      <c r="Z432" s="98" t="e">
        <f t="shared" si="91"/>
        <v>#REF!</v>
      </c>
      <c r="AA432" s="98" t="e">
        <f t="shared" si="91"/>
        <v>#REF!</v>
      </c>
      <c r="AC432" s="97" t="e">
        <f t="shared" si="86"/>
        <v>#REF!</v>
      </c>
      <c r="AD432" s="97" t="e">
        <f t="shared" si="87"/>
        <v>#REF!</v>
      </c>
      <c r="AE432" s="98" t="e">
        <f t="shared" si="92"/>
        <v>#REF!</v>
      </c>
      <c r="AF432" s="98" t="e">
        <f t="shared" si="92"/>
        <v>#REF!</v>
      </c>
      <c r="AH432" s="97" t="e">
        <f t="shared" si="88"/>
        <v>#REF!</v>
      </c>
      <c r="AI432" s="97" t="e">
        <f t="shared" si="89"/>
        <v>#REF!</v>
      </c>
      <c r="AJ432" s="98" t="e">
        <f t="shared" si="93"/>
        <v>#REF!</v>
      </c>
      <c r="AK432" s="98" t="e">
        <f t="shared" si="93"/>
        <v>#REF!</v>
      </c>
    </row>
    <row r="433" spans="19:37">
      <c r="S433" s="97">
        <f t="shared" si="82"/>
        <v>0</v>
      </c>
      <c r="T433" s="97">
        <f t="shared" si="83"/>
        <v>0</v>
      </c>
      <c r="U433" s="98">
        <f t="shared" si="90"/>
        <v>0</v>
      </c>
      <c r="V433" s="98">
        <f t="shared" si="90"/>
        <v>0</v>
      </c>
      <c r="X433" s="97" t="e">
        <f t="shared" si="84"/>
        <v>#REF!</v>
      </c>
      <c r="Y433" s="97" t="e">
        <f t="shared" si="85"/>
        <v>#REF!</v>
      </c>
      <c r="Z433" s="98" t="e">
        <f t="shared" si="91"/>
        <v>#REF!</v>
      </c>
      <c r="AA433" s="98" t="e">
        <f t="shared" si="91"/>
        <v>#REF!</v>
      </c>
      <c r="AC433" s="97" t="e">
        <f t="shared" si="86"/>
        <v>#REF!</v>
      </c>
      <c r="AD433" s="97" t="e">
        <f t="shared" si="87"/>
        <v>#REF!</v>
      </c>
      <c r="AE433" s="98" t="e">
        <f t="shared" si="92"/>
        <v>#REF!</v>
      </c>
      <c r="AF433" s="98" t="e">
        <f t="shared" si="92"/>
        <v>#REF!</v>
      </c>
      <c r="AH433" s="97" t="e">
        <f t="shared" si="88"/>
        <v>#REF!</v>
      </c>
      <c r="AI433" s="97" t="e">
        <f t="shared" si="89"/>
        <v>#REF!</v>
      </c>
      <c r="AJ433" s="98" t="e">
        <f t="shared" si="93"/>
        <v>#REF!</v>
      </c>
      <c r="AK433" s="98" t="e">
        <f t="shared" si="93"/>
        <v>#REF!</v>
      </c>
    </row>
    <row r="434" spans="19:37">
      <c r="S434" s="97">
        <f t="shared" si="82"/>
        <v>0</v>
      </c>
      <c r="T434" s="97">
        <f t="shared" si="83"/>
        <v>0</v>
      </c>
      <c r="U434" s="98">
        <f t="shared" si="90"/>
        <v>0</v>
      </c>
      <c r="V434" s="98">
        <f t="shared" si="90"/>
        <v>0</v>
      </c>
      <c r="X434" s="97" t="e">
        <f t="shared" si="84"/>
        <v>#REF!</v>
      </c>
      <c r="Y434" s="97" t="e">
        <f t="shared" si="85"/>
        <v>#REF!</v>
      </c>
      <c r="Z434" s="98" t="e">
        <f t="shared" si="91"/>
        <v>#REF!</v>
      </c>
      <c r="AA434" s="98" t="e">
        <f t="shared" si="91"/>
        <v>#REF!</v>
      </c>
      <c r="AC434" s="97" t="e">
        <f t="shared" si="86"/>
        <v>#REF!</v>
      </c>
      <c r="AD434" s="97" t="e">
        <f t="shared" si="87"/>
        <v>#REF!</v>
      </c>
      <c r="AE434" s="98" t="e">
        <f t="shared" si="92"/>
        <v>#REF!</v>
      </c>
      <c r="AF434" s="98" t="e">
        <f t="shared" si="92"/>
        <v>#REF!</v>
      </c>
      <c r="AH434" s="97" t="e">
        <f t="shared" si="88"/>
        <v>#REF!</v>
      </c>
      <c r="AI434" s="97" t="e">
        <f t="shared" si="89"/>
        <v>#REF!</v>
      </c>
      <c r="AJ434" s="98" t="e">
        <f t="shared" si="93"/>
        <v>#REF!</v>
      </c>
      <c r="AK434" s="98" t="e">
        <f t="shared" si="93"/>
        <v>#REF!</v>
      </c>
    </row>
    <row r="435" spans="19:37">
      <c r="S435" s="97">
        <f t="shared" si="82"/>
        <v>0</v>
      </c>
      <c r="T435" s="97">
        <f t="shared" si="83"/>
        <v>0</v>
      </c>
      <c r="U435" s="98">
        <f t="shared" si="90"/>
        <v>0</v>
      </c>
      <c r="V435" s="98">
        <f t="shared" si="90"/>
        <v>0</v>
      </c>
      <c r="X435" s="97" t="e">
        <f t="shared" si="84"/>
        <v>#REF!</v>
      </c>
      <c r="Y435" s="97" t="e">
        <f t="shared" si="85"/>
        <v>#REF!</v>
      </c>
      <c r="Z435" s="98" t="e">
        <f t="shared" si="91"/>
        <v>#REF!</v>
      </c>
      <c r="AA435" s="98" t="e">
        <f t="shared" si="91"/>
        <v>#REF!</v>
      </c>
      <c r="AC435" s="97" t="e">
        <f t="shared" si="86"/>
        <v>#REF!</v>
      </c>
      <c r="AD435" s="97" t="e">
        <f t="shared" si="87"/>
        <v>#REF!</v>
      </c>
      <c r="AE435" s="98" t="e">
        <f t="shared" si="92"/>
        <v>#REF!</v>
      </c>
      <c r="AF435" s="98" t="e">
        <f t="shared" si="92"/>
        <v>#REF!</v>
      </c>
      <c r="AH435" s="97" t="e">
        <f t="shared" si="88"/>
        <v>#REF!</v>
      </c>
      <c r="AI435" s="97" t="e">
        <f t="shared" si="89"/>
        <v>#REF!</v>
      </c>
      <c r="AJ435" s="98" t="e">
        <f t="shared" si="93"/>
        <v>#REF!</v>
      </c>
      <c r="AK435" s="98" t="e">
        <f t="shared" si="93"/>
        <v>#REF!</v>
      </c>
    </row>
    <row r="436" spans="19:37">
      <c r="S436" s="97">
        <f t="shared" si="82"/>
        <v>0</v>
      </c>
      <c r="T436" s="97">
        <f t="shared" si="83"/>
        <v>0</v>
      </c>
      <c r="U436" s="98">
        <f t="shared" si="90"/>
        <v>0</v>
      </c>
      <c r="V436" s="98">
        <f t="shared" si="90"/>
        <v>0</v>
      </c>
      <c r="X436" s="97" t="e">
        <f t="shared" si="84"/>
        <v>#REF!</v>
      </c>
      <c r="Y436" s="97" t="e">
        <f t="shared" si="85"/>
        <v>#REF!</v>
      </c>
      <c r="Z436" s="98" t="e">
        <f t="shared" si="91"/>
        <v>#REF!</v>
      </c>
      <c r="AA436" s="98" t="e">
        <f t="shared" si="91"/>
        <v>#REF!</v>
      </c>
      <c r="AC436" s="97" t="e">
        <f t="shared" si="86"/>
        <v>#REF!</v>
      </c>
      <c r="AD436" s="97" t="e">
        <f t="shared" si="87"/>
        <v>#REF!</v>
      </c>
      <c r="AE436" s="98" t="e">
        <f t="shared" si="92"/>
        <v>#REF!</v>
      </c>
      <c r="AF436" s="98" t="e">
        <f t="shared" si="92"/>
        <v>#REF!</v>
      </c>
      <c r="AH436" s="97" t="e">
        <f t="shared" si="88"/>
        <v>#REF!</v>
      </c>
      <c r="AI436" s="97" t="e">
        <f t="shared" si="89"/>
        <v>#REF!</v>
      </c>
      <c r="AJ436" s="98" t="e">
        <f t="shared" si="93"/>
        <v>#REF!</v>
      </c>
      <c r="AK436" s="98" t="e">
        <f t="shared" si="93"/>
        <v>#REF!</v>
      </c>
    </row>
    <row r="437" spans="19:37">
      <c r="S437" s="97">
        <f t="shared" si="82"/>
        <v>0</v>
      </c>
      <c r="T437" s="97">
        <f t="shared" si="83"/>
        <v>0</v>
      </c>
      <c r="U437" s="98">
        <f t="shared" si="90"/>
        <v>0</v>
      </c>
      <c r="V437" s="98">
        <f t="shared" si="90"/>
        <v>0</v>
      </c>
      <c r="X437" s="97" t="e">
        <f t="shared" si="84"/>
        <v>#REF!</v>
      </c>
      <c r="Y437" s="97" t="e">
        <f t="shared" si="85"/>
        <v>#REF!</v>
      </c>
      <c r="Z437" s="98" t="e">
        <f t="shared" si="91"/>
        <v>#REF!</v>
      </c>
      <c r="AA437" s="98" t="e">
        <f t="shared" si="91"/>
        <v>#REF!</v>
      </c>
      <c r="AC437" s="97" t="e">
        <f t="shared" si="86"/>
        <v>#REF!</v>
      </c>
      <c r="AD437" s="97" t="e">
        <f t="shared" si="87"/>
        <v>#REF!</v>
      </c>
      <c r="AE437" s="98" t="e">
        <f t="shared" si="92"/>
        <v>#REF!</v>
      </c>
      <c r="AF437" s="98" t="e">
        <f t="shared" si="92"/>
        <v>#REF!</v>
      </c>
      <c r="AH437" s="97" t="e">
        <f t="shared" si="88"/>
        <v>#REF!</v>
      </c>
      <c r="AI437" s="97" t="e">
        <f t="shared" si="89"/>
        <v>#REF!</v>
      </c>
      <c r="AJ437" s="98" t="e">
        <f t="shared" si="93"/>
        <v>#REF!</v>
      </c>
      <c r="AK437" s="98" t="e">
        <f t="shared" si="93"/>
        <v>#REF!</v>
      </c>
    </row>
    <row r="438" spans="19:37">
      <c r="S438" s="97">
        <f t="shared" si="82"/>
        <v>0</v>
      </c>
      <c r="T438" s="97">
        <f t="shared" si="83"/>
        <v>0</v>
      </c>
      <c r="U438" s="98">
        <f t="shared" si="90"/>
        <v>0</v>
      </c>
      <c r="V438" s="98">
        <f t="shared" si="90"/>
        <v>0</v>
      </c>
      <c r="X438" s="97" t="e">
        <f t="shared" si="84"/>
        <v>#REF!</v>
      </c>
      <c r="Y438" s="97" t="e">
        <f t="shared" si="85"/>
        <v>#REF!</v>
      </c>
      <c r="Z438" s="98" t="e">
        <f t="shared" si="91"/>
        <v>#REF!</v>
      </c>
      <c r="AA438" s="98" t="e">
        <f t="shared" si="91"/>
        <v>#REF!</v>
      </c>
      <c r="AC438" s="97" t="e">
        <f t="shared" si="86"/>
        <v>#REF!</v>
      </c>
      <c r="AD438" s="97" t="e">
        <f t="shared" si="87"/>
        <v>#REF!</v>
      </c>
      <c r="AE438" s="98" t="e">
        <f t="shared" si="92"/>
        <v>#REF!</v>
      </c>
      <c r="AF438" s="98" t="e">
        <f t="shared" si="92"/>
        <v>#REF!</v>
      </c>
      <c r="AH438" s="97" t="e">
        <f t="shared" si="88"/>
        <v>#REF!</v>
      </c>
      <c r="AI438" s="97" t="e">
        <f t="shared" si="89"/>
        <v>#REF!</v>
      </c>
      <c r="AJ438" s="98" t="e">
        <f t="shared" si="93"/>
        <v>#REF!</v>
      </c>
      <c r="AK438" s="98" t="e">
        <f t="shared" si="93"/>
        <v>#REF!</v>
      </c>
    </row>
    <row r="439" spans="19:37">
      <c r="S439" s="97">
        <f t="shared" si="82"/>
        <v>0</v>
      </c>
      <c r="T439" s="97">
        <f t="shared" si="83"/>
        <v>0</v>
      </c>
      <c r="U439" s="98">
        <f t="shared" si="90"/>
        <v>0</v>
      </c>
      <c r="V439" s="98">
        <f t="shared" si="90"/>
        <v>0</v>
      </c>
      <c r="X439" s="97" t="e">
        <f t="shared" si="84"/>
        <v>#REF!</v>
      </c>
      <c r="Y439" s="97" t="e">
        <f t="shared" si="85"/>
        <v>#REF!</v>
      </c>
      <c r="Z439" s="98" t="e">
        <f t="shared" si="91"/>
        <v>#REF!</v>
      </c>
      <c r="AA439" s="98" t="e">
        <f t="shared" si="91"/>
        <v>#REF!</v>
      </c>
      <c r="AC439" s="97" t="e">
        <f t="shared" si="86"/>
        <v>#REF!</v>
      </c>
      <c r="AD439" s="97" t="e">
        <f t="shared" si="87"/>
        <v>#REF!</v>
      </c>
      <c r="AE439" s="98" t="e">
        <f t="shared" si="92"/>
        <v>#REF!</v>
      </c>
      <c r="AF439" s="98" t="e">
        <f t="shared" si="92"/>
        <v>#REF!</v>
      </c>
      <c r="AH439" s="97" t="e">
        <f t="shared" si="88"/>
        <v>#REF!</v>
      </c>
      <c r="AI439" s="97" t="e">
        <f t="shared" si="89"/>
        <v>#REF!</v>
      </c>
      <c r="AJ439" s="98" t="e">
        <f t="shared" si="93"/>
        <v>#REF!</v>
      </c>
      <c r="AK439" s="98" t="e">
        <f t="shared" si="93"/>
        <v>#REF!</v>
      </c>
    </row>
    <row r="440" spans="19:37">
      <c r="S440" s="97">
        <f t="shared" si="82"/>
        <v>0</v>
      </c>
      <c r="T440" s="97">
        <f t="shared" si="83"/>
        <v>0</v>
      </c>
      <c r="U440" s="98">
        <f t="shared" si="90"/>
        <v>0</v>
      </c>
      <c r="V440" s="98">
        <f t="shared" si="90"/>
        <v>0</v>
      </c>
      <c r="X440" s="97" t="e">
        <f t="shared" si="84"/>
        <v>#REF!</v>
      </c>
      <c r="Y440" s="97" t="e">
        <f t="shared" si="85"/>
        <v>#REF!</v>
      </c>
      <c r="Z440" s="98" t="e">
        <f t="shared" si="91"/>
        <v>#REF!</v>
      </c>
      <c r="AA440" s="98" t="e">
        <f t="shared" si="91"/>
        <v>#REF!</v>
      </c>
      <c r="AC440" s="97" t="e">
        <f t="shared" si="86"/>
        <v>#REF!</v>
      </c>
      <c r="AD440" s="97" t="e">
        <f t="shared" si="87"/>
        <v>#REF!</v>
      </c>
      <c r="AE440" s="98" t="e">
        <f t="shared" si="92"/>
        <v>#REF!</v>
      </c>
      <c r="AF440" s="98" t="e">
        <f t="shared" si="92"/>
        <v>#REF!</v>
      </c>
      <c r="AH440" s="97" t="e">
        <f t="shared" si="88"/>
        <v>#REF!</v>
      </c>
      <c r="AI440" s="97" t="e">
        <f t="shared" si="89"/>
        <v>#REF!</v>
      </c>
      <c r="AJ440" s="98" t="e">
        <f t="shared" si="93"/>
        <v>#REF!</v>
      </c>
      <c r="AK440" s="98" t="e">
        <f t="shared" si="93"/>
        <v>#REF!</v>
      </c>
    </row>
    <row r="441" spans="19:37">
      <c r="S441" s="97">
        <f t="shared" si="82"/>
        <v>0</v>
      </c>
      <c r="T441" s="97">
        <f t="shared" si="83"/>
        <v>0</v>
      </c>
      <c r="U441" s="98">
        <f t="shared" si="90"/>
        <v>0</v>
      </c>
      <c r="V441" s="98">
        <f t="shared" si="90"/>
        <v>0</v>
      </c>
      <c r="X441" s="97" t="e">
        <f t="shared" si="84"/>
        <v>#REF!</v>
      </c>
      <c r="Y441" s="97" t="e">
        <f t="shared" si="85"/>
        <v>#REF!</v>
      </c>
      <c r="Z441" s="98" t="e">
        <f t="shared" si="91"/>
        <v>#REF!</v>
      </c>
      <c r="AA441" s="98" t="e">
        <f t="shared" si="91"/>
        <v>#REF!</v>
      </c>
      <c r="AC441" s="97" t="e">
        <f t="shared" si="86"/>
        <v>#REF!</v>
      </c>
      <c r="AD441" s="97" t="e">
        <f t="shared" si="87"/>
        <v>#REF!</v>
      </c>
      <c r="AE441" s="98" t="e">
        <f t="shared" si="92"/>
        <v>#REF!</v>
      </c>
      <c r="AF441" s="98" t="e">
        <f t="shared" si="92"/>
        <v>#REF!</v>
      </c>
      <c r="AH441" s="97" t="e">
        <f t="shared" si="88"/>
        <v>#REF!</v>
      </c>
      <c r="AI441" s="97" t="e">
        <f t="shared" si="89"/>
        <v>#REF!</v>
      </c>
      <c r="AJ441" s="98" t="e">
        <f t="shared" si="93"/>
        <v>#REF!</v>
      </c>
      <c r="AK441" s="98" t="e">
        <f t="shared" si="93"/>
        <v>#REF!</v>
      </c>
    </row>
    <row r="442" spans="19:37">
      <c r="S442" s="97">
        <f t="shared" si="82"/>
        <v>0</v>
      </c>
      <c r="T442" s="97">
        <f t="shared" si="83"/>
        <v>0</v>
      </c>
      <c r="U442" s="98">
        <f t="shared" si="90"/>
        <v>0</v>
      </c>
      <c r="V442" s="98">
        <f t="shared" si="90"/>
        <v>0</v>
      </c>
      <c r="X442" s="97" t="e">
        <f t="shared" si="84"/>
        <v>#REF!</v>
      </c>
      <c r="Y442" s="97" t="e">
        <f t="shared" si="85"/>
        <v>#REF!</v>
      </c>
      <c r="Z442" s="98" t="e">
        <f t="shared" si="91"/>
        <v>#REF!</v>
      </c>
      <c r="AA442" s="98" t="e">
        <f t="shared" si="91"/>
        <v>#REF!</v>
      </c>
      <c r="AC442" s="97" t="e">
        <f t="shared" si="86"/>
        <v>#REF!</v>
      </c>
      <c r="AD442" s="97" t="e">
        <f t="shared" si="87"/>
        <v>#REF!</v>
      </c>
      <c r="AE442" s="98" t="e">
        <f t="shared" si="92"/>
        <v>#REF!</v>
      </c>
      <c r="AF442" s="98" t="e">
        <f t="shared" si="92"/>
        <v>#REF!</v>
      </c>
      <c r="AH442" s="97" t="e">
        <f t="shared" si="88"/>
        <v>#REF!</v>
      </c>
      <c r="AI442" s="97" t="e">
        <f t="shared" si="89"/>
        <v>#REF!</v>
      </c>
      <c r="AJ442" s="98" t="e">
        <f t="shared" si="93"/>
        <v>#REF!</v>
      </c>
      <c r="AK442" s="98" t="e">
        <f t="shared" si="93"/>
        <v>#REF!</v>
      </c>
    </row>
    <row r="443" spans="19:37">
      <c r="S443" s="97">
        <f t="shared" si="82"/>
        <v>0</v>
      </c>
      <c r="T443" s="97">
        <f t="shared" si="83"/>
        <v>0</v>
      </c>
      <c r="U443" s="98">
        <f t="shared" si="90"/>
        <v>0</v>
      </c>
      <c r="V443" s="98">
        <f t="shared" si="90"/>
        <v>0</v>
      </c>
      <c r="X443" s="97" t="e">
        <f t="shared" si="84"/>
        <v>#REF!</v>
      </c>
      <c r="Y443" s="97" t="e">
        <f t="shared" si="85"/>
        <v>#REF!</v>
      </c>
      <c r="Z443" s="98" t="e">
        <f t="shared" si="91"/>
        <v>#REF!</v>
      </c>
      <c r="AA443" s="98" t="e">
        <f t="shared" si="91"/>
        <v>#REF!</v>
      </c>
      <c r="AC443" s="97" t="e">
        <f t="shared" si="86"/>
        <v>#REF!</v>
      </c>
      <c r="AD443" s="97" t="e">
        <f t="shared" si="87"/>
        <v>#REF!</v>
      </c>
      <c r="AE443" s="98" t="e">
        <f t="shared" si="92"/>
        <v>#REF!</v>
      </c>
      <c r="AF443" s="98" t="e">
        <f t="shared" si="92"/>
        <v>#REF!</v>
      </c>
      <c r="AH443" s="97" t="e">
        <f t="shared" si="88"/>
        <v>#REF!</v>
      </c>
      <c r="AI443" s="97" t="e">
        <f t="shared" si="89"/>
        <v>#REF!</v>
      </c>
      <c r="AJ443" s="98" t="e">
        <f t="shared" si="93"/>
        <v>#REF!</v>
      </c>
      <c r="AK443" s="98" t="e">
        <f t="shared" si="93"/>
        <v>#REF!</v>
      </c>
    </row>
    <row r="444" spans="19:37">
      <c r="S444" s="97">
        <f t="shared" si="82"/>
        <v>0</v>
      </c>
      <c r="T444" s="97">
        <f t="shared" si="83"/>
        <v>0</v>
      </c>
      <c r="U444" s="98">
        <f t="shared" si="90"/>
        <v>0</v>
      </c>
      <c r="V444" s="98">
        <f t="shared" si="90"/>
        <v>0</v>
      </c>
      <c r="X444" s="97" t="e">
        <f t="shared" si="84"/>
        <v>#REF!</v>
      </c>
      <c r="Y444" s="97" t="e">
        <f t="shared" si="85"/>
        <v>#REF!</v>
      </c>
      <c r="Z444" s="98" t="e">
        <f t="shared" si="91"/>
        <v>#REF!</v>
      </c>
      <c r="AA444" s="98" t="e">
        <f t="shared" si="91"/>
        <v>#REF!</v>
      </c>
      <c r="AC444" s="97" t="e">
        <f t="shared" si="86"/>
        <v>#REF!</v>
      </c>
      <c r="AD444" s="97" t="e">
        <f t="shared" si="87"/>
        <v>#REF!</v>
      </c>
      <c r="AE444" s="98" t="e">
        <f t="shared" si="92"/>
        <v>#REF!</v>
      </c>
      <c r="AF444" s="98" t="e">
        <f t="shared" si="92"/>
        <v>#REF!</v>
      </c>
      <c r="AH444" s="97" t="e">
        <f t="shared" si="88"/>
        <v>#REF!</v>
      </c>
      <c r="AI444" s="97" t="e">
        <f t="shared" si="89"/>
        <v>#REF!</v>
      </c>
      <c r="AJ444" s="98" t="e">
        <f t="shared" si="93"/>
        <v>#REF!</v>
      </c>
      <c r="AK444" s="98" t="e">
        <f t="shared" si="93"/>
        <v>#REF!</v>
      </c>
    </row>
    <row r="445" spans="19:37">
      <c r="S445" s="97">
        <f t="shared" si="82"/>
        <v>0</v>
      </c>
      <c r="T445" s="97">
        <f t="shared" si="83"/>
        <v>0</v>
      </c>
      <c r="U445" s="98">
        <f t="shared" si="90"/>
        <v>0</v>
      </c>
      <c r="V445" s="98">
        <f t="shared" si="90"/>
        <v>0</v>
      </c>
      <c r="X445" s="97" t="e">
        <f t="shared" si="84"/>
        <v>#REF!</v>
      </c>
      <c r="Y445" s="97" t="e">
        <f t="shared" si="85"/>
        <v>#REF!</v>
      </c>
      <c r="Z445" s="98" t="e">
        <f t="shared" si="91"/>
        <v>#REF!</v>
      </c>
      <c r="AA445" s="98" t="e">
        <f t="shared" si="91"/>
        <v>#REF!</v>
      </c>
      <c r="AC445" s="97" t="e">
        <f t="shared" si="86"/>
        <v>#REF!</v>
      </c>
      <c r="AD445" s="97" t="e">
        <f t="shared" si="87"/>
        <v>#REF!</v>
      </c>
      <c r="AE445" s="98" t="e">
        <f t="shared" si="92"/>
        <v>#REF!</v>
      </c>
      <c r="AF445" s="98" t="e">
        <f t="shared" si="92"/>
        <v>#REF!</v>
      </c>
      <c r="AH445" s="97" t="e">
        <f t="shared" si="88"/>
        <v>#REF!</v>
      </c>
      <c r="AI445" s="97" t="e">
        <f t="shared" si="89"/>
        <v>#REF!</v>
      </c>
      <c r="AJ445" s="98" t="e">
        <f t="shared" si="93"/>
        <v>#REF!</v>
      </c>
      <c r="AK445" s="98" t="e">
        <f t="shared" si="93"/>
        <v>#REF!</v>
      </c>
    </row>
    <row r="446" spans="19:37">
      <c r="S446" s="97">
        <f t="shared" si="82"/>
        <v>0</v>
      </c>
      <c r="T446" s="97">
        <f t="shared" si="83"/>
        <v>0</v>
      </c>
      <c r="U446" s="98">
        <f t="shared" si="90"/>
        <v>0</v>
      </c>
      <c r="V446" s="98">
        <f t="shared" si="90"/>
        <v>0</v>
      </c>
      <c r="X446" s="97" t="e">
        <f t="shared" si="84"/>
        <v>#REF!</v>
      </c>
      <c r="Y446" s="97" t="e">
        <f t="shared" si="85"/>
        <v>#REF!</v>
      </c>
      <c r="Z446" s="98" t="e">
        <f t="shared" si="91"/>
        <v>#REF!</v>
      </c>
      <c r="AA446" s="98" t="e">
        <f t="shared" si="91"/>
        <v>#REF!</v>
      </c>
      <c r="AC446" s="97" t="e">
        <f t="shared" si="86"/>
        <v>#REF!</v>
      </c>
      <c r="AD446" s="97" t="e">
        <f t="shared" si="87"/>
        <v>#REF!</v>
      </c>
      <c r="AE446" s="98" t="e">
        <f t="shared" si="92"/>
        <v>#REF!</v>
      </c>
      <c r="AF446" s="98" t="e">
        <f t="shared" si="92"/>
        <v>#REF!</v>
      </c>
      <c r="AH446" s="97" t="e">
        <f t="shared" si="88"/>
        <v>#REF!</v>
      </c>
      <c r="AI446" s="97" t="e">
        <f t="shared" si="89"/>
        <v>#REF!</v>
      </c>
      <c r="AJ446" s="98" t="e">
        <f t="shared" si="93"/>
        <v>#REF!</v>
      </c>
      <c r="AK446" s="98" t="e">
        <f t="shared" si="93"/>
        <v>#REF!</v>
      </c>
    </row>
    <row r="447" spans="19:37">
      <c r="S447" s="97">
        <f t="shared" si="82"/>
        <v>0</v>
      </c>
      <c r="T447" s="97">
        <f t="shared" si="83"/>
        <v>0</v>
      </c>
      <c r="U447" s="98">
        <f t="shared" si="90"/>
        <v>0</v>
      </c>
      <c r="V447" s="98">
        <f t="shared" si="90"/>
        <v>0</v>
      </c>
      <c r="X447" s="97" t="e">
        <f t="shared" si="84"/>
        <v>#REF!</v>
      </c>
      <c r="Y447" s="97" t="e">
        <f t="shared" si="85"/>
        <v>#REF!</v>
      </c>
      <c r="Z447" s="98" t="e">
        <f t="shared" si="91"/>
        <v>#REF!</v>
      </c>
      <c r="AA447" s="98" t="e">
        <f t="shared" si="91"/>
        <v>#REF!</v>
      </c>
      <c r="AC447" s="97" t="e">
        <f t="shared" si="86"/>
        <v>#REF!</v>
      </c>
      <c r="AD447" s="97" t="e">
        <f t="shared" si="87"/>
        <v>#REF!</v>
      </c>
      <c r="AE447" s="98" t="e">
        <f t="shared" si="92"/>
        <v>#REF!</v>
      </c>
      <c r="AF447" s="98" t="e">
        <f t="shared" si="92"/>
        <v>#REF!</v>
      </c>
      <c r="AH447" s="97" t="e">
        <f t="shared" si="88"/>
        <v>#REF!</v>
      </c>
      <c r="AI447" s="97" t="e">
        <f t="shared" si="89"/>
        <v>#REF!</v>
      </c>
      <c r="AJ447" s="98" t="e">
        <f t="shared" si="93"/>
        <v>#REF!</v>
      </c>
      <c r="AK447" s="98" t="e">
        <f t="shared" si="93"/>
        <v>#REF!</v>
      </c>
    </row>
    <row r="448" spans="19:37">
      <c r="S448" s="97">
        <f t="shared" si="82"/>
        <v>0</v>
      </c>
      <c r="T448" s="97">
        <f t="shared" si="83"/>
        <v>0</v>
      </c>
      <c r="U448" s="98">
        <f t="shared" si="90"/>
        <v>0</v>
      </c>
      <c r="V448" s="98">
        <f t="shared" si="90"/>
        <v>0</v>
      </c>
      <c r="X448" s="97" t="e">
        <f t="shared" si="84"/>
        <v>#REF!</v>
      </c>
      <c r="Y448" s="97" t="e">
        <f t="shared" si="85"/>
        <v>#REF!</v>
      </c>
      <c r="Z448" s="98" t="e">
        <f t="shared" si="91"/>
        <v>#REF!</v>
      </c>
      <c r="AA448" s="98" t="e">
        <f t="shared" si="91"/>
        <v>#REF!</v>
      </c>
      <c r="AC448" s="97" t="e">
        <f t="shared" si="86"/>
        <v>#REF!</v>
      </c>
      <c r="AD448" s="97" t="e">
        <f t="shared" si="87"/>
        <v>#REF!</v>
      </c>
      <c r="AE448" s="98" t="e">
        <f t="shared" si="92"/>
        <v>#REF!</v>
      </c>
      <c r="AF448" s="98" t="e">
        <f t="shared" si="92"/>
        <v>#REF!</v>
      </c>
      <c r="AH448" s="97" t="e">
        <f t="shared" si="88"/>
        <v>#REF!</v>
      </c>
      <c r="AI448" s="97" t="e">
        <f t="shared" si="89"/>
        <v>#REF!</v>
      </c>
      <c r="AJ448" s="98" t="e">
        <f t="shared" si="93"/>
        <v>#REF!</v>
      </c>
      <c r="AK448" s="98" t="e">
        <f t="shared" si="93"/>
        <v>#REF!</v>
      </c>
    </row>
    <row r="449" spans="19:37">
      <c r="S449" s="97">
        <f t="shared" si="82"/>
        <v>0</v>
      </c>
      <c r="T449" s="97">
        <f t="shared" si="83"/>
        <v>0</v>
      </c>
      <c r="U449" s="98">
        <f t="shared" si="90"/>
        <v>0</v>
      </c>
      <c r="V449" s="98">
        <f t="shared" si="90"/>
        <v>0</v>
      </c>
      <c r="X449" s="97" t="e">
        <f t="shared" si="84"/>
        <v>#REF!</v>
      </c>
      <c r="Y449" s="97" t="e">
        <f t="shared" si="85"/>
        <v>#REF!</v>
      </c>
      <c r="Z449" s="98" t="e">
        <f t="shared" si="91"/>
        <v>#REF!</v>
      </c>
      <c r="AA449" s="98" t="e">
        <f t="shared" si="91"/>
        <v>#REF!</v>
      </c>
      <c r="AC449" s="97" t="e">
        <f t="shared" si="86"/>
        <v>#REF!</v>
      </c>
      <c r="AD449" s="97" t="e">
        <f t="shared" si="87"/>
        <v>#REF!</v>
      </c>
      <c r="AE449" s="98" t="e">
        <f t="shared" si="92"/>
        <v>#REF!</v>
      </c>
      <c r="AF449" s="98" t="e">
        <f t="shared" si="92"/>
        <v>#REF!</v>
      </c>
      <c r="AH449" s="97" t="e">
        <f t="shared" si="88"/>
        <v>#REF!</v>
      </c>
      <c r="AI449" s="97" t="e">
        <f t="shared" si="89"/>
        <v>#REF!</v>
      </c>
      <c r="AJ449" s="98" t="e">
        <f t="shared" si="93"/>
        <v>#REF!</v>
      </c>
      <c r="AK449" s="98" t="e">
        <f t="shared" si="93"/>
        <v>#REF!</v>
      </c>
    </row>
    <row r="450" spans="19:37">
      <c r="S450" s="97">
        <f t="shared" si="82"/>
        <v>0</v>
      </c>
      <c r="T450" s="97">
        <f t="shared" si="83"/>
        <v>0</v>
      </c>
      <c r="U450" s="98">
        <f t="shared" si="90"/>
        <v>0</v>
      </c>
      <c r="V450" s="98">
        <f t="shared" si="90"/>
        <v>0</v>
      </c>
      <c r="X450" s="97" t="e">
        <f t="shared" si="84"/>
        <v>#REF!</v>
      </c>
      <c r="Y450" s="97" t="e">
        <f t="shared" si="85"/>
        <v>#REF!</v>
      </c>
      <c r="Z450" s="98" t="e">
        <f t="shared" si="91"/>
        <v>#REF!</v>
      </c>
      <c r="AA450" s="98" t="e">
        <f t="shared" si="91"/>
        <v>#REF!</v>
      </c>
      <c r="AC450" s="97" t="e">
        <f t="shared" si="86"/>
        <v>#REF!</v>
      </c>
      <c r="AD450" s="97" t="e">
        <f t="shared" si="87"/>
        <v>#REF!</v>
      </c>
      <c r="AE450" s="98" t="e">
        <f t="shared" si="92"/>
        <v>#REF!</v>
      </c>
      <c r="AF450" s="98" t="e">
        <f t="shared" si="92"/>
        <v>#REF!</v>
      </c>
      <c r="AH450" s="97" t="e">
        <f t="shared" si="88"/>
        <v>#REF!</v>
      </c>
      <c r="AI450" s="97" t="e">
        <f t="shared" si="89"/>
        <v>#REF!</v>
      </c>
      <c r="AJ450" s="98" t="e">
        <f t="shared" si="93"/>
        <v>#REF!</v>
      </c>
      <c r="AK450" s="98" t="e">
        <f t="shared" si="93"/>
        <v>#REF!</v>
      </c>
    </row>
    <row r="451" spans="19:37">
      <c r="S451" s="97">
        <f t="shared" si="82"/>
        <v>0</v>
      </c>
      <c r="T451" s="97">
        <f t="shared" si="83"/>
        <v>0</v>
      </c>
      <c r="U451" s="98">
        <f t="shared" si="90"/>
        <v>0</v>
      </c>
      <c r="V451" s="98">
        <f t="shared" si="90"/>
        <v>0</v>
      </c>
      <c r="X451" s="97" t="e">
        <f t="shared" si="84"/>
        <v>#REF!</v>
      </c>
      <c r="Y451" s="97" t="e">
        <f t="shared" si="85"/>
        <v>#REF!</v>
      </c>
      <c r="Z451" s="98" t="e">
        <f t="shared" si="91"/>
        <v>#REF!</v>
      </c>
      <c r="AA451" s="98" t="e">
        <f t="shared" si="91"/>
        <v>#REF!</v>
      </c>
      <c r="AC451" s="97" t="e">
        <f t="shared" si="86"/>
        <v>#REF!</v>
      </c>
      <c r="AD451" s="97" t="e">
        <f t="shared" si="87"/>
        <v>#REF!</v>
      </c>
      <c r="AE451" s="98" t="e">
        <f t="shared" si="92"/>
        <v>#REF!</v>
      </c>
      <c r="AF451" s="98" t="e">
        <f t="shared" si="92"/>
        <v>#REF!</v>
      </c>
      <c r="AH451" s="97" t="e">
        <f t="shared" si="88"/>
        <v>#REF!</v>
      </c>
      <c r="AI451" s="97" t="e">
        <f t="shared" si="89"/>
        <v>#REF!</v>
      </c>
      <c r="AJ451" s="98" t="e">
        <f t="shared" si="93"/>
        <v>#REF!</v>
      </c>
      <c r="AK451" s="98" t="e">
        <f t="shared" si="93"/>
        <v>#REF!</v>
      </c>
    </row>
    <row r="452" spans="19:37">
      <c r="S452" s="97">
        <f t="shared" si="82"/>
        <v>0</v>
      </c>
      <c r="T452" s="97">
        <f t="shared" si="83"/>
        <v>0</v>
      </c>
      <c r="U452" s="98">
        <f t="shared" si="90"/>
        <v>0</v>
      </c>
      <c r="V452" s="98">
        <f t="shared" si="90"/>
        <v>0</v>
      </c>
      <c r="X452" s="97" t="e">
        <f t="shared" si="84"/>
        <v>#REF!</v>
      </c>
      <c r="Y452" s="97" t="e">
        <f t="shared" si="85"/>
        <v>#REF!</v>
      </c>
      <c r="Z452" s="98" t="e">
        <f t="shared" si="91"/>
        <v>#REF!</v>
      </c>
      <c r="AA452" s="98" t="e">
        <f t="shared" si="91"/>
        <v>#REF!</v>
      </c>
      <c r="AC452" s="97" t="e">
        <f t="shared" si="86"/>
        <v>#REF!</v>
      </c>
      <c r="AD452" s="97" t="e">
        <f t="shared" si="87"/>
        <v>#REF!</v>
      </c>
      <c r="AE452" s="98" t="e">
        <f t="shared" si="92"/>
        <v>#REF!</v>
      </c>
      <c r="AF452" s="98" t="e">
        <f t="shared" si="92"/>
        <v>#REF!</v>
      </c>
      <c r="AH452" s="97" t="e">
        <f t="shared" si="88"/>
        <v>#REF!</v>
      </c>
      <c r="AI452" s="97" t="e">
        <f t="shared" si="89"/>
        <v>#REF!</v>
      </c>
      <c r="AJ452" s="98" t="e">
        <f t="shared" si="93"/>
        <v>#REF!</v>
      </c>
      <c r="AK452" s="98" t="e">
        <f t="shared" si="93"/>
        <v>#REF!</v>
      </c>
    </row>
    <row r="453" spans="19:37">
      <c r="S453" s="97">
        <f t="shared" si="82"/>
        <v>0</v>
      </c>
      <c r="T453" s="97">
        <f t="shared" si="83"/>
        <v>0</v>
      </c>
      <c r="U453" s="98">
        <f t="shared" si="90"/>
        <v>0</v>
      </c>
      <c r="V453" s="98">
        <f t="shared" si="90"/>
        <v>0</v>
      </c>
      <c r="X453" s="97" t="e">
        <f t="shared" si="84"/>
        <v>#REF!</v>
      </c>
      <c r="Y453" s="97" t="e">
        <f t="shared" si="85"/>
        <v>#REF!</v>
      </c>
      <c r="Z453" s="98" t="e">
        <f t="shared" si="91"/>
        <v>#REF!</v>
      </c>
      <c r="AA453" s="98" t="e">
        <f t="shared" si="91"/>
        <v>#REF!</v>
      </c>
      <c r="AC453" s="97" t="e">
        <f t="shared" si="86"/>
        <v>#REF!</v>
      </c>
      <c r="AD453" s="97" t="e">
        <f t="shared" si="87"/>
        <v>#REF!</v>
      </c>
      <c r="AE453" s="98" t="e">
        <f t="shared" si="92"/>
        <v>#REF!</v>
      </c>
      <c r="AF453" s="98" t="e">
        <f t="shared" si="92"/>
        <v>#REF!</v>
      </c>
      <c r="AH453" s="97" t="e">
        <f t="shared" si="88"/>
        <v>#REF!</v>
      </c>
      <c r="AI453" s="97" t="e">
        <f t="shared" si="89"/>
        <v>#REF!</v>
      </c>
      <c r="AJ453" s="98" t="e">
        <f t="shared" si="93"/>
        <v>#REF!</v>
      </c>
      <c r="AK453" s="98" t="e">
        <f t="shared" si="93"/>
        <v>#REF!</v>
      </c>
    </row>
    <row r="454" spans="19:37">
      <c r="S454" s="97">
        <f t="shared" si="82"/>
        <v>0</v>
      </c>
      <c r="T454" s="97">
        <f t="shared" si="83"/>
        <v>0</v>
      </c>
      <c r="U454" s="98">
        <f t="shared" si="90"/>
        <v>0</v>
      </c>
      <c r="V454" s="98">
        <f t="shared" si="90"/>
        <v>0</v>
      </c>
      <c r="X454" s="97" t="e">
        <f t="shared" si="84"/>
        <v>#REF!</v>
      </c>
      <c r="Y454" s="97" t="e">
        <f t="shared" si="85"/>
        <v>#REF!</v>
      </c>
      <c r="Z454" s="98" t="e">
        <f t="shared" si="91"/>
        <v>#REF!</v>
      </c>
      <c r="AA454" s="98" t="e">
        <f t="shared" si="91"/>
        <v>#REF!</v>
      </c>
      <c r="AC454" s="97" t="e">
        <f t="shared" si="86"/>
        <v>#REF!</v>
      </c>
      <c r="AD454" s="97" t="e">
        <f t="shared" si="87"/>
        <v>#REF!</v>
      </c>
      <c r="AE454" s="98" t="e">
        <f t="shared" si="92"/>
        <v>#REF!</v>
      </c>
      <c r="AF454" s="98" t="e">
        <f t="shared" si="92"/>
        <v>#REF!</v>
      </c>
      <c r="AH454" s="97" t="e">
        <f t="shared" si="88"/>
        <v>#REF!</v>
      </c>
      <c r="AI454" s="97" t="e">
        <f t="shared" si="89"/>
        <v>#REF!</v>
      </c>
      <c r="AJ454" s="98" t="e">
        <f t="shared" si="93"/>
        <v>#REF!</v>
      </c>
      <c r="AK454" s="98" t="e">
        <f t="shared" si="93"/>
        <v>#REF!</v>
      </c>
    </row>
    <row r="455" spans="19:37">
      <c r="S455" s="97">
        <f t="shared" si="82"/>
        <v>0</v>
      </c>
      <c r="T455" s="97">
        <f t="shared" si="83"/>
        <v>0</v>
      </c>
      <c r="U455" s="98">
        <f t="shared" si="90"/>
        <v>0</v>
      </c>
      <c r="V455" s="98">
        <f t="shared" si="90"/>
        <v>0</v>
      </c>
      <c r="X455" s="97" t="e">
        <f t="shared" si="84"/>
        <v>#REF!</v>
      </c>
      <c r="Y455" s="97" t="e">
        <f t="shared" si="85"/>
        <v>#REF!</v>
      </c>
      <c r="Z455" s="98" t="e">
        <f t="shared" si="91"/>
        <v>#REF!</v>
      </c>
      <c r="AA455" s="98" t="e">
        <f t="shared" si="91"/>
        <v>#REF!</v>
      </c>
      <c r="AC455" s="97" t="e">
        <f t="shared" si="86"/>
        <v>#REF!</v>
      </c>
      <c r="AD455" s="97" t="e">
        <f t="shared" si="87"/>
        <v>#REF!</v>
      </c>
      <c r="AE455" s="98" t="e">
        <f t="shared" si="92"/>
        <v>#REF!</v>
      </c>
      <c r="AF455" s="98" t="e">
        <f t="shared" si="92"/>
        <v>#REF!</v>
      </c>
      <c r="AH455" s="97" t="e">
        <f t="shared" si="88"/>
        <v>#REF!</v>
      </c>
      <c r="AI455" s="97" t="e">
        <f t="shared" si="89"/>
        <v>#REF!</v>
      </c>
      <c r="AJ455" s="98" t="e">
        <f t="shared" si="93"/>
        <v>#REF!</v>
      </c>
      <c r="AK455" s="98" t="e">
        <f t="shared" si="93"/>
        <v>#REF!</v>
      </c>
    </row>
    <row r="456" spans="19:37">
      <c r="S456" s="97">
        <f t="shared" si="82"/>
        <v>0</v>
      </c>
      <c r="T456" s="97">
        <f t="shared" si="83"/>
        <v>0</v>
      </c>
      <c r="U456" s="98">
        <f t="shared" si="90"/>
        <v>0</v>
      </c>
      <c r="V456" s="98">
        <f t="shared" si="90"/>
        <v>0</v>
      </c>
      <c r="X456" s="97" t="e">
        <f t="shared" si="84"/>
        <v>#REF!</v>
      </c>
      <c r="Y456" s="97" t="e">
        <f t="shared" si="85"/>
        <v>#REF!</v>
      </c>
      <c r="Z456" s="98" t="e">
        <f t="shared" si="91"/>
        <v>#REF!</v>
      </c>
      <c r="AA456" s="98" t="e">
        <f t="shared" si="91"/>
        <v>#REF!</v>
      </c>
      <c r="AC456" s="97" t="e">
        <f t="shared" si="86"/>
        <v>#REF!</v>
      </c>
      <c r="AD456" s="97" t="e">
        <f t="shared" si="87"/>
        <v>#REF!</v>
      </c>
      <c r="AE456" s="98" t="e">
        <f t="shared" si="92"/>
        <v>#REF!</v>
      </c>
      <c r="AF456" s="98" t="e">
        <f t="shared" si="92"/>
        <v>#REF!</v>
      </c>
      <c r="AH456" s="97" t="e">
        <f t="shared" si="88"/>
        <v>#REF!</v>
      </c>
      <c r="AI456" s="97" t="e">
        <f t="shared" si="89"/>
        <v>#REF!</v>
      </c>
      <c r="AJ456" s="98" t="e">
        <f t="shared" si="93"/>
        <v>#REF!</v>
      </c>
      <c r="AK456" s="98" t="e">
        <f t="shared" si="93"/>
        <v>#REF!</v>
      </c>
    </row>
    <row r="457" spans="19:37">
      <c r="S457" s="97">
        <f t="shared" si="82"/>
        <v>0</v>
      </c>
      <c r="T457" s="97">
        <f t="shared" si="83"/>
        <v>0</v>
      </c>
      <c r="U457" s="98">
        <f t="shared" si="90"/>
        <v>0</v>
      </c>
      <c r="V457" s="98">
        <f t="shared" si="90"/>
        <v>0</v>
      </c>
      <c r="X457" s="97" t="e">
        <f t="shared" si="84"/>
        <v>#REF!</v>
      </c>
      <c r="Y457" s="97" t="e">
        <f t="shared" si="85"/>
        <v>#REF!</v>
      </c>
      <c r="Z457" s="98" t="e">
        <f t="shared" si="91"/>
        <v>#REF!</v>
      </c>
      <c r="AA457" s="98" t="e">
        <f t="shared" si="91"/>
        <v>#REF!</v>
      </c>
      <c r="AC457" s="97" t="e">
        <f t="shared" si="86"/>
        <v>#REF!</v>
      </c>
      <c r="AD457" s="97" t="e">
        <f t="shared" si="87"/>
        <v>#REF!</v>
      </c>
      <c r="AE457" s="98" t="e">
        <f t="shared" si="92"/>
        <v>#REF!</v>
      </c>
      <c r="AF457" s="98" t="e">
        <f t="shared" si="92"/>
        <v>#REF!</v>
      </c>
      <c r="AH457" s="97" t="e">
        <f t="shared" si="88"/>
        <v>#REF!</v>
      </c>
      <c r="AI457" s="97" t="e">
        <f t="shared" si="89"/>
        <v>#REF!</v>
      </c>
      <c r="AJ457" s="98" t="e">
        <f t="shared" si="93"/>
        <v>#REF!</v>
      </c>
      <c r="AK457" s="98" t="e">
        <f t="shared" si="93"/>
        <v>#REF!</v>
      </c>
    </row>
    <row r="458" spans="19:37">
      <c r="S458" s="97">
        <f t="shared" si="82"/>
        <v>0</v>
      </c>
      <c r="T458" s="97">
        <f t="shared" si="83"/>
        <v>0</v>
      </c>
      <c r="U458" s="98">
        <f t="shared" si="90"/>
        <v>0</v>
      </c>
      <c r="V458" s="98">
        <f t="shared" si="90"/>
        <v>0</v>
      </c>
      <c r="X458" s="97" t="e">
        <f t="shared" si="84"/>
        <v>#REF!</v>
      </c>
      <c r="Y458" s="97" t="e">
        <f t="shared" si="85"/>
        <v>#REF!</v>
      </c>
      <c r="Z458" s="98" t="e">
        <f t="shared" si="91"/>
        <v>#REF!</v>
      </c>
      <c r="AA458" s="98" t="e">
        <f t="shared" si="91"/>
        <v>#REF!</v>
      </c>
      <c r="AC458" s="97" t="e">
        <f t="shared" si="86"/>
        <v>#REF!</v>
      </c>
      <c r="AD458" s="97" t="e">
        <f t="shared" si="87"/>
        <v>#REF!</v>
      </c>
      <c r="AE458" s="98" t="e">
        <f t="shared" si="92"/>
        <v>#REF!</v>
      </c>
      <c r="AF458" s="98" t="e">
        <f t="shared" si="92"/>
        <v>#REF!</v>
      </c>
      <c r="AH458" s="97" t="e">
        <f t="shared" si="88"/>
        <v>#REF!</v>
      </c>
      <c r="AI458" s="97" t="e">
        <f t="shared" si="89"/>
        <v>#REF!</v>
      </c>
      <c r="AJ458" s="98" t="e">
        <f t="shared" si="93"/>
        <v>#REF!</v>
      </c>
      <c r="AK458" s="98" t="e">
        <f t="shared" si="93"/>
        <v>#REF!</v>
      </c>
    </row>
    <row r="459" spans="19:37">
      <c r="S459" s="97">
        <f t="shared" si="82"/>
        <v>0</v>
      </c>
      <c r="T459" s="97">
        <f t="shared" si="83"/>
        <v>0</v>
      </c>
      <c r="U459" s="98">
        <f t="shared" si="90"/>
        <v>0</v>
      </c>
      <c r="V459" s="98">
        <f t="shared" si="90"/>
        <v>0</v>
      </c>
      <c r="X459" s="97" t="e">
        <f t="shared" si="84"/>
        <v>#REF!</v>
      </c>
      <c r="Y459" s="97" t="e">
        <f t="shared" si="85"/>
        <v>#REF!</v>
      </c>
      <c r="Z459" s="98" t="e">
        <f t="shared" si="91"/>
        <v>#REF!</v>
      </c>
      <c r="AA459" s="98" t="e">
        <f t="shared" si="91"/>
        <v>#REF!</v>
      </c>
      <c r="AC459" s="97" t="e">
        <f t="shared" si="86"/>
        <v>#REF!</v>
      </c>
      <c r="AD459" s="97" t="e">
        <f t="shared" si="87"/>
        <v>#REF!</v>
      </c>
      <c r="AE459" s="98" t="e">
        <f t="shared" si="92"/>
        <v>#REF!</v>
      </c>
      <c r="AF459" s="98" t="e">
        <f t="shared" si="92"/>
        <v>#REF!</v>
      </c>
      <c r="AH459" s="97" t="e">
        <f t="shared" si="88"/>
        <v>#REF!</v>
      </c>
      <c r="AI459" s="97" t="e">
        <f t="shared" si="89"/>
        <v>#REF!</v>
      </c>
      <c r="AJ459" s="98" t="e">
        <f t="shared" si="93"/>
        <v>#REF!</v>
      </c>
      <c r="AK459" s="98" t="e">
        <f t="shared" si="93"/>
        <v>#REF!</v>
      </c>
    </row>
    <row r="460" spans="19:37">
      <c r="S460" s="97">
        <f t="shared" si="82"/>
        <v>0</v>
      </c>
      <c r="T460" s="97">
        <f t="shared" si="83"/>
        <v>0</v>
      </c>
      <c r="U460" s="98">
        <f t="shared" si="90"/>
        <v>0</v>
      </c>
      <c r="V460" s="98">
        <f t="shared" si="90"/>
        <v>0</v>
      </c>
      <c r="X460" s="97" t="e">
        <f t="shared" si="84"/>
        <v>#REF!</v>
      </c>
      <c r="Y460" s="97" t="e">
        <f t="shared" si="85"/>
        <v>#REF!</v>
      </c>
      <c r="Z460" s="98" t="e">
        <f t="shared" si="91"/>
        <v>#REF!</v>
      </c>
      <c r="AA460" s="98" t="e">
        <f t="shared" si="91"/>
        <v>#REF!</v>
      </c>
      <c r="AC460" s="97" t="e">
        <f t="shared" si="86"/>
        <v>#REF!</v>
      </c>
      <c r="AD460" s="97" t="e">
        <f t="shared" si="87"/>
        <v>#REF!</v>
      </c>
      <c r="AE460" s="98" t="e">
        <f t="shared" si="92"/>
        <v>#REF!</v>
      </c>
      <c r="AF460" s="98" t="e">
        <f t="shared" si="92"/>
        <v>#REF!</v>
      </c>
      <c r="AH460" s="97" t="e">
        <f t="shared" si="88"/>
        <v>#REF!</v>
      </c>
      <c r="AI460" s="97" t="e">
        <f t="shared" si="89"/>
        <v>#REF!</v>
      </c>
      <c r="AJ460" s="98" t="e">
        <f t="shared" si="93"/>
        <v>#REF!</v>
      </c>
      <c r="AK460" s="98" t="e">
        <f t="shared" si="93"/>
        <v>#REF!</v>
      </c>
    </row>
    <row r="461" spans="19:37">
      <c r="S461" s="97">
        <f t="shared" si="82"/>
        <v>0</v>
      </c>
      <c r="T461" s="97">
        <f t="shared" si="83"/>
        <v>0</v>
      </c>
      <c r="U461" s="98">
        <f t="shared" si="90"/>
        <v>0</v>
      </c>
      <c r="V461" s="98">
        <f t="shared" si="90"/>
        <v>0</v>
      </c>
      <c r="X461" s="97" t="e">
        <f t="shared" si="84"/>
        <v>#REF!</v>
      </c>
      <c r="Y461" s="97" t="e">
        <f t="shared" si="85"/>
        <v>#REF!</v>
      </c>
      <c r="Z461" s="98" t="e">
        <f t="shared" si="91"/>
        <v>#REF!</v>
      </c>
      <c r="AA461" s="98" t="e">
        <f t="shared" si="91"/>
        <v>#REF!</v>
      </c>
      <c r="AC461" s="97" t="e">
        <f t="shared" si="86"/>
        <v>#REF!</v>
      </c>
      <c r="AD461" s="97" t="e">
        <f t="shared" si="87"/>
        <v>#REF!</v>
      </c>
      <c r="AE461" s="98" t="e">
        <f t="shared" si="92"/>
        <v>#REF!</v>
      </c>
      <c r="AF461" s="98" t="e">
        <f t="shared" si="92"/>
        <v>#REF!</v>
      </c>
      <c r="AH461" s="97" t="e">
        <f t="shared" si="88"/>
        <v>#REF!</v>
      </c>
      <c r="AI461" s="97" t="e">
        <f t="shared" si="89"/>
        <v>#REF!</v>
      </c>
      <c r="AJ461" s="98" t="e">
        <f t="shared" si="93"/>
        <v>#REF!</v>
      </c>
      <c r="AK461" s="98" t="e">
        <f t="shared" si="93"/>
        <v>#REF!</v>
      </c>
    </row>
    <row r="462" spans="19:37">
      <c r="S462" s="97">
        <f t="shared" ref="S462:S525" si="94">IF($A462&lt;&gt;"(DC)", $E462*$R$7, $E462)</f>
        <v>0</v>
      </c>
      <c r="T462" s="97">
        <f t="shared" ref="T462:T525" si="95">IF($A462&lt;&gt;"(DC)", $F462*$R$7, $F462)</f>
        <v>0</v>
      </c>
      <c r="U462" s="98">
        <f t="shared" si="90"/>
        <v>0</v>
      </c>
      <c r="V462" s="98">
        <f t="shared" si="90"/>
        <v>0</v>
      </c>
      <c r="X462" s="97" t="e">
        <f t="shared" ref="X462:X525" si="96">IF($A462&lt;&gt;"(DC)", $E462*$W$7, $E462)</f>
        <v>#REF!</v>
      </c>
      <c r="Y462" s="97" t="e">
        <f t="shared" ref="Y462:Y525" si="97">IF($A462&lt;&gt;"(DC)", $F462*$W$7, $F462)</f>
        <v>#REF!</v>
      </c>
      <c r="Z462" s="98" t="e">
        <f t="shared" si="91"/>
        <v>#REF!</v>
      </c>
      <c r="AA462" s="98" t="e">
        <f t="shared" si="91"/>
        <v>#REF!</v>
      </c>
      <c r="AC462" s="97" t="e">
        <f t="shared" ref="AC462:AC525" si="98">IF($A462&lt;&gt;"(DC)", $E462*$AB$7, $E462)</f>
        <v>#REF!</v>
      </c>
      <c r="AD462" s="97" t="e">
        <f t="shared" ref="AD462:AD525" si="99">IF($A462&lt;&gt;"(DC)", $F462*$AB$7, $F462)</f>
        <v>#REF!</v>
      </c>
      <c r="AE462" s="98" t="e">
        <f t="shared" si="92"/>
        <v>#REF!</v>
      </c>
      <c r="AF462" s="98" t="e">
        <f t="shared" si="92"/>
        <v>#REF!</v>
      </c>
      <c r="AH462" s="97" t="e">
        <f t="shared" ref="AH462:AH525" si="100">IF($A462&lt;&gt;"(DC)", $E462*$AG$7, $E462)</f>
        <v>#REF!</v>
      </c>
      <c r="AI462" s="97" t="e">
        <f t="shared" ref="AI462:AI525" si="101">IF($A462&lt;&gt;"(DC)", $F462*$AG$7, $F462)</f>
        <v>#REF!</v>
      </c>
      <c r="AJ462" s="98" t="e">
        <f t="shared" si="93"/>
        <v>#REF!</v>
      </c>
      <c r="AK462" s="98" t="e">
        <f t="shared" si="93"/>
        <v>#REF!</v>
      </c>
    </row>
    <row r="463" spans="19:37">
      <c r="S463" s="97">
        <f t="shared" si="94"/>
        <v>0</v>
      </c>
      <c r="T463" s="97">
        <f t="shared" si="95"/>
        <v>0</v>
      </c>
      <c r="U463" s="98">
        <f t="shared" si="90"/>
        <v>0</v>
      </c>
      <c r="V463" s="98">
        <f t="shared" si="90"/>
        <v>0</v>
      </c>
      <c r="X463" s="97" t="e">
        <f t="shared" si="96"/>
        <v>#REF!</v>
      </c>
      <c r="Y463" s="97" t="e">
        <f t="shared" si="97"/>
        <v>#REF!</v>
      </c>
      <c r="Z463" s="98" t="e">
        <f t="shared" si="91"/>
        <v>#REF!</v>
      </c>
      <c r="AA463" s="98" t="e">
        <f t="shared" si="91"/>
        <v>#REF!</v>
      </c>
      <c r="AC463" s="97" t="e">
        <f t="shared" si="98"/>
        <v>#REF!</v>
      </c>
      <c r="AD463" s="97" t="e">
        <f t="shared" si="99"/>
        <v>#REF!</v>
      </c>
      <c r="AE463" s="98" t="e">
        <f t="shared" si="92"/>
        <v>#REF!</v>
      </c>
      <c r="AF463" s="98" t="e">
        <f t="shared" si="92"/>
        <v>#REF!</v>
      </c>
      <c r="AH463" s="97" t="e">
        <f t="shared" si="100"/>
        <v>#REF!</v>
      </c>
      <c r="AI463" s="97" t="e">
        <f t="shared" si="101"/>
        <v>#REF!</v>
      </c>
      <c r="AJ463" s="98" t="e">
        <f t="shared" si="93"/>
        <v>#REF!</v>
      </c>
      <c r="AK463" s="98" t="e">
        <f t="shared" si="93"/>
        <v>#REF!</v>
      </c>
    </row>
    <row r="464" spans="19:37">
      <c r="S464" s="97">
        <f t="shared" si="94"/>
        <v>0</v>
      </c>
      <c r="T464" s="97">
        <f t="shared" si="95"/>
        <v>0</v>
      </c>
      <c r="U464" s="98">
        <f t="shared" si="90"/>
        <v>0</v>
      </c>
      <c r="V464" s="98">
        <f t="shared" si="90"/>
        <v>0</v>
      </c>
      <c r="X464" s="97" t="e">
        <f t="shared" si="96"/>
        <v>#REF!</v>
      </c>
      <c r="Y464" s="97" t="e">
        <f t="shared" si="97"/>
        <v>#REF!</v>
      </c>
      <c r="Z464" s="98" t="e">
        <f t="shared" si="91"/>
        <v>#REF!</v>
      </c>
      <c r="AA464" s="98" t="e">
        <f t="shared" si="91"/>
        <v>#REF!</v>
      </c>
      <c r="AC464" s="97" t="e">
        <f t="shared" si="98"/>
        <v>#REF!</v>
      </c>
      <c r="AD464" s="97" t="e">
        <f t="shared" si="99"/>
        <v>#REF!</v>
      </c>
      <c r="AE464" s="98" t="e">
        <f t="shared" si="92"/>
        <v>#REF!</v>
      </c>
      <c r="AF464" s="98" t="e">
        <f t="shared" si="92"/>
        <v>#REF!</v>
      </c>
      <c r="AH464" s="97" t="e">
        <f t="shared" si="100"/>
        <v>#REF!</v>
      </c>
      <c r="AI464" s="97" t="e">
        <f t="shared" si="101"/>
        <v>#REF!</v>
      </c>
      <c r="AJ464" s="98" t="e">
        <f t="shared" si="93"/>
        <v>#REF!</v>
      </c>
      <c r="AK464" s="98" t="e">
        <f t="shared" si="93"/>
        <v>#REF!</v>
      </c>
    </row>
    <row r="465" spans="19:37">
      <c r="S465" s="97">
        <f t="shared" si="94"/>
        <v>0</v>
      </c>
      <c r="T465" s="97">
        <f t="shared" si="95"/>
        <v>0</v>
      </c>
      <c r="U465" s="98">
        <f t="shared" si="90"/>
        <v>0</v>
      </c>
      <c r="V465" s="98">
        <f t="shared" si="90"/>
        <v>0</v>
      </c>
      <c r="X465" s="97" t="e">
        <f t="shared" si="96"/>
        <v>#REF!</v>
      </c>
      <c r="Y465" s="97" t="e">
        <f t="shared" si="97"/>
        <v>#REF!</v>
      </c>
      <c r="Z465" s="98" t="e">
        <f t="shared" si="91"/>
        <v>#REF!</v>
      </c>
      <c r="AA465" s="98" t="e">
        <f t="shared" si="91"/>
        <v>#REF!</v>
      </c>
      <c r="AC465" s="97" t="e">
        <f t="shared" si="98"/>
        <v>#REF!</v>
      </c>
      <c r="AD465" s="97" t="e">
        <f t="shared" si="99"/>
        <v>#REF!</v>
      </c>
      <c r="AE465" s="98" t="e">
        <f t="shared" si="92"/>
        <v>#REF!</v>
      </c>
      <c r="AF465" s="98" t="e">
        <f t="shared" si="92"/>
        <v>#REF!</v>
      </c>
      <c r="AH465" s="97" t="e">
        <f t="shared" si="100"/>
        <v>#REF!</v>
      </c>
      <c r="AI465" s="97" t="e">
        <f t="shared" si="101"/>
        <v>#REF!</v>
      </c>
      <c r="AJ465" s="98" t="e">
        <f t="shared" si="93"/>
        <v>#REF!</v>
      </c>
      <c r="AK465" s="98" t="e">
        <f t="shared" si="93"/>
        <v>#REF!</v>
      </c>
    </row>
    <row r="466" spans="19:37">
      <c r="S466" s="97">
        <f t="shared" si="94"/>
        <v>0</v>
      </c>
      <c r="T466" s="97">
        <f t="shared" si="95"/>
        <v>0</v>
      </c>
      <c r="U466" s="98">
        <f t="shared" si="90"/>
        <v>0</v>
      </c>
      <c r="V466" s="98">
        <f t="shared" si="90"/>
        <v>0</v>
      </c>
      <c r="X466" s="97" t="e">
        <f t="shared" si="96"/>
        <v>#REF!</v>
      </c>
      <c r="Y466" s="97" t="e">
        <f t="shared" si="97"/>
        <v>#REF!</v>
      </c>
      <c r="Z466" s="98" t="e">
        <f t="shared" si="91"/>
        <v>#REF!</v>
      </c>
      <c r="AA466" s="98" t="e">
        <f t="shared" si="91"/>
        <v>#REF!</v>
      </c>
      <c r="AC466" s="97" t="e">
        <f t="shared" si="98"/>
        <v>#REF!</v>
      </c>
      <c r="AD466" s="97" t="e">
        <f t="shared" si="99"/>
        <v>#REF!</v>
      </c>
      <c r="AE466" s="98" t="e">
        <f t="shared" si="92"/>
        <v>#REF!</v>
      </c>
      <c r="AF466" s="98" t="e">
        <f t="shared" si="92"/>
        <v>#REF!</v>
      </c>
      <c r="AH466" s="97" t="e">
        <f t="shared" si="100"/>
        <v>#REF!</v>
      </c>
      <c r="AI466" s="97" t="e">
        <f t="shared" si="101"/>
        <v>#REF!</v>
      </c>
      <c r="AJ466" s="98" t="e">
        <f t="shared" si="93"/>
        <v>#REF!</v>
      </c>
      <c r="AK466" s="98" t="e">
        <f t="shared" si="93"/>
        <v>#REF!</v>
      </c>
    </row>
    <row r="467" spans="19:37">
      <c r="S467" s="97">
        <f t="shared" si="94"/>
        <v>0</v>
      </c>
      <c r="T467" s="97">
        <f t="shared" si="95"/>
        <v>0</v>
      </c>
      <c r="U467" s="98">
        <f t="shared" si="90"/>
        <v>0</v>
      </c>
      <c r="V467" s="98">
        <f t="shared" si="90"/>
        <v>0</v>
      </c>
      <c r="X467" s="97" t="e">
        <f t="shared" si="96"/>
        <v>#REF!</v>
      </c>
      <c r="Y467" s="97" t="e">
        <f t="shared" si="97"/>
        <v>#REF!</v>
      </c>
      <c r="Z467" s="98" t="e">
        <f t="shared" si="91"/>
        <v>#REF!</v>
      </c>
      <c r="AA467" s="98" t="e">
        <f t="shared" si="91"/>
        <v>#REF!</v>
      </c>
      <c r="AC467" s="97" t="e">
        <f t="shared" si="98"/>
        <v>#REF!</v>
      </c>
      <c r="AD467" s="97" t="e">
        <f t="shared" si="99"/>
        <v>#REF!</v>
      </c>
      <c r="AE467" s="98" t="e">
        <f t="shared" si="92"/>
        <v>#REF!</v>
      </c>
      <c r="AF467" s="98" t="e">
        <f t="shared" si="92"/>
        <v>#REF!</v>
      </c>
      <c r="AH467" s="97" t="e">
        <f t="shared" si="100"/>
        <v>#REF!</v>
      </c>
      <c r="AI467" s="97" t="e">
        <f t="shared" si="101"/>
        <v>#REF!</v>
      </c>
      <c r="AJ467" s="98" t="e">
        <f t="shared" si="93"/>
        <v>#REF!</v>
      </c>
      <c r="AK467" s="98" t="e">
        <f t="shared" si="93"/>
        <v>#REF!</v>
      </c>
    </row>
    <row r="468" spans="19:37">
      <c r="S468" s="97">
        <f t="shared" si="94"/>
        <v>0</v>
      </c>
      <c r="T468" s="97">
        <f t="shared" si="95"/>
        <v>0</v>
      </c>
      <c r="U468" s="98">
        <f t="shared" si="90"/>
        <v>0</v>
      </c>
      <c r="V468" s="98">
        <f t="shared" si="90"/>
        <v>0</v>
      </c>
      <c r="X468" s="97" t="e">
        <f t="shared" si="96"/>
        <v>#REF!</v>
      </c>
      <c r="Y468" s="97" t="e">
        <f t="shared" si="97"/>
        <v>#REF!</v>
      </c>
      <c r="Z468" s="98" t="e">
        <f t="shared" si="91"/>
        <v>#REF!</v>
      </c>
      <c r="AA468" s="98" t="e">
        <f t="shared" si="91"/>
        <v>#REF!</v>
      </c>
      <c r="AC468" s="97" t="e">
        <f t="shared" si="98"/>
        <v>#REF!</v>
      </c>
      <c r="AD468" s="97" t="e">
        <f t="shared" si="99"/>
        <v>#REF!</v>
      </c>
      <c r="AE468" s="98" t="e">
        <f t="shared" si="92"/>
        <v>#REF!</v>
      </c>
      <c r="AF468" s="98" t="e">
        <f t="shared" si="92"/>
        <v>#REF!</v>
      </c>
      <c r="AH468" s="97" t="e">
        <f t="shared" si="100"/>
        <v>#REF!</v>
      </c>
      <c r="AI468" s="97" t="e">
        <f t="shared" si="101"/>
        <v>#REF!</v>
      </c>
      <c r="AJ468" s="98" t="e">
        <f t="shared" si="93"/>
        <v>#REF!</v>
      </c>
      <c r="AK468" s="98" t="e">
        <f t="shared" si="93"/>
        <v>#REF!</v>
      </c>
    </row>
    <row r="469" spans="19:37">
      <c r="S469" s="97">
        <f t="shared" si="94"/>
        <v>0</v>
      </c>
      <c r="T469" s="97">
        <f t="shared" si="95"/>
        <v>0</v>
      </c>
      <c r="U469" s="98">
        <f t="shared" si="90"/>
        <v>0</v>
      </c>
      <c r="V469" s="98">
        <f t="shared" si="90"/>
        <v>0</v>
      </c>
      <c r="X469" s="97" t="e">
        <f t="shared" si="96"/>
        <v>#REF!</v>
      </c>
      <c r="Y469" s="97" t="e">
        <f t="shared" si="97"/>
        <v>#REF!</v>
      </c>
      <c r="Z469" s="98" t="e">
        <f t="shared" si="91"/>
        <v>#REF!</v>
      </c>
      <c r="AA469" s="98" t="e">
        <f t="shared" si="91"/>
        <v>#REF!</v>
      </c>
      <c r="AC469" s="97" t="e">
        <f t="shared" si="98"/>
        <v>#REF!</v>
      </c>
      <c r="AD469" s="97" t="e">
        <f t="shared" si="99"/>
        <v>#REF!</v>
      </c>
      <c r="AE469" s="98" t="e">
        <f t="shared" si="92"/>
        <v>#REF!</v>
      </c>
      <c r="AF469" s="98" t="e">
        <f t="shared" si="92"/>
        <v>#REF!</v>
      </c>
      <c r="AH469" s="97" t="e">
        <f t="shared" si="100"/>
        <v>#REF!</v>
      </c>
      <c r="AI469" s="97" t="e">
        <f t="shared" si="101"/>
        <v>#REF!</v>
      </c>
      <c r="AJ469" s="98" t="e">
        <f t="shared" si="93"/>
        <v>#REF!</v>
      </c>
      <c r="AK469" s="98" t="e">
        <f t="shared" si="93"/>
        <v>#REF!</v>
      </c>
    </row>
    <row r="470" spans="19:37">
      <c r="S470" s="97">
        <f t="shared" si="94"/>
        <v>0</v>
      </c>
      <c r="T470" s="97">
        <f t="shared" si="95"/>
        <v>0</v>
      </c>
      <c r="U470" s="98">
        <f t="shared" si="90"/>
        <v>0</v>
      </c>
      <c r="V470" s="98">
        <f t="shared" si="90"/>
        <v>0</v>
      </c>
      <c r="X470" s="97" t="e">
        <f t="shared" si="96"/>
        <v>#REF!</v>
      </c>
      <c r="Y470" s="97" t="e">
        <f t="shared" si="97"/>
        <v>#REF!</v>
      </c>
      <c r="Z470" s="98" t="e">
        <f t="shared" si="91"/>
        <v>#REF!</v>
      </c>
      <c r="AA470" s="98" t="e">
        <f t="shared" si="91"/>
        <v>#REF!</v>
      </c>
      <c r="AC470" s="97" t="e">
        <f t="shared" si="98"/>
        <v>#REF!</v>
      </c>
      <c r="AD470" s="97" t="e">
        <f t="shared" si="99"/>
        <v>#REF!</v>
      </c>
      <c r="AE470" s="98" t="e">
        <f t="shared" si="92"/>
        <v>#REF!</v>
      </c>
      <c r="AF470" s="98" t="e">
        <f t="shared" si="92"/>
        <v>#REF!</v>
      </c>
      <c r="AH470" s="97" t="e">
        <f t="shared" si="100"/>
        <v>#REF!</v>
      </c>
      <c r="AI470" s="97" t="e">
        <f t="shared" si="101"/>
        <v>#REF!</v>
      </c>
      <c r="AJ470" s="98" t="e">
        <f t="shared" si="93"/>
        <v>#REF!</v>
      </c>
      <c r="AK470" s="98" t="e">
        <f t="shared" si="93"/>
        <v>#REF!</v>
      </c>
    </row>
    <row r="471" spans="19:37">
      <c r="S471" s="97">
        <f t="shared" si="94"/>
        <v>0</v>
      </c>
      <c r="T471" s="97">
        <f t="shared" si="95"/>
        <v>0</v>
      </c>
      <c r="U471" s="98">
        <f t="shared" si="90"/>
        <v>0</v>
      </c>
      <c r="V471" s="98">
        <f t="shared" si="90"/>
        <v>0</v>
      </c>
      <c r="X471" s="97" t="e">
        <f t="shared" si="96"/>
        <v>#REF!</v>
      </c>
      <c r="Y471" s="97" t="e">
        <f t="shared" si="97"/>
        <v>#REF!</v>
      </c>
      <c r="Z471" s="98" t="e">
        <f t="shared" si="91"/>
        <v>#REF!</v>
      </c>
      <c r="AA471" s="98" t="e">
        <f t="shared" si="91"/>
        <v>#REF!</v>
      </c>
      <c r="AC471" s="97" t="e">
        <f t="shared" si="98"/>
        <v>#REF!</v>
      </c>
      <c r="AD471" s="97" t="e">
        <f t="shared" si="99"/>
        <v>#REF!</v>
      </c>
      <c r="AE471" s="98" t="e">
        <f t="shared" si="92"/>
        <v>#REF!</v>
      </c>
      <c r="AF471" s="98" t="e">
        <f t="shared" si="92"/>
        <v>#REF!</v>
      </c>
      <c r="AH471" s="97" t="e">
        <f t="shared" si="100"/>
        <v>#REF!</v>
      </c>
      <c r="AI471" s="97" t="e">
        <f t="shared" si="101"/>
        <v>#REF!</v>
      </c>
      <c r="AJ471" s="98" t="e">
        <f t="shared" si="93"/>
        <v>#REF!</v>
      </c>
      <c r="AK471" s="98" t="e">
        <f t="shared" si="93"/>
        <v>#REF!</v>
      </c>
    </row>
    <row r="472" spans="19:37">
      <c r="S472" s="97">
        <f t="shared" si="94"/>
        <v>0</v>
      </c>
      <c r="T472" s="97">
        <f t="shared" si="95"/>
        <v>0</v>
      </c>
      <c r="U472" s="98">
        <f t="shared" si="90"/>
        <v>0</v>
      </c>
      <c r="V472" s="98">
        <f t="shared" si="90"/>
        <v>0</v>
      </c>
      <c r="X472" s="97" t="e">
        <f t="shared" si="96"/>
        <v>#REF!</v>
      </c>
      <c r="Y472" s="97" t="e">
        <f t="shared" si="97"/>
        <v>#REF!</v>
      </c>
      <c r="Z472" s="98" t="e">
        <f t="shared" si="91"/>
        <v>#REF!</v>
      </c>
      <c r="AA472" s="98" t="e">
        <f t="shared" si="91"/>
        <v>#REF!</v>
      </c>
      <c r="AC472" s="97" t="e">
        <f t="shared" si="98"/>
        <v>#REF!</v>
      </c>
      <c r="AD472" s="97" t="e">
        <f t="shared" si="99"/>
        <v>#REF!</v>
      </c>
      <c r="AE472" s="98" t="e">
        <f t="shared" si="92"/>
        <v>#REF!</v>
      </c>
      <c r="AF472" s="98" t="e">
        <f t="shared" si="92"/>
        <v>#REF!</v>
      </c>
      <c r="AH472" s="97" t="e">
        <f t="shared" si="100"/>
        <v>#REF!</v>
      </c>
      <c r="AI472" s="97" t="e">
        <f t="shared" si="101"/>
        <v>#REF!</v>
      </c>
      <c r="AJ472" s="98" t="e">
        <f t="shared" si="93"/>
        <v>#REF!</v>
      </c>
      <c r="AK472" s="98" t="e">
        <f t="shared" si="93"/>
        <v>#REF!</v>
      </c>
    </row>
    <row r="473" spans="19:37">
      <c r="S473" s="97">
        <f t="shared" si="94"/>
        <v>0</v>
      </c>
      <c r="T473" s="97">
        <f t="shared" si="95"/>
        <v>0</v>
      </c>
      <c r="U473" s="98">
        <f t="shared" si="90"/>
        <v>0</v>
      </c>
      <c r="V473" s="98">
        <f t="shared" si="90"/>
        <v>0</v>
      </c>
      <c r="X473" s="97" t="e">
        <f t="shared" si="96"/>
        <v>#REF!</v>
      </c>
      <c r="Y473" s="97" t="e">
        <f t="shared" si="97"/>
        <v>#REF!</v>
      </c>
      <c r="Z473" s="98" t="e">
        <f t="shared" si="91"/>
        <v>#REF!</v>
      </c>
      <c r="AA473" s="98" t="e">
        <f t="shared" si="91"/>
        <v>#REF!</v>
      </c>
      <c r="AC473" s="97" t="e">
        <f t="shared" si="98"/>
        <v>#REF!</v>
      </c>
      <c r="AD473" s="97" t="e">
        <f t="shared" si="99"/>
        <v>#REF!</v>
      </c>
      <c r="AE473" s="98" t="e">
        <f t="shared" si="92"/>
        <v>#REF!</v>
      </c>
      <c r="AF473" s="98" t="e">
        <f t="shared" si="92"/>
        <v>#REF!</v>
      </c>
      <c r="AH473" s="97" t="e">
        <f t="shared" si="100"/>
        <v>#REF!</v>
      </c>
      <c r="AI473" s="97" t="e">
        <f t="shared" si="101"/>
        <v>#REF!</v>
      </c>
      <c r="AJ473" s="98" t="e">
        <f t="shared" si="93"/>
        <v>#REF!</v>
      </c>
      <c r="AK473" s="98" t="e">
        <f t="shared" si="93"/>
        <v>#REF!</v>
      </c>
    </row>
    <row r="474" spans="19:37">
      <c r="S474" s="97">
        <f t="shared" si="94"/>
        <v>0</v>
      </c>
      <c r="T474" s="97">
        <f t="shared" si="95"/>
        <v>0</v>
      </c>
      <c r="U474" s="98">
        <f t="shared" si="90"/>
        <v>0</v>
      </c>
      <c r="V474" s="98">
        <f t="shared" si="90"/>
        <v>0</v>
      </c>
      <c r="X474" s="97" t="e">
        <f t="shared" si="96"/>
        <v>#REF!</v>
      </c>
      <c r="Y474" s="97" t="e">
        <f t="shared" si="97"/>
        <v>#REF!</v>
      </c>
      <c r="Z474" s="98" t="e">
        <f t="shared" si="91"/>
        <v>#REF!</v>
      </c>
      <c r="AA474" s="98" t="e">
        <f t="shared" si="91"/>
        <v>#REF!</v>
      </c>
      <c r="AC474" s="97" t="e">
        <f t="shared" si="98"/>
        <v>#REF!</v>
      </c>
      <c r="AD474" s="97" t="e">
        <f t="shared" si="99"/>
        <v>#REF!</v>
      </c>
      <c r="AE474" s="98" t="e">
        <f t="shared" si="92"/>
        <v>#REF!</v>
      </c>
      <c r="AF474" s="98" t="e">
        <f t="shared" si="92"/>
        <v>#REF!</v>
      </c>
      <c r="AH474" s="97" t="e">
        <f t="shared" si="100"/>
        <v>#REF!</v>
      </c>
      <c r="AI474" s="97" t="e">
        <f t="shared" si="101"/>
        <v>#REF!</v>
      </c>
      <c r="AJ474" s="98" t="e">
        <f t="shared" si="93"/>
        <v>#REF!</v>
      </c>
      <c r="AK474" s="98" t="e">
        <f t="shared" si="93"/>
        <v>#REF!</v>
      </c>
    </row>
    <row r="475" spans="19:37">
      <c r="S475" s="97">
        <f t="shared" si="94"/>
        <v>0</v>
      </c>
      <c r="T475" s="97">
        <f t="shared" si="95"/>
        <v>0</v>
      </c>
      <c r="U475" s="98">
        <f t="shared" si="90"/>
        <v>0</v>
      </c>
      <c r="V475" s="98">
        <f t="shared" si="90"/>
        <v>0</v>
      </c>
      <c r="X475" s="97" t="e">
        <f t="shared" si="96"/>
        <v>#REF!</v>
      </c>
      <c r="Y475" s="97" t="e">
        <f t="shared" si="97"/>
        <v>#REF!</v>
      </c>
      <c r="Z475" s="98" t="e">
        <f t="shared" si="91"/>
        <v>#REF!</v>
      </c>
      <c r="AA475" s="98" t="e">
        <f t="shared" si="91"/>
        <v>#REF!</v>
      </c>
      <c r="AC475" s="97" t="e">
        <f t="shared" si="98"/>
        <v>#REF!</v>
      </c>
      <c r="AD475" s="97" t="e">
        <f t="shared" si="99"/>
        <v>#REF!</v>
      </c>
      <c r="AE475" s="98" t="e">
        <f t="shared" si="92"/>
        <v>#REF!</v>
      </c>
      <c r="AF475" s="98" t="e">
        <f t="shared" si="92"/>
        <v>#REF!</v>
      </c>
      <c r="AH475" s="97" t="e">
        <f t="shared" si="100"/>
        <v>#REF!</v>
      </c>
      <c r="AI475" s="97" t="e">
        <f t="shared" si="101"/>
        <v>#REF!</v>
      </c>
      <c r="AJ475" s="98" t="e">
        <f t="shared" si="93"/>
        <v>#REF!</v>
      </c>
      <c r="AK475" s="98" t="e">
        <f t="shared" si="93"/>
        <v>#REF!</v>
      </c>
    </row>
    <row r="476" spans="19:37">
      <c r="S476" s="97">
        <f t="shared" si="94"/>
        <v>0</v>
      </c>
      <c r="T476" s="97">
        <f t="shared" si="95"/>
        <v>0</v>
      </c>
      <c r="U476" s="98">
        <f t="shared" si="90"/>
        <v>0</v>
      </c>
      <c r="V476" s="98">
        <f t="shared" si="90"/>
        <v>0</v>
      </c>
      <c r="X476" s="97" t="e">
        <f t="shared" si="96"/>
        <v>#REF!</v>
      </c>
      <c r="Y476" s="97" t="e">
        <f t="shared" si="97"/>
        <v>#REF!</v>
      </c>
      <c r="Z476" s="98" t="e">
        <f t="shared" si="91"/>
        <v>#REF!</v>
      </c>
      <c r="AA476" s="98" t="e">
        <f t="shared" si="91"/>
        <v>#REF!</v>
      </c>
      <c r="AC476" s="97" t="e">
        <f t="shared" si="98"/>
        <v>#REF!</v>
      </c>
      <c r="AD476" s="97" t="e">
        <f t="shared" si="99"/>
        <v>#REF!</v>
      </c>
      <c r="AE476" s="98" t="e">
        <f t="shared" si="92"/>
        <v>#REF!</v>
      </c>
      <c r="AF476" s="98" t="e">
        <f t="shared" si="92"/>
        <v>#REF!</v>
      </c>
      <c r="AH476" s="97" t="e">
        <f t="shared" si="100"/>
        <v>#REF!</v>
      </c>
      <c r="AI476" s="97" t="e">
        <f t="shared" si="101"/>
        <v>#REF!</v>
      </c>
      <c r="AJ476" s="98" t="e">
        <f t="shared" si="93"/>
        <v>#REF!</v>
      </c>
      <c r="AK476" s="98" t="e">
        <f t="shared" si="93"/>
        <v>#REF!</v>
      </c>
    </row>
    <row r="477" spans="19:37">
      <c r="S477" s="97">
        <f t="shared" si="94"/>
        <v>0</v>
      </c>
      <c r="T477" s="97">
        <f t="shared" si="95"/>
        <v>0</v>
      </c>
      <c r="U477" s="98">
        <f t="shared" si="90"/>
        <v>0</v>
      </c>
      <c r="V477" s="98">
        <f t="shared" si="90"/>
        <v>0</v>
      </c>
      <c r="X477" s="97" t="e">
        <f t="shared" si="96"/>
        <v>#REF!</v>
      </c>
      <c r="Y477" s="97" t="e">
        <f t="shared" si="97"/>
        <v>#REF!</v>
      </c>
      <c r="Z477" s="98" t="e">
        <f t="shared" si="91"/>
        <v>#REF!</v>
      </c>
      <c r="AA477" s="98" t="e">
        <f t="shared" si="91"/>
        <v>#REF!</v>
      </c>
      <c r="AC477" s="97" t="e">
        <f t="shared" si="98"/>
        <v>#REF!</v>
      </c>
      <c r="AD477" s="97" t="e">
        <f t="shared" si="99"/>
        <v>#REF!</v>
      </c>
      <c r="AE477" s="98" t="e">
        <f t="shared" si="92"/>
        <v>#REF!</v>
      </c>
      <c r="AF477" s="98" t="e">
        <f t="shared" si="92"/>
        <v>#REF!</v>
      </c>
      <c r="AH477" s="97" t="e">
        <f t="shared" si="100"/>
        <v>#REF!</v>
      </c>
      <c r="AI477" s="97" t="e">
        <f t="shared" si="101"/>
        <v>#REF!</v>
      </c>
      <c r="AJ477" s="98" t="e">
        <f t="shared" si="93"/>
        <v>#REF!</v>
      </c>
      <c r="AK477" s="98" t="e">
        <f t="shared" si="93"/>
        <v>#REF!</v>
      </c>
    </row>
    <row r="478" spans="19:37">
      <c r="S478" s="97">
        <f t="shared" si="94"/>
        <v>0</v>
      </c>
      <c r="T478" s="97">
        <f t="shared" si="95"/>
        <v>0</v>
      </c>
      <c r="U478" s="98">
        <f t="shared" si="90"/>
        <v>0</v>
      </c>
      <c r="V478" s="98">
        <f t="shared" si="90"/>
        <v>0</v>
      </c>
      <c r="X478" s="97" t="e">
        <f t="shared" si="96"/>
        <v>#REF!</v>
      </c>
      <c r="Y478" s="97" t="e">
        <f t="shared" si="97"/>
        <v>#REF!</v>
      </c>
      <c r="Z478" s="98" t="e">
        <f t="shared" si="91"/>
        <v>#REF!</v>
      </c>
      <c r="AA478" s="98" t="e">
        <f t="shared" si="91"/>
        <v>#REF!</v>
      </c>
      <c r="AC478" s="97" t="e">
        <f t="shared" si="98"/>
        <v>#REF!</v>
      </c>
      <c r="AD478" s="97" t="e">
        <f t="shared" si="99"/>
        <v>#REF!</v>
      </c>
      <c r="AE478" s="98" t="e">
        <f t="shared" si="92"/>
        <v>#REF!</v>
      </c>
      <c r="AF478" s="98" t="e">
        <f t="shared" si="92"/>
        <v>#REF!</v>
      </c>
      <c r="AH478" s="97" t="e">
        <f t="shared" si="100"/>
        <v>#REF!</v>
      </c>
      <c r="AI478" s="97" t="e">
        <f t="shared" si="101"/>
        <v>#REF!</v>
      </c>
      <c r="AJ478" s="98" t="e">
        <f t="shared" si="93"/>
        <v>#REF!</v>
      </c>
      <c r="AK478" s="98" t="e">
        <f t="shared" si="93"/>
        <v>#REF!</v>
      </c>
    </row>
    <row r="479" spans="19:37">
      <c r="S479" s="97">
        <f t="shared" si="94"/>
        <v>0</v>
      </c>
      <c r="T479" s="97">
        <f t="shared" si="95"/>
        <v>0</v>
      </c>
      <c r="U479" s="98">
        <f t="shared" si="90"/>
        <v>0</v>
      </c>
      <c r="V479" s="98">
        <f t="shared" si="90"/>
        <v>0</v>
      </c>
      <c r="X479" s="97" t="e">
        <f t="shared" si="96"/>
        <v>#REF!</v>
      </c>
      <c r="Y479" s="97" t="e">
        <f t="shared" si="97"/>
        <v>#REF!</v>
      </c>
      <c r="Z479" s="98" t="e">
        <f t="shared" si="91"/>
        <v>#REF!</v>
      </c>
      <c r="AA479" s="98" t="e">
        <f t="shared" si="91"/>
        <v>#REF!</v>
      </c>
      <c r="AC479" s="97" t="e">
        <f t="shared" si="98"/>
        <v>#REF!</v>
      </c>
      <c r="AD479" s="97" t="e">
        <f t="shared" si="99"/>
        <v>#REF!</v>
      </c>
      <c r="AE479" s="98" t="e">
        <f t="shared" si="92"/>
        <v>#REF!</v>
      </c>
      <c r="AF479" s="98" t="e">
        <f t="shared" si="92"/>
        <v>#REF!</v>
      </c>
      <c r="AH479" s="97" t="e">
        <f t="shared" si="100"/>
        <v>#REF!</v>
      </c>
      <c r="AI479" s="97" t="e">
        <f t="shared" si="101"/>
        <v>#REF!</v>
      </c>
      <c r="AJ479" s="98" t="e">
        <f t="shared" si="93"/>
        <v>#REF!</v>
      </c>
      <c r="AK479" s="98" t="e">
        <f t="shared" si="93"/>
        <v>#REF!</v>
      </c>
    </row>
    <row r="480" spans="19:37">
      <c r="S480" s="97">
        <f t="shared" si="94"/>
        <v>0</v>
      </c>
      <c r="T480" s="97">
        <f t="shared" si="95"/>
        <v>0</v>
      </c>
      <c r="U480" s="98">
        <f t="shared" si="90"/>
        <v>0</v>
      </c>
      <c r="V480" s="98">
        <f t="shared" si="90"/>
        <v>0</v>
      </c>
      <c r="X480" s="97" t="e">
        <f t="shared" si="96"/>
        <v>#REF!</v>
      </c>
      <c r="Y480" s="97" t="e">
        <f t="shared" si="97"/>
        <v>#REF!</v>
      </c>
      <c r="Z480" s="98" t="e">
        <f t="shared" si="91"/>
        <v>#REF!</v>
      </c>
      <c r="AA480" s="98" t="e">
        <f t="shared" si="91"/>
        <v>#REF!</v>
      </c>
      <c r="AC480" s="97" t="e">
        <f t="shared" si="98"/>
        <v>#REF!</v>
      </c>
      <c r="AD480" s="97" t="e">
        <f t="shared" si="99"/>
        <v>#REF!</v>
      </c>
      <c r="AE480" s="98" t="e">
        <f t="shared" si="92"/>
        <v>#REF!</v>
      </c>
      <c r="AF480" s="98" t="e">
        <f t="shared" si="92"/>
        <v>#REF!</v>
      </c>
      <c r="AH480" s="97" t="e">
        <f t="shared" si="100"/>
        <v>#REF!</v>
      </c>
      <c r="AI480" s="97" t="e">
        <f t="shared" si="101"/>
        <v>#REF!</v>
      </c>
      <c r="AJ480" s="98" t="e">
        <f t="shared" si="93"/>
        <v>#REF!</v>
      </c>
      <c r="AK480" s="98" t="e">
        <f t="shared" si="93"/>
        <v>#REF!</v>
      </c>
    </row>
    <row r="481" spans="19:37">
      <c r="S481" s="97">
        <f t="shared" si="94"/>
        <v>0</v>
      </c>
      <c r="T481" s="97">
        <f t="shared" si="95"/>
        <v>0</v>
      </c>
      <c r="U481" s="98">
        <f t="shared" si="90"/>
        <v>0</v>
      </c>
      <c r="V481" s="98">
        <f t="shared" si="90"/>
        <v>0</v>
      </c>
      <c r="X481" s="97" t="e">
        <f t="shared" si="96"/>
        <v>#REF!</v>
      </c>
      <c r="Y481" s="97" t="e">
        <f t="shared" si="97"/>
        <v>#REF!</v>
      </c>
      <c r="Z481" s="98" t="e">
        <f t="shared" si="91"/>
        <v>#REF!</v>
      </c>
      <c r="AA481" s="98" t="e">
        <f t="shared" si="91"/>
        <v>#REF!</v>
      </c>
      <c r="AC481" s="97" t="e">
        <f t="shared" si="98"/>
        <v>#REF!</v>
      </c>
      <c r="AD481" s="97" t="e">
        <f t="shared" si="99"/>
        <v>#REF!</v>
      </c>
      <c r="AE481" s="98" t="e">
        <f t="shared" si="92"/>
        <v>#REF!</v>
      </c>
      <c r="AF481" s="98" t="e">
        <f t="shared" si="92"/>
        <v>#REF!</v>
      </c>
      <c r="AH481" s="97" t="e">
        <f t="shared" si="100"/>
        <v>#REF!</v>
      </c>
      <c r="AI481" s="97" t="e">
        <f t="shared" si="101"/>
        <v>#REF!</v>
      </c>
      <c r="AJ481" s="98" t="e">
        <f t="shared" si="93"/>
        <v>#REF!</v>
      </c>
      <c r="AK481" s="98" t="e">
        <f t="shared" si="93"/>
        <v>#REF!</v>
      </c>
    </row>
    <row r="482" spans="19:37">
      <c r="S482" s="97">
        <f t="shared" si="94"/>
        <v>0</v>
      </c>
      <c r="T482" s="97">
        <f t="shared" si="95"/>
        <v>0</v>
      </c>
      <c r="U482" s="98">
        <f t="shared" si="90"/>
        <v>0</v>
      </c>
      <c r="V482" s="98">
        <f t="shared" si="90"/>
        <v>0</v>
      </c>
      <c r="X482" s="97" t="e">
        <f t="shared" si="96"/>
        <v>#REF!</v>
      </c>
      <c r="Y482" s="97" t="e">
        <f t="shared" si="97"/>
        <v>#REF!</v>
      </c>
      <c r="Z482" s="98" t="e">
        <f t="shared" si="91"/>
        <v>#REF!</v>
      </c>
      <c r="AA482" s="98" t="e">
        <f t="shared" si="91"/>
        <v>#REF!</v>
      </c>
      <c r="AC482" s="97" t="e">
        <f t="shared" si="98"/>
        <v>#REF!</v>
      </c>
      <c r="AD482" s="97" t="e">
        <f t="shared" si="99"/>
        <v>#REF!</v>
      </c>
      <c r="AE482" s="98" t="e">
        <f t="shared" si="92"/>
        <v>#REF!</v>
      </c>
      <c r="AF482" s="98" t="e">
        <f t="shared" si="92"/>
        <v>#REF!</v>
      </c>
      <c r="AH482" s="97" t="e">
        <f t="shared" si="100"/>
        <v>#REF!</v>
      </c>
      <c r="AI482" s="97" t="e">
        <f t="shared" si="101"/>
        <v>#REF!</v>
      </c>
      <c r="AJ482" s="98" t="e">
        <f t="shared" si="93"/>
        <v>#REF!</v>
      </c>
      <c r="AK482" s="98" t="e">
        <f t="shared" si="93"/>
        <v>#REF!</v>
      </c>
    </row>
    <row r="483" spans="19:37">
      <c r="S483" s="97">
        <f t="shared" si="94"/>
        <v>0</v>
      </c>
      <c r="T483" s="97">
        <f t="shared" si="95"/>
        <v>0</v>
      </c>
      <c r="U483" s="98">
        <f t="shared" si="90"/>
        <v>0</v>
      </c>
      <c r="V483" s="98">
        <f t="shared" si="90"/>
        <v>0</v>
      </c>
      <c r="X483" s="97" t="e">
        <f t="shared" si="96"/>
        <v>#REF!</v>
      </c>
      <c r="Y483" s="97" t="e">
        <f t="shared" si="97"/>
        <v>#REF!</v>
      </c>
      <c r="Z483" s="98" t="e">
        <f t="shared" si="91"/>
        <v>#REF!</v>
      </c>
      <c r="AA483" s="98" t="e">
        <f t="shared" si="91"/>
        <v>#REF!</v>
      </c>
      <c r="AC483" s="97" t="e">
        <f t="shared" si="98"/>
        <v>#REF!</v>
      </c>
      <c r="AD483" s="97" t="e">
        <f t="shared" si="99"/>
        <v>#REF!</v>
      </c>
      <c r="AE483" s="98" t="e">
        <f t="shared" si="92"/>
        <v>#REF!</v>
      </c>
      <c r="AF483" s="98" t="e">
        <f t="shared" si="92"/>
        <v>#REF!</v>
      </c>
      <c r="AH483" s="97" t="e">
        <f t="shared" si="100"/>
        <v>#REF!</v>
      </c>
      <c r="AI483" s="97" t="e">
        <f t="shared" si="101"/>
        <v>#REF!</v>
      </c>
      <c r="AJ483" s="98" t="e">
        <f t="shared" si="93"/>
        <v>#REF!</v>
      </c>
      <c r="AK483" s="98" t="e">
        <f t="shared" si="93"/>
        <v>#REF!</v>
      </c>
    </row>
    <row r="484" spans="19:37">
      <c r="S484" s="97">
        <f t="shared" si="94"/>
        <v>0</v>
      </c>
      <c r="T484" s="97">
        <f t="shared" si="95"/>
        <v>0</v>
      </c>
      <c r="U484" s="98">
        <f t="shared" si="90"/>
        <v>0</v>
      </c>
      <c r="V484" s="98">
        <f t="shared" si="90"/>
        <v>0</v>
      </c>
      <c r="X484" s="97" t="e">
        <f t="shared" si="96"/>
        <v>#REF!</v>
      </c>
      <c r="Y484" s="97" t="e">
        <f t="shared" si="97"/>
        <v>#REF!</v>
      </c>
      <c r="Z484" s="98" t="e">
        <f t="shared" si="91"/>
        <v>#REF!</v>
      </c>
      <c r="AA484" s="98" t="e">
        <f t="shared" si="91"/>
        <v>#REF!</v>
      </c>
      <c r="AC484" s="97" t="e">
        <f t="shared" si="98"/>
        <v>#REF!</v>
      </c>
      <c r="AD484" s="97" t="e">
        <f t="shared" si="99"/>
        <v>#REF!</v>
      </c>
      <c r="AE484" s="98" t="e">
        <f t="shared" si="92"/>
        <v>#REF!</v>
      </c>
      <c r="AF484" s="98" t="e">
        <f t="shared" si="92"/>
        <v>#REF!</v>
      </c>
      <c r="AH484" s="97" t="e">
        <f t="shared" si="100"/>
        <v>#REF!</v>
      </c>
      <c r="AI484" s="97" t="e">
        <f t="shared" si="101"/>
        <v>#REF!</v>
      </c>
      <c r="AJ484" s="98" t="e">
        <f t="shared" si="93"/>
        <v>#REF!</v>
      </c>
      <c r="AK484" s="98" t="e">
        <f t="shared" si="93"/>
        <v>#REF!</v>
      </c>
    </row>
    <row r="485" spans="19:37">
      <c r="S485" s="97">
        <f t="shared" si="94"/>
        <v>0</v>
      </c>
      <c r="T485" s="97">
        <f t="shared" si="95"/>
        <v>0</v>
      </c>
      <c r="U485" s="98">
        <f t="shared" si="90"/>
        <v>0</v>
      </c>
      <c r="V485" s="98">
        <f t="shared" si="90"/>
        <v>0</v>
      </c>
      <c r="X485" s="97" t="e">
        <f t="shared" si="96"/>
        <v>#REF!</v>
      </c>
      <c r="Y485" s="97" t="e">
        <f t="shared" si="97"/>
        <v>#REF!</v>
      </c>
      <c r="Z485" s="98" t="e">
        <f t="shared" si="91"/>
        <v>#REF!</v>
      </c>
      <c r="AA485" s="98" t="e">
        <f t="shared" si="91"/>
        <v>#REF!</v>
      </c>
      <c r="AC485" s="97" t="e">
        <f t="shared" si="98"/>
        <v>#REF!</v>
      </c>
      <c r="AD485" s="97" t="e">
        <f t="shared" si="99"/>
        <v>#REF!</v>
      </c>
      <c r="AE485" s="98" t="e">
        <f t="shared" si="92"/>
        <v>#REF!</v>
      </c>
      <c r="AF485" s="98" t="e">
        <f t="shared" si="92"/>
        <v>#REF!</v>
      </c>
      <c r="AH485" s="97" t="e">
        <f t="shared" si="100"/>
        <v>#REF!</v>
      </c>
      <c r="AI485" s="97" t="e">
        <f t="shared" si="101"/>
        <v>#REF!</v>
      </c>
      <c r="AJ485" s="98" t="e">
        <f t="shared" si="93"/>
        <v>#REF!</v>
      </c>
      <c r="AK485" s="98" t="e">
        <f t="shared" si="93"/>
        <v>#REF!</v>
      </c>
    </row>
    <row r="486" spans="19:37">
      <c r="S486" s="97">
        <f t="shared" si="94"/>
        <v>0</v>
      </c>
      <c r="T486" s="97">
        <f t="shared" si="95"/>
        <v>0</v>
      </c>
      <c r="U486" s="98">
        <f t="shared" si="90"/>
        <v>0</v>
      </c>
      <c r="V486" s="98">
        <f t="shared" si="90"/>
        <v>0</v>
      </c>
      <c r="X486" s="97" t="e">
        <f t="shared" si="96"/>
        <v>#REF!</v>
      </c>
      <c r="Y486" s="97" t="e">
        <f t="shared" si="97"/>
        <v>#REF!</v>
      </c>
      <c r="Z486" s="98" t="e">
        <f t="shared" si="91"/>
        <v>#REF!</v>
      </c>
      <c r="AA486" s="98" t="e">
        <f t="shared" si="91"/>
        <v>#REF!</v>
      </c>
      <c r="AC486" s="97" t="e">
        <f t="shared" si="98"/>
        <v>#REF!</v>
      </c>
      <c r="AD486" s="97" t="e">
        <f t="shared" si="99"/>
        <v>#REF!</v>
      </c>
      <c r="AE486" s="98" t="e">
        <f t="shared" si="92"/>
        <v>#REF!</v>
      </c>
      <c r="AF486" s="98" t="e">
        <f t="shared" si="92"/>
        <v>#REF!</v>
      </c>
      <c r="AH486" s="97" t="e">
        <f t="shared" si="100"/>
        <v>#REF!</v>
      </c>
      <c r="AI486" s="97" t="e">
        <f t="shared" si="101"/>
        <v>#REF!</v>
      </c>
      <c r="AJ486" s="98" t="e">
        <f t="shared" si="93"/>
        <v>#REF!</v>
      </c>
      <c r="AK486" s="98" t="e">
        <f t="shared" si="93"/>
        <v>#REF!</v>
      </c>
    </row>
    <row r="487" spans="19:37">
      <c r="S487" s="97">
        <f t="shared" si="94"/>
        <v>0</v>
      </c>
      <c r="T487" s="97">
        <f t="shared" si="95"/>
        <v>0</v>
      </c>
      <c r="U487" s="98">
        <f t="shared" si="90"/>
        <v>0</v>
      </c>
      <c r="V487" s="98">
        <f t="shared" si="90"/>
        <v>0</v>
      </c>
      <c r="X487" s="97" t="e">
        <f t="shared" si="96"/>
        <v>#REF!</v>
      </c>
      <c r="Y487" s="97" t="e">
        <f t="shared" si="97"/>
        <v>#REF!</v>
      </c>
      <c r="Z487" s="98" t="e">
        <f t="shared" si="91"/>
        <v>#REF!</v>
      </c>
      <c r="AA487" s="98" t="e">
        <f t="shared" si="91"/>
        <v>#REF!</v>
      </c>
      <c r="AC487" s="97" t="e">
        <f t="shared" si="98"/>
        <v>#REF!</v>
      </c>
      <c r="AD487" s="97" t="e">
        <f t="shared" si="99"/>
        <v>#REF!</v>
      </c>
      <c r="AE487" s="98" t="e">
        <f t="shared" si="92"/>
        <v>#REF!</v>
      </c>
      <c r="AF487" s="98" t="e">
        <f t="shared" si="92"/>
        <v>#REF!</v>
      </c>
      <c r="AH487" s="97" t="e">
        <f t="shared" si="100"/>
        <v>#REF!</v>
      </c>
      <c r="AI487" s="97" t="e">
        <f t="shared" si="101"/>
        <v>#REF!</v>
      </c>
      <c r="AJ487" s="98" t="e">
        <f t="shared" si="93"/>
        <v>#REF!</v>
      </c>
      <c r="AK487" s="98" t="e">
        <f t="shared" si="93"/>
        <v>#REF!</v>
      </c>
    </row>
    <row r="488" spans="19:37">
      <c r="S488" s="97">
        <f t="shared" si="94"/>
        <v>0</v>
      </c>
      <c r="T488" s="97">
        <f t="shared" si="95"/>
        <v>0</v>
      </c>
      <c r="U488" s="98">
        <f t="shared" si="90"/>
        <v>0</v>
      </c>
      <c r="V488" s="98">
        <f t="shared" si="90"/>
        <v>0</v>
      </c>
      <c r="X488" s="97" t="e">
        <f t="shared" si="96"/>
        <v>#REF!</v>
      </c>
      <c r="Y488" s="97" t="e">
        <f t="shared" si="97"/>
        <v>#REF!</v>
      </c>
      <c r="Z488" s="98" t="e">
        <f t="shared" si="91"/>
        <v>#REF!</v>
      </c>
      <c r="AA488" s="98" t="e">
        <f t="shared" si="91"/>
        <v>#REF!</v>
      </c>
      <c r="AC488" s="97" t="e">
        <f t="shared" si="98"/>
        <v>#REF!</v>
      </c>
      <c r="AD488" s="97" t="e">
        <f t="shared" si="99"/>
        <v>#REF!</v>
      </c>
      <c r="AE488" s="98" t="e">
        <f t="shared" si="92"/>
        <v>#REF!</v>
      </c>
      <c r="AF488" s="98" t="e">
        <f t="shared" si="92"/>
        <v>#REF!</v>
      </c>
      <c r="AH488" s="97" t="e">
        <f t="shared" si="100"/>
        <v>#REF!</v>
      </c>
      <c r="AI488" s="97" t="e">
        <f t="shared" si="101"/>
        <v>#REF!</v>
      </c>
      <c r="AJ488" s="98" t="e">
        <f t="shared" si="93"/>
        <v>#REF!</v>
      </c>
      <c r="AK488" s="98" t="e">
        <f t="shared" si="93"/>
        <v>#REF!</v>
      </c>
    </row>
    <row r="489" spans="19:37">
      <c r="S489" s="97">
        <f t="shared" si="94"/>
        <v>0</v>
      </c>
      <c r="T489" s="97">
        <f t="shared" si="95"/>
        <v>0</v>
      </c>
      <c r="U489" s="98">
        <f t="shared" si="90"/>
        <v>0</v>
      </c>
      <c r="V489" s="98">
        <f t="shared" si="90"/>
        <v>0</v>
      </c>
      <c r="X489" s="97" t="e">
        <f t="shared" si="96"/>
        <v>#REF!</v>
      </c>
      <c r="Y489" s="97" t="e">
        <f t="shared" si="97"/>
        <v>#REF!</v>
      </c>
      <c r="Z489" s="98" t="e">
        <f t="shared" si="91"/>
        <v>#REF!</v>
      </c>
      <c r="AA489" s="98" t="e">
        <f t="shared" si="91"/>
        <v>#REF!</v>
      </c>
      <c r="AC489" s="97" t="e">
        <f t="shared" si="98"/>
        <v>#REF!</v>
      </c>
      <c r="AD489" s="97" t="e">
        <f t="shared" si="99"/>
        <v>#REF!</v>
      </c>
      <c r="AE489" s="98" t="e">
        <f t="shared" si="92"/>
        <v>#REF!</v>
      </c>
      <c r="AF489" s="98" t="e">
        <f t="shared" si="92"/>
        <v>#REF!</v>
      </c>
      <c r="AH489" s="97" t="e">
        <f t="shared" si="100"/>
        <v>#REF!</v>
      </c>
      <c r="AI489" s="97" t="e">
        <f t="shared" si="101"/>
        <v>#REF!</v>
      </c>
      <c r="AJ489" s="98" t="e">
        <f t="shared" si="93"/>
        <v>#REF!</v>
      </c>
      <c r="AK489" s="98" t="e">
        <f t="shared" si="93"/>
        <v>#REF!</v>
      </c>
    </row>
    <row r="490" spans="19:37">
      <c r="S490" s="97">
        <f t="shared" si="94"/>
        <v>0</v>
      </c>
      <c r="T490" s="97">
        <f t="shared" si="95"/>
        <v>0</v>
      </c>
      <c r="U490" s="98">
        <f t="shared" ref="U490:V526" si="102">IF(AND($D490="",S490=""),"",IF($D490="",S490,$D490+S490))</f>
        <v>0</v>
      </c>
      <c r="V490" s="98">
        <f t="shared" si="102"/>
        <v>0</v>
      </c>
      <c r="X490" s="97" t="e">
        <f t="shared" si="96"/>
        <v>#REF!</v>
      </c>
      <c r="Y490" s="97" t="e">
        <f t="shared" si="97"/>
        <v>#REF!</v>
      </c>
      <c r="Z490" s="98" t="e">
        <f t="shared" ref="Z490:AA526" si="103">IF(AND($D490="",X490=""),"",IF($D490="",X490,$D490+X490))</f>
        <v>#REF!</v>
      </c>
      <c r="AA490" s="98" t="e">
        <f t="shared" si="103"/>
        <v>#REF!</v>
      </c>
      <c r="AC490" s="97" t="e">
        <f t="shared" si="98"/>
        <v>#REF!</v>
      </c>
      <c r="AD490" s="97" t="e">
        <f t="shared" si="99"/>
        <v>#REF!</v>
      </c>
      <c r="AE490" s="98" t="e">
        <f t="shared" ref="AE490:AF526" si="104">IF(AND($D490="",AC490=""),"",IF($D490="",AC490,$D490+AC490))</f>
        <v>#REF!</v>
      </c>
      <c r="AF490" s="98" t="e">
        <f t="shared" si="104"/>
        <v>#REF!</v>
      </c>
      <c r="AH490" s="97" t="e">
        <f t="shared" si="100"/>
        <v>#REF!</v>
      </c>
      <c r="AI490" s="97" t="e">
        <f t="shared" si="101"/>
        <v>#REF!</v>
      </c>
      <c r="AJ490" s="98" t="e">
        <f t="shared" ref="AJ490:AK526" si="105">IF(AND($D490="",AH490=""),"",IF($D490="",AH490,$D490+AH490))</f>
        <v>#REF!</v>
      </c>
      <c r="AK490" s="98" t="e">
        <f t="shared" si="105"/>
        <v>#REF!</v>
      </c>
    </row>
    <row r="491" spans="19:37">
      <c r="S491" s="97">
        <f t="shared" si="94"/>
        <v>0</v>
      </c>
      <c r="T491" s="97">
        <f t="shared" si="95"/>
        <v>0</v>
      </c>
      <c r="U491" s="98">
        <f t="shared" si="102"/>
        <v>0</v>
      </c>
      <c r="V491" s="98">
        <f t="shared" si="102"/>
        <v>0</v>
      </c>
      <c r="X491" s="97" t="e">
        <f t="shared" si="96"/>
        <v>#REF!</v>
      </c>
      <c r="Y491" s="97" t="e">
        <f t="shared" si="97"/>
        <v>#REF!</v>
      </c>
      <c r="Z491" s="98" t="e">
        <f t="shared" si="103"/>
        <v>#REF!</v>
      </c>
      <c r="AA491" s="98" t="e">
        <f t="shared" si="103"/>
        <v>#REF!</v>
      </c>
      <c r="AC491" s="97" t="e">
        <f t="shared" si="98"/>
        <v>#REF!</v>
      </c>
      <c r="AD491" s="97" t="e">
        <f t="shared" si="99"/>
        <v>#REF!</v>
      </c>
      <c r="AE491" s="98" t="e">
        <f t="shared" si="104"/>
        <v>#REF!</v>
      </c>
      <c r="AF491" s="98" t="e">
        <f t="shared" si="104"/>
        <v>#REF!</v>
      </c>
      <c r="AH491" s="97" t="e">
        <f t="shared" si="100"/>
        <v>#REF!</v>
      </c>
      <c r="AI491" s="97" t="e">
        <f t="shared" si="101"/>
        <v>#REF!</v>
      </c>
      <c r="AJ491" s="98" t="e">
        <f t="shared" si="105"/>
        <v>#REF!</v>
      </c>
      <c r="AK491" s="98" t="e">
        <f t="shared" si="105"/>
        <v>#REF!</v>
      </c>
    </row>
    <row r="492" spans="19:37">
      <c r="S492" s="97">
        <f t="shared" si="94"/>
        <v>0</v>
      </c>
      <c r="T492" s="97">
        <f t="shared" si="95"/>
        <v>0</v>
      </c>
      <c r="U492" s="98">
        <f t="shared" si="102"/>
        <v>0</v>
      </c>
      <c r="V492" s="98">
        <f t="shared" si="102"/>
        <v>0</v>
      </c>
      <c r="X492" s="97" t="e">
        <f t="shared" si="96"/>
        <v>#REF!</v>
      </c>
      <c r="Y492" s="97" t="e">
        <f t="shared" si="97"/>
        <v>#REF!</v>
      </c>
      <c r="Z492" s="98" t="e">
        <f t="shared" si="103"/>
        <v>#REF!</v>
      </c>
      <c r="AA492" s="98" t="e">
        <f t="shared" si="103"/>
        <v>#REF!</v>
      </c>
      <c r="AC492" s="97" t="e">
        <f t="shared" si="98"/>
        <v>#REF!</v>
      </c>
      <c r="AD492" s="97" t="e">
        <f t="shared" si="99"/>
        <v>#REF!</v>
      </c>
      <c r="AE492" s="98" t="e">
        <f t="shared" si="104"/>
        <v>#REF!</v>
      </c>
      <c r="AF492" s="98" t="e">
        <f t="shared" si="104"/>
        <v>#REF!</v>
      </c>
      <c r="AH492" s="97" t="e">
        <f t="shared" si="100"/>
        <v>#REF!</v>
      </c>
      <c r="AI492" s="97" t="e">
        <f t="shared" si="101"/>
        <v>#REF!</v>
      </c>
      <c r="AJ492" s="98" t="e">
        <f t="shared" si="105"/>
        <v>#REF!</v>
      </c>
      <c r="AK492" s="98" t="e">
        <f t="shared" si="105"/>
        <v>#REF!</v>
      </c>
    </row>
    <row r="493" spans="19:37">
      <c r="S493" s="97">
        <f t="shared" si="94"/>
        <v>0</v>
      </c>
      <c r="T493" s="97">
        <f t="shared" si="95"/>
        <v>0</v>
      </c>
      <c r="U493" s="98">
        <f t="shared" si="102"/>
        <v>0</v>
      </c>
      <c r="V493" s="98">
        <f t="shared" si="102"/>
        <v>0</v>
      </c>
      <c r="X493" s="97" t="e">
        <f t="shared" si="96"/>
        <v>#REF!</v>
      </c>
      <c r="Y493" s="97" t="e">
        <f t="shared" si="97"/>
        <v>#REF!</v>
      </c>
      <c r="Z493" s="98" t="e">
        <f t="shared" si="103"/>
        <v>#REF!</v>
      </c>
      <c r="AA493" s="98" t="e">
        <f t="shared" si="103"/>
        <v>#REF!</v>
      </c>
      <c r="AC493" s="97" t="e">
        <f t="shared" si="98"/>
        <v>#REF!</v>
      </c>
      <c r="AD493" s="97" t="e">
        <f t="shared" si="99"/>
        <v>#REF!</v>
      </c>
      <c r="AE493" s="98" t="e">
        <f t="shared" si="104"/>
        <v>#REF!</v>
      </c>
      <c r="AF493" s="98" t="e">
        <f t="shared" si="104"/>
        <v>#REF!</v>
      </c>
      <c r="AH493" s="97" t="e">
        <f t="shared" si="100"/>
        <v>#REF!</v>
      </c>
      <c r="AI493" s="97" t="e">
        <f t="shared" si="101"/>
        <v>#REF!</v>
      </c>
      <c r="AJ493" s="98" t="e">
        <f t="shared" si="105"/>
        <v>#REF!</v>
      </c>
      <c r="AK493" s="98" t="e">
        <f t="shared" si="105"/>
        <v>#REF!</v>
      </c>
    </row>
    <row r="494" spans="19:37">
      <c r="S494" s="97">
        <f t="shared" si="94"/>
        <v>0</v>
      </c>
      <c r="T494" s="97">
        <f t="shared" si="95"/>
        <v>0</v>
      </c>
      <c r="U494" s="98">
        <f t="shared" si="102"/>
        <v>0</v>
      </c>
      <c r="V494" s="98">
        <f t="shared" si="102"/>
        <v>0</v>
      </c>
      <c r="X494" s="97" t="e">
        <f t="shared" si="96"/>
        <v>#REF!</v>
      </c>
      <c r="Y494" s="97" t="e">
        <f t="shared" si="97"/>
        <v>#REF!</v>
      </c>
      <c r="Z494" s="98" t="e">
        <f t="shared" si="103"/>
        <v>#REF!</v>
      </c>
      <c r="AA494" s="98" t="e">
        <f t="shared" si="103"/>
        <v>#REF!</v>
      </c>
      <c r="AC494" s="97" t="e">
        <f t="shared" si="98"/>
        <v>#REF!</v>
      </c>
      <c r="AD494" s="97" t="e">
        <f t="shared" si="99"/>
        <v>#REF!</v>
      </c>
      <c r="AE494" s="98" t="e">
        <f t="shared" si="104"/>
        <v>#REF!</v>
      </c>
      <c r="AF494" s="98" t="e">
        <f t="shared" si="104"/>
        <v>#REF!</v>
      </c>
      <c r="AH494" s="97" t="e">
        <f t="shared" si="100"/>
        <v>#REF!</v>
      </c>
      <c r="AI494" s="97" t="e">
        <f t="shared" si="101"/>
        <v>#REF!</v>
      </c>
      <c r="AJ494" s="98" t="e">
        <f t="shared" si="105"/>
        <v>#REF!</v>
      </c>
      <c r="AK494" s="98" t="e">
        <f t="shared" si="105"/>
        <v>#REF!</v>
      </c>
    </row>
    <row r="495" spans="19:37">
      <c r="S495" s="97">
        <f t="shared" si="94"/>
        <v>0</v>
      </c>
      <c r="T495" s="97">
        <f t="shared" si="95"/>
        <v>0</v>
      </c>
      <c r="U495" s="98">
        <f t="shared" si="102"/>
        <v>0</v>
      </c>
      <c r="V495" s="98">
        <f t="shared" si="102"/>
        <v>0</v>
      </c>
      <c r="X495" s="97" t="e">
        <f t="shared" si="96"/>
        <v>#REF!</v>
      </c>
      <c r="Y495" s="97" t="e">
        <f t="shared" si="97"/>
        <v>#REF!</v>
      </c>
      <c r="Z495" s="98" t="e">
        <f t="shared" si="103"/>
        <v>#REF!</v>
      </c>
      <c r="AA495" s="98" t="e">
        <f t="shared" si="103"/>
        <v>#REF!</v>
      </c>
      <c r="AC495" s="97" t="e">
        <f t="shared" si="98"/>
        <v>#REF!</v>
      </c>
      <c r="AD495" s="97" t="e">
        <f t="shared" si="99"/>
        <v>#REF!</v>
      </c>
      <c r="AE495" s="98" t="e">
        <f t="shared" si="104"/>
        <v>#REF!</v>
      </c>
      <c r="AF495" s="98" t="e">
        <f t="shared" si="104"/>
        <v>#REF!</v>
      </c>
      <c r="AH495" s="97" t="e">
        <f t="shared" si="100"/>
        <v>#REF!</v>
      </c>
      <c r="AI495" s="97" t="e">
        <f t="shared" si="101"/>
        <v>#REF!</v>
      </c>
      <c r="AJ495" s="98" t="e">
        <f t="shared" si="105"/>
        <v>#REF!</v>
      </c>
      <c r="AK495" s="98" t="e">
        <f t="shared" si="105"/>
        <v>#REF!</v>
      </c>
    </row>
    <row r="496" spans="19:37">
      <c r="S496" s="97">
        <f t="shared" si="94"/>
        <v>0</v>
      </c>
      <c r="T496" s="97">
        <f t="shared" si="95"/>
        <v>0</v>
      </c>
      <c r="U496" s="98">
        <f t="shared" si="102"/>
        <v>0</v>
      </c>
      <c r="V496" s="98">
        <f t="shared" si="102"/>
        <v>0</v>
      </c>
      <c r="X496" s="97" t="e">
        <f t="shared" si="96"/>
        <v>#REF!</v>
      </c>
      <c r="Y496" s="97" t="e">
        <f t="shared" si="97"/>
        <v>#REF!</v>
      </c>
      <c r="Z496" s="98" t="e">
        <f t="shared" si="103"/>
        <v>#REF!</v>
      </c>
      <c r="AA496" s="98" t="e">
        <f t="shared" si="103"/>
        <v>#REF!</v>
      </c>
      <c r="AC496" s="97" t="e">
        <f t="shared" si="98"/>
        <v>#REF!</v>
      </c>
      <c r="AD496" s="97" t="e">
        <f t="shared" si="99"/>
        <v>#REF!</v>
      </c>
      <c r="AE496" s="98" t="e">
        <f t="shared" si="104"/>
        <v>#REF!</v>
      </c>
      <c r="AF496" s="98" t="e">
        <f t="shared" si="104"/>
        <v>#REF!</v>
      </c>
      <c r="AH496" s="97" t="e">
        <f t="shared" si="100"/>
        <v>#REF!</v>
      </c>
      <c r="AI496" s="97" t="e">
        <f t="shared" si="101"/>
        <v>#REF!</v>
      </c>
      <c r="AJ496" s="98" t="e">
        <f t="shared" si="105"/>
        <v>#REF!</v>
      </c>
      <c r="AK496" s="98" t="e">
        <f t="shared" si="105"/>
        <v>#REF!</v>
      </c>
    </row>
    <row r="497" spans="19:37">
      <c r="S497" s="97">
        <f t="shared" si="94"/>
        <v>0</v>
      </c>
      <c r="T497" s="97">
        <f t="shared" si="95"/>
        <v>0</v>
      </c>
      <c r="U497" s="98">
        <f t="shared" si="102"/>
        <v>0</v>
      </c>
      <c r="V497" s="98">
        <f t="shared" si="102"/>
        <v>0</v>
      </c>
      <c r="X497" s="97" t="e">
        <f t="shared" si="96"/>
        <v>#REF!</v>
      </c>
      <c r="Y497" s="97" t="e">
        <f t="shared" si="97"/>
        <v>#REF!</v>
      </c>
      <c r="Z497" s="98" t="e">
        <f t="shared" si="103"/>
        <v>#REF!</v>
      </c>
      <c r="AA497" s="98" t="e">
        <f t="shared" si="103"/>
        <v>#REF!</v>
      </c>
      <c r="AC497" s="97" t="e">
        <f t="shared" si="98"/>
        <v>#REF!</v>
      </c>
      <c r="AD497" s="97" t="e">
        <f t="shared" si="99"/>
        <v>#REF!</v>
      </c>
      <c r="AE497" s="98" t="e">
        <f t="shared" si="104"/>
        <v>#REF!</v>
      </c>
      <c r="AF497" s="98" t="e">
        <f t="shared" si="104"/>
        <v>#REF!</v>
      </c>
      <c r="AH497" s="97" t="e">
        <f t="shared" si="100"/>
        <v>#REF!</v>
      </c>
      <c r="AI497" s="97" t="e">
        <f t="shared" si="101"/>
        <v>#REF!</v>
      </c>
      <c r="AJ497" s="98" t="e">
        <f t="shared" si="105"/>
        <v>#REF!</v>
      </c>
      <c r="AK497" s="98" t="e">
        <f t="shared" si="105"/>
        <v>#REF!</v>
      </c>
    </row>
    <row r="498" spans="19:37">
      <c r="S498" s="97">
        <f t="shared" si="94"/>
        <v>0</v>
      </c>
      <c r="T498" s="97">
        <f t="shared" si="95"/>
        <v>0</v>
      </c>
      <c r="U498" s="98">
        <f t="shared" si="102"/>
        <v>0</v>
      </c>
      <c r="V498" s="98">
        <f t="shared" si="102"/>
        <v>0</v>
      </c>
      <c r="X498" s="97" t="e">
        <f t="shared" si="96"/>
        <v>#REF!</v>
      </c>
      <c r="Y498" s="97" t="e">
        <f t="shared" si="97"/>
        <v>#REF!</v>
      </c>
      <c r="Z498" s="98" t="e">
        <f t="shared" si="103"/>
        <v>#REF!</v>
      </c>
      <c r="AA498" s="98" t="e">
        <f t="shared" si="103"/>
        <v>#REF!</v>
      </c>
      <c r="AC498" s="97" t="e">
        <f t="shared" si="98"/>
        <v>#REF!</v>
      </c>
      <c r="AD498" s="97" t="e">
        <f t="shared" si="99"/>
        <v>#REF!</v>
      </c>
      <c r="AE498" s="98" t="e">
        <f t="shared" si="104"/>
        <v>#REF!</v>
      </c>
      <c r="AF498" s="98" t="e">
        <f t="shared" si="104"/>
        <v>#REF!</v>
      </c>
      <c r="AH498" s="97" t="e">
        <f t="shared" si="100"/>
        <v>#REF!</v>
      </c>
      <c r="AI498" s="97" t="e">
        <f t="shared" si="101"/>
        <v>#REF!</v>
      </c>
      <c r="AJ498" s="98" t="e">
        <f t="shared" si="105"/>
        <v>#REF!</v>
      </c>
      <c r="AK498" s="98" t="e">
        <f t="shared" si="105"/>
        <v>#REF!</v>
      </c>
    </row>
    <row r="499" spans="19:37">
      <c r="S499" s="97">
        <f t="shared" si="94"/>
        <v>0</v>
      </c>
      <c r="T499" s="97">
        <f t="shared" si="95"/>
        <v>0</v>
      </c>
      <c r="U499" s="98">
        <f t="shared" si="102"/>
        <v>0</v>
      </c>
      <c r="V499" s="98">
        <f t="shared" si="102"/>
        <v>0</v>
      </c>
      <c r="X499" s="97" t="e">
        <f t="shared" si="96"/>
        <v>#REF!</v>
      </c>
      <c r="Y499" s="97" t="e">
        <f t="shared" si="97"/>
        <v>#REF!</v>
      </c>
      <c r="Z499" s="98" t="e">
        <f t="shared" si="103"/>
        <v>#REF!</v>
      </c>
      <c r="AA499" s="98" t="e">
        <f t="shared" si="103"/>
        <v>#REF!</v>
      </c>
      <c r="AC499" s="97" t="e">
        <f t="shared" si="98"/>
        <v>#REF!</v>
      </c>
      <c r="AD499" s="97" t="e">
        <f t="shared" si="99"/>
        <v>#REF!</v>
      </c>
      <c r="AE499" s="98" t="e">
        <f t="shared" si="104"/>
        <v>#REF!</v>
      </c>
      <c r="AF499" s="98" t="e">
        <f t="shared" si="104"/>
        <v>#REF!</v>
      </c>
      <c r="AH499" s="97" t="e">
        <f t="shared" si="100"/>
        <v>#REF!</v>
      </c>
      <c r="AI499" s="97" t="e">
        <f t="shared" si="101"/>
        <v>#REF!</v>
      </c>
      <c r="AJ499" s="98" t="e">
        <f t="shared" si="105"/>
        <v>#REF!</v>
      </c>
      <c r="AK499" s="98" t="e">
        <f t="shared" si="105"/>
        <v>#REF!</v>
      </c>
    </row>
    <row r="500" spans="19:37">
      <c r="S500" s="97">
        <f t="shared" si="94"/>
        <v>0</v>
      </c>
      <c r="T500" s="97">
        <f t="shared" si="95"/>
        <v>0</v>
      </c>
      <c r="U500" s="98">
        <f t="shared" si="102"/>
        <v>0</v>
      </c>
      <c r="V500" s="98">
        <f t="shared" si="102"/>
        <v>0</v>
      </c>
      <c r="X500" s="97" t="e">
        <f t="shared" si="96"/>
        <v>#REF!</v>
      </c>
      <c r="Y500" s="97" t="e">
        <f t="shared" si="97"/>
        <v>#REF!</v>
      </c>
      <c r="Z500" s="98" t="e">
        <f t="shared" si="103"/>
        <v>#REF!</v>
      </c>
      <c r="AA500" s="98" t="e">
        <f t="shared" si="103"/>
        <v>#REF!</v>
      </c>
      <c r="AC500" s="97" t="e">
        <f t="shared" si="98"/>
        <v>#REF!</v>
      </c>
      <c r="AD500" s="97" t="e">
        <f t="shared" si="99"/>
        <v>#REF!</v>
      </c>
      <c r="AE500" s="98" t="e">
        <f t="shared" si="104"/>
        <v>#REF!</v>
      </c>
      <c r="AF500" s="98" t="e">
        <f t="shared" si="104"/>
        <v>#REF!</v>
      </c>
      <c r="AH500" s="97" t="e">
        <f t="shared" si="100"/>
        <v>#REF!</v>
      </c>
      <c r="AI500" s="97" t="e">
        <f t="shared" si="101"/>
        <v>#REF!</v>
      </c>
      <c r="AJ500" s="98" t="e">
        <f t="shared" si="105"/>
        <v>#REF!</v>
      </c>
      <c r="AK500" s="98" t="e">
        <f t="shared" si="105"/>
        <v>#REF!</v>
      </c>
    </row>
    <row r="501" spans="19:37">
      <c r="S501" s="97">
        <f t="shared" si="94"/>
        <v>0</v>
      </c>
      <c r="T501" s="97">
        <f t="shared" si="95"/>
        <v>0</v>
      </c>
      <c r="U501" s="98">
        <f t="shared" si="102"/>
        <v>0</v>
      </c>
      <c r="V501" s="98">
        <f t="shared" si="102"/>
        <v>0</v>
      </c>
      <c r="X501" s="97" t="e">
        <f t="shared" si="96"/>
        <v>#REF!</v>
      </c>
      <c r="Y501" s="97" t="e">
        <f t="shared" si="97"/>
        <v>#REF!</v>
      </c>
      <c r="Z501" s="98" t="e">
        <f t="shared" si="103"/>
        <v>#REF!</v>
      </c>
      <c r="AA501" s="98" t="e">
        <f t="shared" si="103"/>
        <v>#REF!</v>
      </c>
      <c r="AC501" s="97" t="e">
        <f t="shared" si="98"/>
        <v>#REF!</v>
      </c>
      <c r="AD501" s="97" t="e">
        <f t="shared" si="99"/>
        <v>#REF!</v>
      </c>
      <c r="AE501" s="98" t="e">
        <f t="shared" si="104"/>
        <v>#REF!</v>
      </c>
      <c r="AF501" s="98" t="e">
        <f t="shared" si="104"/>
        <v>#REF!</v>
      </c>
      <c r="AH501" s="97" t="e">
        <f t="shared" si="100"/>
        <v>#REF!</v>
      </c>
      <c r="AI501" s="97" t="e">
        <f t="shared" si="101"/>
        <v>#REF!</v>
      </c>
      <c r="AJ501" s="98" t="e">
        <f t="shared" si="105"/>
        <v>#REF!</v>
      </c>
      <c r="AK501" s="98" t="e">
        <f t="shared" si="105"/>
        <v>#REF!</v>
      </c>
    </row>
    <row r="502" spans="19:37">
      <c r="S502" s="97">
        <f t="shared" si="94"/>
        <v>0</v>
      </c>
      <c r="T502" s="97">
        <f t="shared" si="95"/>
        <v>0</v>
      </c>
      <c r="U502" s="98">
        <f t="shared" si="102"/>
        <v>0</v>
      </c>
      <c r="V502" s="98">
        <f t="shared" si="102"/>
        <v>0</v>
      </c>
      <c r="X502" s="97" t="e">
        <f t="shared" si="96"/>
        <v>#REF!</v>
      </c>
      <c r="Y502" s="97" t="e">
        <f t="shared" si="97"/>
        <v>#REF!</v>
      </c>
      <c r="Z502" s="98" t="e">
        <f t="shared" si="103"/>
        <v>#REF!</v>
      </c>
      <c r="AA502" s="98" t="e">
        <f t="shared" si="103"/>
        <v>#REF!</v>
      </c>
      <c r="AC502" s="97" t="e">
        <f t="shared" si="98"/>
        <v>#REF!</v>
      </c>
      <c r="AD502" s="97" t="e">
        <f t="shared" si="99"/>
        <v>#REF!</v>
      </c>
      <c r="AE502" s="98" t="e">
        <f t="shared" si="104"/>
        <v>#REF!</v>
      </c>
      <c r="AF502" s="98" t="e">
        <f t="shared" si="104"/>
        <v>#REF!</v>
      </c>
      <c r="AH502" s="97" t="e">
        <f t="shared" si="100"/>
        <v>#REF!</v>
      </c>
      <c r="AI502" s="97" t="e">
        <f t="shared" si="101"/>
        <v>#REF!</v>
      </c>
      <c r="AJ502" s="98" t="e">
        <f t="shared" si="105"/>
        <v>#REF!</v>
      </c>
      <c r="AK502" s="98" t="e">
        <f t="shared" si="105"/>
        <v>#REF!</v>
      </c>
    </row>
    <row r="503" spans="19:37">
      <c r="S503" s="97">
        <f t="shared" si="94"/>
        <v>0</v>
      </c>
      <c r="T503" s="97">
        <f t="shared" si="95"/>
        <v>0</v>
      </c>
      <c r="U503" s="98">
        <f t="shared" si="102"/>
        <v>0</v>
      </c>
      <c r="V503" s="98">
        <f t="shared" si="102"/>
        <v>0</v>
      </c>
      <c r="X503" s="97" t="e">
        <f t="shared" si="96"/>
        <v>#REF!</v>
      </c>
      <c r="Y503" s="97" t="e">
        <f t="shared" si="97"/>
        <v>#REF!</v>
      </c>
      <c r="Z503" s="98" t="e">
        <f t="shared" si="103"/>
        <v>#REF!</v>
      </c>
      <c r="AA503" s="98" t="e">
        <f t="shared" si="103"/>
        <v>#REF!</v>
      </c>
      <c r="AC503" s="97" t="e">
        <f t="shared" si="98"/>
        <v>#REF!</v>
      </c>
      <c r="AD503" s="97" t="e">
        <f t="shared" si="99"/>
        <v>#REF!</v>
      </c>
      <c r="AE503" s="98" t="e">
        <f t="shared" si="104"/>
        <v>#REF!</v>
      </c>
      <c r="AF503" s="98" t="e">
        <f t="shared" si="104"/>
        <v>#REF!</v>
      </c>
      <c r="AH503" s="97" t="e">
        <f t="shared" si="100"/>
        <v>#REF!</v>
      </c>
      <c r="AI503" s="97" t="e">
        <f t="shared" si="101"/>
        <v>#REF!</v>
      </c>
      <c r="AJ503" s="98" t="e">
        <f t="shared" si="105"/>
        <v>#REF!</v>
      </c>
      <c r="AK503" s="98" t="e">
        <f t="shared" si="105"/>
        <v>#REF!</v>
      </c>
    </row>
    <row r="504" spans="19:37">
      <c r="S504" s="97">
        <f t="shared" si="94"/>
        <v>0</v>
      </c>
      <c r="T504" s="97">
        <f t="shared" si="95"/>
        <v>0</v>
      </c>
      <c r="U504" s="98">
        <f t="shared" si="102"/>
        <v>0</v>
      </c>
      <c r="V504" s="98">
        <f t="shared" si="102"/>
        <v>0</v>
      </c>
      <c r="X504" s="97" t="e">
        <f t="shared" si="96"/>
        <v>#REF!</v>
      </c>
      <c r="Y504" s="97" t="e">
        <f t="shared" si="97"/>
        <v>#REF!</v>
      </c>
      <c r="Z504" s="98" t="e">
        <f t="shared" si="103"/>
        <v>#REF!</v>
      </c>
      <c r="AA504" s="98" t="e">
        <f t="shared" si="103"/>
        <v>#REF!</v>
      </c>
      <c r="AC504" s="97" t="e">
        <f t="shared" si="98"/>
        <v>#REF!</v>
      </c>
      <c r="AD504" s="97" t="e">
        <f t="shared" si="99"/>
        <v>#REF!</v>
      </c>
      <c r="AE504" s="98" t="e">
        <f t="shared" si="104"/>
        <v>#REF!</v>
      </c>
      <c r="AF504" s="98" t="e">
        <f t="shared" si="104"/>
        <v>#REF!</v>
      </c>
      <c r="AH504" s="97" t="e">
        <f t="shared" si="100"/>
        <v>#REF!</v>
      </c>
      <c r="AI504" s="97" t="e">
        <f t="shared" si="101"/>
        <v>#REF!</v>
      </c>
      <c r="AJ504" s="98" t="e">
        <f t="shared" si="105"/>
        <v>#REF!</v>
      </c>
      <c r="AK504" s="98" t="e">
        <f t="shared" si="105"/>
        <v>#REF!</v>
      </c>
    </row>
    <row r="505" spans="19:37">
      <c r="S505" s="97">
        <f t="shared" si="94"/>
        <v>0</v>
      </c>
      <c r="T505" s="97">
        <f t="shared" si="95"/>
        <v>0</v>
      </c>
      <c r="U505" s="98">
        <f t="shared" si="102"/>
        <v>0</v>
      </c>
      <c r="V505" s="98">
        <f t="shared" si="102"/>
        <v>0</v>
      </c>
      <c r="X505" s="97" t="e">
        <f t="shared" si="96"/>
        <v>#REF!</v>
      </c>
      <c r="Y505" s="97" t="e">
        <f t="shared" si="97"/>
        <v>#REF!</v>
      </c>
      <c r="Z505" s="98" t="e">
        <f t="shared" si="103"/>
        <v>#REF!</v>
      </c>
      <c r="AA505" s="98" t="e">
        <f t="shared" si="103"/>
        <v>#REF!</v>
      </c>
      <c r="AC505" s="97" t="e">
        <f t="shared" si="98"/>
        <v>#REF!</v>
      </c>
      <c r="AD505" s="97" t="e">
        <f t="shared" si="99"/>
        <v>#REF!</v>
      </c>
      <c r="AE505" s="98" t="e">
        <f t="shared" si="104"/>
        <v>#REF!</v>
      </c>
      <c r="AF505" s="98" t="e">
        <f t="shared" si="104"/>
        <v>#REF!</v>
      </c>
      <c r="AH505" s="97" t="e">
        <f t="shared" si="100"/>
        <v>#REF!</v>
      </c>
      <c r="AI505" s="97" t="e">
        <f t="shared" si="101"/>
        <v>#REF!</v>
      </c>
      <c r="AJ505" s="98" t="e">
        <f t="shared" si="105"/>
        <v>#REF!</v>
      </c>
      <c r="AK505" s="98" t="e">
        <f t="shared" si="105"/>
        <v>#REF!</v>
      </c>
    </row>
    <row r="506" spans="19:37">
      <c r="S506" s="97">
        <f t="shared" si="94"/>
        <v>0</v>
      </c>
      <c r="T506" s="97">
        <f t="shared" si="95"/>
        <v>0</v>
      </c>
      <c r="U506" s="98">
        <f t="shared" si="102"/>
        <v>0</v>
      </c>
      <c r="V506" s="98">
        <f t="shared" si="102"/>
        <v>0</v>
      </c>
      <c r="X506" s="97" t="e">
        <f t="shared" si="96"/>
        <v>#REF!</v>
      </c>
      <c r="Y506" s="97" t="e">
        <f t="shared" si="97"/>
        <v>#REF!</v>
      </c>
      <c r="Z506" s="98" t="e">
        <f t="shared" si="103"/>
        <v>#REF!</v>
      </c>
      <c r="AA506" s="98" t="e">
        <f t="shared" si="103"/>
        <v>#REF!</v>
      </c>
      <c r="AC506" s="97" t="e">
        <f t="shared" si="98"/>
        <v>#REF!</v>
      </c>
      <c r="AD506" s="97" t="e">
        <f t="shared" si="99"/>
        <v>#REF!</v>
      </c>
      <c r="AE506" s="98" t="e">
        <f t="shared" si="104"/>
        <v>#REF!</v>
      </c>
      <c r="AF506" s="98" t="e">
        <f t="shared" si="104"/>
        <v>#REF!</v>
      </c>
      <c r="AH506" s="97" t="e">
        <f t="shared" si="100"/>
        <v>#REF!</v>
      </c>
      <c r="AI506" s="97" t="e">
        <f t="shared" si="101"/>
        <v>#REF!</v>
      </c>
      <c r="AJ506" s="98" t="e">
        <f t="shared" si="105"/>
        <v>#REF!</v>
      </c>
      <c r="AK506" s="98" t="e">
        <f t="shared" si="105"/>
        <v>#REF!</v>
      </c>
    </row>
    <row r="507" spans="19:37">
      <c r="S507" s="97">
        <f t="shared" si="94"/>
        <v>0</v>
      </c>
      <c r="T507" s="97">
        <f t="shared" si="95"/>
        <v>0</v>
      </c>
      <c r="U507" s="98">
        <f t="shared" si="102"/>
        <v>0</v>
      </c>
      <c r="V507" s="98">
        <f t="shared" si="102"/>
        <v>0</v>
      </c>
      <c r="X507" s="97" t="e">
        <f t="shared" si="96"/>
        <v>#REF!</v>
      </c>
      <c r="Y507" s="97" t="e">
        <f t="shared" si="97"/>
        <v>#REF!</v>
      </c>
      <c r="Z507" s="98" t="e">
        <f t="shared" si="103"/>
        <v>#REF!</v>
      </c>
      <c r="AA507" s="98" t="e">
        <f t="shared" si="103"/>
        <v>#REF!</v>
      </c>
      <c r="AC507" s="97" t="e">
        <f t="shared" si="98"/>
        <v>#REF!</v>
      </c>
      <c r="AD507" s="97" t="e">
        <f t="shared" si="99"/>
        <v>#REF!</v>
      </c>
      <c r="AE507" s="98" t="e">
        <f t="shared" si="104"/>
        <v>#REF!</v>
      </c>
      <c r="AF507" s="98" t="e">
        <f t="shared" si="104"/>
        <v>#REF!</v>
      </c>
      <c r="AH507" s="97" t="e">
        <f t="shared" si="100"/>
        <v>#REF!</v>
      </c>
      <c r="AI507" s="97" t="e">
        <f t="shared" si="101"/>
        <v>#REF!</v>
      </c>
      <c r="AJ507" s="98" t="e">
        <f t="shared" si="105"/>
        <v>#REF!</v>
      </c>
      <c r="AK507" s="98" t="e">
        <f t="shared" si="105"/>
        <v>#REF!</v>
      </c>
    </row>
    <row r="508" spans="19:37">
      <c r="S508" s="97">
        <f t="shared" si="94"/>
        <v>0</v>
      </c>
      <c r="T508" s="97">
        <f t="shared" si="95"/>
        <v>0</v>
      </c>
      <c r="U508" s="98">
        <f t="shared" si="102"/>
        <v>0</v>
      </c>
      <c r="V508" s="98">
        <f t="shared" si="102"/>
        <v>0</v>
      </c>
      <c r="X508" s="97" t="e">
        <f t="shared" si="96"/>
        <v>#REF!</v>
      </c>
      <c r="Y508" s="97" t="e">
        <f t="shared" si="97"/>
        <v>#REF!</v>
      </c>
      <c r="Z508" s="98" t="e">
        <f t="shared" si="103"/>
        <v>#REF!</v>
      </c>
      <c r="AA508" s="98" t="e">
        <f t="shared" si="103"/>
        <v>#REF!</v>
      </c>
      <c r="AC508" s="97" t="e">
        <f t="shared" si="98"/>
        <v>#REF!</v>
      </c>
      <c r="AD508" s="97" t="e">
        <f t="shared" si="99"/>
        <v>#REF!</v>
      </c>
      <c r="AE508" s="98" t="e">
        <f t="shared" si="104"/>
        <v>#REF!</v>
      </c>
      <c r="AF508" s="98" t="e">
        <f t="shared" si="104"/>
        <v>#REF!</v>
      </c>
      <c r="AH508" s="97" t="e">
        <f t="shared" si="100"/>
        <v>#REF!</v>
      </c>
      <c r="AI508" s="97" t="e">
        <f t="shared" si="101"/>
        <v>#REF!</v>
      </c>
      <c r="AJ508" s="98" t="e">
        <f t="shared" si="105"/>
        <v>#REF!</v>
      </c>
      <c r="AK508" s="98" t="e">
        <f t="shared" si="105"/>
        <v>#REF!</v>
      </c>
    </row>
    <row r="509" spans="19:37">
      <c r="S509" s="97">
        <f t="shared" si="94"/>
        <v>0</v>
      </c>
      <c r="T509" s="97">
        <f t="shared" si="95"/>
        <v>0</v>
      </c>
      <c r="U509" s="98">
        <f t="shared" si="102"/>
        <v>0</v>
      </c>
      <c r="V509" s="98">
        <f t="shared" si="102"/>
        <v>0</v>
      </c>
      <c r="X509" s="97" t="e">
        <f t="shared" si="96"/>
        <v>#REF!</v>
      </c>
      <c r="Y509" s="97" t="e">
        <f t="shared" si="97"/>
        <v>#REF!</v>
      </c>
      <c r="Z509" s="98" t="e">
        <f t="shared" si="103"/>
        <v>#REF!</v>
      </c>
      <c r="AA509" s="98" t="e">
        <f t="shared" si="103"/>
        <v>#REF!</v>
      </c>
      <c r="AC509" s="97" t="e">
        <f t="shared" si="98"/>
        <v>#REF!</v>
      </c>
      <c r="AD509" s="97" t="e">
        <f t="shared" si="99"/>
        <v>#REF!</v>
      </c>
      <c r="AE509" s="98" t="e">
        <f t="shared" si="104"/>
        <v>#REF!</v>
      </c>
      <c r="AF509" s="98" t="e">
        <f t="shared" si="104"/>
        <v>#REF!</v>
      </c>
      <c r="AH509" s="97" t="e">
        <f t="shared" si="100"/>
        <v>#REF!</v>
      </c>
      <c r="AI509" s="97" t="e">
        <f t="shared" si="101"/>
        <v>#REF!</v>
      </c>
      <c r="AJ509" s="98" t="e">
        <f t="shared" si="105"/>
        <v>#REF!</v>
      </c>
      <c r="AK509" s="98" t="e">
        <f t="shared" si="105"/>
        <v>#REF!</v>
      </c>
    </row>
    <row r="510" spans="19:37">
      <c r="S510" s="97">
        <f t="shared" si="94"/>
        <v>0</v>
      </c>
      <c r="T510" s="97">
        <f t="shared" si="95"/>
        <v>0</v>
      </c>
      <c r="U510" s="98">
        <f t="shared" si="102"/>
        <v>0</v>
      </c>
      <c r="V510" s="98">
        <f t="shared" si="102"/>
        <v>0</v>
      </c>
      <c r="X510" s="97" t="e">
        <f t="shared" si="96"/>
        <v>#REF!</v>
      </c>
      <c r="Y510" s="97" t="e">
        <f t="shared" si="97"/>
        <v>#REF!</v>
      </c>
      <c r="Z510" s="98" t="e">
        <f t="shared" si="103"/>
        <v>#REF!</v>
      </c>
      <c r="AA510" s="98" t="e">
        <f t="shared" si="103"/>
        <v>#REF!</v>
      </c>
      <c r="AC510" s="97" t="e">
        <f t="shared" si="98"/>
        <v>#REF!</v>
      </c>
      <c r="AD510" s="97" t="e">
        <f t="shared" si="99"/>
        <v>#REF!</v>
      </c>
      <c r="AE510" s="98" t="e">
        <f t="shared" si="104"/>
        <v>#REF!</v>
      </c>
      <c r="AF510" s="98" t="e">
        <f t="shared" si="104"/>
        <v>#REF!</v>
      </c>
      <c r="AH510" s="97" t="e">
        <f t="shared" si="100"/>
        <v>#REF!</v>
      </c>
      <c r="AI510" s="97" t="e">
        <f t="shared" si="101"/>
        <v>#REF!</v>
      </c>
      <c r="AJ510" s="98" t="e">
        <f t="shared" si="105"/>
        <v>#REF!</v>
      </c>
      <c r="AK510" s="98" t="e">
        <f t="shared" si="105"/>
        <v>#REF!</v>
      </c>
    </row>
    <row r="511" spans="19:37">
      <c r="S511" s="97">
        <f t="shared" si="94"/>
        <v>0</v>
      </c>
      <c r="T511" s="97">
        <f t="shared" si="95"/>
        <v>0</v>
      </c>
      <c r="U511" s="98">
        <f t="shared" si="102"/>
        <v>0</v>
      </c>
      <c r="V511" s="98">
        <f t="shared" si="102"/>
        <v>0</v>
      </c>
      <c r="X511" s="97" t="e">
        <f t="shared" si="96"/>
        <v>#REF!</v>
      </c>
      <c r="Y511" s="97" t="e">
        <f t="shared" si="97"/>
        <v>#REF!</v>
      </c>
      <c r="Z511" s="98" t="e">
        <f t="shared" si="103"/>
        <v>#REF!</v>
      </c>
      <c r="AA511" s="98" t="e">
        <f t="shared" si="103"/>
        <v>#REF!</v>
      </c>
      <c r="AC511" s="97" t="e">
        <f t="shared" si="98"/>
        <v>#REF!</v>
      </c>
      <c r="AD511" s="97" t="e">
        <f t="shared" si="99"/>
        <v>#REF!</v>
      </c>
      <c r="AE511" s="98" t="e">
        <f t="shared" si="104"/>
        <v>#REF!</v>
      </c>
      <c r="AF511" s="98" t="e">
        <f t="shared" si="104"/>
        <v>#REF!</v>
      </c>
      <c r="AH511" s="97" t="e">
        <f t="shared" si="100"/>
        <v>#REF!</v>
      </c>
      <c r="AI511" s="97" t="e">
        <f t="shared" si="101"/>
        <v>#REF!</v>
      </c>
      <c r="AJ511" s="98" t="e">
        <f t="shared" si="105"/>
        <v>#REF!</v>
      </c>
      <c r="AK511" s="98" t="e">
        <f t="shared" si="105"/>
        <v>#REF!</v>
      </c>
    </row>
    <row r="512" spans="19:37">
      <c r="S512" s="97">
        <f t="shared" si="94"/>
        <v>0</v>
      </c>
      <c r="T512" s="97">
        <f t="shared" si="95"/>
        <v>0</v>
      </c>
      <c r="U512" s="98">
        <f t="shared" si="102"/>
        <v>0</v>
      </c>
      <c r="V512" s="98">
        <f t="shared" si="102"/>
        <v>0</v>
      </c>
      <c r="X512" s="97" t="e">
        <f t="shared" si="96"/>
        <v>#REF!</v>
      </c>
      <c r="Y512" s="97" t="e">
        <f t="shared" si="97"/>
        <v>#REF!</v>
      </c>
      <c r="Z512" s="98" t="e">
        <f t="shared" si="103"/>
        <v>#REF!</v>
      </c>
      <c r="AA512" s="98" t="e">
        <f t="shared" si="103"/>
        <v>#REF!</v>
      </c>
      <c r="AC512" s="97" t="e">
        <f t="shared" si="98"/>
        <v>#REF!</v>
      </c>
      <c r="AD512" s="97" t="e">
        <f t="shared" si="99"/>
        <v>#REF!</v>
      </c>
      <c r="AE512" s="98" t="e">
        <f t="shared" si="104"/>
        <v>#REF!</v>
      </c>
      <c r="AF512" s="98" t="e">
        <f t="shared" si="104"/>
        <v>#REF!</v>
      </c>
      <c r="AH512" s="97" t="e">
        <f t="shared" si="100"/>
        <v>#REF!</v>
      </c>
      <c r="AI512" s="97" t="e">
        <f t="shared" si="101"/>
        <v>#REF!</v>
      </c>
      <c r="AJ512" s="98" t="e">
        <f t="shared" si="105"/>
        <v>#REF!</v>
      </c>
      <c r="AK512" s="98" t="e">
        <f t="shared" si="105"/>
        <v>#REF!</v>
      </c>
    </row>
    <row r="513" spans="19:37">
      <c r="S513" s="97">
        <f t="shared" si="94"/>
        <v>0</v>
      </c>
      <c r="T513" s="97">
        <f t="shared" si="95"/>
        <v>0</v>
      </c>
      <c r="U513" s="98">
        <f t="shared" si="102"/>
        <v>0</v>
      </c>
      <c r="V513" s="98">
        <f t="shared" si="102"/>
        <v>0</v>
      </c>
      <c r="X513" s="97" t="e">
        <f t="shared" si="96"/>
        <v>#REF!</v>
      </c>
      <c r="Y513" s="97" t="e">
        <f t="shared" si="97"/>
        <v>#REF!</v>
      </c>
      <c r="Z513" s="98" t="e">
        <f t="shared" si="103"/>
        <v>#REF!</v>
      </c>
      <c r="AA513" s="98" t="e">
        <f t="shared" si="103"/>
        <v>#REF!</v>
      </c>
      <c r="AC513" s="97" t="e">
        <f t="shared" si="98"/>
        <v>#REF!</v>
      </c>
      <c r="AD513" s="97" t="e">
        <f t="shared" si="99"/>
        <v>#REF!</v>
      </c>
      <c r="AE513" s="98" t="e">
        <f t="shared" si="104"/>
        <v>#REF!</v>
      </c>
      <c r="AF513" s="98" t="e">
        <f t="shared" si="104"/>
        <v>#REF!</v>
      </c>
      <c r="AH513" s="97" t="e">
        <f t="shared" si="100"/>
        <v>#REF!</v>
      </c>
      <c r="AI513" s="97" t="e">
        <f t="shared" si="101"/>
        <v>#REF!</v>
      </c>
      <c r="AJ513" s="98" t="e">
        <f t="shared" si="105"/>
        <v>#REF!</v>
      </c>
      <c r="AK513" s="98" t="e">
        <f t="shared" si="105"/>
        <v>#REF!</v>
      </c>
    </row>
    <row r="514" spans="19:37">
      <c r="S514" s="97">
        <f t="shared" si="94"/>
        <v>0</v>
      </c>
      <c r="T514" s="97">
        <f t="shared" si="95"/>
        <v>0</v>
      </c>
      <c r="U514" s="98">
        <f t="shared" si="102"/>
        <v>0</v>
      </c>
      <c r="V514" s="98">
        <f t="shared" si="102"/>
        <v>0</v>
      </c>
      <c r="X514" s="97" t="e">
        <f t="shared" si="96"/>
        <v>#REF!</v>
      </c>
      <c r="Y514" s="97" t="e">
        <f t="shared" si="97"/>
        <v>#REF!</v>
      </c>
      <c r="Z514" s="98" t="e">
        <f t="shared" si="103"/>
        <v>#REF!</v>
      </c>
      <c r="AA514" s="98" t="e">
        <f t="shared" si="103"/>
        <v>#REF!</v>
      </c>
      <c r="AC514" s="97" t="e">
        <f t="shared" si="98"/>
        <v>#REF!</v>
      </c>
      <c r="AD514" s="97" t="e">
        <f t="shared" si="99"/>
        <v>#REF!</v>
      </c>
      <c r="AE514" s="98" t="e">
        <f t="shared" si="104"/>
        <v>#REF!</v>
      </c>
      <c r="AF514" s="98" t="e">
        <f t="shared" si="104"/>
        <v>#REF!</v>
      </c>
      <c r="AH514" s="97" t="e">
        <f t="shared" si="100"/>
        <v>#REF!</v>
      </c>
      <c r="AI514" s="97" t="e">
        <f t="shared" si="101"/>
        <v>#REF!</v>
      </c>
      <c r="AJ514" s="98" t="e">
        <f t="shared" si="105"/>
        <v>#REF!</v>
      </c>
      <c r="AK514" s="98" t="e">
        <f t="shared" si="105"/>
        <v>#REF!</v>
      </c>
    </row>
    <row r="515" spans="19:37">
      <c r="S515" s="97">
        <f t="shared" si="94"/>
        <v>0</v>
      </c>
      <c r="T515" s="97">
        <f t="shared" si="95"/>
        <v>0</v>
      </c>
      <c r="U515" s="98">
        <f t="shared" si="102"/>
        <v>0</v>
      </c>
      <c r="V515" s="98">
        <f t="shared" si="102"/>
        <v>0</v>
      </c>
      <c r="X515" s="97" t="e">
        <f t="shared" si="96"/>
        <v>#REF!</v>
      </c>
      <c r="Y515" s="97" t="e">
        <f t="shared" si="97"/>
        <v>#REF!</v>
      </c>
      <c r="Z515" s="98" t="e">
        <f t="shared" si="103"/>
        <v>#REF!</v>
      </c>
      <c r="AA515" s="98" t="e">
        <f t="shared" si="103"/>
        <v>#REF!</v>
      </c>
      <c r="AC515" s="97" t="e">
        <f t="shared" si="98"/>
        <v>#REF!</v>
      </c>
      <c r="AD515" s="97" t="e">
        <f t="shared" si="99"/>
        <v>#REF!</v>
      </c>
      <c r="AE515" s="98" t="e">
        <f t="shared" si="104"/>
        <v>#REF!</v>
      </c>
      <c r="AF515" s="98" t="e">
        <f t="shared" si="104"/>
        <v>#REF!</v>
      </c>
      <c r="AH515" s="97" t="e">
        <f t="shared" si="100"/>
        <v>#REF!</v>
      </c>
      <c r="AI515" s="97" t="e">
        <f t="shared" si="101"/>
        <v>#REF!</v>
      </c>
      <c r="AJ515" s="98" t="e">
        <f t="shared" si="105"/>
        <v>#REF!</v>
      </c>
      <c r="AK515" s="98" t="e">
        <f t="shared" si="105"/>
        <v>#REF!</v>
      </c>
    </row>
    <row r="516" spans="19:37">
      <c r="S516" s="97">
        <f t="shared" si="94"/>
        <v>0</v>
      </c>
      <c r="T516" s="97">
        <f t="shared" si="95"/>
        <v>0</v>
      </c>
      <c r="U516" s="98">
        <f t="shared" si="102"/>
        <v>0</v>
      </c>
      <c r="V516" s="98">
        <f t="shared" si="102"/>
        <v>0</v>
      </c>
      <c r="X516" s="97" t="e">
        <f t="shared" si="96"/>
        <v>#REF!</v>
      </c>
      <c r="Y516" s="97" t="e">
        <f t="shared" si="97"/>
        <v>#REF!</v>
      </c>
      <c r="Z516" s="98" t="e">
        <f t="shared" si="103"/>
        <v>#REF!</v>
      </c>
      <c r="AA516" s="98" t="e">
        <f t="shared" si="103"/>
        <v>#REF!</v>
      </c>
      <c r="AC516" s="97" t="e">
        <f t="shared" si="98"/>
        <v>#REF!</v>
      </c>
      <c r="AD516" s="97" t="e">
        <f t="shared" si="99"/>
        <v>#REF!</v>
      </c>
      <c r="AE516" s="98" t="e">
        <f t="shared" si="104"/>
        <v>#REF!</v>
      </c>
      <c r="AF516" s="98" t="e">
        <f t="shared" si="104"/>
        <v>#REF!</v>
      </c>
      <c r="AH516" s="97" t="e">
        <f t="shared" si="100"/>
        <v>#REF!</v>
      </c>
      <c r="AI516" s="97" t="e">
        <f t="shared" si="101"/>
        <v>#REF!</v>
      </c>
      <c r="AJ516" s="98" t="e">
        <f t="shared" si="105"/>
        <v>#REF!</v>
      </c>
      <c r="AK516" s="98" t="e">
        <f t="shared" si="105"/>
        <v>#REF!</v>
      </c>
    </row>
    <row r="517" spans="19:37">
      <c r="S517" s="97">
        <f t="shared" si="94"/>
        <v>0</v>
      </c>
      <c r="T517" s="97">
        <f t="shared" si="95"/>
        <v>0</v>
      </c>
      <c r="U517" s="98">
        <f t="shared" si="102"/>
        <v>0</v>
      </c>
      <c r="V517" s="98">
        <f t="shared" si="102"/>
        <v>0</v>
      </c>
      <c r="X517" s="97" t="e">
        <f t="shared" si="96"/>
        <v>#REF!</v>
      </c>
      <c r="Y517" s="97" t="e">
        <f t="shared" si="97"/>
        <v>#REF!</v>
      </c>
      <c r="Z517" s="98" t="e">
        <f t="shared" si="103"/>
        <v>#REF!</v>
      </c>
      <c r="AA517" s="98" t="e">
        <f t="shared" si="103"/>
        <v>#REF!</v>
      </c>
      <c r="AC517" s="97" t="e">
        <f t="shared" si="98"/>
        <v>#REF!</v>
      </c>
      <c r="AD517" s="97" t="e">
        <f t="shared" si="99"/>
        <v>#REF!</v>
      </c>
      <c r="AE517" s="98" t="e">
        <f t="shared" si="104"/>
        <v>#REF!</v>
      </c>
      <c r="AF517" s="98" t="e">
        <f t="shared" si="104"/>
        <v>#REF!</v>
      </c>
      <c r="AH517" s="97" t="e">
        <f t="shared" si="100"/>
        <v>#REF!</v>
      </c>
      <c r="AI517" s="97" t="e">
        <f t="shared" si="101"/>
        <v>#REF!</v>
      </c>
      <c r="AJ517" s="98" t="e">
        <f t="shared" si="105"/>
        <v>#REF!</v>
      </c>
      <c r="AK517" s="98" t="e">
        <f t="shared" si="105"/>
        <v>#REF!</v>
      </c>
    </row>
    <row r="518" spans="19:37">
      <c r="S518" s="97">
        <f t="shared" si="94"/>
        <v>0</v>
      </c>
      <c r="T518" s="97">
        <f t="shared" si="95"/>
        <v>0</v>
      </c>
      <c r="U518" s="98">
        <f t="shared" si="102"/>
        <v>0</v>
      </c>
      <c r="V518" s="98">
        <f t="shared" si="102"/>
        <v>0</v>
      </c>
      <c r="X518" s="97" t="e">
        <f t="shared" si="96"/>
        <v>#REF!</v>
      </c>
      <c r="Y518" s="97" t="e">
        <f t="shared" si="97"/>
        <v>#REF!</v>
      </c>
      <c r="Z518" s="98" t="e">
        <f t="shared" si="103"/>
        <v>#REF!</v>
      </c>
      <c r="AA518" s="98" t="e">
        <f t="shared" si="103"/>
        <v>#REF!</v>
      </c>
      <c r="AC518" s="97" t="e">
        <f t="shared" si="98"/>
        <v>#REF!</v>
      </c>
      <c r="AD518" s="97" t="e">
        <f t="shared" si="99"/>
        <v>#REF!</v>
      </c>
      <c r="AE518" s="98" t="e">
        <f t="shared" si="104"/>
        <v>#REF!</v>
      </c>
      <c r="AF518" s="98" t="e">
        <f t="shared" si="104"/>
        <v>#REF!</v>
      </c>
      <c r="AH518" s="97" t="e">
        <f t="shared" si="100"/>
        <v>#REF!</v>
      </c>
      <c r="AI518" s="97" t="e">
        <f t="shared" si="101"/>
        <v>#REF!</v>
      </c>
      <c r="AJ518" s="98" t="e">
        <f t="shared" si="105"/>
        <v>#REF!</v>
      </c>
      <c r="AK518" s="98" t="e">
        <f t="shared" si="105"/>
        <v>#REF!</v>
      </c>
    </row>
    <row r="519" spans="19:37">
      <c r="S519" s="97">
        <f t="shared" si="94"/>
        <v>0</v>
      </c>
      <c r="T519" s="97">
        <f t="shared" si="95"/>
        <v>0</v>
      </c>
      <c r="U519" s="98">
        <f t="shared" si="102"/>
        <v>0</v>
      </c>
      <c r="V519" s="98">
        <f t="shared" si="102"/>
        <v>0</v>
      </c>
      <c r="X519" s="97" t="e">
        <f t="shared" si="96"/>
        <v>#REF!</v>
      </c>
      <c r="Y519" s="97" t="e">
        <f t="shared" si="97"/>
        <v>#REF!</v>
      </c>
      <c r="Z519" s="98" t="e">
        <f t="shared" si="103"/>
        <v>#REF!</v>
      </c>
      <c r="AA519" s="98" t="e">
        <f t="shared" si="103"/>
        <v>#REF!</v>
      </c>
      <c r="AC519" s="97" t="e">
        <f t="shared" si="98"/>
        <v>#REF!</v>
      </c>
      <c r="AD519" s="97" t="e">
        <f t="shared" si="99"/>
        <v>#REF!</v>
      </c>
      <c r="AE519" s="98" t="e">
        <f t="shared" si="104"/>
        <v>#REF!</v>
      </c>
      <c r="AF519" s="98" t="e">
        <f t="shared" si="104"/>
        <v>#REF!</v>
      </c>
      <c r="AH519" s="97" t="e">
        <f t="shared" si="100"/>
        <v>#REF!</v>
      </c>
      <c r="AI519" s="97" t="e">
        <f t="shared" si="101"/>
        <v>#REF!</v>
      </c>
      <c r="AJ519" s="98" t="e">
        <f t="shared" si="105"/>
        <v>#REF!</v>
      </c>
      <c r="AK519" s="98" t="e">
        <f t="shared" si="105"/>
        <v>#REF!</v>
      </c>
    </row>
    <row r="520" spans="19:37">
      <c r="S520" s="97">
        <f t="shared" si="94"/>
        <v>0</v>
      </c>
      <c r="T520" s="97">
        <f t="shared" si="95"/>
        <v>0</v>
      </c>
      <c r="U520" s="98">
        <f t="shared" si="102"/>
        <v>0</v>
      </c>
      <c r="V520" s="98">
        <f t="shared" si="102"/>
        <v>0</v>
      </c>
      <c r="X520" s="97" t="e">
        <f t="shared" si="96"/>
        <v>#REF!</v>
      </c>
      <c r="Y520" s="97" t="e">
        <f t="shared" si="97"/>
        <v>#REF!</v>
      </c>
      <c r="Z520" s="98" t="e">
        <f t="shared" si="103"/>
        <v>#REF!</v>
      </c>
      <c r="AA520" s="98" t="e">
        <f t="shared" si="103"/>
        <v>#REF!</v>
      </c>
      <c r="AC520" s="97" t="e">
        <f t="shared" si="98"/>
        <v>#REF!</v>
      </c>
      <c r="AD520" s="97" t="e">
        <f t="shared" si="99"/>
        <v>#REF!</v>
      </c>
      <c r="AE520" s="98" t="e">
        <f t="shared" si="104"/>
        <v>#REF!</v>
      </c>
      <c r="AF520" s="98" t="e">
        <f t="shared" si="104"/>
        <v>#REF!</v>
      </c>
      <c r="AH520" s="97" t="e">
        <f t="shared" si="100"/>
        <v>#REF!</v>
      </c>
      <c r="AI520" s="97" t="e">
        <f t="shared" si="101"/>
        <v>#REF!</v>
      </c>
      <c r="AJ520" s="98" t="e">
        <f t="shared" si="105"/>
        <v>#REF!</v>
      </c>
      <c r="AK520" s="98" t="e">
        <f t="shared" si="105"/>
        <v>#REF!</v>
      </c>
    </row>
    <row r="521" spans="19:37">
      <c r="S521" s="97">
        <f t="shared" si="94"/>
        <v>0</v>
      </c>
      <c r="T521" s="97">
        <f t="shared" si="95"/>
        <v>0</v>
      </c>
      <c r="U521" s="98">
        <f t="shared" si="102"/>
        <v>0</v>
      </c>
      <c r="V521" s="98">
        <f t="shared" si="102"/>
        <v>0</v>
      </c>
      <c r="X521" s="97" t="e">
        <f t="shared" si="96"/>
        <v>#REF!</v>
      </c>
      <c r="Y521" s="97" t="e">
        <f t="shared" si="97"/>
        <v>#REF!</v>
      </c>
      <c r="Z521" s="98" t="e">
        <f t="shared" si="103"/>
        <v>#REF!</v>
      </c>
      <c r="AA521" s="98" t="e">
        <f t="shared" si="103"/>
        <v>#REF!</v>
      </c>
      <c r="AC521" s="97" t="e">
        <f t="shared" si="98"/>
        <v>#REF!</v>
      </c>
      <c r="AD521" s="97" t="e">
        <f t="shared" si="99"/>
        <v>#REF!</v>
      </c>
      <c r="AE521" s="98" t="e">
        <f t="shared" si="104"/>
        <v>#REF!</v>
      </c>
      <c r="AF521" s="98" t="e">
        <f t="shared" si="104"/>
        <v>#REF!</v>
      </c>
      <c r="AH521" s="97" t="e">
        <f t="shared" si="100"/>
        <v>#REF!</v>
      </c>
      <c r="AI521" s="97" t="e">
        <f t="shared" si="101"/>
        <v>#REF!</v>
      </c>
      <c r="AJ521" s="98" t="e">
        <f t="shared" si="105"/>
        <v>#REF!</v>
      </c>
      <c r="AK521" s="98" t="e">
        <f t="shared" si="105"/>
        <v>#REF!</v>
      </c>
    </row>
    <row r="522" spans="19:37">
      <c r="S522" s="97">
        <f t="shared" si="94"/>
        <v>0</v>
      </c>
      <c r="T522" s="97">
        <f t="shared" si="95"/>
        <v>0</v>
      </c>
      <c r="U522" s="98">
        <f t="shared" si="102"/>
        <v>0</v>
      </c>
      <c r="V522" s="98">
        <f t="shared" si="102"/>
        <v>0</v>
      </c>
      <c r="X522" s="97" t="e">
        <f t="shared" si="96"/>
        <v>#REF!</v>
      </c>
      <c r="Y522" s="97" t="e">
        <f t="shared" si="97"/>
        <v>#REF!</v>
      </c>
      <c r="Z522" s="98" t="e">
        <f t="shared" si="103"/>
        <v>#REF!</v>
      </c>
      <c r="AA522" s="98" t="e">
        <f t="shared" si="103"/>
        <v>#REF!</v>
      </c>
      <c r="AC522" s="97" t="e">
        <f t="shared" si="98"/>
        <v>#REF!</v>
      </c>
      <c r="AD522" s="97" t="e">
        <f t="shared" si="99"/>
        <v>#REF!</v>
      </c>
      <c r="AE522" s="98" t="e">
        <f t="shared" si="104"/>
        <v>#REF!</v>
      </c>
      <c r="AF522" s="98" t="e">
        <f t="shared" si="104"/>
        <v>#REF!</v>
      </c>
      <c r="AH522" s="97" t="e">
        <f t="shared" si="100"/>
        <v>#REF!</v>
      </c>
      <c r="AI522" s="97" t="e">
        <f t="shared" si="101"/>
        <v>#REF!</v>
      </c>
      <c r="AJ522" s="98" t="e">
        <f t="shared" si="105"/>
        <v>#REF!</v>
      </c>
      <c r="AK522" s="98" t="e">
        <f t="shared" si="105"/>
        <v>#REF!</v>
      </c>
    </row>
    <row r="523" spans="19:37">
      <c r="S523" s="97">
        <f t="shared" si="94"/>
        <v>0</v>
      </c>
      <c r="T523" s="97">
        <f t="shared" si="95"/>
        <v>0</v>
      </c>
      <c r="U523" s="98">
        <f t="shared" si="102"/>
        <v>0</v>
      </c>
      <c r="V523" s="98">
        <f t="shared" si="102"/>
        <v>0</v>
      </c>
      <c r="X523" s="97" t="e">
        <f t="shared" si="96"/>
        <v>#REF!</v>
      </c>
      <c r="Y523" s="97" t="e">
        <f t="shared" si="97"/>
        <v>#REF!</v>
      </c>
      <c r="Z523" s="98" t="e">
        <f t="shared" si="103"/>
        <v>#REF!</v>
      </c>
      <c r="AA523" s="98" t="e">
        <f t="shared" si="103"/>
        <v>#REF!</v>
      </c>
      <c r="AC523" s="97" t="e">
        <f t="shared" si="98"/>
        <v>#REF!</v>
      </c>
      <c r="AD523" s="97" t="e">
        <f t="shared" si="99"/>
        <v>#REF!</v>
      </c>
      <c r="AE523" s="98" t="e">
        <f t="shared" si="104"/>
        <v>#REF!</v>
      </c>
      <c r="AF523" s="98" t="e">
        <f t="shared" si="104"/>
        <v>#REF!</v>
      </c>
      <c r="AH523" s="97" t="e">
        <f t="shared" si="100"/>
        <v>#REF!</v>
      </c>
      <c r="AI523" s="97" t="e">
        <f t="shared" si="101"/>
        <v>#REF!</v>
      </c>
      <c r="AJ523" s="98" t="e">
        <f t="shared" si="105"/>
        <v>#REF!</v>
      </c>
      <c r="AK523" s="98" t="e">
        <f t="shared" si="105"/>
        <v>#REF!</v>
      </c>
    </row>
    <row r="524" spans="19:37">
      <c r="S524" s="97">
        <f t="shared" si="94"/>
        <v>0</v>
      </c>
      <c r="T524" s="97">
        <f t="shared" si="95"/>
        <v>0</v>
      </c>
      <c r="U524" s="98">
        <f t="shared" si="102"/>
        <v>0</v>
      </c>
      <c r="V524" s="98">
        <f t="shared" si="102"/>
        <v>0</v>
      </c>
      <c r="X524" s="97" t="e">
        <f t="shared" si="96"/>
        <v>#REF!</v>
      </c>
      <c r="Y524" s="97" t="e">
        <f t="shared" si="97"/>
        <v>#REF!</v>
      </c>
      <c r="Z524" s="98" t="e">
        <f t="shared" si="103"/>
        <v>#REF!</v>
      </c>
      <c r="AA524" s="98" t="e">
        <f t="shared" si="103"/>
        <v>#REF!</v>
      </c>
      <c r="AC524" s="97" t="e">
        <f t="shared" si="98"/>
        <v>#REF!</v>
      </c>
      <c r="AD524" s="97" t="e">
        <f t="shared" si="99"/>
        <v>#REF!</v>
      </c>
      <c r="AE524" s="98" t="e">
        <f t="shared" si="104"/>
        <v>#REF!</v>
      </c>
      <c r="AF524" s="98" t="e">
        <f t="shared" si="104"/>
        <v>#REF!</v>
      </c>
      <c r="AH524" s="97" t="e">
        <f t="shared" si="100"/>
        <v>#REF!</v>
      </c>
      <c r="AI524" s="97" t="e">
        <f t="shared" si="101"/>
        <v>#REF!</v>
      </c>
      <c r="AJ524" s="98" t="e">
        <f t="shared" si="105"/>
        <v>#REF!</v>
      </c>
      <c r="AK524" s="98" t="e">
        <f t="shared" si="105"/>
        <v>#REF!</v>
      </c>
    </row>
    <row r="525" spans="19:37">
      <c r="S525" s="97">
        <f t="shared" si="94"/>
        <v>0</v>
      </c>
      <c r="T525" s="97">
        <f t="shared" si="95"/>
        <v>0</v>
      </c>
      <c r="U525" s="98">
        <f t="shared" si="102"/>
        <v>0</v>
      </c>
      <c r="V525" s="98">
        <f t="shared" si="102"/>
        <v>0</v>
      </c>
      <c r="X525" s="97" t="e">
        <f t="shared" si="96"/>
        <v>#REF!</v>
      </c>
      <c r="Y525" s="97" t="e">
        <f t="shared" si="97"/>
        <v>#REF!</v>
      </c>
      <c r="Z525" s="98" t="e">
        <f t="shared" si="103"/>
        <v>#REF!</v>
      </c>
      <c r="AA525" s="98" t="e">
        <f t="shared" si="103"/>
        <v>#REF!</v>
      </c>
      <c r="AC525" s="97" t="e">
        <f t="shared" si="98"/>
        <v>#REF!</v>
      </c>
      <c r="AD525" s="97" t="e">
        <f t="shared" si="99"/>
        <v>#REF!</v>
      </c>
      <c r="AE525" s="98" t="e">
        <f t="shared" si="104"/>
        <v>#REF!</v>
      </c>
      <c r="AF525" s="98" t="e">
        <f t="shared" si="104"/>
        <v>#REF!</v>
      </c>
      <c r="AH525" s="97" t="e">
        <f t="shared" si="100"/>
        <v>#REF!</v>
      </c>
      <c r="AI525" s="97" t="e">
        <f t="shared" si="101"/>
        <v>#REF!</v>
      </c>
      <c r="AJ525" s="98" t="e">
        <f t="shared" si="105"/>
        <v>#REF!</v>
      </c>
      <c r="AK525" s="98" t="e">
        <f t="shared" si="105"/>
        <v>#REF!</v>
      </c>
    </row>
    <row r="526" spans="19:37">
      <c r="S526" s="97">
        <f>IF($A526&lt;&gt;"(DC)", $E526*$R$7, $E526)</f>
        <v>0</v>
      </c>
      <c r="T526" s="97">
        <f>IF($A526&lt;&gt;"(DC)", $F526*$R$7, $F526)</f>
        <v>0</v>
      </c>
      <c r="U526" s="98">
        <f t="shared" si="102"/>
        <v>0</v>
      </c>
      <c r="V526" s="98">
        <f t="shared" si="102"/>
        <v>0</v>
      </c>
      <c r="X526" s="97" t="e">
        <f>IF($A526&lt;&gt;"(DC)", $E526*$W$7, $E526)</f>
        <v>#REF!</v>
      </c>
      <c r="Y526" s="97" t="e">
        <f>IF($A526&lt;&gt;"(DC)", $F526*$W$7, $F526)</f>
        <v>#REF!</v>
      </c>
      <c r="Z526" s="98" t="e">
        <f t="shared" si="103"/>
        <v>#REF!</v>
      </c>
      <c r="AA526" s="98" t="e">
        <f t="shared" si="103"/>
        <v>#REF!</v>
      </c>
      <c r="AC526" s="97" t="e">
        <f>IF($A526&lt;&gt;"(DC)", $E526*$AB$7, $E526)</f>
        <v>#REF!</v>
      </c>
      <c r="AD526" s="97" t="e">
        <f>IF($A526&lt;&gt;"(DC)", $F526*$AB$7, $F526)</f>
        <v>#REF!</v>
      </c>
      <c r="AE526" s="98" t="e">
        <f t="shared" si="104"/>
        <v>#REF!</v>
      </c>
      <c r="AF526" s="98" t="e">
        <f t="shared" si="104"/>
        <v>#REF!</v>
      </c>
      <c r="AH526" s="97" t="e">
        <f>IF($A526&lt;&gt;"(DC)", $E526*$AG$7, $E526)</f>
        <v>#REF!</v>
      </c>
      <c r="AI526" s="97" t="e">
        <f>IF($A526&lt;&gt;"(DC)", $F526*$AG$7, $F526)</f>
        <v>#REF!</v>
      </c>
      <c r="AJ526" s="98" t="e">
        <f t="shared" si="105"/>
        <v>#REF!</v>
      </c>
      <c r="AK526" s="98" t="e">
        <f t="shared" si="105"/>
        <v>#REF!</v>
      </c>
    </row>
    <row r="527" spans="19:37">
      <c r="S527" s="97">
        <f>IF($A527&lt;&gt;"(DC)", $E527*$R$7, $E527)</f>
        <v>0</v>
      </c>
      <c r="T527" s="97">
        <f>IF($A527&lt;&gt;"(DC)", $F527*$R$7, $F527)</f>
        <v>0</v>
      </c>
      <c r="U527" s="98">
        <f>IF(AND($D527="",S527=""),"",IF($D527="",S527,$D527+S527))</f>
        <v>0</v>
      </c>
      <c r="V527" s="98">
        <f>IF(AND($D527="",T527=""),"",IF($D527="",T527,$D527+T527))</f>
        <v>0</v>
      </c>
      <c r="X527" s="97" t="e">
        <f>IF($A527&lt;&gt;"(DC)", $E527*$W$7, $E527)</f>
        <v>#REF!</v>
      </c>
      <c r="Y527" s="97" t="e">
        <f>IF($A527&lt;&gt;"(DC)", $F527*$W$7, $F527)</f>
        <v>#REF!</v>
      </c>
      <c r="Z527" s="98" t="e">
        <f>IF(AND($D527="",X527=""),"",IF($D527="",X527,$D527+X527))</f>
        <v>#REF!</v>
      </c>
      <c r="AA527" s="98" t="e">
        <f>IF(AND($D527="",Y527=""),"",IF($D527="",Y527,$D527+Y527))</f>
        <v>#REF!</v>
      </c>
      <c r="AC527" s="97" t="e">
        <f>IF($A527&lt;&gt;"(DC)", $E527*$W$7, $E527)</f>
        <v>#REF!</v>
      </c>
      <c r="AD527" s="97" t="e">
        <f>IF($A527&lt;&gt;"(DC)", $F527*$W$7, $F527)</f>
        <v>#REF!</v>
      </c>
      <c r="AE527" s="98" t="e">
        <f>IF(AND($D527="",AC527=""),"",IF($D527="",AC527,$D527+AC527))</f>
        <v>#REF!</v>
      </c>
      <c r="AF527" s="98" t="e">
        <f>IF(AND($D527="",AD527=""),"",IF($D527="",AD527,$D527+AD527))</f>
        <v>#REF!</v>
      </c>
      <c r="AH527" s="97" t="e">
        <f>IF($A527&lt;&gt;"(DC)", $E527*$AG$7, $E527)</f>
        <v>#REF!</v>
      </c>
      <c r="AI527" s="97" t="e">
        <f>IF($A527&lt;&gt;"(DC)", $F527*$AG$7, $F527)</f>
        <v>#REF!</v>
      </c>
      <c r="AJ527" s="98" t="e">
        <f>IF(AND($D527="",AH527=""),"",IF($D527="",AH527,$D527+AH527))</f>
        <v>#REF!</v>
      </c>
      <c r="AK527" s="98" t="e">
        <f>IF(AND($D527="",AI527=""),"",IF($D527="",AI527,$D527+AI527))</f>
        <v>#REF!</v>
      </c>
    </row>
    <row r="528" spans="19:37">
      <c r="S528" s="97">
        <f>IF($A528&lt;&gt;"(DC)", $E528*$R$7, $E528)</f>
        <v>0</v>
      </c>
      <c r="T528" s="97">
        <f>IF($A528&lt;&gt;"(DC)", $F528*$R$7, $F528)</f>
        <v>0</v>
      </c>
      <c r="U528" s="98">
        <f>IF(AND($D528="",S528=""),"",IF($D528="",S528,$D528+S528))</f>
        <v>0</v>
      </c>
      <c r="V528" s="98">
        <f>IF(AND($D528="",T528=""),"",IF($D528="",T528,$D528+T528))</f>
        <v>0</v>
      </c>
      <c r="X528" s="97" t="e">
        <f>IF($A528&lt;&gt;"(DC)", $E528*$W$7, $E528)</f>
        <v>#REF!</v>
      </c>
      <c r="Y528" s="97" t="e">
        <f>IF($A528&lt;&gt;"(DC)", $F528*$W$7, $F528)</f>
        <v>#REF!</v>
      </c>
      <c r="Z528" s="98" t="e">
        <f>IF(AND($D528="",X528=""),"",IF($D528="",X528,$D528+X528))</f>
        <v>#REF!</v>
      </c>
      <c r="AA528" s="98" t="e">
        <f>IF(AND($D528="",Y528=""),"",IF($D528="",Y528,$D528+Y528))</f>
        <v>#REF!</v>
      </c>
      <c r="AC528" s="97" t="e">
        <f>IF($A528&lt;&gt;"(DC)", $E528*$W$7, $E528)</f>
        <v>#REF!</v>
      </c>
      <c r="AD528" s="97" t="e">
        <f>IF($A528&lt;&gt;"(DC)", $F528*$W$7, $F528)</f>
        <v>#REF!</v>
      </c>
      <c r="AE528" s="98" t="e">
        <f>IF(AND($D528="",AC528=""),"",IF($D528="",AC528,$D528+AC528))</f>
        <v>#REF!</v>
      </c>
      <c r="AF528" s="98" t="e">
        <f>IF(AND($D528="",AD528=""),"",IF($D528="",AD528,$D528+AD528))</f>
        <v>#REF!</v>
      </c>
      <c r="AH528" s="97" t="e">
        <f>IF($A528&lt;&gt;"(DC)", $E528*$AG$7, $E528)</f>
        <v>#REF!</v>
      </c>
      <c r="AI528" s="97" t="e">
        <f>IF($A528&lt;&gt;"(DC)", $F528*$AG$7, $F528)</f>
        <v>#REF!</v>
      </c>
      <c r="AJ528" s="98" t="e">
        <f>IF(AND($D528="",AH528=""),"",IF($D528="",AH528,$D528+AH528))</f>
        <v>#REF!</v>
      </c>
      <c r="AK528" s="98" t="e">
        <f>IF(AND($D528="",AI528=""),"",IF($D528="",AI528,$D528+AI528))</f>
        <v>#REF!</v>
      </c>
    </row>
  </sheetData>
  <sheetProtection formatCells="0"/>
  <mergeCells count="17">
    <mergeCell ref="X9:AA9"/>
    <mergeCell ref="AC9:AF9"/>
    <mergeCell ref="AH9:AK9"/>
    <mergeCell ref="S9:V9"/>
    <mergeCell ref="A1:K1"/>
    <mergeCell ref="E4:H4"/>
    <mergeCell ref="E5:H5"/>
    <mergeCell ref="E6:H6"/>
    <mergeCell ref="B8:H8"/>
    <mergeCell ref="J8:K8"/>
    <mergeCell ref="L8:M8"/>
    <mergeCell ref="N8:O8"/>
    <mergeCell ref="P8:Q8"/>
    <mergeCell ref="J9:K9"/>
    <mergeCell ref="L9:M9"/>
    <mergeCell ref="N9:O9"/>
    <mergeCell ref="P9:Q9"/>
  </mergeCells>
  <phoneticPr fontId="48" type="noConversion"/>
  <conditionalFormatting sqref="D11:D103 D108:D121 D124:D125 D130:D132 D148:D151 D201 D204:D210 D212:D242">
    <cfRule type="expression" dxfId="54" priority="44">
      <formula>AND(#REF!&lt;&gt;"Tolerance",$D11&lt;&gt;"")</formula>
    </cfRule>
  </conditionalFormatting>
  <conditionalFormatting sqref="D104:D107 D161:D178 D184">
    <cfRule type="expression" dxfId="53" priority="41">
      <formula>AND(#REF!&lt;&gt;"Tolerance",$D104&lt;&gt;"")</formula>
    </cfRule>
  </conditionalFormatting>
  <conditionalFormatting sqref="D104:D107 D176:D178 D184">
    <cfRule type="containsBlanks" dxfId="52" priority="40">
      <formula>LEN(TRIM(D104))=0</formula>
    </cfRule>
  </conditionalFormatting>
  <conditionalFormatting sqref="D122:D123 D126:D127">
    <cfRule type="expression" dxfId="51" priority="28">
      <formula>AND(#REF!&lt;&gt;"Tolerance",#REF!&lt;&gt;"")</formula>
    </cfRule>
    <cfRule type="expression" dxfId="50" priority="29">
      <formula>AND(OR(#REF!="GD&amp;T",#REF!="MAX",#REF!="MIN"),#REF!="")</formula>
    </cfRule>
    <cfRule type="containsBlanks" dxfId="49" priority="30">
      <formula>LEN(TRIM(#REF!))=0</formula>
    </cfRule>
    <cfRule type="expression" dxfId="48" priority="31">
      <formula>AND(#REF!&lt;&gt;"Tolerance",#REF!&lt;&gt;"")</formula>
    </cfRule>
    <cfRule type="expression" dxfId="47" priority="32">
      <formula>AND(OR(#REF!="GD&amp;T",#REF!="MAX",#REF!="MIN"),#REF!="")</formula>
    </cfRule>
  </conditionalFormatting>
  <conditionalFormatting sqref="D128:D136 D138:D178 D192 D199 D184:D190 D204:D205 D212:D218 D220:D242 D11:D121 D124:D125">
    <cfRule type="expression" dxfId="46" priority="39">
      <formula>AND(OR(#REF!="GD&amp;T",#REF!="MAX",#REF!="MIN"),$D11="")</formula>
    </cfRule>
  </conditionalFormatting>
  <conditionalFormatting sqref="D128:D178 D199:D242 D11:D121 D124:D125 D184:D190 D192">
    <cfRule type="expression" dxfId="45" priority="55">
      <formula>AND(#REF!&lt;&gt;"Tolerance",$D11&lt;&gt;"")</formula>
    </cfRule>
  </conditionalFormatting>
  <conditionalFormatting sqref="D131:D137 D205:D213">
    <cfRule type="expression" dxfId="44" priority="45">
      <formula>AND(OR(#REF!="GD&amp;T",#REF!="MAX",#REF!="MIN"),$D131="")</formula>
    </cfRule>
    <cfRule type="containsBlanks" dxfId="43" priority="46">
      <formula>LEN(TRIM(D131))=0</formula>
    </cfRule>
  </conditionalFormatting>
  <conditionalFormatting sqref="D133 D135:D136 D142:D147 D128:D129 D192 D199">
    <cfRule type="expression" dxfId="42" priority="38">
      <formula>AND(#REF!&lt;&gt;"Tolerance",$D128&lt;&gt;"")</formula>
    </cfRule>
  </conditionalFormatting>
  <conditionalFormatting sqref="D134">
    <cfRule type="expression" dxfId="41" priority="49">
      <formula>AND(#REF!&lt;&gt;"Tolerance",$D134&lt;&gt;"")</formula>
    </cfRule>
    <cfRule type="containsBlanks" dxfId="40" priority="50">
      <formula>LEN(TRIM(D134))=0</formula>
    </cfRule>
  </conditionalFormatting>
  <conditionalFormatting sqref="D137:D139">
    <cfRule type="expression" dxfId="39" priority="51">
      <formula>AND(#REF!&lt;&gt;"Tolerance",$D137&lt;&gt;"")</formula>
    </cfRule>
  </conditionalFormatting>
  <conditionalFormatting sqref="D137:D141 D219">
    <cfRule type="expression" dxfId="38" priority="52">
      <formula>AND(OR(#REF!="GD&amp;T",#REF!="MAX",#REF!="MIN"),$D137="")</formula>
    </cfRule>
  </conditionalFormatting>
  <conditionalFormatting sqref="D138:D141">
    <cfRule type="containsBlanks" dxfId="37" priority="23">
      <formula>LEN(TRIM(D138))=0</formula>
    </cfRule>
  </conditionalFormatting>
  <conditionalFormatting sqref="D142:D144">
    <cfRule type="containsBlanks" dxfId="36" priority="48">
      <formula>LEN(TRIM(D142))=0</formula>
    </cfRule>
  </conditionalFormatting>
  <conditionalFormatting sqref="D145:D147">
    <cfRule type="containsBlanks" dxfId="35" priority="26">
      <formula>LEN(TRIM(D145))=0</formula>
    </cfRule>
  </conditionalFormatting>
  <conditionalFormatting sqref="D152">
    <cfRule type="expression" dxfId="34" priority="6">
      <formula>AND(#REF!&lt;&gt;"Tolerance",$D152&lt;&gt;"")</formula>
    </cfRule>
  </conditionalFormatting>
  <conditionalFormatting sqref="D152:D154">
    <cfRule type="containsBlanks" dxfId="33" priority="1">
      <formula>LEN(TRIM(D152))=0</formula>
    </cfRule>
    <cfRule type="expression" dxfId="32" priority="7">
      <formula>AND(OR(#REF!="GD&amp;T",#REF!="MAX",#REF!="MIN"),$D152="")</formula>
    </cfRule>
  </conditionalFormatting>
  <conditionalFormatting sqref="D153:D154">
    <cfRule type="expression" dxfId="31" priority="8">
      <formula>AND(#REF!&lt;&gt;"Tolerance",$D153&lt;&gt;"")</formula>
    </cfRule>
  </conditionalFormatting>
  <conditionalFormatting sqref="D155:D157">
    <cfRule type="containsBlanks" dxfId="30" priority="5">
      <formula>LEN(TRIM(D155))=0</formula>
    </cfRule>
  </conditionalFormatting>
  <conditionalFormatting sqref="D155:D160">
    <cfRule type="expression" dxfId="29" priority="3">
      <formula>AND(#REF!&lt;&gt;"Tolerance",$D155&lt;&gt;"")</formula>
    </cfRule>
  </conditionalFormatting>
  <conditionalFormatting sqref="D158:D162">
    <cfRule type="containsBlanks" dxfId="28" priority="2">
      <formula>LEN(TRIM(D158))=0</formula>
    </cfRule>
  </conditionalFormatting>
  <conditionalFormatting sqref="D185:D190">
    <cfRule type="containsBlanks" dxfId="27" priority="9">
      <formula>LEN(TRIM(D185))=0</formula>
    </cfRule>
    <cfRule type="expression" dxfId="26" priority="10">
      <formula>AND(#REF!&lt;&gt;"Tolerance",$D185&lt;&gt;"")</formula>
    </cfRule>
  </conditionalFormatting>
  <conditionalFormatting sqref="D200:D203">
    <cfRule type="expression" dxfId="25" priority="56">
      <formula>AND(OR(#REF!="GD&amp;T",#REF!="MAX",#REF!="MIN"),$D200="")</formula>
    </cfRule>
    <cfRule type="containsBlanks" dxfId="24" priority="57">
      <formula>LEN(TRIM(D200))=0</formula>
    </cfRule>
    <cfRule type="expression" dxfId="23" priority="58">
      <formula>AND(#REF!&lt;&gt;"Tolerance",$D200&lt;&gt;"")</formula>
    </cfRule>
    <cfRule type="expression" dxfId="22" priority="59">
      <formula>AND(OR(#REF!="GD&amp;T",#REF!="MAX",#REF!="MIN"),$D200="")</formula>
    </cfRule>
  </conditionalFormatting>
  <conditionalFormatting sqref="D201 D11:F125 D130 D132 D148:D149 D204">
    <cfRule type="containsBlanks" dxfId="21" priority="43">
      <formula>LEN(TRIM(D11))=0</formula>
    </cfRule>
  </conditionalFormatting>
  <conditionalFormatting sqref="D201">
    <cfRule type="expression" dxfId="20" priority="42">
      <formula>AND(OR(#REF!="GD&amp;T",#REF!="MAX",#REF!="MIN"),$D201="")</formula>
    </cfRule>
  </conditionalFormatting>
  <conditionalFormatting sqref="D211 D140:D141">
    <cfRule type="expression" dxfId="19" priority="54">
      <formula>AND(#REF!&lt;&gt;"Tolerance",$D140&lt;&gt;"")</formula>
    </cfRule>
  </conditionalFormatting>
  <conditionalFormatting sqref="D211">
    <cfRule type="expression" dxfId="18" priority="53">
      <formula>AND(OR(#REF!="GD&amp;T",#REF!="MAX",#REF!="MIN"),$D211="")</formula>
    </cfRule>
  </conditionalFormatting>
  <conditionalFormatting sqref="D122:F123 D126:F127">
    <cfRule type="containsBlanks" dxfId="17" priority="33">
      <formula>LEN(TRIM(#REF!))=0</formula>
    </cfRule>
  </conditionalFormatting>
  <conditionalFormatting sqref="D128:F131">
    <cfRule type="containsBlanks" dxfId="16" priority="25">
      <formula>LEN(TRIM(D128))=0</formula>
    </cfRule>
  </conditionalFormatting>
  <conditionalFormatting sqref="D135:F178 D133">
    <cfRule type="containsBlanks" dxfId="15" priority="27">
      <formula>LEN(TRIM(D133))=0</formula>
    </cfRule>
  </conditionalFormatting>
  <conditionalFormatting sqref="D184:F190 D128:D129">
    <cfRule type="containsBlanks" dxfId="14" priority="21">
      <formula>LEN(TRIM(D128))=0</formula>
    </cfRule>
  </conditionalFormatting>
  <conditionalFormatting sqref="D192:F192">
    <cfRule type="containsBlanks" dxfId="13" priority="22">
      <formula>LEN(TRIM(D192))=0</formula>
    </cfRule>
  </conditionalFormatting>
  <conditionalFormatting sqref="D199:F242">
    <cfRule type="containsBlanks" dxfId="12" priority="19">
      <formula>LEN(TRIM(D199))=0</formula>
    </cfRule>
  </conditionalFormatting>
  <conditionalFormatting sqref="E11:E121 E124:E125 E128:E178 E184:E190 E192 E199:E242">
    <cfRule type="expression" dxfId="11" priority="61">
      <formula>AND(#REF!="MIN",$E11&lt;&gt;"")</formula>
    </cfRule>
  </conditionalFormatting>
  <conditionalFormatting sqref="E11:E121 E124:E125 E128:E178 E192 E184:E190 E199:E242">
    <cfRule type="expression" dxfId="10" priority="60">
      <formula>AND(#REF!="MIN",$E11="")</formula>
    </cfRule>
  </conditionalFormatting>
  <conditionalFormatting sqref="E122:E123 E126:E127">
    <cfRule type="expression" dxfId="9" priority="34">
      <formula>AND(#REF!="MIN",#REF!&lt;&gt;"")</formula>
    </cfRule>
    <cfRule type="expression" dxfId="8" priority="35">
      <formula>AND(#REF!="MIN",#REF!="")</formula>
    </cfRule>
  </conditionalFormatting>
  <conditionalFormatting sqref="E132:F134">
    <cfRule type="containsBlanks" dxfId="7" priority="24">
      <formula>LEN(TRIM(E132))=0</formula>
    </cfRule>
  </conditionalFormatting>
  <conditionalFormatting sqref="F11:F121 F124:F125 F128:F178 F184:F190 F192 F199:F242">
    <cfRule type="expression" dxfId="6" priority="63">
      <formula>AND(OR(#REF!="GD&amp;T",#REF!="MAX"),$F11&lt;&gt;"")</formula>
    </cfRule>
  </conditionalFormatting>
  <conditionalFormatting sqref="F11:F121 F124:F125 F128:F178 F192 F184:F190 F199:F242">
    <cfRule type="expression" dxfId="5" priority="62">
      <formula>AND(OR(#REF!="GD&amp;T",#REF!="MAX"),$F11="")</formula>
    </cfRule>
  </conditionalFormatting>
  <conditionalFormatting sqref="F122:F123 F126:F127">
    <cfRule type="expression" dxfId="4" priority="36">
      <formula>AND(OR(#REF!="GD&amp;T",#REF!="MAX"),#REF!&lt;&gt;"")</formula>
    </cfRule>
    <cfRule type="expression" dxfId="3" priority="37">
      <formula>AND(OR(#REF!="GD&amp;T",#REF!="MAX"),#REF!="")</formula>
    </cfRule>
  </conditionalFormatting>
  <conditionalFormatting sqref="J11:Q242">
    <cfRule type="expression" dxfId="2" priority="13">
      <formula>AND($G11&lt;&gt;"",#REF!&lt;&gt;"",J11&gt;$G11)</formula>
    </cfRule>
    <cfRule type="notContainsBlanks" dxfId="1" priority="14">
      <formula>LEN(TRIM(J11))&gt;0</formula>
    </cfRule>
    <cfRule type="expression" dxfId="0" priority="15">
      <formula>AND($H11&lt;&gt;"",#REF!&lt;&gt;"",J11&lt;$H11)</formula>
    </cfRule>
  </conditionalFormatting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OQC</vt:lpstr>
      <vt:lpstr>Cav 1기존</vt:lpstr>
      <vt:lpstr>Drawing</vt:lpstr>
      <vt:lpstr>Revision</vt:lpstr>
      <vt:lpstr>Cav 2기존</vt:lpstr>
      <vt:lpstr>Cav 3기존</vt:lpstr>
      <vt:lpstr>Cav 4기존</vt:lpstr>
      <vt:lpstr>OOC</vt:lpstr>
      <vt:lpstr>'Cav 1기존'!CMMVersion</vt:lpstr>
      <vt:lpstr>'Cav 2기존'!CMMVersion</vt:lpstr>
      <vt:lpstr>'Cav 3기존'!CMMVersion</vt:lpstr>
      <vt:lpstr>'Cav 4기존'!CMMVersion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임정택</cp:lastModifiedBy>
  <dcterms:created xsi:type="dcterms:W3CDTF">2012-05-22T11:55:56Z</dcterms:created>
  <dcterms:modified xsi:type="dcterms:W3CDTF">2025-12-15T00:43:36Z</dcterms:modified>
</cp:coreProperties>
</file>